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1998B\EXCELCNV\d296cd46-12a0-4350-9df1-3f65f5f11d04\"/>
    </mc:Choice>
  </mc:AlternateContent>
  <xr:revisionPtr revIDLastSave="0" documentId="8_{31877645-A55C-4826-B9D2-752B08174AB0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<sst xmlns="http://schemas.openxmlformats.org/spreadsheetml/2006/main" count="9515" uniqueCount="2462">
  <si>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</si>
  <si>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</si>
  <si>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</si>
  <si>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</si>
  <si>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</si>
  <si>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</si>
  <si>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</si>
  <si>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</si>
  <si>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</si>
  <si>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</si>
  <si>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</si>
  <si>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</si>
  <si>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</si>
  <si>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</si>
  <si>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</si>
  <si>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</si>
  <si>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</si>
  <si>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</si>
  <si>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</si>
  <si>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</si>
  <si>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</si>
  <si>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</si>
  <si>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</si>
  <si>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</si>
  <si>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</si>
  <si>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</si>
  <si>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</si>
  <si>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</si>
  <si>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</si>
  <si>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</si>
  <si>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</si>
  <si>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</si>
  <si>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</si>
  <si>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</si>
  <si>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</si>
  <si>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</si>
  <si>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</si>
  <si>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</si>
  <si>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</si>
  <si>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</si>
  <si>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</si>
  <si>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</si>
  <si>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</si>
  <si>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</si>
  <si>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</si>
  <si>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</si>
  <si>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</si>
  <si>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</si>
  <si>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</si>
  <si>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</si>
  <si>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</si>
  <si>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</si>
  <si>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</si>
  <si>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</si>
  <si>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</si>
  <si>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</si>
  <si>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</si>
  <si>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</si>
  <si>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</si>
  <si>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</si>
  <si>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</si>
  <si>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</si>
  <si>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</si>
  <si>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</si>
  <si>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</si>
  <si>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</si>
  <si>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</si>
  <si>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</si>
  <si>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</si>
  <si>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</si>
  <si>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</si>
  <si>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</si>
  <si>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</si>
  <si>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</si>
  <si>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</si>
  <si>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</si>
  <si>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</si>
  <si>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</si>
  <si>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</si>
  <si>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</si>
  <si>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</si>
  <si>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</si>
  <si>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</si>
  <si>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</si>
  <si>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</si>
  <si>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</si>
  <si>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</si>
  <si>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</si>
  <si>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</si>
  <si>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</si>
  <si>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</si>
  <si>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</si>
  <si>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</si>
  <si>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</si>
  <si>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</si>
  <si>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</si>
  <si>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</si>
  <si>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</si>
  <si>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</si>
  <si>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</si>
  <si>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</si>
  <si>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</si>
  <si>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</si>
  <si>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</si>
  <si>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</si>
  <si>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</si>
  <si>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</si>
  <si>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</si>
  <si>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</si>
  <si>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</si>
  <si>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</si>
  <si>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</si>
  <si>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</si>
  <si>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</si>
  <si>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</si>
  <si>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</si>
  <si>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</si>
  <si>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</si>
  <si>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</si>
  <si>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</si>
  <si>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</si>
  <si>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</si>
  <si>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</si>
  <si>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</si>
  <si>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</si>
  <si>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</si>
  <si>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</si>
  <si>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</si>
  <si>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</si>
  <si>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</si>
  <si>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</si>
  <si>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</si>
  <si>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</si>
  <si>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</si>
  <si>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</si>
  <si>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</si>
  <si>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</si>
  <si>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</si>
  <si>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</si>
  <si>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</si>
  <si>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</si>
  <si>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</si>
  <si>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</si>
  <si>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</si>
  <si>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</si>
  <si>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</si>
  <si>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</si>
  <si>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</si>
  <si>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</si>
  <si>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</si>
  <si>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</si>
  <si>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</si>
  <si>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</si>
  <si>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</si>
  <si>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</si>
  <si>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</si>
  <si>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</si>
  <si>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</si>
  <si>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</si>
  <si>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</si>
  <si>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</si>
  <si>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</si>
  <si>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</si>
  <si>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</si>
  <si>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</si>
  <si>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</si>
  <si>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</si>
  <si>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</si>
  <si>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</si>
  <si>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</si>
  <si>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</si>
  <si>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</si>
  <si>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</si>
  <si>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</si>
  <si>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</si>
  <si>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</si>
  <si>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</si>
  <si>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</si>
  <si>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</si>
  <si>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</si>
  <si>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</si>
  <si>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</si>
  <si>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</si>
  <si>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</si>
  <si>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</si>
  <si>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</si>
  <si>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</si>
  <si>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</si>
  <si>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</si>
  <si>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</si>
  <si>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</si>
  <si>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</si>
  <si>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</si>
  <si>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</si>
  <si>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</si>
  <si>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</si>
  <si>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</si>
  <si>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</si>
  <si>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</si>
  <si>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</si>
  <si>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</si>
  <si>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</si>
  <si>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</si>
  <si>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</si>
  <si>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</si>
  <si>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</si>
  <si>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</si>
  <si>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</si>
  <si>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</si>
  <si>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</si>
  <si>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</si>
  <si>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</si>
  <si>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</si>
  <si>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</si>
  <si>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</si>
  <si>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</si>
  <si>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</si>
  <si>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</si>
  <si>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</si>
  <si>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</si>
  <si>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</si>
  <si>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</si>
  <si>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</si>
  <si>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</si>
  <si>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</si>
  <si>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</si>
  <si>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</si>
  <si>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</si>
  <si>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</si>
  <si>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</si>
  <si>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</si>
  <si>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</si>
  <si>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</si>
  <si>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</si>
  <si>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</si>
  <si>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</si>
  <si>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</si>
  <si>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</si>
  <si>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</si>
  <si>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</si>
  <si>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</si>
  <si>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</si>
  <si>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</si>
  <si>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</si>
  <si>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</si>
  <si>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</si>
  <si>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</si>
  <si>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</si>
  <si>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</si>
  <si>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</si>
  <si>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</si>
  <si>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</si>
  <si>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</si>
  <si>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</si>
  <si>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</si>
  <si>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</si>
  <si>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</si>
  <si>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</si>
  <si>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</si>
  <si>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</si>
  <si>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</si>
  <si>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</si>
  <si>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</si>
  <si>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</si>
  <si>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</si>
  <si>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</si>
  <si>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</si>
  <si>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</si>
  <si>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</si>
  <si>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</si>
  <si>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</si>
  <si>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</si>
  <si>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</si>
  <si>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</si>
  <si>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</si>
  <si>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</si>
  <si>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</si>
  <si>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</si>
  <si>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</si>
  <si>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</si>
  <si>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</si>
  <si>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</si>
  <si>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</si>
  <si>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</si>
  <si>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</si>
  <si>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</si>
  <si>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</si>
  <si>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</si>
  <si>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</si>
  <si>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</si>
  <si>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</si>
  <si>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</si>
  <si>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</si>
  <si>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</si>
  <si>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</si>
  <si>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</si>
  <si>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</si>
  <si>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</si>
  <si>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</si>
  <si>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</si>
  <si>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</si>
  <si>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</si>
  <si>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</si>
  <si>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</si>
  <si>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</si>
  <si>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</si>
  <si>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</si>
  <si>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</si>
  <si>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</si>
  <si>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</si>
  <si>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</si>
  <si>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</si>
  <si>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</si>
  <si>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</si>
  <si>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</si>
  <si>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</si>
  <si>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</si>
  <si>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</si>
  <si>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</si>
  <si>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</si>
  <si>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</si>
  <si>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</si>
  <si>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</si>
  <si>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</si>
  <si>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</si>
  <si>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</si>
  <si>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</si>
  <si>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</si>
  <si>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</si>
  <si>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</si>
  <si>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</si>
  <si>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</si>
  <si>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</si>
  <si>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</si>
  <si>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</si>
  <si>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</si>
  <si>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</si>
  <si>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</si>
  <si>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</si>
  <si>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</si>
  <si>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</si>
  <si>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</si>
  <si>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</si>
  <si>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</si>
  <si>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</si>
  <si>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</si>
  <si>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</si>
  <si>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</si>
  <si>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</si>
  <si>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</si>
  <si>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</si>
  <si>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</si>
  <si>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</si>
  <si>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</si>
  <si>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</si>
  <si>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</si>
  <si>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</si>
  <si>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</si>
  <si>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</si>
  <si>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</si>
  <si>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</si>
  <si>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</si>
  <si>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</si>
  <si>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</si>
  <si>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</si>
  <si>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</si>
  <si>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</si>
  <si>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</si>
  <si>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</si>
  <si>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</si>
  <si>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</si>
  <si>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</si>
  <si>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</si>
  <si>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</si>
  <si>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</si>
  <si>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</si>
  <si>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</si>
  <si>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</si>
  <si>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</si>
  <si>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</si>
  <si>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</si>
  <si>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</si>
  <si>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</si>
  <si>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</si>
  <si>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</si>
  <si>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</si>
  <si>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</si>
  <si>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</si>
  <si>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</si>
  <si>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</si>
  <si>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</si>
  <si>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</si>
  <si>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</si>
  <si>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</si>
  <si>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</si>
  <si>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</si>
  <si>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</si>
  <si>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</si>
  <si>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</si>
  <si>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</si>
  <si>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</si>
  <si>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</si>
  <si>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</si>
  <si>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</si>
  <si>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</si>
  <si>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</si>
  <si>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</si>
  <si>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</si>
  <si>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</si>
  <si>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</si>
  <si>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</si>
  <si>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</si>
  <si>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</si>
  <si>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</si>
  <si>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</si>
  <si>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</si>
  <si>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</si>
  <si>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</si>
  <si>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</si>
  <si>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</si>
  <si>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</si>
  <si>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</si>
  <si>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</si>
  <si>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</si>
  <si>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</si>
  <si>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</si>
  <si>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</si>
  <si>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</si>
  <si>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</si>
  <si>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</si>
  <si>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</si>
  <si>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</si>
  <si>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</si>
  <si>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</si>
  <si>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</si>
  <si>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</si>
  <si>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</si>
  <si>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</si>
  <si>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</si>
  <si>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</si>
  <si>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</si>
  <si>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</si>
  <si>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</si>
  <si>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</si>
  <si>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</si>
  <si>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</si>
  <si>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</si>
  <si>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</si>
  <si>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</si>
  <si>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</si>
  <si>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</si>
  <si>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</si>
  <si>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</si>
  <si>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</si>
  <si>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</si>
  <si>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</si>
  <si>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</si>
  <si>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</si>
  <si>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</si>
  <si>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</si>
  <si>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</si>
  <si>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</si>
  <si>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</si>
  <si>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</si>
  <si>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</si>
  <si>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</si>
  <si>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</si>
  <si>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</si>
  <si>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</si>
  <si>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</si>
  <si>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</si>
  <si>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</si>
  <si>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</si>
  <si>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</si>
  <si>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</si>
  <si>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</si>
  <si>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</si>
  <si>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</si>
  <si>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</si>
  <si>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</si>
  <si>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</si>
  <si>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</si>
  <si>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</si>
  <si>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</si>
  <si>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</si>
  <si>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</si>
  <si>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</si>
  <si>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</si>
  <si>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</si>
  <si>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</si>
  <si>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</si>
  <si>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</si>
  <si>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</si>
  <si>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</si>
  <si>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</si>
  <si>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</si>
  <si>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</si>
  <si>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</si>
  <si>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</si>
  <si>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</si>
  <si>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</si>
  <si>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</si>
  <si>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</si>
  <si>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</si>
  <si>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</si>
  <si>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</si>
  <si>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</si>
  <si>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</si>
  <si>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</si>
  <si>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</si>
  <si>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</si>
  <si>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</si>
  <si>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</si>
  <si>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</si>
  <si>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</si>
  <si>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</si>
  <si>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</si>
  <si>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</si>
  <si>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</si>
  <si>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</si>
  <si>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</si>
  <si>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</si>
  <si>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</si>
  <si>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</si>
  <si>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</si>
  <si>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</si>
  <si>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</si>
  <si>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</si>
  <si>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</si>
  <si>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</si>
  <si>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</si>
  <si>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</si>
  <si>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</si>
  <si>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</si>
  <si>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</si>
  <si>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</si>
  <si>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</si>
  <si>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</si>
  <si>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</si>
  <si>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</si>
  <si>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</si>
  <si>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</si>
  <si>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</si>
  <si>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</si>
  <si>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</si>
  <si>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</si>
  <si>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</si>
  <si>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</si>
  <si>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</si>
  <si>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</si>
  <si>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</si>
  <si>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</si>
  <si>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</si>
  <si>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</si>
  <si>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</si>
  <si>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</si>
  <si>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</si>
  <si>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</si>
  <si>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</si>
  <si>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</si>
  <si>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</si>
  <si>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</si>
  <si>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</si>
  <si>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</si>
  <si>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</si>
  <si>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</si>
  <si>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</si>
  <si>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</si>
  <si>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</si>
  <si>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</si>
  <si>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</si>
  <si>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</si>
  <si>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</si>
  <si>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</si>
  <si>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</si>
  <si>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</si>
  <si>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</si>
  <si>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</si>
  <si>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</si>
  <si>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</si>
  <si>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</si>
  <si>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</si>
  <si>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</si>
  <si>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</si>
  <si>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</si>
  <si>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</si>
  <si>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</si>
  <si>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</si>
  <si>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</si>
  <si>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</si>
  <si>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</si>
  <si>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</si>
  <si>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</si>
  <si>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</si>
  <si>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</si>
  <si>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</si>
  <si>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</si>
  <si>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</si>
  <si>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</si>
  <si>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</si>
  <si>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</si>
  <si>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</si>
  <si>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</si>
  <si>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</si>
  <si>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</si>
  <si>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</si>
  <si>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</si>
  <si>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</si>
  <si>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</si>
  <si>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</si>
  <si>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</si>
  <si>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</si>
  <si>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</si>
  <si>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</si>
  <si>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</si>
  <si>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</si>
  <si>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</si>
  <si>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</si>
  <si>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</si>
  <si>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</si>
  <si>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</si>
  <si>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</si>
  <si>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</si>
  <si>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</si>
  <si>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</si>
  <si>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</si>
  <si>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</si>
  <si>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</si>
  <si>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</si>
  <si>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</si>
  <si>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</si>
  <si>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</si>
  <si>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</si>
  <si>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</si>
  <si>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</si>
  <si>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</si>
  <si>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</si>
  <si>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</si>
  <si>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</si>
  <si>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</si>
  <si>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</si>
  <si>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</si>
  <si>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</si>
  <si>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</si>
  <si>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</si>
  <si>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</si>
  <si>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</si>
  <si>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</si>
  <si>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</si>
  <si>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</si>
  <si>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</si>
  <si>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</si>
  <si>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</si>
  <si>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</si>
  <si>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</si>
  <si>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</si>
  <si>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</si>
  <si>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</si>
  <si>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</si>
  <si>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</si>
  <si>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</si>
  <si>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</si>
  <si>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</si>
  <si>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</si>
  <si>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</si>
  <si>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</si>
  <si>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</si>
  <si>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</si>
  <si>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</si>
  <si>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</si>
  <si>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</si>
  <si>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</si>
  <si>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</si>
  <si>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</si>
  <si>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</si>
  <si>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</si>
  <si>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</si>
  <si>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</si>
  <si>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</si>
  <si>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</si>
  <si>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</si>
  <si>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</si>
  <si>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</si>
  <si>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</si>
  <si>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</si>
  <si>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</si>
  <si>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</si>
  <si>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</si>
  <si>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</si>
  <si>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</si>
  <si>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</si>
  <si>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</si>
  <si>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</si>
  <si>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</si>
  <si>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</si>
  <si>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</si>
  <si>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</si>
  <si>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</si>
  <si>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</si>
  <si>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</si>
  <si>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</si>
  <si>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</si>
  <si>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</si>
  <si>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</si>
  <si>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</si>
  <si>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</si>
  <si>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</si>
  <si>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</si>
  <si>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</si>
  <si>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</si>
  <si>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</si>
  <si>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</si>
  <si>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</si>
  <si>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</si>
  <si>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</si>
  <si>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</si>
  <si>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</si>
  <si>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</si>
  <si>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</si>
  <si>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</si>
  <si>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</si>
  <si>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</si>
  <si>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</si>
  <si>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</si>
  <si>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</si>
  <si>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</si>
  <si>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</si>
  <si>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</si>
  <si>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</si>
  <si>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</si>
  <si>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</si>
  <si>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</si>
  <si>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</si>
  <si>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</si>
  <si>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</si>
  <si>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</si>
  <si>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</si>
  <si>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</si>
  <si>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</si>
  <si>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</si>
  <si>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</si>
  <si>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</si>
  <si>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</si>
  <si>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</si>
  <si>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</si>
  <si>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</si>
  <si>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</si>
  <si>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</si>
  <si>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</si>
  <si>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</si>
  <si>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</si>
  <si>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</si>
  <si>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</si>
  <si>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</si>
  <si>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</si>
  <si>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</si>
  <si>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</si>
  <si>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</si>
  <si>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</si>
  <si>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</si>
  <si>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</si>
  <si>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</si>
  <si>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</si>
  <si>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</si>
  <si>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</si>
  <si>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</si>
  <si>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</si>
  <si>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</si>
  <si>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</si>
  <si>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</si>
  <si>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</si>
  <si>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</si>
  <si>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</si>
  <si>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</si>
  <si>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</si>
  <si>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</si>
  <si>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</si>
  <si>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</si>
  <si>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</si>
  <si>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</si>
  <si>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</si>
  <si>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</si>
  <si>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</si>
  <si>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</si>
  <si>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</si>
  <si>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</si>
  <si>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</si>
  <si>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</si>
  <si>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</si>
  <si>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</si>
  <si>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</si>
  <si>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</si>
  <si>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</si>
  <si>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</si>
  <si>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</si>
  <si>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</si>
  <si>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</si>
  <si>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</si>
  <si>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</si>
  <si>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</si>
  <si>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</si>
  <si>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</si>
  <si>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</si>
  <si>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</si>
  <si>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</si>
  <si>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</si>
  <si>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</si>
  <si>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</si>
  <si>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</si>
  <si>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</si>
  <si>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</si>
  <si>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</si>
  <si>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</si>
  <si>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</si>
  <si>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</si>
  <si>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</si>
  <si>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</si>
  <si>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</si>
  <si>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</si>
  <si>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</si>
  <si>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</si>
  <si>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</si>
  <si>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</si>
  <si>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</si>
  <si>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</si>
  <si>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</si>
  <si>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</si>
  <si>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</si>
  <si>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</si>
  <si>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</si>
  <si>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</si>
  <si>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</si>
  <si>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</si>
  <si>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</si>
  <si>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</si>
  <si>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</si>
  <si>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</si>
  <si>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</si>
  <si>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</si>
  <si>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</si>
  <si>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</si>
  <si>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</si>
  <si>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</si>
  <si>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</si>
  <si>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</si>
  <si>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</si>
  <si>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</si>
  <si>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</si>
  <si>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</si>
  <si>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</si>
  <si>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</si>
  <si>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</si>
  <si>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</si>
  <si>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</si>
  <si>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</si>
  <si>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</si>
  <si>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</si>
  <si>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</si>
  <si>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</si>
  <si>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</si>
  <si>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</si>
  <si>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</si>
  <si>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</si>
  <si>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</si>
  <si>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</si>
  <si>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</si>
  <si>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</si>
  <si>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</si>
  <si>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</si>
  <si>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</si>
  <si>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</si>
  <si>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</si>
  <si>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</si>
  <si>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</si>
  <si>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</si>
  <si>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</si>
  <si>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</si>
  <si>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</si>
  <si>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</si>
  <si>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</si>
  <si>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</si>
  <si>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</si>
  <si>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</si>
  <si>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</si>
  <si>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</si>
  <si>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</si>
  <si>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</si>
  <si>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</si>
  <si>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</si>
  <si>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</si>
  <si>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</si>
  <si>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</si>
  <si>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</si>
  <si>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</si>
  <si>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</si>
  <si>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</si>
  <si>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</si>
  <si>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</si>
  <si>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</si>
  <si>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</si>
  <si>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</si>
  <si>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</si>
  <si>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</si>
  <si>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</si>
  <si>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</si>
  <si>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</si>
  <si>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</si>
  <si>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</si>
  <si>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</si>
  <si>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</si>
  <si>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</si>
  <si>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</si>
  <si>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</si>
  <si>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</si>
  <si>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</si>
  <si>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</si>
  <si>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</si>
  <si>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</si>
  <si>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</si>
  <si>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</si>
  <si>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</si>
  <si>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</si>
  <si>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</si>
  <si>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</si>
  <si>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</si>
  <si>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</si>
  <si>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</si>
  <si>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</si>
  <si>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</si>
  <si>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</si>
  <si>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</si>
  <si>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</si>
  <si>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</si>
  <si>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</si>
  <si>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</si>
  <si>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</si>
  <si>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</si>
  <si>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</si>
  <si>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</si>
  <si>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</si>
  <si>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</si>
  <si>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</si>
  <si>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</si>
  <si>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</si>
  <si>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</si>
  <si>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</si>
  <si>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</si>
  <si>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</si>
  <si>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</si>
  <si>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</si>
  <si>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</si>
  <si>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</si>
  <si>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</si>
  <si>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</si>
  <si>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</si>
  <si>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</si>
  <si>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</si>
  <si>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</si>
  <si>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</si>
  <si>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</si>
  <si>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</si>
  <si>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</si>
  <si>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</si>
  <si>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</si>
  <si>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</si>
  <si>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</si>
  <si>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</si>
  <si>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</si>
  <si>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</si>
  <si>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</si>
  <si>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</si>
  <si>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</si>
  <si>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</si>
  <si>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</si>
  <si>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</si>
  <si>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</si>
  <si>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</si>
  <si>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</si>
  <si>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</si>
  <si>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</si>
  <si>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</si>
  <si>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</si>
  <si>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</si>
  <si>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</si>
  <si>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</si>
  <si>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</si>
  <si>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</si>
  <si>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</si>
  <si>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</si>
  <si>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</si>
  <si>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</si>
  <si>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</si>
  <si>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</si>
  <si>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</si>
  <si>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</si>
  <si>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</si>
  <si>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</si>
  <si>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</si>
  <si>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</si>
  <si>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</si>
  <si>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</si>
  <si>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</si>
  <si>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</si>
  <si>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</si>
  <si>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</si>
  <si>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</si>
  <si>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</si>
  <si>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</si>
  <si>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</si>
  <si>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</si>
  <si>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</si>
  <si>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</si>
  <si>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</si>
  <si>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</si>
  <si>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</si>
  <si>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</si>
  <si>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</si>
  <si>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</si>
  <si>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</si>
  <si>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</si>
  <si>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</si>
  <si>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</si>
  <si>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</si>
  <si>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</si>
  <si>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</si>
  <si>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</si>
  <si>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</si>
  <si>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</si>
  <si>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</si>
  <si>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</si>
  <si>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</si>
  <si>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</si>
  <si>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</si>
  <si>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</si>
  <si>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</si>
  <si>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</si>
  <si>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</si>
  <si>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</si>
  <si>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</si>
  <si>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</si>
  <si>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</si>
  <si>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</si>
  <si>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</si>
  <si>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</si>
  <si>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</si>
  <si>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</si>
  <si>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</si>
  <si>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</si>
  <si>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</si>
  <si>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</si>
  <si>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</si>
  <si>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</si>
  <si>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</si>
  <si>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</si>
  <si>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</si>
  <si>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</si>
  <si>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</si>
  <si>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</si>
  <si>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</si>
  <si>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</si>
  <si>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</si>
  <si>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</si>
  <si>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</si>
  <si>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</si>
  <si>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</si>
  <si>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</si>
  <si>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</si>
  <si>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</si>
  <si>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</si>
  <si>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</si>
  <si>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</si>
  <si>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</si>
  <si>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</si>
  <si>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</si>
  <si>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</si>
  <si>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</si>
  <si>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</si>
  <si>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</si>
  <si>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</si>
  <si>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</si>
  <si>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</si>
  <si>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</si>
  <si>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</si>
  <si>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</si>
  <si>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</si>
  <si>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</si>
  <si>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</si>
  <si>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</si>
  <si>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</si>
  <si>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</si>
  <si>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</si>
  <si>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</si>
  <si>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</si>
  <si>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</si>
  <si>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</si>
  <si>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</si>
  <si>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</si>
  <si>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</si>
  <si>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</si>
  <si>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</si>
  <si>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</si>
  <si>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</si>
  <si>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</si>
  <si>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</si>
  <si>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</si>
  <si>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</si>
  <si>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</si>
  <si>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</si>
  <si>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</si>
  <si>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</si>
  <si>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</si>
  <si>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</si>
  <si>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</si>
  <si>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</si>
  <si>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</si>
  <si>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</si>
  <si>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</si>
  <si>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</si>
  <si>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</si>
  <si>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</si>
  <si>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</si>
  <si>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</si>
  <si>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</si>
  <si>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</si>
  <si>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</si>
  <si>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</si>
  <si>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</si>
  <si>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</si>
  <si>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</si>
  <si>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</si>
  <si>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</si>
  <si>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</si>
  <si>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</si>
  <si>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</si>
  <si>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</si>
  <si>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</si>
  <si>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</si>
  <si>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</si>
  <si>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</si>
  <si>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</si>
  <si>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</si>
  <si>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</si>
  <si>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</si>
  <si>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</si>
  <si>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</si>
  <si>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</si>
  <si>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</si>
  <si>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</si>
  <si>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</si>
  <si>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</si>
  <si>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</si>
  <si>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</si>
  <si>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</si>
  <si>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</si>
  <si>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</si>
  <si>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</si>
  <si>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</si>
  <si>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</si>
  <si>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</si>
  <si>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</si>
  <si>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</si>
  <si>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</si>
  <si>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</si>
  <si>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</si>
  <si>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</si>
  <si>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</si>
  <si>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</si>
  <si>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</si>
  <si>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</si>
  <si>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</si>
  <si>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</si>
  <si>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</si>
  <si>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</si>
  <si>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</si>
  <si>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</si>
  <si>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</si>
  <si>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</si>
  <si>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</si>
  <si>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</si>
  <si>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</si>
  <si>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</si>
  <si>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</si>
  <si>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</si>
  <si>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</si>
  <si>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</si>
  <si>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</si>
  <si>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</si>
  <si>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</si>
  <si>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</si>
  <si>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</si>
  <si>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</si>
  <si>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</si>
  <si>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</si>
  <si>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</si>
  <si>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</si>
  <si>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</si>
  <si>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</si>
  <si>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</si>
  <si>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</si>
  <si>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</si>
  <si>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</si>
  <si>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</si>
  <si>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</si>
  <si>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</si>
  <si>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</si>
  <si>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</si>
  <si>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</si>
  <si>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</si>
  <si>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</si>
  <si>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</si>
  <si>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</si>
  <si>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</si>
  <si>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</si>
  <si>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</si>
  <si>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</si>
  <si>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</si>
  <si>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</si>
  <si>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</si>
  <si>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</si>
  <si>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</si>
  <si>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</si>
  <si>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</si>
  <si>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</si>
  <si>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</si>
  <si>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</si>
  <si>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</si>
  <si>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</si>
  <si>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</si>
  <si>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</si>
  <si>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</si>
  <si>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</si>
  <si>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</si>
  <si>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</si>
  <si>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</si>
  <si>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</si>
  <si>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</si>
  <si>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</si>
  <si>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</si>
  <si>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</si>
  <si>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</si>
  <si>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</si>
  <si>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</si>
  <si>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</si>
  <si>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</si>
  <si>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</si>
  <si>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</si>
  <si>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</si>
  <si>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</si>
  <si>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</si>
  <si>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</si>
  <si>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</si>
  <si>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</si>
  <si>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</si>
  <si>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</si>
  <si>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</si>
  <si>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</si>
  <si>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</si>
  <si>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</si>
  <si>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</si>
  <si>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</si>
  <si>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</si>
  <si>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</si>
  <si>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</si>
  <si>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</si>
  <si>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</si>
  <si>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</si>
  <si>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</si>
  <si>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</si>
  <si>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</si>
  <si>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</si>
  <si>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</si>
  <si>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</si>
  <si>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</si>
  <si>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</si>
  <si>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</si>
  <si>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</si>
  <si>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</si>
  <si>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</si>
  <si>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</si>
  <si>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</si>
  <si>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</si>
  <si>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</si>
  <si>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</si>
  <si>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</si>
  <si>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</si>
  <si>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</si>
  <si>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</si>
  <si>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</si>
  <si>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</si>
  <si>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</si>
  <si>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</si>
  <si>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</si>
  <si>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</si>
  <si>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</si>
  <si>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</si>
  <si>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</si>
  <si>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</si>
  <si>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</si>
  <si>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</si>
  <si>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</si>
  <si>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</si>
  <si>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</si>
  <si>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</si>
  <si>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</si>
  <si>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</si>
  <si>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</si>
  <si>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</si>
  <si>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</si>
  <si>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</si>
  <si>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</si>
  <si>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</si>
  <si>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</si>
  <si>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</si>
  <si>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</si>
  <si>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</si>
  <si>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</si>
  <si>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</si>
  <si>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</si>
  <si>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</si>
  <si>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</si>
  <si>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</si>
  <si>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</si>
  <si>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</si>
  <si>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</si>
  <si>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</si>
  <si>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</si>
  <si>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</si>
  <si>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</si>
  <si>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</si>
  <si>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</si>
  <si>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</si>
  <si>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</si>
  <si>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</si>
  <si>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</si>
  <si>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</si>
  <si>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</si>
  <si>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</si>
  <si>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</si>
  <si>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</si>
  <si>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</si>
  <si>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</si>
  <si>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</si>
  <si>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</si>
  <si>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</si>
  <si>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</si>
  <si>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</si>
  <si>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</si>
  <si>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</si>
  <si>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</si>
  <si>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</si>
  <si>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</si>
  <si>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</si>
  <si>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</si>
  <si>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</si>
  <si>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</si>
  <si>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</si>
  <si>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</si>
  <si>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</si>
  <si>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</si>
  <si>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</si>
  <si>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</si>
  <si>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</si>
  <si>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</si>
  <si>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</si>
  <si>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</si>
  <si>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</si>
  <si>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</si>
  <si>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</si>
  <si>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</si>
  <si>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</si>
  <si>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</si>
  <si>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</si>
  <si>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</si>
  <si>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</si>
  <si>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</si>
  <si>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</si>
  <si>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</si>
  <si>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</si>
  <si>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</si>
  <si>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</si>
  <si>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</si>
  <si>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</si>
  <si>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</si>
  <si>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</si>
  <si>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</si>
  <si>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</si>
  <si>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</si>
  <si>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</si>
  <si>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</si>
  <si>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</si>
  <si>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</si>
  <si>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</si>
  <si>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</si>
  <si>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</si>
  <si>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</si>
  <si>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</si>
  <si>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</si>
  <si>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</si>
  <si>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</si>
  <si>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</si>
  <si>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</si>
  <si>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</si>
  <si>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</si>
  <si>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</si>
  <si>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</si>
  <si>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</si>
  <si>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</si>
  <si>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</si>
  <si>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</si>
  <si>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</si>
  <si>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</si>
  <si>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</si>
  <si>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</si>
  <si>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</si>
  <si>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</si>
  <si>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</si>
  <si>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</si>
  <si>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</si>
  <si>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</si>
  <si>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</si>
  <si>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</si>
  <si>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</si>
  <si>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</si>
  <si>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</si>
  <si>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</si>
  <si>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</si>
  <si>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</si>
  <si>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</si>
  <si>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</si>
  <si>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</si>
  <si>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</si>
  <si>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</si>
  <si>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</si>
  <si>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</si>
  <si>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</si>
  <si>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</si>
  <si>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</si>
  <si>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</si>
  <si>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</si>
  <si>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</si>
  <si>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</si>
  <si>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</si>
  <si>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</si>
  <si>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</si>
  <si>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</si>
  <si>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</si>
  <si>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</si>
  <si>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</si>
  <si>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</si>
  <si>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</si>
  <si>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</si>
  <si>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</si>
  <si>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</si>
  <si>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</si>
  <si>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</si>
  <si>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</si>
  <si>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</si>
  <si>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</si>
  <si>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</si>
  <si>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</si>
  <si>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</si>
  <si>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</si>
  <si>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</si>
  <si>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</si>
  <si>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</si>
  <si>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</si>
  <si>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</si>
  <si>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</si>
  <si>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</si>
  <si>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</si>
  <si>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</si>
  <si>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</si>
  <si>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</si>
  <si>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</si>
  <si>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</si>
  <si>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</si>
  <si>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</si>
  <si>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</si>
  <si>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</si>
  <si>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</si>
  <si>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</si>
  <si>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</si>
  <si>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</si>
  <si>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</si>
  <si>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</si>
  <si>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</si>
  <si>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</si>
  <si>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</si>
  <si>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</si>
  <si>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</si>
  <si>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</si>
  <si>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</si>
  <si>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</si>
  <si>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</si>
  <si>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</si>
  <si>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</si>
  <si>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</si>
  <si>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</si>
  <si>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</si>
  <si>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</si>
  <si>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</si>
  <si>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</si>
  <si>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</si>
  <si>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</si>
  <si>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</si>
  <si>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</si>
  <si>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</si>
  <si>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</si>
  <si>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</si>
  <si>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</si>
  <si>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</si>
  <si>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</si>
  <si>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</si>
  <si>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</si>
  <si>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</si>
  <si>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</si>
  <si>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</si>
  <si>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</si>
  <si>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</si>
  <si>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</si>
  <si>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</si>
  <si>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</si>
  <si>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</si>
  <si>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</si>
  <si>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</si>
  <si>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</si>
  <si>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</si>
  <si>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</si>
  <si>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</si>
  <si>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</si>
  <si>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</si>
  <si>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</si>
  <si>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</si>
  <si>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</si>
  <si>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</si>
  <si>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</si>
  <si>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</si>
  <si>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</si>
  <si>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</si>
  <si>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</si>
  <si>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</si>
  <si>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</si>
  <si>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</si>
  <si>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</si>
  <si>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</si>
  <si>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</si>
  <si>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</si>
  <si>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</si>
  <si>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</si>
  <si>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</si>
  <si>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</si>
  <si>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</si>
  <si>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</si>
  <si>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</si>
  <si>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</si>
  <si>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</si>
  <si>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</si>
  <si>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</si>
  <si>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</si>
  <si>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</si>
  <si>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</si>
  <si>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</si>
  <si>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</si>
  <si>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</si>
  <si>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</si>
  <si>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</si>
  <si>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</si>
  <si>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</si>
  <si>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</si>
  <si>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</si>
  <si>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</si>
  <si>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</si>
  <si>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</si>
  <si>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</si>
  <si>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</si>
  <si>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</si>
  <si>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</si>
  <si>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</si>
  <si>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</si>
  <si>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</si>
  <si>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</si>
  <si>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</si>
  <si>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</si>
  <si>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</si>
  <si>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</si>
  <si>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</si>
  <si>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</si>
  <si>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</si>
  <si>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</si>
  <si>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</si>
  <si>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</si>
  <si>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</si>
  <si>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</si>
  <si>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</si>
  <si>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</si>
  <si>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</si>
  <si>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</si>
  <si>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</si>
  <si>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</si>
  <si>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</si>
  <si>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</si>
  <si>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</si>
  <si>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</si>
  <si>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</si>
  <si>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</si>
  <si>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</si>
  <si>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</si>
  <si>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</si>
  <si>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</si>
  <si>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</si>
  <si>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</si>
  <si>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</si>
  <si>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</si>
  <si>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MX750 - DE77669043</t>
  </si>
  <si>
    <t>00:0D:05:0A:A8:3B</t>
  </si>
  <si>
    <t>Baud Rate</t>
  </si>
  <si>
    <t>Last Move TS (AUTO)</t>
  </si>
  <si>
    <t>LIJ-SDF-MACH-I</t>
  </si>
  <si>
    <t>00:0D:05:0A:A6:BD</t>
  </si>
  <si>
    <t>GCH-MACH-K</t>
  </si>
  <si>
    <t>MEDSG2425F-3141</t>
  </si>
  <si>
    <t>Mindray A5 - EJ-57023077</t>
  </si>
  <si>
    <t>WA25300319</t>
  </si>
  <si>
    <t>00:0D:05:0A:A7:B9</t>
  </si>
  <si>
    <t>APOLLO</t>
  </si>
  <si>
    <t>WMH300OPR343</t>
  </si>
  <si>
    <t>Philips Intellivue MX800</t>
  </si>
  <si>
    <t>12 - Device_Configuration!$A$2:$CC$532</t>
  </si>
  <si>
    <t>MEDSG2425F-0053</t>
  </si>
  <si>
    <t>WVS900OPR030</t>
  </si>
  <si>
    <t>CyberMed-S24 TGL</t>
  </si>
  <si>
    <t xml:space="preserve">iPro
Epic Satellite
ALLSCRIPTS
EPIC BCA</t>
  </si>
  <si>
    <t>LIJ-MACH-QQ</t>
  </si>
  <si>
    <t>BROKEN - Bluescreen@boot</t>
  </si>
  <si>
    <t>10.134.18.72</t>
  </si>
  <si>
    <t>00:0D:05:0A:B6:e7</t>
  </si>
  <si>
    <t>A0F5097FEF3A</t>
  </si>
  <si>
    <t>Anesthesia Machine - Drager Atlan 350</t>
  </si>
  <si>
    <t>LIJ-MACH-A</t>
  </si>
  <si>
    <t>LIJ-IR</t>
  </si>
  <si>
    <t>A0F5097FF5A7</t>
  </si>
  <si>
    <t>6T0S164337</t>
  </si>
  <si>
    <t>WNH270OPR409</t>
  </si>
  <si>
    <t>LIJ-SDF-MACH-Z</t>
  </si>
  <si>
    <t>MEDSG2425F-3235</t>
  </si>
  <si>
    <t>LIJ-SDF-MACH-J</t>
  </si>
  <si>
    <t>WMH300OPR348</t>
  </si>
  <si>
    <t>WNH270OPR461</t>
  </si>
  <si>
    <t>Medical Peripheral 3</t>
  </si>
  <si>
    <t>MEDSG2425E-3209</t>
  </si>
  <si>
    <t>10.134.18.60</t>
  </si>
  <si>
    <t>Neuron IP</t>
  </si>
  <si>
    <t>WNH269OPR024</t>
  </si>
  <si>
    <t>10.134.18.73</t>
  </si>
  <si>
    <t>IR 11</t>
  </si>
  <si>
    <t>GCH-MACH-J</t>
  </si>
  <si>
    <t>MEDSG2425E-0173</t>
  </si>
  <si>
    <t>Patient Monitor - Philips MX750</t>
  </si>
  <si>
    <t>No</t>
  </si>
  <si>
    <t>101 Commercial St</t>
  </si>
  <si>
    <t xml:space="preserve">Ran POSTINSTALL </t>
  </si>
  <si>
    <t>medng2425e-3739</t>
  </si>
  <si>
    <t>ASCJ-0097</t>
  </si>
  <si>
    <t>MEDNG2425E-3069</t>
  </si>
  <si>
    <t>MEDSG2425F-0019</t>
  </si>
  <si>
    <t>ASCJ-0098</t>
  </si>
  <si>
    <t>10.134.18.71</t>
  </si>
  <si>
    <t>1T0S255982</t>
  </si>
  <si>
    <t>WA25300273</t>
  </si>
  <si>
    <t>WNH270OPR459</t>
  </si>
  <si>
    <t>OR 18</t>
  </si>
  <si>
    <t>NO</t>
  </si>
  <si>
    <t>ASUL-0203</t>
  </si>
  <si>
    <t>LIJ-SDF-MACH-K</t>
  </si>
  <si>
    <t>Has New Breakaway</t>
  </si>
  <si>
    <t>WNH270OPR421</t>
  </si>
  <si>
    <t>ALREADY HAD A BADGE SCANNER INSTALLED / RAN AL</t>
  </si>
  <si>
    <t>WNH270OPR460</t>
  </si>
  <si>
    <t>MEDSG2425F-3173</t>
  </si>
  <si>
    <t>MEDSG2425E-3749</t>
  </si>
  <si>
    <t>ASEA-0168</t>
  </si>
  <si>
    <t>WMH300OPR339</t>
  </si>
  <si>
    <t>Pallet Association</t>
  </si>
  <si>
    <t>LIJ-MACH-S</t>
  </si>
  <si>
    <t>00:0D:05:0A:A4:DD</t>
  </si>
  <si>
    <t>MX750 - DE77669044</t>
  </si>
  <si>
    <t>WNH269OPR026</t>
  </si>
  <si>
    <t>LIJ-SDF-MACH-N</t>
  </si>
  <si>
    <t>OR 7</t>
  </si>
  <si>
    <t>WNH270OPR440</t>
  </si>
  <si>
    <t>8605505-08106008073299</t>
  </si>
  <si>
    <t>9T0S237854</t>
  </si>
  <si>
    <t>SN scratched off slightly;</t>
  </si>
  <si>
    <t>inpatient</t>
  </si>
  <si>
    <t>WNH269OPR018</t>
  </si>
  <si>
    <t>A0F5097B8D8E</t>
  </si>
  <si>
    <t>A0F5097FDF60</t>
  </si>
  <si>
    <t>WNH270OPR424</t>
  </si>
  <si>
    <t>00:0D:05:0A:A6:C7</t>
  </si>
  <si>
    <t>MEDSG2425F-0270</t>
  </si>
  <si>
    <t>WMH300OPR347</t>
  </si>
  <si>
    <t>MX750 - DE77669069</t>
  </si>
  <si>
    <t>00:0D:05:0A:B2:5B</t>
  </si>
  <si>
    <t>00:0D:05:0A:A6:c3</t>
  </si>
  <si>
    <t>WA24406299</t>
  </si>
  <si>
    <t>MEDNG2425E-3136</t>
  </si>
  <si>
    <t>Medical Peripheral 1</t>
  </si>
  <si>
    <t xml:space="preserve">Phillips </t>
  </si>
  <si>
    <t>LIJ</t>
  </si>
  <si>
    <t>PI_Rejection_Reason</t>
  </si>
  <si>
    <t>Floor 1</t>
  </si>
  <si>
    <t>WLS450OPR004</t>
  </si>
  <si>
    <t>00:0D:05:0A:B2:4D</t>
  </si>
  <si>
    <t>9T0S247179</t>
  </si>
  <si>
    <t>9T0S237956</t>
  </si>
  <si>
    <t>10.134.19.46</t>
  </si>
  <si>
    <t>MEETH-MACH-U</t>
  </si>
  <si>
    <t>WNH270OPR425</t>
  </si>
  <si>
    <t>MEDSG2425F-3009</t>
  </si>
  <si>
    <t>00:0D:05:0A:A8:66</t>
  </si>
  <si>
    <t>MEDSG2425F-0213</t>
  </si>
  <si>
    <t>Epic Beans Data Sent</t>
  </si>
  <si>
    <t>WA25300268</t>
  </si>
  <si>
    <t>WA25203896</t>
  </si>
  <si>
    <t>WLS450OPR007</t>
  </si>
  <si>
    <t>OR 4</t>
  </si>
  <si>
    <t>OR 16</t>
  </si>
  <si>
    <t>Ran POSTINSTALL, boxe</t>
  </si>
  <si>
    <t>Yes</t>
  </si>
  <si>
    <t>ASCJ-0113</t>
  </si>
  <si>
    <t>WNH270OPR448</t>
  </si>
  <si>
    <t>WVS900OPR025</t>
  </si>
  <si>
    <t>ZUCKER HOSPITAL</t>
  </si>
  <si>
    <t>WA24406289</t>
  </si>
  <si>
    <t>MEDSG2425F-3319</t>
  </si>
  <si>
    <t xml:space="preserve">BSM 051 B </t>
  </si>
  <si>
    <t>WA25300278</t>
  </si>
  <si>
    <t>OR 6</t>
  </si>
  <si>
    <t>10.134.18.75</t>
  </si>
  <si>
    <t>MEDNG2425E-3061</t>
  </si>
  <si>
    <t>00187DE0E205</t>
  </si>
  <si>
    <t>MEDSG2425F-0151</t>
  </si>
  <si>
    <t>00:0D:05:0A:B6:2D</t>
  </si>
  <si>
    <t>00:0D:05:0A:B6:59</t>
  </si>
  <si>
    <t>WVS900OPR028</t>
  </si>
  <si>
    <t>2T0S264810</t>
  </si>
  <si>
    <t>Serial Connector Cable 5</t>
  </si>
  <si>
    <t>00187DE0E2B9</t>
  </si>
  <si>
    <t>00:0D:05:0A:a5:f7</t>
  </si>
  <si>
    <t>WA25203823</t>
  </si>
  <si>
    <t>A0F5097B8BC2</t>
  </si>
  <si>
    <t>ASPM-0001</t>
  </si>
  <si>
    <t>WNH270OPR434</t>
  </si>
  <si>
    <t>MEDSG2425F-0068</t>
  </si>
  <si>
    <t>WNH270OPR445</t>
  </si>
  <si>
    <t>LIJ-MACH-DD</t>
  </si>
  <si>
    <t>MEDNG2425E-3673</t>
  </si>
  <si>
    <t>MX750 - DE77669022</t>
  </si>
  <si>
    <t>Spare</t>
  </si>
  <si>
    <t>LIJ-SDF-MACH-AA</t>
  </si>
  <si>
    <t>WA25300323</t>
  </si>
  <si>
    <t>MEDSG2425F-3318</t>
  </si>
  <si>
    <t>WNH270OPR423</t>
  </si>
  <si>
    <t>GCH-MACH-G</t>
  </si>
  <si>
    <t>MEDSG2425F-0160</t>
  </si>
  <si>
    <t>00:0D:05:0A:A5:FF</t>
  </si>
  <si>
    <t>10.134.18.59</t>
  </si>
  <si>
    <t>MEDNG2425E-3137</t>
  </si>
  <si>
    <t>WNH270INR001</t>
  </si>
  <si>
    <t>MEDSG2425E-3070</t>
  </si>
  <si>
    <t>00:0D:05:0A:A4:F9</t>
  </si>
  <si>
    <t>WMH300OPR336</t>
  </si>
  <si>
    <t>A0F5097B8CF9</t>
  </si>
  <si>
    <t>ALREADY HAD A BADGE SCANNER INSTALLED / imprivata installed, so cant run  AL / DIDNT PROGRAM SCANNER</t>
  </si>
  <si>
    <t>00:0D:05:0A:A4:D5</t>
  </si>
  <si>
    <t>MEDSG2425F-0060</t>
  </si>
  <si>
    <t>00:0D:05:0A:B2:AD</t>
  </si>
  <si>
    <t>WA25203890</t>
  </si>
  <si>
    <t>10.134.18.57</t>
  </si>
  <si>
    <t>BSM 033 B</t>
  </si>
  <si>
    <t>1T0S260498</t>
  </si>
  <si>
    <t>OR 17</t>
  </si>
  <si>
    <t>00187DE0E2BA</t>
  </si>
  <si>
    <t>0T0S250268</t>
  </si>
  <si>
    <t>WA24406125</t>
  </si>
  <si>
    <t>A0F5097FDF52</t>
  </si>
  <si>
    <t>Has Mouse</t>
  </si>
  <si>
    <t>10.134.19.29</t>
  </si>
  <si>
    <t>00:0d:05:0a:a7:43</t>
  </si>
  <si>
    <t>Device ID Assigned</t>
  </si>
  <si>
    <t>BSM 040 A</t>
  </si>
  <si>
    <t>00:0D:05:0A:B1:85</t>
  </si>
  <si>
    <t>00187DE0ADF1</t>
  </si>
  <si>
    <t>LIJ-MACH-FF</t>
  </si>
  <si>
    <t>A0F5097B8E6F</t>
  </si>
  <si>
    <t>00187DE0E229</t>
  </si>
  <si>
    <t>ZHH-MACH-C</t>
  </si>
  <si>
    <t>ARYJ-0053</t>
  </si>
  <si>
    <t>A0F5097B8E02</t>
  </si>
  <si>
    <t>00:0D:05:0A:b3:0f</t>
  </si>
  <si>
    <t>A0F5097FE3A5</t>
  </si>
  <si>
    <t>10.134.18.77</t>
  </si>
  <si>
    <t>LIJ-SDF-MACH-X</t>
  </si>
  <si>
    <t>LIJ-MACH-H</t>
  </si>
  <si>
    <t>MEDSG2425F-0013</t>
  </si>
  <si>
    <t>OR 3</t>
  </si>
  <si>
    <t>BSM 045D</t>
  </si>
  <si>
    <t>12 - Device_Configuration!$BO$2:$BO$532</t>
  </si>
  <si>
    <t>Dialysis S/N</t>
  </si>
  <si>
    <t>00:0D:05:0A:B2:6b</t>
  </si>
  <si>
    <t>00:0D:05:0A:B3:1f</t>
  </si>
  <si>
    <t>00187DE0E28E</t>
  </si>
  <si>
    <t>ARXM-0366</t>
  </si>
  <si>
    <t>00:0D:05:0A:A8:5b</t>
  </si>
  <si>
    <t>WNH270OPR452</t>
  </si>
  <si>
    <t>WNH270OPR403</t>
  </si>
  <si>
    <t>MX750 - DE77669041</t>
  </si>
  <si>
    <t>10.134.18.61</t>
  </si>
  <si>
    <t>12 - Device_Configuration!$BL$2:$CC$532</t>
  </si>
  <si>
    <t>10.134.19.27</t>
  </si>
  <si>
    <t>BSM 047 D</t>
  </si>
  <si>
    <t>Fix: rehydrated 12 - Device_Configuration (A1:CC532) from the Active tracker, writing values and formulas without per-cell style indexes and using sharedStrings.</t>
  </si>
  <si>
    <t>LIJ-MACH-M</t>
  </si>
  <si>
    <t>ARXM-0371</t>
  </si>
  <si>
    <t>WRI130OPR045</t>
  </si>
  <si>
    <t>scan</t>
  </si>
  <si>
    <t>MINDRAY A5</t>
  </si>
  <si>
    <t>WA25106707</t>
  </si>
  <si>
    <t>8605505-08106008076496</t>
  </si>
  <si>
    <t>MEDNG2425E-3670</t>
  </si>
  <si>
    <t>A0F5097B8AFD</t>
  </si>
  <si>
    <t>WNH270OPR413</t>
  </si>
  <si>
    <t>MEDSG2425F-3155</t>
  </si>
  <si>
    <t>WNH270OPR436</t>
  </si>
  <si>
    <t>WNH270OPR417</t>
  </si>
  <si>
    <t>OR iPro Cybernet Workstation</t>
  </si>
  <si>
    <t>MX550</t>
  </si>
  <si>
    <t>MEDSG2425F-0046</t>
  </si>
  <si>
    <t>00:0D:05:0A:A8:57</t>
  </si>
  <si>
    <t>LIJ-SDF-MACH-L</t>
  </si>
  <si>
    <t>BSM 046D</t>
  </si>
  <si>
    <t>8605505-08106008075770</t>
  </si>
  <si>
    <t>MEDNG2425E-3218</t>
  </si>
  <si>
    <t>ARZD-0003</t>
  </si>
  <si>
    <t>LIJ-MACH-O</t>
  </si>
  <si>
    <t>Serial Connector Cable 1</t>
  </si>
  <si>
    <t>OR#1-TUR / IPRO</t>
  </si>
  <si>
    <t>LIJ-SDF-MACH-M</t>
  </si>
  <si>
    <t>10.134.18.76</t>
  </si>
  <si>
    <t>LIJ-MACH-B</t>
  </si>
  <si>
    <t>MEDSG2425F-3358</t>
  </si>
  <si>
    <t>A0F5097FEEFA</t>
  </si>
  <si>
    <t>MEDSG2425F-0162</t>
  </si>
  <si>
    <t>10.134.19.38</t>
  </si>
  <si>
    <t>BSM 034 B</t>
  </si>
  <si>
    <t>LIJ-SDF-MACH-D</t>
  </si>
  <si>
    <t>WMH300OPR344</t>
  </si>
  <si>
    <t>BSM 039 B</t>
  </si>
  <si>
    <t>MEDSG2425F-0121</t>
  </si>
  <si>
    <t>WNH270OPR411</t>
  </si>
  <si>
    <t>OR 9</t>
  </si>
  <si>
    <t>00187DE0E27F</t>
  </si>
  <si>
    <t>Pallet Status (AUTO)</t>
  </si>
  <si>
    <t>WNH270OPR419</t>
  </si>
  <si>
    <t>Cybernet Manufacturing Inc</t>
  </si>
  <si>
    <t>LIJ-SDF-MACH-R</t>
  </si>
  <si>
    <t>LIJ-SDF-MACH-O</t>
  </si>
  <si>
    <t>Third Floor/Cath Lab</t>
  </si>
  <si>
    <t>MEDSG2425F-0076</t>
  </si>
  <si>
    <t>MEDSG2425F-3168</t>
  </si>
  <si>
    <t>no</t>
  </si>
  <si>
    <t>Dialysis Machine</t>
  </si>
  <si>
    <t>MEDNG2425E-3101</t>
  </si>
  <si>
    <t>00:0D:05:0A:B2:61</t>
  </si>
  <si>
    <t>WMH300OPR338</t>
  </si>
  <si>
    <t>LIJ-SDF-MACH-G</t>
  </si>
  <si>
    <t>00:0D:05:0A:A8:DF</t>
  </si>
  <si>
    <t>Current Building</t>
  </si>
  <si>
    <t>BSM 046 C</t>
  </si>
  <si>
    <t>WNH270OPR439</t>
  </si>
  <si>
    <t>LIJ-MACH-WW</t>
  </si>
  <si>
    <t>MEDSG2425F-0180</t>
  </si>
  <si>
    <t>A0F5097B8ADC</t>
  </si>
  <si>
    <t>LIJ-MACH-L</t>
  </si>
  <si>
    <t>100 Commercial St</t>
  </si>
  <si>
    <t>WA23C03815</t>
  </si>
  <si>
    <t>10.134.18.64</t>
  </si>
  <si>
    <t>MEDSG2425F-0269</t>
  </si>
  <si>
    <t>00:0D:05:0A:b6:65</t>
  </si>
  <si>
    <t>MEDSG2425F-0163</t>
  </si>
  <si>
    <t>GCH-MACH-F</t>
  </si>
  <si>
    <t>OR 25 / OR 13</t>
  </si>
  <si>
    <t>WNH270OPR454</t>
  </si>
  <si>
    <t>Firmware Downloaded</t>
  </si>
  <si>
    <t>WA25300324</t>
  </si>
  <si>
    <t>Asset Tag</t>
  </si>
  <si>
    <t>A0F5097B89E1</t>
  </si>
  <si>
    <t>Neuron S/N</t>
  </si>
  <si>
    <t>00187DE0E350</t>
  </si>
  <si>
    <t>WNH270OPR414</t>
  </si>
  <si>
    <t>1T0S255935</t>
  </si>
  <si>
    <t>MEDSG2425F-3214</t>
  </si>
  <si>
    <t>BSM 051 A</t>
  </si>
  <si>
    <t>MEDSG2425F-3182</t>
  </si>
  <si>
    <t>WA23C03907</t>
  </si>
  <si>
    <t>PHILLIP</t>
  </si>
  <si>
    <t>A0F5097FE012</t>
  </si>
  <si>
    <t>LIJ - Proc</t>
  </si>
  <si>
    <t>LIJ-MACH-Z</t>
  </si>
  <si>
    <t>00:0D:05:0A:A5:6F</t>
  </si>
  <si>
    <t>00:0D:05:0A:B0:E7</t>
  </si>
  <si>
    <t>00:0D:05:0A:B3:05</t>
  </si>
  <si>
    <t>MEDSG2425F-0264</t>
  </si>
  <si>
    <t>Cybernet MAC</t>
  </si>
  <si>
    <t>WMH300OPR340</t>
  </si>
  <si>
    <t>MEDSG2425F-0166</t>
  </si>
  <si>
    <t>MEDSG2425F-3294</t>
  </si>
  <si>
    <t>LIJ-SDF-MACH-C</t>
  </si>
  <si>
    <t>10.134.19.47</t>
  </si>
  <si>
    <t>A0F5097B961B</t>
  </si>
  <si>
    <t>OR 21</t>
  </si>
  <si>
    <t>A0F5097FEBFE</t>
  </si>
  <si>
    <t>LIJ-MACH-W</t>
  </si>
  <si>
    <t>WNH269OPR022</t>
  </si>
  <si>
    <t>A0F5097B8B74</t>
  </si>
  <si>
    <t>00:0D:05:0A:B3:b7</t>
  </si>
  <si>
    <t>WA25203684</t>
  </si>
  <si>
    <t>GCH-MACH-H</t>
  </si>
  <si>
    <t>LIJ-MACH-RR</t>
  </si>
  <si>
    <t>LIJ-SDF-MACH-U</t>
  </si>
  <si>
    <t>RAN AL / DIDNT PROGRAM SCANNER</t>
  </si>
  <si>
    <t>8605505-08106008075761</t>
  </si>
  <si>
    <t>MEDSG2425F-0170</t>
  </si>
  <si>
    <t>WNH270OPR412</t>
  </si>
  <si>
    <t>WNH269OPR015</t>
  </si>
  <si>
    <t>A0F5097FA59B</t>
  </si>
  <si>
    <t>Part Numbers</t>
  </si>
  <si>
    <t>Atlan A350</t>
  </si>
  <si>
    <t>MEDSG2425f-0265</t>
  </si>
  <si>
    <t>WNH269OPR016</t>
  </si>
  <si>
    <t>A0F5097B9C84</t>
  </si>
  <si>
    <t>OR7-TUR- / 1802BM007</t>
  </si>
  <si>
    <t>Ran POSTINSTALL</t>
  </si>
  <si>
    <t>WNH270OPR443</t>
  </si>
  <si>
    <t>WVS900OPR029</t>
  </si>
  <si>
    <t>Serial Connector Cable 2</t>
  </si>
  <si>
    <t>MX750 -  DE77669033</t>
  </si>
  <si>
    <t>WA25203747</t>
  </si>
  <si>
    <t>LIJ-SDF-MACH-W</t>
  </si>
  <si>
    <t>WNH270OPR432</t>
  </si>
  <si>
    <t>Anesthesia Tech 10783</t>
  </si>
  <si>
    <t>LIJ-MACH-F</t>
  </si>
  <si>
    <t>A0F5097FF05E</t>
  </si>
  <si>
    <t>00:0D:05:0A:B2:47</t>
  </si>
  <si>
    <t>00187DE0E213</t>
  </si>
  <si>
    <t>MEDSG2425F-3218</t>
  </si>
  <si>
    <t>BSM 038 B</t>
  </si>
  <si>
    <t>A0F5097FEB57</t>
  </si>
  <si>
    <t>NEURON</t>
  </si>
  <si>
    <t>00:0D:05:0A:B6:D7</t>
  </si>
  <si>
    <t>WVS900OPR023</t>
  </si>
  <si>
    <t>MX750 - DE77668935</t>
  </si>
  <si>
    <t>In Storage</t>
  </si>
  <si>
    <t>WA24406375</t>
  </si>
  <si>
    <t>Neuron Profile</t>
  </si>
  <si>
    <t>00:0D:05:0A:B4:47</t>
  </si>
  <si>
    <t>A0F5097B975D</t>
  </si>
  <si>
    <t>00:0D:05:0A:B4:81</t>
  </si>
  <si>
    <t>WNH270OPR407</t>
  </si>
  <si>
    <t>00:0D:05:0A:B6:AB</t>
  </si>
  <si>
    <t>00187DE0E276</t>
  </si>
  <si>
    <t>OR 14</t>
  </si>
  <si>
    <t>6T0S163941</t>
  </si>
  <si>
    <t>OR 5</t>
  </si>
  <si>
    <t>WA25300280</t>
  </si>
  <si>
    <t>MEDNG2425E-?</t>
  </si>
  <si>
    <t>MEDSG2425F-3044</t>
  </si>
  <si>
    <t>Fix: re-created tblDeviceConfig as a real Excel Table (ref A1:CC532) and attached it to sheet 12 via tableParts.</t>
  </si>
  <si>
    <t>WMH300OPR337</t>
  </si>
  <si>
    <t>Drager Atlan</t>
  </si>
  <si>
    <t>MEDNG2425E-3152</t>
  </si>
  <si>
    <t>10.134.18.62</t>
  </si>
  <si>
    <t>10.134.19.50</t>
  </si>
  <si>
    <t>WLS450OPR001</t>
  </si>
  <si>
    <t>MEDSG2425E-3291</t>
  </si>
  <si>
    <t>MEETH-MACH-V</t>
  </si>
  <si>
    <t>A0F5097F9550</t>
  </si>
  <si>
    <t>00:0D:05:0A:A8:29</t>
  </si>
  <si>
    <t>LIJ Main / LIJ OR</t>
  </si>
  <si>
    <t>GCX Arm Part Numbers</t>
  </si>
  <si>
    <t>WNH269OPR021</t>
  </si>
  <si>
    <t>BSM 035 B</t>
  </si>
  <si>
    <t>OR 10</t>
  </si>
  <si>
    <t>MEDSG2425E-3033</t>
  </si>
  <si>
    <t>WA25203891</t>
  </si>
  <si>
    <t>NX750 - DE77668952</t>
  </si>
  <si>
    <t>Fresenius BlueStar - 2008T</t>
  </si>
  <si>
    <t>LIJ-SDF-MACH-Y</t>
  </si>
  <si>
    <t>Medical Peripheral 4</t>
  </si>
  <si>
    <t>BSM 039 A</t>
  </si>
  <si>
    <t>DC:90:09:61:8B:EA</t>
  </si>
  <si>
    <t>ran AL</t>
  </si>
  <si>
    <t>10.134.19.49</t>
  </si>
  <si>
    <t>WNH270OPR416</t>
  </si>
  <si>
    <t>Open Patient Area</t>
  </si>
  <si>
    <t>Root cause: i085 carried per-cell style indexes that do not exist in the WEBSAFE template, triggering a repair pass that dropped the cell values.</t>
  </si>
  <si>
    <t>WNH270OPR431</t>
  </si>
  <si>
    <t>BSM 038 A</t>
  </si>
  <si>
    <t>WA25203887</t>
  </si>
  <si>
    <t>Endoscopy Suite</t>
  </si>
  <si>
    <t>MEDSG2425F-0283</t>
  </si>
  <si>
    <t>00187DE0E35F</t>
  </si>
  <si>
    <t>10.134.19.43</t>
  </si>
  <si>
    <t>WMH300OPR346</t>
  </si>
  <si>
    <t>OR#6-TUR / IPRO</t>
  </si>
  <si>
    <t>0T0S250288</t>
  </si>
  <si>
    <t>N/A</t>
  </si>
  <si>
    <t>MEDNG2425E-3205</t>
  </si>
  <si>
    <t>ASHH-0186</t>
  </si>
  <si>
    <t>:</t>
  </si>
  <si>
    <t>WNH269OPR020</t>
  </si>
  <si>
    <t>00187DE07843</t>
  </si>
  <si>
    <t>ASEA-0253</t>
  </si>
  <si>
    <t>Changed to MEETH</t>
  </si>
  <si>
    <t>LIJ-MACH-N</t>
  </si>
  <si>
    <t>BSM 033 A</t>
  </si>
  <si>
    <t>MX750 - DE77669027</t>
  </si>
  <si>
    <t>Lab 3/ Neuro BiPlane</t>
  </si>
  <si>
    <t>MEDSG2425F-3063</t>
  </si>
  <si>
    <t>ASKF-0202</t>
  </si>
  <si>
    <t>WLS450OPR006</t>
  </si>
  <si>
    <t>Fix: repaired 00_Error_Log_Device_Config formulas to remove xlfn.SINGLE and eliminate #REF by pointing at tblDeviceConfig columns.</t>
  </si>
  <si>
    <t>WA24406265</t>
  </si>
  <si>
    <t>WNH270OPR437</t>
  </si>
  <si>
    <t>MEDNG2425E-3235</t>
  </si>
  <si>
    <t>A0F5097FA3F3</t>
  </si>
  <si>
    <t>WA25300317</t>
  </si>
  <si>
    <t>A0F5097FEFFB</t>
  </si>
  <si>
    <t>Anesthesia Machine</t>
  </si>
  <si>
    <t>Neuron Power Cable Present</t>
  </si>
  <si>
    <t>00:0D:05:0A:A8:3F</t>
  </si>
  <si>
    <t>00:0D:05:0A:B2:99</t>
  </si>
  <si>
    <t>042V2</t>
  </si>
  <si>
    <t>10.134.19.34</t>
  </si>
  <si>
    <t>00:0D:05:0A:A5:b7</t>
  </si>
  <si>
    <t>MEDSG2425E-3206</t>
  </si>
  <si>
    <t>10.134.19.41</t>
  </si>
  <si>
    <t>WNH270OPR458</t>
  </si>
  <si>
    <t>00:0D:05:0A:B3:BB</t>
  </si>
  <si>
    <t>MEDSG2425F-0011</t>
  </si>
  <si>
    <t>00:0D:05:0A:A7:49</t>
  </si>
  <si>
    <t>12 - Device_Configuration!$D$2:$D$532</t>
  </si>
  <si>
    <t>LIJ-SDF-MACH-V</t>
  </si>
  <si>
    <t>ASCJ-0095</t>
  </si>
  <si>
    <t>WNH270OPR450</t>
  </si>
  <si>
    <t>0T0S250280</t>
  </si>
  <si>
    <t>9T0S237738</t>
  </si>
  <si>
    <t>00:0D:05:0A:A6:89</t>
  </si>
  <si>
    <t>ARYJ-0052</t>
  </si>
  <si>
    <t>ARXM-0372</t>
  </si>
  <si>
    <t>10.134.19.48</t>
  </si>
  <si>
    <t>MX750 - DE77673010</t>
  </si>
  <si>
    <t>8605505-08106008076500</t>
  </si>
  <si>
    <t>MEDSG2425F-3302</t>
  </si>
  <si>
    <t>LIJ-SDF-MACH-AC</t>
  </si>
  <si>
    <t>BSM 035 A</t>
  </si>
  <si>
    <t>Medical Peripheral 2</t>
  </si>
  <si>
    <t>LIJ-SDF-MACH-F</t>
  </si>
  <si>
    <t>MEDSG2425F-0284</t>
  </si>
  <si>
    <t>00:0D:05:0A:A7:8f</t>
  </si>
  <si>
    <t>OR 20</t>
  </si>
  <si>
    <t>00:0D:05:0A:A7:0D</t>
  </si>
  <si>
    <t>WNH269OPR013</t>
  </si>
  <si>
    <t>00187DE0E265</t>
  </si>
  <si>
    <t>00:0D:05:0A:B3:07</t>
  </si>
  <si>
    <t>WNH270OPR433</t>
  </si>
  <si>
    <t>PI_Result</t>
  </si>
  <si>
    <t>A0F5097B8E58</t>
  </si>
  <si>
    <t>BSM 034 A</t>
  </si>
  <si>
    <t>A0F5097B8B9A</t>
  </si>
  <si>
    <t>10.134.18.74</t>
  </si>
  <si>
    <t>MEDSG2425F-3312</t>
  </si>
  <si>
    <t>DupDeployed</t>
  </si>
  <si>
    <t>LIJ-SDF-MACH-B</t>
  </si>
  <si>
    <t>WMH300OPR342</t>
  </si>
  <si>
    <t>WNH270OPR426</t>
  </si>
  <si>
    <t>LIJ-MACH-EE</t>
  </si>
  <si>
    <t>MEDSG2425F-0109</t>
  </si>
  <si>
    <t>00:0D:05:0A:A5:2D</t>
  </si>
  <si>
    <t>00:0D:05:0A:B2:43</t>
  </si>
  <si>
    <t>00:0D:05:0A:A5:35</t>
  </si>
  <si>
    <t>WNH270OPR428</t>
  </si>
  <si>
    <t>00:0D:05:0A:A6:E5</t>
  </si>
  <si>
    <t>WNH269OPR017</t>
  </si>
  <si>
    <t>WA24406115</t>
  </si>
  <si>
    <t>A0F5097BA067</t>
  </si>
  <si>
    <t>00:0D:05:0A:A6:C1</t>
  </si>
  <si>
    <t>LIJ SDF</t>
  </si>
  <si>
    <t>MEDSG2425F-0149</t>
  </si>
  <si>
    <t>ALREADY HAS BADGE SCANNER / SCANNER PROGRAMMED / RAN AL</t>
  </si>
  <si>
    <t>Ran POSTINSTALL, boxed</t>
  </si>
  <si>
    <t>00:0D:05:0A:B2:C5</t>
  </si>
  <si>
    <t>00:0D:05:0A:B1:73</t>
  </si>
  <si>
    <t>00:0D:05:0A:A6:F9</t>
  </si>
  <si>
    <t>12 - Device_Configuration!$BL$2:$BL$532</t>
  </si>
  <si>
    <t>12 - Device_Configuration!$BP$2:$BP$532</t>
  </si>
  <si>
    <t>WA24406321</t>
  </si>
  <si>
    <t>LIJ ORs</t>
  </si>
  <si>
    <t>1427182 LIJ Installation - Tim W. Seeberger, Akbar, Chris Perkins, Epic Team, Anesthesia Techs, and Admins</t>
  </si>
  <si>
    <t>MEDSG2425F-0287</t>
  </si>
  <si>
    <t>WNH270OPR457</t>
  </si>
  <si>
    <t>WNH270OPR435</t>
  </si>
  <si>
    <t>00:0D:05:0A:a7:91</t>
  </si>
  <si>
    <t>MX750 - DE77669060</t>
  </si>
  <si>
    <t>MEDSG2425F-3058</t>
  </si>
  <si>
    <t>MEDSG2425F-0094</t>
  </si>
  <si>
    <t>Glen Cove</t>
  </si>
  <si>
    <t>00:0D:05:0A:B3:BF</t>
  </si>
  <si>
    <t>00:0D:05:0A:B1:27</t>
  </si>
  <si>
    <t>WA24406274</t>
  </si>
  <si>
    <t>WNY210OPR054</t>
  </si>
  <si>
    <t>PI_Imprivata_Type</t>
  </si>
  <si>
    <t>PBMC-MACH-N</t>
  </si>
  <si>
    <t>A0F5097BA02C</t>
  </si>
  <si>
    <t>MEDSG2425F-0146</t>
  </si>
  <si>
    <t>NA</t>
  </si>
  <si>
    <t>Procedural Room 1</t>
  </si>
  <si>
    <t>A0F5097B8C9F</t>
  </si>
  <si>
    <t>WVS900OPR024</t>
  </si>
  <si>
    <t>WMH300OPR341</t>
  </si>
  <si>
    <t>WNH270OPR405</t>
  </si>
  <si>
    <t>00:0D:05:0A:B1:A9</t>
  </si>
  <si>
    <t>MEDSG2425E-3219</t>
  </si>
  <si>
    <t>ARZD-0002</t>
  </si>
  <si>
    <t>Drager</t>
  </si>
  <si>
    <t>1T0S255978</t>
  </si>
  <si>
    <t>MEDSG2425F-0142</t>
  </si>
  <si>
    <t>A0F5097BA0A3</t>
  </si>
  <si>
    <t>00:0D:05:0A:A7:f7</t>
  </si>
  <si>
    <t>GCH-MACH-I</t>
  </si>
  <si>
    <t>LIJ-MACH-U</t>
  </si>
  <si>
    <t>Fresenius BlueStar</t>
  </si>
  <si>
    <t>LIJ-SDF-MACH-S</t>
  </si>
  <si>
    <t>WA24406353</t>
  </si>
  <si>
    <t>6T0S163895</t>
  </si>
  <si>
    <t>MEDSG2425F-0091</t>
  </si>
  <si>
    <t>OR 1</t>
  </si>
  <si>
    <t>ASUL-0204</t>
  </si>
  <si>
    <t>MEDSG2425F-3222</t>
  </si>
  <si>
    <t>MEDNG2425E-3100</t>
  </si>
  <si>
    <t>1T0S260521</t>
  </si>
  <si>
    <t>A Secret Next Thing</t>
  </si>
  <si>
    <t>WNH270OPR427</t>
  </si>
  <si>
    <t>pass</t>
  </si>
  <si>
    <t>TOOLING ERROR LOG (i086, 2026-02-27)</t>
  </si>
  <si>
    <t>OR 15</t>
  </si>
  <si>
    <t>LIJ-SDF-MACH-AF</t>
  </si>
  <si>
    <t>WA25300315</t>
  </si>
  <si>
    <t>A0F5097B8CD0</t>
  </si>
  <si>
    <t>9T0S247174</t>
  </si>
  <si>
    <t>WA25203864</t>
  </si>
  <si>
    <t>WNH270OPR406</t>
  </si>
  <si>
    <t>Firmware Installed</t>
  </si>
  <si>
    <t>CCMC-MACH-A</t>
  </si>
  <si>
    <t>00187DE0E222</t>
  </si>
  <si>
    <t>Issue observed: i085 opens in Excel for Web as a 'repaired_' copy and the Device_Configuration tab renders blank.</t>
  </si>
  <si>
    <t>WNH270OPR429</t>
  </si>
  <si>
    <t>00:0D:05:0A:B1:A3</t>
  </si>
  <si>
    <t>00:0D:05:0A:B2:77</t>
  </si>
  <si>
    <t>MEDNG2425E-3222</t>
  </si>
  <si>
    <t>00:0D:05:0A:A8:2B</t>
  </si>
  <si>
    <t>BSM 040 B</t>
  </si>
  <si>
    <t>WNH270OPR438</t>
  </si>
  <si>
    <t>MEDSG2425F-0193</t>
  </si>
  <si>
    <t>Inpatient</t>
  </si>
  <si>
    <t>MX750 - DE77668944</t>
  </si>
  <si>
    <t>A0F5097BA00D</t>
  </si>
  <si>
    <t>WA25300321</t>
  </si>
  <si>
    <t>MEDNG2425E-3698</t>
  </si>
  <si>
    <t>MEDSG2425F-3315</t>
  </si>
  <si>
    <t>WA23C03752</t>
  </si>
  <si>
    <t>ARXM-0373</t>
  </si>
  <si>
    <t>WNH270OPR430</t>
  </si>
  <si>
    <t>LIJ-SDF-MACH-T</t>
  </si>
  <si>
    <t>MEDSG2425F-3062</t>
  </si>
  <si>
    <t>00187DE0ADF6</t>
  </si>
  <si>
    <t>MEDSG2425F-3304</t>
  </si>
  <si>
    <t>A0F5097FA58A</t>
  </si>
  <si>
    <t>MX750 - DE77669020</t>
  </si>
  <si>
    <t>12 - Device_Configuration!$BM$2:$BM$532</t>
  </si>
  <si>
    <t>WA24406391</t>
  </si>
  <si>
    <t>LIJ-SDF-MACH-H</t>
  </si>
  <si>
    <t>00:0D:05:0A:B6:a7</t>
  </si>
  <si>
    <t>A0F5097BA08B</t>
  </si>
  <si>
    <t>MEDSG2425E-3210</t>
  </si>
  <si>
    <t>10.134.19.28</t>
  </si>
  <si>
    <t>WNH270OPR447</t>
  </si>
  <si>
    <t>WNH270OPR415</t>
  </si>
  <si>
    <t>00:0D:05:0A:B0:F3</t>
  </si>
  <si>
    <t>MX750 - DE77668950</t>
  </si>
  <si>
    <t>WA24406364</t>
  </si>
  <si>
    <t>1T0S260271</t>
  </si>
  <si>
    <t>WNH270INR002</t>
  </si>
  <si>
    <t>A0F5097BA007</t>
  </si>
  <si>
    <t>WNH269OPR023</t>
  </si>
  <si>
    <t>LIJVS</t>
  </si>
  <si>
    <t>MEDNG2425E-3046</t>
  </si>
  <si>
    <t>BSM 050 D</t>
  </si>
  <si>
    <t xml:space="preserve">Medical Device
Model</t>
  </si>
  <si>
    <t>WNY210OPR053</t>
  </si>
  <si>
    <t>NSUH</t>
  </si>
  <si>
    <t>WNH269OPR025</t>
  </si>
  <si>
    <t>00:0D:05:0A:B2:A1</t>
  </si>
  <si>
    <t>LIJ-MACH-D</t>
  </si>
  <si>
    <t>A0F5097FA52B</t>
  </si>
  <si>
    <t>MEDNG2425E-3059</t>
  </si>
  <si>
    <t>Medical Device ID</t>
  </si>
  <si>
    <t>OR 22</t>
  </si>
  <si>
    <t>WNH270OPR422</t>
  </si>
  <si>
    <t>WA23C03136</t>
  </si>
  <si>
    <t>MEDSG2425F-0165</t>
  </si>
  <si>
    <t>BSM 036 A</t>
  </si>
  <si>
    <t>0T0S248167</t>
  </si>
  <si>
    <t>DesignationChanged</t>
  </si>
  <si>
    <t>9T0S237816</t>
  </si>
  <si>
    <t>A0F5097B99F8</t>
  </si>
  <si>
    <t>MEDSG2425F-0062</t>
  </si>
  <si>
    <t>WA23C03908</t>
  </si>
  <si>
    <t>MEDNG2425E-3342</t>
  </si>
  <si>
    <t>MX750 - DE77669070</t>
  </si>
  <si>
    <t>akbar, Diane from Anesthesia, and Metasource badge-in TDR</t>
  </si>
  <si>
    <t>A0F5097FEC20</t>
  </si>
  <si>
    <t>MEDSG2425E-3050</t>
  </si>
  <si>
    <t>WA25203733</t>
  </si>
  <si>
    <t>gather from Tim's spreadsheet</t>
  </si>
  <si>
    <t>LIJ-SDF-MACH-A</t>
  </si>
  <si>
    <t>042V1</t>
  </si>
  <si>
    <t>WNH270OPR442</t>
  </si>
  <si>
    <t>00:0D:05:0A:A7:69</t>
  </si>
  <si>
    <t>Warehouse Location (AUTO)</t>
  </si>
  <si>
    <t>WA25203818</t>
  </si>
  <si>
    <t>1-C-2</t>
  </si>
  <si>
    <t>MEDSG2425F-3075</t>
  </si>
  <si>
    <t>OR 12</t>
  </si>
  <si>
    <t>WA23C03913</t>
  </si>
  <si>
    <t>WNH269OPR019</t>
  </si>
  <si>
    <t>MEDSG2425F-3131</t>
  </si>
  <si>
    <t>A0F5097B98D9</t>
  </si>
  <si>
    <t>LIJ - OR</t>
  </si>
  <si>
    <t>WNH270OPR451</t>
  </si>
  <si>
    <t>PHILLIPS</t>
  </si>
  <si>
    <t>LIJ-SDF-MACH-AD</t>
  </si>
  <si>
    <t>WNH269OPR014</t>
  </si>
  <si>
    <t>10.134.19.44</t>
  </si>
  <si>
    <t>WVS900OPR026</t>
  </si>
  <si>
    <t>LIJ-SDF-MACH-Q</t>
  </si>
  <si>
    <t>BSM 041 A</t>
  </si>
  <si>
    <t>LIJ-MACH-E</t>
  </si>
  <si>
    <t xml:space="preserve">OR 15-TUR </t>
  </si>
  <si>
    <t>9T0S247133</t>
  </si>
  <si>
    <t>WNH270OPR453</t>
  </si>
  <si>
    <t>LIJ-MACH-AA</t>
  </si>
  <si>
    <t>Apollo</t>
  </si>
  <si>
    <t>MEETH-MACH-W</t>
  </si>
  <si>
    <t>WNH270OPR441</t>
  </si>
  <si>
    <t>00:0D:05:0A:B1:45</t>
  </si>
  <si>
    <t>BSM 036 B</t>
  </si>
  <si>
    <t>0T0S248191</t>
  </si>
  <si>
    <t>Drager Apollo</t>
  </si>
  <si>
    <t>WA24406365</t>
  </si>
  <si>
    <t>Ground Level/Dialysis</t>
  </si>
  <si>
    <t>LIJ-SDF-MACH-P</t>
  </si>
  <si>
    <t>00:0D:05:0A:b6:53</t>
  </si>
  <si>
    <t>MEDSG2425F-0172</t>
  </si>
  <si>
    <t>A0F5097FE29D</t>
  </si>
  <si>
    <t>MEDSG2425F-0168</t>
  </si>
  <si>
    <t>8605505-08106008075769</t>
  </si>
  <si>
    <t>00:0D:05:0A:b4:71</t>
  </si>
  <si>
    <t>WA25300267</t>
  </si>
  <si>
    <t>WA25300322</t>
  </si>
  <si>
    <t>yes</t>
  </si>
  <si>
    <t>00:0D:05:0A:B3:3D</t>
  </si>
  <si>
    <t>GCX Arm Deployed</t>
  </si>
  <si>
    <t>MX750 - DE77669038</t>
  </si>
  <si>
    <t>OR 2</t>
  </si>
  <si>
    <t>Serial Connector Cable 4</t>
  </si>
  <si>
    <t>LIJ-SDF-MACH-AB</t>
  </si>
  <si>
    <t>Has Keyboard</t>
  </si>
  <si>
    <t>Philips Mindray</t>
  </si>
  <si>
    <t>A0F5097B9FA6</t>
  </si>
  <si>
    <t>00:0D:05:0A:B0:B1</t>
  </si>
  <si>
    <t>OR#4-TUR / IPRO</t>
  </si>
  <si>
    <t>WNH270OPR410</t>
  </si>
  <si>
    <t>WA25300237</t>
  </si>
  <si>
    <t>LIJ-MACH-G</t>
  </si>
  <si>
    <t>LIJ - Annex</t>
  </si>
  <si>
    <t>Software Downloaded</t>
  </si>
  <si>
    <t>ZHH-MACH-A</t>
  </si>
  <si>
    <t>A0F5097FF17E</t>
  </si>
  <si>
    <t>OR Cybernet</t>
  </si>
  <si>
    <t>MEDNG2425E-3097</t>
  </si>
  <si>
    <t>MEDSG2425F-3048</t>
  </si>
  <si>
    <t>WNH270OPR404</t>
  </si>
  <si>
    <t>OR 8</t>
  </si>
  <si>
    <t>A0F5097FE484</t>
  </si>
  <si>
    <t>BSM 041 B</t>
  </si>
  <si>
    <t>A0F5097B9BB8</t>
  </si>
  <si>
    <t>WNH270OPR446</t>
  </si>
  <si>
    <t>MEDNG2425E-3214</t>
  </si>
  <si>
    <t>MX750 - DE77669068</t>
  </si>
  <si>
    <t>00187DE09A86</t>
  </si>
  <si>
    <t>MEDSG2425F-3046</t>
  </si>
  <si>
    <t>WMH300OPR350</t>
  </si>
  <si>
    <t>WA24406339</t>
  </si>
  <si>
    <t>9T0S247186</t>
  </si>
  <si>
    <t>WNH270OPR408</t>
  </si>
  <si>
    <t>WLS450OPR003</t>
  </si>
  <si>
    <t>00:0D:05:0A:B3:65</t>
  </si>
  <si>
    <t>00:0D:05:0A:B0:AF</t>
  </si>
  <si>
    <t>OR</t>
  </si>
  <si>
    <t>8605505-08106008076502</t>
  </si>
  <si>
    <t>WA24406279</t>
  </si>
  <si>
    <t>10.134.19.45</t>
  </si>
  <si>
    <t>MX750 - DE77668941</t>
  </si>
  <si>
    <t>A0F5097B969A</t>
  </si>
  <si>
    <t>0018DE0ADF7</t>
  </si>
  <si>
    <t>Configuration Date</t>
  </si>
  <si>
    <t>10.134.19.37</t>
  </si>
  <si>
    <t>WNH270OPR420</t>
  </si>
  <si>
    <t>00:0D:05:0A:B2:29</t>
  </si>
  <si>
    <t>WMH300OPR349</t>
  </si>
  <si>
    <t>00:0D:05:0A:B1:1F</t>
  </si>
  <si>
    <t>00:0D:05:0A:B2:31</t>
  </si>
  <si>
    <t>Column2</t>
  </si>
  <si>
    <t>ZHH-MACH-B</t>
  </si>
  <si>
    <t>8605505-08106008075768</t>
  </si>
  <si>
    <t>10.134.19.36</t>
  </si>
  <si>
    <t>00:0D:05:0A:B0:CD</t>
  </si>
  <si>
    <t>6T0S164346</t>
  </si>
  <si>
    <t>00187DE0E379</t>
  </si>
  <si>
    <t>12 - Device_Configuration!$BN$2:$BN$532</t>
  </si>
  <si>
    <t>A0F5097FA526</t>
  </si>
  <si>
    <t>00:0D:05:0A:A6:DD</t>
  </si>
  <si>
    <t>Anesthesia S/N</t>
  </si>
  <si>
    <t>00187DE07866</t>
  </si>
  <si>
    <t>Has New Ethernet</t>
  </si>
  <si>
    <t>LIJ-SDF-MACH-AE</t>
  </si>
  <si>
    <t>00187DE0E258</t>
  </si>
  <si>
    <t>MEDSG2425E-0026</t>
  </si>
  <si>
    <t xml:space="preserve">Medical Device
Class</t>
  </si>
  <si>
    <t>WA25203816</t>
  </si>
  <si>
    <t>00:0D:05:0A:A4:fb</t>
  </si>
  <si>
    <t>WA24406114</t>
  </si>
  <si>
    <t>000D050AA5A9</t>
  </si>
  <si>
    <t>A0F5097B9629</t>
  </si>
  <si>
    <t>10.134.18.65</t>
  </si>
  <si>
    <t>WA25300259</t>
  </si>
  <si>
    <t>Phillips</t>
  </si>
  <si>
    <t>MEDSG2425F-3224</t>
  </si>
  <si>
    <t>QC: validated no inline strings, no xlfn, and no #REF in Error Log formulas; workbook loads cleanly in openpyxl.</t>
  </si>
  <si>
    <t>OR 11</t>
  </si>
  <si>
    <t>ARXM-0293</t>
  </si>
  <si>
    <t>did not get to install</t>
  </si>
  <si>
    <t>WA24406201</t>
  </si>
  <si>
    <t>00:0D:05:0A:A8:F5</t>
  </si>
  <si>
    <t>MX750 - DE77668953</t>
  </si>
  <si>
    <t>MEDSG2425F-0123</t>
  </si>
  <si>
    <t>00:0D:05:0A:a6:85</t>
  </si>
  <si>
    <t>MEDSG2425F-0093</t>
  </si>
  <si>
    <t>MEDNG2425E-3292</t>
  </si>
  <si>
    <t>ASBJ-0311</t>
  </si>
  <si>
    <t>WNH270OPR449</t>
  </si>
  <si>
    <t>LIJ - CCMC</t>
  </si>
  <si>
    <t>LIJ-MACH-I</t>
  </si>
  <si>
    <t>10.134.18.69</t>
  </si>
  <si>
    <t>A0F5097FDD3F</t>
  </si>
  <si>
    <t>2008T</t>
  </si>
  <si>
    <t>10.134.19.31</t>
  </si>
  <si>
    <t>00:0D:05:0A:B6:A1</t>
  </si>
  <si>
    <t>WLS450OPR005</t>
  </si>
  <si>
    <t>PalletID (Manual)</t>
  </si>
  <si>
    <t>MEDSG2425F-3696</t>
  </si>
  <si>
    <t>WA23C03201</t>
  </si>
  <si>
    <t>Spare Unit</t>
  </si>
  <si>
    <t>LIJ-SDF-MACH-E</t>
  </si>
  <si>
    <t>00:0D:05:0A:A8:7D</t>
  </si>
  <si>
    <t>Medical Peripheral 5</t>
  </si>
  <si>
    <t>WMH300OPR345</t>
  </si>
  <si>
    <t>ASEA-0173</t>
  </si>
  <si>
    <t>A0F5097FA5C5</t>
  </si>
  <si>
    <t>MEDSG2425F-0282</t>
  </si>
  <si>
    <t>Pass</t>
  </si>
  <si>
    <t>MX750 - DE77668939</t>
  </si>
  <si>
    <t>MX750 - DE77669023</t>
  </si>
  <si>
    <t>Neuron Renamed</t>
  </si>
  <si>
    <t>iPro OR Workstation</t>
  </si>
  <si>
    <t>MEDNG2425E-3315</t>
  </si>
  <si>
    <t>00:0D:05:0A:A8:A3</t>
  </si>
  <si>
    <t>00:0D:05:0A:A8:3D</t>
  </si>
  <si>
    <t>MEDSG2425F-3310</t>
  </si>
  <si>
    <t>10.134.18.63</t>
  </si>
  <si>
    <t>A0F5097FDE6F</t>
  </si>
  <si>
    <t>MEDSG2425F-0192</t>
  </si>
  <si>
    <t>00:0D:05:0A:B0:BB</t>
  </si>
  <si>
    <t>MEDSG2425F-0083</t>
  </si>
  <si>
    <t>Serial Connector Cable 3</t>
  </si>
  <si>
    <t>ARXM-0403</t>
  </si>
  <si>
    <t>WA25300337</t>
  </si>
  <si>
    <t>WNH270OPR444</t>
  </si>
  <si>
    <t>00:0D:05:0A:A8:4D</t>
  </si>
  <si>
    <t>MEDSG2425F-3097</t>
  </si>
  <si>
    <t>Cybernet Serial</t>
  </si>
  <si>
    <t>ARZJ-0068</t>
  </si>
  <si>
    <t>ASCJ-0102</t>
  </si>
  <si>
    <t>A0F5097B9FB3</t>
  </si>
  <si>
    <t>00:0D:05:0A:A8:C3</t>
  </si>
  <si>
    <t>WLS450OPR002</t>
  </si>
  <si>
    <t>1T0S255909</t>
  </si>
  <si>
    <t>MX750 - DE77669021</t>
  </si>
  <si>
    <t>Changed to GC</t>
  </si>
  <si>
    <t>GCH-MACH-E</t>
  </si>
  <si>
    <t>MEDNG2425E-3312</t>
  </si>
  <si>
    <t>00187DE0E2BB</t>
  </si>
  <si>
    <t>OR 19</t>
  </si>
  <si>
    <t>WA25300338</t>
  </si>
  <si>
    <t>WA25203897</t>
  </si>
  <si>
    <t>WNH270OPR418</t>
  </si>
  <si>
    <t>ASPB0089</t>
  </si>
  <si>
    <t>Change: removed xl/calcChain.xml to avoid calcChain drift after injecting 40k+ cells, which can trigger Web repair prompts.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</si>
  <si>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</si>
  <si>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</si>
  <si>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</si>
  <si>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</si>
  <si>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</si>
  <si>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</si>
  <si>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</si>
  <si>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</si>
  <si>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</si>
  <si>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</si>
  <si>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</si>
  <si>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/xl/worksheets/sheet1.xml</t>
  </si>
  <si>
    <t>Excel repair replaced sheet1-3 (XML error)</t>
  </si>
  <si>
    <t>Sheet XML serialized with non-canonical namespace prefixes (ns0/ns1/ns2) after tool rewrite; Excel for Desktop treats as invalid and replaces parts.</t>
  </si>
  <si>
    <t>Rewrite worksheets 1-3 with canonical namespace prefixes (default worksheet namespace + mc + xr + r). Preserve all other parts byte-for-byte.</t>
  </si>
  <si>
    <t>Desktop open should not prompt repair; Web should open in Edit without 'Couldn't open workbook'.</t>
  </si>
  <si>
    <t>error066400_01.xml: replaced sheet1-3</t>
  </si>
  <si>
    <t>E-012</t>
  </si>
  <si>
    <t>tables</t>
  </si>
  <si>
    <t>/xl/tables/table9.xml</t>
  </si>
  <si>
    <t>Excel repaired tblDeviceConfig table XML</t>
  </si>
  <si>
    <t>table9.xml schema or namespace mismatch triggered table repair in Desktop.</t>
  </si>
  <si>
    <t>Replace table9.xml with Active tblDeviceConfig table XML; set id=10; keep ref A1:CC532.</t>
  </si>
  <si>
    <t>Open in Desktop: no 'Repaired Records: Table ... table9.xml'.</t>
  </si>
  <si>
    <t>error066400_01.xml: repaired table9</t>
  </si>
  <si>
    <t>E-013</t>
  </si>
  <si>
    <t>web</t>
  </si>
  <si>
    <t>Excel for Web open</t>
  </si>
  <si>
    <t>Web rejects workbook as corrupt/unsupported</t>
  </si>
  <si>
    <t>Desktop repair indicates underlying OOXML invalid in sheets 1-3 and/or table; Web hard-fails instead of repairing.</t>
  </si>
  <si>
    <t>After canonicalization + table9 replacement, upload new candidate and confirm Web opens.</t>
  </si>
  <si>
    <t>Open in Web: loads without modal; goes to last tab or activeTab; Device tab not blank.</t>
  </si>
  <si>
    <t>screenshot: 'Couldn't open workbook'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</si>
</sst>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23"/>
    <tableColumn id="65" xr3:uid="{812267BB-A7AB-40FE-B62B-147AA09254FD}" name="Spare" dataDxfId="22"/>
    <tableColumn id="66" xr3:uid="{65EFAC28-0400-4860-A268-27333A172767}" name="DesignationChanged" dataDxfId="21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DupDeployed" dataDxfId="20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19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18"/>
    <tableColumn id="47" xr3:uid="{00000000-0010-0000-0100-00002F000000}" name="Medical Peripheral 2" dataDxfId="17"/>
    <tableColumn id="48" xr3:uid="{00000000-0010-0000-0100-000030000000}" name="Medical Peripheral 3" dataDxfId="16"/>
    <tableColumn id="49" xr3:uid="{00000000-0010-0000-0100-000031000000}" name="Medical Peripheral 4" dataDxfId="15"/>
    <tableColumn id="50" xr3:uid="{00000000-0010-0000-0100-000032000000}" name="Medical Peripheral 5" dataDxfId="14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</c>
      <c r="C2" t="str">
        <f>IFERROR(INDEX(tblDeviceConfig[Deployed],ROW()-1),"")</f>
      </c>
      <c r="D2" t="str">
        <f>IFERROR(INDEX(tblDeviceConfig[Installed],ROW()-1),"")</f>
      </c>
      <c r="E2">
        <f>IFERROR(INDEX(tblDeviceConfig[Cybernet Hostname],ROW()-1),"")</f>
      </c>
      <c r="F2" t="str">
        <f>IFERROR(INDEX(tblDeviceConfig[Neuron Hostname],ROW()-1),"")</f>
      </c>
      <c r="G2" t="str">
        <f>IFERROR(INDEX(tblDeviceConfig[Software List],ROW()-1),"")</f>
      </c>
      <c r="H2" t="str">
        <f>IFERROR(INDEX(tblDeviceConfig[PI_Use_Case],ROW()-1),"")</f>
      </c>
      <c r="I2">
        <f>IFERROR(INDEX(tblDeviceConfig[PI_Result],ROW()-1),"")</f>
      </c>
      <c r="J2">
        <f>IFERROR(INDEX(tblDeviceConfig[PI_Validated_By],ROW()-1),"")</f>
      </c>
      <c r="K2">
        <f>IFERROR(INDEX(tblDeviceConfig[PI_Validated_Date],ROW()-1),"")</f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</c>
      <c r="C3" t="str">
        <f>IFERROR(INDEX(tblDeviceConfig[Deployed],ROW()-1),"")</f>
      </c>
      <c r="D3" t="str">
        <f>IFERROR(INDEX(tblDeviceConfig[Installed],ROW()-1),"")</f>
      </c>
      <c r="E3">
        <f>IFERROR(INDEX(tblDeviceConfig[Cybernet Hostname],ROW()-1),"")</f>
      </c>
      <c r="F3" t="str">
        <f>IFERROR(INDEX(tblDeviceConfig[Neuron Hostname],ROW()-1),"")</f>
      </c>
      <c r="G3">
        <f>IFERROR(INDEX(tblDeviceConfig[Software List],ROW()-1),"")</f>
      </c>
      <c r="H3">
        <f>IFERROR(INDEX(tblDeviceConfig[PI_Use_Case],ROW()-1),"")</f>
      </c>
      <c r="I3">
        <f>IFERROR(INDEX(tblDeviceConfig[PI_Result],ROW()-1),"")</f>
      </c>
      <c r="J3">
        <f>IFERROR(INDEX(tblDeviceConfig[PI_Validated_By],ROW()-1),"")</f>
      </c>
      <c r="K3">
        <f>IFERROR(INDEX(tblDeviceConfig[PI_Validated_Date],ROW()-1),"")</f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</c>
      <c r="C4" t="str">
        <f>IFERROR(INDEX(tblDeviceConfig[Deployed],ROW()-1),"")</f>
      </c>
      <c r="D4" t="str">
        <f>IFERROR(INDEX(tblDeviceConfig[Installed],ROW()-1),"")</f>
      </c>
      <c r="E4">
        <f>IFERROR(INDEX(tblDeviceConfig[Cybernet Hostname],ROW()-1),"")</f>
      </c>
      <c r="F4" t="str">
        <f>IFERROR(INDEX(tblDeviceConfig[Neuron Hostname],ROW()-1),"")</f>
      </c>
      <c r="G4">
        <f>IFERROR(INDEX(tblDeviceConfig[Software List],ROW()-1),"")</f>
      </c>
      <c r="H4">
        <f>IFERROR(INDEX(tblDeviceConfig[PI_Use_Case],ROW()-1),"")</f>
      </c>
      <c r="I4">
        <f>IFERROR(INDEX(tblDeviceConfig[PI_Result],ROW()-1),"")</f>
      </c>
      <c r="J4">
        <f>IFERROR(INDEX(tblDeviceConfig[PI_Validated_By],ROW()-1),"")</f>
      </c>
      <c r="K4">
        <f>IFERROR(INDEX(tblDeviceConfig[PI_Validated_Date],ROW()-1),"")</f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</c>
      <c r="C5" t="str">
        <f>IFERROR(INDEX(tblDeviceConfig[Deployed],ROW()-1),"")</f>
      </c>
      <c r="D5" t="str">
        <f>IFERROR(INDEX(tblDeviceConfig[Installed],ROW()-1),"")</f>
      </c>
      <c r="E5">
        <f>IFERROR(INDEX(tblDeviceConfig[Cybernet Hostname],ROW()-1),"")</f>
      </c>
      <c r="F5" t="str">
        <f>IFERROR(INDEX(tblDeviceConfig[Neuron Hostname],ROW()-1),"")</f>
      </c>
      <c r="G5">
        <f>IFERROR(INDEX(tblDeviceConfig[Software List],ROW()-1),"")</f>
      </c>
      <c r="H5">
        <f>IFERROR(INDEX(tblDeviceConfig[PI_Use_Case],ROW()-1),"")</f>
      </c>
      <c r="I5">
        <f>IFERROR(INDEX(tblDeviceConfig[PI_Result],ROW()-1),"")</f>
      </c>
      <c r="J5">
        <f>IFERROR(INDEX(tblDeviceConfig[PI_Validated_By],ROW()-1),"")</f>
      </c>
      <c r="K5">
        <f>IFERROR(INDEX(tblDeviceConfig[PI_Validated_Date],ROW()-1),"")</f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</c>
      <c r="C6" t="str">
        <f>IFERROR(INDEX(tblDeviceConfig[Deployed],ROW()-1),"")</f>
      </c>
      <c r="D6" t="str">
        <f>IFERROR(INDEX(tblDeviceConfig[Installed],ROW()-1),"")</f>
      </c>
      <c r="E6">
        <f>IFERROR(INDEX(tblDeviceConfig[Cybernet Hostname],ROW()-1),"")</f>
      </c>
      <c r="F6" t="str">
        <f>IFERROR(INDEX(tblDeviceConfig[Neuron Hostname],ROW()-1),"")</f>
      </c>
      <c r="G6">
        <f>IFERROR(INDEX(tblDeviceConfig[Software List],ROW()-1),"")</f>
      </c>
      <c r="H6">
        <f>IFERROR(INDEX(tblDeviceConfig[PI_Use_Case],ROW()-1),"")</f>
      </c>
      <c r="I6">
        <f>IFERROR(INDEX(tblDeviceConfig[PI_Result],ROW()-1),"")</f>
      </c>
      <c r="J6">
        <f>IFERROR(INDEX(tblDeviceConfig[PI_Validated_By],ROW()-1),"")</f>
      </c>
      <c r="K6">
        <f>IFERROR(INDEX(tblDeviceConfig[PI_Validated_Date],ROW()-1),"")</f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</c>
      <c r="C7" t="str">
        <f>IFERROR(INDEX(tblDeviceConfig[Deployed],ROW()-1),"")</f>
      </c>
      <c r="D7" t="str">
        <f>IFERROR(INDEX(tblDeviceConfig[Installed],ROW()-1),"")</f>
      </c>
      <c r="E7">
        <f>IFERROR(INDEX(tblDeviceConfig[Cybernet Hostname],ROW()-1),"")</f>
      </c>
      <c r="F7" t="str">
        <f>IFERROR(INDEX(tblDeviceConfig[Neuron Hostname],ROW()-1),"")</f>
      </c>
      <c r="G7">
        <f>IFERROR(INDEX(tblDeviceConfig[Software List],ROW()-1),"")</f>
      </c>
      <c r="H7">
        <f>IFERROR(INDEX(tblDeviceConfig[PI_Use_Case],ROW()-1),"")</f>
      </c>
      <c r="I7">
        <f>IFERROR(INDEX(tblDeviceConfig[PI_Result],ROW()-1),"")</f>
      </c>
      <c r="J7">
        <f>IFERROR(INDEX(tblDeviceConfig[PI_Validated_By],ROW()-1),"")</f>
      </c>
      <c r="K7">
        <f>IFERROR(INDEX(tblDeviceConfig[PI_Validated_Date],ROW()-1),"")</f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</c>
      <c r="C8" t="str">
        <f>IFERROR(INDEX(tblDeviceConfig[Deployed],ROW()-1),"")</f>
      </c>
      <c r="D8" t="str">
        <f>IFERROR(INDEX(tblDeviceConfig[Installed],ROW()-1),"")</f>
      </c>
      <c r="E8">
        <f>IFERROR(INDEX(tblDeviceConfig[Cybernet Hostname],ROW()-1),"")</f>
      </c>
      <c r="F8" t="str">
        <f>IFERROR(INDEX(tblDeviceConfig[Neuron Hostname],ROW()-1),"")</f>
      </c>
      <c r="G8">
        <f>IFERROR(INDEX(tblDeviceConfig[Software List],ROW()-1),"")</f>
      </c>
      <c r="H8">
        <f>IFERROR(INDEX(tblDeviceConfig[PI_Use_Case],ROW()-1),"")</f>
      </c>
      <c r="I8">
        <f>IFERROR(INDEX(tblDeviceConfig[PI_Result],ROW()-1),"")</f>
      </c>
      <c r="J8">
        <f>IFERROR(INDEX(tblDeviceConfig[PI_Validated_By],ROW()-1),"")</f>
      </c>
      <c r="K8">
        <f>IFERROR(INDEX(tblDeviceConfig[PI_Validated_Date],ROW()-1),"")</f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</c>
      <c r="C9" t="str">
        <f>IFERROR(INDEX(tblDeviceConfig[Deployed],ROW()-1),"")</f>
      </c>
      <c r="D9" t="str">
        <f>IFERROR(INDEX(tblDeviceConfig[Installed],ROW()-1),"")</f>
      </c>
      <c r="E9">
        <f>IFERROR(INDEX(tblDeviceConfig[Cybernet Hostname],ROW()-1),"")</f>
      </c>
      <c r="F9" t="str">
        <f>IFERROR(INDEX(tblDeviceConfig[Neuron Hostname],ROW()-1),"")</f>
      </c>
      <c r="G9">
        <f>IFERROR(INDEX(tblDeviceConfig[Software List],ROW()-1),"")</f>
      </c>
      <c r="H9">
        <f>IFERROR(INDEX(tblDeviceConfig[PI_Use_Case],ROW()-1),"")</f>
      </c>
      <c r="I9">
        <f>IFERROR(INDEX(tblDeviceConfig[PI_Result],ROW()-1),"")</f>
      </c>
      <c r="J9">
        <f>IFERROR(INDEX(tblDeviceConfig[PI_Validated_By],ROW()-1),"")</f>
      </c>
      <c r="K9">
        <f>IFERROR(INDEX(tblDeviceConfig[PI_Validated_Date],ROW()-1),"")</f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</c>
      <c r="C10" t="str">
        <f>IFERROR(INDEX(tblDeviceConfig[Deployed],ROW()-1),"")</f>
      </c>
      <c r="D10" t="str">
        <f>IFERROR(INDEX(tblDeviceConfig[Installed],ROW()-1),"")</f>
      </c>
      <c r="E10">
        <f>IFERROR(INDEX(tblDeviceConfig[Cybernet Hostname],ROW()-1),"")</f>
      </c>
      <c r="F10" t="str">
        <f>IFERROR(INDEX(tblDeviceConfig[Neuron Hostname],ROW()-1),"")</f>
      </c>
      <c r="G10">
        <f>IFERROR(INDEX(tblDeviceConfig[Software List],ROW()-1),"")</f>
      </c>
      <c r="H10">
        <f>IFERROR(INDEX(tblDeviceConfig[PI_Use_Case],ROW()-1),"")</f>
      </c>
      <c r="I10">
        <f>IFERROR(INDEX(tblDeviceConfig[PI_Result],ROW()-1),"")</f>
      </c>
      <c r="J10">
        <f>IFERROR(INDEX(tblDeviceConfig[PI_Validated_By],ROW()-1),"")</f>
      </c>
      <c r="K10">
        <f>IFERROR(INDEX(tblDeviceConfig[PI_Validated_Date],ROW()-1),"")</f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</c>
      <c r="C11" t="str">
        <f>IFERROR(INDEX(tblDeviceConfig[Deployed],ROW()-1),"")</f>
      </c>
      <c r="D11" t="str">
        <f>IFERROR(INDEX(tblDeviceConfig[Installed],ROW()-1),"")</f>
      </c>
      <c r="E11">
        <f>IFERROR(INDEX(tblDeviceConfig[Cybernet Hostname],ROW()-1),"")</f>
      </c>
      <c r="F11" t="str">
        <f>IFERROR(INDEX(tblDeviceConfig[Neuron Hostname],ROW()-1),"")</f>
      </c>
      <c r="G11">
        <f>IFERROR(INDEX(tblDeviceConfig[Software List],ROW()-1),"")</f>
      </c>
      <c r="H11">
        <f>IFERROR(INDEX(tblDeviceConfig[PI_Use_Case],ROW()-1),"")</f>
      </c>
      <c r="I11">
        <f>IFERROR(INDEX(tblDeviceConfig[PI_Result],ROW()-1),"")</f>
      </c>
      <c r="J11">
        <f>IFERROR(INDEX(tblDeviceConfig[PI_Validated_By],ROW()-1),"")</f>
      </c>
      <c r="K11">
        <f>IFERROR(INDEX(tblDeviceConfig[PI_Validated_Date],ROW()-1),"")</f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</c>
      <c r="C12" t="str">
        <f>IFERROR(INDEX(tblDeviceConfig[Deployed],ROW()-1),"")</f>
      </c>
      <c r="D12" t="str">
        <f>IFERROR(INDEX(tblDeviceConfig[Installed],ROW()-1),"")</f>
      </c>
      <c r="E12">
        <f>IFERROR(INDEX(tblDeviceConfig[Cybernet Hostname],ROW()-1),"")</f>
      </c>
      <c r="F12" t="str">
        <f>IFERROR(INDEX(tblDeviceConfig[Neuron Hostname],ROW()-1),"")</f>
      </c>
      <c r="G12">
        <f>IFERROR(INDEX(tblDeviceConfig[Software List],ROW()-1),"")</f>
      </c>
      <c r="H12">
        <f>IFERROR(INDEX(tblDeviceConfig[PI_Use_Case],ROW()-1),"")</f>
      </c>
      <c r="I12">
        <f>IFERROR(INDEX(tblDeviceConfig[PI_Result],ROW()-1),"")</f>
      </c>
      <c r="J12">
        <f>IFERROR(INDEX(tblDeviceConfig[PI_Validated_By],ROW()-1),"")</f>
      </c>
      <c r="K12">
        <f>IFERROR(INDEX(tblDeviceConfig[PI_Validated_Date],ROW()-1),"")</f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</c>
      <c r="C13" t="str">
        <f>IFERROR(INDEX(tblDeviceConfig[Deployed],ROW()-1),"")</f>
      </c>
      <c r="D13" t="str">
        <f>IFERROR(INDEX(tblDeviceConfig[Installed],ROW()-1),"")</f>
      </c>
      <c r="E13">
        <f>IFERROR(INDEX(tblDeviceConfig[Cybernet Hostname],ROW()-1),"")</f>
      </c>
      <c r="F13" t="str">
        <f>IFERROR(INDEX(tblDeviceConfig[Neuron Hostname],ROW()-1),"")</f>
      </c>
      <c r="G13">
        <f>IFERROR(INDEX(tblDeviceConfig[Software List],ROW()-1),"")</f>
      </c>
      <c r="H13">
        <f>IFERROR(INDEX(tblDeviceConfig[PI_Use_Case],ROW()-1),"")</f>
      </c>
      <c r="I13">
        <f>IFERROR(INDEX(tblDeviceConfig[PI_Result],ROW()-1),"")</f>
      </c>
      <c r="J13">
        <f>IFERROR(INDEX(tblDeviceConfig[PI_Validated_By],ROW()-1),"")</f>
      </c>
      <c r="K13">
        <f>IFERROR(INDEX(tblDeviceConfig[PI_Validated_Date],ROW()-1),"")</f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</c>
      <c r="C14" t="str">
        <f>IFERROR(INDEX(tblDeviceConfig[Deployed],ROW()-1),"")</f>
      </c>
      <c r="D14" t="str">
        <f>IFERROR(INDEX(tblDeviceConfig[Installed],ROW()-1),"")</f>
      </c>
      <c r="E14">
        <f>IFERROR(INDEX(tblDeviceConfig[Cybernet Hostname],ROW()-1),"")</f>
      </c>
      <c r="F14" t="str">
        <f>IFERROR(INDEX(tblDeviceConfig[Neuron Hostname],ROW()-1),"")</f>
      </c>
      <c r="G14">
        <f>IFERROR(INDEX(tblDeviceConfig[Software List],ROW()-1),"")</f>
      </c>
      <c r="H14">
        <f>IFERROR(INDEX(tblDeviceConfig[PI_Use_Case],ROW()-1),"")</f>
      </c>
      <c r="I14">
        <f>IFERROR(INDEX(tblDeviceConfig[PI_Result],ROW()-1),"")</f>
      </c>
      <c r="J14">
        <f>IFERROR(INDEX(tblDeviceConfig[PI_Validated_By],ROW()-1),"")</f>
      </c>
      <c r="K14">
        <f>IFERROR(INDEX(tblDeviceConfig[PI_Validated_Date],ROW()-1),"")</f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</c>
      <c r="C15" t="str">
        <f>IFERROR(INDEX(tblDeviceConfig[Deployed],ROW()-1),"")</f>
      </c>
      <c r="D15" t="str">
        <f>IFERROR(INDEX(tblDeviceConfig[Installed],ROW()-1),"")</f>
      </c>
      <c r="E15">
        <f>IFERROR(INDEX(tblDeviceConfig[Cybernet Hostname],ROW()-1),"")</f>
      </c>
      <c r="F15" t="str">
        <f>IFERROR(INDEX(tblDeviceConfig[Neuron Hostname],ROW()-1),"")</f>
      </c>
      <c r="G15">
        <f>IFERROR(INDEX(tblDeviceConfig[Software List],ROW()-1),"")</f>
      </c>
      <c r="H15">
        <f>IFERROR(INDEX(tblDeviceConfig[PI_Use_Case],ROW()-1),"")</f>
      </c>
      <c r="I15">
        <f>IFERROR(INDEX(tblDeviceConfig[PI_Result],ROW()-1),"")</f>
      </c>
      <c r="J15">
        <f>IFERROR(INDEX(tblDeviceConfig[PI_Validated_By],ROW()-1),"")</f>
      </c>
      <c r="K15">
        <f>IFERROR(INDEX(tblDeviceConfig[PI_Validated_Date],ROW()-1),"")</f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</c>
      <c r="C16" t="str">
        <f>IFERROR(INDEX(tblDeviceConfig[Deployed],ROW()-1),"")</f>
      </c>
      <c r="D16" t="str">
        <f>IFERROR(INDEX(tblDeviceConfig[Installed],ROW()-1),"")</f>
      </c>
      <c r="E16">
        <f>IFERROR(INDEX(tblDeviceConfig[Cybernet Hostname],ROW()-1),"")</f>
      </c>
      <c r="F16" t="str">
        <f>IFERROR(INDEX(tblDeviceConfig[Neuron Hostname],ROW()-1),"")</f>
      </c>
      <c r="G16">
        <f>IFERROR(INDEX(tblDeviceConfig[Software List],ROW()-1),"")</f>
      </c>
      <c r="H16">
        <f>IFERROR(INDEX(tblDeviceConfig[PI_Use_Case],ROW()-1),"")</f>
      </c>
      <c r="I16">
        <f>IFERROR(INDEX(tblDeviceConfig[PI_Result],ROW()-1),"")</f>
      </c>
      <c r="J16">
        <f>IFERROR(INDEX(tblDeviceConfig[PI_Validated_By],ROW()-1),"")</f>
      </c>
      <c r="K16">
        <f>IFERROR(INDEX(tblDeviceConfig[PI_Validated_Date],ROW()-1),"")</f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</c>
      <c r="C17" t="str">
        <f>IFERROR(INDEX(tblDeviceConfig[Deployed],ROW()-1),"")</f>
      </c>
      <c r="D17" t="str">
        <f>IFERROR(INDEX(tblDeviceConfig[Installed],ROW()-1),"")</f>
      </c>
      <c r="E17">
        <f>IFERROR(INDEX(tblDeviceConfig[Cybernet Hostname],ROW()-1),"")</f>
      </c>
      <c r="F17" t="str">
        <f>IFERROR(INDEX(tblDeviceConfig[Neuron Hostname],ROW()-1),"")</f>
      </c>
      <c r="G17">
        <f>IFERROR(INDEX(tblDeviceConfig[Software List],ROW()-1),"")</f>
      </c>
      <c r="H17">
        <f>IFERROR(INDEX(tblDeviceConfig[PI_Use_Case],ROW()-1),"")</f>
      </c>
      <c r="I17">
        <f>IFERROR(INDEX(tblDeviceConfig[PI_Result],ROW()-1),"")</f>
      </c>
      <c r="J17">
        <f>IFERROR(INDEX(tblDeviceConfig[PI_Validated_By],ROW()-1),"")</f>
      </c>
      <c r="K17">
        <f>IFERROR(INDEX(tblDeviceConfig[PI_Validated_Date],ROW()-1),"")</f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</c>
      <c r="C18" t="str">
        <f>IFERROR(INDEX(tblDeviceConfig[Deployed],ROW()-1),"")</f>
      </c>
      <c r="D18" t="str">
        <f>IFERROR(INDEX(tblDeviceConfig[Installed],ROW()-1),"")</f>
      </c>
      <c r="E18">
        <f>IFERROR(INDEX(tblDeviceConfig[Cybernet Hostname],ROW()-1),"")</f>
      </c>
      <c r="F18" t="str">
        <f>IFERROR(INDEX(tblDeviceConfig[Neuron Hostname],ROW()-1),"")</f>
      </c>
      <c r="G18">
        <f>IFERROR(INDEX(tblDeviceConfig[Software List],ROW()-1),"")</f>
      </c>
      <c r="H18">
        <f>IFERROR(INDEX(tblDeviceConfig[PI_Use_Case],ROW()-1),"")</f>
      </c>
      <c r="I18">
        <f>IFERROR(INDEX(tblDeviceConfig[PI_Result],ROW()-1),"")</f>
      </c>
      <c r="J18">
        <f>IFERROR(INDEX(tblDeviceConfig[PI_Validated_By],ROW()-1),"")</f>
      </c>
      <c r="K18">
        <f>IFERROR(INDEX(tblDeviceConfig[PI_Validated_Date],ROW()-1),"")</f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</c>
      <c r="C19" t="str">
        <f>IFERROR(INDEX(tblDeviceConfig[Deployed],ROW()-1),"")</f>
      </c>
      <c r="D19" t="str">
        <f>IFERROR(INDEX(tblDeviceConfig[Installed],ROW()-1),"")</f>
      </c>
      <c r="E19">
        <f>IFERROR(INDEX(tblDeviceConfig[Cybernet Hostname],ROW()-1),"")</f>
      </c>
      <c r="F19" t="str">
        <f>IFERROR(INDEX(tblDeviceConfig[Neuron Hostname],ROW()-1),"")</f>
      </c>
      <c r="G19">
        <f>IFERROR(INDEX(tblDeviceConfig[Software List],ROW()-1),"")</f>
      </c>
      <c r="H19">
        <f>IFERROR(INDEX(tblDeviceConfig[PI_Use_Case],ROW()-1),"")</f>
      </c>
      <c r="I19">
        <f>IFERROR(INDEX(tblDeviceConfig[PI_Result],ROW()-1),"")</f>
      </c>
      <c r="J19">
        <f>IFERROR(INDEX(tblDeviceConfig[PI_Validated_By],ROW()-1),"")</f>
      </c>
      <c r="K19">
        <f>IFERROR(INDEX(tblDeviceConfig[PI_Validated_Date],ROW()-1),"")</f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</c>
      <c r="C20" t="str">
        <f>IFERROR(INDEX(tblDeviceConfig[Deployed],ROW()-1),"")</f>
      </c>
      <c r="D20" t="str">
        <f>IFERROR(INDEX(tblDeviceConfig[Installed],ROW()-1),"")</f>
      </c>
      <c r="E20">
        <f>IFERROR(INDEX(tblDeviceConfig[Cybernet Hostname],ROW()-1),"")</f>
      </c>
      <c r="F20" t="str">
        <f>IFERROR(INDEX(tblDeviceConfig[Neuron Hostname],ROW()-1),"")</f>
      </c>
      <c r="G20">
        <f>IFERROR(INDEX(tblDeviceConfig[Software List],ROW()-1),"")</f>
      </c>
      <c r="H20">
        <f>IFERROR(INDEX(tblDeviceConfig[PI_Use_Case],ROW()-1),"")</f>
      </c>
      <c r="I20">
        <f>IFERROR(INDEX(tblDeviceConfig[PI_Result],ROW()-1),"")</f>
      </c>
      <c r="J20">
        <f>IFERROR(INDEX(tblDeviceConfig[PI_Validated_By],ROW()-1),"")</f>
      </c>
      <c r="K20">
        <f>IFERROR(INDEX(tblDeviceConfig[PI_Validated_Date],ROW()-1),"")</f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</c>
      <c r="C21" t="str">
        <f>IFERROR(INDEX(tblDeviceConfig[Deployed],ROW()-1),"")</f>
      </c>
      <c r="D21" t="str">
        <f>IFERROR(INDEX(tblDeviceConfig[Installed],ROW()-1),"")</f>
      </c>
      <c r="E21">
        <f>IFERROR(INDEX(tblDeviceConfig[Cybernet Hostname],ROW()-1),"")</f>
      </c>
      <c r="F21" t="str">
        <f>IFERROR(INDEX(tblDeviceConfig[Neuron Hostname],ROW()-1),"")</f>
      </c>
      <c r="G21">
        <f>IFERROR(INDEX(tblDeviceConfig[Software List],ROW()-1),"")</f>
      </c>
      <c r="H21">
        <f>IFERROR(INDEX(tblDeviceConfig[PI_Use_Case],ROW()-1),"")</f>
      </c>
      <c r="I21">
        <f>IFERROR(INDEX(tblDeviceConfig[PI_Result],ROW()-1),"")</f>
      </c>
      <c r="J21">
        <f>IFERROR(INDEX(tblDeviceConfig[PI_Validated_By],ROW()-1),"")</f>
      </c>
      <c r="K21">
        <f>IFERROR(INDEX(tblDeviceConfig[PI_Validated_Date],ROW()-1),"")</f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</c>
      <c r="C22" t="str">
        <f>IFERROR(INDEX(tblDeviceConfig[Deployed],ROW()-1),"")</f>
      </c>
      <c r="D22" t="str">
        <f>IFERROR(INDEX(tblDeviceConfig[Installed],ROW()-1),"")</f>
      </c>
      <c r="E22">
        <f>IFERROR(INDEX(tblDeviceConfig[Cybernet Hostname],ROW()-1),"")</f>
      </c>
      <c r="F22" t="str">
        <f>IFERROR(INDEX(tblDeviceConfig[Neuron Hostname],ROW()-1),"")</f>
      </c>
      <c r="G22">
        <f>IFERROR(INDEX(tblDeviceConfig[Software List],ROW()-1),"")</f>
      </c>
      <c r="H22">
        <f>IFERROR(INDEX(tblDeviceConfig[PI_Use_Case],ROW()-1),"")</f>
      </c>
      <c r="I22">
        <f>IFERROR(INDEX(tblDeviceConfig[PI_Result],ROW()-1),"")</f>
      </c>
      <c r="J22">
        <f>IFERROR(INDEX(tblDeviceConfig[PI_Validated_By],ROW()-1),"")</f>
      </c>
      <c r="K22">
        <f>IFERROR(INDEX(tblDeviceConfig[PI_Validated_Date],ROW()-1),"")</f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</c>
      <c r="C23" t="str">
        <f>IFERROR(INDEX(tblDeviceConfig[Deployed],ROW()-1),"")</f>
      </c>
      <c r="D23" t="str">
        <f>IFERROR(INDEX(tblDeviceConfig[Installed],ROW()-1),"")</f>
      </c>
      <c r="E23">
        <f>IFERROR(INDEX(tblDeviceConfig[Cybernet Hostname],ROW()-1),"")</f>
      </c>
      <c r="F23" t="str">
        <f>IFERROR(INDEX(tblDeviceConfig[Neuron Hostname],ROW()-1),"")</f>
      </c>
      <c r="G23">
        <f>IFERROR(INDEX(tblDeviceConfig[Software List],ROW()-1),"")</f>
      </c>
      <c r="H23">
        <f>IFERROR(INDEX(tblDeviceConfig[PI_Use_Case],ROW()-1),"")</f>
      </c>
      <c r="I23">
        <f>IFERROR(INDEX(tblDeviceConfig[PI_Result],ROW()-1),"")</f>
      </c>
      <c r="J23">
        <f>IFERROR(INDEX(tblDeviceConfig[PI_Validated_By],ROW()-1),"")</f>
      </c>
      <c r="K23">
        <f>IFERROR(INDEX(tblDeviceConfig[PI_Validated_Date],ROW()-1),"")</f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</c>
      <c r="C24" t="str">
        <f>IFERROR(INDEX(tblDeviceConfig[Deployed],ROW()-1),"")</f>
      </c>
      <c r="D24" t="str">
        <f>IFERROR(INDEX(tblDeviceConfig[Installed],ROW()-1),"")</f>
      </c>
      <c r="E24">
        <f>IFERROR(INDEX(tblDeviceConfig[Cybernet Hostname],ROW()-1),"")</f>
      </c>
      <c r="F24" t="str">
        <f>IFERROR(INDEX(tblDeviceConfig[Neuron Hostname],ROW()-1),"")</f>
      </c>
      <c r="G24">
        <f>IFERROR(INDEX(tblDeviceConfig[Software List],ROW()-1),"")</f>
      </c>
      <c r="H24">
        <f>IFERROR(INDEX(tblDeviceConfig[PI_Use_Case],ROW()-1),"")</f>
      </c>
      <c r="I24">
        <f>IFERROR(INDEX(tblDeviceConfig[PI_Result],ROW()-1),"")</f>
      </c>
      <c r="J24">
        <f>IFERROR(INDEX(tblDeviceConfig[PI_Validated_By],ROW()-1),"")</f>
      </c>
      <c r="K24">
        <f>IFERROR(INDEX(tblDeviceConfig[PI_Validated_Date],ROW()-1),"")</f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</c>
      <c r="C25" t="str">
        <f>IFERROR(INDEX(tblDeviceConfig[Deployed],ROW()-1),"")</f>
      </c>
      <c r="D25" t="str">
        <f>IFERROR(INDEX(tblDeviceConfig[Installed],ROW()-1),"")</f>
      </c>
      <c r="E25">
        <f>IFERROR(INDEX(tblDeviceConfig[Cybernet Hostname],ROW()-1),"")</f>
      </c>
      <c r="F25" t="str">
        <f>IFERROR(INDEX(tblDeviceConfig[Neuron Hostname],ROW()-1),"")</f>
      </c>
      <c r="G25">
        <f>IFERROR(INDEX(tblDeviceConfig[Software List],ROW()-1),"")</f>
      </c>
      <c r="H25">
        <f>IFERROR(INDEX(tblDeviceConfig[PI_Use_Case],ROW()-1),"")</f>
      </c>
      <c r="I25">
        <f>IFERROR(INDEX(tblDeviceConfig[PI_Result],ROW()-1),"")</f>
      </c>
      <c r="J25">
        <f>IFERROR(INDEX(tblDeviceConfig[PI_Validated_By],ROW()-1),"")</f>
      </c>
      <c r="K25">
        <f>IFERROR(INDEX(tblDeviceConfig[PI_Validated_Date],ROW()-1),"")</f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</c>
      <c r="C26" t="str">
        <f>IFERROR(INDEX(tblDeviceConfig[Deployed],ROW()-1),"")</f>
      </c>
      <c r="D26" t="str">
        <f>IFERROR(INDEX(tblDeviceConfig[Installed],ROW()-1),"")</f>
      </c>
      <c r="E26">
        <f>IFERROR(INDEX(tblDeviceConfig[Cybernet Hostname],ROW()-1),"")</f>
      </c>
      <c r="F26" t="str">
        <f>IFERROR(INDEX(tblDeviceConfig[Neuron Hostname],ROW()-1),"")</f>
      </c>
      <c r="G26">
        <f>IFERROR(INDEX(tblDeviceConfig[Software List],ROW()-1),"")</f>
      </c>
      <c r="H26">
        <f>IFERROR(INDEX(tblDeviceConfig[PI_Use_Case],ROW()-1),"")</f>
      </c>
      <c r="I26">
        <f>IFERROR(INDEX(tblDeviceConfig[PI_Result],ROW()-1),"")</f>
      </c>
      <c r="J26">
        <f>IFERROR(INDEX(tblDeviceConfig[PI_Validated_By],ROW()-1),"")</f>
      </c>
      <c r="K26">
        <f>IFERROR(INDEX(tblDeviceConfig[PI_Validated_Date],ROW()-1),"")</f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</c>
      <c r="C27" t="str">
        <f>IFERROR(INDEX(tblDeviceConfig[Deployed],ROW()-1),"")</f>
      </c>
      <c r="D27" t="str">
        <f>IFERROR(INDEX(tblDeviceConfig[Installed],ROW()-1),"")</f>
      </c>
      <c r="E27">
        <f>IFERROR(INDEX(tblDeviceConfig[Cybernet Hostname],ROW()-1),"")</f>
      </c>
      <c r="F27" t="str">
        <f>IFERROR(INDEX(tblDeviceConfig[Neuron Hostname],ROW()-1),"")</f>
      </c>
      <c r="G27">
        <f>IFERROR(INDEX(tblDeviceConfig[Software List],ROW()-1),"")</f>
      </c>
      <c r="H27">
        <f>IFERROR(INDEX(tblDeviceConfig[PI_Use_Case],ROW()-1),"")</f>
      </c>
      <c r="I27">
        <f>IFERROR(INDEX(tblDeviceConfig[PI_Result],ROW()-1),"")</f>
      </c>
      <c r="J27">
        <f>IFERROR(INDEX(tblDeviceConfig[PI_Validated_By],ROW()-1),"")</f>
      </c>
      <c r="K27">
        <f>IFERROR(INDEX(tblDeviceConfig[PI_Validated_Date],ROW()-1),"")</f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</c>
      <c r="C28" t="str">
        <f>IFERROR(INDEX(tblDeviceConfig[Deployed],ROW()-1),"")</f>
      </c>
      <c r="D28" t="str">
        <f>IFERROR(INDEX(tblDeviceConfig[Installed],ROW()-1),"")</f>
      </c>
      <c r="E28">
        <f>IFERROR(INDEX(tblDeviceConfig[Cybernet Hostname],ROW()-1),"")</f>
      </c>
      <c r="F28" t="str">
        <f>IFERROR(INDEX(tblDeviceConfig[Neuron Hostname],ROW()-1),"")</f>
      </c>
      <c r="G28">
        <f>IFERROR(INDEX(tblDeviceConfig[Software List],ROW()-1),"")</f>
      </c>
      <c r="H28">
        <f>IFERROR(INDEX(tblDeviceConfig[PI_Use_Case],ROW()-1),"")</f>
      </c>
      <c r="I28">
        <f>IFERROR(INDEX(tblDeviceConfig[PI_Result],ROW()-1),"")</f>
      </c>
      <c r="J28">
        <f>IFERROR(INDEX(tblDeviceConfig[PI_Validated_By],ROW()-1),"")</f>
      </c>
      <c r="K28">
        <f>IFERROR(INDEX(tblDeviceConfig[PI_Validated_Date],ROW()-1),"")</f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</c>
      <c r="C29" t="str">
        <f>IFERROR(INDEX(tblDeviceConfig[Deployed],ROW()-1),"")</f>
      </c>
      <c r="D29" t="str">
        <f>IFERROR(INDEX(tblDeviceConfig[Installed],ROW()-1),"")</f>
      </c>
      <c r="E29">
        <f>IFERROR(INDEX(tblDeviceConfig[Cybernet Hostname],ROW()-1),"")</f>
      </c>
      <c r="F29" t="str">
        <f>IFERROR(INDEX(tblDeviceConfig[Neuron Hostname],ROW()-1),"")</f>
      </c>
      <c r="G29">
        <f>IFERROR(INDEX(tblDeviceConfig[Software List],ROW()-1),"")</f>
      </c>
      <c r="H29">
        <f>IFERROR(INDEX(tblDeviceConfig[PI_Use_Case],ROW()-1),"")</f>
      </c>
      <c r="I29">
        <f>IFERROR(INDEX(tblDeviceConfig[PI_Result],ROW()-1),"")</f>
      </c>
      <c r="J29">
        <f>IFERROR(INDEX(tblDeviceConfig[PI_Validated_By],ROW()-1),"")</f>
      </c>
      <c r="K29">
        <f>IFERROR(INDEX(tblDeviceConfig[PI_Validated_Date],ROW()-1),"")</f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</c>
      <c r="C30" t="str">
        <f>IFERROR(INDEX(tblDeviceConfig[Deployed],ROW()-1),"")</f>
      </c>
      <c r="D30" t="str">
        <f>IFERROR(INDEX(tblDeviceConfig[Installed],ROW()-1),"")</f>
      </c>
      <c r="E30">
        <f>IFERROR(INDEX(tblDeviceConfig[Cybernet Hostname],ROW()-1),"")</f>
      </c>
      <c r="F30" t="str">
        <f>IFERROR(INDEX(tblDeviceConfig[Neuron Hostname],ROW()-1),"")</f>
      </c>
      <c r="G30">
        <f>IFERROR(INDEX(tblDeviceConfig[Software List],ROW()-1),"")</f>
      </c>
      <c r="H30">
        <f>IFERROR(INDEX(tblDeviceConfig[PI_Use_Case],ROW()-1),"")</f>
      </c>
      <c r="I30">
        <f>IFERROR(INDEX(tblDeviceConfig[PI_Result],ROW()-1),"")</f>
      </c>
      <c r="J30">
        <f>IFERROR(INDEX(tblDeviceConfig[PI_Validated_By],ROW()-1),"")</f>
      </c>
      <c r="K30">
        <f>IFERROR(INDEX(tblDeviceConfig[PI_Validated_Date],ROW()-1),"")</f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</c>
      <c r="C31" t="str">
        <f>IFERROR(INDEX(tblDeviceConfig[Deployed],ROW()-1),"")</f>
      </c>
      <c r="D31" t="str">
        <f>IFERROR(INDEX(tblDeviceConfig[Installed],ROW()-1),"")</f>
      </c>
      <c r="E31">
        <f>IFERROR(INDEX(tblDeviceConfig[Cybernet Hostname],ROW()-1),"")</f>
      </c>
      <c r="F31" t="str">
        <f>IFERROR(INDEX(tblDeviceConfig[Neuron Hostname],ROW()-1),"")</f>
      </c>
      <c r="G31">
        <f>IFERROR(INDEX(tblDeviceConfig[Software List],ROW()-1),"")</f>
      </c>
      <c r="H31">
        <f>IFERROR(INDEX(tblDeviceConfig[PI_Use_Case],ROW()-1),"")</f>
      </c>
      <c r="I31">
        <f>IFERROR(INDEX(tblDeviceConfig[PI_Result],ROW()-1),"")</f>
      </c>
      <c r="J31">
        <f>IFERROR(INDEX(tblDeviceConfig[PI_Validated_By],ROW()-1),"")</f>
      </c>
      <c r="K31">
        <f>IFERROR(INDEX(tblDeviceConfig[PI_Validated_Date],ROW()-1),"")</f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</c>
      <c r="C32" t="str">
        <f>IFERROR(INDEX(tblDeviceConfig[Deployed],ROW()-1),"")</f>
      </c>
      <c r="D32" t="str">
        <f>IFERROR(INDEX(tblDeviceConfig[Installed],ROW()-1),"")</f>
      </c>
      <c r="E32">
        <f>IFERROR(INDEX(tblDeviceConfig[Cybernet Hostname],ROW()-1),"")</f>
      </c>
      <c r="F32" t="str">
        <f>IFERROR(INDEX(tblDeviceConfig[Neuron Hostname],ROW()-1),"")</f>
      </c>
      <c r="G32">
        <f>IFERROR(INDEX(tblDeviceConfig[Software List],ROW()-1),"")</f>
      </c>
      <c r="H32">
        <f>IFERROR(INDEX(tblDeviceConfig[PI_Use_Case],ROW()-1),"")</f>
      </c>
      <c r="I32">
        <f>IFERROR(INDEX(tblDeviceConfig[PI_Result],ROW()-1),"")</f>
      </c>
      <c r="J32">
        <f>IFERROR(INDEX(tblDeviceConfig[PI_Validated_By],ROW()-1),"")</f>
      </c>
      <c r="K32">
        <f>IFERROR(INDEX(tblDeviceConfig[PI_Validated_Date],ROW()-1),"")</f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</c>
      <c r="C33" t="str">
        <f>IFERROR(INDEX(tblDeviceConfig[Deployed],ROW()-1),"")</f>
      </c>
      <c r="D33" t="str">
        <f>IFERROR(INDEX(tblDeviceConfig[Installed],ROW()-1),"")</f>
      </c>
      <c r="E33">
        <f>IFERROR(INDEX(tblDeviceConfig[Cybernet Hostname],ROW()-1),"")</f>
      </c>
      <c r="F33" t="str">
        <f>IFERROR(INDEX(tblDeviceConfig[Neuron Hostname],ROW()-1),"")</f>
      </c>
      <c r="G33">
        <f>IFERROR(INDEX(tblDeviceConfig[Software List],ROW()-1),"")</f>
      </c>
      <c r="H33">
        <f>IFERROR(INDEX(tblDeviceConfig[PI_Use_Case],ROW()-1),"")</f>
      </c>
      <c r="I33">
        <f>IFERROR(INDEX(tblDeviceConfig[PI_Result],ROW()-1),"")</f>
      </c>
      <c r="J33">
        <f>IFERROR(INDEX(tblDeviceConfig[PI_Validated_By],ROW()-1),"")</f>
      </c>
      <c r="K33">
        <f>IFERROR(INDEX(tblDeviceConfig[PI_Validated_Date],ROW()-1),"")</f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</c>
      <c r="C34" t="str">
        <f>IFERROR(INDEX(tblDeviceConfig[Deployed],ROW()-1),"")</f>
      </c>
      <c r="D34" t="str">
        <f>IFERROR(INDEX(tblDeviceConfig[Installed],ROW()-1),"")</f>
      </c>
      <c r="E34">
        <f>IFERROR(INDEX(tblDeviceConfig[Cybernet Hostname],ROW()-1),"")</f>
      </c>
      <c r="F34" t="str">
        <f>IFERROR(INDEX(tblDeviceConfig[Neuron Hostname],ROW()-1),"")</f>
      </c>
      <c r="G34">
        <f>IFERROR(INDEX(tblDeviceConfig[Software List],ROW()-1),"")</f>
      </c>
      <c r="H34">
        <f>IFERROR(INDEX(tblDeviceConfig[PI_Use_Case],ROW()-1),"")</f>
      </c>
      <c r="I34">
        <f>IFERROR(INDEX(tblDeviceConfig[PI_Result],ROW()-1),"")</f>
      </c>
      <c r="J34">
        <f>IFERROR(INDEX(tblDeviceConfig[PI_Validated_By],ROW()-1),"")</f>
      </c>
      <c r="K34">
        <f>IFERROR(INDEX(tblDeviceConfig[PI_Validated_Date],ROW()-1),"")</f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</c>
      <c r="C35" t="str">
        <f>IFERROR(INDEX(tblDeviceConfig[Deployed],ROW()-1),"")</f>
      </c>
      <c r="D35" t="str">
        <f>IFERROR(INDEX(tblDeviceConfig[Installed],ROW()-1),"")</f>
      </c>
      <c r="E35">
        <f>IFERROR(INDEX(tblDeviceConfig[Cybernet Hostname],ROW()-1),"")</f>
      </c>
      <c r="F35" t="str">
        <f>IFERROR(INDEX(tblDeviceConfig[Neuron Hostname],ROW()-1),"")</f>
      </c>
      <c r="G35">
        <f>IFERROR(INDEX(tblDeviceConfig[Software List],ROW()-1),"")</f>
      </c>
      <c r="H35">
        <f>IFERROR(INDEX(tblDeviceConfig[PI_Use_Case],ROW()-1),"")</f>
      </c>
      <c r="I35">
        <f>IFERROR(INDEX(tblDeviceConfig[PI_Result],ROW()-1),"")</f>
      </c>
      <c r="J35">
        <f>IFERROR(INDEX(tblDeviceConfig[PI_Validated_By],ROW()-1),"")</f>
      </c>
      <c r="K35">
        <f>IFERROR(INDEX(tblDeviceConfig[PI_Validated_Date],ROW()-1),"")</f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</c>
      <c r="C36" t="str">
        <f>IFERROR(INDEX(tblDeviceConfig[Deployed],ROW()-1),"")</f>
      </c>
      <c r="D36" t="str">
        <f>IFERROR(INDEX(tblDeviceConfig[Installed],ROW()-1),"")</f>
      </c>
      <c r="E36">
        <f>IFERROR(INDEX(tblDeviceConfig[Cybernet Hostname],ROW()-1),"")</f>
      </c>
      <c r="F36" t="str">
        <f>IFERROR(INDEX(tblDeviceConfig[Neuron Hostname],ROW()-1),"")</f>
      </c>
      <c r="G36">
        <f>IFERROR(INDEX(tblDeviceConfig[Software List],ROW()-1),"")</f>
      </c>
      <c r="H36">
        <f>IFERROR(INDEX(tblDeviceConfig[PI_Use_Case],ROW()-1),"")</f>
      </c>
      <c r="I36">
        <f>IFERROR(INDEX(tblDeviceConfig[PI_Result],ROW()-1),"")</f>
      </c>
      <c r="J36">
        <f>IFERROR(INDEX(tblDeviceConfig[PI_Validated_By],ROW()-1),"")</f>
      </c>
      <c r="K36">
        <f>IFERROR(INDEX(tblDeviceConfig[PI_Validated_Date],ROW()-1),"")</f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</c>
      <c r="C37" t="str">
        <f>IFERROR(INDEX(tblDeviceConfig[Deployed],ROW()-1),"")</f>
      </c>
      <c r="D37" t="str">
        <f>IFERROR(INDEX(tblDeviceConfig[Installed],ROW()-1),"")</f>
      </c>
      <c r="E37">
        <f>IFERROR(INDEX(tblDeviceConfig[Cybernet Hostname],ROW()-1),"")</f>
      </c>
      <c r="F37" t="str">
        <f>IFERROR(INDEX(tblDeviceConfig[Neuron Hostname],ROW()-1),"")</f>
      </c>
      <c r="G37">
        <f>IFERROR(INDEX(tblDeviceConfig[Software List],ROW()-1),"")</f>
      </c>
      <c r="H37">
        <f>IFERROR(INDEX(tblDeviceConfig[PI_Use_Case],ROW()-1),"")</f>
      </c>
      <c r="I37">
        <f>IFERROR(INDEX(tblDeviceConfig[PI_Result],ROW()-1),"")</f>
      </c>
      <c r="J37">
        <f>IFERROR(INDEX(tblDeviceConfig[PI_Validated_By],ROW()-1),"")</f>
      </c>
      <c r="K37">
        <f>IFERROR(INDEX(tblDeviceConfig[PI_Validated_Date],ROW()-1),"")</f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</c>
      <c r="C38" t="str">
        <f>IFERROR(INDEX(tblDeviceConfig[Deployed],ROW()-1),"")</f>
      </c>
      <c r="D38" t="str">
        <f>IFERROR(INDEX(tblDeviceConfig[Installed],ROW()-1),"")</f>
      </c>
      <c r="E38">
        <f>IFERROR(INDEX(tblDeviceConfig[Cybernet Hostname],ROW()-1),"")</f>
      </c>
      <c r="F38" t="str">
        <f>IFERROR(INDEX(tblDeviceConfig[Neuron Hostname],ROW()-1),"")</f>
      </c>
      <c r="G38">
        <f>IFERROR(INDEX(tblDeviceConfig[Software List],ROW()-1),"")</f>
      </c>
      <c r="H38">
        <f>IFERROR(INDEX(tblDeviceConfig[PI_Use_Case],ROW()-1),"")</f>
      </c>
      <c r="I38">
        <f>IFERROR(INDEX(tblDeviceConfig[PI_Result],ROW()-1),"")</f>
      </c>
      <c r="J38">
        <f>IFERROR(INDEX(tblDeviceConfig[PI_Validated_By],ROW()-1),"")</f>
      </c>
      <c r="K38">
        <f>IFERROR(INDEX(tblDeviceConfig[PI_Validated_Date],ROW()-1),"")</f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</c>
      <c r="C39" t="str">
        <f>IFERROR(INDEX(tblDeviceConfig[Deployed],ROW()-1),"")</f>
      </c>
      <c r="D39" t="str">
        <f>IFERROR(INDEX(tblDeviceConfig[Installed],ROW()-1),"")</f>
      </c>
      <c r="E39">
        <f>IFERROR(INDEX(tblDeviceConfig[Cybernet Hostname],ROW()-1),"")</f>
      </c>
      <c r="F39" t="str">
        <f>IFERROR(INDEX(tblDeviceConfig[Neuron Hostname],ROW()-1),"")</f>
      </c>
      <c r="G39">
        <f>IFERROR(INDEX(tblDeviceConfig[Software List],ROW()-1),"")</f>
      </c>
      <c r="H39">
        <f>IFERROR(INDEX(tblDeviceConfig[PI_Use_Case],ROW()-1),"")</f>
      </c>
      <c r="I39">
        <f>IFERROR(INDEX(tblDeviceConfig[PI_Result],ROW()-1),"")</f>
      </c>
      <c r="J39">
        <f>IFERROR(INDEX(tblDeviceConfig[PI_Validated_By],ROW()-1),"")</f>
      </c>
      <c r="K39">
        <f>IFERROR(INDEX(tblDeviceConfig[PI_Validated_Date],ROW()-1),"")</f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</c>
      <c r="C40" t="str">
        <f>IFERROR(INDEX(tblDeviceConfig[Deployed],ROW()-1),"")</f>
      </c>
      <c r="D40" t="str">
        <f>IFERROR(INDEX(tblDeviceConfig[Installed],ROW()-1),"")</f>
      </c>
      <c r="E40">
        <f>IFERROR(INDEX(tblDeviceConfig[Cybernet Hostname],ROW()-1),"")</f>
      </c>
      <c r="F40" t="str">
        <f>IFERROR(INDEX(tblDeviceConfig[Neuron Hostname],ROW()-1),"")</f>
      </c>
      <c r="G40">
        <f>IFERROR(INDEX(tblDeviceConfig[Software List],ROW()-1),"")</f>
      </c>
      <c r="H40">
        <f>IFERROR(INDEX(tblDeviceConfig[PI_Use_Case],ROW()-1),"")</f>
      </c>
      <c r="I40">
        <f>IFERROR(INDEX(tblDeviceConfig[PI_Result],ROW()-1),"")</f>
      </c>
      <c r="J40">
        <f>IFERROR(INDEX(tblDeviceConfig[PI_Validated_By],ROW()-1),"")</f>
      </c>
      <c r="K40">
        <f>IFERROR(INDEX(tblDeviceConfig[PI_Validated_Date],ROW()-1),"")</f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</c>
      <c r="C41" t="str">
        <f>IFERROR(INDEX(tblDeviceConfig[Deployed],ROW()-1),"")</f>
      </c>
      <c r="D41" t="str">
        <f>IFERROR(INDEX(tblDeviceConfig[Installed],ROW()-1),"")</f>
      </c>
      <c r="E41">
        <f>IFERROR(INDEX(tblDeviceConfig[Cybernet Hostname],ROW()-1),"")</f>
      </c>
      <c r="F41" t="str">
        <f>IFERROR(INDEX(tblDeviceConfig[Neuron Hostname],ROW()-1),"")</f>
      </c>
      <c r="G41">
        <f>IFERROR(INDEX(tblDeviceConfig[Software List],ROW()-1),"")</f>
      </c>
      <c r="H41">
        <f>IFERROR(INDEX(tblDeviceConfig[PI_Use_Case],ROW()-1),"")</f>
      </c>
      <c r="I41">
        <f>IFERROR(INDEX(tblDeviceConfig[PI_Result],ROW()-1),"")</f>
      </c>
      <c r="J41">
        <f>IFERROR(INDEX(tblDeviceConfig[PI_Validated_By],ROW()-1),"")</f>
      </c>
      <c r="K41">
        <f>IFERROR(INDEX(tblDeviceConfig[PI_Validated_Date],ROW()-1),"")</f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</c>
      <c r="C42" t="str">
        <f>IFERROR(INDEX(tblDeviceConfig[Deployed],ROW()-1),"")</f>
      </c>
      <c r="D42" t="str">
        <f>IFERROR(INDEX(tblDeviceConfig[Installed],ROW()-1),"")</f>
      </c>
      <c r="E42">
        <f>IFERROR(INDEX(tblDeviceConfig[Cybernet Hostname],ROW()-1),"")</f>
      </c>
      <c r="F42" t="str">
        <f>IFERROR(INDEX(tblDeviceConfig[Neuron Hostname],ROW()-1),"")</f>
      </c>
      <c r="G42">
        <f>IFERROR(INDEX(tblDeviceConfig[Software List],ROW()-1),"")</f>
      </c>
      <c r="H42">
        <f>IFERROR(INDEX(tblDeviceConfig[PI_Use_Case],ROW()-1),"")</f>
      </c>
      <c r="I42">
        <f>IFERROR(INDEX(tblDeviceConfig[PI_Result],ROW()-1),"")</f>
      </c>
      <c r="J42">
        <f>IFERROR(INDEX(tblDeviceConfig[PI_Validated_By],ROW()-1),"")</f>
      </c>
      <c r="K42">
        <f>IFERROR(INDEX(tblDeviceConfig[PI_Validated_Date],ROW()-1),"")</f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</c>
      <c r="C43" t="str">
        <f>IFERROR(INDEX(tblDeviceConfig[Deployed],ROW()-1),"")</f>
      </c>
      <c r="D43" t="str">
        <f>IFERROR(INDEX(tblDeviceConfig[Installed],ROW()-1),"")</f>
      </c>
      <c r="E43">
        <f>IFERROR(INDEX(tblDeviceConfig[Cybernet Hostname],ROW()-1),"")</f>
      </c>
      <c r="F43" t="str">
        <f>IFERROR(INDEX(tblDeviceConfig[Neuron Hostname],ROW()-1),"")</f>
      </c>
      <c r="G43">
        <f>IFERROR(INDEX(tblDeviceConfig[Software List],ROW()-1),"")</f>
      </c>
      <c r="H43">
        <f>IFERROR(INDEX(tblDeviceConfig[PI_Use_Case],ROW()-1),"")</f>
      </c>
      <c r="I43">
        <f>IFERROR(INDEX(tblDeviceConfig[PI_Result],ROW()-1),"")</f>
      </c>
      <c r="J43">
        <f>IFERROR(INDEX(tblDeviceConfig[PI_Validated_By],ROW()-1),"")</f>
      </c>
      <c r="K43">
        <f>IFERROR(INDEX(tblDeviceConfig[PI_Validated_Date],ROW()-1),"")</f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</c>
      <c r="C44" t="str">
        <f>IFERROR(INDEX(tblDeviceConfig[Deployed],ROW()-1),"")</f>
      </c>
      <c r="D44" t="str">
        <f>IFERROR(INDEX(tblDeviceConfig[Installed],ROW()-1),"")</f>
      </c>
      <c r="E44">
        <f>IFERROR(INDEX(tblDeviceConfig[Cybernet Hostname],ROW()-1),"")</f>
      </c>
      <c r="F44" t="str">
        <f>IFERROR(INDEX(tblDeviceConfig[Neuron Hostname],ROW()-1),"")</f>
      </c>
      <c r="G44">
        <f>IFERROR(INDEX(tblDeviceConfig[Software List],ROW()-1),"")</f>
      </c>
      <c r="H44">
        <f>IFERROR(INDEX(tblDeviceConfig[PI_Use_Case],ROW()-1),"")</f>
      </c>
      <c r="I44">
        <f>IFERROR(INDEX(tblDeviceConfig[PI_Result],ROW()-1),"")</f>
      </c>
      <c r="J44">
        <f>IFERROR(INDEX(tblDeviceConfig[PI_Validated_By],ROW()-1),"")</f>
      </c>
      <c r="K44">
        <f>IFERROR(INDEX(tblDeviceConfig[PI_Validated_Date],ROW()-1),"")</f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</c>
      <c r="C45" t="str">
        <f>IFERROR(INDEX(tblDeviceConfig[Deployed],ROW()-1),"")</f>
      </c>
      <c r="D45" t="str">
        <f>IFERROR(INDEX(tblDeviceConfig[Installed],ROW()-1),"")</f>
      </c>
      <c r="E45">
        <f>IFERROR(INDEX(tblDeviceConfig[Cybernet Hostname],ROW()-1),"")</f>
      </c>
      <c r="F45" t="str">
        <f>IFERROR(INDEX(tblDeviceConfig[Neuron Hostname],ROW()-1),"")</f>
      </c>
      <c r="G45">
        <f>IFERROR(INDEX(tblDeviceConfig[Software List],ROW()-1),"")</f>
      </c>
      <c r="H45">
        <f>IFERROR(INDEX(tblDeviceConfig[PI_Use_Case],ROW()-1),"")</f>
      </c>
      <c r="I45">
        <f>IFERROR(INDEX(tblDeviceConfig[PI_Result],ROW()-1),"")</f>
      </c>
      <c r="J45">
        <f>IFERROR(INDEX(tblDeviceConfig[PI_Validated_By],ROW()-1),"")</f>
      </c>
      <c r="K45">
        <f>IFERROR(INDEX(tblDeviceConfig[PI_Validated_Date],ROW()-1),"")</f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</c>
      <c r="C46" t="str">
        <f>IFERROR(INDEX(tblDeviceConfig[Deployed],ROW()-1),"")</f>
      </c>
      <c r="D46" t="str">
        <f>IFERROR(INDEX(tblDeviceConfig[Installed],ROW()-1),"")</f>
      </c>
      <c r="E46">
        <f>IFERROR(INDEX(tblDeviceConfig[Cybernet Hostname],ROW()-1),"")</f>
      </c>
      <c r="F46" t="str">
        <f>IFERROR(INDEX(tblDeviceConfig[Neuron Hostname],ROW()-1),"")</f>
      </c>
      <c r="G46">
        <f>IFERROR(INDEX(tblDeviceConfig[Software List],ROW()-1),"")</f>
      </c>
      <c r="H46">
        <f>IFERROR(INDEX(tblDeviceConfig[PI_Use_Case],ROW()-1),"")</f>
      </c>
      <c r="I46">
        <f>IFERROR(INDEX(tblDeviceConfig[PI_Result],ROW()-1),"")</f>
      </c>
      <c r="J46">
        <f>IFERROR(INDEX(tblDeviceConfig[PI_Validated_By],ROW()-1),"")</f>
      </c>
      <c r="K46">
        <f>IFERROR(INDEX(tblDeviceConfig[PI_Validated_Date],ROW()-1),"")</f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</c>
      <c r="C47" t="str">
        <f>IFERROR(INDEX(tblDeviceConfig[Deployed],ROW()-1),"")</f>
      </c>
      <c r="D47" t="str">
        <f>IFERROR(INDEX(tblDeviceConfig[Installed],ROW()-1),"")</f>
      </c>
      <c r="E47">
        <f>IFERROR(INDEX(tblDeviceConfig[Cybernet Hostname],ROW()-1),"")</f>
      </c>
      <c r="F47" t="str">
        <f>IFERROR(INDEX(tblDeviceConfig[Neuron Hostname],ROW()-1),"")</f>
      </c>
      <c r="G47">
        <f>IFERROR(INDEX(tblDeviceConfig[Software List],ROW()-1),"")</f>
      </c>
      <c r="H47">
        <f>IFERROR(INDEX(tblDeviceConfig[PI_Use_Case],ROW()-1),"")</f>
      </c>
      <c r="I47">
        <f>IFERROR(INDEX(tblDeviceConfig[PI_Result],ROW()-1),"")</f>
      </c>
      <c r="J47">
        <f>IFERROR(INDEX(tblDeviceConfig[PI_Validated_By],ROW()-1),"")</f>
      </c>
      <c r="K47">
        <f>IFERROR(INDEX(tblDeviceConfig[PI_Validated_Date],ROW()-1),"")</f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</c>
      <c r="C48" t="str">
        <f>IFERROR(INDEX(tblDeviceConfig[Deployed],ROW()-1),"")</f>
      </c>
      <c r="D48" t="str">
        <f>IFERROR(INDEX(tblDeviceConfig[Installed],ROW()-1),"")</f>
      </c>
      <c r="E48">
        <f>IFERROR(INDEX(tblDeviceConfig[Cybernet Hostname],ROW()-1),"")</f>
      </c>
      <c r="F48" t="str">
        <f>IFERROR(INDEX(tblDeviceConfig[Neuron Hostname],ROW()-1),"")</f>
      </c>
      <c r="G48">
        <f>IFERROR(INDEX(tblDeviceConfig[Software List],ROW()-1),"")</f>
      </c>
      <c r="H48">
        <f>IFERROR(INDEX(tblDeviceConfig[PI_Use_Case],ROW()-1),"")</f>
      </c>
      <c r="I48">
        <f>IFERROR(INDEX(tblDeviceConfig[PI_Result],ROW()-1),"")</f>
      </c>
      <c r="J48">
        <f>IFERROR(INDEX(tblDeviceConfig[PI_Validated_By],ROW()-1),"")</f>
      </c>
      <c r="K48">
        <f>IFERROR(INDEX(tblDeviceConfig[PI_Validated_Date],ROW()-1),"")</f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</c>
      <c r="C49" t="str">
        <f>IFERROR(INDEX(tblDeviceConfig[Deployed],ROW()-1),"")</f>
      </c>
      <c r="D49" t="str">
        <f>IFERROR(INDEX(tblDeviceConfig[Installed],ROW()-1),"")</f>
      </c>
      <c r="E49">
        <f>IFERROR(INDEX(tblDeviceConfig[Cybernet Hostname],ROW()-1),"")</f>
      </c>
      <c r="F49" t="str">
        <f>IFERROR(INDEX(tblDeviceConfig[Neuron Hostname],ROW()-1),"")</f>
      </c>
      <c r="G49">
        <f>IFERROR(INDEX(tblDeviceConfig[Software List],ROW()-1),"")</f>
      </c>
      <c r="H49">
        <f>IFERROR(INDEX(tblDeviceConfig[PI_Use_Case],ROW()-1),"")</f>
      </c>
      <c r="I49">
        <f>IFERROR(INDEX(tblDeviceConfig[PI_Result],ROW()-1),"")</f>
      </c>
      <c r="J49">
        <f>IFERROR(INDEX(tblDeviceConfig[PI_Validated_By],ROW()-1),"")</f>
      </c>
      <c r="K49">
        <f>IFERROR(INDEX(tblDeviceConfig[PI_Validated_Date],ROW()-1),"")</f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</c>
      <c r="C50" t="str">
        <f>IFERROR(INDEX(tblDeviceConfig[Deployed],ROW()-1),"")</f>
      </c>
      <c r="D50" t="str">
        <f>IFERROR(INDEX(tblDeviceConfig[Installed],ROW()-1),"")</f>
      </c>
      <c r="E50">
        <f>IFERROR(INDEX(tblDeviceConfig[Cybernet Hostname],ROW()-1),"")</f>
      </c>
      <c r="F50" t="str">
        <f>IFERROR(INDEX(tblDeviceConfig[Neuron Hostname],ROW()-1),"")</f>
      </c>
      <c r="G50">
        <f>IFERROR(INDEX(tblDeviceConfig[Software List],ROW()-1),"")</f>
      </c>
      <c r="H50">
        <f>IFERROR(INDEX(tblDeviceConfig[PI_Use_Case],ROW()-1),"")</f>
      </c>
      <c r="I50">
        <f>IFERROR(INDEX(tblDeviceConfig[PI_Result],ROW()-1),"")</f>
      </c>
      <c r="J50">
        <f>IFERROR(INDEX(tblDeviceConfig[PI_Validated_By],ROW()-1),"")</f>
      </c>
      <c r="K50">
        <f>IFERROR(INDEX(tblDeviceConfig[PI_Validated_Date],ROW()-1),"")</f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</c>
      <c r="C51" t="str">
        <f>IFERROR(INDEX(tblDeviceConfig[Deployed],ROW()-1),"")</f>
      </c>
      <c r="D51" t="str">
        <f>IFERROR(INDEX(tblDeviceConfig[Installed],ROW()-1),"")</f>
      </c>
      <c r="E51">
        <f>IFERROR(INDEX(tblDeviceConfig[Cybernet Hostname],ROW()-1),"")</f>
      </c>
      <c r="F51" t="str">
        <f>IFERROR(INDEX(tblDeviceConfig[Neuron Hostname],ROW()-1),"")</f>
      </c>
      <c r="G51">
        <f>IFERROR(INDEX(tblDeviceConfig[Software List],ROW()-1),"")</f>
      </c>
      <c r="H51">
        <f>IFERROR(INDEX(tblDeviceConfig[PI_Use_Case],ROW()-1),"")</f>
      </c>
      <c r="I51">
        <f>IFERROR(INDEX(tblDeviceConfig[PI_Result],ROW()-1),"")</f>
      </c>
      <c r="J51">
        <f>IFERROR(INDEX(tblDeviceConfig[PI_Validated_By],ROW()-1),"")</f>
      </c>
      <c r="K51">
        <f>IFERROR(INDEX(tblDeviceConfig[PI_Validated_Date],ROW()-1),"")</f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</c>
      <c r="C52" t="str">
        <f>IFERROR(INDEX(tblDeviceConfig[Deployed],ROW()-1),"")</f>
      </c>
      <c r="D52" t="str">
        <f>IFERROR(INDEX(tblDeviceConfig[Installed],ROW()-1),"")</f>
      </c>
      <c r="E52">
        <f>IFERROR(INDEX(tblDeviceConfig[Cybernet Hostname],ROW()-1),"")</f>
      </c>
      <c r="F52" t="str">
        <f>IFERROR(INDEX(tblDeviceConfig[Neuron Hostname],ROW()-1),"")</f>
      </c>
      <c r="G52">
        <f>IFERROR(INDEX(tblDeviceConfig[Software List],ROW()-1),"")</f>
      </c>
      <c r="H52">
        <f>IFERROR(INDEX(tblDeviceConfig[PI_Use_Case],ROW()-1),"")</f>
      </c>
      <c r="I52">
        <f>IFERROR(INDEX(tblDeviceConfig[PI_Result],ROW()-1),"")</f>
      </c>
      <c r="J52">
        <f>IFERROR(INDEX(tblDeviceConfig[PI_Validated_By],ROW()-1),"")</f>
      </c>
      <c r="K52">
        <f>IFERROR(INDEX(tblDeviceConfig[PI_Validated_Date],ROW()-1),"")</f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</c>
      <c r="C53" t="str">
        <f>IFERROR(INDEX(tblDeviceConfig[Deployed],ROW()-1),"")</f>
      </c>
      <c r="D53" t="str">
        <f>IFERROR(INDEX(tblDeviceConfig[Installed],ROW()-1),"")</f>
      </c>
      <c r="E53">
        <f>IFERROR(INDEX(tblDeviceConfig[Cybernet Hostname],ROW()-1),"")</f>
      </c>
      <c r="F53" t="str">
        <f>IFERROR(INDEX(tblDeviceConfig[Neuron Hostname],ROW()-1),"")</f>
      </c>
      <c r="G53">
        <f>IFERROR(INDEX(tblDeviceConfig[Software List],ROW()-1),"")</f>
      </c>
      <c r="H53">
        <f>IFERROR(INDEX(tblDeviceConfig[PI_Use_Case],ROW()-1),"")</f>
      </c>
      <c r="I53">
        <f>IFERROR(INDEX(tblDeviceConfig[PI_Result],ROW()-1),"")</f>
      </c>
      <c r="J53">
        <f>IFERROR(INDEX(tblDeviceConfig[PI_Validated_By],ROW()-1),"")</f>
      </c>
      <c r="K53">
        <f>IFERROR(INDEX(tblDeviceConfig[PI_Validated_Date],ROW()-1),"")</f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</c>
      <c r="C54" t="str">
        <f>IFERROR(INDEX(tblDeviceConfig[Deployed],ROW()-1),"")</f>
      </c>
      <c r="D54" t="str">
        <f>IFERROR(INDEX(tblDeviceConfig[Installed],ROW()-1),"")</f>
      </c>
      <c r="E54">
        <f>IFERROR(INDEX(tblDeviceConfig[Cybernet Hostname],ROW()-1),"")</f>
      </c>
      <c r="F54" t="str">
        <f>IFERROR(INDEX(tblDeviceConfig[Neuron Hostname],ROW()-1),"")</f>
      </c>
      <c r="G54">
        <f>IFERROR(INDEX(tblDeviceConfig[Software List],ROW()-1),"")</f>
      </c>
      <c r="H54">
        <f>IFERROR(INDEX(tblDeviceConfig[PI_Use_Case],ROW()-1),"")</f>
      </c>
      <c r="I54">
        <f>IFERROR(INDEX(tblDeviceConfig[PI_Result],ROW()-1),"")</f>
      </c>
      <c r="J54">
        <f>IFERROR(INDEX(tblDeviceConfig[PI_Validated_By],ROW()-1),"")</f>
      </c>
      <c r="K54">
        <f>IFERROR(INDEX(tblDeviceConfig[PI_Validated_Date],ROW()-1),"")</f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</c>
      <c r="C55" t="str">
        <f>IFERROR(INDEX(tblDeviceConfig[Deployed],ROW()-1),"")</f>
      </c>
      <c r="D55" t="str">
        <f>IFERROR(INDEX(tblDeviceConfig[Installed],ROW()-1),"")</f>
      </c>
      <c r="E55">
        <f>IFERROR(INDEX(tblDeviceConfig[Cybernet Hostname],ROW()-1),"")</f>
      </c>
      <c r="F55" t="str">
        <f>IFERROR(INDEX(tblDeviceConfig[Neuron Hostname],ROW()-1),"")</f>
      </c>
      <c r="G55">
        <f>IFERROR(INDEX(tblDeviceConfig[Software List],ROW()-1),"")</f>
      </c>
      <c r="H55">
        <f>IFERROR(INDEX(tblDeviceConfig[PI_Use_Case],ROW()-1),"")</f>
      </c>
      <c r="I55">
        <f>IFERROR(INDEX(tblDeviceConfig[PI_Result],ROW()-1),"")</f>
      </c>
      <c r="J55">
        <f>IFERROR(INDEX(tblDeviceConfig[PI_Validated_By],ROW()-1),"")</f>
      </c>
      <c r="K55">
        <f>IFERROR(INDEX(tblDeviceConfig[PI_Validated_Date],ROW()-1),"")</f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</c>
      <c r="C56" t="str">
        <f>IFERROR(INDEX(tblDeviceConfig[Deployed],ROW()-1),"")</f>
      </c>
      <c r="D56" t="str">
        <f>IFERROR(INDEX(tblDeviceConfig[Installed],ROW()-1),"")</f>
      </c>
      <c r="E56">
        <f>IFERROR(INDEX(tblDeviceConfig[Cybernet Hostname],ROW()-1),"")</f>
      </c>
      <c r="F56" t="str">
        <f>IFERROR(INDEX(tblDeviceConfig[Neuron Hostname],ROW()-1),"")</f>
      </c>
      <c r="G56">
        <f>IFERROR(INDEX(tblDeviceConfig[Software List],ROW()-1),"")</f>
      </c>
      <c r="H56">
        <f>IFERROR(INDEX(tblDeviceConfig[PI_Use_Case],ROW()-1),"")</f>
      </c>
      <c r="I56">
        <f>IFERROR(INDEX(tblDeviceConfig[PI_Result],ROW()-1),"")</f>
      </c>
      <c r="J56">
        <f>IFERROR(INDEX(tblDeviceConfig[PI_Validated_By],ROW()-1),"")</f>
      </c>
      <c r="K56">
        <f>IFERROR(INDEX(tblDeviceConfig[PI_Validated_Date],ROW()-1),"")</f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</c>
      <c r="C57" t="str">
        <f>IFERROR(INDEX(tblDeviceConfig[Deployed],ROW()-1),"")</f>
      </c>
      <c r="D57" t="str">
        <f>IFERROR(INDEX(tblDeviceConfig[Installed],ROW()-1),"")</f>
      </c>
      <c r="E57">
        <f>IFERROR(INDEX(tblDeviceConfig[Cybernet Hostname],ROW()-1),"")</f>
      </c>
      <c r="F57" t="str">
        <f>IFERROR(INDEX(tblDeviceConfig[Neuron Hostname],ROW()-1),"")</f>
      </c>
      <c r="G57">
        <f>IFERROR(INDEX(tblDeviceConfig[Software List],ROW()-1),"")</f>
      </c>
      <c r="H57">
        <f>IFERROR(INDEX(tblDeviceConfig[PI_Use_Case],ROW()-1),"")</f>
      </c>
      <c r="I57">
        <f>IFERROR(INDEX(tblDeviceConfig[PI_Result],ROW()-1),"")</f>
      </c>
      <c r="J57">
        <f>IFERROR(INDEX(tblDeviceConfig[PI_Validated_By],ROW()-1),"")</f>
      </c>
      <c r="K57">
        <f>IFERROR(INDEX(tblDeviceConfig[PI_Validated_Date],ROW()-1),"")</f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</c>
      <c r="C58" t="str">
        <f>IFERROR(INDEX(tblDeviceConfig[Deployed],ROW()-1),"")</f>
      </c>
      <c r="D58" t="str">
        <f>IFERROR(INDEX(tblDeviceConfig[Installed],ROW()-1),"")</f>
      </c>
      <c r="E58">
        <f>IFERROR(INDEX(tblDeviceConfig[Cybernet Hostname],ROW()-1),"")</f>
      </c>
      <c r="F58" t="str">
        <f>IFERROR(INDEX(tblDeviceConfig[Neuron Hostname],ROW()-1),"")</f>
      </c>
      <c r="G58">
        <f>IFERROR(INDEX(tblDeviceConfig[Software List],ROW()-1),"")</f>
      </c>
      <c r="H58">
        <f>IFERROR(INDEX(tblDeviceConfig[PI_Use_Case],ROW()-1),"")</f>
      </c>
      <c r="I58">
        <f>IFERROR(INDEX(tblDeviceConfig[PI_Result],ROW()-1),"")</f>
      </c>
      <c r="J58">
        <f>IFERROR(INDEX(tblDeviceConfig[PI_Validated_By],ROW()-1),"")</f>
      </c>
      <c r="K58">
        <f>IFERROR(INDEX(tblDeviceConfig[PI_Validated_Date],ROW()-1),"")</f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</c>
      <c r="C59" t="str">
        <f>IFERROR(INDEX(tblDeviceConfig[Deployed],ROW()-1),"")</f>
      </c>
      <c r="D59" t="str">
        <f>IFERROR(INDEX(tblDeviceConfig[Installed],ROW()-1),"")</f>
      </c>
      <c r="E59">
        <f>IFERROR(INDEX(tblDeviceConfig[Cybernet Hostname],ROW()-1),"")</f>
      </c>
      <c r="F59" t="str">
        <f>IFERROR(INDEX(tblDeviceConfig[Neuron Hostname],ROW()-1),"")</f>
      </c>
      <c r="G59">
        <f>IFERROR(INDEX(tblDeviceConfig[Software List],ROW()-1),"")</f>
      </c>
      <c r="H59">
        <f>IFERROR(INDEX(tblDeviceConfig[PI_Use_Case],ROW()-1),"")</f>
      </c>
      <c r="I59">
        <f>IFERROR(INDEX(tblDeviceConfig[PI_Result],ROW()-1),"")</f>
      </c>
      <c r="J59">
        <f>IFERROR(INDEX(tblDeviceConfig[PI_Validated_By],ROW()-1),"")</f>
      </c>
      <c r="K59">
        <f>IFERROR(INDEX(tblDeviceConfig[PI_Validated_Date],ROW()-1),"")</f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</c>
      <c r="C60" t="str">
        <f>IFERROR(INDEX(tblDeviceConfig[Deployed],ROW()-1),"")</f>
      </c>
      <c r="D60" t="str">
        <f>IFERROR(INDEX(tblDeviceConfig[Installed],ROW()-1),"")</f>
      </c>
      <c r="E60">
        <f>IFERROR(INDEX(tblDeviceConfig[Cybernet Hostname],ROW()-1),"")</f>
      </c>
      <c r="F60" t="str">
        <f>IFERROR(INDEX(tblDeviceConfig[Neuron Hostname],ROW()-1),"")</f>
      </c>
      <c r="G60">
        <f>IFERROR(INDEX(tblDeviceConfig[Software List],ROW()-1),"")</f>
      </c>
      <c r="H60">
        <f>IFERROR(INDEX(tblDeviceConfig[PI_Use_Case],ROW()-1),"")</f>
      </c>
      <c r="I60">
        <f>IFERROR(INDEX(tblDeviceConfig[PI_Result],ROW()-1),"")</f>
      </c>
      <c r="J60">
        <f>IFERROR(INDEX(tblDeviceConfig[PI_Validated_By],ROW()-1),"")</f>
      </c>
      <c r="K60">
        <f>IFERROR(INDEX(tblDeviceConfig[PI_Validated_Date],ROW()-1),"")</f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</c>
      <c r="C61" t="str">
        <f>IFERROR(INDEX(tblDeviceConfig[Deployed],ROW()-1),"")</f>
      </c>
      <c r="D61" t="str">
        <f>IFERROR(INDEX(tblDeviceConfig[Installed],ROW()-1),"")</f>
      </c>
      <c r="E61">
        <f>IFERROR(INDEX(tblDeviceConfig[Cybernet Hostname],ROW()-1),"")</f>
      </c>
      <c r="F61" t="str">
        <f>IFERROR(INDEX(tblDeviceConfig[Neuron Hostname],ROW()-1),"")</f>
      </c>
      <c r="G61">
        <f>IFERROR(INDEX(tblDeviceConfig[Software List],ROW()-1),"")</f>
      </c>
      <c r="H61">
        <f>IFERROR(INDEX(tblDeviceConfig[PI_Use_Case],ROW()-1),"")</f>
      </c>
      <c r="I61">
        <f>IFERROR(INDEX(tblDeviceConfig[PI_Result],ROW()-1),"")</f>
      </c>
      <c r="J61">
        <f>IFERROR(INDEX(tblDeviceConfig[PI_Validated_By],ROW()-1),"")</f>
      </c>
      <c r="K61">
        <f>IFERROR(INDEX(tblDeviceConfig[PI_Validated_Date],ROW()-1),"")</f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</c>
      <c r="C62" t="str">
        <f>IFERROR(INDEX(tblDeviceConfig[Deployed],ROW()-1),"")</f>
      </c>
      <c r="D62" t="str">
        <f>IFERROR(INDEX(tblDeviceConfig[Installed],ROW()-1),"")</f>
      </c>
      <c r="E62">
        <f>IFERROR(INDEX(tblDeviceConfig[Cybernet Hostname],ROW()-1),"")</f>
      </c>
      <c r="F62" t="str">
        <f>IFERROR(INDEX(tblDeviceConfig[Neuron Hostname],ROW()-1),"")</f>
      </c>
      <c r="G62">
        <f>IFERROR(INDEX(tblDeviceConfig[Software List],ROW()-1),"")</f>
      </c>
      <c r="H62">
        <f>IFERROR(INDEX(tblDeviceConfig[PI_Use_Case],ROW()-1),"")</f>
      </c>
      <c r="I62">
        <f>IFERROR(INDEX(tblDeviceConfig[PI_Result],ROW()-1),"")</f>
      </c>
      <c r="J62">
        <f>IFERROR(INDEX(tblDeviceConfig[PI_Validated_By],ROW()-1),"")</f>
      </c>
      <c r="K62">
        <f>IFERROR(INDEX(tblDeviceConfig[PI_Validated_Date],ROW()-1),"")</f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</c>
      <c r="C63" t="str">
        <f>IFERROR(INDEX(tblDeviceConfig[Deployed],ROW()-1),"")</f>
      </c>
      <c r="D63" t="str">
        <f>IFERROR(INDEX(tblDeviceConfig[Installed],ROW()-1),"")</f>
      </c>
      <c r="E63">
        <f>IFERROR(INDEX(tblDeviceConfig[Cybernet Hostname],ROW()-1),"")</f>
      </c>
      <c r="F63" t="str">
        <f>IFERROR(INDEX(tblDeviceConfig[Neuron Hostname],ROW()-1),"")</f>
      </c>
      <c r="G63">
        <f>IFERROR(INDEX(tblDeviceConfig[Software List],ROW()-1),"")</f>
      </c>
      <c r="H63">
        <f>IFERROR(INDEX(tblDeviceConfig[PI_Use_Case],ROW()-1),"")</f>
      </c>
      <c r="I63">
        <f>IFERROR(INDEX(tblDeviceConfig[PI_Result],ROW()-1),"")</f>
      </c>
      <c r="J63">
        <f>IFERROR(INDEX(tblDeviceConfig[PI_Validated_By],ROW()-1),"")</f>
      </c>
      <c r="K63">
        <f>IFERROR(INDEX(tblDeviceConfig[PI_Validated_Date],ROW()-1),"")</f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</c>
      <c r="C64" t="str">
        <f>IFERROR(INDEX(tblDeviceConfig[Deployed],ROW()-1),"")</f>
      </c>
      <c r="D64" t="str">
        <f>IFERROR(INDEX(tblDeviceConfig[Installed],ROW()-1),"")</f>
      </c>
      <c r="E64">
        <f>IFERROR(INDEX(tblDeviceConfig[Cybernet Hostname],ROW()-1),"")</f>
      </c>
      <c r="F64" t="str">
        <f>IFERROR(INDEX(tblDeviceConfig[Neuron Hostname],ROW()-1),"")</f>
      </c>
      <c r="G64">
        <f>IFERROR(INDEX(tblDeviceConfig[Software List],ROW()-1),"")</f>
      </c>
      <c r="H64">
        <f>IFERROR(INDEX(tblDeviceConfig[PI_Use_Case],ROW()-1),"")</f>
      </c>
      <c r="I64">
        <f>IFERROR(INDEX(tblDeviceConfig[PI_Result],ROW()-1),"")</f>
      </c>
      <c r="J64">
        <f>IFERROR(INDEX(tblDeviceConfig[PI_Validated_By],ROW()-1),"")</f>
      </c>
      <c r="K64">
        <f>IFERROR(INDEX(tblDeviceConfig[PI_Validated_Date],ROW()-1),"")</f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</c>
      <c r="C65" t="str">
        <f>IFERROR(INDEX(tblDeviceConfig[Deployed],ROW()-1),"")</f>
      </c>
      <c r="D65" t="str">
        <f>IFERROR(INDEX(tblDeviceConfig[Installed],ROW()-1),"")</f>
      </c>
      <c r="E65">
        <f>IFERROR(INDEX(tblDeviceConfig[Cybernet Hostname],ROW()-1),"")</f>
      </c>
      <c r="F65" t="str">
        <f>IFERROR(INDEX(tblDeviceConfig[Neuron Hostname],ROW()-1),"")</f>
      </c>
      <c r="G65">
        <f>IFERROR(INDEX(tblDeviceConfig[Software List],ROW()-1),"")</f>
      </c>
      <c r="H65">
        <f>IFERROR(INDEX(tblDeviceConfig[PI_Use_Case],ROW()-1),"")</f>
      </c>
      <c r="I65">
        <f>IFERROR(INDEX(tblDeviceConfig[PI_Result],ROW()-1),"")</f>
      </c>
      <c r="J65">
        <f>IFERROR(INDEX(tblDeviceConfig[PI_Validated_By],ROW()-1),"")</f>
      </c>
      <c r="K65">
        <f>IFERROR(INDEX(tblDeviceConfig[PI_Validated_Date],ROW()-1),"")</f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</c>
      <c r="C66" t="str">
        <f>IFERROR(INDEX(tblDeviceConfig[Deployed],ROW()-1),"")</f>
      </c>
      <c r="D66" t="str">
        <f>IFERROR(INDEX(tblDeviceConfig[Installed],ROW()-1),"")</f>
      </c>
      <c r="E66">
        <f>IFERROR(INDEX(tblDeviceConfig[Cybernet Hostname],ROW()-1),"")</f>
      </c>
      <c r="F66" t="str">
        <f>IFERROR(INDEX(tblDeviceConfig[Neuron Hostname],ROW()-1),"")</f>
      </c>
      <c r="G66">
        <f>IFERROR(INDEX(tblDeviceConfig[Software List],ROW()-1),"")</f>
      </c>
      <c r="H66">
        <f>IFERROR(INDEX(tblDeviceConfig[PI_Use_Case],ROW()-1),"")</f>
      </c>
      <c r="I66">
        <f>IFERROR(INDEX(tblDeviceConfig[PI_Result],ROW()-1),"")</f>
      </c>
      <c r="J66">
        <f>IFERROR(INDEX(tblDeviceConfig[PI_Validated_By],ROW()-1),"")</f>
      </c>
      <c r="K66">
        <f>IFERROR(INDEX(tblDeviceConfig[PI_Validated_Date],ROW()-1),"")</f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</c>
      <c r="C67" t="str">
        <f>IFERROR(INDEX(tblDeviceConfig[Deployed],ROW()-1),"")</f>
      </c>
      <c r="D67" t="str">
        <f>IFERROR(INDEX(tblDeviceConfig[Installed],ROW()-1),"")</f>
      </c>
      <c r="E67">
        <f>IFERROR(INDEX(tblDeviceConfig[Cybernet Hostname],ROW()-1),"")</f>
      </c>
      <c r="F67" t="str">
        <f>IFERROR(INDEX(tblDeviceConfig[Neuron Hostname],ROW()-1),"")</f>
      </c>
      <c r="G67">
        <f>IFERROR(INDEX(tblDeviceConfig[Software List],ROW()-1),"")</f>
      </c>
      <c r="H67">
        <f>IFERROR(INDEX(tblDeviceConfig[PI_Use_Case],ROW()-1),"")</f>
      </c>
      <c r="I67">
        <f>IFERROR(INDEX(tblDeviceConfig[PI_Result],ROW()-1),"")</f>
      </c>
      <c r="J67">
        <f>IFERROR(INDEX(tblDeviceConfig[PI_Validated_By],ROW()-1),"")</f>
      </c>
      <c r="K67">
        <f>IFERROR(INDEX(tblDeviceConfig[PI_Validated_Date],ROW()-1),"")</f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</c>
      <c r="C68" t="str">
        <f>IFERROR(INDEX(tblDeviceConfig[Deployed],ROW()-1),"")</f>
      </c>
      <c r="D68" t="str">
        <f>IFERROR(INDEX(tblDeviceConfig[Installed],ROW()-1),"")</f>
      </c>
      <c r="E68">
        <f>IFERROR(INDEX(tblDeviceConfig[Cybernet Hostname],ROW()-1),"")</f>
      </c>
      <c r="F68" t="str">
        <f>IFERROR(INDEX(tblDeviceConfig[Neuron Hostname],ROW()-1),"")</f>
      </c>
      <c r="G68">
        <f>IFERROR(INDEX(tblDeviceConfig[Software List],ROW()-1),"")</f>
      </c>
      <c r="H68">
        <f>IFERROR(INDEX(tblDeviceConfig[PI_Use_Case],ROW()-1),"")</f>
      </c>
      <c r="I68">
        <f>IFERROR(INDEX(tblDeviceConfig[PI_Result],ROW()-1),"")</f>
      </c>
      <c r="J68">
        <f>IFERROR(INDEX(tblDeviceConfig[PI_Validated_By],ROW()-1),"")</f>
      </c>
      <c r="K68">
        <f>IFERROR(INDEX(tblDeviceConfig[PI_Validated_Date],ROW()-1),"")</f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</c>
      <c r="C69" t="str">
        <f>IFERROR(INDEX(tblDeviceConfig[Deployed],ROW()-1),"")</f>
      </c>
      <c r="D69" t="str">
        <f>IFERROR(INDEX(tblDeviceConfig[Installed],ROW()-1),"")</f>
      </c>
      <c r="E69">
        <f>IFERROR(INDEX(tblDeviceConfig[Cybernet Hostname],ROW()-1),"")</f>
      </c>
      <c r="F69" t="str">
        <f>IFERROR(INDEX(tblDeviceConfig[Neuron Hostname],ROW()-1),"")</f>
      </c>
      <c r="G69">
        <f>IFERROR(INDEX(tblDeviceConfig[Software List],ROW()-1),"")</f>
      </c>
      <c r="H69">
        <f>IFERROR(INDEX(tblDeviceConfig[PI_Use_Case],ROW()-1),"")</f>
      </c>
      <c r="I69">
        <f>IFERROR(INDEX(tblDeviceConfig[PI_Result],ROW()-1),"")</f>
      </c>
      <c r="J69">
        <f>IFERROR(INDEX(tblDeviceConfig[PI_Validated_By],ROW()-1),"")</f>
      </c>
      <c r="K69">
        <f>IFERROR(INDEX(tblDeviceConfig[PI_Validated_Date],ROW()-1),"")</f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</c>
      <c r="C70" t="str">
        <f>IFERROR(INDEX(tblDeviceConfig[Deployed],ROW()-1),"")</f>
      </c>
      <c r="D70" t="str">
        <f>IFERROR(INDEX(tblDeviceConfig[Installed],ROW()-1),"")</f>
      </c>
      <c r="E70">
        <f>IFERROR(INDEX(tblDeviceConfig[Cybernet Hostname],ROW()-1),"")</f>
      </c>
      <c r="F70" t="str">
        <f>IFERROR(INDEX(tblDeviceConfig[Neuron Hostname],ROW()-1),"")</f>
      </c>
      <c r="G70">
        <f>IFERROR(INDEX(tblDeviceConfig[Software List],ROW()-1),"")</f>
      </c>
      <c r="H70">
        <f>IFERROR(INDEX(tblDeviceConfig[PI_Use_Case],ROW()-1),"")</f>
      </c>
      <c r="I70">
        <f>IFERROR(INDEX(tblDeviceConfig[PI_Result],ROW()-1),"")</f>
      </c>
      <c r="J70">
        <f>IFERROR(INDEX(tblDeviceConfig[PI_Validated_By],ROW()-1),"")</f>
      </c>
      <c r="K70">
        <f>IFERROR(INDEX(tblDeviceConfig[PI_Validated_Date],ROW()-1),"")</f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</c>
      <c r="C71" t="str">
        <f>IFERROR(INDEX(tblDeviceConfig[Deployed],ROW()-1),"")</f>
      </c>
      <c r="D71" t="str">
        <f>IFERROR(INDEX(tblDeviceConfig[Installed],ROW()-1),"")</f>
      </c>
      <c r="E71">
        <f>IFERROR(INDEX(tblDeviceConfig[Cybernet Hostname],ROW()-1),"")</f>
      </c>
      <c r="F71" t="str">
        <f>IFERROR(INDEX(tblDeviceConfig[Neuron Hostname],ROW()-1),"")</f>
      </c>
      <c r="G71">
        <f>IFERROR(INDEX(tblDeviceConfig[Software List],ROW()-1),"")</f>
      </c>
      <c r="H71">
        <f>IFERROR(INDEX(tblDeviceConfig[PI_Use_Case],ROW()-1),"")</f>
      </c>
      <c r="I71">
        <f>IFERROR(INDEX(tblDeviceConfig[PI_Result],ROW()-1),"")</f>
      </c>
      <c r="J71">
        <f>IFERROR(INDEX(tblDeviceConfig[PI_Validated_By],ROW()-1),"")</f>
      </c>
      <c r="K71">
        <f>IFERROR(INDEX(tblDeviceConfig[PI_Validated_Date],ROW()-1),"")</f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</c>
      <c r="C72" t="str">
        <f>IFERROR(INDEX(tblDeviceConfig[Deployed],ROW()-1),"")</f>
      </c>
      <c r="D72" t="str">
        <f>IFERROR(INDEX(tblDeviceConfig[Installed],ROW()-1),"")</f>
      </c>
      <c r="E72">
        <f>IFERROR(INDEX(tblDeviceConfig[Cybernet Hostname],ROW()-1),"")</f>
      </c>
      <c r="F72" t="str">
        <f>IFERROR(INDEX(tblDeviceConfig[Neuron Hostname],ROW()-1),"")</f>
      </c>
      <c r="G72">
        <f>IFERROR(INDEX(tblDeviceConfig[Software List],ROW()-1),"")</f>
      </c>
      <c r="H72">
        <f>IFERROR(INDEX(tblDeviceConfig[PI_Use_Case],ROW()-1),"")</f>
      </c>
      <c r="I72">
        <f>IFERROR(INDEX(tblDeviceConfig[PI_Result],ROW()-1),"")</f>
      </c>
      <c r="J72">
        <f>IFERROR(INDEX(tblDeviceConfig[PI_Validated_By],ROW()-1),"")</f>
      </c>
      <c r="K72">
        <f>IFERROR(INDEX(tblDeviceConfig[PI_Validated_Date],ROW()-1),"")</f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</c>
      <c r="C73" t="str">
        <f>IFERROR(INDEX(tblDeviceConfig[Deployed],ROW()-1),"")</f>
      </c>
      <c r="D73" t="str">
        <f>IFERROR(INDEX(tblDeviceConfig[Installed],ROW()-1),"")</f>
      </c>
      <c r="E73">
        <f>IFERROR(INDEX(tblDeviceConfig[Cybernet Hostname],ROW()-1),"")</f>
      </c>
      <c r="F73" t="str">
        <f>IFERROR(INDEX(tblDeviceConfig[Neuron Hostname],ROW()-1),"")</f>
      </c>
      <c r="G73">
        <f>IFERROR(INDEX(tblDeviceConfig[Software List],ROW()-1),"")</f>
      </c>
      <c r="H73">
        <f>IFERROR(INDEX(tblDeviceConfig[PI_Use_Case],ROW()-1),"")</f>
      </c>
      <c r="I73">
        <f>IFERROR(INDEX(tblDeviceConfig[PI_Result],ROW()-1),"")</f>
      </c>
      <c r="J73">
        <f>IFERROR(INDEX(tblDeviceConfig[PI_Validated_By],ROW()-1),"")</f>
      </c>
      <c r="K73">
        <f>IFERROR(INDEX(tblDeviceConfig[PI_Validated_Date],ROW()-1),"")</f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</c>
      <c r="C74" t="str">
        <f>IFERROR(INDEX(tblDeviceConfig[Deployed],ROW()-1),"")</f>
      </c>
      <c r="D74" t="str">
        <f>IFERROR(INDEX(tblDeviceConfig[Installed],ROW()-1),"")</f>
      </c>
      <c r="E74">
        <f>IFERROR(INDEX(tblDeviceConfig[Cybernet Hostname],ROW()-1),"")</f>
      </c>
      <c r="F74" t="str">
        <f>IFERROR(INDEX(tblDeviceConfig[Neuron Hostname],ROW()-1),"")</f>
      </c>
      <c r="G74">
        <f>IFERROR(INDEX(tblDeviceConfig[Software List],ROW()-1),"")</f>
      </c>
      <c r="H74">
        <f>IFERROR(INDEX(tblDeviceConfig[PI_Use_Case],ROW()-1),"")</f>
      </c>
      <c r="I74">
        <f>IFERROR(INDEX(tblDeviceConfig[PI_Result],ROW()-1),"")</f>
      </c>
      <c r="J74">
        <f>IFERROR(INDEX(tblDeviceConfig[PI_Validated_By],ROW()-1),"")</f>
      </c>
      <c r="K74">
        <f>IFERROR(INDEX(tblDeviceConfig[PI_Validated_Date],ROW()-1),"")</f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</c>
      <c r="C75" t="str">
        <f>IFERROR(INDEX(tblDeviceConfig[Deployed],ROW()-1),"")</f>
      </c>
      <c r="D75" t="str">
        <f>IFERROR(INDEX(tblDeviceConfig[Installed],ROW()-1),"")</f>
      </c>
      <c r="E75">
        <f>IFERROR(INDEX(tblDeviceConfig[Cybernet Hostname],ROW()-1),"")</f>
      </c>
      <c r="F75" t="str">
        <f>IFERROR(INDEX(tblDeviceConfig[Neuron Hostname],ROW()-1),"")</f>
      </c>
      <c r="G75">
        <f>IFERROR(INDEX(tblDeviceConfig[Software List],ROW()-1),"")</f>
      </c>
      <c r="H75">
        <f>IFERROR(INDEX(tblDeviceConfig[PI_Use_Case],ROW()-1),"")</f>
      </c>
      <c r="I75">
        <f>IFERROR(INDEX(tblDeviceConfig[PI_Result],ROW()-1),"")</f>
      </c>
      <c r="J75">
        <f>IFERROR(INDEX(tblDeviceConfig[PI_Validated_By],ROW()-1),"")</f>
      </c>
      <c r="K75">
        <f>IFERROR(INDEX(tblDeviceConfig[PI_Validated_Date],ROW()-1),"")</f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</c>
      <c r="C76" t="str">
        <f>IFERROR(INDEX(tblDeviceConfig[Deployed],ROW()-1),"")</f>
      </c>
      <c r="D76" t="str">
        <f>IFERROR(INDEX(tblDeviceConfig[Installed],ROW()-1),"")</f>
      </c>
      <c r="E76">
        <f>IFERROR(INDEX(tblDeviceConfig[Cybernet Hostname],ROW()-1),"")</f>
      </c>
      <c r="F76" t="str">
        <f>IFERROR(INDEX(tblDeviceConfig[Neuron Hostname],ROW()-1),"")</f>
      </c>
      <c r="G76">
        <f>IFERROR(INDEX(tblDeviceConfig[Software List],ROW()-1),"")</f>
      </c>
      <c r="H76">
        <f>IFERROR(INDEX(tblDeviceConfig[PI_Use_Case],ROW()-1),"")</f>
      </c>
      <c r="I76">
        <f>IFERROR(INDEX(tblDeviceConfig[PI_Result],ROW()-1),"")</f>
      </c>
      <c r="J76">
        <f>IFERROR(INDEX(tblDeviceConfig[PI_Validated_By],ROW()-1),"")</f>
      </c>
      <c r="K76">
        <f>IFERROR(INDEX(tblDeviceConfig[PI_Validated_Date],ROW()-1),"")</f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</c>
      <c r="C77" t="str">
        <f>IFERROR(INDEX(tblDeviceConfig[Deployed],ROW()-1),"")</f>
      </c>
      <c r="D77" t="str">
        <f>IFERROR(INDEX(tblDeviceConfig[Installed],ROW()-1),"")</f>
      </c>
      <c r="E77">
        <f>IFERROR(INDEX(tblDeviceConfig[Cybernet Hostname],ROW()-1),"")</f>
      </c>
      <c r="F77" t="str">
        <f>IFERROR(INDEX(tblDeviceConfig[Neuron Hostname],ROW()-1),"")</f>
      </c>
      <c r="G77">
        <f>IFERROR(INDEX(tblDeviceConfig[Software List],ROW()-1),"")</f>
      </c>
      <c r="H77">
        <f>IFERROR(INDEX(tblDeviceConfig[PI_Use_Case],ROW()-1),"")</f>
      </c>
      <c r="I77">
        <f>IFERROR(INDEX(tblDeviceConfig[PI_Result],ROW()-1),"")</f>
      </c>
      <c r="J77">
        <f>IFERROR(INDEX(tblDeviceConfig[PI_Validated_By],ROW()-1),"")</f>
      </c>
      <c r="K77">
        <f>IFERROR(INDEX(tblDeviceConfig[PI_Validated_Date],ROW()-1),"")</f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</c>
      <c r="C78">
        <f>IFERROR(INDEX(tblDeviceConfig[Deployed],ROW()-1),"")</f>
      </c>
      <c r="D78" t="str">
        <f>IFERROR(INDEX(tblDeviceConfig[Installed],ROW()-1),"")</f>
      </c>
      <c r="E78">
        <f>IFERROR(INDEX(tblDeviceConfig[Cybernet Hostname],ROW()-1),"")</f>
      </c>
      <c r="F78" t="str">
        <f>IFERROR(INDEX(tblDeviceConfig[Neuron Hostname],ROW()-1),"")</f>
      </c>
      <c r="G78">
        <f>IFERROR(INDEX(tblDeviceConfig[Software List],ROW()-1),"")</f>
      </c>
      <c r="H78">
        <f>IFERROR(INDEX(tblDeviceConfig[PI_Use_Case],ROW()-1),"")</f>
      </c>
      <c r="I78">
        <f>IFERROR(INDEX(tblDeviceConfig[PI_Result],ROW()-1),"")</f>
      </c>
      <c r="J78">
        <f>IFERROR(INDEX(tblDeviceConfig[PI_Validated_By],ROW()-1),"")</f>
      </c>
      <c r="K78">
        <f>IFERROR(INDEX(tblDeviceConfig[PI_Validated_Date],ROW()-1),"")</f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</c>
      <c r="C79">
        <f>IFERROR(INDEX(tblDeviceConfig[Deployed],ROW()-1),"")</f>
      </c>
      <c r="D79" t="str">
        <f>IFERROR(INDEX(tblDeviceConfig[Installed],ROW()-1),"")</f>
      </c>
      <c r="E79">
        <f>IFERROR(INDEX(tblDeviceConfig[Cybernet Hostname],ROW()-1),"")</f>
      </c>
      <c r="F79" t="str">
        <f>IFERROR(INDEX(tblDeviceConfig[Neuron Hostname],ROW()-1),"")</f>
      </c>
      <c r="G79">
        <f>IFERROR(INDEX(tblDeviceConfig[Software List],ROW()-1),"")</f>
      </c>
      <c r="H79">
        <f>IFERROR(INDEX(tblDeviceConfig[PI_Use_Case],ROW()-1),"")</f>
      </c>
      <c r="I79">
        <f>IFERROR(INDEX(tblDeviceConfig[PI_Result],ROW()-1),"")</f>
      </c>
      <c r="J79">
        <f>IFERROR(INDEX(tblDeviceConfig[PI_Validated_By],ROW()-1),"")</f>
      </c>
      <c r="K79">
        <f>IFERROR(INDEX(tblDeviceConfig[PI_Validated_Date],ROW()-1),"")</f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</c>
      <c r="C80">
        <f>IFERROR(INDEX(tblDeviceConfig[Deployed],ROW()-1),"")</f>
      </c>
      <c r="D80" t="str">
        <f>IFERROR(INDEX(tblDeviceConfig[Installed],ROW()-1),"")</f>
      </c>
      <c r="E80">
        <f>IFERROR(INDEX(tblDeviceConfig[Cybernet Hostname],ROW()-1),"")</f>
      </c>
      <c r="F80" t="str">
        <f>IFERROR(INDEX(tblDeviceConfig[Neuron Hostname],ROW()-1),"")</f>
      </c>
      <c r="G80">
        <f>IFERROR(INDEX(tblDeviceConfig[Software List],ROW()-1),"")</f>
      </c>
      <c r="H80">
        <f>IFERROR(INDEX(tblDeviceConfig[PI_Use_Case],ROW()-1),"")</f>
      </c>
      <c r="I80">
        <f>IFERROR(INDEX(tblDeviceConfig[PI_Result],ROW()-1),"")</f>
      </c>
      <c r="J80">
        <f>IFERROR(INDEX(tblDeviceConfig[PI_Validated_By],ROW()-1),"")</f>
      </c>
      <c r="K80">
        <f>IFERROR(INDEX(tblDeviceConfig[PI_Validated_Date],ROW()-1),"")</f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</c>
      <c r="C81">
        <f>IFERROR(INDEX(tblDeviceConfig[Deployed],ROW()-1),"")</f>
      </c>
      <c r="D81" t="str">
        <f>IFERROR(INDEX(tblDeviceConfig[Installed],ROW()-1),"")</f>
      </c>
      <c r="E81">
        <f>IFERROR(INDEX(tblDeviceConfig[Cybernet Hostname],ROW()-1),"")</f>
      </c>
      <c r="F81" t="str">
        <f>IFERROR(INDEX(tblDeviceConfig[Neuron Hostname],ROW()-1),"")</f>
      </c>
      <c r="G81">
        <f>IFERROR(INDEX(tblDeviceConfig[Software List],ROW()-1),"")</f>
      </c>
      <c r="H81">
        <f>IFERROR(INDEX(tblDeviceConfig[PI_Use_Case],ROW()-1),"")</f>
      </c>
      <c r="I81">
        <f>IFERROR(INDEX(tblDeviceConfig[PI_Result],ROW()-1),"")</f>
      </c>
      <c r="J81">
        <f>IFERROR(INDEX(tblDeviceConfig[PI_Validated_By],ROW()-1),"")</f>
      </c>
      <c r="K81">
        <f>IFERROR(INDEX(tblDeviceConfig[PI_Validated_Date],ROW()-1),"")</f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</c>
      <c r="C82">
        <f>IFERROR(INDEX(tblDeviceConfig[Deployed],ROW()-1),"")</f>
      </c>
      <c r="D82" t="str">
        <f>IFERROR(INDEX(tblDeviceConfig[Installed],ROW()-1),"")</f>
      </c>
      <c r="E82">
        <f>IFERROR(INDEX(tblDeviceConfig[Cybernet Hostname],ROW()-1),"")</f>
      </c>
      <c r="F82" t="str">
        <f>IFERROR(INDEX(tblDeviceConfig[Neuron Hostname],ROW()-1),"")</f>
      </c>
      <c r="G82">
        <f>IFERROR(INDEX(tblDeviceConfig[Software List],ROW()-1),"")</f>
      </c>
      <c r="H82">
        <f>IFERROR(INDEX(tblDeviceConfig[PI_Use_Case],ROW()-1),"")</f>
      </c>
      <c r="I82">
        <f>IFERROR(INDEX(tblDeviceConfig[PI_Result],ROW()-1),"")</f>
      </c>
      <c r="J82">
        <f>IFERROR(INDEX(tblDeviceConfig[PI_Validated_By],ROW()-1),"")</f>
      </c>
      <c r="K82">
        <f>IFERROR(INDEX(tblDeviceConfig[PI_Validated_Date],ROW()-1),"")</f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</c>
      <c r="C83">
        <f>IFERROR(INDEX(tblDeviceConfig[Deployed],ROW()-1),"")</f>
      </c>
      <c r="D83" t="str">
        <f>IFERROR(INDEX(tblDeviceConfig[Installed],ROW()-1),"")</f>
      </c>
      <c r="E83">
        <f>IFERROR(INDEX(tblDeviceConfig[Cybernet Hostname],ROW()-1),"")</f>
      </c>
      <c r="F83" t="str">
        <f>IFERROR(INDEX(tblDeviceConfig[Neuron Hostname],ROW()-1),"")</f>
      </c>
      <c r="G83">
        <f>IFERROR(INDEX(tblDeviceConfig[Software List],ROW()-1),"")</f>
      </c>
      <c r="H83">
        <f>IFERROR(INDEX(tblDeviceConfig[PI_Use_Case],ROW()-1),"")</f>
      </c>
      <c r="I83">
        <f>IFERROR(INDEX(tblDeviceConfig[PI_Result],ROW()-1),"")</f>
      </c>
      <c r="J83">
        <f>IFERROR(INDEX(tblDeviceConfig[PI_Validated_By],ROW()-1),"")</f>
      </c>
      <c r="K83">
        <f>IFERROR(INDEX(tblDeviceConfig[PI_Validated_Date],ROW()-1),"")</f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</c>
      <c r="C84">
        <f>IFERROR(INDEX(tblDeviceConfig[Deployed],ROW()-1),"")</f>
      </c>
      <c r="D84" t="str">
        <f>IFERROR(INDEX(tblDeviceConfig[Installed],ROW()-1),"")</f>
      </c>
      <c r="E84">
        <f>IFERROR(INDEX(tblDeviceConfig[Cybernet Hostname],ROW()-1),"")</f>
      </c>
      <c r="F84" t="str">
        <f>IFERROR(INDEX(tblDeviceConfig[Neuron Hostname],ROW()-1),"")</f>
      </c>
      <c r="G84">
        <f>IFERROR(INDEX(tblDeviceConfig[Software List],ROW()-1),"")</f>
      </c>
      <c r="H84">
        <f>IFERROR(INDEX(tblDeviceConfig[PI_Use_Case],ROW()-1),"")</f>
      </c>
      <c r="I84">
        <f>IFERROR(INDEX(tblDeviceConfig[PI_Result],ROW()-1),"")</f>
      </c>
      <c r="J84">
        <f>IFERROR(INDEX(tblDeviceConfig[PI_Validated_By],ROW()-1),"")</f>
      </c>
      <c r="K84">
        <f>IFERROR(INDEX(tblDeviceConfig[PI_Validated_Date],ROW()-1),"")</f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</c>
      <c r="C85" t="str">
        <f>IFERROR(INDEX(tblDeviceConfig[Deployed],ROW()-1),"")</f>
      </c>
      <c r="D85" t="str">
        <f>IFERROR(INDEX(tblDeviceConfig[Installed],ROW()-1),"")</f>
      </c>
      <c r="E85">
        <f>IFERROR(INDEX(tblDeviceConfig[Cybernet Hostname],ROW()-1),"")</f>
      </c>
      <c r="F85" t="str">
        <f>IFERROR(INDEX(tblDeviceConfig[Neuron Hostname],ROW()-1),"")</f>
      </c>
      <c r="G85">
        <f>IFERROR(INDEX(tblDeviceConfig[Software List],ROW()-1),"")</f>
      </c>
      <c r="H85">
        <f>IFERROR(INDEX(tblDeviceConfig[PI_Use_Case],ROW()-1),"")</f>
      </c>
      <c r="I85">
        <f>IFERROR(INDEX(tblDeviceConfig[PI_Result],ROW()-1),"")</f>
      </c>
      <c r="J85">
        <f>IFERROR(INDEX(tblDeviceConfig[PI_Validated_By],ROW()-1),"")</f>
      </c>
      <c r="K85">
        <f>IFERROR(INDEX(tblDeviceConfig[PI_Validated_Date],ROW()-1),"")</f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</c>
      <c r="C86" t="str">
        <f>IFERROR(INDEX(tblDeviceConfig[Deployed],ROW()-1),"")</f>
      </c>
      <c r="D86" t="str">
        <f>IFERROR(INDEX(tblDeviceConfig[Installed],ROW()-1),"")</f>
      </c>
      <c r="E86">
        <f>IFERROR(INDEX(tblDeviceConfig[Cybernet Hostname],ROW()-1),"")</f>
      </c>
      <c r="F86" t="str">
        <f>IFERROR(INDEX(tblDeviceConfig[Neuron Hostname],ROW()-1),"")</f>
      </c>
      <c r="G86">
        <f>IFERROR(INDEX(tblDeviceConfig[Software List],ROW()-1),"")</f>
      </c>
      <c r="H86">
        <f>IFERROR(INDEX(tblDeviceConfig[PI_Use_Case],ROW()-1),"")</f>
      </c>
      <c r="I86">
        <f>IFERROR(INDEX(tblDeviceConfig[PI_Result],ROW()-1),"")</f>
      </c>
      <c r="J86">
        <f>IFERROR(INDEX(tblDeviceConfig[PI_Validated_By],ROW()-1),"")</f>
      </c>
      <c r="K86">
        <f>IFERROR(INDEX(tblDeviceConfig[PI_Validated_Date],ROW()-1),"")</f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</c>
      <c r="C87" t="str">
        <f>IFERROR(INDEX(tblDeviceConfig[Deployed],ROW()-1),"")</f>
      </c>
      <c r="D87" t="str">
        <f>IFERROR(INDEX(tblDeviceConfig[Installed],ROW()-1),"")</f>
      </c>
      <c r="E87">
        <f>IFERROR(INDEX(tblDeviceConfig[Cybernet Hostname],ROW()-1),"")</f>
      </c>
      <c r="F87" t="str">
        <f>IFERROR(INDEX(tblDeviceConfig[Neuron Hostname],ROW()-1),"")</f>
      </c>
      <c r="G87">
        <f>IFERROR(INDEX(tblDeviceConfig[Software List],ROW()-1),"")</f>
      </c>
      <c r="H87">
        <f>IFERROR(INDEX(tblDeviceConfig[PI_Use_Case],ROW()-1),"")</f>
      </c>
      <c r="I87">
        <f>IFERROR(INDEX(tblDeviceConfig[PI_Result],ROW()-1),"")</f>
      </c>
      <c r="J87">
        <f>IFERROR(INDEX(tblDeviceConfig[PI_Validated_By],ROW()-1),"")</f>
      </c>
      <c r="K87">
        <f>IFERROR(INDEX(tblDeviceConfig[PI_Validated_Date],ROW()-1),"")</f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</c>
      <c r="C88" t="str">
        <f>IFERROR(INDEX(tblDeviceConfig[Deployed],ROW()-1),"")</f>
      </c>
      <c r="D88" t="str">
        <f>IFERROR(INDEX(tblDeviceConfig[Installed],ROW()-1),"")</f>
      </c>
      <c r="E88">
        <f>IFERROR(INDEX(tblDeviceConfig[Cybernet Hostname],ROW()-1),"")</f>
      </c>
      <c r="F88" t="str">
        <f>IFERROR(INDEX(tblDeviceConfig[Neuron Hostname],ROW()-1),"")</f>
      </c>
      <c r="G88">
        <f>IFERROR(INDEX(tblDeviceConfig[Software List],ROW()-1),"")</f>
      </c>
      <c r="H88">
        <f>IFERROR(INDEX(tblDeviceConfig[PI_Use_Case],ROW()-1),"")</f>
      </c>
      <c r="I88">
        <f>IFERROR(INDEX(tblDeviceConfig[PI_Result],ROW()-1),"")</f>
      </c>
      <c r="J88">
        <f>IFERROR(INDEX(tblDeviceConfig[PI_Validated_By],ROW()-1),"")</f>
      </c>
      <c r="K88">
        <f>IFERROR(INDEX(tblDeviceConfig[PI_Validated_Date],ROW()-1),"")</f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</c>
      <c r="C89" t="str">
        <f>IFERROR(INDEX(tblDeviceConfig[Deployed],ROW()-1),"")</f>
      </c>
      <c r="D89" t="str">
        <f>IFERROR(INDEX(tblDeviceConfig[Installed],ROW()-1),"")</f>
      </c>
      <c r="E89">
        <f>IFERROR(INDEX(tblDeviceConfig[Cybernet Hostname],ROW()-1),"")</f>
      </c>
      <c r="F89" t="str">
        <f>IFERROR(INDEX(tblDeviceConfig[Neuron Hostname],ROW()-1),"")</f>
      </c>
      <c r="G89">
        <f>IFERROR(INDEX(tblDeviceConfig[Software List],ROW()-1),"")</f>
      </c>
      <c r="H89">
        <f>IFERROR(INDEX(tblDeviceConfig[PI_Use_Case],ROW()-1),"")</f>
      </c>
      <c r="I89">
        <f>IFERROR(INDEX(tblDeviceConfig[PI_Result],ROW()-1),"")</f>
      </c>
      <c r="J89">
        <f>IFERROR(INDEX(tblDeviceConfig[PI_Validated_By],ROW()-1),"")</f>
      </c>
      <c r="K89">
        <f>IFERROR(INDEX(tblDeviceConfig[PI_Validated_Date],ROW()-1),"")</f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</c>
      <c r="C90">
        <f>IFERROR(INDEX(tblDeviceConfig[Deployed],ROW()-1),"")</f>
      </c>
      <c r="D90" t="str">
        <f>IFERROR(INDEX(tblDeviceConfig[Installed],ROW()-1),"")</f>
      </c>
      <c r="E90">
        <f>IFERROR(INDEX(tblDeviceConfig[Cybernet Hostname],ROW()-1),"")</f>
      </c>
      <c r="F90" t="str">
        <f>IFERROR(INDEX(tblDeviceConfig[Neuron Hostname],ROW()-1),"")</f>
      </c>
      <c r="G90">
        <f>IFERROR(INDEX(tblDeviceConfig[Software List],ROW()-1),"")</f>
      </c>
      <c r="H90">
        <f>IFERROR(INDEX(tblDeviceConfig[PI_Use_Case],ROW()-1),"")</f>
      </c>
      <c r="I90">
        <f>IFERROR(INDEX(tblDeviceConfig[PI_Result],ROW()-1),"")</f>
      </c>
      <c r="J90">
        <f>IFERROR(INDEX(tblDeviceConfig[PI_Validated_By],ROW()-1),"")</f>
      </c>
      <c r="K90">
        <f>IFERROR(INDEX(tblDeviceConfig[PI_Validated_Date],ROW()-1),"")</f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</c>
      <c r="C91">
        <f>IFERROR(INDEX(tblDeviceConfig[Deployed],ROW()-1),"")</f>
      </c>
      <c r="D91" t="str">
        <f>IFERROR(INDEX(tblDeviceConfig[Installed],ROW()-1),"")</f>
      </c>
      <c r="E91">
        <f>IFERROR(INDEX(tblDeviceConfig[Cybernet Hostname],ROW()-1),"")</f>
      </c>
      <c r="F91" t="str">
        <f>IFERROR(INDEX(tblDeviceConfig[Neuron Hostname],ROW()-1),"")</f>
      </c>
      <c r="G91">
        <f>IFERROR(INDEX(tblDeviceConfig[Software List],ROW()-1),"")</f>
      </c>
      <c r="H91">
        <f>IFERROR(INDEX(tblDeviceConfig[PI_Use_Case],ROW()-1),"")</f>
      </c>
      <c r="I91">
        <f>IFERROR(INDEX(tblDeviceConfig[PI_Result],ROW()-1),"")</f>
      </c>
      <c r="J91">
        <f>IFERROR(INDEX(tblDeviceConfig[PI_Validated_By],ROW()-1),"")</f>
      </c>
      <c r="K91">
        <f>IFERROR(INDEX(tblDeviceConfig[PI_Validated_Date],ROW()-1),"")</f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</c>
      <c r="C92">
        <f>IFERROR(INDEX(tblDeviceConfig[Deployed],ROW()-1),"")</f>
      </c>
      <c r="D92" t="str">
        <f>IFERROR(INDEX(tblDeviceConfig[Installed],ROW()-1),"")</f>
      </c>
      <c r="E92">
        <f>IFERROR(INDEX(tblDeviceConfig[Cybernet Hostname],ROW()-1),"")</f>
      </c>
      <c r="F92" t="str">
        <f>IFERROR(INDEX(tblDeviceConfig[Neuron Hostname],ROW()-1),"")</f>
      </c>
      <c r="G92">
        <f>IFERROR(INDEX(tblDeviceConfig[Software List],ROW()-1),"")</f>
      </c>
      <c r="H92">
        <f>IFERROR(INDEX(tblDeviceConfig[PI_Use_Case],ROW()-1),"")</f>
      </c>
      <c r="I92">
        <f>IFERROR(INDEX(tblDeviceConfig[PI_Result],ROW()-1),"")</f>
      </c>
      <c r="J92">
        <f>IFERROR(INDEX(tblDeviceConfig[PI_Validated_By],ROW()-1),"")</f>
      </c>
      <c r="K92">
        <f>IFERROR(INDEX(tblDeviceConfig[PI_Validated_Date],ROW()-1),"")</f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</c>
      <c r="C93">
        <f>IFERROR(INDEX(tblDeviceConfig[Deployed],ROW()-1),"")</f>
      </c>
      <c r="D93" t="str">
        <f>IFERROR(INDEX(tblDeviceConfig[Installed],ROW()-1),"")</f>
      </c>
      <c r="E93">
        <f>IFERROR(INDEX(tblDeviceConfig[Cybernet Hostname],ROW()-1),"")</f>
      </c>
      <c r="F93" t="str">
        <f>IFERROR(INDEX(tblDeviceConfig[Neuron Hostname],ROW()-1),"")</f>
      </c>
      <c r="G93">
        <f>IFERROR(INDEX(tblDeviceConfig[Software List],ROW()-1),"")</f>
      </c>
      <c r="H93">
        <f>IFERROR(INDEX(tblDeviceConfig[PI_Use_Case],ROW()-1),"")</f>
      </c>
      <c r="I93">
        <f>IFERROR(INDEX(tblDeviceConfig[PI_Result],ROW()-1),"")</f>
      </c>
      <c r="J93">
        <f>IFERROR(INDEX(tblDeviceConfig[PI_Validated_By],ROW()-1),"")</f>
      </c>
      <c r="K93">
        <f>IFERROR(INDEX(tblDeviceConfig[PI_Validated_Date],ROW()-1),"")</f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</c>
      <c r="C94">
        <f>IFERROR(INDEX(tblDeviceConfig[Deployed],ROW()-1),"")</f>
      </c>
      <c r="D94" t="str">
        <f>IFERROR(INDEX(tblDeviceConfig[Installed],ROW()-1),"")</f>
      </c>
      <c r="E94">
        <f>IFERROR(INDEX(tblDeviceConfig[Cybernet Hostname],ROW()-1),"")</f>
      </c>
      <c r="F94" t="str">
        <f>IFERROR(INDEX(tblDeviceConfig[Neuron Hostname],ROW()-1),"")</f>
      </c>
      <c r="G94">
        <f>IFERROR(INDEX(tblDeviceConfig[Software List],ROW()-1),"")</f>
      </c>
      <c r="H94">
        <f>IFERROR(INDEX(tblDeviceConfig[PI_Use_Case],ROW()-1),"")</f>
      </c>
      <c r="I94">
        <f>IFERROR(INDEX(tblDeviceConfig[PI_Result],ROW()-1),"")</f>
      </c>
      <c r="J94">
        <f>IFERROR(INDEX(tblDeviceConfig[PI_Validated_By],ROW()-1),"")</f>
      </c>
      <c r="K94">
        <f>IFERROR(INDEX(tblDeviceConfig[PI_Validated_Date],ROW()-1),"")</f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</c>
      <c r="C95">
        <f>IFERROR(INDEX(tblDeviceConfig[Deployed],ROW()-1),"")</f>
      </c>
      <c r="D95" t="str">
        <f>IFERROR(INDEX(tblDeviceConfig[Installed],ROW()-1),"")</f>
      </c>
      <c r="E95">
        <f>IFERROR(INDEX(tblDeviceConfig[Cybernet Hostname],ROW()-1),"")</f>
      </c>
      <c r="F95" t="str">
        <f>IFERROR(INDEX(tblDeviceConfig[Neuron Hostname],ROW()-1),"")</f>
      </c>
      <c r="G95">
        <f>IFERROR(INDEX(tblDeviceConfig[Software List],ROW()-1),"")</f>
      </c>
      <c r="H95">
        <f>IFERROR(INDEX(tblDeviceConfig[PI_Use_Case],ROW()-1),"")</f>
      </c>
      <c r="I95">
        <f>IFERROR(INDEX(tblDeviceConfig[PI_Result],ROW()-1),"")</f>
      </c>
      <c r="J95">
        <f>IFERROR(INDEX(tblDeviceConfig[PI_Validated_By],ROW()-1),"")</f>
      </c>
      <c r="K95">
        <f>IFERROR(INDEX(tblDeviceConfig[PI_Validated_Date],ROW()-1),"")</f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</c>
      <c r="C96">
        <f>IFERROR(INDEX(tblDeviceConfig[Deployed],ROW()-1),"")</f>
      </c>
      <c r="D96" t="str">
        <f>IFERROR(INDEX(tblDeviceConfig[Installed],ROW()-1),"")</f>
      </c>
      <c r="E96">
        <f>IFERROR(INDEX(tblDeviceConfig[Cybernet Hostname],ROW()-1),"")</f>
      </c>
      <c r="F96" t="str">
        <f>IFERROR(INDEX(tblDeviceConfig[Neuron Hostname],ROW()-1),"")</f>
      </c>
      <c r="G96">
        <f>IFERROR(INDEX(tblDeviceConfig[Software List],ROW()-1),"")</f>
      </c>
      <c r="H96">
        <f>IFERROR(INDEX(tblDeviceConfig[PI_Use_Case],ROW()-1),"")</f>
      </c>
      <c r="I96">
        <f>IFERROR(INDEX(tblDeviceConfig[PI_Result],ROW()-1),"")</f>
      </c>
      <c r="J96">
        <f>IFERROR(INDEX(tblDeviceConfig[PI_Validated_By],ROW()-1),"")</f>
      </c>
      <c r="K96">
        <f>IFERROR(INDEX(tblDeviceConfig[PI_Validated_Date],ROW()-1),"")</f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</c>
      <c r="C97">
        <f>IFERROR(INDEX(tblDeviceConfig[Deployed],ROW()-1),"")</f>
      </c>
      <c r="D97" t="str">
        <f>IFERROR(INDEX(tblDeviceConfig[Installed],ROW()-1),"")</f>
      </c>
      <c r="E97">
        <f>IFERROR(INDEX(tblDeviceConfig[Cybernet Hostname],ROW()-1),"")</f>
      </c>
      <c r="F97" t="str">
        <f>IFERROR(INDEX(tblDeviceConfig[Neuron Hostname],ROW()-1),"")</f>
      </c>
      <c r="G97">
        <f>IFERROR(INDEX(tblDeviceConfig[Software List],ROW()-1),"")</f>
      </c>
      <c r="H97">
        <f>IFERROR(INDEX(tblDeviceConfig[PI_Use_Case],ROW()-1),"")</f>
      </c>
      <c r="I97">
        <f>IFERROR(INDEX(tblDeviceConfig[PI_Result],ROW()-1),"")</f>
      </c>
      <c r="J97">
        <f>IFERROR(INDEX(tblDeviceConfig[PI_Validated_By],ROW()-1),"")</f>
      </c>
      <c r="K97">
        <f>IFERROR(INDEX(tblDeviceConfig[PI_Validated_Date],ROW()-1),"")</f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</c>
      <c r="C98">
        <f>IFERROR(INDEX(tblDeviceConfig[Deployed],ROW()-1),"")</f>
      </c>
      <c r="D98" t="str">
        <f>IFERROR(INDEX(tblDeviceConfig[Installed],ROW()-1),"")</f>
      </c>
      <c r="E98">
        <f>IFERROR(INDEX(tblDeviceConfig[Cybernet Hostname],ROW()-1),"")</f>
      </c>
      <c r="F98" t="str">
        <f>IFERROR(INDEX(tblDeviceConfig[Neuron Hostname],ROW()-1),"")</f>
      </c>
      <c r="G98">
        <f>IFERROR(INDEX(tblDeviceConfig[Software List],ROW()-1),"")</f>
      </c>
      <c r="H98">
        <f>IFERROR(INDEX(tblDeviceConfig[PI_Use_Case],ROW()-1),"")</f>
      </c>
      <c r="I98">
        <f>IFERROR(INDEX(tblDeviceConfig[PI_Result],ROW()-1),"")</f>
      </c>
      <c r="J98">
        <f>IFERROR(INDEX(tblDeviceConfig[PI_Validated_By],ROW()-1),"")</f>
      </c>
      <c r="K98">
        <f>IFERROR(INDEX(tblDeviceConfig[PI_Validated_Date],ROW()-1),"")</f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</c>
      <c r="C99">
        <f>IFERROR(INDEX(tblDeviceConfig[Deployed],ROW()-1),"")</f>
      </c>
      <c r="D99" t="str">
        <f>IFERROR(INDEX(tblDeviceConfig[Installed],ROW()-1),"")</f>
      </c>
      <c r="E99">
        <f>IFERROR(INDEX(tblDeviceConfig[Cybernet Hostname],ROW()-1),"")</f>
      </c>
      <c r="F99" t="str">
        <f>IFERROR(INDEX(tblDeviceConfig[Neuron Hostname],ROW()-1),"")</f>
      </c>
      <c r="G99">
        <f>IFERROR(INDEX(tblDeviceConfig[Software List],ROW()-1),"")</f>
      </c>
      <c r="H99">
        <f>IFERROR(INDEX(tblDeviceConfig[PI_Use_Case],ROW()-1),"")</f>
      </c>
      <c r="I99">
        <f>IFERROR(INDEX(tblDeviceConfig[PI_Result],ROW()-1),"")</f>
      </c>
      <c r="J99">
        <f>IFERROR(INDEX(tblDeviceConfig[PI_Validated_By],ROW()-1),"")</f>
      </c>
      <c r="K99">
        <f>IFERROR(INDEX(tblDeviceConfig[PI_Validated_Date],ROW()-1),"")</f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</c>
      <c r="C100">
        <f>IFERROR(INDEX(tblDeviceConfig[Deployed],ROW()-1),"")</f>
      </c>
      <c r="D100" t="str">
        <f>IFERROR(INDEX(tblDeviceConfig[Installed],ROW()-1),"")</f>
      </c>
      <c r="E100">
        <f>IFERROR(INDEX(tblDeviceConfig[Cybernet Hostname],ROW()-1),"")</f>
      </c>
      <c r="F100" t="str">
        <f>IFERROR(INDEX(tblDeviceConfig[Neuron Hostname],ROW()-1),"")</f>
      </c>
      <c r="G100">
        <f>IFERROR(INDEX(tblDeviceConfig[Software List],ROW()-1),"")</f>
      </c>
      <c r="H100">
        <f>IFERROR(INDEX(tblDeviceConfig[PI_Use_Case],ROW()-1),"")</f>
      </c>
      <c r="I100">
        <f>IFERROR(INDEX(tblDeviceConfig[PI_Result],ROW()-1),"")</f>
      </c>
      <c r="J100">
        <f>IFERROR(INDEX(tblDeviceConfig[PI_Validated_By],ROW()-1),"")</f>
      </c>
      <c r="K100">
        <f>IFERROR(INDEX(tblDeviceConfig[PI_Validated_Date],ROW()-1),"")</f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</c>
      <c r="C101">
        <f>IFERROR(INDEX(tblDeviceConfig[Deployed],ROW()-1),"")</f>
      </c>
      <c r="D101" t="str">
        <f>IFERROR(INDEX(tblDeviceConfig[Installed],ROW()-1),"")</f>
      </c>
      <c r="E101">
        <f>IFERROR(INDEX(tblDeviceConfig[Cybernet Hostname],ROW()-1),"")</f>
      </c>
      <c r="F101" t="str">
        <f>IFERROR(INDEX(tblDeviceConfig[Neuron Hostname],ROW()-1),"")</f>
      </c>
      <c r="G101">
        <f>IFERROR(INDEX(tblDeviceConfig[Software List],ROW()-1),"")</f>
      </c>
      <c r="H101">
        <f>IFERROR(INDEX(tblDeviceConfig[PI_Use_Case],ROW()-1),"")</f>
      </c>
      <c r="I101">
        <f>IFERROR(INDEX(tblDeviceConfig[PI_Result],ROW()-1),"")</f>
      </c>
      <c r="J101">
        <f>IFERROR(INDEX(tblDeviceConfig[PI_Validated_By],ROW()-1),"")</f>
      </c>
      <c r="K101">
        <f>IFERROR(INDEX(tblDeviceConfig[PI_Validated_Date],ROW()-1),"")</f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</c>
      <c r="C102">
        <f>IFERROR(INDEX(tblDeviceConfig[Deployed],ROW()-1),"")</f>
      </c>
      <c r="D102" t="str">
        <f>IFERROR(INDEX(tblDeviceConfig[Installed],ROW()-1),"")</f>
      </c>
      <c r="E102">
        <f>IFERROR(INDEX(tblDeviceConfig[Cybernet Hostname],ROW()-1),"")</f>
      </c>
      <c r="F102" t="str">
        <f>IFERROR(INDEX(tblDeviceConfig[Neuron Hostname],ROW()-1),"")</f>
      </c>
      <c r="G102">
        <f>IFERROR(INDEX(tblDeviceConfig[Software List],ROW()-1),"")</f>
      </c>
      <c r="H102">
        <f>IFERROR(INDEX(tblDeviceConfig[PI_Use_Case],ROW()-1),"")</f>
      </c>
      <c r="I102">
        <f>IFERROR(INDEX(tblDeviceConfig[PI_Result],ROW()-1),"")</f>
      </c>
      <c r="J102">
        <f>IFERROR(INDEX(tblDeviceConfig[PI_Validated_By],ROW()-1),"")</f>
      </c>
      <c r="K102">
        <f>IFERROR(INDEX(tblDeviceConfig[PI_Validated_Date],ROW()-1),"")</f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</c>
      <c r="C103">
        <f>IFERROR(INDEX(tblDeviceConfig[Deployed],ROW()-1),"")</f>
      </c>
      <c r="D103" t="str">
        <f>IFERROR(INDEX(tblDeviceConfig[Installed],ROW()-1),"")</f>
      </c>
      <c r="E103">
        <f>IFERROR(INDEX(tblDeviceConfig[Cybernet Hostname],ROW()-1),"")</f>
      </c>
      <c r="F103" t="str">
        <f>IFERROR(INDEX(tblDeviceConfig[Neuron Hostname],ROW()-1),"")</f>
      </c>
      <c r="G103">
        <f>IFERROR(INDEX(tblDeviceConfig[Software List],ROW()-1),"")</f>
      </c>
      <c r="H103">
        <f>IFERROR(INDEX(tblDeviceConfig[PI_Use_Case],ROW()-1),"")</f>
      </c>
      <c r="I103">
        <f>IFERROR(INDEX(tblDeviceConfig[PI_Result],ROW()-1),"")</f>
      </c>
      <c r="J103">
        <f>IFERROR(INDEX(tblDeviceConfig[PI_Validated_By],ROW()-1),"")</f>
      </c>
      <c r="K103">
        <f>IFERROR(INDEX(tblDeviceConfig[PI_Validated_Date],ROW()-1),"")</f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</c>
      <c r="C104">
        <f>IFERROR(INDEX(tblDeviceConfig[Deployed],ROW()-1),"")</f>
      </c>
      <c r="D104" t="str">
        <f>IFERROR(INDEX(tblDeviceConfig[Installed],ROW()-1),"")</f>
      </c>
      <c r="E104">
        <f>IFERROR(INDEX(tblDeviceConfig[Cybernet Hostname],ROW()-1),"")</f>
      </c>
      <c r="F104" t="str">
        <f>IFERROR(INDEX(tblDeviceConfig[Neuron Hostname],ROW()-1),"")</f>
      </c>
      <c r="G104">
        <f>IFERROR(INDEX(tblDeviceConfig[Software List],ROW()-1),"")</f>
      </c>
      <c r="H104">
        <f>IFERROR(INDEX(tblDeviceConfig[PI_Use_Case],ROW()-1),"")</f>
      </c>
      <c r="I104">
        <f>IFERROR(INDEX(tblDeviceConfig[PI_Result],ROW()-1),"")</f>
      </c>
      <c r="J104">
        <f>IFERROR(INDEX(tblDeviceConfig[PI_Validated_By],ROW()-1),"")</f>
      </c>
      <c r="K104">
        <f>IFERROR(INDEX(tblDeviceConfig[PI_Validated_Date],ROW()-1),"")</f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</c>
      <c r="C105">
        <f>IFERROR(INDEX(tblDeviceConfig[Deployed],ROW()-1),"")</f>
      </c>
      <c r="D105" t="str">
        <f>IFERROR(INDEX(tblDeviceConfig[Installed],ROW()-1),"")</f>
      </c>
      <c r="E105">
        <f>IFERROR(INDEX(tblDeviceConfig[Cybernet Hostname],ROW()-1),"")</f>
      </c>
      <c r="F105" t="str">
        <f>IFERROR(INDEX(tblDeviceConfig[Neuron Hostname],ROW()-1),"")</f>
      </c>
      <c r="G105">
        <f>IFERROR(INDEX(tblDeviceConfig[Software List],ROW()-1),"")</f>
      </c>
      <c r="H105">
        <f>IFERROR(INDEX(tblDeviceConfig[PI_Use_Case],ROW()-1),"")</f>
      </c>
      <c r="I105">
        <f>IFERROR(INDEX(tblDeviceConfig[PI_Result],ROW()-1),"")</f>
      </c>
      <c r="J105">
        <f>IFERROR(INDEX(tblDeviceConfig[PI_Validated_By],ROW()-1),"")</f>
      </c>
      <c r="K105">
        <f>IFERROR(INDEX(tblDeviceConfig[PI_Validated_Date],ROW()-1),"")</f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</c>
      <c r="C106">
        <f>IFERROR(INDEX(tblDeviceConfig[Deployed],ROW()-1),"")</f>
      </c>
      <c r="D106" t="str">
        <f>IFERROR(INDEX(tblDeviceConfig[Installed],ROW()-1),"")</f>
      </c>
      <c r="E106">
        <f>IFERROR(INDEX(tblDeviceConfig[Cybernet Hostname],ROW()-1),"")</f>
      </c>
      <c r="F106" t="str">
        <f>IFERROR(INDEX(tblDeviceConfig[Neuron Hostname],ROW()-1),"")</f>
      </c>
      <c r="G106">
        <f>IFERROR(INDEX(tblDeviceConfig[Software List],ROW()-1),"")</f>
      </c>
      <c r="H106">
        <f>IFERROR(INDEX(tblDeviceConfig[PI_Use_Case],ROW()-1),"")</f>
      </c>
      <c r="I106">
        <f>IFERROR(INDEX(tblDeviceConfig[PI_Result],ROW()-1),"")</f>
      </c>
      <c r="J106">
        <f>IFERROR(INDEX(tblDeviceConfig[PI_Validated_By],ROW()-1),"")</f>
      </c>
      <c r="K106">
        <f>IFERROR(INDEX(tblDeviceConfig[PI_Validated_Date],ROW()-1),"")</f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</c>
      <c r="C107">
        <f>IFERROR(INDEX(tblDeviceConfig[Deployed],ROW()-1),"")</f>
      </c>
      <c r="D107" t="str">
        <f>IFERROR(INDEX(tblDeviceConfig[Installed],ROW()-1),"")</f>
      </c>
      <c r="E107">
        <f>IFERROR(INDEX(tblDeviceConfig[Cybernet Hostname],ROW()-1),"")</f>
      </c>
      <c r="F107" t="str">
        <f>IFERROR(INDEX(tblDeviceConfig[Neuron Hostname],ROW()-1),"")</f>
      </c>
      <c r="G107">
        <f>IFERROR(INDEX(tblDeviceConfig[Software List],ROW()-1),"")</f>
      </c>
      <c r="H107">
        <f>IFERROR(INDEX(tblDeviceConfig[PI_Use_Case],ROW()-1),"")</f>
      </c>
      <c r="I107">
        <f>IFERROR(INDEX(tblDeviceConfig[PI_Result],ROW()-1),"")</f>
      </c>
      <c r="J107">
        <f>IFERROR(INDEX(tblDeviceConfig[PI_Validated_By],ROW()-1),"")</f>
      </c>
      <c r="K107">
        <f>IFERROR(INDEX(tblDeviceConfig[PI_Validated_Date],ROW()-1),"")</f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</c>
      <c r="C108">
        <f>IFERROR(INDEX(tblDeviceConfig[Deployed],ROW()-1),"")</f>
      </c>
      <c r="D108" t="str">
        <f>IFERROR(INDEX(tblDeviceConfig[Installed],ROW()-1),"")</f>
      </c>
      <c r="E108">
        <f>IFERROR(INDEX(tblDeviceConfig[Cybernet Hostname],ROW()-1),"")</f>
      </c>
      <c r="F108" t="str">
        <f>IFERROR(INDEX(tblDeviceConfig[Neuron Hostname],ROW()-1),"")</f>
      </c>
      <c r="G108">
        <f>IFERROR(INDEX(tblDeviceConfig[Software List],ROW()-1),"")</f>
      </c>
      <c r="H108">
        <f>IFERROR(INDEX(tblDeviceConfig[PI_Use_Case],ROW()-1),"")</f>
      </c>
      <c r="I108">
        <f>IFERROR(INDEX(tblDeviceConfig[PI_Result],ROW()-1),"")</f>
      </c>
      <c r="J108">
        <f>IFERROR(INDEX(tblDeviceConfig[PI_Validated_By],ROW()-1),"")</f>
      </c>
      <c r="K108">
        <f>IFERROR(INDEX(tblDeviceConfig[PI_Validated_Date],ROW()-1),"")</f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</c>
      <c r="C109">
        <f>IFERROR(INDEX(tblDeviceConfig[Deployed],ROW()-1),"")</f>
      </c>
      <c r="D109" t="str">
        <f>IFERROR(INDEX(tblDeviceConfig[Installed],ROW()-1),"")</f>
      </c>
      <c r="E109">
        <f>IFERROR(INDEX(tblDeviceConfig[Cybernet Hostname],ROW()-1),"")</f>
      </c>
      <c r="F109" t="str">
        <f>IFERROR(INDEX(tblDeviceConfig[Neuron Hostname],ROW()-1),"")</f>
      </c>
      <c r="G109">
        <f>IFERROR(INDEX(tblDeviceConfig[Software List],ROW()-1),"")</f>
      </c>
      <c r="H109">
        <f>IFERROR(INDEX(tblDeviceConfig[PI_Use_Case],ROW()-1),"")</f>
      </c>
      <c r="I109">
        <f>IFERROR(INDEX(tblDeviceConfig[PI_Result],ROW()-1),"")</f>
      </c>
      <c r="J109">
        <f>IFERROR(INDEX(tblDeviceConfig[PI_Validated_By],ROW()-1),"")</f>
      </c>
      <c r="K109">
        <f>IFERROR(INDEX(tblDeviceConfig[PI_Validated_Date],ROW()-1),"")</f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</c>
      <c r="C110">
        <f>IFERROR(INDEX(tblDeviceConfig[Deployed],ROW()-1),"")</f>
      </c>
      <c r="D110" t="str">
        <f>IFERROR(INDEX(tblDeviceConfig[Installed],ROW()-1),"")</f>
      </c>
      <c r="E110">
        <f>IFERROR(INDEX(tblDeviceConfig[Cybernet Hostname],ROW()-1),"")</f>
      </c>
      <c r="F110" t="str">
        <f>IFERROR(INDEX(tblDeviceConfig[Neuron Hostname],ROW()-1),"")</f>
      </c>
      <c r="G110">
        <f>IFERROR(INDEX(tblDeviceConfig[Software List],ROW()-1),"")</f>
      </c>
      <c r="H110">
        <f>IFERROR(INDEX(tblDeviceConfig[PI_Use_Case],ROW()-1),"")</f>
      </c>
      <c r="I110">
        <f>IFERROR(INDEX(tblDeviceConfig[PI_Result],ROW()-1),"")</f>
      </c>
      <c r="J110">
        <f>IFERROR(INDEX(tblDeviceConfig[PI_Validated_By],ROW()-1),"")</f>
      </c>
      <c r="K110">
        <f>IFERROR(INDEX(tblDeviceConfig[PI_Validated_Date],ROW()-1),"")</f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</c>
      <c r="C111">
        <f>IFERROR(INDEX(tblDeviceConfig[Deployed],ROW()-1),"")</f>
      </c>
      <c r="D111" t="str">
        <f>IFERROR(INDEX(tblDeviceConfig[Installed],ROW()-1),"")</f>
      </c>
      <c r="E111">
        <f>IFERROR(INDEX(tblDeviceConfig[Cybernet Hostname],ROW()-1),"")</f>
      </c>
      <c r="F111" t="str">
        <f>IFERROR(INDEX(tblDeviceConfig[Neuron Hostname],ROW()-1),"")</f>
      </c>
      <c r="G111">
        <f>IFERROR(INDEX(tblDeviceConfig[Software List],ROW()-1),"")</f>
      </c>
      <c r="H111">
        <f>IFERROR(INDEX(tblDeviceConfig[PI_Use_Case],ROW()-1),"")</f>
      </c>
      <c r="I111">
        <f>IFERROR(INDEX(tblDeviceConfig[PI_Result],ROW()-1),"")</f>
      </c>
      <c r="J111">
        <f>IFERROR(INDEX(tblDeviceConfig[PI_Validated_By],ROW()-1),"")</f>
      </c>
      <c r="K111">
        <f>IFERROR(INDEX(tblDeviceConfig[PI_Validated_Date],ROW()-1),"")</f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</c>
      <c r="C112">
        <f>IFERROR(INDEX(tblDeviceConfig[Deployed],ROW()-1),"")</f>
      </c>
      <c r="D112" t="str">
        <f>IFERROR(INDEX(tblDeviceConfig[Installed],ROW()-1),"")</f>
      </c>
      <c r="E112">
        <f>IFERROR(INDEX(tblDeviceConfig[Cybernet Hostname],ROW()-1),"")</f>
      </c>
      <c r="F112" t="str">
        <f>IFERROR(INDEX(tblDeviceConfig[Neuron Hostname],ROW()-1),"")</f>
      </c>
      <c r="G112">
        <f>IFERROR(INDEX(tblDeviceConfig[Software List],ROW()-1),"")</f>
      </c>
      <c r="H112">
        <f>IFERROR(INDEX(tblDeviceConfig[PI_Use_Case],ROW()-1),"")</f>
      </c>
      <c r="I112">
        <f>IFERROR(INDEX(tblDeviceConfig[PI_Result],ROW()-1),"")</f>
      </c>
      <c r="J112">
        <f>IFERROR(INDEX(tblDeviceConfig[PI_Validated_By],ROW()-1),"")</f>
      </c>
      <c r="K112">
        <f>IFERROR(INDEX(tblDeviceConfig[PI_Validated_Date],ROW()-1),"")</f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</c>
      <c r="C113">
        <f>IFERROR(INDEX(tblDeviceConfig[Deployed],ROW()-1),"")</f>
      </c>
      <c r="D113" t="str">
        <f>IFERROR(INDEX(tblDeviceConfig[Installed],ROW()-1),"")</f>
      </c>
      <c r="E113">
        <f>IFERROR(INDEX(tblDeviceConfig[Cybernet Hostname],ROW()-1),"")</f>
      </c>
      <c r="F113" t="str">
        <f>IFERROR(INDEX(tblDeviceConfig[Neuron Hostname],ROW()-1),"")</f>
      </c>
      <c r="G113">
        <f>IFERROR(INDEX(tblDeviceConfig[Software List],ROW()-1),"")</f>
      </c>
      <c r="H113">
        <f>IFERROR(INDEX(tblDeviceConfig[PI_Use_Case],ROW()-1),"")</f>
      </c>
      <c r="I113">
        <f>IFERROR(INDEX(tblDeviceConfig[PI_Result],ROW()-1),"")</f>
      </c>
      <c r="J113">
        <f>IFERROR(INDEX(tblDeviceConfig[PI_Validated_By],ROW()-1),"")</f>
      </c>
      <c r="K113">
        <f>IFERROR(INDEX(tblDeviceConfig[PI_Validated_Date],ROW()-1),"")</f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</c>
      <c r="C114">
        <f>IFERROR(INDEX(tblDeviceConfig[Deployed],ROW()-1),"")</f>
      </c>
      <c r="D114" t="str">
        <f>IFERROR(INDEX(tblDeviceConfig[Installed],ROW()-1),"")</f>
      </c>
      <c r="E114">
        <f>IFERROR(INDEX(tblDeviceConfig[Cybernet Hostname],ROW()-1),"")</f>
      </c>
      <c r="F114" t="str">
        <f>IFERROR(INDEX(tblDeviceConfig[Neuron Hostname],ROW()-1),"")</f>
      </c>
      <c r="G114">
        <f>IFERROR(INDEX(tblDeviceConfig[Software List],ROW()-1),"")</f>
      </c>
      <c r="H114">
        <f>IFERROR(INDEX(tblDeviceConfig[PI_Use_Case],ROW()-1),"")</f>
      </c>
      <c r="I114">
        <f>IFERROR(INDEX(tblDeviceConfig[PI_Result],ROW()-1),"")</f>
      </c>
      <c r="J114">
        <f>IFERROR(INDEX(tblDeviceConfig[PI_Validated_By],ROW()-1),"")</f>
      </c>
      <c r="K114">
        <f>IFERROR(INDEX(tblDeviceConfig[PI_Validated_Date],ROW()-1),"")</f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</c>
      <c r="C115">
        <f>IFERROR(INDEX(tblDeviceConfig[Deployed],ROW()-1),"")</f>
      </c>
      <c r="D115" t="str">
        <f>IFERROR(INDEX(tblDeviceConfig[Installed],ROW()-1),"")</f>
      </c>
      <c r="E115">
        <f>IFERROR(INDEX(tblDeviceConfig[Cybernet Hostname],ROW()-1),"")</f>
      </c>
      <c r="F115" t="str">
        <f>IFERROR(INDEX(tblDeviceConfig[Neuron Hostname],ROW()-1),"")</f>
      </c>
      <c r="G115">
        <f>IFERROR(INDEX(tblDeviceConfig[Software List],ROW()-1),"")</f>
      </c>
      <c r="H115">
        <f>IFERROR(INDEX(tblDeviceConfig[PI_Use_Case],ROW()-1),"")</f>
      </c>
      <c r="I115">
        <f>IFERROR(INDEX(tblDeviceConfig[PI_Result],ROW()-1),"")</f>
      </c>
      <c r="J115">
        <f>IFERROR(INDEX(tblDeviceConfig[PI_Validated_By],ROW()-1),"")</f>
      </c>
      <c r="K115">
        <f>IFERROR(INDEX(tblDeviceConfig[PI_Validated_Date],ROW()-1),"")</f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</c>
      <c r="C116">
        <f>IFERROR(INDEX(tblDeviceConfig[Deployed],ROW()-1),"")</f>
      </c>
      <c r="D116" t="str">
        <f>IFERROR(INDEX(tblDeviceConfig[Installed],ROW()-1),"")</f>
      </c>
      <c r="E116">
        <f>IFERROR(INDEX(tblDeviceConfig[Cybernet Hostname],ROW()-1),"")</f>
      </c>
      <c r="F116" t="str">
        <f>IFERROR(INDEX(tblDeviceConfig[Neuron Hostname],ROW()-1),"")</f>
      </c>
      <c r="G116">
        <f>IFERROR(INDEX(tblDeviceConfig[Software List],ROW()-1),"")</f>
      </c>
      <c r="H116">
        <f>IFERROR(INDEX(tblDeviceConfig[PI_Use_Case],ROW()-1),"")</f>
      </c>
      <c r="I116">
        <f>IFERROR(INDEX(tblDeviceConfig[PI_Result],ROW()-1),"")</f>
      </c>
      <c r="J116">
        <f>IFERROR(INDEX(tblDeviceConfig[PI_Validated_By],ROW()-1),"")</f>
      </c>
      <c r="K116">
        <f>IFERROR(INDEX(tblDeviceConfig[PI_Validated_Date],ROW()-1),"")</f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</c>
      <c r="C117">
        <f>IFERROR(INDEX(tblDeviceConfig[Deployed],ROW()-1),"")</f>
      </c>
      <c r="D117" t="str">
        <f>IFERROR(INDEX(tblDeviceConfig[Installed],ROW()-1),"")</f>
      </c>
      <c r="E117">
        <f>IFERROR(INDEX(tblDeviceConfig[Cybernet Hostname],ROW()-1),"")</f>
      </c>
      <c r="F117" t="str">
        <f>IFERROR(INDEX(tblDeviceConfig[Neuron Hostname],ROW()-1),"")</f>
      </c>
      <c r="G117">
        <f>IFERROR(INDEX(tblDeviceConfig[Software List],ROW()-1),"")</f>
      </c>
      <c r="H117">
        <f>IFERROR(INDEX(tblDeviceConfig[PI_Use_Case],ROW()-1),"")</f>
      </c>
      <c r="I117">
        <f>IFERROR(INDEX(tblDeviceConfig[PI_Result],ROW()-1),"")</f>
      </c>
      <c r="J117">
        <f>IFERROR(INDEX(tblDeviceConfig[PI_Validated_By],ROW()-1),"")</f>
      </c>
      <c r="K117">
        <f>IFERROR(INDEX(tblDeviceConfig[PI_Validated_Date],ROW()-1),"")</f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</c>
      <c r="C118">
        <f>IFERROR(INDEX(tblDeviceConfig[Deployed],ROW()-1),"")</f>
      </c>
      <c r="D118" t="str">
        <f>IFERROR(INDEX(tblDeviceConfig[Installed],ROW()-1),"")</f>
      </c>
      <c r="E118">
        <f>IFERROR(INDEX(tblDeviceConfig[Cybernet Hostname],ROW()-1),"")</f>
      </c>
      <c r="F118" t="str">
        <f>IFERROR(INDEX(tblDeviceConfig[Neuron Hostname],ROW()-1),"")</f>
      </c>
      <c r="G118">
        <f>IFERROR(INDEX(tblDeviceConfig[Software List],ROW()-1),"")</f>
      </c>
      <c r="H118">
        <f>IFERROR(INDEX(tblDeviceConfig[PI_Use_Case],ROW()-1),"")</f>
      </c>
      <c r="I118">
        <f>IFERROR(INDEX(tblDeviceConfig[PI_Result],ROW()-1),"")</f>
      </c>
      <c r="J118">
        <f>IFERROR(INDEX(tblDeviceConfig[PI_Validated_By],ROW()-1),"")</f>
      </c>
      <c r="K118">
        <f>IFERROR(INDEX(tblDeviceConfig[PI_Validated_Date],ROW()-1),"")</f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</c>
      <c r="C119">
        <f>IFERROR(INDEX(tblDeviceConfig[Deployed],ROW()-1),"")</f>
      </c>
      <c r="D119" t="str">
        <f>IFERROR(INDEX(tblDeviceConfig[Installed],ROW()-1),"")</f>
      </c>
      <c r="E119">
        <f>IFERROR(INDEX(tblDeviceConfig[Cybernet Hostname],ROW()-1),"")</f>
      </c>
      <c r="F119" t="str">
        <f>IFERROR(INDEX(tblDeviceConfig[Neuron Hostname],ROW()-1),"")</f>
      </c>
      <c r="G119">
        <f>IFERROR(INDEX(tblDeviceConfig[Software List],ROW()-1),"")</f>
      </c>
      <c r="H119">
        <f>IFERROR(INDEX(tblDeviceConfig[PI_Use_Case],ROW()-1),"")</f>
      </c>
      <c r="I119">
        <f>IFERROR(INDEX(tblDeviceConfig[PI_Result],ROW()-1),"")</f>
      </c>
      <c r="J119">
        <f>IFERROR(INDEX(tblDeviceConfig[PI_Validated_By],ROW()-1),"")</f>
      </c>
      <c r="K119">
        <f>IFERROR(INDEX(tblDeviceConfig[PI_Validated_Date],ROW()-1),"")</f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</c>
      <c r="C120">
        <f>IFERROR(INDEX(tblDeviceConfig[Deployed],ROW()-1),"")</f>
      </c>
      <c r="D120" t="str">
        <f>IFERROR(INDEX(tblDeviceConfig[Installed],ROW()-1),"")</f>
      </c>
      <c r="E120">
        <f>IFERROR(INDEX(tblDeviceConfig[Cybernet Hostname],ROW()-1),"")</f>
      </c>
      <c r="F120" t="str">
        <f>IFERROR(INDEX(tblDeviceConfig[Neuron Hostname],ROW()-1),"")</f>
      </c>
      <c r="G120">
        <f>IFERROR(INDEX(tblDeviceConfig[Software List],ROW()-1),"")</f>
      </c>
      <c r="H120">
        <f>IFERROR(INDEX(tblDeviceConfig[PI_Use_Case],ROW()-1),"")</f>
      </c>
      <c r="I120">
        <f>IFERROR(INDEX(tblDeviceConfig[PI_Result],ROW()-1),"")</f>
      </c>
      <c r="J120">
        <f>IFERROR(INDEX(tblDeviceConfig[PI_Validated_By],ROW()-1),"")</f>
      </c>
      <c r="K120">
        <f>IFERROR(INDEX(tblDeviceConfig[PI_Validated_Date],ROW()-1),"")</f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</c>
      <c r="C121">
        <f>IFERROR(INDEX(tblDeviceConfig[Deployed],ROW()-1),"")</f>
      </c>
      <c r="D121" t="str">
        <f>IFERROR(INDEX(tblDeviceConfig[Installed],ROW()-1),"")</f>
      </c>
      <c r="E121">
        <f>IFERROR(INDEX(tblDeviceConfig[Cybernet Hostname],ROW()-1),"")</f>
      </c>
      <c r="F121" t="str">
        <f>IFERROR(INDEX(tblDeviceConfig[Neuron Hostname],ROW()-1),"")</f>
      </c>
      <c r="G121">
        <f>IFERROR(INDEX(tblDeviceConfig[Software List],ROW()-1),"")</f>
      </c>
      <c r="H121">
        <f>IFERROR(INDEX(tblDeviceConfig[PI_Use_Case],ROW()-1),"")</f>
      </c>
      <c r="I121">
        <f>IFERROR(INDEX(tblDeviceConfig[PI_Result],ROW()-1),"")</f>
      </c>
      <c r="J121">
        <f>IFERROR(INDEX(tblDeviceConfig[PI_Validated_By],ROW()-1),"")</f>
      </c>
      <c r="K121">
        <f>IFERROR(INDEX(tblDeviceConfig[PI_Validated_Date],ROW()-1),"")</f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</c>
      <c r="C122">
        <f>IFERROR(INDEX(tblDeviceConfig[Deployed],ROW()-1),"")</f>
      </c>
      <c r="D122" t="str">
        <f>IFERROR(INDEX(tblDeviceConfig[Installed],ROW()-1),"")</f>
      </c>
      <c r="E122">
        <f>IFERROR(INDEX(tblDeviceConfig[Cybernet Hostname],ROW()-1),"")</f>
      </c>
      <c r="F122" t="str">
        <f>IFERROR(INDEX(tblDeviceConfig[Neuron Hostname],ROW()-1),"")</f>
      </c>
      <c r="G122">
        <f>IFERROR(INDEX(tblDeviceConfig[Software List],ROW()-1),"")</f>
      </c>
      <c r="H122">
        <f>IFERROR(INDEX(tblDeviceConfig[PI_Use_Case],ROW()-1),"")</f>
      </c>
      <c r="I122">
        <f>IFERROR(INDEX(tblDeviceConfig[PI_Result],ROW()-1),"")</f>
      </c>
      <c r="J122">
        <f>IFERROR(INDEX(tblDeviceConfig[PI_Validated_By],ROW()-1),"")</f>
      </c>
      <c r="K122">
        <f>IFERROR(INDEX(tblDeviceConfig[PI_Validated_Date],ROW()-1),"")</f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</c>
      <c r="C123">
        <f>IFERROR(INDEX(tblDeviceConfig[Deployed],ROW()-1),"")</f>
      </c>
      <c r="D123" t="str">
        <f>IFERROR(INDEX(tblDeviceConfig[Installed],ROW()-1),"")</f>
      </c>
      <c r="E123">
        <f>IFERROR(INDEX(tblDeviceConfig[Cybernet Hostname],ROW()-1),"")</f>
      </c>
      <c r="F123" t="str">
        <f>IFERROR(INDEX(tblDeviceConfig[Neuron Hostname],ROW()-1),"")</f>
      </c>
      <c r="G123">
        <f>IFERROR(INDEX(tblDeviceConfig[Software List],ROW()-1),"")</f>
      </c>
      <c r="H123">
        <f>IFERROR(INDEX(tblDeviceConfig[PI_Use_Case],ROW()-1),"")</f>
      </c>
      <c r="I123">
        <f>IFERROR(INDEX(tblDeviceConfig[PI_Result],ROW()-1),"")</f>
      </c>
      <c r="J123">
        <f>IFERROR(INDEX(tblDeviceConfig[PI_Validated_By],ROW()-1),"")</f>
      </c>
      <c r="K123">
        <f>IFERROR(INDEX(tblDeviceConfig[PI_Validated_Date],ROW()-1),"")</f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</c>
      <c r="C124">
        <f>IFERROR(INDEX(tblDeviceConfig[Deployed],ROW()-1),"")</f>
      </c>
      <c r="D124" t="str">
        <f>IFERROR(INDEX(tblDeviceConfig[Installed],ROW()-1),"")</f>
      </c>
      <c r="E124">
        <f>IFERROR(INDEX(tblDeviceConfig[Cybernet Hostname],ROW()-1),"")</f>
      </c>
      <c r="F124" t="str">
        <f>IFERROR(INDEX(tblDeviceConfig[Neuron Hostname],ROW()-1),"")</f>
      </c>
      <c r="G124">
        <f>IFERROR(INDEX(tblDeviceConfig[Software List],ROW()-1),"")</f>
      </c>
      <c r="H124">
        <f>IFERROR(INDEX(tblDeviceConfig[PI_Use_Case],ROW()-1),"")</f>
      </c>
      <c r="I124">
        <f>IFERROR(INDEX(tblDeviceConfig[PI_Result],ROW()-1),"")</f>
      </c>
      <c r="J124">
        <f>IFERROR(INDEX(tblDeviceConfig[PI_Validated_By],ROW()-1),"")</f>
      </c>
      <c r="K124">
        <f>IFERROR(INDEX(tblDeviceConfig[PI_Validated_Date],ROW()-1),"")</f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</c>
      <c r="C125">
        <f>IFERROR(INDEX(tblDeviceConfig[Deployed],ROW()-1),"")</f>
      </c>
      <c r="D125" t="str">
        <f>IFERROR(INDEX(tblDeviceConfig[Installed],ROW()-1),"")</f>
      </c>
      <c r="E125">
        <f>IFERROR(INDEX(tblDeviceConfig[Cybernet Hostname],ROW()-1),"")</f>
      </c>
      <c r="F125" t="str">
        <f>IFERROR(INDEX(tblDeviceConfig[Neuron Hostname],ROW()-1),"")</f>
      </c>
      <c r="G125">
        <f>IFERROR(INDEX(tblDeviceConfig[Software List],ROW()-1),"")</f>
      </c>
      <c r="H125">
        <f>IFERROR(INDEX(tblDeviceConfig[PI_Use_Case],ROW()-1),"")</f>
      </c>
      <c r="I125">
        <f>IFERROR(INDEX(tblDeviceConfig[PI_Result],ROW()-1),"")</f>
      </c>
      <c r="J125">
        <f>IFERROR(INDEX(tblDeviceConfig[PI_Validated_By],ROW()-1),"")</f>
      </c>
      <c r="K125">
        <f>IFERROR(INDEX(tblDeviceConfig[PI_Validated_Date],ROW()-1),"")</f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</c>
      <c r="C126">
        <f>IFERROR(INDEX(tblDeviceConfig[Deployed],ROW()-1),"")</f>
      </c>
      <c r="D126" t="str">
        <f>IFERROR(INDEX(tblDeviceConfig[Installed],ROW()-1),"")</f>
      </c>
      <c r="E126">
        <f>IFERROR(INDEX(tblDeviceConfig[Cybernet Hostname],ROW()-1),"")</f>
      </c>
      <c r="F126" t="str">
        <f>IFERROR(INDEX(tblDeviceConfig[Neuron Hostname],ROW()-1),"")</f>
      </c>
      <c r="G126">
        <f>IFERROR(INDEX(tblDeviceConfig[Software List],ROW()-1),"")</f>
      </c>
      <c r="H126">
        <f>IFERROR(INDEX(tblDeviceConfig[PI_Use_Case],ROW()-1),"")</f>
      </c>
      <c r="I126">
        <f>IFERROR(INDEX(tblDeviceConfig[PI_Result],ROW()-1),"")</f>
      </c>
      <c r="J126">
        <f>IFERROR(INDEX(tblDeviceConfig[PI_Validated_By],ROW()-1),"")</f>
      </c>
      <c r="K126">
        <f>IFERROR(INDEX(tblDeviceConfig[PI_Validated_Date],ROW()-1),"")</f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</c>
      <c r="C127" t="str">
        <f>IFERROR(INDEX(tblDeviceConfig[Deployed],ROW()-1),"")</f>
      </c>
      <c r="D127" t="str">
        <f>IFERROR(INDEX(tblDeviceConfig[Installed],ROW()-1),"")</f>
      </c>
      <c r="E127">
        <f>IFERROR(INDEX(tblDeviceConfig[Cybernet Hostname],ROW()-1),"")</f>
      </c>
      <c r="F127" t="str">
        <f>IFERROR(INDEX(tblDeviceConfig[Neuron Hostname],ROW()-1),"")</f>
      </c>
      <c r="G127">
        <f>IFERROR(INDEX(tblDeviceConfig[Software List],ROW()-1),"")</f>
      </c>
      <c r="H127">
        <f>IFERROR(INDEX(tblDeviceConfig[PI_Use_Case],ROW()-1),"")</f>
      </c>
      <c r="I127">
        <f>IFERROR(INDEX(tblDeviceConfig[PI_Result],ROW()-1),"")</f>
      </c>
      <c r="J127">
        <f>IFERROR(INDEX(tblDeviceConfig[PI_Validated_By],ROW()-1),"")</f>
      </c>
      <c r="K127">
        <f>IFERROR(INDEX(tblDeviceConfig[PI_Validated_Date],ROW()-1),"")</f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</c>
      <c r="C128">
        <f>IFERROR(INDEX(tblDeviceConfig[Deployed],ROW()-1),"")</f>
      </c>
      <c r="D128" t="str">
        <f>IFERROR(INDEX(tblDeviceConfig[Installed],ROW()-1),"")</f>
      </c>
      <c r="E128">
        <f>IFERROR(INDEX(tblDeviceConfig[Cybernet Hostname],ROW()-1),"")</f>
      </c>
      <c r="F128" t="str">
        <f>IFERROR(INDEX(tblDeviceConfig[Neuron Hostname],ROW()-1),"")</f>
      </c>
      <c r="G128">
        <f>IFERROR(INDEX(tblDeviceConfig[Software List],ROW()-1),"")</f>
      </c>
      <c r="H128">
        <f>IFERROR(INDEX(tblDeviceConfig[PI_Use_Case],ROW()-1),"")</f>
      </c>
      <c r="I128">
        <f>IFERROR(INDEX(tblDeviceConfig[PI_Result],ROW()-1),"")</f>
      </c>
      <c r="J128">
        <f>IFERROR(INDEX(tblDeviceConfig[PI_Validated_By],ROW()-1),"")</f>
      </c>
      <c r="K128">
        <f>IFERROR(INDEX(tblDeviceConfig[PI_Validated_Date],ROW()-1),"")</f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</c>
      <c r="C129" t="str">
        <f>IFERROR(INDEX(tblDeviceConfig[Deployed],ROW()-1),"")</f>
      </c>
      <c r="D129" t="str">
        <f>IFERROR(INDEX(tblDeviceConfig[Installed],ROW()-1),"")</f>
      </c>
      <c r="E129">
        <f>IFERROR(INDEX(tblDeviceConfig[Cybernet Hostname],ROW()-1),"")</f>
      </c>
      <c r="F129" t="str">
        <f>IFERROR(INDEX(tblDeviceConfig[Neuron Hostname],ROW()-1),"")</f>
      </c>
      <c r="G129">
        <f>IFERROR(INDEX(tblDeviceConfig[Software List],ROW()-1),"")</f>
      </c>
      <c r="H129">
        <f>IFERROR(INDEX(tblDeviceConfig[PI_Use_Case],ROW()-1),"")</f>
      </c>
      <c r="I129">
        <f>IFERROR(INDEX(tblDeviceConfig[PI_Result],ROW()-1),"")</f>
      </c>
      <c r="J129">
        <f>IFERROR(INDEX(tblDeviceConfig[PI_Validated_By],ROW()-1),"")</f>
      </c>
      <c r="K129">
        <f>IFERROR(INDEX(tblDeviceConfig[PI_Validated_Date],ROW()-1),"")</f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</c>
      <c r="C130">
        <f>IFERROR(INDEX(tblDeviceConfig[Deployed],ROW()-1),"")</f>
      </c>
      <c r="D130" t="str">
        <f>IFERROR(INDEX(tblDeviceConfig[Installed],ROW()-1),"")</f>
      </c>
      <c r="E130">
        <f>IFERROR(INDEX(tblDeviceConfig[Cybernet Hostname],ROW()-1),"")</f>
      </c>
      <c r="F130" t="str">
        <f>IFERROR(INDEX(tblDeviceConfig[Neuron Hostname],ROW()-1),"")</f>
      </c>
      <c r="G130">
        <f>IFERROR(INDEX(tblDeviceConfig[Software List],ROW()-1),"")</f>
      </c>
      <c r="H130">
        <f>IFERROR(INDEX(tblDeviceConfig[PI_Use_Case],ROW()-1),"")</f>
      </c>
      <c r="I130">
        <f>IFERROR(INDEX(tblDeviceConfig[PI_Result],ROW()-1),"")</f>
      </c>
      <c r="J130">
        <f>IFERROR(INDEX(tblDeviceConfig[PI_Validated_By],ROW()-1),"")</f>
      </c>
      <c r="K130">
        <f>IFERROR(INDEX(tblDeviceConfig[PI_Validated_Date],ROW()-1),"")</f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</c>
      <c r="C131">
        <f>IFERROR(INDEX(tblDeviceConfig[Deployed],ROW()-1),"")</f>
      </c>
      <c r="D131" t="str">
        <f>IFERROR(INDEX(tblDeviceConfig[Installed],ROW()-1),"")</f>
      </c>
      <c r="E131">
        <f>IFERROR(INDEX(tblDeviceConfig[Cybernet Hostname],ROW()-1),"")</f>
      </c>
      <c r="F131" t="str">
        <f>IFERROR(INDEX(tblDeviceConfig[Neuron Hostname],ROW()-1),"")</f>
      </c>
      <c r="G131">
        <f>IFERROR(INDEX(tblDeviceConfig[Software List],ROW()-1),"")</f>
      </c>
      <c r="H131">
        <f>IFERROR(INDEX(tblDeviceConfig[PI_Use_Case],ROW()-1),"")</f>
      </c>
      <c r="I131">
        <f>IFERROR(INDEX(tblDeviceConfig[PI_Result],ROW()-1),"")</f>
      </c>
      <c r="J131">
        <f>IFERROR(INDEX(tblDeviceConfig[PI_Validated_By],ROW()-1),"")</f>
      </c>
      <c r="K131">
        <f>IFERROR(INDEX(tblDeviceConfig[PI_Validated_Date],ROW()-1),"")</f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</c>
      <c r="C132">
        <f>IFERROR(INDEX(tblDeviceConfig[Deployed],ROW()-1),"")</f>
      </c>
      <c r="D132" t="str">
        <f>IFERROR(INDEX(tblDeviceConfig[Installed],ROW()-1),"")</f>
      </c>
      <c r="E132">
        <f>IFERROR(INDEX(tblDeviceConfig[Cybernet Hostname],ROW()-1),"")</f>
      </c>
      <c r="F132" t="str">
        <f>IFERROR(INDEX(tblDeviceConfig[Neuron Hostname],ROW()-1),"")</f>
      </c>
      <c r="G132">
        <f>IFERROR(INDEX(tblDeviceConfig[Software List],ROW()-1),"")</f>
      </c>
      <c r="H132">
        <f>IFERROR(INDEX(tblDeviceConfig[PI_Use_Case],ROW()-1),"")</f>
      </c>
      <c r="I132">
        <f>IFERROR(INDEX(tblDeviceConfig[PI_Result],ROW()-1),"")</f>
      </c>
      <c r="J132">
        <f>IFERROR(INDEX(tblDeviceConfig[PI_Validated_By],ROW()-1),"")</f>
      </c>
      <c r="K132">
        <f>IFERROR(INDEX(tblDeviceConfig[PI_Validated_Date],ROW()-1),"")</f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</c>
      <c r="C133">
        <f>IFERROR(INDEX(tblDeviceConfig[Deployed],ROW()-1),"")</f>
      </c>
      <c r="D133" t="str">
        <f>IFERROR(INDEX(tblDeviceConfig[Installed],ROW()-1),"")</f>
      </c>
      <c r="E133">
        <f>IFERROR(INDEX(tblDeviceConfig[Cybernet Hostname],ROW()-1),"")</f>
      </c>
      <c r="F133" t="str">
        <f>IFERROR(INDEX(tblDeviceConfig[Neuron Hostname],ROW()-1),"")</f>
      </c>
      <c r="G133">
        <f>IFERROR(INDEX(tblDeviceConfig[Software List],ROW()-1),"")</f>
      </c>
      <c r="H133">
        <f>IFERROR(INDEX(tblDeviceConfig[PI_Use_Case],ROW()-1),"")</f>
      </c>
      <c r="I133">
        <f>IFERROR(INDEX(tblDeviceConfig[PI_Result],ROW()-1),"")</f>
      </c>
      <c r="J133">
        <f>IFERROR(INDEX(tblDeviceConfig[PI_Validated_By],ROW()-1),"")</f>
      </c>
      <c r="K133">
        <f>IFERROR(INDEX(tblDeviceConfig[PI_Validated_Date],ROW()-1),"")</f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</c>
      <c r="C134">
        <f>IFERROR(INDEX(tblDeviceConfig[Deployed],ROW()-1),"")</f>
      </c>
      <c r="D134" t="str">
        <f>IFERROR(INDEX(tblDeviceConfig[Installed],ROW()-1),"")</f>
      </c>
      <c r="E134">
        <f>IFERROR(INDEX(tblDeviceConfig[Cybernet Hostname],ROW()-1),"")</f>
      </c>
      <c r="F134" t="str">
        <f>IFERROR(INDEX(tblDeviceConfig[Neuron Hostname],ROW()-1),"")</f>
      </c>
      <c r="G134">
        <f>IFERROR(INDEX(tblDeviceConfig[Software List],ROW()-1),"")</f>
      </c>
      <c r="H134">
        <f>IFERROR(INDEX(tblDeviceConfig[PI_Use_Case],ROW()-1),"")</f>
      </c>
      <c r="I134">
        <f>IFERROR(INDEX(tblDeviceConfig[PI_Result],ROW()-1),"")</f>
      </c>
      <c r="J134">
        <f>IFERROR(INDEX(tblDeviceConfig[PI_Validated_By],ROW()-1),"")</f>
      </c>
      <c r="K134">
        <f>IFERROR(INDEX(tblDeviceConfig[PI_Validated_Date],ROW()-1),"")</f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</c>
      <c r="C135">
        <f>IFERROR(INDEX(tblDeviceConfig[Deployed],ROW()-1),"")</f>
      </c>
      <c r="D135" t="str">
        <f>IFERROR(INDEX(tblDeviceConfig[Installed],ROW()-1),"")</f>
      </c>
      <c r="E135">
        <f>IFERROR(INDEX(tblDeviceConfig[Cybernet Hostname],ROW()-1),"")</f>
      </c>
      <c r="F135" t="str">
        <f>IFERROR(INDEX(tblDeviceConfig[Neuron Hostname],ROW()-1),"")</f>
      </c>
      <c r="G135">
        <f>IFERROR(INDEX(tblDeviceConfig[Software List],ROW()-1),"")</f>
      </c>
      <c r="H135">
        <f>IFERROR(INDEX(tblDeviceConfig[PI_Use_Case],ROW()-1),"")</f>
      </c>
      <c r="I135">
        <f>IFERROR(INDEX(tblDeviceConfig[PI_Result],ROW()-1),"")</f>
      </c>
      <c r="J135">
        <f>IFERROR(INDEX(tblDeviceConfig[PI_Validated_By],ROW()-1),"")</f>
      </c>
      <c r="K135">
        <f>IFERROR(INDEX(tblDeviceConfig[PI_Validated_Date],ROW()-1),"")</f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</c>
      <c r="C136">
        <f>IFERROR(INDEX(tblDeviceConfig[Deployed],ROW()-1),"")</f>
      </c>
      <c r="D136" t="str">
        <f>IFERROR(INDEX(tblDeviceConfig[Installed],ROW()-1),"")</f>
      </c>
      <c r="E136">
        <f>IFERROR(INDEX(tblDeviceConfig[Cybernet Hostname],ROW()-1),"")</f>
      </c>
      <c r="F136" t="str">
        <f>IFERROR(INDEX(tblDeviceConfig[Neuron Hostname],ROW()-1),"")</f>
      </c>
      <c r="G136">
        <f>IFERROR(INDEX(tblDeviceConfig[Software List],ROW()-1),"")</f>
      </c>
      <c r="H136">
        <f>IFERROR(INDEX(tblDeviceConfig[PI_Use_Case],ROW()-1),"")</f>
      </c>
      <c r="I136">
        <f>IFERROR(INDEX(tblDeviceConfig[PI_Result],ROW()-1),"")</f>
      </c>
      <c r="J136">
        <f>IFERROR(INDEX(tblDeviceConfig[PI_Validated_By],ROW()-1),"")</f>
      </c>
      <c r="K136">
        <f>IFERROR(INDEX(tblDeviceConfig[PI_Validated_Date],ROW()-1),"")</f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</c>
      <c r="C137">
        <f>IFERROR(INDEX(tblDeviceConfig[Deployed],ROW()-1),"")</f>
      </c>
      <c r="D137" t="str">
        <f>IFERROR(INDEX(tblDeviceConfig[Installed],ROW()-1),"")</f>
      </c>
      <c r="E137">
        <f>IFERROR(INDEX(tblDeviceConfig[Cybernet Hostname],ROW()-1),"")</f>
      </c>
      <c r="F137" t="str">
        <f>IFERROR(INDEX(tblDeviceConfig[Neuron Hostname],ROW()-1),"")</f>
      </c>
      <c r="G137">
        <f>IFERROR(INDEX(tblDeviceConfig[Software List],ROW()-1),"")</f>
      </c>
      <c r="H137">
        <f>IFERROR(INDEX(tblDeviceConfig[PI_Use_Case],ROW()-1),"")</f>
      </c>
      <c r="I137">
        <f>IFERROR(INDEX(tblDeviceConfig[PI_Result],ROW()-1),"")</f>
      </c>
      <c r="J137">
        <f>IFERROR(INDEX(tblDeviceConfig[PI_Validated_By],ROW()-1),"")</f>
      </c>
      <c r="K137">
        <f>IFERROR(INDEX(tblDeviceConfig[PI_Validated_Date],ROW()-1),"")</f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</c>
      <c r="C138">
        <f>IFERROR(INDEX(tblDeviceConfig[Deployed],ROW()-1),"")</f>
      </c>
      <c r="D138" t="str">
        <f>IFERROR(INDEX(tblDeviceConfig[Installed],ROW()-1),"")</f>
      </c>
      <c r="E138">
        <f>IFERROR(INDEX(tblDeviceConfig[Cybernet Hostname],ROW()-1),"")</f>
      </c>
      <c r="F138" t="str">
        <f>IFERROR(INDEX(tblDeviceConfig[Neuron Hostname],ROW()-1),"")</f>
      </c>
      <c r="G138">
        <f>IFERROR(INDEX(tblDeviceConfig[Software List],ROW()-1),"")</f>
      </c>
      <c r="H138">
        <f>IFERROR(INDEX(tblDeviceConfig[PI_Use_Case],ROW()-1),"")</f>
      </c>
      <c r="I138">
        <f>IFERROR(INDEX(tblDeviceConfig[PI_Result],ROW()-1),"")</f>
      </c>
      <c r="J138">
        <f>IFERROR(INDEX(tblDeviceConfig[PI_Validated_By],ROW()-1),"")</f>
      </c>
      <c r="K138">
        <f>IFERROR(INDEX(tblDeviceConfig[PI_Validated_Date],ROW()-1),"")</f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</c>
      <c r="C139" t="str">
        <f>IFERROR(INDEX(tblDeviceConfig[Deployed],ROW()-1),"")</f>
      </c>
      <c r="D139" t="str">
        <f>IFERROR(INDEX(tblDeviceConfig[Installed],ROW()-1),"")</f>
      </c>
      <c r="E139">
        <f>IFERROR(INDEX(tblDeviceConfig[Cybernet Hostname],ROW()-1),"")</f>
      </c>
      <c r="F139" t="str">
        <f>IFERROR(INDEX(tblDeviceConfig[Neuron Hostname],ROW()-1),"")</f>
      </c>
      <c r="G139">
        <f>IFERROR(INDEX(tblDeviceConfig[Software List],ROW()-1),"")</f>
      </c>
      <c r="H139">
        <f>IFERROR(INDEX(tblDeviceConfig[PI_Use_Case],ROW()-1),"")</f>
      </c>
      <c r="I139">
        <f>IFERROR(INDEX(tblDeviceConfig[PI_Result],ROW()-1),"")</f>
      </c>
      <c r="J139">
        <f>IFERROR(INDEX(tblDeviceConfig[PI_Validated_By],ROW()-1),"")</f>
      </c>
      <c r="K139">
        <f>IFERROR(INDEX(tblDeviceConfig[PI_Validated_Date],ROW()-1),"")</f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</c>
      <c r="C140" t="str">
        <f>IFERROR(INDEX(tblDeviceConfig[Deployed],ROW()-1),"")</f>
      </c>
      <c r="D140" t="str">
        <f>IFERROR(INDEX(tblDeviceConfig[Installed],ROW()-1),"")</f>
      </c>
      <c r="E140">
        <f>IFERROR(INDEX(tblDeviceConfig[Cybernet Hostname],ROW()-1),"")</f>
      </c>
      <c r="F140" t="str">
        <f>IFERROR(INDEX(tblDeviceConfig[Neuron Hostname],ROW()-1),"")</f>
      </c>
      <c r="G140">
        <f>IFERROR(INDEX(tblDeviceConfig[Software List],ROW()-1),"")</f>
      </c>
      <c r="H140">
        <f>IFERROR(INDEX(tblDeviceConfig[PI_Use_Case],ROW()-1),"")</f>
      </c>
      <c r="I140">
        <f>IFERROR(INDEX(tblDeviceConfig[PI_Result],ROW()-1),"")</f>
      </c>
      <c r="J140">
        <f>IFERROR(INDEX(tblDeviceConfig[PI_Validated_By],ROW()-1),"")</f>
      </c>
      <c r="K140">
        <f>IFERROR(INDEX(tblDeviceConfig[PI_Validated_Date],ROW()-1),"")</f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</c>
      <c r="C141" t="str">
        <f>IFERROR(INDEX(tblDeviceConfig[Deployed],ROW()-1),"")</f>
      </c>
      <c r="D141" t="str">
        <f>IFERROR(INDEX(tblDeviceConfig[Installed],ROW()-1),"")</f>
      </c>
      <c r="E141">
        <f>IFERROR(INDEX(tblDeviceConfig[Cybernet Hostname],ROW()-1),"")</f>
      </c>
      <c r="F141" t="str">
        <f>IFERROR(INDEX(tblDeviceConfig[Neuron Hostname],ROW()-1),"")</f>
      </c>
      <c r="G141">
        <f>IFERROR(INDEX(tblDeviceConfig[Software List],ROW()-1),"")</f>
      </c>
      <c r="H141">
        <f>IFERROR(INDEX(tblDeviceConfig[PI_Use_Case],ROW()-1),"")</f>
      </c>
      <c r="I141">
        <f>IFERROR(INDEX(tblDeviceConfig[PI_Result],ROW()-1),"")</f>
      </c>
      <c r="J141">
        <f>IFERROR(INDEX(tblDeviceConfig[PI_Validated_By],ROW()-1),"")</f>
      </c>
      <c r="K141">
        <f>IFERROR(INDEX(tblDeviceConfig[PI_Validated_Date],ROW()-1),"")</f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</c>
      <c r="C142" t="str">
        <f>IFERROR(INDEX(tblDeviceConfig[Deployed],ROW()-1),"")</f>
      </c>
      <c r="D142" t="str">
        <f>IFERROR(INDEX(tblDeviceConfig[Installed],ROW()-1),"")</f>
      </c>
      <c r="E142">
        <f>IFERROR(INDEX(tblDeviceConfig[Cybernet Hostname],ROW()-1),"")</f>
      </c>
      <c r="F142" t="str">
        <f>IFERROR(INDEX(tblDeviceConfig[Neuron Hostname],ROW()-1),"")</f>
      </c>
      <c r="G142">
        <f>IFERROR(INDEX(tblDeviceConfig[Software List],ROW()-1),"")</f>
      </c>
      <c r="H142">
        <f>IFERROR(INDEX(tblDeviceConfig[PI_Use_Case],ROW()-1),"")</f>
      </c>
      <c r="I142">
        <f>IFERROR(INDEX(tblDeviceConfig[PI_Result],ROW()-1),"")</f>
      </c>
      <c r="J142">
        <f>IFERROR(INDEX(tblDeviceConfig[PI_Validated_By],ROW()-1),"")</f>
      </c>
      <c r="K142">
        <f>IFERROR(INDEX(tblDeviceConfig[PI_Validated_Date],ROW()-1),"")</f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</c>
      <c r="C143" t="str">
        <f>IFERROR(INDEX(tblDeviceConfig[Deployed],ROW()-1),"")</f>
      </c>
      <c r="D143" t="str">
        <f>IFERROR(INDEX(tblDeviceConfig[Installed],ROW()-1),"")</f>
      </c>
      <c r="E143">
        <f>IFERROR(INDEX(tblDeviceConfig[Cybernet Hostname],ROW()-1),"")</f>
      </c>
      <c r="F143" t="str">
        <f>IFERROR(INDEX(tblDeviceConfig[Neuron Hostname],ROW()-1),"")</f>
      </c>
      <c r="G143">
        <f>IFERROR(INDEX(tblDeviceConfig[Software List],ROW()-1),"")</f>
      </c>
      <c r="H143">
        <f>IFERROR(INDEX(tblDeviceConfig[PI_Use_Case],ROW()-1),"")</f>
      </c>
      <c r="I143">
        <f>IFERROR(INDEX(tblDeviceConfig[PI_Result],ROW()-1),"")</f>
      </c>
      <c r="J143">
        <f>IFERROR(INDEX(tblDeviceConfig[PI_Validated_By],ROW()-1),"")</f>
      </c>
      <c r="K143">
        <f>IFERROR(INDEX(tblDeviceConfig[PI_Validated_Date],ROW()-1),"")</f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</c>
      <c r="C144" t="str">
        <f>IFERROR(INDEX(tblDeviceConfig[Deployed],ROW()-1),"")</f>
      </c>
      <c r="D144" t="str">
        <f>IFERROR(INDEX(tblDeviceConfig[Installed],ROW()-1),"")</f>
      </c>
      <c r="E144">
        <f>IFERROR(INDEX(tblDeviceConfig[Cybernet Hostname],ROW()-1),"")</f>
      </c>
      <c r="F144" t="str">
        <f>IFERROR(INDEX(tblDeviceConfig[Neuron Hostname],ROW()-1),"")</f>
      </c>
      <c r="G144">
        <f>IFERROR(INDEX(tblDeviceConfig[Software List],ROW()-1),"")</f>
      </c>
      <c r="H144">
        <f>IFERROR(INDEX(tblDeviceConfig[PI_Use_Case],ROW()-1),"")</f>
      </c>
      <c r="I144">
        <f>IFERROR(INDEX(tblDeviceConfig[PI_Result],ROW()-1),"")</f>
      </c>
      <c r="J144">
        <f>IFERROR(INDEX(tblDeviceConfig[PI_Validated_By],ROW()-1),"")</f>
      </c>
      <c r="K144">
        <f>IFERROR(INDEX(tblDeviceConfig[PI_Validated_Date],ROW()-1),"")</f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</c>
      <c r="C145" t="str">
        <f>IFERROR(INDEX(tblDeviceConfig[Deployed],ROW()-1),"")</f>
      </c>
      <c r="D145" t="str">
        <f>IFERROR(INDEX(tblDeviceConfig[Installed],ROW()-1),"")</f>
      </c>
      <c r="E145">
        <f>IFERROR(INDEX(tblDeviceConfig[Cybernet Hostname],ROW()-1),"")</f>
      </c>
      <c r="F145" t="str">
        <f>IFERROR(INDEX(tblDeviceConfig[Neuron Hostname],ROW()-1),"")</f>
      </c>
      <c r="G145">
        <f>IFERROR(INDEX(tblDeviceConfig[Software List],ROW()-1),"")</f>
      </c>
      <c r="H145">
        <f>IFERROR(INDEX(tblDeviceConfig[PI_Use_Case],ROW()-1),"")</f>
      </c>
      <c r="I145">
        <f>IFERROR(INDEX(tblDeviceConfig[PI_Result],ROW()-1),"")</f>
      </c>
      <c r="J145">
        <f>IFERROR(INDEX(tblDeviceConfig[PI_Validated_By],ROW()-1),"")</f>
      </c>
      <c r="K145">
        <f>IFERROR(INDEX(tblDeviceConfig[PI_Validated_Date],ROW()-1),"")</f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</c>
      <c r="C146" t="str">
        <f>IFERROR(INDEX(tblDeviceConfig[Deployed],ROW()-1),"")</f>
      </c>
      <c r="D146" t="str">
        <f>IFERROR(INDEX(tblDeviceConfig[Installed],ROW()-1),"")</f>
      </c>
      <c r="E146">
        <f>IFERROR(INDEX(tblDeviceConfig[Cybernet Hostname],ROW()-1),"")</f>
      </c>
      <c r="F146">
        <f>IFERROR(INDEX(tblDeviceConfig[Neuron Hostname],ROW()-1),"")</f>
      </c>
      <c r="G146">
        <f>IFERROR(INDEX(tblDeviceConfig[Software List],ROW()-1),"")</f>
      </c>
      <c r="H146">
        <f>IFERROR(INDEX(tblDeviceConfig[PI_Use_Case],ROW()-1),"")</f>
      </c>
      <c r="I146">
        <f>IFERROR(INDEX(tblDeviceConfig[PI_Result],ROW()-1),"")</f>
      </c>
      <c r="J146">
        <f>IFERROR(INDEX(tblDeviceConfig[PI_Validated_By],ROW()-1),"")</f>
      </c>
      <c r="K146">
        <f>IFERROR(INDEX(tblDeviceConfig[PI_Validated_Date],ROW()-1),"")</f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</c>
      <c r="C147" t="str">
        <f>IFERROR(INDEX(tblDeviceConfig[Deployed],ROW()-1),"")</f>
      </c>
      <c r="D147" t="str">
        <f>IFERROR(INDEX(tblDeviceConfig[Installed],ROW()-1),"")</f>
      </c>
      <c r="E147">
        <f>IFERROR(INDEX(tblDeviceConfig[Cybernet Hostname],ROW()-1),"")</f>
      </c>
      <c r="F147">
        <f>IFERROR(INDEX(tblDeviceConfig[Neuron Hostname],ROW()-1),"")</f>
      </c>
      <c r="G147">
        <f>IFERROR(INDEX(tblDeviceConfig[Software List],ROW()-1),"")</f>
      </c>
      <c r="H147">
        <f>IFERROR(INDEX(tblDeviceConfig[PI_Use_Case],ROW()-1),"")</f>
      </c>
      <c r="I147">
        <f>IFERROR(INDEX(tblDeviceConfig[PI_Result],ROW()-1),"")</f>
      </c>
      <c r="J147">
        <f>IFERROR(INDEX(tblDeviceConfig[PI_Validated_By],ROW()-1),"")</f>
      </c>
      <c r="K147">
        <f>IFERROR(INDEX(tblDeviceConfig[PI_Validated_Date],ROW()-1),"")</f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</c>
      <c r="C148" t="str">
        <f>IFERROR(INDEX(tblDeviceConfig[Deployed],ROW()-1),"")</f>
      </c>
      <c r="D148" t="str">
        <f>IFERROR(INDEX(tblDeviceConfig[Installed],ROW()-1),"")</f>
      </c>
      <c r="E148">
        <f>IFERROR(INDEX(tblDeviceConfig[Cybernet Hostname],ROW()-1),"")</f>
      </c>
      <c r="F148">
        <f>IFERROR(INDEX(tblDeviceConfig[Neuron Hostname],ROW()-1),"")</f>
      </c>
      <c r="G148">
        <f>IFERROR(INDEX(tblDeviceConfig[Software List],ROW()-1),"")</f>
      </c>
      <c r="H148">
        <f>IFERROR(INDEX(tblDeviceConfig[PI_Use_Case],ROW()-1),"")</f>
      </c>
      <c r="I148">
        <f>IFERROR(INDEX(tblDeviceConfig[PI_Result],ROW()-1),"")</f>
      </c>
      <c r="J148">
        <f>IFERROR(INDEX(tblDeviceConfig[PI_Validated_By],ROW()-1),"")</f>
      </c>
      <c r="K148">
        <f>IFERROR(INDEX(tblDeviceConfig[PI_Validated_Date],ROW()-1),"")</f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</c>
      <c r="C149">
        <f>IFERROR(INDEX(tblDeviceConfig[Deployed],ROW()-1),"")</f>
      </c>
      <c r="D149">
        <f>IFERROR(INDEX(tblDeviceConfig[Installed],ROW()-1),"")</f>
      </c>
      <c r="E149">
        <f>IFERROR(INDEX(tblDeviceConfig[Cybernet Hostname],ROW()-1),"")</f>
      </c>
      <c r="F149">
        <f>IFERROR(INDEX(tblDeviceConfig[Neuron Hostname],ROW()-1),"")</f>
      </c>
      <c r="G149">
        <f>IFERROR(INDEX(tblDeviceConfig[Software List],ROW()-1),"")</f>
      </c>
      <c r="H149">
        <f>IFERROR(INDEX(tblDeviceConfig[PI_Use_Case],ROW()-1),"")</f>
      </c>
      <c r="I149">
        <f>IFERROR(INDEX(tblDeviceConfig[PI_Result],ROW()-1),"")</f>
      </c>
      <c r="J149">
        <f>IFERROR(INDEX(tblDeviceConfig[PI_Validated_By],ROW()-1),"")</f>
      </c>
      <c r="K149">
        <f>IFERROR(INDEX(tblDeviceConfig[PI_Validated_Date],ROW()-1),"")</f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</c>
      <c r="C150">
        <f>IFERROR(INDEX(tblDeviceConfig[Deployed],ROW()-1),"")</f>
      </c>
      <c r="D150">
        <f>IFERROR(INDEX(tblDeviceConfig[Installed],ROW()-1),"")</f>
      </c>
      <c r="E150">
        <f>IFERROR(INDEX(tblDeviceConfig[Cybernet Hostname],ROW()-1),"")</f>
      </c>
      <c r="F150">
        <f>IFERROR(INDEX(tblDeviceConfig[Neuron Hostname],ROW()-1),"")</f>
      </c>
      <c r="G150">
        <f>IFERROR(INDEX(tblDeviceConfig[Software List],ROW()-1),"")</f>
      </c>
      <c r="H150">
        <f>IFERROR(INDEX(tblDeviceConfig[PI_Use_Case],ROW()-1),"")</f>
      </c>
      <c r="I150">
        <f>IFERROR(INDEX(tblDeviceConfig[PI_Result],ROW()-1),"")</f>
      </c>
      <c r="J150">
        <f>IFERROR(INDEX(tblDeviceConfig[PI_Validated_By],ROW()-1),"")</f>
      </c>
      <c r="K150">
        <f>IFERROR(INDEX(tblDeviceConfig[PI_Validated_Date],ROW()-1),"")</f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</c>
      <c r="C151">
        <f>IFERROR(INDEX(tblDeviceConfig[Deployed],ROW()-1),"")</f>
      </c>
      <c r="D151">
        <f>IFERROR(INDEX(tblDeviceConfig[Installed],ROW()-1),"")</f>
      </c>
      <c r="E151">
        <f>IFERROR(INDEX(tblDeviceConfig[Cybernet Hostname],ROW()-1),"")</f>
      </c>
      <c r="F151">
        <f>IFERROR(INDEX(tblDeviceConfig[Neuron Hostname],ROW()-1),"")</f>
      </c>
      <c r="G151">
        <f>IFERROR(INDEX(tblDeviceConfig[Software List],ROW()-1),"")</f>
      </c>
      <c r="H151">
        <f>IFERROR(INDEX(tblDeviceConfig[PI_Use_Case],ROW()-1),"")</f>
      </c>
      <c r="I151">
        <f>IFERROR(INDEX(tblDeviceConfig[PI_Result],ROW()-1),"")</f>
      </c>
      <c r="J151">
        <f>IFERROR(INDEX(tblDeviceConfig[PI_Validated_By],ROW()-1),"")</f>
      </c>
      <c r="K151">
        <f>IFERROR(INDEX(tblDeviceConfig[PI_Validated_Date],ROW()-1),"")</f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</c>
      <c r="C152">
        <f>IFERROR(INDEX(tblDeviceConfig[Deployed],ROW()-1),"")</f>
      </c>
      <c r="D152">
        <f>IFERROR(INDEX(tblDeviceConfig[Installed],ROW()-1),"")</f>
      </c>
      <c r="E152">
        <f>IFERROR(INDEX(tblDeviceConfig[Cybernet Hostname],ROW()-1),"")</f>
      </c>
      <c r="F152">
        <f>IFERROR(INDEX(tblDeviceConfig[Neuron Hostname],ROW()-1),"")</f>
      </c>
      <c r="G152">
        <f>IFERROR(INDEX(tblDeviceConfig[Software List],ROW()-1),"")</f>
      </c>
      <c r="H152">
        <f>IFERROR(INDEX(tblDeviceConfig[PI_Use_Case],ROW()-1),"")</f>
      </c>
      <c r="I152">
        <f>IFERROR(INDEX(tblDeviceConfig[PI_Result],ROW()-1),"")</f>
      </c>
      <c r="J152">
        <f>IFERROR(INDEX(tblDeviceConfig[PI_Validated_By],ROW()-1),"")</f>
      </c>
      <c r="K152">
        <f>IFERROR(INDEX(tblDeviceConfig[PI_Validated_Date],ROW()-1),"")</f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</c>
      <c r="C153">
        <f>IFERROR(INDEX(tblDeviceConfig[Deployed],ROW()-1),"")</f>
      </c>
      <c r="D153">
        <f>IFERROR(INDEX(tblDeviceConfig[Installed],ROW()-1),"")</f>
      </c>
      <c r="E153">
        <f>IFERROR(INDEX(tblDeviceConfig[Cybernet Hostname],ROW()-1),"")</f>
      </c>
      <c r="F153">
        <f>IFERROR(INDEX(tblDeviceConfig[Neuron Hostname],ROW()-1),"")</f>
      </c>
      <c r="G153">
        <f>IFERROR(INDEX(tblDeviceConfig[Software List],ROW()-1),"")</f>
      </c>
      <c r="H153">
        <f>IFERROR(INDEX(tblDeviceConfig[PI_Use_Case],ROW()-1),"")</f>
      </c>
      <c r="I153">
        <f>IFERROR(INDEX(tblDeviceConfig[PI_Result],ROW()-1),"")</f>
      </c>
      <c r="J153">
        <f>IFERROR(INDEX(tblDeviceConfig[PI_Validated_By],ROW()-1),"")</f>
      </c>
      <c r="K153">
        <f>IFERROR(INDEX(tblDeviceConfig[PI_Validated_Date],ROW()-1),"")</f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</c>
      <c r="C154">
        <f>IFERROR(INDEX(tblDeviceConfig[Deployed],ROW()-1),"")</f>
      </c>
      <c r="D154">
        <f>IFERROR(INDEX(tblDeviceConfig[Installed],ROW()-1),"")</f>
      </c>
      <c r="E154">
        <f>IFERROR(INDEX(tblDeviceConfig[Cybernet Hostname],ROW()-1),"")</f>
      </c>
      <c r="F154">
        <f>IFERROR(INDEX(tblDeviceConfig[Neuron Hostname],ROW()-1),"")</f>
      </c>
      <c r="G154">
        <f>IFERROR(INDEX(tblDeviceConfig[Software List],ROW()-1),"")</f>
      </c>
      <c r="H154">
        <f>IFERROR(INDEX(tblDeviceConfig[PI_Use_Case],ROW()-1),"")</f>
      </c>
      <c r="I154">
        <f>IFERROR(INDEX(tblDeviceConfig[PI_Result],ROW()-1),"")</f>
      </c>
      <c r="J154">
        <f>IFERROR(INDEX(tblDeviceConfig[PI_Validated_By],ROW()-1),"")</f>
      </c>
      <c r="K154">
        <f>IFERROR(INDEX(tblDeviceConfig[PI_Validated_Date],ROW()-1),"")</f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</c>
      <c r="C155">
        <f>IFERROR(INDEX(tblDeviceConfig[Deployed],ROW()-1),"")</f>
      </c>
      <c r="D155">
        <f>IFERROR(INDEX(tblDeviceConfig[Installed],ROW()-1),"")</f>
      </c>
      <c r="E155">
        <f>IFERROR(INDEX(tblDeviceConfig[Cybernet Hostname],ROW()-1),"")</f>
      </c>
      <c r="F155">
        <f>IFERROR(INDEX(tblDeviceConfig[Neuron Hostname],ROW()-1),"")</f>
      </c>
      <c r="G155">
        <f>IFERROR(INDEX(tblDeviceConfig[Software List],ROW()-1),"")</f>
      </c>
      <c r="H155">
        <f>IFERROR(INDEX(tblDeviceConfig[PI_Use_Case],ROW()-1),"")</f>
      </c>
      <c r="I155">
        <f>IFERROR(INDEX(tblDeviceConfig[PI_Result],ROW()-1),"")</f>
      </c>
      <c r="J155">
        <f>IFERROR(INDEX(tblDeviceConfig[PI_Validated_By],ROW()-1),"")</f>
      </c>
      <c r="K155">
        <f>IFERROR(INDEX(tblDeviceConfig[PI_Validated_Date],ROW()-1),"")</f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</c>
      <c r="C156">
        <f>IFERROR(INDEX(tblDeviceConfig[Deployed],ROW()-1),"")</f>
      </c>
      <c r="D156">
        <f>IFERROR(INDEX(tblDeviceConfig[Installed],ROW()-1),"")</f>
      </c>
      <c r="E156">
        <f>IFERROR(INDEX(tblDeviceConfig[Cybernet Hostname],ROW()-1),"")</f>
      </c>
      <c r="F156">
        <f>IFERROR(INDEX(tblDeviceConfig[Neuron Hostname],ROW()-1),"")</f>
      </c>
      <c r="G156">
        <f>IFERROR(INDEX(tblDeviceConfig[Software List],ROW()-1),"")</f>
      </c>
      <c r="H156">
        <f>IFERROR(INDEX(tblDeviceConfig[PI_Use_Case],ROW()-1),"")</f>
      </c>
      <c r="I156">
        <f>IFERROR(INDEX(tblDeviceConfig[PI_Result],ROW()-1),"")</f>
      </c>
      <c r="J156">
        <f>IFERROR(INDEX(tblDeviceConfig[PI_Validated_By],ROW()-1),"")</f>
      </c>
      <c r="K156">
        <f>IFERROR(INDEX(tblDeviceConfig[PI_Validated_Date],ROW()-1),"")</f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</c>
      <c r="C157">
        <f>IFERROR(INDEX(tblDeviceConfig[Deployed],ROW()-1),"")</f>
      </c>
      <c r="D157">
        <f>IFERROR(INDEX(tblDeviceConfig[Installed],ROW()-1),"")</f>
      </c>
      <c r="E157">
        <f>IFERROR(INDEX(tblDeviceConfig[Cybernet Hostname],ROW()-1),"")</f>
      </c>
      <c r="F157">
        <f>IFERROR(INDEX(tblDeviceConfig[Neuron Hostname],ROW()-1),"")</f>
      </c>
      <c r="G157">
        <f>IFERROR(INDEX(tblDeviceConfig[Software List],ROW()-1),"")</f>
      </c>
      <c r="H157">
        <f>IFERROR(INDEX(tblDeviceConfig[PI_Use_Case],ROW()-1),"")</f>
      </c>
      <c r="I157">
        <f>IFERROR(INDEX(tblDeviceConfig[PI_Result],ROW()-1),"")</f>
      </c>
      <c r="J157">
        <f>IFERROR(INDEX(tblDeviceConfig[PI_Validated_By],ROW()-1),"")</f>
      </c>
      <c r="K157">
        <f>IFERROR(INDEX(tblDeviceConfig[PI_Validated_Date],ROW()-1),"")</f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</c>
      <c r="C158">
        <f>IFERROR(INDEX(tblDeviceConfig[Deployed],ROW()-1),"")</f>
      </c>
      <c r="D158">
        <f>IFERROR(INDEX(tblDeviceConfig[Installed],ROW()-1),"")</f>
      </c>
      <c r="E158">
        <f>IFERROR(INDEX(tblDeviceConfig[Cybernet Hostname],ROW()-1),"")</f>
      </c>
      <c r="F158">
        <f>IFERROR(INDEX(tblDeviceConfig[Neuron Hostname],ROW()-1),"")</f>
      </c>
      <c r="G158">
        <f>IFERROR(INDEX(tblDeviceConfig[Software List],ROW()-1),"")</f>
      </c>
      <c r="H158">
        <f>IFERROR(INDEX(tblDeviceConfig[PI_Use_Case],ROW()-1),"")</f>
      </c>
      <c r="I158">
        <f>IFERROR(INDEX(tblDeviceConfig[PI_Result],ROW()-1),"")</f>
      </c>
      <c r="J158">
        <f>IFERROR(INDEX(tblDeviceConfig[PI_Validated_By],ROW()-1),"")</f>
      </c>
      <c r="K158">
        <f>IFERROR(INDEX(tblDeviceConfig[PI_Validated_Date],ROW()-1),"")</f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</c>
      <c r="C159">
        <f>IFERROR(INDEX(tblDeviceConfig[Deployed],ROW()-1),"")</f>
      </c>
      <c r="D159">
        <f>IFERROR(INDEX(tblDeviceConfig[Installed],ROW()-1),"")</f>
      </c>
      <c r="E159">
        <f>IFERROR(INDEX(tblDeviceConfig[Cybernet Hostname],ROW()-1),"")</f>
      </c>
      <c r="F159">
        <f>IFERROR(INDEX(tblDeviceConfig[Neuron Hostname],ROW()-1),"")</f>
      </c>
      <c r="G159">
        <f>IFERROR(INDEX(tblDeviceConfig[Software List],ROW()-1),"")</f>
      </c>
      <c r="H159">
        <f>IFERROR(INDEX(tblDeviceConfig[PI_Use_Case],ROW()-1),"")</f>
      </c>
      <c r="I159">
        <f>IFERROR(INDEX(tblDeviceConfig[PI_Result],ROW()-1),"")</f>
      </c>
      <c r="J159">
        <f>IFERROR(INDEX(tblDeviceConfig[PI_Validated_By],ROW()-1),"")</f>
      </c>
      <c r="K159">
        <f>IFERROR(INDEX(tblDeviceConfig[PI_Validated_Date],ROW()-1),"")</f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</c>
      <c r="C160">
        <f>IFERROR(INDEX(tblDeviceConfig[Deployed],ROW()-1),"")</f>
      </c>
      <c r="D160">
        <f>IFERROR(INDEX(tblDeviceConfig[Installed],ROW()-1),"")</f>
      </c>
      <c r="E160">
        <f>IFERROR(INDEX(tblDeviceConfig[Cybernet Hostname],ROW()-1),"")</f>
      </c>
      <c r="F160">
        <f>IFERROR(INDEX(tblDeviceConfig[Neuron Hostname],ROW()-1),"")</f>
      </c>
      <c r="G160">
        <f>IFERROR(INDEX(tblDeviceConfig[Software List],ROW()-1),"")</f>
      </c>
      <c r="H160">
        <f>IFERROR(INDEX(tblDeviceConfig[PI_Use_Case],ROW()-1),"")</f>
      </c>
      <c r="I160">
        <f>IFERROR(INDEX(tblDeviceConfig[PI_Result],ROW()-1),"")</f>
      </c>
      <c r="J160">
        <f>IFERROR(INDEX(tblDeviceConfig[PI_Validated_By],ROW()-1),"")</f>
      </c>
      <c r="K160">
        <f>IFERROR(INDEX(tblDeviceConfig[PI_Validated_Date],ROW()-1),"")</f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</c>
      <c r="C161">
        <f>IFERROR(INDEX(tblDeviceConfig[Deployed],ROW()-1),"")</f>
      </c>
      <c r="D161">
        <f>IFERROR(INDEX(tblDeviceConfig[Installed],ROW()-1),"")</f>
      </c>
      <c r="E161">
        <f>IFERROR(INDEX(tblDeviceConfig[Cybernet Hostname],ROW()-1),"")</f>
      </c>
      <c r="F161">
        <f>IFERROR(INDEX(tblDeviceConfig[Neuron Hostname],ROW()-1),"")</f>
      </c>
      <c r="G161">
        <f>IFERROR(INDEX(tblDeviceConfig[Software List],ROW()-1),"")</f>
      </c>
      <c r="H161">
        <f>IFERROR(INDEX(tblDeviceConfig[PI_Use_Case],ROW()-1),"")</f>
      </c>
      <c r="I161">
        <f>IFERROR(INDEX(tblDeviceConfig[PI_Result],ROW()-1),"")</f>
      </c>
      <c r="J161">
        <f>IFERROR(INDEX(tblDeviceConfig[PI_Validated_By],ROW()-1),"")</f>
      </c>
      <c r="K161">
        <f>IFERROR(INDEX(tblDeviceConfig[PI_Validated_Date],ROW()-1),"")</f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</c>
      <c r="C162">
        <f>IFERROR(INDEX(tblDeviceConfig[Deployed],ROW()-1),"")</f>
      </c>
      <c r="D162">
        <f>IFERROR(INDEX(tblDeviceConfig[Installed],ROW()-1),"")</f>
      </c>
      <c r="E162">
        <f>IFERROR(INDEX(tblDeviceConfig[Cybernet Hostname],ROW()-1),"")</f>
      </c>
      <c r="F162">
        <f>IFERROR(INDEX(tblDeviceConfig[Neuron Hostname],ROW()-1),"")</f>
      </c>
      <c r="G162">
        <f>IFERROR(INDEX(tblDeviceConfig[Software List],ROW()-1),"")</f>
      </c>
      <c r="H162">
        <f>IFERROR(INDEX(tblDeviceConfig[PI_Use_Case],ROW()-1),"")</f>
      </c>
      <c r="I162">
        <f>IFERROR(INDEX(tblDeviceConfig[PI_Result],ROW()-1),"")</f>
      </c>
      <c r="J162">
        <f>IFERROR(INDEX(tblDeviceConfig[PI_Validated_By],ROW()-1),"")</f>
      </c>
      <c r="K162">
        <f>IFERROR(INDEX(tblDeviceConfig[PI_Validated_Date],ROW()-1),"")</f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</c>
      <c r="C163">
        <f>IFERROR(INDEX(tblDeviceConfig[Deployed],ROW()-1),"")</f>
      </c>
      <c r="D163">
        <f>IFERROR(INDEX(tblDeviceConfig[Installed],ROW()-1),"")</f>
      </c>
      <c r="E163">
        <f>IFERROR(INDEX(tblDeviceConfig[Cybernet Hostname],ROW()-1),"")</f>
      </c>
      <c r="F163">
        <f>IFERROR(INDEX(tblDeviceConfig[Neuron Hostname],ROW()-1),"")</f>
      </c>
      <c r="G163">
        <f>IFERROR(INDEX(tblDeviceConfig[Software List],ROW()-1),"")</f>
      </c>
      <c r="H163">
        <f>IFERROR(INDEX(tblDeviceConfig[PI_Use_Case],ROW()-1),"")</f>
      </c>
      <c r="I163">
        <f>IFERROR(INDEX(tblDeviceConfig[PI_Result],ROW()-1),"")</f>
      </c>
      <c r="J163">
        <f>IFERROR(INDEX(tblDeviceConfig[PI_Validated_By],ROW()-1),"")</f>
      </c>
      <c r="K163">
        <f>IFERROR(INDEX(tblDeviceConfig[PI_Validated_Date],ROW()-1),"")</f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</c>
      <c r="C164">
        <f>IFERROR(INDEX(tblDeviceConfig[Deployed],ROW()-1),"")</f>
      </c>
      <c r="D164">
        <f>IFERROR(INDEX(tblDeviceConfig[Installed],ROW()-1),"")</f>
      </c>
      <c r="E164">
        <f>IFERROR(INDEX(tblDeviceConfig[Cybernet Hostname],ROW()-1),"")</f>
      </c>
      <c r="F164">
        <f>IFERROR(INDEX(tblDeviceConfig[Neuron Hostname],ROW()-1),"")</f>
      </c>
      <c r="G164">
        <f>IFERROR(INDEX(tblDeviceConfig[Software List],ROW()-1),"")</f>
      </c>
      <c r="H164">
        <f>IFERROR(INDEX(tblDeviceConfig[PI_Use_Case],ROW()-1),"")</f>
      </c>
      <c r="I164">
        <f>IFERROR(INDEX(tblDeviceConfig[PI_Result],ROW()-1),"")</f>
      </c>
      <c r="J164">
        <f>IFERROR(INDEX(tblDeviceConfig[PI_Validated_By],ROW()-1),"")</f>
      </c>
      <c r="K164">
        <f>IFERROR(INDEX(tblDeviceConfig[PI_Validated_Date],ROW()-1),"")</f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</c>
      <c r="C165">
        <f>IFERROR(INDEX(tblDeviceConfig[Deployed],ROW()-1),"")</f>
      </c>
      <c r="D165">
        <f>IFERROR(INDEX(tblDeviceConfig[Installed],ROW()-1),"")</f>
      </c>
      <c r="E165">
        <f>IFERROR(INDEX(tblDeviceConfig[Cybernet Hostname],ROW()-1),"")</f>
      </c>
      <c r="F165">
        <f>IFERROR(INDEX(tblDeviceConfig[Neuron Hostname],ROW()-1),"")</f>
      </c>
      <c r="G165">
        <f>IFERROR(INDEX(tblDeviceConfig[Software List],ROW()-1),"")</f>
      </c>
      <c r="H165">
        <f>IFERROR(INDEX(tblDeviceConfig[PI_Use_Case],ROW()-1),"")</f>
      </c>
      <c r="I165">
        <f>IFERROR(INDEX(tblDeviceConfig[PI_Result],ROW()-1),"")</f>
      </c>
      <c r="J165">
        <f>IFERROR(INDEX(tblDeviceConfig[PI_Validated_By],ROW()-1),"")</f>
      </c>
      <c r="K165">
        <f>IFERROR(INDEX(tblDeviceConfig[PI_Validated_Date],ROW()-1),"")</f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</c>
      <c r="C166">
        <f>IFERROR(INDEX(tblDeviceConfig[Deployed],ROW()-1),"")</f>
      </c>
      <c r="D166">
        <f>IFERROR(INDEX(tblDeviceConfig[Installed],ROW()-1),"")</f>
      </c>
      <c r="E166">
        <f>IFERROR(INDEX(tblDeviceConfig[Cybernet Hostname],ROW()-1),"")</f>
      </c>
      <c r="F166">
        <f>IFERROR(INDEX(tblDeviceConfig[Neuron Hostname],ROW()-1),"")</f>
      </c>
      <c r="G166">
        <f>IFERROR(INDEX(tblDeviceConfig[Software List],ROW()-1),"")</f>
      </c>
      <c r="H166">
        <f>IFERROR(INDEX(tblDeviceConfig[PI_Use_Case],ROW()-1),"")</f>
      </c>
      <c r="I166">
        <f>IFERROR(INDEX(tblDeviceConfig[PI_Result],ROW()-1),"")</f>
      </c>
      <c r="J166">
        <f>IFERROR(INDEX(tblDeviceConfig[PI_Validated_By],ROW()-1),"")</f>
      </c>
      <c r="K166">
        <f>IFERROR(INDEX(tblDeviceConfig[PI_Validated_Date],ROW()-1),"")</f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</c>
      <c r="C167">
        <f>IFERROR(INDEX(tblDeviceConfig[Deployed],ROW()-1),"")</f>
      </c>
      <c r="D167">
        <f>IFERROR(INDEX(tblDeviceConfig[Installed],ROW()-1),"")</f>
      </c>
      <c r="E167">
        <f>IFERROR(INDEX(tblDeviceConfig[Cybernet Hostname],ROW()-1),"")</f>
      </c>
      <c r="F167">
        <f>IFERROR(INDEX(tblDeviceConfig[Neuron Hostname],ROW()-1),"")</f>
      </c>
      <c r="G167">
        <f>IFERROR(INDEX(tblDeviceConfig[Software List],ROW()-1),"")</f>
      </c>
      <c r="H167">
        <f>IFERROR(INDEX(tblDeviceConfig[PI_Use_Case],ROW()-1),"")</f>
      </c>
      <c r="I167">
        <f>IFERROR(INDEX(tblDeviceConfig[PI_Result],ROW()-1),"")</f>
      </c>
      <c r="J167">
        <f>IFERROR(INDEX(tblDeviceConfig[PI_Validated_By],ROW()-1),"")</f>
      </c>
      <c r="K167">
        <f>IFERROR(INDEX(tblDeviceConfig[PI_Validated_Date],ROW()-1),"")</f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</c>
      <c r="C168">
        <f>IFERROR(INDEX(tblDeviceConfig[Deployed],ROW()-1),"")</f>
      </c>
      <c r="D168">
        <f>IFERROR(INDEX(tblDeviceConfig[Installed],ROW()-1),"")</f>
      </c>
      <c r="E168">
        <f>IFERROR(INDEX(tblDeviceConfig[Cybernet Hostname],ROW()-1),"")</f>
      </c>
      <c r="F168">
        <f>IFERROR(INDEX(tblDeviceConfig[Neuron Hostname],ROW()-1),"")</f>
      </c>
      <c r="G168">
        <f>IFERROR(INDEX(tblDeviceConfig[Software List],ROW()-1),"")</f>
      </c>
      <c r="H168">
        <f>IFERROR(INDEX(tblDeviceConfig[PI_Use_Case],ROW()-1),"")</f>
      </c>
      <c r="I168">
        <f>IFERROR(INDEX(tblDeviceConfig[PI_Result],ROW()-1),"")</f>
      </c>
      <c r="J168">
        <f>IFERROR(INDEX(tblDeviceConfig[PI_Validated_By],ROW()-1),"")</f>
      </c>
      <c r="K168">
        <f>IFERROR(INDEX(tblDeviceConfig[PI_Validated_Date],ROW()-1),"")</f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</c>
      <c r="C169">
        <f>IFERROR(INDEX(tblDeviceConfig[Deployed],ROW()-1),"")</f>
      </c>
      <c r="D169">
        <f>IFERROR(INDEX(tblDeviceConfig[Installed],ROW()-1),"")</f>
      </c>
      <c r="E169">
        <f>IFERROR(INDEX(tblDeviceConfig[Cybernet Hostname],ROW()-1),"")</f>
      </c>
      <c r="F169">
        <f>IFERROR(INDEX(tblDeviceConfig[Neuron Hostname],ROW()-1),"")</f>
      </c>
      <c r="G169">
        <f>IFERROR(INDEX(tblDeviceConfig[Software List],ROW()-1),"")</f>
      </c>
      <c r="H169">
        <f>IFERROR(INDEX(tblDeviceConfig[PI_Use_Case],ROW()-1),"")</f>
      </c>
      <c r="I169">
        <f>IFERROR(INDEX(tblDeviceConfig[PI_Result],ROW()-1),"")</f>
      </c>
      <c r="J169">
        <f>IFERROR(INDEX(tblDeviceConfig[PI_Validated_By],ROW()-1),"")</f>
      </c>
      <c r="K169">
        <f>IFERROR(INDEX(tblDeviceConfig[PI_Validated_Date],ROW()-1),"")</f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</c>
      <c r="C170">
        <f>IFERROR(INDEX(tblDeviceConfig[Deployed],ROW()-1),"")</f>
      </c>
      <c r="D170">
        <f>IFERROR(INDEX(tblDeviceConfig[Installed],ROW()-1),"")</f>
      </c>
      <c r="E170">
        <f>IFERROR(INDEX(tblDeviceConfig[Cybernet Hostname],ROW()-1),"")</f>
      </c>
      <c r="F170">
        <f>IFERROR(INDEX(tblDeviceConfig[Neuron Hostname],ROW()-1),"")</f>
      </c>
      <c r="G170">
        <f>IFERROR(INDEX(tblDeviceConfig[Software List],ROW()-1),"")</f>
      </c>
      <c r="H170">
        <f>IFERROR(INDEX(tblDeviceConfig[PI_Use_Case],ROW()-1),"")</f>
      </c>
      <c r="I170">
        <f>IFERROR(INDEX(tblDeviceConfig[PI_Result],ROW()-1),"")</f>
      </c>
      <c r="J170">
        <f>IFERROR(INDEX(tblDeviceConfig[PI_Validated_By],ROW()-1),"")</f>
      </c>
      <c r="K170">
        <f>IFERROR(INDEX(tblDeviceConfig[PI_Validated_Date],ROW()-1),"")</f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</c>
      <c r="C171">
        <f>IFERROR(INDEX(tblDeviceConfig[Deployed],ROW()-1),"")</f>
      </c>
      <c r="D171">
        <f>IFERROR(INDEX(tblDeviceConfig[Installed],ROW()-1),"")</f>
      </c>
      <c r="E171">
        <f>IFERROR(INDEX(tblDeviceConfig[Cybernet Hostname],ROW()-1),"")</f>
      </c>
      <c r="F171">
        <f>IFERROR(INDEX(tblDeviceConfig[Neuron Hostname],ROW()-1),"")</f>
      </c>
      <c r="G171">
        <f>IFERROR(INDEX(tblDeviceConfig[Software List],ROW()-1),"")</f>
      </c>
      <c r="H171">
        <f>IFERROR(INDEX(tblDeviceConfig[PI_Use_Case],ROW()-1),"")</f>
      </c>
      <c r="I171">
        <f>IFERROR(INDEX(tblDeviceConfig[PI_Result],ROW()-1),"")</f>
      </c>
      <c r="J171">
        <f>IFERROR(INDEX(tblDeviceConfig[PI_Validated_By],ROW()-1),"")</f>
      </c>
      <c r="K171">
        <f>IFERROR(INDEX(tblDeviceConfig[PI_Validated_Date],ROW()-1),"")</f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</c>
      <c r="C172">
        <f>IFERROR(INDEX(tblDeviceConfig[Deployed],ROW()-1),"")</f>
      </c>
      <c r="D172">
        <f>IFERROR(INDEX(tblDeviceConfig[Installed],ROW()-1),"")</f>
      </c>
      <c r="E172">
        <f>IFERROR(INDEX(tblDeviceConfig[Cybernet Hostname],ROW()-1),"")</f>
      </c>
      <c r="F172">
        <f>IFERROR(INDEX(tblDeviceConfig[Neuron Hostname],ROW()-1),"")</f>
      </c>
      <c r="G172">
        <f>IFERROR(INDEX(tblDeviceConfig[Software List],ROW()-1),"")</f>
      </c>
      <c r="H172">
        <f>IFERROR(INDEX(tblDeviceConfig[PI_Use_Case],ROW()-1),"")</f>
      </c>
      <c r="I172">
        <f>IFERROR(INDEX(tblDeviceConfig[PI_Result],ROW()-1),"")</f>
      </c>
      <c r="J172">
        <f>IFERROR(INDEX(tblDeviceConfig[PI_Validated_By],ROW()-1),"")</f>
      </c>
      <c r="K172">
        <f>IFERROR(INDEX(tblDeviceConfig[PI_Validated_Date],ROW()-1),"")</f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</c>
      <c r="C173">
        <f>IFERROR(INDEX(tblDeviceConfig[Deployed],ROW()-1),"")</f>
      </c>
      <c r="D173">
        <f>IFERROR(INDEX(tblDeviceConfig[Installed],ROW()-1),"")</f>
      </c>
      <c r="E173">
        <f>IFERROR(INDEX(tblDeviceConfig[Cybernet Hostname],ROW()-1),"")</f>
      </c>
      <c r="F173">
        <f>IFERROR(INDEX(tblDeviceConfig[Neuron Hostname],ROW()-1),"")</f>
      </c>
      <c r="G173">
        <f>IFERROR(INDEX(tblDeviceConfig[Software List],ROW()-1),"")</f>
      </c>
      <c r="H173">
        <f>IFERROR(INDEX(tblDeviceConfig[PI_Use_Case],ROW()-1),"")</f>
      </c>
      <c r="I173">
        <f>IFERROR(INDEX(tblDeviceConfig[PI_Result],ROW()-1),"")</f>
      </c>
      <c r="J173">
        <f>IFERROR(INDEX(tblDeviceConfig[PI_Validated_By],ROW()-1),"")</f>
      </c>
      <c r="K173">
        <f>IFERROR(INDEX(tblDeviceConfig[PI_Validated_Date],ROW()-1),"")</f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</c>
      <c r="C174">
        <f>IFERROR(INDEX(tblDeviceConfig[Deployed],ROW()-1),"")</f>
      </c>
      <c r="D174">
        <f>IFERROR(INDEX(tblDeviceConfig[Installed],ROW()-1),"")</f>
      </c>
      <c r="E174">
        <f>IFERROR(INDEX(tblDeviceConfig[Cybernet Hostname],ROW()-1),"")</f>
      </c>
      <c r="F174">
        <f>IFERROR(INDEX(tblDeviceConfig[Neuron Hostname],ROW()-1),"")</f>
      </c>
      <c r="G174">
        <f>IFERROR(INDEX(tblDeviceConfig[Software List],ROW()-1),"")</f>
      </c>
      <c r="H174">
        <f>IFERROR(INDEX(tblDeviceConfig[PI_Use_Case],ROW()-1),"")</f>
      </c>
      <c r="I174">
        <f>IFERROR(INDEX(tblDeviceConfig[PI_Result],ROW()-1),"")</f>
      </c>
      <c r="J174">
        <f>IFERROR(INDEX(tblDeviceConfig[PI_Validated_By],ROW()-1),"")</f>
      </c>
      <c r="K174">
        <f>IFERROR(INDEX(tblDeviceConfig[PI_Validated_Date],ROW()-1),"")</f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</c>
      <c r="C175">
        <f>IFERROR(INDEX(tblDeviceConfig[Deployed],ROW()-1),"")</f>
      </c>
      <c r="D175">
        <f>IFERROR(INDEX(tblDeviceConfig[Installed],ROW()-1),"")</f>
      </c>
      <c r="E175">
        <f>IFERROR(INDEX(tblDeviceConfig[Cybernet Hostname],ROW()-1),"")</f>
      </c>
      <c r="F175">
        <f>IFERROR(INDEX(tblDeviceConfig[Neuron Hostname],ROW()-1),"")</f>
      </c>
      <c r="G175">
        <f>IFERROR(INDEX(tblDeviceConfig[Software List],ROW()-1),"")</f>
      </c>
      <c r="H175">
        <f>IFERROR(INDEX(tblDeviceConfig[PI_Use_Case],ROW()-1),"")</f>
      </c>
      <c r="I175">
        <f>IFERROR(INDEX(tblDeviceConfig[PI_Result],ROW()-1),"")</f>
      </c>
      <c r="J175">
        <f>IFERROR(INDEX(tblDeviceConfig[PI_Validated_By],ROW()-1),"")</f>
      </c>
      <c r="K175">
        <f>IFERROR(INDEX(tblDeviceConfig[PI_Validated_Date],ROW()-1),"")</f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</c>
      <c r="C176">
        <f>IFERROR(INDEX(tblDeviceConfig[Deployed],ROW()-1),"")</f>
      </c>
      <c r="D176">
        <f>IFERROR(INDEX(tblDeviceConfig[Installed],ROW()-1),"")</f>
      </c>
      <c r="E176">
        <f>IFERROR(INDEX(tblDeviceConfig[Cybernet Hostname],ROW()-1),"")</f>
      </c>
      <c r="F176">
        <f>IFERROR(INDEX(tblDeviceConfig[Neuron Hostname],ROW()-1),"")</f>
      </c>
      <c r="G176">
        <f>IFERROR(INDEX(tblDeviceConfig[Software List],ROW()-1),"")</f>
      </c>
      <c r="H176">
        <f>IFERROR(INDEX(tblDeviceConfig[PI_Use_Case],ROW()-1),"")</f>
      </c>
      <c r="I176">
        <f>IFERROR(INDEX(tblDeviceConfig[PI_Result],ROW()-1),"")</f>
      </c>
      <c r="J176">
        <f>IFERROR(INDEX(tblDeviceConfig[PI_Validated_By],ROW()-1),"")</f>
      </c>
      <c r="K176">
        <f>IFERROR(INDEX(tblDeviceConfig[PI_Validated_Date],ROW()-1),"")</f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</c>
      <c r="C177">
        <f>IFERROR(INDEX(tblDeviceConfig[Deployed],ROW()-1),"")</f>
      </c>
      <c r="D177">
        <f>IFERROR(INDEX(tblDeviceConfig[Installed],ROW()-1),"")</f>
      </c>
      <c r="E177">
        <f>IFERROR(INDEX(tblDeviceConfig[Cybernet Hostname],ROW()-1),"")</f>
      </c>
      <c r="F177">
        <f>IFERROR(INDEX(tblDeviceConfig[Neuron Hostname],ROW()-1),"")</f>
      </c>
      <c r="G177">
        <f>IFERROR(INDEX(tblDeviceConfig[Software List],ROW()-1),"")</f>
      </c>
      <c r="H177">
        <f>IFERROR(INDEX(tblDeviceConfig[PI_Use_Case],ROW()-1),"")</f>
      </c>
      <c r="I177">
        <f>IFERROR(INDEX(tblDeviceConfig[PI_Result],ROW()-1),"")</f>
      </c>
      <c r="J177">
        <f>IFERROR(INDEX(tblDeviceConfig[PI_Validated_By],ROW()-1),"")</f>
      </c>
      <c r="K177">
        <f>IFERROR(INDEX(tblDeviceConfig[PI_Validated_Date],ROW()-1),"")</f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</c>
      <c r="C178">
        <f>IFERROR(INDEX(tblDeviceConfig[Deployed],ROW()-1),"")</f>
      </c>
      <c r="D178">
        <f>IFERROR(INDEX(tblDeviceConfig[Installed],ROW()-1),"")</f>
      </c>
      <c r="E178">
        <f>IFERROR(INDEX(tblDeviceConfig[Cybernet Hostname],ROW()-1),"")</f>
      </c>
      <c r="F178">
        <f>IFERROR(INDEX(tblDeviceConfig[Neuron Hostname],ROW()-1),"")</f>
      </c>
      <c r="G178">
        <f>IFERROR(INDEX(tblDeviceConfig[Software List],ROW()-1),"")</f>
      </c>
      <c r="H178">
        <f>IFERROR(INDEX(tblDeviceConfig[PI_Use_Case],ROW()-1),"")</f>
      </c>
      <c r="I178">
        <f>IFERROR(INDEX(tblDeviceConfig[PI_Result],ROW()-1),"")</f>
      </c>
      <c r="J178">
        <f>IFERROR(INDEX(tblDeviceConfig[PI_Validated_By],ROW()-1),"")</f>
      </c>
      <c r="K178">
        <f>IFERROR(INDEX(tblDeviceConfig[PI_Validated_Date],ROW()-1),"")</f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</c>
      <c r="C179">
        <f>IFERROR(INDEX(tblDeviceConfig[Deployed],ROW()-1),"")</f>
      </c>
      <c r="D179">
        <f>IFERROR(INDEX(tblDeviceConfig[Installed],ROW()-1),"")</f>
      </c>
      <c r="E179">
        <f>IFERROR(INDEX(tblDeviceConfig[Cybernet Hostname],ROW()-1),"")</f>
      </c>
      <c r="F179">
        <f>IFERROR(INDEX(tblDeviceConfig[Neuron Hostname],ROW()-1),"")</f>
      </c>
      <c r="G179">
        <f>IFERROR(INDEX(tblDeviceConfig[Software List],ROW()-1),"")</f>
      </c>
      <c r="H179">
        <f>IFERROR(INDEX(tblDeviceConfig[PI_Use_Case],ROW()-1),"")</f>
      </c>
      <c r="I179">
        <f>IFERROR(INDEX(tblDeviceConfig[PI_Result],ROW()-1),"")</f>
      </c>
      <c r="J179">
        <f>IFERROR(INDEX(tblDeviceConfig[PI_Validated_By],ROW()-1),"")</f>
      </c>
      <c r="K179">
        <f>IFERROR(INDEX(tblDeviceConfig[PI_Validated_Date],ROW()-1),"")</f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</c>
      <c r="C180">
        <f>IFERROR(INDEX(tblDeviceConfig[Deployed],ROW()-1),"")</f>
      </c>
      <c r="D180">
        <f>IFERROR(INDEX(tblDeviceConfig[Installed],ROW()-1),"")</f>
      </c>
      <c r="E180">
        <f>IFERROR(INDEX(tblDeviceConfig[Cybernet Hostname],ROW()-1),"")</f>
      </c>
      <c r="F180">
        <f>IFERROR(INDEX(tblDeviceConfig[Neuron Hostname],ROW()-1),"")</f>
      </c>
      <c r="G180">
        <f>IFERROR(INDEX(tblDeviceConfig[Software List],ROW()-1),"")</f>
      </c>
      <c r="H180">
        <f>IFERROR(INDEX(tblDeviceConfig[PI_Use_Case],ROW()-1),"")</f>
      </c>
      <c r="I180">
        <f>IFERROR(INDEX(tblDeviceConfig[PI_Result],ROW()-1),"")</f>
      </c>
      <c r="J180">
        <f>IFERROR(INDEX(tblDeviceConfig[PI_Validated_By],ROW()-1),"")</f>
      </c>
      <c r="K180">
        <f>IFERROR(INDEX(tblDeviceConfig[PI_Validated_Date],ROW()-1),"")</f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</c>
      <c r="C181">
        <f>IFERROR(INDEX(tblDeviceConfig[Deployed],ROW()-1),"")</f>
      </c>
      <c r="D181">
        <f>IFERROR(INDEX(tblDeviceConfig[Installed],ROW()-1),"")</f>
      </c>
      <c r="E181">
        <f>IFERROR(INDEX(tblDeviceConfig[Cybernet Hostname],ROW()-1),"")</f>
      </c>
      <c r="F181">
        <f>IFERROR(INDEX(tblDeviceConfig[Neuron Hostname],ROW()-1),"")</f>
      </c>
      <c r="G181">
        <f>IFERROR(INDEX(tblDeviceConfig[Software List],ROW()-1),"")</f>
      </c>
      <c r="H181">
        <f>IFERROR(INDEX(tblDeviceConfig[PI_Use_Case],ROW()-1),"")</f>
      </c>
      <c r="I181">
        <f>IFERROR(INDEX(tblDeviceConfig[PI_Result],ROW()-1),"")</f>
      </c>
      <c r="J181">
        <f>IFERROR(INDEX(tblDeviceConfig[PI_Validated_By],ROW()-1),"")</f>
      </c>
      <c r="K181">
        <f>IFERROR(INDEX(tblDeviceConfig[PI_Validated_Date],ROW()-1),"")</f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</c>
      <c r="C182">
        <f>IFERROR(INDEX(tblDeviceConfig[Deployed],ROW()-1),"")</f>
      </c>
      <c r="D182">
        <f>IFERROR(INDEX(tblDeviceConfig[Installed],ROW()-1),"")</f>
      </c>
      <c r="E182">
        <f>IFERROR(INDEX(tblDeviceConfig[Cybernet Hostname],ROW()-1),"")</f>
      </c>
      <c r="F182">
        <f>IFERROR(INDEX(tblDeviceConfig[Neuron Hostname],ROW()-1),"")</f>
      </c>
      <c r="G182">
        <f>IFERROR(INDEX(tblDeviceConfig[Software List],ROW()-1),"")</f>
      </c>
      <c r="H182">
        <f>IFERROR(INDEX(tblDeviceConfig[PI_Use_Case],ROW()-1),"")</f>
      </c>
      <c r="I182">
        <f>IFERROR(INDEX(tblDeviceConfig[PI_Result],ROW()-1),"")</f>
      </c>
      <c r="J182">
        <f>IFERROR(INDEX(tblDeviceConfig[PI_Validated_By],ROW()-1),"")</f>
      </c>
      <c r="K182">
        <f>IFERROR(INDEX(tblDeviceConfig[PI_Validated_Date],ROW()-1),"")</f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</c>
      <c r="C183">
        <f>IFERROR(INDEX(tblDeviceConfig[Deployed],ROW()-1),"")</f>
      </c>
      <c r="D183">
        <f>IFERROR(INDEX(tblDeviceConfig[Installed],ROW()-1),"")</f>
      </c>
      <c r="E183">
        <f>IFERROR(INDEX(tblDeviceConfig[Cybernet Hostname],ROW()-1),"")</f>
      </c>
      <c r="F183">
        <f>IFERROR(INDEX(tblDeviceConfig[Neuron Hostname],ROW()-1),"")</f>
      </c>
      <c r="G183">
        <f>IFERROR(INDEX(tblDeviceConfig[Software List],ROW()-1),"")</f>
      </c>
      <c r="H183">
        <f>IFERROR(INDEX(tblDeviceConfig[PI_Use_Case],ROW()-1),"")</f>
      </c>
      <c r="I183">
        <f>IFERROR(INDEX(tblDeviceConfig[PI_Result],ROW()-1),"")</f>
      </c>
      <c r="J183">
        <f>IFERROR(INDEX(tblDeviceConfig[PI_Validated_By],ROW()-1),"")</f>
      </c>
      <c r="K183">
        <f>IFERROR(INDEX(tblDeviceConfig[PI_Validated_Date],ROW()-1),"")</f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</c>
      <c r="C184">
        <f>IFERROR(INDEX(tblDeviceConfig[Deployed],ROW()-1),"")</f>
      </c>
      <c r="D184">
        <f>IFERROR(INDEX(tblDeviceConfig[Installed],ROW()-1),"")</f>
      </c>
      <c r="E184">
        <f>IFERROR(INDEX(tblDeviceConfig[Cybernet Hostname],ROW()-1),"")</f>
      </c>
      <c r="F184">
        <f>IFERROR(INDEX(tblDeviceConfig[Neuron Hostname],ROW()-1),"")</f>
      </c>
      <c r="G184">
        <f>IFERROR(INDEX(tblDeviceConfig[Software List],ROW()-1),"")</f>
      </c>
      <c r="H184">
        <f>IFERROR(INDEX(tblDeviceConfig[PI_Use_Case],ROW()-1),"")</f>
      </c>
      <c r="I184">
        <f>IFERROR(INDEX(tblDeviceConfig[PI_Result],ROW()-1),"")</f>
      </c>
      <c r="J184">
        <f>IFERROR(INDEX(tblDeviceConfig[PI_Validated_By],ROW()-1),"")</f>
      </c>
      <c r="K184">
        <f>IFERROR(INDEX(tblDeviceConfig[PI_Validated_Date],ROW()-1),"")</f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</c>
      <c r="C185">
        <f>IFERROR(INDEX(tblDeviceConfig[Deployed],ROW()-1),"")</f>
      </c>
      <c r="D185">
        <f>IFERROR(INDEX(tblDeviceConfig[Installed],ROW()-1),"")</f>
      </c>
      <c r="E185">
        <f>IFERROR(INDEX(tblDeviceConfig[Cybernet Hostname],ROW()-1),"")</f>
      </c>
      <c r="F185">
        <f>IFERROR(INDEX(tblDeviceConfig[Neuron Hostname],ROW()-1),"")</f>
      </c>
      <c r="G185">
        <f>IFERROR(INDEX(tblDeviceConfig[Software List],ROW()-1),"")</f>
      </c>
      <c r="H185">
        <f>IFERROR(INDEX(tblDeviceConfig[PI_Use_Case],ROW()-1),"")</f>
      </c>
      <c r="I185">
        <f>IFERROR(INDEX(tblDeviceConfig[PI_Result],ROW()-1),"")</f>
      </c>
      <c r="J185">
        <f>IFERROR(INDEX(tblDeviceConfig[PI_Validated_By],ROW()-1),"")</f>
      </c>
      <c r="K185">
        <f>IFERROR(INDEX(tblDeviceConfig[PI_Validated_Date],ROW()-1),"")</f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</c>
      <c r="C186">
        <f>IFERROR(INDEX(tblDeviceConfig[Deployed],ROW()-1),"")</f>
      </c>
      <c r="D186">
        <f>IFERROR(INDEX(tblDeviceConfig[Installed],ROW()-1),"")</f>
      </c>
      <c r="E186">
        <f>IFERROR(INDEX(tblDeviceConfig[Cybernet Hostname],ROW()-1),"")</f>
      </c>
      <c r="F186">
        <f>IFERROR(INDEX(tblDeviceConfig[Neuron Hostname],ROW()-1),"")</f>
      </c>
      <c r="G186">
        <f>IFERROR(INDEX(tblDeviceConfig[Software List],ROW()-1),"")</f>
      </c>
      <c r="H186">
        <f>IFERROR(INDEX(tblDeviceConfig[PI_Use_Case],ROW()-1),"")</f>
      </c>
      <c r="I186">
        <f>IFERROR(INDEX(tblDeviceConfig[PI_Result],ROW()-1),"")</f>
      </c>
      <c r="J186">
        <f>IFERROR(INDEX(tblDeviceConfig[PI_Validated_By],ROW()-1),"")</f>
      </c>
      <c r="K186">
        <f>IFERROR(INDEX(tblDeviceConfig[PI_Validated_Date],ROW()-1),"")</f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</c>
      <c r="C187">
        <f>IFERROR(INDEX(tblDeviceConfig[Deployed],ROW()-1),"")</f>
      </c>
      <c r="D187">
        <f>IFERROR(INDEX(tblDeviceConfig[Installed],ROW()-1),"")</f>
      </c>
      <c r="E187">
        <f>IFERROR(INDEX(tblDeviceConfig[Cybernet Hostname],ROW()-1),"")</f>
      </c>
      <c r="F187">
        <f>IFERROR(INDEX(tblDeviceConfig[Neuron Hostname],ROW()-1),"")</f>
      </c>
      <c r="G187">
        <f>IFERROR(INDEX(tblDeviceConfig[Software List],ROW()-1),"")</f>
      </c>
      <c r="H187">
        <f>IFERROR(INDEX(tblDeviceConfig[PI_Use_Case],ROW()-1),"")</f>
      </c>
      <c r="I187">
        <f>IFERROR(INDEX(tblDeviceConfig[PI_Result],ROW()-1),"")</f>
      </c>
      <c r="J187">
        <f>IFERROR(INDEX(tblDeviceConfig[PI_Validated_By],ROW()-1),"")</f>
      </c>
      <c r="K187">
        <f>IFERROR(INDEX(tblDeviceConfig[PI_Validated_Date],ROW()-1),"")</f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</c>
      <c r="C188">
        <f>IFERROR(INDEX(tblDeviceConfig[Deployed],ROW()-1),"")</f>
      </c>
      <c r="D188">
        <f>IFERROR(INDEX(tblDeviceConfig[Installed],ROW()-1),"")</f>
      </c>
      <c r="E188">
        <f>IFERROR(INDEX(tblDeviceConfig[Cybernet Hostname],ROW()-1),"")</f>
      </c>
      <c r="F188">
        <f>IFERROR(INDEX(tblDeviceConfig[Neuron Hostname],ROW()-1),"")</f>
      </c>
      <c r="G188">
        <f>IFERROR(INDEX(tblDeviceConfig[Software List],ROW()-1),"")</f>
      </c>
      <c r="H188">
        <f>IFERROR(INDEX(tblDeviceConfig[PI_Use_Case],ROW()-1),"")</f>
      </c>
      <c r="I188">
        <f>IFERROR(INDEX(tblDeviceConfig[PI_Result],ROW()-1),"")</f>
      </c>
      <c r="J188">
        <f>IFERROR(INDEX(tblDeviceConfig[PI_Validated_By],ROW()-1),"")</f>
      </c>
      <c r="K188">
        <f>IFERROR(INDEX(tblDeviceConfig[PI_Validated_Date],ROW()-1),"")</f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</c>
      <c r="C189">
        <f>IFERROR(INDEX(tblDeviceConfig[Deployed],ROW()-1),"")</f>
      </c>
      <c r="D189">
        <f>IFERROR(INDEX(tblDeviceConfig[Installed],ROW()-1),"")</f>
      </c>
      <c r="E189">
        <f>IFERROR(INDEX(tblDeviceConfig[Cybernet Hostname],ROW()-1),"")</f>
      </c>
      <c r="F189">
        <f>IFERROR(INDEX(tblDeviceConfig[Neuron Hostname],ROW()-1),"")</f>
      </c>
      <c r="G189">
        <f>IFERROR(INDEX(tblDeviceConfig[Software List],ROW()-1),"")</f>
      </c>
      <c r="H189">
        <f>IFERROR(INDEX(tblDeviceConfig[PI_Use_Case],ROW()-1),"")</f>
      </c>
      <c r="I189">
        <f>IFERROR(INDEX(tblDeviceConfig[PI_Result],ROW()-1),"")</f>
      </c>
      <c r="J189">
        <f>IFERROR(INDEX(tblDeviceConfig[PI_Validated_By],ROW()-1),"")</f>
      </c>
      <c r="K189">
        <f>IFERROR(INDEX(tblDeviceConfig[PI_Validated_Date],ROW()-1),"")</f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</c>
      <c r="C190">
        <f>IFERROR(INDEX(tblDeviceConfig[Deployed],ROW()-1),"")</f>
      </c>
      <c r="D190">
        <f>IFERROR(INDEX(tblDeviceConfig[Installed],ROW()-1),"")</f>
      </c>
      <c r="E190">
        <f>IFERROR(INDEX(tblDeviceConfig[Cybernet Hostname],ROW()-1),"")</f>
      </c>
      <c r="F190">
        <f>IFERROR(INDEX(tblDeviceConfig[Neuron Hostname],ROW()-1),"")</f>
      </c>
      <c r="G190">
        <f>IFERROR(INDEX(tblDeviceConfig[Software List],ROW()-1),"")</f>
      </c>
      <c r="H190">
        <f>IFERROR(INDEX(tblDeviceConfig[PI_Use_Case],ROW()-1),"")</f>
      </c>
      <c r="I190">
        <f>IFERROR(INDEX(tblDeviceConfig[PI_Result],ROW()-1),"")</f>
      </c>
      <c r="J190">
        <f>IFERROR(INDEX(tblDeviceConfig[PI_Validated_By],ROW()-1),"")</f>
      </c>
      <c r="K190">
        <f>IFERROR(INDEX(tblDeviceConfig[PI_Validated_Date],ROW()-1),"")</f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</c>
      <c r="C191">
        <f>IFERROR(INDEX(tblDeviceConfig[Deployed],ROW()-1),"")</f>
      </c>
      <c r="D191">
        <f>IFERROR(INDEX(tblDeviceConfig[Installed],ROW()-1),"")</f>
      </c>
      <c r="E191">
        <f>IFERROR(INDEX(tblDeviceConfig[Cybernet Hostname],ROW()-1),"")</f>
      </c>
      <c r="F191">
        <f>IFERROR(INDEX(tblDeviceConfig[Neuron Hostname],ROW()-1),"")</f>
      </c>
      <c r="G191">
        <f>IFERROR(INDEX(tblDeviceConfig[Software List],ROW()-1),"")</f>
      </c>
      <c r="H191">
        <f>IFERROR(INDEX(tblDeviceConfig[PI_Use_Case],ROW()-1),"")</f>
      </c>
      <c r="I191">
        <f>IFERROR(INDEX(tblDeviceConfig[PI_Result],ROW()-1),"")</f>
      </c>
      <c r="J191">
        <f>IFERROR(INDEX(tblDeviceConfig[PI_Validated_By],ROW()-1),"")</f>
      </c>
      <c r="K191">
        <f>IFERROR(INDEX(tblDeviceConfig[PI_Validated_Date],ROW()-1),"")</f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</c>
      <c r="C192">
        <f>IFERROR(INDEX(tblDeviceConfig[Deployed],ROW()-1),"")</f>
      </c>
      <c r="D192">
        <f>IFERROR(INDEX(tblDeviceConfig[Installed],ROW()-1),"")</f>
      </c>
      <c r="E192">
        <f>IFERROR(INDEX(tblDeviceConfig[Cybernet Hostname],ROW()-1),"")</f>
      </c>
      <c r="F192">
        <f>IFERROR(INDEX(tblDeviceConfig[Neuron Hostname],ROW()-1),"")</f>
      </c>
      <c r="G192">
        <f>IFERROR(INDEX(tblDeviceConfig[Software List],ROW()-1),"")</f>
      </c>
      <c r="H192">
        <f>IFERROR(INDEX(tblDeviceConfig[PI_Use_Case],ROW()-1),"")</f>
      </c>
      <c r="I192">
        <f>IFERROR(INDEX(tblDeviceConfig[PI_Result],ROW()-1),"")</f>
      </c>
      <c r="J192">
        <f>IFERROR(INDEX(tblDeviceConfig[PI_Validated_By],ROW()-1),"")</f>
      </c>
      <c r="K192">
        <f>IFERROR(INDEX(tblDeviceConfig[PI_Validated_Date],ROW()-1),"")</f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</c>
      <c r="C193">
        <f>IFERROR(INDEX(tblDeviceConfig[Deployed],ROW()-1),"")</f>
      </c>
      <c r="D193">
        <f>IFERROR(INDEX(tblDeviceConfig[Installed],ROW()-1),"")</f>
      </c>
      <c r="E193">
        <f>IFERROR(INDEX(tblDeviceConfig[Cybernet Hostname],ROW()-1),"")</f>
      </c>
      <c r="F193">
        <f>IFERROR(INDEX(tblDeviceConfig[Neuron Hostname],ROW()-1),"")</f>
      </c>
      <c r="G193">
        <f>IFERROR(INDEX(tblDeviceConfig[Software List],ROW()-1),"")</f>
      </c>
      <c r="H193">
        <f>IFERROR(INDEX(tblDeviceConfig[PI_Use_Case],ROW()-1),"")</f>
      </c>
      <c r="I193">
        <f>IFERROR(INDEX(tblDeviceConfig[PI_Result],ROW()-1),"")</f>
      </c>
      <c r="J193">
        <f>IFERROR(INDEX(tblDeviceConfig[PI_Validated_By],ROW()-1),"")</f>
      </c>
      <c r="K193">
        <f>IFERROR(INDEX(tblDeviceConfig[PI_Validated_Date],ROW()-1),"")</f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</c>
      <c r="C194">
        <f>IFERROR(INDEX(tblDeviceConfig[Deployed],ROW()-1),"")</f>
      </c>
      <c r="D194">
        <f>IFERROR(INDEX(tblDeviceConfig[Installed],ROW()-1),"")</f>
      </c>
      <c r="E194">
        <f>IFERROR(INDEX(tblDeviceConfig[Cybernet Hostname],ROW()-1),"")</f>
      </c>
      <c r="F194">
        <f>IFERROR(INDEX(tblDeviceConfig[Neuron Hostname],ROW()-1),"")</f>
      </c>
      <c r="G194">
        <f>IFERROR(INDEX(tblDeviceConfig[Software List],ROW()-1),"")</f>
      </c>
      <c r="H194">
        <f>IFERROR(INDEX(tblDeviceConfig[PI_Use_Case],ROW()-1),"")</f>
      </c>
      <c r="I194">
        <f>IFERROR(INDEX(tblDeviceConfig[PI_Result],ROW()-1),"")</f>
      </c>
      <c r="J194">
        <f>IFERROR(INDEX(tblDeviceConfig[PI_Validated_By],ROW()-1),"")</f>
      </c>
      <c r="K194">
        <f>IFERROR(INDEX(tblDeviceConfig[PI_Validated_Date],ROW()-1),"")</f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</c>
      <c r="C195">
        <f>IFERROR(INDEX(tblDeviceConfig[Deployed],ROW()-1),"")</f>
      </c>
      <c r="D195">
        <f>IFERROR(INDEX(tblDeviceConfig[Installed],ROW()-1),"")</f>
      </c>
      <c r="E195">
        <f>IFERROR(INDEX(tblDeviceConfig[Cybernet Hostname],ROW()-1),"")</f>
      </c>
      <c r="F195">
        <f>IFERROR(INDEX(tblDeviceConfig[Neuron Hostname],ROW()-1),"")</f>
      </c>
      <c r="G195">
        <f>IFERROR(INDEX(tblDeviceConfig[Software List],ROW()-1),"")</f>
      </c>
      <c r="H195">
        <f>IFERROR(INDEX(tblDeviceConfig[PI_Use_Case],ROW()-1),"")</f>
      </c>
      <c r="I195">
        <f>IFERROR(INDEX(tblDeviceConfig[PI_Result],ROW()-1),"")</f>
      </c>
      <c r="J195">
        <f>IFERROR(INDEX(tblDeviceConfig[PI_Validated_By],ROW()-1),"")</f>
      </c>
      <c r="K195">
        <f>IFERROR(INDEX(tblDeviceConfig[PI_Validated_Date],ROW()-1),"")</f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</c>
      <c r="C196">
        <f>IFERROR(INDEX(tblDeviceConfig[Deployed],ROW()-1),"")</f>
      </c>
      <c r="D196">
        <f>IFERROR(INDEX(tblDeviceConfig[Installed],ROW()-1),"")</f>
      </c>
      <c r="E196">
        <f>IFERROR(INDEX(tblDeviceConfig[Cybernet Hostname],ROW()-1),"")</f>
      </c>
      <c r="F196">
        <f>IFERROR(INDEX(tblDeviceConfig[Neuron Hostname],ROW()-1),"")</f>
      </c>
      <c r="G196">
        <f>IFERROR(INDEX(tblDeviceConfig[Software List],ROW()-1),"")</f>
      </c>
      <c r="H196">
        <f>IFERROR(INDEX(tblDeviceConfig[PI_Use_Case],ROW()-1),"")</f>
      </c>
      <c r="I196">
        <f>IFERROR(INDEX(tblDeviceConfig[PI_Result],ROW()-1),"")</f>
      </c>
      <c r="J196">
        <f>IFERROR(INDEX(tblDeviceConfig[PI_Validated_By],ROW()-1),"")</f>
      </c>
      <c r="K196">
        <f>IFERROR(INDEX(tblDeviceConfig[PI_Validated_Date],ROW()-1),"")</f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</c>
      <c r="C197">
        <f>IFERROR(INDEX(tblDeviceConfig[Deployed],ROW()-1),"")</f>
      </c>
      <c r="D197">
        <f>IFERROR(INDEX(tblDeviceConfig[Installed],ROW()-1),"")</f>
      </c>
      <c r="E197">
        <f>IFERROR(INDEX(tblDeviceConfig[Cybernet Hostname],ROW()-1),"")</f>
      </c>
      <c r="F197">
        <f>IFERROR(INDEX(tblDeviceConfig[Neuron Hostname],ROW()-1),"")</f>
      </c>
      <c r="G197">
        <f>IFERROR(INDEX(tblDeviceConfig[Software List],ROW()-1),"")</f>
      </c>
      <c r="H197">
        <f>IFERROR(INDEX(tblDeviceConfig[PI_Use_Case],ROW()-1),"")</f>
      </c>
      <c r="I197">
        <f>IFERROR(INDEX(tblDeviceConfig[PI_Result],ROW()-1),"")</f>
      </c>
      <c r="J197">
        <f>IFERROR(INDEX(tblDeviceConfig[PI_Validated_By],ROW()-1),"")</f>
      </c>
      <c r="K197">
        <f>IFERROR(INDEX(tblDeviceConfig[PI_Validated_Date],ROW()-1),"")</f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</c>
      <c r="C198">
        <f>IFERROR(INDEX(tblDeviceConfig[Deployed],ROW()-1),"")</f>
      </c>
      <c r="D198">
        <f>IFERROR(INDEX(tblDeviceConfig[Installed],ROW()-1),"")</f>
      </c>
      <c r="E198">
        <f>IFERROR(INDEX(tblDeviceConfig[Cybernet Hostname],ROW()-1),"")</f>
      </c>
      <c r="F198">
        <f>IFERROR(INDEX(tblDeviceConfig[Neuron Hostname],ROW()-1),"")</f>
      </c>
      <c r="G198">
        <f>IFERROR(INDEX(tblDeviceConfig[Software List],ROW()-1),"")</f>
      </c>
      <c r="H198">
        <f>IFERROR(INDEX(tblDeviceConfig[PI_Use_Case],ROW()-1),"")</f>
      </c>
      <c r="I198">
        <f>IFERROR(INDEX(tblDeviceConfig[PI_Result],ROW()-1),"")</f>
      </c>
      <c r="J198">
        <f>IFERROR(INDEX(tblDeviceConfig[PI_Validated_By],ROW()-1),"")</f>
      </c>
      <c r="K198">
        <f>IFERROR(INDEX(tblDeviceConfig[PI_Validated_Date],ROW()-1),"")</f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</c>
      <c r="C199">
        <f>IFERROR(INDEX(tblDeviceConfig[Deployed],ROW()-1),"")</f>
      </c>
      <c r="D199">
        <f>IFERROR(INDEX(tblDeviceConfig[Installed],ROW()-1),"")</f>
      </c>
      <c r="E199">
        <f>IFERROR(INDEX(tblDeviceConfig[Cybernet Hostname],ROW()-1),"")</f>
      </c>
      <c r="F199">
        <f>IFERROR(INDEX(tblDeviceConfig[Neuron Hostname],ROW()-1),"")</f>
      </c>
      <c r="G199">
        <f>IFERROR(INDEX(tblDeviceConfig[Software List],ROW()-1),"")</f>
      </c>
      <c r="H199">
        <f>IFERROR(INDEX(tblDeviceConfig[PI_Use_Case],ROW()-1),"")</f>
      </c>
      <c r="I199">
        <f>IFERROR(INDEX(tblDeviceConfig[PI_Result],ROW()-1),"")</f>
      </c>
      <c r="J199">
        <f>IFERROR(INDEX(tblDeviceConfig[PI_Validated_By],ROW()-1),"")</f>
      </c>
      <c r="K199">
        <f>IFERROR(INDEX(tblDeviceConfig[PI_Validated_Date],ROW()-1),"")</f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</c>
      <c r="C200">
        <f>IFERROR(INDEX(tblDeviceConfig[Deployed],ROW()-1),"")</f>
      </c>
      <c r="D200">
        <f>IFERROR(INDEX(tblDeviceConfig[Installed],ROW()-1),"")</f>
      </c>
      <c r="E200">
        <f>IFERROR(INDEX(tblDeviceConfig[Cybernet Hostname],ROW()-1),"")</f>
      </c>
      <c r="F200">
        <f>IFERROR(INDEX(tblDeviceConfig[Neuron Hostname],ROW()-1),"")</f>
      </c>
      <c r="G200">
        <f>IFERROR(INDEX(tblDeviceConfig[Software List],ROW()-1),"")</f>
      </c>
      <c r="H200">
        <f>IFERROR(INDEX(tblDeviceConfig[PI_Use_Case],ROW()-1),"")</f>
      </c>
      <c r="I200">
        <f>IFERROR(INDEX(tblDeviceConfig[PI_Result],ROW()-1),"")</f>
      </c>
      <c r="J200">
        <f>IFERROR(INDEX(tblDeviceConfig[PI_Validated_By],ROW()-1),"")</f>
      </c>
      <c r="K200">
        <f>IFERROR(INDEX(tblDeviceConfig[PI_Validated_Date],ROW()-1),"")</f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</c>
      <c r="C201">
        <f>IFERROR(INDEX(tblDeviceConfig[Deployed],ROW()-1),"")</f>
      </c>
      <c r="D201">
        <f>IFERROR(INDEX(tblDeviceConfig[Installed],ROW()-1),"")</f>
      </c>
      <c r="E201">
        <f>IFERROR(INDEX(tblDeviceConfig[Cybernet Hostname],ROW()-1),"")</f>
      </c>
      <c r="F201">
        <f>IFERROR(INDEX(tblDeviceConfig[Neuron Hostname],ROW()-1),"")</f>
      </c>
      <c r="G201">
        <f>IFERROR(INDEX(tblDeviceConfig[Software List],ROW()-1),"")</f>
      </c>
      <c r="H201">
        <f>IFERROR(INDEX(tblDeviceConfig[PI_Use_Case],ROW()-1),"")</f>
      </c>
      <c r="I201">
        <f>IFERROR(INDEX(tblDeviceConfig[PI_Result],ROW()-1),"")</f>
      </c>
      <c r="J201">
        <f>IFERROR(INDEX(tblDeviceConfig[PI_Validated_By],ROW()-1),"")</f>
      </c>
      <c r="K201">
        <f>IFERROR(INDEX(tblDeviceConfig[PI_Validated_Date],ROW()-1),"")</f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</c>
      <c r="C202">
        <f>IFERROR(INDEX(tblDeviceConfig[Deployed],ROW()-1),"")</f>
      </c>
      <c r="D202">
        <f>IFERROR(INDEX(tblDeviceConfig[Installed],ROW()-1),"")</f>
      </c>
      <c r="E202">
        <f>IFERROR(INDEX(tblDeviceConfig[Cybernet Hostname],ROW()-1),"")</f>
      </c>
      <c r="F202">
        <f>IFERROR(INDEX(tblDeviceConfig[Neuron Hostname],ROW()-1),"")</f>
      </c>
      <c r="G202">
        <f>IFERROR(INDEX(tblDeviceConfig[Software List],ROW()-1),"")</f>
      </c>
      <c r="H202">
        <f>IFERROR(INDEX(tblDeviceConfig[PI_Use_Case],ROW()-1),"")</f>
      </c>
      <c r="I202">
        <f>IFERROR(INDEX(tblDeviceConfig[PI_Result],ROW()-1),"")</f>
      </c>
      <c r="J202">
        <f>IFERROR(INDEX(tblDeviceConfig[PI_Validated_By],ROW()-1),"")</f>
      </c>
      <c r="K202">
        <f>IFERROR(INDEX(tblDeviceConfig[PI_Validated_Date],ROW()-1),"")</f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</c>
      <c r="C203">
        <f>IFERROR(INDEX(tblDeviceConfig[Deployed],ROW()-1),"")</f>
      </c>
      <c r="D203">
        <f>IFERROR(INDEX(tblDeviceConfig[Installed],ROW()-1),"")</f>
      </c>
      <c r="E203">
        <f>IFERROR(INDEX(tblDeviceConfig[Cybernet Hostname],ROW()-1),"")</f>
      </c>
      <c r="F203">
        <f>IFERROR(INDEX(tblDeviceConfig[Neuron Hostname],ROW()-1),"")</f>
      </c>
      <c r="G203">
        <f>IFERROR(INDEX(tblDeviceConfig[Software List],ROW()-1),"")</f>
      </c>
      <c r="H203">
        <f>IFERROR(INDEX(tblDeviceConfig[PI_Use_Case],ROW()-1),"")</f>
      </c>
      <c r="I203">
        <f>IFERROR(INDEX(tblDeviceConfig[PI_Result],ROW()-1),"")</f>
      </c>
      <c r="J203">
        <f>IFERROR(INDEX(tblDeviceConfig[PI_Validated_By],ROW()-1),"")</f>
      </c>
      <c r="K203">
        <f>IFERROR(INDEX(tblDeviceConfig[PI_Validated_Date],ROW()-1),"")</f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</c>
      <c r="C204">
        <f>IFERROR(INDEX(tblDeviceConfig[Deployed],ROW()-1),"")</f>
      </c>
      <c r="D204">
        <f>IFERROR(INDEX(tblDeviceConfig[Installed],ROW()-1),"")</f>
      </c>
      <c r="E204">
        <f>IFERROR(INDEX(tblDeviceConfig[Cybernet Hostname],ROW()-1),"")</f>
      </c>
      <c r="F204">
        <f>IFERROR(INDEX(tblDeviceConfig[Neuron Hostname],ROW()-1),"")</f>
      </c>
      <c r="G204">
        <f>IFERROR(INDEX(tblDeviceConfig[Software List],ROW()-1),"")</f>
      </c>
      <c r="H204">
        <f>IFERROR(INDEX(tblDeviceConfig[PI_Use_Case],ROW()-1),"")</f>
      </c>
      <c r="I204">
        <f>IFERROR(INDEX(tblDeviceConfig[PI_Result],ROW()-1),"")</f>
      </c>
      <c r="J204">
        <f>IFERROR(INDEX(tblDeviceConfig[PI_Validated_By],ROW()-1),"")</f>
      </c>
      <c r="K204">
        <f>IFERROR(INDEX(tblDeviceConfig[PI_Validated_Date],ROW()-1),"")</f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</c>
      <c r="C205">
        <f>IFERROR(INDEX(tblDeviceConfig[Deployed],ROW()-1),"")</f>
      </c>
      <c r="D205">
        <f>IFERROR(INDEX(tblDeviceConfig[Installed],ROW()-1),"")</f>
      </c>
      <c r="E205">
        <f>IFERROR(INDEX(tblDeviceConfig[Cybernet Hostname],ROW()-1),"")</f>
      </c>
      <c r="F205">
        <f>IFERROR(INDEX(tblDeviceConfig[Neuron Hostname],ROW()-1),"")</f>
      </c>
      <c r="G205">
        <f>IFERROR(INDEX(tblDeviceConfig[Software List],ROW()-1),"")</f>
      </c>
      <c r="H205">
        <f>IFERROR(INDEX(tblDeviceConfig[PI_Use_Case],ROW()-1),"")</f>
      </c>
      <c r="I205">
        <f>IFERROR(INDEX(tblDeviceConfig[PI_Result],ROW()-1),"")</f>
      </c>
      <c r="J205">
        <f>IFERROR(INDEX(tblDeviceConfig[PI_Validated_By],ROW()-1),"")</f>
      </c>
      <c r="K205">
        <f>IFERROR(INDEX(tblDeviceConfig[PI_Validated_Date],ROW()-1),"")</f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</c>
      <c r="C206">
        <f>IFERROR(INDEX(tblDeviceConfig[Deployed],ROW()-1),"")</f>
      </c>
      <c r="D206">
        <f>IFERROR(INDEX(tblDeviceConfig[Installed],ROW()-1),"")</f>
      </c>
      <c r="E206">
        <f>IFERROR(INDEX(tblDeviceConfig[Cybernet Hostname],ROW()-1),"")</f>
      </c>
      <c r="F206">
        <f>IFERROR(INDEX(tblDeviceConfig[Neuron Hostname],ROW()-1),"")</f>
      </c>
      <c r="G206">
        <f>IFERROR(INDEX(tblDeviceConfig[Software List],ROW()-1),"")</f>
      </c>
      <c r="H206">
        <f>IFERROR(INDEX(tblDeviceConfig[PI_Use_Case],ROW()-1),"")</f>
      </c>
      <c r="I206">
        <f>IFERROR(INDEX(tblDeviceConfig[PI_Result],ROW()-1),"")</f>
      </c>
      <c r="J206">
        <f>IFERROR(INDEX(tblDeviceConfig[PI_Validated_By],ROW()-1),"")</f>
      </c>
      <c r="K206">
        <f>IFERROR(INDEX(tblDeviceConfig[PI_Validated_Date],ROW()-1),"")</f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</c>
      <c r="C207">
        <f>IFERROR(INDEX(tblDeviceConfig[Deployed],ROW()-1),"")</f>
      </c>
      <c r="D207">
        <f>IFERROR(INDEX(tblDeviceConfig[Installed],ROW()-1),"")</f>
      </c>
      <c r="E207">
        <f>IFERROR(INDEX(tblDeviceConfig[Cybernet Hostname],ROW()-1),"")</f>
      </c>
      <c r="F207">
        <f>IFERROR(INDEX(tblDeviceConfig[Neuron Hostname],ROW()-1),"")</f>
      </c>
      <c r="G207">
        <f>IFERROR(INDEX(tblDeviceConfig[Software List],ROW()-1),"")</f>
      </c>
      <c r="H207">
        <f>IFERROR(INDEX(tblDeviceConfig[PI_Use_Case],ROW()-1),"")</f>
      </c>
      <c r="I207">
        <f>IFERROR(INDEX(tblDeviceConfig[PI_Result],ROW()-1),"")</f>
      </c>
      <c r="J207">
        <f>IFERROR(INDEX(tblDeviceConfig[PI_Validated_By],ROW()-1),"")</f>
      </c>
      <c r="K207">
        <f>IFERROR(INDEX(tblDeviceConfig[PI_Validated_Date],ROW()-1),"")</f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</c>
      <c r="C208">
        <f>IFERROR(INDEX(tblDeviceConfig[Deployed],ROW()-1),"")</f>
      </c>
      <c r="D208">
        <f>IFERROR(INDEX(tblDeviceConfig[Installed],ROW()-1),"")</f>
      </c>
      <c r="E208">
        <f>IFERROR(INDEX(tblDeviceConfig[Cybernet Hostname],ROW()-1),"")</f>
      </c>
      <c r="F208">
        <f>IFERROR(INDEX(tblDeviceConfig[Neuron Hostname],ROW()-1),"")</f>
      </c>
      <c r="G208">
        <f>IFERROR(INDEX(tblDeviceConfig[Software List],ROW()-1),"")</f>
      </c>
      <c r="H208">
        <f>IFERROR(INDEX(tblDeviceConfig[PI_Use_Case],ROW()-1),"")</f>
      </c>
      <c r="I208">
        <f>IFERROR(INDEX(tblDeviceConfig[PI_Result],ROW()-1),"")</f>
      </c>
      <c r="J208">
        <f>IFERROR(INDEX(tblDeviceConfig[PI_Validated_By],ROW()-1),"")</f>
      </c>
      <c r="K208">
        <f>IFERROR(INDEX(tblDeviceConfig[PI_Validated_Date],ROW()-1),"")</f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</c>
      <c r="C209">
        <f>IFERROR(INDEX(tblDeviceConfig[Deployed],ROW()-1),"")</f>
      </c>
      <c r="D209">
        <f>IFERROR(INDEX(tblDeviceConfig[Installed],ROW()-1),"")</f>
      </c>
      <c r="E209">
        <f>IFERROR(INDEX(tblDeviceConfig[Cybernet Hostname],ROW()-1),"")</f>
      </c>
      <c r="F209">
        <f>IFERROR(INDEX(tblDeviceConfig[Neuron Hostname],ROW()-1),"")</f>
      </c>
      <c r="G209">
        <f>IFERROR(INDEX(tblDeviceConfig[Software List],ROW()-1),"")</f>
      </c>
      <c r="H209">
        <f>IFERROR(INDEX(tblDeviceConfig[PI_Use_Case],ROW()-1),"")</f>
      </c>
      <c r="I209">
        <f>IFERROR(INDEX(tblDeviceConfig[PI_Result],ROW()-1),"")</f>
      </c>
      <c r="J209">
        <f>IFERROR(INDEX(tblDeviceConfig[PI_Validated_By],ROW()-1),"")</f>
      </c>
      <c r="K209">
        <f>IFERROR(INDEX(tblDeviceConfig[PI_Validated_Date],ROW()-1),"")</f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</c>
      <c r="C210">
        <f>IFERROR(INDEX(tblDeviceConfig[Deployed],ROW()-1),"")</f>
      </c>
      <c r="D210">
        <f>IFERROR(INDEX(tblDeviceConfig[Installed],ROW()-1),"")</f>
      </c>
      <c r="E210">
        <f>IFERROR(INDEX(tblDeviceConfig[Cybernet Hostname],ROW()-1),"")</f>
      </c>
      <c r="F210">
        <f>IFERROR(INDEX(tblDeviceConfig[Neuron Hostname],ROW()-1),"")</f>
      </c>
      <c r="G210">
        <f>IFERROR(INDEX(tblDeviceConfig[Software List],ROW()-1),"")</f>
      </c>
      <c r="H210">
        <f>IFERROR(INDEX(tblDeviceConfig[PI_Use_Case],ROW()-1),"")</f>
      </c>
      <c r="I210">
        <f>IFERROR(INDEX(tblDeviceConfig[PI_Result],ROW()-1),"")</f>
      </c>
      <c r="J210">
        <f>IFERROR(INDEX(tblDeviceConfig[PI_Validated_By],ROW()-1),"")</f>
      </c>
      <c r="K210">
        <f>IFERROR(INDEX(tblDeviceConfig[PI_Validated_Date],ROW()-1),"")</f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</c>
      <c r="C211">
        <f>IFERROR(INDEX(tblDeviceConfig[Deployed],ROW()-1),"")</f>
      </c>
      <c r="D211">
        <f>IFERROR(INDEX(tblDeviceConfig[Installed],ROW()-1),"")</f>
      </c>
      <c r="E211">
        <f>IFERROR(INDEX(tblDeviceConfig[Cybernet Hostname],ROW()-1),"")</f>
      </c>
      <c r="F211">
        <f>IFERROR(INDEX(tblDeviceConfig[Neuron Hostname],ROW()-1),"")</f>
      </c>
      <c r="G211">
        <f>IFERROR(INDEX(tblDeviceConfig[Software List],ROW()-1),"")</f>
      </c>
      <c r="H211">
        <f>IFERROR(INDEX(tblDeviceConfig[PI_Use_Case],ROW()-1),"")</f>
      </c>
      <c r="I211">
        <f>IFERROR(INDEX(tblDeviceConfig[PI_Result],ROW()-1),"")</f>
      </c>
      <c r="J211">
        <f>IFERROR(INDEX(tblDeviceConfig[PI_Validated_By],ROW()-1),"")</f>
      </c>
      <c r="K211">
        <f>IFERROR(INDEX(tblDeviceConfig[PI_Validated_Date],ROW()-1),"")</f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</c>
      <c r="C212">
        <f>IFERROR(INDEX(tblDeviceConfig[Deployed],ROW()-1),"")</f>
      </c>
      <c r="D212">
        <f>IFERROR(INDEX(tblDeviceConfig[Installed],ROW()-1),"")</f>
      </c>
      <c r="E212">
        <f>IFERROR(INDEX(tblDeviceConfig[Cybernet Hostname],ROW()-1),"")</f>
      </c>
      <c r="F212">
        <f>IFERROR(INDEX(tblDeviceConfig[Neuron Hostname],ROW()-1),"")</f>
      </c>
      <c r="G212">
        <f>IFERROR(INDEX(tblDeviceConfig[Software List],ROW()-1),"")</f>
      </c>
      <c r="H212">
        <f>IFERROR(INDEX(tblDeviceConfig[PI_Use_Case],ROW()-1),"")</f>
      </c>
      <c r="I212">
        <f>IFERROR(INDEX(tblDeviceConfig[PI_Result],ROW()-1),"")</f>
      </c>
      <c r="J212">
        <f>IFERROR(INDEX(tblDeviceConfig[PI_Validated_By],ROW()-1),"")</f>
      </c>
      <c r="K212">
        <f>IFERROR(INDEX(tblDeviceConfig[PI_Validated_Date],ROW()-1),"")</f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</c>
      <c r="C213">
        <f>IFERROR(INDEX(tblDeviceConfig[Deployed],ROW()-1),"")</f>
      </c>
      <c r="D213">
        <f>IFERROR(INDEX(tblDeviceConfig[Installed],ROW()-1),"")</f>
      </c>
      <c r="E213">
        <f>IFERROR(INDEX(tblDeviceConfig[Cybernet Hostname],ROW()-1),"")</f>
      </c>
      <c r="F213">
        <f>IFERROR(INDEX(tblDeviceConfig[Neuron Hostname],ROW()-1),"")</f>
      </c>
      <c r="G213">
        <f>IFERROR(INDEX(tblDeviceConfig[Software List],ROW()-1),"")</f>
      </c>
      <c r="H213">
        <f>IFERROR(INDEX(tblDeviceConfig[PI_Use_Case],ROW()-1),"")</f>
      </c>
      <c r="I213">
        <f>IFERROR(INDEX(tblDeviceConfig[PI_Result],ROW()-1),"")</f>
      </c>
      <c r="J213">
        <f>IFERROR(INDEX(tblDeviceConfig[PI_Validated_By],ROW()-1),"")</f>
      </c>
      <c r="K213">
        <f>IFERROR(INDEX(tblDeviceConfig[PI_Validated_Date],ROW()-1),"")</f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</c>
      <c r="C214">
        <f>IFERROR(INDEX(tblDeviceConfig[Deployed],ROW()-1),"")</f>
      </c>
      <c r="D214">
        <f>IFERROR(INDEX(tblDeviceConfig[Installed],ROW()-1),"")</f>
      </c>
      <c r="E214">
        <f>IFERROR(INDEX(tblDeviceConfig[Cybernet Hostname],ROW()-1),"")</f>
      </c>
      <c r="F214">
        <f>IFERROR(INDEX(tblDeviceConfig[Neuron Hostname],ROW()-1),"")</f>
      </c>
      <c r="G214">
        <f>IFERROR(INDEX(tblDeviceConfig[Software List],ROW()-1),"")</f>
      </c>
      <c r="H214">
        <f>IFERROR(INDEX(tblDeviceConfig[PI_Use_Case],ROW()-1),"")</f>
      </c>
      <c r="I214">
        <f>IFERROR(INDEX(tblDeviceConfig[PI_Result],ROW()-1),"")</f>
      </c>
      <c r="J214">
        <f>IFERROR(INDEX(tblDeviceConfig[PI_Validated_By],ROW()-1),"")</f>
      </c>
      <c r="K214">
        <f>IFERROR(INDEX(tblDeviceConfig[PI_Validated_Date],ROW()-1),"")</f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</c>
      <c r="C215">
        <f>IFERROR(INDEX(tblDeviceConfig[Deployed],ROW()-1),"")</f>
      </c>
      <c r="D215">
        <f>IFERROR(INDEX(tblDeviceConfig[Installed],ROW()-1),"")</f>
      </c>
      <c r="E215">
        <f>IFERROR(INDEX(tblDeviceConfig[Cybernet Hostname],ROW()-1),"")</f>
      </c>
      <c r="F215">
        <f>IFERROR(INDEX(tblDeviceConfig[Neuron Hostname],ROW()-1),"")</f>
      </c>
      <c r="G215">
        <f>IFERROR(INDEX(tblDeviceConfig[Software List],ROW()-1),"")</f>
      </c>
      <c r="H215">
        <f>IFERROR(INDEX(tblDeviceConfig[PI_Use_Case],ROW()-1),"")</f>
      </c>
      <c r="I215">
        <f>IFERROR(INDEX(tblDeviceConfig[PI_Result],ROW()-1),"")</f>
      </c>
      <c r="J215">
        <f>IFERROR(INDEX(tblDeviceConfig[PI_Validated_By],ROW()-1),"")</f>
      </c>
      <c r="K215">
        <f>IFERROR(INDEX(tblDeviceConfig[PI_Validated_Date],ROW()-1),"")</f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</c>
      <c r="C216">
        <f>IFERROR(INDEX(tblDeviceConfig[Deployed],ROW()-1),"")</f>
      </c>
      <c r="D216">
        <f>IFERROR(INDEX(tblDeviceConfig[Installed],ROW()-1),"")</f>
      </c>
      <c r="E216">
        <f>IFERROR(INDEX(tblDeviceConfig[Cybernet Hostname],ROW()-1),"")</f>
      </c>
      <c r="F216">
        <f>IFERROR(INDEX(tblDeviceConfig[Neuron Hostname],ROW()-1),"")</f>
      </c>
      <c r="G216">
        <f>IFERROR(INDEX(tblDeviceConfig[Software List],ROW()-1),"")</f>
      </c>
      <c r="H216">
        <f>IFERROR(INDEX(tblDeviceConfig[PI_Use_Case],ROW()-1),"")</f>
      </c>
      <c r="I216">
        <f>IFERROR(INDEX(tblDeviceConfig[PI_Result],ROW()-1),"")</f>
      </c>
      <c r="J216">
        <f>IFERROR(INDEX(tblDeviceConfig[PI_Validated_By],ROW()-1),"")</f>
      </c>
      <c r="K216">
        <f>IFERROR(INDEX(tblDeviceConfig[PI_Validated_Date],ROW()-1),"")</f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</c>
      <c r="C217">
        <f>IFERROR(INDEX(tblDeviceConfig[Deployed],ROW()-1),"")</f>
      </c>
      <c r="D217">
        <f>IFERROR(INDEX(tblDeviceConfig[Installed],ROW()-1),"")</f>
      </c>
      <c r="E217">
        <f>IFERROR(INDEX(tblDeviceConfig[Cybernet Hostname],ROW()-1),"")</f>
      </c>
      <c r="F217">
        <f>IFERROR(INDEX(tblDeviceConfig[Neuron Hostname],ROW()-1),"")</f>
      </c>
      <c r="G217">
        <f>IFERROR(INDEX(tblDeviceConfig[Software List],ROW()-1),"")</f>
      </c>
      <c r="H217">
        <f>IFERROR(INDEX(tblDeviceConfig[PI_Use_Case],ROW()-1),"")</f>
      </c>
      <c r="I217">
        <f>IFERROR(INDEX(tblDeviceConfig[PI_Result],ROW()-1),"")</f>
      </c>
      <c r="J217">
        <f>IFERROR(INDEX(tblDeviceConfig[PI_Validated_By],ROW()-1),"")</f>
      </c>
      <c r="K217">
        <f>IFERROR(INDEX(tblDeviceConfig[PI_Validated_Date],ROW()-1),"")</f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</c>
      <c r="C218">
        <f>IFERROR(INDEX(tblDeviceConfig[Deployed],ROW()-1),"")</f>
      </c>
      <c r="D218">
        <f>IFERROR(INDEX(tblDeviceConfig[Installed],ROW()-1),"")</f>
      </c>
      <c r="E218">
        <f>IFERROR(INDEX(tblDeviceConfig[Cybernet Hostname],ROW()-1),"")</f>
      </c>
      <c r="F218">
        <f>IFERROR(INDEX(tblDeviceConfig[Neuron Hostname],ROW()-1),"")</f>
      </c>
      <c r="G218">
        <f>IFERROR(INDEX(tblDeviceConfig[Software List],ROW()-1),"")</f>
      </c>
      <c r="H218">
        <f>IFERROR(INDEX(tblDeviceConfig[PI_Use_Case],ROW()-1),"")</f>
      </c>
      <c r="I218">
        <f>IFERROR(INDEX(tblDeviceConfig[PI_Result],ROW()-1),"")</f>
      </c>
      <c r="J218">
        <f>IFERROR(INDEX(tblDeviceConfig[PI_Validated_By],ROW()-1),"")</f>
      </c>
      <c r="K218">
        <f>IFERROR(INDEX(tblDeviceConfig[PI_Validated_Date],ROW()-1),"")</f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</c>
      <c r="C219">
        <f>IFERROR(INDEX(tblDeviceConfig[Deployed],ROW()-1),"")</f>
      </c>
      <c r="D219">
        <f>IFERROR(INDEX(tblDeviceConfig[Installed],ROW()-1),"")</f>
      </c>
      <c r="E219">
        <f>IFERROR(INDEX(tblDeviceConfig[Cybernet Hostname],ROW()-1),"")</f>
      </c>
      <c r="F219">
        <f>IFERROR(INDEX(tblDeviceConfig[Neuron Hostname],ROW()-1),"")</f>
      </c>
      <c r="G219">
        <f>IFERROR(INDEX(tblDeviceConfig[Software List],ROW()-1),"")</f>
      </c>
      <c r="H219">
        <f>IFERROR(INDEX(tblDeviceConfig[PI_Use_Case],ROW()-1),"")</f>
      </c>
      <c r="I219">
        <f>IFERROR(INDEX(tblDeviceConfig[PI_Result],ROW()-1),"")</f>
      </c>
      <c r="J219">
        <f>IFERROR(INDEX(tblDeviceConfig[PI_Validated_By],ROW()-1),"")</f>
      </c>
      <c r="K219">
        <f>IFERROR(INDEX(tblDeviceConfig[PI_Validated_Date],ROW()-1),"")</f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</c>
      <c r="C220">
        <f>IFERROR(INDEX(tblDeviceConfig[Deployed],ROW()-1),"")</f>
      </c>
      <c r="D220">
        <f>IFERROR(INDEX(tblDeviceConfig[Installed],ROW()-1),"")</f>
      </c>
      <c r="E220">
        <f>IFERROR(INDEX(tblDeviceConfig[Cybernet Hostname],ROW()-1),"")</f>
      </c>
      <c r="F220">
        <f>IFERROR(INDEX(tblDeviceConfig[Neuron Hostname],ROW()-1),"")</f>
      </c>
      <c r="G220">
        <f>IFERROR(INDEX(tblDeviceConfig[Software List],ROW()-1),"")</f>
      </c>
      <c r="H220">
        <f>IFERROR(INDEX(tblDeviceConfig[PI_Use_Case],ROW()-1),"")</f>
      </c>
      <c r="I220">
        <f>IFERROR(INDEX(tblDeviceConfig[PI_Result],ROW()-1),"")</f>
      </c>
      <c r="J220">
        <f>IFERROR(INDEX(tblDeviceConfig[PI_Validated_By],ROW()-1),"")</f>
      </c>
      <c r="K220">
        <f>IFERROR(INDEX(tblDeviceConfig[PI_Validated_Date],ROW()-1),"")</f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</c>
      <c r="C221">
        <f>IFERROR(INDEX(tblDeviceConfig[Deployed],ROW()-1),"")</f>
      </c>
      <c r="D221">
        <f>IFERROR(INDEX(tblDeviceConfig[Installed],ROW()-1),"")</f>
      </c>
      <c r="E221">
        <f>IFERROR(INDEX(tblDeviceConfig[Cybernet Hostname],ROW()-1),"")</f>
      </c>
      <c r="F221">
        <f>IFERROR(INDEX(tblDeviceConfig[Neuron Hostname],ROW()-1),"")</f>
      </c>
      <c r="G221">
        <f>IFERROR(INDEX(tblDeviceConfig[Software List],ROW()-1),"")</f>
      </c>
      <c r="H221">
        <f>IFERROR(INDEX(tblDeviceConfig[PI_Use_Case],ROW()-1),"")</f>
      </c>
      <c r="I221">
        <f>IFERROR(INDEX(tblDeviceConfig[PI_Result],ROW()-1),"")</f>
      </c>
      <c r="J221">
        <f>IFERROR(INDEX(tblDeviceConfig[PI_Validated_By],ROW()-1),"")</f>
      </c>
      <c r="K221">
        <f>IFERROR(INDEX(tblDeviceConfig[PI_Validated_Date],ROW()-1),"")</f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</c>
      <c r="C222">
        <f>IFERROR(INDEX(tblDeviceConfig[Deployed],ROW()-1),"")</f>
      </c>
      <c r="D222">
        <f>IFERROR(INDEX(tblDeviceConfig[Installed],ROW()-1),"")</f>
      </c>
      <c r="E222">
        <f>IFERROR(INDEX(tblDeviceConfig[Cybernet Hostname],ROW()-1),"")</f>
      </c>
      <c r="F222">
        <f>IFERROR(INDEX(tblDeviceConfig[Neuron Hostname],ROW()-1),"")</f>
      </c>
      <c r="G222">
        <f>IFERROR(INDEX(tblDeviceConfig[Software List],ROW()-1),"")</f>
      </c>
      <c r="H222">
        <f>IFERROR(INDEX(tblDeviceConfig[PI_Use_Case],ROW()-1),"")</f>
      </c>
      <c r="I222">
        <f>IFERROR(INDEX(tblDeviceConfig[PI_Result],ROW()-1),"")</f>
      </c>
      <c r="J222">
        <f>IFERROR(INDEX(tblDeviceConfig[PI_Validated_By],ROW()-1),"")</f>
      </c>
      <c r="K222">
        <f>IFERROR(INDEX(tblDeviceConfig[PI_Validated_Date],ROW()-1),"")</f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</c>
      <c r="C223">
        <f>IFERROR(INDEX(tblDeviceConfig[Deployed],ROW()-1),"")</f>
      </c>
      <c r="D223">
        <f>IFERROR(INDEX(tblDeviceConfig[Installed],ROW()-1),"")</f>
      </c>
      <c r="E223">
        <f>IFERROR(INDEX(tblDeviceConfig[Cybernet Hostname],ROW()-1),"")</f>
      </c>
      <c r="F223">
        <f>IFERROR(INDEX(tblDeviceConfig[Neuron Hostname],ROW()-1),"")</f>
      </c>
      <c r="G223">
        <f>IFERROR(INDEX(tblDeviceConfig[Software List],ROW()-1),"")</f>
      </c>
      <c r="H223">
        <f>IFERROR(INDEX(tblDeviceConfig[PI_Use_Case],ROW()-1),"")</f>
      </c>
      <c r="I223">
        <f>IFERROR(INDEX(tblDeviceConfig[PI_Result],ROW()-1),"")</f>
      </c>
      <c r="J223">
        <f>IFERROR(INDEX(tblDeviceConfig[PI_Validated_By],ROW()-1),"")</f>
      </c>
      <c r="K223">
        <f>IFERROR(INDEX(tblDeviceConfig[PI_Validated_Date],ROW()-1),"")</f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</c>
      <c r="C224">
        <f>IFERROR(INDEX(tblDeviceConfig[Deployed],ROW()-1),"")</f>
      </c>
      <c r="D224">
        <f>IFERROR(INDEX(tblDeviceConfig[Installed],ROW()-1),"")</f>
      </c>
      <c r="E224">
        <f>IFERROR(INDEX(tblDeviceConfig[Cybernet Hostname],ROW()-1),"")</f>
      </c>
      <c r="F224">
        <f>IFERROR(INDEX(tblDeviceConfig[Neuron Hostname],ROW()-1),"")</f>
      </c>
      <c r="G224">
        <f>IFERROR(INDEX(tblDeviceConfig[Software List],ROW()-1),"")</f>
      </c>
      <c r="H224">
        <f>IFERROR(INDEX(tblDeviceConfig[PI_Use_Case],ROW()-1),"")</f>
      </c>
      <c r="I224">
        <f>IFERROR(INDEX(tblDeviceConfig[PI_Result],ROW()-1),"")</f>
      </c>
      <c r="J224">
        <f>IFERROR(INDEX(tblDeviceConfig[PI_Validated_By],ROW()-1),"")</f>
      </c>
      <c r="K224">
        <f>IFERROR(INDEX(tblDeviceConfig[PI_Validated_Date],ROW()-1),"")</f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</c>
      <c r="C225">
        <f>IFERROR(INDEX(tblDeviceConfig[Deployed],ROW()-1),"")</f>
      </c>
      <c r="D225">
        <f>IFERROR(INDEX(tblDeviceConfig[Installed],ROW()-1),"")</f>
      </c>
      <c r="E225">
        <f>IFERROR(INDEX(tblDeviceConfig[Cybernet Hostname],ROW()-1),"")</f>
      </c>
      <c r="F225">
        <f>IFERROR(INDEX(tblDeviceConfig[Neuron Hostname],ROW()-1),"")</f>
      </c>
      <c r="G225">
        <f>IFERROR(INDEX(tblDeviceConfig[Software List],ROW()-1),"")</f>
      </c>
      <c r="H225">
        <f>IFERROR(INDEX(tblDeviceConfig[PI_Use_Case],ROW()-1),"")</f>
      </c>
      <c r="I225">
        <f>IFERROR(INDEX(tblDeviceConfig[PI_Result],ROW()-1),"")</f>
      </c>
      <c r="J225">
        <f>IFERROR(INDEX(tblDeviceConfig[PI_Validated_By],ROW()-1),"")</f>
      </c>
      <c r="K225">
        <f>IFERROR(INDEX(tblDeviceConfig[PI_Validated_Date],ROW()-1),"")</f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</c>
      <c r="C226">
        <f>IFERROR(INDEX(tblDeviceConfig[Deployed],ROW()-1),"")</f>
      </c>
      <c r="D226">
        <f>IFERROR(INDEX(tblDeviceConfig[Installed],ROW()-1),"")</f>
      </c>
      <c r="E226">
        <f>IFERROR(INDEX(tblDeviceConfig[Cybernet Hostname],ROW()-1),"")</f>
      </c>
      <c r="F226">
        <f>IFERROR(INDEX(tblDeviceConfig[Neuron Hostname],ROW()-1),"")</f>
      </c>
      <c r="G226">
        <f>IFERROR(INDEX(tblDeviceConfig[Software List],ROW()-1),"")</f>
      </c>
      <c r="H226">
        <f>IFERROR(INDEX(tblDeviceConfig[PI_Use_Case],ROW()-1),"")</f>
      </c>
      <c r="I226">
        <f>IFERROR(INDEX(tblDeviceConfig[PI_Result],ROW()-1),"")</f>
      </c>
      <c r="J226">
        <f>IFERROR(INDEX(tblDeviceConfig[PI_Validated_By],ROW()-1),"")</f>
      </c>
      <c r="K226">
        <f>IFERROR(INDEX(tblDeviceConfig[PI_Validated_Date],ROW()-1),"")</f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</c>
      <c r="C227">
        <f>IFERROR(INDEX(tblDeviceConfig[Deployed],ROW()-1),"")</f>
      </c>
      <c r="D227">
        <f>IFERROR(INDEX(tblDeviceConfig[Installed],ROW()-1),"")</f>
      </c>
      <c r="E227">
        <f>IFERROR(INDEX(tblDeviceConfig[Cybernet Hostname],ROW()-1),"")</f>
      </c>
      <c r="F227">
        <f>IFERROR(INDEX(tblDeviceConfig[Neuron Hostname],ROW()-1),"")</f>
      </c>
      <c r="G227">
        <f>IFERROR(INDEX(tblDeviceConfig[Software List],ROW()-1),"")</f>
      </c>
      <c r="H227">
        <f>IFERROR(INDEX(tblDeviceConfig[PI_Use_Case],ROW()-1),"")</f>
      </c>
      <c r="I227">
        <f>IFERROR(INDEX(tblDeviceConfig[PI_Result],ROW()-1),"")</f>
      </c>
      <c r="J227">
        <f>IFERROR(INDEX(tblDeviceConfig[PI_Validated_By],ROW()-1),"")</f>
      </c>
      <c r="K227">
        <f>IFERROR(INDEX(tblDeviceConfig[PI_Validated_Date],ROW()-1),"")</f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</c>
      <c r="C228">
        <f>IFERROR(INDEX(tblDeviceConfig[Deployed],ROW()-1),"")</f>
      </c>
      <c r="D228">
        <f>IFERROR(INDEX(tblDeviceConfig[Installed],ROW()-1),"")</f>
      </c>
      <c r="E228">
        <f>IFERROR(INDEX(tblDeviceConfig[Cybernet Hostname],ROW()-1),"")</f>
      </c>
      <c r="F228">
        <f>IFERROR(INDEX(tblDeviceConfig[Neuron Hostname],ROW()-1),"")</f>
      </c>
      <c r="G228">
        <f>IFERROR(INDEX(tblDeviceConfig[Software List],ROW()-1),"")</f>
      </c>
      <c r="H228">
        <f>IFERROR(INDEX(tblDeviceConfig[PI_Use_Case],ROW()-1),"")</f>
      </c>
      <c r="I228">
        <f>IFERROR(INDEX(tblDeviceConfig[PI_Result],ROW()-1),"")</f>
      </c>
      <c r="J228">
        <f>IFERROR(INDEX(tblDeviceConfig[PI_Validated_By],ROW()-1),"")</f>
      </c>
      <c r="K228">
        <f>IFERROR(INDEX(tblDeviceConfig[PI_Validated_Date],ROW()-1),"")</f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</c>
      <c r="C229">
        <f>IFERROR(INDEX(tblDeviceConfig[Deployed],ROW()-1),"")</f>
      </c>
      <c r="D229">
        <f>IFERROR(INDEX(tblDeviceConfig[Installed],ROW()-1),"")</f>
      </c>
      <c r="E229">
        <f>IFERROR(INDEX(tblDeviceConfig[Cybernet Hostname],ROW()-1),"")</f>
      </c>
      <c r="F229">
        <f>IFERROR(INDEX(tblDeviceConfig[Neuron Hostname],ROW()-1),"")</f>
      </c>
      <c r="G229">
        <f>IFERROR(INDEX(tblDeviceConfig[Software List],ROW()-1),"")</f>
      </c>
      <c r="H229">
        <f>IFERROR(INDEX(tblDeviceConfig[PI_Use_Case],ROW()-1),"")</f>
      </c>
      <c r="I229">
        <f>IFERROR(INDEX(tblDeviceConfig[PI_Result],ROW()-1),"")</f>
      </c>
      <c r="J229">
        <f>IFERROR(INDEX(tblDeviceConfig[PI_Validated_By],ROW()-1),"")</f>
      </c>
      <c r="K229">
        <f>IFERROR(INDEX(tblDeviceConfig[PI_Validated_Date],ROW()-1),"")</f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</c>
      <c r="C230">
        <f>IFERROR(INDEX(tblDeviceConfig[Deployed],ROW()-1),"")</f>
      </c>
      <c r="D230">
        <f>IFERROR(INDEX(tblDeviceConfig[Installed],ROW()-1),"")</f>
      </c>
      <c r="E230">
        <f>IFERROR(INDEX(tblDeviceConfig[Cybernet Hostname],ROW()-1),"")</f>
      </c>
      <c r="F230">
        <f>IFERROR(INDEX(tblDeviceConfig[Neuron Hostname],ROW()-1),"")</f>
      </c>
      <c r="G230">
        <f>IFERROR(INDEX(tblDeviceConfig[Software List],ROW()-1),"")</f>
      </c>
      <c r="H230">
        <f>IFERROR(INDEX(tblDeviceConfig[PI_Use_Case],ROW()-1),"")</f>
      </c>
      <c r="I230">
        <f>IFERROR(INDEX(tblDeviceConfig[PI_Result],ROW()-1),"")</f>
      </c>
      <c r="J230">
        <f>IFERROR(INDEX(tblDeviceConfig[PI_Validated_By],ROW()-1),"")</f>
      </c>
      <c r="K230">
        <f>IFERROR(INDEX(tblDeviceConfig[PI_Validated_Date],ROW()-1),"")</f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</c>
      <c r="C231">
        <f>IFERROR(INDEX(tblDeviceConfig[Deployed],ROW()-1),"")</f>
      </c>
      <c r="D231">
        <f>IFERROR(INDEX(tblDeviceConfig[Installed],ROW()-1),"")</f>
      </c>
      <c r="E231">
        <f>IFERROR(INDEX(tblDeviceConfig[Cybernet Hostname],ROW()-1),"")</f>
      </c>
      <c r="F231">
        <f>IFERROR(INDEX(tblDeviceConfig[Neuron Hostname],ROW()-1),"")</f>
      </c>
      <c r="G231">
        <f>IFERROR(INDEX(tblDeviceConfig[Software List],ROW()-1),"")</f>
      </c>
      <c r="H231">
        <f>IFERROR(INDEX(tblDeviceConfig[PI_Use_Case],ROW()-1),"")</f>
      </c>
      <c r="I231">
        <f>IFERROR(INDEX(tblDeviceConfig[PI_Result],ROW()-1),"")</f>
      </c>
      <c r="J231">
        <f>IFERROR(INDEX(tblDeviceConfig[PI_Validated_By],ROW()-1),"")</f>
      </c>
      <c r="K231">
        <f>IFERROR(INDEX(tblDeviceConfig[PI_Validated_Date],ROW()-1),"")</f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</c>
      <c r="C232">
        <f>IFERROR(INDEX(tblDeviceConfig[Deployed],ROW()-1),"")</f>
      </c>
      <c r="D232">
        <f>IFERROR(INDEX(tblDeviceConfig[Installed],ROW()-1),"")</f>
      </c>
      <c r="E232">
        <f>IFERROR(INDEX(tblDeviceConfig[Cybernet Hostname],ROW()-1),"")</f>
      </c>
      <c r="F232">
        <f>IFERROR(INDEX(tblDeviceConfig[Neuron Hostname],ROW()-1),"")</f>
      </c>
      <c r="G232">
        <f>IFERROR(INDEX(tblDeviceConfig[Software List],ROW()-1),"")</f>
      </c>
      <c r="H232">
        <f>IFERROR(INDEX(tblDeviceConfig[PI_Use_Case],ROW()-1),"")</f>
      </c>
      <c r="I232">
        <f>IFERROR(INDEX(tblDeviceConfig[PI_Result],ROW()-1),"")</f>
      </c>
      <c r="J232">
        <f>IFERROR(INDEX(tblDeviceConfig[PI_Validated_By],ROW()-1),"")</f>
      </c>
      <c r="K232">
        <f>IFERROR(INDEX(tblDeviceConfig[PI_Validated_Date],ROW()-1),"")</f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</c>
      <c r="C233">
        <f>IFERROR(INDEX(tblDeviceConfig[Deployed],ROW()-1),"")</f>
      </c>
      <c r="D233">
        <f>IFERROR(INDEX(tblDeviceConfig[Installed],ROW()-1),"")</f>
      </c>
      <c r="E233">
        <f>IFERROR(INDEX(tblDeviceConfig[Cybernet Hostname],ROW()-1),"")</f>
      </c>
      <c r="F233">
        <f>IFERROR(INDEX(tblDeviceConfig[Neuron Hostname],ROW()-1),"")</f>
      </c>
      <c r="G233">
        <f>IFERROR(INDEX(tblDeviceConfig[Software List],ROW()-1),"")</f>
      </c>
      <c r="H233">
        <f>IFERROR(INDEX(tblDeviceConfig[PI_Use_Case],ROW()-1),"")</f>
      </c>
      <c r="I233">
        <f>IFERROR(INDEX(tblDeviceConfig[PI_Result],ROW()-1),"")</f>
      </c>
      <c r="J233">
        <f>IFERROR(INDEX(tblDeviceConfig[PI_Validated_By],ROW()-1),"")</f>
      </c>
      <c r="K233">
        <f>IFERROR(INDEX(tblDeviceConfig[PI_Validated_Date],ROW()-1),"")</f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</c>
      <c r="C234">
        <f>IFERROR(INDEX(tblDeviceConfig[Deployed],ROW()-1),"")</f>
      </c>
      <c r="D234">
        <f>IFERROR(INDEX(tblDeviceConfig[Installed],ROW()-1),"")</f>
      </c>
      <c r="E234">
        <f>IFERROR(INDEX(tblDeviceConfig[Cybernet Hostname],ROW()-1),"")</f>
      </c>
      <c r="F234">
        <f>IFERROR(INDEX(tblDeviceConfig[Neuron Hostname],ROW()-1),"")</f>
      </c>
      <c r="G234">
        <f>IFERROR(INDEX(tblDeviceConfig[Software List],ROW()-1),"")</f>
      </c>
      <c r="H234">
        <f>IFERROR(INDEX(tblDeviceConfig[PI_Use_Case],ROW()-1),"")</f>
      </c>
      <c r="I234">
        <f>IFERROR(INDEX(tblDeviceConfig[PI_Result],ROW()-1),"")</f>
      </c>
      <c r="J234">
        <f>IFERROR(INDEX(tblDeviceConfig[PI_Validated_By],ROW()-1),"")</f>
      </c>
      <c r="K234">
        <f>IFERROR(INDEX(tblDeviceConfig[PI_Validated_Date],ROW()-1),"")</f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</c>
      <c r="C235">
        <f>IFERROR(INDEX(tblDeviceConfig[Deployed],ROW()-1),"")</f>
      </c>
      <c r="D235">
        <f>IFERROR(INDEX(tblDeviceConfig[Installed],ROW()-1),"")</f>
      </c>
      <c r="E235">
        <f>IFERROR(INDEX(tblDeviceConfig[Cybernet Hostname],ROW()-1),"")</f>
      </c>
      <c r="F235">
        <f>IFERROR(INDEX(tblDeviceConfig[Neuron Hostname],ROW()-1),"")</f>
      </c>
      <c r="G235">
        <f>IFERROR(INDEX(tblDeviceConfig[Software List],ROW()-1),"")</f>
      </c>
      <c r="H235">
        <f>IFERROR(INDEX(tblDeviceConfig[PI_Use_Case],ROW()-1),"")</f>
      </c>
      <c r="I235">
        <f>IFERROR(INDEX(tblDeviceConfig[PI_Result],ROW()-1),"")</f>
      </c>
      <c r="J235">
        <f>IFERROR(INDEX(tblDeviceConfig[PI_Validated_By],ROW()-1),"")</f>
      </c>
      <c r="K235">
        <f>IFERROR(INDEX(tblDeviceConfig[PI_Validated_Date],ROW()-1),"")</f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</c>
      <c r="C236">
        <f>IFERROR(INDEX(tblDeviceConfig[Deployed],ROW()-1),"")</f>
      </c>
      <c r="D236">
        <f>IFERROR(INDEX(tblDeviceConfig[Installed],ROW()-1),"")</f>
      </c>
      <c r="E236">
        <f>IFERROR(INDEX(tblDeviceConfig[Cybernet Hostname],ROW()-1),"")</f>
      </c>
      <c r="F236">
        <f>IFERROR(INDEX(tblDeviceConfig[Neuron Hostname],ROW()-1),"")</f>
      </c>
      <c r="G236">
        <f>IFERROR(INDEX(tblDeviceConfig[Software List],ROW()-1),"")</f>
      </c>
      <c r="H236">
        <f>IFERROR(INDEX(tblDeviceConfig[PI_Use_Case],ROW()-1),"")</f>
      </c>
      <c r="I236">
        <f>IFERROR(INDEX(tblDeviceConfig[PI_Result],ROW()-1),"")</f>
      </c>
      <c r="J236">
        <f>IFERROR(INDEX(tblDeviceConfig[PI_Validated_By],ROW()-1),"")</f>
      </c>
      <c r="K236">
        <f>IFERROR(INDEX(tblDeviceConfig[PI_Validated_Date],ROW()-1),"")</f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</c>
      <c r="C237">
        <f>IFERROR(INDEX(tblDeviceConfig[Deployed],ROW()-1),"")</f>
      </c>
      <c r="D237">
        <f>IFERROR(INDEX(tblDeviceConfig[Installed],ROW()-1),"")</f>
      </c>
      <c r="E237">
        <f>IFERROR(INDEX(tblDeviceConfig[Cybernet Hostname],ROW()-1),"")</f>
      </c>
      <c r="F237">
        <f>IFERROR(INDEX(tblDeviceConfig[Neuron Hostname],ROW()-1),"")</f>
      </c>
      <c r="G237">
        <f>IFERROR(INDEX(tblDeviceConfig[Software List],ROW()-1),"")</f>
      </c>
      <c r="H237">
        <f>IFERROR(INDEX(tblDeviceConfig[PI_Use_Case],ROW()-1),"")</f>
      </c>
      <c r="I237">
        <f>IFERROR(INDEX(tblDeviceConfig[PI_Result],ROW()-1),"")</f>
      </c>
      <c r="J237">
        <f>IFERROR(INDEX(tblDeviceConfig[PI_Validated_By],ROW()-1),"")</f>
      </c>
      <c r="K237">
        <f>IFERROR(INDEX(tblDeviceConfig[PI_Validated_Date],ROW()-1),"")</f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</c>
      <c r="C238">
        <f>IFERROR(INDEX(tblDeviceConfig[Deployed],ROW()-1),"")</f>
      </c>
      <c r="D238">
        <f>IFERROR(INDEX(tblDeviceConfig[Installed],ROW()-1),"")</f>
      </c>
      <c r="E238">
        <f>IFERROR(INDEX(tblDeviceConfig[Cybernet Hostname],ROW()-1),"")</f>
      </c>
      <c r="F238">
        <f>IFERROR(INDEX(tblDeviceConfig[Neuron Hostname],ROW()-1),"")</f>
      </c>
      <c r="G238">
        <f>IFERROR(INDEX(tblDeviceConfig[Software List],ROW()-1),"")</f>
      </c>
      <c r="H238">
        <f>IFERROR(INDEX(tblDeviceConfig[PI_Use_Case],ROW()-1),"")</f>
      </c>
      <c r="I238">
        <f>IFERROR(INDEX(tblDeviceConfig[PI_Result],ROW()-1),"")</f>
      </c>
      <c r="J238">
        <f>IFERROR(INDEX(tblDeviceConfig[PI_Validated_By],ROW()-1),"")</f>
      </c>
      <c r="K238">
        <f>IFERROR(INDEX(tblDeviceConfig[PI_Validated_Date],ROW()-1),"")</f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</c>
      <c r="C239">
        <f>IFERROR(INDEX(tblDeviceConfig[Deployed],ROW()-1),"")</f>
      </c>
      <c r="D239">
        <f>IFERROR(INDEX(tblDeviceConfig[Installed],ROW()-1),"")</f>
      </c>
      <c r="E239">
        <f>IFERROR(INDEX(tblDeviceConfig[Cybernet Hostname],ROW()-1),"")</f>
      </c>
      <c r="F239">
        <f>IFERROR(INDEX(tblDeviceConfig[Neuron Hostname],ROW()-1),"")</f>
      </c>
      <c r="G239">
        <f>IFERROR(INDEX(tblDeviceConfig[Software List],ROW()-1),"")</f>
      </c>
      <c r="H239">
        <f>IFERROR(INDEX(tblDeviceConfig[PI_Use_Case],ROW()-1),"")</f>
      </c>
      <c r="I239">
        <f>IFERROR(INDEX(tblDeviceConfig[PI_Result],ROW()-1),"")</f>
      </c>
      <c r="J239">
        <f>IFERROR(INDEX(tblDeviceConfig[PI_Validated_By],ROW()-1),"")</f>
      </c>
      <c r="K239">
        <f>IFERROR(INDEX(tblDeviceConfig[PI_Validated_Date],ROW()-1),"")</f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</c>
      <c r="C240">
        <f>IFERROR(INDEX(tblDeviceConfig[Deployed],ROW()-1),"")</f>
      </c>
      <c r="D240">
        <f>IFERROR(INDEX(tblDeviceConfig[Installed],ROW()-1),"")</f>
      </c>
      <c r="E240">
        <f>IFERROR(INDEX(tblDeviceConfig[Cybernet Hostname],ROW()-1),"")</f>
      </c>
      <c r="F240">
        <f>IFERROR(INDEX(tblDeviceConfig[Neuron Hostname],ROW()-1),"")</f>
      </c>
      <c r="G240">
        <f>IFERROR(INDEX(tblDeviceConfig[Software List],ROW()-1),"")</f>
      </c>
      <c r="H240">
        <f>IFERROR(INDEX(tblDeviceConfig[PI_Use_Case],ROW()-1),"")</f>
      </c>
      <c r="I240">
        <f>IFERROR(INDEX(tblDeviceConfig[PI_Result],ROW()-1),"")</f>
      </c>
      <c r="J240">
        <f>IFERROR(INDEX(tblDeviceConfig[PI_Validated_By],ROW()-1),"")</f>
      </c>
      <c r="K240">
        <f>IFERROR(INDEX(tblDeviceConfig[PI_Validated_Date],ROW()-1),"")</f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</c>
      <c r="C241">
        <f>IFERROR(INDEX(tblDeviceConfig[Deployed],ROW()-1),"")</f>
      </c>
      <c r="D241">
        <f>IFERROR(INDEX(tblDeviceConfig[Installed],ROW()-1),"")</f>
      </c>
      <c r="E241">
        <f>IFERROR(INDEX(tblDeviceConfig[Cybernet Hostname],ROW()-1),"")</f>
      </c>
      <c r="F241">
        <f>IFERROR(INDEX(tblDeviceConfig[Neuron Hostname],ROW()-1),"")</f>
      </c>
      <c r="G241">
        <f>IFERROR(INDEX(tblDeviceConfig[Software List],ROW()-1),"")</f>
      </c>
      <c r="H241">
        <f>IFERROR(INDEX(tblDeviceConfig[PI_Use_Case],ROW()-1),"")</f>
      </c>
      <c r="I241">
        <f>IFERROR(INDEX(tblDeviceConfig[PI_Result],ROW()-1),"")</f>
      </c>
      <c r="J241">
        <f>IFERROR(INDEX(tblDeviceConfig[PI_Validated_By],ROW()-1),"")</f>
      </c>
      <c r="K241">
        <f>IFERROR(INDEX(tblDeviceConfig[PI_Validated_Date],ROW()-1),"")</f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</c>
      <c r="C242">
        <f>IFERROR(INDEX(tblDeviceConfig[Deployed],ROW()-1),"")</f>
      </c>
      <c r="D242">
        <f>IFERROR(INDEX(tblDeviceConfig[Installed],ROW()-1),"")</f>
      </c>
      <c r="E242">
        <f>IFERROR(INDEX(tblDeviceConfig[Cybernet Hostname],ROW()-1),"")</f>
      </c>
      <c r="F242">
        <f>IFERROR(INDEX(tblDeviceConfig[Neuron Hostname],ROW()-1),"")</f>
      </c>
      <c r="G242">
        <f>IFERROR(INDEX(tblDeviceConfig[Software List],ROW()-1),"")</f>
      </c>
      <c r="H242">
        <f>IFERROR(INDEX(tblDeviceConfig[PI_Use_Case],ROW()-1),"")</f>
      </c>
      <c r="I242">
        <f>IFERROR(INDEX(tblDeviceConfig[PI_Result],ROW()-1),"")</f>
      </c>
      <c r="J242">
        <f>IFERROR(INDEX(tblDeviceConfig[PI_Validated_By],ROW()-1),"")</f>
      </c>
      <c r="K242">
        <f>IFERROR(INDEX(tblDeviceConfig[PI_Validated_Date],ROW()-1),"")</f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</c>
      <c r="C243">
        <f>IFERROR(INDEX(tblDeviceConfig[Deployed],ROW()-1),"")</f>
      </c>
      <c r="D243">
        <f>IFERROR(INDEX(tblDeviceConfig[Installed],ROW()-1),"")</f>
      </c>
      <c r="E243">
        <f>IFERROR(INDEX(tblDeviceConfig[Cybernet Hostname],ROW()-1),"")</f>
      </c>
      <c r="F243">
        <f>IFERROR(INDEX(tblDeviceConfig[Neuron Hostname],ROW()-1),"")</f>
      </c>
      <c r="G243">
        <f>IFERROR(INDEX(tblDeviceConfig[Software List],ROW()-1),"")</f>
      </c>
      <c r="H243">
        <f>IFERROR(INDEX(tblDeviceConfig[PI_Use_Case],ROW()-1),"")</f>
      </c>
      <c r="I243">
        <f>IFERROR(INDEX(tblDeviceConfig[PI_Result],ROW()-1),"")</f>
      </c>
      <c r="J243">
        <f>IFERROR(INDEX(tblDeviceConfig[PI_Validated_By],ROW()-1),"")</f>
      </c>
      <c r="K243">
        <f>IFERROR(INDEX(tblDeviceConfig[PI_Validated_Date],ROW()-1),"")</f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</c>
      <c r="C244">
        <f>IFERROR(INDEX(tblDeviceConfig[Deployed],ROW()-1),"")</f>
      </c>
      <c r="D244">
        <f>IFERROR(INDEX(tblDeviceConfig[Installed],ROW()-1),"")</f>
      </c>
      <c r="E244">
        <f>IFERROR(INDEX(tblDeviceConfig[Cybernet Hostname],ROW()-1),"")</f>
      </c>
      <c r="F244">
        <f>IFERROR(INDEX(tblDeviceConfig[Neuron Hostname],ROW()-1),"")</f>
      </c>
      <c r="G244">
        <f>IFERROR(INDEX(tblDeviceConfig[Software List],ROW()-1),"")</f>
      </c>
      <c r="H244">
        <f>IFERROR(INDEX(tblDeviceConfig[PI_Use_Case],ROW()-1),"")</f>
      </c>
      <c r="I244">
        <f>IFERROR(INDEX(tblDeviceConfig[PI_Result],ROW()-1),"")</f>
      </c>
      <c r="J244">
        <f>IFERROR(INDEX(tblDeviceConfig[PI_Validated_By],ROW()-1),"")</f>
      </c>
      <c r="K244">
        <f>IFERROR(INDEX(tblDeviceConfig[PI_Validated_Date],ROW()-1),"")</f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</c>
      <c r="C245">
        <f>IFERROR(INDEX(tblDeviceConfig[Deployed],ROW()-1),"")</f>
      </c>
      <c r="D245">
        <f>IFERROR(INDEX(tblDeviceConfig[Installed],ROW()-1),"")</f>
      </c>
      <c r="E245">
        <f>IFERROR(INDEX(tblDeviceConfig[Cybernet Hostname],ROW()-1),"")</f>
      </c>
      <c r="F245">
        <f>IFERROR(INDEX(tblDeviceConfig[Neuron Hostname],ROW()-1),"")</f>
      </c>
      <c r="G245">
        <f>IFERROR(INDEX(tblDeviceConfig[Software List],ROW()-1),"")</f>
      </c>
      <c r="H245">
        <f>IFERROR(INDEX(tblDeviceConfig[PI_Use_Case],ROW()-1),"")</f>
      </c>
      <c r="I245">
        <f>IFERROR(INDEX(tblDeviceConfig[PI_Result],ROW()-1),"")</f>
      </c>
      <c r="J245">
        <f>IFERROR(INDEX(tblDeviceConfig[PI_Validated_By],ROW()-1),"")</f>
      </c>
      <c r="K245">
        <f>IFERROR(INDEX(tblDeviceConfig[PI_Validated_Date],ROW()-1),"")</f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</c>
      <c r="C246">
        <f>IFERROR(INDEX(tblDeviceConfig[Deployed],ROW()-1),"")</f>
      </c>
      <c r="D246">
        <f>IFERROR(INDEX(tblDeviceConfig[Installed],ROW()-1),"")</f>
      </c>
      <c r="E246">
        <f>IFERROR(INDEX(tblDeviceConfig[Cybernet Hostname],ROW()-1),"")</f>
      </c>
      <c r="F246">
        <f>IFERROR(INDEX(tblDeviceConfig[Neuron Hostname],ROW()-1),"")</f>
      </c>
      <c r="G246">
        <f>IFERROR(INDEX(tblDeviceConfig[Software List],ROW()-1),"")</f>
      </c>
      <c r="H246">
        <f>IFERROR(INDEX(tblDeviceConfig[PI_Use_Case],ROW()-1),"")</f>
      </c>
      <c r="I246">
        <f>IFERROR(INDEX(tblDeviceConfig[PI_Result],ROW()-1),"")</f>
      </c>
      <c r="J246">
        <f>IFERROR(INDEX(tblDeviceConfig[PI_Validated_By],ROW()-1),"")</f>
      </c>
      <c r="K246">
        <f>IFERROR(INDEX(tblDeviceConfig[PI_Validated_Date],ROW()-1),"")</f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</c>
      <c r="C247">
        <f>IFERROR(INDEX(tblDeviceConfig[Deployed],ROW()-1),"")</f>
      </c>
      <c r="D247">
        <f>IFERROR(INDEX(tblDeviceConfig[Installed],ROW()-1),"")</f>
      </c>
      <c r="E247">
        <f>IFERROR(INDEX(tblDeviceConfig[Cybernet Hostname],ROW()-1),"")</f>
      </c>
      <c r="F247">
        <f>IFERROR(INDEX(tblDeviceConfig[Neuron Hostname],ROW()-1),"")</f>
      </c>
      <c r="G247">
        <f>IFERROR(INDEX(tblDeviceConfig[Software List],ROW()-1),"")</f>
      </c>
      <c r="H247">
        <f>IFERROR(INDEX(tblDeviceConfig[PI_Use_Case],ROW()-1),"")</f>
      </c>
      <c r="I247">
        <f>IFERROR(INDEX(tblDeviceConfig[PI_Result],ROW()-1),"")</f>
      </c>
      <c r="J247">
        <f>IFERROR(INDEX(tblDeviceConfig[PI_Validated_By],ROW()-1),"")</f>
      </c>
      <c r="K247">
        <f>IFERROR(INDEX(tblDeviceConfig[PI_Validated_Date],ROW()-1),"")</f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</c>
      <c r="C248">
        <f>IFERROR(INDEX(tblDeviceConfig[Deployed],ROW()-1),"")</f>
      </c>
      <c r="D248">
        <f>IFERROR(INDEX(tblDeviceConfig[Installed],ROW()-1),"")</f>
      </c>
      <c r="E248">
        <f>IFERROR(INDEX(tblDeviceConfig[Cybernet Hostname],ROW()-1),"")</f>
      </c>
      <c r="F248">
        <f>IFERROR(INDEX(tblDeviceConfig[Neuron Hostname],ROW()-1),"")</f>
      </c>
      <c r="G248">
        <f>IFERROR(INDEX(tblDeviceConfig[Software List],ROW()-1),"")</f>
      </c>
      <c r="H248">
        <f>IFERROR(INDEX(tblDeviceConfig[PI_Use_Case],ROW()-1),"")</f>
      </c>
      <c r="I248">
        <f>IFERROR(INDEX(tblDeviceConfig[PI_Result],ROW()-1),"")</f>
      </c>
      <c r="J248">
        <f>IFERROR(INDEX(tblDeviceConfig[PI_Validated_By],ROW()-1),"")</f>
      </c>
      <c r="K248">
        <f>IFERROR(INDEX(tblDeviceConfig[PI_Validated_Date],ROW()-1),"")</f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</c>
      <c r="C249">
        <f>IFERROR(INDEX(tblDeviceConfig[Deployed],ROW()-1),"")</f>
      </c>
      <c r="D249">
        <f>IFERROR(INDEX(tblDeviceConfig[Installed],ROW()-1),"")</f>
      </c>
      <c r="E249">
        <f>IFERROR(INDEX(tblDeviceConfig[Cybernet Hostname],ROW()-1),"")</f>
      </c>
      <c r="F249">
        <f>IFERROR(INDEX(tblDeviceConfig[Neuron Hostname],ROW()-1),"")</f>
      </c>
      <c r="G249">
        <f>IFERROR(INDEX(tblDeviceConfig[Software List],ROW()-1),"")</f>
      </c>
      <c r="H249">
        <f>IFERROR(INDEX(tblDeviceConfig[PI_Use_Case],ROW()-1),"")</f>
      </c>
      <c r="I249">
        <f>IFERROR(INDEX(tblDeviceConfig[PI_Result],ROW()-1),"")</f>
      </c>
      <c r="J249">
        <f>IFERROR(INDEX(tblDeviceConfig[PI_Validated_By],ROW()-1),"")</f>
      </c>
      <c r="K249">
        <f>IFERROR(INDEX(tblDeviceConfig[PI_Validated_Date],ROW()-1),"")</f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</c>
      <c r="C250">
        <f>IFERROR(INDEX(tblDeviceConfig[Deployed],ROW()-1),"")</f>
      </c>
      <c r="D250">
        <f>IFERROR(INDEX(tblDeviceConfig[Installed],ROW()-1),"")</f>
      </c>
      <c r="E250">
        <f>IFERROR(INDEX(tblDeviceConfig[Cybernet Hostname],ROW()-1),"")</f>
      </c>
      <c r="F250">
        <f>IFERROR(INDEX(tblDeviceConfig[Neuron Hostname],ROW()-1),"")</f>
      </c>
      <c r="G250">
        <f>IFERROR(INDEX(tblDeviceConfig[Software List],ROW()-1),"")</f>
      </c>
      <c r="H250">
        <f>IFERROR(INDEX(tblDeviceConfig[PI_Use_Case],ROW()-1),"")</f>
      </c>
      <c r="I250">
        <f>IFERROR(INDEX(tblDeviceConfig[PI_Result],ROW()-1),"")</f>
      </c>
      <c r="J250">
        <f>IFERROR(INDEX(tblDeviceConfig[PI_Validated_By],ROW()-1),"")</f>
      </c>
      <c r="K250">
        <f>IFERROR(INDEX(tblDeviceConfig[PI_Validated_Date],ROW()-1),"")</f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</c>
      <c r="C251">
        <f>IFERROR(INDEX(tblDeviceConfig[Deployed],ROW()-1),"")</f>
      </c>
      <c r="D251">
        <f>IFERROR(INDEX(tblDeviceConfig[Installed],ROW()-1),"")</f>
      </c>
      <c r="E251">
        <f>IFERROR(INDEX(tblDeviceConfig[Cybernet Hostname],ROW()-1),"")</f>
      </c>
      <c r="F251">
        <f>IFERROR(INDEX(tblDeviceConfig[Neuron Hostname],ROW()-1),"")</f>
      </c>
      <c r="G251">
        <f>IFERROR(INDEX(tblDeviceConfig[Software List],ROW()-1),"")</f>
      </c>
      <c r="H251">
        <f>IFERROR(INDEX(tblDeviceConfig[PI_Use_Case],ROW()-1),"")</f>
      </c>
      <c r="I251">
        <f>IFERROR(INDEX(tblDeviceConfig[PI_Result],ROW()-1),"")</f>
      </c>
      <c r="J251">
        <f>IFERROR(INDEX(tblDeviceConfig[PI_Validated_By],ROW()-1),"")</f>
      </c>
      <c r="K251">
        <f>IFERROR(INDEX(tblDeviceConfig[PI_Validated_Date],ROW()-1),"")</f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</c>
      <c r="C252">
        <f>IFERROR(INDEX(tblDeviceConfig[Deployed],ROW()-1),"")</f>
      </c>
      <c r="D252">
        <f>IFERROR(INDEX(tblDeviceConfig[Installed],ROW()-1),"")</f>
      </c>
      <c r="E252">
        <f>IFERROR(INDEX(tblDeviceConfig[Cybernet Hostname],ROW()-1),"")</f>
      </c>
      <c r="F252">
        <f>IFERROR(INDEX(tblDeviceConfig[Neuron Hostname],ROW()-1),"")</f>
      </c>
      <c r="G252">
        <f>IFERROR(INDEX(tblDeviceConfig[Software List],ROW()-1),"")</f>
      </c>
      <c r="H252">
        <f>IFERROR(INDEX(tblDeviceConfig[PI_Use_Case],ROW()-1),"")</f>
      </c>
      <c r="I252">
        <f>IFERROR(INDEX(tblDeviceConfig[PI_Result],ROW()-1),"")</f>
      </c>
      <c r="J252">
        <f>IFERROR(INDEX(tblDeviceConfig[PI_Validated_By],ROW()-1),"")</f>
      </c>
      <c r="K252">
        <f>IFERROR(INDEX(tblDeviceConfig[PI_Validated_Date],ROW()-1),"")</f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</c>
      <c r="C253">
        <f>IFERROR(INDEX(tblDeviceConfig[Deployed],ROW()-1),"")</f>
      </c>
      <c r="D253">
        <f>IFERROR(INDEX(tblDeviceConfig[Installed],ROW()-1),"")</f>
      </c>
      <c r="E253">
        <f>IFERROR(INDEX(tblDeviceConfig[Cybernet Hostname],ROW()-1),"")</f>
      </c>
      <c r="F253">
        <f>IFERROR(INDEX(tblDeviceConfig[Neuron Hostname],ROW()-1),"")</f>
      </c>
      <c r="G253">
        <f>IFERROR(INDEX(tblDeviceConfig[Software List],ROW()-1),"")</f>
      </c>
      <c r="H253">
        <f>IFERROR(INDEX(tblDeviceConfig[PI_Use_Case],ROW()-1),"")</f>
      </c>
      <c r="I253">
        <f>IFERROR(INDEX(tblDeviceConfig[PI_Result],ROW()-1),"")</f>
      </c>
      <c r="J253">
        <f>IFERROR(INDEX(tblDeviceConfig[PI_Validated_By],ROW()-1),"")</f>
      </c>
      <c r="K253">
        <f>IFERROR(INDEX(tblDeviceConfig[PI_Validated_Date],ROW()-1),"")</f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</c>
      <c r="C254">
        <f>IFERROR(INDEX(tblDeviceConfig[Deployed],ROW()-1),"")</f>
      </c>
      <c r="D254">
        <f>IFERROR(INDEX(tblDeviceConfig[Installed],ROW()-1),"")</f>
      </c>
      <c r="E254">
        <f>IFERROR(INDEX(tblDeviceConfig[Cybernet Hostname],ROW()-1),"")</f>
      </c>
      <c r="F254">
        <f>IFERROR(INDEX(tblDeviceConfig[Neuron Hostname],ROW()-1),"")</f>
      </c>
      <c r="G254">
        <f>IFERROR(INDEX(tblDeviceConfig[Software List],ROW()-1),"")</f>
      </c>
      <c r="H254">
        <f>IFERROR(INDEX(tblDeviceConfig[PI_Use_Case],ROW()-1),"")</f>
      </c>
      <c r="I254">
        <f>IFERROR(INDEX(tblDeviceConfig[PI_Result],ROW()-1),"")</f>
      </c>
      <c r="J254">
        <f>IFERROR(INDEX(tblDeviceConfig[PI_Validated_By],ROW()-1),"")</f>
      </c>
      <c r="K254">
        <f>IFERROR(INDEX(tblDeviceConfig[PI_Validated_Date],ROW()-1),"")</f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</c>
      <c r="C255">
        <f>IFERROR(INDEX(tblDeviceConfig[Deployed],ROW()-1),"")</f>
      </c>
      <c r="D255">
        <f>IFERROR(INDEX(tblDeviceConfig[Installed],ROW()-1),"")</f>
      </c>
      <c r="E255">
        <f>IFERROR(INDEX(tblDeviceConfig[Cybernet Hostname],ROW()-1),"")</f>
      </c>
      <c r="F255">
        <f>IFERROR(INDEX(tblDeviceConfig[Neuron Hostname],ROW()-1),"")</f>
      </c>
      <c r="G255">
        <f>IFERROR(INDEX(tblDeviceConfig[Software List],ROW()-1),"")</f>
      </c>
      <c r="H255">
        <f>IFERROR(INDEX(tblDeviceConfig[PI_Use_Case],ROW()-1),"")</f>
      </c>
      <c r="I255">
        <f>IFERROR(INDEX(tblDeviceConfig[PI_Result],ROW()-1),"")</f>
      </c>
      <c r="J255">
        <f>IFERROR(INDEX(tblDeviceConfig[PI_Validated_By],ROW()-1),"")</f>
      </c>
      <c r="K255">
        <f>IFERROR(INDEX(tblDeviceConfig[PI_Validated_Date],ROW()-1),"")</f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</c>
      <c r="C256">
        <f>IFERROR(INDEX(tblDeviceConfig[Deployed],ROW()-1),"")</f>
      </c>
      <c r="D256">
        <f>IFERROR(INDEX(tblDeviceConfig[Installed],ROW()-1),"")</f>
      </c>
      <c r="E256">
        <f>IFERROR(INDEX(tblDeviceConfig[Cybernet Hostname],ROW()-1),"")</f>
      </c>
      <c r="F256">
        <f>IFERROR(INDEX(tblDeviceConfig[Neuron Hostname],ROW()-1),"")</f>
      </c>
      <c r="G256">
        <f>IFERROR(INDEX(tblDeviceConfig[Software List],ROW()-1),"")</f>
      </c>
      <c r="H256">
        <f>IFERROR(INDEX(tblDeviceConfig[PI_Use_Case],ROW()-1),"")</f>
      </c>
      <c r="I256">
        <f>IFERROR(INDEX(tblDeviceConfig[PI_Result],ROW()-1),"")</f>
      </c>
      <c r="J256">
        <f>IFERROR(INDEX(tblDeviceConfig[PI_Validated_By],ROW()-1),"")</f>
      </c>
      <c r="K256">
        <f>IFERROR(INDEX(tblDeviceConfig[PI_Validated_Date],ROW()-1),"")</f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</c>
      <c r="C257">
        <f>IFERROR(INDEX(tblDeviceConfig[Deployed],ROW()-1),"")</f>
      </c>
      <c r="D257">
        <f>IFERROR(INDEX(tblDeviceConfig[Installed],ROW()-1),"")</f>
      </c>
      <c r="E257">
        <f>IFERROR(INDEX(tblDeviceConfig[Cybernet Hostname],ROW()-1),"")</f>
      </c>
      <c r="F257">
        <f>IFERROR(INDEX(tblDeviceConfig[Neuron Hostname],ROW()-1),"")</f>
      </c>
      <c r="G257">
        <f>IFERROR(INDEX(tblDeviceConfig[Software List],ROW()-1),"")</f>
      </c>
      <c r="H257">
        <f>IFERROR(INDEX(tblDeviceConfig[PI_Use_Case],ROW()-1),"")</f>
      </c>
      <c r="I257">
        <f>IFERROR(INDEX(tblDeviceConfig[PI_Result],ROW()-1),"")</f>
      </c>
      <c r="J257">
        <f>IFERROR(INDEX(tblDeviceConfig[PI_Validated_By],ROW()-1),"")</f>
      </c>
      <c r="K257">
        <f>IFERROR(INDEX(tblDeviceConfig[PI_Validated_Date],ROW()-1),"")</f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</c>
      <c r="C258">
        <f>IFERROR(INDEX(tblDeviceConfig[Deployed],ROW()-1),"")</f>
      </c>
      <c r="D258">
        <f>IFERROR(INDEX(tblDeviceConfig[Installed],ROW()-1),"")</f>
      </c>
      <c r="E258">
        <f>IFERROR(INDEX(tblDeviceConfig[Cybernet Hostname],ROW()-1),"")</f>
      </c>
      <c r="F258">
        <f>IFERROR(INDEX(tblDeviceConfig[Neuron Hostname],ROW()-1),"")</f>
      </c>
      <c r="G258">
        <f>IFERROR(INDEX(tblDeviceConfig[Software List],ROW()-1),"")</f>
      </c>
      <c r="H258">
        <f>IFERROR(INDEX(tblDeviceConfig[PI_Use_Case],ROW()-1),"")</f>
      </c>
      <c r="I258">
        <f>IFERROR(INDEX(tblDeviceConfig[PI_Result],ROW()-1),"")</f>
      </c>
      <c r="J258">
        <f>IFERROR(INDEX(tblDeviceConfig[PI_Validated_By],ROW()-1),"")</f>
      </c>
      <c r="K258">
        <f>IFERROR(INDEX(tblDeviceConfig[PI_Validated_Date],ROW()-1),"")</f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</c>
      <c r="C259">
        <f>IFERROR(INDEX(tblDeviceConfig[Deployed],ROW()-1),"")</f>
      </c>
      <c r="D259">
        <f>IFERROR(INDEX(tblDeviceConfig[Installed],ROW()-1),"")</f>
      </c>
      <c r="E259">
        <f>IFERROR(INDEX(tblDeviceConfig[Cybernet Hostname],ROW()-1),"")</f>
      </c>
      <c r="F259">
        <f>IFERROR(INDEX(tblDeviceConfig[Neuron Hostname],ROW()-1),"")</f>
      </c>
      <c r="G259">
        <f>IFERROR(INDEX(tblDeviceConfig[Software List],ROW()-1),"")</f>
      </c>
      <c r="H259">
        <f>IFERROR(INDEX(tblDeviceConfig[PI_Use_Case],ROW()-1),"")</f>
      </c>
      <c r="I259">
        <f>IFERROR(INDEX(tblDeviceConfig[PI_Result],ROW()-1),"")</f>
      </c>
      <c r="J259">
        <f>IFERROR(INDEX(tblDeviceConfig[PI_Validated_By],ROW()-1),"")</f>
      </c>
      <c r="K259">
        <f>IFERROR(INDEX(tblDeviceConfig[PI_Validated_Date],ROW()-1),"")</f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</c>
      <c r="C260">
        <f>IFERROR(INDEX(tblDeviceConfig[Deployed],ROW()-1),"")</f>
      </c>
      <c r="D260">
        <f>IFERROR(INDEX(tblDeviceConfig[Installed],ROW()-1),"")</f>
      </c>
      <c r="E260">
        <f>IFERROR(INDEX(tblDeviceConfig[Cybernet Hostname],ROW()-1),"")</f>
      </c>
      <c r="F260">
        <f>IFERROR(INDEX(tblDeviceConfig[Neuron Hostname],ROW()-1),"")</f>
      </c>
      <c r="G260">
        <f>IFERROR(INDEX(tblDeviceConfig[Software List],ROW()-1),"")</f>
      </c>
      <c r="H260">
        <f>IFERROR(INDEX(tblDeviceConfig[PI_Use_Case],ROW()-1),"")</f>
      </c>
      <c r="I260">
        <f>IFERROR(INDEX(tblDeviceConfig[PI_Result],ROW()-1),"")</f>
      </c>
      <c r="J260">
        <f>IFERROR(INDEX(tblDeviceConfig[PI_Validated_By],ROW()-1),"")</f>
      </c>
      <c r="K260">
        <f>IFERROR(INDEX(tblDeviceConfig[PI_Validated_Date],ROW()-1),"")</f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</c>
      <c r="C261">
        <f>IFERROR(INDEX(tblDeviceConfig[Deployed],ROW()-1),"")</f>
      </c>
      <c r="D261">
        <f>IFERROR(INDEX(tblDeviceConfig[Installed],ROW()-1),"")</f>
      </c>
      <c r="E261">
        <f>IFERROR(INDEX(tblDeviceConfig[Cybernet Hostname],ROW()-1),"")</f>
      </c>
      <c r="F261">
        <f>IFERROR(INDEX(tblDeviceConfig[Neuron Hostname],ROW()-1),"")</f>
      </c>
      <c r="G261">
        <f>IFERROR(INDEX(tblDeviceConfig[Software List],ROW()-1),"")</f>
      </c>
      <c r="H261">
        <f>IFERROR(INDEX(tblDeviceConfig[PI_Use_Case],ROW()-1),"")</f>
      </c>
      <c r="I261">
        <f>IFERROR(INDEX(tblDeviceConfig[PI_Result],ROW()-1),"")</f>
      </c>
      <c r="J261">
        <f>IFERROR(INDEX(tblDeviceConfig[PI_Validated_By],ROW()-1),"")</f>
      </c>
      <c r="K261">
        <f>IFERROR(INDEX(tblDeviceConfig[PI_Validated_Date],ROW()-1),"")</f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</c>
      <c r="C262">
        <f>IFERROR(INDEX(tblDeviceConfig[Deployed],ROW()-1),"")</f>
      </c>
      <c r="D262">
        <f>IFERROR(INDEX(tblDeviceConfig[Installed],ROW()-1),"")</f>
      </c>
      <c r="E262">
        <f>IFERROR(INDEX(tblDeviceConfig[Cybernet Hostname],ROW()-1),"")</f>
      </c>
      <c r="F262">
        <f>IFERROR(INDEX(tblDeviceConfig[Neuron Hostname],ROW()-1),"")</f>
      </c>
      <c r="G262">
        <f>IFERROR(INDEX(tblDeviceConfig[Software List],ROW()-1),"")</f>
      </c>
      <c r="H262">
        <f>IFERROR(INDEX(tblDeviceConfig[PI_Use_Case],ROW()-1),"")</f>
      </c>
      <c r="I262">
        <f>IFERROR(INDEX(tblDeviceConfig[PI_Result],ROW()-1),"")</f>
      </c>
      <c r="J262">
        <f>IFERROR(INDEX(tblDeviceConfig[PI_Validated_By],ROW()-1),"")</f>
      </c>
      <c r="K262">
        <f>IFERROR(INDEX(tblDeviceConfig[PI_Validated_Date],ROW()-1),"")</f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</c>
      <c r="C263">
        <f>IFERROR(INDEX(tblDeviceConfig[Deployed],ROW()-1),"")</f>
      </c>
      <c r="D263">
        <f>IFERROR(INDEX(tblDeviceConfig[Installed],ROW()-1),"")</f>
      </c>
      <c r="E263">
        <f>IFERROR(INDEX(tblDeviceConfig[Cybernet Hostname],ROW()-1),"")</f>
      </c>
      <c r="F263">
        <f>IFERROR(INDEX(tblDeviceConfig[Neuron Hostname],ROW()-1),"")</f>
      </c>
      <c r="G263">
        <f>IFERROR(INDEX(tblDeviceConfig[Software List],ROW()-1),"")</f>
      </c>
      <c r="H263">
        <f>IFERROR(INDEX(tblDeviceConfig[PI_Use_Case],ROW()-1),"")</f>
      </c>
      <c r="I263">
        <f>IFERROR(INDEX(tblDeviceConfig[PI_Result],ROW()-1),"")</f>
      </c>
      <c r="J263">
        <f>IFERROR(INDEX(tblDeviceConfig[PI_Validated_By],ROW()-1),"")</f>
      </c>
      <c r="K263">
        <f>IFERROR(INDEX(tblDeviceConfig[PI_Validated_Date],ROW()-1),"")</f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</c>
      <c r="C264">
        <f>IFERROR(INDEX(tblDeviceConfig[Deployed],ROW()-1),"")</f>
      </c>
      <c r="D264">
        <f>IFERROR(INDEX(tblDeviceConfig[Installed],ROW()-1),"")</f>
      </c>
      <c r="E264">
        <f>IFERROR(INDEX(tblDeviceConfig[Cybernet Hostname],ROW()-1),"")</f>
      </c>
      <c r="F264">
        <f>IFERROR(INDEX(tblDeviceConfig[Neuron Hostname],ROW()-1),"")</f>
      </c>
      <c r="G264">
        <f>IFERROR(INDEX(tblDeviceConfig[Software List],ROW()-1),"")</f>
      </c>
      <c r="H264">
        <f>IFERROR(INDEX(tblDeviceConfig[PI_Use_Case],ROW()-1),"")</f>
      </c>
      <c r="I264">
        <f>IFERROR(INDEX(tblDeviceConfig[PI_Result],ROW()-1),"")</f>
      </c>
      <c r="J264">
        <f>IFERROR(INDEX(tblDeviceConfig[PI_Validated_By],ROW()-1),"")</f>
      </c>
      <c r="K264">
        <f>IFERROR(INDEX(tblDeviceConfig[PI_Validated_Date],ROW()-1),"")</f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</c>
      <c r="C265">
        <f>IFERROR(INDEX(tblDeviceConfig[Deployed],ROW()-1),"")</f>
      </c>
      <c r="D265">
        <f>IFERROR(INDEX(tblDeviceConfig[Installed],ROW()-1),"")</f>
      </c>
      <c r="E265">
        <f>IFERROR(INDEX(tblDeviceConfig[Cybernet Hostname],ROW()-1),"")</f>
      </c>
      <c r="F265">
        <f>IFERROR(INDEX(tblDeviceConfig[Neuron Hostname],ROW()-1),"")</f>
      </c>
      <c r="G265">
        <f>IFERROR(INDEX(tblDeviceConfig[Software List],ROW()-1),"")</f>
      </c>
      <c r="H265">
        <f>IFERROR(INDEX(tblDeviceConfig[PI_Use_Case],ROW()-1),"")</f>
      </c>
      <c r="I265">
        <f>IFERROR(INDEX(tblDeviceConfig[PI_Result],ROW()-1),"")</f>
      </c>
      <c r="J265">
        <f>IFERROR(INDEX(tblDeviceConfig[PI_Validated_By],ROW()-1),"")</f>
      </c>
      <c r="K265">
        <f>IFERROR(INDEX(tblDeviceConfig[PI_Validated_Date],ROW()-1),"")</f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</c>
      <c r="C266">
        <f>IFERROR(INDEX(tblDeviceConfig[Deployed],ROW()-1),"")</f>
      </c>
      <c r="D266">
        <f>IFERROR(INDEX(tblDeviceConfig[Installed],ROW()-1),"")</f>
      </c>
      <c r="E266">
        <f>IFERROR(INDEX(tblDeviceConfig[Cybernet Hostname],ROW()-1),"")</f>
      </c>
      <c r="F266">
        <f>IFERROR(INDEX(tblDeviceConfig[Neuron Hostname],ROW()-1),"")</f>
      </c>
      <c r="G266">
        <f>IFERROR(INDEX(tblDeviceConfig[Software List],ROW()-1),"")</f>
      </c>
      <c r="H266">
        <f>IFERROR(INDEX(tblDeviceConfig[PI_Use_Case],ROW()-1),"")</f>
      </c>
      <c r="I266">
        <f>IFERROR(INDEX(tblDeviceConfig[PI_Result],ROW()-1),"")</f>
      </c>
      <c r="J266">
        <f>IFERROR(INDEX(tblDeviceConfig[PI_Validated_By],ROW()-1),"")</f>
      </c>
      <c r="K266">
        <f>IFERROR(INDEX(tblDeviceConfig[PI_Validated_Date],ROW()-1),"")</f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</c>
      <c r="C267">
        <f>IFERROR(INDEX(tblDeviceConfig[Deployed],ROW()-1),"")</f>
      </c>
      <c r="D267">
        <f>IFERROR(INDEX(tblDeviceConfig[Installed],ROW()-1),"")</f>
      </c>
      <c r="E267">
        <f>IFERROR(INDEX(tblDeviceConfig[Cybernet Hostname],ROW()-1),"")</f>
      </c>
      <c r="F267">
        <f>IFERROR(INDEX(tblDeviceConfig[Neuron Hostname],ROW()-1),"")</f>
      </c>
      <c r="G267">
        <f>IFERROR(INDEX(tblDeviceConfig[Software List],ROW()-1),"")</f>
      </c>
      <c r="H267">
        <f>IFERROR(INDEX(tblDeviceConfig[PI_Use_Case],ROW()-1),"")</f>
      </c>
      <c r="I267">
        <f>IFERROR(INDEX(tblDeviceConfig[PI_Result],ROW()-1),"")</f>
      </c>
      <c r="J267">
        <f>IFERROR(INDEX(tblDeviceConfig[PI_Validated_By],ROW()-1),"")</f>
      </c>
      <c r="K267">
        <f>IFERROR(INDEX(tblDeviceConfig[PI_Validated_Date],ROW()-1),"")</f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</c>
      <c r="C268">
        <f>IFERROR(INDEX(tblDeviceConfig[Deployed],ROW()-1),"")</f>
      </c>
      <c r="D268">
        <f>IFERROR(INDEX(tblDeviceConfig[Installed],ROW()-1),"")</f>
      </c>
      <c r="E268">
        <f>IFERROR(INDEX(tblDeviceConfig[Cybernet Hostname],ROW()-1),"")</f>
      </c>
      <c r="F268">
        <f>IFERROR(INDEX(tblDeviceConfig[Neuron Hostname],ROW()-1),"")</f>
      </c>
      <c r="G268">
        <f>IFERROR(INDEX(tblDeviceConfig[Software List],ROW()-1),"")</f>
      </c>
      <c r="H268">
        <f>IFERROR(INDEX(tblDeviceConfig[PI_Use_Case],ROW()-1),"")</f>
      </c>
      <c r="I268">
        <f>IFERROR(INDEX(tblDeviceConfig[PI_Result],ROW()-1),"")</f>
      </c>
      <c r="J268">
        <f>IFERROR(INDEX(tblDeviceConfig[PI_Validated_By],ROW()-1),"")</f>
      </c>
      <c r="K268">
        <f>IFERROR(INDEX(tblDeviceConfig[PI_Validated_Date],ROW()-1),"")</f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</c>
      <c r="C269">
        <f>IFERROR(INDEX(tblDeviceConfig[Deployed],ROW()-1),"")</f>
      </c>
      <c r="D269">
        <f>IFERROR(INDEX(tblDeviceConfig[Installed],ROW()-1),"")</f>
      </c>
      <c r="E269">
        <f>IFERROR(INDEX(tblDeviceConfig[Cybernet Hostname],ROW()-1),"")</f>
      </c>
      <c r="F269">
        <f>IFERROR(INDEX(tblDeviceConfig[Neuron Hostname],ROW()-1),"")</f>
      </c>
      <c r="G269">
        <f>IFERROR(INDEX(tblDeviceConfig[Software List],ROW()-1),"")</f>
      </c>
      <c r="H269">
        <f>IFERROR(INDEX(tblDeviceConfig[PI_Use_Case],ROW()-1),"")</f>
      </c>
      <c r="I269">
        <f>IFERROR(INDEX(tblDeviceConfig[PI_Result],ROW()-1),"")</f>
      </c>
      <c r="J269">
        <f>IFERROR(INDEX(tblDeviceConfig[PI_Validated_By],ROW()-1),"")</f>
      </c>
      <c r="K269">
        <f>IFERROR(INDEX(tblDeviceConfig[PI_Validated_Date],ROW()-1),"")</f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</c>
      <c r="C270">
        <f>IFERROR(INDEX(tblDeviceConfig[Deployed],ROW()-1),"")</f>
      </c>
      <c r="D270">
        <f>IFERROR(INDEX(tblDeviceConfig[Installed],ROW()-1),"")</f>
      </c>
      <c r="E270">
        <f>IFERROR(INDEX(tblDeviceConfig[Cybernet Hostname],ROW()-1),"")</f>
      </c>
      <c r="F270">
        <f>IFERROR(INDEX(tblDeviceConfig[Neuron Hostname],ROW()-1),"")</f>
      </c>
      <c r="G270">
        <f>IFERROR(INDEX(tblDeviceConfig[Software List],ROW()-1),"")</f>
      </c>
      <c r="H270">
        <f>IFERROR(INDEX(tblDeviceConfig[PI_Use_Case],ROW()-1),"")</f>
      </c>
      <c r="I270">
        <f>IFERROR(INDEX(tblDeviceConfig[PI_Result],ROW()-1),"")</f>
      </c>
      <c r="J270">
        <f>IFERROR(INDEX(tblDeviceConfig[PI_Validated_By],ROW()-1),"")</f>
      </c>
      <c r="K270">
        <f>IFERROR(INDEX(tblDeviceConfig[PI_Validated_Date],ROW()-1),"")</f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</c>
      <c r="C271">
        <f>IFERROR(INDEX(tblDeviceConfig[Deployed],ROW()-1),"")</f>
      </c>
      <c r="D271">
        <f>IFERROR(INDEX(tblDeviceConfig[Installed],ROW()-1),"")</f>
      </c>
      <c r="E271">
        <f>IFERROR(INDEX(tblDeviceConfig[Cybernet Hostname],ROW()-1),"")</f>
      </c>
      <c r="F271">
        <f>IFERROR(INDEX(tblDeviceConfig[Neuron Hostname],ROW()-1),"")</f>
      </c>
      <c r="G271">
        <f>IFERROR(INDEX(tblDeviceConfig[Software List],ROW()-1),"")</f>
      </c>
      <c r="H271">
        <f>IFERROR(INDEX(tblDeviceConfig[PI_Use_Case],ROW()-1),"")</f>
      </c>
      <c r="I271">
        <f>IFERROR(INDEX(tblDeviceConfig[PI_Result],ROW()-1),"")</f>
      </c>
      <c r="J271">
        <f>IFERROR(INDEX(tblDeviceConfig[PI_Validated_By],ROW()-1),"")</f>
      </c>
      <c r="K271">
        <f>IFERROR(INDEX(tblDeviceConfig[PI_Validated_Date],ROW()-1),"")</f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</c>
      <c r="C272">
        <f>IFERROR(INDEX(tblDeviceConfig[Deployed],ROW()-1),"")</f>
      </c>
      <c r="D272">
        <f>IFERROR(INDEX(tblDeviceConfig[Installed],ROW()-1),"")</f>
      </c>
      <c r="E272">
        <f>IFERROR(INDEX(tblDeviceConfig[Cybernet Hostname],ROW()-1),"")</f>
      </c>
      <c r="F272">
        <f>IFERROR(INDEX(tblDeviceConfig[Neuron Hostname],ROW()-1),"")</f>
      </c>
      <c r="G272">
        <f>IFERROR(INDEX(tblDeviceConfig[Software List],ROW()-1),"")</f>
      </c>
      <c r="H272">
        <f>IFERROR(INDEX(tblDeviceConfig[PI_Use_Case],ROW()-1),"")</f>
      </c>
      <c r="I272">
        <f>IFERROR(INDEX(tblDeviceConfig[PI_Result],ROW()-1),"")</f>
      </c>
      <c r="J272">
        <f>IFERROR(INDEX(tblDeviceConfig[PI_Validated_By],ROW()-1),"")</f>
      </c>
      <c r="K272">
        <f>IFERROR(INDEX(tblDeviceConfig[PI_Validated_Date],ROW()-1),"")</f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</c>
      <c r="C273">
        <f>IFERROR(INDEX(tblDeviceConfig[Deployed],ROW()-1),"")</f>
      </c>
      <c r="D273">
        <f>IFERROR(INDEX(tblDeviceConfig[Installed],ROW()-1),"")</f>
      </c>
      <c r="E273">
        <f>IFERROR(INDEX(tblDeviceConfig[Cybernet Hostname],ROW()-1),"")</f>
      </c>
      <c r="F273">
        <f>IFERROR(INDEX(tblDeviceConfig[Neuron Hostname],ROW()-1),"")</f>
      </c>
      <c r="G273">
        <f>IFERROR(INDEX(tblDeviceConfig[Software List],ROW()-1),"")</f>
      </c>
      <c r="H273">
        <f>IFERROR(INDEX(tblDeviceConfig[PI_Use_Case],ROW()-1),"")</f>
      </c>
      <c r="I273">
        <f>IFERROR(INDEX(tblDeviceConfig[PI_Result],ROW()-1),"")</f>
      </c>
      <c r="J273">
        <f>IFERROR(INDEX(tblDeviceConfig[PI_Validated_By],ROW()-1),"")</f>
      </c>
      <c r="K273">
        <f>IFERROR(INDEX(tblDeviceConfig[PI_Validated_Date],ROW()-1),"")</f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</c>
      <c r="C274">
        <f>IFERROR(INDEX(tblDeviceConfig[Deployed],ROW()-1),"")</f>
      </c>
      <c r="D274">
        <f>IFERROR(INDEX(tblDeviceConfig[Installed],ROW()-1),"")</f>
      </c>
      <c r="E274">
        <f>IFERROR(INDEX(tblDeviceConfig[Cybernet Hostname],ROW()-1),"")</f>
      </c>
      <c r="F274">
        <f>IFERROR(INDEX(tblDeviceConfig[Neuron Hostname],ROW()-1),"")</f>
      </c>
      <c r="G274">
        <f>IFERROR(INDEX(tblDeviceConfig[Software List],ROW()-1),"")</f>
      </c>
      <c r="H274">
        <f>IFERROR(INDEX(tblDeviceConfig[PI_Use_Case],ROW()-1),"")</f>
      </c>
      <c r="I274">
        <f>IFERROR(INDEX(tblDeviceConfig[PI_Result],ROW()-1),"")</f>
      </c>
      <c r="J274">
        <f>IFERROR(INDEX(tblDeviceConfig[PI_Validated_By],ROW()-1),"")</f>
      </c>
      <c r="K274">
        <f>IFERROR(INDEX(tblDeviceConfig[PI_Validated_Date],ROW()-1),"")</f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</c>
      <c r="C275">
        <f>IFERROR(INDEX(tblDeviceConfig[Deployed],ROW()-1),"")</f>
      </c>
      <c r="D275">
        <f>IFERROR(INDEX(tblDeviceConfig[Installed],ROW()-1),"")</f>
      </c>
      <c r="E275">
        <f>IFERROR(INDEX(tblDeviceConfig[Cybernet Hostname],ROW()-1),"")</f>
      </c>
      <c r="F275">
        <f>IFERROR(INDEX(tblDeviceConfig[Neuron Hostname],ROW()-1),"")</f>
      </c>
      <c r="G275">
        <f>IFERROR(INDEX(tblDeviceConfig[Software List],ROW()-1),"")</f>
      </c>
      <c r="H275">
        <f>IFERROR(INDEX(tblDeviceConfig[PI_Use_Case],ROW()-1),"")</f>
      </c>
      <c r="I275">
        <f>IFERROR(INDEX(tblDeviceConfig[PI_Result],ROW()-1),"")</f>
      </c>
      <c r="J275">
        <f>IFERROR(INDEX(tblDeviceConfig[PI_Validated_By],ROW()-1),"")</f>
      </c>
      <c r="K275">
        <f>IFERROR(INDEX(tblDeviceConfig[PI_Validated_Date],ROW()-1),"")</f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</c>
      <c r="C276">
        <f>IFERROR(INDEX(tblDeviceConfig[Deployed],ROW()-1),"")</f>
      </c>
      <c r="D276">
        <f>IFERROR(INDEX(tblDeviceConfig[Installed],ROW()-1),"")</f>
      </c>
      <c r="E276">
        <f>IFERROR(INDEX(tblDeviceConfig[Cybernet Hostname],ROW()-1),"")</f>
      </c>
      <c r="F276">
        <f>IFERROR(INDEX(tblDeviceConfig[Neuron Hostname],ROW()-1),"")</f>
      </c>
      <c r="G276">
        <f>IFERROR(INDEX(tblDeviceConfig[Software List],ROW()-1),"")</f>
      </c>
      <c r="H276">
        <f>IFERROR(INDEX(tblDeviceConfig[PI_Use_Case],ROW()-1),"")</f>
      </c>
      <c r="I276">
        <f>IFERROR(INDEX(tblDeviceConfig[PI_Result],ROW()-1),"")</f>
      </c>
      <c r="J276">
        <f>IFERROR(INDEX(tblDeviceConfig[PI_Validated_By],ROW()-1),"")</f>
      </c>
      <c r="K276">
        <f>IFERROR(INDEX(tblDeviceConfig[PI_Validated_Date],ROW()-1),"")</f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</c>
      <c r="C277">
        <f>IFERROR(INDEX(tblDeviceConfig[Deployed],ROW()-1),"")</f>
      </c>
      <c r="D277">
        <f>IFERROR(INDEX(tblDeviceConfig[Installed],ROW()-1),"")</f>
      </c>
      <c r="E277">
        <f>IFERROR(INDEX(tblDeviceConfig[Cybernet Hostname],ROW()-1),"")</f>
      </c>
      <c r="F277">
        <f>IFERROR(INDEX(tblDeviceConfig[Neuron Hostname],ROW()-1),"")</f>
      </c>
      <c r="G277">
        <f>IFERROR(INDEX(tblDeviceConfig[Software List],ROW()-1),"")</f>
      </c>
      <c r="H277">
        <f>IFERROR(INDEX(tblDeviceConfig[PI_Use_Case],ROW()-1),"")</f>
      </c>
      <c r="I277">
        <f>IFERROR(INDEX(tblDeviceConfig[PI_Result],ROW()-1),"")</f>
      </c>
      <c r="J277">
        <f>IFERROR(INDEX(tblDeviceConfig[PI_Validated_By],ROW()-1),"")</f>
      </c>
      <c r="K277">
        <f>IFERROR(INDEX(tblDeviceConfig[PI_Validated_Date],ROW()-1),"")</f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</c>
      <c r="C278">
        <f>IFERROR(INDEX(tblDeviceConfig[Deployed],ROW()-1),"")</f>
      </c>
      <c r="D278">
        <f>IFERROR(INDEX(tblDeviceConfig[Installed],ROW()-1),"")</f>
      </c>
      <c r="E278">
        <f>IFERROR(INDEX(tblDeviceConfig[Cybernet Hostname],ROW()-1),"")</f>
      </c>
      <c r="F278">
        <f>IFERROR(INDEX(tblDeviceConfig[Neuron Hostname],ROW()-1),"")</f>
      </c>
      <c r="G278">
        <f>IFERROR(INDEX(tblDeviceConfig[Software List],ROW()-1),"")</f>
      </c>
      <c r="H278">
        <f>IFERROR(INDEX(tblDeviceConfig[PI_Use_Case],ROW()-1),"")</f>
      </c>
      <c r="I278">
        <f>IFERROR(INDEX(tblDeviceConfig[PI_Result],ROW()-1),"")</f>
      </c>
      <c r="J278">
        <f>IFERROR(INDEX(tblDeviceConfig[PI_Validated_By],ROW()-1),"")</f>
      </c>
      <c r="K278">
        <f>IFERROR(INDEX(tblDeviceConfig[PI_Validated_Date],ROW()-1),"")</f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</c>
      <c r="C279">
        <f>IFERROR(INDEX(tblDeviceConfig[Deployed],ROW()-1),"")</f>
      </c>
      <c r="D279">
        <f>IFERROR(INDEX(tblDeviceConfig[Installed],ROW()-1),"")</f>
      </c>
      <c r="E279">
        <f>IFERROR(INDEX(tblDeviceConfig[Cybernet Hostname],ROW()-1),"")</f>
      </c>
      <c r="F279">
        <f>IFERROR(INDEX(tblDeviceConfig[Neuron Hostname],ROW()-1),"")</f>
      </c>
      <c r="G279">
        <f>IFERROR(INDEX(tblDeviceConfig[Software List],ROW()-1),"")</f>
      </c>
      <c r="H279">
        <f>IFERROR(INDEX(tblDeviceConfig[PI_Use_Case],ROW()-1),"")</f>
      </c>
      <c r="I279">
        <f>IFERROR(INDEX(tblDeviceConfig[PI_Result],ROW()-1),"")</f>
      </c>
      <c r="J279">
        <f>IFERROR(INDEX(tblDeviceConfig[PI_Validated_By],ROW()-1),"")</f>
      </c>
      <c r="K279">
        <f>IFERROR(INDEX(tblDeviceConfig[PI_Validated_Date],ROW()-1),"")</f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</c>
      <c r="C280">
        <f>IFERROR(INDEX(tblDeviceConfig[Deployed],ROW()-1),"")</f>
      </c>
      <c r="D280">
        <f>IFERROR(INDEX(tblDeviceConfig[Installed],ROW()-1),"")</f>
      </c>
      <c r="E280">
        <f>IFERROR(INDEX(tblDeviceConfig[Cybernet Hostname],ROW()-1),"")</f>
      </c>
      <c r="F280">
        <f>IFERROR(INDEX(tblDeviceConfig[Neuron Hostname],ROW()-1),"")</f>
      </c>
      <c r="G280">
        <f>IFERROR(INDEX(tblDeviceConfig[Software List],ROW()-1),"")</f>
      </c>
      <c r="H280">
        <f>IFERROR(INDEX(tblDeviceConfig[PI_Use_Case],ROW()-1),"")</f>
      </c>
      <c r="I280">
        <f>IFERROR(INDEX(tblDeviceConfig[PI_Result],ROW()-1),"")</f>
      </c>
      <c r="J280">
        <f>IFERROR(INDEX(tblDeviceConfig[PI_Validated_By],ROW()-1),"")</f>
      </c>
      <c r="K280">
        <f>IFERROR(INDEX(tblDeviceConfig[PI_Validated_Date],ROW()-1),"")</f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</c>
      <c r="C281">
        <f>IFERROR(INDEX(tblDeviceConfig[Deployed],ROW()-1),"")</f>
      </c>
      <c r="D281">
        <f>IFERROR(INDEX(tblDeviceConfig[Installed],ROW()-1),"")</f>
      </c>
      <c r="E281">
        <f>IFERROR(INDEX(tblDeviceConfig[Cybernet Hostname],ROW()-1),"")</f>
      </c>
      <c r="F281">
        <f>IFERROR(INDEX(tblDeviceConfig[Neuron Hostname],ROW()-1),"")</f>
      </c>
      <c r="G281">
        <f>IFERROR(INDEX(tblDeviceConfig[Software List],ROW()-1),"")</f>
      </c>
      <c r="H281">
        <f>IFERROR(INDEX(tblDeviceConfig[PI_Use_Case],ROW()-1),"")</f>
      </c>
      <c r="I281">
        <f>IFERROR(INDEX(tblDeviceConfig[PI_Result],ROW()-1),"")</f>
      </c>
      <c r="J281">
        <f>IFERROR(INDEX(tblDeviceConfig[PI_Validated_By],ROW()-1),"")</f>
      </c>
      <c r="K281">
        <f>IFERROR(INDEX(tblDeviceConfig[PI_Validated_Date],ROW()-1),"")</f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</c>
      <c r="C282">
        <f>IFERROR(INDEX(tblDeviceConfig[Deployed],ROW()-1),"")</f>
      </c>
      <c r="D282">
        <f>IFERROR(INDEX(tblDeviceConfig[Installed],ROW()-1),"")</f>
      </c>
      <c r="E282">
        <f>IFERROR(INDEX(tblDeviceConfig[Cybernet Hostname],ROW()-1),"")</f>
      </c>
      <c r="F282">
        <f>IFERROR(INDEX(tblDeviceConfig[Neuron Hostname],ROW()-1),"")</f>
      </c>
      <c r="G282">
        <f>IFERROR(INDEX(tblDeviceConfig[Software List],ROW()-1),"")</f>
      </c>
      <c r="H282">
        <f>IFERROR(INDEX(tblDeviceConfig[PI_Use_Case],ROW()-1),"")</f>
      </c>
      <c r="I282">
        <f>IFERROR(INDEX(tblDeviceConfig[PI_Result],ROW()-1),"")</f>
      </c>
      <c r="J282">
        <f>IFERROR(INDEX(tblDeviceConfig[PI_Validated_By],ROW()-1),"")</f>
      </c>
      <c r="K282">
        <f>IFERROR(INDEX(tblDeviceConfig[PI_Validated_Date],ROW()-1),"")</f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</c>
      <c r="C283">
        <f>IFERROR(INDEX(tblDeviceConfig[Deployed],ROW()-1),"")</f>
      </c>
      <c r="D283">
        <f>IFERROR(INDEX(tblDeviceConfig[Installed],ROW()-1),"")</f>
      </c>
      <c r="E283">
        <f>IFERROR(INDEX(tblDeviceConfig[Cybernet Hostname],ROW()-1),"")</f>
      </c>
      <c r="F283">
        <f>IFERROR(INDEX(tblDeviceConfig[Neuron Hostname],ROW()-1),"")</f>
      </c>
      <c r="G283">
        <f>IFERROR(INDEX(tblDeviceConfig[Software List],ROW()-1),"")</f>
      </c>
      <c r="H283">
        <f>IFERROR(INDEX(tblDeviceConfig[PI_Use_Case],ROW()-1),"")</f>
      </c>
      <c r="I283">
        <f>IFERROR(INDEX(tblDeviceConfig[PI_Result],ROW()-1),"")</f>
      </c>
      <c r="J283">
        <f>IFERROR(INDEX(tblDeviceConfig[PI_Validated_By],ROW()-1),"")</f>
      </c>
      <c r="K283">
        <f>IFERROR(INDEX(tblDeviceConfig[PI_Validated_Date],ROW()-1),"")</f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</c>
      <c r="C284">
        <f>IFERROR(INDEX(tblDeviceConfig[Deployed],ROW()-1),"")</f>
      </c>
      <c r="D284">
        <f>IFERROR(INDEX(tblDeviceConfig[Installed],ROW()-1),"")</f>
      </c>
      <c r="E284">
        <f>IFERROR(INDEX(tblDeviceConfig[Cybernet Hostname],ROW()-1),"")</f>
      </c>
      <c r="F284">
        <f>IFERROR(INDEX(tblDeviceConfig[Neuron Hostname],ROW()-1),"")</f>
      </c>
      <c r="G284">
        <f>IFERROR(INDEX(tblDeviceConfig[Software List],ROW()-1),"")</f>
      </c>
      <c r="H284">
        <f>IFERROR(INDEX(tblDeviceConfig[PI_Use_Case],ROW()-1),"")</f>
      </c>
      <c r="I284">
        <f>IFERROR(INDEX(tblDeviceConfig[PI_Result],ROW()-1),"")</f>
      </c>
      <c r="J284">
        <f>IFERROR(INDEX(tblDeviceConfig[PI_Validated_By],ROW()-1),"")</f>
      </c>
      <c r="K284">
        <f>IFERROR(INDEX(tblDeviceConfig[PI_Validated_Date],ROW()-1),"")</f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</c>
      <c r="C285">
        <f>IFERROR(INDEX(tblDeviceConfig[Deployed],ROW()-1),"")</f>
      </c>
      <c r="D285">
        <f>IFERROR(INDEX(tblDeviceConfig[Installed],ROW()-1),"")</f>
      </c>
      <c r="E285">
        <f>IFERROR(INDEX(tblDeviceConfig[Cybernet Hostname],ROW()-1),"")</f>
      </c>
      <c r="F285">
        <f>IFERROR(INDEX(tblDeviceConfig[Neuron Hostname],ROW()-1),"")</f>
      </c>
      <c r="G285">
        <f>IFERROR(INDEX(tblDeviceConfig[Software List],ROW()-1),"")</f>
      </c>
      <c r="H285">
        <f>IFERROR(INDEX(tblDeviceConfig[PI_Use_Case],ROW()-1),"")</f>
      </c>
      <c r="I285">
        <f>IFERROR(INDEX(tblDeviceConfig[PI_Result],ROW()-1),"")</f>
      </c>
      <c r="J285">
        <f>IFERROR(INDEX(tblDeviceConfig[PI_Validated_By],ROW()-1),"")</f>
      </c>
      <c r="K285">
        <f>IFERROR(INDEX(tblDeviceConfig[PI_Validated_Date],ROW()-1),"")</f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</c>
      <c r="C286">
        <f>IFERROR(INDEX(tblDeviceConfig[Deployed],ROW()-1),"")</f>
      </c>
      <c r="D286">
        <f>IFERROR(INDEX(tblDeviceConfig[Installed],ROW()-1),"")</f>
      </c>
      <c r="E286">
        <f>IFERROR(INDEX(tblDeviceConfig[Cybernet Hostname],ROW()-1),"")</f>
      </c>
      <c r="F286">
        <f>IFERROR(INDEX(tblDeviceConfig[Neuron Hostname],ROW()-1),"")</f>
      </c>
      <c r="G286">
        <f>IFERROR(INDEX(tblDeviceConfig[Software List],ROW()-1),"")</f>
      </c>
      <c r="H286">
        <f>IFERROR(INDEX(tblDeviceConfig[PI_Use_Case],ROW()-1),"")</f>
      </c>
      <c r="I286">
        <f>IFERROR(INDEX(tblDeviceConfig[PI_Result],ROW()-1),"")</f>
      </c>
      <c r="J286">
        <f>IFERROR(INDEX(tblDeviceConfig[PI_Validated_By],ROW()-1),"")</f>
      </c>
      <c r="K286">
        <f>IFERROR(INDEX(tblDeviceConfig[PI_Validated_Date],ROW()-1),"")</f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</c>
      <c r="C287">
        <f>IFERROR(INDEX(tblDeviceConfig[Deployed],ROW()-1),"")</f>
      </c>
      <c r="D287">
        <f>IFERROR(INDEX(tblDeviceConfig[Installed],ROW()-1),"")</f>
      </c>
      <c r="E287">
        <f>IFERROR(INDEX(tblDeviceConfig[Cybernet Hostname],ROW()-1),"")</f>
      </c>
      <c r="F287">
        <f>IFERROR(INDEX(tblDeviceConfig[Neuron Hostname],ROW()-1),"")</f>
      </c>
      <c r="G287">
        <f>IFERROR(INDEX(tblDeviceConfig[Software List],ROW()-1),"")</f>
      </c>
      <c r="H287">
        <f>IFERROR(INDEX(tblDeviceConfig[PI_Use_Case],ROW()-1),"")</f>
      </c>
      <c r="I287">
        <f>IFERROR(INDEX(tblDeviceConfig[PI_Result],ROW()-1),"")</f>
      </c>
      <c r="J287">
        <f>IFERROR(INDEX(tblDeviceConfig[PI_Validated_By],ROW()-1),"")</f>
      </c>
      <c r="K287">
        <f>IFERROR(INDEX(tblDeviceConfig[PI_Validated_Date],ROW()-1),"")</f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</c>
      <c r="C288">
        <f>IFERROR(INDEX(tblDeviceConfig[Deployed],ROW()-1),"")</f>
      </c>
      <c r="D288">
        <f>IFERROR(INDEX(tblDeviceConfig[Installed],ROW()-1),"")</f>
      </c>
      <c r="E288">
        <f>IFERROR(INDEX(tblDeviceConfig[Cybernet Hostname],ROW()-1),"")</f>
      </c>
      <c r="F288">
        <f>IFERROR(INDEX(tblDeviceConfig[Neuron Hostname],ROW()-1),"")</f>
      </c>
      <c r="G288">
        <f>IFERROR(INDEX(tblDeviceConfig[Software List],ROW()-1),"")</f>
      </c>
      <c r="H288">
        <f>IFERROR(INDEX(tblDeviceConfig[PI_Use_Case],ROW()-1),"")</f>
      </c>
      <c r="I288">
        <f>IFERROR(INDEX(tblDeviceConfig[PI_Result],ROW()-1),"")</f>
      </c>
      <c r="J288">
        <f>IFERROR(INDEX(tblDeviceConfig[PI_Validated_By],ROW()-1),"")</f>
      </c>
      <c r="K288">
        <f>IFERROR(INDEX(tblDeviceConfig[PI_Validated_Date],ROW()-1),"")</f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</c>
      <c r="C289">
        <f>IFERROR(INDEX(tblDeviceConfig[Deployed],ROW()-1),"")</f>
      </c>
      <c r="D289">
        <f>IFERROR(INDEX(tblDeviceConfig[Installed],ROW()-1),"")</f>
      </c>
      <c r="E289">
        <f>IFERROR(INDEX(tblDeviceConfig[Cybernet Hostname],ROW()-1),"")</f>
      </c>
      <c r="F289">
        <f>IFERROR(INDEX(tblDeviceConfig[Neuron Hostname],ROW()-1),"")</f>
      </c>
      <c r="G289">
        <f>IFERROR(INDEX(tblDeviceConfig[Software List],ROW()-1),"")</f>
      </c>
      <c r="H289">
        <f>IFERROR(INDEX(tblDeviceConfig[PI_Use_Case],ROW()-1),"")</f>
      </c>
      <c r="I289">
        <f>IFERROR(INDEX(tblDeviceConfig[PI_Result],ROW()-1),"")</f>
      </c>
      <c r="J289">
        <f>IFERROR(INDEX(tblDeviceConfig[PI_Validated_By],ROW()-1),"")</f>
      </c>
      <c r="K289">
        <f>IFERROR(INDEX(tblDeviceConfig[PI_Validated_Date],ROW()-1),"")</f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</c>
      <c r="C290">
        <f>IFERROR(INDEX(tblDeviceConfig[Deployed],ROW()-1),"")</f>
      </c>
      <c r="D290">
        <f>IFERROR(INDEX(tblDeviceConfig[Installed],ROW()-1),"")</f>
      </c>
      <c r="E290">
        <f>IFERROR(INDEX(tblDeviceConfig[Cybernet Hostname],ROW()-1),"")</f>
      </c>
      <c r="F290">
        <f>IFERROR(INDEX(tblDeviceConfig[Neuron Hostname],ROW()-1),"")</f>
      </c>
      <c r="G290">
        <f>IFERROR(INDEX(tblDeviceConfig[Software List],ROW()-1),"")</f>
      </c>
      <c r="H290">
        <f>IFERROR(INDEX(tblDeviceConfig[PI_Use_Case],ROW()-1),"")</f>
      </c>
      <c r="I290">
        <f>IFERROR(INDEX(tblDeviceConfig[PI_Result],ROW()-1),"")</f>
      </c>
      <c r="J290">
        <f>IFERROR(INDEX(tblDeviceConfig[PI_Validated_By],ROW()-1),"")</f>
      </c>
      <c r="K290">
        <f>IFERROR(INDEX(tblDeviceConfig[PI_Validated_Date],ROW()-1),"")</f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</c>
      <c r="C291">
        <f>IFERROR(INDEX(tblDeviceConfig[Deployed],ROW()-1),"")</f>
      </c>
      <c r="D291">
        <f>IFERROR(INDEX(tblDeviceConfig[Installed],ROW()-1),"")</f>
      </c>
      <c r="E291">
        <f>IFERROR(INDEX(tblDeviceConfig[Cybernet Hostname],ROW()-1),"")</f>
      </c>
      <c r="F291">
        <f>IFERROR(INDEX(tblDeviceConfig[Neuron Hostname],ROW()-1),"")</f>
      </c>
      <c r="G291">
        <f>IFERROR(INDEX(tblDeviceConfig[Software List],ROW()-1),"")</f>
      </c>
      <c r="H291">
        <f>IFERROR(INDEX(tblDeviceConfig[PI_Use_Case],ROW()-1),"")</f>
      </c>
      <c r="I291">
        <f>IFERROR(INDEX(tblDeviceConfig[PI_Result],ROW()-1),"")</f>
      </c>
      <c r="J291">
        <f>IFERROR(INDEX(tblDeviceConfig[PI_Validated_By],ROW()-1),"")</f>
      </c>
      <c r="K291">
        <f>IFERROR(INDEX(tblDeviceConfig[PI_Validated_Date],ROW()-1),"")</f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</c>
      <c r="C292">
        <f>IFERROR(INDEX(tblDeviceConfig[Deployed],ROW()-1),"")</f>
      </c>
      <c r="D292">
        <f>IFERROR(INDEX(tblDeviceConfig[Installed],ROW()-1),"")</f>
      </c>
      <c r="E292">
        <f>IFERROR(INDEX(tblDeviceConfig[Cybernet Hostname],ROW()-1),"")</f>
      </c>
      <c r="F292">
        <f>IFERROR(INDEX(tblDeviceConfig[Neuron Hostname],ROW()-1),"")</f>
      </c>
      <c r="G292">
        <f>IFERROR(INDEX(tblDeviceConfig[Software List],ROW()-1),"")</f>
      </c>
      <c r="H292">
        <f>IFERROR(INDEX(tblDeviceConfig[PI_Use_Case],ROW()-1),"")</f>
      </c>
      <c r="I292">
        <f>IFERROR(INDEX(tblDeviceConfig[PI_Result],ROW()-1),"")</f>
      </c>
      <c r="J292">
        <f>IFERROR(INDEX(tblDeviceConfig[PI_Validated_By],ROW()-1),"")</f>
      </c>
      <c r="K292">
        <f>IFERROR(INDEX(tblDeviceConfig[PI_Validated_Date],ROW()-1),"")</f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</c>
      <c r="C293">
        <f>IFERROR(INDEX(tblDeviceConfig[Deployed],ROW()-1),"")</f>
      </c>
      <c r="D293">
        <f>IFERROR(INDEX(tblDeviceConfig[Installed],ROW()-1),"")</f>
      </c>
      <c r="E293">
        <f>IFERROR(INDEX(tblDeviceConfig[Cybernet Hostname],ROW()-1),"")</f>
      </c>
      <c r="F293">
        <f>IFERROR(INDEX(tblDeviceConfig[Neuron Hostname],ROW()-1),"")</f>
      </c>
      <c r="G293">
        <f>IFERROR(INDEX(tblDeviceConfig[Software List],ROW()-1),"")</f>
      </c>
      <c r="H293">
        <f>IFERROR(INDEX(tblDeviceConfig[PI_Use_Case],ROW()-1),"")</f>
      </c>
      <c r="I293">
        <f>IFERROR(INDEX(tblDeviceConfig[PI_Result],ROW()-1),"")</f>
      </c>
      <c r="J293">
        <f>IFERROR(INDEX(tblDeviceConfig[PI_Validated_By],ROW()-1),"")</f>
      </c>
      <c r="K293">
        <f>IFERROR(INDEX(tblDeviceConfig[PI_Validated_Date],ROW()-1),"")</f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</c>
      <c r="C294">
        <f>IFERROR(INDEX(tblDeviceConfig[Deployed],ROW()-1),"")</f>
      </c>
      <c r="D294">
        <f>IFERROR(INDEX(tblDeviceConfig[Installed],ROW()-1),"")</f>
      </c>
      <c r="E294">
        <f>IFERROR(INDEX(tblDeviceConfig[Cybernet Hostname],ROW()-1),"")</f>
      </c>
      <c r="F294">
        <f>IFERROR(INDEX(tblDeviceConfig[Neuron Hostname],ROW()-1),"")</f>
      </c>
      <c r="G294">
        <f>IFERROR(INDEX(tblDeviceConfig[Software List],ROW()-1),"")</f>
      </c>
      <c r="H294">
        <f>IFERROR(INDEX(tblDeviceConfig[PI_Use_Case],ROW()-1),"")</f>
      </c>
      <c r="I294">
        <f>IFERROR(INDEX(tblDeviceConfig[PI_Result],ROW()-1),"")</f>
      </c>
      <c r="J294">
        <f>IFERROR(INDEX(tblDeviceConfig[PI_Validated_By],ROW()-1),"")</f>
      </c>
      <c r="K294">
        <f>IFERROR(INDEX(tblDeviceConfig[PI_Validated_Date],ROW()-1),"")</f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</c>
      <c r="C295">
        <f>IFERROR(INDEX(tblDeviceConfig[Deployed],ROW()-1),"")</f>
      </c>
      <c r="D295">
        <f>IFERROR(INDEX(tblDeviceConfig[Installed],ROW()-1),"")</f>
      </c>
      <c r="E295">
        <f>IFERROR(INDEX(tblDeviceConfig[Cybernet Hostname],ROW()-1),"")</f>
      </c>
      <c r="F295">
        <f>IFERROR(INDEX(tblDeviceConfig[Neuron Hostname],ROW()-1),"")</f>
      </c>
      <c r="G295">
        <f>IFERROR(INDEX(tblDeviceConfig[Software List],ROW()-1),"")</f>
      </c>
      <c r="H295">
        <f>IFERROR(INDEX(tblDeviceConfig[PI_Use_Case],ROW()-1),"")</f>
      </c>
      <c r="I295">
        <f>IFERROR(INDEX(tblDeviceConfig[PI_Result],ROW()-1),"")</f>
      </c>
      <c r="J295">
        <f>IFERROR(INDEX(tblDeviceConfig[PI_Validated_By],ROW()-1),"")</f>
      </c>
      <c r="K295">
        <f>IFERROR(INDEX(tblDeviceConfig[PI_Validated_Date],ROW()-1),"")</f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</c>
      <c r="C296">
        <f>IFERROR(INDEX(tblDeviceConfig[Deployed],ROW()-1),"")</f>
      </c>
      <c r="D296">
        <f>IFERROR(INDEX(tblDeviceConfig[Installed],ROW()-1),"")</f>
      </c>
      <c r="E296">
        <f>IFERROR(INDEX(tblDeviceConfig[Cybernet Hostname],ROW()-1),"")</f>
      </c>
      <c r="F296">
        <f>IFERROR(INDEX(tblDeviceConfig[Neuron Hostname],ROW()-1),"")</f>
      </c>
      <c r="G296">
        <f>IFERROR(INDEX(tblDeviceConfig[Software List],ROW()-1),"")</f>
      </c>
      <c r="H296">
        <f>IFERROR(INDEX(tblDeviceConfig[PI_Use_Case],ROW()-1),"")</f>
      </c>
      <c r="I296">
        <f>IFERROR(INDEX(tblDeviceConfig[PI_Result],ROW()-1),"")</f>
      </c>
      <c r="J296">
        <f>IFERROR(INDEX(tblDeviceConfig[PI_Validated_By],ROW()-1),"")</f>
      </c>
      <c r="K296">
        <f>IFERROR(INDEX(tblDeviceConfig[PI_Validated_Date],ROW()-1),"")</f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</c>
      <c r="C297">
        <f>IFERROR(INDEX(tblDeviceConfig[Deployed],ROW()-1),"")</f>
      </c>
      <c r="D297">
        <f>IFERROR(INDEX(tblDeviceConfig[Installed],ROW()-1),"")</f>
      </c>
      <c r="E297">
        <f>IFERROR(INDEX(tblDeviceConfig[Cybernet Hostname],ROW()-1),"")</f>
      </c>
      <c r="F297">
        <f>IFERROR(INDEX(tblDeviceConfig[Neuron Hostname],ROW()-1),"")</f>
      </c>
      <c r="G297">
        <f>IFERROR(INDEX(tblDeviceConfig[Software List],ROW()-1),"")</f>
      </c>
      <c r="H297">
        <f>IFERROR(INDEX(tblDeviceConfig[PI_Use_Case],ROW()-1),"")</f>
      </c>
      <c r="I297">
        <f>IFERROR(INDEX(tblDeviceConfig[PI_Result],ROW()-1),"")</f>
      </c>
      <c r="J297">
        <f>IFERROR(INDEX(tblDeviceConfig[PI_Validated_By],ROW()-1),"")</f>
      </c>
      <c r="K297">
        <f>IFERROR(INDEX(tblDeviceConfig[PI_Validated_Date],ROW()-1),"")</f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</c>
      <c r="C298">
        <f>IFERROR(INDEX(tblDeviceConfig[Deployed],ROW()-1),"")</f>
      </c>
      <c r="D298">
        <f>IFERROR(INDEX(tblDeviceConfig[Installed],ROW()-1),"")</f>
      </c>
      <c r="E298">
        <f>IFERROR(INDEX(tblDeviceConfig[Cybernet Hostname],ROW()-1),"")</f>
      </c>
      <c r="F298">
        <f>IFERROR(INDEX(tblDeviceConfig[Neuron Hostname],ROW()-1),"")</f>
      </c>
      <c r="G298">
        <f>IFERROR(INDEX(tblDeviceConfig[Software List],ROW()-1),"")</f>
      </c>
      <c r="H298">
        <f>IFERROR(INDEX(tblDeviceConfig[PI_Use_Case],ROW()-1),"")</f>
      </c>
      <c r="I298">
        <f>IFERROR(INDEX(tblDeviceConfig[PI_Result],ROW()-1),"")</f>
      </c>
      <c r="J298">
        <f>IFERROR(INDEX(tblDeviceConfig[PI_Validated_By],ROW()-1),"")</f>
      </c>
      <c r="K298">
        <f>IFERROR(INDEX(tblDeviceConfig[PI_Validated_Date],ROW()-1),"")</f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</c>
      <c r="C299">
        <f>IFERROR(INDEX(tblDeviceConfig[Deployed],ROW()-1),"")</f>
      </c>
      <c r="D299">
        <f>IFERROR(INDEX(tblDeviceConfig[Installed],ROW()-1),"")</f>
      </c>
      <c r="E299">
        <f>IFERROR(INDEX(tblDeviceConfig[Cybernet Hostname],ROW()-1),"")</f>
      </c>
      <c r="F299">
        <f>IFERROR(INDEX(tblDeviceConfig[Neuron Hostname],ROW()-1),"")</f>
      </c>
      <c r="G299">
        <f>IFERROR(INDEX(tblDeviceConfig[Software List],ROW()-1),"")</f>
      </c>
      <c r="H299">
        <f>IFERROR(INDEX(tblDeviceConfig[PI_Use_Case],ROW()-1),"")</f>
      </c>
      <c r="I299">
        <f>IFERROR(INDEX(tblDeviceConfig[PI_Result],ROW()-1),"")</f>
      </c>
      <c r="J299">
        <f>IFERROR(INDEX(tblDeviceConfig[PI_Validated_By],ROW()-1),"")</f>
      </c>
      <c r="K299">
        <f>IFERROR(INDEX(tblDeviceConfig[PI_Validated_Date],ROW()-1),"")</f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</c>
      <c r="C300">
        <f>IFERROR(INDEX(tblDeviceConfig[Deployed],ROW()-1),"")</f>
      </c>
      <c r="D300">
        <f>IFERROR(INDEX(tblDeviceConfig[Installed],ROW()-1),"")</f>
      </c>
      <c r="E300">
        <f>IFERROR(INDEX(tblDeviceConfig[Cybernet Hostname],ROW()-1),"")</f>
      </c>
      <c r="F300">
        <f>IFERROR(INDEX(tblDeviceConfig[Neuron Hostname],ROW()-1),"")</f>
      </c>
      <c r="G300">
        <f>IFERROR(INDEX(tblDeviceConfig[Software List],ROW()-1),"")</f>
      </c>
      <c r="H300">
        <f>IFERROR(INDEX(tblDeviceConfig[PI_Use_Case],ROW()-1),"")</f>
      </c>
      <c r="I300">
        <f>IFERROR(INDEX(tblDeviceConfig[PI_Result],ROW()-1),"")</f>
      </c>
      <c r="J300">
        <f>IFERROR(INDEX(tblDeviceConfig[PI_Validated_By],ROW()-1),"")</f>
      </c>
      <c r="K300">
        <f>IFERROR(INDEX(tblDeviceConfig[PI_Validated_Date],ROW()-1),"")</f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</c>
      <c r="C301">
        <f>IFERROR(INDEX(tblDeviceConfig[Deployed],ROW()-1),"")</f>
      </c>
      <c r="D301">
        <f>IFERROR(INDEX(tblDeviceConfig[Installed],ROW()-1),"")</f>
      </c>
      <c r="E301">
        <f>IFERROR(INDEX(tblDeviceConfig[Cybernet Hostname],ROW()-1),"")</f>
      </c>
      <c r="F301">
        <f>IFERROR(INDEX(tblDeviceConfig[Neuron Hostname],ROW()-1),"")</f>
      </c>
      <c r="G301">
        <f>IFERROR(INDEX(tblDeviceConfig[Software List],ROW()-1),"")</f>
      </c>
      <c r="H301">
        <f>IFERROR(INDEX(tblDeviceConfig[PI_Use_Case],ROW()-1),"")</f>
      </c>
      <c r="I301">
        <f>IFERROR(INDEX(tblDeviceConfig[PI_Result],ROW()-1),"")</f>
      </c>
      <c r="J301">
        <f>IFERROR(INDEX(tblDeviceConfig[PI_Validated_By],ROW()-1),"")</f>
      </c>
      <c r="K301">
        <f>IFERROR(INDEX(tblDeviceConfig[PI_Validated_Date],ROW()-1),"")</f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</c>
      <c r="C302">
        <f>IFERROR(INDEX(tblDeviceConfig[Deployed],ROW()-1),"")</f>
      </c>
      <c r="D302">
        <f>IFERROR(INDEX(tblDeviceConfig[Installed],ROW()-1),"")</f>
      </c>
      <c r="E302">
        <f>IFERROR(INDEX(tblDeviceConfig[Cybernet Hostname],ROW()-1),"")</f>
      </c>
      <c r="F302">
        <f>IFERROR(INDEX(tblDeviceConfig[Neuron Hostname],ROW()-1),"")</f>
      </c>
      <c r="G302">
        <f>IFERROR(INDEX(tblDeviceConfig[Software List],ROW()-1),"")</f>
      </c>
      <c r="H302">
        <f>IFERROR(INDEX(tblDeviceConfig[PI_Use_Case],ROW()-1),"")</f>
      </c>
      <c r="I302">
        <f>IFERROR(INDEX(tblDeviceConfig[PI_Result],ROW()-1),"")</f>
      </c>
      <c r="J302">
        <f>IFERROR(INDEX(tblDeviceConfig[PI_Validated_By],ROW()-1),"")</f>
      </c>
      <c r="K302">
        <f>IFERROR(INDEX(tblDeviceConfig[PI_Validated_Date],ROW()-1),"")</f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</c>
      <c r="C303">
        <f>IFERROR(INDEX(tblDeviceConfig[Deployed],ROW()-1),"")</f>
      </c>
      <c r="D303">
        <f>IFERROR(INDEX(tblDeviceConfig[Installed],ROW()-1),"")</f>
      </c>
      <c r="E303">
        <f>IFERROR(INDEX(tblDeviceConfig[Cybernet Hostname],ROW()-1),"")</f>
      </c>
      <c r="F303">
        <f>IFERROR(INDEX(tblDeviceConfig[Neuron Hostname],ROW()-1),"")</f>
      </c>
      <c r="G303">
        <f>IFERROR(INDEX(tblDeviceConfig[Software List],ROW()-1),"")</f>
      </c>
      <c r="H303">
        <f>IFERROR(INDEX(tblDeviceConfig[PI_Use_Case],ROW()-1),"")</f>
      </c>
      <c r="I303">
        <f>IFERROR(INDEX(tblDeviceConfig[PI_Result],ROW()-1),"")</f>
      </c>
      <c r="J303">
        <f>IFERROR(INDEX(tblDeviceConfig[PI_Validated_By],ROW()-1),"")</f>
      </c>
      <c r="K303">
        <f>IFERROR(INDEX(tblDeviceConfig[PI_Validated_Date],ROW()-1),"")</f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</c>
      <c r="C304">
        <f>IFERROR(INDEX(tblDeviceConfig[Deployed],ROW()-1),"")</f>
      </c>
      <c r="D304">
        <f>IFERROR(INDEX(tblDeviceConfig[Installed],ROW()-1),"")</f>
      </c>
      <c r="E304">
        <f>IFERROR(INDEX(tblDeviceConfig[Cybernet Hostname],ROW()-1),"")</f>
      </c>
      <c r="F304">
        <f>IFERROR(INDEX(tblDeviceConfig[Neuron Hostname],ROW()-1),"")</f>
      </c>
      <c r="G304">
        <f>IFERROR(INDEX(tblDeviceConfig[Software List],ROW()-1),"")</f>
      </c>
      <c r="H304">
        <f>IFERROR(INDEX(tblDeviceConfig[PI_Use_Case],ROW()-1),"")</f>
      </c>
      <c r="I304">
        <f>IFERROR(INDEX(tblDeviceConfig[PI_Result],ROW()-1),"")</f>
      </c>
      <c r="J304">
        <f>IFERROR(INDEX(tblDeviceConfig[PI_Validated_By],ROW()-1),"")</f>
      </c>
      <c r="K304">
        <f>IFERROR(INDEX(tblDeviceConfig[PI_Validated_Date],ROW()-1),"")</f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</c>
      <c r="C305">
        <f>IFERROR(INDEX(tblDeviceConfig[Deployed],ROW()-1),"")</f>
      </c>
      <c r="D305">
        <f>IFERROR(INDEX(tblDeviceConfig[Installed],ROW()-1),"")</f>
      </c>
      <c r="E305">
        <f>IFERROR(INDEX(tblDeviceConfig[Cybernet Hostname],ROW()-1),"")</f>
      </c>
      <c r="F305">
        <f>IFERROR(INDEX(tblDeviceConfig[Neuron Hostname],ROW()-1),"")</f>
      </c>
      <c r="G305">
        <f>IFERROR(INDEX(tblDeviceConfig[Software List],ROW()-1),"")</f>
      </c>
      <c r="H305">
        <f>IFERROR(INDEX(tblDeviceConfig[PI_Use_Case],ROW()-1),"")</f>
      </c>
      <c r="I305">
        <f>IFERROR(INDEX(tblDeviceConfig[PI_Result],ROW()-1),"")</f>
      </c>
      <c r="J305">
        <f>IFERROR(INDEX(tblDeviceConfig[PI_Validated_By],ROW()-1),"")</f>
      </c>
      <c r="K305">
        <f>IFERROR(INDEX(tblDeviceConfig[PI_Validated_Date],ROW()-1),"")</f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</c>
      <c r="C306">
        <f>IFERROR(INDEX(tblDeviceConfig[Deployed],ROW()-1),"")</f>
      </c>
      <c r="D306">
        <f>IFERROR(INDEX(tblDeviceConfig[Installed],ROW()-1),"")</f>
      </c>
      <c r="E306">
        <f>IFERROR(INDEX(tblDeviceConfig[Cybernet Hostname],ROW()-1),"")</f>
      </c>
      <c r="F306">
        <f>IFERROR(INDEX(tblDeviceConfig[Neuron Hostname],ROW()-1),"")</f>
      </c>
      <c r="G306">
        <f>IFERROR(INDEX(tblDeviceConfig[Software List],ROW()-1),"")</f>
      </c>
      <c r="H306">
        <f>IFERROR(INDEX(tblDeviceConfig[PI_Use_Case],ROW()-1),"")</f>
      </c>
      <c r="I306">
        <f>IFERROR(INDEX(tblDeviceConfig[PI_Result],ROW()-1),"")</f>
      </c>
      <c r="J306">
        <f>IFERROR(INDEX(tblDeviceConfig[PI_Validated_By],ROW()-1),"")</f>
      </c>
      <c r="K306">
        <f>IFERROR(INDEX(tblDeviceConfig[PI_Validated_Date],ROW()-1),"")</f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</c>
      <c r="C307">
        <f>IFERROR(INDEX(tblDeviceConfig[Deployed],ROW()-1),"")</f>
      </c>
      <c r="D307">
        <f>IFERROR(INDEX(tblDeviceConfig[Installed],ROW()-1),"")</f>
      </c>
      <c r="E307">
        <f>IFERROR(INDEX(tblDeviceConfig[Cybernet Hostname],ROW()-1),"")</f>
      </c>
      <c r="F307">
        <f>IFERROR(INDEX(tblDeviceConfig[Neuron Hostname],ROW()-1),"")</f>
      </c>
      <c r="G307">
        <f>IFERROR(INDEX(tblDeviceConfig[Software List],ROW()-1),"")</f>
      </c>
      <c r="H307">
        <f>IFERROR(INDEX(tblDeviceConfig[PI_Use_Case],ROW()-1),"")</f>
      </c>
      <c r="I307">
        <f>IFERROR(INDEX(tblDeviceConfig[PI_Result],ROW()-1),"")</f>
      </c>
      <c r="J307">
        <f>IFERROR(INDEX(tblDeviceConfig[PI_Validated_By],ROW()-1),"")</f>
      </c>
      <c r="K307">
        <f>IFERROR(INDEX(tblDeviceConfig[PI_Validated_Date],ROW()-1),"")</f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</c>
      <c r="C308">
        <f>IFERROR(INDEX(tblDeviceConfig[Deployed],ROW()-1),"")</f>
      </c>
      <c r="D308">
        <f>IFERROR(INDEX(tblDeviceConfig[Installed],ROW()-1),"")</f>
      </c>
      <c r="E308">
        <f>IFERROR(INDEX(tblDeviceConfig[Cybernet Hostname],ROW()-1),"")</f>
      </c>
      <c r="F308">
        <f>IFERROR(INDEX(tblDeviceConfig[Neuron Hostname],ROW()-1),"")</f>
      </c>
      <c r="G308">
        <f>IFERROR(INDEX(tblDeviceConfig[Software List],ROW()-1),"")</f>
      </c>
      <c r="H308">
        <f>IFERROR(INDEX(tblDeviceConfig[PI_Use_Case],ROW()-1),"")</f>
      </c>
      <c r="I308">
        <f>IFERROR(INDEX(tblDeviceConfig[PI_Result],ROW()-1),"")</f>
      </c>
      <c r="J308">
        <f>IFERROR(INDEX(tblDeviceConfig[PI_Validated_By],ROW()-1),"")</f>
      </c>
      <c r="K308">
        <f>IFERROR(INDEX(tblDeviceConfig[PI_Validated_Date],ROW()-1),"")</f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</c>
      <c r="C309">
        <f>IFERROR(INDEX(tblDeviceConfig[Deployed],ROW()-1),"")</f>
      </c>
      <c r="D309">
        <f>IFERROR(INDEX(tblDeviceConfig[Installed],ROW()-1),"")</f>
      </c>
      <c r="E309">
        <f>IFERROR(INDEX(tblDeviceConfig[Cybernet Hostname],ROW()-1),"")</f>
      </c>
      <c r="F309">
        <f>IFERROR(INDEX(tblDeviceConfig[Neuron Hostname],ROW()-1),"")</f>
      </c>
      <c r="G309">
        <f>IFERROR(INDEX(tblDeviceConfig[Software List],ROW()-1),"")</f>
      </c>
      <c r="H309">
        <f>IFERROR(INDEX(tblDeviceConfig[PI_Use_Case],ROW()-1),"")</f>
      </c>
      <c r="I309">
        <f>IFERROR(INDEX(tblDeviceConfig[PI_Result],ROW()-1),"")</f>
      </c>
      <c r="J309">
        <f>IFERROR(INDEX(tblDeviceConfig[PI_Validated_By],ROW()-1),"")</f>
      </c>
      <c r="K309">
        <f>IFERROR(INDEX(tblDeviceConfig[PI_Validated_Date],ROW()-1),"")</f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</c>
      <c r="C310">
        <f>IFERROR(INDEX(tblDeviceConfig[Deployed],ROW()-1),"")</f>
      </c>
      <c r="D310">
        <f>IFERROR(INDEX(tblDeviceConfig[Installed],ROW()-1),"")</f>
      </c>
      <c r="E310">
        <f>IFERROR(INDEX(tblDeviceConfig[Cybernet Hostname],ROW()-1),"")</f>
      </c>
      <c r="F310">
        <f>IFERROR(INDEX(tblDeviceConfig[Neuron Hostname],ROW()-1),"")</f>
      </c>
      <c r="G310">
        <f>IFERROR(INDEX(tblDeviceConfig[Software List],ROW()-1),"")</f>
      </c>
      <c r="H310">
        <f>IFERROR(INDEX(tblDeviceConfig[PI_Use_Case],ROW()-1),"")</f>
      </c>
      <c r="I310">
        <f>IFERROR(INDEX(tblDeviceConfig[PI_Result],ROW()-1),"")</f>
      </c>
      <c r="J310">
        <f>IFERROR(INDEX(tblDeviceConfig[PI_Validated_By],ROW()-1),"")</f>
      </c>
      <c r="K310">
        <f>IFERROR(INDEX(tblDeviceConfig[PI_Validated_Date],ROW()-1),"")</f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</c>
      <c r="C311">
        <f>IFERROR(INDEX(tblDeviceConfig[Deployed],ROW()-1),"")</f>
      </c>
      <c r="D311">
        <f>IFERROR(INDEX(tblDeviceConfig[Installed],ROW()-1),"")</f>
      </c>
      <c r="E311">
        <f>IFERROR(INDEX(tblDeviceConfig[Cybernet Hostname],ROW()-1),"")</f>
      </c>
      <c r="F311">
        <f>IFERROR(INDEX(tblDeviceConfig[Neuron Hostname],ROW()-1),"")</f>
      </c>
      <c r="G311">
        <f>IFERROR(INDEX(tblDeviceConfig[Software List],ROW()-1),"")</f>
      </c>
      <c r="H311">
        <f>IFERROR(INDEX(tblDeviceConfig[PI_Use_Case],ROW()-1),"")</f>
      </c>
      <c r="I311">
        <f>IFERROR(INDEX(tblDeviceConfig[PI_Result],ROW()-1),"")</f>
      </c>
      <c r="J311">
        <f>IFERROR(INDEX(tblDeviceConfig[PI_Validated_By],ROW()-1),"")</f>
      </c>
      <c r="K311">
        <f>IFERROR(INDEX(tblDeviceConfig[PI_Validated_Date],ROW()-1),"")</f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</c>
      <c r="C312">
        <f>IFERROR(INDEX(tblDeviceConfig[Deployed],ROW()-1),"")</f>
      </c>
      <c r="D312">
        <f>IFERROR(INDEX(tblDeviceConfig[Installed],ROW()-1),"")</f>
      </c>
      <c r="E312">
        <f>IFERROR(INDEX(tblDeviceConfig[Cybernet Hostname],ROW()-1),"")</f>
      </c>
      <c r="F312">
        <f>IFERROR(INDEX(tblDeviceConfig[Neuron Hostname],ROW()-1),"")</f>
      </c>
      <c r="G312">
        <f>IFERROR(INDEX(tblDeviceConfig[Software List],ROW()-1),"")</f>
      </c>
      <c r="H312">
        <f>IFERROR(INDEX(tblDeviceConfig[PI_Use_Case],ROW()-1),"")</f>
      </c>
      <c r="I312">
        <f>IFERROR(INDEX(tblDeviceConfig[PI_Result],ROW()-1),"")</f>
      </c>
      <c r="J312">
        <f>IFERROR(INDEX(tblDeviceConfig[PI_Validated_By],ROW()-1),"")</f>
      </c>
      <c r="K312">
        <f>IFERROR(INDEX(tblDeviceConfig[PI_Validated_Date],ROW()-1),"")</f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</c>
      <c r="C313">
        <f>IFERROR(INDEX(tblDeviceConfig[Deployed],ROW()-1),"")</f>
      </c>
      <c r="D313">
        <f>IFERROR(INDEX(tblDeviceConfig[Installed],ROW()-1),"")</f>
      </c>
      <c r="E313">
        <f>IFERROR(INDEX(tblDeviceConfig[Cybernet Hostname],ROW()-1),"")</f>
      </c>
      <c r="F313">
        <f>IFERROR(INDEX(tblDeviceConfig[Neuron Hostname],ROW()-1),"")</f>
      </c>
      <c r="G313">
        <f>IFERROR(INDEX(tblDeviceConfig[Software List],ROW()-1),"")</f>
      </c>
      <c r="H313">
        <f>IFERROR(INDEX(tblDeviceConfig[PI_Use_Case],ROW()-1),"")</f>
      </c>
      <c r="I313">
        <f>IFERROR(INDEX(tblDeviceConfig[PI_Result],ROW()-1),"")</f>
      </c>
      <c r="J313">
        <f>IFERROR(INDEX(tblDeviceConfig[PI_Validated_By],ROW()-1),"")</f>
      </c>
      <c r="K313">
        <f>IFERROR(INDEX(tblDeviceConfig[PI_Validated_Date],ROW()-1),"")</f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</c>
      <c r="C314">
        <f>IFERROR(INDEX(tblDeviceConfig[Deployed],ROW()-1),"")</f>
      </c>
      <c r="D314">
        <f>IFERROR(INDEX(tblDeviceConfig[Installed],ROW()-1),"")</f>
      </c>
      <c r="E314">
        <f>IFERROR(INDEX(tblDeviceConfig[Cybernet Hostname],ROW()-1),"")</f>
      </c>
      <c r="F314">
        <f>IFERROR(INDEX(tblDeviceConfig[Neuron Hostname],ROW()-1),"")</f>
      </c>
      <c r="G314">
        <f>IFERROR(INDEX(tblDeviceConfig[Software List],ROW()-1),"")</f>
      </c>
      <c r="H314">
        <f>IFERROR(INDEX(tblDeviceConfig[PI_Use_Case],ROW()-1),"")</f>
      </c>
      <c r="I314">
        <f>IFERROR(INDEX(tblDeviceConfig[PI_Result],ROW()-1),"")</f>
      </c>
      <c r="J314">
        <f>IFERROR(INDEX(tblDeviceConfig[PI_Validated_By],ROW()-1),"")</f>
      </c>
      <c r="K314">
        <f>IFERROR(INDEX(tblDeviceConfig[PI_Validated_Date],ROW()-1),"")</f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</c>
      <c r="C315">
        <f>IFERROR(INDEX(tblDeviceConfig[Deployed],ROW()-1),"")</f>
      </c>
      <c r="D315">
        <f>IFERROR(INDEX(tblDeviceConfig[Installed],ROW()-1),"")</f>
      </c>
      <c r="E315">
        <f>IFERROR(INDEX(tblDeviceConfig[Cybernet Hostname],ROW()-1),"")</f>
      </c>
      <c r="F315">
        <f>IFERROR(INDEX(tblDeviceConfig[Neuron Hostname],ROW()-1),"")</f>
      </c>
      <c r="G315">
        <f>IFERROR(INDEX(tblDeviceConfig[Software List],ROW()-1),"")</f>
      </c>
      <c r="H315">
        <f>IFERROR(INDEX(tblDeviceConfig[PI_Use_Case],ROW()-1),"")</f>
      </c>
      <c r="I315">
        <f>IFERROR(INDEX(tblDeviceConfig[PI_Result],ROW()-1),"")</f>
      </c>
      <c r="J315">
        <f>IFERROR(INDEX(tblDeviceConfig[PI_Validated_By],ROW()-1),"")</f>
      </c>
      <c r="K315">
        <f>IFERROR(INDEX(tblDeviceConfig[PI_Validated_Date],ROW()-1),"")</f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</c>
      <c r="C316">
        <f>IFERROR(INDEX(tblDeviceConfig[Deployed],ROW()-1),"")</f>
      </c>
      <c r="D316">
        <f>IFERROR(INDEX(tblDeviceConfig[Installed],ROW()-1),"")</f>
      </c>
      <c r="E316">
        <f>IFERROR(INDEX(tblDeviceConfig[Cybernet Hostname],ROW()-1),"")</f>
      </c>
      <c r="F316">
        <f>IFERROR(INDEX(tblDeviceConfig[Neuron Hostname],ROW()-1),"")</f>
      </c>
      <c r="G316">
        <f>IFERROR(INDEX(tblDeviceConfig[Software List],ROW()-1),"")</f>
      </c>
      <c r="H316">
        <f>IFERROR(INDEX(tblDeviceConfig[PI_Use_Case],ROW()-1),"")</f>
      </c>
      <c r="I316">
        <f>IFERROR(INDEX(tblDeviceConfig[PI_Result],ROW()-1),"")</f>
      </c>
      <c r="J316">
        <f>IFERROR(INDEX(tblDeviceConfig[PI_Validated_By],ROW()-1),"")</f>
      </c>
      <c r="K316">
        <f>IFERROR(INDEX(tblDeviceConfig[PI_Validated_Date],ROW()-1),"")</f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</c>
      <c r="C317">
        <f>IFERROR(INDEX(tblDeviceConfig[Deployed],ROW()-1),"")</f>
      </c>
      <c r="D317">
        <f>IFERROR(INDEX(tblDeviceConfig[Installed],ROW()-1),"")</f>
      </c>
      <c r="E317">
        <f>IFERROR(INDEX(tblDeviceConfig[Cybernet Hostname],ROW()-1),"")</f>
      </c>
      <c r="F317">
        <f>IFERROR(INDEX(tblDeviceConfig[Neuron Hostname],ROW()-1),"")</f>
      </c>
      <c r="G317">
        <f>IFERROR(INDEX(tblDeviceConfig[Software List],ROW()-1),"")</f>
      </c>
      <c r="H317">
        <f>IFERROR(INDEX(tblDeviceConfig[PI_Use_Case],ROW()-1),"")</f>
      </c>
      <c r="I317">
        <f>IFERROR(INDEX(tblDeviceConfig[PI_Result],ROW()-1),"")</f>
      </c>
      <c r="J317">
        <f>IFERROR(INDEX(tblDeviceConfig[PI_Validated_By],ROW()-1),"")</f>
      </c>
      <c r="K317">
        <f>IFERROR(INDEX(tblDeviceConfig[PI_Validated_Date],ROW()-1),"")</f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</c>
      <c r="C318">
        <f>IFERROR(INDEX(tblDeviceConfig[Deployed],ROW()-1),"")</f>
      </c>
      <c r="D318">
        <f>IFERROR(INDEX(tblDeviceConfig[Installed],ROW()-1),"")</f>
      </c>
      <c r="E318">
        <f>IFERROR(INDEX(tblDeviceConfig[Cybernet Hostname],ROW()-1),"")</f>
      </c>
      <c r="F318">
        <f>IFERROR(INDEX(tblDeviceConfig[Neuron Hostname],ROW()-1),"")</f>
      </c>
      <c r="G318">
        <f>IFERROR(INDEX(tblDeviceConfig[Software List],ROW()-1),"")</f>
      </c>
      <c r="H318">
        <f>IFERROR(INDEX(tblDeviceConfig[PI_Use_Case],ROW()-1),"")</f>
      </c>
      <c r="I318">
        <f>IFERROR(INDEX(tblDeviceConfig[PI_Result],ROW()-1),"")</f>
      </c>
      <c r="J318">
        <f>IFERROR(INDEX(tblDeviceConfig[PI_Validated_By],ROW()-1),"")</f>
      </c>
      <c r="K318">
        <f>IFERROR(INDEX(tblDeviceConfig[PI_Validated_Date],ROW()-1),"")</f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</c>
      <c r="C319">
        <f>IFERROR(INDEX(tblDeviceConfig[Deployed],ROW()-1),"")</f>
      </c>
      <c r="D319">
        <f>IFERROR(INDEX(tblDeviceConfig[Installed],ROW()-1),"")</f>
      </c>
      <c r="E319">
        <f>IFERROR(INDEX(tblDeviceConfig[Cybernet Hostname],ROW()-1),"")</f>
      </c>
      <c r="F319">
        <f>IFERROR(INDEX(tblDeviceConfig[Neuron Hostname],ROW()-1),"")</f>
      </c>
      <c r="G319">
        <f>IFERROR(INDEX(tblDeviceConfig[Software List],ROW()-1),"")</f>
      </c>
      <c r="H319">
        <f>IFERROR(INDEX(tblDeviceConfig[PI_Use_Case],ROW()-1),"")</f>
      </c>
      <c r="I319">
        <f>IFERROR(INDEX(tblDeviceConfig[PI_Result],ROW()-1),"")</f>
      </c>
      <c r="J319">
        <f>IFERROR(INDEX(tblDeviceConfig[PI_Validated_By],ROW()-1),"")</f>
      </c>
      <c r="K319">
        <f>IFERROR(INDEX(tblDeviceConfig[PI_Validated_Date],ROW()-1),"")</f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</c>
      <c r="C320">
        <f>IFERROR(INDEX(tblDeviceConfig[Deployed],ROW()-1),"")</f>
      </c>
      <c r="D320">
        <f>IFERROR(INDEX(tblDeviceConfig[Installed],ROW()-1),"")</f>
      </c>
      <c r="E320">
        <f>IFERROR(INDEX(tblDeviceConfig[Cybernet Hostname],ROW()-1),"")</f>
      </c>
      <c r="F320">
        <f>IFERROR(INDEX(tblDeviceConfig[Neuron Hostname],ROW()-1),"")</f>
      </c>
      <c r="G320">
        <f>IFERROR(INDEX(tblDeviceConfig[Software List],ROW()-1),"")</f>
      </c>
      <c r="H320">
        <f>IFERROR(INDEX(tblDeviceConfig[PI_Use_Case],ROW()-1),"")</f>
      </c>
      <c r="I320">
        <f>IFERROR(INDEX(tblDeviceConfig[PI_Result],ROW()-1),"")</f>
      </c>
      <c r="J320">
        <f>IFERROR(INDEX(tblDeviceConfig[PI_Validated_By],ROW()-1),"")</f>
      </c>
      <c r="K320">
        <f>IFERROR(INDEX(tblDeviceConfig[PI_Validated_Date],ROW()-1),"")</f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</c>
      <c r="C321">
        <f>IFERROR(INDEX(tblDeviceConfig[Deployed],ROW()-1),"")</f>
      </c>
      <c r="D321">
        <f>IFERROR(INDEX(tblDeviceConfig[Installed],ROW()-1),"")</f>
      </c>
      <c r="E321">
        <f>IFERROR(INDEX(tblDeviceConfig[Cybernet Hostname],ROW()-1),"")</f>
      </c>
      <c r="F321">
        <f>IFERROR(INDEX(tblDeviceConfig[Neuron Hostname],ROW()-1),"")</f>
      </c>
      <c r="G321">
        <f>IFERROR(INDEX(tblDeviceConfig[Software List],ROW()-1),"")</f>
      </c>
      <c r="H321">
        <f>IFERROR(INDEX(tblDeviceConfig[PI_Use_Case],ROW()-1),"")</f>
      </c>
      <c r="I321">
        <f>IFERROR(INDEX(tblDeviceConfig[PI_Result],ROW()-1),"")</f>
      </c>
      <c r="J321">
        <f>IFERROR(INDEX(tblDeviceConfig[PI_Validated_By],ROW()-1),"")</f>
      </c>
      <c r="K321">
        <f>IFERROR(INDEX(tblDeviceConfig[PI_Validated_Date],ROW()-1),"")</f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</c>
      <c r="C322">
        <f>IFERROR(INDEX(tblDeviceConfig[Deployed],ROW()-1),"")</f>
      </c>
      <c r="D322">
        <f>IFERROR(INDEX(tblDeviceConfig[Installed],ROW()-1),"")</f>
      </c>
      <c r="E322">
        <f>IFERROR(INDEX(tblDeviceConfig[Cybernet Hostname],ROW()-1),"")</f>
      </c>
      <c r="F322">
        <f>IFERROR(INDEX(tblDeviceConfig[Neuron Hostname],ROW()-1),"")</f>
      </c>
      <c r="G322">
        <f>IFERROR(INDEX(tblDeviceConfig[Software List],ROW()-1),"")</f>
      </c>
      <c r="H322">
        <f>IFERROR(INDEX(tblDeviceConfig[PI_Use_Case],ROW()-1),"")</f>
      </c>
      <c r="I322">
        <f>IFERROR(INDEX(tblDeviceConfig[PI_Result],ROW()-1),"")</f>
      </c>
      <c r="J322">
        <f>IFERROR(INDEX(tblDeviceConfig[PI_Validated_By],ROW()-1),"")</f>
      </c>
      <c r="K322">
        <f>IFERROR(INDEX(tblDeviceConfig[PI_Validated_Date],ROW()-1),"")</f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</c>
      <c r="C323">
        <f>IFERROR(INDEX(tblDeviceConfig[Deployed],ROW()-1),"")</f>
      </c>
      <c r="D323">
        <f>IFERROR(INDEX(tblDeviceConfig[Installed],ROW()-1),"")</f>
      </c>
      <c r="E323">
        <f>IFERROR(INDEX(tblDeviceConfig[Cybernet Hostname],ROW()-1),"")</f>
      </c>
      <c r="F323">
        <f>IFERROR(INDEX(tblDeviceConfig[Neuron Hostname],ROW()-1),"")</f>
      </c>
      <c r="G323">
        <f>IFERROR(INDEX(tblDeviceConfig[Software List],ROW()-1),"")</f>
      </c>
      <c r="H323">
        <f>IFERROR(INDEX(tblDeviceConfig[PI_Use_Case],ROW()-1),"")</f>
      </c>
      <c r="I323">
        <f>IFERROR(INDEX(tblDeviceConfig[PI_Result],ROW()-1),"")</f>
      </c>
      <c r="J323">
        <f>IFERROR(INDEX(tblDeviceConfig[PI_Validated_By],ROW()-1),"")</f>
      </c>
      <c r="K323">
        <f>IFERROR(INDEX(tblDeviceConfig[PI_Validated_Date],ROW()-1),"")</f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</c>
      <c r="C324">
        <f>IFERROR(INDEX(tblDeviceConfig[Deployed],ROW()-1),"")</f>
      </c>
      <c r="D324">
        <f>IFERROR(INDEX(tblDeviceConfig[Installed],ROW()-1),"")</f>
      </c>
      <c r="E324">
        <f>IFERROR(INDEX(tblDeviceConfig[Cybernet Hostname],ROW()-1),"")</f>
      </c>
      <c r="F324">
        <f>IFERROR(INDEX(tblDeviceConfig[Neuron Hostname],ROW()-1),"")</f>
      </c>
      <c r="G324">
        <f>IFERROR(INDEX(tblDeviceConfig[Software List],ROW()-1),"")</f>
      </c>
      <c r="H324">
        <f>IFERROR(INDEX(tblDeviceConfig[PI_Use_Case],ROW()-1),"")</f>
      </c>
      <c r="I324">
        <f>IFERROR(INDEX(tblDeviceConfig[PI_Result],ROW()-1),"")</f>
      </c>
      <c r="J324">
        <f>IFERROR(INDEX(tblDeviceConfig[PI_Validated_By],ROW()-1),"")</f>
      </c>
      <c r="K324">
        <f>IFERROR(INDEX(tblDeviceConfig[PI_Validated_Date],ROW()-1),"")</f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</c>
      <c r="C325">
        <f>IFERROR(INDEX(tblDeviceConfig[Deployed],ROW()-1),"")</f>
      </c>
      <c r="D325">
        <f>IFERROR(INDEX(tblDeviceConfig[Installed],ROW()-1),"")</f>
      </c>
      <c r="E325">
        <f>IFERROR(INDEX(tblDeviceConfig[Cybernet Hostname],ROW()-1),"")</f>
      </c>
      <c r="F325">
        <f>IFERROR(INDEX(tblDeviceConfig[Neuron Hostname],ROW()-1),"")</f>
      </c>
      <c r="G325">
        <f>IFERROR(INDEX(tblDeviceConfig[Software List],ROW()-1),"")</f>
      </c>
      <c r="H325">
        <f>IFERROR(INDEX(tblDeviceConfig[PI_Use_Case],ROW()-1),"")</f>
      </c>
      <c r="I325">
        <f>IFERROR(INDEX(tblDeviceConfig[PI_Result],ROW()-1),"")</f>
      </c>
      <c r="J325">
        <f>IFERROR(INDEX(tblDeviceConfig[PI_Validated_By],ROW()-1),"")</f>
      </c>
      <c r="K325">
        <f>IFERROR(INDEX(tblDeviceConfig[PI_Validated_Date],ROW()-1),"")</f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</c>
      <c r="C326">
        <f>IFERROR(INDEX(tblDeviceConfig[Deployed],ROW()-1),"")</f>
      </c>
      <c r="D326">
        <f>IFERROR(INDEX(tblDeviceConfig[Installed],ROW()-1),"")</f>
      </c>
      <c r="E326">
        <f>IFERROR(INDEX(tblDeviceConfig[Cybernet Hostname],ROW()-1),"")</f>
      </c>
      <c r="F326">
        <f>IFERROR(INDEX(tblDeviceConfig[Neuron Hostname],ROW()-1),"")</f>
      </c>
      <c r="G326">
        <f>IFERROR(INDEX(tblDeviceConfig[Software List],ROW()-1),"")</f>
      </c>
      <c r="H326">
        <f>IFERROR(INDEX(tblDeviceConfig[PI_Use_Case],ROW()-1),"")</f>
      </c>
      <c r="I326">
        <f>IFERROR(INDEX(tblDeviceConfig[PI_Result],ROW()-1),"")</f>
      </c>
      <c r="J326">
        <f>IFERROR(INDEX(tblDeviceConfig[PI_Validated_By],ROW()-1),"")</f>
      </c>
      <c r="K326">
        <f>IFERROR(INDEX(tblDeviceConfig[PI_Validated_Date],ROW()-1),"")</f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</c>
      <c r="C327">
        <f>IFERROR(INDEX(tblDeviceConfig[Deployed],ROW()-1),"")</f>
      </c>
      <c r="D327">
        <f>IFERROR(INDEX(tblDeviceConfig[Installed],ROW()-1),"")</f>
      </c>
      <c r="E327">
        <f>IFERROR(INDEX(tblDeviceConfig[Cybernet Hostname],ROW()-1),"")</f>
      </c>
      <c r="F327">
        <f>IFERROR(INDEX(tblDeviceConfig[Neuron Hostname],ROW()-1),"")</f>
      </c>
      <c r="G327">
        <f>IFERROR(INDEX(tblDeviceConfig[Software List],ROW()-1),"")</f>
      </c>
      <c r="H327">
        <f>IFERROR(INDEX(tblDeviceConfig[PI_Use_Case],ROW()-1),"")</f>
      </c>
      <c r="I327">
        <f>IFERROR(INDEX(tblDeviceConfig[PI_Result],ROW()-1),"")</f>
      </c>
      <c r="J327">
        <f>IFERROR(INDEX(tblDeviceConfig[PI_Validated_By],ROW()-1),"")</f>
      </c>
      <c r="K327">
        <f>IFERROR(INDEX(tblDeviceConfig[PI_Validated_Date],ROW()-1),"")</f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</c>
      <c r="C328">
        <f>IFERROR(INDEX(tblDeviceConfig[Deployed],ROW()-1),"")</f>
      </c>
      <c r="D328">
        <f>IFERROR(INDEX(tblDeviceConfig[Installed],ROW()-1),"")</f>
      </c>
      <c r="E328">
        <f>IFERROR(INDEX(tblDeviceConfig[Cybernet Hostname],ROW()-1),"")</f>
      </c>
      <c r="F328">
        <f>IFERROR(INDEX(tblDeviceConfig[Neuron Hostname],ROW()-1),"")</f>
      </c>
      <c r="G328">
        <f>IFERROR(INDEX(tblDeviceConfig[Software List],ROW()-1),"")</f>
      </c>
      <c r="H328">
        <f>IFERROR(INDEX(tblDeviceConfig[PI_Use_Case],ROW()-1),"")</f>
      </c>
      <c r="I328">
        <f>IFERROR(INDEX(tblDeviceConfig[PI_Result],ROW()-1),"")</f>
      </c>
      <c r="J328">
        <f>IFERROR(INDEX(tblDeviceConfig[PI_Validated_By],ROW()-1),"")</f>
      </c>
      <c r="K328">
        <f>IFERROR(INDEX(tblDeviceConfig[PI_Validated_Date],ROW()-1),"")</f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</c>
      <c r="C329">
        <f>IFERROR(INDEX(tblDeviceConfig[Deployed],ROW()-1),"")</f>
      </c>
      <c r="D329">
        <f>IFERROR(INDEX(tblDeviceConfig[Installed],ROW()-1),"")</f>
      </c>
      <c r="E329">
        <f>IFERROR(INDEX(tblDeviceConfig[Cybernet Hostname],ROW()-1),"")</f>
      </c>
      <c r="F329">
        <f>IFERROR(INDEX(tblDeviceConfig[Neuron Hostname],ROW()-1),"")</f>
      </c>
      <c r="G329">
        <f>IFERROR(INDEX(tblDeviceConfig[Software List],ROW()-1),"")</f>
      </c>
      <c r="H329">
        <f>IFERROR(INDEX(tblDeviceConfig[PI_Use_Case],ROW()-1),"")</f>
      </c>
      <c r="I329">
        <f>IFERROR(INDEX(tblDeviceConfig[PI_Result],ROW()-1),"")</f>
      </c>
      <c r="J329">
        <f>IFERROR(INDEX(tblDeviceConfig[PI_Validated_By],ROW()-1),"")</f>
      </c>
      <c r="K329">
        <f>IFERROR(INDEX(tblDeviceConfig[PI_Validated_Date],ROW()-1),"")</f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</c>
      <c r="C330">
        <f>IFERROR(INDEX(tblDeviceConfig[Deployed],ROW()-1),"")</f>
      </c>
      <c r="D330">
        <f>IFERROR(INDEX(tblDeviceConfig[Installed],ROW()-1),"")</f>
      </c>
      <c r="E330">
        <f>IFERROR(INDEX(tblDeviceConfig[Cybernet Hostname],ROW()-1),"")</f>
      </c>
      <c r="F330">
        <f>IFERROR(INDEX(tblDeviceConfig[Neuron Hostname],ROW()-1),"")</f>
      </c>
      <c r="G330">
        <f>IFERROR(INDEX(tblDeviceConfig[Software List],ROW()-1),"")</f>
      </c>
      <c r="H330">
        <f>IFERROR(INDEX(tblDeviceConfig[PI_Use_Case],ROW()-1),"")</f>
      </c>
      <c r="I330">
        <f>IFERROR(INDEX(tblDeviceConfig[PI_Result],ROW()-1),"")</f>
      </c>
      <c r="J330">
        <f>IFERROR(INDEX(tblDeviceConfig[PI_Validated_By],ROW()-1),"")</f>
      </c>
      <c r="K330">
        <f>IFERROR(INDEX(tblDeviceConfig[PI_Validated_Date],ROW()-1),"")</f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</c>
      <c r="C331">
        <f>IFERROR(INDEX(tblDeviceConfig[Deployed],ROW()-1),"")</f>
      </c>
      <c r="D331">
        <f>IFERROR(INDEX(tblDeviceConfig[Installed],ROW()-1),"")</f>
      </c>
      <c r="E331">
        <f>IFERROR(INDEX(tblDeviceConfig[Cybernet Hostname],ROW()-1),"")</f>
      </c>
      <c r="F331">
        <f>IFERROR(INDEX(tblDeviceConfig[Neuron Hostname],ROW()-1),"")</f>
      </c>
      <c r="G331">
        <f>IFERROR(INDEX(tblDeviceConfig[Software List],ROW()-1),"")</f>
      </c>
      <c r="H331">
        <f>IFERROR(INDEX(tblDeviceConfig[PI_Use_Case],ROW()-1),"")</f>
      </c>
      <c r="I331">
        <f>IFERROR(INDEX(tblDeviceConfig[PI_Result],ROW()-1),"")</f>
      </c>
      <c r="J331">
        <f>IFERROR(INDEX(tblDeviceConfig[PI_Validated_By],ROW()-1),"")</f>
      </c>
      <c r="K331">
        <f>IFERROR(INDEX(tblDeviceConfig[PI_Validated_Date],ROW()-1),"")</f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</c>
      <c r="C332">
        <f>IFERROR(INDEX(tblDeviceConfig[Deployed],ROW()-1),"")</f>
      </c>
      <c r="D332">
        <f>IFERROR(INDEX(tblDeviceConfig[Installed],ROW()-1),"")</f>
      </c>
      <c r="E332">
        <f>IFERROR(INDEX(tblDeviceConfig[Cybernet Hostname],ROW()-1),"")</f>
      </c>
      <c r="F332">
        <f>IFERROR(INDEX(tblDeviceConfig[Neuron Hostname],ROW()-1),"")</f>
      </c>
      <c r="G332">
        <f>IFERROR(INDEX(tblDeviceConfig[Software List],ROW()-1),"")</f>
      </c>
      <c r="H332">
        <f>IFERROR(INDEX(tblDeviceConfig[PI_Use_Case],ROW()-1),"")</f>
      </c>
      <c r="I332">
        <f>IFERROR(INDEX(tblDeviceConfig[PI_Result],ROW()-1),"")</f>
      </c>
      <c r="J332">
        <f>IFERROR(INDEX(tblDeviceConfig[PI_Validated_By],ROW()-1),"")</f>
      </c>
      <c r="K332">
        <f>IFERROR(INDEX(tblDeviceConfig[PI_Validated_Date],ROW()-1),"")</f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</c>
      <c r="C333">
        <f>IFERROR(INDEX(tblDeviceConfig[Deployed],ROW()-1),"")</f>
      </c>
      <c r="D333">
        <f>IFERROR(INDEX(tblDeviceConfig[Installed],ROW()-1),"")</f>
      </c>
      <c r="E333">
        <f>IFERROR(INDEX(tblDeviceConfig[Cybernet Hostname],ROW()-1),"")</f>
      </c>
      <c r="F333">
        <f>IFERROR(INDEX(tblDeviceConfig[Neuron Hostname],ROW()-1),"")</f>
      </c>
      <c r="G333">
        <f>IFERROR(INDEX(tblDeviceConfig[Software List],ROW()-1),"")</f>
      </c>
      <c r="H333">
        <f>IFERROR(INDEX(tblDeviceConfig[PI_Use_Case],ROW()-1),"")</f>
      </c>
      <c r="I333">
        <f>IFERROR(INDEX(tblDeviceConfig[PI_Result],ROW()-1),"")</f>
      </c>
      <c r="J333">
        <f>IFERROR(INDEX(tblDeviceConfig[PI_Validated_By],ROW()-1),"")</f>
      </c>
      <c r="K333">
        <f>IFERROR(INDEX(tblDeviceConfig[PI_Validated_Date],ROW()-1),"")</f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</c>
      <c r="C334">
        <f>IFERROR(INDEX(tblDeviceConfig[Deployed],ROW()-1),"")</f>
      </c>
      <c r="D334">
        <f>IFERROR(INDEX(tblDeviceConfig[Installed],ROW()-1),"")</f>
      </c>
      <c r="E334">
        <f>IFERROR(INDEX(tblDeviceConfig[Cybernet Hostname],ROW()-1),"")</f>
      </c>
      <c r="F334">
        <f>IFERROR(INDEX(tblDeviceConfig[Neuron Hostname],ROW()-1),"")</f>
      </c>
      <c r="G334">
        <f>IFERROR(INDEX(tblDeviceConfig[Software List],ROW()-1),"")</f>
      </c>
      <c r="H334">
        <f>IFERROR(INDEX(tblDeviceConfig[PI_Use_Case],ROW()-1),"")</f>
      </c>
      <c r="I334">
        <f>IFERROR(INDEX(tblDeviceConfig[PI_Result],ROW()-1),"")</f>
      </c>
      <c r="J334">
        <f>IFERROR(INDEX(tblDeviceConfig[PI_Validated_By],ROW()-1),"")</f>
      </c>
      <c r="K334">
        <f>IFERROR(INDEX(tblDeviceConfig[PI_Validated_Date],ROW()-1),"")</f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</c>
      <c r="C335">
        <f>IFERROR(INDEX(tblDeviceConfig[Deployed],ROW()-1),"")</f>
      </c>
      <c r="D335">
        <f>IFERROR(INDEX(tblDeviceConfig[Installed],ROW()-1),"")</f>
      </c>
      <c r="E335">
        <f>IFERROR(INDEX(tblDeviceConfig[Cybernet Hostname],ROW()-1),"")</f>
      </c>
      <c r="F335">
        <f>IFERROR(INDEX(tblDeviceConfig[Neuron Hostname],ROW()-1),"")</f>
      </c>
      <c r="G335">
        <f>IFERROR(INDEX(tblDeviceConfig[Software List],ROW()-1),"")</f>
      </c>
      <c r="H335">
        <f>IFERROR(INDEX(tblDeviceConfig[PI_Use_Case],ROW()-1),"")</f>
      </c>
      <c r="I335">
        <f>IFERROR(INDEX(tblDeviceConfig[PI_Result],ROW()-1),"")</f>
      </c>
      <c r="J335">
        <f>IFERROR(INDEX(tblDeviceConfig[PI_Validated_By],ROW()-1),"")</f>
      </c>
      <c r="K335">
        <f>IFERROR(INDEX(tblDeviceConfig[PI_Validated_Date],ROW()-1),"")</f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</c>
      <c r="C336">
        <f>IFERROR(INDEX(tblDeviceConfig[Deployed],ROW()-1),"")</f>
      </c>
      <c r="D336">
        <f>IFERROR(INDEX(tblDeviceConfig[Installed],ROW()-1),"")</f>
      </c>
      <c r="E336">
        <f>IFERROR(INDEX(tblDeviceConfig[Cybernet Hostname],ROW()-1),"")</f>
      </c>
      <c r="F336">
        <f>IFERROR(INDEX(tblDeviceConfig[Neuron Hostname],ROW()-1),"")</f>
      </c>
      <c r="G336">
        <f>IFERROR(INDEX(tblDeviceConfig[Software List],ROW()-1),"")</f>
      </c>
      <c r="H336">
        <f>IFERROR(INDEX(tblDeviceConfig[PI_Use_Case],ROW()-1),"")</f>
      </c>
      <c r="I336">
        <f>IFERROR(INDEX(tblDeviceConfig[PI_Result],ROW()-1),"")</f>
      </c>
      <c r="J336">
        <f>IFERROR(INDEX(tblDeviceConfig[PI_Validated_By],ROW()-1),"")</f>
      </c>
      <c r="K336">
        <f>IFERROR(INDEX(tblDeviceConfig[PI_Validated_Date],ROW()-1),"")</f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</c>
      <c r="C337">
        <f>IFERROR(INDEX(tblDeviceConfig[Deployed],ROW()-1),"")</f>
      </c>
      <c r="D337">
        <f>IFERROR(INDEX(tblDeviceConfig[Installed],ROW()-1),"")</f>
      </c>
      <c r="E337">
        <f>IFERROR(INDEX(tblDeviceConfig[Cybernet Hostname],ROW()-1),"")</f>
      </c>
      <c r="F337">
        <f>IFERROR(INDEX(tblDeviceConfig[Neuron Hostname],ROW()-1),"")</f>
      </c>
      <c r="G337">
        <f>IFERROR(INDEX(tblDeviceConfig[Software List],ROW()-1),"")</f>
      </c>
      <c r="H337">
        <f>IFERROR(INDEX(tblDeviceConfig[PI_Use_Case],ROW()-1),"")</f>
      </c>
      <c r="I337">
        <f>IFERROR(INDEX(tblDeviceConfig[PI_Result],ROW()-1),"")</f>
      </c>
      <c r="J337">
        <f>IFERROR(INDEX(tblDeviceConfig[PI_Validated_By],ROW()-1),"")</f>
      </c>
      <c r="K337">
        <f>IFERROR(INDEX(tblDeviceConfig[PI_Validated_Date],ROW()-1),"")</f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</c>
      <c r="C338">
        <f>IFERROR(INDEX(tblDeviceConfig[Deployed],ROW()-1),"")</f>
      </c>
      <c r="D338">
        <f>IFERROR(INDEX(tblDeviceConfig[Installed],ROW()-1),"")</f>
      </c>
      <c r="E338">
        <f>IFERROR(INDEX(tblDeviceConfig[Cybernet Hostname],ROW()-1),"")</f>
      </c>
      <c r="F338">
        <f>IFERROR(INDEX(tblDeviceConfig[Neuron Hostname],ROW()-1),"")</f>
      </c>
      <c r="G338">
        <f>IFERROR(INDEX(tblDeviceConfig[Software List],ROW()-1),"")</f>
      </c>
      <c r="H338">
        <f>IFERROR(INDEX(tblDeviceConfig[PI_Use_Case],ROW()-1),"")</f>
      </c>
      <c r="I338">
        <f>IFERROR(INDEX(tblDeviceConfig[PI_Result],ROW()-1),"")</f>
      </c>
      <c r="J338">
        <f>IFERROR(INDEX(tblDeviceConfig[PI_Validated_By],ROW()-1),"")</f>
      </c>
      <c r="K338">
        <f>IFERROR(INDEX(tblDeviceConfig[PI_Validated_Date],ROW()-1),"")</f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</c>
      <c r="C339">
        <f>IFERROR(INDEX(tblDeviceConfig[Deployed],ROW()-1),"")</f>
      </c>
      <c r="D339">
        <f>IFERROR(INDEX(tblDeviceConfig[Installed],ROW()-1),"")</f>
      </c>
      <c r="E339">
        <f>IFERROR(INDEX(tblDeviceConfig[Cybernet Hostname],ROW()-1),"")</f>
      </c>
      <c r="F339">
        <f>IFERROR(INDEX(tblDeviceConfig[Neuron Hostname],ROW()-1),"")</f>
      </c>
      <c r="G339">
        <f>IFERROR(INDEX(tblDeviceConfig[Software List],ROW()-1),"")</f>
      </c>
      <c r="H339">
        <f>IFERROR(INDEX(tblDeviceConfig[PI_Use_Case],ROW()-1),"")</f>
      </c>
      <c r="I339">
        <f>IFERROR(INDEX(tblDeviceConfig[PI_Result],ROW()-1),"")</f>
      </c>
      <c r="J339">
        <f>IFERROR(INDEX(tblDeviceConfig[PI_Validated_By],ROW()-1),"")</f>
      </c>
      <c r="K339">
        <f>IFERROR(INDEX(tblDeviceConfig[PI_Validated_Date],ROW()-1),"")</f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</c>
      <c r="C340">
        <f>IFERROR(INDEX(tblDeviceConfig[Deployed],ROW()-1),"")</f>
      </c>
      <c r="D340">
        <f>IFERROR(INDEX(tblDeviceConfig[Installed],ROW()-1),"")</f>
      </c>
      <c r="E340">
        <f>IFERROR(INDEX(tblDeviceConfig[Cybernet Hostname],ROW()-1),"")</f>
      </c>
      <c r="F340">
        <f>IFERROR(INDEX(tblDeviceConfig[Neuron Hostname],ROW()-1),"")</f>
      </c>
      <c r="G340">
        <f>IFERROR(INDEX(tblDeviceConfig[Software List],ROW()-1),"")</f>
      </c>
      <c r="H340">
        <f>IFERROR(INDEX(tblDeviceConfig[PI_Use_Case],ROW()-1),"")</f>
      </c>
      <c r="I340">
        <f>IFERROR(INDEX(tblDeviceConfig[PI_Result],ROW()-1),"")</f>
      </c>
      <c r="J340">
        <f>IFERROR(INDEX(tblDeviceConfig[PI_Validated_By],ROW()-1),"")</f>
      </c>
      <c r="K340">
        <f>IFERROR(INDEX(tblDeviceConfig[PI_Validated_Date],ROW()-1),"")</f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</c>
      <c r="C341">
        <f>IFERROR(INDEX(tblDeviceConfig[Deployed],ROW()-1),"")</f>
      </c>
      <c r="D341">
        <f>IFERROR(INDEX(tblDeviceConfig[Installed],ROW()-1),"")</f>
      </c>
      <c r="E341">
        <f>IFERROR(INDEX(tblDeviceConfig[Cybernet Hostname],ROW()-1),"")</f>
      </c>
      <c r="F341">
        <f>IFERROR(INDEX(tblDeviceConfig[Neuron Hostname],ROW()-1),"")</f>
      </c>
      <c r="G341">
        <f>IFERROR(INDEX(tblDeviceConfig[Software List],ROW()-1),"")</f>
      </c>
      <c r="H341">
        <f>IFERROR(INDEX(tblDeviceConfig[PI_Use_Case],ROW()-1),"")</f>
      </c>
      <c r="I341">
        <f>IFERROR(INDEX(tblDeviceConfig[PI_Result],ROW()-1),"")</f>
      </c>
      <c r="J341">
        <f>IFERROR(INDEX(tblDeviceConfig[PI_Validated_By],ROW()-1),"")</f>
      </c>
      <c r="K341">
        <f>IFERROR(INDEX(tblDeviceConfig[PI_Validated_Date],ROW()-1),"")</f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</c>
      <c r="C342">
        <f>IFERROR(INDEX(tblDeviceConfig[Deployed],ROW()-1),"")</f>
      </c>
      <c r="D342">
        <f>IFERROR(INDEX(tblDeviceConfig[Installed],ROW()-1),"")</f>
      </c>
      <c r="E342">
        <f>IFERROR(INDEX(tblDeviceConfig[Cybernet Hostname],ROW()-1),"")</f>
      </c>
      <c r="F342">
        <f>IFERROR(INDEX(tblDeviceConfig[Neuron Hostname],ROW()-1),"")</f>
      </c>
      <c r="G342">
        <f>IFERROR(INDEX(tblDeviceConfig[Software List],ROW()-1),"")</f>
      </c>
      <c r="H342">
        <f>IFERROR(INDEX(tblDeviceConfig[PI_Use_Case],ROW()-1),"")</f>
      </c>
      <c r="I342">
        <f>IFERROR(INDEX(tblDeviceConfig[PI_Result],ROW()-1),"")</f>
      </c>
      <c r="J342">
        <f>IFERROR(INDEX(tblDeviceConfig[PI_Validated_By],ROW()-1),"")</f>
      </c>
      <c r="K342">
        <f>IFERROR(INDEX(tblDeviceConfig[PI_Validated_Date],ROW()-1),"")</f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</c>
      <c r="C343">
        <f>IFERROR(INDEX(tblDeviceConfig[Deployed],ROW()-1),"")</f>
      </c>
      <c r="D343">
        <f>IFERROR(INDEX(tblDeviceConfig[Installed],ROW()-1),"")</f>
      </c>
      <c r="E343">
        <f>IFERROR(INDEX(tblDeviceConfig[Cybernet Hostname],ROW()-1),"")</f>
      </c>
      <c r="F343">
        <f>IFERROR(INDEX(tblDeviceConfig[Neuron Hostname],ROW()-1),"")</f>
      </c>
      <c r="G343">
        <f>IFERROR(INDEX(tblDeviceConfig[Software List],ROW()-1),"")</f>
      </c>
      <c r="H343">
        <f>IFERROR(INDEX(tblDeviceConfig[PI_Use_Case],ROW()-1),"")</f>
      </c>
      <c r="I343">
        <f>IFERROR(INDEX(tblDeviceConfig[PI_Result],ROW()-1),"")</f>
      </c>
      <c r="J343">
        <f>IFERROR(INDEX(tblDeviceConfig[PI_Validated_By],ROW()-1),"")</f>
      </c>
      <c r="K343">
        <f>IFERROR(INDEX(tblDeviceConfig[PI_Validated_Date],ROW()-1),"")</f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</c>
      <c r="C344">
        <f>IFERROR(INDEX(tblDeviceConfig[Deployed],ROW()-1),"")</f>
      </c>
      <c r="D344">
        <f>IFERROR(INDEX(tblDeviceConfig[Installed],ROW()-1),"")</f>
      </c>
      <c r="E344">
        <f>IFERROR(INDEX(tblDeviceConfig[Cybernet Hostname],ROW()-1),"")</f>
      </c>
      <c r="F344">
        <f>IFERROR(INDEX(tblDeviceConfig[Neuron Hostname],ROW()-1),"")</f>
      </c>
      <c r="G344">
        <f>IFERROR(INDEX(tblDeviceConfig[Software List],ROW()-1),"")</f>
      </c>
      <c r="H344">
        <f>IFERROR(INDEX(tblDeviceConfig[PI_Use_Case],ROW()-1),"")</f>
      </c>
      <c r="I344">
        <f>IFERROR(INDEX(tblDeviceConfig[PI_Result],ROW()-1),"")</f>
      </c>
      <c r="J344">
        <f>IFERROR(INDEX(tblDeviceConfig[PI_Validated_By],ROW()-1),"")</f>
      </c>
      <c r="K344">
        <f>IFERROR(INDEX(tblDeviceConfig[PI_Validated_Date],ROW()-1),"")</f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</c>
      <c r="C345">
        <f>IFERROR(INDEX(tblDeviceConfig[Deployed],ROW()-1),"")</f>
      </c>
      <c r="D345">
        <f>IFERROR(INDEX(tblDeviceConfig[Installed],ROW()-1),"")</f>
      </c>
      <c r="E345">
        <f>IFERROR(INDEX(tblDeviceConfig[Cybernet Hostname],ROW()-1),"")</f>
      </c>
      <c r="F345">
        <f>IFERROR(INDEX(tblDeviceConfig[Neuron Hostname],ROW()-1),"")</f>
      </c>
      <c r="G345">
        <f>IFERROR(INDEX(tblDeviceConfig[Software List],ROW()-1),"")</f>
      </c>
      <c r="H345">
        <f>IFERROR(INDEX(tblDeviceConfig[PI_Use_Case],ROW()-1),"")</f>
      </c>
      <c r="I345">
        <f>IFERROR(INDEX(tblDeviceConfig[PI_Result],ROW()-1),"")</f>
      </c>
      <c r="J345">
        <f>IFERROR(INDEX(tblDeviceConfig[PI_Validated_By],ROW()-1),"")</f>
      </c>
      <c r="K345">
        <f>IFERROR(INDEX(tblDeviceConfig[PI_Validated_Date],ROW()-1),"")</f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</c>
      <c r="C346">
        <f>IFERROR(INDEX(tblDeviceConfig[Deployed],ROW()-1),"")</f>
      </c>
      <c r="D346">
        <f>IFERROR(INDEX(tblDeviceConfig[Installed],ROW()-1),"")</f>
      </c>
      <c r="E346">
        <f>IFERROR(INDEX(tblDeviceConfig[Cybernet Hostname],ROW()-1),"")</f>
      </c>
      <c r="F346">
        <f>IFERROR(INDEX(tblDeviceConfig[Neuron Hostname],ROW()-1),"")</f>
      </c>
      <c r="G346">
        <f>IFERROR(INDEX(tblDeviceConfig[Software List],ROW()-1),"")</f>
      </c>
      <c r="H346">
        <f>IFERROR(INDEX(tblDeviceConfig[PI_Use_Case],ROW()-1),"")</f>
      </c>
      <c r="I346">
        <f>IFERROR(INDEX(tblDeviceConfig[PI_Result],ROW()-1),"")</f>
      </c>
      <c r="J346">
        <f>IFERROR(INDEX(tblDeviceConfig[PI_Validated_By],ROW()-1),"")</f>
      </c>
      <c r="K346">
        <f>IFERROR(INDEX(tblDeviceConfig[PI_Validated_Date],ROW()-1),"")</f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</c>
      <c r="C347">
        <f>IFERROR(INDEX(tblDeviceConfig[Deployed],ROW()-1),"")</f>
      </c>
      <c r="D347">
        <f>IFERROR(INDEX(tblDeviceConfig[Installed],ROW()-1),"")</f>
      </c>
      <c r="E347">
        <f>IFERROR(INDEX(tblDeviceConfig[Cybernet Hostname],ROW()-1),"")</f>
      </c>
      <c r="F347">
        <f>IFERROR(INDEX(tblDeviceConfig[Neuron Hostname],ROW()-1),"")</f>
      </c>
      <c r="G347">
        <f>IFERROR(INDEX(tblDeviceConfig[Software List],ROW()-1),"")</f>
      </c>
      <c r="H347">
        <f>IFERROR(INDEX(tblDeviceConfig[PI_Use_Case],ROW()-1),"")</f>
      </c>
      <c r="I347">
        <f>IFERROR(INDEX(tblDeviceConfig[PI_Result],ROW()-1),"")</f>
      </c>
      <c r="J347">
        <f>IFERROR(INDEX(tblDeviceConfig[PI_Validated_By],ROW()-1),"")</f>
      </c>
      <c r="K347">
        <f>IFERROR(INDEX(tblDeviceConfig[PI_Validated_Date],ROW()-1),"")</f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</c>
      <c r="C348">
        <f>IFERROR(INDEX(tblDeviceConfig[Deployed],ROW()-1),"")</f>
      </c>
      <c r="D348">
        <f>IFERROR(INDEX(tblDeviceConfig[Installed],ROW()-1),"")</f>
      </c>
      <c r="E348">
        <f>IFERROR(INDEX(tblDeviceConfig[Cybernet Hostname],ROW()-1),"")</f>
      </c>
      <c r="F348">
        <f>IFERROR(INDEX(tblDeviceConfig[Neuron Hostname],ROW()-1),"")</f>
      </c>
      <c r="G348">
        <f>IFERROR(INDEX(tblDeviceConfig[Software List],ROW()-1),"")</f>
      </c>
      <c r="H348">
        <f>IFERROR(INDEX(tblDeviceConfig[PI_Use_Case],ROW()-1),"")</f>
      </c>
      <c r="I348">
        <f>IFERROR(INDEX(tblDeviceConfig[PI_Result],ROW()-1),"")</f>
      </c>
      <c r="J348">
        <f>IFERROR(INDEX(tblDeviceConfig[PI_Validated_By],ROW()-1),"")</f>
      </c>
      <c r="K348">
        <f>IFERROR(INDEX(tblDeviceConfig[PI_Validated_Date],ROW()-1),"")</f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</c>
      <c r="C349">
        <f>IFERROR(INDEX(tblDeviceConfig[Deployed],ROW()-1),"")</f>
      </c>
      <c r="D349">
        <f>IFERROR(INDEX(tblDeviceConfig[Installed],ROW()-1),"")</f>
      </c>
      <c r="E349">
        <f>IFERROR(INDEX(tblDeviceConfig[Cybernet Hostname],ROW()-1),"")</f>
      </c>
      <c r="F349">
        <f>IFERROR(INDEX(tblDeviceConfig[Neuron Hostname],ROW()-1),"")</f>
      </c>
      <c r="G349">
        <f>IFERROR(INDEX(tblDeviceConfig[Software List],ROW()-1),"")</f>
      </c>
      <c r="H349">
        <f>IFERROR(INDEX(tblDeviceConfig[PI_Use_Case],ROW()-1),"")</f>
      </c>
      <c r="I349">
        <f>IFERROR(INDEX(tblDeviceConfig[PI_Result],ROW()-1),"")</f>
      </c>
      <c r="J349">
        <f>IFERROR(INDEX(tblDeviceConfig[PI_Validated_By],ROW()-1),"")</f>
      </c>
      <c r="K349">
        <f>IFERROR(INDEX(tblDeviceConfig[PI_Validated_Date],ROW()-1),"")</f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</c>
      <c r="C350">
        <f>IFERROR(INDEX(tblDeviceConfig[Deployed],ROW()-1),"")</f>
      </c>
      <c r="D350">
        <f>IFERROR(INDEX(tblDeviceConfig[Installed],ROW()-1),"")</f>
      </c>
      <c r="E350">
        <f>IFERROR(INDEX(tblDeviceConfig[Cybernet Hostname],ROW()-1),"")</f>
      </c>
      <c r="F350">
        <f>IFERROR(INDEX(tblDeviceConfig[Neuron Hostname],ROW()-1),"")</f>
      </c>
      <c r="G350">
        <f>IFERROR(INDEX(tblDeviceConfig[Software List],ROW()-1),"")</f>
      </c>
      <c r="H350">
        <f>IFERROR(INDEX(tblDeviceConfig[PI_Use_Case],ROW()-1),"")</f>
      </c>
      <c r="I350">
        <f>IFERROR(INDEX(tblDeviceConfig[PI_Result],ROW()-1),"")</f>
      </c>
      <c r="J350">
        <f>IFERROR(INDEX(tblDeviceConfig[PI_Validated_By],ROW()-1),"")</f>
      </c>
      <c r="K350">
        <f>IFERROR(INDEX(tblDeviceConfig[PI_Validated_Date],ROW()-1),"")</f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</c>
      <c r="C351">
        <f>IFERROR(INDEX(tblDeviceConfig[Deployed],ROW()-1),"")</f>
      </c>
      <c r="D351">
        <f>IFERROR(INDEX(tblDeviceConfig[Installed],ROW()-1),"")</f>
      </c>
      <c r="E351">
        <f>IFERROR(INDEX(tblDeviceConfig[Cybernet Hostname],ROW()-1),"")</f>
      </c>
      <c r="F351">
        <f>IFERROR(INDEX(tblDeviceConfig[Neuron Hostname],ROW()-1),"")</f>
      </c>
      <c r="G351">
        <f>IFERROR(INDEX(tblDeviceConfig[Software List],ROW()-1),"")</f>
      </c>
      <c r="H351">
        <f>IFERROR(INDEX(tblDeviceConfig[PI_Use_Case],ROW()-1),"")</f>
      </c>
      <c r="I351">
        <f>IFERROR(INDEX(tblDeviceConfig[PI_Result],ROW()-1),"")</f>
      </c>
      <c r="J351">
        <f>IFERROR(INDEX(tblDeviceConfig[PI_Validated_By],ROW()-1),"")</f>
      </c>
      <c r="K351">
        <f>IFERROR(INDEX(tblDeviceConfig[PI_Validated_Date],ROW()-1),"")</f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</c>
      <c r="C352">
        <f>IFERROR(INDEX(tblDeviceConfig[Deployed],ROW()-1),"")</f>
      </c>
      <c r="D352">
        <f>IFERROR(INDEX(tblDeviceConfig[Installed],ROW()-1),"")</f>
      </c>
      <c r="E352">
        <f>IFERROR(INDEX(tblDeviceConfig[Cybernet Hostname],ROW()-1),"")</f>
      </c>
      <c r="F352">
        <f>IFERROR(INDEX(tblDeviceConfig[Neuron Hostname],ROW()-1),"")</f>
      </c>
      <c r="G352">
        <f>IFERROR(INDEX(tblDeviceConfig[Software List],ROW()-1),"")</f>
      </c>
      <c r="H352">
        <f>IFERROR(INDEX(tblDeviceConfig[PI_Use_Case],ROW()-1),"")</f>
      </c>
      <c r="I352">
        <f>IFERROR(INDEX(tblDeviceConfig[PI_Result],ROW()-1),"")</f>
      </c>
      <c r="J352">
        <f>IFERROR(INDEX(tblDeviceConfig[PI_Validated_By],ROW()-1),"")</f>
      </c>
      <c r="K352">
        <f>IFERROR(INDEX(tblDeviceConfig[PI_Validated_Date],ROW()-1),"")</f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</c>
      <c r="C353">
        <f>IFERROR(INDEX(tblDeviceConfig[Deployed],ROW()-1),"")</f>
      </c>
      <c r="D353">
        <f>IFERROR(INDEX(tblDeviceConfig[Installed],ROW()-1),"")</f>
      </c>
      <c r="E353">
        <f>IFERROR(INDEX(tblDeviceConfig[Cybernet Hostname],ROW()-1),"")</f>
      </c>
      <c r="F353">
        <f>IFERROR(INDEX(tblDeviceConfig[Neuron Hostname],ROW()-1),"")</f>
      </c>
      <c r="G353">
        <f>IFERROR(INDEX(tblDeviceConfig[Software List],ROW()-1),"")</f>
      </c>
      <c r="H353">
        <f>IFERROR(INDEX(tblDeviceConfig[PI_Use_Case],ROW()-1),"")</f>
      </c>
      <c r="I353">
        <f>IFERROR(INDEX(tblDeviceConfig[PI_Result],ROW()-1),"")</f>
      </c>
      <c r="J353">
        <f>IFERROR(INDEX(tblDeviceConfig[PI_Validated_By],ROW()-1),"")</f>
      </c>
      <c r="K353">
        <f>IFERROR(INDEX(tblDeviceConfig[PI_Validated_Date],ROW()-1),"")</f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</c>
      <c r="C354">
        <f>IFERROR(INDEX(tblDeviceConfig[Deployed],ROW()-1),"")</f>
      </c>
      <c r="D354">
        <f>IFERROR(INDEX(tblDeviceConfig[Installed],ROW()-1),"")</f>
      </c>
      <c r="E354">
        <f>IFERROR(INDEX(tblDeviceConfig[Cybernet Hostname],ROW()-1),"")</f>
      </c>
      <c r="F354">
        <f>IFERROR(INDEX(tblDeviceConfig[Neuron Hostname],ROW()-1),"")</f>
      </c>
      <c r="G354">
        <f>IFERROR(INDEX(tblDeviceConfig[Software List],ROW()-1),"")</f>
      </c>
      <c r="H354">
        <f>IFERROR(INDEX(tblDeviceConfig[PI_Use_Case],ROW()-1),"")</f>
      </c>
      <c r="I354">
        <f>IFERROR(INDEX(tblDeviceConfig[PI_Result],ROW()-1),"")</f>
      </c>
      <c r="J354">
        <f>IFERROR(INDEX(tblDeviceConfig[PI_Validated_By],ROW()-1),"")</f>
      </c>
      <c r="K354">
        <f>IFERROR(INDEX(tblDeviceConfig[PI_Validated_Date],ROW()-1),"")</f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</c>
      <c r="C355">
        <f>IFERROR(INDEX(tblDeviceConfig[Deployed],ROW()-1),"")</f>
      </c>
      <c r="D355">
        <f>IFERROR(INDEX(tblDeviceConfig[Installed],ROW()-1),"")</f>
      </c>
      <c r="E355">
        <f>IFERROR(INDEX(tblDeviceConfig[Cybernet Hostname],ROW()-1),"")</f>
      </c>
      <c r="F355">
        <f>IFERROR(INDEX(tblDeviceConfig[Neuron Hostname],ROW()-1),"")</f>
      </c>
      <c r="G355">
        <f>IFERROR(INDEX(tblDeviceConfig[Software List],ROW()-1),"")</f>
      </c>
      <c r="H355">
        <f>IFERROR(INDEX(tblDeviceConfig[PI_Use_Case],ROW()-1),"")</f>
      </c>
      <c r="I355">
        <f>IFERROR(INDEX(tblDeviceConfig[PI_Result],ROW()-1),"")</f>
      </c>
      <c r="J355">
        <f>IFERROR(INDEX(tblDeviceConfig[PI_Validated_By],ROW()-1),"")</f>
      </c>
      <c r="K355">
        <f>IFERROR(INDEX(tblDeviceConfig[PI_Validated_Date],ROW()-1),"")</f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</c>
      <c r="C356">
        <f>IFERROR(INDEX(tblDeviceConfig[Deployed],ROW()-1),"")</f>
      </c>
      <c r="D356">
        <f>IFERROR(INDEX(tblDeviceConfig[Installed],ROW()-1),"")</f>
      </c>
      <c r="E356">
        <f>IFERROR(INDEX(tblDeviceConfig[Cybernet Hostname],ROW()-1),"")</f>
      </c>
      <c r="F356">
        <f>IFERROR(INDEX(tblDeviceConfig[Neuron Hostname],ROW()-1),"")</f>
      </c>
      <c r="G356">
        <f>IFERROR(INDEX(tblDeviceConfig[Software List],ROW()-1),"")</f>
      </c>
      <c r="H356">
        <f>IFERROR(INDEX(tblDeviceConfig[PI_Use_Case],ROW()-1),"")</f>
      </c>
      <c r="I356">
        <f>IFERROR(INDEX(tblDeviceConfig[PI_Result],ROW()-1),"")</f>
      </c>
      <c r="J356">
        <f>IFERROR(INDEX(tblDeviceConfig[PI_Validated_By],ROW()-1),"")</f>
      </c>
      <c r="K356">
        <f>IFERROR(INDEX(tblDeviceConfig[PI_Validated_Date],ROW()-1),"")</f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</c>
      <c r="C357">
        <f>IFERROR(INDEX(tblDeviceConfig[Deployed],ROW()-1),"")</f>
      </c>
      <c r="D357">
        <f>IFERROR(INDEX(tblDeviceConfig[Installed],ROW()-1),"")</f>
      </c>
      <c r="E357">
        <f>IFERROR(INDEX(tblDeviceConfig[Cybernet Hostname],ROW()-1),"")</f>
      </c>
      <c r="F357">
        <f>IFERROR(INDEX(tblDeviceConfig[Neuron Hostname],ROW()-1),"")</f>
      </c>
      <c r="G357">
        <f>IFERROR(INDEX(tblDeviceConfig[Software List],ROW()-1),"")</f>
      </c>
      <c r="H357">
        <f>IFERROR(INDEX(tblDeviceConfig[PI_Use_Case],ROW()-1),"")</f>
      </c>
      <c r="I357">
        <f>IFERROR(INDEX(tblDeviceConfig[PI_Result],ROW()-1),"")</f>
      </c>
      <c r="J357">
        <f>IFERROR(INDEX(tblDeviceConfig[PI_Validated_By],ROW()-1),"")</f>
      </c>
      <c r="K357">
        <f>IFERROR(INDEX(tblDeviceConfig[PI_Validated_Date],ROW()-1),"")</f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</c>
      <c r="C358">
        <f>IFERROR(INDEX(tblDeviceConfig[Deployed],ROW()-1),"")</f>
      </c>
      <c r="D358">
        <f>IFERROR(INDEX(tblDeviceConfig[Installed],ROW()-1),"")</f>
      </c>
      <c r="E358">
        <f>IFERROR(INDEX(tblDeviceConfig[Cybernet Hostname],ROW()-1),"")</f>
      </c>
      <c r="F358">
        <f>IFERROR(INDEX(tblDeviceConfig[Neuron Hostname],ROW()-1),"")</f>
      </c>
      <c r="G358">
        <f>IFERROR(INDEX(tblDeviceConfig[Software List],ROW()-1),"")</f>
      </c>
      <c r="H358">
        <f>IFERROR(INDEX(tblDeviceConfig[PI_Use_Case],ROW()-1),"")</f>
      </c>
      <c r="I358">
        <f>IFERROR(INDEX(tblDeviceConfig[PI_Result],ROW()-1),"")</f>
      </c>
      <c r="J358">
        <f>IFERROR(INDEX(tblDeviceConfig[PI_Validated_By],ROW()-1),"")</f>
      </c>
      <c r="K358">
        <f>IFERROR(INDEX(tblDeviceConfig[PI_Validated_Date],ROW()-1),"")</f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</c>
      <c r="C359">
        <f>IFERROR(INDEX(tblDeviceConfig[Deployed],ROW()-1),"")</f>
      </c>
      <c r="D359">
        <f>IFERROR(INDEX(tblDeviceConfig[Installed],ROW()-1),"")</f>
      </c>
      <c r="E359">
        <f>IFERROR(INDEX(tblDeviceConfig[Cybernet Hostname],ROW()-1),"")</f>
      </c>
      <c r="F359">
        <f>IFERROR(INDEX(tblDeviceConfig[Neuron Hostname],ROW()-1),"")</f>
      </c>
      <c r="G359">
        <f>IFERROR(INDEX(tblDeviceConfig[Software List],ROW()-1),"")</f>
      </c>
      <c r="H359">
        <f>IFERROR(INDEX(tblDeviceConfig[PI_Use_Case],ROW()-1),"")</f>
      </c>
      <c r="I359">
        <f>IFERROR(INDEX(tblDeviceConfig[PI_Result],ROW()-1),"")</f>
      </c>
      <c r="J359">
        <f>IFERROR(INDEX(tblDeviceConfig[PI_Validated_By],ROW()-1),"")</f>
      </c>
      <c r="K359">
        <f>IFERROR(INDEX(tblDeviceConfig[PI_Validated_Date],ROW()-1),"")</f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</c>
      <c r="C360">
        <f>IFERROR(INDEX(tblDeviceConfig[Deployed],ROW()-1),"")</f>
      </c>
      <c r="D360">
        <f>IFERROR(INDEX(tblDeviceConfig[Installed],ROW()-1),"")</f>
      </c>
      <c r="E360">
        <f>IFERROR(INDEX(tblDeviceConfig[Cybernet Hostname],ROW()-1),"")</f>
      </c>
      <c r="F360">
        <f>IFERROR(INDEX(tblDeviceConfig[Neuron Hostname],ROW()-1),"")</f>
      </c>
      <c r="G360">
        <f>IFERROR(INDEX(tblDeviceConfig[Software List],ROW()-1),"")</f>
      </c>
      <c r="H360">
        <f>IFERROR(INDEX(tblDeviceConfig[PI_Use_Case],ROW()-1),"")</f>
      </c>
      <c r="I360">
        <f>IFERROR(INDEX(tblDeviceConfig[PI_Result],ROW()-1),"")</f>
      </c>
      <c r="J360">
        <f>IFERROR(INDEX(tblDeviceConfig[PI_Validated_By],ROW()-1),"")</f>
      </c>
      <c r="K360">
        <f>IFERROR(INDEX(tblDeviceConfig[PI_Validated_Date],ROW()-1),"")</f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</c>
      <c r="C361">
        <f>IFERROR(INDEX(tblDeviceConfig[Deployed],ROW()-1),"")</f>
      </c>
      <c r="D361">
        <f>IFERROR(INDEX(tblDeviceConfig[Installed],ROW()-1),"")</f>
      </c>
      <c r="E361">
        <f>IFERROR(INDEX(tblDeviceConfig[Cybernet Hostname],ROW()-1),"")</f>
      </c>
      <c r="F361">
        <f>IFERROR(INDEX(tblDeviceConfig[Neuron Hostname],ROW()-1),"")</f>
      </c>
      <c r="G361">
        <f>IFERROR(INDEX(tblDeviceConfig[Software List],ROW()-1),"")</f>
      </c>
      <c r="H361">
        <f>IFERROR(INDEX(tblDeviceConfig[PI_Use_Case],ROW()-1),"")</f>
      </c>
      <c r="I361">
        <f>IFERROR(INDEX(tblDeviceConfig[PI_Result],ROW()-1),"")</f>
      </c>
      <c r="J361">
        <f>IFERROR(INDEX(tblDeviceConfig[PI_Validated_By],ROW()-1),"")</f>
      </c>
      <c r="K361">
        <f>IFERROR(INDEX(tblDeviceConfig[PI_Validated_Date],ROW()-1),"")</f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</c>
      <c r="C362">
        <f>IFERROR(INDEX(tblDeviceConfig[Deployed],ROW()-1),"")</f>
      </c>
      <c r="D362">
        <f>IFERROR(INDEX(tblDeviceConfig[Installed],ROW()-1),"")</f>
      </c>
      <c r="E362">
        <f>IFERROR(INDEX(tblDeviceConfig[Cybernet Hostname],ROW()-1),"")</f>
      </c>
      <c r="F362">
        <f>IFERROR(INDEX(tblDeviceConfig[Neuron Hostname],ROW()-1),"")</f>
      </c>
      <c r="G362">
        <f>IFERROR(INDEX(tblDeviceConfig[Software List],ROW()-1),"")</f>
      </c>
      <c r="H362">
        <f>IFERROR(INDEX(tblDeviceConfig[PI_Use_Case],ROW()-1),"")</f>
      </c>
      <c r="I362">
        <f>IFERROR(INDEX(tblDeviceConfig[PI_Result],ROW()-1),"")</f>
      </c>
      <c r="J362">
        <f>IFERROR(INDEX(tblDeviceConfig[PI_Validated_By],ROW()-1),"")</f>
      </c>
      <c r="K362">
        <f>IFERROR(INDEX(tblDeviceConfig[PI_Validated_Date],ROW()-1),"")</f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</c>
      <c r="C363">
        <f>IFERROR(INDEX(tblDeviceConfig[Deployed],ROW()-1),"")</f>
      </c>
      <c r="D363">
        <f>IFERROR(INDEX(tblDeviceConfig[Installed],ROW()-1),"")</f>
      </c>
      <c r="E363">
        <f>IFERROR(INDEX(tblDeviceConfig[Cybernet Hostname],ROW()-1),"")</f>
      </c>
      <c r="F363">
        <f>IFERROR(INDEX(tblDeviceConfig[Neuron Hostname],ROW()-1),"")</f>
      </c>
      <c r="G363">
        <f>IFERROR(INDEX(tblDeviceConfig[Software List],ROW()-1),"")</f>
      </c>
      <c r="H363">
        <f>IFERROR(INDEX(tblDeviceConfig[PI_Use_Case],ROW()-1),"")</f>
      </c>
      <c r="I363">
        <f>IFERROR(INDEX(tblDeviceConfig[PI_Result],ROW()-1),"")</f>
      </c>
      <c r="J363">
        <f>IFERROR(INDEX(tblDeviceConfig[PI_Validated_By],ROW()-1),"")</f>
      </c>
      <c r="K363">
        <f>IFERROR(INDEX(tblDeviceConfig[PI_Validated_Date],ROW()-1),"")</f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</c>
      <c r="C364">
        <f>IFERROR(INDEX(tblDeviceConfig[Deployed],ROW()-1),"")</f>
      </c>
      <c r="D364">
        <f>IFERROR(INDEX(tblDeviceConfig[Installed],ROW()-1),"")</f>
      </c>
      <c r="E364">
        <f>IFERROR(INDEX(tblDeviceConfig[Cybernet Hostname],ROW()-1),"")</f>
      </c>
      <c r="F364">
        <f>IFERROR(INDEX(tblDeviceConfig[Neuron Hostname],ROW()-1),"")</f>
      </c>
      <c r="G364">
        <f>IFERROR(INDEX(tblDeviceConfig[Software List],ROW()-1),"")</f>
      </c>
      <c r="H364">
        <f>IFERROR(INDEX(tblDeviceConfig[PI_Use_Case],ROW()-1),"")</f>
      </c>
      <c r="I364">
        <f>IFERROR(INDEX(tblDeviceConfig[PI_Result],ROW()-1),"")</f>
      </c>
      <c r="J364">
        <f>IFERROR(INDEX(tblDeviceConfig[PI_Validated_By],ROW()-1),"")</f>
      </c>
      <c r="K364">
        <f>IFERROR(INDEX(tblDeviceConfig[PI_Validated_Date],ROW()-1),"")</f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</c>
      <c r="C365">
        <f>IFERROR(INDEX(tblDeviceConfig[Deployed],ROW()-1),"")</f>
      </c>
      <c r="D365">
        <f>IFERROR(INDEX(tblDeviceConfig[Installed],ROW()-1),"")</f>
      </c>
      <c r="E365">
        <f>IFERROR(INDEX(tblDeviceConfig[Cybernet Hostname],ROW()-1),"")</f>
      </c>
      <c r="F365">
        <f>IFERROR(INDEX(tblDeviceConfig[Neuron Hostname],ROW()-1),"")</f>
      </c>
      <c r="G365">
        <f>IFERROR(INDEX(tblDeviceConfig[Software List],ROW()-1),"")</f>
      </c>
      <c r="H365">
        <f>IFERROR(INDEX(tblDeviceConfig[PI_Use_Case],ROW()-1),"")</f>
      </c>
      <c r="I365">
        <f>IFERROR(INDEX(tblDeviceConfig[PI_Result],ROW()-1),"")</f>
      </c>
      <c r="J365">
        <f>IFERROR(INDEX(tblDeviceConfig[PI_Validated_By],ROW()-1),"")</f>
      </c>
      <c r="K365">
        <f>IFERROR(INDEX(tblDeviceConfig[PI_Validated_Date],ROW()-1),"")</f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</c>
      <c r="C366">
        <f>IFERROR(INDEX(tblDeviceConfig[Deployed],ROW()-1),"")</f>
      </c>
      <c r="D366">
        <f>IFERROR(INDEX(tblDeviceConfig[Installed],ROW()-1),"")</f>
      </c>
      <c r="E366">
        <f>IFERROR(INDEX(tblDeviceConfig[Cybernet Hostname],ROW()-1),"")</f>
      </c>
      <c r="F366">
        <f>IFERROR(INDEX(tblDeviceConfig[Neuron Hostname],ROW()-1),"")</f>
      </c>
      <c r="G366">
        <f>IFERROR(INDEX(tblDeviceConfig[Software List],ROW()-1),"")</f>
      </c>
      <c r="H366">
        <f>IFERROR(INDEX(tblDeviceConfig[PI_Use_Case],ROW()-1),"")</f>
      </c>
      <c r="I366">
        <f>IFERROR(INDEX(tblDeviceConfig[PI_Result],ROW()-1),"")</f>
      </c>
      <c r="J366">
        <f>IFERROR(INDEX(tblDeviceConfig[PI_Validated_By],ROW()-1),"")</f>
      </c>
      <c r="K366">
        <f>IFERROR(INDEX(tblDeviceConfig[PI_Validated_Date],ROW()-1),"")</f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</c>
      <c r="C367">
        <f>IFERROR(INDEX(tblDeviceConfig[Deployed],ROW()-1),"")</f>
      </c>
      <c r="D367">
        <f>IFERROR(INDEX(tblDeviceConfig[Installed],ROW()-1),"")</f>
      </c>
      <c r="E367">
        <f>IFERROR(INDEX(tblDeviceConfig[Cybernet Hostname],ROW()-1),"")</f>
      </c>
      <c r="F367">
        <f>IFERROR(INDEX(tblDeviceConfig[Neuron Hostname],ROW()-1),"")</f>
      </c>
      <c r="G367">
        <f>IFERROR(INDEX(tblDeviceConfig[Software List],ROW()-1),"")</f>
      </c>
      <c r="H367">
        <f>IFERROR(INDEX(tblDeviceConfig[PI_Use_Case],ROW()-1),"")</f>
      </c>
      <c r="I367">
        <f>IFERROR(INDEX(tblDeviceConfig[PI_Result],ROW()-1),"")</f>
      </c>
      <c r="J367">
        <f>IFERROR(INDEX(tblDeviceConfig[PI_Validated_By],ROW()-1),"")</f>
      </c>
      <c r="K367">
        <f>IFERROR(INDEX(tblDeviceConfig[PI_Validated_Date],ROW()-1),"")</f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</c>
      <c r="C368">
        <f>IFERROR(INDEX(tblDeviceConfig[Deployed],ROW()-1),"")</f>
      </c>
      <c r="D368">
        <f>IFERROR(INDEX(tblDeviceConfig[Installed],ROW()-1),"")</f>
      </c>
      <c r="E368">
        <f>IFERROR(INDEX(tblDeviceConfig[Cybernet Hostname],ROW()-1),"")</f>
      </c>
      <c r="F368">
        <f>IFERROR(INDEX(tblDeviceConfig[Neuron Hostname],ROW()-1),"")</f>
      </c>
      <c r="G368">
        <f>IFERROR(INDEX(tblDeviceConfig[Software List],ROW()-1),"")</f>
      </c>
      <c r="H368">
        <f>IFERROR(INDEX(tblDeviceConfig[PI_Use_Case],ROW()-1),"")</f>
      </c>
      <c r="I368">
        <f>IFERROR(INDEX(tblDeviceConfig[PI_Result],ROW()-1),"")</f>
      </c>
      <c r="J368">
        <f>IFERROR(INDEX(tblDeviceConfig[PI_Validated_By],ROW()-1),"")</f>
      </c>
      <c r="K368">
        <f>IFERROR(INDEX(tblDeviceConfig[PI_Validated_Date],ROW()-1),"")</f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</c>
      <c r="C369">
        <f>IFERROR(INDEX(tblDeviceConfig[Deployed],ROW()-1),"")</f>
      </c>
      <c r="D369">
        <f>IFERROR(INDEX(tblDeviceConfig[Installed],ROW()-1),"")</f>
      </c>
      <c r="E369">
        <f>IFERROR(INDEX(tblDeviceConfig[Cybernet Hostname],ROW()-1),"")</f>
      </c>
      <c r="F369">
        <f>IFERROR(INDEX(tblDeviceConfig[Neuron Hostname],ROW()-1),"")</f>
      </c>
      <c r="G369">
        <f>IFERROR(INDEX(tblDeviceConfig[Software List],ROW()-1),"")</f>
      </c>
      <c r="H369">
        <f>IFERROR(INDEX(tblDeviceConfig[PI_Use_Case],ROW()-1),"")</f>
      </c>
      <c r="I369">
        <f>IFERROR(INDEX(tblDeviceConfig[PI_Result],ROW()-1),"")</f>
      </c>
      <c r="J369">
        <f>IFERROR(INDEX(tblDeviceConfig[PI_Validated_By],ROW()-1),"")</f>
      </c>
      <c r="K369">
        <f>IFERROR(INDEX(tblDeviceConfig[PI_Validated_Date],ROW()-1),"")</f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</c>
      <c r="C370">
        <f>IFERROR(INDEX(tblDeviceConfig[Deployed],ROW()-1),"")</f>
      </c>
      <c r="D370">
        <f>IFERROR(INDEX(tblDeviceConfig[Installed],ROW()-1),"")</f>
      </c>
      <c r="E370">
        <f>IFERROR(INDEX(tblDeviceConfig[Cybernet Hostname],ROW()-1),"")</f>
      </c>
      <c r="F370">
        <f>IFERROR(INDEX(tblDeviceConfig[Neuron Hostname],ROW()-1),"")</f>
      </c>
      <c r="G370">
        <f>IFERROR(INDEX(tblDeviceConfig[Software List],ROW()-1),"")</f>
      </c>
      <c r="H370">
        <f>IFERROR(INDEX(tblDeviceConfig[PI_Use_Case],ROW()-1),"")</f>
      </c>
      <c r="I370">
        <f>IFERROR(INDEX(tblDeviceConfig[PI_Result],ROW()-1),"")</f>
      </c>
      <c r="J370">
        <f>IFERROR(INDEX(tblDeviceConfig[PI_Validated_By],ROW()-1),"")</f>
      </c>
      <c r="K370">
        <f>IFERROR(INDEX(tblDeviceConfig[PI_Validated_Date],ROW()-1),"")</f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</c>
      <c r="C371">
        <f>IFERROR(INDEX(tblDeviceConfig[Deployed],ROW()-1),"")</f>
      </c>
      <c r="D371">
        <f>IFERROR(INDEX(tblDeviceConfig[Installed],ROW()-1),"")</f>
      </c>
      <c r="E371">
        <f>IFERROR(INDEX(tblDeviceConfig[Cybernet Hostname],ROW()-1),"")</f>
      </c>
      <c r="F371">
        <f>IFERROR(INDEX(tblDeviceConfig[Neuron Hostname],ROW()-1),"")</f>
      </c>
      <c r="G371">
        <f>IFERROR(INDEX(tblDeviceConfig[Software List],ROW()-1),"")</f>
      </c>
      <c r="H371">
        <f>IFERROR(INDEX(tblDeviceConfig[PI_Use_Case],ROW()-1),"")</f>
      </c>
      <c r="I371">
        <f>IFERROR(INDEX(tblDeviceConfig[PI_Result],ROW()-1),"")</f>
      </c>
      <c r="J371">
        <f>IFERROR(INDEX(tblDeviceConfig[PI_Validated_By],ROW()-1),"")</f>
      </c>
      <c r="K371">
        <f>IFERROR(INDEX(tblDeviceConfig[PI_Validated_Date],ROW()-1),"")</f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</c>
      <c r="C372">
        <f>IFERROR(INDEX(tblDeviceConfig[Deployed],ROW()-1),"")</f>
      </c>
      <c r="D372">
        <f>IFERROR(INDEX(tblDeviceConfig[Installed],ROW()-1),"")</f>
      </c>
      <c r="E372">
        <f>IFERROR(INDEX(tblDeviceConfig[Cybernet Hostname],ROW()-1),"")</f>
      </c>
      <c r="F372">
        <f>IFERROR(INDEX(tblDeviceConfig[Neuron Hostname],ROW()-1),"")</f>
      </c>
      <c r="G372">
        <f>IFERROR(INDEX(tblDeviceConfig[Software List],ROW()-1),"")</f>
      </c>
      <c r="H372">
        <f>IFERROR(INDEX(tblDeviceConfig[PI_Use_Case],ROW()-1),"")</f>
      </c>
      <c r="I372">
        <f>IFERROR(INDEX(tblDeviceConfig[PI_Result],ROW()-1),"")</f>
      </c>
      <c r="J372">
        <f>IFERROR(INDEX(tblDeviceConfig[PI_Validated_By],ROW()-1),"")</f>
      </c>
      <c r="K372">
        <f>IFERROR(INDEX(tblDeviceConfig[PI_Validated_Date],ROW()-1),"")</f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</c>
      <c r="C373">
        <f>IFERROR(INDEX(tblDeviceConfig[Deployed],ROW()-1),"")</f>
      </c>
      <c r="D373">
        <f>IFERROR(INDEX(tblDeviceConfig[Installed],ROW()-1),"")</f>
      </c>
      <c r="E373">
        <f>IFERROR(INDEX(tblDeviceConfig[Cybernet Hostname],ROW()-1),"")</f>
      </c>
      <c r="F373">
        <f>IFERROR(INDEX(tblDeviceConfig[Neuron Hostname],ROW()-1),"")</f>
      </c>
      <c r="G373">
        <f>IFERROR(INDEX(tblDeviceConfig[Software List],ROW()-1),"")</f>
      </c>
      <c r="H373">
        <f>IFERROR(INDEX(tblDeviceConfig[PI_Use_Case],ROW()-1),"")</f>
      </c>
      <c r="I373">
        <f>IFERROR(INDEX(tblDeviceConfig[PI_Result],ROW()-1),"")</f>
      </c>
      <c r="J373">
        <f>IFERROR(INDEX(tblDeviceConfig[PI_Validated_By],ROW()-1),"")</f>
      </c>
      <c r="K373">
        <f>IFERROR(INDEX(tblDeviceConfig[PI_Validated_Date],ROW()-1),"")</f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</c>
      <c r="C374">
        <f>IFERROR(INDEX(tblDeviceConfig[Deployed],ROW()-1),"")</f>
      </c>
      <c r="D374">
        <f>IFERROR(INDEX(tblDeviceConfig[Installed],ROW()-1),"")</f>
      </c>
      <c r="E374">
        <f>IFERROR(INDEX(tblDeviceConfig[Cybernet Hostname],ROW()-1),"")</f>
      </c>
      <c r="F374">
        <f>IFERROR(INDEX(tblDeviceConfig[Neuron Hostname],ROW()-1),"")</f>
      </c>
      <c r="G374">
        <f>IFERROR(INDEX(tblDeviceConfig[Software List],ROW()-1),"")</f>
      </c>
      <c r="H374">
        <f>IFERROR(INDEX(tblDeviceConfig[PI_Use_Case],ROW()-1),"")</f>
      </c>
      <c r="I374">
        <f>IFERROR(INDEX(tblDeviceConfig[PI_Result],ROW()-1),"")</f>
      </c>
      <c r="J374">
        <f>IFERROR(INDEX(tblDeviceConfig[PI_Validated_By],ROW()-1),"")</f>
      </c>
      <c r="K374">
        <f>IFERROR(INDEX(tblDeviceConfig[PI_Validated_Date],ROW()-1),"")</f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</c>
      <c r="C375">
        <f>IFERROR(INDEX(tblDeviceConfig[Deployed],ROW()-1),"")</f>
      </c>
      <c r="D375">
        <f>IFERROR(INDEX(tblDeviceConfig[Installed],ROW()-1),"")</f>
      </c>
      <c r="E375">
        <f>IFERROR(INDEX(tblDeviceConfig[Cybernet Hostname],ROW()-1),"")</f>
      </c>
      <c r="F375">
        <f>IFERROR(INDEX(tblDeviceConfig[Neuron Hostname],ROW()-1),"")</f>
      </c>
      <c r="G375">
        <f>IFERROR(INDEX(tblDeviceConfig[Software List],ROW()-1),"")</f>
      </c>
      <c r="H375">
        <f>IFERROR(INDEX(tblDeviceConfig[PI_Use_Case],ROW()-1),"")</f>
      </c>
      <c r="I375">
        <f>IFERROR(INDEX(tblDeviceConfig[PI_Result],ROW()-1),"")</f>
      </c>
      <c r="J375">
        <f>IFERROR(INDEX(tblDeviceConfig[PI_Validated_By],ROW()-1),"")</f>
      </c>
      <c r="K375">
        <f>IFERROR(INDEX(tblDeviceConfig[PI_Validated_Date],ROW()-1),"")</f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</c>
      <c r="C376">
        <f>IFERROR(INDEX(tblDeviceConfig[Deployed],ROW()-1),"")</f>
      </c>
      <c r="D376">
        <f>IFERROR(INDEX(tblDeviceConfig[Installed],ROW()-1),"")</f>
      </c>
      <c r="E376">
        <f>IFERROR(INDEX(tblDeviceConfig[Cybernet Hostname],ROW()-1),"")</f>
      </c>
      <c r="F376">
        <f>IFERROR(INDEX(tblDeviceConfig[Neuron Hostname],ROW()-1),"")</f>
      </c>
      <c r="G376">
        <f>IFERROR(INDEX(tblDeviceConfig[Software List],ROW()-1),"")</f>
      </c>
      <c r="H376">
        <f>IFERROR(INDEX(tblDeviceConfig[PI_Use_Case],ROW()-1),"")</f>
      </c>
      <c r="I376">
        <f>IFERROR(INDEX(tblDeviceConfig[PI_Result],ROW()-1),"")</f>
      </c>
      <c r="J376">
        <f>IFERROR(INDEX(tblDeviceConfig[PI_Validated_By],ROW()-1),"")</f>
      </c>
      <c r="K376">
        <f>IFERROR(INDEX(tblDeviceConfig[PI_Validated_Date],ROW()-1),"")</f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</c>
      <c r="C377">
        <f>IFERROR(INDEX(tblDeviceConfig[Deployed],ROW()-1),"")</f>
      </c>
      <c r="D377">
        <f>IFERROR(INDEX(tblDeviceConfig[Installed],ROW()-1),"")</f>
      </c>
      <c r="E377">
        <f>IFERROR(INDEX(tblDeviceConfig[Cybernet Hostname],ROW()-1),"")</f>
      </c>
      <c r="F377">
        <f>IFERROR(INDEX(tblDeviceConfig[Neuron Hostname],ROW()-1),"")</f>
      </c>
      <c r="G377">
        <f>IFERROR(INDEX(tblDeviceConfig[Software List],ROW()-1),"")</f>
      </c>
      <c r="H377">
        <f>IFERROR(INDEX(tblDeviceConfig[PI_Use_Case],ROW()-1),"")</f>
      </c>
      <c r="I377">
        <f>IFERROR(INDEX(tblDeviceConfig[PI_Result],ROW()-1),"")</f>
      </c>
      <c r="J377">
        <f>IFERROR(INDEX(tblDeviceConfig[PI_Validated_By],ROW()-1),"")</f>
      </c>
      <c r="K377">
        <f>IFERROR(INDEX(tblDeviceConfig[PI_Validated_Date],ROW()-1),"")</f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</c>
      <c r="C378">
        <f>IFERROR(INDEX(tblDeviceConfig[Deployed],ROW()-1),"")</f>
      </c>
      <c r="D378">
        <f>IFERROR(INDEX(tblDeviceConfig[Installed],ROW()-1),"")</f>
      </c>
      <c r="E378">
        <f>IFERROR(INDEX(tblDeviceConfig[Cybernet Hostname],ROW()-1),"")</f>
      </c>
      <c r="F378">
        <f>IFERROR(INDEX(tblDeviceConfig[Neuron Hostname],ROW()-1),"")</f>
      </c>
      <c r="G378">
        <f>IFERROR(INDEX(tblDeviceConfig[Software List],ROW()-1),"")</f>
      </c>
      <c r="H378">
        <f>IFERROR(INDEX(tblDeviceConfig[PI_Use_Case],ROW()-1),"")</f>
      </c>
      <c r="I378">
        <f>IFERROR(INDEX(tblDeviceConfig[PI_Result],ROW()-1),"")</f>
      </c>
      <c r="J378">
        <f>IFERROR(INDEX(tblDeviceConfig[PI_Validated_By],ROW()-1),"")</f>
      </c>
      <c r="K378">
        <f>IFERROR(INDEX(tblDeviceConfig[PI_Validated_Date],ROW()-1),"")</f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</c>
      <c r="C379">
        <f>IFERROR(INDEX(tblDeviceConfig[Deployed],ROW()-1),"")</f>
      </c>
      <c r="D379">
        <f>IFERROR(INDEX(tblDeviceConfig[Installed],ROW()-1),"")</f>
      </c>
      <c r="E379">
        <f>IFERROR(INDEX(tblDeviceConfig[Cybernet Hostname],ROW()-1),"")</f>
      </c>
      <c r="F379">
        <f>IFERROR(INDEX(tblDeviceConfig[Neuron Hostname],ROW()-1),"")</f>
      </c>
      <c r="G379">
        <f>IFERROR(INDEX(tblDeviceConfig[Software List],ROW()-1),"")</f>
      </c>
      <c r="H379">
        <f>IFERROR(INDEX(tblDeviceConfig[PI_Use_Case],ROW()-1),"")</f>
      </c>
      <c r="I379">
        <f>IFERROR(INDEX(tblDeviceConfig[PI_Result],ROW()-1),"")</f>
      </c>
      <c r="J379">
        <f>IFERROR(INDEX(tblDeviceConfig[PI_Validated_By],ROW()-1),"")</f>
      </c>
      <c r="K379">
        <f>IFERROR(INDEX(tblDeviceConfig[PI_Validated_Date],ROW()-1),"")</f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</c>
      <c r="C380">
        <f>IFERROR(INDEX(tblDeviceConfig[Deployed],ROW()-1),"")</f>
      </c>
      <c r="D380">
        <f>IFERROR(INDEX(tblDeviceConfig[Installed],ROW()-1),"")</f>
      </c>
      <c r="E380">
        <f>IFERROR(INDEX(tblDeviceConfig[Cybernet Hostname],ROW()-1),"")</f>
      </c>
      <c r="F380">
        <f>IFERROR(INDEX(tblDeviceConfig[Neuron Hostname],ROW()-1),"")</f>
      </c>
      <c r="G380">
        <f>IFERROR(INDEX(tblDeviceConfig[Software List],ROW()-1),"")</f>
      </c>
      <c r="H380">
        <f>IFERROR(INDEX(tblDeviceConfig[PI_Use_Case],ROW()-1),"")</f>
      </c>
      <c r="I380">
        <f>IFERROR(INDEX(tblDeviceConfig[PI_Result],ROW()-1),"")</f>
      </c>
      <c r="J380">
        <f>IFERROR(INDEX(tblDeviceConfig[PI_Validated_By],ROW()-1),"")</f>
      </c>
      <c r="K380">
        <f>IFERROR(INDEX(tblDeviceConfig[PI_Validated_Date],ROW()-1),"")</f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</c>
      <c r="C381">
        <f>IFERROR(INDEX(tblDeviceConfig[Deployed],ROW()-1),"")</f>
      </c>
      <c r="D381">
        <f>IFERROR(INDEX(tblDeviceConfig[Installed],ROW()-1),"")</f>
      </c>
      <c r="E381">
        <f>IFERROR(INDEX(tblDeviceConfig[Cybernet Hostname],ROW()-1),"")</f>
      </c>
      <c r="F381">
        <f>IFERROR(INDEX(tblDeviceConfig[Neuron Hostname],ROW()-1),"")</f>
      </c>
      <c r="G381">
        <f>IFERROR(INDEX(tblDeviceConfig[Software List],ROW()-1),"")</f>
      </c>
      <c r="H381">
        <f>IFERROR(INDEX(tblDeviceConfig[PI_Use_Case],ROW()-1),"")</f>
      </c>
      <c r="I381">
        <f>IFERROR(INDEX(tblDeviceConfig[PI_Result],ROW()-1),"")</f>
      </c>
      <c r="J381">
        <f>IFERROR(INDEX(tblDeviceConfig[PI_Validated_By],ROW()-1),"")</f>
      </c>
      <c r="K381">
        <f>IFERROR(INDEX(tblDeviceConfig[PI_Validated_Date],ROW()-1),"")</f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</c>
      <c r="C382">
        <f>IFERROR(INDEX(tblDeviceConfig[Deployed],ROW()-1),"")</f>
      </c>
      <c r="D382">
        <f>IFERROR(INDEX(tblDeviceConfig[Installed],ROW()-1),"")</f>
      </c>
      <c r="E382">
        <f>IFERROR(INDEX(tblDeviceConfig[Cybernet Hostname],ROW()-1),"")</f>
      </c>
      <c r="F382">
        <f>IFERROR(INDEX(tblDeviceConfig[Neuron Hostname],ROW()-1),"")</f>
      </c>
      <c r="G382">
        <f>IFERROR(INDEX(tblDeviceConfig[Software List],ROW()-1),"")</f>
      </c>
      <c r="H382">
        <f>IFERROR(INDEX(tblDeviceConfig[PI_Use_Case],ROW()-1),"")</f>
      </c>
      <c r="I382">
        <f>IFERROR(INDEX(tblDeviceConfig[PI_Result],ROW()-1),"")</f>
      </c>
      <c r="J382">
        <f>IFERROR(INDEX(tblDeviceConfig[PI_Validated_By],ROW()-1),"")</f>
      </c>
      <c r="K382">
        <f>IFERROR(INDEX(tblDeviceConfig[PI_Validated_Date],ROW()-1),"")</f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</c>
      <c r="C383">
        <f>IFERROR(INDEX(tblDeviceConfig[Deployed],ROW()-1),"")</f>
      </c>
      <c r="D383">
        <f>IFERROR(INDEX(tblDeviceConfig[Installed],ROW()-1),"")</f>
      </c>
      <c r="E383">
        <f>IFERROR(INDEX(tblDeviceConfig[Cybernet Hostname],ROW()-1),"")</f>
      </c>
      <c r="F383">
        <f>IFERROR(INDEX(tblDeviceConfig[Neuron Hostname],ROW()-1),"")</f>
      </c>
      <c r="G383">
        <f>IFERROR(INDEX(tblDeviceConfig[Software List],ROW()-1),"")</f>
      </c>
      <c r="H383">
        <f>IFERROR(INDEX(tblDeviceConfig[PI_Use_Case],ROW()-1),"")</f>
      </c>
      <c r="I383">
        <f>IFERROR(INDEX(tblDeviceConfig[PI_Result],ROW()-1),"")</f>
      </c>
      <c r="J383">
        <f>IFERROR(INDEX(tblDeviceConfig[PI_Validated_By],ROW()-1),"")</f>
      </c>
      <c r="K383">
        <f>IFERROR(INDEX(tblDeviceConfig[PI_Validated_Date],ROW()-1),"")</f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</c>
      <c r="C384">
        <f>IFERROR(INDEX(tblDeviceConfig[Deployed],ROW()-1),"")</f>
      </c>
      <c r="D384">
        <f>IFERROR(INDEX(tblDeviceConfig[Installed],ROW()-1),"")</f>
      </c>
      <c r="E384">
        <f>IFERROR(INDEX(tblDeviceConfig[Cybernet Hostname],ROW()-1),"")</f>
      </c>
      <c r="F384">
        <f>IFERROR(INDEX(tblDeviceConfig[Neuron Hostname],ROW()-1),"")</f>
      </c>
      <c r="G384">
        <f>IFERROR(INDEX(tblDeviceConfig[Software List],ROW()-1),"")</f>
      </c>
      <c r="H384">
        <f>IFERROR(INDEX(tblDeviceConfig[PI_Use_Case],ROW()-1),"")</f>
      </c>
      <c r="I384">
        <f>IFERROR(INDEX(tblDeviceConfig[PI_Result],ROW()-1),"")</f>
      </c>
      <c r="J384">
        <f>IFERROR(INDEX(tblDeviceConfig[PI_Validated_By],ROW()-1),"")</f>
      </c>
      <c r="K384">
        <f>IFERROR(INDEX(tblDeviceConfig[PI_Validated_Date],ROW()-1),"")</f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</c>
      <c r="C385">
        <f>IFERROR(INDEX(tblDeviceConfig[Deployed],ROW()-1),"")</f>
      </c>
      <c r="D385">
        <f>IFERROR(INDEX(tblDeviceConfig[Installed],ROW()-1),"")</f>
      </c>
      <c r="E385">
        <f>IFERROR(INDEX(tblDeviceConfig[Cybernet Hostname],ROW()-1),"")</f>
      </c>
      <c r="F385">
        <f>IFERROR(INDEX(tblDeviceConfig[Neuron Hostname],ROW()-1),"")</f>
      </c>
      <c r="G385">
        <f>IFERROR(INDEX(tblDeviceConfig[Software List],ROW()-1),"")</f>
      </c>
      <c r="H385">
        <f>IFERROR(INDEX(tblDeviceConfig[PI_Use_Case],ROW()-1),"")</f>
      </c>
      <c r="I385">
        <f>IFERROR(INDEX(tblDeviceConfig[PI_Result],ROW()-1),"")</f>
      </c>
      <c r="J385">
        <f>IFERROR(INDEX(tblDeviceConfig[PI_Validated_By],ROW()-1),"")</f>
      </c>
      <c r="K385">
        <f>IFERROR(INDEX(tblDeviceConfig[PI_Validated_Date],ROW()-1),"")</f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</c>
      <c r="C386">
        <f>IFERROR(INDEX(tblDeviceConfig[Deployed],ROW()-1),"")</f>
      </c>
      <c r="D386">
        <f>IFERROR(INDEX(tblDeviceConfig[Installed],ROW()-1),"")</f>
      </c>
      <c r="E386">
        <f>IFERROR(INDEX(tblDeviceConfig[Cybernet Hostname],ROW()-1),"")</f>
      </c>
      <c r="F386">
        <f>IFERROR(INDEX(tblDeviceConfig[Neuron Hostname],ROW()-1),"")</f>
      </c>
      <c r="G386">
        <f>IFERROR(INDEX(tblDeviceConfig[Software List],ROW()-1),"")</f>
      </c>
      <c r="H386">
        <f>IFERROR(INDEX(tblDeviceConfig[PI_Use_Case],ROW()-1),"")</f>
      </c>
      <c r="I386">
        <f>IFERROR(INDEX(tblDeviceConfig[PI_Result],ROW()-1),"")</f>
      </c>
      <c r="J386">
        <f>IFERROR(INDEX(tblDeviceConfig[PI_Validated_By],ROW()-1),"")</f>
      </c>
      <c r="K386">
        <f>IFERROR(INDEX(tblDeviceConfig[PI_Validated_Date],ROW()-1),"")</f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</c>
      <c r="C387">
        <f>IFERROR(INDEX(tblDeviceConfig[Deployed],ROW()-1),"")</f>
      </c>
      <c r="D387">
        <f>IFERROR(INDEX(tblDeviceConfig[Installed],ROW()-1),"")</f>
      </c>
      <c r="E387">
        <f>IFERROR(INDEX(tblDeviceConfig[Cybernet Hostname],ROW()-1),"")</f>
      </c>
      <c r="F387">
        <f>IFERROR(INDEX(tblDeviceConfig[Neuron Hostname],ROW()-1),"")</f>
      </c>
      <c r="G387">
        <f>IFERROR(INDEX(tblDeviceConfig[Software List],ROW()-1),"")</f>
      </c>
      <c r="H387">
        <f>IFERROR(INDEX(tblDeviceConfig[PI_Use_Case],ROW()-1),"")</f>
      </c>
      <c r="I387">
        <f>IFERROR(INDEX(tblDeviceConfig[PI_Result],ROW()-1),"")</f>
      </c>
      <c r="J387">
        <f>IFERROR(INDEX(tblDeviceConfig[PI_Validated_By],ROW()-1),"")</f>
      </c>
      <c r="K387">
        <f>IFERROR(INDEX(tblDeviceConfig[PI_Validated_Date],ROW()-1),"")</f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</c>
      <c r="C388">
        <f>IFERROR(INDEX(tblDeviceConfig[Deployed],ROW()-1),"")</f>
      </c>
      <c r="D388">
        <f>IFERROR(INDEX(tblDeviceConfig[Installed],ROW()-1),"")</f>
      </c>
      <c r="E388">
        <f>IFERROR(INDEX(tblDeviceConfig[Cybernet Hostname],ROW()-1),"")</f>
      </c>
      <c r="F388">
        <f>IFERROR(INDEX(tblDeviceConfig[Neuron Hostname],ROW()-1),"")</f>
      </c>
      <c r="G388">
        <f>IFERROR(INDEX(tblDeviceConfig[Software List],ROW()-1),"")</f>
      </c>
      <c r="H388">
        <f>IFERROR(INDEX(tblDeviceConfig[PI_Use_Case],ROW()-1),"")</f>
      </c>
      <c r="I388">
        <f>IFERROR(INDEX(tblDeviceConfig[PI_Result],ROW()-1),"")</f>
      </c>
      <c r="J388">
        <f>IFERROR(INDEX(tblDeviceConfig[PI_Validated_By],ROW()-1),"")</f>
      </c>
      <c r="K388">
        <f>IFERROR(INDEX(tblDeviceConfig[PI_Validated_Date],ROW()-1),"")</f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</c>
      <c r="C389">
        <f>IFERROR(INDEX(tblDeviceConfig[Deployed],ROW()-1),"")</f>
      </c>
      <c r="D389">
        <f>IFERROR(INDEX(tblDeviceConfig[Installed],ROW()-1),"")</f>
      </c>
      <c r="E389">
        <f>IFERROR(INDEX(tblDeviceConfig[Cybernet Hostname],ROW()-1),"")</f>
      </c>
      <c r="F389">
        <f>IFERROR(INDEX(tblDeviceConfig[Neuron Hostname],ROW()-1),"")</f>
      </c>
      <c r="G389">
        <f>IFERROR(INDEX(tblDeviceConfig[Software List],ROW()-1),"")</f>
      </c>
      <c r="H389">
        <f>IFERROR(INDEX(tblDeviceConfig[PI_Use_Case],ROW()-1),"")</f>
      </c>
      <c r="I389">
        <f>IFERROR(INDEX(tblDeviceConfig[PI_Result],ROW()-1),"")</f>
      </c>
      <c r="J389">
        <f>IFERROR(INDEX(tblDeviceConfig[PI_Validated_By],ROW()-1),"")</f>
      </c>
      <c r="K389">
        <f>IFERROR(INDEX(tblDeviceConfig[PI_Validated_Date],ROW()-1),"")</f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</c>
      <c r="C390">
        <f>IFERROR(INDEX(tblDeviceConfig[Deployed],ROW()-1),"")</f>
      </c>
      <c r="D390">
        <f>IFERROR(INDEX(tblDeviceConfig[Installed],ROW()-1),"")</f>
      </c>
      <c r="E390">
        <f>IFERROR(INDEX(tblDeviceConfig[Cybernet Hostname],ROW()-1),"")</f>
      </c>
      <c r="F390">
        <f>IFERROR(INDEX(tblDeviceConfig[Neuron Hostname],ROW()-1),"")</f>
      </c>
      <c r="G390">
        <f>IFERROR(INDEX(tblDeviceConfig[Software List],ROW()-1),"")</f>
      </c>
      <c r="H390">
        <f>IFERROR(INDEX(tblDeviceConfig[PI_Use_Case],ROW()-1),"")</f>
      </c>
      <c r="I390">
        <f>IFERROR(INDEX(tblDeviceConfig[PI_Result],ROW()-1),"")</f>
      </c>
      <c r="J390">
        <f>IFERROR(INDEX(tblDeviceConfig[PI_Validated_By],ROW()-1),"")</f>
      </c>
      <c r="K390">
        <f>IFERROR(INDEX(tblDeviceConfig[PI_Validated_Date],ROW()-1),"")</f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</c>
      <c r="C391">
        <f>IFERROR(INDEX(tblDeviceConfig[Deployed],ROW()-1),"")</f>
      </c>
      <c r="D391">
        <f>IFERROR(INDEX(tblDeviceConfig[Installed],ROW()-1),"")</f>
      </c>
      <c r="E391">
        <f>IFERROR(INDEX(tblDeviceConfig[Cybernet Hostname],ROW()-1),"")</f>
      </c>
      <c r="F391">
        <f>IFERROR(INDEX(tblDeviceConfig[Neuron Hostname],ROW()-1),"")</f>
      </c>
      <c r="G391">
        <f>IFERROR(INDEX(tblDeviceConfig[Software List],ROW()-1),"")</f>
      </c>
      <c r="H391">
        <f>IFERROR(INDEX(tblDeviceConfig[PI_Use_Case],ROW()-1),"")</f>
      </c>
      <c r="I391">
        <f>IFERROR(INDEX(tblDeviceConfig[PI_Result],ROW()-1),"")</f>
      </c>
      <c r="J391">
        <f>IFERROR(INDEX(tblDeviceConfig[PI_Validated_By],ROW()-1),"")</f>
      </c>
      <c r="K391">
        <f>IFERROR(INDEX(tblDeviceConfig[PI_Validated_Date],ROW()-1),"")</f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</c>
      <c r="C392">
        <f>IFERROR(INDEX(tblDeviceConfig[Deployed],ROW()-1),"")</f>
      </c>
      <c r="D392">
        <f>IFERROR(INDEX(tblDeviceConfig[Installed],ROW()-1),"")</f>
      </c>
      <c r="E392">
        <f>IFERROR(INDEX(tblDeviceConfig[Cybernet Hostname],ROW()-1),"")</f>
      </c>
      <c r="F392">
        <f>IFERROR(INDEX(tblDeviceConfig[Neuron Hostname],ROW()-1),"")</f>
      </c>
      <c r="G392">
        <f>IFERROR(INDEX(tblDeviceConfig[Software List],ROW()-1),"")</f>
      </c>
      <c r="H392">
        <f>IFERROR(INDEX(tblDeviceConfig[PI_Use_Case],ROW()-1),"")</f>
      </c>
      <c r="I392">
        <f>IFERROR(INDEX(tblDeviceConfig[PI_Result],ROW()-1),"")</f>
      </c>
      <c r="J392">
        <f>IFERROR(INDEX(tblDeviceConfig[PI_Validated_By],ROW()-1),"")</f>
      </c>
      <c r="K392">
        <f>IFERROR(INDEX(tblDeviceConfig[PI_Validated_Date],ROW()-1),"")</f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</c>
      <c r="C393">
        <f>IFERROR(INDEX(tblDeviceConfig[Deployed],ROW()-1),"")</f>
      </c>
      <c r="D393">
        <f>IFERROR(INDEX(tblDeviceConfig[Installed],ROW()-1),"")</f>
      </c>
      <c r="E393">
        <f>IFERROR(INDEX(tblDeviceConfig[Cybernet Hostname],ROW()-1),"")</f>
      </c>
      <c r="F393">
        <f>IFERROR(INDEX(tblDeviceConfig[Neuron Hostname],ROW()-1),"")</f>
      </c>
      <c r="G393">
        <f>IFERROR(INDEX(tblDeviceConfig[Software List],ROW()-1),"")</f>
      </c>
      <c r="H393">
        <f>IFERROR(INDEX(tblDeviceConfig[PI_Use_Case],ROW()-1),"")</f>
      </c>
      <c r="I393">
        <f>IFERROR(INDEX(tblDeviceConfig[PI_Result],ROW()-1),"")</f>
      </c>
      <c r="J393">
        <f>IFERROR(INDEX(tblDeviceConfig[PI_Validated_By],ROW()-1),"")</f>
      </c>
      <c r="K393">
        <f>IFERROR(INDEX(tblDeviceConfig[PI_Validated_Date],ROW()-1),"")</f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</c>
      <c r="C394">
        <f>IFERROR(INDEX(tblDeviceConfig[Deployed],ROW()-1),"")</f>
      </c>
      <c r="D394">
        <f>IFERROR(INDEX(tblDeviceConfig[Installed],ROW()-1),"")</f>
      </c>
      <c r="E394">
        <f>IFERROR(INDEX(tblDeviceConfig[Cybernet Hostname],ROW()-1),"")</f>
      </c>
      <c r="F394">
        <f>IFERROR(INDEX(tblDeviceConfig[Neuron Hostname],ROW()-1),"")</f>
      </c>
      <c r="G394">
        <f>IFERROR(INDEX(tblDeviceConfig[Software List],ROW()-1),"")</f>
      </c>
      <c r="H394">
        <f>IFERROR(INDEX(tblDeviceConfig[PI_Use_Case],ROW()-1),"")</f>
      </c>
      <c r="I394">
        <f>IFERROR(INDEX(tblDeviceConfig[PI_Result],ROW()-1),"")</f>
      </c>
      <c r="J394">
        <f>IFERROR(INDEX(tblDeviceConfig[PI_Validated_By],ROW()-1),"")</f>
      </c>
      <c r="K394">
        <f>IFERROR(INDEX(tblDeviceConfig[PI_Validated_Date],ROW()-1),"")</f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</c>
      <c r="C395">
        <f>IFERROR(INDEX(tblDeviceConfig[Deployed],ROW()-1),"")</f>
      </c>
      <c r="D395">
        <f>IFERROR(INDEX(tblDeviceConfig[Installed],ROW()-1),"")</f>
      </c>
      <c r="E395">
        <f>IFERROR(INDEX(tblDeviceConfig[Cybernet Hostname],ROW()-1),"")</f>
      </c>
      <c r="F395">
        <f>IFERROR(INDEX(tblDeviceConfig[Neuron Hostname],ROW()-1),"")</f>
      </c>
      <c r="G395">
        <f>IFERROR(INDEX(tblDeviceConfig[Software List],ROW()-1),"")</f>
      </c>
      <c r="H395">
        <f>IFERROR(INDEX(tblDeviceConfig[PI_Use_Case],ROW()-1),"")</f>
      </c>
      <c r="I395">
        <f>IFERROR(INDEX(tblDeviceConfig[PI_Result],ROW()-1),"")</f>
      </c>
      <c r="J395">
        <f>IFERROR(INDEX(tblDeviceConfig[PI_Validated_By],ROW()-1),"")</f>
      </c>
      <c r="K395">
        <f>IFERROR(INDEX(tblDeviceConfig[PI_Validated_Date],ROW()-1),"")</f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</c>
      <c r="C396">
        <f>IFERROR(INDEX(tblDeviceConfig[Deployed],ROW()-1),"")</f>
      </c>
      <c r="D396">
        <f>IFERROR(INDEX(tblDeviceConfig[Installed],ROW()-1),"")</f>
      </c>
      <c r="E396">
        <f>IFERROR(INDEX(tblDeviceConfig[Cybernet Hostname],ROW()-1),"")</f>
      </c>
      <c r="F396">
        <f>IFERROR(INDEX(tblDeviceConfig[Neuron Hostname],ROW()-1),"")</f>
      </c>
      <c r="G396">
        <f>IFERROR(INDEX(tblDeviceConfig[Software List],ROW()-1),"")</f>
      </c>
      <c r="H396">
        <f>IFERROR(INDEX(tblDeviceConfig[PI_Use_Case],ROW()-1),"")</f>
      </c>
      <c r="I396">
        <f>IFERROR(INDEX(tblDeviceConfig[PI_Result],ROW()-1),"")</f>
      </c>
      <c r="J396">
        <f>IFERROR(INDEX(tblDeviceConfig[PI_Validated_By],ROW()-1),"")</f>
      </c>
      <c r="K396">
        <f>IFERROR(INDEX(tblDeviceConfig[PI_Validated_Date],ROW()-1),"")</f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</c>
      <c r="C397">
        <f>IFERROR(INDEX(tblDeviceConfig[Deployed],ROW()-1),"")</f>
      </c>
      <c r="D397">
        <f>IFERROR(INDEX(tblDeviceConfig[Installed],ROW()-1),"")</f>
      </c>
      <c r="E397">
        <f>IFERROR(INDEX(tblDeviceConfig[Cybernet Hostname],ROW()-1),"")</f>
      </c>
      <c r="F397">
        <f>IFERROR(INDEX(tblDeviceConfig[Neuron Hostname],ROW()-1),"")</f>
      </c>
      <c r="G397">
        <f>IFERROR(INDEX(tblDeviceConfig[Software List],ROW()-1),"")</f>
      </c>
      <c r="H397">
        <f>IFERROR(INDEX(tblDeviceConfig[PI_Use_Case],ROW()-1),"")</f>
      </c>
      <c r="I397">
        <f>IFERROR(INDEX(tblDeviceConfig[PI_Result],ROW()-1),"")</f>
      </c>
      <c r="J397">
        <f>IFERROR(INDEX(tblDeviceConfig[PI_Validated_By],ROW()-1),"")</f>
      </c>
      <c r="K397">
        <f>IFERROR(INDEX(tblDeviceConfig[PI_Validated_Date],ROW()-1),"")</f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</c>
      <c r="C398">
        <f>IFERROR(INDEX(tblDeviceConfig[Deployed],ROW()-1),"")</f>
      </c>
      <c r="D398">
        <f>IFERROR(INDEX(tblDeviceConfig[Installed],ROW()-1),"")</f>
      </c>
      <c r="E398">
        <f>IFERROR(INDEX(tblDeviceConfig[Cybernet Hostname],ROW()-1),"")</f>
      </c>
      <c r="F398">
        <f>IFERROR(INDEX(tblDeviceConfig[Neuron Hostname],ROW()-1),"")</f>
      </c>
      <c r="G398">
        <f>IFERROR(INDEX(tblDeviceConfig[Software List],ROW()-1),"")</f>
      </c>
      <c r="H398">
        <f>IFERROR(INDEX(tblDeviceConfig[PI_Use_Case],ROW()-1),"")</f>
      </c>
      <c r="I398">
        <f>IFERROR(INDEX(tblDeviceConfig[PI_Result],ROW()-1),"")</f>
      </c>
      <c r="J398">
        <f>IFERROR(INDEX(tblDeviceConfig[PI_Validated_By],ROW()-1),"")</f>
      </c>
      <c r="K398">
        <f>IFERROR(INDEX(tblDeviceConfig[PI_Validated_Date],ROW()-1),"")</f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</c>
      <c r="C399">
        <f>IFERROR(INDEX(tblDeviceConfig[Deployed],ROW()-1),"")</f>
      </c>
      <c r="D399">
        <f>IFERROR(INDEX(tblDeviceConfig[Installed],ROW()-1),"")</f>
      </c>
      <c r="E399">
        <f>IFERROR(INDEX(tblDeviceConfig[Cybernet Hostname],ROW()-1),"")</f>
      </c>
      <c r="F399">
        <f>IFERROR(INDEX(tblDeviceConfig[Neuron Hostname],ROW()-1),"")</f>
      </c>
      <c r="G399">
        <f>IFERROR(INDEX(tblDeviceConfig[Software List],ROW()-1),"")</f>
      </c>
      <c r="H399">
        <f>IFERROR(INDEX(tblDeviceConfig[PI_Use_Case],ROW()-1),"")</f>
      </c>
      <c r="I399">
        <f>IFERROR(INDEX(tblDeviceConfig[PI_Result],ROW()-1),"")</f>
      </c>
      <c r="J399">
        <f>IFERROR(INDEX(tblDeviceConfig[PI_Validated_By],ROW()-1),"")</f>
      </c>
      <c r="K399">
        <f>IFERROR(INDEX(tblDeviceConfig[PI_Validated_Date],ROW()-1),"")</f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</c>
      <c r="C400">
        <f>IFERROR(INDEX(tblDeviceConfig[Deployed],ROW()-1),"")</f>
      </c>
      <c r="D400">
        <f>IFERROR(INDEX(tblDeviceConfig[Installed],ROW()-1),"")</f>
      </c>
      <c r="E400">
        <f>IFERROR(INDEX(tblDeviceConfig[Cybernet Hostname],ROW()-1),"")</f>
      </c>
      <c r="F400">
        <f>IFERROR(INDEX(tblDeviceConfig[Neuron Hostname],ROW()-1),"")</f>
      </c>
      <c r="G400">
        <f>IFERROR(INDEX(tblDeviceConfig[Software List],ROW()-1),"")</f>
      </c>
      <c r="H400">
        <f>IFERROR(INDEX(tblDeviceConfig[PI_Use_Case],ROW()-1),"")</f>
      </c>
      <c r="I400">
        <f>IFERROR(INDEX(tblDeviceConfig[PI_Result],ROW()-1),"")</f>
      </c>
      <c r="J400">
        <f>IFERROR(INDEX(tblDeviceConfig[PI_Validated_By],ROW()-1),"")</f>
      </c>
      <c r="K400">
        <f>IFERROR(INDEX(tblDeviceConfig[PI_Validated_Date],ROW()-1),"")</f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</c>
      <c r="C401">
        <f>IFERROR(INDEX(tblDeviceConfig[Deployed],ROW()-1),"")</f>
      </c>
      <c r="D401">
        <f>IFERROR(INDEX(tblDeviceConfig[Installed],ROW()-1),"")</f>
      </c>
      <c r="E401">
        <f>IFERROR(INDEX(tblDeviceConfig[Cybernet Hostname],ROW()-1),"")</f>
      </c>
      <c r="F401">
        <f>IFERROR(INDEX(tblDeviceConfig[Neuron Hostname],ROW()-1),"")</f>
      </c>
      <c r="G401">
        <f>IFERROR(INDEX(tblDeviceConfig[Software List],ROW()-1),"")</f>
      </c>
      <c r="H401">
        <f>IFERROR(INDEX(tblDeviceConfig[PI_Use_Case],ROW()-1),"")</f>
      </c>
      <c r="I401">
        <f>IFERROR(INDEX(tblDeviceConfig[PI_Result],ROW()-1),"")</f>
      </c>
      <c r="J401">
        <f>IFERROR(INDEX(tblDeviceConfig[PI_Validated_By],ROW()-1),"")</f>
      </c>
      <c r="K401">
        <f>IFERROR(INDEX(tblDeviceConfig[PI_Validated_Date],ROW()-1),"")</f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</c>
      <c r="C402">
        <f>IFERROR(INDEX(tblDeviceConfig[Deployed],ROW()-1),"")</f>
      </c>
      <c r="D402">
        <f>IFERROR(INDEX(tblDeviceConfig[Installed],ROW()-1),"")</f>
      </c>
      <c r="E402">
        <f>IFERROR(INDEX(tblDeviceConfig[Cybernet Hostname],ROW()-1),"")</f>
      </c>
      <c r="F402">
        <f>IFERROR(INDEX(tblDeviceConfig[Neuron Hostname],ROW()-1),"")</f>
      </c>
      <c r="G402">
        <f>IFERROR(INDEX(tblDeviceConfig[Software List],ROW()-1),"")</f>
      </c>
      <c r="H402">
        <f>IFERROR(INDEX(tblDeviceConfig[PI_Use_Case],ROW()-1),"")</f>
      </c>
      <c r="I402">
        <f>IFERROR(INDEX(tblDeviceConfig[PI_Result],ROW()-1),"")</f>
      </c>
      <c r="J402">
        <f>IFERROR(INDEX(tblDeviceConfig[PI_Validated_By],ROW()-1),"")</f>
      </c>
      <c r="K402">
        <f>IFERROR(INDEX(tblDeviceConfig[PI_Validated_Date],ROW()-1),"")</f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</c>
      <c r="C403">
        <f>IFERROR(INDEX(tblDeviceConfig[Deployed],ROW()-1),"")</f>
      </c>
      <c r="D403">
        <f>IFERROR(INDEX(tblDeviceConfig[Installed],ROW()-1),"")</f>
      </c>
      <c r="E403">
        <f>IFERROR(INDEX(tblDeviceConfig[Cybernet Hostname],ROW()-1),"")</f>
      </c>
      <c r="F403">
        <f>IFERROR(INDEX(tblDeviceConfig[Neuron Hostname],ROW()-1),"")</f>
      </c>
      <c r="G403">
        <f>IFERROR(INDEX(tblDeviceConfig[Software List],ROW()-1),"")</f>
      </c>
      <c r="H403">
        <f>IFERROR(INDEX(tblDeviceConfig[PI_Use_Case],ROW()-1),"")</f>
      </c>
      <c r="I403">
        <f>IFERROR(INDEX(tblDeviceConfig[PI_Result],ROW()-1),"")</f>
      </c>
      <c r="J403">
        <f>IFERROR(INDEX(tblDeviceConfig[PI_Validated_By],ROW()-1),"")</f>
      </c>
      <c r="K403">
        <f>IFERROR(INDEX(tblDeviceConfig[PI_Validated_Date],ROW()-1),"")</f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</c>
      <c r="C404">
        <f>IFERROR(INDEX(tblDeviceConfig[Deployed],ROW()-1),"")</f>
      </c>
      <c r="D404">
        <f>IFERROR(INDEX(tblDeviceConfig[Installed],ROW()-1),"")</f>
      </c>
      <c r="E404">
        <f>IFERROR(INDEX(tblDeviceConfig[Cybernet Hostname],ROW()-1),"")</f>
      </c>
      <c r="F404">
        <f>IFERROR(INDEX(tblDeviceConfig[Neuron Hostname],ROW()-1),"")</f>
      </c>
      <c r="G404">
        <f>IFERROR(INDEX(tblDeviceConfig[Software List],ROW()-1),"")</f>
      </c>
      <c r="H404">
        <f>IFERROR(INDEX(tblDeviceConfig[PI_Use_Case],ROW()-1),"")</f>
      </c>
      <c r="I404">
        <f>IFERROR(INDEX(tblDeviceConfig[PI_Result],ROW()-1),"")</f>
      </c>
      <c r="J404">
        <f>IFERROR(INDEX(tblDeviceConfig[PI_Validated_By],ROW()-1),"")</f>
      </c>
      <c r="K404">
        <f>IFERROR(INDEX(tblDeviceConfig[PI_Validated_Date],ROW()-1),"")</f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</c>
      <c r="C405">
        <f>IFERROR(INDEX(tblDeviceConfig[Deployed],ROW()-1),"")</f>
      </c>
      <c r="D405">
        <f>IFERROR(INDEX(tblDeviceConfig[Installed],ROW()-1),"")</f>
      </c>
      <c r="E405">
        <f>IFERROR(INDEX(tblDeviceConfig[Cybernet Hostname],ROW()-1),"")</f>
      </c>
      <c r="F405">
        <f>IFERROR(INDEX(tblDeviceConfig[Neuron Hostname],ROW()-1),"")</f>
      </c>
      <c r="G405">
        <f>IFERROR(INDEX(tblDeviceConfig[Software List],ROW()-1),"")</f>
      </c>
      <c r="H405">
        <f>IFERROR(INDEX(tblDeviceConfig[PI_Use_Case],ROW()-1),"")</f>
      </c>
      <c r="I405">
        <f>IFERROR(INDEX(tblDeviceConfig[PI_Result],ROW()-1),"")</f>
      </c>
      <c r="J405">
        <f>IFERROR(INDEX(tblDeviceConfig[PI_Validated_By],ROW()-1),"")</f>
      </c>
      <c r="K405">
        <f>IFERROR(INDEX(tblDeviceConfig[PI_Validated_Date],ROW()-1),"")</f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</c>
      <c r="C406">
        <f>IFERROR(INDEX(tblDeviceConfig[Deployed],ROW()-1),"")</f>
      </c>
      <c r="D406">
        <f>IFERROR(INDEX(tblDeviceConfig[Installed],ROW()-1),"")</f>
      </c>
      <c r="E406">
        <f>IFERROR(INDEX(tblDeviceConfig[Cybernet Hostname],ROW()-1),"")</f>
      </c>
      <c r="F406">
        <f>IFERROR(INDEX(tblDeviceConfig[Neuron Hostname],ROW()-1),"")</f>
      </c>
      <c r="G406">
        <f>IFERROR(INDEX(tblDeviceConfig[Software List],ROW()-1),"")</f>
      </c>
      <c r="H406">
        <f>IFERROR(INDEX(tblDeviceConfig[PI_Use_Case],ROW()-1),"")</f>
      </c>
      <c r="I406">
        <f>IFERROR(INDEX(tblDeviceConfig[PI_Result],ROW()-1),"")</f>
      </c>
      <c r="J406">
        <f>IFERROR(INDEX(tblDeviceConfig[PI_Validated_By],ROW()-1),"")</f>
      </c>
      <c r="K406">
        <f>IFERROR(INDEX(tblDeviceConfig[PI_Validated_Date],ROW()-1),"")</f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</c>
      <c r="C407">
        <f>IFERROR(INDEX(tblDeviceConfig[Deployed],ROW()-1),"")</f>
      </c>
      <c r="D407">
        <f>IFERROR(INDEX(tblDeviceConfig[Installed],ROW()-1),"")</f>
      </c>
      <c r="E407">
        <f>IFERROR(INDEX(tblDeviceConfig[Cybernet Hostname],ROW()-1),"")</f>
      </c>
      <c r="F407">
        <f>IFERROR(INDEX(tblDeviceConfig[Neuron Hostname],ROW()-1),"")</f>
      </c>
      <c r="G407">
        <f>IFERROR(INDEX(tblDeviceConfig[Software List],ROW()-1),"")</f>
      </c>
      <c r="H407">
        <f>IFERROR(INDEX(tblDeviceConfig[PI_Use_Case],ROW()-1),"")</f>
      </c>
      <c r="I407">
        <f>IFERROR(INDEX(tblDeviceConfig[PI_Result],ROW()-1),"")</f>
      </c>
      <c r="J407">
        <f>IFERROR(INDEX(tblDeviceConfig[PI_Validated_By],ROW()-1),"")</f>
      </c>
      <c r="K407">
        <f>IFERROR(INDEX(tblDeviceConfig[PI_Validated_Date],ROW()-1),"")</f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</c>
      <c r="C408">
        <f>IFERROR(INDEX(tblDeviceConfig[Deployed],ROW()-1),"")</f>
      </c>
      <c r="D408">
        <f>IFERROR(INDEX(tblDeviceConfig[Installed],ROW()-1),"")</f>
      </c>
      <c r="E408">
        <f>IFERROR(INDEX(tblDeviceConfig[Cybernet Hostname],ROW()-1),"")</f>
      </c>
      <c r="F408">
        <f>IFERROR(INDEX(tblDeviceConfig[Neuron Hostname],ROW()-1),"")</f>
      </c>
      <c r="G408">
        <f>IFERROR(INDEX(tblDeviceConfig[Software List],ROW()-1),"")</f>
      </c>
      <c r="H408">
        <f>IFERROR(INDEX(tblDeviceConfig[PI_Use_Case],ROW()-1),"")</f>
      </c>
      <c r="I408">
        <f>IFERROR(INDEX(tblDeviceConfig[PI_Result],ROW()-1),"")</f>
      </c>
      <c r="J408">
        <f>IFERROR(INDEX(tblDeviceConfig[PI_Validated_By],ROW()-1),"")</f>
      </c>
      <c r="K408">
        <f>IFERROR(INDEX(tblDeviceConfig[PI_Validated_Date],ROW()-1),"")</f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</c>
      <c r="C409">
        <f>IFERROR(INDEX(tblDeviceConfig[Deployed],ROW()-1),"")</f>
      </c>
      <c r="D409">
        <f>IFERROR(INDEX(tblDeviceConfig[Installed],ROW()-1),"")</f>
      </c>
      <c r="E409">
        <f>IFERROR(INDEX(tblDeviceConfig[Cybernet Hostname],ROW()-1),"")</f>
      </c>
      <c r="F409">
        <f>IFERROR(INDEX(tblDeviceConfig[Neuron Hostname],ROW()-1),"")</f>
      </c>
      <c r="G409">
        <f>IFERROR(INDEX(tblDeviceConfig[Software List],ROW()-1),"")</f>
      </c>
      <c r="H409">
        <f>IFERROR(INDEX(tblDeviceConfig[PI_Use_Case],ROW()-1),"")</f>
      </c>
      <c r="I409">
        <f>IFERROR(INDEX(tblDeviceConfig[PI_Result],ROW()-1),"")</f>
      </c>
      <c r="J409">
        <f>IFERROR(INDEX(tblDeviceConfig[PI_Validated_By],ROW()-1),"")</f>
      </c>
      <c r="K409">
        <f>IFERROR(INDEX(tblDeviceConfig[PI_Validated_Date],ROW()-1),"")</f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</c>
      <c r="C410">
        <f>IFERROR(INDEX(tblDeviceConfig[Deployed],ROW()-1),"")</f>
      </c>
      <c r="D410">
        <f>IFERROR(INDEX(tblDeviceConfig[Installed],ROW()-1),"")</f>
      </c>
      <c r="E410">
        <f>IFERROR(INDEX(tblDeviceConfig[Cybernet Hostname],ROW()-1),"")</f>
      </c>
      <c r="F410">
        <f>IFERROR(INDEX(tblDeviceConfig[Neuron Hostname],ROW()-1),"")</f>
      </c>
      <c r="G410">
        <f>IFERROR(INDEX(tblDeviceConfig[Software List],ROW()-1),"")</f>
      </c>
      <c r="H410">
        <f>IFERROR(INDEX(tblDeviceConfig[PI_Use_Case],ROW()-1),"")</f>
      </c>
      <c r="I410">
        <f>IFERROR(INDEX(tblDeviceConfig[PI_Result],ROW()-1),"")</f>
      </c>
      <c r="J410">
        <f>IFERROR(INDEX(tblDeviceConfig[PI_Validated_By],ROW()-1),"")</f>
      </c>
      <c r="K410">
        <f>IFERROR(INDEX(tblDeviceConfig[PI_Validated_Date],ROW()-1),"")</f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</c>
      <c r="C411">
        <f>IFERROR(INDEX(tblDeviceConfig[Deployed],ROW()-1),"")</f>
      </c>
      <c r="D411">
        <f>IFERROR(INDEX(tblDeviceConfig[Installed],ROW()-1),"")</f>
      </c>
      <c r="E411">
        <f>IFERROR(INDEX(tblDeviceConfig[Cybernet Hostname],ROW()-1),"")</f>
      </c>
      <c r="F411">
        <f>IFERROR(INDEX(tblDeviceConfig[Neuron Hostname],ROW()-1),"")</f>
      </c>
      <c r="G411">
        <f>IFERROR(INDEX(tblDeviceConfig[Software List],ROW()-1),"")</f>
      </c>
      <c r="H411">
        <f>IFERROR(INDEX(tblDeviceConfig[PI_Use_Case],ROW()-1),"")</f>
      </c>
      <c r="I411">
        <f>IFERROR(INDEX(tblDeviceConfig[PI_Result],ROW()-1),"")</f>
      </c>
      <c r="J411">
        <f>IFERROR(INDEX(tblDeviceConfig[PI_Validated_By],ROW()-1),"")</f>
      </c>
      <c r="K411">
        <f>IFERROR(INDEX(tblDeviceConfig[PI_Validated_Date],ROW()-1),"")</f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</c>
      <c r="C412">
        <f>IFERROR(INDEX(tblDeviceConfig[Deployed],ROW()-1),"")</f>
      </c>
      <c r="D412">
        <f>IFERROR(INDEX(tblDeviceConfig[Installed],ROW()-1),"")</f>
      </c>
      <c r="E412">
        <f>IFERROR(INDEX(tblDeviceConfig[Cybernet Hostname],ROW()-1),"")</f>
      </c>
      <c r="F412">
        <f>IFERROR(INDEX(tblDeviceConfig[Neuron Hostname],ROW()-1),"")</f>
      </c>
      <c r="G412">
        <f>IFERROR(INDEX(tblDeviceConfig[Software List],ROW()-1),"")</f>
      </c>
      <c r="H412">
        <f>IFERROR(INDEX(tblDeviceConfig[PI_Use_Case],ROW()-1),"")</f>
      </c>
      <c r="I412">
        <f>IFERROR(INDEX(tblDeviceConfig[PI_Result],ROW()-1),"")</f>
      </c>
      <c r="J412">
        <f>IFERROR(INDEX(tblDeviceConfig[PI_Validated_By],ROW()-1),"")</f>
      </c>
      <c r="K412">
        <f>IFERROR(INDEX(tblDeviceConfig[PI_Validated_Date],ROW()-1),"")</f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</c>
      <c r="C413">
        <f>IFERROR(INDEX(tblDeviceConfig[Deployed],ROW()-1),"")</f>
      </c>
      <c r="D413">
        <f>IFERROR(INDEX(tblDeviceConfig[Installed],ROW()-1),"")</f>
      </c>
      <c r="E413">
        <f>IFERROR(INDEX(tblDeviceConfig[Cybernet Hostname],ROW()-1),"")</f>
      </c>
      <c r="F413">
        <f>IFERROR(INDEX(tblDeviceConfig[Neuron Hostname],ROW()-1),"")</f>
      </c>
      <c r="G413">
        <f>IFERROR(INDEX(tblDeviceConfig[Software List],ROW()-1),"")</f>
      </c>
      <c r="H413">
        <f>IFERROR(INDEX(tblDeviceConfig[PI_Use_Case],ROW()-1),"")</f>
      </c>
      <c r="I413">
        <f>IFERROR(INDEX(tblDeviceConfig[PI_Result],ROW()-1),"")</f>
      </c>
      <c r="J413">
        <f>IFERROR(INDEX(tblDeviceConfig[PI_Validated_By],ROW()-1),"")</f>
      </c>
      <c r="K413">
        <f>IFERROR(INDEX(tblDeviceConfig[PI_Validated_Date],ROW()-1),"")</f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</c>
      <c r="C414">
        <f>IFERROR(INDEX(tblDeviceConfig[Deployed],ROW()-1),"")</f>
      </c>
      <c r="D414">
        <f>IFERROR(INDEX(tblDeviceConfig[Installed],ROW()-1),"")</f>
      </c>
      <c r="E414">
        <f>IFERROR(INDEX(tblDeviceConfig[Cybernet Hostname],ROW()-1),"")</f>
      </c>
      <c r="F414">
        <f>IFERROR(INDEX(tblDeviceConfig[Neuron Hostname],ROW()-1),"")</f>
      </c>
      <c r="G414">
        <f>IFERROR(INDEX(tblDeviceConfig[Software List],ROW()-1),"")</f>
      </c>
      <c r="H414">
        <f>IFERROR(INDEX(tblDeviceConfig[PI_Use_Case],ROW()-1),"")</f>
      </c>
      <c r="I414">
        <f>IFERROR(INDEX(tblDeviceConfig[PI_Result],ROW()-1),"")</f>
      </c>
      <c r="J414">
        <f>IFERROR(INDEX(tblDeviceConfig[PI_Validated_By],ROW()-1),"")</f>
      </c>
      <c r="K414">
        <f>IFERROR(INDEX(tblDeviceConfig[PI_Validated_Date],ROW()-1),"")</f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</c>
      <c r="C415">
        <f>IFERROR(INDEX(tblDeviceConfig[Deployed],ROW()-1),"")</f>
      </c>
      <c r="D415">
        <f>IFERROR(INDEX(tblDeviceConfig[Installed],ROW()-1),"")</f>
      </c>
      <c r="E415">
        <f>IFERROR(INDEX(tblDeviceConfig[Cybernet Hostname],ROW()-1),"")</f>
      </c>
      <c r="F415">
        <f>IFERROR(INDEX(tblDeviceConfig[Neuron Hostname],ROW()-1),"")</f>
      </c>
      <c r="G415">
        <f>IFERROR(INDEX(tblDeviceConfig[Software List],ROW()-1),"")</f>
      </c>
      <c r="H415">
        <f>IFERROR(INDEX(tblDeviceConfig[PI_Use_Case],ROW()-1),"")</f>
      </c>
      <c r="I415">
        <f>IFERROR(INDEX(tblDeviceConfig[PI_Result],ROW()-1),"")</f>
      </c>
      <c r="J415">
        <f>IFERROR(INDEX(tblDeviceConfig[PI_Validated_By],ROW()-1),"")</f>
      </c>
      <c r="K415">
        <f>IFERROR(INDEX(tblDeviceConfig[PI_Validated_Date],ROW()-1),"")</f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</c>
      <c r="C416">
        <f>IFERROR(INDEX(tblDeviceConfig[Deployed],ROW()-1),"")</f>
      </c>
      <c r="D416">
        <f>IFERROR(INDEX(tblDeviceConfig[Installed],ROW()-1),"")</f>
      </c>
      <c r="E416">
        <f>IFERROR(INDEX(tblDeviceConfig[Cybernet Hostname],ROW()-1),"")</f>
      </c>
      <c r="F416">
        <f>IFERROR(INDEX(tblDeviceConfig[Neuron Hostname],ROW()-1),"")</f>
      </c>
      <c r="G416">
        <f>IFERROR(INDEX(tblDeviceConfig[Software List],ROW()-1),"")</f>
      </c>
      <c r="H416">
        <f>IFERROR(INDEX(tblDeviceConfig[PI_Use_Case],ROW()-1),"")</f>
      </c>
      <c r="I416">
        <f>IFERROR(INDEX(tblDeviceConfig[PI_Result],ROW()-1),"")</f>
      </c>
      <c r="J416">
        <f>IFERROR(INDEX(tblDeviceConfig[PI_Validated_By],ROW()-1),"")</f>
      </c>
      <c r="K416">
        <f>IFERROR(INDEX(tblDeviceConfig[PI_Validated_Date],ROW()-1),"")</f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</c>
      <c r="C417">
        <f>IFERROR(INDEX(tblDeviceConfig[Deployed],ROW()-1),"")</f>
      </c>
      <c r="D417">
        <f>IFERROR(INDEX(tblDeviceConfig[Installed],ROW()-1),"")</f>
      </c>
      <c r="E417">
        <f>IFERROR(INDEX(tblDeviceConfig[Cybernet Hostname],ROW()-1),"")</f>
      </c>
      <c r="F417">
        <f>IFERROR(INDEX(tblDeviceConfig[Neuron Hostname],ROW()-1),"")</f>
      </c>
      <c r="G417">
        <f>IFERROR(INDEX(tblDeviceConfig[Software List],ROW()-1),"")</f>
      </c>
      <c r="H417">
        <f>IFERROR(INDEX(tblDeviceConfig[PI_Use_Case],ROW()-1),"")</f>
      </c>
      <c r="I417">
        <f>IFERROR(INDEX(tblDeviceConfig[PI_Result],ROW()-1),"")</f>
      </c>
      <c r="J417">
        <f>IFERROR(INDEX(tblDeviceConfig[PI_Validated_By],ROW()-1),"")</f>
      </c>
      <c r="K417">
        <f>IFERROR(INDEX(tblDeviceConfig[PI_Validated_Date],ROW()-1),"")</f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</c>
      <c r="C418">
        <f>IFERROR(INDEX(tblDeviceConfig[Deployed],ROW()-1),"")</f>
      </c>
      <c r="D418">
        <f>IFERROR(INDEX(tblDeviceConfig[Installed],ROW()-1),"")</f>
      </c>
      <c r="E418">
        <f>IFERROR(INDEX(tblDeviceConfig[Cybernet Hostname],ROW()-1),"")</f>
      </c>
      <c r="F418">
        <f>IFERROR(INDEX(tblDeviceConfig[Neuron Hostname],ROW()-1),"")</f>
      </c>
      <c r="G418">
        <f>IFERROR(INDEX(tblDeviceConfig[Software List],ROW()-1),"")</f>
      </c>
      <c r="H418">
        <f>IFERROR(INDEX(tblDeviceConfig[PI_Use_Case],ROW()-1),"")</f>
      </c>
      <c r="I418">
        <f>IFERROR(INDEX(tblDeviceConfig[PI_Result],ROW()-1),"")</f>
      </c>
      <c r="J418">
        <f>IFERROR(INDEX(tblDeviceConfig[PI_Validated_By],ROW()-1),"")</f>
      </c>
      <c r="K418">
        <f>IFERROR(INDEX(tblDeviceConfig[PI_Validated_Date],ROW()-1),"")</f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</c>
      <c r="C419">
        <f>IFERROR(INDEX(tblDeviceConfig[Deployed],ROW()-1),"")</f>
      </c>
      <c r="D419">
        <f>IFERROR(INDEX(tblDeviceConfig[Installed],ROW()-1),"")</f>
      </c>
      <c r="E419">
        <f>IFERROR(INDEX(tblDeviceConfig[Cybernet Hostname],ROW()-1),"")</f>
      </c>
      <c r="F419">
        <f>IFERROR(INDEX(tblDeviceConfig[Neuron Hostname],ROW()-1),"")</f>
      </c>
      <c r="G419">
        <f>IFERROR(INDEX(tblDeviceConfig[Software List],ROW()-1),"")</f>
      </c>
      <c r="H419">
        <f>IFERROR(INDEX(tblDeviceConfig[PI_Use_Case],ROW()-1),"")</f>
      </c>
      <c r="I419">
        <f>IFERROR(INDEX(tblDeviceConfig[PI_Result],ROW()-1),"")</f>
      </c>
      <c r="J419">
        <f>IFERROR(INDEX(tblDeviceConfig[PI_Validated_By],ROW()-1),"")</f>
      </c>
      <c r="K419">
        <f>IFERROR(INDEX(tblDeviceConfig[PI_Validated_Date],ROW()-1),"")</f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</c>
      <c r="C420">
        <f>IFERROR(INDEX(tblDeviceConfig[Deployed],ROW()-1),"")</f>
      </c>
      <c r="D420">
        <f>IFERROR(INDEX(tblDeviceConfig[Installed],ROW()-1),"")</f>
      </c>
      <c r="E420">
        <f>IFERROR(INDEX(tblDeviceConfig[Cybernet Hostname],ROW()-1),"")</f>
      </c>
      <c r="F420">
        <f>IFERROR(INDEX(tblDeviceConfig[Neuron Hostname],ROW()-1),"")</f>
      </c>
      <c r="G420">
        <f>IFERROR(INDEX(tblDeviceConfig[Software List],ROW()-1),"")</f>
      </c>
      <c r="H420">
        <f>IFERROR(INDEX(tblDeviceConfig[PI_Use_Case],ROW()-1),"")</f>
      </c>
      <c r="I420">
        <f>IFERROR(INDEX(tblDeviceConfig[PI_Result],ROW()-1),"")</f>
      </c>
      <c r="J420">
        <f>IFERROR(INDEX(tblDeviceConfig[PI_Validated_By],ROW()-1),"")</f>
      </c>
      <c r="K420">
        <f>IFERROR(INDEX(tblDeviceConfig[PI_Validated_Date],ROW()-1),"")</f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</c>
      <c r="C421">
        <f>IFERROR(INDEX(tblDeviceConfig[Deployed],ROW()-1),"")</f>
      </c>
      <c r="D421">
        <f>IFERROR(INDEX(tblDeviceConfig[Installed],ROW()-1),"")</f>
      </c>
      <c r="E421">
        <f>IFERROR(INDEX(tblDeviceConfig[Cybernet Hostname],ROW()-1),"")</f>
      </c>
      <c r="F421">
        <f>IFERROR(INDEX(tblDeviceConfig[Neuron Hostname],ROW()-1),"")</f>
      </c>
      <c r="G421">
        <f>IFERROR(INDEX(tblDeviceConfig[Software List],ROW()-1),"")</f>
      </c>
      <c r="H421">
        <f>IFERROR(INDEX(tblDeviceConfig[PI_Use_Case],ROW()-1),"")</f>
      </c>
      <c r="I421">
        <f>IFERROR(INDEX(tblDeviceConfig[PI_Result],ROW()-1),"")</f>
      </c>
      <c r="J421">
        <f>IFERROR(INDEX(tblDeviceConfig[PI_Validated_By],ROW()-1),"")</f>
      </c>
      <c r="K421">
        <f>IFERROR(INDEX(tblDeviceConfig[PI_Validated_Date],ROW()-1),"")</f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</c>
      <c r="C422">
        <f>IFERROR(INDEX(tblDeviceConfig[Deployed],ROW()-1),"")</f>
      </c>
      <c r="D422">
        <f>IFERROR(INDEX(tblDeviceConfig[Installed],ROW()-1),"")</f>
      </c>
      <c r="E422">
        <f>IFERROR(INDEX(tblDeviceConfig[Cybernet Hostname],ROW()-1),"")</f>
      </c>
      <c r="F422">
        <f>IFERROR(INDEX(tblDeviceConfig[Neuron Hostname],ROW()-1),"")</f>
      </c>
      <c r="G422">
        <f>IFERROR(INDEX(tblDeviceConfig[Software List],ROW()-1),"")</f>
      </c>
      <c r="H422">
        <f>IFERROR(INDEX(tblDeviceConfig[PI_Use_Case],ROW()-1),"")</f>
      </c>
      <c r="I422">
        <f>IFERROR(INDEX(tblDeviceConfig[PI_Result],ROW()-1),"")</f>
      </c>
      <c r="J422">
        <f>IFERROR(INDEX(tblDeviceConfig[PI_Validated_By],ROW()-1),"")</f>
      </c>
      <c r="K422">
        <f>IFERROR(INDEX(tblDeviceConfig[PI_Validated_Date],ROW()-1),"")</f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</c>
      <c r="C423">
        <f>IFERROR(INDEX(tblDeviceConfig[Deployed],ROW()-1),"")</f>
      </c>
      <c r="D423">
        <f>IFERROR(INDEX(tblDeviceConfig[Installed],ROW()-1),"")</f>
      </c>
      <c r="E423">
        <f>IFERROR(INDEX(tblDeviceConfig[Cybernet Hostname],ROW()-1),"")</f>
      </c>
      <c r="F423">
        <f>IFERROR(INDEX(tblDeviceConfig[Neuron Hostname],ROW()-1),"")</f>
      </c>
      <c r="G423">
        <f>IFERROR(INDEX(tblDeviceConfig[Software List],ROW()-1),"")</f>
      </c>
      <c r="H423">
        <f>IFERROR(INDEX(tblDeviceConfig[PI_Use_Case],ROW()-1),"")</f>
      </c>
      <c r="I423">
        <f>IFERROR(INDEX(tblDeviceConfig[PI_Result],ROW()-1),"")</f>
      </c>
      <c r="J423">
        <f>IFERROR(INDEX(tblDeviceConfig[PI_Validated_By],ROW()-1),"")</f>
      </c>
      <c r="K423">
        <f>IFERROR(INDEX(tblDeviceConfig[PI_Validated_Date],ROW()-1),"")</f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</c>
      <c r="C424">
        <f>IFERROR(INDEX(tblDeviceConfig[Deployed],ROW()-1),"")</f>
      </c>
      <c r="D424">
        <f>IFERROR(INDEX(tblDeviceConfig[Installed],ROW()-1),"")</f>
      </c>
      <c r="E424">
        <f>IFERROR(INDEX(tblDeviceConfig[Cybernet Hostname],ROW()-1),"")</f>
      </c>
      <c r="F424">
        <f>IFERROR(INDEX(tblDeviceConfig[Neuron Hostname],ROW()-1),"")</f>
      </c>
      <c r="G424">
        <f>IFERROR(INDEX(tblDeviceConfig[Software List],ROW()-1),"")</f>
      </c>
      <c r="H424">
        <f>IFERROR(INDEX(tblDeviceConfig[PI_Use_Case],ROW()-1),"")</f>
      </c>
      <c r="I424">
        <f>IFERROR(INDEX(tblDeviceConfig[PI_Result],ROW()-1),"")</f>
      </c>
      <c r="J424">
        <f>IFERROR(INDEX(tblDeviceConfig[PI_Validated_By],ROW()-1),"")</f>
      </c>
      <c r="K424">
        <f>IFERROR(INDEX(tblDeviceConfig[PI_Validated_Date],ROW()-1),"")</f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</c>
      <c r="C425">
        <f>IFERROR(INDEX(tblDeviceConfig[Deployed],ROW()-1),"")</f>
      </c>
      <c r="D425">
        <f>IFERROR(INDEX(tblDeviceConfig[Installed],ROW()-1),"")</f>
      </c>
      <c r="E425">
        <f>IFERROR(INDEX(tblDeviceConfig[Cybernet Hostname],ROW()-1),"")</f>
      </c>
      <c r="F425">
        <f>IFERROR(INDEX(tblDeviceConfig[Neuron Hostname],ROW()-1),"")</f>
      </c>
      <c r="G425">
        <f>IFERROR(INDEX(tblDeviceConfig[Software List],ROW()-1),"")</f>
      </c>
      <c r="H425">
        <f>IFERROR(INDEX(tblDeviceConfig[PI_Use_Case],ROW()-1),"")</f>
      </c>
      <c r="I425">
        <f>IFERROR(INDEX(tblDeviceConfig[PI_Result],ROW()-1),"")</f>
      </c>
      <c r="J425">
        <f>IFERROR(INDEX(tblDeviceConfig[PI_Validated_By],ROW()-1),"")</f>
      </c>
      <c r="K425">
        <f>IFERROR(INDEX(tblDeviceConfig[PI_Validated_Date],ROW()-1),"")</f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</c>
      <c r="C426">
        <f>IFERROR(INDEX(tblDeviceConfig[Deployed],ROW()-1),"")</f>
      </c>
      <c r="D426">
        <f>IFERROR(INDEX(tblDeviceConfig[Installed],ROW()-1),"")</f>
      </c>
      <c r="E426">
        <f>IFERROR(INDEX(tblDeviceConfig[Cybernet Hostname],ROW()-1),"")</f>
      </c>
      <c r="F426">
        <f>IFERROR(INDEX(tblDeviceConfig[Neuron Hostname],ROW()-1),"")</f>
      </c>
      <c r="G426">
        <f>IFERROR(INDEX(tblDeviceConfig[Software List],ROW()-1),"")</f>
      </c>
      <c r="H426">
        <f>IFERROR(INDEX(tblDeviceConfig[PI_Use_Case],ROW()-1),"")</f>
      </c>
      <c r="I426">
        <f>IFERROR(INDEX(tblDeviceConfig[PI_Result],ROW()-1),"")</f>
      </c>
      <c r="J426">
        <f>IFERROR(INDEX(tblDeviceConfig[PI_Validated_By],ROW()-1),"")</f>
      </c>
      <c r="K426">
        <f>IFERROR(INDEX(tblDeviceConfig[PI_Validated_Date],ROW()-1),"")</f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</c>
      <c r="C427">
        <f>IFERROR(INDEX(tblDeviceConfig[Deployed],ROW()-1),"")</f>
      </c>
      <c r="D427">
        <f>IFERROR(INDEX(tblDeviceConfig[Installed],ROW()-1),"")</f>
      </c>
      <c r="E427">
        <f>IFERROR(INDEX(tblDeviceConfig[Cybernet Hostname],ROW()-1),"")</f>
      </c>
      <c r="F427">
        <f>IFERROR(INDEX(tblDeviceConfig[Neuron Hostname],ROW()-1),"")</f>
      </c>
      <c r="G427">
        <f>IFERROR(INDEX(tblDeviceConfig[Software List],ROW()-1),"")</f>
      </c>
      <c r="H427">
        <f>IFERROR(INDEX(tblDeviceConfig[PI_Use_Case],ROW()-1),"")</f>
      </c>
      <c r="I427">
        <f>IFERROR(INDEX(tblDeviceConfig[PI_Result],ROW()-1),"")</f>
      </c>
      <c r="J427">
        <f>IFERROR(INDEX(tblDeviceConfig[PI_Validated_By],ROW()-1),"")</f>
      </c>
      <c r="K427">
        <f>IFERROR(INDEX(tblDeviceConfig[PI_Validated_Date],ROW()-1),"")</f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</c>
      <c r="C428">
        <f>IFERROR(INDEX(tblDeviceConfig[Deployed],ROW()-1),"")</f>
      </c>
      <c r="D428">
        <f>IFERROR(INDEX(tblDeviceConfig[Installed],ROW()-1),"")</f>
      </c>
      <c r="E428">
        <f>IFERROR(INDEX(tblDeviceConfig[Cybernet Hostname],ROW()-1),"")</f>
      </c>
      <c r="F428">
        <f>IFERROR(INDEX(tblDeviceConfig[Neuron Hostname],ROW()-1),"")</f>
      </c>
      <c r="G428">
        <f>IFERROR(INDEX(tblDeviceConfig[Software List],ROW()-1),"")</f>
      </c>
      <c r="H428">
        <f>IFERROR(INDEX(tblDeviceConfig[PI_Use_Case],ROW()-1),"")</f>
      </c>
      <c r="I428">
        <f>IFERROR(INDEX(tblDeviceConfig[PI_Result],ROW()-1),"")</f>
      </c>
      <c r="J428">
        <f>IFERROR(INDEX(tblDeviceConfig[PI_Validated_By],ROW()-1),"")</f>
      </c>
      <c r="K428">
        <f>IFERROR(INDEX(tblDeviceConfig[PI_Validated_Date],ROW()-1),"")</f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</c>
      <c r="C429">
        <f>IFERROR(INDEX(tblDeviceConfig[Deployed],ROW()-1),"")</f>
      </c>
      <c r="D429">
        <f>IFERROR(INDEX(tblDeviceConfig[Installed],ROW()-1),"")</f>
      </c>
      <c r="E429">
        <f>IFERROR(INDEX(tblDeviceConfig[Cybernet Hostname],ROW()-1),"")</f>
      </c>
      <c r="F429">
        <f>IFERROR(INDEX(tblDeviceConfig[Neuron Hostname],ROW()-1),"")</f>
      </c>
      <c r="G429">
        <f>IFERROR(INDEX(tblDeviceConfig[Software List],ROW()-1),"")</f>
      </c>
      <c r="H429">
        <f>IFERROR(INDEX(tblDeviceConfig[PI_Use_Case],ROW()-1),"")</f>
      </c>
      <c r="I429">
        <f>IFERROR(INDEX(tblDeviceConfig[PI_Result],ROW()-1),"")</f>
      </c>
      <c r="J429">
        <f>IFERROR(INDEX(tblDeviceConfig[PI_Validated_By],ROW()-1),"")</f>
      </c>
      <c r="K429">
        <f>IFERROR(INDEX(tblDeviceConfig[PI_Validated_Date],ROW()-1),"")</f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</c>
      <c r="C430">
        <f>IFERROR(INDEX(tblDeviceConfig[Deployed],ROW()-1),"")</f>
      </c>
      <c r="D430">
        <f>IFERROR(INDEX(tblDeviceConfig[Installed],ROW()-1),"")</f>
      </c>
      <c r="E430">
        <f>IFERROR(INDEX(tblDeviceConfig[Cybernet Hostname],ROW()-1),"")</f>
      </c>
      <c r="F430">
        <f>IFERROR(INDEX(tblDeviceConfig[Neuron Hostname],ROW()-1),"")</f>
      </c>
      <c r="G430">
        <f>IFERROR(INDEX(tblDeviceConfig[Software List],ROW()-1),"")</f>
      </c>
      <c r="H430">
        <f>IFERROR(INDEX(tblDeviceConfig[PI_Use_Case],ROW()-1),"")</f>
      </c>
      <c r="I430">
        <f>IFERROR(INDEX(tblDeviceConfig[PI_Result],ROW()-1),"")</f>
      </c>
      <c r="J430">
        <f>IFERROR(INDEX(tblDeviceConfig[PI_Validated_By],ROW()-1),"")</f>
      </c>
      <c r="K430">
        <f>IFERROR(INDEX(tblDeviceConfig[PI_Validated_Date],ROW()-1),"")</f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</c>
      <c r="C431">
        <f>IFERROR(INDEX(tblDeviceConfig[Deployed],ROW()-1),"")</f>
      </c>
      <c r="D431">
        <f>IFERROR(INDEX(tblDeviceConfig[Installed],ROW()-1),"")</f>
      </c>
      <c r="E431">
        <f>IFERROR(INDEX(tblDeviceConfig[Cybernet Hostname],ROW()-1),"")</f>
      </c>
      <c r="F431">
        <f>IFERROR(INDEX(tblDeviceConfig[Neuron Hostname],ROW()-1),"")</f>
      </c>
      <c r="G431">
        <f>IFERROR(INDEX(tblDeviceConfig[Software List],ROW()-1),"")</f>
      </c>
      <c r="H431">
        <f>IFERROR(INDEX(tblDeviceConfig[PI_Use_Case],ROW()-1),"")</f>
      </c>
      <c r="I431">
        <f>IFERROR(INDEX(tblDeviceConfig[PI_Result],ROW()-1),"")</f>
      </c>
      <c r="J431">
        <f>IFERROR(INDEX(tblDeviceConfig[PI_Validated_By],ROW()-1),"")</f>
      </c>
      <c r="K431">
        <f>IFERROR(INDEX(tblDeviceConfig[PI_Validated_Date],ROW()-1),"")</f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</c>
      <c r="C432">
        <f>IFERROR(INDEX(tblDeviceConfig[Deployed],ROW()-1),"")</f>
      </c>
      <c r="D432">
        <f>IFERROR(INDEX(tblDeviceConfig[Installed],ROW()-1),"")</f>
      </c>
      <c r="E432">
        <f>IFERROR(INDEX(tblDeviceConfig[Cybernet Hostname],ROW()-1),"")</f>
      </c>
      <c r="F432">
        <f>IFERROR(INDEX(tblDeviceConfig[Neuron Hostname],ROW()-1),"")</f>
      </c>
      <c r="G432">
        <f>IFERROR(INDEX(tblDeviceConfig[Software List],ROW()-1),"")</f>
      </c>
      <c r="H432">
        <f>IFERROR(INDEX(tblDeviceConfig[PI_Use_Case],ROW()-1),"")</f>
      </c>
      <c r="I432">
        <f>IFERROR(INDEX(tblDeviceConfig[PI_Result],ROW()-1),"")</f>
      </c>
      <c r="J432">
        <f>IFERROR(INDEX(tblDeviceConfig[PI_Validated_By],ROW()-1),"")</f>
      </c>
      <c r="K432">
        <f>IFERROR(INDEX(tblDeviceConfig[PI_Validated_Date],ROW()-1),"")</f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</c>
      <c r="C433">
        <f>IFERROR(INDEX(tblDeviceConfig[Deployed],ROW()-1),"")</f>
      </c>
      <c r="D433">
        <f>IFERROR(INDEX(tblDeviceConfig[Installed],ROW()-1),"")</f>
      </c>
      <c r="E433">
        <f>IFERROR(INDEX(tblDeviceConfig[Cybernet Hostname],ROW()-1),"")</f>
      </c>
      <c r="F433">
        <f>IFERROR(INDEX(tblDeviceConfig[Neuron Hostname],ROW()-1),"")</f>
      </c>
      <c r="G433">
        <f>IFERROR(INDEX(tblDeviceConfig[Software List],ROW()-1),"")</f>
      </c>
      <c r="H433">
        <f>IFERROR(INDEX(tblDeviceConfig[PI_Use_Case],ROW()-1),"")</f>
      </c>
      <c r="I433">
        <f>IFERROR(INDEX(tblDeviceConfig[PI_Result],ROW()-1),"")</f>
      </c>
      <c r="J433">
        <f>IFERROR(INDEX(tblDeviceConfig[PI_Validated_By],ROW()-1),"")</f>
      </c>
      <c r="K433">
        <f>IFERROR(INDEX(tblDeviceConfig[PI_Validated_Date],ROW()-1),"")</f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</c>
      <c r="C434">
        <f>IFERROR(INDEX(tblDeviceConfig[Deployed],ROW()-1),"")</f>
      </c>
      <c r="D434">
        <f>IFERROR(INDEX(tblDeviceConfig[Installed],ROW()-1),"")</f>
      </c>
      <c r="E434">
        <f>IFERROR(INDEX(tblDeviceConfig[Cybernet Hostname],ROW()-1),"")</f>
      </c>
      <c r="F434">
        <f>IFERROR(INDEX(tblDeviceConfig[Neuron Hostname],ROW()-1),"")</f>
      </c>
      <c r="G434">
        <f>IFERROR(INDEX(tblDeviceConfig[Software List],ROW()-1),"")</f>
      </c>
      <c r="H434">
        <f>IFERROR(INDEX(tblDeviceConfig[PI_Use_Case],ROW()-1),"")</f>
      </c>
      <c r="I434">
        <f>IFERROR(INDEX(tblDeviceConfig[PI_Result],ROW()-1),"")</f>
      </c>
      <c r="J434">
        <f>IFERROR(INDEX(tblDeviceConfig[PI_Validated_By],ROW()-1),"")</f>
      </c>
      <c r="K434">
        <f>IFERROR(INDEX(tblDeviceConfig[PI_Validated_Date],ROW()-1),"")</f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</c>
      <c r="C435">
        <f>IFERROR(INDEX(tblDeviceConfig[Deployed],ROW()-1),"")</f>
      </c>
      <c r="D435">
        <f>IFERROR(INDEX(tblDeviceConfig[Installed],ROW()-1),"")</f>
      </c>
      <c r="E435">
        <f>IFERROR(INDEX(tblDeviceConfig[Cybernet Hostname],ROW()-1),"")</f>
      </c>
      <c r="F435">
        <f>IFERROR(INDEX(tblDeviceConfig[Neuron Hostname],ROW()-1),"")</f>
      </c>
      <c r="G435">
        <f>IFERROR(INDEX(tblDeviceConfig[Software List],ROW()-1),"")</f>
      </c>
      <c r="H435">
        <f>IFERROR(INDEX(tblDeviceConfig[PI_Use_Case],ROW()-1),"")</f>
      </c>
      <c r="I435">
        <f>IFERROR(INDEX(tblDeviceConfig[PI_Result],ROW()-1),"")</f>
      </c>
      <c r="J435">
        <f>IFERROR(INDEX(tblDeviceConfig[PI_Validated_By],ROW()-1),"")</f>
      </c>
      <c r="K435">
        <f>IFERROR(INDEX(tblDeviceConfig[PI_Validated_Date],ROW()-1),"")</f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</c>
      <c r="C436">
        <f>IFERROR(INDEX(tblDeviceConfig[Deployed],ROW()-1),"")</f>
      </c>
      <c r="D436">
        <f>IFERROR(INDEX(tblDeviceConfig[Installed],ROW()-1),"")</f>
      </c>
      <c r="E436">
        <f>IFERROR(INDEX(tblDeviceConfig[Cybernet Hostname],ROW()-1),"")</f>
      </c>
      <c r="F436">
        <f>IFERROR(INDEX(tblDeviceConfig[Neuron Hostname],ROW()-1),"")</f>
      </c>
      <c r="G436">
        <f>IFERROR(INDEX(tblDeviceConfig[Software List],ROW()-1),"")</f>
      </c>
      <c r="H436">
        <f>IFERROR(INDEX(tblDeviceConfig[PI_Use_Case],ROW()-1),"")</f>
      </c>
      <c r="I436">
        <f>IFERROR(INDEX(tblDeviceConfig[PI_Result],ROW()-1),"")</f>
      </c>
      <c r="J436">
        <f>IFERROR(INDEX(tblDeviceConfig[PI_Validated_By],ROW()-1),"")</f>
      </c>
      <c r="K436">
        <f>IFERROR(INDEX(tblDeviceConfig[PI_Validated_Date],ROW()-1),"")</f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</c>
      <c r="C437">
        <f>IFERROR(INDEX(tblDeviceConfig[Deployed],ROW()-1),"")</f>
      </c>
      <c r="D437">
        <f>IFERROR(INDEX(tblDeviceConfig[Installed],ROW()-1),"")</f>
      </c>
      <c r="E437">
        <f>IFERROR(INDEX(tblDeviceConfig[Cybernet Hostname],ROW()-1),"")</f>
      </c>
      <c r="F437">
        <f>IFERROR(INDEX(tblDeviceConfig[Neuron Hostname],ROW()-1),"")</f>
      </c>
      <c r="G437">
        <f>IFERROR(INDEX(tblDeviceConfig[Software List],ROW()-1),"")</f>
      </c>
      <c r="H437">
        <f>IFERROR(INDEX(tblDeviceConfig[PI_Use_Case],ROW()-1),"")</f>
      </c>
      <c r="I437">
        <f>IFERROR(INDEX(tblDeviceConfig[PI_Result],ROW()-1),"")</f>
      </c>
      <c r="J437">
        <f>IFERROR(INDEX(tblDeviceConfig[PI_Validated_By],ROW()-1),"")</f>
      </c>
      <c r="K437">
        <f>IFERROR(INDEX(tblDeviceConfig[PI_Validated_Date],ROW()-1),"")</f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</c>
      <c r="C438">
        <f>IFERROR(INDEX(tblDeviceConfig[Deployed],ROW()-1),"")</f>
      </c>
      <c r="D438">
        <f>IFERROR(INDEX(tblDeviceConfig[Installed],ROW()-1),"")</f>
      </c>
      <c r="E438">
        <f>IFERROR(INDEX(tblDeviceConfig[Cybernet Hostname],ROW()-1),"")</f>
      </c>
      <c r="F438">
        <f>IFERROR(INDEX(tblDeviceConfig[Neuron Hostname],ROW()-1),"")</f>
      </c>
      <c r="G438">
        <f>IFERROR(INDEX(tblDeviceConfig[Software List],ROW()-1),"")</f>
      </c>
      <c r="H438">
        <f>IFERROR(INDEX(tblDeviceConfig[PI_Use_Case],ROW()-1),"")</f>
      </c>
      <c r="I438">
        <f>IFERROR(INDEX(tblDeviceConfig[PI_Result],ROW()-1),"")</f>
      </c>
      <c r="J438">
        <f>IFERROR(INDEX(tblDeviceConfig[PI_Validated_By],ROW()-1),"")</f>
      </c>
      <c r="K438">
        <f>IFERROR(INDEX(tblDeviceConfig[PI_Validated_Date],ROW()-1),"")</f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</c>
      <c r="C439">
        <f>IFERROR(INDEX(tblDeviceConfig[Deployed],ROW()-1),"")</f>
      </c>
      <c r="D439">
        <f>IFERROR(INDEX(tblDeviceConfig[Installed],ROW()-1),"")</f>
      </c>
      <c r="E439">
        <f>IFERROR(INDEX(tblDeviceConfig[Cybernet Hostname],ROW()-1),"")</f>
      </c>
      <c r="F439">
        <f>IFERROR(INDEX(tblDeviceConfig[Neuron Hostname],ROW()-1),"")</f>
      </c>
      <c r="G439">
        <f>IFERROR(INDEX(tblDeviceConfig[Software List],ROW()-1),"")</f>
      </c>
      <c r="H439">
        <f>IFERROR(INDEX(tblDeviceConfig[PI_Use_Case],ROW()-1),"")</f>
      </c>
      <c r="I439">
        <f>IFERROR(INDEX(tblDeviceConfig[PI_Result],ROW()-1),"")</f>
      </c>
      <c r="J439">
        <f>IFERROR(INDEX(tblDeviceConfig[PI_Validated_By],ROW()-1),"")</f>
      </c>
      <c r="K439">
        <f>IFERROR(INDEX(tblDeviceConfig[PI_Validated_Date],ROW()-1),"")</f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</c>
      <c r="C440">
        <f>IFERROR(INDEX(tblDeviceConfig[Deployed],ROW()-1),"")</f>
      </c>
      <c r="D440">
        <f>IFERROR(INDEX(tblDeviceConfig[Installed],ROW()-1),"")</f>
      </c>
      <c r="E440">
        <f>IFERROR(INDEX(tblDeviceConfig[Cybernet Hostname],ROW()-1),"")</f>
      </c>
      <c r="F440">
        <f>IFERROR(INDEX(tblDeviceConfig[Neuron Hostname],ROW()-1),"")</f>
      </c>
      <c r="G440">
        <f>IFERROR(INDEX(tblDeviceConfig[Software List],ROW()-1),"")</f>
      </c>
      <c r="H440">
        <f>IFERROR(INDEX(tblDeviceConfig[PI_Use_Case],ROW()-1),"")</f>
      </c>
      <c r="I440">
        <f>IFERROR(INDEX(tblDeviceConfig[PI_Result],ROW()-1),"")</f>
      </c>
      <c r="J440">
        <f>IFERROR(INDEX(tblDeviceConfig[PI_Validated_By],ROW()-1),"")</f>
      </c>
      <c r="K440">
        <f>IFERROR(INDEX(tblDeviceConfig[PI_Validated_Date],ROW()-1),"")</f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</c>
      <c r="C441">
        <f>IFERROR(INDEX(tblDeviceConfig[Deployed],ROW()-1),"")</f>
      </c>
      <c r="D441">
        <f>IFERROR(INDEX(tblDeviceConfig[Installed],ROW()-1),"")</f>
      </c>
      <c r="E441">
        <f>IFERROR(INDEX(tblDeviceConfig[Cybernet Hostname],ROW()-1),"")</f>
      </c>
      <c r="F441">
        <f>IFERROR(INDEX(tblDeviceConfig[Neuron Hostname],ROW()-1),"")</f>
      </c>
      <c r="G441">
        <f>IFERROR(INDEX(tblDeviceConfig[Software List],ROW()-1),"")</f>
      </c>
      <c r="H441">
        <f>IFERROR(INDEX(tblDeviceConfig[PI_Use_Case],ROW()-1),"")</f>
      </c>
      <c r="I441">
        <f>IFERROR(INDEX(tblDeviceConfig[PI_Result],ROW()-1),"")</f>
      </c>
      <c r="J441">
        <f>IFERROR(INDEX(tblDeviceConfig[PI_Validated_By],ROW()-1),"")</f>
      </c>
      <c r="K441">
        <f>IFERROR(INDEX(tblDeviceConfig[PI_Validated_Date],ROW()-1),"")</f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</c>
      <c r="C442">
        <f>IFERROR(INDEX(tblDeviceConfig[Deployed],ROW()-1),"")</f>
      </c>
      <c r="D442">
        <f>IFERROR(INDEX(tblDeviceConfig[Installed],ROW()-1),"")</f>
      </c>
      <c r="E442">
        <f>IFERROR(INDEX(tblDeviceConfig[Cybernet Hostname],ROW()-1),"")</f>
      </c>
      <c r="F442">
        <f>IFERROR(INDEX(tblDeviceConfig[Neuron Hostname],ROW()-1),"")</f>
      </c>
      <c r="G442">
        <f>IFERROR(INDEX(tblDeviceConfig[Software List],ROW()-1),"")</f>
      </c>
      <c r="H442">
        <f>IFERROR(INDEX(tblDeviceConfig[PI_Use_Case],ROW()-1),"")</f>
      </c>
      <c r="I442">
        <f>IFERROR(INDEX(tblDeviceConfig[PI_Result],ROW()-1),"")</f>
      </c>
      <c r="J442">
        <f>IFERROR(INDEX(tblDeviceConfig[PI_Validated_By],ROW()-1),"")</f>
      </c>
      <c r="K442">
        <f>IFERROR(INDEX(tblDeviceConfig[PI_Validated_Date],ROW()-1),"")</f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</c>
      <c r="C443">
        <f>IFERROR(INDEX(tblDeviceConfig[Deployed],ROW()-1),"")</f>
      </c>
      <c r="D443">
        <f>IFERROR(INDEX(tblDeviceConfig[Installed],ROW()-1),"")</f>
      </c>
      <c r="E443">
        <f>IFERROR(INDEX(tblDeviceConfig[Cybernet Hostname],ROW()-1),"")</f>
      </c>
      <c r="F443">
        <f>IFERROR(INDEX(tblDeviceConfig[Neuron Hostname],ROW()-1),"")</f>
      </c>
      <c r="G443">
        <f>IFERROR(INDEX(tblDeviceConfig[Software List],ROW()-1),"")</f>
      </c>
      <c r="H443">
        <f>IFERROR(INDEX(tblDeviceConfig[PI_Use_Case],ROW()-1),"")</f>
      </c>
      <c r="I443">
        <f>IFERROR(INDEX(tblDeviceConfig[PI_Result],ROW()-1),"")</f>
      </c>
      <c r="J443">
        <f>IFERROR(INDEX(tblDeviceConfig[PI_Validated_By],ROW()-1),"")</f>
      </c>
      <c r="K443">
        <f>IFERROR(INDEX(tblDeviceConfig[PI_Validated_Date],ROW()-1),"")</f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</c>
      <c r="C444">
        <f>IFERROR(INDEX(tblDeviceConfig[Deployed],ROW()-1),"")</f>
      </c>
      <c r="D444">
        <f>IFERROR(INDEX(tblDeviceConfig[Installed],ROW()-1),"")</f>
      </c>
      <c r="E444">
        <f>IFERROR(INDEX(tblDeviceConfig[Cybernet Hostname],ROW()-1),"")</f>
      </c>
      <c r="F444">
        <f>IFERROR(INDEX(tblDeviceConfig[Neuron Hostname],ROW()-1),"")</f>
      </c>
      <c r="G444">
        <f>IFERROR(INDEX(tblDeviceConfig[Software List],ROW()-1),"")</f>
      </c>
      <c r="H444">
        <f>IFERROR(INDEX(tblDeviceConfig[PI_Use_Case],ROW()-1),"")</f>
      </c>
      <c r="I444">
        <f>IFERROR(INDEX(tblDeviceConfig[PI_Result],ROW()-1),"")</f>
      </c>
      <c r="J444">
        <f>IFERROR(INDEX(tblDeviceConfig[PI_Validated_By],ROW()-1),"")</f>
      </c>
      <c r="K444">
        <f>IFERROR(INDEX(tblDeviceConfig[PI_Validated_Date],ROW()-1),"")</f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</c>
      <c r="C445">
        <f>IFERROR(INDEX(tblDeviceConfig[Deployed],ROW()-1),"")</f>
      </c>
      <c r="D445">
        <f>IFERROR(INDEX(tblDeviceConfig[Installed],ROW()-1),"")</f>
      </c>
      <c r="E445">
        <f>IFERROR(INDEX(tblDeviceConfig[Cybernet Hostname],ROW()-1),"")</f>
      </c>
      <c r="F445">
        <f>IFERROR(INDEX(tblDeviceConfig[Neuron Hostname],ROW()-1),"")</f>
      </c>
      <c r="G445">
        <f>IFERROR(INDEX(tblDeviceConfig[Software List],ROW()-1),"")</f>
      </c>
      <c r="H445">
        <f>IFERROR(INDEX(tblDeviceConfig[PI_Use_Case],ROW()-1),"")</f>
      </c>
      <c r="I445">
        <f>IFERROR(INDEX(tblDeviceConfig[PI_Result],ROW()-1),"")</f>
      </c>
      <c r="J445">
        <f>IFERROR(INDEX(tblDeviceConfig[PI_Validated_By],ROW()-1),"")</f>
      </c>
      <c r="K445">
        <f>IFERROR(INDEX(tblDeviceConfig[PI_Validated_Date],ROW()-1),"")</f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</c>
      <c r="C446">
        <f>IFERROR(INDEX(tblDeviceConfig[Deployed],ROW()-1),"")</f>
      </c>
      <c r="D446">
        <f>IFERROR(INDEX(tblDeviceConfig[Installed],ROW()-1),"")</f>
      </c>
      <c r="E446">
        <f>IFERROR(INDEX(tblDeviceConfig[Cybernet Hostname],ROW()-1),"")</f>
      </c>
      <c r="F446">
        <f>IFERROR(INDEX(tblDeviceConfig[Neuron Hostname],ROW()-1),"")</f>
      </c>
      <c r="G446">
        <f>IFERROR(INDEX(tblDeviceConfig[Software List],ROW()-1),"")</f>
      </c>
      <c r="H446">
        <f>IFERROR(INDEX(tblDeviceConfig[PI_Use_Case],ROW()-1),"")</f>
      </c>
      <c r="I446">
        <f>IFERROR(INDEX(tblDeviceConfig[PI_Result],ROW()-1),"")</f>
      </c>
      <c r="J446">
        <f>IFERROR(INDEX(tblDeviceConfig[PI_Validated_By],ROW()-1),"")</f>
      </c>
      <c r="K446">
        <f>IFERROR(INDEX(tblDeviceConfig[PI_Validated_Date],ROW()-1),"")</f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</c>
      <c r="C447">
        <f>IFERROR(INDEX(tblDeviceConfig[Deployed],ROW()-1),"")</f>
      </c>
      <c r="D447">
        <f>IFERROR(INDEX(tblDeviceConfig[Installed],ROW()-1),"")</f>
      </c>
      <c r="E447">
        <f>IFERROR(INDEX(tblDeviceConfig[Cybernet Hostname],ROW()-1),"")</f>
      </c>
      <c r="F447">
        <f>IFERROR(INDEX(tblDeviceConfig[Neuron Hostname],ROW()-1),"")</f>
      </c>
      <c r="G447">
        <f>IFERROR(INDEX(tblDeviceConfig[Software List],ROW()-1),"")</f>
      </c>
      <c r="H447">
        <f>IFERROR(INDEX(tblDeviceConfig[PI_Use_Case],ROW()-1),"")</f>
      </c>
      <c r="I447">
        <f>IFERROR(INDEX(tblDeviceConfig[PI_Result],ROW()-1),"")</f>
      </c>
      <c r="J447">
        <f>IFERROR(INDEX(tblDeviceConfig[PI_Validated_By],ROW()-1),"")</f>
      </c>
      <c r="K447">
        <f>IFERROR(INDEX(tblDeviceConfig[PI_Validated_Date],ROW()-1),"")</f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</c>
      <c r="C448">
        <f>IFERROR(INDEX(tblDeviceConfig[Deployed],ROW()-1),"")</f>
      </c>
      <c r="D448">
        <f>IFERROR(INDEX(tblDeviceConfig[Installed],ROW()-1),"")</f>
      </c>
      <c r="E448">
        <f>IFERROR(INDEX(tblDeviceConfig[Cybernet Hostname],ROW()-1),"")</f>
      </c>
      <c r="F448">
        <f>IFERROR(INDEX(tblDeviceConfig[Neuron Hostname],ROW()-1),"")</f>
      </c>
      <c r="G448">
        <f>IFERROR(INDEX(tblDeviceConfig[Software List],ROW()-1),"")</f>
      </c>
      <c r="H448">
        <f>IFERROR(INDEX(tblDeviceConfig[PI_Use_Case],ROW()-1),"")</f>
      </c>
      <c r="I448">
        <f>IFERROR(INDEX(tblDeviceConfig[PI_Result],ROW()-1),"")</f>
      </c>
      <c r="J448">
        <f>IFERROR(INDEX(tblDeviceConfig[PI_Validated_By],ROW()-1),"")</f>
      </c>
      <c r="K448">
        <f>IFERROR(INDEX(tblDeviceConfig[PI_Validated_Date],ROW()-1),"")</f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</c>
      <c r="C449">
        <f>IFERROR(INDEX(tblDeviceConfig[Deployed],ROW()-1),"")</f>
      </c>
      <c r="D449">
        <f>IFERROR(INDEX(tblDeviceConfig[Installed],ROW()-1),"")</f>
      </c>
      <c r="E449">
        <f>IFERROR(INDEX(tblDeviceConfig[Cybernet Hostname],ROW()-1),"")</f>
      </c>
      <c r="F449">
        <f>IFERROR(INDEX(tblDeviceConfig[Neuron Hostname],ROW()-1),"")</f>
      </c>
      <c r="G449">
        <f>IFERROR(INDEX(tblDeviceConfig[Software List],ROW()-1),"")</f>
      </c>
      <c r="H449">
        <f>IFERROR(INDEX(tblDeviceConfig[PI_Use_Case],ROW()-1),"")</f>
      </c>
      <c r="I449">
        <f>IFERROR(INDEX(tblDeviceConfig[PI_Result],ROW()-1),"")</f>
      </c>
      <c r="J449">
        <f>IFERROR(INDEX(tblDeviceConfig[PI_Validated_By],ROW()-1),"")</f>
      </c>
      <c r="K449">
        <f>IFERROR(INDEX(tblDeviceConfig[PI_Validated_Date],ROW()-1),"")</f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</c>
      <c r="C450">
        <f>IFERROR(INDEX(tblDeviceConfig[Deployed],ROW()-1),"")</f>
      </c>
      <c r="D450">
        <f>IFERROR(INDEX(tblDeviceConfig[Installed],ROW()-1),"")</f>
      </c>
      <c r="E450">
        <f>IFERROR(INDEX(tblDeviceConfig[Cybernet Hostname],ROW()-1),"")</f>
      </c>
      <c r="F450">
        <f>IFERROR(INDEX(tblDeviceConfig[Neuron Hostname],ROW()-1),"")</f>
      </c>
      <c r="G450">
        <f>IFERROR(INDEX(tblDeviceConfig[Software List],ROW()-1),"")</f>
      </c>
      <c r="H450">
        <f>IFERROR(INDEX(tblDeviceConfig[PI_Use_Case],ROW()-1),"")</f>
      </c>
      <c r="I450">
        <f>IFERROR(INDEX(tblDeviceConfig[PI_Result],ROW()-1),"")</f>
      </c>
      <c r="J450">
        <f>IFERROR(INDEX(tblDeviceConfig[PI_Validated_By],ROW()-1),"")</f>
      </c>
      <c r="K450">
        <f>IFERROR(INDEX(tblDeviceConfig[PI_Validated_Date],ROW()-1),"")</f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</c>
      <c r="C451">
        <f>IFERROR(INDEX(tblDeviceConfig[Deployed],ROW()-1),"")</f>
      </c>
      <c r="D451">
        <f>IFERROR(INDEX(tblDeviceConfig[Installed],ROW()-1),"")</f>
      </c>
      <c r="E451">
        <f>IFERROR(INDEX(tblDeviceConfig[Cybernet Hostname],ROW()-1),"")</f>
      </c>
      <c r="F451">
        <f>IFERROR(INDEX(tblDeviceConfig[Neuron Hostname],ROW()-1),"")</f>
      </c>
      <c r="G451">
        <f>IFERROR(INDEX(tblDeviceConfig[Software List],ROW()-1),"")</f>
      </c>
      <c r="H451">
        <f>IFERROR(INDEX(tblDeviceConfig[PI_Use_Case],ROW()-1),"")</f>
      </c>
      <c r="I451">
        <f>IFERROR(INDEX(tblDeviceConfig[PI_Result],ROW()-1),"")</f>
      </c>
      <c r="J451">
        <f>IFERROR(INDEX(tblDeviceConfig[PI_Validated_By],ROW()-1),"")</f>
      </c>
      <c r="K451">
        <f>IFERROR(INDEX(tblDeviceConfig[PI_Validated_Date],ROW()-1),"")</f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</c>
      <c r="C452">
        <f>IFERROR(INDEX(tblDeviceConfig[Deployed],ROW()-1),"")</f>
      </c>
      <c r="D452">
        <f>IFERROR(INDEX(tblDeviceConfig[Installed],ROW()-1),"")</f>
      </c>
      <c r="E452">
        <f>IFERROR(INDEX(tblDeviceConfig[Cybernet Hostname],ROW()-1),"")</f>
      </c>
      <c r="F452">
        <f>IFERROR(INDEX(tblDeviceConfig[Neuron Hostname],ROW()-1),"")</f>
      </c>
      <c r="G452">
        <f>IFERROR(INDEX(tblDeviceConfig[Software List],ROW()-1),"")</f>
      </c>
      <c r="H452">
        <f>IFERROR(INDEX(tblDeviceConfig[PI_Use_Case],ROW()-1),"")</f>
      </c>
      <c r="I452">
        <f>IFERROR(INDEX(tblDeviceConfig[PI_Result],ROW()-1),"")</f>
      </c>
      <c r="J452">
        <f>IFERROR(INDEX(tblDeviceConfig[PI_Validated_By],ROW()-1),"")</f>
      </c>
      <c r="K452">
        <f>IFERROR(INDEX(tblDeviceConfig[PI_Validated_Date],ROW()-1),"")</f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</c>
      <c r="C453">
        <f>IFERROR(INDEX(tblDeviceConfig[Deployed],ROW()-1),"")</f>
      </c>
      <c r="D453">
        <f>IFERROR(INDEX(tblDeviceConfig[Installed],ROW()-1),"")</f>
      </c>
      <c r="E453">
        <f>IFERROR(INDEX(tblDeviceConfig[Cybernet Hostname],ROW()-1),"")</f>
      </c>
      <c r="F453">
        <f>IFERROR(INDEX(tblDeviceConfig[Neuron Hostname],ROW()-1),"")</f>
      </c>
      <c r="G453">
        <f>IFERROR(INDEX(tblDeviceConfig[Software List],ROW()-1),"")</f>
      </c>
      <c r="H453">
        <f>IFERROR(INDEX(tblDeviceConfig[PI_Use_Case],ROW()-1),"")</f>
      </c>
      <c r="I453">
        <f>IFERROR(INDEX(tblDeviceConfig[PI_Result],ROW()-1),"")</f>
      </c>
      <c r="J453">
        <f>IFERROR(INDEX(tblDeviceConfig[PI_Validated_By],ROW()-1),"")</f>
      </c>
      <c r="K453">
        <f>IFERROR(INDEX(tblDeviceConfig[PI_Validated_Date],ROW()-1),"")</f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</c>
      <c r="C454">
        <f>IFERROR(INDEX(tblDeviceConfig[Deployed],ROW()-1),"")</f>
      </c>
      <c r="D454">
        <f>IFERROR(INDEX(tblDeviceConfig[Installed],ROW()-1),"")</f>
      </c>
      <c r="E454">
        <f>IFERROR(INDEX(tblDeviceConfig[Cybernet Hostname],ROW()-1),"")</f>
      </c>
      <c r="F454">
        <f>IFERROR(INDEX(tblDeviceConfig[Neuron Hostname],ROW()-1),"")</f>
      </c>
      <c r="G454">
        <f>IFERROR(INDEX(tblDeviceConfig[Software List],ROW()-1),"")</f>
      </c>
      <c r="H454">
        <f>IFERROR(INDEX(tblDeviceConfig[PI_Use_Case],ROW()-1),"")</f>
      </c>
      <c r="I454">
        <f>IFERROR(INDEX(tblDeviceConfig[PI_Result],ROW()-1),"")</f>
      </c>
      <c r="J454">
        <f>IFERROR(INDEX(tblDeviceConfig[PI_Validated_By],ROW()-1),"")</f>
      </c>
      <c r="K454">
        <f>IFERROR(INDEX(tblDeviceConfig[PI_Validated_Date],ROW()-1),"")</f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</c>
      <c r="C455">
        <f>IFERROR(INDEX(tblDeviceConfig[Deployed],ROW()-1),"")</f>
      </c>
      <c r="D455">
        <f>IFERROR(INDEX(tblDeviceConfig[Installed],ROW()-1),"")</f>
      </c>
      <c r="E455">
        <f>IFERROR(INDEX(tblDeviceConfig[Cybernet Hostname],ROW()-1),"")</f>
      </c>
      <c r="F455">
        <f>IFERROR(INDEX(tblDeviceConfig[Neuron Hostname],ROW()-1),"")</f>
      </c>
      <c r="G455">
        <f>IFERROR(INDEX(tblDeviceConfig[Software List],ROW()-1),"")</f>
      </c>
      <c r="H455">
        <f>IFERROR(INDEX(tblDeviceConfig[PI_Use_Case],ROW()-1),"")</f>
      </c>
      <c r="I455">
        <f>IFERROR(INDEX(tblDeviceConfig[PI_Result],ROW()-1),"")</f>
      </c>
      <c r="J455">
        <f>IFERROR(INDEX(tblDeviceConfig[PI_Validated_By],ROW()-1),"")</f>
      </c>
      <c r="K455">
        <f>IFERROR(INDEX(tblDeviceConfig[PI_Validated_Date],ROW()-1),"")</f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</c>
      <c r="C456">
        <f>IFERROR(INDEX(tblDeviceConfig[Deployed],ROW()-1),"")</f>
      </c>
      <c r="D456">
        <f>IFERROR(INDEX(tblDeviceConfig[Installed],ROW()-1),"")</f>
      </c>
      <c r="E456">
        <f>IFERROR(INDEX(tblDeviceConfig[Cybernet Hostname],ROW()-1),"")</f>
      </c>
      <c r="F456">
        <f>IFERROR(INDEX(tblDeviceConfig[Neuron Hostname],ROW()-1),"")</f>
      </c>
      <c r="G456">
        <f>IFERROR(INDEX(tblDeviceConfig[Software List],ROW()-1),"")</f>
      </c>
      <c r="H456">
        <f>IFERROR(INDEX(tblDeviceConfig[PI_Use_Case],ROW()-1),"")</f>
      </c>
      <c r="I456">
        <f>IFERROR(INDEX(tblDeviceConfig[PI_Result],ROW()-1),"")</f>
      </c>
      <c r="J456">
        <f>IFERROR(INDEX(tblDeviceConfig[PI_Validated_By],ROW()-1),"")</f>
      </c>
      <c r="K456">
        <f>IFERROR(INDEX(tblDeviceConfig[PI_Validated_Date],ROW()-1),"")</f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</c>
      <c r="C457">
        <f>IFERROR(INDEX(tblDeviceConfig[Deployed],ROW()-1),"")</f>
      </c>
      <c r="D457">
        <f>IFERROR(INDEX(tblDeviceConfig[Installed],ROW()-1),"")</f>
      </c>
      <c r="E457">
        <f>IFERROR(INDEX(tblDeviceConfig[Cybernet Hostname],ROW()-1),"")</f>
      </c>
      <c r="F457">
        <f>IFERROR(INDEX(tblDeviceConfig[Neuron Hostname],ROW()-1),"")</f>
      </c>
      <c r="G457">
        <f>IFERROR(INDEX(tblDeviceConfig[Software List],ROW()-1),"")</f>
      </c>
      <c r="H457">
        <f>IFERROR(INDEX(tblDeviceConfig[PI_Use_Case],ROW()-1),"")</f>
      </c>
      <c r="I457">
        <f>IFERROR(INDEX(tblDeviceConfig[PI_Result],ROW()-1),"")</f>
      </c>
      <c r="J457">
        <f>IFERROR(INDEX(tblDeviceConfig[PI_Validated_By],ROW()-1),"")</f>
      </c>
      <c r="K457">
        <f>IFERROR(INDEX(tblDeviceConfig[PI_Validated_Date],ROW()-1),"")</f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</c>
      <c r="C458">
        <f>IFERROR(INDEX(tblDeviceConfig[Deployed],ROW()-1),"")</f>
      </c>
      <c r="D458">
        <f>IFERROR(INDEX(tblDeviceConfig[Installed],ROW()-1),"")</f>
      </c>
      <c r="E458">
        <f>IFERROR(INDEX(tblDeviceConfig[Cybernet Hostname],ROW()-1),"")</f>
      </c>
      <c r="F458">
        <f>IFERROR(INDEX(tblDeviceConfig[Neuron Hostname],ROW()-1),"")</f>
      </c>
      <c r="G458">
        <f>IFERROR(INDEX(tblDeviceConfig[Software List],ROW()-1),"")</f>
      </c>
      <c r="H458">
        <f>IFERROR(INDEX(tblDeviceConfig[PI_Use_Case],ROW()-1),"")</f>
      </c>
      <c r="I458">
        <f>IFERROR(INDEX(tblDeviceConfig[PI_Result],ROW()-1),"")</f>
      </c>
      <c r="J458">
        <f>IFERROR(INDEX(tblDeviceConfig[PI_Validated_By],ROW()-1),"")</f>
      </c>
      <c r="K458">
        <f>IFERROR(INDEX(tblDeviceConfig[PI_Validated_Date],ROW()-1),"")</f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</c>
      <c r="C459">
        <f>IFERROR(INDEX(tblDeviceConfig[Deployed],ROW()-1),"")</f>
      </c>
      <c r="D459">
        <f>IFERROR(INDEX(tblDeviceConfig[Installed],ROW()-1),"")</f>
      </c>
      <c r="E459">
        <f>IFERROR(INDEX(tblDeviceConfig[Cybernet Hostname],ROW()-1),"")</f>
      </c>
      <c r="F459">
        <f>IFERROR(INDEX(tblDeviceConfig[Neuron Hostname],ROW()-1),"")</f>
      </c>
      <c r="G459">
        <f>IFERROR(INDEX(tblDeviceConfig[Software List],ROW()-1),"")</f>
      </c>
      <c r="H459">
        <f>IFERROR(INDEX(tblDeviceConfig[PI_Use_Case],ROW()-1),"")</f>
      </c>
      <c r="I459">
        <f>IFERROR(INDEX(tblDeviceConfig[PI_Result],ROW()-1),"")</f>
      </c>
      <c r="J459">
        <f>IFERROR(INDEX(tblDeviceConfig[PI_Validated_By],ROW()-1),"")</f>
      </c>
      <c r="K459">
        <f>IFERROR(INDEX(tblDeviceConfig[PI_Validated_Date],ROW()-1),"")</f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</c>
      <c r="C460">
        <f>IFERROR(INDEX(tblDeviceConfig[Deployed],ROW()-1),"")</f>
      </c>
      <c r="D460">
        <f>IFERROR(INDEX(tblDeviceConfig[Installed],ROW()-1),"")</f>
      </c>
      <c r="E460">
        <f>IFERROR(INDEX(tblDeviceConfig[Cybernet Hostname],ROW()-1),"")</f>
      </c>
      <c r="F460">
        <f>IFERROR(INDEX(tblDeviceConfig[Neuron Hostname],ROW()-1),"")</f>
      </c>
      <c r="G460">
        <f>IFERROR(INDEX(tblDeviceConfig[Software List],ROW()-1),"")</f>
      </c>
      <c r="H460">
        <f>IFERROR(INDEX(tblDeviceConfig[PI_Use_Case],ROW()-1),"")</f>
      </c>
      <c r="I460">
        <f>IFERROR(INDEX(tblDeviceConfig[PI_Result],ROW()-1),"")</f>
      </c>
      <c r="J460">
        <f>IFERROR(INDEX(tblDeviceConfig[PI_Validated_By],ROW()-1),"")</f>
      </c>
      <c r="K460">
        <f>IFERROR(INDEX(tblDeviceConfig[PI_Validated_Date],ROW()-1),"")</f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</c>
      <c r="C461">
        <f>IFERROR(INDEX(tblDeviceConfig[Deployed],ROW()-1),"")</f>
      </c>
      <c r="D461">
        <f>IFERROR(INDEX(tblDeviceConfig[Installed],ROW()-1),"")</f>
      </c>
      <c r="E461">
        <f>IFERROR(INDEX(tblDeviceConfig[Cybernet Hostname],ROW()-1),"")</f>
      </c>
      <c r="F461">
        <f>IFERROR(INDEX(tblDeviceConfig[Neuron Hostname],ROW()-1),"")</f>
      </c>
      <c r="G461">
        <f>IFERROR(INDEX(tblDeviceConfig[Software List],ROW()-1),"")</f>
      </c>
      <c r="H461">
        <f>IFERROR(INDEX(tblDeviceConfig[PI_Use_Case],ROW()-1),"")</f>
      </c>
      <c r="I461">
        <f>IFERROR(INDEX(tblDeviceConfig[PI_Result],ROW()-1),"")</f>
      </c>
      <c r="J461">
        <f>IFERROR(INDEX(tblDeviceConfig[PI_Validated_By],ROW()-1),"")</f>
      </c>
      <c r="K461">
        <f>IFERROR(INDEX(tblDeviceConfig[PI_Validated_Date],ROW()-1),"")</f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</c>
      <c r="C462">
        <f>IFERROR(INDEX(tblDeviceConfig[Deployed],ROW()-1),"")</f>
      </c>
      <c r="D462">
        <f>IFERROR(INDEX(tblDeviceConfig[Installed],ROW()-1),"")</f>
      </c>
      <c r="E462">
        <f>IFERROR(INDEX(tblDeviceConfig[Cybernet Hostname],ROW()-1),"")</f>
      </c>
      <c r="F462">
        <f>IFERROR(INDEX(tblDeviceConfig[Neuron Hostname],ROW()-1),"")</f>
      </c>
      <c r="G462">
        <f>IFERROR(INDEX(tblDeviceConfig[Software List],ROW()-1),"")</f>
      </c>
      <c r="H462">
        <f>IFERROR(INDEX(tblDeviceConfig[PI_Use_Case],ROW()-1),"")</f>
      </c>
      <c r="I462">
        <f>IFERROR(INDEX(tblDeviceConfig[PI_Result],ROW()-1),"")</f>
      </c>
      <c r="J462">
        <f>IFERROR(INDEX(tblDeviceConfig[PI_Validated_By],ROW()-1),"")</f>
      </c>
      <c r="K462">
        <f>IFERROR(INDEX(tblDeviceConfig[PI_Validated_Date],ROW()-1),"")</f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</c>
      <c r="C463">
        <f>IFERROR(INDEX(tblDeviceConfig[Deployed],ROW()-1),"")</f>
      </c>
      <c r="D463">
        <f>IFERROR(INDEX(tblDeviceConfig[Installed],ROW()-1),"")</f>
      </c>
      <c r="E463">
        <f>IFERROR(INDEX(tblDeviceConfig[Cybernet Hostname],ROW()-1),"")</f>
      </c>
      <c r="F463">
        <f>IFERROR(INDEX(tblDeviceConfig[Neuron Hostname],ROW()-1),"")</f>
      </c>
      <c r="G463">
        <f>IFERROR(INDEX(tblDeviceConfig[Software List],ROW()-1),"")</f>
      </c>
      <c r="H463">
        <f>IFERROR(INDEX(tblDeviceConfig[PI_Use_Case],ROW()-1),"")</f>
      </c>
      <c r="I463">
        <f>IFERROR(INDEX(tblDeviceConfig[PI_Result],ROW()-1),"")</f>
      </c>
      <c r="J463">
        <f>IFERROR(INDEX(tblDeviceConfig[PI_Validated_By],ROW()-1),"")</f>
      </c>
      <c r="K463">
        <f>IFERROR(INDEX(tblDeviceConfig[PI_Validated_Date],ROW()-1),"")</f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</c>
      <c r="C464">
        <f>IFERROR(INDEX(tblDeviceConfig[Deployed],ROW()-1),"")</f>
      </c>
      <c r="D464">
        <f>IFERROR(INDEX(tblDeviceConfig[Installed],ROW()-1),"")</f>
      </c>
      <c r="E464">
        <f>IFERROR(INDEX(tblDeviceConfig[Cybernet Hostname],ROW()-1),"")</f>
      </c>
      <c r="F464">
        <f>IFERROR(INDEX(tblDeviceConfig[Neuron Hostname],ROW()-1),"")</f>
      </c>
      <c r="G464">
        <f>IFERROR(INDEX(tblDeviceConfig[Software List],ROW()-1),"")</f>
      </c>
      <c r="H464">
        <f>IFERROR(INDEX(tblDeviceConfig[PI_Use_Case],ROW()-1),"")</f>
      </c>
      <c r="I464">
        <f>IFERROR(INDEX(tblDeviceConfig[PI_Result],ROW()-1),"")</f>
      </c>
      <c r="J464">
        <f>IFERROR(INDEX(tblDeviceConfig[PI_Validated_By],ROW()-1),"")</f>
      </c>
      <c r="K464">
        <f>IFERROR(INDEX(tblDeviceConfig[PI_Validated_Date],ROW()-1),"")</f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</c>
      <c r="C465">
        <f>IFERROR(INDEX(tblDeviceConfig[Deployed],ROW()-1),"")</f>
      </c>
      <c r="D465">
        <f>IFERROR(INDEX(tblDeviceConfig[Installed],ROW()-1),"")</f>
      </c>
      <c r="E465">
        <f>IFERROR(INDEX(tblDeviceConfig[Cybernet Hostname],ROW()-1),"")</f>
      </c>
      <c r="F465">
        <f>IFERROR(INDEX(tblDeviceConfig[Neuron Hostname],ROW()-1),"")</f>
      </c>
      <c r="G465">
        <f>IFERROR(INDEX(tblDeviceConfig[Software List],ROW()-1),"")</f>
      </c>
      <c r="H465">
        <f>IFERROR(INDEX(tblDeviceConfig[PI_Use_Case],ROW()-1),"")</f>
      </c>
      <c r="I465">
        <f>IFERROR(INDEX(tblDeviceConfig[PI_Result],ROW()-1),"")</f>
      </c>
      <c r="J465">
        <f>IFERROR(INDEX(tblDeviceConfig[PI_Validated_By],ROW()-1),"")</f>
      </c>
      <c r="K465">
        <f>IFERROR(INDEX(tblDeviceConfig[PI_Validated_Date],ROW()-1),"")</f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</c>
      <c r="C466">
        <f>IFERROR(INDEX(tblDeviceConfig[Deployed],ROW()-1),"")</f>
      </c>
      <c r="D466">
        <f>IFERROR(INDEX(tblDeviceConfig[Installed],ROW()-1),"")</f>
      </c>
      <c r="E466">
        <f>IFERROR(INDEX(tblDeviceConfig[Cybernet Hostname],ROW()-1),"")</f>
      </c>
      <c r="F466">
        <f>IFERROR(INDEX(tblDeviceConfig[Neuron Hostname],ROW()-1),"")</f>
      </c>
      <c r="G466">
        <f>IFERROR(INDEX(tblDeviceConfig[Software List],ROW()-1),"")</f>
      </c>
      <c r="H466">
        <f>IFERROR(INDEX(tblDeviceConfig[PI_Use_Case],ROW()-1),"")</f>
      </c>
      <c r="I466">
        <f>IFERROR(INDEX(tblDeviceConfig[PI_Result],ROW()-1),"")</f>
      </c>
      <c r="J466">
        <f>IFERROR(INDEX(tblDeviceConfig[PI_Validated_By],ROW()-1),"")</f>
      </c>
      <c r="K466">
        <f>IFERROR(INDEX(tblDeviceConfig[PI_Validated_Date],ROW()-1),"")</f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</c>
      <c r="C467">
        <f>IFERROR(INDEX(tblDeviceConfig[Deployed],ROW()-1),"")</f>
      </c>
      <c r="D467">
        <f>IFERROR(INDEX(tblDeviceConfig[Installed],ROW()-1),"")</f>
      </c>
      <c r="E467">
        <f>IFERROR(INDEX(tblDeviceConfig[Cybernet Hostname],ROW()-1),"")</f>
      </c>
      <c r="F467">
        <f>IFERROR(INDEX(tblDeviceConfig[Neuron Hostname],ROW()-1),"")</f>
      </c>
      <c r="G467">
        <f>IFERROR(INDEX(tblDeviceConfig[Software List],ROW()-1),"")</f>
      </c>
      <c r="H467">
        <f>IFERROR(INDEX(tblDeviceConfig[PI_Use_Case],ROW()-1),"")</f>
      </c>
      <c r="I467">
        <f>IFERROR(INDEX(tblDeviceConfig[PI_Result],ROW()-1),"")</f>
      </c>
      <c r="J467">
        <f>IFERROR(INDEX(tblDeviceConfig[PI_Validated_By],ROW()-1),"")</f>
      </c>
      <c r="K467">
        <f>IFERROR(INDEX(tblDeviceConfig[PI_Validated_Date],ROW()-1),"")</f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</c>
      <c r="C468">
        <f>IFERROR(INDEX(tblDeviceConfig[Deployed],ROW()-1),"")</f>
      </c>
      <c r="D468">
        <f>IFERROR(INDEX(tblDeviceConfig[Installed],ROW()-1),"")</f>
      </c>
      <c r="E468">
        <f>IFERROR(INDEX(tblDeviceConfig[Cybernet Hostname],ROW()-1),"")</f>
      </c>
      <c r="F468">
        <f>IFERROR(INDEX(tblDeviceConfig[Neuron Hostname],ROW()-1),"")</f>
      </c>
      <c r="G468">
        <f>IFERROR(INDEX(tblDeviceConfig[Software List],ROW()-1),"")</f>
      </c>
      <c r="H468">
        <f>IFERROR(INDEX(tblDeviceConfig[PI_Use_Case],ROW()-1),"")</f>
      </c>
      <c r="I468">
        <f>IFERROR(INDEX(tblDeviceConfig[PI_Result],ROW()-1),"")</f>
      </c>
      <c r="J468">
        <f>IFERROR(INDEX(tblDeviceConfig[PI_Validated_By],ROW()-1),"")</f>
      </c>
      <c r="K468">
        <f>IFERROR(INDEX(tblDeviceConfig[PI_Validated_Date],ROW()-1),"")</f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</c>
      <c r="C469">
        <f>IFERROR(INDEX(tblDeviceConfig[Deployed],ROW()-1),"")</f>
      </c>
      <c r="D469">
        <f>IFERROR(INDEX(tblDeviceConfig[Installed],ROW()-1),"")</f>
      </c>
      <c r="E469">
        <f>IFERROR(INDEX(tblDeviceConfig[Cybernet Hostname],ROW()-1),"")</f>
      </c>
      <c r="F469">
        <f>IFERROR(INDEX(tblDeviceConfig[Neuron Hostname],ROW()-1),"")</f>
      </c>
      <c r="G469">
        <f>IFERROR(INDEX(tblDeviceConfig[Software List],ROW()-1),"")</f>
      </c>
      <c r="H469">
        <f>IFERROR(INDEX(tblDeviceConfig[PI_Use_Case],ROW()-1),"")</f>
      </c>
      <c r="I469">
        <f>IFERROR(INDEX(tblDeviceConfig[PI_Result],ROW()-1),"")</f>
      </c>
      <c r="J469">
        <f>IFERROR(INDEX(tblDeviceConfig[PI_Validated_By],ROW()-1),"")</f>
      </c>
      <c r="K469">
        <f>IFERROR(INDEX(tblDeviceConfig[PI_Validated_Date],ROW()-1),"")</f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</c>
      <c r="C470">
        <f>IFERROR(INDEX(tblDeviceConfig[Deployed],ROW()-1),"")</f>
      </c>
      <c r="D470">
        <f>IFERROR(INDEX(tblDeviceConfig[Installed],ROW()-1),"")</f>
      </c>
      <c r="E470">
        <f>IFERROR(INDEX(tblDeviceConfig[Cybernet Hostname],ROW()-1),"")</f>
      </c>
      <c r="F470">
        <f>IFERROR(INDEX(tblDeviceConfig[Neuron Hostname],ROW()-1),"")</f>
      </c>
      <c r="G470">
        <f>IFERROR(INDEX(tblDeviceConfig[Software List],ROW()-1),"")</f>
      </c>
      <c r="H470">
        <f>IFERROR(INDEX(tblDeviceConfig[PI_Use_Case],ROW()-1),"")</f>
      </c>
      <c r="I470">
        <f>IFERROR(INDEX(tblDeviceConfig[PI_Result],ROW()-1),"")</f>
      </c>
      <c r="J470">
        <f>IFERROR(INDEX(tblDeviceConfig[PI_Validated_By],ROW()-1),"")</f>
      </c>
      <c r="K470">
        <f>IFERROR(INDEX(tblDeviceConfig[PI_Validated_Date],ROW()-1),"")</f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</c>
      <c r="C471">
        <f>IFERROR(INDEX(tblDeviceConfig[Deployed],ROW()-1),"")</f>
      </c>
      <c r="D471">
        <f>IFERROR(INDEX(tblDeviceConfig[Installed],ROW()-1),"")</f>
      </c>
      <c r="E471">
        <f>IFERROR(INDEX(tblDeviceConfig[Cybernet Hostname],ROW()-1),"")</f>
      </c>
      <c r="F471">
        <f>IFERROR(INDEX(tblDeviceConfig[Neuron Hostname],ROW()-1),"")</f>
      </c>
      <c r="G471">
        <f>IFERROR(INDEX(tblDeviceConfig[Software List],ROW()-1),"")</f>
      </c>
      <c r="H471">
        <f>IFERROR(INDEX(tblDeviceConfig[PI_Use_Case],ROW()-1),"")</f>
      </c>
      <c r="I471">
        <f>IFERROR(INDEX(tblDeviceConfig[PI_Result],ROW()-1),"")</f>
      </c>
      <c r="J471">
        <f>IFERROR(INDEX(tblDeviceConfig[PI_Validated_By],ROW()-1),"")</f>
      </c>
      <c r="K471">
        <f>IFERROR(INDEX(tblDeviceConfig[PI_Validated_Date],ROW()-1),"")</f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</c>
      <c r="C472">
        <f>IFERROR(INDEX(tblDeviceConfig[Deployed],ROW()-1),"")</f>
      </c>
      <c r="D472">
        <f>IFERROR(INDEX(tblDeviceConfig[Installed],ROW()-1),"")</f>
      </c>
      <c r="E472">
        <f>IFERROR(INDEX(tblDeviceConfig[Cybernet Hostname],ROW()-1),"")</f>
      </c>
      <c r="F472">
        <f>IFERROR(INDEX(tblDeviceConfig[Neuron Hostname],ROW()-1),"")</f>
      </c>
      <c r="G472">
        <f>IFERROR(INDEX(tblDeviceConfig[Software List],ROW()-1),"")</f>
      </c>
      <c r="H472">
        <f>IFERROR(INDEX(tblDeviceConfig[PI_Use_Case],ROW()-1),"")</f>
      </c>
      <c r="I472">
        <f>IFERROR(INDEX(tblDeviceConfig[PI_Result],ROW()-1),"")</f>
      </c>
      <c r="J472">
        <f>IFERROR(INDEX(tblDeviceConfig[PI_Validated_By],ROW()-1),"")</f>
      </c>
      <c r="K472">
        <f>IFERROR(INDEX(tblDeviceConfig[PI_Validated_Date],ROW()-1),"")</f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</c>
      <c r="C473">
        <f>IFERROR(INDEX(tblDeviceConfig[Deployed],ROW()-1),"")</f>
      </c>
      <c r="D473">
        <f>IFERROR(INDEX(tblDeviceConfig[Installed],ROW()-1),"")</f>
      </c>
      <c r="E473">
        <f>IFERROR(INDEX(tblDeviceConfig[Cybernet Hostname],ROW()-1),"")</f>
      </c>
      <c r="F473">
        <f>IFERROR(INDEX(tblDeviceConfig[Neuron Hostname],ROW()-1),"")</f>
      </c>
      <c r="G473">
        <f>IFERROR(INDEX(tblDeviceConfig[Software List],ROW()-1),"")</f>
      </c>
      <c r="H473">
        <f>IFERROR(INDEX(tblDeviceConfig[PI_Use_Case],ROW()-1),"")</f>
      </c>
      <c r="I473">
        <f>IFERROR(INDEX(tblDeviceConfig[PI_Result],ROW()-1),"")</f>
      </c>
      <c r="J473">
        <f>IFERROR(INDEX(tblDeviceConfig[PI_Validated_By],ROW()-1),"")</f>
      </c>
      <c r="K473">
        <f>IFERROR(INDEX(tblDeviceConfig[PI_Validated_Date],ROW()-1),"")</f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</c>
      <c r="C474">
        <f>IFERROR(INDEX(tblDeviceConfig[Deployed],ROW()-1),"")</f>
      </c>
      <c r="D474">
        <f>IFERROR(INDEX(tblDeviceConfig[Installed],ROW()-1),"")</f>
      </c>
      <c r="E474">
        <f>IFERROR(INDEX(tblDeviceConfig[Cybernet Hostname],ROW()-1),"")</f>
      </c>
      <c r="F474">
        <f>IFERROR(INDEX(tblDeviceConfig[Neuron Hostname],ROW()-1),"")</f>
      </c>
      <c r="G474">
        <f>IFERROR(INDEX(tblDeviceConfig[Software List],ROW()-1),"")</f>
      </c>
      <c r="H474">
        <f>IFERROR(INDEX(tblDeviceConfig[PI_Use_Case],ROW()-1),"")</f>
      </c>
      <c r="I474">
        <f>IFERROR(INDEX(tblDeviceConfig[PI_Result],ROW()-1),"")</f>
      </c>
      <c r="J474">
        <f>IFERROR(INDEX(tblDeviceConfig[PI_Validated_By],ROW()-1),"")</f>
      </c>
      <c r="K474">
        <f>IFERROR(INDEX(tblDeviceConfig[PI_Validated_Date],ROW()-1),"")</f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</c>
      <c r="C475">
        <f>IFERROR(INDEX(tblDeviceConfig[Deployed],ROW()-1),"")</f>
      </c>
      <c r="D475">
        <f>IFERROR(INDEX(tblDeviceConfig[Installed],ROW()-1),"")</f>
      </c>
      <c r="E475">
        <f>IFERROR(INDEX(tblDeviceConfig[Cybernet Hostname],ROW()-1),"")</f>
      </c>
      <c r="F475">
        <f>IFERROR(INDEX(tblDeviceConfig[Neuron Hostname],ROW()-1),"")</f>
      </c>
      <c r="G475">
        <f>IFERROR(INDEX(tblDeviceConfig[Software List],ROW()-1),"")</f>
      </c>
      <c r="H475">
        <f>IFERROR(INDEX(tblDeviceConfig[PI_Use_Case],ROW()-1),"")</f>
      </c>
      <c r="I475">
        <f>IFERROR(INDEX(tblDeviceConfig[PI_Result],ROW()-1),"")</f>
      </c>
      <c r="J475">
        <f>IFERROR(INDEX(tblDeviceConfig[PI_Validated_By],ROW()-1),"")</f>
      </c>
      <c r="K475">
        <f>IFERROR(INDEX(tblDeviceConfig[PI_Validated_Date],ROW()-1),"")</f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</c>
      <c r="C476">
        <f>IFERROR(INDEX(tblDeviceConfig[Deployed],ROW()-1),"")</f>
      </c>
      <c r="D476">
        <f>IFERROR(INDEX(tblDeviceConfig[Installed],ROW()-1),"")</f>
      </c>
      <c r="E476">
        <f>IFERROR(INDEX(tblDeviceConfig[Cybernet Hostname],ROW()-1),"")</f>
      </c>
      <c r="F476">
        <f>IFERROR(INDEX(tblDeviceConfig[Neuron Hostname],ROW()-1),"")</f>
      </c>
      <c r="G476">
        <f>IFERROR(INDEX(tblDeviceConfig[Software List],ROW()-1),"")</f>
      </c>
      <c r="H476">
        <f>IFERROR(INDEX(tblDeviceConfig[PI_Use_Case],ROW()-1),"")</f>
      </c>
      <c r="I476">
        <f>IFERROR(INDEX(tblDeviceConfig[PI_Result],ROW()-1),"")</f>
      </c>
      <c r="J476">
        <f>IFERROR(INDEX(tblDeviceConfig[PI_Validated_By],ROW()-1),"")</f>
      </c>
      <c r="K476">
        <f>IFERROR(INDEX(tblDeviceConfig[PI_Validated_Date],ROW()-1),"")</f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</c>
      <c r="C477">
        <f>IFERROR(INDEX(tblDeviceConfig[Deployed],ROW()-1),"")</f>
      </c>
      <c r="D477">
        <f>IFERROR(INDEX(tblDeviceConfig[Installed],ROW()-1),"")</f>
      </c>
      <c r="E477">
        <f>IFERROR(INDEX(tblDeviceConfig[Cybernet Hostname],ROW()-1),"")</f>
      </c>
      <c r="F477">
        <f>IFERROR(INDEX(tblDeviceConfig[Neuron Hostname],ROW()-1),"")</f>
      </c>
      <c r="G477">
        <f>IFERROR(INDEX(tblDeviceConfig[Software List],ROW()-1),"")</f>
      </c>
      <c r="H477">
        <f>IFERROR(INDEX(tblDeviceConfig[PI_Use_Case],ROW()-1),"")</f>
      </c>
      <c r="I477">
        <f>IFERROR(INDEX(tblDeviceConfig[PI_Result],ROW()-1),"")</f>
      </c>
      <c r="J477">
        <f>IFERROR(INDEX(tblDeviceConfig[PI_Validated_By],ROW()-1),"")</f>
      </c>
      <c r="K477">
        <f>IFERROR(INDEX(tblDeviceConfig[PI_Validated_Date],ROW()-1),"")</f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</c>
      <c r="C478">
        <f>IFERROR(INDEX(tblDeviceConfig[Deployed],ROW()-1),"")</f>
      </c>
      <c r="D478">
        <f>IFERROR(INDEX(tblDeviceConfig[Installed],ROW()-1),"")</f>
      </c>
      <c r="E478">
        <f>IFERROR(INDEX(tblDeviceConfig[Cybernet Hostname],ROW()-1),"")</f>
      </c>
      <c r="F478">
        <f>IFERROR(INDEX(tblDeviceConfig[Neuron Hostname],ROW()-1),"")</f>
      </c>
      <c r="G478">
        <f>IFERROR(INDEX(tblDeviceConfig[Software List],ROW()-1),"")</f>
      </c>
      <c r="H478">
        <f>IFERROR(INDEX(tblDeviceConfig[PI_Use_Case],ROW()-1),"")</f>
      </c>
      <c r="I478">
        <f>IFERROR(INDEX(tblDeviceConfig[PI_Result],ROW()-1),"")</f>
      </c>
      <c r="J478">
        <f>IFERROR(INDEX(tblDeviceConfig[PI_Validated_By],ROW()-1),"")</f>
      </c>
      <c r="K478">
        <f>IFERROR(INDEX(tblDeviceConfig[PI_Validated_Date],ROW()-1),"")</f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</c>
      <c r="C479">
        <f>IFERROR(INDEX(tblDeviceConfig[Deployed],ROW()-1),"")</f>
      </c>
      <c r="D479">
        <f>IFERROR(INDEX(tblDeviceConfig[Installed],ROW()-1),"")</f>
      </c>
      <c r="E479">
        <f>IFERROR(INDEX(tblDeviceConfig[Cybernet Hostname],ROW()-1),"")</f>
      </c>
      <c r="F479">
        <f>IFERROR(INDEX(tblDeviceConfig[Neuron Hostname],ROW()-1),"")</f>
      </c>
      <c r="G479">
        <f>IFERROR(INDEX(tblDeviceConfig[Software List],ROW()-1),"")</f>
      </c>
      <c r="H479">
        <f>IFERROR(INDEX(tblDeviceConfig[PI_Use_Case],ROW()-1),"")</f>
      </c>
      <c r="I479">
        <f>IFERROR(INDEX(tblDeviceConfig[PI_Result],ROW()-1),"")</f>
      </c>
      <c r="J479">
        <f>IFERROR(INDEX(tblDeviceConfig[PI_Validated_By],ROW()-1),"")</f>
      </c>
      <c r="K479">
        <f>IFERROR(INDEX(tblDeviceConfig[PI_Validated_Date],ROW()-1),"")</f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</c>
      <c r="C480">
        <f>IFERROR(INDEX(tblDeviceConfig[Deployed],ROW()-1),"")</f>
      </c>
      <c r="D480">
        <f>IFERROR(INDEX(tblDeviceConfig[Installed],ROW()-1),"")</f>
      </c>
      <c r="E480">
        <f>IFERROR(INDEX(tblDeviceConfig[Cybernet Hostname],ROW()-1),"")</f>
      </c>
      <c r="F480">
        <f>IFERROR(INDEX(tblDeviceConfig[Neuron Hostname],ROW()-1),"")</f>
      </c>
      <c r="G480">
        <f>IFERROR(INDEX(tblDeviceConfig[Software List],ROW()-1),"")</f>
      </c>
      <c r="H480">
        <f>IFERROR(INDEX(tblDeviceConfig[PI_Use_Case],ROW()-1),"")</f>
      </c>
      <c r="I480">
        <f>IFERROR(INDEX(tblDeviceConfig[PI_Result],ROW()-1),"")</f>
      </c>
      <c r="J480">
        <f>IFERROR(INDEX(tblDeviceConfig[PI_Validated_By],ROW()-1),"")</f>
      </c>
      <c r="K480">
        <f>IFERROR(INDEX(tblDeviceConfig[PI_Validated_Date],ROW()-1),"")</f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</c>
      <c r="C481">
        <f>IFERROR(INDEX(tblDeviceConfig[Deployed],ROW()-1),"")</f>
      </c>
      <c r="D481">
        <f>IFERROR(INDEX(tblDeviceConfig[Installed],ROW()-1),"")</f>
      </c>
      <c r="E481">
        <f>IFERROR(INDEX(tblDeviceConfig[Cybernet Hostname],ROW()-1),"")</f>
      </c>
      <c r="F481">
        <f>IFERROR(INDEX(tblDeviceConfig[Neuron Hostname],ROW()-1),"")</f>
      </c>
      <c r="G481">
        <f>IFERROR(INDEX(tblDeviceConfig[Software List],ROW()-1),"")</f>
      </c>
      <c r="H481">
        <f>IFERROR(INDEX(tblDeviceConfig[PI_Use_Case],ROW()-1),"")</f>
      </c>
      <c r="I481">
        <f>IFERROR(INDEX(tblDeviceConfig[PI_Result],ROW()-1),"")</f>
      </c>
      <c r="J481">
        <f>IFERROR(INDEX(tblDeviceConfig[PI_Validated_By],ROW()-1),"")</f>
      </c>
      <c r="K481">
        <f>IFERROR(INDEX(tblDeviceConfig[PI_Validated_Date],ROW()-1),"")</f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</c>
      <c r="C482">
        <f>IFERROR(INDEX(tblDeviceConfig[Deployed],ROW()-1),"")</f>
      </c>
      <c r="D482">
        <f>IFERROR(INDEX(tblDeviceConfig[Installed],ROW()-1),"")</f>
      </c>
      <c r="E482">
        <f>IFERROR(INDEX(tblDeviceConfig[Cybernet Hostname],ROW()-1),"")</f>
      </c>
      <c r="F482">
        <f>IFERROR(INDEX(tblDeviceConfig[Neuron Hostname],ROW()-1),"")</f>
      </c>
      <c r="G482">
        <f>IFERROR(INDEX(tblDeviceConfig[Software List],ROW()-1),"")</f>
      </c>
      <c r="H482">
        <f>IFERROR(INDEX(tblDeviceConfig[PI_Use_Case],ROW()-1),"")</f>
      </c>
      <c r="I482">
        <f>IFERROR(INDEX(tblDeviceConfig[PI_Result],ROW()-1),"")</f>
      </c>
      <c r="J482">
        <f>IFERROR(INDEX(tblDeviceConfig[PI_Validated_By],ROW()-1),"")</f>
      </c>
      <c r="K482">
        <f>IFERROR(INDEX(tblDeviceConfig[PI_Validated_Date],ROW()-1),"")</f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</c>
      <c r="C483">
        <f>IFERROR(INDEX(tblDeviceConfig[Deployed],ROW()-1),"")</f>
      </c>
      <c r="D483">
        <f>IFERROR(INDEX(tblDeviceConfig[Installed],ROW()-1),"")</f>
      </c>
      <c r="E483">
        <f>IFERROR(INDEX(tblDeviceConfig[Cybernet Hostname],ROW()-1),"")</f>
      </c>
      <c r="F483">
        <f>IFERROR(INDEX(tblDeviceConfig[Neuron Hostname],ROW()-1),"")</f>
      </c>
      <c r="G483">
        <f>IFERROR(INDEX(tblDeviceConfig[Software List],ROW()-1),"")</f>
      </c>
      <c r="H483">
        <f>IFERROR(INDEX(tblDeviceConfig[PI_Use_Case],ROW()-1),"")</f>
      </c>
      <c r="I483">
        <f>IFERROR(INDEX(tblDeviceConfig[PI_Result],ROW()-1),"")</f>
      </c>
      <c r="J483">
        <f>IFERROR(INDEX(tblDeviceConfig[PI_Validated_By],ROW()-1),"")</f>
      </c>
      <c r="K483">
        <f>IFERROR(INDEX(tblDeviceConfig[PI_Validated_Date],ROW()-1),"")</f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</c>
      <c r="C484">
        <f>IFERROR(INDEX(tblDeviceConfig[Deployed],ROW()-1),"")</f>
      </c>
      <c r="D484">
        <f>IFERROR(INDEX(tblDeviceConfig[Installed],ROW()-1),"")</f>
      </c>
      <c r="E484">
        <f>IFERROR(INDEX(tblDeviceConfig[Cybernet Hostname],ROW()-1),"")</f>
      </c>
      <c r="F484">
        <f>IFERROR(INDEX(tblDeviceConfig[Neuron Hostname],ROW()-1),"")</f>
      </c>
      <c r="G484">
        <f>IFERROR(INDEX(tblDeviceConfig[Software List],ROW()-1),"")</f>
      </c>
      <c r="H484">
        <f>IFERROR(INDEX(tblDeviceConfig[PI_Use_Case],ROW()-1),"")</f>
      </c>
      <c r="I484">
        <f>IFERROR(INDEX(tblDeviceConfig[PI_Result],ROW()-1),"")</f>
      </c>
      <c r="J484">
        <f>IFERROR(INDEX(tblDeviceConfig[PI_Validated_By],ROW()-1),"")</f>
      </c>
      <c r="K484">
        <f>IFERROR(INDEX(tblDeviceConfig[PI_Validated_Date],ROW()-1),"")</f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</c>
      <c r="C485">
        <f>IFERROR(INDEX(tblDeviceConfig[Deployed],ROW()-1),"")</f>
      </c>
      <c r="D485">
        <f>IFERROR(INDEX(tblDeviceConfig[Installed],ROW()-1),"")</f>
      </c>
      <c r="E485">
        <f>IFERROR(INDEX(tblDeviceConfig[Cybernet Hostname],ROW()-1),"")</f>
      </c>
      <c r="F485">
        <f>IFERROR(INDEX(tblDeviceConfig[Neuron Hostname],ROW()-1),"")</f>
      </c>
      <c r="G485">
        <f>IFERROR(INDEX(tblDeviceConfig[Software List],ROW()-1),"")</f>
      </c>
      <c r="H485">
        <f>IFERROR(INDEX(tblDeviceConfig[PI_Use_Case],ROW()-1),"")</f>
      </c>
      <c r="I485">
        <f>IFERROR(INDEX(tblDeviceConfig[PI_Result],ROW()-1),"")</f>
      </c>
      <c r="J485">
        <f>IFERROR(INDEX(tblDeviceConfig[PI_Validated_By],ROW()-1),"")</f>
      </c>
      <c r="K485">
        <f>IFERROR(INDEX(tblDeviceConfig[PI_Validated_Date],ROW()-1),"")</f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</c>
      <c r="C486">
        <f>IFERROR(INDEX(tblDeviceConfig[Deployed],ROW()-1),"")</f>
      </c>
      <c r="D486">
        <f>IFERROR(INDEX(tblDeviceConfig[Installed],ROW()-1),"")</f>
      </c>
      <c r="E486">
        <f>IFERROR(INDEX(tblDeviceConfig[Cybernet Hostname],ROW()-1),"")</f>
      </c>
      <c r="F486">
        <f>IFERROR(INDEX(tblDeviceConfig[Neuron Hostname],ROW()-1),"")</f>
      </c>
      <c r="G486">
        <f>IFERROR(INDEX(tblDeviceConfig[Software List],ROW()-1),"")</f>
      </c>
      <c r="H486">
        <f>IFERROR(INDEX(tblDeviceConfig[PI_Use_Case],ROW()-1),"")</f>
      </c>
      <c r="I486">
        <f>IFERROR(INDEX(tblDeviceConfig[PI_Result],ROW()-1),"")</f>
      </c>
      <c r="J486">
        <f>IFERROR(INDEX(tblDeviceConfig[PI_Validated_By],ROW()-1),"")</f>
      </c>
      <c r="K486">
        <f>IFERROR(INDEX(tblDeviceConfig[PI_Validated_Date],ROW()-1),"")</f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</c>
      <c r="C487">
        <f>IFERROR(INDEX(tblDeviceConfig[Deployed],ROW()-1),"")</f>
      </c>
      <c r="D487">
        <f>IFERROR(INDEX(tblDeviceConfig[Installed],ROW()-1),"")</f>
      </c>
      <c r="E487">
        <f>IFERROR(INDEX(tblDeviceConfig[Cybernet Hostname],ROW()-1),"")</f>
      </c>
      <c r="F487">
        <f>IFERROR(INDEX(tblDeviceConfig[Neuron Hostname],ROW()-1),"")</f>
      </c>
      <c r="G487">
        <f>IFERROR(INDEX(tblDeviceConfig[Software List],ROW()-1),"")</f>
      </c>
      <c r="H487">
        <f>IFERROR(INDEX(tblDeviceConfig[PI_Use_Case],ROW()-1),"")</f>
      </c>
      <c r="I487">
        <f>IFERROR(INDEX(tblDeviceConfig[PI_Result],ROW()-1),"")</f>
      </c>
      <c r="J487">
        <f>IFERROR(INDEX(tblDeviceConfig[PI_Validated_By],ROW()-1),"")</f>
      </c>
      <c r="K487">
        <f>IFERROR(INDEX(tblDeviceConfig[PI_Validated_Date],ROW()-1),"")</f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</c>
      <c r="C488">
        <f>IFERROR(INDEX(tblDeviceConfig[Deployed],ROW()-1),"")</f>
      </c>
      <c r="D488">
        <f>IFERROR(INDEX(tblDeviceConfig[Installed],ROW()-1),"")</f>
      </c>
      <c r="E488">
        <f>IFERROR(INDEX(tblDeviceConfig[Cybernet Hostname],ROW()-1),"")</f>
      </c>
      <c r="F488">
        <f>IFERROR(INDEX(tblDeviceConfig[Neuron Hostname],ROW()-1),"")</f>
      </c>
      <c r="G488">
        <f>IFERROR(INDEX(tblDeviceConfig[Software List],ROW()-1),"")</f>
      </c>
      <c r="H488">
        <f>IFERROR(INDEX(tblDeviceConfig[PI_Use_Case],ROW()-1),"")</f>
      </c>
      <c r="I488">
        <f>IFERROR(INDEX(tblDeviceConfig[PI_Result],ROW()-1),"")</f>
      </c>
      <c r="J488">
        <f>IFERROR(INDEX(tblDeviceConfig[PI_Validated_By],ROW()-1),"")</f>
      </c>
      <c r="K488">
        <f>IFERROR(INDEX(tblDeviceConfig[PI_Validated_Date],ROW()-1),"")</f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</c>
      <c r="C489">
        <f>IFERROR(INDEX(tblDeviceConfig[Deployed],ROW()-1),"")</f>
      </c>
      <c r="D489">
        <f>IFERROR(INDEX(tblDeviceConfig[Installed],ROW()-1),"")</f>
      </c>
      <c r="E489">
        <f>IFERROR(INDEX(tblDeviceConfig[Cybernet Hostname],ROW()-1),"")</f>
      </c>
      <c r="F489">
        <f>IFERROR(INDEX(tblDeviceConfig[Neuron Hostname],ROW()-1),"")</f>
      </c>
      <c r="G489">
        <f>IFERROR(INDEX(tblDeviceConfig[Software List],ROW()-1),"")</f>
      </c>
      <c r="H489">
        <f>IFERROR(INDEX(tblDeviceConfig[PI_Use_Case],ROW()-1),"")</f>
      </c>
      <c r="I489">
        <f>IFERROR(INDEX(tblDeviceConfig[PI_Result],ROW()-1),"")</f>
      </c>
      <c r="J489">
        <f>IFERROR(INDEX(tblDeviceConfig[PI_Validated_By],ROW()-1),"")</f>
      </c>
      <c r="K489">
        <f>IFERROR(INDEX(tblDeviceConfig[PI_Validated_Date],ROW()-1),"")</f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</c>
      <c r="C490">
        <f>IFERROR(INDEX(tblDeviceConfig[Deployed],ROW()-1),"")</f>
      </c>
      <c r="D490">
        <f>IFERROR(INDEX(tblDeviceConfig[Installed],ROW()-1),"")</f>
      </c>
      <c r="E490">
        <f>IFERROR(INDEX(tblDeviceConfig[Cybernet Hostname],ROW()-1),"")</f>
      </c>
      <c r="F490">
        <f>IFERROR(INDEX(tblDeviceConfig[Neuron Hostname],ROW()-1),"")</f>
      </c>
      <c r="G490">
        <f>IFERROR(INDEX(tblDeviceConfig[Software List],ROW()-1),"")</f>
      </c>
      <c r="H490">
        <f>IFERROR(INDEX(tblDeviceConfig[PI_Use_Case],ROW()-1),"")</f>
      </c>
      <c r="I490">
        <f>IFERROR(INDEX(tblDeviceConfig[PI_Result],ROW()-1),"")</f>
      </c>
      <c r="J490">
        <f>IFERROR(INDEX(tblDeviceConfig[PI_Validated_By],ROW()-1),"")</f>
      </c>
      <c r="K490">
        <f>IFERROR(INDEX(tblDeviceConfig[PI_Validated_Date],ROW()-1),"")</f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</c>
      <c r="C491">
        <f>IFERROR(INDEX(tblDeviceConfig[Deployed],ROW()-1),"")</f>
      </c>
      <c r="D491">
        <f>IFERROR(INDEX(tblDeviceConfig[Installed],ROW()-1),"")</f>
      </c>
      <c r="E491">
        <f>IFERROR(INDEX(tblDeviceConfig[Cybernet Hostname],ROW()-1),"")</f>
      </c>
      <c r="F491">
        <f>IFERROR(INDEX(tblDeviceConfig[Neuron Hostname],ROW()-1),"")</f>
      </c>
      <c r="G491">
        <f>IFERROR(INDEX(tblDeviceConfig[Software List],ROW()-1),"")</f>
      </c>
      <c r="H491">
        <f>IFERROR(INDEX(tblDeviceConfig[PI_Use_Case],ROW()-1),"")</f>
      </c>
      <c r="I491">
        <f>IFERROR(INDEX(tblDeviceConfig[PI_Result],ROW()-1),"")</f>
      </c>
      <c r="J491">
        <f>IFERROR(INDEX(tblDeviceConfig[PI_Validated_By],ROW()-1),"")</f>
      </c>
      <c r="K491">
        <f>IFERROR(INDEX(tblDeviceConfig[PI_Validated_Date],ROW()-1),"")</f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</c>
      <c r="C492">
        <f>IFERROR(INDEX(tblDeviceConfig[Deployed],ROW()-1),"")</f>
      </c>
      <c r="D492">
        <f>IFERROR(INDEX(tblDeviceConfig[Installed],ROW()-1),"")</f>
      </c>
      <c r="E492">
        <f>IFERROR(INDEX(tblDeviceConfig[Cybernet Hostname],ROW()-1),"")</f>
      </c>
      <c r="F492">
        <f>IFERROR(INDEX(tblDeviceConfig[Neuron Hostname],ROW()-1),"")</f>
      </c>
      <c r="G492">
        <f>IFERROR(INDEX(tblDeviceConfig[Software List],ROW()-1),"")</f>
      </c>
      <c r="H492">
        <f>IFERROR(INDEX(tblDeviceConfig[PI_Use_Case],ROW()-1),"")</f>
      </c>
      <c r="I492">
        <f>IFERROR(INDEX(tblDeviceConfig[PI_Result],ROW()-1),"")</f>
      </c>
      <c r="J492">
        <f>IFERROR(INDEX(tblDeviceConfig[PI_Validated_By],ROW()-1),"")</f>
      </c>
      <c r="K492">
        <f>IFERROR(INDEX(tblDeviceConfig[PI_Validated_Date],ROW()-1),"")</f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</c>
      <c r="C493">
        <f>IFERROR(INDEX(tblDeviceConfig[Deployed],ROW()-1),"")</f>
      </c>
      <c r="D493">
        <f>IFERROR(INDEX(tblDeviceConfig[Installed],ROW()-1),"")</f>
      </c>
      <c r="E493">
        <f>IFERROR(INDEX(tblDeviceConfig[Cybernet Hostname],ROW()-1),"")</f>
      </c>
      <c r="F493">
        <f>IFERROR(INDEX(tblDeviceConfig[Neuron Hostname],ROW()-1),"")</f>
      </c>
      <c r="G493">
        <f>IFERROR(INDEX(tblDeviceConfig[Software List],ROW()-1),"")</f>
      </c>
      <c r="H493">
        <f>IFERROR(INDEX(tblDeviceConfig[PI_Use_Case],ROW()-1),"")</f>
      </c>
      <c r="I493">
        <f>IFERROR(INDEX(tblDeviceConfig[PI_Result],ROW()-1),"")</f>
      </c>
      <c r="J493">
        <f>IFERROR(INDEX(tblDeviceConfig[PI_Validated_By],ROW()-1),"")</f>
      </c>
      <c r="K493">
        <f>IFERROR(INDEX(tblDeviceConfig[PI_Validated_Date],ROW()-1),"")</f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</c>
      <c r="C494">
        <f>IFERROR(INDEX(tblDeviceConfig[Deployed],ROW()-1),"")</f>
      </c>
      <c r="D494">
        <f>IFERROR(INDEX(tblDeviceConfig[Installed],ROW()-1),"")</f>
      </c>
      <c r="E494">
        <f>IFERROR(INDEX(tblDeviceConfig[Cybernet Hostname],ROW()-1),"")</f>
      </c>
      <c r="F494">
        <f>IFERROR(INDEX(tblDeviceConfig[Neuron Hostname],ROW()-1),"")</f>
      </c>
      <c r="G494">
        <f>IFERROR(INDEX(tblDeviceConfig[Software List],ROW()-1),"")</f>
      </c>
      <c r="H494">
        <f>IFERROR(INDEX(tblDeviceConfig[PI_Use_Case],ROW()-1),"")</f>
      </c>
      <c r="I494">
        <f>IFERROR(INDEX(tblDeviceConfig[PI_Result],ROW()-1),"")</f>
      </c>
      <c r="J494">
        <f>IFERROR(INDEX(tblDeviceConfig[PI_Validated_By],ROW()-1),"")</f>
      </c>
      <c r="K494">
        <f>IFERROR(INDEX(tblDeviceConfig[PI_Validated_Date],ROW()-1),"")</f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</c>
      <c r="C495">
        <f>IFERROR(INDEX(tblDeviceConfig[Deployed],ROW()-1),"")</f>
      </c>
      <c r="D495">
        <f>IFERROR(INDEX(tblDeviceConfig[Installed],ROW()-1),"")</f>
      </c>
      <c r="E495">
        <f>IFERROR(INDEX(tblDeviceConfig[Cybernet Hostname],ROW()-1),"")</f>
      </c>
      <c r="F495">
        <f>IFERROR(INDEX(tblDeviceConfig[Neuron Hostname],ROW()-1),"")</f>
      </c>
      <c r="G495">
        <f>IFERROR(INDEX(tblDeviceConfig[Software List],ROW()-1),"")</f>
      </c>
      <c r="H495">
        <f>IFERROR(INDEX(tblDeviceConfig[PI_Use_Case],ROW()-1),"")</f>
      </c>
      <c r="I495">
        <f>IFERROR(INDEX(tblDeviceConfig[PI_Result],ROW()-1),"")</f>
      </c>
      <c r="J495">
        <f>IFERROR(INDEX(tblDeviceConfig[PI_Validated_By],ROW()-1),"")</f>
      </c>
      <c r="K495">
        <f>IFERROR(INDEX(tblDeviceConfig[PI_Validated_Date],ROW()-1),"")</f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</c>
      <c r="C496">
        <f>IFERROR(INDEX(tblDeviceConfig[Deployed],ROW()-1),"")</f>
      </c>
      <c r="D496">
        <f>IFERROR(INDEX(tblDeviceConfig[Installed],ROW()-1),"")</f>
      </c>
      <c r="E496">
        <f>IFERROR(INDEX(tblDeviceConfig[Cybernet Hostname],ROW()-1),"")</f>
      </c>
      <c r="F496">
        <f>IFERROR(INDEX(tblDeviceConfig[Neuron Hostname],ROW()-1),"")</f>
      </c>
      <c r="G496">
        <f>IFERROR(INDEX(tblDeviceConfig[Software List],ROW()-1),"")</f>
      </c>
      <c r="H496">
        <f>IFERROR(INDEX(tblDeviceConfig[PI_Use_Case],ROW()-1),"")</f>
      </c>
      <c r="I496">
        <f>IFERROR(INDEX(tblDeviceConfig[PI_Result],ROW()-1),"")</f>
      </c>
      <c r="J496">
        <f>IFERROR(INDEX(tblDeviceConfig[PI_Validated_By],ROW()-1),"")</f>
      </c>
      <c r="K496">
        <f>IFERROR(INDEX(tblDeviceConfig[PI_Validated_Date],ROW()-1),"")</f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</c>
      <c r="C497">
        <f>IFERROR(INDEX(tblDeviceConfig[Deployed],ROW()-1),"")</f>
      </c>
      <c r="D497">
        <f>IFERROR(INDEX(tblDeviceConfig[Installed],ROW()-1),"")</f>
      </c>
      <c r="E497">
        <f>IFERROR(INDEX(tblDeviceConfig[Cybernet Hostname],ROW()-1),"")</f>
      </c>
      <c r="F497">
        <f>IFERROR(INDEX(tblDeviceConfig[Neuron Hostname],ROW()-1),"")</f>
      </c>
      <c r="G497">
        <f>IFERROR(INDEX(tblDeviceConfig[Software List],ROW()-1),"")</f>
      </c>
      <c r="H497">
        <f>IFERROR(INDEX(tblDeviceConfig[PI_Use_Case],ROW()-1),"")</f>
      </c>
      <c r="I497">
        <f>IFERROR(INDEX(tblDeviceConfig[PI_Result],ROW()-1),"")</f>
      </c>
      <c r="J497">
        <f>IFERROR(INDEX(tblDeviceConfig[PI_Validated_By],ROW()-1),"")</f>
      </c>
      <c r="K497">
        <f>IFERROR(INDEX(tblDeviceConfig[PI_Validated_Date],ROW()-1),"")</f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</c>
      <c r="C498">
        <f>IFERROR(INDEX(tblDeviceConfig[Deployed],ROW()-1),"")</f>
      </c>
      <c r="D498">
        <f>IFERROR(INDEX(tblDeviceConfig[Installed],ROW()-1),"")</f>
      </c>
      <c r="E498">
        <f>IFERROR(INDEX(tblDeviceConfig[Cybernet Hostname],ROW()-1),"")</f>
      </c>
      <c r="F498">
        <f>IFERROR(INDEX(tblDeviceConfig[Neuron Hostname],ROW()-1),"")</f>
      </c>
      <c r="G498">
        <f>IFERROR(INDEX(tblDeviceConfig[Software List],ROW()-1),"")</f>
      </c>
      <c r="H498">
        <f>IFERROR(INDEX(tblDeviceConfig[PI_Use_Case],ROW()-1),"")</f>
      </c>
      <c r="I498">
        <f>IFERROR(INDEX(tblDeviceConfig[PI_Result],ROW()-1),"")</f>
      </c>
      <c r="J498">
        <f>IFERROR(INDEX(tblDeviceConfig[PI_Validated_By],ROW()-1),"")</f>
      </c>
      <c r="K498">
        <f>IFERROR(INDEX(tblDeviceConfig[PI_Validated_Date],ROW()-1),"")</f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</c>
      <c r="C499">
        <f>IFERROR(INDEX(tblDeviceConfig[Deployed],ROW()-1),"")</f>
      </c>
      <c r="D499">
        <f>IFERROR(INDEX(tblDeviceConfig[Installed],ROW()-1),"")</f>
      </c>
      <c r="E499">
        <f>IFERROR(INDEX(tblDeviceConfig[Cybernet Hostname],ROW()-1),"")</f>
      </c>
      <c r="F499">
        <f>IFERROR(INDEX(tblDeviceConfig[Neuron Hostname],ROW()-1),"")</f>
      </c>
      <c r="G499">
        <f>IFERROR(INDEX(tblDeviceConfig[Software List],ROW()-1),"")</f>
      </c>
      <c r="H499">
        <f>IFERROR(INDEX(tblDeviceConfig[PI_Use_Case],ROW()-1),"")</f>
      </c>
      <c r="I499">
        <f>IFERROR(INDEX(tblDeviceConfig[PI_Result],ROW()-1),"")</f>
      </c>
      <c r="J499">
        <f>IFERROR(INDEX(tblDeviceConfig[PI_Validated_By],ROW()-1),"")</f>
      </c>
      <c r="K499">
        <f>IFERROR(INDEX(tblDeviceConfig[PI_Validated_Date],ROW()-1),"")</f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</c>
      <c r="C500">
        <f>IFERROR(INDEX(tblDeviceConfig[Deployed],ROW()-1),"")</f>
      </c>
      <c r="D500">
        <f>IFERROR(INDEX(tblDeviceConfig[Installed],ROW()-1),"")</f>
      </c>
      <c r="E500">
        <f>IFERROR(INDEX(tblDeviceConfig[Cybernet Hostname],ROW()-1),"")</f>
      </c>
      <c r="F500">
        <f>IFERROR(INDEX(tblDeviceConfig[Neuron Hostname],ROW()-1),"")</f>
      </c>
      <c r="G500">
        <f>IFERROR(INDEX(tblDeviceConfig[Software List],ROW()-1),"")</f>
      </c>
      <c r="H500">
        <f>IFERROR(INDEX(tblDeviceConfig[PI_Use_Case],ROW()-1),"")</f>
      </c>
      <c r="I500">
        <f>IFERROR(INDEX(tblDeviceConfig[PI_Result],ROW()-1),"")</f>
      </c>
      <c r="J500">
        <f>IFERROR(INDEX(tblDeviceConfig[PI_Validated_By],ROW()-1),"")</f>
      </c>
      <c r="K500">
        <f>IFERROR(INDEX(tblDeviceConfig[PI_Validated_Date],ROW()-1),"")</f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</c>
      <c r="C501">
        <f>IFERROR(INDEX(tblDeviceConfig[Deployed],ROW()-1),"")</f>
      </c>
      <c r="D501">
        <f>IFERROR(INDEX(tblDeviceConfig[Installed],ROW()-1),"")</f>
      </c>
      <c r="E501">
        <f>IFERROR(INDEX(tblDeviceConfig[Cybernet Hostname],ROW()-1),"")</f>
      </c>
      <c r="F501">
        <f>IFERROR(INDEX(tblDeviceConfig[Neuron Hostname],ROW()-1),"")</f>
      </c>
      <c r="G501">
        <f>IFERROR(INDEX(tblDeviceConfig[Software List],ROW()-1),"")</f>
      </c>
      <c r="H501">
        <f>IFERROR(INDEX(tblDeviceConfig[PI_Use_Case],ROW()-1),"")</f>
      </c>
      <c r="I501">
        <f>IFERROR(INDEX(tblDeviceConfig[PI_Result],ROW()-1),"")</f>
      </c>
      <c r="J501">
        <f>IFERROR(INDEX(tblDeviceConfig[PI_Validated_By],ROW()-1),"")</f>
      </c>
      <c r="K501">
        <f>IFERROR(INDEX(tblDeviceConfig[PI_Validated_Date],ROW()-1),"")</f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</c>
      <c r="C502">
        <f>IFERROR(INDEX(tblDeviceConfig[Deployed],ROW()-1),"")</f>
      </c>
      <c r="D502">
        <f>IFERROR(INDEX(tblDeviceConfig[Installed],ROW()-1),"")</f>
      </c>
      <c r="E502">
        <f>IFERROR(INDEX(tblDeviceConfig[Cybernet Hostname],ROW()-1),"")</f>
      </c>
      <c r="F502">
        <f>IFERROR(INDEX(tblDeviceConfig[Neuron Hostname],ROW()-1),"")</f>
      </c>
      <c r="G502">
        <f>IFERROR(INDEX(tblDeviceConfig[Software List],ROW()-1),"")</f>
      </c>
      <c r="H502">
        <f>IFERROR(INDEX(tblDeviceConfig[PI_Use_Case],ROW()-1),"")</f>
      </c>
      <c r="I502">
        <f>IFERROR(INDEX(tblDeviceConfig[PI_Result],ROW()-1),"")</f>
      </c>
      <c r="J502">
        <f>IFERROR(INDEX(tblDeviceConfig[PI_Validated_By],ROW()-1),"")</f>
      </c>
      <c r="K502">
        <f>IFERROR(INDEX(tblDeviceConfig[PI_Validated_Date],ROW()-1),"")</f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</c>
      <c r="C503">
        <f>IFERROR(INDEX(tblDeviceConfig[Deployed],ROW()-1),"")</f>
      </c>
      <c r="D503">
        <f>IFERROR(INDEX(tblDeviceConfig[Installed],ROW()-1),"")</f>
      </c>
      <c r="E503">
        <f>IFERROR(INDEX(tblDeviceConfig[Cybernet Hostname],ROW()-1),"")</f>
      </c>
      <c r="F503">
        <f>IFERROR(INDEX(tblDeviceConfig[Neuron Hostname],ROW()-1),"")</f>
      </c>
      <c r="G503">
        <f>IFERROR(INDEX(tblDeviceConfig[Software List],ROW()-1),"")</f>
      </c>
      <c r="H503">
        <f>IFERROR(INDEX(tblDeviceConfig[PI_Use_Case],ROW()-1),"")</f>
      </c>
      <c r="I503">
        <f>IFERROR(INDEX(tblDeviceConfig[PI_Result],ROW()-1),"")</f>
      </c>
      <c r="J503">
        <f>IFERROR(INDEX(tblDeviceConfig[PI_Validated_By],ROW()-1),"")</f>
      </c>
      <c r="K503">
        <f>IFERROR(INDEX(tblDeviceConfig[PI_Validated_Date],ROW()-1),"")</f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</c>
      <c r="C504">
        <f>IFERROR(INDEX(tblDeviceConfig[Deployed],ROW()-1),"")</f>
      </c>
      <c r="D504">
        <f>IFERROR(INDEX(tblDeviceConfig[Installed],ROW()-1),"")</f>
      </c>
      <c r="E504">
        <f>IFERROR(INDEX(tblDeviceConfig[Cybernet Hostname],ROW()-1),"")</f>
      </c>
      <c r="F504">
        <f>IFERROR(INDEX(tblDeviceConfig[Neuron Hostname],ROW()-1),"")</f>
      </c>
      <c r="G504">
        <f>IFERROR(INDEX(tblDeviceConfig[Software List],ROW()-1),"")</f>
      </c>
      <c r="H504">
        <f>IFERROR(INDEX(tblDeviceConfig[PI_Use_Case],ROW()-1),"")</f>
      </c>
      <c r="I504">
        <f>IFERROR(INDEX(tblDeviceConfig[PI_Result],ROW()-1),"")</f>
      </c>
      <c r="J504">
        <f>IFERROR(INDEX(tblDeviceConfig[PI_Validated_By],ROW()-1),"")</f>
      </c>
      <c r="K504">
        <f>IFERROR(INDEX(tblDeviceConfig[PI_Validated_Date],ROW()-1),"")</f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</c>
      <c r="C505">
        <f>IFERROR(INDEX(tblDeviceConfig[Deployed],ROW()-1),"")</f>
      </c>
      <c r="D505">
        <f>IFERROR(INDEX(tblDeviceConfig[Installed],ROW()-1),"")</f>
      </c>
      <c r="E505">
        <f>IFERROR(INDEX(tblDeviceConfig[Cybernet Hostname],ROW()-1),"")</f>
      </c>
      <c r="F505">
        <f>IFERROR(INDEX(tblDeviceConfig[Neuron Hostname],ROW()-1),"")</f>
      </c>
      <c r="G505">
        <f>IFERROR(INDEX(tblDeviceConfig[Software List],ROW()-1),"")</f>
      </c>
      <c r="H505">
        <f>IFERROR(INDEX(tblDeviceConfig[PI_Use_Case],ROW()-1),"")</f>
      </c>
      <c r="I505">
        <f>IFERROR(INDEX(tblDeviceConfig[PI_Result],ROW()-1),"")</f>
      </c>
      <c r="J505">
        <f>IFERROR(INDEX(tblDeviceConfig[PI_Validated_By],ROW()-1),"")</f>
      </c>
      <c r="K505">
        <f>IFERROR(INDEX(tblDeviceConfig[PI_Validated_Date],ROW()-1),"")</f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</c>
      <c r="C506">
        <f>IFERROR(INDEX(tblDeviceConfig[Deployed],ROW()-1),"")</f>
      </c>
      <c r="D506">
        <f>IFERROR(INDEX(tblDeviceConfig[Installed],ROW()-1),"")</f>
      </c>
      <c r="E506">
        <f>IFERROR(INDEX(tblDeviceConfig[Cybernet Hostname],ROW()-1),"")</f>
      </c>
      <c r="F506">
        <f>IFERROR(INDEX(tblDeviceConfig[Neuron Hostname],ROW()-1),"")</f>
      </c>
      <c r="G506">
        <f>IFERROR(INDEX(tblDeviceConfig[Software List],ROW()-1),"")</f>
      </c>
      <c r="H506">
        <f>IFERROR(INDEX(tblDeviceConfig[PI_Use_Case],ROW()-1),"")</f>
      </c>
      <c r="I506">
        <f>IFERROR(INDEX(tblDeviceConfig[PI_Result],ROW()-1),"")</f>
      </c>
      <c r="J506">
        <f>IFERROR(INDEX(tblDeviceConfig[PI_Validated_By],ROW()-1),"")</f>
      </c>
      <c r="K506">
        <f>IFERROR(INDEX(tblDeviceConfig[PI_Validated_Date],ROW()-1),"")</f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</c>
      <c r="C507">
        <f>IFERROR(INDEX(tblDeviceConfig[Deployed],ROW()-1),"")</f>
      </c>
      <c r="D507">
        <f>IFERROR(INDEX(tblDeviceConfig[Installed],ROW()-1),"")</f>
      </c>
      <c r="E507">
        <f>IFERROR(INDEX(tblDeviceConfig[Cybernet Hostname],ROW()-1),"")</f>
      </c>
      <c r="F507">
        <f>IFERROR(INDEX(tblDeviceConfig[Neuron Hostname],ROW()-1),"")</f>
      </c>
      <c r="G507">
        <f>IFERROR(INDEX(tblDeviceConfig[Software List],ROW()-1),"")</f>
      </c>
      <c r="H507">
        <f>IFERROR(INDEX(tblDeviceConfig[PI_Use_Case],ROW()-1),"")</f>
      </c>
      <c r="I507">
        <f>IFERROR(INDEX(tblDeviceConfig[PI_Result],ROW()-1),"")</f>
      </c>
      <c r="J507">
        <f>IFERROR(INDEX(tblDeviceConfig[PI_Validated_By],ROW()-1),"")</f>
      </c>
      <c r="K507">
        <f>IFERROR(INDEX(tblDeviceConfig[PI_Validated_Date],ROW()-1),"")</f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</c>
      <c r="C508">
        <f>IFERROR(INDEX(tblDeviceConfig[Deployed],ROW()-1),"")</f>
      </c>
      <c r="D508">
        <f>IFERROR(INDEX(tblDeviceConfig[Installed],ROW()-1),"")</f>
      </c>
      <c r="E508">
        <f>IFERROR(INDEX(tblDeviceConfig[Cybernet Hostname],ROW()-1),"")</f>
      </c>
      <c r="F508">
        <f>IFERROR(INDEX(tblDeviceConfig[Neuron Hostname],ROW()-1),"")</f>
      </c>
      <c r="G508">
        <f>IFERROR(INDEX(tblDeviceConfig[Software List],ROW()-1),"")</f>
      </c>
      <c r="H508">
        <f>IFERROR(INDEX(tblDeviceConfig[PI_Use_Case],ROW()-1),"")</f>
      </c>
      <c r="I508">
        <f>IFERROR(INDEX(tblDeviceConfig[PI_Result],ROW()-1),"")</f>
      </c>
      <c r="J508">
        <f>IFERROR(INDEX(tblDeviceConfig[PI_Validated_By],ROW()-1),"")</f>
      </c>
      <c r="K508">
        <f>IFERROR(INDEX(tblDeviceConfig[PI_Validated_Date],ROW()-1),"")</f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</c>
      <c r="C509">
        <f>IFERROR(INDEX(tblDeviceConfig[Deployed],ROW()-1),"")</f>
      </c>
      <c r="D509">
        <f>IFERROR(INDEX(tblDeviceConfig[Installed],ROW()-1),"")</f>
      </c>
      <c r="E509">
        <f>IFERROR(INDEX(tblDeviceConfig[Cybernet Hostname],ROW()-1),"")</f>
      </c>
      <c r="F509">
        <f>IFERROR(INDEX(tblDeviceConfig[Neuron Hostname],ROW()-1),"")</f>
      </c>
      <c r="G509">
        <f>IFERROR(INDEX(tblDeviceConfig[Software List],ROW()-1),"")</f>
      </c>
      <c r="H509">
        <f>IFERROR(INDEX(tblDeviceConfig[PI_Use_Case],ROW()-1),"")</f>
      </c>
      <c r="I509">
        <f>IFERROR(INDEX(tblDeviceConfig[PI_Result],ROW()-1),"")</f>
      </c>
      <c r="J509">
        <f>IFERROR(INDEX(tblDeviceConfig[PI_Validated_By],ROW()-1),"")</f>
      </c>
      <c r="K509">
        <f>IFERROR(INDEX(tblDeviceConfig[PI_Validated_Date],ROW()-1),"")</f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</c>
      <c r="C510">
        <f>IFERROR(INDEX(tblDeviceConfig[Deployed],ROW()-1),"")</f>
      </c>
      <c r="D510">
        <f>IFERROR(INDEX(tblDeviceConfig[Installed],ROW()-1),"")</f>
      </c>
      <c r="E510">
        <f>IFERROR(INDEX(tblDeviceConfig[Cybernet Hostname],ROW()-1),"")</f>
      </c>
      <c r="F510">
        <f>IFERROR(INDEX(tblDeviceConfig[Neuron Hostname],ROW()-1),"")</f>
      </c>
      <c r="G510">
        <f>IFERROR(INDEX(tblDeviceConfig[Software List],ROW()-1),"")</f>
      </c>
      <c r="H510">
        <f>IFERROR(INDEX(tblDeviceConfig[PI_Use_Case],ROW()-1),"")</f>
      </c>
      <c r="I510">
        <f>IFERROR(INDEX(tblDeviceConfig[PI_Result],ROW()-1),"")</f>
      </c>
      <c r="J510">
        <f>IFERROR(INDEX(tblDeviceConfig[PI_Validated_By],ROW()-1),"")</f>
      </c>
      <c r="K510">
        <f>IFERROR(INDEX(tblDeviceConfig[PI_Validated_Date],ROW()-1),"")</f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</c>
      <c r="C511">
        <f>IFERROR(INDEX(tblDeviceConfig[Deployed],ROW()-1),"")</f>
      </c>
      <c r="D511">
        <f>IFERROR(INDEX(tblDeviceConfig[Installed],ROW()-1),"")</f>
      </c>
      <c r="E511">
        <f>IFERROR(INDEX(tblDeviceConfig[Cybernet Hostname],ROW()-1),"")</f>
      </c>
      <c r="F511">
        <f>IFERROR(INDEX(tblDeviceConfig[Neuron Hostname],ROW()-1),"")</f>
      </c>
      <c r="G511">
        <f>IFERROR(INDEX(tblDeviceConfig[Software List],ROW()-1),"")</f>
      </c>
      <c r="H511">
        <f>IFERROR(INDEX(tblDeviceConfig[PI_Use_Case],ROW()-1),"")</f>
      </c>
      <c r="I511">
        <f>IFERROR(INDEX(tblDeviceConfig[PI_Result],ROW()-1),"")</f>
      </c>
      <c r="J511">
        <f>IFERROR(INDEX(tblDeviceConfig[PI_Validated_By],ROW()-1),"")</f>
      </c>
      <c r="K511">
        <f>IFERROR(INDEX(tblDeviceConfig[PI_Validated_Date],ROW()-1),"")</f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</c>
      <c r="C512">
        <f>IFERROR(INDEX(tblDeviceConfig[Deployed],ROW()-1),"")</f>
      </c>
      <c r="D512">
        <f>IFERROR(INDEX(tblDeviceConfig[Installed],ROW()-1),"")</f>
      </c>
      <c r="E512">
        <f>IFERROR(INDEX(tblDeviceConfig[Cybernet Hostname],ROW()-1),"")</f>
      </c>
      <c r="F512">
        <f>IFERROR(INDEX(tblDeviceConfig[Neuron Hostname],ROW()-1),"")</f>
      </c>
      <c r="G512">
        <f>IFERROR(INDEX(tblDeviceConfig[Software List],ROW()-1),"")</f>
      </c>
      <c r="H512">
        <f>IFERROR(INDEX(tblDeviceConfig[PI_Use_Case],ROW()-1),"")</f>
      </c>
      <c r="I512">
        <f>IFERROR(INDEX(tblDeviceConfig[PI_Result],ROW()-1),"")</f>
      </c>
      <c r="J512">
        <f>IFERROR(INDEX(tblDeviceConfig[PI_Validated_By],ROW()-1),"")</f>
      </c>
      <c r="K512">
        <f>IFERROR(INDEX(tblDeviceConfig[PI_Validated_Date],ROW()-1),"")</f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</c>
      <c r="C513">
        <f>IFERROR(INDEX(tblDeviceConfig[Deployed],ROW()-1),"")</f>
      </c>
      <c r="D513">
        <f>IFERROR(INDEX(tblDeviceConfig[Installed],ROW()-1),"")</f>
      </c>
      <c r="E513">
        <f>IFERROR(INDEX(tblDeviceConfig[Cybernet Hostname],ROW()-1),"")</f>
      </c>
      <c r="F513">
        <f>IFERROR(INDEX(tblDeviceConfig[Neuron Hostname],ROW()-1),"")</f>
      </c>
      <c r="G513">
        <f>IFERROR(INDEX(tblDeviceConfig[Software List],ROW()-1),"")</f>
      </c>
      <c r="H513">
        <f>IFERROR(INDEX(tblDeviceConfig[PI_Use_Case],ROW()-1),"")</f>
      </c>
      <c r="I513">
        <f>IFERROR(INDEX(tblDeviceConfig[PI_Result],ROW()-1),"")</f>
      </c>
      <c r="J513">
        <f>IFERROR(INDEX(tblDeviceConfig[PI_Validated_By],ROW()-1),"")</f>
      </c>
      <c r="K513">
        <f>IFERROR(INDEX(tblDeviceConfig[PI_Validated_Date],ROW()-1),"")</f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</c>
      <c r="C514">
        <f>IFERROR(INDEX(tblDeviceConfig[Deployed],ROW()-1),"")</f>
      </c>
      <c r="D514">
        <f>IFERROR(INDEX(tblDeviceConfig[Installed],ROW()-1),"")</f>
      </c>
      <c r="E514">
        <f>IFERROR(INDEX(tblDeviceConfig[Cybernet Hostname],ROW()-1),"")</f>
      </c>
      <c r="F514">
        <f>IFERROR(INDEX(tblDeviceConfig[Neuron Hostname],ROW()-1),"")</f>
      </c>
      <c r="G514">
        <f>IFERROR(INDEX(tblDeviceConfig[Software List],ROW()-1),"")</f>
      </c>
      <c r="H514">
        <f>IFERROR(INDEX(tblDeviceConfig[PI_Use_Case],ROW()-1),"")</f>
      </c>
      <c r="I514">
        <f>IFERROR(INDEX(tblDeviceConfig[PI_Result],ROW()-1),"")</f>
      </c>
      <c r="J514">
        <f>IFERROR(INDEX(tblDeviceConfig[PI_Validated_By],ROW()-1),"")</f>
      </c>
      <c r="K514">
        <f>IFERROR(INDEX(tblDeviceConfig[PI_Validated_Date],ROW()-1),"")</f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</c>
      <c r="C515">
        <f>IFERROR(INDEX(tblDeviceConfig[Deployed],ROW()-1),"")</f>
      </c>
      <c r="D515">
        <f>IFERROR(INDEX(tblDeviceConfig[Installed],ROW()-1),"")</f>
      </c>
      <c r="E515">
        <f>IFERROR(INDEX(tblDeviceConfig[Cybernet Hostname],ROW()-1),"")</f>
      </c>
      <c r="F515">
        <f>IFERROR(INDEX(tblDeviceConfig[Neuron Hostname],ROW()-1),"")</f>
      </c>
      <c r="G515">
        <f>IFERROR(INDEX(tblDeviceConfig[Software List],ROW()-1),"")</f>
      </c>
      <c r="H515">
        <f>IFERROR(INDEX(tblDeviceConfig[PI_Use_Case],ROW()-1),"")</f>
      </c>
      <c r="I515">
        <f>IFERROR(INDEX(tblDeviceConfig[PI_Result],ROW()-1),"")</f>
      </c>
      <c r="J515">
        <f>IFERROR(INDEX(tblDeviceConfig[PI_Validated_By],ROW()-1),"")</f>
      </c>
      <c r="K515">
        <f>IFERROR(INDEX(tblDeviceConfig[PI_Validated_Date],ROW()-1),"")</f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</c>
      <c r="C516">
        <f>IFERROR(INDEX(tblDeviceConfig[Deployed],ROW()-1),"")</f>
      </c>
      <c r="D516">
        <f>IFERROR(INDEX(tblDeviceConfig[Installed],ROW()-1),"")</f>
      </c>
      <c r="E516">
        <f>IFERROR(INDEX(tblDeviceConfig[Cybernet Hostname],ROW()-1),"")</f>
      </c>
      <c r="F516">
        <f>IFERROR(INDEX(tblDeviceConfig[Neuron Hostname],ROW()-1),"")</f>
      </c>
      <c r="G516">
        <f>IFERROR(INDEX(tblDeviceConfig[Software List],ROW()-1),"")</f>
      </c>
      <c r="H516">
        <f>IFERROR(INDEX(tblDeviceConfig[PI_Use_Case],ROW()-1),"")</f>
      </c>
      <c r="I516">
        <f>IFERROR(INDEX(tblDeviceConfig[PI_Result],ROW()-1),"")</f>
      </c>
      <c r="J516">
        <f>IFERROR(INDEX(tblDeviceConfig[PI_Validated_By],ROW()-1),"")</f>
      </c>
      <c r="K516">
        <f>IFERROR(INDEX(tblDeviceConfig[PI_Validated_Date],ROW()-1),"")</f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</c>
      <c r="C517">
        <f>IFERROR(INDEX(tblDeviceConfig[Deployed],ROW()-1),"")</f>
      </c>
      <c r="D517">
        <f>IFERROR(INDEX(tblDeviceConfig[Installed],ROW()-1),"")</f>
      </c>
      <c r="E517">
        <f>IFERROR(INDEX(tblDeviceConfig[Cybernet Hostname],ROW()-1),"")</f>
      </c>
      <c r="F517">
        <f>IFERROR(INDEX(tblDeviceConfig[Neuron Hostname],ROW()-1),"")</f>
      </c>
      <c r="G517">
        <f>IFERROR(INDEX(tblDeviceConfig[Software List],ROW()-1),"")</f>
      </c>
      <c r="H517">
        <f>IFERROR(INDEX(tblDeviceConfig[PI_Use_Case],ROW()-1),"")</f>
      </c>
      <c r="I517">
        <f>IFERROR(INDEX(tblDeviceConfig[PI_Result],ROW()-1),"")</f>
      </c>
      <c r="J517">
        <f>IFERROR(INDEX(tblDeviceConfig[PI_Validated_By],ROW()-1),"")</f>
      </c>
      <c r="K517">
        <f>IFERROR(INDEX(tblDeviceConfig[PI_Validated_Date],ROW()-1),"")</f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</c>
      <c r="C518">
        <f>IFERROR(INDEX(tblDeviceConfig[Deployed],ROW()-1),"")</f>
      </c>
      <c r="D518">
        <f>IFERROR(INDEX(tblDeviceConfig[Installed],ROW()-1),"")</f>
      </c>
      <c r="E518">
        <f>IFERROR(INDEX(tblDeviceConfig[Cybernet Hostname],ROW()-1),"")</f>
      </c>
      <c r="F518">
        <f>IFERROR(INDEX(tblDeviceConfig[Neuron Hostname],ROW()-1),"")</f>
      </c>
      <c r="G518">
        <f>IFERROR(INDEX(tblDeviceConfig[Software List],ROW()-1),"")</f>
      </c>
      <c r="H518">
        <f>IFERROR(INDEX(tblDeviceConfig[PI_Use_Case],ROW()-1),"")</f>
      </c>
      <c r="I518">
        <f>IFERROR(INDEX(tblDeviceConfig[PI_Result],ROW()-1),"")</f>
      </c>
      <c r="J518">
        <f>IFERROR(INDEX(tblDeviceConfig[PI_Validated_By],ROW()-1),"")</f>
      </c>
      <c r="K518">
        <f>IFERROR(INDEX(tblDeviceConfig[PI_Validated_Date],ROW()-1),"")</f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</c>
      <c r="C519">
        <f>IFERROR(INDEX(tblDeviceConfig[Deployed],ROW()-1),"")</f>
      </c>
      <c r="D519">
        <f>IFERROR(INDEX(tblDeviceConfig[Installed],ROW()-1),"")</f>
      </c>
      <c r="E519">
        <f>IFERROR(INDEX(tblDeviceConfig[Cybernet Hostname],ROW()-1),"")</f>
      </c>
      <c r="F519">
        <f>IFERROR(INDEX(tblDeviceConfig[Neuron Hostname],ROW()-1),"")</f>
      </c>
      <c r="G519">
        <f>IFERROR(INDEX(tblDeviceConfig[Software List],ROW()-1),"")</f>
      </c>
      <c r="H519">
        <f>IFERROR(INDEX(tblDeviceConfig[PI_Use_Case],ROW()-1),"")</f>
      </c>
      <c r="I519">
        <f>IFERROR(INDEX(tblDeviceConfig[PI_Result],ROW()-1),"")</f>
      </c>
      <c r="J519">
        <f>IFERROR(INDEX(tblDeviceConfig[PI_Validated_By],ROW()-1),"")</f>
      </c>
      <c r="K519">
        <f>IFERROR(INDEX(tblDeviceConfig[PI_Validated_Date],ROW()-1),"")</f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</c>
      <c r="C520">
        <f>IFERROR(INDEX(tblDeviceConfig[Deployed],ROW()-1),"")</f>
      </c>
      <c r="D520">
        <f>IFERROR(INDEX(tblDeviceConfig[Installed],ROW()-1),"")</f>
      </c>
      <c r="E520">
        <f>IFERROR(INDEX(tblDeviceConfig[Cybernet Hostname],ROW()-1),"")</f>
      </c>
      <c r="F520">
        <f>IFERROR(INDEX(tblDeviceConfig[Neuron Hostname],ROW()-1),"")</f>
      </c>
      <c r="G520">
        <f>IFERROR(INDEX(tblDeviceConfig[Software List],ROW()-1),"")</f>
      </c>
      <c r="H520">
        <f>IFERROR(INDEX(tblDeviceConfig[PI_Use_Case],ROW()-1),"")</f>
      </c>
      <c r="I520">
        <f>IFERROR(INDEX(tblDeviceConfig[PI_Result],ROW()-1),"")</f>
      </c>
      <c r="J520">
        <f>IFERROR(INDEX(tblDeviceConfig[PI_Validated_By],ROW()-1),"")</f>
      </c>
      <c r="K520">
        <f>IFERROR(INDEX(tblDeviceConfig[PI_Validated_Date],ROW()-1),"")</f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</c>
      <c r="C521">
        <f>IFERROR(INDEX(tblDeviceConfig[Deployed],ROW()-1),"")</f>
      </c>
      <c r="D521">
        <f>IFERROR(INDEX(tblDeviceConfig[Installed],ROW()-1),"")</f>
      </c>
      <c r="E521">
        <f>IFERROR(INDEX(tblDeviceConfig[Cybernet Hostname],ROW()-1),"")</f>
      </c>
      <c r="F521">
        <f>IFERROR(INDEX(tblDeviceConfig[Neuron Hostname],ROW()-1),"")</f>
      </c>
      <c r="G521">
        <f>IFERROR(INDEX(tblDeviceConfig[Software List],ROW()-1),"")</f>
      </c>
      <c r="H521">
        <f>IFERROR(INDEX(tblDeviceConfig[PI_Use_Case],ROW()-1),"")</f>
      </c>
      <c r="I521">
        <f>IFERROR(INDEX(tblDeviceConfig[PI_Result],ROW()-1),"")</f>
      </c>
      <c r="J521">
        <f>IFERROR(INDEX(tblDeviceConfig[PI_Validated_By],ROW()-1),"")</f>
      </c>
      <c r="K521">
        <f>IFERROR(INDEX(tblDeviceConfig[PI_Validated_Date],ROW()-1),"")</f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</c>
      <c r="C522">
        <f>IFERROR(INDEX(tblDeviceConfig[Deployed],ROW()-1),"")</f>
      </c>
      <c r="D522">
        <f>IFERROR(INDEX(tblDeviceConfig[Installed],ROW()-1),"")</f>
      </c>
      <c r="E522">
        <f>IFERROR(INDEX(tblDeviceConfig[Cybernet Hostname],ROW()-1),"")</f>
      </c>
      <c r="F522">
        <f>IFERROR(INDEX(tblDeviceConfig[Neuron Hostname],ROW()-1),"")</f>
      </c>
      <c r="G522">
        <f>IFERROR(INDEX(tblDeviceConfig[Software List],ROW()-1),"")</f>
      </c>
      <c r="H522">
        <f>IFERROR(INDEX(tblDeviceConfig[PI_Use_Case],ROW()-1),"")</f>
      </c>
      <c r="I522">
        <f>IFERROR(INDEX(tblDeviceConfig[PI_Result],ROW()-1),"")</f>
      </c>
      <c r="J522">
        <f>IFERROR(INDEX(tblDeviceConfig[PI_Validated_By],ROW()-1),"")</f>
      </c>
      <c r="K522">
        <f>IFERROR(INDEX(tblDeviceConfig[PI_Validated_Date],ROW()-1),"")</f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</c>
      <c r="C523">
        <f>IFERROR(INDEX(tblDeviceConfig[Deployed],ROW()-1),"")</f>
      </c>
      <c r="D523">
        <f>IFERROR(INDEX(tblDeviceConfig[Installed],ROW()-1),"")</f>
      </c>
      <c r="E523">
        <f>IFERROR(INDEX(tblDeviceConfig[Cybernet Hostname],ROW()-1),"")</f>
      </c>
      <c r="F523">
        <f>IFERROR(INDEX(tblDeviceConfig[Neuron Hostname],ROW()-1),"")</f>
      </c>
      <c r="G523">
        <f>IFERROR(INDEX(tblDeviceConfig[Software List],ROW()-1),"")</f>
      </c>
      <c r="H523">
        <f>IFERROR(INDEX(tblDeviceConfig[PI_Use_Case],ROW()-1),"")</f>
      </c>
      <c r="I523">
        <f>IFERROR(INDEX(tblDeviceConfig[PI_Result],ROW()-1),"")</f>
      </c>
      <c r="J523">
        <f>IFERROR(INDEX(tblDeviceConfig[PI_Validated_By],ROW()-1),"")</f>
      </c>
      <c r="K523">
        <f>IFERROR(INDEX(tblDeviceConfig[PI_Validated_Date],ROW()-1),"")</f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</c>
      <c r="C524">
        <f>IFERROR(INDEX(tblDeviceConfig[Deployed],ROW()-1),"")</f>
      </c>
      <c r="D524">
        <f>IFERROR(INDEX(tblDeviceConfig[Installed],ROW()-1),"")</f>
      </c>
      <c r="E524">
        <f>IFERROR(INDEX(tblDeviceConfig[Cybernet Hostname],ROW()-1),"")</f>
      </c>
      <c r="F524">
        <f>IFERROR(INDEX(tblDeviceConfig[Neuron Hostname],ROW()-1),"")</f>
      </c>
      <c r="G524">
        <f>IFERROR(INDEX(tblDeviceConfig[Software List],ROW()-1),"")</f>
      </c>
      <c r="H524">
        <f>IFERROR(INDEX(tblDeviceConfig[PI_Use_Case],ROW()-1),"")</f>
      </c>
      <c r="I524">
        <f>IFERROR(INDEX(tblDeviceConfig[PI_Result],ROW()-1),"")</f>
      </c>
      <c r="J524">
        <f>IFERROR(INDEX(tblDeviceConfig[PI_Validated_By],ROW()-1),"")</f>
      </c>
      <c r="K524">
        <f>IFERROR(INDEX(tblDeviceConfig[PI_Validated_Date],ROW()-1),"")</f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</c>
      <c r="C525">
        <f>IFERROR(INDEX(tblDeviceConfig[Deployed],ROW()-1),"")</f>
      </c>
      <c r="D525">
        <f>IFERROR(INDEX(tblDeviceConfig[Installed],ROW()-1),"")</f>
      </c>
      <c r="E525">
        <f>IFERROR(INDEX(tblDeviceConfig[Cybernet Hostname],ROW()-1),"")</f>
      </c>
      <c r="F525">
        <f>IFERROR(INDEX(tblDeviceConfig[Neuron Hostname],ROW()-1),"")</f>
      </c>
      <c r="G525">
        <f>IFERROR(INDEX(tblDeviceConfig[Software List],ROW()-1),"")</f>
      </c>
      <c r="H525">
        <f>IFERROR(INDEX(tblDeviceConfig[PI_Use_Case],ROW()-1),"")</f>
      </c>
      <c r="I525">
        <f>IFERROR(INDEX(tblDeviceConfig[PI_Result],ROW()-1),"")</f>
      </c>
      <c r="J525">
        <f>IFERROR(INDEX(tblDeviceConfig[PI_Validated_By],ROW()-1),"")</f>
      </c>
      <c r="K525">
        <f>IFERROR(INDEX(tblDeviceConfig[PI_Validated_Date],ROW()-1),"")</f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</c>
      <c r="C526">
        <f>IFERROR(INDEX(tblDeviceConfig[Deployed],ROW()-1),"")</f>
      </c>
      <c r="D526">
        <f>IFERROR(INDEX(tblDeviceConfig[Installed],ROW()-1),"")</f>
      </c>
      <c r="E526">
        <f>IFERROR(INDEX(tblDeviceConfig[Cybernet Hostname],ROW()-1),"")</f>
      </c>
      <c r="F526">
        <f>IFERROR(INDEX(tblDeviceConfig[Neuron Hostname],ROW()-1),"")</f>
      </c>
      <c r="G526">
        <f>IFERROR(INDEX(tblDeviceConfig[Software List],ROW()-1),"")</f>
      </c>
      <c r="H526">
        <f>IFERROR(INDEX(tblDeviceConfig[PI_Use_Case],ROW()-1),"")</f>
      </c>
      <c r="I526">
        <f>IFERROR(INDEX(tblDeviceConfig[PI_Result],ROW()-1),"")</f>
      </c>
      <c r="J526">
        <f>IFERROR(INDEX(tblDeviceConfig[PI_Validated_By],ROW()-1),"")</f>
      </c>
      <c r="K526">
        <f>IFERROR(INDEX(tblDeviceConfig[PI_Validated_Date],ROW()-1),"")</f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</c>
      <c r="C527">
        <f>IFERROR(INDEX(tblDeviceConfig[Deployed],ROW()-1),"")</f>
      </c>
      <c r="D527">
        <f>IFERROR(INDEX(tblDeviceConfig[Installed],ROW()-1),"")</f>
      </c>
      <c r="E527">
        <f>IFERROR(INDEX(tblDeviceConfig[Cybernet Hostname],ROW()-1),"")</f>
      </c>
      <c r="F527">
        <f>IFERROR(INDEX(tblDeviceConfig[Neuron Hostname],ROW()-1),"")</f>
      </c>
      <c r="G527">
        <f>IFERROR(INDEX(tblDeviceConfig[Software List],ROW()-1),"")</f>
      </c>
      <c r="H527">
        <f>IFERROR(INDEX(tblDeviceConfig[PI_Use_Case],ROW()-1),"")</f>
      </c>
      <c r="I527">
        <f>IFERROR(INDEX(tblDeviceConfig[PI_Result],ROW()-1),"")</f>
      </c>
      <c r="J527">
        <f>IFERROR(INDEX(tblDeviceConfig[PI_Validated_By],ROW()-1),"")</f>
      </c>
      <c r="K527">
        <f>IFERROR(INDEX(tblDeviceConfig[PI_Validated_Date],ROW()-1),"")</f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</c>
      <c r="C528">
        <f>IFERROR(INDEX(tblDeviceConfig[Deployed],ROW()-1),"")</f>
      </c>
      <c r="D528">
        <f>IFERROR(INDEX(tblDeviceConfig[Installed],ROW()-1),"")</f>
      </c>
      <c r="E528">
        <f>IFERROR(INDEX(tblDeviceConfig[Cybernet Hostname],ROW()-1),"")</f>
      </c>
      <c r="F528">
        <f>IFERROR(INDEX(tblDeviceConfig[Neuron Hostname],ROW()-1),"")</f>
      </c>
      <c r="G528">
        <f>IFERROR(INDEX(tblDeviceConfig[Software List],ROW()-1),"")</f>
      </c>
      <c r="H528">
        <f>IFERROR(INDEX(tblDeviceConfig[PI_Use_Case],ROW()-1),"")</f>
      </c>
      <c r="I528">
        <f>IFERROR(INDEX(tblDeviceConfig[PI_Result],ROW()-1),"")</f>
      </c>
      <c r="J528">
        <f>IFERROR(INDEX(tblDeviceConfig[PI_Validated_By],ROW()-1),"")</f>
      </c>
      <c r="K528">
        <f>IFERROR(INDEX(tblDeviceConfig[PI_Validated_Date],ROW()-1),"")</f>
      </c>
      <c r="L528">
        <f t="shared" si="16"/>
        <v>0</v>
      </c>
      <c r="M528" t="str">
        <f t="shared" si="17"/>
        <v/>
      </c>
    </row>
    <row r="529">
      <c r="A529">
        <f>ROW()</f>
      </c>
      <c r="B529">
        <f>IFERROR(INDEX(tblDeviceConfig[Device Type],ROW()-1),"")</f>
      </c>
      <c r="C529">
        <f>IFERROR(INDEX(tblDeviceConfig[Deployed],ROW()-1),"")</f>
      </c>
      <c r="D529">
        <f>IFERROR(INDEX(tblDeviceConfig[Installed],ROW()-1),"")</f>
      </c>
      <c r="E529">
        <f>IFERROR(INDEX(tblDeviceConfig[Cybernet Hostname],ROW()-1),"")</f>
      </c>
      <c r="F529">
        <f>IFERROR(INDEX(tblDeviceConfig[Neuron Hostname],ROW()-1),"")</f>
      </c>
      <c r="G529">
        <f>IFERROR(INDEX(tblDeviceConfig[Software List],ROW()-1),"")</f>
      </c>
      <c r="H529">
        <f>IFERROR(INDEX(tblDeviceConfig[PI_Use_Case],ROW()-1),"")</f>
      </c>
      <c r="I529">
        <f>IFERROR(INDEX(tblDeviceConfig[PI_Result],ROW()-1),"")</f>
      </c>
      <c r="J529">
        <f>IFERROR(INDEX(tblDeviceConfig[PI_Validated_By],ROW()-1),"")</f>
      </c>
      <c r="K529">
        <f>IFERROR(INDEX(tblDeviceConfig[PI_Validated_Date],ROW()-1),"")</f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</c>
      <c r="M529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</c>
    </row>
    <row r="530">
      <c r="A530">
        <f>ROW()</f>
      </c>
      <c r="B530">
        <f>IFERROR(INDEX(tblDeviceConfig[Device Type],ROW()-1),"")</f>
      </c>
      <c r="C530">
        <f>IFERROR(INDEX(tblDeviceConfig[Deployed],ROW()-1),"")</f>
      </c>
      <c r="D530">
        <f>IFERROR(INDEX(tblDeviceConfig[Installed],ROW()-1),"")</f>
      </c>
      <c r="E530">
        <f>IFERROR(INDEX(tblDeviceConfig[Cybernet Hostname],ROW()-1),"")</f>
      </c>
      <c r="F530">
        <f>IFERROR(INDEX(tblDeviceConfig[Neuron Hostname],ROW()-1),"")</f>
      </c>
      <c r="G530">
        <f>IFERROR(INDEX(tblDeviceConfig[Software List],ROW()-1),"")</f>
      </c>
      <c r="H530">
        <f>IFERROR(INDEX(tblDeviceConfig[PI_Use_Case],ROW()-1),"")</f>
      </c>
      <c r="I530">
        <f>IFERROR(INDEX(tblDeviceConfig[PI_Result],ROW()-1),"")</f>
      </c>
      <c r="J530">
        <f>IFERROR(INDEX(tblDeviceConfig[PI_Validated_By],ROW()-1),"")</f>
      </c>
      <c r="K530">
        <f>IFERROR(INDEX(tblDeviceConfig[PI_Validated_Date],ROW()-1),"")</f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</c>
      <c r="M530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</c>
    </row>
    <row r="531">
      <c r="A531">
        <f>ROW()</f>
      </c>
      <c r="B531">
        <f>IFERROR(INDEX(tblDeviceConfig[Device Type],ROW()-1),"")</f>
      </c>
      <c r="C531">
        <f>IFERROR(INDEX(tblDeviceConfig[Deployed],ROW()-1),"")</f>
      </c>
      <c r="D531">
        <f>IFERROR(INDEX(tblDeviceConfig[Installed],ROW()-1),"")</f>
      </c>
      <c r="E531">
        <f>IFERROR(INDEX(tblDeviceConfig[Cybernet Hostname],ROW()-1),"")</f>
      </c>
      <c r="F531">
        <f>IFERROR(INDEX(tblDeviceConfig[Neuron Hostname],ROW()-1),"")</f>
      </c>
      <c r="G531">
        <f>IFERROR(INDEX(tblDeviceConfig[Software List],ROW()-1),"")</f>
      </c>
      <c r="H531">
        <f>IFERROR(INDEX(tblDeviceConfig[PI_Use_Case],ROW()-1),"")</f>
      </c>
      <c r="I531">
        <f>IFERROR(INDEX(tblDeviceConfig[PI_Result],ROW()-1),"")</f>
      </c>
      <c r="J531">
        <f>IFERROR(INDEX(tblDeviceConfig[PI_Validated_By],ROW()-1),"")</f>
      </c>
      <c r="K531">
        <f>IFERROR(INDEX(tblDeviceConfig[PI_Validated_Date],ROW()-1),"")</f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</c>
      <c r="M531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</c>
    </row>
    <row r="532">
      <c r="A532">
        <f>ROW()</f>
      </c>
      <c r="B532">
        <f>IFERROR(INDEX(tblDeviceConfig[Device Type],ROW()-1),"")</f>
      </c>
      <c r="C532">
        <f>IFERROR(INDEX(tblDeviceConfig[Deployed],ROW()-1),"")</f>
      </c>
      <c r="D532">
        <f>IFERROR(INDEX(tblDeviceConfig[Installed],ROW()-1),"")</f>
      </c>
      <c r="E532">
        <f>IFERROR(INDEX(tblDeviceConfig[Cybernet Hostname],ROW()-1),"")</f>
      </c>
      <c r="F532">
        <f>IFERROR(INDEX(tblDeviceConfig[Neuron Hostname],ROW()-1),"")</f>
      </c>
      <c r="G532">
        <f>IFERROR(INDEX(tblDeviceConfig[Software List],ROW()-1),"")</f>
      </c>
      <c r="H532">
        <f>IFERROR(INDEX(tblDeviceConfig[PI_Use_Case],ROW()-1),"")</f>
      </c>
      <c r="I532">
        <f>IFERROR(INDEX(tblDeviceConfig[PI_Result],ROW()-1),"")</f>
      </c>
      <c r="J532">
        <f>IFERROR(INDEX(tblDeviceConfig[PI_Validated_By],ROW()-1),"")</f>
      </c>
      <c r="K532">
        <f>IFERROR(INDEX(tblDeviceConfig[PI_Validated_Date],ROW()-1),"")</f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</c>
      <c r="M532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1627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1818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2051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2104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2189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2340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1807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2105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7" t="s">
        <v>112</v>
      </c>
      <c r="B1" s="62"/>
      <c r="C1" s="62"/>
      <c r="D1" s="62"/>
    </row>
    <row r="2" spans="1:4" ht="15" customHeight="1">
      <c r="A2" s="60" t="s">
        <v>113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114</v>
      </c>
      <c r="B4" s="43" t="s">
        <v>115</v>
      </c>
      <c r="C4" s="43" t="s">
        <v>116</v>
      </c>
      <c r="D4" s="43" t="s">
        <v>117</v>
      </c>
    </row>
    <row r="5" spans="1:4" ht="15" customHeight="1">
      <c r="A5" s="44" t="s">
        <v>35</v>
      </c>
      <c r="B5" s="44" t="s">
        <v>118</v>
      </c>
      <c r="C5" s="44" t="s">
        <v>119</v>
      </c>
      <c r="D5" s="44" t="s">
        <v>120</v>
      </c>
    </row>
    <row r="6" spans="1:4" ht="15" customHeight="1">
      <c r="A6" s="44" t="s">
        <v>55</v>
      </c>
      <c r="B6" s="44" t="s">
        <v>121</v>
      </c>
      <c r="C6" s="44" t="s">
        <v>122</v>
      </c>
      <c r="D6" s="44" t="s">
        <v>123</v>
      </c>
    </row>
    <row r="7" spans="1:4" ht="15" customHeight="1">
      <c r="A7" s="44" t="s">
        <v>46</v>
      </c>
      <c r="B7" s="44" t="s">
        <v>124</v>
      </c>
      <c r="C7" s="44" t="s">
        <v>125</v>
      </c>
      <c r="D7" s="44" t="s">
        <v>126</v>
      </c>
    </row>
    <row r="8" spans="1:4" ht="15" customHeight="1">
      <c r="A8" s="44" t="s">
        <v>59</v>
      </c>
      <c r="B8" s="44" t="s">
        <v>127</v>
      </c>
      <c r="C8" s="44" t="s">
        <v>128</v>
      </c>
      <c r="D8" s="44" t="s">
        <v>129</v>
      </c>
    </row>
    <row r="9" spans="1:4" ht="15" customHeight="1">
      <c r="A9" s="44" t="s">
        <v>62</v>
      </c>
      <c r="B9" s="44" t="s">
        <v>130</v>
      </c>
      <c r="C9" s="44" t="s">
        <v>131</v>
      </c>
      <c r="D9" s="44" t="s">
        <v>132</v>
      </c>
    </row>
    <row r="10" spans="1:4" ht="15" customHeight="1">
      <c r="A10" s="44" t="s">
        <v>133</v>
      </c>
      <c r="B10" s="44" t="s">
        <v>68</v>
      </c>
      <c r="C10" s="44" t="s">
        <v>134</v>
      </c>
      <c r="D10" s="44" t="s">
        <v>135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9" t="s">
        <v>136</v>
      </c>
      <c r="B13" s="62"/>
      <c r="C13" s="62"/>
      <c r="D13" s="62"/>
    </row>
    <row r="14" spans="1:4" ht="15" customHeight="1">
      <c r="A14" s="49" t="s">
        <v>137</v>
      </c>
      <c r="B14" s="58" t="s">
        <v>138</v>
      </c>
      <c r="C14" s="62"/>
      <c r="D14" s="62"/>
    </row>
    <row r="15" spans="1:4" ht="15" customHeight="1">
      <c r="A15" s="49" t="s">
        <v>139</v>
      </c>
      <c r="B15" s="58" t="s">
        <v>140</v>
      </c>
      <c r="C15" s="62"/>
      <c r="D15" s="62"/>
    </row>
    <row r="16" spans="1:4" ht="15" customHeight="1">
      <c r="A16" s="49" t="s">
        <v>141</v>
      </c>
      <c r="B16" s="58" t="s">
        <v>142</v>
      </c>
      <c r="C16" s="62"/>
      <c r="D16" s="62"/>
    </row>
    <row r="17" spans="1:4" ht="15" customHeight="1">
      <c r="A17" s="49" t="s">
        <v>143</v>
      </c>
      <c r="B17" s="58" t="s">
        <v>144</v>
      </c>
      <c r="C17" s="62"/>
      <c r="D17" s="62"/>
    </row>
    <row r="18" spans="1:4" ht="15" customHeight="1">
      <c r="A18" s="49" t="s">
        <v>145</v>
      </c>
      <c r="B18" s="58" t="s">
        <v>146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9" t="s">
        <v>147</v>
      </c>
      <c r="B20" s="62"/>
      <c r="C20" s="62"/>
      <c r="D20" s="62"/>
    </row>
    <row r="21" spans="1:4" ht="15" customHeight="1">
      <c r="A21" s="58" t="s">
        <v>148</v>
      </c>
      <c r="B21" s="62"/>
      <c r="C21" s="62"/>
      <c r="D21" s="62"/>
    </row>
    <row r="22" spans="1:4" ht="15" customHeight="1">
      <c r="A22" s="58" t="s">
        <v>149</v>
      </c>
      <c r="B22" s="62"/>
      <c r="C22" s="62"/>
      <c r="D22" s="62"/>
    </row>
    <row r="23" spans="1:4" ht="15" customHeight="1">
      <c r="A23" s="58" t="s">
        <v>150</v>
      </c>
      <c r="B23" s="62"/>
      <c r="C23" s="62"/>
      <c r="D23" s="62"/>
    </row>
    <row r="24" spans="1:4" ht="15" customHeight="1">
      <c r="A24" s="58" t="s">
        <v>151</v>
      </c>
      <c r="B24" s="62"/>
      <c r="C24" s="62"/>
      <c r="D24" s="62"/>
    </row>
    <row r="25" spans="1:4" ht="15" customHeight="1">
      <c r="A25" s="58" t="s">
        <v>152</v>
      </c>
      <c r="B25" s="62"/>
      <c r="C25" s="62"/>
      <c r="D25" s="62"/>
    </row>
    <row r="26" spans="1:4" ht="41.25" customHeight="1">
      <c r="A26" s="49" t="s">
        <v>153</v>
      </c>
      <c r="B26" s="49"/>
      <c r="C26" s="49"/>
      <c r="D26" s="49"/>
    </row>
    <row r="27" spans="1:4" ht="15.75" customHeight="1">
      <c r="A27" s="59" t="s">
        <v>154</v>
      </c>
      <c r="B27" s="62"/>
      <c r="C27" s="62"/>
      <c r="D27" s="62"/>
    </row>
    <row r="28" spans="1:4" ht="15" customHeight="1">
      <c r="A28" s="58"/>
      <c r="B28" s="62"/>
      <c r="C28" s="62"/>
      <c r="D28" s="62"/>
    </row>
    <row r="29" spans="1:4" ht="15" customHeight="1">
      <c r="A29" s="58" t="s">
        <v>155</v>
      </c>
      <c r="B29" s="62"/>
      <c r="C29" s="62"/>
      <c r="D29" s="62"/>
    </row>
    <row r="30" spans="1:4" ht="15" customHeight="1">
      <c r="A30" s="58" t="s">
        <v>156</v>
      </c>
      <c r="B30" s="62"/>
      <c r="C30" s="62"/>
      <c r="D30" s="62"/>
    </row>
    <row r="31" spans="1:4" ht="15" customHeight="1">
      <c r="A31" s="58" t="s">
        <v>157</v>
      </c>
      <c r="B31" s="62"/>
      <c r="C31" s="62"/>
      <c r="D31" s="62"/>
    </row>
    <row r="32" spans="1:4" ht="94.5" customHeight="1">
      <c r="A32" s="49" t="s">
        <v>158</v>
      </c>
      <c r="B32" s="49"/>
      <c r="C32" s="49"/>
      <c r="D32" s="49"/>
    </row>
    <row r="33" spans="1:4" ht="94.5" customHeight="1">
      <c r="A33" s="49" t="s">
        <v>159</v>
      </c>
      <c r="B33" s="49"/>
      <c r="C33" s="49"/>
      <c r="D33" s="49"/>
    </row>
    <row r="34" spans="1:4" ht="68.25" customHeight="1">
      <c r="A34" s="49" t="s">
        <v>160</v>
      </c>
      <c r="B34" s="49"/>
      <c r="C34" s="49"/>
      <c r="D34" s="49"/>
    </row>
    <row r="35" spans="1:4" ht="68.25" customHeight="1">
      <c r="A35" s="49" t="s">
        <v>161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162</v>
      </c>
      <c r="B37" s="49"/>
      <c r="C37" s="49"/>
      <c r="D37" s="49"/>
    </row>
    <row r="38" spans="1:4" ht="54.75" customHeight="1">
      <c r="A38" s="49" t="s">
        <v>163</v>
      </c>
      <c r="B38" s="49"/>
      <c r="C38" s="49"/>
      <c r="D38" s="49"/>
    </row>
    <row r="39" spans="1:4" ht="54.75" customHeight="1">
      <c r="A39" s="49" t="s">
        <v>164</v>
      </c>
      <c r="B39" s="49"/>
      <c r="C39" s="49"/>
      <c r="D39" s="49"/>
    </row>
    <row r="40" spans="1:4" ht="68.25" customHeight="1">
      <c r="A40" s="49" t="s">
        <v>165</v>
      </c>
      <c r="B40" s="49"/>
      <c r="C40" s="49"/>
      <c r="D40" s="49"/>
    </row>
    <row r="41" spans="1:4" ht="68.25" customHeight="1">
      <c r="A41" s="49" t="s">
        <v>166</v>
      </c>
      <c r="B41" s="49"/>
      <c r="C41" s="49"/>
      <c r="D41" s="49"/>
    </row>
    <row r="42" spans="1:4" ht="54.75" customHeight="1">
      <c r="A42" s="49" t="s">
        <v>167</v>
      </c>
      <c r="B42" s="49"/>
      <c r="C42" s="49"/>
      <c r="D42" s="49"/>
    </row>
    <row r="43" spans="1:4" ht="54.75" customHeight="1">
      <c r="A43" s="49" t="s">
        <v>168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169</v>
      </c>
      <c r="B45" s="49"/>
      <c r="C45" s="49"/>
      <c r="D45" s="49"/>
    </row>
    <row r="46" spans="1:4" ht="45">
      <c r="A46" s="49" t="s">
        <v>170</v>
      </c>
      <c r="B46" s="49"/>
      <c r="C46" s="49"/>
      <c r="D46" s="49"/>
    </row>
    <row r="47" spans="1:4" ht="60">
      <c r="A47" s="49" t="s">
        <v>171</v>
      </c>
      <c r="B47" s="49"/>
      <c r="C47" s="49"/>
      <c r="D47" s="49"/>
    </row>
    <row r="48" spans="1:4" ht="60">
      <c r="A48" s="49" t="s">
        <v>172</v>
      </c>
      <c r="B48" s="49"/>
      <c r="C48" s="49"/>
      <c r="D48" s="49"/>
    </row>
    <row r="49" spans="1:4" ht="75">
      <c r="A49" s="49" t="s">
        <v>173</v>
      </c>
      <c r="B49" s="49"/>
      <c r="C49" s="49"/>
      <c r="D49" s="49"/>
    </row>
    <row r="50" spans="1:4" ht="75">
      <c r="A50" s="49" t="s">
        <v>174</v>
      </c>
      <c r="B50" s="49"/>
      <c r="C50" s="49"/>
      <c r="D50" s="49"/>
    </row>
    <row r="51" spans="1:4">
      <c r="A51" s="49" t="s">
        <v>175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176</v>
      </c>
      <c r="B53" s="49"/>
      <c r="C53" s="49"/>
      <c r="D53" s="49"/>
    </row>
    <row r="54" spans="1:4" ht="60">
      <c r="A54" s="49" t="s">
        <v>177</v>
      </c>
      <c r="B54" s="49"/>
      <c r="C54" s="49"/>
      <c r="D54" s="49"/>
    </row>
    <row r="55" spans="1:4" ht="60">
      <c r="A55" s="49" t="s">
        <v>178</v>
      </c>
      <c r="B55" s="49"/>
      <c r="C55" s="49"/>
      <c r="D55" s="49"/>
    </row>
    <row r="56" spans="1:4">
      <c r="A56" s="49" t="s">
        <v>179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>
      <c r="A82" t="s">
        <v>2154</v>
      </c>
    </row>
    <row r="83">
      <c r="A83" t="s">
        <v>2165</v>
      </c>
    </row>
    <row r="84">
      <c r="A84" t="s">
        <v>2005</v>
      </c>
    </row>
    <row r="85">
      <c r="A85" t="s">
        <v>1821</v>
      </c>
    </row>
    <row r="86">
      <c r="A86" t="s">
        <v>1977</v>
      </c>
    </row>
    <row r="87">
      <c r="A87" t="s">
        <v>2031</v>
      </c>
    </row>
    <row r="88">
      <c r="A88" t="s">
        <v>2428</v>
      </c>
    </row>
    <row r="89">
      <c r="A89" t="s">
        <v>2359</v>
      </c>
    </row>
    <row r="92">
      <c r="A92" t="s">
        <v>2429</v>
      </c>
    </row>
    <row r="94">
      <c r="A94" t="s">
        <v>2430</v>
      </c>
      <c r="B94" t="s">
        <v>2431</v>
      </c>
      <c r="C94" t="s">
        <v>2432</v>
      </c>
      <c r="D94" t="s">
        <v>2433</v>
      </c>
      <c r="E94" t="s">
        <v>2434</v>
      </c>
      <c r="F94" t="s">
        <v>2435</v>
      </c>
      <c r="G94" t="s">
        <v>2436</v>
      </c>
      <c r="H94" t="s">
        <v>2437</v>
      </c>
    </row>
    <row r="95">
      <c r="A95" t="s">
        <v>2438</v>
      </c>
      <c r="B95" t="s">
        <v>2439</v>
      </c>
      <c r="C95" t="s">
        <v>2440</v>
      </c>
      <c r="D95" t="s">
        <v>2441</v>
      </c>
      <c r="E95" t="s">
        <v>2442</v>
      </c>
      <c r="F95" t="s">
        <v>2443</v>
      </c>
      <c r="G95" t="s">
        <v>2444</v>
      </c>
      <c r="H95" t="s">
        <v>2445</v>
      </c>
    </row>
    <row r="96">
      <c r="A96" t="s">
        <v>2446</v>
      </c>
      <c r="B96" t="s">
        <v>2447</v>
      </c>
      <c r="C96" t="s">
        <v>2448</v>
      </c>
      <c r="D96" t="s">
        <v>2449</v>
      </c>
      <c r="E96" t="s">
        <v>2450</v>
      </c>
      <c r="F96" t="s">
        <v>2451</v>
      </c>
      <c r="G96" t="s">
        <v>2452</v>
      </c>
      <c r="H96" t="s">
        <v>2453</v>
      </c>
    </row>
    <row r="97">
      <c r="A97" t="s">
        <v>2454</v>
      </c>
      <c r="B97" t="s">
        <v>2455</v>
      </c>
      <c r="C97" t="s">
        <v>2456</v>
      </c>
      <c r="D97" t="s">
        <v>2457</v>
      </c>
      <c r="E97" t="s">
        <v>2458</v>
      </c>
      <c r="F97" t="s">
        <v>2459</v>
      </c>
      <c r="G97" t="s">
        <v>2460</v>
      </c>
      <c r="H97" t="s">
        <v>2461</v>
      </c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180</v>
      </c>
      <c r="B1" s="50" t="s">
        <v>181</v>
      </c>
      <c r="C1" s="50" t="s">
        <v>182</v>
      </c>
      <c r="D1" s="50" t="s">
        <v>183</v>
      </c>
      <c r="E1" s="50" t="s">
        <v>184</v>
      </c>
      <c r="F1" s="50" t="s">
        <v>185</v>
      </c>
      <c r="G1" s="50" t="s">
        <v>186</v>
      </c>
      <c r="H1" s="50" t="s">
        <v>187</v>
      </c>
      <c r="I1" s="50" t="s">
        <v>188</v>
      </c>
      <c r="J1" s="50" t="s">
        <v>189</v>
      </c>
      <c r="K1" s="50" t="s">
        <v>190</v>
      </c>
      <c r="L1" s="50" t="s">
        <v>191</v>
      </c>
      <c r="M1" s="50" t="s">
        <v>192</v>
      </c>
      <c r="N1" s="50" t="s">
        <v>193</v>
      </c>
      <c r="O1" s="50" t="s">
        <v>194</v>
      </c>
      <c r="P1" s="50" t="s">
        <v>195</v>
      </c>
      <c r="Q1" s="50" t="s">
        <v>196</v>
      </c>
      <c r="R1" s="50" t="s">
        <v>197</v>
      </c>
      <c r="S1" s="50" t="s">
        <v>198</v>
      </c>
      <c r="T1" s="50" t="s">
        <v>199</v>
      </c>
      <c r="U1" s="50" t="s">
        <v>200</v>
      </c>
      <c r="V1" s="50" t="s">
        <v>201</v>
      </c>
      <c r="W1" s="50" t="s">
        <v>202</v>
      </c>
      <c r="X1" s="50" t="s">
        <v>203</v>
      </c>
      <c r="Y1" s="50" t="s">
        <v>204</v>
      </c>
      <c r="Z1" s="50" t="s">
        <v>205</v>
      </c>
    </row>
    <row r="2" spans="1:26" ht="45.75" customHeight="1">
      <c r="A2" s="4" t="s">
        <v>206</v>
      </c>
      <c r="B2" s="24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25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24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25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25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25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25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25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25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25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25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25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257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25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25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25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25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25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25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25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25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25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25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25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25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25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25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25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25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25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25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25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25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25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25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25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25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25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25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25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25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25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25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25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25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25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25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25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25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25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25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25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25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25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25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25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25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25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25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25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25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25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25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24"/>
      <c r="D200" t="str">
        <f>IF($C200="","",IFERROR(LOOKUP(2,1/('03_Warehouse_Movements'!$C$2:$C$500=$A200),'03_Warehouse_Movements'!$E$2:$E$500),$C200))</f>
        <v/>
      </c>
      <c r="E200" t="s">
        <v>209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24"/>
      <c r="D201" t="str">
        <f>IF($C201="","",IFERROR(LOOKUP(2,1/('03_Warehouse_Movements'!$C$2:$C$500=$A201),'03_Warehouse_Movements'!$E$2:$E$500),$C201))</f>
        <v/>
      </c>
      <c r="E201" t="s">
        <v>209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24"/>
      <c r="D202" t="str">
        <f>IF($C202="","",IFERROR(LOOKUP(2,1/('03_Warehouse_Movements'!$C$2:$C$500=$A202),'03_Warehouse_Movements'!$E$2:$E$500),$C202))</f>
        <v/>
      </c>
      <c r="E202" t="s">
        <v>209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24"/>
      <c r="D203" t="str">
        <f>IF($C203="","",IFERROR(LOOKUP(2,1/('03_Warehouse_Movements'!$C$2:$C$500=$A203),'03_Warehouse_Movements'!$E$2:$E$500),$C203))</f>
        <v/>
      </c>
      <c r="E203" t="s">
        <v>209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24"/>
      <c r="D204" t="str">
        <f>IF($C204="","",IFERROR(LOOKUP(2,1/('03_Warehouse_Movements'!$C$2:$C$500=$A204),'03_Warehouse_Movements'!$E$2:$E$500),$C204))</f>
        <v/>
      </c>
      <c r="E204" t="s">
        <v>209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24"/>
      <c r="D205" t="str">
        <f>IF($C205="","",IFERROR(LOOKUP(2,1/('03_Warehouse_Movements'!$C$2:$C$500=$A205),'03_Warehouse_Movements'!$E$2:$E$500),$C205))</f>
        <v/>
      </c>
      <c r="E205" t="s">
        <v>209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24"/>
      <c r="D206" t="str">
        <f>IF($C206="","",IFERROR(LOOKUP(2,1/('03_Warehouse_Movements'!$C$2:$C$500=$A206),'03_Warehouse_Movements'!$E$2:$E$500),$C206))</f>
        <v/>
      </c>
      <c r="E206" t="s">
        <v>209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24"/>
      <c r="D207" t="str">
        <f>IF($C207="","",IFERROR(LOOKUP(2,1/('03_Warehouse_Movements'!$C$2:$C$500=$A207),'03_Warehouse_Movements'!$E$2:$E$500),$C207))</f>
        <v/>
      </c>
      <c r="E207" t="s">
        <v>209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24"/>
      <c r="D208" t="str">
        <f>IF($C208="","",IFERROR(LOOKUP(2,1/('03_Warehouse_Movements'!$C$2:$C$500=$A208),'03_Warehouse_Movements'!$E$2:$E$500),$C208))</f>
        <v/>
      </c>
      <c r="E208" t="s">
        <v>209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24"/>
      <c r="D209" t="str">
        <f>IF($C209="","",IFERROR(LOOKUP(2,1/('03_Warehouse_Movements'!$C$2:$C$500=$A209),'03_Warehouse_Movements'!$E$2:$E$500),$C209))</f>
        <v/>
      </c>
      <c r="E209" t="s">
        <v>209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24"/>
      <c r="D210" t="str">
        <f>IF($C210="","",IFERROR(LOOKUP(2,1/('03_Warehouse_Movements'!$C$2:$C$500=$A210),'03_Warehouse_Movements'!$E$2:$E$500),$C210))</f>
        <v/>
      </c>
      <c r="E210" t="s">
        <v>209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24"/>
      <c r="D211" t="str">
        <f>IF($C211="","",IFERROR(LOOKUP(2,1/('03_Warehouse_Movements'!$C$2:$C$500=$A211),'03_Warehouse_Movements'!$E$2:$E$500),$C211))</f>
        <v/>
      </c>
      <c r="E211" t="s">
        <v>209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24"/>
      <c r="D212" t="str">
        <f>IF($C212="","",IFERROR(LOOKUP(2,1/('03_Warehouse_Movements'!$C$2:$C$500=$A212),'03_Warehouse_Movements'!$E$2:$E$500),$C212))</f>
        <v/>
      </c>
      <c r="E212" t="s">
        <v>209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24"/>
      <c r="D213" t="str">
        <f>IF($C213="","",IFERROR(LOOKUP(2,1/('03_Warehouse_Movements'!$C$2:$C$500=$A213),'03_Warehouse_Movements'!$E$2:$E$500),$C213))</f>
        <v/>
      </c>
      <c r="E213" t="s">
        <v>209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24"/>
      <c r="D214" t="str">
        <f>IF($C214="","",IFERROR(LOOKUP(2,1/('03_Warehouse_Movements'!$C$2:$C$500=$A214),'03_Warehouse_Movements'!$E$2:$E$500),$C214))</f>
        <v/>
      </c>
      <c r="E214" t="s">
        <v>209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24"/>
      <c r="D215" t="str">
        <f>IF($C215="","",IFERROR(LOOKUP(2,1/('03_Warehouse_Movements'!$C$2:$C$500=$A215),'03_Warehouse_Movements'!$E$2:$E$500),$C215))</f>
        <v/>
      </c>
      <c r="E215" t="s">
        <v>209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24"/>
      <c r="D216" t="str">
        <f>IF($C216="","",IFERROR(LOOKUP(2,1/('03_Warehouse_Movements'!$C$2:$C$500=$A216),'03_Warehouse_Movements'!$E$2:$E$500),$C216))</f>
        <v/>
      </c>
      <c r="E216" t="s">
        <v>209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24"/>
      <c r="D217" t="str">
        <f>IF($C217="","",IFERROR(LOOKUP(2,1/('03_Warehouse_Movements'!$C$2:$C$500=$A217),'03_Warehouse_Movements'!$E$2:$E$500),$C217))</f>
        <v/>
      </c>
      <c r="E217" t="s">
        <v>209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24"/>
      <c r="D218" t="str">
        <f>IF($C218="","",IFERROR(LOOKUP(2,1/('03_Warehouse_Movements'!$C$2:$C$500=$A218),'03_Warehouse_Movements'!$E$2:$E$500),$C218))</f>
        <v/>
      </c>
      <c r="E218" t="s">
        <v>209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24"/>
      <c r="D219" t="str">
        <f>IF($C219="","",IFERROR(LOOKUP(2,1/('03_Warehouse_Movements'!$C$2:$C$500=$A219),'03_Warehouse_Movements'!$E$2:$E$500),$C219))</f>
        <v/>
      </c>
      <c r="E219" t="s">
        <v>209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24"/>
      <c r="D220" t="str">
        <f>IF($C220="","",IFERROR(LOOKUP(2,1/('03_Warehouse_Movements'!$C$2:$C$500=$A220),'03_Warehouse_Movements'!$E$2:$E$500),$C220))</f>
        <v/>
      </c>
      <c r="E220" t="s">
        <v>209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24"/>
      <c r="D221" t="str">
        <f>IF($C221="","",IFERROR(LOOKUP(2,1/('03_Warehouse_Movements'!$C$2:$C$500=$A221),'03_Warehouse_Movements'!$E$2:$E$500),$C221))</f>
        <v/>
      </c>
      <c r="E221" t="s">
        <v>209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24"/>
      <c r="D222" t="str">
        <f>IF($C222="","",IFERROR(LOOKUP(2,1/('03_Warehouse_Movements'!$C$2:$C$500=$A222),'03_Warehouse_Movements'!$E$2:$E$500),$C222))</f>
        <v/>
      </c>
      <c r="E222" t="s">
        <v>209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24"/>
      <c r="D223" t="str">
        <f>IF($C223="","",IFERROR(LOOKUP(2,1/('03_Warehouse_Movements'!$C$2:$C$500=$A223),'03_Warehouse_Movements'!$E$2:$E$500),$C223))</f>
        <v/>
      </c>
      <c r="E223" t="s">
        <v>209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24"/>
      <c r="D224" t="str">
        <f>IF($C224="","",IFERROR(LOOKUP(2,1/('03_Warehouse_Movements'!$C$2:$C$500=$A224),'03_Warehouse_Movements'!$E$2:$E$500),$C224))</f>
        <v/>
      </c>
      <c r="E224" t="s">
        <v>209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24"/>
      <c r="D225" t="str">
        <f>IF($C225="","",IFERROR(LOOKUP(2,1/('03_Warehouse_Movements'!$C$2:$C$500=$A225),'03_Warehouse_Movements'!$E$2:$E$500),$C225))</f>
        <v/>
      </c>
      <c r="E225" t="s">
        <v>209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24"/>
      <c r="D226" t="str">
        <f>IF($C226="","",IFERROR(LOOKUP(2,1/('03_Warehouse_Movements'!$C$2:$C$500=$A226),'03_Warehouse_Movements'!$E$2:$E$500),$C226))</f>
        <v/>
      </c>
      <c r="E226" t="s">
        <v>209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24"/>
      <c r="D227" t="str">
        <f>IF($C227="","",IFERROR(LOOKUP(2,1/('03_Warehouse_Movements'!$C$2:$C$500=$A227),'03_Warehouse_Movements'!$E$2:$E$500),$C227))</f>
        <v/>
      </c>
      <c r="E227" t="s">
        <v>209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24"/>
      <c r="D228" t="str">
        <f>IF($C228="","",IFERROR(LOOKUP(2,1/('03_Warehouse_Movements'!$C$2:$C$500=$A228),'03_Warehouse_Movements'!$E$2:$E$500),$C228))</f>
        <v/>
      </c>
      <c r="E228" t="s">
        <v>209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24"/>
      <c r="D229" t="str">
        <f>IF($C229="","",IFERROR(LOOKUP(2,1/('03_Warehouse_Movements'!$C$2:$C$500=$A229),'03_Warehouse_Movements'!$E$2:$E$500),$C229))</f>
        <v/>
      </c>
      <c r="E229" t="s">
        <v>209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24"/>
      <c r="D230" t="str">
        <f>IF($C230="","",IFERROR(LOOKUP(2,1/('03_Warehouse_Movements'!$C$2:$C$500=$A230),'03_Warehouse_Movements'!$E$2:$E$500),$C230))</f>
        <v/>
      </c>
      <c r="E230" t="s">
        <v>209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24"/>
      <c r="D231" t="str">
        <f>IF($C231="","",IFERROR(LOOKUP(2,1/('03_Warehouse_Movements'!$C$2:$C$500=$A231),'03_Warehouse_Movements'!$E$2:$E$500),$C231))</f>
        <v/>
      </c>
      <c r="E231" t="s">
        <v>209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24"/>
      <c r="D232" t="str">
        <f>IF($C232="","",IFERROR(LOOKUP(2,1/('03_Warehouse_Movements'!$C$2:$C$500=$A232),'03_Warehouse_Movements'!$E$2:$E$500),$C232))</f>
        <v/>
      </c>
      <c r="E232" t="s">
        <v>209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24"/>
      <c r="D233" t="str">
        <f>IF($C233="","",IFERROR(LOOKUP(2,1/('03_Warehouse_Movements'!$C$2:$C$500=$A233),'03_Warehouse_Movements'!$E$2:$E$500),$C233))</f>
        <v/>
      </c>
      <c r="E233" t="s">
        <v>209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24"/>
      <c r="D234" t="str">
        <f>IF($C234="","",IFERROR(LOOKUP(2,1/('03_Warehouse_Movements'!$C$2:$C$500=$A234),'03_Warehouse_Movements'!$E$2:$E$500),$C234))</f>
        <v/>
      </c>
      <c r="E234" t="s">
        <v>209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24"/>
      <c r="D235" t="str">
        <f>IF($C235="","",IFERROR(LOOKUP(2,1/('03_Warehouse_Movements'!$C$2:$C$500=$A235),'03_Warehouse_Movements'!$E$2:$E$500),$C235))</f>
        <v/>
      </c>
      <c r="E235" t="s">
        <v>209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24"/>
      <c r="D236" t="str">
        <f>IF($C236="","",IFERROR(LOOKUP(2,1/('03_Warehouse_Movements'!$C$2:$C$500=$A236),'03_Warehouse_Movements'!$E$2:$E$500),$C236))</f>
        <v/>
      </c>
      <c r="E236" t="s">
        <v>209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24"/>
      <c r="D237" t="str">
        <f>IF($C237="","",IFERROR(LOOKUP(2,1/('03_Warehouse_Movements'!$C$2:$C$500=$A237),'03_Warehouse_Movements'!$E$2:$E$500),$C237))</f>
        <v/>
      </c>
      <c r="E237" t="s">
        <v>209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24"/>
      <c r="D238" t="str">
        <f>IF($C238="","",IFERROR(LOOKUP(2,1/('03_Warehouse_Movements'!$C$2:$C$500=$A238),'03_Warehouse_Movements'!$E$2:$E$500),$C238))</f>
        <v/>
      </c>
      <c r="E238" t="s">
        <v>209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24"/>
      <c r="D239" t="str">
        <f>IF($C239="","",IFERROR(LOOKUP(2,1/('03_Warehouse_Movements'!$C$2:$C$500=$A239),'03_Warehouse_Movements'!$E$2:$E$500),$C239))</f>
        <v/>
      </c>
      <c r="E239" t="s">
        <v>209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24"/>
      <c r="D240" t="str">
        <f>IF($C240="","",IFERROR(LOOKUP(2,1/('03_Warehouse_Movements'!$C$2:$C$500=$A240),'03_Warehouse_Movements'!$E$2:$E$500),$C240))</f>
        <v/>
      </c>
      <c r="E240" t="s">
        <v>209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24"/>
      <c r="D241" t="str">
        <f>IF($C241="","",IFERROR(LOOKUP(2,1/('03_Warehouse_Movements'!$C$2:$C$500=$A241),'03_Warehouse_Movements'!$E$2:$E$500),$C241))</f>
        <v/>
      </c>
      <c r="E241" t="s">
        <v>209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24"/>
      <c r="D242" t="str">
        <f>IF($C242="","",IFERROR(LOOKUP(2,1/('03_Warehouse_Movements'!$C$2:$C$500=$A242),'03_Warehouse_Movements'!$E$2:$E$500),$C242))</f>
        <v/>
      </c>
      <c r="E242" t="s">
        <v>209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24"/>
      <c r="D243" t="str">
        <f>IF($C243="","",IFERROR(LOOKUP(2,1/('03_Warehouse_Movements'!$C$2:$C$500=$A243),'03_Warehouse_Movements'!$E$2:$E$500),$C243))</f>
        <v/>
      </c>
      <c r="E243" t="s">
        <v>209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24"/>
      <c r="D244" t="str">
        <f>IF($C244="","",IFERROR(LOOKUP(2,1/('03_Warehouse_Movements'!$C$2:$C$500=$A244),'03_Warehouse_Movements'!$E$2:$E$500),$C244))</f>
        <v/>
      </c>
      <c r="E244" t="s">
        <v>209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24"/>
      <c r="D245" t="str">
        <f>IF($C245="","",IFERROR(LOOKUP(2,1/('03_Warehouse_Movements'!$C$2:$C$500=$A245),'03_Warehouse_Movements'!$E$2:$E$500),$C245))</f>
        <v/>
      </c>
      <c r="E245" t="s">
        <v>209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24"/>
      <c r="D246" t="str">
        <f>IF($C246="","",IFERROR(LOOKUP(2,1/('03_Warehouse_Movements'!$C$2:$C$500=$A246),'03_Warehouse_Movements'!$E$2:$E$500),$C246))</f>
        <v/>
      </c>
      <c r="E246" t="s">
        <v>209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24"/>
      <c r="D247" t="str">
        <f>IF($C247="","",IFERROR(LOOKUP(2,1/('03_Warehouse_Movements'!$C$2:$C$500=$A247),'03_Warehouse_Movements'!$E$2:$E$500),$C247))</f>
        <v/>
      </c>
      <c r="E247" t="s">
        <v>209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24"/>
      <c r="D248" t="str">
        <f>IF($C248="","",IFERROR(LOOKUP(2,1/('03_Warehouse_Movements'!$C$2:$C$500=$A248),'03_Warehouse_Movements'!$E$2:$E$500),$C248))</f>
        <v/>
      </c>
      <c r="E248" t="s">
        <v>209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24"/>
      <c r="D249" t="str">
        <f>IF($C249="","",IFERROR(LOOKUP(2,1/('03_Warehouse_Movements'!$C$2:$C$500=$A249),'03_Warehouse_Movements'!$E$2:$E$500),$C249))</f>
        <v/>
      </c>
      <c r="E249" t="s">
        <v>209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24"/>
      <c r="D250" t="str">
        <f>IF($C250="","",IFERROR(LOOKUP(2,1/('03_Warehouse_Movements'!$C$2:$C$500=$A250),'03_Warehouse_Movements'!$E$2:$E$500),$C250))</f>
        <v/>
      </c>
      <c r="E250" t="s">
        <v>209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24"/>
      <c r="D251" t="str">
        <f>IF($C251="","",IFERROR(LOOKUP(2,1/('03_Warehouse_Movements'!$C$2:$C$500=$A251),'03_Warehouse_Movements'!$E$2:$E$500),$C251))</f>
        <v/>
      </c>
      <c r="E251" t="s">
        <v>209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24"/>
      <c r="D252" t="str">
        <f>IF($C252="","",IFERROR(LOOKUP(2,1/('03_Warehouse_Movements'!$C$2:$C$500=$A252),'03_Warehouse_Movements'!$E$2:$E$500),$C252))</f>
        <v/>
      </c>
      <c r="E252" t="s">
        <v>209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24"/>
      <c r="D253" t="str">
        <f>IF($C253="","",IFERROR(LOOKUP(2,1/('03_Warehouse_Movements'!$C$2:$C$500=$A253),'03_Warehouse_Movements'!$E$2:$E$500),$C253))</f>
        <v/>
      </c>
      <c r="E253" t="s">
        <v>209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24"/>
      <c r="D254" t="str">
        <f>IF($C254="","",IFERROR(LOOKUP(2,1/('03_Warehouse_Movements'!$C$2:$C$500=$A254),'03_Warehouse_Movements'!$E$2:$E$500),$C254))</f>
        <v/>
      </c>
      <c r="E254" t="s">
        <v>209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24"/>
      <c r="D255" t="str">
        <f>IF($C255="","",IFERROR(LOOKUP(2,1/('03_Warehouse_Movements'!$C$2:$C$500=$A255),'03_Warehouse_Movements'!$E$2:$E$500),$C255))</f>
        <v/>
      </c>
      <c r="E255" t="s">
        <v>209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24"/>
      <c r="D256" t="str">
        <f>IF($C256="","",IFERROR(LOOKUP(2,1/('03_Warehouse_Movements'!$C$2:$C$500=$A256),'03_Warehouse_Movements'!$E$2:$E$500),$C256))</f>
        <v/>
      </c>
      <c r="E256" t="s">
        <v>209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24"/>
      <c r="D257" t="str">
        <f>IF($C257="","",IFERROR(LOOKUP(2,1/('03_Warehouse_Movements'!$C$2:$C$500=$A257),'03_Warehouse_Movements'!$E$2:$E$500),$C257))</f>
        <v/>
      </c>
      <c r="E257" t="s">
        <v>209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24"/>
      <c r="D258" t="str">
        <f>IF($C258="","",IFERROR(LOOKUP(2,1/('03_Warehouse_Movements'!$C$2:$C$500=$A258),'03_Warehouse_Movements'!$E$2:$E$500),$C258))</f>
        <v/>
      </c>
      <c r="E258" t="s">
        <v>209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24"/>
      <c r="D259" t="str">
        <f>IF($C259="","",IFERROR(LOOKUP(2,1/('03_Warehouse_Movements'!$C$2:$C$500=$A259),'03_Warehouse_Movements'!$E$2:$E$500),$C259))</f>
        <v/>
      </c>
      <c r="E259" t="s">
        <v>209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24"/>
      <c r="D260" t="str">
        <f>IF($C260="","",IFERROR(LOOKUP(2,1/('03_Warehouse_Movements'!$C$2:$C$500=$A260),'03_Warehouse_Movements'!$E$2:$E$500),$C260))</f>
        <v/>
      </c>
      <c r="E260" t="s">
        <v>209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24"/>
      <c r="D261" t="str">
        <f>IF($C261="","",IFERROR(LOOKUP(2,1/('03_Warehouse_Movements'!$C$2:$C$500=$A261),'03_Warehouse_Movements'!$E$2:$E$500),$C261))</f>
        <v/>
      </c>
      <c r="E261" t="s">
        <v>209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24"/>
      <c r="D262" t="str">
        <f>IF($C262="","",IFERROR(LOOKUP(2,1/('03_Warehouse_Movements'!$C$2:$C$500=$A262),'03_Warehouse_Movements'!$E$2:$E$500),$C262))</f>
        <v/>
      </c>
      <c r="E262" t="s">
        <v>209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24"/>
      <c r="D263" t="str">
        <f>IF($C263="","",IFERROR(LOOKUP(2,1/('03_Warehouse_Movements'!$C$2:$C$500=$A263),'03_Warehouse_Movements'!$E$2:$E$500),$C263))</f>
        <v/>
      </c>
      <c r="E263" t="s">
        <v>209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24"/>
      <c r="D264" t="str">
        <f>IF($C264="","",IFERROR(LOOKUP(2,1/('03_Warehouse_Movements'!$C$2:$C$500=$A264),'03_Warehouse_Movements'!$E$2:$E$500),$C264))</f>
        <v/>
      </c>
      <c r="E264" t="s">
        <v>209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24"/>
      <c r="D265" t="str">
        <f>IF($C265="","",IFERROR(LOOKUP(2,1/('03_Warehouse_Movements'!$C$2:$C$500=$A265),'03_Warehouse_Movements'!$E$2:$E$500),$C265))</f>
        <v/>
      </c>
      <c r="E265" t="s">
        <v>209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24"/>
      <c r="D266" t="str">
        <f>IF($C266="","",IFERROR(LOOKUP(2,1/('03_Warehouse_Movements'!$C$2:$C$500=$A266),'03_Warehouse_Movements'!$E$2:$E$500),$C266))</f>
        <v/>
      </c>
      <c r="E266" t="s">
        <v>209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24"/>
      <c r="D267" t="str">
        <f>IF($C267="","",IFERROR(LOOKUP(2,1/('03_Warehouse_Movements'!$C$2:$C$500=$A267),'03_Warehouse_Movements'!$E$2:$E$500),$C267))</f>
        <v/>
      </c>
      <c r="E267" t="s">
        <v>209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24"/>
      <c r="D268" t="str">
        <f>IF($C268="","",IFERROR(LOOKUP(2,1/('03_Warehouse_Movements'!$C$2:$C$500=$A268),'03_Warehouse_Movements'!$E$2:$E$500),$C268))</f>
        <v/>
      </c>
      <c r="E268" t="s">
        <v>209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24"/>
      <c r="D269" t="str">
        <f>IF($C269="","",IFERROR(LOOKUP(2,1/('03_Warehouse_Movements'!$C$2:$C$500=$A269),'03_Warehouse_Movements'!$E$2:$E$500),$C269))</f>
        <v/>
      </c>
      <c r="E269" t="s">
        <v>209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24"/>
      <c r="D270" t="str">
        <f>IF($C270="","",IFERROR(LOOKUP(2,1/('03_Warehouse_Movements'!$C$2:$C$500=$A270),'03_Warehouse_Movements'!$E$2:$E$500),$C270))</f>
        <v/>
      </c>
      <c r="E270" t="s">
        <v>209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24"/>
      <c r="D271" t="str">
        <f>IF($C271="","",IFERROR(LOOKUP(2,1/('03_Warehouse_Movements'!$C$2:$C$500=$A271),'03_Warehouse_Movements'!$E$2:$E$500),$C271))</f>
        <v/>
      </c>
      <c r="E271" t="s">
        <v>209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24"/>
      <c r="D272" t="str">
        <f>IF($C272="","",IFERROR(LOOKUP(2,1/('03_Warehouse_Movements'!$C$2:$C$500=$A272),'03_Warehouse_Movements'!$E$2:$E$500),$C272))</f>
        <v/>
      </c>
      <c r="E272" t="s">
        <v>209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24"/>
      <c r="D273" t="str">
        <f>IF($C273="","",IFERROR(LOOKUP(2,1/('03_Warehouse_Movements'!$C$2:$C$500=$A273),'03_Warehouse_Movements'!$E$2:$E$500),$C273))</f>
        <v/>
      </c>
      <c r="E273" t="s">
        <v>209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24"/>
      <c r="D274" t="str">
        <f>IF($C274="","",IFERROR(LOOKUP(2,1/('03_Warehouse_Movements'!$C$2:$C$500=$A274),'03_Warehouse_Movements'!$E$2:$E$500),$C274))</f>
        <v/>
      </c>
      <c r="E274" t="s">
        <v>209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24"/>
      <c r="D275" t="str">
        <f>IF($C275="","",IFERROR(LOOKUP(2,1/('03_Warehouse_Movements'!$C$2:$C$500=$A275),'03_Warehouse_Movements'!$E$2:$E$500),$C275))</f>
        <v/>
      </c>
      <c r="E275" t="s">
        <v>209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24"/>
      <c r="D276" t="str">
        <f>IF($C276="","",IFERROR(LOOKUP(2,1/('03_Warehouse_Movements'!$C$2:$C$500=$A276),'03_Warehouse_Movements'!$E$2:$E$500),$C276))</f>
        <v/>
      </c>
      <c r="E276" t="s">
        <v>209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24"/>
      <c r="D277" t="str">
        <f>IF($C277="","",IFERROR(LOOKUP(2,1/('03_Warehouse_Movements'!$C$2:$C$500=$A277),'03_Warehouse_Movements'!$E$2:$E$500),$C277))</f>
        <v/>
      </c>
      <c r="E277" t="s">
        <v>209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24"/>
      <c r="D278" t="str">
        <f>IF($C278="","",IFERROR(LOOKUP(2,1/('03_Warehouse_Movements'!$C$2:$C$500=$A278),'03_Warehouse_Movements'!$E$2:$E$500),$C278))</f>
        <v/>
      </c>
      <c r="E278" t="s">
        <v>209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24"/>
      <c r="D279" t="str">
        <f>IF($C279="","",IFERROR(LOOKUP(2,1/('03_Warehouse_Movements'!$C$2:$C$500=$A279),'03_Warehouse_Movements'!$E$2:$E$500),$C279))</f>
        <v/>
      </c>
      <c r="E279" t="s">
        <v>209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24"/>
      <c r="D280" t="str">
        <f>IF($C280="","",IFERROR(LOOKUP(2,1/('03_Warehouse_Movements'!$C$2:$C$500=$A280),'03_Warehouse_Movements'!$E$2:$E$500),$C280))</f>
        <v/>
      </c>
      <c r="E280" t="s">
        <v>209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24"/>
      <c r="D281" t="str">
        <f>IF($C281="","",IFERROR(LOOKUP(2,1/('03_Warehouse_Movements'!$C$2:$C$500=$A281),'03_Warehouse_Movements'!$E$2:$E$500),$C281))</f>
        <v/>
      </c>
      <c r="E281" t="s">
        <v>209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24"/>
      <c r="D282" t="str">
        <f>IF($C282="","",IFERROR(LOOKUP(2,1/('03_Warehouse_Movements'!$C$2:$C$500=$A282),'03_Warehouse_Movements'!$E$2:$E$500),$C282))</f>
        <v/>
      </c>
      <c r="E282" t="s">
        <v>209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24"/>
      <c r="D283" t="str">
        <f>IF($C283="","",IFERROR(LOOKUP(2,1/('03_Warehouse_Movements'!$C$2:$C$500=$A283),'03_Warehouse_Movements'!$E$2:$E$500),$C283))</f>
        <v/>
      </c>
      <c r="E283" t="s">
        <v>209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24"/>
      <c r="D284" t="str">
        <f>IF($C284="","",IFERROR(LOOKUP(2,1/('03_Warehouse_Movements'!$C$2:$C$500=$A284),'03_Warehouse_Movements'!$E$2:$E$500),$C284))</f>
        <v/>
      </c>
      <c r="E284" t="s">
        <v>209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24"/>
      <c r="D285" t="str">
        <f>IF($C285="","",IFERROR(LOOKUP(2,1/('03_Warehouse_Movements'!$C$2:$C$500=$A285),'03_Warehouse_Movements'!$E$2:$E$500),$C285))</f>
        <v/>
      </c>
      <c r="E285" t="s">
        <v>209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24"/>
      <c r="D286" t="str">
        <f>IF($C286="","",IFERROR(LOOKUP(2,1/('03_Warehouse_Movements'!$C$2:$C$500=$A286),'03_Warehouse_Movements'!$E$2:$E$500),$C286))</f>
        <v/>
      </c>
      <c r="E286" t="s">
        <v>209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24"/>
      <c r="D287" t="str">
        <f>IF($C287="","",IFERROR(LOOKUP(2,1/('03_Warehouse_Movements'!$C$2:$C$500=$A287),'03_Warehouse_Movements'!$E$2:$E$500),$C287))</f>
        <v/>
      </c>
      <c r="E287" t="s">
        <v>209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24"/>
      <c r="D288" t="str">
        <f>IF($C288="","",IFERROR(LOOKUP(2,1/('03_Warehouse_Movements'!$C$2:$C$500=$A288),'03_Warehouse_Movements'!$E$2:$E$500),$C288))</f>
        <v/>
      </c>
      <c r="E288" t="s">
        <v>209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24"/>
      <c r="D289" t="str">
        <f>IF($C289="","",IFERROR(LOOKUP(2,1/('03_Warehouse_Movements'!$C$2:$C$500=$A289),'03_Warehouse_Movements'!$E$2:$E$500),$C289))</f>
        <v/>
      </c>
      <c r="E289" t="s">
        <v>209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24"/>
      <c r="D290" t="str">
        <f>IF($C290="","",IFERROR(LOOKUP(2,1/('03_Warehouse_Movements'!$C$2:$C$500=$A290),'03_Warehouse_Movements'!$E$2:$E$500),$C290))</f>
        <v/>
      </c>
      <c r="E290" t="s">
        <v>209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24"/>
      <c r="D291" t="str">
        <f>IF($C291="","",IFERROR(LOOKUP(2,1/('03_Warehouse_Movements'!$C$2:$C$500=$A291),'03_Warehouse_Movements'!$E$2:$E$500),$C291))</f>
        <v/>
      </c>
      <c r="E291" t="s">
        <v>209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24"/>
      <c r="D292" t="str">
        <f>IF($C292="","",IFERROR(LOOKUP(2,1/('03_Warehouse_Movements'!$C$2:$C$500=$A292),'03_Warehouse_Movements'!$E$2:$E$500),$C292))</f>
        <v/>
      </c>
      <c r="E292" t="s">
        <v>209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24"/>
      <c r="D293" t="str">
        <f>IF($C293="","",IFERROR(LOOKUP(2,1/('03_Warehouse_Movements'!$C$2:$C$500=$A293),'03_Warehouse_Movements'!$E$2:$E$500),$C293))</f>
        <v/>
      </c>
      <c r="E293" t="s">
        <v>209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24"/>
      <c r="D294" t="str">
        <f>IF($C294="","",IFERROR(LOOKUP(2,1/('03_Warehouse_Movements'!$C$2:$C$500=$A294),'03_Warehouse_Movements'!$E$2:$E$500),$C294))</f>
        <v/>
      </c>
      <c r="E294" t="s">
        <v>209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24"/>
      <c r="D295" t="str">
        <f>IF($C295="","",IFERROR(LOOKUP(2,1/('03_Warehouse_Movements'!$C$2:$C$500=$A295),'03_Warehouse_Movements'!$E$2:$E$500),$C295))</f>
        <v/>
      </c>
      <c r="E295" t="s">
        <v>209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24"/>
      <c r="D296" t="str">
        <f>IF($C296="","",IFERROR(LOOKUP(2,1/('03_Warehouse_Movements'!$C$2:$C$500=$A296),'03_Warehouse_Movements'!$E$2:$E$500),$C296))</f>
        <v/>
      </c>
      <c r="E296" t="s">
        <v>209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24"/>
      <c r="D297" t="str">
        <f>IF($C297="","",IFERROR(LOOKUP(2,1/('03_Warehouse_Movements'!$C$2:$C$500=$A297),'03_Warehouse_Movements'!$E$2:$E$500),$C297))</f>
        <v/>
      </c>
      <c r="E297" t="s">
        <v>209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24"/>
      <c r="D298" t="str">
        <f>IF($C298="","",IFERROR(LOOKUP(2,1/('03_Warehouse_Movements'!$C$2:$C$500=$A298),'03_Warehouse_Movements'!$E$2:$E$500),$C298))</f>
        <v/>
      </c>
      <c r="E298" t="s">
        <v>209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24"/>
      <c r="D299" t="str">
        <f>IF($C299="","",IFERROR(LOOKUP(2,1/('03_Warehouse_Movements'!$C$2:$C$500=$A299),'03_Warehouse_Movements'!$E$2:$E$500),$C299))</f>
        <v/>
      </c>
      <c r="E299" t="s">
        <v>209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24"/>
      <c r="D300" t="str">
        <f>IF($C300="","",IFERROR(LOOKUP(2,1/('03_Warehouse_Movements'!$C$2:$C$500=$A300),'03_Warehouse_Movements'!$E$2:$E$500),$C300))</f>
        <v/>
      </c>
      <c r="E300" t="s">
        <v>209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24"/>
      <c r="D301" t="str">
        <f>IF($C301="","",IFERROR(LOOKUP(2,1/('03_Warehouse_Movements'!$C$2:$C$500=$A301),'03_Warehouse_Movements'!$E$2:$E$500),$C301))</f>
        <v/>
      </c>
      <c r="E301" t="s">
        <v>209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24"/>
      <c r="D302" t="str">
        <f>IF($C302="","",IFERROR(LOOKUP(2,1/('03_Warehouse_Movements'!$C$2:$C$500=$A302),'03_Warehouse_Movements'!$E$2:$E$500),$C302))</f>
        <v/>
      </c>
      <c r="E302" t="s">
        <v>209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24"/>
      <c r="D303" t="str">
        <f>IF($C303="","",IFERROR(LOOKUP(2,1/('03_Warehouse_Movements'!$C$2:$C$500=$A303),'03_Warehouse_Movements'!$E$2:$E$500),$C303))</f>
        <v/>
      </c>
      <c r="E303" t="s">
        <v>209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24"/>
      <c r="D304" t="str">
        <f>IF($C304="","",IFERROR(LOOKUP(2,1/('03_Warehouse_Movements'!$C$2:$C$500=$A304),'03_Warehouse_Movements'!$E$2:$E$500),$C304))</f>
        <v/>
      </c>
      <c r="E304" t="s">
        <v>209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24"/>
      <c r="D305" t="str">
        <f>IF($C305="","",IFERROR(LOOKUP(2,1/('03_Warehouse_Movements'!$C$2:$C$500=$A305),'03_Warehouse_Movements'!$E$2:$E$500),$C305))</f>
        <v/>
      </c>
      <c r="E305" t="s">
        <v>209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24"/>
      <c r="D306" t="str">
        <f>IF($C306="","",IFERROR(LOOKUP(2,1/('03_Warehouse_Movements'!$C$2:$C$500=$A306),'03_Warehouse_Movements'!$E$2:$E$500),$C306))</f>
        <v/>
      </c>
      <c r="E306" t="s">
        <v>209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24"/>
      <c r="D307" t="str">
        <f>IF($C307="","",IFERROR(LOOKUP(2,1/('03_Warehouse_Movements'!$C$2:$C$500=$A307),'03_Warehouse_Movements'!$E$2:$E$500),$C307))</f>
        <v/>
      </c>
      <c r="E307" t="s">
        <v>209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24"/>
      <c r="D308" t="str">
        <f>IF($C308="","",IFERROR(LOOKUP(2,1/('03_Warehouse_Movements'!$C$2:$C$500=$A308),'03_Warehouse_Movements'!$E$2:$E$500),$C308))</f>
        <v/>
      </c>
      <c r="E308" t="s">
        <v>209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24"/>
      <c r="D309" t="str">
        <f>IF($C309="","",IFERROR(LOOKUP(2,1/('03_Warehouse_Movements'!$C$2:$C$500=$A309),'03_Warehouse_Movements'!$E$2:$E$500),$C309))</f>
        <v/>
      </c>
      <c r="E309" t="s">
        <v>209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24"/>
      <c r="D310" t="str">
        <f>IF($C310="","",IFERROR(LOOKUP(2,1/('03_Warehouse_Movements'!$C$2:$C$500=$A310),'03_Warehouse_Movements'!$E$2:$E$500),$C310))</f>
        <v/>
      </c>
      <c r="E310" t="s">
        <v>209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24"/>
      <c r="D311" t="str">
        <f>IF($C311="","",IFERROR(LOOKUP(2,1/('03_Warehouse_Movements'!$C$2:$C$500=$A311),'03_Warehouse_Movements'!$E$2:$E$500),$C311))</f>
        <v/>
      </c>
      <c r="E311" t="s">
        <v>209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24"/>
      <c r="D312" t="str">
        <f>IF($C312="","",IFERROR(LOOKUP(2,1/('03_Warehouse_Movements'!$C$2:$C$500=$A312),'03_Warehouse_Movements'!$E$2:$E$500),$C312))</f>
        <v/>
      </c>
      <c r="E312" t="s">
        <v>209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24"/>
      <c r="D313" t="str">
        <f>IF($C313="","",IFERROR(LOOKUP(2,1/('03_Warehouse_Movements'!$C$2:$C$500=$A313),'03_Warehouse_Movements'!$E$2:$E$500),$C313))</f>
        <v/>
      </c>
      <c r="E313" t="s">
        <v>209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24"/>
      <c r="D314" t="str">
        <f>IF($C314="","",IFERROR(LOOKUP(2,1/('03_Warehouse_Movements'!$C$2:$C$500=$A314),'03_Warehouse_Movements'!$E$2:$E$500),$C314))</f>
        <v/>
      </c>
      <c r="E314" t="s">
        <v>209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24"/>
      <c r="D315" t="str">
        <f>IF($C315="","",IFERROR(LOOKUP(2,1/('03_Warehouse_Movements'!$C$2:$C$500=$A315),'03_Warehouse_Movements'!$E$2:$E$500),$C315))</f>
        <v/>
      </c>
      <c r="E315" t="s">
        <v>209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24"/>
      <c r="D316" t="str">
        <f>IF($C316="","",IFERROR(LOOKUP(2,1/('03_Warehouse_Movements'!$C$2:$C$500=$A316),'03_Warehouse_Movements'!$E$2:$E$500),$C316))</f>
        <v/>
      </c>
      <c r="E316" t="s">
        <v>209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24"/>
      <c r="D317" t="str">
        <f>IF($C317="","",IFERROR(LOOKUP(2,1/('03_Warehouse_Movements'!$C$2:$C$500=$A317),'03_Warehouse_Movements'!$E$2:$E$500),$C317))</f>
        <v/>
      </c>
      <c r="E317" t="s">
        <v>209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24"/>
      <c r="D318" t="str">
        <f>IF($C318="","",IFERROR(LOOKUP(2,1/('03_Warehouse_Movements'!$C$2:$C$500=$A318),'03_Warehouse_Movements'!$E$2:$E$500),$C318))</f>
        <v/>
      </c>
      <c r="E318" t="s">
        <v>209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24"/>
      <c r="D319" t="str">
        <f>IF($C319="","",IFERROR(LOOKUP(2,1/('03_Warehouse_Movements'!$C$2:$C$500=$A319),'03_Warehouse_Movements'!$E$2:$E$500),$C319))</f>
        <v/>
      </c>
      <c r="E319" t="s">
        <v>209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24"/>
      <c r="D320" t="str">
        <f>IF($C320="","",IFERROR(LOOKUP(2,1/('03_Warehouse_Movements'!$C$2:$C$500=$A320),'03_Warehouse_Movements'!$E$2:$E$500),$C320))</f>
        <v/>
      </c>
      <c r="E320" t="s">
        <v>209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24"/>
      <c r="D321" t="str">
        <f>IF($C321="","",IFERROR(LOOKUP(2,1/('03_Warehouse_Movements'!$C$2:$C$500=$A321),'03_Warehouse_Movements'!$E$2:$E$500),$C321))</f>
        <v/>
      </c>
      <c r="E321" t="s">
        <v>209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24"/>
      <c r="D322" t="str">
        <f>IF($C322="","",IFERROR(LOOKUP(2,1/('03_Warehouse_Movements'!$C$2:$C$500=$A322),'03_Warehouse_Movements'!$E$2:$E$500),$C322))</f>
        <v/>
      </c>
      <c r="E322" t="s">
        <v>209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24"/>
      <c r="D323" t="str">
        <f>IF($C323="","",IFERROR(LOOKUP(2,1/('03_Warehouse_Movements'!$C$2:$C$500=$A323),'03_Warehouse_Movements'!$E$2:$E$500),$C323))</f>
        <v/>
      </c>
      <c r="E323" t="s">
        <v>209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24"/>
      <c r="D324" t="str">
        <f>IF($C324="","",IFERROR(LOOKUP(2,1/('03_Warehouse_Movements'!$C$2:$C$500=$A324),'03_Warehouse_Movements'!$E$2:$E$500),$C324))</f>
        <v/>
      </c>
      <c r="E324" t="s">
        <v>209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24"/>
      <c r="D325" t="str">
        <f>IF($C325="","",IFERROR(LOOKUP(2,1/('03_Warehouse_Movements'!$C$2:$C$500=$A325),'03_Warehouse_Movements'!$E$2:$E$500),$C325))</f>
        <v/>
      </c>
      <c r="E325" t="s">
        <v>209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24"/>
      <c r="D326" t="str">
        <f>IF($C326="","",IFERROR(LOOKUP(2,1/('03_Warehouse_Movements'!$C$2:$C$500=$A326),'03_Warehouse_Movements'!$E$2:$E$500),$C326))</f>
        <v/>
      </c>
      <c r="E326" t="s">
        <v>209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24"/>
      <c r="D327" t="str">
        <f>IF($C327="","",IFERROR(LOOKUP(2,1/('03_Warehouse_Movements'!$C$2:$C$500=$A327),'03_Warehouse_Movements'!$E$2:$E$500),$C327))</f>
        <v/>
      </c>
      <c r="E327" t="s">
        <v>209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24"/>
      <c r="D328" t="str">
        <f>IF($C328="","",IFERROR(LOOKUP(2,1/('03_Warehouse_Movements'!$C$2:$C$500=$A328),'03_Warehouse_Movements'!$E$2:$E$500),$C328))</f>
        <v/>
      </c>
      <c r="E328" t="s">
        <v>209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24"/>
      <c r="D329" t="str">
        <f>IF($C329="","",IFERROR(LOOKUP(2,1/('03_Warehouse_Movements'!$C$2:$C$500=$A329),'03_Warehouse_Movements'!$E$2:$E$500),$C329))</f>
        <v/>
      </c>
      <c r="E329" t="s">
        <v>209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24"/>
      <c r="D330" t="str">
        <f>IF($C330="","",IFERROR(LOOKUP(2,1/('03_Warehouse_Movements'!$C$2:$C$500=$A330),'03_Warehouse_Movements'!$E$2:$E$500),$C330))</f>
        <v/>
      </c>
      <c r="E330" t="s">
        <v>209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24"/>
      <c r="D331" t="str">
        <f>IF($C331="","",IFERROR(LOOKUP(2,1/('03_Warehouse_Movements'!$C$2:$C$500=$A331),'03_Warehouse_Movements'!$E$2:$E$500),$C331))</f>
        <v/>
      </c>
      <c r="E331" t="s">
        <v>209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24"/>
      <c r="D332" t="str">
        <f>IF($C332="","",IFERROR(LOOKUP(2,1/('03_Warehouse_Movements'!$C$2:$C$500=$A332),'03_Warehouse_Movements'!$E$2:$E$500),$C332))</f>
        <v/>
      </c>
      <c r="E332" t="s">
        <v>209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24"/>
      <c r="D333" t="str">
        <f>IF($C333="","",IFERROR(LOOKUP(2,1/('03_Warehouse_Movements'!$C$2:$C$500=$A333),'03_Warehouse_Movements'!$E$2:$E$500),$C333))</f>
        <v/>
      </c>
      <c r="E333" t="s">
        <v>209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24"/>
      <c r="D334" t="str">
        <f>IF($C334="","",IFERROR(LOOKUP(2,1/('03_Warehouse_Movements'!$C$2:$C$500=$A334),'03_Warehouse_Movements'!$E$2:$E$500),$C334))</f>
        <v/>
      </c>
      <c r="E334" t="s">
        <v>209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24"/>
      <c r="D335" t="str">
        <f>IF($C335="","",IFERROR(LOOKUP(2,1/('03_Warehouse_Movements'!$C$2:$C$500=$A335),'03_Warehouse_Movements'!$E$2:$E$500),$C335))</f>
        <v/>
      </c>
      <c r="E335" t="s">
        <v>209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24"/>
      <c r="D336" t="str">
        <f>IF($C336="","",IFERROR(LOOKUP(2,1/('03_Warehouse_Movements'!$C$2:$C$500=$A336),'03_Warehouse_Movements'!$E$2:$E$500),$C336))</f>
        <v/>
      </c>
      <c r="E336" t="s">
        <v>209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24"/>
      <c r="D337" t="str">
        <f>IF($C337="","",IFERROR(LOOKUP(2,1/('03_Warehouse_Movements'!$C$2:$C$500=$A337),'03_Warehouse_Movements'!$E$2:$E$500),$C337))</f>
        <v/>
      </c>
      <c r="E337" t="s">
        <v>209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24"/>
      <c r="D338" t="str">
        <f>IF($C338="","",IFERROR(LOOKUP(2,1/('03_Warehouse_Movements'!$C$2:$C$500=$A338),'03_Warehouse_Movements'!$E$2:$E$500),$C338))</f>
        <v/>
      </c>
      <c r="E338" t="s">
        <v>209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24"/>
      <c r="D339" t="str">
        <f>IF($C339="","",IFERROR(LOOKUP(2,1/('03_Warehouse_Movements'!$C$2:$C$500=$A339),'03_Warehouse_Movements'!$E$2:$E$500),$C339))</f>
        <v/>
      </c>
      <c r="E339" t="s">
        <v>209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24"/>
      <c r="D340" t="str">
        <f>IF($C340="","",IFERROR(LOOKUP(2,1/('03_Warehouse_Movements'!$C$2:$C$500=$A340),'03_Warehouse_Movements'!$E$2:$E$500),$C340))</f>
        <v/>
      </c>
      <c r="E340" t="s">
        <v>209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24"/>
      <c r="D341" t="str">
        <f>IF($C341="","",IFERROR(LOOKUP(2,1/('03_Warehouse_Movements'!$C$2:$C$500=$A341),'03_Warehouse_Movements'!$E$2:$E$500),$C341))</f>
        <v/>
      </c>
      <c r="E341" t="s">
        <v>209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24"/>
      <c r="D342" t="str">
        <f>IF($C342="","",IFERROR(LOOKUP(2,1/('03_Warehouse_Movements'!$C$2:$C$500=$A342),'03_Warehouse_Movements'!$E$2:$E$500),$C342))</f>
        <v/>
      </c>
      <c r="E342" t="s">
        <v>209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24"/>
      <c r="D343" t="str">
        <f>IF($C343="","",IFERROR(LOOKUP(2,1/('03_Warehouse_Movements'!$C$2:$C$500=$A343),'03_Warehouse_Movements'!$E$2:$E$500),$C343))</f>
        <v/>
      </c>
      <c r="E343" t="s">
        <v>209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24"/>
      <c r="D344" t="str">
        <f>IF($C344="","",IFERROR(LOOKUP(2,1/('03_Warehouse_Movements'!$C$2:$C$500=$A344),'03_Warehouse_Movements'!$E$2:$E$500),$C344))</f>
        <v/>
      </c>
      <c r="E344" t="s">
        <v>209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24"/>
      <c r="D345" t="str">
        <f>IF($C345="","",IFERROR(LOOKUP(2,1/('03_Warehouse_Movements'!$C$2:$C$500=$A345),'03_Warehouse_Movements'!$E$2:$E$500),$C345))</f>
        <v/>
      </c>
      <c r="E345" t="s">
        <v>209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24"/>
      <c r="D346" t="str">
        <f>IF($C346="","",IFERROR(LOOKUP(2,1/('03_Warehouse_Movements'!$C$2:$C$500=$A346),'03_Warehouse_Movements'!$E$2:$E$500),$C346))</f>
        <v/>
      </c>
      <c r="E346" t="s">
        <v>209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24"/>
      <c r="D347" t="str">
        <f>IF($C347="","",IFERROR(LOOKUP(2,1/('03_Warehouse_Movements'!$C$2:$C$500=$A347),'03_Warehouse_Movements'!$E$2:$E$500),$C347))</f>
        <v/>
      </c>
      <c r="E347" t="s">
        <v>209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24"/>
      <c r="D348" t="str">
        <f>IF($C348="","",IFERROR(LOOKUP(2,1/('03_Warehouse_Movements'!$C$2:$C$500=$A348),'03_Warehouse_Movements'!$E$2:$E$500),$C348))</f>
        <v/>
      </c>
      <c r="E348" t="s">
        <v>209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24"/>
      <c r="D349" t="str">
        <f>IF($C349="","",IFERROR(LOOKUP(2,1/('03_Warehouse_Movements'!$C$2:$C$500=$A349),'03_Warehouse_Movements'!$E$2:$E$500),$C349))</f>
        <v/>
      </c>
      <c r="E349" t="s">
        <v>209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24"/>
      <c r="D350" t="str">
        <f>IF($C350="","",IFERROR(LOOKUP(2,1/('03_Warehouse_Movements'!$C$2:$C$500=$A350),'03_Warehouse_Movements'!$E$2:$E$500),$C350))</f>
        <v/>
      </c>
      <c r="E350" t="s">
        <v>209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24"/>
      <c r="D351" t="str">
        <f>IF($C351="","",IFERROR(LOOKUP(2,1/('03_Warehouse_Movements'!$C$2:$C$500=$A351),'03_Warehouse_Movements'!$E$2:$E$500),$C351))</f>
        <v/>
      </c>
      <c r="E351" t="s">
        <v>209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24"/>
      <c r="D352" t="str">
        <f>IF($C352="","",IFERROR(LOOKUP(2,1/('03_Warehouse_Movements'!$C$2:$C$500=$A352),'03_Warehouse_Movements'!$E$2:$E$500),$C352))</f>
        <v/>
      </c>
      <c r="E352" t="s">
        <v>209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24"/>
      <c r="D353" t="str">
        <f>IF($C353="","",IFERROR(LOOKUP(2,1/('03_Warehouse_Movements'!$C$2:$C$500=$A353),'03_Warehouse_Movements'!$E$2:$E$500),$C353))</f>
        <v/>
      </c>
      <c r="E353" t="s">
        <v>209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24"/>
      <c r="D354" t="str">
        <f>IF($C354="","",IFERROR(LOOKUP(2,1/('03_Warehouse_Movements'!$C$2:$C$500=$A354),'03_Warehouse_Movements'!$E$2:$E$500),$C354))</f>
        <v/>
      </c>
      <c r="E354" t="s">
        <v>209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24"/>
      <c r="D355" t="str">
        <f>IF($C355="","",IFERROR(LOOKUP(2,1/('03_Warehouse_Movements'!$C$2:$C$500=$A355),'03_Warehouse_Movements'!$E$2:$E$500),$C355))</f>
        <v/>
      </c>
      <c r="E355" t="s">
        <v>209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24"/>
      <c r="D356" t="str">
        <f>IF($C356="","",IFERROR(LOOKUP(2,1/('03_Warehouse_Movements'!$C$2:$C$500=$A356),'03_Warehouse_Movements'!$E$2:$E$500),$C356))</f>
        <v/>
      </c>
      <c r="E356" t="s">
        <v>209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24"/>
      <c r="D357" t="str">
        <f>IF($C357="","",IFERROR(LOOKUP(2,1/('03_Warehouse_Movements'!$C$2:$C$500=$A357),'03_Warehouse_Movements'!$E$2:$E$500),$C357))</f>
        <v/>
      </c>
      <c r="E357" t="s">
        <v>209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24"/>
      <c r="D358" t="str">
        <f>IF($C358="","",IFERROR(LOOKUP(2,1/('03_Warehouse_Movements'!$C$2:$C$500=$A358),'03_Warehouse_Movements'!$E$2:$E$500),$C358))</f>
        <v/>
      </c>
      <c r="E358" t="s">
        <v>209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24"/>
      <c r="D359" t="str">
        <f>IF($C359="","",IFERROR(LOOKUP(2,1/('03_Warehouse_Movements'!$C$2:$C$500=$A359),'03_Warehouse_Movements'!$E$2:$E$500),$C359))</f>
        <v/>
      </c>
      <c r="E359" t="s">
        <v>209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24"/>
      <c r="D360" t="str">
        <f>IF($C360="","",IFERROR(LOOKUP(2,1/('03_Warehouse_Movements'!$C$2:$C$500=$A360),'03_Warehouse_Movements'!$E$2:$E$500),$C360))</f>
        <v/>
      </c>
      <c r="E360" t="s">
        <v>209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24"/>
      <c r="D361" t="str">
        <f>IF($C361="","",IFERROR(LOOKUP(2,1/('03_Warehouse_Movements'!$C$2:$C$500=$A361),'03_Warehouse_Movements'!$E$2:$E$500),$C361))</f>
        <v/>
      </c>
      <c r="E361" t="s">
        <v>209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24"/>
      <c r="D362" t="str">
        <f>IF($C362="","",IFERROR(LOOKUP(2,1/('03_Warehouse_Movements'!$C$2:$C$500=$A362),'03_Warehouse_Movements'!$E$2:$E$500),$C362))</f>
        <v/>
      </c>
      <c r="E362" t="s">
        <v>209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24"/>
      <c r="D363" t="str">
        <f>IF($C363="","",IFERROR(LOOKUP(2,1/('03_Warehouse_Movements'!$C$2:$C$500=$A363),'03_Warehouse_Movements'!$E$2:$E$500),$C363))</f>
        <v/>
      </c>
      <c r="E363" t="s">
        <v>209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24"/>
      <c r="D364" t="str">
        <f>IF($C364="","",IFERROR(LOOKUP(2,1/('03_Warehouse_Movements'!$C$2:$C$500=$A364),'03_Warehouse_Movements'!$E$2:$E$500),$C364))</f>
        <v/>
      </c>
      <c r="E364" t="s">
        <v>209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24"/>
      <c r="D365" t="str">
        <f>IF($C365="","",IFERROR(LOOKUP(2,1/('03_Warehouse_Movements'!$C$2:$C$500=$A365),'03_Warehouse_Movements'!$E$2:$E$500),$C365))</f>
        <v/>
      </c>
      <c r="E365" t="s">
        <v>209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24"/>
      <c r="D366" t="str">
        <f>IF($C366="","",IFERROR(LOOKUP(2,1/('03_Warehouse_Movements'!$C$2:$C$500=$A366),'03_Warehouse_Movements'!$E$2:$E$500),$C366))</f>
        <v/>
      </c>
      <c r="E366" t="s">
        <v>209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24"/>
      <c r="D367" t="str">
        <f>IF($C367="","",IFERROR(LOOKUP(2,1/('03_Warehouse_Movements'!$C$2:$C$500=$A367),'03_Warehouse_Movements'!$E$2:$E$500),$C367))</f>
        <v/>
      </c>
      <c r="E367" t="s">
        <v>209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24"/>
      <c r="D368" t="str">
        <f>IF($C368="","",IFERROR(LOOKUP(2,1/('03_Warehouse_Movements'!$C$2:$C$500=$A368),'03_Warehouse_Movements'!$E$2:$E$500),$C368))</f>
        <v/>
      </c>
      <c r="E368" t="s">
        <v>209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24"/>
      <c r="D369" t="str">
        <f>IF($C369="","",IFERROR(LOOKUP(2,1/('03_Warehouse_Movements'!$C$2:$C$500=$A369),'03_Warehouse_Movements'!$E$2:$E$500),$C369))</f>
        <v/>
      </c>
      <c r="E369" t="s">
        <v>209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24"/>
      <c r="D370" t="str">
        <f>IF($C370="","",IFERROR(LOOKUP(2,1/('03_Warehouse_Movements'!$C$2:$C$500=$A370),'03_Warehouse_Movements'!$E$2:$E$500),$C370))</f>
        <v/>
      </c>
      <c r="E370" t="s">
        <v>209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24"/>
      <c r="D371" t="str">
        <f>IF($C371="","",IFERROR(LOOKUP(2,1/('03_Warehouse_Movements'!$C$2:$C$500=$A371),'03_Warehouse_Movements'!$E$2:$E$500),$C371))</f>
        <v/>
      </c>
      <c r="E371" t="s">
        <v>209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24"/>
      <c r="D372" t="str">
        <f>IF($C372="","",IFERROR(LOOKUP(2,1/('03_Warehouse_Movements'!$C$2:$C$500=$A372),'03_Warehouse_Movements'!$E$2:$E$500),$C372))</f>
        <v/>
      </c>
      <c r="E372" t="s">
        <v>209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24"/>
      <c r="D373" t="str">
        <f>IF($C373="","",IFERROR(LOOKUP(2,1/('03_Warehouse_Movements'!$C$2:$C$500=$A373),'03_Warehouse_Movements'!$E$2:$E$500),$C373))</f>
        <v/>
      </c>
      <c r="E373" t="s">
        <v>209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24"/>
      <c r="D374" t="str">
        <f>IF($C374="","",IFERROR(LOOKUP(2,1/('03_Warehouse_Movements'!$C$2:$C$500=$A374),'03_Warehouse_Movements'!$E$2:$E$500),$C374))</f>
        <v/>
      </c>
      <c r="E374" t="s">
        <v>209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24"/>
      <c r="D375" t="str">
        <f>IF($C375="","",IFERROR(LOOKUP(2,1/('03_Warehouse_Movements'!$C$2:$C$500=$A375),'03_Warehouse_Movements'!$E$2:$E$500),$C375))</f>
        <v/>
      </c>
      <c r="E375" t="s">
        <v>209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24"/>
      <c r="D376" t="str">
        <f>IF($C376="","",IFERROR(LOOKUP(2,1/('03_Warehouse_Movements'!$C$2:$C$500=$A376),'03_Warehouse_Movements'!$E$2:$E$500),$C376))</f>
        <v/>
      </c>
      <c r="E376" t="s">
        <v>209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24"/>
      <c r="D377" t="str">
        <f>IF($C377="","",IFERROR(LOOKUP(2,1/('03_Warehouse_Movements'!$C$2:$C$500=$A377),'03_Warehouse_Movements'!$E$2:$E$500),$C377))</f>
        <v/>
      </c>
      <c r="E377" t="s">
        <v>209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24"/>
      <c r="D378" t="str">
        <f>IF($C378="","",IFERROR(LOOKUP(2,1/('03_Warehouse_Movements'!$C$2:$C$500=$A378),'03_Warehouse_Movements'!$E$2:$E$500),$C378))</f>
        <v/>
      </c>
      <c r="E378" t="s">
        <v>209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24"/>
      <c r="D379" t="str">
        <f>IF($C379="","",IFERROR(LOOKUP(2,1/('03_Warehouse_Movements'!$C$2:$C$500=$A379),'03_Warehouse_Movements'!$E$2:$E$500),$C379))</f>
        <v/>
      </c>
      <c r="E379" t="s">
        <v>209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24"/>
      <c r="D380" t="str">
        <f>IF($C380="","",IFERROR(LOOKUP(2,1/('03_Warehouse_Movements'!$C$2:$C$500=$A380),'03_Warehouse_Movements'!$E$2:$E$500),$C380))</f>
        <v/>
      </c>
      <c r="E380" t="s">
        <v>209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24"/>
      <c r="D381" t="str">
        <f>IF($C381="","",IFERROR(LOOKUP(2,1/('03_Warehouse_Movements'!$C$2:$C$500=$A381),'03_Warehouse_Movements'!$E$2:$E$500),$C381))</f>
        <v/>
      </c>
      <c r="E381" t="s">
        <v>209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24"/>
      <c r="D382" t="str">
        <f>IF($C382="","",IFERROR(LOOKUP(2,1/('03_Warehouse_Movements'!$C$2:$C$500=$A382),'03_Warehouse_Movements'!$E$2:$E$500),$C382))</f>
        <v/>
      </c>
      <c r="E382" t="s">
        <v>209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24"/>
      <c r="D383" t="str">
        <f>IF($C383="","",IFERROR(LOOKUP(2,1/('03_Warehouse_Movements'!$C$2:$C$500=$A383),'03_Warehouse_Movements'!$E$2:$E$500),$C383))</f>
        <v/>
      </c>
      <c r="E383" t="s">
        <v>209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24"/>
      <c r="D384" t="str">
        <f>IF($C384="","",IFERROR(LOOKUP(2,1/('03_Warehouse_Movements'!$C$2:$C$500=$A384),'03_Warehouse_Movements'!$E$2:$E$500),$C384))</f>
        <v/>
      </c>
      <c r="E384" t="s">
        <v>209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24"/>
      <c r="D385" t="str">
        <f>IF($C385="","",IFERROR(LOOKUP(2,1/('03_Warehouse_Movements'!$C$2:$C$500=$A385),'03_Warehouse_Movements'!$E$2:$E$500),$C385))</f>
        <v/>
      </c>
      <c r="E385" t="s">
        <v>209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24"/>
      <c r="D386" t="str">
        <f>IF($C386="","",IFERROR(LOOKUP(2,1/('03_Warehouse_Movements'!$C$2:$C$500=$A386),'03_Warehouse_Movements'!$E$2:$E$500),$C386))</f>
        <v/>
      </c>
      <c r="E386" t="s">
        <v>209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24"/>
      <c r="D387" t="str">
        <f>IF($C387="","",IFERROR(LOOKUP(2,1/('03_Warehouse_Movements'!$C$2:$C$500=$A387),'03_Warehouse_Movements'!$E$2:$E$500),$C387))</f>
        <v/>
      </c>
      <c r="E387" t="s">
        <v>209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24"/>
      <c r="D388" t="str">
        <f>IF($C388="","",IFERROR(LOOKUP(2,1/('03_Warehouse_Movements'!$C$2:$C$500=$A388),'03_Warehouse_Movements'!$E$2:$E$500),$C388))</f>
        <v/>
      </c>
      <c r="E388" t="s">
        <v>209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24"/>
      <c r="D389" t="str">
        <f>IF($C389="","",IFERROR(LOOKUP(2,1/('03_Warehouse_Movements'!$C$2:$C$500=$A389),'03_Warehouse_Movements'!$E$2:$E$500),$C389))</f>
        <v/>
      </c>
      <c r="E389" t="s">
        <v>209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24"/>
      <c r="D390" t="str">
        <f>IF($C390="","",IFERROR(LOOKUP(2,1/('03_Warehouse_Movements'!$C$2:$C$500=$A390),'03_Warehouse_Movements'!$E$2:$E$500),$C390))</f>
        <v/>
      </c>
      <c r="E390" t="s">
        <v>209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24"/>
      <c r="D391" t="str">
        <f>IF($C391="","",IFERROR(LOOKUP(2,1/('03_Warehouse_Movements'!$C$2:$C$500=$A391),'03_Warehouse_Movements'!$E$2:$E$500),$C391))</f>
        <v/>
      </c>
      <c r="E391" t="s">
        <v>209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24"/>
      <c r="D392" t="str">
        <f>IF($C392="","",IFERROR(LOOKUP(2,1/('03_Warehouse_Movements'!$C$2:$C$500=$A392),'03_Warehouse_Movements'!$E$2:$E$500),$C392))</f>
        <v/>
      </c>
      <c r="E392" t="s">
        <v>209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24"/>
      <c r="D393" t="str">
        <f>IF($C393="","",IFERROR(LOOKUP(2,1/('03_Warehouse_Movements'!$C$2:$C$500=$A393),'03_Warehouse_Movements'!$E$2:$E$500),$C393))</f>
        <v/>
      </c>
      <c r="E393" t="s">
        <v>209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24"/>
      <c r="D394" t="str">
        <f>IF($C394="","",IFERROR(LOOKUP(2,1/('03_Warehouse_Movements'!$C$2:$C$500=$A394),'03_Warehouse_Movements'!$E$2:$E$500),$C394))</f>
        <v/>
      </c>
      <c r="E394" t="s">
        <v>209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24"/>
      <c r="D395" t="str">
        <f>IF($C395="","",IFERROR(LOOKUP(2,1/('03_Warehouse_Movements'!$C$2:$C$500=$A395),'03_Warehouse_Movements'!$E$2:$E$500),$C395))</f>
        <v/>
      </c>
      <c r="E395" t="s">
        <v>209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24"/>
      <c r="D396" t="str">
        <f>IF($C396="","",IFERROR(LOOKUP(2,1/('03_Warehouse_Movements'!$C$2:$C$500=$A396),'03_Warehouse_Movements'!$E$2:$E$500),$C396))</f>
        <v/>
      </c>
      <c r="E396" t="s">
        <v>209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24"/>
      <c r="D397" t="str">
        <f>IF($C397="","",IFERROR(LOOKUP(2,1/('03_Warehouse_Movements'!$C$2:$C$500=$A397),'03_Warehouse_Movements'!$E$2:$E$500),$C397))</f>
        <v/>
      </c>
      <c r="E397" t="s">
        <v>209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24"/>
      <c r="D398" t="str">
        <f>IF($C398="","",IFERROR(LOOKUP(2,1/('03_Warehouse_Movements'!$C$2:$C$500=$A398),'03_Warehouse_Movements'!$E$2:$E$500),$C398))</f>
        <v/>
      </c>
      <c r="E398" t="s">
        <v>209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24"/>
      <c r="D399" t="str">
        <f>IF($C399="","",IFERROR(LOOKUP(2,1/('03_Warehouse_Movements'!$C$2:$C$500=$A399),'03_Warehouse_Movements'!$E$2:$E$500),$C399))</f>
        <v/>
      </c>
      <c r="E399" t="s">
        <v>209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24"/>
      <c r="D400" t="str">
        <f>IF($C400="","",IFERROR(LOOKUP(2,1/('03_Warehouse_Movements'!$C$2:$C$500=$A400),'03_Warehouse_Movements'!$E$2:$E$500),$C400))</f>
        <v/>
      </c>
      <c r="E400" t="s">
        <v>209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24"/>
      <c r="D401" t="str">
        <f>IF($C401="","",IFERROR(LOOKUP(2,1/('03_Warehouse_Movements'!$C$2:$C$500=$A401),'03_Warehouse_Movements'!$E$2:$E$500),$C401))</f>
        <v/>
      </c>
      <c r="E401" t="s">
        <v>209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24"/>
      <c r="D402" t="str">
        <f>IF($C402="","",IFERROR(LOOKUP(2,1/('03_Warehouse_Movements'!$C$2:$C$500=$A402),'03_Warehouse_Movements'!$E$2:$E$500),$C402))</f>
        <v/>
      </c>
      <c r="E402" t="s">
        <v>209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24"/>
      <c r="D403" t="str">
        <f>IF($C403="","",IFERROR(LOOKUP(2,1/('03_Warehouse_Movements'!$C$2:$C$500=$A403),'03_Warehouse_Movements'!$E$2:$E$500),$C403))</f>
        <v/>
      </c>
      <c r="E403" t="s">
        <v>209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24"/>
      <c r="D404" t="str">
        <f>IF($C404="","",IFERROR(LOOKUP(2,1/('03_Warehouse_Movements'!$C$2:$C$500=$A404),'03_Warehouse_Movements'!$E$2:$E$500),$C404))</f>
        <v/>
      </c>
      <c r="E404" t="s">
        <v>209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24"/>
      <c r="D405" t="str">
        <f>IF($C405="","",IFERROR(LOOKUP(2,1/('03_Warehouse_Movements'!$C$2:$C$500=$A405),'03_Warehouse_Movements'!$E$2:$E$500),$C405))</f>
        <v/>
      </c>
      <c r="E405" t="s">
        <v>209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24"/>
      <c r="D406" t="str">
        <f>IF($C406="","",IFERROR(LOOKUP(2,1/('03_Warehouse_Movements'!$C$2:$C$500=$A406),'03_Warehouse_Movements'!$E$2:$E$500),$C406))</f>
        <v/>
      </c>
      <c r="E406" t="s">
        <v>209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24"/>
      <c r="D407" t="str">
        <f>IF($C407="","",IFERROR(LOOKUP(2,1/('03_Warehouse_Movements'!$C$2:$C$500=$A407),'03_Warehouse_Movements'!$E$2:$E$500),$C407))</f>
        <v/>
      </c>
      <c r="E407" t="s">
        <v>209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24"/>
      <c r="D408" t="str">
        <f>IF($C408="","",IFERROR(LOOKUP(2,1/('03_Warehouse_Movements'!$C$2:$C$500=$A408),'03_Warehouse_Movements'!$E$2:$E$500),$C408))</f>
        <v/>
      </c>
      <c r="E408" t="s">
        <v>209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24"/>
      <c r="D409" t="str">
        <f>IF($C409="","",IFERROR(LOOKUP(2,1/('03_Warehouse_Movements'!$C$2:$C$500=$A409),'03_Warehouse_Movements'!$E$2:$E$500),$C409))</f>
        <v/>
      </c>
      <c r="E409" t="s">
        <v>209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24"/>
      <c r="D410" t="str">
        <f>IF($C410="","",IFERROR(LOOKUP(2,1/('03_Warehouse_Movements'!$C$2:$C$500=$A410),'03_Warehouse_Movements'!$E$2:$E$500),$C410))</f>
        <v/>
      </c>
      <c r="E410" t="s">
        <v>209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24"/>
      <c r="D411" t="str">
        <f>IF($C411="","",IFERROR(LOOKUP(2,1/('03_Warehouse_Movements'!$C$2:$C$500=$A411),'03_Warehouse_Movements'!$E$2:$E$500),$C411))</f>
        <v/>
      </c>
      <c r="E411" t="s">
        <v>209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24"/>
      <c r="D412" t="str">
        <f>IF($C412="","",IFERROR(LOOKUP(2,1/('03_Warehouse_Movements'!$C$2:$C$500=$A412),'03_Warehouse_Movements'!$E$2:$E$500),$C412))</f>
        <v/>
      </c>
      <c r="E412" t="s">
        <v>209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24"/>
      <c r="D413" t="str">
        <f>IF($C413="","",IFERROR(LOOKUP(2,1/('03_Warehouse_Movements'!$C$2:$C$500=$A413),'03_Warehouse_Movements'!$E$2:$E$500),$C413))</f>
        <v/>
      </c>
      <c r="E413" t="s">
        <v>209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24"/>
      <c r="D414" t="str">
        <f>IF($C414="","",IFERROR(LOOKUP(2,1/('03_Warehouse_Movements'!$C$2:$C$500=$A414),'03_Warehouse_Movements'!$E$2:$E$500),$C414))</f>
        <v/>
      </c>
      <c r="E414" t="s">
        <v>209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24"/>
      <c r="D415" t="str">
        <f>IF($C415="","",IFERROR(LOOKUP(2,1/('03_Warehouse_Movements'!$C$2:$C$500=$A415),'03_Warehouse_Movements'!$E$2:$E$500),$C415))</f>
        <v/>
      </c>
      <c r="E415" t="s">
        <v>209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24"/>
      <c r="D416" t="str">
        <f>IF($C416="","",IFERROR(LOOKUP(2,1/('03_Warehouse_Movements'!$C$2:$C$500=$A416),'03_Warehouse_Movements'!$E$2:$E$500),$C416))</f>
        <v/>
      </c>
      <c r="E416" t="s">
        <v>209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24"/>
      <c r="D417" t="str">
        <f>IF($C417="","",IFERROR(LOOKUP(2,1/('03_Warehouse_Movements'!$C$2:$C$500=$A417),'03_Warehouse_Movements'!$E$2:$E$500),$C417))</f>
        <v/>
      </c>
      <c r="E417" t="s">
        <v>209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24"/>
      <c r="D418" t="str">
        <f>IF($C418="","",IFERROR(LOOKUP(2,1/('03_Warehouse_Movements'!$C$2:$C$500=$A418),'03_Warehouse_Movements'!$E$2:$E$500),$C418))</f>
        <v/>
      </c>
      <c r="E418" t="s">
        <v>209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24"/>
      <c r="D419" t="str">
        <f>IF($C419="","",IFERROR(LOOKUP(2,1/('03_Warehouse_Movements'!$C$2:$C$500=$A419),'03_Warehouse_Movements'!$E$2:$E$500),$C419))</f>
        <v/>
      </c>
      <c r="E419" t="s">
        <v>209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24"/>
      <c r="D420" t="str">
        <f>IF($C420="","",IFERROR(LOOKUP(2,1/('03_Warehouse_Movements'!$C$2:$C$500=$A420),'03_Warehouse_Movements'!$E$2:$E$500),$C420))</f>
        <v/>
      </c>
      <c r="E420" t="s">
        <v>209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24"/>
      <c r="D421" t="str">
        <f>IF($C421="","",IFERROR(LOOKUP(2,1/('03_Warehouse_Movements'!$C$2:$C$500=$A421),'03_Warehouse_Movements'!$E$2:$E$500),$C421))</f>
        <v/>
      </c>
      <c r="E421" t="s">
        <v>209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24"/>
      <c r="D422" t="str">
        <f>IF($C422="","",IFERROR(LOOKUP(2,1/('03_Warehouse_Movements'!$C$2:$C$500=$A422),'03_Warehouse_Movements'!$E$2:$E$500),$C422))</f>
        <v/>
      </c>
      <c r="E422" t="s">
        <v>209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24"/>
      <c r="D423" t="str">
        <f>IF($C423="","",IFERROR(LOOKUP(2,1/('03_Warehouse_Movements'!$C$2:$C$500=$A423),'03_Warehouse_Movements'!$E$2:$E$500),$C423))</f>
        <v/>
      </c>
      <c r="E423" t="s">
        <v>209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24"/>
      <c r="D424" t="str">
        <f>IF($C424="","",IFERROR(LOOKUP(2,1/('03_Warehouse_Movements'!$C$2:$C$500=$A424),'03_Warehouse_Movements'!$E$2:$E$500),$C424))</f>
        <v/>
      </c>
      <c r="E424" t="s">
        <v>209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24"/>
      <c r="D425" t="str">
        <f>IF($C425="","",IFERROR(LOOKUP(2,1/('03_Warehouse_Movements'!$C$2:$C$500=$A425),'03_Warehouse_Movements'!$E$2:$E$500),$C425))</f>
        <v/>
      </c>
      <c r="E425" t="s">
        <v>209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24"/>
      <c r="D426" t="str">
        <f>IF($C426="","",IFERROR(LOOKUP(2,1/('03_Warehouse_Movements'!$C$2:$C$500=$A426),'03_Warehouse_Movements'!$E$2:$E$500),$C426))</f>
        <v/>
      </c>
      <c r="E426" t="s">
        <v>209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24"/>
      <c r="D427" t="str">
        <f>IF($C427="","",IFERROR(LOOKUP(2,1/('03_Warehouse_Movements'!$C$2:$C$500=$A427),'03_Warehouse_Movements'!$E$2:$E$500),$C427))</f>
        <v/>
      </c>
      <c r="E427" t="s">
        <v>209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24"/>
      <c r="D428" t="str">
        <f>IF($C428="","",IFERROR(LOOKUP(2,1/('03_Warehouse_Movements'!$C$2:$C$500=$A428),'03_Warehouse_Movements'!$E$2:$E$500),$C428))</f>
        <v/>
      </c>
      <c r="E428" t="s">
        <v>209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24"/>
      <c r="D429" t="str">
        <f>IF($C429="","",IFERROR(LOOKUP(2,1/('03_Warehouse_Movements'!$C$2:$C$500=$A429),'03_Warehouse_Movements'!$E$2:$E$500),$C429))</f>
        <v/>
      </c>
      <c r="E429" t="s">
        <v>209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24"/>
      <c r="D430" t="str">
        <f>IF($C430="","",IFERROR(LOOKUP(2,1/('03_Warehouse_Movements'!$C$2:$C$500=$A430),'03_Warehouse_Movements'!$E$2:$E$500),$C430))</f>
        <v/>
      </c>
      <c r="E430" t="s">
        <v>209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24"/>
      <c r="D431" t="str">
        <f>IF($C431="","",IFERROR(LOOKUP(2,1/('03_Warehouse_Movements'!$C$2:$C$500=$A431),'03_Warehouse_Movements'!$E$2:$E$500),$C431))</f>
        <v/>
      </c>
      <c r="E431" t="s">
        <v>209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24"/>
      <c r="D432" t="str">
        <f>IF($C432="","",IFERROR(LOOKUP(2,1/('03_Warehouse_Movements'!$C$2:$C$500=$A432),'03_Warehouse_Movements'!$E$2:$E$500),$C432))</f>
        <v/>
      </c>
      <c r="E432" t="s">
        <v>209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24"/>
      <c r="D433" t="str">
        <f>IF($C433="","",IFERROR(LOOKUP(2,1/('03_Warehouse_Movements'!$C$2:$C$500=$A433),'03_Warehouse_Movements'!$E$2:$E$500),$C433))</f>
        <v/>
      </c>
      <c r="E433" t="s">
        <v>209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24"/>
      <c r="D434" t="str">
        <f>IF($C434="","",IFERROR(LOOKUP(2,1/('03_Warehouse_Movements'!$C$2:$C$500=$A434),'03_Warehouse_Movements'!$E$2:$E$500),$C434))</f>
        <v/>
      </c>
      <c r="E434" t="s">
        <v>209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24"/>
      <c r="D435" t="str">
        <f>IF($C435="","",IFERROR(LOOKUP(2,1/('03_Warehouse_Movements'!$C$2:$C$500=$A435),'03_Warehouse_Movements'!$E$2:$E$500),$C435))</f>
        <v/>
      </c>
      <c r="E435" t="s">
        <v>209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24"/>
      <c r="D436" t="str">
        <f>IF($C436="","",IFERROR(LOOKUP(2,1/('03_Warehouse_Movements'!$C$2:$C$500=$A436),'03_Warehouse_Movements'!$E$2:$E$500),$C436))</f>
        <v/>
      </c>
      <c r="E436" t="s">
        <v>209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24"/>
      <c r="D437" t="str">
        <f>IF($C437="","",IFERROR(LOOKUP(2,1/('03_Warehouse_Movements'!$C$2:$C$500=$A437),'03_Warehouse_Movements'!$E$2:$E$500),$C437))</f>
        <v/>
      </c>
      <c r="E437" t="s">
        <v>209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24"/>
      <c r="D438" t="str">
        <f>IF($C438="","",IFERROR(LOOKUP(2,1/('03_Warehouse_Movements'!$C$2:$C$500=$A438),'03_Warehouse_Movements'!$E$2:$E$500),$C438))</f>
        <v/>
      </c>
      <c r="E438" t="s">
        <v>209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24"/>
      <c r="D439" t="str">
        <f>IF($C439="","",IFERROR(LOOKUP(2,1/('03_Warehouse_Movements'!$C$2:$C$500=$A439),'03_Warehouse_Movements'!$E$2:$E$500),$C439))</f>
        <v/>
      </c>
      <c r="E439" t="s">
        <v>209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24"/>
      <c r="D440" t="str">
        <f>IF($C440="","",IFERROR(LOOKUP(2,1/('03_Warehouse_Movements'!$C$2:$C$500=$A440),'03_Warehouse_Movements'!$E$2:$E$500),$C440))</f>
        <v/>
      </c>
      <c r="E440" t="s">
        <v>209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24"/>
      <c r="D441" t="str">
        <f>IF($C441="","",IFERROR(LOOKUP(2,1/('03_Warehouse_Movements'!$C$2:$C$500=$A441),'03_Warehouse_Movements'!$E$2:$E$500),$C441))</f>
        <v/>
      </c>
      <c r="E441" t="s">
        <v>209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24"/>
      <c r="D442" t="str">
        <f>IF($C442="","",IFERROR(LOOKUP(2,1/('03_Warehouse_Movements'!$C$2:$C$500=$A442),'03_Warehouse_Movements'!$E$2:$E$500),$C442))</f>
        <v/>
      </c>
      <c r="E442" t="s">
        <v>209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24"/>
      <c r="D443" t="str">
        <f>IF($C443="","",IFERROR(LOOKUP(2,1/('03_Warehouse_Movements'!$C$2:$C$500=$A443),'03_Warehouse_Movements'!$E$2:$E$500),$C443))</f>
        <v/>
      </c>
      <c r="E443" t="s">
        <v>209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24"/>
      <c r="D444" t="str">
        <f>IF($C444="","",IFERROR(LOOKUP(2,1/('03_Warehouse_Movements'!$C$2:$C$500=$A444),'03_Warehouse_Movements'!$E$2:$E$500),$C444))</f>
        <v/>
      </c>
      <c r="E444" t="s">
        <v>209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24"/>
      <c r="D445" t="str">
        <f>IF($C445="","",IFERROR(LOOKUP(2,1/('03_Warehouse_Movements'!$C$2:$C$500=$A445),'03_Warehouse_Movements'!$E$2:$E$500),$C445))</f>
        <v/>
      </c>
      <c r="E445" t="s">
        <v>209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24"/>
      <c r="D446" t="str">
        <f>IF($C446="","",IFERROR(LOOKUP(2,1/('03_Warehouse_Movements'!$C$2:$C$500=$A446),'03_Warehouse_Movements'!$E$2:$E$500),$C446))</f>
        <v/>
      </c>
      <c r="E446" t="s">
        <v>209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24"/>
      <c r="D447" t="str">
        <f>IF($C447="","",IFERROR(LOOKUP(2,1/('03_Warehouse_Movements'!$C$2:$C$500=$A447),'03_Warehouse_Movements'!$E$2:$E$500),$C447))</f>
        <v/>
      </c>
      <c r="E447" t="s">
        <v>209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24"/>
      <c r="D448" t="str">
        <f>IF($C448="","",IFERROR(LOOKUP(2,1/('03_Warehouse_Movements'!$C$2:$C$500=$A448),'03_Warehouse_Movements'!$E$2:$E$500),$C448))</f>
        <v/>
      </c>
      <c r="E448" t="s">
        <v>209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24"/>
      <c r="D449" t="str">
        <f>IF($C449="","",IFERROR(LOOKUP(2,1/('03_Warehouse_Movements'!$C$2:$C$500=$A449),'03_Warehouse_Movements'!$E$2:$E$500),$C449))</f>
        <v/>
      </c>
      <c r="E449" t="s">
        <v>209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24"/>
      <c r="D450" t="str">
        <f>IF($C450="","",IFERROR(LOOKUP(2,1/('03_Warehouse_Movements'!$C$2:$C$500=$A450),'03_Warehouse_Movements'!$E$2:$E$500),$C450))</f>
        <v/>
      </c>
      <c r="E450" t="s">
        <v>209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24"/>
      <c r="D451" t="str">
        <f>IF($C451="","",IFERROR(LOOKUP(2,1/('03_Warehouse_Movements'!$C$2:$C$500=$A451),'03_Warehouse_Movements'!$E$2:$E$500),$C451))</f>
        <v/>
      </c>
      <c r="E451" t="s">
        <v>209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24"/>
      <c r="D452" t="str">
        <f>IF($C452="","",IFERROR(LOOKUP(2,1/('03_Warehouse_Movements'!$C$2:$C$500=$A452),'03_Warehouse_Movements'!$E$2:$E$500),$C452))</f>
        <v/>
      </c>
      <c r="E452" t="s">
        <v>209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24"/>
      <c r="D453" t="str">
        <f>IF($C453="","",IFERROR(LOOKUP(2,1/('03_Warehouse_Movements'!$C$2:$C$500=$A453),'03_Warehouse_Movements'!$E$2:$E$500),$C453))</f>
        <v/>
      </c>
      <c r="E453" t="s">
        <v>209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24"/>
      <c r="D454" t="str">
        <f>IF($C454="","",IFERROR(LOOKUP(2,1/('03_Warehouse_Movements'!$C$2:$C$500=$A454),'03_Warehouse_Movements'!$E$2:$E$500),$C454))</f>
        <v/>
      </c>
      <c r="E454" t="s">
        <v>209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24"/>
      <c r="D455" t="str">
        <f>IF($C455="","",IFERROR(LOOKUP(2,1/('03_Warehouse_Movements'!$C$2:$C$500=$A455),'03_Warehouse_Movements'!$E$2:$E$500),$C455))</f>
        <v/>
      </c>
      <c r="E455" t="s">
        <v>209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24"/>
      <c r="D456" t="str">
        <f>IF($C456="","",IFERROR(LOOKUP(2,1/('03_Warehouse_Movements'!$C$2:$C$500=$A456),'03_Warehouse_Movements'!$E$2:$E$500),$C456))</f>
        <v/>
      </c>
      <c r="E456" t="s">
        <v>209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24"/>
      <c r="D457" t="str">
        <f>IF($C457="","",IFERROR(LOOKUP(2,1/('03_Warehouse_Movements'!$C$2:$C$500=$A457),'03_Warehouse_Movements'!$E$2:$E$500),$C457))</f>
        <v/>
      </c>
      <c r="E457" t="s">
        <v>209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24"/>
      <c r="D458" t="str">
        <f>IF($C458="","",IFERROR(LOOKUP(2,1/('03_Warehouse_Movements'!$C$2:$C$500=$A458),'03_Warehouse_Movements'!$E$2:$E$500),$C458))</f>
        <v/>
      </c>
      <c r="E458" t="s">
        <v>209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24"/>
      <c r="D459" t="str">
        <f>IF($C459="","",IFERROR(LOOKUP(2,1/('03_Warehouse_Movements'!$C$2:$C$500=$A459),'03_Warehouse_Movements'!$E$2:$E$500),$C459))</f>
        <v/>
      </c>
      <c r="E459" t="s">
        <v>209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24"/>
      <c r="D460" t="str">
        <f>IF($C460="","",IFERROR(LOOKUP(2,1/('03_Warehouse_Movements'!$C$2:$C$500=$A460),'03_Warehouse_Movements'!$E$2:$E$500),$C460))</f>
        <v/>
      </c>
      <c r="E460" t="s">
        <v>209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24"/>
      <c r="D461" t="str">
        <f>IF($C461="","",IFERROR(LOOKUP(2,1/('03_Warehouse_Movements'!$C$2:$C$500=$A461),'03_Warehouse_Movements'!$E$2:$E$500),$C461))</f>
        <v/>
      </c>
      <c r="E461" t="s">
        <v>209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24"/>
      <c r="D462" t="str">
        <f>IF($C462="","",IFERROR(LOOKUP(2,1/('03_Warehouse_Movements'!$C$2:$C$500=$A462),'03_Warehouse_Movements'!$E$2:$E$500),$C462))</f>
        <v/>
      </c>
      <c r="E462" t="s">
        <v>209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24"/>
      <c r="D463" t="str">
        <f>IF($C463="","",IFERROR(LOOKUP(2,1/('03_Warehouse_Movements'!$C$2:$C$500=$A463),'03_Warehouse_Movements'!$E$2:$E$500),$C463))</f>
        <v/>
      </c>
      <c r="E463" t="s">
        <v>209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24"/>
      <c r="D464" t="str">
        <f>IF($C464="","",IFERROR(LOOKUP(2,1/('03_Warehouse_Movements'!$C$2:$C$500=$A464),'03_Warehouse_Movements'!$E$2:$E$500),$C464))</f>
        <v/>
      </c>
      <c r="E464" t="s">
        <v>209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24"/>
      <c r="D465" t="str">
        <f>IF($C465="","",IFERROR(LOOKUP(2,1/('03_Warehouse_Movements'!$C$2:$C$500=$A465),'03_Warehouse_Movements'!$E$2:$E$500),$C465))</f>
        <v/>
      </c>
      <c r="E465" t="s">
        <v>209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24"/>
      <c r="D466" t="str">
        <f>IF($C466="","",IFERROR(LOOKUP(2,1/('03_Warehouse_Movements'!$C$2:$C$500=$A466),'03_Warehouse_Movements'!$E$2:$E$500),$C466))</f>
        <v/>
      </c>
      <c r="E466" t="s">
        <v>209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24"/>
      <c r="D467" t="str">
        <f>IF($C467="","",IFERROR(LOOKUP(2,1/('03_Warehouse_Movements'!$C$2:$C$500=$A467),'03_Warehouse_Movements'!$E$2:$E$500),$C467))</f>
        <v/>
      </c>
      <c r="E467" t="s">
        <v>209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24"/>
      <c r="D468" t="str">
        <f>IF($C468="","",IFERROR(LOOKUP(2,1/('03_Warehouse_Movements'!$C$2:$C$500=$A468),'03_Warehouse_Movements'!$E$2:$E$500),$C468))</f>
        <v/>
      </c>
      <c r="E468" t="s">
        <v>209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24"/>
      <c r="D469" t="str">
        <f>IF($C469="","",IFERROR(LOOKUP(2,1/('03_Warehouse_Movements'!$C$2:$C$500=$A469),'03_Warehouse_Movements'!$E$2:$E$500),$C469))</f>
        <v/>
      </c>
      <c r="E469" t="s">
        <v>209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24"/>
      <c r="D470" t="str">
        <f>IF($C470="","",IFERROR(LOOKUP(2,1/('03_Warehouse_Movements'!$C$2:$C$500=$A470),'03_Warehouse_Movements'!$E$2:$E$500),$C470))</f>
        <v/>
      </c>
      <c r="E470" t="s">
        <v>209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24"/>
      <c r="D471" t="str">
        <f>IF($C471="","",IFERROR(LOOKUP(2,1/('03_Warehouse_Movements'!$C$2:$C$500=$A471),'03_Warehouse_Movements'!$E$2:$E$500),$C471))</f>
        <v/>
      </c>
      <c r="E471" t="s">
        <v>209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24"/>
      <c r="D472" t="str">
        <f>IF($C472="","",IFERROR(LOOKUP(2,1/('03_Warehouse_Movements'!$C$2:$C$500=$A472),'03_Warehouse_Movements'!$E$2:$E$500),$C472))</f>
        <v/>
      </c>
      <c r="E472" t="s">
        <v>209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24"/>
      <c r="D473" t="str">
        <f>IF($C473="","",IFERROR(LOOKUP(2,1/('03_Warehouse_Movements'!$C$2:$C$500=$A473),'03_Warehouse_Movements'!$E$2:$E$500),$C473))</f>
        <v/>
      </c>
      <c r="E473" t="s">
        <v>209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24"/>
      <c r="D474" t="str">
        <f>IF($C474="","",IFERROR(LOOKUP(2,1/('03_Warehouse_Movements'!$C$2:$C$500=$A474),'03_Warehouse_Movements'!$E$2:$E$500),$C474))</f>
        <v/>
      </c>
      <c r="E474" t="s">
        <v>209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24"/>
      <c r="D475" t="str">
        <f>IF($C475="","",IFERROR(LOOKUP(2,1/('03_Warehouse_Movements'!$C$2:$C$500=$A475),'03_Warehouse_Movements'!$E$2:$E$500),$C475))</f>
        <v/>
      </c>
      <c r="E475" t="s">
        <v>209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24"/>
      <c r="D476" t="str">
        <f>IF($C476="","",IFERROR(LOOKUP(2,1/('03_Warehouse_Movements'!$C$2:$C$500=$A476),'03_Warehouse_Movements'!$E$2:$E$500),$C476))</f>
        <v/>
      </c>
      <c r="E476" t="s">
        <v>209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24"/>
      <c r="D477" t="str">
        <f>IF($C477="","",IFERROR(LOOKUP(2,1/('03_Warehouse_Movements'!$C$2:$C$500=$A477),'03_Warehouse_Movements'!$E$2:$E$500),$C477))</f>
        <v/>
      </c>
      <c r="E477" t="s">
        <v>209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24"/>
      <c r="D478" t="str">
        <f>IF($C478="","",IFERROR(LOOKUP(2,1/('03_Warehouse_Movements'!$C$2:$C$500=$A478),'03_Warehouse_Movements'!$E$2:$E$500),$C478))</f>
        <v/>
      </c>
      <c r="E478" t="s">
        <v>209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24"/>
      <c r="D479" t="str">
        <f>IF($C479="","",IFERROR(LOOKUP(2,1/('03_Warehouse_Movements'!$C$2:$C$500=$A479),'03_Warehouse_Movements'!$E$2:$E$500),$C479))</f>
        <v/>
      </c>
      <c r="E479" t="s">
        <v>209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24"/>
      <c r="D480" t="str">
        <f>IF($C480="","",IFERROR(LOOKUP(2,1/('03_Warehouse_Movements'!$C$2:$C$500=$A480),'03_Warehouse_Movements'!$E$2:$E$500),$C480))</f>
        <v/>
      </c>
      <c r="E480" t="s">
        <v>209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24"/>
      <c r="D481" t="str">
        <f>IF($C481="","",IFERROR(LOOKUP(2,1/('03_Warehouse_Movements'!$C$2:$C$500=$A481),'03_Warehouse_Movements'!$E$2:$E$500),$C481))</f>
        <v/>
      </c>
      <c r="E481" t="s">
        <v>209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24"/>
      <c r="D482" t="str">
        <f>IF($C482="","",IFERROR(LOOKUP(2,1/('03_Warehouse_Movements'!$C$2:$C$500=$A482),'03_Warehouse_Movements'!$E$2:$E$500),$C482))</f>
        <v/>
      </c>
      <c r="E482" t="s">
        <v>209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24"/>
      <c r="D483" t="str">
        <f>IF($C483="","",IFERROR(LOOKUP(2,1/('03_Warehouse_Movements'!$C$2:$C$500=$A483),'03_Warehouse_Movements'!$E$2:$E$500),$C483))</f>
        <v/>
      </c>
      <c r="E483" t="s">
        <v>209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24"/>
      <c r="D484" t="str">
        <f>IF($C484="","",IFERROR(LOOKUP(2,1/('03_Warehouse_Movements'!$C$2:$C$500=$A484),'03_Warehouse_Movements'!$E$2:$E$500),$C484))</f>
        <v/>
      </c>
      <c r="E484" t="s">
        <v>209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24"/>
      <c r="D485" t="str">
        <f>IF($C485="","",IFERROR(LOOKUP(2,1/('03_Warehouse_Movements'!$C$2:$C$500=$A485),'03_Warehouse_Movements'!$E$2:$E$500),$C485))</f>
        <v/>
      </c>
      <c r="E485" t="s">
        <v>209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24"/>
      <c r="D486" t="str">
        <f>IF($C486="","",IFERROR(LOOKUP(2,1/('03_Warehouse_Movements'!$C$2:$C$500=$A486),'03_Warehouse_Movements'!$E$2:$E$500),$C486))</f>
        <v/>
      </c>
      <c r="E486" t="s">
        <v>209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24"/>
      <c r="D487" t="str">
        <f>IF($C487="","",IFERROR(LOOKUP(2,1/('03_Warehouse_Movements'!$C$2:$C$500=$A487),'03_Warehouse_Movements'!$E$2:$E$500),$C487))</f>
        <v/>
      </c>
      <c r="E487" t="s">
        <v>209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24"/>
      <c r="D488" t="str">
        <f>IF($C488="","",IFERROR(LOOKUP(2,1/('03_Warehouse_Movements'!$C$2:$C$500=$A488),'03_Warehouse_Movements'!$E$2:$E$500),$C488))</f>
        <v/>
      </c>
      <c r="E488" t="s">
        <v>209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24"/>
      <c r="D489" t="str">
        <f>IF($C489="","",IFERROR(LOOKUP(2,1/('03_Warehouse_Movements'!$C$2:$C$500=$A489),'03_Warehouse_Movements'!$E$2:$E$500),$C489))</f>
        <v/>
      </c>
      <c r="E489" t="s">
        <v>209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24"/>
      <c r="D490" t="str">
        <f>IF($C490="","",IFERROR(LOOKUP(2,1/('03_Warehouse_Movements'!$C$2:$C$500=$A490),'03_Warehouse_Movements'!$E$2:$E$500),$C490))</f>
        <v/>
      </c>
      <c r="E490" t="s">
        <v>209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24"/>
      <c r="D491" t="str">
        <f>IF($C491="","",IFERROR(LOOKUP(2,1/('03_Warehouse_Movements'!$C$2:$C$500=$A491),'03_Warehouse_Movements'!$E$2:$E$500),$C491))</f>
        <v/>
      </c>
      <c r="E491" t="s">
        <v>209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24"/>
      <c r="D492" t="str">
        <f>IF($C492="","",IFERROR(LOOKUP(2,1/('03_Warehouse_Movements'!$C$2:$C$500=$A492),'03_Warehouse_Movements'!$E$2:$E$500),$C492))</f>
        <v/>
      </c>
      <c r="E492" t="s">
        <v>209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24"/>
      <c r="D493" t="str">
        <f>IF($C493="","",IFERROR(LOOKUP(2,1/('03_Warehouse_Movements'!$C$2:$C$500=$A493),'03_Warehouse_Movements'!$E$2:$E$500),$C493))</f>
        <v/>
      </c>
      <c r="E493" t="s">
        <v>209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24"/>
      <c r="D494" t="str">
        <f>IF($C494="","",IFERROR(LOOKUP(2,1/('03_Warehouse_Movements'!$C$2:$C$500=$A494),'03_Warehouse_Movements'!$E$2:$E$500),$C494))</f>
        <v/>
      </c>
      <c r="E494" t="s">
        <v>209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24"/>
      <c r="D495" t="str">
        <f>IF($C495="","",IFERROR(LOOKUP(2,1/('03_Warehouse_Movements'!$C$2:$C$500=$A495),'03_Warehouse_Movements'!$E$2:$E$500),$C495))</f>
        <v/>
      </c>
      <c r="E495" t="s">
        <v>209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24"/>
      <c r="D496" t="str">
        <f>IF($C496="","",IFERROR(LOOKUP(2,1/('03_Warehouse_Movements'!$C$2:$C$500=$A496),'03_Warehouse_Movements'!$E$2:$E$500),$C496))</f>
        <v/>
      </c>
      <c r="E496" t="s">
        <v>209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24"/>
      <c r="D497" t="str">
        <f>IF($C497="","",IFERROR(LOOKUP(2,1/('03_Warehouse_Movements'!$C$2:$C$500=$A497),'03_Warehouse_Movements'!$E$2:$E$500),$C497))</f>
        <v/>
      </c>
      <c r="E497" t="s">
        <v>209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24"/>
      <c r="D498" t="str">
        <f>IF($C498="","",IFERROR(LOOKUP(2,1/('03_Warehouse_Movements'!$C$2:$C$500=$A498),'03_Warehouse_Movements'!$E$2:$E$500),$C498))</f>
        <v/>
      </c>
      <c r="E498" t="s">
        <v>209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24"/>
      <c r="D499" t="str">
        <f>IF($C499="","",IFERROR(LOOKUP(2,1/('03_Warehouse_Movements'!$C$2:$C$500=$A499),'03_Warehouse_Movements'!$E$2:$E$500),$C499))</f>
        <v/>
      </c>
      <c r="E499" t="s">
        <v>209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24"/>
      <c r="D500" t="str">
        <f>IF($C500="","",IFERROR(LOOKUP(2,1/('03_Warehouse_Movements'!$C$2:$C$500=$A500),'03_Warehouse_Movements'!$E$2:$E$500),$C500))</f>
        <v/>
      </c>
      <c r="E500" t="s">
        <v>209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24"/>
      <c r="D2002" t="str">
        <f>IF($C2002="","",IFERROR(LOOKUP(2,1/('03_Warehouse_Movements'!$C$2:$C$500=$A2002),'03_Warehouse_Movements'!$E$2:$E$500),$C2002))</f>
        <v/>
      </c>
      <c r="E2002" t="s">
        <v>209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814</v>
      </c>
      <c r="B1" s="50" t="s">
        <v>815</v>
      </c>
      <c r="C1" s="50" t="s">
        <v>816</v>
      </c>
      <c r="D1" s="50" t="s">
        <v>817</v>
      </c>
      <c r="E1" s="50" t="s">
        <v>818</v>
      </c>
      <c r="F1" s="50" t="s">
        <v>819</v>
      </c>
      <c r="G1" s="50" t="s">
        <v>186</v>
      </c>
      <c r="H1" s="50" t="s">
        <v>820</v>
      </c>
      <c r="I1" s="50" t="s">
        <v>189</v>
      </c>
      <c r="J1" s="40" t="s">
        <v>821</v>
      </c>
      <c r="K1" s="40" t="s">
        <v>822</v>
      </c>
      <c r="L1" s="40" t="s">
        <v>823</v>
      </c>
      <c r="M1" s="40" t="s">
        <v>824</v>
      </c>
      <c r="N1" s="40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1053</v>
      </c>
      <c r="B1" s="50" t="s">
        <v>1054</v>
      </c>
      <c r="C1" s="50" t="s">
        <v>180</v>
      </c>
      <c r="D1" s="50" t="s">
        <v>1055</v>
      </c>
      <c r="E1" s="50" t="s">
        <v>1056</v>
      </c>
      <c r="F1" s="50" t="s">
        <v>1057</v>
      </c>
      <c r="G1" s="50" t="s">
        <v>1058</v>
      </c>
      <c r="H1" s="50" t="s">
        <v>1059</v>
      </c>
      <c r="I1" s="50" t="s">
        <v>1060</v>
      </c>
      <c r="J1" s="50" t="s">
        <v>189</v>
      </c>
    </row>
    <row r="2" spans="1:10">
      <c r="A2" s="52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27"/>
      <c r="H2" t="s">
        <v>221</v>
      </c>
      <c r="I2" t="s">
        <v>1064</v>
      </c>
      <c r="J2" t="s">
        <v>1065</v>
      </c>
    </row>
    <row r="3" spans="1:10">
      <c r="A3" s="52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27"/>
      <c r="H3" t="s">
        <v>221</v>
      </c>
      <c r="I3" t="s">
        <v>1067</v>
      </c>
      <c r="J3" t="s">
        <v>1065</v>
      </c>
    </row>
    <row r="4" spans="1:10">
      <c r="A4" s="52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27"/>
      <c r="H4" t="s">
        <v>221</v>
      </c>
      <c r="I4" t="s">
        <v>1069</v>
      </c>
      <c r="J4" t="s">
        <v>1065</v>
      </c>
    </row>
    <row r="5" spans="1:10">
      <c r="A5" s="52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27"/>
      <c r="H5" t="s">
        <v>221</v>
      </c>
      <c r="I5" t="s">
        <v>1071</v>
      </c>
      <c r="J5" t="s">
        <v>1065</v>
      </c>
    </row>
    <row r="6" spans="1:10">
      <c r="A6" s="52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27"/>
      <c r="H6" t="s">
        <v>221</v>
      </c>
      <c r="I6" t="s">
        <v>1074</v>
      </c>
      <c r="J6" t="s">
        <v>1065</v>
      </c>
    </row>
    <row r="7" spans="1:10">
      <c r="A7" s="52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27"/>
      <c r="H7" t="s">
        <v>221</v>
      </c>
      <c r="I7" t="s">
        <v>1077</v>
      </c>
      <c r="J7" t="s">
        <v>1065</v>
      </c>
    </row>
    <row r="8" spans="1:10">
      <c r="A8" s="52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27"/>
      <c r="H8" t="s">
        <v>221</v>
      </c>
      <c r="I8" t="s">
        <v>1080</v>
      </c>
      <c r="J8" t="s">
        <v>1065</v>
      </c>
    </row>
    <row r="9" spans="1:10">
      <c r="A9" s="52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27"/>
      <c r="H9" t="s">
        <v>221</v>
      </c>
      <c r="I9" t="s">
        <v>1083</v>
      </c>
      <c r="J9" t="s">
        <v>1065</v>
      </c>
    </row>
    <row r="10" spans="1:10">
      <c r="A10" s="52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27"/>
      <c r="H10" t="s">
        <v>221</v>
      </c>
      <c r="I10" t="s">
        <v>1086</v>
      </c>
      <c r="J10" t="s">
        <v>1065</v>
      </c>
    </row>
    <row r="11" spans="1:10">
      <c r="A11" s="52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27"/>
      <c r="H11" t="s">
        <v>221</v>
      </c>
      <c r="I11" t="s">
        <v>1089</v>
      </c>
      <c r="J11" t="s">
        <v>1065</v>
      </c>
    </row>
    <row r="12" spans="1:10">
      <c r="A12" s="52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27"/>
      <c r="H12" t="s">
        <v>221</v>
      </c>
      <c r="I12" t="s">
        <v>1092</v>
      </c>
      <c r="J12" t="s">
        <v>1065</v>
      </c>
    </row>
    <row r="13" spans="1:10">
      <c r="A13" s="52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27"/>
      <c r="H13" t="s">
        <v>221</v>
      </c>
      <c r="I13" t="s">
        <v>1095</v>
      </c>
      <c r="J13" t="s">
        <v>1065</v>
      </c>
    </row>
    <row r="14" spans="1:10">
      <c r="A14" s="52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27"/>
      <c r="H14" t="s">
        <v>221</v>
      </c>
      <c r="I14" t="s">
        <v>1098</v>
      </c>
      <c r="J14" t="s">
        <v>1065</v>
      </c>
    </row>
    <row r="15" spans="1:10">
      <c r="A15" s="52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27"/>
      <c r="H15" t="s">
        <v>221</v>
      </c>
      <c r="I15" t="s">
        <v>1101</v>
      </c>
      <c r="J15" t="s">
        <v>1065</v>
      </c>
    </row>
    <row r="16" spans="1:10">
      <c r="A16" s="52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27"/>
      <c r="H16" t="s">
        <v>221</v>
      </c>
      <c r="I16" t="s">
        <v>1104</v>
      </c>
      <c r="J16" t="s">
        <v>1065</v>
      </c>
    </row>
    <row r="17" spans="1:10">
      <c r="A17" s="52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27"/>
      <c r="H17" t="s">
        <v>221</v>
      </c>
      <c r="I17" t="s">
        <v>1107</v>
      </c>
      <c r="J17" t="s">
        <v>1065</v>
      </c>
    </row>
    <row r="18" spans="1:10">
      <c r="A18" s="52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27"/>
      <c r="H18" t="s">
        <v>221</v>
      </c>
      <c r="I18" t="s">
        <v>1110</v>
      </c>
      <c r="J18" t="s">
        <v>1065</v>
      </c>
    </row>
    <row r="19" spans="1:10">
      <c r="A19" s="52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27"/>
      <c r="H19" t="s">
        <v>221</v>
      </c>
      <c r="I19" t="s">
        <v>1113</v>
      </c>
      <c r="J19" t="s">
        <v>1065</v>
      </c>
    </row>
    <row r="20" spans="1:10">
      <c r="A20" s="52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27"/>
      <c r="H20" t="s">
        <v>221</v>
      </c>
      <c r="I20" t="s">
        <v>1116</v>
      </c>
      <c r="J20" t="s">
        <v>1065</v>
      </c>
    </row>
    <row r="21" spans="1:10">
      <c r="A21" s="52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27"/>
      <c r="H21" t="s">
        <v>221</v>
      </c>
      <c r="I21" t="s">
        <v>1119</v>
      </c>
      <c r="J21" t="s">
        <v>1065</v>
      </c>
    </row>
    <row r="22" spans="1:10">
      <c r="A22" s="52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27"/>
      <c r="H22" t="s">
        <v>221</v>
      </c>
      <c r="I22" t="s">
        <v>1122</v>
      </c>
      <c r="J22" t="s">
        <v>1065</v>
      </c>
    </row>
    <row r="23" spans="1:10">
      <c r="A23" s="52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27"/>
      <c r="H23" t="s">
        <v>221</v>
      </c>
      <c r="I23" t="s">
        <v>1125</v>
      </c>
      <c r="J23" t="s">
        <v>1065</v>
      </c>
    </row>
    <row r="24" spans="1:10">
      <c r="A24" s="52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27"/>
      <c r="H24" t="s">
        <v>221</v>
      </c>
      <c r="I24" t="s">
        <v>1128</v>
      </c>
      <c r="J24" t="s">
        <v>1065</v>
      </c>
    </row>
    <row r="25" spans="1:10">
      <c r="A25" s="52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27"/>
      <c r="H25" t="s">
        <v>221</v>
      </c>
      <c r="I25" t="s">
        <v>1131</v>
      </c>
      <c r="J25" t="s">
        <v>1065</v>
      </c>
    </row>
    <row r="26" spans="1:10">
      <c r="A26" s="52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27"/>
      <c r="H26" t="s">
        <v>221</v>
      </c>
      <c r="I26" t="s">
        <v>1134</v>
      </c>
      <c r="J26" t="s">
        <v>1065</v>
      </c>
    </row>
    <row r="27" spans="1:10">
      <c r="A27" s="52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27"/>
      <c r="H27" t="s">
        <v>221</v>
      </c>
      <c r="I27" t="s">
        <v>1137</v>
      </c>
      <c r="J27" t="s">
        <v>1065</v>
      </c>
    </row>
    <row r="28" spans="1:10">
      <c r="A28" s="52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27"/>
      <c r="H28" t="s">
        <v>221</v>
      </c>
      <c r="I28" t="s">
        <v>1140</v>
      </c>
      <c r="J28" t="s">
        <v>1065</v>
      </c>
    </row>
    <row r="29" spans="1:10">
      <c r="A29" s="52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27"/>
      <c r="H29" t="s">
        <v>221</v>
      </c>
      <c r="I29" t="s">
        <v>1143</v>
      </c>
      <c r="J29" t="s">
        <v>1065</v>
      </c>
    </row>
    <row r="30" spans="1:10">
      <c r="A30" s="52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27"/>
      <c r="H30" t="s">
        <v>221</v>
      </c>
      <c r="I30" t="s">
        <v>1146</v>
      </c>
      <c r="J30" t="s">
        <v>1065</v>
      </c>
    </row>
    <row r="31" spans="1:10">
      <c r="A31" s="52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27"/>
      <c r="H31" t="s">
        <v>221</v>
      </c>
      <c r="I31" t="s">
        <v>1149</v>
      </c>
      <c r="J31" t="s">
        <v>1065</v>
      </c>
    </row>
    <row r="32" spans="1:10">
      <c r="A32" s="52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27"/>
      <c r="H32" t="s">
        <v>221</v>
      </c>
      <c r="I32" t="s">
        <v>1152</v>
      </c>
      <c r="J32" t="s">
        <v>1065</v>
      </c>
    </row>
    <row r="33" spans="1:10">
      <c r="A33" s="52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27"/>
      <c r="H33" t="s">
        <v>221</v>
      </c>
      <c r="I33" t="s">
        <v>1155</v>
      </c>
      <c r="J33" t="s">
        <v>1065</v>
      </c>
    </row>
    <row r="34" spans="1:10">
      <c r="A34" s="52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27"/>
      <c r="H34" t="s">
        <v>221</v>
      </c>
      <c r="I34" t="s">
        <v>1158</v>
      </c>
      <c r="J34" t="s">
        <v>1065</v>
      </c>
    </row>
    <row r="35" spans="1:10">
      <c r="A35" s="52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27"/>
      <c r="H35" t="s">
        <v>221</v>
      </c>
      <c r="I35" t="s">
        <v>1161</v>
      </c>
      <c r="J35" t="s">
        <v>1065</v>
      </c>
    </row>
    <row r="36" spans="1:10">
      <c r="A36" s="52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27"/>
      <c r="H36" t="s">
        <v>221</v>
      </c>
      <c r="I36" t="s">
        <v>1164</v>
      </c>
      <c r="J36" t="s">
        <v>1065</v>
      </c>
    </row>
    <row r="37" spans="1:10">
      <c r="A37" s="52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27"/>
      <c r="H37" t="s">
        <v>221</v>
      </c>
      <c r="I37" t="s">
        <v>1166</v>
      </c>
      <c r="J37" t="s">
        <v>1167</v>
      </c>
    </row>
    <row r="38" spans="1:10">
      <c r="A38" s="52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27"/>
      <c r="H38" t="s">
        <v>221</v>
      </c>
      <c r="I38" t="s">
        <v>1170</v>
      </c>
      <c r="J38" t="s">
        <v>1065</v>
      </c>
    </row>
    <row r="39" spans="1:10">
      <c r="A39" s="52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27"/>
      <c r="H39" t="s">
        <v>221</v>
      </c>
      <c r="I39" t="s">
        <v>1171</v>
      </c>
      <c r="J39" t="s">
        <v>1167</v>
      </c>
    </row>
    <row r="40" spans="1:10">
      <c r="A40" s="52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27"/>
      <c r="H40" t="s">
        <v>221</v>
      </c>
      <c r="I40" t="s">
        <v>1174</v>
      </c>
      <c r="J40" t="s">
        <v>1065</v>
      </c>
    </row>
    <row r="41" spans="1:10">
      <c r="A41" s="52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27"/>
      <c r="H41" t="s">
        <v>221</v>
      </c>
      <c r="I41" t="s">
        <v>1175</v>
      </c>
      <c r="J41" t="s">
        <v>1167</v>
      </c>
    </row>
    <row r="42" spans="1:10">
      <c r="A42" s="52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27"/>
      <c r="H42" t="s">
        <v>221</v>
      </c>
      <c r="I42" t="s">
        <v>1178</v>
      </c>
      <c r="J42" t="s">
        <v>1065</v>
      </c>
    </row>
    <row r="43" spans="1:10">
      <c r="A43" s="52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27"/>
      <c r="H43" t="s">
        <v>221</v>
      </c>
      <c r="I43" t="s">
        <v>1181</v>
      </c>
      <c r="J43" t="s">
        <v>1065</v>
      </c>
    </row>
    <row r="44" spans="1:10">
      <c r="A44" s="52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27"/>
      <c r="H44" t="s">
        <v>221</v>
      </c>
      <c r="I44" t="s">
        <v>1182</v>
      </c>
      <c r="J44" t="s">
        <v>1167</v>
      </c>
    </row>
    <row r="45" spans="1:10">
      <c r="A45" s="52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27"/>
      <c r="H45" t="s">
        <v>221</v>
      </c>
      <c r="I45" t="s">
        <v>1185</v>
      </c>
      <c r="J45" t="s">
        <v>1065</v>
      </c>
    </row>
    <row r="46" spans="1:10">
      <c r="A46" s="52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27"/>
      <c r="H46" t="s">
        <v>221</v>
      </c>
      <c r="I46" t="s">
        <v>1186</v>
      </c>
      <c r="J46" t="s">
        <v>1167</v>
      </c>
    </row>
    <row r="47" spans="1:10">
      <c r="A47" s="52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27"/>
      <c r="H47" t="s">
        <v>221</v>
      </c>
      <c r="I47" t="s">
        <v>1189</v>
      </c>
      <c r="J47" t="s">
        <v>1065</v>
      </c>
    </row>
    <row r="48" spans="1:10">
      <c r="A48" s="52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27"/>
      <c r="H48" t="s">
        <v>221</v>
      </c>
      <c r="I48" t="s">
        <v>1190</v>
      </c>
      <c r="J48" t="s">
        <v>1167</v>
      </c>
    </row>
    <row r="49" spans="1:10">
      <c r="A49" s="52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27"/>
      <c r="H49" t="s">
        <v>221</v>
      </c>
      <c r="I49" t="s">
        <v>1193</v>
      </c>
      <c r="J49" t="s">
        <v>1065</v>
      </c>
    </row>
    <row r="50" spans="1:10">
      <c r="A50" s="52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27"/>
      <c r="H50" t="s">
        <v>221</v>
      </c>
      <c r="I50" t="s">
        <v>1196</v>
      </c>
      <c r="J50" t="s">
        <v>1065</v>
      </c>
    </row>
    <row r="51" spans="1:10">
      <c r="A51" s="52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27"/>
      <c r="H51" t="s">
        <v>221</v>
      </c>
      <c r="I51" t="s">
        <v>1197</v>
      </c>
      <c r="J51" t="s">
        <v>1167</v>
      </c>
    </row>
    <row r="52" spans="1:10">
      <c r="A52" s="52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27"/>
      <c r="H52" t="s">
        <v>221</v>
      </c>
      <c r="I52" t="s">
        <v>1200</v>
      </c>
      <c r="J52" t="s">
        <v>1065</v>
      </c>
    </row>
    <row r="53" spans="1:10">
      <c r="A53" s="52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27"/>
      <c r="H53" t="s">
        <v>221</v>
      </c>
      <c r="I53" t="s">
        <v>1201</v>
      </c>
      <c r="J53" t="s">
        <v>1167</v>
      </c>
    </row>
    <row r="54" spans="1:10">
      <c r="A54" s="52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27"/>
      <c r="H54" t="s">
        <v>221</v>
      </c>
      <c r="I54" t="s">
        <v>1204</v>
      </c>
      <c r="J54" t="s">
        <v>1065</v>
      </c>
    </row>
    <row r="55" spans="1:10">
      <c r="A55" s="52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27"/>
      <c r="H55" t="s">
        <v>221</v>
      </c>
      <c r="I55" t="s">
        <v>1207</v>
      </c>
      <c r="J55" t="s">
        <v>1065</v>
      </c>
    </row>
    <row r="56" spans="1:10">
      <c r="A56" s="52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27"/>
      <c r="H56" t="s">
        <v>221</v>
      </c>
      <c r="I56" t="s">
        <v>1210</v>
      </c>
      <c r="J56" t="s">
        <v>1065</v>
      </c>
    </row>
    <row r="57" spans="1:10">
      <c r="A57" s="52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27"/>
      <c r="H57" t="s">
        <v>221</v>
      </c>
      <c r="I57" t="s">
        <v>1213</v>
      </c>
      <c r="J57" t="s">
        <v>1065</v>
      </c>
    </row>
    <row r="58" spans="1:10">
      <c r="A58" s="52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27"/>
      <c r="H58" t="s">
        <v>221</v>
      </c>
      <c r="I58" t="s">
        <v>1216</v>
      </c>
      <c r="J58" t="s">
        <v>1065</v>
      </c>
    </row>
    <row r="59" spans="1:10">
      <c r="A59" s="52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27"/>
      <c r="H59" t="s">
        <v>221</v>
      </c>
      <c r="I59" t="s">
        <v>1219</v>
      </c>
      <c r="J59" t="s">
        <v>1220</v>
      </c>
    </row>
    <row r="60" spans="1:10">
      <c r="A60" s="52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27"/>
      <c r="H60" t="s">
        <v>221</v>
      </c>
      <c r="I60" t="s">
        <v>1222</v>
      </c>
      <c r="J60" t="s">
        <v>1220</v>
      </c>
    </row>
    <row r="61" spans="1:10">
      <c r="A61" s="52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27"/>
      <c r="H61" t="s">
        <v>221</v>
      </c>
      <c r="I61" t="s">
        <v>1225</v>
      </c>
      <c r="J61" t="s">
        <v>1065</v>
      </c>
    </row>
    <row r="62" spans="1:10">
      <c r="A62" s="52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27"/>
      <c r="H62" t="s">
        <v>221</v>
      </c>
      <c r="I62" t="s">
        <v>1228</v>
      </c>
      <c r="J62" t="s">
        <v>1065</v>
      </c>
    </row>
    <row r="63" spans="1:10">
      <c r="A63" s="52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27"/>
      <c r="H63" t="s">
        <v>221</v>
      </c>
      <c r="I63" t="s">
        <v>1231</v>
      </c>
      <c r="J63" t="s">
        <v>1065</v>
      </c>
    </row>
    <row r="64" spans="1:10">
      <c r="A64" s="52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27"/>
      <c r="H64" t="s">
        <v>221</v>
      </c>
      <c r="I64" t="s">
        <v>1234</v>
      </c>
      <c r="J64" t="s">
        <v>1065</v>
      </c>
    </row>
    <row r="65" spans="1:10">
      <c r="A65" s="52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27"/>
      <c r="H65" t="s">
        <v>221</v>
      </c>
      <c r="I65" t="s">
        <v>1237</v>
      </c>
      <c r="J65" t="s">
        <v>1065</v>
      </c>
    </row>
    <row r="66" spans="1:10">
      <c r="A66" s="52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27"/>
      <c r="H66" t="s">
        <v>221</v>
      </c>
      <c r="I66" t="s">
        <v>1240</v>
      </c>
      <c r="J66" t="s">
        <v>1065</v>
      </c>
    </row>
    <row r="67" spans="1:10">
      <c r="A67" s="52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27"/>
      <c r="H67" t="s">
        <v>221</v>
      </c>
      <c r="I67" t="s">
        <v>1243</v>
      </c>
      <c r="J67" t="s">
        <v>1065</v>
      </c>
    </row>
    <row r="68" spans="1:10">
      <c r="A68" s="52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27"/>
      <c r="H68" t="s">
        <v>221</v>
      </c>
      <c r="I68" t="s">
        <v>1246</v>
      </c>
      <c r="J68" t="s">
        <v>1065</v>
      </c>
    </row>
    <row r="69" spans="1:10">
      <c r="A69" s="52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27"/>
      <c r="H69" t="s">
        <v>221</v>
      </c>
      <c r="I69" t="s">
        <v>1249</v>
      </c>
      <c r="J69" t="s">
        <v>1065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1250</v>
      </c>
      <c r="B1" s="50" t="s">
        <v>1251</v>
      </c>
      <c r="C1" s="50" t="s">
        <v>1252</v>
      </c>
      <c r="D1" s="50" t="s">
        <v>189</v>
      </c>
    </row>
    <row r="2" spans="1:4">
      <c r="A2" s="29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29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1259</v>
      </c>
    </row>
    <row r="3" spans="1:4">
      <c r="A3" s="31" t="s">
        <v>1260</v>
      </c>
      <c r="B3" s="4"/>
      <c r="D3" s="32" t="s">
        <v>1261</v>
      </c>
    </row>
    <row r="4" spans="1:4">
      <c r="A4" s="5"/>
      <c r="B4" s="5"/>
    </row>
    <row r="5" spans="1:4">
      <c r="A5" s="33" t="s">
        <v>181</v>
      </c>
      <c r="B5" s="34" t="str">
        <f>IFERROR(INDEX('01_Warehouse_Ledger'!$B$2:$B$2002,MATCH($B$3,'01_Warehouse_Ledger'!$A$2:$A$2002,0)),"")</f>
        <v/>
      </c>
    </row>
    <row r="6" spans="1:4">
      <c r="A6" s="33" t="s">
        <v>1262</v>
      </c>
      <c r="B6" s="34" t="str">
        <f>IFERROR(INDEX('01_Warehouse_Ledger'!$D$2:$D$2002,MATCH($B$3,'01_Warehouse_Ledger'!$A$2:$A$2002,0)),"")</f>
        <v/>
      </c>
    </row>
    <row r="7" spans="1:4">
      <c r="A7" s="33" t="s">
        <v>1263</v>
      </c>
      <c r="B7" s="34" t="str">
        <f>IFERROR(INDEX('02_Warehouse_Locations'!$J$2:$J$501,MATCH($B$6,'02_Warehouse_Locations'!$A$2:$A$501,0)),"")</f>
        <v/>
      </c>
    </row>
    <row r="8" spans="1:4">
      <c r="A8" s="33" t="s">
        <v>815</v>
      </c>
      <c r="B8" s="34" t="str">
        <f>IFERROR(INDEX('02_Warehouse_Locations'!$B$2:$B$501,MATCH($B$6,'02_Warehouse_Locations'!$A$2:$A$501,0)),"")</f>
        <v/>
      </c>
    </row>
    <row r="9" spans="1:4">
      <c r="A9" s="33" t="s">
        <v>816</v>
      </c>
      <c r="B9" s="34" t="str">
        <f>IFERROR(INDEX('02_Warehouse_Locations'!$C$2:$C$501,MATCH($B$6,'02_Warehouse_Locations'!$A$2:$A$501,0)),"")</f>
        <v/>
      </c>
    </row>
    <row r="10" spans="1:4">
      <c r="A10" s="33" t="s">
        <v>1264</v>
      </c>
      <c r="B10" s="34" t="str">
        <f>IFERROR(INDEX('02_Warehouse_Locations'!$D$2:$D$501,MATCH($B$6,'02_Warehouse_Locations'!$A$2:$A$501,0)),"")</f>
        <v/>
      </c>
    </row>
    <row r="11" spans="1:4">
      <c r="A11" s="33" t="s">
        <v>818</v>
      </c>
      <c r="B11" s="34" t="str">
        <f>IFERROR(INDEX('02_Warehouse_Locations'!$E$2:$E$501,MATCH($B$6,'02_Warehouse_Locations'!$A$2:$A$501,0)),"")</f>
        <v/>
      </c>
    </row>
    <row r="12" spans="1:4">
      <c r="A12" s="33" t="s">
        <v>1265</v>
      </c>
      <c r="B12" s="34" t="str">
        <f>IFERROR(INDEX('02_Warehouse_Locations'!$N$2:$N$501,MATCH($B$6,'02_Warehouse_Locations'!$A$2:$A$501,0)),"")</f>
        <v/>
      </c>
    </row>
    <row r="13" spans="1:4">
      <c r="A13" s="33" t="s">
        <v>826</v>
      </c>
      <c r="B13" s="34" t="str">
        <f>IFERROR(INDEX('02_Warehouse_Locations'!$O$2:$O$501,MATCH($B$6,'02_Warehouse_Locations'!$A$2:$A$501,0)),"")</f>
        <v/>
      </c>
    </row>
    <row r="14" spans="1:4">
      <c r="A14" s="33" t="s">
        <v>827</v>
      </c>
      <c r="B14" s="34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1266</v>
      </c>
    </row>
    <row r="2" spans="1:21">
      <c r="A2" s="36" t="s">
        <v>1267</v>
      </c>
      <c r="B2" s="37" t="str">
        <f>IFERROR('05_Scan_Lookup'!$B$13,"")</f>
        <v/>
      </c>
    </row>
    <row r="3" spans="1:21">
      <c r="A3" s="36" t="s">
        <v>1268</v>
      </c>
      <c r="B3" s="37" t="str">
        <f>IFERROR('05_Scan_Lookup'!$B$14,"")</f>
        <v/>
      </c>
    </row>
    <row r="4" spans="1:21">
      <c r="A4" s="36" t="s">
        <v>1269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1270</v>
      </c>
      <c r="B5" s="37" t="s">
        <v>1271</v>
      </c>
    </row>
    <row r="6" spans="1:21" ht="20.100000000000001" customHeight="1">
      <c r="A6" s="40" t="s">
        <v>1272</v>
      </c>
      <c r="B6" s="40" t="s">
        <v>845</v>
      </c>
      <c r="C6" s="40" t="s">
        <v>257</v>
      </c>
      <c r="D6" s="40" t="s">
        <v>896</v>
      </c>
      <c r="E6" s="40" t="s">
        <v>921</v>
      </c>
      <c r="F6" s="40" t="s">
        <v>962</v>
      </c>
      <c r="G6" s="40" t="s">
        <v>1003</v>
      </c>
      <c r="H6" s="40" t="s">
        <v>1273</v>
      </c>
      <c r="I6" s="40" t="s">
        <v>1274</v>
      </c>
      <c r="J6" s="40" t="s">
        <v>1275</v>
      </c>
      <c r="K6" s="40" t="s">
        <v>1276</v>
      </c>
      <c r="L6" s="40" t="s">
        <v>1277</v>
      </c>
      <c r="M6" s="40" t="s">
        <v>841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1278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1279</v>
      </c>
    </row>
    <row r="39" spans="1:21">
      <c r="A39" s="32" t="s">
        <v>1280</v>
      </c>
    </row>
    <row r="40" spans="1:21">
      <c r="A40" s="32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180</v>
      </c>
      <c r="B1" s="50" t="s">
        <v>1281</v>
      </c>
      <c r="C1" s="50" t="s">
        <v>1282</v>
      </c>
      <c r="D1" s="50" t="s">
        <v>1058</v>
      </c>
      <c r="E1" s="50" t="s">
        <v>1283</v>
      </c>
      <c r="F1" s="50" t="s">
        <v>1284</v>
      </c>
      <c r="G1" s="50" t="s">
        <v>1285</v>
      </c>
      <c r="H1" s="50" t="s">
        <v>189</v>
      </c>
      <c r="I1" s="50" t="s">
        <v>1286</v>
      </c>
      <c r="J1" s="50" t="s">
        <v>1287</v>
      </c>
      <c r="L1" s="50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1289</v>
      </c>
      <c r="B1" s="15" t="s">
        <v>1290</v>
      </c>
      <c r="C1" s="15" t="s">
        <v>1291</v>
      </c>
      <c r="D1" s="15" t="s">
        <v>1292</v>
      </c>
      <c r="E1" s="15" t="s">
        <v>1293</v>
      </c>
      <c r="F1" s="15" t="s">
        <v>1294</v>
      </c>
      <c r="G1" s="15" t="s">
        <v>1295</v>
      </c>
      <c r="H1" s="15" t="s">
        <v>189</v>
      </c>
    </row>
    <row r="2" spans="1:8" ht="20.25" customHeight="1">
      <c r="B2" t="s">
        <v>1296</v>
      </c>
      <c r="C2" t="s">
        <v>1297</v>
      </c>
      <c r="D2" s="14">
        <v>56</v>
      </c>
      <c r="E2" s="14" t="s">
        <v>1298</v>
      </c>
      <c r="F2" s="14" t="s">
        <v>1299</v>
      </c>
      <c r="G2" s="14" t="s">
        <v>1300</v>
      </c>
    </row>
    <row r="3" spans="1:8" ht="20.25" customHeight="1">
      <c r="B3" t="s">
        <v>1296</v>
      </c>
      <c r="C3" t="s">
        <v>1301</v>
      </c>
      <c r="D3" s="14">
        <v>35</v>
      </c>
      <c r="E3" s="14" t="s">
        <v>1298</v>
      </c>
      <c r="F3" s="14" t="s">
        <v>1299</v>
      </c>
      <c r="G3" s="14" t="s">
        <v>1300</v>
      </c>
    </row>
    <row r="4" spans="1:8" s="45" customFormat="1" ht="20.25" customHeight="1">
      <c r="B4" s="45" t="s">
        <v>1296</v>
      </c>
      <c r="C4" s="45" t="s">
        <v>1302</v>
      </c>
      <c r="D4" s="46">
        <v>28</v>
      </c>
      <c r="E4" s="46" t="s">
        <v>1298</v>
      </c>
      <c r="F4" s="46" t="s">
        <v>1299</v>
      </c>
      <c r="G4" s="46" t="s">
        <v>1300</v>
      </c>
    </row>
    <row r="5" spans="1:8" s="45" customFormat="1" ht="20.25" customHeight="1">
      <c r="B5" s="45" t="s">
        <v>1296</v>
      </c>
      <c r="C5" s="45" t="s">
        <v>1303</v>
      </c>
      <c r="D5" s="46">
        <v>52</v>
      </c>
      <c r="E5" s="46" t="s">
        <v>1298</v>
      </c>
      <c r="F5" s="46" t="s">
        <v>1299</v>
      </c>
      <c r="G5" s="46" t="s">
        <v>1300</v>
      </c>
    </row>
    <row r="6" spans="1:8" s="45" customFormat="1" ht="20.25" customHeight="1">
      <c r="B6" s="45" t="s">
        <v>1296</v>
      </c>
      <c r="C6" s="45" t="s">
        <v>1304</v>
      </c>
      <c r="D6" s="46">
        <v>50</v>
      </c>
      <c r="E6" s="46" t="s">
        <v>1298</v>
      </c>
      <c r="F6" s="46" t="s">
        <v>1299</v>
      </c>
      <c r="G6" s="46" t="s">
        <v>1300</v>
      </c>
    </row>
    <row r="7" spans="1:8" ht="20.25" customHeight="1">
      <c r="B7" t="s">
        <v>1296</v>
      </c>
      <c r="C7" t="s">
        <v>1305</v>
      </c>
      <c r="D7" s="14">
        <v>29</v>
      </c>
      <c r="E7" s="14" t="s">
        <v>1298</v>
      </c>
      <c r="F7" s="14" t="s">
        <v>1299</v>
      </c>
      <c r="G7" s="14" t="s">
        <v>1300</v>
      </c>
    </row>
    <row r="8" spans="1:8" s="45" customFormat="1" ht="20.25" customHeight="1">
      <c r="B8" s="45" t="s">
        <v>1296</v>
      </c>
      <c r="C8" s="45" t="s">
        <v>1306</v>
      </c>
      <c r="D8" s="46">
        <v>13</v>
      </c>
      <c r="E8" s="46" t="s">
        <v>1298</v>
      </c>
      <c r="F8" s="46" t="s">
        <v>1299</v>
      </c>
      <c r="G8" s="46" t="s">
        <v>1300</v>
      </c>
    </row>
    <row r="9" spans="1:8" s="47" customFormat="1" ht="20.25" customHeight="1">
      <c r="B9" s="47" t="s">
        <v>1296</v>
      </c>
      <c r="C9" s="47" t="s">
        <v>1307</v>
      </c>
      <c r="D9" s="48">
        <v>4</v>
      </c>
      <c r="E9" s="48" t="s">
        <v>1298</v>
      </c>
      <c r="F9" s="48" t="s">
        <v>1299</v>
      </c>
      <c r="G9" s="48" t="s">
        <v>1300</v>
      </c>
    </row>
    <row r="10" spans="1:8" ht="20.25" customHeight="1">
      <c r="B10" t="s">
        <v>1296</v>
      </c>
      <c r="C10" t="s">
        <v>1308</v>
      </c>
      <c r="D10" s="14">
        <v>2</v>
      </c>
      <c r="E10" s="14" t="s">
        <v>1298</v>
      </c>
      <c r="F10" s="14" t="s">
        <v>1299</v>
      </c>
      <c r="G10" s="14" t="s">
        <v>1300</v>
      </c>
    </row>
    <row r="11" spans="1:8" s="45" customFormat="1" ht="20.25" customHeight="1">
      <c r="B11" s="45" t="s">
        <v>1296</v>
      </c>
      <c r="C11" s="45" t="s">
        <v>1309</v>
      </c>
      <c r="D11" s="46">
        <v>2</v>
      </c>
      <c r="E11" s="46" t="s">
        <v>1298</v>
      </c>
      <c r="F11" s="46" t="s">
        <v>1299</v>
      </c>
      <c r="G11" s="46" t="s">
        <v>1300</v>
      </c>
    </row>
    <row r="12" spans="1:8" ht="20.25" customHeight="1">
      <c r="B12" t="s">
        <v>1296</v>
      </c>
      <c r="C12" t="s">
        <v>1310</v>
      </c>
      <c r="D12" s="14">
        <v>117</v>
      </c>
      <c r="E12" s="14" t="s">
        <v>1298</v>
      </c>
      <c r="F12" s="14" t="s">
        <v>1299</v>
      </c>
      <c r="G12" s="14" t="s">
        <v>1300</v>
      </c>
    </row>
    <row r="13" spans="1:8" s="45" customFormat="1" ht="20.25" customHeight="1">
      <c r="B13" s="45" t="s">
        <v>1296</v>
      </c>
      <c r="C13" s="45" t="s">
        <v>1311</v>
      </c>
      <c r="D13" s="46">
        <v>73</v>
      </c>
      <c r="E13" s="46" t="s">
        <v>1298</v>
      </c>
      <c r="F13" s="46" t="s">
        <v>1299</v>
      </c>
      <c r="G13" s="46" t="s">
        <v>1300</v>
      </c>
    </row>
    <row r="14" spans="1:8" ht="20.25" customHeight="1">
      <c r="B14" t="s">
        <v>1296</v>
      </c>
      <c r="C14" t="s">
        <v>1312</v>
      </c>
      <c r="D14" s="14">
        <v>35</v>
      </c>
      <c r="E14" s="14" t="s">
        <v>1298</v>
      </c>
      <c r="F14" s="14" t="s">
        <v>1299</v>
      </c>
      <c r="G14" s="14" t="s">
        <v>1300</v>
      </c>
    </row>
    <row r="15" spans="1:8" ht="20.25" customHeight="1">
      <c r="B15" t="s">
        <v>1296</v>
      </c>
      <c r="C15" t="s">
        <v>1313</v>
      </c>
      <c r="D15" s="14">
        <v>16</v>
      </c>
      <c r="E15" s="14" t="s">
        <v>1298</v>
      </c>
      <c r="F15" s="14" t="s">
        <v>1299</v>
      </c>
      <c r="G15" s="14" t="s">
        <v>1300</v>
      </c>
    </row>
    <row r="16" spans="1:8" ht="20.25" customHeight="1">
      <c r="B16" t="s">
        <v>1296</v>
      </c>
      <c r="C16" t="s">
        <v>1314</v>
      </c>
      <c r="D16" s="14">
        <v>122</v>
      </c>
      <c r="E16" s="14" t="s">
        <v>1298</v>
      </c>
      <c r="F16" s="14" t="s">
        <v>1315</v>
      </c>
      <c r="G16" s="14" t="s">
        <v>1315</v>
      </c>
    </row>
    <row r="17" spans="2:8" ht="20.25" customHeight="1">
      <c r="B17" t="s">
        <v>1296</v>
      </c>
      <c r="C17" t="s">
        <v>1316</v>
      </c>
      <c r="D17" s="14">
        <v>26</v>
      </c>
      <c r="E17" s="14" t="s">
        <v>1317</v>
      </c>
      <c r="F17" s="14" t="s">
        <v>1318</v>
      </c>
      <c r="G17" s="14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4">
        <v>55</v>
      </c>
      <c r="E18" s="14" t="s">
        <v>1317</v>
      </c>
      <c r="F18" s="14" t="s">
        <v>1318</v>
      </c>
      <c r="G18" s="14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4">
        <v>98</v>
      </c>
      <c r="E19" s="14" t="s">
        <v>1317</v>
      </c>
      <c r="F19" s="14" t="s">
        <v>1318</v>
      </c>
      <c r="G19" s="14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4">
        <v>45</v>
      </c>
      <c r="E20" s="14" t="s">
        <v>1317</v>
      </c>
      <c r="F20" s="14" t="s">
        <v>1318</v>
      </c>
      <c r="G20" s="14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4">
        <v>53</v>
      </c>
      <c r="E21" s="14" t="s">
        <v>1317</v>
      </c>
      <c r="F21" s="14" t="s">
        <v>1318</v>
      </c>
      <c r="G21" s="14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4">
        <v>25</v>
      </c>
      <c r="E22" s="14" t="s">
        <v>1317</v>
      </c>
      <c r="F22" s="14" t="s">
        <v>1318</v>
      </c>
      <c r="G22" s="14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4">
        <v>25</v>
      </c>
      <c r="E23" s="14" t="s">
        <v>1317</v>
      </c>
      <c r="F23" s="14" t="s">
        <v>1318</v>
      </c>
      <c r="G23" s="14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4">
        <v>45</v>
      </c>
      <c r="E24" s="14" t="s">
        <v>1317</v>
      </c>
      <c r="F24" s="14" t="s">
        <v>1318</v>
      </c>
      <c r="G24" s="14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4">
        <v>28</v>
      </c>
      <c r="E25" s="14" t="s">
        <v>1317</v>
      </c>
      <c r="F25" s="14" t="s">
        <v>1318</v>
      </c>
      <c r="G25" s="14" t="s">
        <v>1319</v>
      </c>
    </row>
    <row r="26" spans="2:8" ht="20.25" customHeight="1">
      <c r="B26" t="s">
        <v>1336</v>
      </c>
      <c r="C26" t="s">
        <v>1337</v>
      </c>
      <c r="D26" s="14">
        <v>25</v>
      </c>
      <c r="E26" s="14" t="s">
        <v>1298</v>
      </c>
      <c r="F26" s="14" t="s">
        <v>1299</v>
      </c>
      <c r="G26" s="14" t="s">
        <v>1338</v>
      </c>
    </row>
    <row r="27" spans="2:8" ht="20.25" customHeight="1">
      <c r="B27" t="s">
        <v>1321</v>
      </c>
      <c r="C27" t="s">
        <v>1339</v>
      </c>
      <c r="D27" s="14">
        <v>25</v>
      </c>
      <c r="E27" s="14" t="s">
        <v>1298</v>
      </c>
      <c r="F27" s="14" t="s">
        <v>1299</v>
      </c>
      <c r="G27" s="14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4">
        <v>4</v>
      </c>
      <c r="E28" s="14" t="s">
        <v>1298</v>
      </c>
      <c r="F28" s="14" t="s">
        <v>1299</v>
      </c>
      <c r="G28" s="14" t="s">
        <v>1319</v>
      </c>
    </row>
    <row r="29" spans="2:8" ht="20.25" customHeight="1">
      <c r="B29" t="s">
        <v>1334</v>
      </c>
      <c r="C29" s="16" t="s">
        <v>1342</v>
      </c>
      <c r="D29" s="14">
        <v>0</v>
      </c>
      <c r="E29" s="14" t="s">
        <v>1343</v>
      </c>
    </row>
    <row r="30" spans="2:8" ht="20.25" customHeight="1">
      <c r="C30" t="s">
        <v>1344</v>
      </c>
      <c r="D30" s="14">
        <v>1</v>
      </c>
    </row>
    <row r="31" spans="2:8" s="45" customFormat="1" ht="20.25" customHeight="1">
      <c r="B31" s="45" t="s">
        <v>1330</v>
      </c>
      <c r="C31" s="45" t="s">
        <v>1345</v>
      </c>
      <c r="D31" s="46">
        <v>69</v>
      </c>
      <c r="E31" s="46" t="s">
        <v>1298</v>
      </c>
      <c r="F31" s="46" t="s">
        <v>1346</v>
      </c>
      <c r="G31" s="46" t="s">
        <v>1347</v>
      </c>
      <c r="H31" s="45" t="s">
        <v>1348</v>
      </c>
    </row>
    <row r="32" spans="2:8" s="45" customFormat="1" ht="20.25" customHeight="1">
      <c r="B32" s="45" t="s">
        <v>1328</v>
      </c>
      <c r="C32" s="45" t="s">
        <v>1349</v>
      </c>
      <c r="D32" s="46">
        <v>60</v>
      </c>
      <c r="E32" s="46" t="s">
        <v>1298</v>
      </c>
      <c r="F32" s="46" t="s">
        <v>1346</v>
      </c>
      <c r="G32" s="46" t="s">
        <v>1347</v>
      </c>
      <c r="H32" s="45" t="s">
        <v>1348</v>
      </c>
    </row>
    <row r="33" spans="2:8" ht="20.25" customHeight="1">
      <c r="B33" t="s">
        <v>1321</v>
      </c>
      <c r="C33" s="45" t="s">
        <v>1350</v>
      </c>
      <c r="D33" s="14">
        <v>211</v>
      </c>
      <c r="E33" s="14" t="s">
        <v>1298</v>
      </c>
      <c r="F33" s="14" t="s">
        <v>1351</v>
      </c>
      <c r="G33" s="14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/>
  </sheetViews>
  <sheetFormatPr defaultRowHeight="15"/>
  <sheetData>
    <row r="1">
      <c r="A1" t="s">
        <v>1</v>
      </c>
      <c r="B1" t="s">
        <v>2</v>
      </c>
      <c r="C1" t="s">
        <v>3</v>
      </c>
      <c r="D1" t="s">
        <v>1757</v>
      </c>
      <c r="E1" t="s">
        <v>2210</v>
      </c>
      <c r="F1" t="s">
        <v>2074</v>
      </c>
      <c r="G1" t="s">
        <v>1873</v>
      </c>
      <c r="H1" t="s">
        <v>1392</v>
      </c>
      <c r="I1" t="s">
        <v>1400</v>
      </c>
      <c r="J1" t="s">
        <v>1402</v>
      </c>
      <c r="K1" t="s">
        <v>1403</v>
      </c>
      <c r="L1" t="s">
        <v>1404</v>
      </c>
      <c r="M1" t="s">
        <v>2111</v>
      </c>
      <c r="N1" t="s">
        <v>2068</v>
      </c>
      <c r="O1" t="s">
        <v>1708</v>
      </c>
      <c r="P1" t="s">
        <v>1413</v>
      </c>
      <c r="Q1" t="s">
        <v>1414</v>
      </c>
      <c r="R1" t="s">
        <v>4</v>
      </c>
      <c r="S1" t="s">
        <v>5</v>
      </c>
      <c r="T1" t="s">
        <v>1417</v>
      </c>
      <c r="U1" t="s">
        <v>1650</v>
      </c>
      <c r="V1" t="s">
        <v>2379</v>
      </c>
      <c r="W1" t="s">
        <v>1893</v>
      </c>
      <c r="X1" t="s">
        <v>1960</v>
      </c>
      <c r="Y1" t="s">
        <v>2396</v>
      </c>
      <c r="Z1" t="s">
        <v>1909</v>
      </c>
      <c r="AA1" t="s">
        <v>2335</v>
      </c>
      <c r="AB1" t="s">
        <v>1891</v>
      </c>
      <c r="AC1" t="s">
        <v>1806</v>
      </c>
      <c r="AD1" t="s">
        <v>2329</v>
      </c>
      <c r="AE1" t="s">
        <v>1458</v>
      </c>
      <c r="AF1" t="s">
        <v>1393</v>
      </c>
      <c r="AG1" t="s">
        <v>1394</v>
      </c>
      <c r="AH1" t="s">
        <v>1395</v>
      </c>
      <c r="AI1" t="s">
        <v>1396</v>
      </c>
      <c r="AJ1" t="s">
        <v>1397</v>
      </c>
      <c r="AK1" t="s">
        <v>2195</v>
      </c>
      <c r="AL1" t="s">
        <v>2203</v>
      </c>
      <c r="AM1" t="s">
        <v>1841</v>
      </c>
      <c r="AN1" t="s">
        <v>1941</v>
      </c>
      <c r="AO1" t="s">
        <v>2390</v>
      </c>
      <c r="AP1" t="s">
        <v>2272</v>
      </c>
      <c r="AQ1" t="s">
        <v>1745</v>
      </c>
      <c r="AR1" t="s">
        <v>1705</v>
      </c>
      <c r="AS1" t="s">
        <v>2058</v>
      </c>
      <c r="AT1" t="s">
        <v>1647</v>
      </c>
      <c r="AU1" t="s">
        <v>1993</v>
      </c>
      <c r="AV1" t="s">
        <v>2371</v>
      </c>
      <c r="AW1" t="s">
        <v>2032</v>
      </c>
      <c r="AX1" t="s">
        <v>1409</v>
      </c>
      <c r="AY1" t="s">
        <v>1407</v>
      </c>
      <c r="AZ1" t="s">
        <v>1406</v>
      </c>
      <c r="BA1" t="s">
        <v>2313</v>
      </c>
      <c r="BB1" t="s">
        <v>1410</v>
      </c>
      <c r="BC1" t="s">
        <v>189</v>
      </c>
      <c r="BD1" t="s">
        <v>1411</v>
      </c>
      <c r="BE1" t="s">
        <v>1889</v>
      </c>
      <c r="BF1" t="s">
        <v>2151</v>
      </c>
      <c r="BG1" t="s">
        <v>2283</v>
      </c>
      <c r="BH1" t="s">
        <v>1420</v>
      </c>
      <c r="BI1" t="s">
        <v>6</v>
      </c>
      <c r="BJ1" t="s">
        <v>1788</v>
      </c>
      <c r="BK1" t="s">
        <v>1720</v>
      </c>
      <c r="BL1" t="s">
        <v>1412</v>
      </c>
      <c r="BM1" t="s">
        <v>1421</v>
      </c>
      <c r="BN1" t="s">
        <v>1361</v>
      </c>
      <c r="BO1" t="s">
        <v>2365</v>
      </c>
      <c r="BP1" t="s">
        <v>2226</v>
      </c>
      <c r="BQ1" t="s">
        <v>1858</v>
      </c>
      <c r="BR1" t="s">
        <v>1616</v>
      </c>
      <c r="BS1" t="s">
        <v>1785</v>
      </c>
      <c r="BT1" t="s">
        <v>2274</v>
      </c>
      <c r="BU1" t="s">
        <v>2331</v>
      </c>
      <c r="BV1" t="s">
        <v>1673</v>
      </c>
      <c r="BW1" t="s">
        <v>2269</v>
      </c>
      <c r="BX1" t="s">
        <v>1615</v>
      </c>
      <c r="BY1" t="s">
        <v>1932</v>
      </c>
      <c r="BZ1" t="s">
        <v>1984</v>
      </c>
      <c r="CA1" t="s">
        <v>1681</v>
      </c>
      <c r="CB1" t="s">
        <v>2320</v>
      </c>
      <c r="CC1" t="s">
        <v>2141</v>
      </c>
    </row>
    <row r="2">
      <c r="A2" t="s">
        <v>1331</v>
      </c>
      <c r="B2" t="s">
        <v>1727</v>
      </c>
      <c r="C2" t="s">
        <v>1727</v>
      </c>
      <c r="D2">
        <f>IF($B2&lt;&gt;"Yes","",IF($C2="No","Yes",IF($C2="Yes","No","")))</f>
      </c>
      <c r="E2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</c>
      <c r="F2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</c>
      <c r="G2" t="s">
        <v>2089</v>
      </c>
      <c r="H2" t="s">
        <v>2089</v>
      </c>
      <c r="J2" t="s">
        <v>2115</v>
      </c>
      <c r="K2" t="s">
        <v>2115</v>
      </c>
      <c r="L2" t="s">
        <v>2115</v>
      </c>
      <c r="S2" t="s">
        <v>2222</v>
      </c>
      <c r="T2" t="s">
        <v>2218</v>
      </c>
      <c r="U2" t="s">
        <v>1777</v>
      </c>
      <c r="V2" t="s">
        <v>1727</v>
      </c>
      <c r="W2" t="s">
        <v>2109</v>
      </c>
      <c r="X2" t="s">
        <v>1707</v>
      </c>
      <c r="Y2" t="s">
        <v>1380</v>
      </c>
      <c r="AA2" t="s">
        <v>1867</v>
      </c>
      <c r="AC2" t="s">
        <v>1690</v>
      </c>
      <c r="AD2" t="s">
        <v>1380</v>
      </c>
      <c r="AF2" t="s">
        <v>2257</v>
      </c>
      <c r="AG2" t="s">
        <v>1999</v>
      </c>
      <c r="AH2">
        <v>1</v>
      </c>
      <c r="AI2" t="s">
        <v>1898</v>
      </c>
      <c r="AJ2" t="s">
        <v>2131</v>
      </c>
      <c r="AK2" t="s">
        <v>2361</v>
      </c>
      <c r="AL2" t="s">
        <v>1690</v>
      </c>
      <c r="AM2" t="s">
        <v>1335</v>
      </c>
      <c r="AR2" t="s">
        <v>1380</v>
      </c>
      <c r="AS2" t="s">
        <v>1991</v>
      </c>
      <c r="AT2" t="s">
        <v>1380</v>
      </c>
      <c r="AU2" t="s">
        <v>1380</v>
      </c>
      <c r="AV2" t="s">
        <v>1380</v>
      </c>
      <c r="AW2" t="s">
        <v>1727</v>
      </c>
      <c r="AX2" t="s">
        <v>1727</v>
      </c>
      <c r="BA2">
        <v>46027.0</v>
      </c>
      <c r="BB2" t="s">
        <v>1727</v>
      </c>
      <c r="BD2" t="s">
        <v>2151</v>
      </c>
      <c r="BE2" t="s">
        <v>1727</v>
      </c>
      <c r="BF2" t="s">
        <v>1727</v>
      </c>
      <c r="BG2" t="s">
        <v>1727</v>
      </c>
      <c r="BH2" t="s">
        <v>1727</v>
      </c>
      <c r="BI2" t="s">
        <v>1630</v>
      </c>
      <c r="BJ2" t="s">
        <v>1727</v>
      </c>
      <c r="BK2" t="s">
        <v>1657</v>
      </c>
      <c r="BL2">
        <f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</c>
      <c r="BM2">
        <f>IF($T2="","",IF($BL2="","Yes","Blocked"))</f>
      </c>
      <c r="BP2">
        <f>IF($BO2="","",IFERROR(VLOOKUP($BO2,'01_Warehouse_Ledger'!$A:$N,4,FALSE),""))</f>
      </c>
      <c r="BQ2">
        <f>IF($BO2="","",IFERROR(VLOOKUP($BO2,'01_Warehouse_Ledger'!$A:$N,5,FALSE),""))</f>
      </c>
      <c r="BR2">
        <f>IF($BO2="","",IFERROR(VLOOKUP($BO2,'01_Warehouse_Ledger'!$A:$N,13,FALSE),""))</f>
      </c>
    </row>
    <row r="3">
      <c r="A3" t="s">
        <v>1331</v>
      </c>
      <c r="B3" t="s">
        <v>1727</v>
      </c>
      <c r="C3" t="s">
        <v>1727</v>
      </c>
      <c r="D3">
        <f>IF($B3&lt;&gt;"Yes","",IF($C3="No","Yes",IF($C3="Yes","No","")))</f>
      </c>
      <c r="E3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</c>
      <c r="F3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</c>
      <c r="G3" t="s">
        <v>2089</v>
      </c>
      <c r="H3" t="s">
        <v>2089</v>
      </c>
      <c r="J3" t="s">
        <v>2115</v>
      </c>
      <c r="K3" t="s">
        <v>2115</v>
      </c>
      <c r="L3" t="s">
        <v>2115</v>
      </c>
      <c r="S3" t="s">
        <v>2075</v>
      </c>
      <c r="T3" t="s">
        <v>1847</v>
      </c>
      <c r="U3" t="s">
        <v>2182</v>
      </c>
      <c r="V3" t="s">
        <v>1727</v>
      </c>
      <c r="W3" t="s">
        <v>1732</v>
      </c>
      <c r="X3" t="s">
        <v>1707</v>
      </c>
      <c r="Y3" t="s">
        <v>1380</v>
      </c>
      <c r="AA3" t="s">
        <v>1867</v>
      </c>
      <c r="AC3" t="s">
        <v>2402</v>
      </c>
      <c r="AD3" t="s">
        <v>1380</v>
      </c>
      <c r="AF3" t="s">
        <v>2257</v>
      </c>
      <c r="AG3" t="s">
        <v>1999</v>
      </c>
      <c r="AH3">
        <v>2</v>
      </c>
      <c r="AI3" t="s">
        <v>1734</v>
      </c>
      <c r="AJ3" t="s">
        <v>2131</v>
      </c>
      <c r="AK3" t="s">
        <v>2361</v>
      </c>
      <c r="AL3" t="s">
        <v>2402</v>
      </c>
      <c r="AM3" t="s">
        <v>1335</v>
      </c>
      <c r="AR3" t="s">
        <v>1380</v>
      </c>
      <c r="AS3" t="s">
        <v>1991</v>
      </c>
      <c r="AT3" t="s">
        <v>1380</v>
      </c>
      <c r="AU3" t="s">
        <v>1380</v>
      </c>
      <c r="AV3" t="s">
        <v>1380</v>
      </c>
      <c r="AW3" t="s">
        <v>1727</v>
      </c>
      <c r="AX3" t="s">
        <v>1727</v>
      </c>
      <c r="BA3">
        <v>46027.0</v>
      </c>
      <c r="BB3" t="s">
        <v>1727</v>
      </c>
      <c r="BD3" t="s">
        <v>2151</v>
      </c>
      <c r="BE3" t="s">
        <v>1727</v>
      </c>
      <c r="BF3" t="s">
        <v>1727</v>
      </c>
      <c r="BG3" t="s">
        <v>1727</v>
      </c>
      <c r="BH3" t="s">
        <v>1727</v>
      </c>
      <c r="BJ3" t="s">
        <v>1727</v>
      </c>
      <c r="BK3" t="s">
        <v>1657</v>
      </c>
      <c r="BL3">
        <f>IF($T3="","",IF((IF(AND($AW3&lt;&gt;"Yes",$AW3&lt;&gt;"N/A"),"Power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",""))="","",LEFT(IF(AND($AW3&lt;&gt;"Yes",$AW3&lt;&gt;"N/A"),"Power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",""),LEN(IF(AND($AW3&lt;&gt;"Yes",$AW3&lt;&gt;"N/A"),"Power Cable, ","")&amp;IF(AND($AX3&lt;&gt;"Yes",$AX3&lt;&gt;"N/A"),"Battery, ","")&amp;IF(AND($BE3&lt;&gt;"Yes",$BE3&lt;&gt;"N/A"),"Firmware Download, ","")&amp;IF(AND(OR($BE3="Yes",$BE3="N/A"),$BF3&lt;&gt;"Yes",$BF3&lt;&gt;"N/A"),"Firmware Install, ","")&amp;IF(AND($BJ3&lt;&gt;"Yes",$BJ3&lt;&gt;"N/A"),"Device ID, ","")&amp;IF(AND($BK3&lt;&gt;"Yes",$BK3&lt;&gt;"N/A"),"Epic Beans Relay, ",""))-2)))</f>
      </c>
      <c r="BM3">
        <f>IF($T3="","",IF($BL3="","Yes","Blocked"))</f>
      </c>
      <c r="BP3">
        <f>IF($BO3="","",IFERROR(VLOOKUP($BO3,'01_Warehouse_Ledger'!$A:$N,4,FALSE),""))</f>
      </c>
      <c r="BQ3">
        <f>IF($BO3="","",IFERROR(VLOOKUP($BO3,'01_Warehouse_Ledger'!$A:$N,5,FALSE),""))</f>
      </c>
      <c r="BR3">
        <f>IF($BO3="","",IFERROR(VLOOKUP($BO3,'01_Warehouse_Ledger'!$A:$N,13,FALSE),""))</f>
      </c>
    </row>
    <row r="4">
      <c r="A4" t="s">
        <v>1331</v>
      </c>
      <c r="B4" t="s">
        <v>1727</v>
      </c>
      <c r="C4" t="s">
        <v>1727</v>
      </c>
      <c r="D4">
        <f>IF($B4&lt;&gt;"Yes","",IF($C4="No","Yes",IF($C4="Yes","No","")))</f>
      </c>
      <c r="E4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</c>
      <c r="F4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</c>
      <c r="G4" t="s">
        <v>2089</v>
      </c>
      <c r="H4" t="s">
        <v>2089</v>
      </c>
      <c r="J4" t="s">
        <v>2115</v>
      </c>
      <c r="K4" t="s">
        <v>2115</v>
      </c>
      <c r="L4" t="s">
        <v>2115</v>
      </c>
      <c r="S4" t="s">
        <v>1913</v>
      </c>
      <c r="T4" t="s">
        <v>1892</v>
      </c>
      <c r="U4" t="s">
        <v>1816</v>
      </c>
      <c r="V4" t="s">
        <v>1727</v>
      </c>
      <c r="W4" t="s">
        <v>1823</v>
      </c>
      <c r="X4" t="s">
        <v>1707</v>
      </c>
      <c r="Y4" t="s">
        <v>1380</v>
      </c>
      <c r="AA4" t="s">
        <v>1867</v>
      </c>
      <c r="AC4" t="s">
        <v>1782</v>
      </c>
      <c r="AD4" t="s">
        <v>1380</v>
      </c>
      <c r="AF4" t="s">
        <v>2257</v>
      </c>
      <c r="AG4" t="s">
        <v>1999</v>
      </c>
      <c r="AH4">
        <v>3</v>
      </c>
      <c r="AI4" t="s">
        <v>2019</v>
      </c>
      <c r="AJ4" t="s">
        <v>2131</v>
      </c>
      <c r="AK4" t="s">
        <v>2361</v>
      </c>
      <c r="AL4" t="s">
        <v>1782</v>
      </c>
      <c r="AM4" t="s">
        <v>1335</v>
      </c>
      <c r="AR4" t="s">
        <v>1380</v>
      </c>
      <c r="AS4" t="s">
        <v>1991</v>
      </c>
      <c r="AT4" t="s">
        <v>1380</v>
      </c>
      <c r="AU4" t="s">
        <v>1380</v>
      </c>
      <c r="AV4" t="s">
        <v>1380</v>
      </c>
      <c r="AW4" t="s">
        <v>1727</v>
      </c>
      <c r="AX4" t="s">
        <v>1727</v>
      </c>
      <c r="BA4">
        <v>46027.0</v>
      </c>
      <c r="BB4" t="s">
        <v>1727</v>
      </c>
      <c r="BD4" t="s">
        <v>2151</v>
      </c>
      <c r="BE4" t="s">
        <v>1727</v>
      </c>
      <c r="BF4" t="s">
        <v>1727</v>
      </c>
      <c r="BG4" t="s">
        <v>1727</v>
      </c>
      <c r="BH4" t="s">
        <v>1727</v>
      </c>
      <c r="BJ4" t="s">
        <v>1727</v>
      </c>
      <c r="BK4" t="s">
        <v>1657</v>
      </c>
      <c r="BL4">
        <f>IF($T4="","",IF((IF(AND($AW4&lt;&gt;"Yes",$AW4&lt;&gt;"N/A"),"Power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",""))="","",LEFT(IF(AND($AW4&lt;&gt;"Yes",$AW4&lt;&gt;"N/A"),"Power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",""),LEN(IF(AND($AW4&lt;&gt;"Yes",$AW4&lt;&gt;"N/A"),"Power Cable, ","")&amp;IF(AND($AX4&lt;&gt;"Yes",$AX4&lt;&gt;"N/A"),"Battery, ","")&amp;IF(AND($BE4&lt;&gt;"Yes",$BE4&lt;&gt;"N/A"),"Firmware Download, ","")&amp;IF(AND(OR($BE4="Yes",$BE4="N/A"),$BF4&lt;&gt;"Yes",$BF4&lt;&gt;"N/A"),"Firmware Install, ","")&amp;IF(AND($BJ4&lt;&gt;"Yes",$BJ4&lt;&gt;"N/A"),"Device ID, ","")&amp;IF(AND($BK4&lt;&gt;"Yes",$BK4&lt;&gt;"N/A"),"Epic Beans Relay, ",""))-2)))</f>
      </c>
      <c r="BM4">
        <f>IF($T4="","",IF($BL4="","Yes","Blocked"))</f>
      </c>
      <c r="BP4">
        <f>IF($BO4="","",IFERROR(VLOOKUP($BO4,'01_Warehouse_Ledger'!$A:$N,4,FALSE),""))</f>
      </c>
      <c r="BQ4">
        <f>IF($BO4="","",IFERROR(VLOOKUP($BO4,'01_Warehouse_Ledger'!$A:$N,5,FALSE),""))</f>
      </c>
      <c r="BR4">
        <f>IF($BO4="","",IFERROR(VLOOKUP($BO4,'01_Warehouse_Ledger'!$A:$N,13,FALSE),""))</f>
      </c>
    </row>
    <row r="5">
      <c r="A5" t="s">
        <v>1331</v>
      </c>
      <c r="B5" t="s">
        <v>1727</v>
      </c>
      <c r="C5" t="s">
        <v>1727</v>
      </c>
      <c r="D5">
        <f>IF($B5&lt;&gt;"Yes","",IF($C5="No","Yes",IF($C5="Yes","No","")))</f>
      </c>
      <c r="E5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</c>
      <c r="F5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</c>
      <c r="G5" t="s">
        <v>2089</v>
      </c>
      <c r="H5" t="s">
        <v>2089</v>
      </c>
      <c r="J5" t="s">
        <v>2115</v>
      </c>
      <c r="K5" t="s">
        <v>2115</v>
      </c>
      <c r="L5" t="s">
        <v>2115</v>
      </c>
      <c r="S5" t="s">
        <v>1851</v>
      </c>
      <c r="T5" t="s">
        <v>2291</v>
      </c>
      <c r="U5" t="s">
        <v>1765</v>
      </c>
      <c r="V5" t="s">
        <v>1727</v>
      </c>
      <c r="W5" t="s">
        <v>2025</v>
      </c>
      <c r="X5" t="s">
        <v>1707</v>
      </c>
      <c r="Y5" t="s">
        <v>1380</v>
      </c>
      <c r="AA5" t="s">
        <v>1867</v>
      </c>
      <c r="AC5" t="s">
        <v>2211</v>
      </c>
      <c r="AD5" t="s">
        <v>1380</v>
      </c>
      <c r="AF5" t="s">
        <v>2257</v>
      </c>
      <c r="AG5" t="s">
        <v>1999</v>
      </c>
      <c r="AH5">
        <v>4</v>
      </c>
      <c r="AI5" t="s">
        <v>1778</v>
      </c>
      <c r="AJ5" t="s">
        <v>2131</v>
      </c>
      <c r="AK5" t="s">
        <v>2361</v>
      </c>
      <c r="AL5" t="s">
        <v>2211</v>
      </c>
      <c r="AM5" t="s">
        <v>1335</v>
      </c>
      <c r="AR5" t="s">
        <v>1380</v>
      </c>
      <c r="AS5" t="s">
        <v>1991</v>
      </c>
      <c r="AT5" t="s">
        <v>1380</v>
      </c>
      <c r="AU5" t="s">
        <v>1380</v>
      </c>
      <c r="AV5" t="s">
        <v>1380</v>
      </c>
      <c r="AW5" t="s">
        <v>1727</v>
      </c>
      <c r="AX5" t="s">
        <v>1727</v>
      </c>
      <c r="BA5">
        <v>46027.0</v>
      </c>
      <c r="BB5" t="s">
        <v>1727</v>
      </c>
      <c r="BD5" t="s">
        <v>2151</v>
      </c>
      <c r="BE5" t="s">
        <v>1727</v>
      </c>
      <c r="BF5" t="s">
        <v>1727</v>
      </c>
      <c r="BG5" t="s">
        <v>1727</v>
      </c>
      <c r="BH5" t="s">
        <v>1727</v>
      </c>
      <c r="BJ5" t="s">
        <v>1727</v>
      </c>
      <c r="BK5" t="s">
        <v>1657</v>
      </c>
      <c r="BL5">
        <f>IF($T5="","",IF((IF(AND($AW5&lt;&gt;"Yes",$AW5&lt;&gt;"N/A"),"Power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",""))="","",LEFT(IF(AND($AW5&lt;&gt;"Yes",$AW5&lt;&gt;"N/A"),"Power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",""),LEN(IF(AND($AW5&lt;&gt;"Yes",$AW5&lt;&gt;"N/A"),"Power Cable, ","")&amp;IF(AND($AX5&lt;&gt;"Yes",$AX5&lt;&gt;"N/A"),"Battery, ","")&amp;IF(AND($BE5&lt;&gt;"Yes",$BE5&lt;&gt;"N/A"),"Firmware Download, ","")&amp;IF(AND(OR($BE5="Yes",$BE5="N/A"),$BF5&lt;&gt;"Yes",$BF5&lt;&gt;"N/A"),"Firmware Install, ","")&amp;IF(AND($BJ5&lt;&gt;"Yes",$BJ5&lt;&gt;"N/A"),"Device ID, ","")&amp;IF(AND($BK5&lt;&gt;"Yes",$BK5&lt;&gt;"N/A"),"Epic Beans Relay, ",""))-2)))</f>
      </c>
      <c r="BM5">
        <f>IF($T5="","",IF($BL5="","Yes","Blocked"))</f>
      </c>
      <c r="BP5">
        <f>IF($BO5="","",IFERROR(VLOOKUP($BO5,'01_Warehouse_Ledger'!$A:$N,4,FALSE),""))</f>
      </c>
      <c r="BQ5">
        <f>IF($BO5="","",IFERROR(VLOOKUP($BO5,'01_Warehouse_Ledger'!$A:$N,5,FALSE),""))</f>
      </c>
      <c r="BR5">
        <f>IF($BO5="","",IFERROR(VLOOKUP($BO5,'01_Warehouse_Ledger'!$A:$N,13,FALSE),""))</f>
      </c>
    </row>
    <row r="6">
      <c r="A6" t="s">
        <v>1331</v>
      </c>
      <c r="B6" t="s">
        <v>1727</v>
      </c>
      <c r="C6" t="s">
        <v>1727</v>
      </c>
      <c r="D6">
        <f>IF($B6&lt;&gt;"Yes","",IF($C6="No","Yes",IF($C6="Yes","No","")))</f>
      </c>
      <c r="E6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</c>
      <c r="F6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</c>
      <c r="G6" t="s">
        <v>2089</v>
      </c>
      <c r="H6" t="s">
        <v>2089</v>
      </c>
      <c r="J6" t="s">
        <v>2115</v>
      </c>
      <c r="K6" t="s">
        <v>2115</v>
      </c>
      <c r="L6" t="s">
        <v>2115</v>
      </c>
      <c r="S6" t="s">
        <v>2369</v>
      </c>
      <c r="T6" t="s">
        <v>1948</v>
      </c>
      <c r="U6" t="s">
        <v>1649</v>
      </c>
      <c r="V6" t="s">
        <v>1727</v>
      </c>
      <c r="W6" t="s">
        <v>2308</v>
      </c>
      <c r="X6" t="s">
        <v>1707</v>
      </c>
      <c r="Y6" t="s">
        <v>1380</v>
      </c>
      <c r="AA6" t="s">
        <v>1867</v>
      </c>
      <c r="AC6" t="s">
        <v>2209</v>
      </c>
      <c r="AD6" t="s">
        <v>1380</v>
      </c>
      <c r="AF6" t="s">
        <v>2257</v>
      </c>
      <c r="AG6" t="s">
        <v>1999</v>
      </c>
      <c r="AH6">
        <v>5</v>
      </c>
      <c r="AI6" t="s">
        <v>2070</v>
      </c>
      <c r="AJ6" t="s">
        <v>2131</v>
      </c>
      <c r="AK6" t="s">
        <v>2361</v>
      </c>
      <c r="AL6" t="s">
        <v>2209</v>
      </c>
      <c r="AM6" t="s">
        <v>1335</v>
      </c>
      <c r="AR6" t="s">
        <v>1380</v>
      </c>
      <c r="AS6" t="s">
        <v>1991</v>
      </c>
      <c r="AT6" t="s">
        <v>1380</v>
      </c>
      <c r="AU6" t="s">
        <v>1380</v>
      </c>
      <c r="AV6" t="s">
        <v>1380</v>
      </c>
      <c r="AW6" t="s">
        <v>1727</v>
      </c>
      <c r="AX6" t="s">
        <v>1727</v>
      </c>
      <c r="BA6">
        <v>46027.0</v>
      </c>
      <c r="BB6" t="s">
        <v>1727</v>
      </c>
      <c r="BD6" t="s">
        <v>2151</v>
      </c>
      <c r="BE6" t="s">
        <v>1727</v>
      </c>
      <c r="BF6" t="s">
        <v>1727</v>
      </c>
      <c r="BG6" t="s">
        <v>1727</v>
      </c>
      <c r="BH6" t="s">
        <v>1727</v>
      </c>
      <c r="BJ6" t="s">
        <v>1727</v>
      </c>
      <c r="BK6" t="s">
        <v>1657</v>
      </c>
      <c r="BL6">
        <f>IF($T6="","",IF((IF(AND($AW6&lt;&gt;"Yes",$AW6&lt;&gt;"N/A"),"Power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",""))="","",LEFT(IF(AND($AW6&lt;&gt;"Yes",$AW6&lt;&gt;"N/A"),"Power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",""),LEN(IF(AND($AW6&lt;&gt;"Yes",$AW6&lt;&gt;"N/A"),"Power Cable, ","")&amp;IF(AND($AX6&lt;&gt;"Yes",$AX6&lt;&gt;"N/A"),"Battery, ","")&amp;IF(AND($BE6&lt;&gt;"Yes",$BE6&lt;&gt;"N/A"),"Firmware Download, ","")&amp;IF(AND(OR($BE6="Yes",$BE6="N/A"),$BF6&lt;&gt;"Yes",$BF6&lt;&gt;"N/A"),"Firmware Install, ","")&amp;IF(AND($BJ6&lt;&gt;"Yes",$BJ6&lt;&gt;"N/A"),"Device ID, ","")&amp;IF(AND($BK6&lt;&gt;"Yes",$BK6&lt;&gt;"N/A"),"Epic Beans Relay, ",""))-2)))</f>
      </c>
      <c r="BM6">
        <f>IF($T6="","",IF($BL6="","Yes","Blocked"))</f>
      </c>
      <c r="BP6">
        <f>IF($BO6="","",IFERROR(VLOOKUP($BO6,'01_Warehouse_Ledger'!$A:$N,4,FALSE),""))</f>
      </c>
      <c r="BQ6">
        <f>IF($BO6="","",IFERROR(VLOOKUP($BO6,'01_Warehouse_Ledger'!$A:$N,5,FALSE),""))</f>
      </c>
      <c r="BR6">
        <f>IF($BO6="","",IFERROR(VLOOKUP($BO6,'01_Warehouse_Ledger'!$A:$N,13,FALSE),""))</f>
      </c>
    </row>
    <row r="7">
      <c r="A7" t="s">
        <v>1331</v>
      </c>
      <c r="B7" t="s">
        <v>1727</v>
      </c>
      <c r="C7" t="s">
        <v>1727</v>
      </c>
      <c r="D7">
        <f>IF($B7&lt;&gt;"Yes","",IF($C7="No","Yes",IF($C7="Yes","No","")))</f>
      </c>
      <c r="E7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</c>
      <c r="F7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</c>
      <c r="G7" t="s">
        <v>2089</v>
      </c>
      <c r="H7" t="s">
        <v>2089</v>
      </c>
      <c r="J7" t="s">
        <v>2115</v>
      </c>
      <c r="K7" t="s">
        <v>2115</v>
      </c>
      <c r="L7" t="s">
        <v>2115</v>
      </c>
      <c r="S7" t="s">
        <v>2059</v>
      </c>
      <c r="T7" t="s">
        <v>1799</v>
      </c>
      <c r="U7" t="s">
        <v>1786</v>
      </c>
      <c r="V7" t="s">
        <v>1727</v>
      </c>
      <c r="W7" t="s">
        <v>1783</v>
      </c>
      <c r="X7" t="s">
        <v>1707</v>
      </c>
      <c r="Y7" t="s">
        <v>1380</v>
      </c>
      <c r="AA7" t="s">
        <v>1867</v>
      </c>
      <c r="AC7" t="s">
        <v>2246</v>
      </c>
      <c r="AD7" t="s">
        <v>1380</v>
      </c>
      <c r="AF7" t="s">
        <v>2257</v>
      </c>
      <c r="AG7" t="s">
        <v>1999</v>
      </c>
      <c r="AH7">
        <v>6</v>
      </c>
      <c r="AI7" t="s">
        <v>1850</v>
      </c>
      <c r="AJ7" t="s">
        <v>2131</v>
      </c>
      <c r="AK7" t="s">
        <v>2361</v>
      </c>
      <c r="AL7" t="s">
        <v>2246</v>
      </c>
      <c r="AM7" t="s">
        <v>1335</v>
      </c>
      <c r="AR7" t="s">
        <v>1380</v>
      </c>
      <c r="AS7" t="s">
        <v>1991</v>
      </c>
      <c r="AT7" t="s">
        <v>1380</v>
      </c>
      <c r="AU7" t="s">
        <v>1380</v>
      </c>
      <c r="AV7" t="s">
        <v>1380</v>
      </c>
      <c r="AW7" t="s">
        <v>1727</v>
      </c>
      <c r="AX7" t="s">
        <v>1727</v>
      </c>
      <c r="BA7">
        <v>46027.0</v>
      </c>
      <c r="BB7" t="s">
        <v>1727</v>
      </c>
      <c r="BD7" t="s">
        <v>2151</v>
      </c>
      <c r="BE7" t="s">
        <v>1727</v>
      </c>
      <c r="BF7" t="s">
        <v>1727</v>
      </c>
      <c r="BG7" t="s">
        <v>1727</v>
      </c>
      <c r="BH7" t="s">
        <v>1727</v>
      </c>
      <c r="BJ7" t="s">
        <v>1727</v>
      </c>
      <c r="BK7" t="s">
        <v>1657</v>
      </c>
      <c r="BL7">
        <f>IF($T7="","",IF((IF(AND($AW7&lt;&gt;"Yes",$AW7&lt;&gt;"N/A"),"Power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",""))="","",LEFT(IF(AND($AW7&lt;&gt;"Yes",$AW7&lt;&gt;"N/A"),"Power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",""),LEN(IF(AND($AW7&lt;&gt;"Yes",$AW7&lt;&gt;"N/A"),"Power Cable, ","")&amp;IF(AND($AX7&lt;&gt;"Yes",$AX7&lt;&gt;"N/A"),"Battery, ","")&amp;IF(AND($BE7&lt;&gt;"Yes",$BE7&lt;&gt;"N/A"),"Firmware Download, ","")&amp;IF(AND(OR($BE7="Yes",$BE7="N/A"),$BF7&lt;&gt;"Yes",$BF7&lt;&gt;"N/A"),"Firmware Install, ","")&amp;IF(AND($BJ7&lt;&gt;"Yes",$BJ7&lt;&gt;"N/A"),"Device ID, ","")&amp;IF(AND($BK7&lt;&gt;"Yes",$BK7&lt;&gt;"N/A"),"Epic Beans Relay, ",""))-2)))</f>
      </c>
      <c r="BM7">
        <f>IF($T7="","",IF($BL7="","Yes","Blocked"))</f>
      </c>
      <c r="BP7">
        <f>IF($BO7="","",IFERROR(VLOOKUP($BO7,'01_Warehouse_Ledger'!$A:$N,4,FALSE),""))</f>
      </c>
      <c r="BQ7">
        <f>IF($BO7="","",IFERROR(VLOOKUP($BO7,'01_Warehouse_Ledger'!$A:$N,5,FALSE),""))</f>
      </c>
      <c r="BR7">
        <f>IF($BO7="","",IFERROR(VLOOKUP($BO7,'01_Warehouse_Ledger'!$A:$N,13,FALSE),""))</f>
      </c>
    </row>
    <row r="8">
      <c r="A8" t="s">
        <v>1331</v>
      </c>
      <c r="B8" t="s">
        <v>1727</v>
      </c>
      <c r="C8" t="s">
        <v>1727</v>
      </c>
      <c r="D8">
        <f>IF($B8&lt;&gt;"Yes","",IF($C8="No","Yes",IF($C8="Yes","No","")))</f>
      </c>
      <c r="E8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</c>
      <c r="F8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</c>
      <c r="G8" t="s">
        <v>2089</v>
      </c>
      <c r="H8" t="s">
        <v>2089</v>
      </c>
      <c r="J8" t="s">
        <v>2115</v>
      </c>
      <c r="K8" t="s">
        <v>2115</v>
      </c>
      <c r="L8" t="s">
        <v>2115</v>
      </c>
      <c r="S8" t="s">
        <v>1871</v>
      </c>
      <c r="T8" t="s">
        <v>1902</v>
      </c>
      <c r="U8" t="s">
        <v>2036</v>
      </c>
      <c r="V8" t="s">
        <v>1727</v>
      </c>
      <c r="W8" t="s">
        <v>2338</v>
      </c>
      <c r="X8" t="s">
        <v>1707</v>
      </c>
      <c r="Y8" t="s">
        <v>1380</v>
      </c>
      <c r="AA8" t="s">
        <v>1867</v>
      </c>
      <c r="AC8" t="s">
        <v>2047</v>
      </c>
      <c r="AD8" t="s">
        <v>1380</v>
      </c>
      <c r="AF8" t="s">
        <v>2257</v>
      </c>
      <c r="AG8" t="s">
        <v>1999</v>
      </c>
      <c r="AH8">
        <v>7</v>
      </c>
      <c r="AI8" t="s">
        <v>2057</v>
      </c>
      <c r="AJ8" t="s">
        <v>2131</v>
      </c>
      <c r="AK8" t="s">
        <v>2361</v>
      </c>
      <c r="AL8" t="s">
        <v>2047</v>
      </c>
      <c r="AM8" t="s">
        <v>1335</v>
      </c>
      <c r="AR8" t="s">
        <v>1380</v>
      </c>
      <c r="AS8" t="s">
        <v>1991</v>
      </c>
      <c r="AT8" t="s">
        <v>1380</v>
      </c>
      <c r="AU8" t="s">
        <v>1380</v>
      </c>
      <c r="AV8" t="s">
        <v>1380</v>
      </c>
      <c r="AW8" t="s">
        <v>1727</v>
      </c>
      <c r="AX8" t="s">
        <v>1727</v>
      </c>
      <c r="BA8">
        <v>46027.0</v>
      </c>
      <c r="BB8" t="s">
        <v>1727</v>
      </c>
      <c r="BD8" t="s">
        <v>2151</v>
      </c>
      <c r="BE8" t="s">
        <v>1727</v>
      </c>
      <c r="BF8" t="s">
        <v>1727</v>
      </c>
      <c r="BG8" t="s">
        <v>1727</v>
      </c>
      <c r="BH8" t="s">
        <v>1727</v>
      </c>
      <c r="BJ8" t="s">
        <v>1727</v>
      </c>
      <c r="BK8" t="s">
        <v>1657</v>
      </c>
      <c r="BL8">
        <f>IF($T8="","",IF((IF(AND($AW8&lt;&gt;"Yes",$AW8&lt;&gt;"N/A"),"Power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",""))="","",LEFT(IF(AND($AW8&lt;&gt;"Yes",$AW8&lt;&gt;"N/A"),"Power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",""),LEN(IF(AND($AW8&lt;&gt;"Yes",$AW8&lt;&gt;"N/A"),"Power Cable, ","")&amp;IF(AND($AX8&lt;&gt;"Yes",$AX8&lt;&gt;"N/A"),"Battery, ","")&amp;IF(AND($BE8&lt;&gt;"Yes",$BE8&lt;&gt;"N/A"),"Firmware Download, ","")&amp;IF(AND(OR($BE8="Yes",$BE8="N/A"),$BF8&lt;&gt;"Yes",$BF8&lt;&gt;"N/A"),"Firmware Install, ","")&amp;IF(AND($BJ8&lt;&gt;"Yes",$BJ8&lt;&gt;"N/A"),"Device ID, ","")&amp;IF(AND($BK8&lt;&gt;"Yes",$BK8&lt;&gt;"N/A"),"Epic Beans Relay, ",""))-2)))</f>
      </c>
      <c r="BM8">
        <f>IF($T8="","",IF($BL8="","Yes","Blocked"))</f>
      </c>
      <c r="BP8">
        <f>IF($BO8="","",IFERROR(VLOOKUP($BO8,'01_Warehouse_Ledger'!$A:$N,4,FALSE),""))</f>
      </c>
      <c r="BQ8">
        <f>IF($BO8="","",IFERROR(VLOOKUP($BO8,'01_Warehouse_Ledger'!$A:$N,5,FALSE),""))</f>
      </c>
      <c r="BR8">
        <f>IF($BO8="","",IFERROR(VLOOKUP($BO8,'01_Warehouse_Ledger'!$A:$N,13,FALSE),""))</f>
      </c>
    </row>
    <row r="9">
      <c r="A9" t="s">
        <v>1331</v>
      </c>
      <c r="B9" t="s">
        <v>1727</v>
      </c>
      <c r="C9" t="s">
        <v>1727</v>
      </c>
      <c r="D9">
        <f>IF($B9&lt;&gt;"Yes","",IF($C9="No","Yes",IF($C9="Yes","No","")))</f>
      </c>
      <c r="E9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</c>
      <c r="F9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</c>
      <c r="G9" t="s">
        <v>2089</v>
      </c>
      <c r="H9" t="s">
        <v>2089</v>
      </c>
      <c r="J9" t="s">
        <v>2115</v>
      </c>
      <c r="K9" t="s">
        <v>2115</v>
      </c>
      <c r="L9" t="s">
        <v>2115</v>
      </c>
      <c r="S9" t="s">
        <v>2178</v>
      </c>
      <c r="T9" t="s">
        <v>1953</v>
      </c>
      <c r="U9" t="s">
        <v>2362</v>
      </c>
      <c r="V9" t="s">
        <v>1727</v>
      </c>
      <c r="W9" t="s">
        <v>2348</v>
      </c>
      <c r="X9" t="s">
        <v>1707</v>
      </c>
      <c r="Y9" t="s">
        <v>1380</v>
      </c>
      <c r="AA9" t="s">
        <v>1867</v>
      </c>
      <c r="AC9" t="s">
        <v>2140</v>
      </c>
      <c r="AD9" t="s">
        <v>1380</v>
      </c>
      <c r="AF9" t="s">
        <v>2257</v>
      </c>
      <c r="AG9" t="s">
        <v>1999</v>
      </c>
      <c r="AH9">
        <v>8</v>
      </c>
      <c r="AI9" t="s">
        <v>1986</v>
      </c>
      <c r="AJ9" t="s">
        <v>2131</v>
      </c>
      <c r="AK9" t="s">
        <v>2361</v>
      </c>
      <c r="AL9" t="s">
        <v>2140</v>
      </c>
      <c r="AM9" t="s">
        <v>1335</v>
      </c>
      <c r="AR9" t="s">
        <v>1380</v>
      </c>
      <c r="AS9" t="s">
        <v>1991</v>
      </c>
      <c r="AT9" t="s">
        <v>1380</v>
      </c>
      <c r="AU9" t="s">
        <v>1380</v>
      </c>
      <c r="AV9" t="s">
        <v>1380</v>
      </c>
      <c r="AW9" t="s">
        <v>1727</v>
      </c>
      <c r="AX9" t="s">
        <v>1727</v>
      </c>
      <c r="BA9">
        <v>46027.0</v>
      </c>
      <c r="BB9" t="s">
        <v>1727</v>
      </c>
      <c r="BD9" t="s">
        <v>2151</v>
      </c>
      <c r="BE9" t="s">
        <v>1727</v>
      </c>
      <c r="BF9" t="s">
        <v>1727</v>
      </c>
      <c r="BG9" t="s">
        <v>1727</v>
      </c>
      <c r="BH9" t="s">
        <v>1727</v>
      </c>
      <c r="BJ9" t="s">
        <v>1727</v>
      </c>
      <c r="BK9" t="s">
        <v>1657</v>
      </c>
      <c r="BL9">
        <f>IF($T9="","",IF((IF(AND($AW9&lt;&gt;"Yes",$AW9&lt;&gt;"N/A"),"Power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",""))="","",LEFT(IF(AND($AW9&lt;&gt;"Yes",$AW9&lt;&gt;"N/A"),"Power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",""),LEN(IF(AND($AW9&lt;&gt;"Yes",$AW9&lt;&gt;"N/A"),"Power Cable, ","")&amp;IF(AND($AX9&lt;&gt;"Yes",$AX9&lt;&gt;"N/A"),"Battery, ","")&amp;IF(AND($BE9&lt;&gt;"Yes",$BE9&lt;&gt;"N/A"),"Firmware Download, ","")&amp;IF(AND(OR($BE9="Yes",$BE9="N/A"),$BF9&lt;&gt;"Yes",$BF9&lt;&gt;"N/A"),"Firmware Install, ","")&amp;IF(AND($BJ9&lt;&gt;"Yes",$BJ9&lt;&gt;"N/A"),"Device ID, ","")&amp;IF(AND($BK9&lt;&gt;"Yes",$BK9&lt;&gt;"N/A"),"Epic Beans Relay, ",""))-2)))</f>
      </c>
      <c r="BM9">
        <f>IF($T9="","",IF($BL9="","Yes","Blocked"))</f>
      </c>
      <c r="BP9">
        <f>IF($BO9="","",IFERROR(VLOOKUP($BO9,'01_Warehouse_Ledger'!$A:$N,4,FALSE),""))</f>
      </c>
      <c r="BQ9">
        <f>IF($BO9="","",IFERROR(VLOOKUP($BO9,'01_Warehouse_Ledger'!$A:$N,5,FALSE),""))</f>
      </c>
      <c r="BR9">
        <f>IF($BO9="","",IFERROR(VLOOKUP($BO9,'01_Warehouse_Ledger'!$A:$N,13,FALSE),""))</f>
      </c>
    </row>
    <row r="10">
      <c r="A10" t="s">
        <v>1331</v>
      </c>
      <c r="B10" t="s">
        <v>1727</v>
      </c>
      <c r="C10" t="s">
        <v>1727</v>
      </c>
      <c r="D10">
        <f>IF($B10&lt;&gt;"Yes","",IF($C10="No","Yes",IF($C10="Yes","No","")))</f>
      </c>
      <c r="E10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</c>
      <c r="F10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</c>
      <c r="G10" t="s">
        <v>2089</v>
      </c>
      <c r="H10" t="s">
        <v>2089</v>
      </c>
      <c r="J10" t="s">
        <v>2115</v>
      </c>
      <c r="K10" t="s">
        <v>2115</v>
      </c>
      <c r="L10" t="s">
        <v>2115</v>
      </c>
      <c r="S10" t="s">
        <v>1617</v>
      </c>
      <c r="T10" t="s">
        <v>1695</v>
      </c>
      <c r="U10" t="s">
        <v>1976</v>
      </c>
      <c r="V10" t="s">
        <v>1727</v>
      </c>
      <c r="W10" t="s">
        <v>2086</v>
      </c>
      <c r="X10" t="s">
        <v>1707</v>
      </c>
      <c r="Y10" t="s">
        <v>1380</v>
      </c>
      <c r="AA10" t="s">
        <v>1867</v>
      </c>
      <c r="AC10" t="s">
        <v>2188</v>
      </c>
      <c r="AD10" t="s">
        <v>1380</v>
      </c>
      <c r="AF10" t="s">
        <v>2257</v>
      </c>
      <c r="AG10" t="s">
        <v>1999</v>
      </c>
      <c r="AH10">
        <v>9</v>
      </c>
      <c r="AI10" t="s">
        <v>2208</v>
      </c>
      <c r="AJ10" t="s">
        <v>2131</v>
      </c>
      <c r="AK10" t="s">
        <v>2361</v>
      </c>
      <c r="AL10" t="s">
        <v>2188</v>
      </c>
      <c r="AM10" t="s">
        <v>1335</v>
      </c>
      <c r="AR10" t="s">
        <v>1380</v>
      </c>
      <c r="AS10" t="s">
        <v>1991</v>
      </c>
      <c r="AT10" t="s">
        <v>1380</v>
      </c>
      <c r="AU10" t="s">
        <v>1380</v>
      </c>
      <c r="AV10" t="s">
        <v>1380</v>
      </c>
      <c r="AW10" t="s">
        <v>1727</v>
      </c>
      <c r="AX10" t="s">
        <v>1727</v>
      </c>
      <c r="BA10">
        <v>46027.0</v>
      </c>
      <c r="BB10" t="s">
        <v>1727</v>
      </c>
      <c r="BD10" t="s">
        <v>2151</v>
      </c>
      <c r="BE10" t="s">
        <v>1727</v>
      </c>
      <c r="BF10" t="s">
        <v>1727</v>
      </c>
      <c r="BG10" t="s">
        <v>1727</v>
      </c>
      <c r="BH10" t="s">
        <v>1727</v>
      </c>
      <c r="BJ10" t="s">
        <v>1727</v>
      </c>
      <c r="BK10" t="s">
        <v>1657</v>
      </c>
      <c r="BL10">
        <f>IF($T10="","",IF((IF(AND($AW10&lt;&gt;"Yes",$AW10&lt;&gt;"N/A"),"Power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",""))="","",LEFT(IF(AND($AW10&lt;&gt;"Yes",$AW10&lt;&gt;"N/A"),"Power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",""),LEN(IF(AND($AW10&lt;&gt;"Yes",$AW10&lt;&gt;"N/A"),"Power Cable, ","")&amp;IF(AND($AX10&lt;&gt;"Yes",$AX10&lt;&gt;"N/A"),"Battery, ","")&amp;IF(AND($BE10&lt;&gt;"Yes",$BE10&lt;&gt;"N/A"),"Firmware Download, ","")&amp;IF(AND(OR($BE10="Yes",$BE10="N/A"),$BF10&lt;&gt;"Yes",$BF10&lt;&gt;"N/A"),"Firmware Install, ","")&amp;IF(AND($BJ10&lt;&gt;"Yes",$BJ10&lt;&gt;"N/A"),"Device ID, ","")&amp;IF(AND($BK10&lt;&gt;"Yes",$BK10&lt;&gt;"N/A"),"Epic Beans Relay, ",""))-2)))</f>
      </c>
      <c r="BM10">
        <f>IF($T10="","",IF($BL10="","Yes","Blocked"))</f>
      </c>
      <c r="BP10">
        <f>IF($BO10="","",IFERROR(VLOOKUP($BO10,'01_Warehouse_Ledger'!$A:$N,4,FALSE),""))</f>
      </c>
      <c r="BQ10">
        <f>IF($BO10="","",IFERROR(VLOOKUP($BO10,'01_Warehouse_Ledger'!$A:$N,5,FALSE),""))</f>
      </c>
      <c r="BR10">
        <f>IF($BO10="","",IFERROR(VLOOKUP($BO10,'01_Warehouse_Ledger'!$A:$N,13,FALSE),""))</f>
      </c>
    </row>
    <row r="11">
      <c r="A11" t="s">
        <v>1331</v>
      </c>
      <c r="B11" t="s">
        <v>1727</v>
      </c>
      <c r="C11" t="s">
        <v>1727</v>
      </c>
      <c r="D11">
        <f>IF($B11&lt;&gt;"Yes","",IF($C11="No","Yes",IF($C11="Yes","No","")))</f>
      </c>
      <c r="E11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</c>
      <c r="F11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</c>
      <c r="G11" t="s">
        <v>2089</v>
      </c>
      <c r="H11" t="s">
        <v>2089</v>
      </c>
      <c r="J11" t="s">
        <v>2115</v>
      </c>
      <c r="K11" t="s">
        <v>2115</v>
      </c>
      <c r="L11" t="s">
        <v>2115</v>
      </c>
      <c r="S11" t="s">
        <v>1644</v>
      </c>
      <c r="T11" t="s">
        <v>2285</v>
      </c>
      <c r="U11" t="s">
        <v>2323</v>
      </c>
      <c r="V11" t="s">
        <v>1727</v>
      </c>
      <c r="W11" t="s">
        <v>2187</v>
      </c>
      <c r="X11" t="s">
        <v>1707</v>
      </c>
      <c r="Y11" t="s">
        <v>1380</v>
      </c>
      <c r="AA11" t="s">
        <v>1867</v>
      </c>
      <c r="AC11" t="s">
        <v>2148</v>
      </c>
      <c r="AD11" t="s">
        <v>1380</v>
      </c>
      <c r="AF11" t="s">
        <v>2257</v>
      </c>
      <c r="AG11" t="s">
        <v>1999</v>
      </c>
      <c r="AH11">
        <v>10</v>
      </c>
      <c r="AI11" t="s">
        <v>2253</v>
      </c>
      <c r="AJ11" t="s">
        <v>2131</v>
      </c>
      <c r="AK11" t="s">
        <v>2361</v>
      </c>
      <c r="AL11" t="s">
        <v>2148</v>
      </c>
      <c r="AM11" t="s">
        <v>1335</v>
      </c>
      <c r="AR11" t="s">
        <v>1380</v>
      </c>
      <c r="AS11" t="s">
        <v>1991</v>
      </c>
      <c r="AT11" t="s">
        <v>1380</v>
      </c>
      <c r="AU11" t="s">
        <v>1380</v>
      </c>
      <c r="AV11" t="s">
        <v>1380</v>
      </c>
      <c r="AW11" t="s">
        <v>1727</v>
      </c>
      <c r="AX11" t="s">
        <v>1727</v>
      </c>
      <c r="BA11">
        <v>46027.0</v>
      </c>
      <c r="BB11" t="s">
        <v>1727</v>
      </c>
      <c r="BD11" t="s">
        <v>2151</v>
      </c>
      <c r="BE11" t="s">
        <v>1727</v>
      </c>
      <c r="BF11" t="s">
        <v>1727</v>
      </c>
      <c r="BG11" t="s">
        <v>1727</v>
      </c>
      <c r="BH11" t="s">
        <v>1727</v>
      </c>
      <c r="BJ11" t="s">
        <v>1727</v>
      </c>
      <c r="BK11" t="s">
        <v>1657</v>
      </c>
      <c r="BL11">
        <f>IF($T11="","",IF((IF(AND($AW11&lt;&gt;"Yes",$AW11&lt;&gt;"N/A"),"Power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",""))="","",LEFT(IF(AND($AW11&lt;&gt;"Yes",$AW11&lt;&gt;"N/A"),"Power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",""),LEN(IF(AND($AW11&lt;&gt;"Yes",$AW11&lt;&gt;"N/A"),"Power Cable, ","")&amp;IF(AND($AX11&lt;&gt;"Yes",$AX11&lt;&gt;"N/A"),"Battery, ","")&amp;IF(AND($BE11&lt;&gt;"Yes",$BE11&lt;&gt;"N/A"),"Firmware Download, ","")&amp;IF(AND(OR($BE11="Yes",$BE11="N/A"),$BF11&lt;&gt;"Yes",$BF11&lt;&gt;"N/A"),"Firmware Install, ","")&amp;IF(AND($BJ11&lt;&gt;"Yes",$BJ11&lt;&gt;"N/A"),"Device ID, ","")&amp;IF(AND($BK11&lt;&gt;"Yes",$BK11&lt;&gt;"N/A"),"Epic Beans Relay, ",""))-2)))</f>
      </c>
      <c r="BM11">
        <f>IF($T11="","",IF($BL11="","Yes","Blocked"))</f>
      </c>
      <c r="BP11">
        <f>IF($BO11="","",IFERROR(VLOOKUP($BO11,'01_Warehouse_Ledger'!$A:$N,4,FALSE),""))</f>
      </c>
      <c r="BQ11">
        <f>IF($BO11="","",IFERROR(VLOOKUP($BO11,'01_Warehouse_Ledger'!$A:$N,5,FALSE),""))</f>
      </c>
      <c r="BR11">
        <f>IF($BO11="","",IFERROR(VLOOKUP($BO11,'01_Warehouse_Ledger'!$A:$N,13,FALSE),""))</f>
      </c>
    </row>
    <row r="12">
      <c r="A12" t="s">
        <v>1331</v>
      </c>
      <c r="B12" t="s">
        <v>1727</v>
      </c>
      <c r="C12" t="s">
        <v>1727</v>
      </c>
      <c r="D12">
        <f>IF($B12&lt;&gt;"Yes","",IF($C12="No","Yes",IF($C12="Yes","No","")))</f>
      </c>
      <c r="E12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</c>
      <c r="F12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</c>
      <c r="G12" t="s">
        <v>2089</v>
      </c>
      <c r="H12" t="s">
        <v>2089</v>
      </c>
      <c r="J12" t="s">
        <v>2115</v>
      </c>
      <c r="K12" t="s">
        <v>2115</v>
      </c>
      <c r="L12" t="s">
        <v>2115</v>
      </c>
      <c r="S12" t="s">
        <v>1672</v>
      </c>
      <c r="T12" t="s">
        <v>2386</v>
      </c>
      <c r="U12" t="s">
        <v>1815</v>
      </c>
      <c r="V12" t="s">
        <v>1727</v>
      </c>
      <c r="W12" t="s">
        <v>2300</v>
      </c>
      <c r="X12" t="s">
        <v>1707</v>
      </c>
      <c r="Y12" t="s">
        <v>1380</v>
      </c>
      <c r="AA12" t="s">
        <v>1867</v>
      </c>
      <c r="AC12" t="s">
        <v>1968</v>
      </c>
      <c r="AD12" t="s">
        <v>1380</v>
      </c>
      <c r="AF12" t="s">
        <v>2257</v>
      </c>
      <c r="AG12" t="s">
        <v>1999</v>
      </c>
      <c r="AH12">
        <v>11</v>
      </c>
      <c r="AI12" t="s">
        <v>1817</v>
      </c>
      <c r="AJ12" t="s">
        <v>2131</v>
      </c>
      <c r="AK12" t="s">
        <v>2361</v>
      </c>
      <c r="AL12" t="s">
        <v>1968</v>
      </c>
      <c r="AM12" t="s">
        <v>1335</v>
      </c>
      <c r="AR12" t="s">
        <v>1380</v>
      </c>
      <c r="AS12" t="s">
        <v>1991</v>
      </c>
      <c r="AT12" t="s">
        <v>1380</v>
      </c>
      <c r="AU12" t="s">
        <v>1380</v>
      </c>
      <c r="AV12" t="s">
        <v>1380</v>
      </c>
      <c r="AW12" t="s">
        <v>1727</v>
      </c>
      <c r="AX12" t="s">
        <v>1727</v>
      </c>
      <c r="BA12">
        <v>46027.0</v>
      </c>
      <c r="BB12" t="s">
        <v>1727</v>
      </c>
      <c r="BC12" t="s">
        <v>1691</v>
      </c>
      <c r="BD12" t="s">
        <v>2151</v>
      </c>
      <c r="BE12" t="s">
        <v>1727</v>
      </c>
      <c r="BF12" t="s">
        <v>1727</v>
      </c>
      <c r="BG12" t="s">
        <v>1727</v>
      </c>
      <c r="BH12" t="s">
        <v>1727</v>
      </c>
      <c r="BJ12" t="s">
        <v>1727</v>
      </c>
      <c r="BK12" t="s">
        <v>1657</v>
      </c>
      <c r="BL12">
        <f>IF($T12="","",IF((IF(AND($AW12&lt;&gt;"Yes",$AW12&lt;&gt;"N/A"),"Power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",""))="","",LEFT(IF(AND($AW12&lt;&gt;"Yes",$AW12&lt;&gt;"N/A"),"Power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",""),LEN(IF(AND($AW12&lt;&gt;"Yes",$AW12&lt;&gt;"N/A"),"Power Cable, ","")&amp;IF(AND($AX12&lt;&gt;"Yes",$AX12&lt;&gt;"N/A"),"Battery, ","")&amp;IF(AND($BE12&lt;&gt;"Yes",$BE12&lt;&gt;"N/A"),"Firmware Download, ","")&amp;IF(AND(OR($BE12="Yes",$BE12="N/A"),$BF12&lt;&gt;"Yes",$BF12&lt;&gt;"N/A"),"Firmware Install, ","")&amp;IF(AND($BJ12&lt;&gt;"Yes",$BJ12&lt;&gt;"N/A"),"Device ID, ","")&amp;IF(AND($BK12&lt;&gt;"Yes",$BK12&lt;&gt;"N/A"),"Epic Beans Relay, ",""))-2)))</f>
      </c>
      <c r="BM12">
        <f>IF($T12="","",IF($BL12="","Yes","Blocked"))</f>
      </c>
      <c r="BP12">
        <f>IF($BO12="","",IFERROR(VLOOKUP($BO12,'01_Warehouse_Ledger'!$A:$N,4,FALSE),""))</f>
      </c>
      <c r="BQ12">
        <f>IF($BO12="","",IFERROR(VLOOKUP($BO12,'01_Warehouse_Ledger'!$A:$N,5,FALSE),""))</f>
      </c>
      <c r="BR12">
        <f>IF($BO12="","",IFERROR(VLOOKUP($BO12,'01_Warehouse_Ledger'!$A:$N,13,FALSE),""))</f>
      </c>
    </row>
    <row r="13">
      <c r="A13" t="s">
        <v>1331</v>
      </c>
      <c r="B13" t="s">
        <v>1727</v>
      </c>
      <c r="C13" t="s">
        <v>1727</v>
      </c>
      <c r="D13">
        <f>IF($B13&lt;&gt;"Yes","",IF($C13="No","Yes",IF($C13="Yes","No","")))</f>
      </c>
      <c r="E13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</c>
      <c r="F13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</c>
      <c r="G13" t="s">
        <v>2089</v>
      </c>
      <c r="H13" t="s">
        <v>2089</v>
      </c>
      <c r="J13" t="s">
        <v>2115</v>
      </c>
      <c r="K13" t="s">
        <v>2115</v>
      </c>
      <c r="L13" t="s">
        <v>2115</v>
      </c>
      <c r="S13" t="s">
        <v>1835</v>
      </c>
      <c r="T13" t="s">
        <v>2030</v>
      </c>
      <c r="U13" t="s">
        <v>2385</v>
      </c>
      <c r="V13" t="s">
        <v>1727</v>
      </c>
      <c r="W13" t="s">
        <v>2133</v>
      </c>
      <c r="X13" t="s">
        <v>1707</v>
      </c>
      <c r="Y13" t="s">
        <v>1380</v>
      </c>
      <c r="AA13" t="s">
        <v>1867</v>
      </c>
      <c r="AC13" t="s">
        <v>1666</v>
      </c>
      <c r="AD13" t="s">
        <v>1380</v>
      </c>
      <c r="AF13" t="s">
        <v>2257</v>
      </c>
      <c r="AG13" t="s">
        <v>1999</v>
      </c>
      <c r="AH13">
        <v>12</v>
      </c>
      <c r="AI13" t="s">
        <v>2194</v>
      </c>
      <c r="AJ13" t="s">
        <v>2131</v>
      </c>
      <c r="AK13" t="s">
        <v>2361</v>
      </c>
      <c r="AL13" t="s">
        <v>1666</v>
      </c>
      <c r="AM13" t="s">
        <v>1335</v>
      </c>
      <c r="AR13" t="s">
        <v>1380</v>
      </c>
      <c r="AS13" t="s">
        <v>1991</v>
      </c>
      <c r="AT13" t="s">
        <v>1380</v>
      </c>
      <c r="AU13" t="s">
        <v>1380</v>
      </c>
      <c r="AV13" t="s">
        <v>1380</v>
      </c>
      <c r="AW13" t="s">
        <v>1727</v>
      </c>
      <c r="AX13" t="s">
        <v>1727</v>
      </c>
      <c r="BA13">
        <v>46027.0</v>
      </c>
      <c r="BB13" t="s">
        <v>1727</v>
      </c>
      <c r="BD13" t="s">
        <v>2151</v>
      </c>
      <c r="BE13" t="s">
        <v>1727</v>
      </c>
      <c r="BF13" t="s">
        <v>1727</v>
      </c>
      <c r="BG13" t="s">
        <v>1727</v>
      </c>
      <c r="BH13" t="s">
        <v>1727</v>
      </c>
      <c r="BJ13" t="s">
        <v>1727</v>
      </c>
      <c r="BK13" t="s">
        <v>1657</v>
      </c>
      <c r="BL13">
        <f>IF($T13="","",IF((IF(AND($AW13&lt;&gt;"Yes",$AW13&lt;&gt;"N/A"),"Power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",""))="","",LEFT(IF(AND($AW13&lt;&gt;"Yes",$AW13&lt;&gt;"N/A"),"Power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",""),LEN(IF(AND($AW13&lt;&gt;"Yes",$AW13&lt;&gt;"N/A"),"Power Cable, ","")&amp;IF(AND($AX13&lt;&gt;"Yes",$AX13&lt;&gt;"N/A"),"Battery, ","")&amp;IF(AND($BE13&lt;&gt;"Yes",$BE13&lt;&gt;"N/A"),"Firmware Download, ","")&amp;IF(AND(OR($BE13="Yes",$BE13="N/A"),$BF13&lt;&gt;"Yes",$BF13&lt;&gt;"N/A"),"Firmware Install, ","")&amp;IF(AND($BJ13&lt;&gt;"Yes",$BJ13&lt;&gt;"N/A"),"Device ID, ","")&amp;IF(AND($BK13&lt;&gt;"Yes",$BK13&lt;&gt;"N/A"),"Epic Beans Relay, ",""))-2)))</f>
      </c>
      <c r="BM13">
        <f>IF($T13="","",IF($BL13="","Yes","Blocked"))</f>
      </c>
      <c r="BP13">
        <f>IF($BO13="","",IFERROR(VLOOKUP($BO13,'01_Warehouse_Ledger'!$A:$N,4,FALSE),""))</f>
      </c>
      <c r="BQ13">
        <f>IF($BO13="","",IFERROR(VLOOKUP($BO13,'01_Warehouse_Ledger'!$A:$N,5,FALSE),""))</f>
      </c>
      <c r="BR13">
        <f>IF($BO13="","",IFERROR(VLOOKUP($BO13,'01_Warehouse_Ledger'!$A:$N,13,FALSE),""))</f>
      </c>
    </row>
    <row r="14">
      <c r="A14" t="s">
        <v>1331</v>
      </c>
      <c r="B14" t="s">
        <v>1727</v>
      </c>
      <c r="C14" t="s">
        <v>1727</v>
      </c>
      <c r="D14">
        <f>IF($B14&lt;&gt;"Yes","",IF($C14="No","Yes",IF($C14="Yes","No","")))</f>
      </c>
      <c r="E14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</c>
      <c r="F14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</c>
      <c r="G14" t="s">
        <v>2089</v>
      </c>
      <c r="H14" t="s">
        <v>2089</v>
      </c>
      <c r="J14" t="s">
        <v>2115</v>
      </c>
      <c r="K14" t="s">
        <v>2115</v>
      </c>
      <c r="L14" t="s">
        <v>2115</v>
      </c>
      <c r="S14" t="s">
        <v>1843</v>
      </c>
      <c r="T14" t="s">
        <v>1635</v>
      </c>
      <c r="U14" t="s">
        <v>1882</v>
      </c>
      <c r="V14" t="s">
        <v>1727</v>
      </c>
      <c r="W14" t="s">
        <v>2256</v>
      </c>
      <c r="X14" t="s">
        <v>1707</v>
      </c>
      <c r="Y14" t="s">
        <v>1380</v>
      </c>
      <c r="AA14" t="s">
        <v>1867</v>
      </c>
      <c r="AC14" t="s">
        <v>2254</v>
      </c>
      <c r="AD14" t="s">
        <v>1380</v>
      </c>
      <c r="AF14" t="s">
        <v>2257</v>
      </c>
      <c r="AG14" t="s">
        <v>1999</v>
      </c>
      <c r="AH14">
        <v>13</v>
      </c>
      <c r="AI14" t="s">
        <v>2001</v>
      </c>
      <c r="AJ14" t="s">
        <v>2131</v>
      </c>
      <c r="AK14" t="s">
        <v>2361</v>
      </c>
      <c r="AL14" t="s">
        <v>2254</v>
      </c>
      <c r="AM14" t="s">
        <v>1335</v>
      </c>
      <c r="AR14" t="s">
        <v>1380</v>
      </c>
      <c r="AS14" t="s">
        <v>1991</v>
      </c>
      <c r="AT14" t="s">
        <v>1380</v>
      </c>
      <c r="AU14" t="s">
        <v>1380</v>
      </c>
      <c r="AV14" t="s">
        <v>1380</v>
      </c>
      <c r="AW14" t="s">
        <v>1727</v>
      </c>
      <c r="AX14" t="s">
        <v>1727</v>
      </c>
      <c r="BA14">
        <v>46027.0</v>
      </c>
      <c r="BB14" t="s">
        <v>1727</v>
      </c>
      <c r="BD14" t="s">
        <v>2151</v>
      </c>
      <c r="BE14" t="s">
        <v>1727</v>
      </c>
      <c r="BF14" t="s">
        <v>1727</v>
      </c>
      <c r="BG14" t="s">
        <v>1727</v>
      </c>
      <c r="BH14" t="s">
        <v>1727</v>
      </c>
      <c r="BJ14" t="s">
        <v>1727</v>
      </c>
      <c r="BK14" t="s">
        <v>1657</v>
      </c>
      <c r="BL14">
        <f>IF($T14="","",IF((IF(AND($AW14&lt;&gt;"Yes",$AW14&lt;&gt;"N/A"),"Power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",""))="","",LEFT(IF(AND($AW14&lt;&gt;"Yes",$AW14&lt;&gt;"N/A"),"Power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",""),LEN(IF(AND($AW14&lt;&gt;"Yes",$AW14&lt;&gt;"N/A"),"Power Cable, ","")&amp;IF(AND($AX14&lt;&gt;"Yes",$AX14&lt;&gt;"N/A"),"Battery, ","")&amp;IF(AND($BE14&lt;&gt;"Yes",$BE14&lt;&gt;"N/A"),"Firmware Download, ","")&amp;IF(AND(OR($BE14="Yes",$BE14="N/A"),$BF14&lt;&gt;"Yes",$BF14&lt;&gt;"N/A"),"Firmware Install, ","")&amp;IF(AND($BJ14&lt;&gt;"Yes",$BJ14&lt;&gt;"N/A"),"Device ID, ","")&amp;IF(AND($BK14&lt;&gt;"Yes",$BK14&lt;&gt;"N/A"),"Epic Beans Relay, ",""))-2)))</f>
      </c>
      <c r="BM14">
        <f>IF($T14="","",IF($BL14="","Yes","Blocked"))</f>
      </c>
      <c r="BP14">
        <f>IF($BO14="","",IFERROR(VLOOKUP($BO14,'01_Warehouse_Ledger'!$A:$N,4,FALSE),""))</f>
      </c>
      <c r="BQ14">
        <f>IF($BO14="","",IFERROR(VLOOKUP($BO14,'01_Warehouse_Ledger'!$A:$N,5,FALSE),""))</f>
      </c>
      <c r="BR14">
        <f>IF($BO14="","",IFERROR(VLOOKUP($BO14,'01_Warehouse_Ledger'!$A:$N,13,FALSE),""))</f>
      </c>
    </row>
    <row r="15">
      <c r="A15" t="s">
        <v>1331</v>
      </c>
      <c r="B15" t="s">
        <v>1727</v>
      </c>
      <c r="C15" t="s">
        <v>1727</v>
      </c>
      <c r="D15">
        <f>IF($B15&lt;&gt;"Yes","",IF($C15="No","Yes",IF($C15="Yes","No","")))</f>
      </c>
      <c r="E15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</c>
      <c r="F15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</c>
      <c r="G15" t="s">
        <v>2089</v>
      </c>
      <c r="H15" t="s">
        <v>2089</v>
      </c>
      <c r="J15" t="s">
        <v>2115</v>
      </c>
      <c r="K15" t="s">
        <v>2115</v>
      </c>
      <c r="L15" t="s">
        <v>2115</v>
      </c>
      <c r="S15" t="s">
        <v>1686</v>
      </c>
      <c r="T15" t="s">
        <v>2234</v>
      </c>
      <c r="U15" t="s">
        <v>2341</v>
      </c>
      <c r="V15" t="s">
        <v>1727</v>
      </c>
      <c r="W15" t="s">
        <v>2280</v>
      </c>
      <c r="X15" t="s">
        <v>1707</v>
      </c>
      <c r="Y15" t="s">
        <v>1380</v>
      </c>
      <c r="AA15" t="s">
        <v>1867</v>
      </c>
      <c r="AC15" t="s">
        <v>2134</v>
      </c>
      <c r="AD15" t="s">
        <v>1380</v>
      </c>
      <c r="AF15" t="s">
        <v>2257</v>
      </c>
      <c r="AG15" t="s">
        <v>1999</v>
      </c>
      <c r="AH15">
        <v>14</v>
      </c>
      <c r="AI15" t="s">
        <v>1952</v>
      </c>
      <c r="AJ15" t="s">
        <v>2131</v>
      </c>
      <c r="AK15" t="s">
        <v>2361</v>
      </c>
      <c r="AL15" t="s">
        <v>2134</v>
      </c>
      <c r="AM15" t="s">
        <v>1335</v>
      </c>
      <c r="AR15" t="s">
        <v>1380</v>
      </c>
      <c r="AS15" t="s">
        <v>1991</v>
      </c>
      <c r="AT15" t="s">
        <v>1380</v>
      </c>
      <c r="AU15" t="s">
        <v>1380</v>
      </c>
      <c r="AV15" t="s">
        <v>1380</v>
      </c>
      <c r="AW15" t="s">
        <v>1727</v>
      </c>
      <c r="AX15" t="s">
        <v>1727</v>
      </c>
      <c r="BA15">
        <v>46027.0</v>
      </c>
      <c r="BB15" t="s">
        <v>1727</v>
      </c>
      <c r="BD15" t="s">
        <v>2151</v>
      </c>
      <c r="BE15" t="s">
        <v>1727</v>
      </c>
      <c r="BF15" t="s">
        <v>1727</v>
      </c>
      <c r="BG15" t="s">
        <v>1727</v>
      </c>
      <c r="BH15" t="s">
        <v>1727</v>
      </c>
      <c r="BJ15" t="s">
        <v>1727</v>
      </c>
      <c r="BK15" t="s">
        <v>1657</v>
      </c>
      <c r="BL15">
        <f>IF($T15="","",IF((IF(AND($AW15&lt;&gt;"Yes",$AW15&lt;&gt;"N/A"),"Power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",""))="","",LEFT(IF(AND($AW15&lt;&gt;"Yes",$AW15&lt;&gt;"N/A"),"Power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",""),LEN(IF(AND($AW15&lt;&gt;"Yes",$AW15&lt;&gt;"N/A"),"Power Cable, ","")&amp;IF(AND($AX15&lt;&gt;"Yes",$AX15&lt;&gt;"N/A"),"Battery, ","")&amp;IF(AND($BE15&lt;&gt;"Yes",$BE15&lt;&gt;"N/A"),"Firmware Download, ","")&amp;IF(AND(OR($BE15="Yes",$BE15="N/A"),$BF15&lt;&gt;"Yes",$BF15&lt;&gt;"N/A"),"Firmware Install, ","")&amp;IF(AND($BJ15&lt;&gt;"Yes",$BJ15&lt;&gt;"N/A"),"Device ID, ","")&amp;IF(AND($BK15&lt;&gt;"Yes",$BK15&lt;&gt;"N/A"),"Epic Beans Relay, ",""))-2)))</f>
      </c>
      <c r="BM15">
        <f>IF($T15="","",IF($BL15="","Yes","Blocked"))</f>
      </c>
      <c r="BP15">
        <f>IF($BO15="","",IFERROR(VLOOKUP($BO15,'01_Warehouse_Ledger'!$A:$N,4,FALSE),""))</f>
      </c>
      <c r="BQ15">
        <f>IF($BO15="","",IFERROR(VLOOKUP($BO15,'01_Warehouse_Ledger'!$A:$N,5,FALSE),""))</f>
      </c>
      <c r="BR15">
        <f>IF($BO15="","",IFERROR(VLOOKUP($BO15,'01_Warehouse_Ledger'!$A:$N,13,FALSE),""))</f>
      </c>
    </row>
    <row r="16">
      <c r="A16" t="s">
        <v>1331</v>
      </c>
      <c r="B16" t="s">
        <v>1727</v>
      </c>
      <c r="C16" t="s">
        <v>1727</v>
      </c>
      <c r="D16">
        <f>IF($B16&lt;&gt;"Yes","",IF($C16="No","Yes",IF($C16="Yes","No","")))</f>
      </c>
      <c r="E16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</c>
      <c r="F16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</c>
      <c r="G16" t="s">
        <v>2089</v>
      </c>
      <c r="H16" t="s">
        <v>2089</v>
      </c>
      <c r="J16" t="s">
        <v>2115</v>
      </c>
      <c r="K16" t="s">
        <v>2115</v>
      </c>
      <c r="L16" t="s">
        <v>2115</v>
      </c>
      <c r="S16" t="s">
        <v>1862</v>
      </c>
      <c r="T16" t="s">
        <v>2127</v>
      </c>
      <c r="U16" t="s">
        <v>2314</v>
      </c>
      <c r="V16" t="s">
        <v>1727</v>
      </c>
      <c r="W16" t="s">
        <v>2342</v>
      </c>
      <c r="X16" t="s">
        <v>1707</v>
      </c>
      <c r="Y16" t="s">
        <v>1380</v>
      </c>
      <c r="AA16" t="s">
        <v>1867</v>
      </c>
      <c r="AC16" t="s">
        <v>2009</v>
      </c>
      <c r="AD16" t="s">
        <v>1380</v>
      </c>
      <c r="AF16" t="s">
        <v>2257</v>
      </c>
      <c r="AG16" t="s">
        <v>1999</v>
      </c>
      <c r="AH16">
        <v>15</v>
      </c>
      <c r="AI16" t="s">
        <v>1994</v>
      </c>
      <c r="AJ16" t="s">
        <v>2131</v>
      </c>
      <c r="AK16" t="s">
        <v>2361</v>
      </c>
      <c r="AL16" t="s">
        <v>2009</v>
      </c>
      <c r="AM16" t="s">
        <v>1335</v>
      </c>
      <c r="AR16" t="s">
        <v>1380</v>
      </c>
      <c r="AS16" t="s">
        <v>1991</v>
      </c>
      <c r="AT16" t="s">
        <v>1380</v>
      </c>
      <c r="AU16" t="s">
        <v>1380</v>
      </c>
      <c r="AV16" t="s">
        <v>1380</v>
      </c>
      <c r="AW16" t="s">
        <v>1727</v>
      </c>
      <c r="AX16" t="s">
        <v>1727</v>
      </c>
      <c r="BA16">
        <v>46027.0</v>
      </c>
      <c r="BB16" t="s">
        <v>1727</v>
      </c>
      <c r="BD16" t="s">
        <v>2151</v>
      </c>
      <c r="BE16" t="s">
        <v>1727</v>
      </c>
      <c r="BF16" t="s">
        <v>1727</v>
      </c>
      <c r="BG16" t="s">
        <v>1727</v>
      </c>
      <c r="BH16" t="s">
        <v>1727</v>
      </c>
      <c r="BJ16" t="s">
        <v>1727</v>
      </c>
      <c r="BK16" t="s">
        <v>1657</v>
      </c>
      <c r="BL16">
        <f>IF($T16="","",IF((IF(AND($AW16&lt;&gt;"Yes",$AW16&lt;&gt;"N/A"),"Power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",""))="","",LEFT(IF(AND($AW16&lt;&gt;"Yes",$AW16&lt;&gt;"N/A"),"Power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",""),LEN(IF(AND($AW16&lt;&gt;"Yes",$AW16&lt;&gt;"N/A"),"Power Cable, ","")&amp;IF(AND($AX16&lt;&gt;"Yes",$AX16&lt;&gt;"N/A"),"Battery, ","")&amp;IF(AND($BE16&lt;&gt;"Yes",$BE16&lt;&gt;"N/A"),"Firmware Download, ","")&amp;IF(AND(OR($BE16="Yes",$BE16="N/A"),$BF16&lt;&gt;"Yes",$BF16&lt;&gt;"N/A"),"Firmware Install, ","")&amp;IF(AND($BJ16&lt;&gt;"Yes",$BJ16&lt;&gt;"N/A"),"Device ID, ","")&amp;IF(AND($BK16&lt;&gt;"Yes",$BK16&lt;&gt;"N/A"),"Epic Beans Relay, ",""))-2)))</f>
      </c>
      <c r="BM16">
        <f>IF($T16="","",IF($BL16="","Yes","Blocked"))</f>
      </c>
      <c r="BP16">
        <f>IF($BO16="","",IFERROR(VLOOKUP($BO16,'01_Warehouse_Ledger'!$A:$N,4,FALSE),""))</f>
      </c>
      <c r="BQ16">
        <f>IF($BO16="","",IFERROR(VLOOKUP($BO16,'01_Warehouse_Ledger'!$A:$N,5,FALSE),""))</f>
      </c>
      <c r="BR16">
        <f>IF($BO16="","",IFERROR(VLOOKUP($BO16,'01_Warehouse_Ledger'!$A:$N,13,FALSE),""))</f>
      </c>
    </row>
    <row r="17">
      <c r="A17" t="s">
        <v>1331</v>
      </c>
      <c r="B17" t="s">
        <v>1727</v>
      </c>
      <c r="C17" t="s">
        <v>1727</v>
      </c>
      <c r="D17">
        <f>IF($B17&lt;&gt;"Yes","",IF($C17="No","Yes",IF($C17="Yes","No","")))</f>
      </c>
      <c r="E17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</c>
      <c r="F17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</c>
      <c r="G17" t="s">
        <v>2089</v>
      </c>
      <c r="H17" t="s">
        <v>2089</v>
      </c>
      <c r="J17" t="s">
        <v>2115</v>
      </c>
      <c r="K17" t="s">
        <v>2115</v>
      </c>
      <c r="L17" t="s">
        <v>2115</v>
      </c>
      <c r="S17" t="s">
        <v>2258</v>
      </c>
      <c r="T17" t="s">
        <v>2261</v>
      </c>
      <c r="U17" t="s">
        <v>2359</v>
      </c>
      <c r="V17" t="s">
        <v>1727</v>
      </c>
      <c r="W17" t="s">
        <v>2177</v>
      </c>
      <c r="X17" t="s">
        <v>1707</v>
      </c>
      <c r="Y17" t="s">
        <v>1380</v>
      </c>
      <c r="AA17" t="s">
        <v>1867</v>
      </c>
      <c r="AC17" t="s">
        <v>1713</v>
      </c>
      <c r="AD17" t="s">
        <v>1380</v>
      </c>
      <c r="AF17" t="s">
        <v>2257</v>
      </c>
      <c r="AG17" t="s">
        <v>1999</v>
      </c>
      <c r="AH17">
        <v>16</v>
      </c>
      <c r="AI17" t="s">
        <v>1853</v>
      </c>
      <c r="AJ17" t="s">
        <v>2131</v>
      </c>
      <c r="AK17" t="s">
        <v>2361</v>
      </c>
      <c r="AL17" t="s">
        <v>1713</v>
      </c>
      <c r="AM17" t="s">
        <v>1335</v>
      </c>
      <c r="AR17" t="s">
        <v>1380</v>
      </c>
      <c r="AS17" t="s">
        <v>1991</v>
      </c>
      <c r="AT17" t="s">
        <v>1380</v>
      </c>
      <c r="AU17" t="s">
        <v>1380</v>
      </c>
      <c r="AV17" t="s">
        <v>1380</v>
      </c>
      <c r="AW17" t="s">
        <v>1727</v>
      </c>
      <c r="AX17" t="s">
        <v>1727</v>
      </c>
      <c r="BA17">
        <v>46027.0</v>
      </c>
      <c r="BB17" t="s">
        <v>1727</v>
      </c>
      <c r="BD17" t="s">
        <v>2151</v>
      </c>
      <c r="BE17" t="s">
        <v>1727</v>
      </c>
      <c r="BF17" t="s">
        <v>1727</v>
      </c>
      <c r="BG17" t="s">
        <v>1727</v>
      </c>
      <c r="BH17" t="s">
        <v>1727</v>
      </c>
      <c r="BJ17" t="s">
        <v>1727</v>
      </c>
      <c r="BK17" t="s">
        <v>1657</v>
      </c>
      <c r="BL17">
        <f>IF($T17="","",IF((IF(AND($AW17&lt;&gt;"Yes",$AW17&lt;&gt;"N/A"),"Power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",""))="","",LEFT(IF(AND($AW17&lt;&gt;"Yes",$AW17&lt;&gt;"N/A"),"Power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",""),LEN(IF(AND($AW17&lt;&gt;"Yes",$AW17&lt;&gt;"N/A"),"Power Cable, ","")&amp;IF(AND($AX17&lt;&gt;"Yes",$AX17&lt;&gt;"N/A"),"Battery, ","")&amp;IF(AND($BE17&lt;&gt;"Yes",$BE17&lt;&gt;"N/A"),"Firmware Download, ","")&amp;IF(AND(OR($BE17="Yes",$BE17="N/A"),$BF17&lt;&gt;"Yes",$BF17&lt;&gt;"N/A"),"Firmware Install, ","")&amp;IF(AND($BJ17&lt;&gt;"Yes",$BJ17&lt;&gt;"N/A"),"Device ID, ","")&amp;IF(AND($BK17&lt;&gt;"Yes",$BK17&lt;&gt;"N/A"),"Epic Beans Relay, ",""))-2)))</f>
      </c>
      <c r="BM17">
        <f>IF($T17="","",IF($BL17="","Yes","Blocked"))</f>
      </c>
      <c r="BP17">
        <f>IF($BO17="","",IFERROR(VLOOKUP($BO17,'01_Warehouse_Ledger'!$A:$N,4,FALSE),""))</f>
      </c>
      <c r="BQ17">
        <f>IF($BO17="","",IFERROR(VLOOKUP($BO17,'01_Warehouse_Ledger'!$A:$N,5,FALSE),""))</f>
      </c>
      <c r="BR17">
        <f>IF($BO17="","",IFERROR(VLOOKUP($BO17,'01_Warehouse_Ledger'!$A:$N,13,FALSE),""))</f>
      </c>
    </row>
    <row r="18">
      <c r="A18" t="s">
        <v>1331</v>
      </c>
      <c r="B18" t="s">
        <v>1727</v>
      </c>
      <c r="C18" t="s">
        <v>1727</v>
      </c>
      <c r="D18">
        <f>IF($B18&lt;&gt;"Yes","",IF($C18="No","Yes",IF($C18="Yes","No","")))</f>
      </c>
      <c r="E18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</c>
      <c r="F18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</c>
      <c r="G18" t="s">
        <v>2089</v>
      </c>
      <c r="H18" t="s">
        <v>2089</v>
      </c>
      <c r="J18" t="s">
        <v>2115</v>
      </c>
      <c r="K18" t="s">
        <v>2115</v>
      </c>
      <c r="L18" t="s">
        <v>2115</v>
      </c>
      <c r="S18" t="s">
        <v>2242</v>
      </c>
      <c r="T18" t="s">
        <v>1784</v>
      </c>
      <c r="U18" t="s">
        <v>1849</v>
      </c>
      <c r="V18" t="s">
        <v>1727</v>
      </c>
      <c r="W18" t="s">
        <v>2096</v>
      </c>
      <c r="X18" t="s">
        <v>1707</v>
      </c>
      <c r="Y18" t="s">
        <v>1380</v>
      </c>
      <c r="AA18" t="s">
        <v>1867</v>
      </c>
      <c r="AC18" t="s">
        <v>1779</v>
      </c>
      <c r="AD18" t="s">
        <v>1380</v>
      </c>
      <c r="AF18" t="s">
        <v>2257</v>
      </c>
      <c r="AG18" t="s">
        <v>1999</v>
      </c>
      <c r="AH18">
        <v>17</v>
      </c>
      <c r="AI18" t="s">
        <v>1789</v>
      </c>
      <c r="AJ18" t="s">
        <v>2131</v>
      </c>
      <c r="AK18" t="s">
        <v>2361</v>
      </c>
      <c r="AL18" t="s">
        <v>1779</v>
      </c>
      <c r="AM18" t="s">
        <v>1335</v>
      </c>
      <c r="AR18" t="s">
        <v>1380</v>
      </c>
      <c r="AS18" t="s">
        <v>1991</v>
      </c>
      <c r="AT18" t="s">
        <v>1380</v>
      </c>
      <c r="AU18" t="s">
        <v>1380</v>
      </c>
      <c r="AV18" t="s">
        <v>1380</v>
      </c>
      <c r="AW18" t="s">
        <v>1727</v>
      </c>
      <c r="AX18" t="s">
        <v>1727</v>
      </c>
      <c r="BA18">
        <v>46027.0</v>
      </c>
      <c r="BB18" t="s">
        <v>1727</v>
      </c>
      <c r="BD18" t="s">
        <v>2151</v>
      </c>
      <c r="BE18" t="s">
        <v>1727</v>
      </c>
      <c r="BF18" t="s">
        <v>1727</v>
      </c>
      <c r="BG18" t="s">
        <v>1727</v>
      </c>
      <c r="BH18" t="s">
        <v>1727</v>
      </c>
      <c r="BJ18" t="s">
        <v>1727</v>
      </c>
      <c r="BK18" t="s">
        <v>1657</v>
      </c>
      <c r="BL18">
        <f>IF($T18="","",IF((IF(AND($AW18&lt;&gt;"Yes",$AW18&lt;&gt;"N/A"),"Power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",""))="","",LEFT(IF(AND($AW18&lt;&gt;"Yes",$AW18&lt;&gt;"N/A"),"Power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",""),LEN(IF(AND($AW18&lt;&gt;"Yes",$AW18&lt;&gt;"N/A"),"Power Cable, ","")&amp;IF(AND($AX18&lt;&gt;"Yes",$AX18&lt;&gt;"N/A"),"Battery, ","")&amp;IF(AND($BE18&lt;&gt;"Yes",$BE18&lt;&gt;"N/A"),"Firmware Download, ","")&amp;IF(AND(OR($BE18="Yes",$BE18="N/A"),$BF18&lt;&gt;"Yes",$BF18&lt;&gt;"N/A"),"Firmware Install, ","")&amp;IF(AND($BJ18&lt;&gt;"Yes",$BJ18&lt;&gt;"N/A"),"Device ID, ","")&amp;IF(AND($BK18&lt;&gt;"Yes",$BK18&lt;&gt;"N/A"),"Epic Beans Relay, ",""))-2)))</f>
      </c>
      <c r="BM18">
        <f>IF($T18="","",IF($BL18="","Yes","Blocked"))</f>
      </c>
      <c r="BP18">
        <f>IF($BO18="","",IFERROR(VLOOKUP($BO18,'01_Warehouse_Ledger'!$A:$N,4,FALSE),""))</f>
      </c>
      <c r="BQ18">
        <f>IF($BO18="","",IFERROR(VLOOKUP($BO18,'01_Warehouse_Ledger'!$A:$N,5,FALSE),""))</f>
      </c>
      <c r="BR18">
        <f>IF($BO18="","",IFERROR(VLOOKUP($BO18,'01_Warehouse_Ledger'!$A:$N,13,FALSE),""))</f>
      </c>
    </row>
    <row r="19">
      <c r="A19" t="s">
        <v>1331</v>
      </c>
      <c r="B19" t="s">
        <v>1727</v>
      </c>
      <c r="C19" t="s">
        <v>1727</v>
      </c>
      <c r="D19">
        <f>IF($B19&lt;&gt;"Yes","",IF($C19="No","Yes",IF($C19="Yes","No","")))</f>
      </c>
      <c r="E19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</c>
      <c r="F19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</c>
      <c r="G19" t="s">
        <v>2089</v>
      </c>
      <c r="H19" t="s">
        <v>2089</v>
      </c>
      <c r="J19" t="s">
        <v>2115</v>
      </c>
      <c r="K19" t="s">
        <v>2115</v>
      </c>
      <c r="L19" t="s">
        <v>2115</v>
      </c>
      <c r="S19" t="s">
        <v>1861</v>
      </c>
      <c r="T19" t="s">
        <v>2212</v>
      </c>
      <c r="U19" t="s">
        <v>1652</v>
      </c>
      <c r="V19" t="s">
        <v>1727</v>
      </c>
      <c r="W19" t="s">
        <v>1735</v>
      </c>
      <c r="X19" t="s">
        <v>1707</v>
      </c>
      <c r="Y19" t="s">
        <v>1380</v>
      </c>
      <c r="AA19" t="s">
        <v>1867</v>
      </c>
      <c r="AC19" t="s">
        <v>1744</v>
      </c>
      <c r="AD19" t="s">
        <v>1380</v>
      </c>
      <c r="AF19" t="s">
        <v>2257</v>
      </c>
      <c r="AG19" t="s">
        <v>1999</v>
      </c>
      <c r="AH19">
        <v>18</v>
      </c>
      <c r="AI19" t="s">
        <v>2159</v>
      </c>
      <c r="AJ19" t="s">
        <v>2131</v>
      </c>
      <c r="AK19" t="s">
        <v>2361</v>
      </c>
      <c r="AL19" t="s">
        <v>1744</v>
      </c>
      <c r="AM19" t="s">
        <v>1335</v>
      </c>
      <c r="AR19" t="s">
        <v>1380</v>
      </c>
      <c r="AS19" t="s">
        <v>1991</v>
      </c>
      <c r="AT19" t="s">
        <v>1380</v>
      </c>
      <c r="AU19" t="s">
        <v>1380</v>
      </c>
      <c r="AV19" t="s">
        <v>1380</v>
      </c>
      <c r="AW19" t="s">
        <v>1727</v>
      </c>
      <c r="AX19" t="s">
        <v>1727</v>
      </c>
      <c r="BA19">
        <v>46027.0</v>
      </c>
      <c r="BB19" t="s">
        <v>1727</v>
      </c>
      <c r="BD19" t="s">
        <v>2151</v>
      </c>
      <c r="BE19" t="s">
        <v>1727</v>
      </c>
      <c r="BF19" t="s">
        <v>1727</v>
      </c>
      <c r="BG19" t="s">
        <v>1727</v>
      </c>
      <c r="BH19" t="s">
        <v>1727</v>
      </c>
      <c r="BJ19" t="s">
        <v>1727</v>
      </c>
      <c r="BK19" t="s">
        <v>1657</v>
      </c>
      <c r="BL19">
        <f>IF($T19="","",IF((IF(AND($AW19&lt;&gt;"Yes",$AW19&lt;&gt;"N/A"),"Power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",""))="","",LEFT(IF(AND($AW19&lt;&gt;"Yes",$AW19&lt;&gt;"N/A"),"Power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",""),LEN(IF(AND($AW19&lt;&gt;"Yes",$AW19&lt;&gt;"N/A"),"Power Cable, ","")&amp;IF(AND($AX19&lt;&gt;"Yes",$AX19&lt;&gt;"N/A"),"Battery, ","")&amp;IF(AND($BE19&lt;&gt;"Yes",$BE19&lt;&gt;"N/A"),"Firmware Download, ","")&amp;IF(AND(OR($BE19="Yes",$BE19="N/A"),$BF19&lt;&gt;"Yes",$BF19&lt;&gt;"N/A"),"Firmware Install, ","")&amp;IF(AND($BJ19&lt;&gt;"Yes",$BJ19&lt;&gt;"N/A"),"Device ID, ","")&amp;IF(AND($BK19&lt;&gt;"Yes",$BK19&lt;&gt;"N/A"),"Epic Beans Relay, ",""))-2)))</f>
      </c>
      <c r="BM19">
        <f>IF($T19="","",IF($BL19="","Yes","Blocked"))</f>
      </c>
      <c r="BP19">
        <f>IF($BO19="","",IFERROR(VLOOKUP($BO19,'01_Warehouse_Ledger'!$A:$N,4,FALSE),""))</f>
      </c>
      <c r="BQ19">
        <f>IF($BO19="","",IFERROR(VLOOKUP($BO19,'01_Warehouse_Ledger'!$A:$N,5,FALSE),""))</f>
      </c>
      <c r="BR19">
        <f>IF($BO19="","",IFERROR(VLOOKUP($BO19,'01_Warehouse_Ledger'!$A:$N,13,FALSE),""))</f>
      </c>
    </row>
    <row r="20">
      <c r="A20" t="s">
        <v>1331</v>
      </c>
      <c r="B20" t="s">
        <v>1727</v>
      </c>
      <c r="C20" t="s">
        <v>1727</v>
      </c>
      <c r="D20">
        <f>IF($B20&lt;&gt;"Yes","",IF($C20="No","Yes",IF($C20="Yes","No","")))</f>
      </c>
      <c r="E20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</c>
      <c r="F20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</c>
      <c r="G20" t="s">
        <v>2089</v>
      </c>
      <c r="H20" t="s">
        <v>2089</v>
      </c>
      <c r="J20" t="s">
        <v>2115</v>
      </c>
      <c r="K20" t="s">
        <v>2115</v>
      </c>
      <c r="L20" t="s">
        <v>2115</v>
      </c>
      <c r="S20" t="s">
        <v>2132</v>
      </c>
      <c r="T20" t="s">
        <v>1962</v>
      </c>
      <c r="U20" t="s">
        <v>1633</v>
      </c>
      <c r="V20" t="s">
        <v>1727</v>
      </c>
      <c r="W20" t="s">
        <v>2392</v>
      </c>
      <c r="X20" t="s">
        <v>1707</v>
      </c>
      <c r="Y20" t="s">
        <v>1380</v>
      </c>
      <c r="AA20" t="s">
        <v>1867</v>
      </c>
      <c r="AC20" t="s">
        <v>1712</v>
      </c>
      <c r="AD20" t="s">
        <v>1380</v>
      </c>
      <c r="AF20" t="s">
        <v>2257</v>
      </c>
      <c r="AG20" t="s">
        <v>1999</v>
      </c>
      <c r="AH20">
        <v>19</v>
      </c>
      <c r="AI20" t="s">
        <v>2243</v>
      </c>
      <c r="AJ20" t="s">
        <v>2131</v>
      </c>
      <c r="AK20" t="s">
        <v>2361</v>
      </c>
      <c r="AL20" t="s">
        <v>1712</v>
      </c>
      <c r="AM20" t="s">
        <v>1335</v>
      </c>
      <c r="AR20" t="s">
        <v>1380</v>
      </c>
      <c r="AS20" t="s">
        <v>1991</v>
      </c>
      <c r="AT20" t="s">
        <v>1380</v>
      </c>
      <c r="AU20" t="s">
        <v>1380</v>
      </c>
      <c r="AV20" t="s">
        <v>1380</v>
      </c>
      <c r="AW20" t="s">
        <v>1727</v>
      </c>
      <c r="AX20" t="s">
        <v>1727</v>
      </c>
      <c r="BA20">
        <v>46027.0</v>
      </c>
      <c r="BB20" t="s">
        <v>1727</v>
      </c>
      <c r="BD20" t="s">
        <v>2151</v>
      </c>
      <c r="BE20" t="s">
        <v>1727</v>
      </c>
      <c r="BF20" t="s">
        <v>1727</v>
      </c>
      <c r="BG20" t="s">
        <v>1727</v>
      </c>
      <c r="BH20" t="s">
        <v>1727</v>
      </c>
      <c r="BJ20" t="s">
        <v>1727</v>
      </c>
      <c r="BK20" t="s">
        <v>1657</v>
      </c>
      <c r="BL20">
        <f>IF($T20="","",IF((IF(AND($AW20&lt;&gt;"Yes",$AW20&lt;&gt;"N/A"),"Power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",""))="","",LEFT(IF(AND($AW20&lt;&gt;"Yes",$AW20&lt;&gt;"N/A"),"Power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",""),LEN(IF(AND($AW20&lt;&gt;"Yes",$AW20&lt;&gt;"N/A"),"Power Cable, ","")&amp;IF(AND($AX20&lt;&gt;"Yes",$AX20&lt;&gt;"N/A"),"Battery, ","")&amp;IF(AND($BE20&lt;&gt;"Yes",$BE20&lt;&gt;"N/A"),"Firmware Download, ","")&amp;IF(AND(OR($BE20="Yes",$BE20="N/A"),$BF20&lt;&gt;"Yes",$BF20&lt;&gt;"N/A"),"Firmware Install, ","")&amp;IF(AND($BJ20&lt;&gt;"Yes",$BJ20&lt;&gt;"N/A"),"Device ID, ","")&amp;IF(AND($BK20&lt;&gt;"Yes",$BK20&lt;&gt;"N/A"),"Epic Beans Relay, ",""))-2)))</f>
      </c>
      <c r="BM20">
        <f>IF($T20="","",IF($BL20="","Yes","Blocked"))</f>
      </c>
      <c r="BP20">
        <f>IF($BO20="","",IFERROR(VLOOKUP($BO20,'01_Warehouse_Ledger'!$A:$N,4,FALSE),""))</f>
      </c>
      <c r="BQ20">
        <f>IF($BO20="","",IFERROR(VLOOKUP($BO20,'01_Warehouse_Ledger'!$A:$N,5,FALSE),""))</f>
      </c>
      <c r="BR20">
        <f>IF($BO20="","",IFERROR(VLOOKUP($BO20,'01_Warehouse_Ledger'!$A:$N,13,FALSE),""))</f>
      </c>
    </row>
    <row r="21">
      <c r="A21" t="s">
        <v>1331</v>
      </c>
      <c r="B21" t="s">
        <v>1727</v>
      </c>
      <c r="C21" t="s">
        <v>1727</v>
      </c>
      <c r="D21">
        <f>IF($B21&lt;&gt;"Yes","",IF($C21="No","Yes",IF($C21="Yes","No","")))</f>
      </c>
      <c r="E21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</c>
      <c r="F21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</c>
      <c r="G21" t="s">
        <v>2089</v>
      </c>
      <c r="H21" t="s">
        <v>2089</v>
      </c>
      <c r="J21" t="s">
        <v>2115</v>
      </c>
      <c r="K21" t="s">
        <v>2115</v>
      </c>
      <c r="L21" t="s">
        <v>2115</v>
      </c>
      <c r="S21" t="s">
        <v>2171</v>
      </c>
      <c r="T21" t="s">
        <v>2190</v>
      </c>
      <c r="U21" t="s">
        <v>2039</v>
      </c>
      <c r="V21" t="s">
        <v>1727</v>
      </c>
      <c r="W21" t="s">
        <v>1622</v>
      </c>
      <c r="X21" t="s">
        <v>1707</v>
      </c>
      <c r="Y21" t="s">
        <v>1380</v>
      </c>
      <c r="AA21" t="s">
        <v>1867</v>
      </c>
      <c r="AC21" t="s">
        <v>1640</v>
      </c>
      <c r="AD21" t="s">
        <v>1380</v>
      </c>
      <c r="AF21" t="s">
        <v>2257</v>
      </c>
      <c r="AG21" t="s">
        <v>1999</v>
      </c>
      <c r="AH21">
        <v>20</v>
      </c>
      <c r="AI21" t="s">
        <v>2292</v>
      </c>
      <c r="AJ21" t="s">
        <v>2131</v>
      </c>
      <c r="AK21" t="s">
        <v>2361</v>
      </c>
      <c r="AL21" t="s">
        <v>1640</v>
      </c>
      <c r="AM21" t="s">
        <v>1335</v>
      </c>
      <c r="AR21" t="s">
        <v>1380</v>
      </c>
      <c r="AS21" t="s">
        <v>1991</v>
      </c>
      <c r="AT21" t="s">
        <v>1380</v>
      </c>
      <c r="AU21" t="s">
        <v>1380</v>
      </c>
      <c r="AV21" t="s">
        <v>1380</v>
      </c>
      <c r="AW21" t="s">
        <v>1727</v>
      </c>
      <c r="AX21" t="s">
        <v>1727</v>
      </c>
      <c r="BA21">
        <v>46027.0</v>
      </c>
      <c r="BB21" t="s">
        <v>1727</v>
      </c>
      <c r="BD21" t="s">
        <v>2151</v>
      </c>
      <c r="BE21" t="s">
        <v>1727</v>
      </c>
      <c r="BF21" t="s">
        <v>1727</v>
      </c>
      <c r="BG21" t="s">
        <v>1727</v>
      </c>
      <c r="BH21" t="s">
        <v>1727</v>
      </c>
      <c r="BJ21" t="s">
        <v>1727</v>
      </c>
      <c r="BK21" t="s">
        <v>1657</v>
      </c>
      <c r="BL21">
        <f>IF($T21="","",IF((IF(AND($AW21&lt;&gt;"Yes",$AW21&lt;&gt;"N/A"),"Power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",""))="","",LEFT(IF(AND($AW21&lt;&gt;"Yes",$AW21&lt;&gt;"N/A"),"Power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",""),LEN(IF(AND($AW21&lt;&gt;"Yes",$AW21&lt;&gt;"N/A"),"Power Cable, ","")&amp;IF(AND($AX21&lt;&gt;"Yes",$AX21&lt;&gt;"N/A"),"Battery, ","")&amp;IF(AND($BE21&lt;&gt;"Yes",$BE21&lt;&gt;"N/A"),"Firmware Download, ","")&amp;IF(AND(OR($BE21="Yes",$BE21="N/A"),$BF21&lt;&gt;"Yes",$BF21&lt;&gt;"N/A"),"Firmware Install, ","")&amp;IF(AND($BJ21&lt;&gt;"Yes",$BJ21&lt;&gt;"N/A"),"Device ID, ","")&amp;IF(AND($BK21&lt;&gt;"Yes",$BK21&lt;&gt;"N/A"),"Epic Beans Relay, ",""))-2)))</f>
      </c>
      <c r="BM21">
        <f>IF($T21="","",IF($BL21="","Yes","Blocked"))</f>
      </c>
      <c r="BP21">
        <f>IF($BO21="","",IFERROR(VLOOKUP($BO21,'01_Warehouse_Ledger'!$A:$N,4,FALSE),""))</f>
      </c>
      <c r="BQ21">
        <f>IF($BO21="","",IFERROR(VLOOKUP($BO21,'01_Warehouse_Ledger'!$A:$N,5,FALSE),""))</f>
      </c>
      <c r="BR21">
        <f>IF($BO21="","",IFERROR(VLOOKUP($BO21,'01_Warehouse_Ledger'!$A:$N,13,FALSE),""))</f>
      </c>
    </row>
    <row r="22">
      <c r="A22" t="s">
        <v>1331</v>
      </c>
      <c r="B22" t="s">
        <v>1727</v>
      </c>
      <c r="C22" t="s">
        <v>1727</v>
      </c>
      <c r="D22">
        <f>IF($B22&lt;&gt;"Yes","",IF($C22="No","Yes",IF($C22="Yes","No","")))</f>
      </c>
      <c r="E22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</c>
      <c r="F22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</c>
      <c r="G22" t="s">
        <v>2089</v>
      </c>
      <c r="H22" t="s">
        <v>2089</v>
      </c>
      <c r="J22" t="s">
        <v>2115</v>
      </c>
      <c r="K22" t="s">
        <v>2115</v>
      </c>
      <c r="L22" t="s">
        <v>2115</v>
      </c>
      <c r="S22" t="s">
        <v>1925</v>
      </c>
      <c r="T22" t="s">
        <v>2340</v>
      </c>
      <c r="U22" t="s">
        <v>2006</v>
      </c>
      <c r="V22" t="s">
        <v>1727</v>
      </c>
      <c r="W22" t="s">
        <v>1970</v>
      </c>
      <c r="X22" t="s">
        <v>1707</v>
      </c>
      <c r="Y22" t="s">
        <v>1380</v>
      </c>
      <c r="AA22" t="s">
        <v>1867</v>
      </c>
      <c r="AC22" t="s">
        <v>2325</v>
      </c>
      <c r="AD22" t="s">
        <v>1380</v>
      </c>
      <c r="AF22" t="s">
        <v>2257</v>
      </c>
      <c r="AG22" t="s">
        <v>1999</v>
      </c>
      <c r="AH22">
        <v>21</v>
      </c>
      <c r="AI22" t="s">
        <v>2223</v>
      </c>
      <c r="AJ22" t="s">
        <v>2131</v>
      </c>
      <c r="AK22" t="s">
        <v>2361</v>
      </c>
      <c r="AL22" t="s">
        <v>2325</v>
      </c>
      <c r="AM22" t="s">
        <v>1335</v>
      </c>
      <c r="AR22" t="s">
        <v>1380</v>
      </c>
      <c r="AS22" t="s">
        <v>1991</v>
      </c>
      <c r="AT22" t="s">
        <v>1380</v>
      </c>
      <c r="AU22" t="s">
        <v>1380</v>
      </c>
      <c r="AV22" t="s">
        <v>1380</v>
      </c>
      <c r="AW22" t="s">
        <v>1727</v>
      </c>
      <c r="AX22" t="s">
        <v>1727</v>
      </c>
      <c r="BA22">
        <v>46027.0</v>
      </c>
      <c r="BB22" t="s">
        <v>1727</v>
      </c>
      <c r="BD22" t="s">
        <v>2151</v>
      </c>
      <c r="BE22" t="s">
        <v>1727</v>
      </c>
      <c r="BF22" t="s">
        <v>1727</v>
      </c>
      <c r="BG22" t="s">
        <v>1727</v>
      </c>
      <c r="BH22" t="s">
        <v>1727</v>
      </c>
      <c r="BJ22" t="s">
        <v>1727</v>
      </c>
      <c r="BK22" t="s">
        <v>1657</v>
      </c>
      <c r="BL22">
        <f>IF($T22="","",IF((IF(AND($AW22&lt;&gt;"Yes",$AW22&lt;&gt;"N/A"),"Power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",""))="","",LEFT(IF(AND($AW22&lt;&gt;"Yes",$AW22&lt;&gt;"N/A"),"Power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",""),LEN(IF(AND($AW22&lt;&gt;"Yes",$AW22&lt;&gt;"N/A"),"Power Cable, ","")&amp;IF(AND($AX22&lt;&gt;"Yes",$AX22&lt;&gt;"N/A"),"Battery, ","")&amp;IF(AND($BE22&lt;&gt;"Yes",$BE22&lt;&gt;"N/A"),"Firmware Download, ","")&amp;IF(AND(OR($BE22="Yes",$BE22="N/A"),$BF22&lt;&gt;"Yes",$BF22&lt;&gt;"N/A"),"Firmware Install, ","")&amp;IF(AND($BJ22&lt;&gt;"Yes",$BJ22&lt;&gt;"N/A"),"Device ID, ","")&amp;IF(AND($BK22&lt;&gt;"Yes",$BK22&lt;&gt;"N/A"),"Epic Beans Relay, ",""))-2)))</f>
      </c>
      <c r="BM22">
        <f>IF($T22="","",IF($BL22="","Yes","Blocked"))</f>
      </c>
      <c r="BP22">
        <f>IF($BO22="","",IFERROR(VLOOKUP($BO22,'01_Warehouse_Ledger'!$A:$N,4,FALSE),""))</f>
      </c>
      <c r="BQ22">
        <f>IF($BO22="","",IFERROR(VLOOKUP($BO22,'01_Warehouse_Ledger'!$A:$N,5,FALSE),""))</f>
      </c>
      <c r="BR22">
        <f>IF($BO22="","",IFERROR(VLOOKUP($BO22,'01_Warehouse_Ledger'!$A:$N,13,FALSE),""))</f>
      </c>
    </row>
    <row r="23">
      <c r="A23" t="s">
        <v>1331</v>
      </c>
      <c r="B23" t="s">
        <v>1727</v>
      </c>
      <c r="C23" t="s">
        <v>1727</v>
      </c>
      <c r="D23">
        <f>IF($B23&lt;&gt;"Yes","",IF($C23="No","Yes",IF($C23="Yes","No","")))</f>
      </c>
      <c r="E23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</c>
      <c r="F23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</c>
      <c r="G23" t="s">
        <v>2089</v>
      </c>
      <c r="H23" t="s">
        <v>2089</v>
      </c>
      <c r="J23" t="s">
        <v>2115</v>
      </c>
      <c r="K23" t="s">
        <v>2115</v>
      </c>
      <c r="L23" t="s">
        <v>2115</v>
      </c>
      <c r="S23" t="s">
        <v>2044</v>
      </c>
      <c r="T23" t="s">
        <v>1936</v>
      </c>
      <c r="U23" t="s">
        <v>1665</v>
      </c>
      <c r="V23" t="s">
        <v>1727</v>
      </c>
      <c r="W23" t="s">
        <v>2029</v>
      </c>
      <c r="X23" t="s">
        <v>1707</v>
      </c>
      <c r="Y23" t="s">
        <v>1380</v>
      </c>
      <c r="AA23" t="s">
        <v>1867</v>
      </c>
      <c r="AC23" t="s">
        <v>2301</v>
      </c>
      <c r="AD23" t="s">
        <v>1380</v>
      </c>
      <c r="AF23" t="s">
        <v>2257</v>
      </c>
      <c r="AG23" t="s">
        <v>1999</v>
      </c>
      <c r="AH23">
        <v>22</v>
      </c>
      <c r="AI23" t="s">
        <v>2035</v>
      </c>
      <c r="AJ23" t="s">
        <v>2131</v>
      </c>
      <c r="AK23" t="s">
        <v>2361</v>
      </c>
      <c r="AL23" t="s">
        <v>2301</v>
      </c>
      <c r="AM23" t="s">
        <v>1335</v>
      </c>
      <c r="AR23" t="s">
        <v>1380</v>
      </c>
      <c r="AS23" t="s">
        <v>1991</v>
      </c>
      <c r="AT23" t="s">
        <v>1380</v>
      </c>
      <c r="AU23" t="s">
        <v>1380</v>
      </c>
      <c r="AV23" t="s">
        <v>1380</v>
      </c>
      <c r="AW23" t="s">
        <v>1727</v>
      </c>
      <c r="AX23" t="s">
        <v>1727</v>
      </c>
      <c r="BA23">
        <v>46027.0</v>
      </c>
      <c r="BB23" t="s">
        <v>1727</v>
      </c>
      <c r="BD23" t="s">
        <v>2151</v>
      </c>
      <c r="BE23" t="s">
        <v>1727</v>
      </c>
      <c r="BF23" t="s">
        <v>1727</v>
      </c>
      <c r="BG23" t="s">
        <v>1727</v>
      </c>
      <c r="BH23" t="s">
        <v>1727</v>
      </c>
      <c r="BJ23" t="s">
        <v>1727</v>
      </c>
      <c r="BK23" t="s">
        <v>1657</v>
      </c>
      <c r="BL23">
        <f>IF($T23="","",IF((IF(AND($AW23&lt;&gt;"Yes",$AW23&lt;&gt;"N/A"),"Power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",""))="","",LEFT(IF(AND($AW23&lt;&gt;"Yes",$AW23&lt;&gt;"N/A"),"Power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",""),LEN(IF(AND($AW23&lt;&gt;"Yes",$AW23&lt;&gt;"N/A"),"Power Cable, ","")&amp;IF(AND($AX23&lt;&gt;"Yes",$AX23&lt;&gt;"N/A"),"Battery, ","")&amp;IF(AND($BE23&lt;&gt;"Yes",$BE23&lt;&gt;"N/A"),"Firmware Download, ","")&amp;IF(AND(OR($BE23="Yes",$BE23="N/A"),$BF23&lt;&gt;"Yes",$BF23&lt;&gt;"N/A"),"Firmware Install, ","")&amp;IF(AND($BJ23&lt;&gt;"Yes",$BJ23&lt;&gt;"N/A"),"Device ID, ","")&amp;IF(AND($BK23&lt;&gt;"Yes",$BK23&lt;&gt;"N/A"),"Epic Beans Relay, ",""))-2)))</f>
      </c>
      <c r="BM23">
        <f>IF($T23="","",IF($BL23="","Yes","Blocked"))</f>
      </c>
      <c r="BP23">
        <f>IF($BO23="","",IFERROR(VLOOKUP($BO23,'01_Warehouse_Ledger'!$A:$N,4,FALSE),""))</f>
      </c>
      <c r="BQ23">
        <f>IF($BO23="","",IFERROR(VLOOKUP($BO23,'01_Warehouse_Ledger'!$A:$N,5,FALSE),""))</f>
      </c>
      <c r="BR23">
        <f>IF($BO23="","",IFERROR(VLOOKUP($BO23,'01_Warehouse_Ledger'!$A:$N,13,FALSE),""))</f>
      </c>
    </row>
    <row r="24">
      <c r="A24" t="s">
        <v>1331</v>
      </c>
      <c r="B24" t="s">
        <v>1727</v>
      </c>
      <c r="C24" t="s">
        <v>1727</v>
      </c>
      <c r="D24">
        <f>IF($B24&lt;&gt;"Yes","",IF($C24="No","Yes",IF($C24="Yes","No","")))</f>
      </c>
      <c r="E24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</c>
      <c r="F24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</c>
      <c r="G24" t="s">
        <v>2089</v>
      </c>
      <c r="H24" t="s">
        <v>2089</v>
      </c>
      <c r="J24" t="s">
        <v>2115</v>
      </c>
      <c r="K24" t="s">
        <v>2115</v>
      </c>
      <c r="L24" t="s">
        <v>2115</v>
      </c>
      <c r="S24" t="s">
        <v>1944</v>
      </c>
      <c r="T24" t="s">
        <v>2360</v>
      </c>
      <c r="U24" t="s">
        <v>2240</v>
      </c>
      <c r="V24" t="s">
        <v>1727</v>
      </c>
      <c r="W24" t="s">
        <v>1959</v>
      </c>
      <c r="X24" t="s">
        <v>1707</v>
      </c>
      <c r="Y24" t="s">
        <v>1380</v>
      </c>
      <c r="AA24" t="s">
        <v>1867</v>
      </c>
      <c r="AC24" t="s">
        <v>2048</v>
      </c>
      <c r="AD24" t="s">
        <v>1380</v>
      </c>
      <c r="AF24" t="s">
        <v>2257</v>
      </c>
      <c r="AG24" t="s">
        <v>1999</v>
      </c>
      <c r="AH24">
        <v>23</v>
      </c>
      <c r="AI24" t="s">
        <v>1805</v>
      </c>
      <c r="AJ24" t="s">
        <v>2131</v>
      </c>
      <c r="AK24" t="s">
        <v>2361</v>
      </c>
      <c r="AL24" t="s">
        <v>2048</v>
      </c>
      <c r="AM24" t="s">
        <v>1335</v>
      </c>
      <c r="AR24" t="s">
        <v>1380</v>
      </c>
      <c r="AS24" t="s">
        <v>1991</v>
      </c>
      <c r="AT24" t="s">
        <v>1380</v>
      </c>
      <c r="AU24" t="s">
        <v>1380</v>
      </c>
      <c r="AV24" t="s">
        <v>1380</v>
      </c>
      <c r="AW24" t="s">
        <v>1727</v>
      </c>
      <c r="AX24" t="s">
        <v>1727</v>
      </c>
      <c r="BA24">
        <v>46027.0</v>
      </c>
      <c r="BB24" t="s">
        <v>1727</v>
      </c>
      <c r="BD24" t="s">
        <v>2151</v>
      </c>
      <c r="BE24" t="s">
        <v>1727</v>
      </c>
      <c r="BF24" t="s">
        <v>1727</v>
      </c>
      <c r="BG24" t="s">
        <v>1727</v>
      </c>
      <c r="BH24" t="s">
        <v>1727</v>
      </c>
      <c r="BJ24" t="s">
        <v>1727</v>
      </c>
      <c r="BK24" t="s">
        <v>1657</v>
      </c>
      <c r="BL24">
        <f>IF($T24="","",IF((IF(AND($AW24&lt;&gt;"Yes",$AW24&lt;&gt;"N/A"),"Power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",""))="","",LEFT(IF(AND($AW24&lt;&gt;"Yes",$AW24&lt;&gt;"N/A"),"Power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",""),LEN(IF(AND($AW24&lt;&gt;"Yes",$AW24&lt;&gt;"N/A"),"Power Cable, ","")&amp;IF(AND($AX24&lt;&gt;"Yes",$AX24&lt;&gt;"N/A"),"Battery, ","")&amp;IF(AND($BE24&lt;&gt;"Yes",$BE24&lt;&gt;"N/A"),"Firmware Download, ","")&amp;IF(AND(OR($BE24="Yes",$BE24="N/A"),$BF24&lt;&gt;"Yes",$BF24&lt;&gt;"N/A"),"Firmware Install, ","")&amp;IF(AND($BJ24&lt;&gt;"Yes",$BJ24&lt;&gt;"N/A"),"Device ID, ","")&amp;IF(AND($BK24&lt;&gt;"Yes",$BK24&lt;&gt;"N/A"),"Epic Beans Relay, ",""))-2)))</f>
      </c>
      <c r="BM24">
        <f>IF($T24="","",IF($BL24="","Yes","Blocked"))</f>
      </c>
      <c r="BP24">
        <f>IF($BO24="","",IFERROR(VLOOKUP($BO24,'01_Warehouse_Ledger'!$A:$N,4,FALSE),""))</f>
      </c>
      <c r="BQ24">
        <f>IF($BO24="","",IFERROR(VLOOKUP($BO24,'01_Warehouse_Ledger'!$A:$N,5,FALSE),""))</f>
      </c>
      <c r="BR24">
        <f>IF($BO24="","",IFERROR(VLOOKUP($BO24,'01_Warehouse_Ledger'!$A:$N,13,FALSE),""))</f>
      </c>
    </row>
    <row r="25">
      <c r="A25" t="s">
        <v>1331</v>
      </c>
      <c r="B25" t="s">
        <v>1727</v>
      </c>
      <c r="C25" t="s">
        <v>1727</v>
      </c>
      <c r="D25">
        <f>IF($B25&lt;&gt;"Yes","",IF($C25="No","Yes",IF($C25="Yes","No","")))</f>
      </c>
      <c r="E25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</c>
      <c r="F25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</c>
      <c r="G25" t="s">
        <v>2089</v>
      </c>
      <c r="H25" t="s">
        <v>2089</v>
      </c>
      <c r="J25" t="s">
        <v>2115</v>
      </c>
      <c r="K25" t="s">
        <v>2115</v>
      </c>
      <c r="L25" t="s">
        <v>2115</v>
      </c>
      <c r="S25" t="s">
        <v>1801</v>
      </c>
      <c r="T25" t="s">
        <v>1917</v>
      </c>
      <c r="U25" t="s">
        <v>2309</v>
      </c>
      <c r="V25" t="s">
        <v>1727</v>
      </c>
      <c r="W25" t="s">
        <v>1703</v>
      </c>
      <c r="X25" t="s">
        <v>1707</v>
      </c>
      <c r="Y25" t="s">
        <v>1380</v>
      </c>
      <c r="AA25" t="s">
        <v>1867</v>
      </c>
      <c r="AC25" t="s">
        <v>2125</v>
      </c>
      <c r="AD25" t="s">
        <v>1380</v>
      </c>
      <c r="AF25" t="s">
        <v>2257</v>
      </c>
      <c r="AG25" t="s">
        <v>1999</v>
      </c>
      <c r="AH25">
        <v>24</v>
      </c>
      <c r="AI25" t="s">
        <v>1874</v>
      </c>
      <c r="AJ25" t="s">
        <v>2131</v>
      </c>
      <c r="AK25" t="s">
        <v>2361</v>
      </c>
      <c r="AL25" t="s">
        <v>2125</v>
      </c>
      <c r="AM25" t="s">
        <v>1335</v>
      </c>
      <c r="AR25" t="s">
        <v>1380</v>
      </c>
      <c r="AS25" t="s">
        <v>1991</v>
      </c>
      <c r="AT25" t="s">
        <v>1380</v>
      </c>
      <c r="AU25" t="s">
        <v>1380</v>
      </c>
      <c r="AV25" t="s">
        <v>1380</v>
      </c>
      <c r="AW25" t="s">
        <v>1727</v>
      </c>
      <c r="AX25" t="s">
        <v>1727</v>
      </c>
      <c r="BA25">
        <v>46027.0</v>
      </c>
      <c r="BB25" t="s">
        <v>1727</v>
      </c>
      <c r="BD25" t="s">
        <v>2151</v>
      </c>
      <c r="BE25" t="s">
        <v>1727</v>
      </c>
      <c r="BF25" t="s">
        <v>1727</v>
      </c>
      <c r="BG25" t="s">
        <v>1727</v>
      </c>
      <c r="BH25" t="s">
        <v>1727</v>
      </c>
      <c r="BJ25" t="s">
        <v>1727</v>
      </c>
      <c r="BK25" t="s">
        <v>1657</v>
      </c>
      <c r="BL25">
        <f>IF($T25="","",IF((IF(AND($AW25&lt;&gt;"Yes",$AW25&lt;&gt;"N/A"),"Power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",""))="","",LEFT(IF(AND($AW25&lt;&gt;"Yes",$AW25&lt;&gt;"N/A"),"Power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",""),LEN(IF(AND($AW25&lt;&gt;"Yes",$AW25&lt;&gt;"N/A"),"Power Cable, ","")&amp;IF(AND($AX25&lt;&gt;"Yes",$AX25&lt;&gt;"N/A"),"Battery, ","")&amp;IF(AND($BE25&lt;&gt;"Yes",$BE25&lt;&gt;"N/A"),"Firmware Download, ","")&amp;IF(AND(OR($BE25="Yes",$BE25="N/A"),$BF25&lt;&gt;"Yes",$BF25&lt;&gt;"N/A"),"Firmware Install, ","")&amp;IF(AND($BJ25&lt;&gt;"Yes",$BJ25&lt;&gt;"N/A"),"Device ID, ","")&amp;IF(AND($BK25&lt;&gt;"Yes",$BK25&lt;&gt;"N/A"),"Epic Beans Relay, ",""))-2)))</f>
      </c>
      <c r="BM25">
        <f>IF($T25="","",IF($BL25="","Yes","Blocked"))</f>
      </c>
      <c r="BP25">
        <f>IF($BO25="","",IFERROR(VLOOKUP($BO25,'01_Warehouse_Ledger'!$A:$N,4,FALSE),""))</f>
      </c>
      <c r="BQ25">
        <f>IF($BO25="","",IFERROR(VLOOKUP($BO25,'01_Warehouse_Ledger'!$A:$N,5,FALSE),""))</f>
      </c>
      <c r="BR25">
        <f>IF($BO25="","",IFERROR(VLOOKUP($BO25,'01_Warehouse_Ledger'!$A:$N,13,FALSE),""))</f>
      </c>
    </row>
    <row r="26">
      <c r="A26" t="s">
        <v>1331</v>
      </c>
      <c r="B26" t="s">
        <v>1727</v>
      </c>
      <c r="C26" t="s">
        <v>1727</v>
      </c>
      <c r="D26">
        <f>IF($B26&lt;&gt;"Yes","",IF($C26="No","Yes",IF($C26="Yes","No","")))</f>
      </c>
      <c r="E26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</c>
      <c r="F26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</c>
      <c r="G26" t="s">
        <v>2089</v>
      </c>
      <c r="H26" t="s">
        <v>2089</v>
      </c>
      <c r="J26" t="s">
        <v>2115</v>
      </c>
      <c r="K26" t="s">
        <v>2115</v>
      </c>
      <c r="L26" t="s">
        <v>2115</v>
      </c>
      <c r="S26" t="s">
        <v>1992</v>
      </c>
      <c r="T26" t="s">
        <v>2276</v>
      </c>
      <c r="U26" t="s">
        <v>1844</v>
      </c>
      <c r="V26" t="s">
        <v>1727</v>
      </c>
      <c r="W26" t="s">
        <v>2266</v>
      </c>
      <c r="X26" t="s">
        <v>1707</v>
      </c>
      <c r="Y26" t="s">
        <v>1380</v>
      </c>
      <c r="AA26" t="s">
        <v>1867</v>
      </c>
      <c r="AC26" t="s">
        <v>1896</v>
      </c>
      <c r="AD26" t="s">
        <v>1380</v>
      </c>
      <c r="AF26" t="s">
        <v>2257</v>
      </c>
      <c r="AG26" t="s">
        <v>1999</v>
      </c>
      <c r="AH26">
        <v>25</v>
      </c>
      <c r="AI26" t="s">
        <v>1836</v>
      </c>
      <c r="AJ26" t="s">
        <v>2131</v>
      </c>
      <c r="AK26" t="s">
        <v>2361</v>
      </c>
      <c r="AL26" t="s">
        <v>1896</v>
      </c>
      <c r="AM26" t="s">
        <v>1335</v>
      </c>
      <c r="AR26" t="s">
        <v>1380</v>
      </c>
      <c r="AS26" t="s">
        <v>1991</v>
      </c>
      <c r="AT26" t="s">
        <v>1380</v>
      </c>
      <c r="AU26" t="s">
        <v>1380</v>
      </c>
      <c r="AV26" t="s">
        <v>1380</v>
      </c>
      <c r="AW26" t="s">
        <v>1727</v>
      </c>
      <c r="AX26" t="s">
        <v>1727</v>
      </c>
      <c r="BA26">
        <v>46027.0</v>
      </c>
      <c r="BB26" t="s">
        <v>1727</v>
      </c>
      <c r="BD26" t="s">
        <v>2151</v>
      </c>
      <c r="BE26" t="s">
        <v>1727</v>
      </c>
      <c r="BF26" t="s">
        <v>1727</v>
      </c>
      <c r="BG26" t="s">
        <v>1727</v>
      </c>
      <c r="BH26" t="s">
        <v>1727</v>
      </c>
      <c r="BJ26" t="s">
        <v>1727</v>
      </c>
      <c r="BK26" t="s">
        <v>1657</v>
      </c>
      <c r="BL26">
        <f>IF($T26="","",IF((IF(AND($AW26&lt;&gt;"Yes",$AW26&lt;&gt;"N/A"),"Power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",""))="","",LEFT(IF(AND($AW26&lt;&gt;"Yes",$AW26&lt;&gt;"N/A"),"Power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",""),LEN(IF(AND($AW26&lt;&gt;"Yes",$AW26&lt;&gt;"N/A"),"Power Cable, ","")&amp;IF(AND($AX26&lt;&gt;"Yes",$AX26&lt;&gt;"N/A"),"Battery, ","")&amp;IF(AND($BE26&lt;&gt;"Yes",$BE26&lt;&gt;"N/A"),"Firmware Download, ","")&amp;IF(AND(OR($BE26="Yes",$BE26="N/A"),$BF26&lt;&gt;"Yes",$BF26&lt;&gt;"N/A"),"Firmware Install, ","")&amp;IF(AND($BJ26&lt;&gt;"Yes",$BJ26&lt;&gt;"N/A"),"Device ID, ","")&amp;IF(AND($BK26&lt;&gt;"Yes",$BK26&lt;&gt;"N/A"),"Epic Beans Relay, ",""))-2)))</f>
      </c>
      <c r="BM26">
        <f>IF($T26="","",IF($BL26="","Yes","Blocked"))</f>
      </c>
      <c r="BP26">
        <f>IF($BO26="","",IFERROR(VLOOKUP($BO26,'01_Warehouse_Ledger'!$A:$N,4,FALSE),""))</f>
      </c>
      <c r="BQ26">
        <f>IF($BO26="","",IFERROR(VLOOKUP($BO26,'01_Warehouse_Ledger'!$A:$N,5,FALSE),""))</f>
      </c>
      <c r="BR26">
        <f>IF($BO26="","",IFERROR(VLOOKUP($BO26,'01_Warehouse_Ledger'!$A:$N,13,FALSE),""))</f>
      </c>
    </row>
    <row r="27">
      <c r="A27" t="s">
        <v>1331</v>
      </c>
      <c r="B27" t="s">
        <v>1727</v>
      </c>
      <c r="C27" t="s">
        <v>1657</v>
      </c>
      <c r="D27">
        <f>IF($B27&lt;&gt;"Yes","",IF($C27="No","Yes",IF($C27="Yes","No","")))</f>
      </c>
      <c r="E27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</c>
      <c r="F27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</c>
      <c r="G27" t="s">
        <v>2089</v>
      </c>
      <c r="H27" t="s">
        <v>2089</v>
      </c>
      <c r="J27" t="s">
        <v>2115</v>
      </c>
      <c r="K27" t="s">
        <v>2115</v>
      </c>
      <c r="L27" t="s">
        <v>2115</v>
      </c>
      <c r="S27" t="s">
        <v>1642</v>
      </c>
      <c r="T27" t="s">
        <v>2399</v>
      </c>
      <c r="U27" t="s">
        <v>1997</v>
      </c>
      <c r="V27" t="s">
        <v>1727</v>
      </c>
      <c r="W27" t="s">
        <v>1890</v>
      </c>
      <c r="X27" t="s">
        <v>1707</v>
      </c>
      <c r="Y27" t="s">
        <v>1380</v>
      </c>
      <c r="AA27" t="s">
        <v>1867</v>
      </c>
      <c r="AD27" t="s">
        <v>1380</v>
      </c>
      <c r="AW27" t="s">
        <v>1727</v>
      </c>
      <c r="AX27" t="s">
        <v>1727</v>
      </c>
      <c r="BA27">
        <v>46027.0</v>
      </c>
      <c r="BB27" t="s">
        <v>1727</v>
      </c>
      <c r="BD27" t="s">
        <v>2151</v>
      </c>
      <c r="BE27" t="s">
        <v>1727</v>
      </c>
      <c r="BF27" t="s">
        <v>1727</v>
      </c>
      <c r="BG27" t="s">
        <v>1727</v>
      </c>
      <c r="BH27" t="s">
        <v>1727</v>
      </c>
      <c r="BJ27" t="s">
        <v>1727</v>
      </c>
      <c r="BK27" t="s">
        <v>1657</v>
      </c>
      <c r="BL27">
        <f>IF($T27="","",IF((IF(AND($AW27&lt;&gt;"Yes",$AW27&lt;&gt;"N/A"),"Power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",""))="","",LEFT(IF(AND($AW27&lt;&gt;"Yes",$AW27&lt;&gt;"N/A"),"Power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",""),LEN(IF(AND($AW27&lt;&gt;"Yes",$AW27&lt;&gt;"N/A"),"Power Cable, ","")&amp;IF(AND($AX27&lt;&gt;"Yes",$AX27&lt;&gt;"N/A"),"Battery, ","")&amp;IF(AND($BE27&lt;&gt;"Yes",$BE27&lt;&gt;"N/A"),"Firmware Download, ","")&amp;IF(AND(OR($BE27="Yes",$BE27="N/A"),$BF27&lt;&gt;"Yes",$BF27&lt;&gt;"N/A"),"Firmware Install, ","")&amp;IF(AND($BJ27&lt;&gt;"Yes",$BJ27&lt;&gt;"N/A"),"Device ID, ","")&amp;IF(AND($BK27&lt;&gt;"Yes",$BK27&lt;&gt;"N/A"),"Epic Beans Relay, ",""))-2)))</f>
      </c>
      <c r="BM27">
        <f>IF($T27="","",IF($BL27="","Yes","Blocked"))</f>
      </c>
      <c r="BP27">
        <f>IF($BO27="","",IFERROR(VLOOKUP($BO27,'01_Warehouse_Ledger'!$A:$N,4,FALSE),""))</f>
      </c>
      <c r="BQ27">
        <f>IF($BO27="","",IFERROR(VLOOKUP($BO27,'01_Warehouse_Ledger'!$A:$N,5,FALSE),""))</f>
      </c>
      <c r="BR27">
        <f>IF($BO27="","",IFERROR(VLOOKUP($BO27,'01_Warehouse_Ledger'!$A:$N,13,FALSE),""))</f>
      </c>
    </row>
    <row r="28">
      <c r="A28" t="s">
        <v>1331</v>
      </c>
      <c r="B28" t="s">
        <v>1727</v>
      </c>
      <c r="C28" t="s">
        <v>1657</v>
      </c>
      <c r="D28">
        <f>IF($B28&lt;&gt;"Yes","",IF($C28="No","Yes",IF($C28="Yes","No","")))</f>
      </c>
      <c r="E28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</c>
      <c r="F28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</c>
      <c r="G28" t="s">
        <v>2089</v>
      </c>
      <c r="H28" t="s">
        <v>2089</v>
      </c>
      <c r="J28" t="s">
        <v>2115</v>
      </c>
      <c r="K28" t="s">
        <v>2115</v>
      </c>
      <c r="L28" t="s">
        <v>2115</v>
      </c>
      <c r="S28" t="s">
        <v>1758</v>
      </c>
      <c r="T28" t="s">
        <v>2164</v>
      </c>
      <c r="U28" t="s">
        <v>1977</v>
      </c>
      <c r="V28" t="s">
        <v>1727</v>
      </c>
      <c r="W28" t="s">
        <v>1759</v>
      </c>
      <c r="X28" t="s">
        <v>1707</v>
      </c>
      <c r="Y28" t="s">
        <v>1380</v>
      </c>
      <c r="AA28" t="s">
        <v>1867</v>
      </c>
      <c r="AD28" t="s">
        <v>1380</v>
      </c>
      <c r="AW28" t="s">
        <v>1727</v>
      </c>
      <c r="AX28" t="s">
        <v>1727</v>
      </c>
      <c r="BA28">
        <v>46027.0</v>
      </c>
      <c r="BB28" t="s">
        <v>1727</v>
      </c>
      <c r="BD28" t="s">
        <v>2151</v>
      </c>
      <c r="BE28" t="s">
        <v>1727</v>
      </c>
      <c r="BF28" t="s">
        <v>1727</v>
      </c>
      <c r="BG28" t="s">
        <v>1727</v>
      </c>
      <c r="BH28" t="s">
        <v>1727</v>
      </c>
      <c r="BJ28" t="s">
        <v>1727</v>
      </c>
      <c r="BK28" t="s">
        <v>1657</v>
      </c>
      <c r="BL28">
        <f>IF($T28="","",IF((IF(AND($AW28&lt;&gt;"Yes",$AW28&lt;&gt;"N/A"),"Power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",""))="","",LEFT(IF(AND($AW28&lt;&gt;"Yes",$AW28&lt;&gt;"N/A"),"Power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",""),LEN(IF(AND($AW28&lt;&gt;"Yes",$AW28&lt;&gt;"N/A"),"Power Cable, ","")&amp;IF(AND($AX28&lt;&gt;"Yes",$AX28&lt;&gt;"N/A"),"Battery, ","")&amp;IF(AND($BE28&lt;&gt;"Yes",$BE28&lt;&gt;"N/A"),"Firmware Download, ","")&amp;IF(AND(OR($BE28="Yes",$BE28="N/A"),$BF28&lt;&gt;"Yes",$BF28&lt;&gt;"N/A"),"Firmware Install, ","")&amp;IF(AND($BJ28&lt;&gt;"Yes",$BJ28&lt;&gt;"N/A"),"Device ID, ","")&amp;IF(AND($BK28&lt;&gt;"Yes",$BK28&lt;&gt;"N/A"),"Epic Beans Relay, ",""))-2)))</f>
      </c>
      <c r="BM28">
        <f>IF($T28="","",IF($BL28="","Yes","Blocked"))</f>
      </c>
      <c r="BP28">
        <f>IF($BO28="","",IFERROR(VLOOKUP($BO28,'01_Warehouse_Ledger'!$A:$N,4,FALSE),""))</f>
      </c>
      <c r="BQ28">
        <f>IF($BO28="","",IFERROR(VLOOKUP($BO28,'01_Warehouse_Ledger'!$A:$N,5,FALSE),""))</f>
      </c>
      <c r="BR28">
        <f>IF($BO28="","",IFERROR(VLOOKUP($BO28,'01_Warehouse_Ledger'!$A:$N,13,FALSE),""))</f>
      </c>
    </row>
    <row r="29">
      <c r="A29" t="s">
        <v>1331</v>
      </c>
      <c r="B29" t="s">
        <v>1727</v>
      </c>
      <c r="C29" t="s">
        <v>1657</v>
      </c>
      <c r="D29">
        <f>IF($B29&lt;&gt;"Yes","",IF($C29="No","Yes",IF($C29="Yes","No","")))</f>
      </c>
      <c r="E29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</c>
      <c r="F29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</c>
      <c r="G29" t="s">
        <v>2089</v>
      </c>
      <c r="H29" t="s">
        <v>2089</v>
      </c>
      <c r="J29" t="s">
        <v>2115</v>
      </c>
      <c r="K29" t="s">
        <v>2115</v>
      </c>
      <c r="L29" t="s">
        <v>2115</v>
      </c>
      <c r="S29" t="s">
        <v>2273</v>
      </c>
      <c r="T29" t="s">
        <v>2069</v>
      </c>
      <c r="U29" t="s">
        <v>2052</v>
      </c>
      <c r="V29" t="s">
        <v>1727</v>
      </c>
      <c r="W29" t="s">
        <v>2220</v>
      </c>
      <c r="X29" t="s">
        <v>1707</v>
      </c>
      <c r="Y29" t="s">
        <v>1380</v>
      </c>
      <c r="AA29" t="s">
        <v>1867</v>
      </c>
      <c r="AD29" t="s">
        <v>1380</v>
      </c>
      <c r="AW29" t="s">
        <v>1727</v>
      </c>
      <c r="AX29" t="s">
        <v>1727</v>
      </c>
      <c r="BA29">
        <v>46027.0</v>
      </c>
      <c r="BB29" t="s">
        <v>1727</v>
      </c>
      <c r="BD29" t="s">
        <v>2151</v>
      </c>
      <c r="BE29" t="s">
        <v>1727</v>
      </c>
      <c r="BF29" t="s">
        <v>1727</v>
      </c>
      <c r="BG29" t="s">
        <v>1727</v>
      </c>
      <c r="BH29" t="s">
        <v>1727</v>
      </c>
      <c r="BJ29" t="s">
        <v>1727</v>
      </c>
      <c r="BK29" t="s">
        <v>1657</v>
      </c>
      <c r="BL29">
        <f>IF($T29="","",IF((IF(AND($AW29&lt;&gt;"Yes",$AW29&lt;&gt;"N/A"),"Power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",""))="","",LEFT(IF(AND($AW29&lt;&gt;"Yes",$AW29&lt;&gt;"N/A"),"Power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",""),LEN(IF(AND($AW29&lt;&gt;"Yes",$AW29&lt;&gt;"N/A"),"Power Cable, ","")&amp;IF(AND($AX29&lt;&gt;"Yes",$AX29&lt;&gt;"N/A"),"Battery, ","")&amp;IF(AND($BE29&lt;&gt;"Yes",$BE29&lt;&gt;"N/A"),"Firmware Download, ","")&amp;IF(AND(OR($BE29="Yes",$BE29="N/A"),$BF29&lt;&gt;"Yes",$BF29&lt;&gt;"N/A"),"Firmware Install, ","")&amp;IF(AND($BJ29&lt;&gt;"Yes",$BJ29&lt;&gt;"N/A"),"Device ID, ","")&amp;IF(AND($BK29&lt;&gt;"Yes",$BK29&lt;&gt;"N/A"),"Epic Beans Relay, ",""))-2)))</f>
      </c>
      <c r="BM29">
        <f>IF($T29="","",IF($BL29="","Yes","Blocked"))</f>
      </c>
      <c r="BP29">
        <f>IF($BO29="","",IFERROR(VLOOKUP($BO29,'01_Warehouse_Ledger'!$A:$N,4,FALSE),""))</f>
      </c>
      <c r="BQ29">
        <f>IF($BO29="","",IFERROR(VLOOKUP($BO29,'01_Warehouse_Ledger'!$A:$N,5,FALSE),""))</f>
      </c>
      <c r="BR29">
        <f>IF($BO29="","",IFERROR(VLOOKUP($BO29,'01_Warehouse_Ledger'!$A:$N,13,FALSE),""))</f>
      </c>
    </row>
    <row r="30">
      <c r="A30" t="s">
        <v>1331</v>
      </c>
      <c r="B30" t="s">
        <v>1657</v>
      </c>
      <c r="C30" t="s">
        <v>1657</v>
      </c>
      <c r="D30">
        <f>IF($B30&lt;&gt;"Yes","",IF($C30="No","Yes",IF($C30="Yes","No","")))</f>
      </c>
      <c r="E30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</c>
      <c r="F30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</c>
      <c r="G30" t="s">
        <v>1317</v>
      </c>
      <c r="H30" t="s">
        <v>2089</v>
      </c>
      <c r="S30" t="s">
        <v>2056</v>
      </c>
      <c r="T30" t="s">
        <v>1920</v>
      </c>
      <c r="U30" t="s">
        <v>1737</v>
      </c>
      <c r="V30" t="s">
        <v>1727</v>
      </c>
      <c r="W30" t="s">
        <v>1722</v>
      </c>
      <c r="X30" t="s">
        <v>1707</v>
      </c>
      <c r="Y30" t="s">
        <v>1380</v>
      </c>
      <c r="AD30" t="s">
        <v>1380</v>
      </c>
      <c r="AW30" t="s">
        <v>1727</v>
      </c>
      <c r="AX30" t="s">
        <v>1727</v>
      </c>
      <c r="BA30">
        <v>46027.0</v>
      </c>
      <c r="BB30" t="s">
        <v>1727</v>
      </c>
      <c r="BC30" t="s">
        <v>2368</v>
      </c>
      <c r="BD30" t="s">
        <v>2151</v>
      </c>
      <c r="BE30" t="s">
        <v>1727</v>
      </c>
      <c r="BF30" t="s">
        <v>1727</v>
      </c>
      <c r="BG30" t="s">
        <v>1727</v>
      </c>
      <c r="BH30" t="s">
        <v>1727</v>
      </c>
      <c r="BJ30" t="s">
        <v>1727</v>
      </c>
      <c r="BK30" t="s">
        <v>1657</v>
      </c>
      <c r="BL30">
        <f>IF($T30="","",IF((IF(AND($AW30&lt;&gt;"Yes",$AW30&lt;&gt;"N/A"),"Power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",""))="","",LEFT(IF(AND($AW30&lt;&gt;"Yes",$AW30&lt;&gt;"N/A"),"Power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",""),LEN(IF(AND($AW30&lt;&gt;"Yes",$AW30&lt;&gt;"N/A"),"Power Cable, ","")&amp;IF(AND($AX30&lt;&gt;"Yes",$AX30&lt;&gt;"N/A"),"Battery, ","")&amp;IF(AND($BE30&lt;&gt;"Yes",$BE30&lt;&gt;"N/A"),"Firmware Download, ","")&amp;IF(AND(OR($BE30="Yes",$BE30="N/A"),$BF30&lt;&gt;"Yes",$BF30&lt;&gt;"N/A"),"Firmware Install, ","")&amp;IF(AND($BJ30&lt;&gt;"Yes",$BJ30&lt;&gt;"N/A"),"Device ID, ","")&amp;IF(AND($BK30&lt;&gt;"Yes",$BK30&lt;&gt;"N/A"),"Epic Beans Relay, ",""))-2)))</f>
      </c>
      <c r="BM30">
        <f>IF($T30="","",IF($BL30="","Yes","Blocked"))</f>
      </c>
      <c r="BN30" t="s">
        <v>2404</v>
      </c>
      <c r="BP30">
        <f>IF($BO30="","",IFERROR(VLOOKUP($BO30,'01_Warehouse_Ledger'!$A:$N,4,FALSE),""))</f>
      </c>
      <c r="BQ30">
        <f>IF($BO30="","",IFERROR(VLOOKUP($BO30,'01_Warehouse_Ledger'!$A:$N,5,FALSE),""))</f>
      </c>
      <c r="BR30">
        <f>IF($BO30="","",IFERROR(VLOOKUP($BO30,'01_Warehouse_Ledger'!$A:$N,13,FALSE),""))</f>
      </c>
    </row>
    <row r="31">
      <c r="A31" t="s">
        <v>1331</v>
      </c>
      <c r="B31" t="s">
        <v>1657</v>
      </c>
      <c r="C31" t="s">
        <v>1657</v>
      </c>
      <c r="D31">
        <f>IF($B31&lt;&gt;"Yes","",IF($C31="No","Yes",IF($C31="Yes","No","")))</f>
      </c>
      <c r="E31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</c>
      <c r="F31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</c>
      <c r="G31" t="s">
        <v>1317</v>
      </c>
      <c r="H31" t="s">
        <v>2089</v>
      </c>
      <c r="S31" t="s">
        <v>2238</v>
      </c>
      <c r="T31" t="s">
        <v>2087</v>
      </c>
      <c r="U31" t="s">
        <v>1714</v>
      </c>
      <c r="V31" t="s">
        <v>1727</v>
      </c>
      <c r="W31" t="s">
        <v>2409</v>
      </c>
      <c r="X31" t="s">
        <v>1707</v>
      </c>
      <c r="Y31" t="s">
        <v>1380</v>
      </c>
      <c r="AD31" t="s">
        <v>1380</v>
      </c>
      <c r="AW31" t="s">
        <v>1727</v>
      </c>
      <c r="AX31" t="s">
        <v>1727</v>
      </c>
      <c r="BA31">
        <v>46027.0</v>
      </c>
      <c r="BB31" t="s">
        <v>1727</v>
      </c>
      <c r="BC31" t="s">
        <v>2368</v>
      </c>
      <c r="BD31" t="s">
        <v>2151</v>
      </c>
      <c r="BE31" t="s">
        <v>1727</v>
      </c>
      <c r="BF31" t="s">
        <v>1727</v>
      </c>
      <c r="BG31" t="s">
        <v>1727</v>
      </c>
      <c r="BH31" t="s">
        <v>1727</v>
      </c>
      <c r="BJ31" t="s">
        <v>1727</v>
      </c>
      <c r="BK31" t="s">
        <v>1657</v>
      </c>
      <c r="BL31">
        <f>IF($T31="","",IF((IF(AND($AW31&lt;&gt;"Yes",$AW31&lt;&gt;"N/A"),"Power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",""))="","",LEFT(IF(AND($AW31&lt;&gt;"Yes",$AW31&lt;&gt;"N/A"),"Power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",""),LEN(IF(AND($AW31&lt;&gt;"Yes",$AW31&lt;&gt;"N/A"),"Power Cable, ","")&amp;IF(AND($AX31&lt;&gt;"Yes",$AX31&lt;&gt;"N/A"),"Battery, ","")&amp;IF(AND($BE31&lt;&gt;"Yes",$BE31&lt;&gt;"N/A"),"Firmware Download, ","")&amp;IF(AND(OR($BE31="Yes",$BE31="N/A"),$BF31&lt;&gt;"Yes",$BF31&lt;&gt;"N/A"),"Firmware Install, ","")&amp;IF(AND($BJ31&lt;&gt;"Yes",$BJ31&lt;&gt;"N/A"),"Device ID, ","")&amp;IF(AND($BK31&lt;&gt;"Yes",$BK31&lt;&gt;"N/A"),"Epic Beans Relay, ",""))-2)))</f>
      </c>
      <c r="BM31">
        <f>IF($T31="","",IF($BL31="","Yes","Blocked"))</f>
      </c>
      <c r="BN31" t="s">
        <v>2017</v>
      </c>
      <c r="BP31">
        <f>IF($BO31="","",IFERROR(VLOOKUP($BO31,'01_Warehouse_Ledger'!$A:$N,4,FALSE),""))</f>
      </c>
      <c r="BQ31">
        <f>IF($BO31="","",IFERROR(VLOOKUP($BO31,'01_Warehouse_Ledger'!$A:$N,5,FALSE),""))</f>
      </c>
      <c r="BR31">
        <f>IF($BO31="","",IFERROR(VLOOKUP($BO31,'01_Warehouse_Ledger'!$A:$N,13,FALSE),""))</f>
      </c>
    </row>
    <row r="32">
      <c r="A32" t="s">
        <v>1331</v>
      </c>
      <c r="B32" t="s">
        <v>1657</v>
      </c>
      <c r="C32" t="s">
        <v>1657</v>
      </c>
      <c r="D32">
        <f>IF($B32&lt;&gt;"Yes","",IF($C32="No","Yes",IF($C32="Yes","No","")))</f>
      </c>
      <c r="E32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</c>
      <c r="F32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</c>
      <c r="G32" t="s">
        <v>1317</v>
      </c>
      <c r="H32" t="s">
        <v>2089</v>
      </c>
      <c r="S32" t="s">
        <v>2332</v>
      </c>
      <c r="T32" t="s">
        <v>1826</v>
      </c>
      <c r="U32" t="s">
        <v>1914</v>
      </c>
      <c r="V32" t="s">
        <v>1727</v>
      </c>
      <c r="W32" t="s">
        <v>1922</v>
      </c>
      <c r="X32" t="s">
        <v>1707</v>
      </c>
      <c r="Y32" t="s">
        <v>1380</v>
      </c>
      <c r="AD32" t="s">
        <v>1380</v>
      </c>
      <c r="AW32" t="s">
        <v>1727</v>
      </c>
      <c r="AX32" t="s">
        <v>1727</v>
      </c>
      <c r="BA32">
        <v>46027.0</v>
      </c>
      <c r="BB32" t="s">
        <v>1727</v>
      </c>
      <c r="BC32" t="s">
        <v>2368</v>
      </c>
      <c r="BD32" t="s">
        <v>2151</v>
      </c>
      <c r="BE32" t="s">
        <v>1727</v>
      </c>
      <c r="BF32" t="s">
        <v>1727</v>
      </c>
      <c r="BG32" t="s">
        <v>1727</v>
      </c>
      <c r="BH32" t="s">
        <v>1727</v>
      </c>
      <c r="BJ32" t="s">
        <v>1727</v>
      </c>
      <c r="BK32" t="s">
        <v>1657</v>
      </c>
      <c r="BL32">
        <f>IF($T32="","",IF((IF(AND($AW32&lt;&gt;"Yes",$AW32&lt;&gt;"N/A"),"Power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",""))="","",LEFT(IF(AND($AW32&lt;&gt;"Yes",$AW32&lt;&gt;"N/A"),"Power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",""),LEN(IF(AND($AW32&lt;&gt;"Yes",$AW32&lt;&gt;"N/A"),"Power Cable, ","")&amp;IF(AND($AX32&lt;&gt;"Yes",$AX32&lt;&gt;"N/A"),"Battery, ","")&amp;IF(AND($BE32&lt;&gt;"Yes",$BE32&lt;&gt;"N/A"),"Firmware Download, ","")&amp;IF(AND(OR($BE32="Yes",$BE32="N/A"),$BF32&lt;&gt;"Yes",$BF32&lt;&gt;"N/A"),"Firmware Install, ","")&amp;IF(AND($BJ32&lt;&gt;"Yes",$BJ32&lt;&gt;"N/A"),"Device ID, ","")&amp;IF(AND($BK32&lt;&gt;"Yes",$BK32&lt;&gt;"N/A"),"Epic Beans Relay, ",""))-2)))</f>
      </c>
      <c r="BM32">
        <f>IF($T32="","",IF($BL32="","Yes","Blocked"))</f>
      </c>
      <c r="BP32">
        <f>IF($BO32="","",IFERROR(VLOOKUP($BO32,'01_Warehouse_Ledger'!$A:$N,4,FALSE),""))</f>
      </c>
      <c r="BQ32">
        <f>IF($BO32="","",IFERROR(VLOOKUP($BO32,'01_Warehouse_Ledger'!$A:$N,5,FALSE),""))</f>
      </c>
      <c r="BR32">
        <f>IF($BO32="","",IFERROR(VLOOKUP($BO32,'01_Warehouse_Ledger'!$A:$N,13,FALSE),""))</f>
      </c>
    </row>
    <row r="33">
      <c r="A33" t="s">
        <v>1331</v>
      </c>
      <c r="B33" t="s">
        <v>1657</v>
      </c>
      <c r="C33" t="s">
        <v>1657</v>
      </c>
      <c r="D33">
        <f>IF($B33&lt;&gt;"Yes","",IF($C33="No","Yes",IF($C33="Yes","No","")))</f>
      </c>
      <c r="E33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</c>
      <c r="F33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</c>
      <c r="G33" t="s">
        <v>1317</v>
      </c>
      <c r="H33" t="s">
        <v>2089</v>
      </c>
      <c r="S33" t="s">
        <v>2145</v>
      </c>
      <c r="T33" t="s">
        <v>1878</v>
      </c>
      <c r="U33" t="s">
        <v>2072</v>
      </c>
      <c r="V33" t="s">
        <v>1727</v>
      </c>
      <c r="W33" t="s">
        <v>1776</v>
      </c>
      <c r="X33" t="s">
        <v>1707</v>
      </c>
      <c r="Y33" t="s">
        <v>1380</v>
      </c>
      <c r="AD33" t="s">
        <v>1380</v>
      </c>
      <c r="AW33" t="s">
        <v>1727</v>
      </c>
      <c r="AX33" t="s">
        <v>1727</v>
      </c>
      <c r="BA33">
        <v>46027.0</v>
      </c>
      <c r="BB33" t="s">
        <v>1727</v>
      </c>
      <c r="BC33" t="s">
        <v>2368</v>
      </c>
      <c r="BD33" t="s">
        <v>2151</v>
      </c>
      <c r="BE33" t="s">
        <v>1727</v>
      </c>
      <c r="BF33" t="s">
        <v>1727</v>
      </c>
      <c r="BG33" t="s">
        <v>1727</v>
      </c>
      <c r="BH33" t="s">
        <v>1727</v>
      </c>
      <c r="BJ33" t="s">
        <v>1727</v>
      </c>
      <c r="BK33" t="s">
        <v>1657</v>
      </c>
      <c r="BL33">
        <f>IF($T33="","",IF((IF(AND($AW33&lt;&gt;"Yes",$AW33&lt;&gt;"N/A"),"Power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",""))="","",LEFT(IF(AND($AW33&lt;&gt;"Yes",$AW33&lt;&gt;"N/A"),"Power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",""),LEN(IF(AND($AW33&lt;&gt;"Yes",$AW33&lt;&gt;"N/A"),"Power Cable, ","")&amp;IF(AND($AX33&lt;&gt;"Yes",$AX33&lt;&gt;"N/A"),"Battery, ","")&amp;IF(AND($BE33&lt;&gt;"Yes",$BE33&lt;&gt;"N/A"),"Firmware Download, ","")&amp;IF(AND(OR($BE33="Yes",$BE33="N/A"),$BF33&lt;&gt;"Yes",$BF33&lt;&gt;"N/A"),"Firmware Install, ","")&amp;IF(AND($BJ33&lt;&gt;"Yes",$BJ33&lt;&gt;"N/A"),"Device ID, ","")&amp;IF(AND($BK33&lt;&gt;"Yes",$BK33&lt;&gt;"N/A"),"Epic Beans Relay, ",""))-2)))</f>
      </c>
      <c r="BM33">
        <f>IF($T33="","",IF($BL33="","Yes","Blocked"))</f>
      </c>
      <c r="BP33">
        <f>IF($BO33="","",IFERROR(VLOOKUP($BO33,'01_Warehouse_Ledger'!$A:$N,4,FALSE),""))</f>
      </c>
      <c r="BQ33">
        <f>IF($BO33="","",IFERROR(VLOOKUP($BO33,'01_Warehouse_Ledger'!$A:$N,5,FALSE),""))</f>
      </c>
      <c r="BR33">
        <f>IF($BO33="","",IFERROR(VLOOKUP($BO33,'01_Warehouse_Ledger'!$A:$N,13,FALSE),""))</f>
      </c>
    </row>
    <row r="34">
      <c r="A34" t="s">
        <v>1331</v>
      </c>
      <c r="B34" t="s">
        <v>1727</v>
      </c>
      <c r="C34" t="s">
        <v>1657</v>
      </c>
      <c r="D34">
        <f>IF($B34&lt;&gt;"Yes","",IF($C34="No","Yes",IF($C34="Yes","No","")))</f>
      </c>
      <c r="E34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</c>
      <c r="F34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</c>
      <c r="G34" t="s">
        <v>1439</v>
      </c>
      <c r="H34" t="s">
        <v>1439</v>
      </c>
      <c r="J34" t="s">
        <v>2115</v>
      </c>
      <c r="K34" t="s">
        <v>2115</v>
      </c>
      <c r="L34" t="s">
        <v>2115</v>
      </c>
      <c r="S34" t="s">
        <v>2112</v>
      </c>
      <c r="T34" t="s">
        <v>2113</v>
      </c>
      <c r="U34" t="s">
        <v>1800</v>
      </c>
      <c r="V34" t="s">
        <v>1727</v>
      </c>
      <c r="W34" t="s">
        <v>2165</v>
      </c>
      <c r="X34" t="s">
        <v>1707</v>
      </c>
      <c r="Y34" t="s">
        <v>1380</v>
      </c>
      <c r="Z34" t="s">
        <v>1380</v>
      </c>
      <c r="AA34" t="s">
        <v>2031</v>
      </c>
      <c r="AC34" t="s">
        <v>1380</v>
      </c>
      <c r="AD34" t="s">
        <v>1671</v>
      </c>
      <c r="AF34" t="s">
        <v>1863</v>
      </c>
      <c r="AG34" t="s">
        <v>2021</v>
      </c>
      <c r="AH34" t="s">
        <v>2010</v>
      </c>
      <c r="AJ34" t="s">
        <v>2124</v>
      </c>
      <c r="AK34" t="s">
        <v>1933</v>
      </c>
      <c r="AL34" t="s">
        <v>1671</v>
      </c>
      <c r="AM34" t="s">
        <v>1335</v>
      </c>
      <c r="AN34" t="s">
        <v>1307</v>
      </c>
      <c r="AR34" t="s">
        <v>1656</v>
      </c>
      <c r="AS34" t="s">
        <v>1636</v>
      </c>
      <c r="AW34" t="s">
        <v>1727</v>
      </c>
      <c r="AX34" t="s">
        <v>1727</v>
      </c>
      <c r="BA34">
        <v>46030.0</v>
      </c>
      <c r="BB34" t="s">
        <v>1727</v>
      </c>
      <c r="BC34" t="s">
        <v>1439</v>
      </c>
      <c r="BD34" t="s">
        <v>2151</v>
      </c>
      <c r="BE34" t="s">
        <v>1727</v>
      </c>
      <c r="BF34" t="s">
        <v>1727</v>
      </c>
      <c r="BG34" t="s">
        <v>1727</v>
      </c>
      <c r="BH34" t="s">
        <v>1727</v>
      </c>
      <c r="BJ34" t="s">
        <v>1727</v>
      </c>
      <c r="BK34" t="s">
        <v>1657</v>
      </c>
      <c r="BL34">
        <f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</c>
      <c r="BM34">
        <f>IF($T34="","",IF($BL34="","Yes","Blocked"))</f>
      </c>
      <c r="BP34">
        <f>IF($BO34="","",IFERROR(VLOOKUP($BO34,'01_Warehouse_Ledger'!$A:$N,4,FALSE),""))</f>
      </c>
      <c r="BQ34">
        <f>IF($BO34="","",IFERROR(VLOOKUP($BO34,'01_Warehouse_Ledger'!$A:$N,5,FALSE),""))</f>
      </c>
      <c r="BR34">
        <f>IF($BO34="","",IFERROR(VLOOKUP($BO34,'01_Warehouse_Ledger'!$A:$N,13,FALSE),""))</f>
      </c>
      <c r="BX34">
        <v>125200</v>
      </c>
    </row>
    <row r="35">
      <c r="A35" t="s">
        <v>1415</v>
      </c>
      <c r="B35" t="s">
        <v>1727</v>
      </c>
      <c r="C35" t="s">
        <v>1657</v>
      </c>
      <c r="D35">
        <f>IF($B35&lt;&gt;"Yes","",IF($C35="No","Yes",IF($C35="Yes","No","")))</f>
      </c>
      <c r="E35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</c>
      <c r="F35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</c>
      <c r="G35" t="s">
        <v>1439</v>
      </c>
      <c r="H35" t="s">
        <v>1439</v>
      </c>
      <c r="I35" t="s">
        <v>2286</v>
      </c>
      <c r="R35" t="s">
        <v>1820</v>
      </c>
      <c r="S35" t="s">
        <v>1380</v>
      </c>
      <c r="T35" t="s">
        <v>1380</v>
      </c>
      <c r="U35" t="s">
        <v>1380</v>
      </c>
      <c r="V35" t="s">
        <v>1380</v>
      </c>
      <c r="W35" t="s">
        <v>1380</v>
      </c>
      <c r="X35" t="s">
        <v>1380</v>
      </c>
      <c r="Y35" t="s">
        <v>2387</v>
      </c>
      <c r="Z35" t="s">
        <v>2339</v>
      </c>
      <c r="AA35" t="s">
        <v>2031</v>
      </c>
      <c r="AC35" t="s">
        <v>1380</v>
      </c>
      <c r="AD35" t="s">
        <v>2137</v>
      </c>
      <c r="AF35" t="s">
        <v>1863</v>
      </c>
      <c r="AG35" t="s">
        <v>2021</v>
      </c>
      <c r="AH35" t="s">
        <v>2010</v>
      </c>
      <c r="AJ35" t="s">
        <v>2124</v>
      </c>
      <c r="AK35" t="s">
        <v>1933</v>
      </c>
      <c r="AL35" t="s">
        <v>2137</v>
      </c>
      <c r="AW35" t="s">
        <v>1727</v>
      </c>
      <c r="AX35" t="s">
        <v>1727</v>
      </c>
      <c r="AY35" t="s">
        <v>1727</v>
      </c>
      <c r="BA35">
        <v>46030.0</v>
      </c>
      <c r="BB35" t="s">
        <v>1727</v>
      </c>
      <c r="BC35" t="s">
        <v>1439</v>
      </c>
      <c r="BD35" t="s">
        <v>2151</v>
      </c>
      <c r="BE35" t="s">
        <v>1727</v>
      </c>
      <c r="BF35" t="s">
        <v>1727</v>
      </c>
      <c r="BG35" t="s">
        <v>1727</v>
      </c>
      <c r="BH35" t="s">
        <v>1727</v>
      </c>
      <c r="BJ35" t="s">
        <v>1727</v>
      </c>
      <c r="BL35">
        <f>IF($T35="","",IF((IF(AND($AW35&lt;&gt;"Yes",$AW35&lt;&gt;"N/A"),"Power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",""))="","",LEFT(IF(AND($AW35&lt;&gt;"Yes",$AW35&lt;&gt;"N/A"),"Power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",""),LEN(IF(AND($AW35&lt;&gt;"Yes",$AW35&lt;&gt;"N/A"),"Power Cable, ","")&amp;IF(AND($AX35&lt;&gt;"Yes",$AX35&lt;&gt;"N/A"),"Battery, ","")&amp;IF(AND($BE35&lt;&gt;"Yes",$BE35&lt;&gt;"N/A"),"Firmware Download, ","")&amp;IF(AND(OR($BE35="Yes",$BE35="N/A"),$BF35&lt;&gt;"Yes",$BF35&lt;&gt;"N/A"),"Firmware Install, ","")&amp;IF(AND($BJ35&lt;&gt;"Yes",$BJ35&lt;&gt;"N/A"),"Device ID, ","")&amp;IF(AND($BK35&lt;&gt;"Yes",$BK35&lt;&gt;"N/A"),"Epic Beans Relay, ",""))-2)))</f>
      </c>
      <c r="BM35">
        <f>IF($T35="","",IF($BL35="","Yes","Blocked"))</f>
      </c>
      <c r="BP35">
        <f>IF($BO35="","",IFERROR(VLOOKUP($BO35,'01_Warehouse_Ledger'!$A:$N,4,FALSE),""))</f>
      </c>
      <c r="BQ35">
        <f>IF($BO35="","",IFERROR(VLOOKUP($BO35,'01_Warehouse_Ledger'!$A:$N,5,FALSE),""))</f>
      </c>
      <c r="BR35">
        <f>IF($BO35="","",IFERROR(VLOOKUP($BO35,'01_Warehouse_Ledger'!$A:$N,13,FALSE),""))</f>
      </c>
    </row>
    <row r="36">
      <c r="A36" t="s">
        <v>1331</v>
      </c>
      <c r="B36" t="s">
        <v>1657</v>
      </c>
      <c r="C36" t="s">
        <v>1657</v>
      </c>
      <c r="D36">
        <f>IF($B36&lt;&gt;"Yes","",IF($C36="No","Yes",IF($C36="Yes","No","")))</f>
      </c>
      <c r="E36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</c>
      <c r="F36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</c>
      <c r="G36" t="s">
        <v>1317</v>
      </c>
      <c r="H36" t="s">
        <v>1437</v>
      </c>
      <c r="J36" t="s">
        <v>2115</v>
      </c>
      <c r="K36" t="s">
        <v>2115</v>
      </c>
      <c r="L36" t="s">
        <v>2115</v>
      </c>
      <c r="S36" t="s">
        <v>1715</v>
      </c>
      <c r="T36" t="s">
        <v>2087</v>
      </c>
      <c r="W36" t="s">
        <v>2409</v>
      </c>
      <c r="BD36" t="s">
        <v>1958</v>
      </c>
      <c r="BL36">
        <f>IF($T36="","",IF((IF(AND($AW36&lt;&gt;"Yes",$AW36&lt;&gt;"N/A"),"Power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",""))="","",LEFT(IF(AND($AW36&lt;&gt;"Yes",$AW36&lt;&gt;"N/A"),"Power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",""),LEN(IF(AND($AW36&lt;&gt;"Yes",$AW36&lt;&gt;"N/A"),"Power Cable, ","")&amp;IF(AND($AX36&lt;&gt;"Yes",$AX36&lt;&gt;"N/A"),"Battery, ","")&amp;IF(AND($BE36&lt;&gt;"Yes",$BE36&lt;&gt;"N/A"),"Firmware Download, ","")&amp;IF(AND(OR($BE36="Yes",$BE36="N/A"),$BF36&lt;&gt;"Yes",$BF36&lt;&gt;"N/A"),"Firmware Install, ","")&amp;IF(AND($BJ36&lt;&gt;"Yes",$BJ36&lt;&gt;"N/A"),"Device ID, ","")&amp;IF(AND($BK36&lt;&gt;"Yes",$BK36&lt;&gt;"N/A"),"Epic Beans Relay, ",""))-2)))</f>
      </c>
      <c r="BM36">
        <f>IF($T36="","",IF($BL36="","Yes","Blocked"))</f>
      </c>
      <c r="BP36">
        <f>IF($BO36="","",IFERROR(VLOOKUP($BO36,'01_Warehouse_Ledger'!$A:$N,4,FALSE),""))</f>
      </c>
      <c r="BQ36">
        <f>IF($BO36="","",IFERROR(VLOOKUP($BO36,'01_Warehouse_Ledger'!$A:$N,5,FALSE),""))</f>
      </c>
      <c r="BR36">
        <f>IF($BO36="","",IFERROR(VLOOKUP($BO36,'01_Warehouse_Ledger'!$A:$N,13,FALSE),""))</f>
      </c>
    </row>
    <row r="37">
      <c r="A37" t="s">
        <v>1331</v>
      </c>
      <c r="B37" t="s">
        <v>1657</v>
      </c>
      <c r="C37" t="s">
        <v>1657</v>
      </c>
      <c r="D37">
        <f>IF($B37&lt;&gt;"Yes","",IF($C37="No","Yes",IF($C37="Yes","No","")))</f>
      </c>
      <c r="E37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</c>
      <c r="F37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</c>
      <c r="G37" t="s">
        <v>1317</v>
      </c>
      <c r="H37" t="s">
        <v>1437</v>
      </c>
      <c r="J37" t="s">
        <v>2115</v>
      </c>
      <c r="K37" t="s">
        <v>2115</v>
      </c>
      <c r="L37" t="s">
        <v>2115</v>
      </c>
      <c r="S37" t="s">
        <v>1980</v>
      </c>
      <c r="T37" t="s">
        <v>2180</v>
      </c>
      <c r="W37" t="s">
        <v>2265</v>
      </c>
      <c r="BD37" t="s">
        <v>1958</v>
      </c>
      <c r="BL37">
        <f>IF($T37="","",IF((IF(AND($AW37&lt;&gt;"Yes",$AW37&lt;&gt;"N/A"),"Power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",""))="","",LEFT(IF(AND($AW37&lt;&gt;"Yes",$AW37&lt;&gt;"N/A"),"Power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",""),LEN(IF(AND($AW37&lt;&gt;"Yes",$AW37&lt;&gt;"N/A"),"Power Cable, ","")&amp;IF(AND($AX37&lt;&gt;"Yes",$AX37&lt;&gt;"N/A"),"Battery, ","")&amp;IF(AND($BE37&lt;&gt;"Yes",$BE37&lt;&gt;"N/A"),"Firmware Download, ","")&amp;IF(AND(OR($BE37="Yes",$BE37="N/A"),$BF37&lt;&gt;"Yes",$BF37&lt;&gt;"N/A"),"Firmware Install, ","")&amp;IF(AND($BJ37&lt;&gt;"Yes",$BJ37&lt;&gt;"N/A"),"Device ID, ","")&amp;IF(AND($BK37&lt;&gt;"Yes",$BK37&lt;&gt;"N/A"),"Epic Beans Relay, ",""))-2)))</f>
      </c>
      <c r="BM37">
        <f>IF($T37="","",IF($BL37="","Yes","Blocked"))</f>
      </c>
      <c r="BP37">
        <f>IF($BO37="","",IFERROR(VLOOKUP($BO37,'01_Warehouse_Ledger'!$A:$N,4,FALSE),""))</f>
      </c>
      <c r="BQ37">
        <f>IF($BO37="","",IFERROR(VLOOKUP($BO37,'01_Warehouse_Ledger'!$A:$N,5,FALSE),""))</f>
      </c>
      <c r="BR37">
        <f>IF($BO37="","",IFERROR(VLOOKUP($BO37,'01_Warehouse_Ledger'!$A:$N,13,FALSE),""))</f>
      </c>
    </row>
    <row r="38">
      <c r="A38" t="s">
        <v>1331</v>
      </c>
      <c r="B38" t="s">
        <v>1657</v>
      </c>
      <c r="C38" t="s">
        <v>1657</v>
      </c>
      <c r="D38">
        <f>IF($B38&lt;&gt;"Yes","",IF($C38="No","Yes",IF($C38="Yes","No","")))</f>
      </c>
      <c r="E38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</c>
      <c r="F38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</c>
      <c r="G38" t="s">
        <v>1317</v>
      </c>
      <c r="H38" t="s">
        <v>1437</v>
      </c>
      <c r="J38" t="s">
        <v>2115</v>
      </c>
      <c r="K38" t="s">
        <v>2115</v>
      </c>
      <c r="L38" t="s">
        <v>2115</v>
      </c>
      <c r="S38" t="s">
        <v>2250</v>
      </c>
      <c r="T38" t="s">
        <v>2311</v>
      </c>
      <c r="W38" t="s">
        <v>1721</v>
      </c>
      <c r="BD38" t="s">
        <v>1958</v>
      </c>
      <c r="BL38">
        <f>IF($T38="","",IF((IF(AND($AW38&lt;&gt;"Yes",$AW38&lt;&gt;"N/A"),"Power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",""))="","",LEFT(IF(AND($AW38&lt;&gt;"Yes",$AW38&lt;&gt;"N/A"),"Power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",""),LEN(IF(AND($AW38&lt;&gt;"Yes",$AW38&lt;&gt;"N/A"),"Power Cable, ","")&amp;IF(AND($AX38&lt;&gt;"Yes",$AX38&lt;&gt;"N/A"),"Battery, ","")&amp;IF(AND($BE38&lt;&gt;"Yes",$BE38&lt;&gt;"N/A"),"Firmware Download, ","")&amp;IF(AND(OR($BE38="Yes",$BE38="N/A"),$BF38&lt;&gt;"Yes",$BF38&lt;&gt;"N/A"),"Firmware Install, ","")&amp;IF(AND($BJ38&lt;&gt;"Yes",$BJ38&lt;&gt;"N/A"),"Device ID, ","")&amp;IF(AND($BK38&lt;&gt;"Yes",$BK38&lt;&gt;"N/A"),"Epic Beans Relay, ",""))-2)))</f>
      </c>
      <c r="BM38">
        <f>IF($T38="","",IF($BL38="","Yes","Blocked"))</f>
      </c>
      <c r="BP38">
        <f>IF($BO38="","",IFERROR(VLOOKUP($BO38,'01_Warehouse_Ledger'!$A:$N,4,FALSE),""))</f>
      </c>
      <c r="BQ38">
        <f>IF($BO38="","",IFERROR(VLOOKUP($BO38,'01_Warehouse_Ledger'!$A:$N,5,FALSE),""))</f>
      </c>
      <c r="BR38">
        <f>IF($BO38="","",IFERROR(VLOOKUP($BO38,'01_Warehouse_Ledger'!$A:$N,13,FALSE),""))</f>
      </c>
    </row>
    <row r="39">
      <c r="A39" t="s">
        <v>1331</v>
      </c>
      <c r="B39" t="s">
        <v>1657</v>
      </c>
      <c r="C39" t="s">
        <v>1657</v>
      </c>
      <c r="D39">
        <f>IF($B39&lt;&gt;"Yes","",IF($C39="No","Yes",IF($C39="Yes","No","")))</f>
      </c>
      <c r="E39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</c>
      <c r="F39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</c>
      <c r="G39" t="s">
        <v>1317</v>
      </c>
      <c r="H39" t="s">
        <v>1731</v>
      </c>
      <c r="J39" t="s">
        <v>2115</v>
      </c>
      <c r="K39" t="s">
        <v>2115</v>
      </c>
      <c r="L39" t="s">
        <v>2115</v>
      </c>
      <c r="S39" t="s">
        <v>2284</v>
      </c>
      <c r="T39" t="s">
        <v>1915</v>
      </c>
      <c r="W39" t="s">
        <v>1667</v>
      </c>
      <c r="BD39" t="s">
        <v>1958</v>
      </c>
      <c r="BL39">
        <f>IF($T39="","",IF((IF(AND($AW39&lt;&gt;"Yes",$AW39&lt;&gt;"N/A"),"Power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",""))="","",LEFT(IF(AND($AW39&lt;&gt;"Yes",$AW39&lt;&gt;"N/A"),"Power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",""),LEN(IF(AND($AW39&lt;&gt;"Yes",$AW39&lt;&gt;"N/A"),"Power Cable, ","")&amp;IF(AND($AX39&lt;&gt;"Yes",$AX39&lt;&gt;"N/A"),"Battery, ","")&amp;IF(AND($BE39&lt;&gt;"Yes",$BE39&lt;&gt;"N/A"),"Firmware Download, ","")&amp;IF(AND(OR($BE39="Yes",$BE39="N/A"),$BF39&lt;&gt;"Yes",$BF39&lt;&gt;"N/A"),"Firmware Install, ","")&amp;IF(AND($BJ39&lt;&gt;"Yes",$BJ39&lt;&gt;"N/A"),"Device ID, ","")&amp;IF(AND($BK39&lt;&gt;"Yes",$BK39&lt;&gt;"N/A"),"Epic Beans Relay, ",""))-2)))</f>
      </c>
      <c r="BM39">
        <f>IF($T39="","",IF($BL39="","Yes","Blocked"))</f>
      </c>
      <c r="BP39">
        <f>IF($BO39="","",IFERROR(VLOOKUP($BO39,'01_Warehouse_Ledger'!$A:$N,4,FALSE),""))</f>
      </c>
      <c r="BQ39">
        <f>IF($BO39="","",IFERROR(VLOOKUP($BO39,'01_Warehouse_Ledger'!$A:$N,5,FALSE),""))</f>
      </c>
      <c r="BR39">
        <f>IF($BO39="","",IFERROR(VLOOKUP($BO39,'01_Warehouse_Ledger'!$A:$N,13,FALSE),""))</f>
      </c>
    </row>
    <row r="40">
      <c r="A40" t="s">
        <v>1331</v>
      </c>
      <c r="B40" t="s">
        <v>1657</v>
      </c>
      <c r="C40" t="s">
        <v>1657</v>
      </c>
      <c r="D40">
        <f>IF($B40&lt;&gt;"Yes","",IF($C40="No","Yes",IF($C40="Yes","No","")))</f>
      </c>
      <c r="E40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</c>
      <c r="F40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</c>
      <c r="G40" t="s">
        <v>1317</v>
      </c>
      <c r="H40" t="s">
        <v>1731</v>
      </c>
      <c r="J40" t="s">
        <v>2115</v>
      </c>
      <c r="K40" t="s">
        <v>2115</v>
      </c>
      <c r="L40" t="s">
        <v>2115</v>
      </c>
      <c r="S40" t="s">
        <v>2321</v>
      </c>
      <c r="T40" t="s">
        <v>1694</v>
      </c>
      <c r="W40" t="s">
        <v>1989</v>
      </c>
      <c r="BD40" t="s">
        <v>1958</v>
      </c>
      <c r="BL40">
        <f>IF($T40="","",IF((IF(AND($AW40&lt;&gt;"Yes",$AW40&lt;&gt;"N/A"),"Power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",""))="","",LEFT(IF(AND($AW40&lt;&gt;"Yes",$AW40&lt;&gt;"N/A"),"Power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",""),LEN(IF(AND($AW40&lt;&gt;"Yes",$AW40&lt;&gt;"N/A"),"Power Cable, ","")&amp;IF(AND($AX40&lt;&gt;"Yes",$AX40&lt;&gt;"N/A"),"Battery, ","")&amp;IF(AND($BE40&lt;&gt;"Yes",$BE40&lt;&gt;"N/A"),"Firmware Download, ","")&amp;IF(AND(OR($BE40="Yes",$BE40="N/A"),$BF40&lt;&gt;"Yes",$BF40&lt;&gt;"N/A"),"Firmware Install, ","")&amp;IF(AND($BJ40&lt;&gt;"Yes",$BJ40&lt;&gt;"N/A"),"Device ID, ","")&amp;IF(AND($BK40&lt;&gt;"Yes",$BK40&lt;&gt;"N/A"),"Epic Beans Relay, ",""))-2)))</f>
      </c>
      <c r="BM40">
        <f>IF($T40="","",IF($BL40="","Yes","Blocked"))</f>
      </c>
      <c r="BP40">
        <f>IF($BO40="","",IFERROR(VLOOKUP($BO40,'01_Warehouse_Ledger'!$A:$N,4,FALSE),""))</f>
      </c>
      <c r="BQ40">
        <f>IF($BO40="","",IFERROR(VLOOKUP($BO40,'01_Warehouse_Ledger'!$A:$N,5,FALSE),""))</f>
      </c>
      <c r="BR40">
        <f>IF($BO40="","",IFERROR(VLOOKUP($BO40,'01_Warehouse_Ledger'!$A:$N,13,FALSE),""))</f>
      </c>
    </row>
    <row r="41">
      <c r="A41" t="s">
        <v>1331</v>
      </c>
      <c r="B41" t="s">
        <v>1657</v>
      </c>
      <c r="C41" t="s">
        <v>1657</v>
      </c>
      <c r="D41">
        <f>IF($B41&lt;&gt;"Yes","",IF($C41="No","Yes",IF($C41="Yes","No","")))</f>
      </c>
      <c r="E41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</c>
      <c r="F41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</c>
      <c r="G41" t="s">
        <v>1317</v>
      </c>
      <c r="H41" t="s">
        <v>1731</v>
      </c>
      <c r="J41" t="s">
        <v>2115</v>
      </c>
      <c r="K41" t="s">
        <v>2115</v>
      </c>
      <c r="L41" t="s">
        <v>2115</v>
      </c>
      <c r="S41" t="s">
        <v>1795</v>
      </c>
      <c r="T41" t="s">
        <v>2293</v>
      </c>
      <c r="W41" t="s">
        <v>2146</v>
      </c>
      <c r="BD41" t="s">
        <v>1958</v>
      </c>
      <c r="BL41">
        <f>IF($T41="","",IF((IF(AND($AW41&lt;&gt;"Yes",$AW41&lt;&gt;"N/A"),"Power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",""))="","",LEFT(IF(AND($AW41&lt;&gt;"Yes",$AW41&lt;&gt;"N/A"),"Power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",""),LEN(IF(AND($AW41&lt;&gt;"Yes",$AW41&lt;&gt;"N/A"),"Power Cable, ","")&amp;IF(AND($AX41&lt;&gt;"Yes",$AX41&lt;&gt;"N/A"),"Battery, ","")&amp;IF(AND($BE41&lt;&gt;"Yes",$BE41&lt;&gt;"N/A"),"Firmware Download, ","")&amp;IF(AND(OR($BE41="Yes",$BE41="N/A"),$BF41&lt;&gt;"Yes",$BF41&lt;&gt;"N/A"),"Firmware Install, ","")&amp;IF(AND($BJ41&lt;&gt;"Yes",$BJ41&lt;&gt;"N/A"),"Device ID, ","")&amp;IF(AND($BK41&lt;&gt;"Yes",$BK41&lt;&gt;"N/A"),"Epic Beans Relay, ",""))-2)))</f>
      </c>
      <c r="BM41">
        <f>IF($T41="","",IF($BL41="","Yes","Blocked"))</f>
      </c>
      <c r="BP41">
        <f>IF($BO41="","",IFERROR(VLOOKUP($BO41,'01_Warehouse_Ledger'!$A:$N,4,FALSE),""))</f>
      </c>
      <c r="BQ41">
        <f>IF($BO41="","",IFERROR(VLOOKUP($BO41,'01_Warehouse_Ledger'!$A:$N,5,FALSE),""))</f>
      </c>
      <c r="BR41">
        <f>IF($BO41="","",IFERROR(VLOOKUP($BO41,'01_Warehouse_Ledger'!$A:$N,13,FALSE),""))</f>
      </c>
    </row>
    <row r="42">
      <c r="A42" t="s">
        <v>1331</v>
      </c>
      <c r="B42" t="s">
        <v>1657</v>
      </c>
      <c r="C42" t="s">
        <v>1657</v>
      </c>
      <c r="D42">
        <f>IF($B42&lt;&gt;"Yes","",IF($C42="No","Yes",IF($C42="Yes","No","")))</f>
      </c>
      <c r="E42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</c>
      <c r="F42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</c>
      <c r="G42" t="s">
        <v>1317</v>
      </c>
      <c r="H42" t="s">
        <v>1365</v>
      </c>
      <c r="J42" t="s">
        <v>2115</v>
      </c>
      <c r="K42" t="s">
        <v>2115</v>
      </c>
      <c r="L42" t="s">
        <v>2115</v>
      </c>
      <c r="S42" t="s">
        <v>2152</v>
      </c>
      <c r="T42" t="s">
        <v>2117</v>
      </c>
      <c r="W42" t="s">
        <v>2002</v>
      </c>
      <c r="BD42" t="s">
        <v>1958</v>
      </c>
      <c r="BL42">
        <f>IF($T42="","",IF((IF(AND($AW42&lt;&gt;"Yes",$AW42&lt;&gt;"N/A"),"Power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",""))="","",LEFT(IF(AND($AW42&lt;&gt;"Yes",$AW42&lt;&gt;"N/A"),"Power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",""),LEN(IF(AND($AW42&lt;&gt;"Yes",$AW42&lt;&gt;"N/A"),"Power Cable, ","")&amp;IF(AND($AX42&lt;&gt;"Yes",$AX42&lt;&gt;"N/A"),"Battery, ","")&amp;IF(AND($BE42&lt;&gt;"Yes",$BE42&lt;&gt;"N/A"),"Firmware Download, ","")&amp;IF(AND(OR($BE42="Yes",$BE42="N/A"),$BF42&lt;&gt;"Yes",$BF42&lt;&gt;"N/A"),"Firmware Install, ","")&amp;IF(AND($BJ42&lt;&gt;"Yes",$BJ42&lt;&gt;"N/A"),"Device ID, ","")&amp;IF(AND($BK42&lt;&gt;"Yes",$BK42&lt;&gt;"N/A"),"Epic Beans Relay, ",""))-2)))</f>
      </c>
      <c r="BM42">
        <f>IF($T42="","",IF($BL42="","Yes","Blocked"))</f>
      </c>
      <c r="BP42">
        <f>IF($BO42="","",IFERROR(VLOOKUP($BO42,'01_Warehouse_Ledger'!$A:$N,4,FALSE),""))</f>
      </c>
      <c r="BQ42">
        <f>IF($BO42="","",IFERROR(VLOOKUP($BO42,'01_Warehouse_Ledger'!$A:$N,5,FALSE),""))</f>
      </c>
      <c r="BR42">
        <f>IF($BO42="","",IFERROR(VLOOKUP($BO42,'01_Warehouse_Ledger'!$A:$N,13,FALSE),""))</f>
      </c>
    </row>
    <row r="43">
      <c r="A43" t="s">
        <v>1331</v>
      </c>
      <c r="B43" t="s">
        <v>1657</v>
      </c>
      <c r="C43" t="s">
        <v>1657</v>
      </c>
      <c r="D43">
        <f>IF($B43&lt;&gt;"Yes","",IF($C43="No","Yes",IF($C43="Yes","No","")))</f>
      </c>
      <c r="E43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</c>
      <c r="F43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</c>
      <c r="G43" t="s">
        <v>1317</v>
      </c>
      <c r="H43" t="s">
        <v>2106</v>
      </c>
      <c r="J43" t="s">
        <v>2115</v>
      </c>
      <c r="K43" t="s">
        <v>2115</v>
      </c>
      <c r="L43" t="s">
        <v>2115</v>
      </c>
      <c r="S43" t="s">
        <v>2405</v>
      </c>
      <c r="T43" t="s">
        <v>1797</v>
      </c>
      <c r="W43" t="s">
        <v>2149</v>
      </c>
      <c r="BD43" t="s">
        <v>1958</v>
      </c>
      <c r="BL43">
        <f>IF($T43="","",IF((IF(AND($AW43&lt;&gt;"Yes",$AW43&lt;&gt;"N/A"),"Power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",""))="","",LEFT(IF(AND($AW43&lt;&gt;"Yes",$AW43&lt;&gt;"N/A"),"Power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",""),LEN(IF(AND($AW43&lt;&gt;"Yes",$AW43&lt;&gt;"N/A"),"Power Cable, ","")&amp;IF(AND($AX43&lt;&gt;"Yes",$AX43&lt;&gt;"N/A"),"Battery, ","")&amp;IF(AND($BE43&lt;&gt;"Yes",$BE43&lt;&gt;"N/A"),"Firmware Download, ","")&amp;IF(AND(OR($BE43="Yes",$BE43="N/A"),$BF43&lt;&gt;"Yes",$BF43&lt;&gt;"N/A"),"Firmware Install, ","")&amp;IF(AND($BJ43&lt;&gt;"Yes",$BJ43&lt;&gt;"N/A"),"Device ID, ","")&amp;IF(AND($BK43&lt;&gt;"Yes",$BK43&lt;&gt;"N/A"),"Epic Beans Relay, ",""))-2)))</f>
      </c>
      <c r="BM43">
        <f>IF($T43="","",IF($BL43="","Yes","Blocked"))</f>
      </c>
      <c r="BP43">
        <f>IF($BO43="","",IFERROR(VLOOKUP($BO43,'01_Warehouse_Ledger'!$A:$N,4,FALSE),""))</f>
      </c>
      <c r="BQ43">
        <f>IF($BO43="","",IFERROR(VLOOKUP($BO43,'01_Warehouse_Ledger'!$A:$N,5,FALSE),""))</f>
      </c>
      <c r="BR43">
        <f>IF($BO43="","",IFERROR(VLOOKUP($BO43,'01_Warehouse_Ledger'!$A:$N,13,FALSE),""))</f>
      </c>
    </row>
    <row r="44">
      <c r="A44" t="s">
        <v>1331</v>
      </c>
      <c r="B44" t="s">
        <v>1657</v>
      </c>
      <c r="C44" t="s">
        <v>1657</v>
      </c>
      <c r="D44">
        <f>IF($B44&lt;&gt;"Yes","",IF($C44="No","Yes",IF($C44="Yes","No","")))</f>
      </c>
      <c r="E44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</c>
      <c r="F44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</c>
      <c r="G44" t="s">
        <v>1317</v>
      </c>
      <c r="H44" t="s">
        <v>2106</v>
      </c>
      <c r="J44" t="s">
        <v>2115</v>
      </c>
      <c r="K44" t="s">
        <v>2115</v>
      </c>
      <c r="L44" t="s">
        <v>2115</v>
      </c>
      <c r="S44" t="s">
        <v>1886</v>
      </c>
      <c r="T44" t="s">
        <v>1749</v>
      </c>
      <c r="W44" t="s">
        <v>1943</v>
      </c>
      <c r="BD44" t="s">
        <v>1958</v>
      </c>
      <c r="BL44">
        <f>IF($T44="","",IF((IF(AND($AW44&lt;&gt;"Yes",$AW44&lt;&gt;"N/A"),"Power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",""))="","",LEFT(IF(AND($AW44&lt;&gt;"Yes",$AW44&lt;&gt;"N/A"),"Power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",""),LEN(IF(AND($AW44&lt;&gt;"Yes",$AW44&lt;&gt;"N/A"),"Power Cable, ","")&amp;IF(AND($AX44&lt;&gt;"Yes",$AX44&lt;&gt;"N/A"),"Battery, ","")&amp;IF(AND($BE44&lt;&gt;"Yes",$BE44&lt;&gt;"N/A"),"Firmware Download, ","")&amp;IF(AND(OR($BE44="Yes",$BE44="N/A"),$BF44&lt;&gt;"Yes",$BF44&lt;&gt;"N/A"),"Firmware Install, ","")&amp;IF(AND($BJ44&lt;&gt;"Yes",$BJ44&lt;&gt;"N/A"),"Device ID, ","")&amp;IF(AND($BK44&lt;&gt;"Yes",$BK44&lt;&gt;"N/A"),"Epic Beans Relay, ",""))-2)))</f>
      </c>
      <c r="BM44">
        <f>IF($T44="","",IF($BL44="","Yes","Blocked"))</f>
      </c>
      <c r="BP44">
        <f>IF($BO44="","",IFERROR(VLOOKUP($BO44,'01_Warehouse_Ledger'!$A:$N,4,FALSE),""))</f>
      </c>
      <c r="BQ44">
        <f>IF($BO44="","",IFERROR(VLOOKUP($BO44,'01_Warehouse_Ledger'!$A:$N,5,FALSE),""))</f>
      </c>
      <c r="BR44">
        <f>IF($BO44="","",IFERROR(VLOOKUP($BO44,'01_Warehouse_Ledger'!$A:$N,13,FALSE),""))</f>
      </c>
    </row>
    <row r="45">
      <c r="A45" t="s">
        <v>1331</v>
      </c>
      <c r="B45" t="s">
        <v>1657</v>
      </c>
      <c r="C45" t="s">
        <v>1657</v>
      </c>
      <c r="D45">
        <f>IF($B45&lt;&gt;"Yes","",IF($C45="No","Yes",IF($C45="Yes","No","")))</f>
      </c>
      <c r="E45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</c>
      <c r="F45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</c>
      <c r="G45" t="s">
        <v>1317</v>
      </c>
      <c r="H45" t="s">
        <v>2106</v>
      </c>
      <c r="J45" t="s">
        <v>2115</v>
      </c>
      <c r="K45" t="s">
        <v>2115</v>
      </c>
      <c r="L45" t="s">
        <v>2115</v>
      </c>
      <c r="S45" t="s">
        <v>1762</v>
      </c>
      <c r="T45" t="s">
        <v>1793</v>
      </c>
      <c r="W45" t="s">
        <v>2410</v>
      </c>
      <c r="BD45" t="s">
        <v>1958</v>
      </c>
      <c r="BL45">
        <f>IF($T45="","",IF((IF(AND($AW45&lt;&gt;"Yes",$AW45&lt;&gt;"N/A"),"Power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",""))="","",LEFT(IF(AND($AW45&lt;&gt;"Yes",$AW45&lt;&gt;"N/A"),"Power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",""),LEN(IF(AND($AW45&lt;&gt;"Yes",$AW45&lt;&gt;"N/A"),"Power Cable, ","")&amp;IF(AND($AX45&lt;&gt;"Yes",$AX45&lt;&gt;"N/A"),"Battery, ","")&amp;IF(AND($BE45&lt;&gt;"Yes",$BE45&lt;&gt;"N/A"),"Firmware Download, ","")&amp;IF(AND(OR($BE45="Yes",$BE45="N/A"),$BF45&lt;&gt;"Yes",$BF45&lt;&gt;"N/A"),"Firmware Install, ","")&amp;IF(AND($BJ45&lt;&gt;"Yes",$BJ45&lt;&gt;"N/A"),"Device ID, ","")&amp;IF(AND($BK45&lt;&gt;"Yes",$BK45&lt;&gt;"N/A"),"Epic Beans Relay, ",""))-2)))</f>
      </c>
      <c r="BM45">
        <f>IF($T45="","",IF($BL45="","Yes","Blocked"))</f>
      </c>
      <c r="BP45">
        <f>IF($BO45="","",IFERROR(VLOOKUP($BO45,'01_Warehouse_Ledger'!$A:$N,4,FALSE),""))</f>
      </c>
      <c r="BQ45">
        <f>IF($BO45="","",IFERROR(VLOOKUP($BO45,'01_Warehouse_Ledger'!$A:$N,5,FALSE),""))</f>
      </c>
      <c r="BR45">
        <f>IF($BO45="","",IFERROR(VLOOKUP($BO45,'01_Warehouse_Ledger'!$A:$N,13,FALSE),""))</f>
      </c>
    </row>
    <row r="46">
      <c r="A46" t="s">
        <v>1331</v>
      </c>
      <c r="B46" t="s">
        <v>1657</v>
      </c>
      <c r="C46" t="s">
        <v>1657</v>
      </c>
      <c r="D46">
        <f>IF($B46&lt;&gt;"Yes","",IF($C46="No","Yes",IF($C46="Yes","No","")))</f>
      </c>
      <c r="E46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</c>
      <c r="F46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</c>
      <c r="G46" t="s">
        <v>1317</v>
      </c>
      <c r="H46" t="s">
        <v>2106</v>
      </c>
      <c r="S46" t="s">
        <v>1923</v>
      </c>
      <c r="T46" t="s">
        <v>2147</v>
      </c>
      <c r="W46" t="s">
        <v>2336</v>
      </c>
      <c r="BL46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</c>
      <c r="BM46">
        <f>IF($T46="","",IF($BL46="","Yes","Blocked"))</f>
      </c>
      <c r="BP46">
        <f>IF($BO46="","",IFERROR(VLOOKUP($BO46,'01_Warehouse_Ledger'!$A:$N,4,FALSE),""))</f>
      </c>
      <c r="BQ46">
        <f>IF($BO46="","",IFERROR(VLOOKUP($BO46,'01_Warehouse_Ledger'!$A:$N,5,FALSE),""))</f>
      </c>
      <c r="BR46">
        <f>IF($BO46="","",IFERROR(VLOOKUP($BO46,'01_Warehouse_Ledger'!$A:$N,13,FALSE),""))</f>
      </c>
    </row>
    <row r="47">
      <c r="A47" t="s">
        <v>1331</v>
      </c>
      <c r="B47" t="s">
        <v>1657</v>
      </c>
      <c r="C47" t="s">
        <v>1657</v>
      </c>
      <c r="D47">
        <f>IF($B47&lt;&gt;"Yes","",IF($C47="No","Yes",IF($C47="Yes","No","")))</f>
      </c>
      <c r="E47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</c>
      <c r="F47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</c>
      <c r="G47" t="s">
        <v>1317</v>
      </c>
      <c r="H47" t="s">
        <v>2106</v>
      </c>
      <c r="J47" t="s">
        <v>2115</v>
      </c>
      <c r="K47" t="s">
        <v>2115</v>
      </c>
      <c r="L47" t="s">
        <v>2115</v>
      </c>
      <c r="S47" t="s">
        <v>2129</v>
      </c>
      <c r="T47" t="s">
        <v>2071</v>
      </c>
      <c r="W47" t="s">
        <v>1748</v>
      </c>
      <c r="BD47" t="s">
        <v>1958</v>
      </c>
      <c r="BL47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</c>
      <c r="BM47">
        <f>IF($T47="","",IF($BL47="","Yes","Blocked"))</f>
      </c>
      <c r="BP47">
        <f>IF($BO47="","",IFERROR(VLOOKUP($BO47,'01_Warehouse_Ledger'!$A:$N,4,FALSE),""))</f>
      </c>
      <c r="BQ47">
        <f>IF($BO47="","",IFERROR(VLOOKUP($BO47,'01_Warehouse_Ledger'!$A:$N,5,FALSE),""))</f>
      </c>
      <c r="BR47">
        <f>IF($BO47="","",IFERROR(VLOOKUP($BO47,'01_Warehouse_Ledger'!$A:$N,13,FALSE),""))</f>
      </c>
    </row>
    <row r="48">
      <c r="A48" t="s">
        <v>1331</v>
      </c>
      <c r="B48" t="s">
        <v>1657</v>
      </c>
      <c r="C48" t="s">
        <v>1657</v>
      </c>
      <c r="D48">
        <f>IF($B48&lt;&gt;"Yes","",IF($C48="No","Yes",IF($C48="Yes","No","")))</f>
      </c>
      <c r="E48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</c>
      <c r="F48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</c>
      <c r="G48" t="s">
        <v>1317</v>
      </c>
      <c r="H48" t="s">
        <v>2106</v>
      </c>
      <c r="J48" t="s">
        <v>2115</v>
      </c>
      <c r="K48" t="s">
        <v>2115</v>
      </c>
      <c r="L48" t="s">
        <v>2115</v>
      </c>
      <c r="S48" t="s">
        <v>1654</v>
      </c>
      <c r="T48" t="s">
        <v>1771</v>
      </c>
      <c r="W48" t="s">
        <v>2227</v>
      </c>
      <c r="BD48" t="s">
        <v>1958</v>
      </c>
      <c r="BL48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</c>
      <c r="BM48">
        <f>IF($T48="","",IF($BL48="","Yes","Blocked"))</f>
      </c>
      <c r="BP48">
        <f>IF($BO48="","",IFERROR(VLOOKUP($BO48,'01_Warehouse_Ledger'!$A:$N,4,FALSE),""))</f>
      </c>
      <c r="BQ48">
        <f>IF($BO48="","",IFERROR(VLOOKUP($BO48,'01_Warehouse_Ledger'!$A:$N,5,FALSE),""))</f>
      </c>
      <c r="BR48">
        <f>IF($BO48="","",IFERROR(VLOOKUP($BO48,'01_Warehouse_Ledger'!$A:$N,13,FALSE),""))</f>
      </c>
    </row>
    <row r="49">
      <c r="A49" t="s">
        <v>1331</v>
      </c>
      <c r="B49" t="s">
        <v>1657</v>
      </c>
      <c r="C49" t="s">
        <v>1657</v>
      </c>
      <c r="D49">
        <f>IF($B49&lt;&gt;"Yes","",IF($C49="No","Yes",IF($C49="Yes","No","")))</f>
      </c>
      <c r="E49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</c>
      <c r="F49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</c>
      <c r="G49" t="s">
        <v>1317</v>
      </c>
      <c r="H49" t="s">
        <v>2106</v>
      </c>
      <c r="J49" t="s">
        <v>2115</v>
      </c>
      <c r="K49" t="s">
        <v>2115</v>
      </c>
      <c r="L49" t="s">
        <v>2115</v>
      </c>
      <c r="S49" t="s">
        <v>1619</v>
      </c>
      <c r="T49" t="s">
        <v>1920</v>
      </c>
      <c r="W49" t="s">
        <v>1722</v>
      </c>
      <c r="BD49" t="s">
        <v>1958</v>
      </c>
      <c r="BL49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</c>
      <c r="BM49">
        <f>IF($T49="","",IF($BL49="","Yes","Blocked"))</f>
      </c>
      <c r="BP49">
        <f>IF($BO49="","",IFERROR(VLOOKUP($BO49,'01_Warehouse_Ledger'!$A:$N,4,FALSE),""))</f>
      </c>
      <c r="BQ49">
        <f>IF($BO49="","",IFERROR(VLOOKUP($BO49,'01_Warehouse_Ledger'!$A:$N,5,FALSE),""))</f>
      </c>
      <c r="BR49">
        <f>IF($BO49="","",IFERROR(VLOOKUP($BO49,'01_Warehouse_Ledger'!$A:$N,13,FALSE),""))</f>
      </c>
    </row>
    <row r="50">
      <c r="A50" t="s">
        <v>1415</v>
      </c>
      <c r="B50" t="s">
        <v>1657</v>
      </c>
      <c r="C50" t="s">
        <v>1657</v>
      </c>
      <c r="D50">
        <f>IF($B50&lt;&gt;"Yes","",IF($C50="No","Yes",IF($C50="Yes","No","")))</f>
      </c>
      <c r="E50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</c>
      <c r="F50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</c>
      <c r="G50" t="s">
        <v>1880</v>
      </c>
      <c r="H50" t="s">
        <v>1638</v>
      </c>
      <c r="I50" t="s">
        <v>1831</v>
      </c>
      <c r="J50" t="s">
        <v>1727</v>
      </c>
      <c r="K50" t="s">
        <v>1657</v>
      </c>
      <c r="L50" t="s">
        <v>1657</v>
      </c>
      <c r="R50" t="s">
        <v>1767</v>
      </c>
      <c r="Y50" t="s">
        <v>1627</v>
      </c>
      <c r="Z50" t="s">
        <v>1773</v>
      </c>
      <c r="AJ50" t="s">
        <v>1860</v>
      </c>
      <c r="AK50" t="s">
        <v>1629</v>
      </c>
      <c r="BC50" t="s">
        <v>2092</v>
      </c>
      <c r="BD50" t="s">
        <v>1958</v>
      </c>
      <c r="BI50" t="s">
        <v>1630</v>
      </c>
      <c r="BL50">
        <f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</c>
      <c r="BM50">
        <f>IF($T50="","",IF($BL50="","Yes","Blocked"))</f>
      </c>
      <c r="BP50">
        <f>IF($BO50="","",IFERROR(VLOOKUP($BO50,'01_Warehouse_Ledger'!$A:$N,4,FALSE),""))</f>
      </c>
      <c r="BQ50">
        <f>IF($BO50="","",IFERROR(VLOOKUP($BO50,'01_Warehouse_Ledger'!$A:$N,5,FALSE),""))</f>
      </c>
      <c r="BR50">
        <f>IF($BO50="","",IFERROR(VLOOKUP($BO50,'01_Warehouse_Ledger'!$A:$N,13,FALSE),""))</f>
      </c>
    </row>
    <row r="51">
      <c r="A51" t="s">
        <v>1415</v>
      </c>
      <c r="B51" t="s">
        <v>1657</v>
      </c>
      <c r="C51" t="s">
        <v>1657</v>
      </c>
      <c r="D51">
        <f>IF($B51&lt;&gt;"Yes","",IF($C51="No","Yes",IF($C51="Yes","No","")))</f>
      </c>
      <c r="E51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</c>
      <c r="F51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</c>
      <c r="G51" t="s">
        <v>1880</v>
      </c>
      <c r="H51" t="s">
        <v>1638</v>
      </c>
      <c r="I51" t="s">
        <v>1831</v>
      </c>
      <c r="J51" t="s">
        <v>1727</v>
      </c>
      <c r="K51" t="s">
        <v>1657</v>
      </c>
      <c r="L51" t="s">
        <v>1657</v>
      </c>
      <c r="R51" t="s">
        <v>2189</v>
      </c>
      <c r="Y51" t="s">
        <v>2099</v>
      </c>
      <c r="Z51" t="s">
        <v>1718</v>
      </c>
      <c r="AJ51" t="s">
        <v>1860</v>
      </c>
      <c r="AK51" t="s">
        <v>1629</v>
      </c>
      <c r="BC51" t="s">
        <v>2092</v>
      </c>
      <c r="BD51" t="s">
        <v>1958</v>
      </c>
      <c r="BI51" t="s">
        <v>1630</v>
      </c>
      <c r="BL51">
        <f>IF($T51="","",IF((IF(AND($AW51&lt;&gt;"Yes",$AW51&lt;&gt;"N/A"),"Power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",""))="","",LEFT(IF(AND($AW51&lt;&gt;"Yes",$AW51&lt;&gt;"N/A"),"Power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",""),LEN(IF(AND($AW51&lt;&gt;"Yes",$AW51&lt;&gt;"N/A"),"Power Cable, ","")&amp;IF(AND($AX51&lt;&gt;"Yes",$AX51&lt;&gt;"N/A"),"Battery, ","")&amp;IF(AND($BE51&lt;&gt;"Yes",$BE51&lt;&gt;"N/A"),"Firmware Download, ","")&amp;IF(AND(OR($BE51="Yes",$BE51="N/A"),$BF51&lt;&gt;"Yes",$BF51&lt;&gt;"N/A"),"Firmware Install, ","")&amp;IF(AND($BJ51&lt;&gt;"Yes",$BJ51&lt;&gt;"N/A"),"Device ID, ","")&amp;IF(AND($BK51&lt;&gt;"Yes",$BK51&lt;&gt;"N/A"),"Epic Beans Relay, ",""))-2)))</f>
      </c>
      <c r="BM51">
        <f>IF($T51="","",IF($BL51="","Yes","Blocked"))</f>
      </c>
      <c r="BP51">
        <f>IF($BO51="","",IFERROR(VLOOKUP($BO51,'01_Warehouse_Ledger'!$A:$N,4,FALSE),""))</f>
      </c>
      <c r="BQ51">
        <f>IF($BO51="","",IFERROR(VLOOKUP($BO51,'01_Warehouse_Ledger'!$A:$N,5,FALSE),""))</f>
      </c>
      <c r="BR51">
        <f>IF($BO51="","",IFERROR(VLOOKUP($BO51,'01_Warehouse_Ledger'!$A:$N,13,FALSE),""))</f>
      </c>
    </row>
    <row r="52">
      <c r="A52" t="s">
        <v>1415</v>
      </c>
      <c r="B52" t="s">
        <v>1657</v>
      </c>
      <c r="C52" t="s">
        <v>1657</v>
      </c>
      <c r="D52">
        <f>IF($B52&lt;&gt;"Yes","",IF($C52="No","Yes",IF($C52="Yes","No","")))</f>
      </c>
      <c r="E52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</c>
      <c r="F52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</c>
      <c r="G52" t="s">
        <v>1880</v>
      </c>
      <c r="H52" t="s">
        <v>1437</v>
      </c>
      <c r="I52" t="s">
        <v>1831</v>
      </c>
      <c r="J52" t="s">
        <v>1727</v>
      </c>
      <c r="K52" t="s">
        <v>1657</v>
      </c>
      <c r="L52" t="s">
        <v>1657</v>
      </c>
      <c r="R52" t="s">
        <v>2196</v>
      </c>
      <c r="Y52" t="s">
        <v>2262</v>
      </c>
      <c r="Z52" t="s">
        <v>2088</v>
      </c>
      <c r="BC52" t="s">
        <v>1659</v>
      </c>
      <c r="BI52" t="s">
        <v>1630</v>
      </c>
      <c r="BL52">
        <f>IF($T52="","",IF((IF(AND($AW52&lt;&gt;"Yes",$AW52&lt;&gt;"N/A"),"Power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",""))="","",LEFT(IF(AND($AW52&lt;&gt;"Yes",$AW52&lt;&gt;"N/A"),"Power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",""),LEN(IF(AND($AW52&lt;&gt;"Yes",$AW52&lt;&gt;"N/A"),"Power Cable, ","")&amp;IF(AND($AX52&lt;&gt;"Yes",$AX52&lt;&gt;"N/A"),"Battery, ","")&amp;IF(AND($BE52&lt;&gt;"Yes",$BE52&lt;&gt;"N/A"),"Firmware Download, ","")&amp;IF(AND(OR($BE52="Yes",$BE52="N/A"),$BF52&lt;&gt;"Yes",$BF52&lt;&gt;"N/A"),"Firmware Install, ","")&amp;IF(AND($BJ52&lt;&gt;"Yes",$BJ52&lt;&gt;"N/A"),"Device ID, ","")&amp;IF(AND($BK52&lt;&gt;"Yes",$BK52&lt;&gt;"N/A"),"Epic Beans Relay, ",""))-2)))</f>
      </c>
      <c r="BM52">
        <f>IF($T52="","",IF($BL52="","Yes","Blocked"))</f>
      </c>
      <c r="BP52">
        <f>IF($BO52="","",IFERROR(VLOOKUP($BO52,'01_Warehouse_Ledger'!$A:$N,4,FALSE),""))</f>
      </c>
      <c r="BQ52">
        <f>IF($BO52="","",IFERROR(VLOOKUP($BO52,'01_Warehouse_Ledger'!$A:$N,5,FALSE),""))</f>
      </c>
      <c r="BR52">
        <f>IF($BO52="","",IFERROR(VLOOKUP($BO52,'01_Warehouse_Ledger'!$A:$N,13,FALSE),""))</f>
      </c>
    </row>
    <row r="53">
      <c r="A53" t="s">
        <v>1415</v>
      </c>
      <c r="B53" t="s">
        <v>1657</v>
      </c>
      <c r="C53" t="s">
        <v>1657</v>
      </c>
      <c r="D53">
        <f>IF($B53&lt;&gt;"Yes","",IF($C53="No","Yes",IF($C53="Yes","No","")))</f>
      </c>
      <c r="E53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</c>
      <c r="F53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</c>
      <c r="G53" t="s">
        <v>1880</v>
      </c>
      <c r="H53" t="s">
        <v>1437</v>
      </c>
      <c r="I53" t="s">
        <v>1831</v>
      </c>
      <c r="J53" t="s">
        <v>1727</v>
      </c>
      <c r="K53" t="s">
        <v>1657</v>
      </c>
      <c r="L53" t="s">
        <v>1657</v>
      </c>
      <c r="R53" t="s">
        <v>2110</v>
      </c>
      <c r="Y53" t="s">
        <v>2042</v>
      </c>
      <c r="Z53" t="s">
        <v>1623</v>
      </c>
      <c r="BC53" t="s">
        <v>1938</v>
      </c>
      <c r="BI53" t="s">
        <v>1630</v>
      </c>
      <c r="BL53">
        <f>IF($T53="","",IF((IF(AND($AW53&lt;&gt;"Yes",$AW53&lt;&gt;"N/A"),"Power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",""))="","",LEFT(IF(AND($AW53&lt;&gt;"Yes",$AW53&lt;&gt;"N/A"),"Power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",""),LEN(IF(AND($AW53&lt;&gt;"Yes",$AW53&lt;&gt;"N/A"),"Power Cable, ","")&amp;IF(AND($AX53&lt;&gt;"Yes",$AX53&lt;&gt;"N/A"),"Battery, ","")&amp;IF(AND($BE53&lt;&gt;"Yes",$BE53&lt;&gt;"N/A"),"Firmware Download, ","")&amp;IF(AND(OR($BE53="Yes",$BE53="N/A"),$BF53&lt;&gt;"Yes",$BF53&lt;&gt;"N/A"),"Firmware Install, ","")&amp;IF(AND($BJ53&lt;&gt;"Yes",$BJ53&lt;&gt;"N/A"),"Device ID, ","")&amp;IF(AND($BK53&lt;&gt;"Yes",$BK53&lt;&gt;"N/A"),"Epic Beans Relay, ",""))-2)))</f>
      </c>
      <c r="BM53">
        <f>IF($T53="","",IF($BL53="","Yes","Blocked"))</f>
      </c>
      <c r="BP53">
        <f>IF($BO53="","",IFERROR(VLOOKUP($BO53,'01_Warehouse_Ledger'!$A:$N,4,FALSE),""))</f>
      </c>
      <c r="BQ53">
        <f>IF($BO53="","",IFERROR(VLOOKUP($BO53,'01_Warehouse_Ledger'!$A:$N,5,FALSE),""))</f>
      </c>
      <c r="BR53">
        <f>IF($BO53="","",IFERROR(VLOOKUP($BO53,'01_Warehouse_Ledger'!$A:$N,13,FALSE),""))</f>
      </c>
    </row>
    <row r="54">
      <c r="A54" t="s">
        <v>1415</v>
      </c>
      <c r="B54" t="s">
        <v>1657</v>
      </c>
      <c r="C54" t="s">
        <v>1657</v>
      </c>
      <c r="D54">
        <f>IF($B54&lt;&gt;"Yes","",IF($C54="No","Yes",IF($C54="Yes","No","")))</f>
      </c>
      <c r="E54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</c>
      <c r="F54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</c>
      <c r="G54" t="s">
        <v>1880</v>
      </c>
      <c r="H54" t="s">
        <v>2197</v>
      </c>
      <c r="I54" t="s">
        <v>1831</v>
      </c>
      <c r="J54" t="s">
        <v>1727</v>
      </c>
      <c r="K54" t="s">
        <v>1657</v>
      </c>
      <c r="L54" t="s">
        <v>1657</v>
      </c>
      <c r="R54" t="s">
        <v>1770</v>
      </c>
      <c r="Y54" t="s">
        <v>2126</v>
      </c>
      <c r="Z54" t="s">
        <v>1769</v>
      </c>
      <c r="AJ54" t="s">
        <v>1860</v>
      </c>
      <c r="AK54" t="s">
        <v>1629</v>
      </c>
      <c r="BC54" t="s">
        <v>1726</v>
      </c>
      <c r="BD54" t="s">
        <v>1958</v>
      </c>
      <c r="BI54" t="s">
        <v>1630</v>
      </c>
      <c r="BL54">
        <f>IF($T54="","",IF((IF(AND($AW54&lt;&gt;"Yes",$AW54&lt;&gt;"N/A"),"Power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",""))="","",LEFT(IF(AND($AW54&lt;&gt;"Yes",$AW54&lt;&gt;"N/A"),"Power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",""),LEN(IF(AND($AW54&lt;&gt;"Yes",$AW54&lt;&gt;"N/A"),"Power Cable, ","")&amp;IF(AND($AX54&lt;&gt;"Yes",$AX54&lt;&gt;"N/A"),"Battery, ","")&amp;IF(AND($BE54&lt;&gt;"Yes",$BE54&lt;&gt;"N/A"),"Firmware Download, ","")&amp;IF(AND(OR($BE54="Yes",$BE54="N/A"),$BF54&lt;&gt;"Yes",$BF54&lt;&gt;"N/A"),"Firmware Install, ","")&amp;IF(AND($BJ54&lt;&gt;"Yes",$BJ54&lt;&gt;"N/A"),"Device ID, ","")&amp;IF(AND($BK54&lt;&gt;"Yes",$BK54&lt;&gt;"N/A"),"Epic Beans Relay, ",""))-2)))</f>
      </c>
      <c r="BM54">
        <f>IF($T54="","",IF($BL54="","Yes","Blocked"))</f>
      </c>
      <c r="BP54">
        <f>IF($BO54="","",IFERROR(VLOOKUP($BO54,'01_Warehouse_Ledger'!$A:$N,4,FALSE),""))</f>
      </c>
      <c r="BQ54">
        <f>IF($BO54="","",IFERROR(VLOOKUP($BO54,'01_Warehouse_Ledger'!$A:$N,5,FALSE),""))</f>
      </c>
      <c r="BR54">
        <f>IF($BO54="","",IFERROR(VLOOKUP($BO54,'01_Warehouse_Ledger'!$A:$N,13,FALSE),""))</f>
      </c>
    </row>
    <row r="55">
      <c r="A55" t="s">
        <v>1415</v>
      </c>
      <c r="B55" t="s">
        <v>1657</v>
      </c>
      <c r="C55" t="s">
        <v>1657</v>
      </c>
      <c r="D55">
        <f>IF($B55&lt;&gt;"Yes","",IF($C55="No","Yes",IF($C55="Yes","No","")))</f>
      </c>
      <c r="E55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</c>
      <c r="F55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</c>
      <c r="G55" t="s">
        <v>1880</v>
      </c>
      <c r="H55" t="s">
        <v>2197</v>
      </c>
      <c r="I55" t="s">
        <v>1831</v>
      </c>
      <c r="J55" t="s">
        <v>1727</v>
      </c>
      <c r="K55" t="s">
        <v>1657</v>
      </c>
      <c r="L55" t="s">
        <v>1657</v>
      </c>
      <c r="R55" t="s">
        <v>1973</v>
      </c>
      <c r="Y55" t="s">
        <v>1877</v>
      </c>
      <c r="Z55" t="s">
        <v>2328</v>
      </c>
      <c r="AJ55" t="s">
        <v>1860</v>
      </c>
      <c r="AK55" t="s">
        <v>1629</v>
      </c>
      <c r="BC55" t="s">
        <v>1726</v>
      </c>
      <c r="BD55" t="s">
        <v>1958</v>
      </c>
      <c r="BI55" t="s">
        <v>1630</v>
      </c>
      <c r="BL55">
        <f>IF($T55="","",IF((IF(AND($AW55&lt;&gt;"Yes",$AW55&lt;&gt;"N/A"),"Power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",""))="","",LEFT(IF(AND($AW55&lt;&gt;"Yes",$AW55&lt;&gt;"N/A"),"Power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",""),LEN(IF(AND($AW55&lt;&gt;"Yes",$AW55&lt;&gt;"N/A"),"Power Cable, ","")&amp;IF(AND($AX55&lt;&gt;"Yes",$AX55&lt;&gt;"N/A"),"Battery, ","")&amp;IF(AND($BE55&lt;&gt;"Yes",$BE55&lt;&gt;"N/A"),"Firmware Download, ","")&amp;IF(AND(OR($BE55="Yes",$BE55="N/A"),$BF55&lt;&gt;"Yes",$BF55&lt;&gt;"N/A"),"Firmware Install, ","")&amp;IF(AND($BJ55&lt;&gt;"Yes",$BJ55&lt;&gt;"N/A"),"Device ID, ","")&amp;IF(AND($BK55&lt;&gt;"Yes",$BK55&lt;&gt;"N/A"),"Epic Beans Relay, ",""))-2)))</f>
      </c>
      <c r="BM55">
        <f>IF($T55="","",IF($BL55="","Yes","Blocked"))</f>
      </c>
      <c r="BP55">
        <f>IF($BO55="","",IFERROR(VLOOKUP($BO55,'01_Warehouse_Ledger'!$A:$N,4,FALSE),""))</f>
      </c>
      <c r="BQ55">
        <f>IF($BO55="","",IFERROR(VLOOKUP($BO55,'01_Warehouse_Ledger'!$A:$N,5,FALSE),""))</f>
      </c>
      <c r="BR55">
        <f>IF($BO55="","",IFERROR(VLOOKUP($BO55,'01_Warehouse_Ledger'!$A:$N,13,FALSE),""))</f>
      </c>
    </row>
    <row r="56">
      <c r="A56" t="s">
        <v>1415</v>
      </c>
      <c r="B56" t="s">
        <v>1657</v>
      </c>
      <c r="C56" t="s">
        <v>1657</v>
      </c>
      <c r="D56">
        <f>IF($B56&lt;&gt;"Yes","",IF($C56="No","Yes",IF($C56="Yes","No","")))</f>
      </c>
      <c r="E56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</c>
      <c r="F56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</c>
      <c r="G56" t="s">
        <v>1880</v>
      </c>
      <c r="H56" t="s">
        <v>2197</v>
      </c>
      <c r="I56" t="s">
        <v>1831</v>
      </c>
      <c r="J56" t="s">
        <v>1727</v>
      </c>
      <c r="K56" t="s">
        <v>1657</v>
      </c>
      <c r="L56" t="s">
        <v>1657</v>
      </c>
      <c r="R56" t="s">
        <v>1870</v>
      </c>
      <c r="X56" t="s">
        <v>2013</v>
      </c>
      <c r="Y56" t="s">
        <v>1740</v>
      </c>
      <c r="Z56" t="s">
        <v>1683</v>
      </c>
      <c r="BD56" t="s">
        <v>1958</v>
      </c>
      <c r="BI56" t="s">
        <v>1630</v>
      </c>
      <c r="BL56">
        <f>IF($T56="","",IF((IF(AND($AW56&lt;&gt;"Yes",$AW56&lt;&gt;"N/A"),"Power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",""))="","",LEFT(IF(AND($AW56&lt;&gt;"Yes",$AW56&lt;&gt;"N/A"),"Power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",""),LEN(IF(AND($AW56&lt;&gt;"Yes",$AW56&lt;&gt;"N/A"),"Power Cable, ","")&amp;IF(AND($AX56&lt;&gt;"Yes",$AX56&lt;&gt;"N/A"),"Battery, ","")&amp;IF(AND($BE56&lt;&gt;"Yes",$BE56&lt;&gt;"N/A"),"Firmware Download, ","")&amp;IF(AND(OR($BE56="Yes",$BE56="N/A"),$BF56&lt;&gt;"Yes",$BF56&lt;&gt;"N/A"),"Firmware Install, ","")&amp;IF(AND($BJ56&lt;&gt;"Yes",$BJ56&lt;&gt;"N/A"),"Device ID, ","")&amp;IF(AND($BK56&lt;&gt;"Yes",$BK56&lt;&gt;"N/A"),"Epic Beans Relay, ",""))-2)))</f>
      </c>
      <c r="BM56">
        <f>IF($T56="","",IF($BL56="","Yes","Blocked"))</f>
      </c>
      <c r="BP56">
        <f>IF($BO56="","",IFERROR(VLOOKUP($BO56,'01_Warehouse_Ledger'!$A:$N,4,FALSE),""))</f>
      </c>
      <c r="BQ56">
        <f>IF($BO56="","",IFERROR(VLOOKUP($BO56,'01_Warehouse_Ledger'!$A:$N,5,FALSE),""))</f>
      </c>
      <c r="BR56">
        <f>IF($BO56="","",IFERROR(VLOOKUP($BO56,'01_Warehouse_Ledger'!$A:$N,13,FALSE),""))</f>
      </c>
    </row>
    <row r="57">
      <c r="A57" t="s">
        <v>1415</v>
      </c>
      <c r="B57" t="s">
        <v>1657</v>
      </c>
      <c r="C57" t="s">
        <v>1657</v>
      </c>
      <c r="D57">
        <f>IF($B57&lt;&gt;"Yes","",IF($C57="No","Yes",IF($C57="Yes","No","")))</f>
      </c>
      <c r="E57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</c>
      <c r="F57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</c>
      <c r="G57" t="s">
        <v>1880</v>
      </c>
      <c r="H57" t="s">
        <v>2197</v>
      </c>
      <c r="I57" t="s">
        <v>1831</v>
      </c>
      <c r="J57" t="s">
        <v>1727</v>
      </c>
      <c r="K57" t="s">
        <v>1657</v>
      </c>
      <c r="L57" t="s">
        <v>1657</v>
      </c>
      <c r="R57" t="s">
        <v>1680</v>
      </c>
      <c r="Y57" t="s">
        <v>2161</v>
      </c>
      <c r="Z57" t="s">
        <v>2080</v>
      </c>
      <c r="BD57" t="s">
        <v>1958</v>
      </c>
      <c r="BI57" t="s">
        <v>1630</v>
      </c>
      <c r="BL57">
        <f>IF($T57="","",IF((IF(AND($AW57&lt;&gt;"Yes",$AW57&lt;&gt;"N/A"),"Power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",""))="","",LEFT(IF(AND($AW57&lt;&gt;"Yes",$AW57&lt;&gt;"N/A"),"Power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",""),LEN(IF(AND($AW57&lt;&gt;"Yes",$AW57&lt;&gt;"N/A"),"Power Cable, ","")&amp;IF(AND($AX57&lt;&gt;"Yes",$AX57&lt;&gt;"N/A"),"Battery, ","")&amp;IF(AND($BE57&lt;&gt;"Yes",$BE57&lt;&gt;"N/A"),"Firmware Download, ","")&amp;IF(AND(OR($BE57="Yes",$BE57="N/A"),$BF57&lt;&gt;"Yes",$BF57&lt;&gt;"N/A"),"Firmware Install, ","")&amp;IF(AND($BJ57&lt;&gt;"Yes",$BJ57&lt;&gt;"N/A"),"Device ID, ","")&amp;IF(AND($BK57&lt;&gt;"Yes",$BK57&lt;&gt;"N/A"),"Epic Beans Relay, ",""))-2)))</f>
      </c>
      <c r="BM57">
        <f>IF($T57="","",IF($BL57="","Yes","Blocked"))</f>
      </c>
      <c r="BP57">
        <f>IF($BO57="","",IFERROR(VLOOKUP($BO57,'01_Warehouse_Ledger'!$A:$N,4,FALSE),""))</f>
      </c>
      <c r="BQ57">
        <f>IF($BO57="","",IFERROR(VLOOKUP($BO57,'01_Warehouse_Ledger'!$A:$N,5,FALSE),""))</f>
      </c>
      <c r="BR57">
        <f>IF($BO57="","",IFERROR(VLOOKUP($BO57,'01_Warehouse_Ledger'!$A:$N,13,FALSE),""))</f>
      </c>
    </row>
    <row r="58">
      <c r="A58" t="s">
        <v>1415</v>
      </c>
      <c r="B58" t="s">
        <v>1657</v>
      </c>
      <c r="C58" t="s">
        <v>1657</v>
      </c>
      <c r="D58">
        <f>IF($B58&lt;&gt;"Yes","",IF($C58="No","Yes",IF($C58="Yes","No","")))</f>
      </c>
      <c r="E58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</c>
      <c r="F58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</c>
      <c r="G58" t="s">
        <v>1880</v>
      </c>
      <c r="H58" t="s">
        <v>2197</v>
      </c>
      <c r="I58" t="s">
        <v>1831</v>
      </c>
      <c r="J58" t="s">
        <v>1727</v>
      </c>
      <c r="K58" t="s">
        <v>1657</v>
      </c>
      <c r="L58" t="s">
        <v>1657</v>
      </c>
      <c r="R58" t="s">
        <v>1910</v>
      </c>
      <c r="Y58" t="s">
        <v>2351</v>
      </c>
      <c r="Z58" t="s">
        <v>2043</v>
      </c>
      <c r="BD58" t="s">
        <v>1958</v>
      </c>
      <c r="BI58" t="s">
        <v>1630</v>
      </c>
      <c r="BL58">
        <f>IF($T58="","",IF((IF(AND($AW58&lt;&gt;"Yes",$AW58&lt;&gt;"N/A"),"Power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",""))="","",LEFT(IF(AND($AW58&lt;&gt;"Yes",$AW58&lt;&gt;"N/A"),"Power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",""),LEN(IF(AND($AW58&lt;&gt;"Yes",$AW58&lt;&gt;"N/A"),"Power Cable, ","")&amp;IF(AND($AX58&lt;&gt;"Yes",$AX58&lt;&gt;"N/A"),"Battery, ","")&amp;IF(AND($BE58&lt;&gt;"Yes",$BE58&lt;&gt;"N/A"),"Firmware Download, ","")&amp;IF(AND(OR($BE58="Yes",$BE58="N/A"),$BF58&lt;&gt;"Yes",$BF58&lt;&gt;"N/A"),"Firmware Install, ","")&amp;IF(AND($BJ58&lt;&gt;"Yes",$BJ58&lt;&gt;"N/A"),"Device ID, ","")&amp;IF(AND($BK58&lt;&gt;"Yes",$BK58&lt;&gt;"N/A"),"Epic Beans Relay, ",""))-2)))</f>
      </c>
      <c r="BM58">
        <f>IF($T58="","",IF($BL58="","Yes","Blocked"))</f>
      </c>
      <c r="BP58">
        <f>IF($BO58="","",IFERROR(VLOOKUP($BO58,'01_Warehouse_Ledger'!$A:$N,4,FALSE),""))</f>
      </c>
      <c r="BQ58">
        <f>IF($BO58="","",IFERROR(VLOOKUP($BO58,'01_Warehouse_Ledger'!$A:$N,5,FALSE),""))</f>
      </c>
      <c r="BR58">
        <f>IF($BO58="","",IFERROR(VLOOKUP($BO58,'01_Warehouse_Ledger'!$A:$N,13,FALSE),""))</f>
      </c>
    </row>
    <row r="59">
      <c r="A59" t="s">
        <v>1415</v>
      </c>
      <c r="B59" t="s">
        <v>1657</v>
      </c>
      <c r="C59" t="s">
        <v>1657</v>
      </c>
      <c r="D59">
        <f>IF($B59&lt;&gt;"Yes","",IF($C59="No","Yes",IF($C59="Yes","No","")))</f>
      </c>
      <c r="E59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</c>
      <c r="F59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</c>
      <c r="G59" t="s">
        <v>1880</v>
      </c>
      <c r="H59" t="s">
        <v>2197</v>
      </c>
      <c r="I59" t="s">
        <v>1831</v>
      </c>
      <c r="J59" t="s">
        <v>1727</v>
      </c>
      <c r="K59" t="s">
        <v>1657</v>
      </c>
      <c r="L59" t="s">
        <v>1657</v>
      </c>
      <c r="R59" t="s">
        <v>2119</v>
      </c>
      <c r="Y59" t="s">
        <v>1885</v>
      </c>
      <c r="Z59" t="s">
        <v>2063</v>
      </c>
      <c r="BD59" t="s">
        <v>1958</v>
      </c>
      <c r="BI59" t="s">
        <v>1630</v>
      </c>
      <c r="BL59">
        <f>IF($T59="","",IF((IF(AND($AW59&lt;&gt;"Yes",$AW59&lt;&gt;"N/A"),"Power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",""))="","",LEFT(IF(AND($AW59&lt;&gt;"Yes",$AW59&lt;&gt;"N/A"),"Power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",""),LEN(IF(AND($AW59&lt;&gt;"Yes",$AW59&lt;&gt;"N/A"),"Power Cable, ","")&amp;IF(AND($AX59&lt;&gt;"Yes",$AX59&lt;&gt;"N/A"),"Battery, ","")&amp;IF(AND($BE59&lt;&gt;"Yes",$BE59&lt;&gt;"N/A"),"Firmware Download, ","")&amp;IF(AND(OR($BE59="Yes",$BE59="N/A"),$BF59&lt;&gt;"Yes",$BF59&lt;&gt;"N/A"),"Firmware Install, ","")&amp;IF(AND($BJ59&lt;&gt;"Yes",$BJ59&lt;&gt;"N/A"),"Device ID, ","")&amp;IF(AND($BK59&lt;&gt;"Yes",$BK59&lt;&gt;"N/A"),"Epic Beans Relay, ",""))-2)))</f>
      </c>
      <c r="BM59">
        <f>IF($T59="","",IF($BL59="","Yes","Blocked"))</f>
      </c>
      <c r="BP59">
        <f>IF($BO59="","",IFERROR(VLOOKUP($BO59,'01_Warehouse_Ledger'!$A:$N,4,FALSE),""))</f>
      </c>
      <c r="BQ59">
        <f>IF($BO59="","",IFERROR(VLOOKUP($BO59,'01_Warehouse_Ledger'!$A:$N,5,FALSE),""))</f>
      </c>
      <c r="BR59">
        <f>IF($BO59="","",IFERROR(VLOOKUP($BO59,'01_Warehouse_Ledger'!$A:$N,13,FALSE),""))</f>
      </c>
    </row>
    <row r="60">
      <c r="A60" t="s">
        <v>1415</v>
      </c>
      <c r="B60" t="s">
        <v>1657</v>
      </c>
      <c r="C60" t="s">
        <v>1657</v>
      </c>
      <c r="D60">
        <f>IF($B60&lt;&gt;"Yes","",IF($C60="No","Yes",IF($C60="Yes","No","")))</f>
      </c>
      <c r="E60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</c>
      <c r="F60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</c>
      <c r="G60" t="s">
        <v>1880</v>
      </c>
      <c r="H60" t="s">
        <v>2197</v>
      </c>
      <c r="I60" t="s">
        <v>1831</v>
      </c>
      <c r="J60" t="s">
        <v>1727</v>
      </c>
      <c r="K60" t="s">
        <v>1657</v>
      </c>
      <c r="L60" t="s">
        <v>1657</v>
      </c>
      <c r="R60" t="s">
        <v>2076</v>
      </c>
      <c r="Y60" t="s">
        <v>2207</v>
      </c>
      <c r="Z60" t="s">
        <v>1787</v>
      </c>
      <c r="BD60" t="s">
        <v>1958</v>
      </c>
      <c r="BI60" t="s">
        <v>1630</v>
      </c>
      <c r="BL60">
        <f>IF($T60="","",IF((IF(AND($AW60&lt;&gt;"Yes",$AW60&lt;&gt;"N/A"),"Power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",""))="","",LEFT(IF(AND($AW60&lt;&gt;"Yes",$AW60&lt;&gt;"N/A"),"Power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",""),LEN(IF(AND($AW60&lt;&gt;"Yes",$AW60&lt;&gt;"N/A"),"Power Cable, ","")&amp;IF(AND($AX60&lt;&gt;"Yes",$AX60&lt;&gt;"N/A"),"Battery, ","")&amp;IF(AND($BE60&lt;&gt;"Yes",$BE60&lt;&gt;"N/A"),"Firmware Download, ","")&amp;IF(AND(OR($BE60="Yes",$BE60="N/A"),$BF60&lt;&gt;"Yes",$BF60&lt;&gt;"N/A"),"Firmware Install, ","")&amp;IF(AND($BJ60&lt;&gt;"Yes",$BJ60&lt;&gt;"N/A"),"Device ID, ","")&amp;IF(AND($BK60&lt;&gt;"Yes",$BK60&lt;&gt;"N/A"),"Epic Beans Relay, ",""))-2)))</f>
      </c>
      <c r="BM60">
        <f>IF($T60="","",IF($BL60="","Yes","Blocked"))</f>
      </c>
      <c r="BP60">
        <f>IF($BO60="","",IFERROR(VLOOKUP($BO60,'01_Warehouse_Ledger'!$A:$N,4,FALSE),""))</f>
      </c>
      <c r="BQ60">
        <f>IF($BO60="","",IFERROR(VLOOKUP($BO60,'01_Warehouse_Ledger'!$A:$N,5,FALSE),""))</f>
      </c>
      <c r="BR60">
        <f>IF($BO60="","",IFERROR(VLOOKUP($BO60,'01_Warehouse_Ledger'!$A:$N,13,FALSE),""))</f>
      </c>
    </row>
    <row r="61">
      <c r="A61" t="s">
        <v>1415</v>
      </c>
      <c r="B61" t="s">
        <v>1657</v>
      </c>
      <c r="C61" t="s">
        <v>1657</v>
      </c>
      <c r="D61">
        <f>IF($B61&lt;&gt;"Yes","",IF($C61="No","Yes",IF($C61="Yes","No","")))</f>
      </c>
      <c r="E61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</c>
      <c r="F61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</c>
      <c r="G61" t="s">
        <v>1880</v>
      </c>
      <c r="H61" t="s">
        <v>2197</v>
      </c>
      <c r="I61" t="s">
        <v>1831</v>
      </c>
      <c r="J61" t="s">
        <v>1727</v>
      </c>
      <c r="K61" t="s">
        <v>1657</v>
      </c>
      <c r="L61" t="s">
        <v>1657</v>
      </c>
      <c r="R61" t="s">
        <v>1625</v>
      </c>
      <c r="Y61" t="s">
        <v>1934</v>
      </c>
      <c r="Z61" t="s">
        <v>1614</v>
      </c>
      <c r="BD61" t="s">
        <v>1958</v>
      </c>
      <c r="BI61" t="s">
        <v>1630</v>
      </c>
      <c r="BL61">
        <f>IF($T61="","",IF((IF(AND($AW61&lt;&gt;"Yes",$AW61&lt;&gt;"N/A"),"Power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",""))="","",LEFT(IF(AND($AW61&lt;&gt;"Yes",$AW61&lt;&gt;"N/A"),"Power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",""),LEN(IF(AND($AW61&lt;&gt;"Yes",$AW61&lt;&gt;"N/A"),"Power Cable, ","")&amp;IF(AND($AX61&lt;&gt;"Yes",$AX61&lt;&gt;"N/A"),"Battery, ","")&amp;IF(AND($BE61&lt;&gt;"Yes",$BE61&lt;&gt;"N/A"),"Firmware Download, ","")&amp;IF(AND(OR($BE61="Yes",$BE61="N/A"),$BF61&lt;&gt;"Yes",$BF61&lt;&gt;"N/A"),"Firmware Install, ","")&amp;IF(AND($BJ61&lt;&gt;"Yes",$BJ61&lt;&gt;"N/A"),"Device ID, ","")&amp;IF(AND($BK61&lt;&gt;"Yes",$BK61&lt;&gt;"N/A"),"Epic Beans Relay, ",""))-2)))</f>
      </c>
      <c r="BM61">
        <f>IF($T61="","",IF($BL61="","Yes","Blocked"))</f>
      </c>
      <c r="BP61">
        <f>IF($BO61="","",IFERROR(VLOOKUP($BO61,'01_Warehouse_Ledger'!$A:$N,4,FALSE),""))</f>
      </c>
      <c r="BQ61">
        <f>IF($BO61="","",IFERROR(VLOOKUP($BO61,'01_Warehouse_Ledger'!$A:$N,5,FALSE),""))</f>
      </c>
      <c r="BR61">
        <f>IF($BO61="","",IFERROR(VLOOKUP($BO61,'01_Warehouse_Ledger'!$A:$N,13,FALSE),""))</f>
      </c>
    </row>
    <row r="62">
      <c r="A62" t="s">
        <v>1415</v>
      </c>
      <c r="B62" t="s">
        <v>1657</v>
      </c>
      <c r="C62" t="s">
        <v>1657</v>
      </c>
      <c r="D62">
        <f>IF($B62&lt;&gt;"Yes","",IF($C62="No","Yes",IF($C62="Yes","No","")))</f>
      </c>
      <c r="E62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</c>
      <c r="F62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</c>
      <c r="G62" t="s">
        <v>1880</v>
      </c>
      <c r="H62" t="s">
        <v>2197</v>
      </c>
      <c r="I62" t="s">
        <v>1831</v>
      </c>
      <c r="J62" t="s">
        <v>1727</v>
      </c>
      <c r="K62" t="s">
        <v>1657</v>
      </c>
      <c r="L62" t="s">
        <v>1657</v>
      </c>
      <c r="R62" t="s">
        <v>1852</v>
      </c>
      <c r="Y62" t="s">
        <v>1854</v>
      </c>
      <c r="Z62" t="s">
        <v>2370</v>
      </c>
      <c r="BD62" t="s">
        <v>1958</v>
      </c>
      <c r="BI62" t="s">
        <v>1630</v>
      </c>
      <c r="BL62">
        <f>IF($T62="","",IF((IF(AND($AW62&lt;&gt;"Yes",$AW62&lt;&gt;"N/A"),"Power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",""))="","",LEFT(IF(AND($AW62&lt;&gt;"Yes",$AW62&lt;&gt;"N/A"),"Power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",""),LEN(IF(AND($AW62&lt;&gt;"Yes",$AW62&lt;&gt;"N/A"),"Power Cable, ","")&amp;IF(AND($AX62&lt;&gt;"Yes",$AX62&lt;&gt;"N/A"),"Battery, ","")&amp;IF(AND($BE62&lt;&gt;"Yes",$BE62&lt;&gt;"N/A"),"Firmware Download, ","")&amp;IF(AND(OR($BE62="Yes",$BE62="N/A"),$BF62&lt;&gt;"Yes",$BF62&lt;&gt;"N/A"),"Firmware Install, ","")&amp;IF(AND($BJ62&lt;&gt;"Yes",$BJ62&lt;&gt;"N/A"),"Device ID, ","")&amp;IF(AND($BK62&lt;&gt;"Yes",$BK62&lt;&gt;"N/A"),"Epic Beans Relay, ",""))-2)))</f>
      </c>
      <c r="BM62">
        <f>IF($T62="","",IF($BL62="","Yes","Blocked"))</f>
      </c>
      <c r="BP62">
        <f>IF($BO62="","",IFERROR(VLOOKUP($BO62,'01_Warehouse_Ledger'!$A:$N,4,FALSE),""))</f>
      </c>
      <c r="BQ62">
        <f>IF($BO62="","",IFERROR(VLOOKUP($BO62,'01_Warehouse_Ledger'!$A:$N,5,FALSE),""))</f>
      </c>
      <c r="BR62">
        <f>IF($BO62="","",IFERROR(VLOOKUP($BO62,'01_Warehouse_Ledger'!$A:$N,13,FALSE),""))</f>
      </c>
    </row>
    <row r="63">
      <c r="A63" t="s">
        <v>1415</v>
      </c>
      <c r="B63" t="s">
        <v>1657</v>
      </c>
      <c r="C63" t="s">
        <v>1657</v>
      </c>
      <c r="D63">
        <f>IF($B63&lt;&gt;"Yes","",IF($C63="No","Yes",IF($C63="Yes","No","")))</f>
      </c>
      <c r="E63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</c>
      <c r="F63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</c>
      <c r="G63" t="s">
        <v>1880</v>
      </c>
      <c r="H63" t="s">
        <v>2197</v>
      </c>
      <c r="I63" t="s">
        <v>1831</v>
      </c>
      <c r="J63" t="s">
        <v>1727</v>
      </c>
      <c r="K63" t="s">
        <v>1657</v>
      </c>
      <c r="L63" t="s">
        <v>1657</v>
      </c>
      <c r="R63" t="s">
        <v>2372</v>
      </c>
      <c r="Y63" t="s">
        <v>2060</v>
      </c>
      <c r="Z63" t="s">
        <v>2394</v>
      </c>
      <c r="BD63" t="s">
        <v>1958</v>
      </c>
      <c r="BI63" t="s">
        <v>1630</v>
      </c>
      <c r="BL63">
        <f>IF($T63="","",IF((IF(AND($AW63&lt;&gt;"Yes",$AW63&lt;&gt;"N/A"),"Power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",""))="","",LEFT(IF(AND($AW63&lt;&gt;"Yes",$AW63&lt;&gt;"N/A"),"Power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",""),LEN(IF(AND($AW63&lt;&gt;"Yes",$AW63&lt;&gt;"N/A"),"Power Cable, ","")&amp;IF(AND($AX63&lt;&gt;"Yes",$AX63&lt;&gt;"N/A"),"Battery, ","")&amp;IF(AND($BE63&lt;&gt;"Yes",$BE63&lt;&gt;"N/A"),"Firmware Download, ","")&amp;IF(AND(OR($BE63="Yes",$BE63="N/A"),$BF63&lt;&gt;"Yes",$BF63&lt;&gt;"N/A"),"Firmware Install, ","")&amp;IF(AND($BJ63&lt;&gt;"Yes",$BJ63&lt;&gt;"N/A"),"Device ID, ","")&amp;IF(AND($BK63&lt;&gt;"Yes",$BK63&lt;&gt;"N/A"),"Epic Beans Relay, ",""))-2)))</f>
      </c>
      <c r="BM63">
        <f>IF($T63="","",IF($BL63="","Yes","Blocked"))</f>
      </c>
      <c r="BP63">
        <f>IF($BO63="","",IFERROR(VLOOKUP($BO63,'01_Warehouse_Ledger'!$A:$N,4,FALSE),""))</f>
      </c>
      <c r="BQ63">
        <f>IF($BO63="","",IFERROR(VLOOKUP($BO63,'01_Warehouse_Ledger'!$A:$N,5,FALSE),""))</f>
      </c>
      <c r="BR63">
        <f>IF($BO63="","",IFERROR(VLOOKUP($BO63,'01_Warehouse_Ledger'!$A:$N,13,FALSE),""))</f>
      </c>
    </row>
    <row r="64">
      <c r="A64" t="s">
        <v>1415</v>
      </c>
      <c r="B64" t="s">
        <v>1657</v>
      </c>
      <c r="C64" t="s">
        <v>1657</v>
      </c>
      <c r="D64">
        <f>IF($B64&lt;&gt;"Yes","",IF($C64="No","Yes",IF($C64="Yes","No","")))</f>
      </c>
      <c r="E64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</c>
      <c r="F64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</c>
      <c r="G64" t="s">
        <v>1880</v>
      </c>
      <c r="H64" t="s">
        <v>2197</v>
      </c>
      <c r="I64" t="s">
        <v>1831</v>
      </c>
      <c r="J64" t="s">
        <v>1727</v>
      </c>
      <c r="K64" t="s">
        <v>1657</v>
      </c>
      <c r="L64" t="s">
        <v>1657</v>
      </c>
      <c r="R64" t="s">
        <v>2007</v>
      </c>
      <c r="Y64" t="s">
        <v>2213</v>
      </c>
      <c r="Z64" t="s">
        <v>2049</v>
      </c>
      <c r="BD64" t="s">
        <v>1958</v>
      </c>
      <c r="BI64" t="s">
        <v>1630</v>
      </c>
      <c r="BL64">
        <f>IF($T64="","",IF((IF(AND($AW64&lt;&gt;"Yes",$AW64&lt;&gt;"N/A"),"Power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",""))="","",LEFT(IF(AND($AW64&lt;&gt;"Yes",$AW64&lt;&gt;"N/A"),"Power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",""),LEN(IF(AND($AW64&lt;&gt;"Yes",$AW64&lt;&gt;"N/A"),"Power Cable, ","")&amp;IF(AND($AX64&lt;&gt;"Yes",$AX64&lt;&gt;"N/A"),"Battery, ","")&amp;IF(AND($BE64&lt;&gt;"Yes",$BE64&lt;&gt;"N/A"),"Firmware Download, ","")&amp;IF(AND(OR($BE64="Yes",$BE64="N/A"),$BF64&lt;&gt;"Yes",$BF64&lt;&gt;"N/A"),"Firmware Install, ","")&amp;IF(AND($BJ64&lt;&gt;"Yes",$BJ64&lt;&gt;"N/A"),"Device ID, ","")&amp;IF(AND($BK64&lt;&gt;"Yes",$BK64&lt;&gt;"N/A"),"Epic Beans Relay, ",""))-2)))</f>
      </c>
      <c r="BM64">
        <f>IF($T64="","",IF($BL64="","Yes","Blocked"))</f>
      </c>
      <c r="BP64">
        <f>IF($BO64="","",IFERROR(VLOOKUP($BO64,'01_Warehouse_Ledger'!$A:$N,4,FALSE),""))</f>
      </c>
      <c r="BQ64">
        <f>IF($BO64="","",IFERROR(VLOOKUP($BO64,'01_Warehouse_Ledger'!$A:$N,5,FALSE),""))</f>
      </c>
      <c r="BR64">
        <f>IF($BO64="","",IFERROR(VLOOKUP($BO64,'01_Warehouse_Ledger'!$A:$N,13,FALSE),""))</f>
      </c>
    </row>
    <row r="65">
      <c r="A65" t="s">
        <v>1415</v>
      </c>
      <c r="B65" t="s">
        <v>1657</v>
      </c>
      <c r="C65" t="s">
        <v>1657</v>
      </c>
      <c r="D65">
        <f>IF($B65&lt;&gt;"Yes","",IF($C65="No","Yes",IF($C65="Yes","No","")))</f>
      </c>
      <c r="E65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</c>
      <c r="F65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</c>
      <c r="G65" t="s">
        <v>1880</v>
      </c>
      <c r="H65" t="s">
        <v>2197</v>
      </c>
      <c r="I65" t="s">
        <v>1831</v>
      </c>
      <c r="J65" t="s">
        <v>1727</v>
      </c>
      <c r="K65" t="s">
        <v>1657</v>
      </c>
      <c r="L65" t="s">
        <v>1657</v>
      </c>
      <c r="R65" t="s">
        <v>1699</v>
      </c>
      <c r="Y65" t="s">
        <v>2353</v>
      </c>
      <c r="Z65" t="s">
        <v>2095</v>
      </c>
      <c r="BD65" t="s">
        <v>1958</v>
      </c>
      <c r="BI65" t="s">
        <v>1630</v>
      </c>
      <c r="BL65">
        <f>IF($T65="","",IF((IF(AND($AW65&lt;&gt;"Yes",$AW65&lt;&gt;"N/A"),"Power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",""))="","",LEFT(IF(AND($AW65&lt;&gt;"Yes",$AW65&lt;&gt;"N/A"),"Power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",""),LEN(IF(AND($AW65&lt;&gt;"Yes",$AW65&lt;&gt;"N/A"),"Power Cable, ","")&amp;IF(AND($AX65&lt;&gt;"Yes",$AX65&lt;&gt;"N/A"),"Battery, ","")&amp;IF(AND($BE65&lt;&gt;"Yes",$BE65&lt;&gt;"N/A"),"Firmware Download, ","")&amp;IF(AND(OR($BE65="Yes",$BE65="N/A"),$BF65&lt;&gt;"Yes",$BF65&lt;&gt;"N/A"),"Firmware Install, ","")&amp;IF(AND($BJ65&lt;&gt;"Yes",$BJ65&lt;&gt;"N/A"),"Device ID, ","")&amp;IF(AND($BK65&lt;&gt;"Yes",$BK65&lt;&gt;"N/A"),"Epic Beans Relay, ",""))-2)))</f>
      </c>
      <c r="BM65">
        <f>IF($T65="","",IF($BL65="","Yes","Blocked"))</f>
      </c>
      <c r="BP65">
        <f>IF($BO65="","",IFERROR(VLOOKUP($BO65,'01_Warehouse_Ledger'!$A:$N,4,FALSE),""))</f>
      </c>
      <c r="BQ65">
        <f>IF($BO65="","",IFERROR(VLOOKUP($BO65,'01_Warehouse_Ledger'!$A:$N,5,FALSE),""))</f>
      </c>
      <c r="BR65">
        <f>IF($BO65="","",IFERROR(VLOOKUP($BO65,'01_Warehouse_Ledger'!$A:$N,13,FALSE),""))</f>
      </c>
    </row>
    <row r="66">
      <c r="A66" t="s">
        <v>1415</v>
      </c>
      <c r="B66" t="s">
        <v>1657</v>
      </c>
      <c r="C66" t="s">
        <v>1657</v>
      </c>
      <c r="D66">
        <f>IF($B66&lt;&gt;"Yes","",IF($C66="No","Yes",IF($C66="Yes","No","")))</f>
      </c>
      <c r="E66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</c>
      <c r="F66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</c>
      <c r="G66" t="s">
        <v>1880</v>
      </c>
      <c r="H66" t="s">
        <v>2197</v>
      </c>
      <c r="I66" t="s">
        <v>1831</v>
      </c>
      <c r="J66" t="s">
        <v>1727</v>
      </c>
      <c r="K66" t="s">
        <v>1657</v>
      </c>
      <c r="L66" t="s">
        <v>1657</v>
      </c>
      <c r="R66" t="s">
        <v>1645</v>
      </c>
      <c r="Y66" t="s">
        <v>1833</v>
      </c>
      <c r="Z66" t="s">
        <v>2349</v>
      </c>
      <c r="BI66" t="s">
        <v>1630</v>
      </c>
      <c r="BL66">
        <f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</c>
      <c r="BM66">
        <f>IF($T66="","",IF($BL66="","Yes","Blocked"))</f>
      </c>
      <c r="BP66">
        <f>IF($BO66="","",IFERROR(VLOOKUP($BO66,'01_Warehouse_Ledger'!$A:$N,4,FALSE),""))</f>
      </c>
      <c r="BQ66">
        <f>IF($BO66="","",IFERROR(VLOOKUP($BO66,'01_Warehouse_Ledger'!$A:$N,5,FALSE),""))</f>
      </c>
      <c r="BR66">
        <f>IF($BO66="","",IFERROR(VLOOKUP($BO66,'01_Warehouse_Ledger'!$A:$N,13,FALSE),""))</f>
      </c>
    </row>
    <row r="67">
      <c r="A67" t="s">
        <v>1415</v>
      </c>
      <c r="B67" t="s">
        <v>1657</v>
      </c>
      <c r="C67" t="s">
        <v>1657</v>
      </c>
      <c r="D67">
        <f>IF($B67&lt;&gt;"Yes","",IF($C67="No","Yes",IF($C67="Yes","No","")))</f>
      </c>
      <c r="E67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</c>
      <c r="F67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</c>
      <c r="G67" t="s">
        <v>1880</v>
      </c>
      <c r="H67" t="s">
        <v>2197</v>
      </c>
      <c r="I67" t="s">
        <v>1831</v>
      </c>
      <c r="J67" t="s">
        <v>1727</v>
      </c>
      <c r="K67" t="s">
        <v>1657</v>
      </c>
      <c r="L67" t="s">
        <v>1657</v>
      </c>
      <c r="R67" t="s">
        <v>2317</v>
      </c>
      <c r="Y67" t="s">
        <v>2079</v>
      </c>
      <c r="Z67" t="s">
        <v>2225</v>
      </c>
      <c r="BI67" t="s">
        <v>1630</v>
      </c>
      <c r="BL67">
        <f>IF($T67="","",IF((IF(AND($AW67&lt;&gt;"Yes",$AW67&lt;&gt;"N/A"),"Power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",""))="","",LEFT(IF(AND($AW67&lt;&gt;"Yes",$AW67&lt;&gt;"N/A"),"Power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",""),LEN(IF(AND($AW67&lt;&gt;"Yes",$AW67&lt;&gt;"N/A"),"Power Cable, ","")&amp;IF(AND($AX67&lt;&gt;"Yes",$AX67&lt;&gt;"N/A"),"Battery, ","")&amp;IF(AND($BE67&lt;&gt;"Yes",$BE67&lt;&gt;"N/A"),"Firmware Download, ","")&amp;IF(AND(OR($BE67="Yes",$BE67="N/A"),$BF67&lt;&gt;"Yes",$BF67&lt;&gt;"N/A"),"Firmware Install, ","")&amp;IF(AND($BJ67&lt;&gt;"Yes",$BJ67&lt;&gt;"N/A"),"Device ID, ","")&amp;IF(AND($BK67&lt;&gt;"Yes",$BK67&lt;&gt;"N/A"),"Epic Beans Relay, ",""))-2)))</f>
      </c>
      <c r="BM67">
        <f>IF($T67="","",IF($BL67="","Yes","Blocked"))</f>
      </c>
      <c r="BP67">
        <f>IF($BO67="","",IFERROR(VLOOKUP($BO67,'01_Warehouse_Ledger'!$A:$N,4,FALSE),""))</f>
      </c>
      <c r="BQ67">
        <f>IF($BO67="","",IFERROR(VLOOKUP($BO67,'01_Warehouse_Ledger'!$A:$N,5,FALSE),""))</f>
      </c>
      <c r="BR67">
        <f>IF($BO67="","",IFERROR(VLOOKUP($BO67,'01_Warehouse_Ledger'!$A:$N,13,FALSE),""))</f>
      </c>
    </row>
    <row r="68">
      <c r="A68" t="s">
        <v>1415</v>
      </c>
      <c r="B68" t="s">
        <v>1657</v>
      </c>
      <c r="C68" t="s">
        <v>1657</v>
      </c>
      <c r="D68">
        <f>IF($B68&lt;&gt;"Yes","",IF($C68="No","Yes",IF($C68="Yes","No","")))</f>
      </c>
      <c r="E68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</c>
      <c r="F68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</c>
      <c r="G68" t="s">
        <v>1880</v>
      </c>
      <c r="H68" t="s">
        <v>2197</v>
      </c>
      <c r="I68" t="s">
        <v>1831</v>
      </c>
      <c r="J68" t="s">
        <v>1727</v>
      </c>
      <c r="K68" t="s">
        <v>1657</v>
      </c>
      <c r="L68" t="s">
        <v>1657</v>
      </c>
      <c r="R68" t="s">
        <v>2299</v>
      </c>
      <c r="Y68" t="s">
        <v>1698</v>
      </c>
      <c r="Z68" t="s">
        <v>1811</v>
      </c>
      <c r="BI68" t="s">
        <v>1630</v>
      </c>
      <c r="BL68">
        <f>IF($T68="","",IF((IF(AND($AW68&lt;&gt;"Yes",$AW68&lt;&gt;"N/A"),"Power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",""))="","",LEFT(IF(AND($AW68&lt;&gt;"Yes",$AW68&lt;&gt;"N/A"),"Power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",""),LEN(IF(AND($AW68&lt;&gt;"Yes",$AW68&lt;&gt;"N/A"),"Power Cable, ","")&amp;IF(AND($AX68&lt;&gt;"Yes",$AX68&lt;&gt;"N/A"),"Battery, ","")&amp;IF(AND($BE68&lt;&gt;"Yes",$BE68&lt;&gt;"N/A"),"Firmware Download, ","")&amp;IF(AND(OR($BE68="Yes",$BE68="N/A"),$BF68&lt;&gt;"Yes",$BF68&lt;&gt;"N/A"),"Firmware Install, ","")&amp;IF(AND($BJ68&lt;&gt;"Yes",$BJ68&lt;&gt;"N/A"),"Device ID, ","")&amp;IF(AND($BK68&lt;&gt;"Yes",$BK68&lt;&gt;"N/A"),"Epic Beans Relay, ",""))-2)))</f>
      </c>
      <c r="BM68">
        <f>IF($T68="","",IF($BL68="","Yes","Blocked"))</f>
      </c>
      <c r="BP68">
        <f>IF($BO68="","",IFERROR(VLOOKUP($BO68,'01_Warehouse_Ledger'!$A:$N,4,FALSE),""))</f>
      </c>
      <c r="BQ68">
        <f>IF($BO68="","",IFERROR(VLOOKUP($BO68,'01_Warehouse_Ledger'!$A:$N,5,FALSE),""))</f>
      </c>
      <c r="BR68">
        <f>IF($BO68="","",IFERROR(VLOOKUP($BO68,'01_Warehouse_Ledger'!$A:$N,13,FALSE),""))</f>
      </c>
    </row>
    <row r="69">
      <c r="A69" t="s">
        <v>1415</v>
      </c>
      <c r="B69" t="s">
        <v>1657</v>
      </c>
      <c r="C69" t="s">
        <v>1657</v>
      </c>
      <c r="D69">
        <f>IF($B69&lt;&gt;"Yes","",IF($C69="No","Yes",IF($C69="Yes","No","")))</f>
      </c>
      <c r="E69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</c>
      <c r="F69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</c>
      <c r="G69" t="s">
        <v>1880</v>
      </c>
      <c r="H69" t="s">
        <v>2357</v>
      </c>
      <c r="I69" t="s">
        <v>1831</v>
      </c>
      <c r="J69" t="s">
        <v>1727</v>
      </c>
      <c r="K69" t="s">
        <v>1657</v>
      </c>
      <c r="L69" t="s">
        <v>1657</v>
      </c>
      <c r="R69" t="s">
        <v>2064</v>
      </c>
      <c r="Y69" t="s">
        <v>1828</v>
      </c>
      <c r="Z69" t="s">
        <v>2093</v>
      </c>
      <c r="BI69" t="s">
        <v>1630</v>
      </c>
      <c r="BL69">
        <f>IF($T69="","",IF((IF(AND($AW69&lt;&gt;"Yes",$AW69&lt;&gt;"N/A"),"Power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",""))="","",LEFT(IF(AND($AW69&lt;&gt;"Yes",$AW69&lt;&gt;"N/A"),"Power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",""),LEN(IF(AND($AW69&lt;&gt;"Yes",$AW69&lt;&gt;"N/A"),"Power Cable, ","")&amp;IF(AND($AX69&lt;&gt;"Yes",$AX69&lt;&gt;"N/A"),"Battery, ","")&amp;IF(AND($BE69&lt;&gt;"Yes",$BE69&lt;&gt;"N/A"),"Firmware Download, ","")&amp;IF(AND(OR($BE69="Yes",$BE69="N/A"),$BF69&lt;&gt;"Yes",$BF69&lt;&gt;"N/A"),"Firmware Install, ","")&amp;IF(AND($BJ69&lt;&gt;"Yes",$BJ69&lt;&gt;"N/A"),"Device ID, ","")&amp;IF(AND($BK69&lt;&gt;"Yes",$BK69&lt;&gt;"N/A"),"Epic Beans Relay, ",""))-2)))</f>
      </c>
      <c r="BM69">
        <f>IF($T69="","",IF($BL69="","Yes","Blocked"))</f>
      </c>
      <c r="BP69">
        <f>IF($BO69="","",IFERROR(VLOOKUP($BO69,'01_Warehouse_Ledger'!$A:$N,4,FALSE),""))</f>
      </c>
      <c r="BQ69">
        <f>IF($BO69="","",IFERROR(VLOOKUP($BO69,'01_Warehouse_Ledger'!$A:$N,5,FALSE),""))</f>
      </c>
      <c r="BR69">
        <f>IF($BO69="","",IFERROR(VLOOKUP($BO69,'01_Warehouse_Ledger'!$A:$N,13,FALSE),""))</f>
      </c>
    </row>
    <row r="70">
      <c r="A70" t="s">
        <v>1415</v>
      </c>
      <c r="B70" t="s">
        <v>1657</v>
      </c>
      <c r="C70" t="s">
        <v>1657</v>
      </c>
      <c r="D70">
        <f>IF($B70&lt;&gt;"Yes","",IF($C70="No","Yes",IF($C70="Yes","No","")))</f>
      </c>
      <c r="E70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</c>
      <c r="F70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</c>
      <c r="G70" t="s">
        <v>1880</v>
      </c>
      <c r="H70" t="s">
        <v>2357</v>
      </c>
      <c r="I70" t="s">
        <v>1831</v>
      </c>
      <c r="J70" t="s">
        <v>1727</v>
      </c>
      <c r="K70" t="s">
        <v>1657</v>
      </c>
      <c r="L70" t="s">
        <v>1657</v>
      </c>
      <c r="R70" t="s">
        <v>2239</v>
      </c>
      <c r="Y70" t="s">
        <v>2073</v>
      </c>
      <c r="Z70" t="s">
        <v>2363</v>
      </c>
      <c r="BI70" t="s">
        <v>1630</v>
      </c>
      <c r="BL70">
        <f>IF($T70="","",IF((IF(AND($AW70&lt;&gt;"Yes",$AW70&lt;&gt;"N/A"),"Power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",""))="","",LEFT(IF(AND($AW70&lt;&gt;"Yes",$AW70&lt;&gt;"N/A"),"Power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",""),LEN(IF(AND($AW70&lt;&gt;"Yes",$AW70&lt;&gt;"N/A"),"Power Cable, ","")&amp;IF(AND($AX70&lt;&gt;"Yes",$AX70&lt;&gt;"N/A"),"Battery, ","")&amp;IF(AND($BE70&lt;&gt;"Yes",$BE70&lt;&gt;"N/A"),"Firmware Download, ","")&amp;IF(AND(OR($BE70="Yes",$BE70="N/A"),$BF70&lt;&gt;"Yes",$BF70&lt;&gt;"N/A"),"Firmware Install, ","")&amp;IF(AND($BJ70&lt;&gt;"Yes",$BJ70&lt;&gt;"N/A"),"Device ID, ","")&amp;IF(AND($BK70&lt;&gt;"Yes",$BK70&lt;&gt;"N/A"),"Epic Beans Relay, ",""))-2)))</f>
      </c>
      <c r="BM70">
        <f>IF($T70="","",IF($BL70="","Yes","Blocked"))</f>
      </c>
      <c r="BP70">
        <f>IF($BO70="","",IFERROR(VLOOKUP($BO70,'01_Warehouse_Ledger'!$A:$N,4,FALSE),""))</f>
      </c>
      <c r="BQ70">
        <f>IF($BO70="","",IFERROR(VLOOKUP($BO70,'01_Warehouse_Ledger'!$A:$N,5,FALSE),""))</f>
      </c>
      <c r="BR70">
        <f>IF($BO70="","",IFERROR(VLOOKUP($BO70,'01_Warehouse_Ledger'!$A:$N,13,FALSE),""))</f>
      </c>
    </row>
    <row r="71">
      <c r="A71" t="s">
        <v>1415</v>
      </c>
      <c r="B71" t="s">
        <v>1657</v>
      </c>
      <c r="C71" t="s">
        <v>1657</v>
      </c>
      <c r="D71">
        <f>IF($B71&lt;&gt;"Yes","",IF($C71="No","Yes",IF($C71="Yes","No","")))</f>
      </c>
      <c r="E71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</c>
      <c r="F71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</c>
      <c r="G71" t="s">
        <v>1880</v>
      </c>
      <c r="H71" t="s">
        <v>2357</v>
      </c>
      <c r="I71" t="s">
        <v>1831</v>
      </c>
      <c r="J71" t="s">
        <v>1727</v>
      </c>
      <c r="K71" t="s">
        <v>1657</v>
      </c>
      <c r="L71" t="s">
        <v>1657</v>
      </c>
      <c r="R71" t="s">
        <v>1930</v>
      </c>
      <c r="Y71" t="s">
        <v>2167</v>
      </c>
      <c r="Z71" t="s">
        <v>1884</v>
      </c>
      <c r="BI71" t="s">
        <v>1630</v>
      </c>
      <c r="BL71">
        <f>IF($T71="","",IF((IF(AND($AW71&lt;&gt;"Yes",$AW71&lt;&gt;"N/A"),"Power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",""))="","",LEFT(IF(AND($AW71&lt;&gt;"Yes",$AW71&lt;&gt;"N/A"),"Power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",""),LEN(IF(AND($AW71&lt;&gt;"Yes",$AW71&lt;&gt;"N/A"),"Power Cable, ","")&amp;IF(AND($AX71&lt;&gt;"Yes",$AX71&lt;&gt;"N/A"),"Battery, ","")&amp;IF(AND($BE71&lt;&gt;"Yes",$BE71&lt;&gt;"N/A"),"Firmware Download, ","")&amp;IF(AND(OR($BE71="Yes",$BE71="N/A"),$BF71&lt;&gt;"Yes",$BF71&lt;&gt;"N/A"),"Firmware Install, ","")&amp;IF(AND($BJ71&lt;&gt;"Yes",$BJ71&lt;&gt;"N/A"),"Device ID, ","")&amp;IF(AND($BK71&lt;&gt;"Yes",$BK71&lt;&gt;"N/A"),"Epic Beans Relay, ",""))-2)))</f>
      </c>
      <c r="BM71">
        <f>IF($T71="","",IF($BL71="","Yes","Blocked"))</f>
      </c>
      <c r="BP71">
        <f>IF($BO71="","",IFERROR(VLOOKUP($BO71,'01_Warehouse_Ledger'!$A:$N,4,FALSE),""))</f>
      </c>
      <c r="BQ71">
        <f>IF($BO71="","",IFERROR(VLOOKUP($BO71,'01_Warehouse_Ledger'!$A:$N,5,FALSE),""))</f>
      </c>
      <c r="BR71">
        <f>IF($BO71="","",IFERROR(VLOOKUP($BO71,'01_Warehouse_Ledger'!$A:$N,13,FALSE),""))</f>
      </c>
    </row>
    <row r="72">
      <c r="A72" t="s">
        <v>1415</v>
      </c>
      <c r="B72" t="s">
        <v>1657</v>
      </c>
      <c r="C72" t="s">
        <v>1657</v>
      </c>
      <c r="D72">
        <f>IF($B72&lt;&gt;"Yes","",IF($C72="No","Yes",IF($C72="Yes","No","")))</f>
      </c>
      <c r="E72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</c>
      <c r="F72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</c>
      <c r="G72" t="s">
        <v>1880</v>
      </c>
      <c r="H72" t="s">
        <v>2357</v>
      </c>
      <c r="I72" t="s">
        <v>1831</v>
      </c>
      <c r="J72" t="s">
        <v>1727</v>
      </c>
      <c r="K72" t="s">
        <v>1657</v>
      </c>
      <c r="L72" t="s">
        <v>1657</v>
      </c>
      <c r="R72" t="s">
        <v>1935</v>
      </c>
      <c r="Y72" t="s">
        <v>2138</v>
      </c>
      <c r="Z72" t="s">
        <v>2264</v>
      </c>
      <c r="BI72" t="s">
        <v>1630</v>
      </c>
      <c r="BL72">
        <f>IF($T72="","",IF((IF(AND($AW72&lt;&gt;"Yes",$AW72&lt;&gt;"N/A"),"Power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",""))="","",LEFT(IF(AND($AW72&lt;&gt;"Yes",$AW72&lt;&gt;"N/A"),"Power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",""),LEN(IF(AND($AW72&lt;&gt;"Yes",$AW72&lt;&gt;"N/A"),"Power Cable, ","")&amp;IF(AND($AX72&lt;&gt;"Yes",$AX72&lt;&gt;"N/A"),"Battery, ","")&amp;IF(AND($BE72&lt;&gt;"Yes",$BE72&lt;&gt;"N/A"),"Firmware Download, ","")&amp;IF(AND(OR($BE72="Yes",$BE72="N/A"),$BF72&lt;&gt;"Yes",$BF72&lt;&gt;"N/A"),"Firmware Install, ","")&amp;IF(AND($BJ72&lt;&gt;"Yes",$BJ72&lt;&gt;"N/A"),"Device ID, ","")&amp;IF(AND($BK72&lt;&gt;"Yes",$BK72&lt;&gt;"N/A"),"Epic Beans Relay, ",""))-2)))</f>
      </c>
      <c r="BM72">
        <f>IF($T72="","",IF($BL72="","Yes","Blocked"))</f>
      </c>
      <c r="BP72">
        <f>IF($BO72="","",IFERROR(VLOOKUP($BO72,'01_Warehouse_Ledger'!$A:$N,4,FALSE),""))</f>
      </c>
      <c r="BQ72">
        <f>IF($BO72="","",IFERROR(VLOOKUP($BO72,'01_Warehouse_Ledger'!$A:$N,5,FALSE),""))</f>
      </c>
      <c r="BR72">
        <f>IF($BO72="","",IFERROR(VLOOKUP($BO72,'01_Warehouse_Ledger'!$A:$N,13,FALSE),""))</f>
      </c>
    </row>
    <row r="73">
      <c r="A73" t="s">
        <v>1415</v>
      </c>
      <c r="B73" t="s">
        <v>1657</v>
      </c>
      <c r="C73" t="s">
        <v>1657</v>
      </c>
      <c r="D73">
        <f>IF($B73&lt;&gt;"Yes","",IF($C73="No","Yes",IF($C73="Yes","No","")))</f>
      </c>
      <c r="E73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</c>
      <c r="F73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</c>
      <c r="G73" t="s">
        <v>1880</v>
      </c>
      <c r="H73" t="s">
        <v>2357</v>
      </c>
      <c r="I73" t="s">
        <v>1831</v>
      </c>
      <c r="J73" t="s">
        <v>1727</v>
      </c>
      <c r="K73" t="s">
        <v>1657</v>
      </c>
      <c r="L73" t="s">
        <v>1657</v>
      </c>
      <c r="R73" t="s">
        <v>2085</v>
      </c>
      <c r="Y73" t="s">
        <v>2395</v>
      </c>
      <c r="Z73" t="s">
        <v>1775</v>
      </c>
      <c r="BI73" t="s">
        <v>1630</v>
      </c>
      <c r="BL73">
        <f>IF($T73="","",IF((IF(AND($AW73&lt;&gt;"Yes",$AW73&lt;&gt;"N/A"),"Power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",""))="","",LEFT(IF(AND($AW73&lt;&gt;"Yes",$AW73&lt;&gt;"N/A"),"Power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",""),LEN(IF(AND($AW73&lt;&gt;"Yes",$AW73&lt;&gt;"N/A"),"Power Cable, ","")&amp;IF(AND($AX73&lt;&gt;"Yes",$AX73&lt;&gt;"N/A"),"Battery, ","")&amp;IF(AND($BE73&lt;&gt;"Yes",$BE73&lt;&gt;"N/A"),"Firmware Download, ","")&amp;IF(AND(OR($BE73="Yes",$BE73="N/A"),$BF73&lt;&gt;"Yes",$BF73&lt;&gt;"N/A"),"Firmware Install, ","")&amp;IF(AND($BJ73&lt;&gt;"Yes",$BJ73&lt;&gt;"N/A"),"Device ID, ","")&amp;IF(AND($BK73&lt;&gt;"Yes",$BK73&lt;&gt;"N/A"),"Epic Beans Relay, ",""))-2)))</f>
      </c>
      <c r="BM73">
        <f>IF($T73="","",IF($BL73="","Yes","Blocked"))</f>
      </c>
      <c r="BP73">
        <f>IF($BO73="","",IFERROR(VLOOKUP($BO73,'01_Warehouse_Ledger'!$A:$N,4,FALSE),""))</f>
      </c>
      <c r="BQ73">
        <f>IF($BO73="","",IFERROR(VLOOKUP($BO73,'01_Warehouse_Ledger'!$A:$N,5,FALSE),""))</f>
      </c>
      <c r="BR73">
        <f>IF($BO73="","",IFERROR(VLOOKUP($BO73,'01_Warehouse_Ledger'!$A:$N,13,FALSE),""))</f>
      </c>
    </row>
    <row r="74">
      <c r="A74" t="s">
        <v>1415</v>
      </c>
      <c r="B74" t="s">
        <v>1657</v>
      </c>
      <c r="C74" t="s">
        <v>1657</v>
      </c>
      <c r="D74">
        <f>IF($B74&lt;&gt;"Yes","",IF($C74="No","Yes",IF($C74="Yes","No","")))</f>
      </c>
      <c r="E74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</c>
      <c r="F74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</c>
      <c r="G74" t="s">
        <v>1880</v>
      </c>
      <c r="H74" t="s">
        <v>2357</v>
      </c>
      <c r="I74" t="s">
        <v>1831</v>
      </c>
      <c r="J74" t="s">
        <v>1727</v>
      </c>
      <c r="K74" t="s">
        <v>1657</v>
      </c>
      <c r="L74" t="s">
        <v>1657</v>
      </c>
      <c r="R74" t="s">
        <v>1693</v>
      </c>
      <c r="Y74" t="s">
        <v>1897</v>
      </c>
      <c r="Z74" t="s">
        <v>2034</v>
      </c>
      <c r="BI74" t="s">
        <v>1630</v>
      </c>
      <c r="BL74">
        <f>IF($T74="","",IF((IF(AND($AW74&lt;&gt;"Yes",$AW74&lt;&gt;"N/A"),"Power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",""))="","",LEFT(IF(AND($AW74&lt;&gt;"Yes",$AW74&lt;&gt;"N/A"),"Power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",""),LEN(IF(AND($AW74&lt;&gt;"Yes",$AW74&lt;&gt;"N/A"),"Power Cable, ","")&amp;IF(AND($AX74&lt;&gt;"Yes",$AX74&lt;&gt;"N/A"),"Battery, ","")&amp;IF(AND($BE74&lt;&gt;"Yes",$BE74&lt;&gt;"N/A"),"Firmware Download, ","")&amp;IF(AND(OR($BE74="Yes",$BE74="N/A"),$BF74&lt;&gt;"Yes",$BF74&lt;&gt;"N/A"),"Firmware Install, ","")&amp;IF(AND($BJ74&lt;&gt;"Yes",$BJ74&lt;&gt;"N/A"),"Device ID, ","")&amp;IF(AND($BK74&lt;&gt;"Yes",$BK74&lt;&gt;"N/A"),"Epic Beans Relay, ",""))-2)))</f>
      </c>
      <c r="BM74">
        <f>IF($T74="","",IF($BL74="","Yes","Blocked"))</f>
      </c>
      <c r="BP74">
        <f>IF($BO74="","",IFERROR(VLOOKUP($BO74,'01_Warehouse_Ledger'!$A:$N,4,FALSE),""))</f>
      </c>
      <c r="BQ74">
        <f>IF($BO74="","",IFERROR(VLOOKUP($BO74,'01_Warehouse_Ledger'!$A:$N,5,FALSE),""))</f>
      </c>
      <c r="BR74">
        <f>IF($BO74="","",IFERROR(VLOOKUP($BO74,'01_Warehouse_Ledger'!$A:$N,13,FALSE),""))</f>
      </c>
    </row>
    <row r="75">
      <c r="A75" t="s">
        <v>1415</v>
      </c>
      <c r="B75" t="s">
        <v>1657</v>
      </c>
      <c r="C75" t="s">
        <v>1657</v>
      </c>
      <c r="D75">
        <f>IF($B75&lt;&gt;"Yes","",IF($C75="No","Yes",IF($C75="Yes","No","")))</f>
      </c>
      <c r="E75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</c>
      <c r="F75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</c>
      <c r="G75" t="s">
        <v>1880</v>
      </c>
      <c r="H75" t="s">
        <v>2357</v>
      </c>
      <c r="I75" t="s">
        <v>1831</v>
      </c>
      <c r="J75" t="s">
        <v>1727</v>
      </c>
      <c r="K75" t="s">
        <v>1657</v>
      </c>
      <c r="L75" t="s">
        <v>1657</v>
      </c>
      <c r="R75" t="s">
        <v>2232</v>
      </c>
      <c r="Y75" t="s">
        <v>1951</v>
      </c>
      <c r="Z75" t="s">
        <v>1961</v>
      </c>
      <c r="BI75" t="s">
        <v>1630</v>
      </c>
      <c r="BL75">
        <f>IF($T75="","",IF((IF(AND($AW75&lt;&gt;"Yes",$AW75&lt;&gt;"N/A"),"Power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",""))="","",LEFT(IF(AND($AW75&lt;&gt;"Yes",$AW75&lt;&gt;"N/A"),"Power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",""),LEN(IF(AND($AW75&lt;&gt;"Yes",$AW75&lt;&gt;"N/A"),"Power Cable, ","")&amp;IF(AND($AX75&lt;&gt;"Yes",$AX75&lt;&gt;"N/A"),"Battery, ","")&amp;IF(AND($BE75&lt;&gt;"Yes",$BE75&lt;&gt;"N/A"),"Firmware Download, ","")&amp;IF(AND(OR($BE75="Yes",$BE75="N/A"),$BF75&lt;&gt;"Yes",$BF75&lt;&gt;"N/A"),"Firmware Install, ","")&amp;IF(AND($BJ75&lt;&gt;"Yes",$BJ75&lt;&gt;"N/A"),"Device ID, ","")&amp;IF(AND($BK75&lt;&gt;"Yes",$BK75&lt;&gt;"N/A"),"Epic Beans Relay, ",""))-2)))</f>
      </c>
      <c r="BM75">
        <f>IF($T75="","",IF($BL75="","Yes","Blocked"))</f>
      </c>
      <c r="BP75">
        <f>IF($BO75="","",IFERROR(VLOOKUP($BO75,'01_Warehouse_Ledger'!$A:$N,4,FALSE),""))</f>
      </c>
      <c r="BQ75">
        <f>IF($BO75="","",IFERROR(VLOOKUP($BO75,'01_Warehouse_Ledger'!$A:$N,5,FALSE),""))</f>
      </c>
      <c r="BR75">
        <f>IF($BO75="","",IFERROR(VLOOKUP($BO75,'01_Warehouse_Ledger'!$A:$N,13,FALSE),""))</f>
      </c>
    </row>
    <row r="76">
      <c r="A76" t="s">
        <v>1415</v>
      </c>
      <c r="B76" t="s">
        <v>1657</v>
      </c>
      <c r="C76" t="s">
        <v>1657</v>
      </c>
      <c r="D76">
        <f>IF($B76&lt;&gt;"Yes","",IF($C76="No","Yes",IF($C76="Yes","No","")))</f>
      </c>
      <c r="E76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</c>
      <c r="F76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</c>
      <c r="G76" t="s">
        <v>1880</v>
      </c>
      <c r="H76" t="s">
        <v>2357</v>
      </c>
      <c r="I76" t="s">
        <v>1831</v>
      </c>
      <c r="J76" t="s">
        <v>1727</v>
      </c>
      <c r="K76" t="s">
        <v>1657</v>
      </c>
      <c r="L76" t="s">
        <v>1657</v>
      </c>
      <c r="R76" t="s">
        <v>2014</v>
      </c>
      <c r="Y76" t="s">
        <v>2298</v>
      </c>
      <c r="Z76" t="s">
        <v>2156</v>
      </c>
      <c r="BI76" t="s">
        <v>1630</v>
      </c>
      <c r="BL76">
        <f>IF($T76="","",IF((IF(AND($AW76&lt;&gt;"Yes",$AW76&lt;&gt;"N/A"),"Power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",""))="","",LEFT(IF(AND($AW76&lt;&gt;"Yes",$AW76&lt;&gt;"N/A"),"Power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",""),LEN(IF(AND($AW76&lt;&gt;"Yes",$AW76&lt;&gt;"N/A"),"Power Cable, ","")&amp;IF(AND($AX76&lt;&gt;"Yes",$AX76&lt;&gt;"N/A"),"Battery, ","")&amp;IF(AND($BE76&lt;&gt;"Yes",$BE76&lt;&gt;"N/A"),"Firmware Download, ","")&amp;IF(AND(OR($BE76="Yes",$BE76="N/A"),$BF76&lt;&gt;"Yes",$BF76&lt;&gt;"N/A"),"Firmware Install, ","")&amp;IF(AND($BJ76&lt;&gt;"Yes",$BJ76&lt;&gt;"N/A"),"Device ID, ","")&amp;IF(AND($BK76&lt;&gt;"Yes",$BK76&lt;&gt;"N/A"),"Epic Beans Relay, ",""))-2)))</f>
      </c>
      <c r="BM76">
        <f>IF($T76="","",IF($BL76="","Yes","Blocked"))</f>
      </c>
      <c r="BP76">
        <f>IF($BO76="","",IFERROR(VLOOKUP($BO76,'01_Warehouse_Ledger'!$A:$N,4,FALSE),""))</f>
      </c>
      <c r="BQ76">
        <f>IF($BO76="","",IFERROR(VLOOKUP($BO76,'01_Warehouse_Ledger'!$A:$N,5,FALSE),""))</f>
      </c>
      <c r="BR76">
        <f>IF($BO76="","",IFERROR(VLOOKUP($BO76,'01_Warehouse_Ledger'!$A:$N,13,FALSE),""))</f>
      </c>
    </row>
    <row r="77">
      <c r="A77" t="s">
        <v>1415</v>
      </c>
      <c r="B77" t="s">
        <v>1657</v>
      </c>
      <c r="C77" t="s">
        <v>1657</v>
      </c>
      <c r="D77">
        <f>IF($B77&lt;&gt;"Yes","",IF($C77="No","Yes",IF($C77="Yes","No","")))</f>
      </c>
      <c r="E77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</c>
      <c r="F77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</c>
      <c r="G77" t="s">
        <v>1880</v>
      </c>
      <c r="H77" t="s">
        <v>2357</v>
      </c>
      <c r="I77" t="s">
        <v>1831</v>
      </c>
      <c r="J77" t="s">
        <v>1727</v>
      </c>
      <c r="K77" t="s">
        <v>1657</v>
      </c>
      <c r="L77" t="s">
        <v>1657</v>
      </c>
      <c r="R77" t="s">
        <v>1985</v>
      </c>
      <c r="Y77" t="s">
        <v>1643</v>
      </c>
      <c r="Z77" t="s">
        <v>2319</v>
      </c>
      <c r="BI77" t="s">
        <v>1630</v>
      </c>
      <c r="BL77">
        <f>IF($T77="","",IF((IF(AND($AW77&lt;&gt;"Yes",$AW77&lt;&gt;"N/A"),"Power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",""))="","",LEFT(IF(AND($AW77&lt;&gt;"Yes",$AW77&lt;&gt;"N/A"),"Power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",""),LEN(IF(AND($AW77&lt;&gt;"Yes",$AW77&lt;&gt;"N/A"),"Power Cable, ","")&amp;IF(AND($AX77&lt;&gt;"Yes",$AX77&lt;&gt;"N/A"),"Battery, ","")&amp;IF(AND($BE77&lt;&gt;"Yes",$BE77&lt;&gt;"N/A"),"Firmware Download, ","")&amp;IF(AND(OR($BE77="Yes",$BE77="N/A"),$BF77&lt;&gt;"Yes",$BF77&lt;&gt;"N/A"),"Firmware Install, ","")&amp;IF(AND($BJ77&lt;&gt;"Yes",$BJ77&lt;&gt;"N/A"),"Device ID, ","")&amp;IF(AND($BK77&lt;&gt;"Yes",$BK77&lt;&gt;"N/A"),"Epic Beans Relay, ",""))-2)))</f>
      </c>
      <c r="BM77">
        <f>IF($T77="","",IF($BL77="","Yes","Blocked"))</f>
      </c>
      <c r="BP77">
        <f>IF($BO77="","",IFERROR(VLOOKUP($BO77,'01_Warehouse_Ledger'!$A:$N,4,FALSE),""))</f>
      </c>
      <c r="BQ77">
        <f>IF($BO77="","",IFERROR(VLOOKUP($BO77,'01_Warehouse_Ledger'!$A:$N,5,FALSE),""))</f>
      </c>
      <c r="BR77">
        <f>IF($BO77="","",IFERROR(VLOOKUP($BO77,'01_Warehouse_Ledger'!$A:$N,13,FALSE),""))</f>
      </c>
    </row>
    <row r="78">
      <c r="A78" t="s">
        <v>1415</v>
      </c>
      <c r="C78" t="s">
        <v>1657</v>
      </c>
      <c r="D78">
        <f>IF($B78&lt;&gt;"Yes","",IF($C78="No","Yes",IF($C78="Yes","No","")))</f>
      </c>
      <c r="E78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</c>
      <c r="F78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</c>
      <c r="G78" t="s">
        <v>1880</v>
      </c>
      <c r="H78" t="s">
        <v>1362</v>
      </c>
      <c r="I78" t="s">
        <v>1831</v>
      </c>
      <c r="J78" t="s">
        <v>1727</v>
      </c>
      <c r="K78" t="s">
        <v>1657</v>
      </c>
      <c r="L78" t="s">
        <v>1657</v>
      </c>
      <c r="R78" t="s">
        <v>1978</v>
      </c>
      <c r="Y78" t="s">
        <v>2288</v>
      </c>
      <c r="Z78" t="s">
        <v>1798</v>
      </c>
      <c r="BI78" t="s">
        <v>1630</v>
      </c>
      <c r="BL78">
        <f>IF($T78="","",IF((IF(AND($AW78&lt;&gt;"Yes",$AW78&lt;&gt;"N/A"),"Power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",""))="","",LEFT(IF(AND($AW78&lt;&gt;"Yes",$AW78&lt;&gt;"N/A"),"Power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",""),LEN(IF(AND($AW78&lt;&gt;"Yes",$AW78&lt;&gt;"N/A"),"Power Cable, ","")&amp;IF(AND($AX78&lt;&gt;"Yes",$AX78&lt;&gt;"N/A"),"Battery, ","")&amp;IF(AND($BE78&lt;&gt;"Yes",$BE78&lt;&gt;"N/A"),"Firmware Download, ","")&amp;IF(AND(OR($BE78="Yes",$BE78="N/A"),$BF78&lt;&gt;"Yes",$BF78&lt;&gt;"N/A"),"Firmware Install, ","")&amp;IF(AND($BJ78&lt;&gt;"Yes",$BJ78&lt;&gt;"N/A"),"Device ID, ","")&amp;IF(AND($BK78&lt;&gt;"Yes",$BK78&lt;&gt;"N/A"),"Epic Beans Relay, ",""))-2)))</f>
      </c>
      <c r="BM78">
        <f>IF($T78="","",IF($BL78="","Yes","Blocked"))</f>
      </c>
      <c r="BP78">
        <f>IF($BO78="","",IFERROR(VLOOKUP($BO78,'01_Warehouse_Ledger'!$A:$N,4,FALSE),""))</f>
      </c>
      <c r="BQ78">
        <f>IF($BO78="","",IFERROR(VLOOKUP($BO78,'01_Warehouse_Ledger'!$A:$N,5,FALSE),""))</f>
      </c>
      <c r="BR78">
        <f>IF($BO78="","",IFERROR(VLOOKUP($BO78,'01_Warehouse_Ledger'!$A:$N,13,FALSE),""))</f>
      </c>
    </row>
    <row r="79">
      <c r="A79" t="s">
        <v>1415</v>
      </c>
      <c r="C79" t="s">
        <v>1657</v>
      </c>
      <c r="D79">
        <f>IF($B79&lt;&gt;"Yes","",IF($C79="No","Yes",IF($C79="Yes","No","")))</f>
      </c>
      <c r="E79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</c>
      <c r="F79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</c>
      <c r="G79" t="s">
        <v>1880</v>
      </c>
      <c r="H79" t="s">
        <v>1362</v>
      </c>
      <c r="I79" t="s">
        <v>1831</v>
      </c>
      <c r="J79" t="s">
        <v>1727</v>
      </c>
      <c r="K79" t="s">
        <v>1657</v>
      </c>
      <c r="L79" t="s">
        <v>1657</v>
      </c>
      <c r="R79" t="s">
        <v>2401</v>
      </c>
      <c r="Y79" t="s">
        <v>1677</v>
      </c>
      <c r="Z79" t="s">
        <v>2277</v>
      </c>
      <c r="BI79" t="s">
        <v>1630</v>
      </c>
      <c r="BL79">
        <f>IF($T79="","",IF((IF(AND($AW79&lt;&gt;"Yes",$AW79&lt;&gt;"N/A"),"Power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",""))="","",LEFT(IF(AND($AW79&lt;&gt;"Yes",$AW79&lt;&gt;"N/A"),"Power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",""),LEN(IF(AND($AW79&lt;&gt;"Yes",$AW79&lt;&gt;"N/A"),"Power Cable, ","")&amp;IF(AND($AX79&lt;&gt;"Yes",$AX79&lt;&gt;"N/A"),"Battery, ","")&amp;IF(AND($BE79&lt;&gt;"Yes",$BE79&lt;&gt;"N/A"),"Firmware Download, ","")&amp;IF(AND(OR($BE79="Yes",$BE79="N/A"),$BF79&lt;&gt;"Yes",$BF79&lt;&gt;"N/A"),"Firmware Install, ","")&amp;IF(AND($BJ79&lt;&gt;"Yes",$BJ79&lt;&gt;"N/A"),"Device ID, ","")&amp;IF(AND($BK79&lt;&gt;"Yes",$BK79&lt;&gt;"N/A"),"Epic Beans Relay, ",""))-2)))</f>
      </c>
      <c r="BM79">
        <f>IF($T79="","",IF($BL79="","Yes","Blocked"))</f>
      </c>
      <c r="BP79">
        <f>IF($BO79="","",IFERROR(VLOOKUP($BO79,'01_Warehouse_Ledger'!$A:$N,4,FALSE),""))</f>
      </c>
      <c r="BQ79">
        <f>IF($BO79="","",IFERROR(VLOOKUP($BO79,'01_Warehouse_Ledger'!$A:$N,5,FALSE),""))</f>
      </c>
      <c r="BR79">
        <f>IF($BO79="","",IFERROR(VLOOKUP($BO79,'01_Warehouse_Ledger'!$A:$N,13,FALSE),""))</f>
      </c>
    </row>
    <row r="80">
      <c r="A80" t="s">
        <v>1415</v>
      </c>
      <c r="C80" t="s">
        <v>1657</v>
      </c>
      <c r="D80">
        <f>IF($B80&lt;&gt;"Yes","",IF($C80="No","Yes",IF($C80="Yes","No","")))</f>
      </c>
      <c r="E80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</c>
      <c r="F80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</c>
      <c r="G80" t="s">
        <v>1880</v>
      </c>
      <c r="H80" t="s">
        <v>1362</v>
      </c>
      <c r="I80" t="s">
        <v>1831</v>
      </c>
      <c r="J80" t="s">
        <v>1727</v>
      </c>
      <c r="K80" t="s">
        <v>1657</v>
      </c>
      <c r="L80" t="s">
        <v>1657</v>
      </c>
      <c r="R80" t="s">
        <v>2303</v>
      </c>
      <c r="Y80" t="s">
        <v>1760</v>
      </c>
      <c r="Z80" t="s">
        <v>2155</v>
      </c>
      <c r="BI80" t="s">
        <v>1630</v>
      </c>
      <c r="BL80">
        <f>IF($T80="","",IF((IF(AND($AW80&lt;&gt;"Yes",$AW80&lt;&gt;"N/A"),"Power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",""))="","",LEFT(IF(AND($AW80&lt;&gt;"Yes",$AW80&lt;&gt;"N/A"),"Power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",""),LEN(IF(AND($AW80&lt;&gt;"Yes",$AW80&lt;&gt;"N/A"),"Power Cable, ","")&amp;IF(AND($AX80&lt;&gt;"Yes",$AX80&lt;&gt;"N/A"),"Battery, ","")&amp;IF(AND($BE80&lt;&gt;"Yes",$BE80&lt;&gt;"N/A"),"Firmware Download, ","")&amp;IF(AND(OR($BE80="Yes",$BE80="N/A"),$BF80&lt;&gt;"Yes",$BF80&lt;&gt;"N/A"),"Firmware Install, ","")&amp;IF(AND($BJ80&lt;&gt;"Yes",$BJ80&lt;&gt;"N/A"),"Device ID, ","")&amp;IF(AND($BK80&lt;&gt;"Yes",$BK80&lt;&gt;"N/A"),"Epic Beans Relay, ",""))-2)))</f>
      </c>
      <c r="BM80">
        <f>IF($T80="","",IF($BL80="","Yes","Blocked"))</f>
      </c>
      <c r="BP80">
        <f>IF($BO80="","",IFERROR(VLOOKUP($BO80,'01_Warehouse_Ledger'!$A:$N,4,FALSE),""))</f>
      </c>
      <c r="BQ80">
        <f>IF($BO80="","",IFERROR(VLOOKUP($BO80,'01_Warehouse_Ledger'!$A:$N,5,FALSE),""))</f>
      </c>
      <c r="BR80">
        <f>IF($BO80="","",IFERROR(VLOOKUP($BO80,'01_Warehouse_Ledger'!$A:$N,13,FALSE),""))</f>
      </c>
    </row>
    <row r="81">
      <c r="A81" t="s">
        <v>1415</v>
      </c>
      <c r="C81" t="s">
        <v>1657</v>
      </c>
      <c r="D81">
        <f>IF($B81&lt;&gt;"Yes","",IF($C81="No","Yes",IF($C81="Yes","No","")))</f>
      </c>
      <c r="E81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</c>
      <c r="F81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</c>
      <c r="G81" t="s">
        <v>1880</v>
      </c>
      <c r="H81" t="s">
        <v>1362</v>
      </c>
      <c r="I81" t="s">
        <v>1831</v>
      </c>
      <c r="J81" t="s">
        <v>1727</v>
      </c>
      <c r="K81" t="s">
        <v>1657</v>
      </c>
      <c r="L81" t="s">
        <v>1657</v>
      </c>
      <c r="R81" t="s">
        <v>1710</v>
      </c>
      <c r="Y81" t="s">
        <v>1899</v>
      </c>
      <c r="Z81" t="s">
        <v>2259</v>
      </c>
      <c r="BI81" t="s">
        <v>1630</v>
      </c>
      <c r="BL81">
        <f>IF($T81="","",IF((IF(AND($AW81&lt;&gt;"Yes",$AW81&lt;&gt;"N/A"),"Power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",""))="","",LEFT(IF(AND($AW81&lt;&gt;"Yes",$AW81&lt;&gt;"N/A"),"Power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",""),LEN(IF(AND($AW81&lt;&gt;"Yes",$AW81&lt;&gt;"N/A"),"Power Cable, ","")&amp;IF(AND($AX81&lt;&gt;"Yes",$AX81&lt;&gt;"N/A"),"Battery, ","")&amp;IF(AND($BE81&lt;&gt;"Yes",$BE81&lt;&gt;"N/A"),"Firmware Download, ","")&amp;IF(AND(OR($BE81="Yes",$BE81="N/A"),$BF81&lt;&gt;"Yes",$BF81&lt;&gt;"N/A"),"Firmware Install, ","")&amp;IF(AND($BJ81&lt;&gt;"Yes",$BJ81&lt;&gt;"N/A"),"Device ID, ","")&amp;IF(AND($BK81&lt;&gt;"Yes",$BK81&lt;&gt;"N/A"),"Epic Beans Relay, ",""))-2)))</f>
      </c>
      <c r="BM81">
        <f>IF($T81="","",IF($BL81="","Yes","Blocked"))</f>
      </c>
      <c r="BP81">
        <f>IF($BO81="","",IFERROR(VLOOKUP($BO81,'01_Warehouse_Ledger'!$A:$N,4,FALSE),""))</f>
      </c>
      <c r="BQ81">
        <f>IF($BO81="","",IFERROR(VLOOKUP($BO81,'01_Warehouse_Ledger'!$A:$N,5,FALSE),""))</f>
      </c>
      <c r="BR81">
        <f>IF($BO81="","",IFERROR(VLOOKUP($BO81,'01_Warehouse_Ledger'!$A:$N,13,FALSE),""))</f>
      </c>
    </row>
    <row r="82">
      <c r="A82" t="s">
        <v>1415</v>
      </c>
      <c r="C82" t="s">
        <v>1657</v>
      </c>
      <c r="D82">
        <f>IF($B82&lt;&gt;"Yes","",IF($C82="No","Yes",IF($C82="Yes","No","")))</f>
      </c>
      <c r="E82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</c>
      <c r="F82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</c>
      <c r="G82" t="s">
        <v>1880</v>
      </c>
      <c r="H82" t="s">
        <v>1362</v>
      </c>
      <c r="I82" t="s">
        <v>1831</v>
      </c>
      <c r="J82" t="s">
        <v>1727</v>
      </c>
      <c r="K82" t="s">
        <v>1657</v>
      </c>
      <c r="L82" t="s">
        <v>1657</v>
      </c>
      <c r="R82" t="s">
        <v>2364</v>
      </c>
      <c r="Y82" t="s">
        <v>2344</v>
      </c>
      <c r="Z82" t="s">
        <v>2066</v>
      </c>
      <c r="BI82" t="s">
        <v>1630</v>
      </c>
      <c r="BL82">
        <f>IF($T82="","",IF((IF(AND($AW82&lt;&gt;"Yes",$AW82&lt;&gt;"N/A"),"Power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",""))="","",LEFT(IF(AND($AW82&lt;&gt;"Yes",$AW82&lt;&gt;"N/A"),"Power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",""),LEN(IF(AND($AW82&lt;&gt;"Yes",$AW82&lt;&gt;"N/A"),"Power Cable, ","")&amp;IF(AND($AX82&lt;&gt;"Yes",$AX82&lt;&gt;"N/A"),"Battery, ","")&amp;IF(AND($BE82&lt;&gt;"Yes",$BE82&lt;&gt;"N/A"),"Firmware Download, ","")&amp;IF(AND(OR($BE82="Yes",$BE82="N/A"),$BF82&lt;&gt;"Yes",$BF82&lt;&gt;"N/A"),"Firmware Install, ","")&amp;IF(AND($BJ82&lt;&gt;"Yes",$BJ82&lt;&gt;"N/A"),"Device ID, ","")&amp;IF(AND($BK82&lt;&gt;"Yes",$BK82&lt;&gt;"N/A"),"Epic Beans Relay, ",""))-2)))</f>
      </c>
      <c r="BM82">
        <f>IF($T82="","",IF($BL82="","Yes","Blocked"))</f>
      </c>
      <c r="BP82">
        <f>IF($BO82="","",IFERROR(VLOOKUP($BO82,'01_Warehouse_Ledger'!$A:$N,4,FALSE),""))</f>
      </c>
      <c r="BQ82">
        <f>IF($BO82="","",IFERROR(VLOOKUP($BO82,'01_Warehouse_Ledger'!$A:$N,5,FALSE),""))</f>
      </c>
      <c r="BR82">
        <f>IF($BO82="","",IFERROR(VLOOKUP($BO82,'01_Warehouse_Ledger'!$A:$N,13,FALSE),""))</f>
      </c>
    </row>
    <row r="83">
      <c r="A83" t="s">
        <v>1415</v>
      </c>
      <c r="C83" t="s">
        <v>1657</v>
      </c>
      <c r="D83">
        <f>IF($B83&lt;&gt;"Yes","",IF($C83="No","Yes",IF($C83="Yes","No","")))</f>
      </c>
      <c r="E83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</c>
      <c r="F83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</c>
      <c r="G83" t="s">
        <v>1880</v>
      </c>
      <c r="H83" t="s">
        <v>1362</v>
      </c>
      <c r="I83" t="s">
        <v>1831</v>
      </c>
      <c r="J83" t="s">
        <v>1727</v>
      </c>
      <c r="K83" t="s">
        <v>1657</v>
      </c>
      <c r="L83" t="s">
        <v>1657</v>
      </c>
      <c r="R83" t="s">
        <v>2024</v>
      </c>
      <c r="Y83" t="s">
        <v>1620</v>
      </c>
      <c r="Z83" t="s">
        <v>2121</v>
      </c>
      <c r="BI83" t="s">
        <v>1630</v>
      </c>
      <c r="BL83">
        <f>IF($T83="","",IF((IF(AND($AW83&lt;&gt;"Yes",$AW83&lt;&gt;"N/A"),"Power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",""))="","",LEFT(IF(AND($AW83&lt;&gt;"Yes",$AW83&lt;&gt;"N/A"),"Power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",""),LEN(IF(AND($AW83&lt;&gt;"Yes",$AW83&lt;&gt;"N/A"),"Power Cable, ","")&amp;IF(AND($AX83&lt;&gt;"Yes",$AX83&lt;&gt;"N/A"),"Battery, ","")&amp;IF(AND($BE83&lt;&gt;"Yes",$BE83&lt;&gt;"N/A"),"Firmware Download, ","")&amp;IF(AND(OR($BE83="Yes",$BE83="N/A"),$BF83&lt;&gt;"Yes",$BF83&lt;&gt;"N/A"),"Firmware Install, ","")&amp;IF(AND($BJ83&lt;&gt;"Yes",$BJ83&lt;&gt;"N/A"),"Device ID, ","")&amp;IF(AND($BK83&lt;&gt;"Yes",$BK83&lt;&gt;"N/A"),"Epic Beans Relay, ",""))-2)))</f>
      </c>
      <c r="BM83">
        <f>IF($T83="","",IF($BL83="","Yes","Blocked"))</f>
      </c>
      <c r="BP83">
        <f>IF($BO83="","",IFERROR(VLOOKUP($BO83,'01_Warehouse_Ledger'!$A:$N,4,FALSE),""))</f>
      </c>
      <c r="BQ83">
        <f>IF($BO83="","",IFERROR(VLOOKUP($BO83,'01_Warehouse_Ledger'!$A:$N,5,FALSE),""))</f>
      </c>
      <c r="BR83">
        <f>IF($BO83="","",IFERROR(VLOOKUP($BO83,'01_Warehouse_Ledger'!$A:$N,13,FALSE),""))</f>
      </c>
    </row>
    <row r="84">
      <c r="A84" t="s">
        <v>1415</v>
      </c>
      <c r="C84" t="s">
        <v>1657</v>
      </c>
      <c r="D84">
        <f>IF($B84&lt;&gt;"Yes","",IF($C84="No","Yes",IF($C84="Yes","No","")))</f>
      </c>
      <c r="E84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</c>
      <c r="F84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</c>
      <c r="G84" t="s">
        <v>1880</v>
      </c>
      <c r="H84" t="s">
        <v>1362</v>
      </c>
      <c r="I84" t="s">
        <v>1831</v>
      </c>
      <c r="J84" t="s">
        <v>1727</v>
      </c>
      <c r="K84" t="s">
        <v>1657</v>
      </c>
      <c r="L84" t="s">
        <v>1657</v>
      </c>
      <c r="R84" t="s">
        <v>1723</v>
      </c>
      <c r="Y84" t="s">
        <v>2004</v>
      </c>
      <c r="Z84" t="s">
        <v>2158</v>
      </c>
      <c r="BI84" t="s">
        <v>1630</v>
      </c>
      <c r="BL84">
        <f>IF($T84="","",IF((IF(AND($AW84&lt;&gt;"Yes",$AW84&lt;&gt;"N/A"),"Power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",""))="","",LEFT(IF(AND($AW84&lt;&gt;"Yes",$AW84&lt;&gt;"N/A"),"Power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",""),LEN(IF(AND($AW84&lt;&gt;"Yes",$AW84&lt;&gt;"N/A"),"Power Cable, ","")&amp;IF(AND($AX84&lt;&gt;"Yes",$AX84&lt;&gt;"N/A"),"Battery, ","")&amp;IF(AND($BE84&lt;&gt;"Yes",$BE84&lt;&gt;"N/A"),"Firmware Download, ","")&amp;IF(AND(OR($BE84="Yes",$BE84="N/A"),$BF84&lt;&gt;"Yes",$BF84&lt;&gt;"N/A"),"Firmware Install, ","")&amp;IF(AND($BJ84&lt;&gt;"Yes",$BJ84&lt;&gt;"N/A"),"Device ID, ","")&amp;IF(AND($BK84&lt;&gt;"Yes",$BK84&lt;&gt;"N/A"),"Epic Beans Relay, ",""))-2)))</f>
      </c>
      <c r="BM84">
        <f>IF($T84="","",IF($BL84="","Yes","Blocked"))</f>
      </c>
      <c r="BP84">
        <f>IF($BO84="","",IFERROR(VLOOKUP($BO84,'01_Warehouse_Ledger'!$A:$N,4,FALSE),""))</f>
      </c>
      <c r="BQ84">
        <f>IF($BO84="","",IFERROR(VLOOKUP($BO84,'01_Warehouse_Ledger'!$A:$N,5,FALSE),""))</f>
      </c>
      <c r="BR84">
        <f>IF($BO84="","",IFERROR(VLOOKUP($BO84,'01_Warehouse_Ledger'!$A:$N,13,FALSE),""))</f>
      </c>
    </row>
    <row r="85">
      <c r="A85" t="s">
        <v>1415</v>
      </c>
      <c r="B85" t="s">
        <v>1657</v>
      </c>
      <c r="C85" t="s">
        <v>1657</v>
      </c>
      <c r="D85">
        <f>IF($B85&lt;&gt;"Yes","",IF($C85="No","Yes",IF($C85="Yes","No","")))</f>
      </c>
      <c r="E85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</c>
      <c r="F85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</c>
      <c r="G85" t="s">
        <v>1880</v>
      </c>
      <c r="H85" t="s">
        <v>2357</v>
      </c>
      <c r="I85" t="s">
        <v>1831</v>
      </c>
      <c r="J85" t="s">
        <v>1727</v>
      </c>
      <c r="K85" t="s">
        <v>1657</v>
      </c>
      <c r="L85" t="s">
        <v>1657</v>
      </c>
      <c r="R85" t="s">
        <v>1919</v>
      </c>
      <c r="Y85" t="s">
        <v>1719</v>
      </c>
      <c r="Z85" t="s">
        <v>1905</v>
      </c>
      <c r="BI85" t="s">
        <v>1630</v>
      </c>
      <c r="BL85">
        <f>IF($T85="","",IF((IF(AND($AW85&lt;&gt;"Yes",$AW85&lt;&gt;"N/A"),"Power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",""))="","",LEFT(IF(AND($AW85&lt;&gt;"Yes",$AW85&lt;&gt;"N/A"),"Power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",""),LEN(IF(AND($AW85&lt;&gt;"Yes",$AW85&lt;&gt;"N/A"),"Power Cable, ","")&amp;IF(AND($AX85&lt;&gt;"Yes",$AX85&lt;&gt;"N/A"),"Battery, ","")&amp;IF(AND($BE85&lt;&gt;"Yes",$BE85&lt;&gt;"N/A"),"Firmware Download, ","")&amp;IF(AND(OR($BE85="Yes",$BE85="N/A"),$BF85&lt;&gt;"Yes",$BF85&lt;&gt;"N/A"),"Firmware Install, ","")&amp;IF(AND($BJ85&lt;&gt;"Yes",$BJ85&lt;&gt;"N/A"),"Device ID, ","")&amp;IF(AND($BK85&lt;&gt;"Yes",$BK85&lt;&gt;"N/A"),"Epic Beans Relay, ",""))-2)))</f>
      </c>
      <c r="BM85">
        <f>IF($T85="","",IF($BL85="","Yes","Blocked"))</f>
      </c>
      <c r="BP85">
        <f>IF($BO85="","",IFERROR(VLOOKUP($BO85,'01_Warehouse_Ledger'!$A:$N,4,FALSE),""))</f>
      </c>
      <c r="BQ85">
        <f>IF($BO85="","",IFERROR(VLOOKUP($BO85,'01_Warehouse_Ledger'!$A:$N,5,FALSE),""))</f>
      </c>
      <c r="BR85">
        <f>IF($BO85="","",IFERROR(VLOOKUP($BO85,'01_Warehouse_Ledger'!$A:$N,13,FALSE),""))</f>
      </c>
    </row>
    <row r="86">
      <c r="A86" t="s">
        <v>1415</v>
      </c>
      <c r="B86" t="s">
        <v>1657</v>
      </c>
      <c r="C86" t="s">
        <v>1657</v>
      </c>
      <c r="D86">
        <f>IF($B86&lt;&gt;"Yes","",IF($C86="No","Yes",IF($C86="Yes","No","")))</f>
      </c>
      <c r="E86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</c>
      <c r="F86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</c>
      <c r="G86" t="s">
        <v>1880</v>
      </c>
      <c r="H86" t="s">
        <v>2357</v>
      </c>
      <c r="I86" t="s">
        <v>1831</v>
      </c>
      <c r="J86" t="s">
        <v>1727</v>
      </c>
      <c r="K86" t="s">
        <v>1657</v>
      </c>
      <c r="L86" t="s">
        <v>1657</v>
      </c>
      <c r="R86" t="s">
        <v>2191</v>
      </c>
      <c r="Y86" t="s">
        <v>1908</v>
      </c>
      <c r="Z86" t="s">
        <v>2382</v>
      </c>
      <c r="BI86" t="s">
        <v>1630</v>
      </c>
      <c r="BL86">
        <f>IF($T86="","",IF((IF(AND($AW86&lt;&gt;"Yes",$AW86&lt;&gt;"N/A"),"Power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",""))="","",LEFT(IF(AND($AW86&lt;&gt;"Yes",$AW86&lt;&gt;"N/A"),"Power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",""),LEN(IF(AND($AW86&lt;&gt;"Yes",$AW86&lt;&gt;"N/A"),"Power Cable, ","")&amp;IF(AND($AX86&lt;&gt;"Yes",$AX86&lt;&gt;"N/A"),"Battery, ","")&amp;IF(AND($BE86&lt;&gt;"Yes",$BE86&lt;&gt;"N/A"),"Firmware Download, ","")&amp;IF(AND(OR($BE86="Yes",$BE86="N/A"),$BF86&lt;&gt;"Yes",$BF86&lt;&gt;"N/A"),"Firmware Install, ","")&amp;IF(AND($BJ86&lt;&gt;"Yes",$BJ86&lt;&gt;"N/A"),"Device ID, ","")&amp;IF(AND($BK86&lt;&gt;"Yes",$BK86&lt;&gt;"N/A"),"Epic Beans Relay, ",""))-2)))</f>
      </c>
      <c r="BM86">
        <f>IF($T86="","",IF($BL86="","Yes","Blocked"))</f>
      </c>
      <c r="BP86">
        <f>IF($BO86="","",IFERROR(VLOOKUP($BO86,'01_Warehouse_Ledger'!$A:$N,4,FALSE),""))</f>
      </c>
      <c r="BQ86">
        <f>IF($BO86="","",IFERROR(VLOOKUP($BO86,'01_Warehouse_Ledger'!$A:$N,5,FALSE),""))</f>
      </c>
      <c r="BR86">
        <f>IF($BO86="","",IFERROR(VLOOKUP($BO86,'01_Warehouse_Ledger'!$A:$N,13,FALSE),""))</f>
      </c>
    </row>
    <row r="87">
      <c r="A87" t="s">
        <v>1415</v>
      </c>
      <c r="B87" t="s">
        <v>1657</v>
      </c>
      <c r="C87" t="s">
        <v>1657</v>
      </c>
      <c r="D87">
        <f>IF($B87&lt;&gt;"Yes","",IF($C87="No","Yes",IF($C87="Yes","No","")))</f>
      </c>
      <c r="E87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</c>
      <c r="F87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</c>
      <c r="G87" t="s">
        <v>1880</v>
      </c>
      <c r="H87" t="s">
        <v>2357</v>
      </c>
      <c r="I87" t="s">
        <v>1831</v>
      </c>
      <c r="J87" t="s">
        <v>1727</v>
      </c>
      <c r="K87" t="s">
        <v>1657</v>
      </c>
      <c r="L87" t="s">
        <v>1657</v>
      </c>
      <c r="R87" t="s">
        <v>1651</v>
      </c>
      <c r="Y87" t="s">
        <v>1848</v>
      </c>
      <c r="Z87" t="s">
        <v>2400</v>
      </c>
      <c r="BI87" t="s">
        <v>1630</v>
      </c>
      <c r="BL87">
        <f>IF($T87="","",IF((IF(AND($AW87&lt;&gt;"Yes",$AW87&lt;&gt;"N/A"),"Power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",""))="","",LEFT(IF(AND($AW87&lt;&gt;"Yes",$AW87&lt;&gt;"N/A"),"Power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",""),LEN(IF(AND($AW87&lt;&gt;"Yes",$AW87&lt;&gt;"N/A"),"Power Cable, ","")&amp;IF(AND($AX87&lt;&gt;"Yes",$AX87&lt;&gt;"N/A"),"Battery, ","")&amp;IF(AND($BE87&lt;&gt;"Yes",$BE87&lt;&gt;"N/A"),"Firmware Download, ","")&amp;IF(AND(OR($BE87="Yes",$BE87="N/A"),$BF87&lt;&gt;"Yes",$BF87&lt;&gt;"N/A"),"Firmware Install, ","")&amp;IF(AND($BJ87&lt;&gt;"Yes",$BJ87&lt;&gt;"N/A"),"Device ID, ","")&amp;IF(AND($BK87&lt;&gt;"Yes",$BK87&lt;&gt;"N/A"),"Epic Beans Relay, ",""))-2)))</f>
      </c>
      <c r="BM87">
        <f>IF($T87="","",IF($BL87="","Yes","Blocked"))</f>
      </c>
      <c r="BP87">
        <f>IF($BO87="","",IFERROR(VLOOKUP($BO87,'01_Warehouse_Ledger'!$A:$N,4,FALSE),""))</f>
      </c>
      <c r="BQ87">
        <f>IF($BO87="","",IFERROR(VLOOKUP($BO87,'01_Warehouse_Ledger'!$A:$N,5,FALSE),""))</f>
      </c>
      <c r="BR87">
        <f>IF($BO87="","",IFERROR(VLOOKUP($BO87,'01_Warehouse_Ledger'!$A:$N,13,FALSE),""))</f>
      </c>
    </row>
    <row r="88">
      <c r="A88" t="s">
        <v>1415</v>
      </c>
      <c r="B88" t="s">
        <v>1657</v>
      </c>
      <c r="C88" t="s">
        <v>1657</v>
      </c>
      <c r="D88">
        <f>IF($B88&lt;&gt;"Yes","",IF($C88="No","Yes",IF($C88="Yes","No","")))</f>
      </c>
      <c r="E88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</c>
      <c r="F88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</c>
      <c r="G88" t="s">
        <v>1880</v>
      </c>
      <c r="H88" t="s">
        <v>2357</v>
      </c>
      <c r="I88" t="s">
        <v>1831</v>
      </c>
      <c r="J88" t="s">
        <v>1727</v>
      </c>
      <c r="K88" t="s">
        <v>1657</v>
      </c>
      <c r="L88" t="s">
        <v>1657</v>
      </c>
      <c r="R88" t="s">
        <v>2198</v>
      </c>
      <c r="Y88" t="s">
        <v>1928</v>
      </c>
      <c r="Z88" t="s">
        <v>2084</v>
      </c>
      <c r="BI88" t="s">
        <v>1630</v>
      </c>
      <c r="BL88">
        <f>IF($T88="","",IF((IF(AND($AW88&lt;&gt;"Yes",$AW88&lt;&gt;"N/A"),"Power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",""))="","",LEFT(IF(AND($AW88&lt;&gt;"Yes",$AW88&lt;&gt;"N/A"),"Power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",""),LEN(IF(AND($AW88&lt;&gt;"Yes",$AW88&lt;&gt;"N/A"),"Power Cable, ","")&amp;IF(AND($AX88&lt;&gt;"Yes",$AX88&lt;&gt;"N/A"),"Battery, ","")&amp;IF(AND($BE88&lt;&gt;"Yes",$BE88&lt;&gt;"N/A"),"Firmware Download, ","")&amp;IF(AND(OR($BE88="Yes",$BE88="N/A"),$BF88&lt;&gt;"Yes",$BF88&lt;&gt;"N/A"),"Firmware Install, ","")&amp;IF(AND($BJ88&lt;&gt;"Yes",$BJ88&lt;&gt;"N/A"),"Device ID, ","")&amp;IF(AND($BK88&lt;&gt;"Yes",$BK88&lt;&gt;"N/A"),"Epic Beans Relay, ",""))-2)))</f>
      </c>
      <c r="BM88">
        <f>IF($T88="","",IF($BL88="","Yes","Blocked"))</f>
      </c>
      <c r="BP88">
        <f>IF($BO88="","",IFERROR(VLOOKUP($BO88,'01_Warehouse_Ledger'!$A:$N,4,FALSE),""))</f>
      </c>
      <c r="BQ88">
        <f>IF($BO88="","",IFERROR(VLOOKUP($BO88,'01_Warehouse_Ledger'!$A:$N,5,FALSE),""))</f>
      </c>
      <c r="BR88">
        <f>IF($BO88="","",IFERROR(VLOOKUP($BO88,'01_Warehouse_Ledger'!$A:$N,13,FALSE),""))</f>
      </c>
    </row>
    <row r="89">
      <c r="A89" t="s">
        <v>1415</v>
      </c>
      <c r="B89" t="s">
        <v>1657</v>
      </c>
      <c r="C89" t="s">
        <v>1657</v>
      </c>
      <c r="D89">
        <f>IF($B89&lt;&gt;"Yes","",IF($C89="No","Yes",IF($C89="Yes","No","")))</f>
      </c>
      <c r="E89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</c>
      <c r="F89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</c>
      <c r="G89" t="s">
        <v>1880</v>
      </c>
      <c r="H89" t="s">
        <v>2357</v>
      </c>
      <c r="I89" t="s">
        <v>1831</v>
      </c>
      <c r="J89" t="s">
        <v>1727</v>
      </c>
      <c r="K89" t="s">
        <v>1657</v>
      </c>
      <c r="L89" t="s">
        <v>1657</v>
      </c>
      <c r="R89" t="s">
        <v>1685</v>
      </c>
      <c r="Y89" t="s">
        <v>1883</v>
      </c>
      <c r="Z89" t="s">
        <v>2383</v>
      </c>
      <c r="BI89" t="s">
        <v>1630</v>
      </c>
      <c r="BL89">
        <f>IF($T89="","",IF((IF(AND($AW89&lt;&gt;"Yes",$AW89&lt;&gt;"N/A"),"Power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",""))="","",LEFT(IF(AND($AW89&lt;&gt;"Yes",$AW89&lt;&gt;"N/A"),"Power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",""),LEN(IF(AND($AW89&lt;&gt;"Yes",$AW89&lt;&gt;"N/A"),"Power Cable, ","")&amp;IF(AND($AX89&lt;&gt;"Yes",$AX89&lt;&gt;"N/A"),"Battery, ","")&amp;IF(AND($BE89&lt;&gt;"Yes",$BE89&lt;&gt;"N/A"),"Firmware Download, ","")&amp;IF(AND(OR($BE89="Yes",$BE89="N/A"),$BF89&lt;&gt;"Yes",$BF89&lt;&gt;"N/A"),"Firmware Install, ","")&amp;IF(AND($BJ89&lt;&gt;"Yes",$BJ89&lt;&gt;"N/A"),"Device ID, ","")&amp;IF(AND($BK89&lt;&gt;"Yes",$BK89&lt;&gt;"N/A"),"Epic Beans Relay, ",""))-2)))</f>
      </c>
      <c r="BM89">
        <f>IF($T89="","",IF($BL89="","Yes","Blocked"))</f>
      </c>
      <c r="BP89">
        <f>IF($BO89="","",IFERROR(VLOOKUP($BO89,'01_Warehouse_Ledger'!$A:$N,4,FALSE),""))</f>
      </c>
      <c r="BQ89">
        <f>IF($BO89="","",IFERROR(VLOOKUP($BO89,'01_Warehouse_Ledger'!$A:$N,5,FALSE),""))</f>
      </c>
      <c r="BR89">
        <f>IF($BO89="","",IFERROR(VLOOKUP($BO89,'01_Warehouse_Ledger'!$A:$N,13,FALSE),""))</f>
      </c>
    </row>
    <row r="90">
      <c r="A90" t="s">
        <v>1415</v>
      </c>
      <c r="C90" t="s">
        <v>1657</v>
      </c>
      <c r="D90">
        <f>IF($B90&lt;&gt;"Yes","",IF($C90="No","Yes",IF($C90="Yes","No","")))</f>
      </c>
      <c r="E90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</c>
      <c r="F90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</c>
      <c r="G90" t="s">
        <v>1983</v>
      </c>
      <c r="H90" t="s">
        <v>1903</v>
      </c>
      <c r="I90" t="s">
        <v>1831</v>
      </c>
      <c r="J90" t="s">
        <v>1727</v>
      </c>
      <c r="K90" t="s">
        <v>1657</v>
      </c>
      <c r="L90" t="s">
        <v>1657</v>
      </c>
      <c r="R90" t="s">
        <v>1813</v>
      </c>
      <c r="Y90" t="s">
        <v>2375</v>
      </c>
      <c r="Z90" t="s">
        <v>1872</v>
      </c>
      <c r="BI90" t="s">
        <v>1630</v>
      </c>
      <c r="BL90">
        <f>IF($T90="","",IF((IF(AND($AW90&lt;&gt;"Yes",$AW90&lt;&gt;"N/A"),"Power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",""))="","",LEFT(IF(AND($AW90&lt;&gt;"Yes",$AW90&lt;&gt;"N/A"),"Power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",""),LEN(IF(AND($AW90&lt;&gt;"Yes",$AW90&lt;&gt;"N/A"),"Power Cable, ","")&amp;IF(AND($AX90&lt;&gt;"Yes",$AX90&lt;&gt;"N/A"),"Battery, ","")&amp;IF(AND($BE90&lt;&gt;"Yes",$BE90&lt;&gt;"N/A"),"Firmware Download, ","")&amp;IF(AND(OR($BE90="Yes",$BE90="N/A"),$BF90&lt;&gt;"Yes",$BF90&lt;&gt;"N/A"),"Firmware Install, ","")&amp;IF(AND($BJ90&lt;&gt;"Yes",$BJ90&lt;&gt;"N/A"),"Device ID, ","")&amp;IF(AND($BK90&lt;&gt;"Yes",$BK90&lt;&gt;"N/A"),"Epic Beans Relay, ",""))-2)))</f>
      </c>
      <c r="BM90">
        <f>IF($T90="","",IF($BL90="","Yes","Blocked"))</f>
      </c>
      <c r="BP90">
        <f>IF($BO90="","",IFERROR(VLOOKUP($BO90,'01_Warehouse_Ledger'!$A:$N,4,FALSE),""))</f>
      </c>
      <c r="BQ90">
        <f>IF($BO90="","",IFERROR(VLOOKUP($BO90,'01_Warehouse_Ledger'!$A:$N,5,FALSE),""))</f>
      </c>
      <c r="BR90">
        <f>IF($BO90="","",IFERROR(VLOOKUP($BO90,'01_Warehouse_Ledger'!$A:$N,13,FALSE),""))</f>
      </c>
    </row>
    <row r="91">
      <c r="A91" t="s">
        <v>1415</v>
      </c>
      <c r="C91" t="s">
        <v>1657</v>
      </c>
      <c r="D91">
        <f>IF($B91&lt;&gt;"Yes","",IF($C91="No","Yes",IF($C91="Yes","No","")))</f>
      </c>
      <c r="E91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</c>
      <c r="F91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</c>
      <c r="G91" t="s">
        <v>1983</v>
      </c>
      <c r="H91" t="s">
        <v>1903</v>
      </c>
      <c r="I91" t="s">
        <v>1831</v>
      </c>
      <c r="J91" t="s">
        <v>1727</v>
      </c>
      <c r="K91" t="s">
        <v>1657</v>
      </c>
      <c r="L91" t="s">
        <v>1657</v>
      </c>
      <c r="R91" t="s">
        <v>2289</v>
      </c>
      <c r="Y91" t="s">
        <v>2135</v>
      </c>
      <c r="Z91" t="s">
        <v>2102</v>
      </c>
      <c r="BI91" t="s">
        <v>1630</v>
      </c>
      <c r="BL91">
        <f>IF($T91="","",IF((IF(AND($AW91&lt;&gt;"Yes",$AW91&lt;&gt;"N/A"),"Power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",""))="","",LEFT(IF(AND($AW91&lt;&gt;"Yes",$AW91&lt;&gt;"N/A"),"Power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",""),LEN(IF(AND($AW91&lt;&gt;"Yes",$AW91&lt;&gt;"N/A"),"Power Cable, ","")&amp;IF(AND($AX91&lt;&gt;"Yes",$AX91&lt;&gt;"N/A"),"Battery, ","")&amp;IF(AND($BE91&lt;&gt;"Yes",$BE91&lt;&gt;"N/A"),"Firmware Download, ","")&amp;IF(AND(OR($BE91="Yes",$BE91="N/A"),$BF91&lt;&gt;"Yes",$BF91&lt;&gt;"N/A"),"Firmware Install, ","")&amp;IF(AND($BJ91&lt;&gt;"Yes",$BJ91&lt;&gt;"N/A"),"Device ID, ","")&amp;IF(AND($BK91&lt;&gt;"Yes",$BK91&lt;&gt;"N/A"),"Epic Beans Relay, ",""))-2)))</f>
      </c>
      <c r="BM91">
        <f>IF($T91="","",IF($BL91="","Yes","Blocked"))</f>
      </c>
      <c r="BP91">
        <f>IF($BO91="","",IFERROR(VLOOKUP($BO91,'01_Warehouse_Ledger'!$A:$N,4,FALSE),""))</f>
      </c>
      <c r="BQ91">
        <f>IF($BO91="","",IFERROR(VLOOKUP($BO91,'01_Warehouse_Ledger'!$A:$N,5,FALSE),""))</f>
      </c>
      <c r="BR91">
        <f>IF($BO91="","",IFERROR(VLOOKUP($BO91,'01_Warehouse_Ledger'!$A:$N,13,FALSE),""))</f>
      </c>
    </row>
    <row r="92">
      <c r="A92" t="s">
        <v>1415</v>
      </c>
      <c r="C92" t="s">
        <v>1657</v>
      </c>
      <c r="D92">
        <f>IF($B92&lt;&gt;"Yes","",IF($C92="No","Yes",IF($C92="Yes","No","")))</f>
      </c>
      <c r="E92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</c>
      <c r="F92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</c>
      <c r="G92" t="s">
        <v>1983</v>
      </c>
      <c r="H92" t="s">
        <v>1903</v>
      </c>
      <c r="I92" t="s">
        <v>1831</v>
      </c>
      <c r="J92" t="s">
        <v>1727</v>
      </c>
      <c r="K92" t="s">
        <v>1657</v>
      </c>
      <c r="L92" t="s">
        <v>1657</v>
      </c>
      <c r="R92" t="s">
        <v>2120</v>
      </c>
      <c r="Y92" t="s">
        <v>1763</v>
      </c>
      <c r="Z92" t="s">
        <v>2352</v>
      </c>
      <c r="BI92" t="s">
        <v>1630</v>
      </c>
      <c r="BL92">
        <f>IF($T92="","",IF((IF(AND($AW92&lt;&gt;"Yes",$AW92&lt;&gt;"N/A"),"Power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",""))="","",LEFT(IF(AND($AW92&lt;&gt;"Yes",$AW92&lt;&gt;"N/A"),"Power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",""),LEN(IF(AND($AW92&lt;&gt;"Yes",$AW92&lt;&gt;"N/A"),"Power Cable, ","")&amp;IF(AND($AX92&lt;&gt;"Yes",$AX92&lt;&gt;"N/A"),"Battery, ","")&amp;IF(AND($BE92&lt;&gt;"Yes",$BE92&lt;&gt;"N/A"),"Firmware Download, ","")&amp;IF(AND(OR($BE92="Yes",$BE92="N/A"),$BF92&lt;&gt;"Yes",$BF92&lt;&gt;"N/A"),"Firmware Install, ","")&amp;IF(AND($BJ92&lt;&gt;"Yes",$BJ92&lt;&gt;"N/A"),"Device ID, ","")&amp;IF(AND($BK92&lt;&gt;"Yes",$BK92&lt;&gt;"N/A"),"Epic Beans Relay, ",""))-2)))</f>
      </c>
      <c r="BM92">
        <f>IF($T92="","",IF($BL92="","Yes","Blocked"))</f>
      </c>
      <c r="BP92">
        <f>IF($BO92="","",IFERROR(VLOOKUP($BO92,'01_Warehouse_Ledger'!$A:$N,4,FALSE),""))</f>
      </c>
      <c r="BQ92">
        <f>IF($BO92="","",IFERROR(VLOOKUP($BO92,'01_Warehouse_Ledger'!$A:$N,5,FALSE),""))</f>
      </c>
      <c r="BR92">
        <f>IF($BO92="","",IFERROR(VLOOKUP($BO92,'01_Warehouse_Ledger'!$A:$N,13,FALSE),""))</f>
      </c>
    </row>
    <row r="93">
      <c r="A93" t="s">
        <v>1415</v>
      </c>
      <c r="C93" t="s">
        <v>1657</v>
      </c>
      <c r="D93">
        <f>IF($B93&lt;&gt;"Yes","",IF($C93="No","Yes",IF($C93="Yes","No","")))</f>
      </c>
      <c r="E93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</c>
      <c r="F93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</c>
      <c r="G93" t="s">
        <v>1983</v>
      </c>
      <c r="H93" t="s">
        <v>1903</v>
      </c>
      <c r="I93" t="s">
        <v>1831</v>
      </c>
      <c r="J93" t="s">
        <v>1727</v>
      </c>
      <c r="K93" t="s">
        <v>1657</v>
      </c>
      <c r="L93" t="s">
        <v>1657</v>
      </c>
      <c r="R93" t="s">
        <v>2150</v>
      </c>
      <c r="Y93" t="s">
        <v>2090</v>
      </c>
      <c r="Z93" t="s">
        <v>1747</v>
      </c>
      <c r="BI93" t="s">
        <v>1630</v>
      </c>
      <c r="BL93">
        <f>IF($T93="","",IF((IF(AND($AW93&lt;&gt;"Yes",$AW93&lt;&gt;"N/A"),"Power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",""))="","",LEFT(IF(AND($AW93&lt;&gt;"Yes",$AW93&lt;&gt;"N/A"),"Power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",""),LEN(IF(AND($AW93&lt;&gt;"Yes",$AW93&lt;&gt;"N/A"),"Power Cable, ","")&amp;IF(AND($AX93&lt;&gt;"Yes",$AX93&lt;&gt;"N/A"),"Battery, ","")&amp;IF(AND($BE93&lt;&gt;"Yes",$BE93&lt;&gt;"N/A"),"Firmware Download, ","")&amp;IF(AND(OR($BE93="Yes",$BE93="N/A"),$BF93&lt;&gt;"Yes",$BF93&lt;&gt;"N/A"),"Firmware Install, ","")&amp;IF(AND($BJ93&lt;&gt;"Yes",$BJ93&lt;&gt;"N/A"),"Device ID, ","")&amp;IF(AND($BK93&lt;&gt;"Yes",$BK93&lt;&gt;"N/A"),"Epic Beans Relay, ",""))-2)))</f>
      </c>
      <c r="BM93">
        <f>IF($T93="","",IF($BL93="","Yes","Blocked"))</f>
      </c>
      <c r="BP93">
        <f>IF($BO93="","",IFERROR(VLOOKUP($BO93,'01_Warehouse_Ledger'!$A:$N,4,FALSE),""))</f>
      </c>
      <c r="BQ93">
        <f>IF($BO93="","",IFERROR(VLOOKUP($BO93,'01_Warehouse_Ledger'!$A:$N,5,FALSE),""))</f>
      </c>
      <c r="BR93">
        <f>IF($BO93="","",IFERROR(VLOOKUP($BO93,'01_Warehouse_Ledger'!$A:$N,13,FALSE),""))</f>
      </c>
    </row>
    <row r="94">
      <c r="A94" t="s">
        <v>1415</v>
      </c>
      <c r="C94" t="s">
        <v>1657</v>
      </c>
      <c r="D94">
        <f>IF($B94&lt;&gt;"Yes","",IF($C94="No","Yes",IF($C94="Yes","No","")))</f>
      </c>
      <c r="E94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</c>
      <c r="F94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</c>
      <c r="G94" t="s">
        <v>1983</v>
      </c>
      <c r="H94" t="s">
        <v>1903</v>
      </c>
      <c r="I94" t="s">
        <v>1831</v>
      </c>
      <c r="J94" t="s">
        <v>1727</v>
      </c>
      <c r="K94" t="s">
        <v>1657</v>
      </c>
      <c r="L94" t="s">
        <v>1657</v>
      </c>
      <c r="R94" t="s">
        <v>1964</v>
      </c>
      <c r="Y94" t="s">
        <v>2229</v>
      </c>
      <c r="Z94" t="s">
        <v>1701</v>
      </c>
      <c r="BI94" t="s">
        <v>1630</v>
      </c>
      <c r="BL94">
        <f>IF($T94="","",IF((IF(AND($AW94&lt;&gt;"Yes",$AW94&lt;&gt;"N/A"),"Power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",""))="","",LEFT(IF(AND($AW94&lt;&gt;"Yes",$AW94&lt;&gt;"N/A"),"Power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",""),LEN(IF(AND($AW94&lt;&gt;"Yes",$AW94&lt;&gt;"N/A"),"Power Cable, ","")&amp;IF(AND($AX94&lt;&gt;"Yes",$AX94&lt;&gt;"N/A"),"Battery, ","")&amp;IF(AND($BE94&lt;&gt;"Yes",$BE94&lt;&gt;"N/A"),"Firmware Download, ","")&amp;IF(AND(OR($BE94="Yes",$BE94="N/A"),$BF94&lt;&gt;"Yes",$BF94&lt;&gt;"N/A"),"Firmware Install, ","")&amp;IF(AND($BJ94&lt;&gt;"Yes",$BJ94&lt;&gt;"N/A"),"Device ID, ","")&amp;IF(AND($BK94&lt;&gt;"Yes",$BK94&lt;&gt;"N/A"),"Epic Beans Relay, ",""))-2)))</f>
      </c>
      <c r="BM94">
        <f>IF($T94="","",IF($BL94="","Yes","Blocked"))</f>
      </c>
      <c r="BP94">
        <f>IF($BO94="","",IFERROR(VLOOKUP($BO94,'01_Warehouse_Ledger'!$A:$N,4,FALSE),""))</f>
      </c>
      <c r="BQ94">
        <f>IF($BO94="","",IFERROR(VLOOKUP($BO94,'01_Warehouse_Ledger'!$A:$N,5,FALSE),""))</f>
      </c>
      <c r="BR94">
        <f>IF($BO94="","",IFERROR(VLOOKUP($BO94,'01_Warehouse_Ledger'!$A:$N,13,FALSE),""))</f>
      </c>
    </row>
    <row r="95">
      <c r="A95" t="s">
        <v>1415</v>
      </c>
      <c r="C95" t="s">
        <v>1657</v>
      </c>
      <c r="D95">
        <f>IF($B95&lt;&gt;"Yes","",IF($C95="No","Yes",IF($C95="Yes","No","")))</f>
      </c>
      <c r="E95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</c>
      <c r="F95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</c>
      <c r="G95" t="s">
        <v>1983</v>
      </c>
      <c r="H95" t="s">
        <v>1903</v>
      </c>
      <c r="I95" t="s">
        <v>1831</v>
      </c>
      <c r="J95" t="s">
        <v>1727</v>
      </c>
      <c r="K95" t="s">
        <v>1657</v>
      </c>
      <c r="L95" t="s">
        <v>1657</v>
      </c>
      <c r="R95" t="s">
        <v>2302</v>
      </c>
      <c r="Y95" t="s">
        <v>2022</v>
      </c>
      <c r="Z95" t="s">
        <v>2316</v>
      </c>
      <c r="BI95" t="s">
        <v>1630</v>
      </c>
      <c r="BL95">
        <f>IF($T95="","",IF((IF(AND($AW95&lt;&gt;"Yes",$AW95&lt;&gt;"N/A"),"Power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",""))="","",LEFT(IF(AND($AW95&lt;&gt;"Yes",$AW95&lt;&gt;"N/A"),"Power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",""),LEN(IF(AND($AW95&lt;&gt;"Yes",$AW95&lt;&gt;"N/A"),"Power Cable, ","")&amp;IF(AND($AX95&lt;&gt;"Yes",$AX95&lt;&gt;"N/A"),"Battery, ","")&amp;IF(AND($BE95&lt;&gt;"Yes",$BE95&lt;&gt;"N/A"),"Firmware Download, ","")&amp;IF(AND(OR($BE95="Yes",$BE95="N/A"),$BF95&lt;&gt;"Yes",$BF95&lt;&gt;"N/A"),"Firmware Install, ","")&amp;IF(AND($BJ95&lt;&gt;"Yes",$BJ95&lt;&gt;"N/A"),"Device ID, ","")&amp;IF(AND($BK95&lt;&gt;"Yes",$BK95&lt;&gt;"N/A"),"Epic Beans Relay, ",""))-2)))</f>
      </c>
      <c r="BM95">
        <f>IF($T95="","",IF($BL95="","Yes","Blocked"))</f>
      </c>
      <c r="BP95">
        <f>IF($BO95="","",IFERROR(VLOOKUP($BO95,'01_Warehouse_Ledger'!$A:$N,4,FALSE),""))</f>
      </c>
      <c r="BQ95">
        <f>IF($BO95="","",IFERROR(VLOOKUP($BO95,'01_Warehouse_Ledger'!$A:$N,5,FALSE),""))</f>
      </c>
      <c r="BR95">
        <f>IF($BO95="","",IFERROR(VLOOKUP($BO95,'01_Warehouse_Ledger'!$A:$N,13,FALSE),""))</f>
      </c>
    </row>
    <row r="96">
      <c r="A96" t="s">
        <v>1415</v>
      </c>
      <c r="C96" t="s">
        <v>1657</v>
      </c>
      <c r="D96">
        <f>IF($B96&lt;&gt;"Yes","",IF($C96="No","Yes",IF($C96="Yes","No","")))</f>
      </c>
      <c r="E96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</c>
      <c r="F96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</c>
      <c r="G96" t="s">
        <v>1983</v>
      </c>
      <c r="H96" t="s">
        <v>1903</v>
      </c>
      <c r="I96" t="s">
        <v>1831</v>
      </c>
      <c r="J96" t="s">
        <v>1727</v>
      </c>
      <c r="K96" t="s">
        <v>1657</v>
      </c>
      <c r="L96" t="s">
        <v>1657</v>
      </c>
      <c r="R96" t="s">
        <v>1641</v>
      </c>
      <c r="Y96" t="s">
        <v>2104</v>
      </c>
      <c r="Z96" t="s">
        <v>1949</v>
      </c>
      <c r="BI96" t="s">
        <v>1630</v>
      </c>
      <c r="BL96">
        <f>IF($T96="","",IF((IF(AND($AW96&lt;&gt;"Yes",$AW96&lt;&gt;"N/A"),"Power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",""))="","",LEFT(IF(AND($AW96&lt;&gt;"Yes",$AW96&lt;&gt;"N/A"),"Power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",""),LEN(IF(AND($AW96&lt;&gt;"Yes",$AW96&lt;&gt;"N/A"),"Power Cable, ","")&amp;IF(AND($AX96&lt;&gt;"Yes",$AX96&lt;&gt;"N/A"),"Battery, ","")&amp;IF(AND($BE96&lt;&gt;"Yes",$BE96&lt;&gt;"N/A"),"Firmware Download, ","")&amp;IF(AND(OR($BE96="Yes",$BE96="N/A"),$BF96&lt;&gt;"Yes",$BF96&lt;&gt;"N/A"),"Firmware Install, ","")&amp;IF(AND($BJ96&lt;&gt;"Yes",$BJ96&lt;&gt;"N/A"),"Device ID, ","")&amp;IF(AND($BK96&lt;&gt;"Yes",$BK96&lt;&gt;"N/A"),"Epic Beans Relay, ",""))-2)))</f>
      </c>
      <c r="BM96">
        <f>IF($T96="","",IF($BL96="","Yes","Blocked"))</f>
      </c>
      <c r="BP96">
        <f>IF($BO96="","",IFERROR(VLOOKUP($BO96,'01_Warehouse_Ledger'!$A:$N,4,FALSE),""))</f>
      </c>
      <c r="BQ96">
        <f>IF($BO96="","",IFERROR(VLOOKUP($BO96,'01_Warehouse_Ledger'!$A:$N,5,FALSE),""))</f>
      </c>
      <c r="BR96">
        <f>IF($BO96="","",IFERROR(VLOOKUP($BO96,'01_Warehouse_Ledger'!$A:$N,13,FALSE),""))</f>
      </c>
    </row>
    <row r="97">
      <c r="A97" t="s">
        <v>1415</v>
      </c>
      <c r="C97" t="s">
        <v>1657</v>
      </c>
      <c r="D97">
        <f>IF($B97&lt;&gt;"Yes","",IF($C97="No","Yes",IF($C97="Yes","No","")))</f>
      </c>
      <c r="E97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</c>
      <c r="F97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</c>
      <c r="G97" t="s">
        <v>1983</v>
      </c>
      <c r="H97" t="s">
        <v>1903</v>
      </c>
      <c r="I97" t="s">
        <v>1831</v>
      </c>
      <c r="J97" t="s">
        <v>1727</v>
      </c>
      <c r="K97" t="s">
        <v>1657</v>
      </c>
      <c r="L97" t="s">
        <v>1657</v>
      </c>
      <c r="R97" t="s">
        <v>2279</v>
      </c>
      <c r="Y97" t="s">
        <v>1717</v>
      </c>
      <c r="Z97" t="s">
        <v>1790</v>
      </c>
      <c r="BI97" t="s">
        <v>1630</v>
      </c>
      <c r="BL97">
        <f>IF($T97="","",IF((IF(AND($AW97&lt;&gt;"Yes",$AW97&lt;&gt;"N/A"),"Power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",""))="","",LEFT(IF(AND($AW97&lt;&gt;"Yes",$AW97&lt;&gt;"N/A"),"Power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",""),LEN(IF(AND($AW97&lt;&gt;"Yes",$AW97&lt;&gt;"N/A"),"Power Cable, ","")&amp;IF(AND($AX97&lt;&gt;"Yes",$AX97&lt;&gt;"N/A"),"Battery, ","")&amp;IF(AND($BE97&lt;&gt;"Yes",$BE97&lt;&gt;"N/A"),"Firmware Download, ","")&amp;IF(AND(OR($BE97="Yes",$BE97="N/A"),$BF97&lt;&gt;"Yes",$BF97&lt;&gt;"N/A"),"Firmware Install, ","")&amp;IF(AND($BJ97&lt;&gt;"Yes",$BJ97&lt;&gt;"N/A"),"Device ID, ","")&amp;IF(AND($BK97&lt;&gt;"Yes",$BK97&lt;&gt;"N/A"),"Epic Beans Relay, ",""))-2)))</f>
      </c>
      <c r="BM97">
        <f>IF($T97="","",IF($BL97="","Yes","Blocked"))</f>
      </c>
      <c r="BP97">
        <f>IF($BO97="","",IFERROR(VLOOKUP($BO97,'01_Warehouse_Ledger'!$A:$N,4,FALSE),""))</f>
      </c>
      <c r="BQ97">
        <f>IF($BO97="","",IFERROR(VLOOKUP($BO97,'01_Warehouse_Ledger'!$A:$N,5,FALSE),""))</f>
      </c>
      <c r="BR97">
        <f>IF($BO97="","",IFERROR(VLOOKUP($BO97,'01_Warehouse_Ledger'!$A:$N,13,FALSE),""))</f>
      </c>
    </row>
    <row r="98">
      <c r="A98" t="s">
        <v>1415</v>
      </c>
      <c r="C98" t="s">
        <v>1657</v>
      </c>
      <c r="D98">
        <f>IF($B98&lt;&gt;"Yes","",IF($C98="No","Yes",IF($C98="Yes","No","")))</f>
      </c>
      <c r="E98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</c>
      <c r="F98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</c>
      <c r="G98" t="s">
        <v>1983</v>
      </c>
      <c r="H98" t="s">
        <v>1903</v>
      </c>
      <c r="I98" t="s">
        <v>1831</v>
      </c>
      <c r="J98" t="s">
        <v>1727</v>
      </c>
      <c r="K98" t="s">
        <v>1657</v>
      </c>
      <c r="L98" t="s">
        <v>1657</v>
      </c>
      <c r="R98" t="s">
        <v>1855</v>
      </c>
      <c r="Y98" t="s">
        <v>1972</v>
      </c>
      <c r="Z98" t="s">
        <v>1807</v>
      </c>
      <c r="BI98" t="s">
        <v>1630</v>
      </c>
      <c r="BL98">
        <f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</c>
      <c r="BM98">
        <f>IF($T98="","",IF($BL98="","Yes","Blocked"))</f>
      </c>
      <c r="BP98">
        <f>IF($BO98="","",IFERROR(VLOOKUP($BO98,'01_Warehouse_Ledger'!$A:$N,4,FALSE),""))</f>
      </c>
      <c r="BQ98">
        <f>IF($BO98="","",IFERROR(VLOOKUP($BO98,'01_Warehouse_Ledger'!$A:$N,5,FALSE),""))</f>
      </c>
      <c r="BR98">
        <f>IF($BO98="","",IFERROR(VLOOKUP($BO98,'01_Warehouse_Ledger'!$A:$N,13,FALSE),""))</f>
      </c>
    </row>
    <row r="99">
      <c r="A99" t="s">
        <v>1415</v>
      </c>
      <c r="C99" t="s">
        <v>1657</v>
      </c>
      <c r="D99">
        <f>IF($B99&lt;&gt;"Yes","",IF($C99="No","Yes",IF($C99="Yes","No","")))</f>
      </c>
      <c r="E99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</c>
      <c r="F99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</c>
      <c r="G99" t="s">
        <v>1983</v>
      </c>
      <c r="H99" t="s">
        <v>1903</v>
      </c>
      <c r="I99" t="s">
        <v>1831</v>
      </c>
      <c r="J99" t="s">
        <v>1727</v>
      </c>
      <c r="K99" t="s">
        <v>1657</v>
      </c>
      <c r="L99" t="s">
        <v>1657</v>
      </c>
      <c r="R99" t="s">
        <v>1929</v>
      </c>
      <c r="Y99" t="s">
        <v>2055</v>
      </c>
      <c r="Z99" t="s">
        <v>1808</v>
      </c>
      <c r="BI99" t="s">
        <v>1630</v>
      </c>
      <c r="BL99">
        <f>IF($T99="","",IF((IF(AND($AW99&lt;&gt;"Yes",$AW99&lt;&gt;"N/A"),"Power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",""))="","",LEFT(IF(AND($AW99&lt;&gt;"Yes",$AW99&lt;&gt;"N/A"),"Power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",""),LEN(IF(AND($AW99&lt;&gt;"Yes",$AW99&lt;&gt;"N/A"),"Power Cable, ","")&amp;IF(AND($AX99&lt;&gt;"Yes",$AX99&lt;&gt;"N/A"),"Battery, ","")&amp;IF(AND($BE99&lt;&gt;"Yes",$BE99&lt;&gt;"N/A"),"Firmware Download, ","")&amp;IF(AND(OR($BE99="Yes",$BE99="N/A"),$BF99&lt;&gt;"Yes",$BF99&lt;&gt;"N/A"),"Firmware Install, ","")&amp;IF(AND($BJ99&lt;&gt;"Yes",$BJ99&lt;&gt;"N/A"),"Device ID, ","")&amp;IF(AND($BK99&lt;&gt;"Yes",$BK99&lt;&gt;"N/A"),"Epic Beans Relay, ",""))-2)))</f>
      </c>
      <c r="BM99">
        <f>IF($T99="","",IF($BL99="","Yes","Blocked"))</f>
      </c>
      <c r="BP99">
        <f>IF($BO99="","",IFERROR(VLOOKUP($BO99,'01_Warehouse_Ledger'!$A:$N,4,FALSE),""))</f>
      </c>
      <c r="BQ99">
        <f>IF($BO99="","",IFERROR(VLOOKUP($BO99,'01_Warehouse_Ledger'!$A:$N,5,FALSE),""))</f>
      </c>
      <c r="BR99">
        <f>IF($BO99="","",IFERROR(VLOOKUP($BO99,'01_Warehouse_Ledger'!$A:$N,13,FALSE),""))</f>
      </c>
    </row>
    <row r="100">
      <c r="A100" t="s">
        <v>1415</v>
      </c>
      <c r="C100" t="s">
        <v>1657</v>
      </c>
      <c r="D100">
        <f>IF($B100&lt;&gt;"Yes","",IF($C100="No","Yes",IF($C100="Yes","No","")))</f>
      </c>
      <c r="E100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</c>
      <c r="F100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</c>
      <c r="G100" t="s">
        <v>1983</v>
      </c>
      <c r="H100" t="s">
        <v>1903</v>
      </c>
      <c r="I100" t="s">
        <v>1831</v>
      </c>
      <c r="J100" t="s">
        <v>1727</v>
      </c>
      <c r="K100" t="s">
        <v>1657</v>
      </c>
      <c r="L100" t="s">
        <v>1657</v>
      </c>
      <c r="R100" t="s">
        <v>1632</v>
      </c>
      <c r="Y100" t="s">
        <v>2172</v>
      </c>
      <c r="Z100" t="s">
        <v>2081</v>
      </c>
      <c r="BI100" t="s">
        <v>1630</v>
      </c>
      <c r="BL100">
        <f>IF($T100="","",IF((IF(AND($AW100&lt;&gt;"Yes",$AW100&lt;&gt;"N/A"),"Power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",""))="","",LEFT(IF(AND($AW100&lt;&gt;"Yes",$AW100&lt;&gt;"N/A"),"Power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",""),LEN(IF(AND($AW100&lt;&gt;"Yes",$AW100&lt;&gt;"N/A"),"Power Cable, ","")&amp;IF(AND($AX100&lt;&gt;"Yes",$AX100&lt;&gt;"N/A"),"Battery, ","")&amp;IF(AND($BE100&lt;&gt;"Yes",$BE100&lt;&gt;"N/A"),"Firmware Download, ","")&amp;IF(AND(OR($BE100="Yes",$BE100="N/A"),$BF100&lt;&gt;"Yes",$BF100&lt;&gt;"N/A"),"Firmware Install, ","")&amp;IF(AND($BJ100&lt;&gt;"Yes",$BJ100&lt;&gt;"N/A"),"Device ID, ","")&amp;IF(AND($BK100&lt;&gt;"Yes",$BK100&lt;&gt;"N/A"),"Epic Beans Relay, ",""))-2)))</f>
      </c>
      <c r="BM100">
        <f>IF($T100="","",IF($BL100="","Yes","Blocked"))</f>
      </c>
      <c r="BP100">
        <f>IF($BO100="","",IFERROR(VLOOKUP($BO100,'01_Warehouse_Ledger'!$A:$N,4,FALSE),""))</f>
      </c>
      <c r="BQ100">
        <f>IF($BO100="","",IFERROR(VLOOKUP($BO100,'01_Warehouse_Ledger'!$A:$N,5,FALSE),""))</f>
      </c>
      <c r="BR100">
        <f>IF($BO100="","",IFERROR(VLOOKUP($BO100,'01_Warehouse_Ledger'!$A:$N,13,FALSE),""))</f>
      </c>
    </row>
    <row r="101">
      <c r="A101" t="s">
        <v>1415</v>
      </c>
      <c r="B101" t="s">
        <v>1727</v>
      </c>
      <c r="C101" t="s">
        <v>1727</v>
      </c>
      <c r="D101">
        <f>IF($B101&lt;&gt;"Yes","",IF($C101="No","Yes",IF($C101="Yes","No","")))</f>
      </c>
      <c r="E101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</c>
      <c r="F101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</c>
      <c r="G101" t="s">
        <v>2235</v>
      </c>
      <c r="H101" t="s">
        <v>2235</v>
      </c>
      <c r="I101" t="s">
        <v>1831</v>
      </c>
      <c r="J101" t="s">
        <v>1727</v>
      </c>
      <c r="K101" t="s">
        <v>1727</v>
      </c>
      <c r="L101" t="s">
        <v>1727</v>
      </c>
      <c r="M101" t="s">
        <v>2162</v>
      </c>
      <c r="N101" t="s">
        <v>2376</v>
      </c>
      <c r="O101" t="s">
        <v>1380</v>
      </c>
      <c r="P101" t="s">
        <v>2098</v>
      </c>
      <c r="Q101">
        <v>46075.0</v>
      </c>
      <c r="R101" t="s">
        <v>1827</v>
      </c>
      <c r="S101" t="s">
        <v>1792</v>
      </c>
      <c r="T101" t="s">
        <v>2005</v>
      </c>
      <c r="U101" t="s">
        <v>1380</v>
      </c>
      <c r="Y101" t="s">
        <v>1733</v>
      </c>
      <c r="Z101" t="s">
        <v>2179</v>
      </c>
      <c r="AA101" t="s">
        <v>2031</v>
      </c>
      <c r="AD101" t="s">
        <v>2397</v>
      </c>
      <c r="AE101">
        <v>2</v>
      </c>
      <c r="AF101" t="s">
        <v>2097</v>
      </c>
      <c r="AG101" t="s">
        <v>2136</v>
      </c>
      <c r="AI101" t="s">
        <v>1842</v>
      </c>
      <c r="AJ101" t="s">
        <v>2124</v>
      </c>
      <c r="AK101" t="s">
        <v>2249</v>
      </c>
      <c r="AL101" t="s">
        <v>2397</v>
      </c>
      <c r="AM101" t="s">
        <v>1307</v>
      </c>
      <c r="AR101" t="s">
        <v>2270</v>
      </c>
      <c r="AW101" t="s">
        <v>1727</v>
      </c>
      <c r="AX101" t="s">
        <v>1727</v>
      </c>
      <c r="AY101" t="s">
        <v>1727</v>
      </c>
      <c r="AZ101" t="s">
        <v>1727</v>
      </c>
      <c r="BI101" t="s">
        <v>1630</v>
      </c>
      <c r="BL101">
        <f>IF($T101="","",IF((IF(AND($AW101&lt;&gt;"Yes",$AW101&lt;&gt;"N/A"),"Power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",""))="","",LEFT(IF(AND($AW101&lt;&gt;"Yes",$AW101&lt;&gt;"N/A"),"Power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",""),LEN(IF(AND($AW101&lt;&gt;"Yes",$AW101&lt;&gt;"N/A"),"Power Cable, ","")&amp;IF(AND($AX101&lt;&gt;"Yes",$AX101&lt;&gt;"N/A"),"Battery, ","")&amp;IF(AND($BE101&lt;&gt;"Yes",$BE101&lt;&gt;"N/A"),"Firmware Download, ","")&amp;IF(AND(OR($BE101="Yes",$BE101="N/A"),$BF101&lt;&gt;"Yes",$BF101&lt;&gt;"N/A"),"Firmware Install, ","")&amp;IF(AND($BJ101&lt;&gt;"Yes",$BJ101&lt;&gt;"N/A"),"Device ID, ","")&amp;IF(AND($BK101&lt;&gt;"Yes",$BK101&lt;&gt;"N/A"),"Epic Beans Relay, ",""))-2)))</f>
      </c>
      <c r="BM101">
        <f>IF($T101="","",IF($BL101="","Yes","Blocked"))</f>
      </c>
      <c r="BP101">
        <f>IF($BO101="","",IFERROR(VLOOKUP($BO101,'01_Warehouse_Ledger'!$A:$N,4,FALSE),""))</f>
      </c>
      <c r="BQ101">
        <f>IF($BO101="","",IFERROR(VLOOKUP($BO101,'01_Warehouse_Ledger'!$A:$N,5,FALSE),""))</f>
      </c>
      <c r="BR101">
        <f>IF($BO101="","",IFERROR(VLOOKUP($BO101,'01_Warehouse_Ledger'!$A:$N,13,FALSE),""))</f>
      </c>
      <c r="BS101" t="s">
        <v>1727</v>
      </c>
      <c r="BT101" t="s">
        <v>1727</v>
      </c>
      <c r="BU101" t="s">
        <v>1727</v>
      </c>
      <c r="BV101" t="s">
        <v>1727</v>
      </c>
      <c r="BW101" t="s">
        <v>1727</v>
      </c>
      <c r="BX101">
        <v>19200</v>
      </c>
    </row>
    <row r="102">
      <c r="A102" t="s">
        <v>1415</v>
      </c>
      <c r="B102" t="s">
        <v>1727</v>
      </c>
      <c r="C102" t="s">
        <v>1727</v>
      </c>
      <c r="D102">
        <f>IF($B102&lt;&gt;"Yes","",IF($C102="No","Yes",IF($C102="Yes","No","")))</f>
      </c>
      <c r="E102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</c>
      <c r="F102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</c>
      <c r="G102" t="s">
        <v>2235</v>
      </c>
      <c r="H102" t="s">
        <v>2235</v>
      </c>
      <c r="I102" t="s">
        <v>1831</v>
      </c>
      <c r="J102" t="s">
        <v>1727</v>
      </c>
      <c r="K102" t="s">
        <v>1727</v>
      </c>
      <c r="L102" t="s">
        <v>1727</v>
      </c>
      <c r="M102" t="s">
        <v>2162</v>
      </c>
      <c r="N102" t="s">
        <v>2376</v>
      </c>
      <c r="O102" t="s">
        <v>1380</v>
      </c>
      <c r="P102" t="s">
        <v>2098</v>
      </c>
      <c r="Q102">
        <v>46075.0</v>
      </c>
      <c r="R102" t="s">
        <v>1895</v>
      </c>
      <c r="S102" t="s">
        <v>1876</v>
      </c>
      <c r="T102" t="s">
        <v>2297</v>
      </c>
      <c r="U102" t="s">
        <v>1380</v>
      </c>
      <c r="Y102" t="s">
        <v>1865</v>
      </c>
      <c r="Z102" t="s">
        <v>2324</v>
      </c>
      <c r="AA102" t="s">
        <v>2031</v>
      </c>
      <c r="AD102" t="s">
        <v>2051</v>
      </c>
      <c r="AE102">
        <v>2</v>
      </c>
      <c r="AF102" t="s">
        <v>2097</v>
      </c>
      <c r="AG102" t="s">
        <v>2271</v>
      </c>
      <c r="AJ102" t="s">
        <v>2124</v>
      </c>
      <c r="AK102" t="s">
        <v>2249</v>
      </c>
      <c r="AL102" t="s">
        <v>2051</v>
      </c>
      <c r="AM102" t="s">
        <v>1307</v>
      </c>
      <c r="AR102" t="s">
        <v>1684</v>
      </c>
      <c r="AW102" t="s">
        <v>1727</v>
      </c>
      <c r="AX102" t="s">
        <v>1727</v>
      </c>
      <c r="AY102" t="s">
        <v>1727</v>
      </c>
      <c r="AZ102" t="s">
        <v>1727</v>
      </c>
      <c r="BI102" t="s">
        <v>1630</v>
      </c>
      <c r="BL102">
        <f>IF($T102="","",IF((IF(AND($AW102&lt;&gt;"Yes",$AW102&lt;&gt;"N/A"),"Power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",""))="","",LEFT(IF(AND($AW102&lt;&gt;"Yes",$AW102&lt;&gt;"N/A"),"Power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",""),LEN(IF(AND($AW102&lt;&gt;"Yes",$AW102&lt;&gt;"N/A"),"Power Cable, ","")&amp;IF(AND($AX102&lt;&gt;"Yes",$AX102&lt;&gt;"N/A"),"Battery, ","")&amp;IF(AND($BE102&lt;&gt;"Yes",$BE102&lt;&gt;"N/A"),"Firmware Download, ","")&amp;IF(AND(OR($BE102="Yes",$BE102="N/A"),$BF102&lt;&gt;"Yes",$BF102&lt;&gt;"N/A"),"Firmware Install, ","")&amp;IF(AND($BJ102&lt;&gt;"Yes",$BJ102&lt;&gt;"N/A"),"Device ID, ","")&amp;IF(AND($BK102&lt;&gt;"Yes",$BK102&lt;&gt;"N/A"),"Epic Beans Relay, ",""))-2)))</f>
      </c>
      <c r="BM102">
        <f>IF($T102="","",IF($BL102="","Yes","Blocked"))</f>
      </c>
      <c r="BP102">
        <f>IF($BO102="","",IFERROR(VLOOKUP($BO102,'01_Warehouse_Ledger'!$A:$N,4,FALSE),""))</f>
      </c>
      <c r="BQ102">
        <f>IF($BO102="","",IFERROR(VLOOKUP($BO102,'01_Warehouse_Ledger'!$A:$N,5,FALSE),""))</f>
      </c>
      <c r="BR102">
        <f>IF($BO102="","",IFERROR(VLOOKUP($BO102,'01_Warehouse_Ledger'!$A:$N,13,FALSE),""))</f>
      </c>
      <c r="BS102" t="s">
        <v>1727</v>
      </c>
      <c r="BT102" t="s">
        <v>1727</v>
      </c>
      <c r="BU102" t="s">
        <v>1727</v>
      </c>
      <c r="BV102" t="s">
        <v>1727</v>
      </c>
      <c r="BW102" t="s">
        <v>1727</v>
      </c>
      <c r="BX102">
        <v>19200</v>
      </c>
    </row>
    <row r="103">
      <c r="A103" t="s">
        <v>1415</v>
      </c>
      <c r="B103" t="s">
        <v>1727</v>
      </c>
      <c r="C103" t="s">
        <v>1727</v>
      </c>
      <c r="D103">
        <f>IF($B103&lt;&gt;"Yes","",IF($C103="No","Yes",IF($C103="Yes","No","")))</f>
      </c>
      <c r="E103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</c>
      <c r="F103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</c>
      <c r="G103" t="s">
        <v>2235</v>
      </c>
      <c r="H103" t="s">
        <v>2235</v>
      </c>
      <c r="I103" t="s">
        <v>1831</v>
      </c>
      <c r="J103" t="s">
        <v>1727</v>
      </c>
      <c r="K103" t="s">
        <v>1727</v>
      </c>
      <c r="L103" t="s">
        <v>1727</v>
      </c>
      <c r="M103" t="s">
        <v>2162</v>
      </c>
      <c r="N103" t="s">
        <v>2376</v>
      </c>
      <c r="O103" t="s">
        <v>1380</v>
      </c>
      <c r="P103" t="s">
        <v>2098</v>
      </c>
      <c r="Q103">
        <v>46075.0</v>
      </c>
      <c r="R103" t="s">
        <v>2184</v>
      </c>
      <c r="S103" t="s">
        <v>2018</v>
      </c>
      <c r="T103" t="s">
        <v>1809</v>
      </c>
      <c r="U103" t="s">
        <v>1380</v>
      </c>
      <c r="Y103" t="s">
        <v>2233</v>
      </c>
      <c r="Z103" t="s">
        <v>1921</v>
      </c>
      <c r="AA103" t="s">
        <v>2031</v>
      </c>
      <c r="AD103" t="s">
        <v>2050</v>
      </c>
      <c r="AE103">
        <v>2</v>
      </c>
      <c r="AF103" t="s">
        <v>2097</v>
      </c>
      <c r="AG103" t="s">
        <v>1804</v>
      </c>
      <c r="AJ103" t="s">
        <v>2124</v>
      </c>
      <c r="AK103" t="s">
        <v>2249</v>
      </c>
      <c r="AL103" t="s">
        <v>2050</v>
      </c>
      <c r="AM103" t="s">
        <v>1307</v>
      </c>
      <c r="AR103" t="s">
        <v>1957</v>
      </c>
      <c r="AW103" t="s">
        <v>1727</v>
      </c>
      <c r="AX103" t="s">
        <v>1727</v>
      </c>
      <c r="AY103" t="s">
        <v>1727</v>
      </c>
      <c r="AZ103" t="s">
        <v>1727</v>
      </c>
      <c r="BI103" t="s">
        <v>1630</v>
      </c>
      <c r="BL103">
        <f>IF($T103="","",IF((IF(AND($AW103&lt;&gt;"Yes",$AW103&lt;&gt;"N/A"),"Power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",""))="","",LEFT(IF(AND($AW103&lt;&gt;"Yes",$AW103&lt;&gt;"N/A"),"Power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",""),LEN(IF(AND($AW103&lt;&gt;"Yes",$AW103&lt;&gt;"N/A"),"Power Cable, ","")&amp;IF(AND($AX103&lt;&gt;"Yes",$AX103&lt;&gt;"N/A"),"Battery, ","")&amp;IF(AND($BE103&lt;&gt;"Yes",$BE103&lt;&gt;"N/A"),"Firmware Download, ","")&amp;IF(AND(OR($BE103="Yes",$BE103="N/A"),$BF103&lt;&gt;"Yes",$BF103&lt;&gt;"N/A"),"Firmware Install, ","")&amp;IF(AND($BJ103&lt;&gt;"Yes",$BJ103&lt;&gt;"N/A"),"Device ID, ","")&amp;IF(AND($BK103&lt;&gt;"Yes",$BK103&lt;&gt;"N/A"),"Epic Beans Relay, ",""))-2)))</f>
      </c>
      <c r="BM103">
        <f>IF($T103="","",IF($BL103="","Yes","Blocked"))</f>
      </c>
      <c r="BP103">
        <f>IF($BO103="","",IFERROR(VLOOKUP($BO103,'01_Warehouse_Ledger'!$A:$N,4,FALSE),""))</f>
      </c>
      <c r="BQ103">
        <f>IF($BO103="","",IFERROR(VLOOKUP($BO103,'01_Warehouse_Ledger'!$A:$N,5,FALSE),""))</f>
      </c>
      <c r="BR103">
        <f>IF($BO103="","",IFERROR(VLOOKUP($BO103,'01_Warehouse_Ledger'!$A:$N,13,FALSE),""))</f>
      </c>
      <c r="BS103" t="s">
        <v>1727</v>
      </c>
      <c r="BT103" t="s">
        <v>1727</v>
      </c>
      <c r="BU103" t="s">
        <v>1727</v>
      </c>
      <c r="BV103" t="s">
        <v>1727</v>
      </c>
      <c r="BW103" t="s">
        <v>1727</v>
      </c>
      <c r="BX103">
        <v>19200</v>
      </c>
    </row>
    <row r="104">
      <c r="A104" t="s">
        <v>1415</v>
      </c>
      <c r="B104" t="s">
        <v>1727</v>
      </c>
      <c r="C104" t="s">
        <v>1727</v>
      </c>
      <c r="D104">
        <f>IF($B104&lt;&gt;"Yes","",IF($C104="No","Yes",IF($C104="Yes","No","")))</f>
      </c>
      <c r="E104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</c>
      <c r="F104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</c>
      <c r="G104" t="s">
        <v>2235</v>
      </c>
      <c r="H104" t="s">
        <v>2235</v>
      </c>
      <c r="I104" t="s">
        <v>1831</v>
      </c>
      <c r="J104" t="s">
        <v>1727</v>
      </c>
      <c r="K104" t="s">
        <v>1727</v>
      </c>
      <c r="L104" t="s">
        <v>1727</v>
      </c>
      <c r="M104" t="s">
        <v>2162</v>
      </c>
      <c r="N104" t="s">
        <v>2376</v>
      </c>
      <c r="O104" t="s">
        <v>1380</v>
      </c>
      <c r="P104" t="s">
        <v>2098</v>
      </c>
      <c r="Q104">
        <v>46075.0</v>
      </c>
      <c r="R104" t="s">
        <v>1998</v>
      </c>
      <c r="S104" t="s">
        <v>1754</v>
      </c>
      <c r="T104" t="s">
        <v>2407</v>
      </c>
      <c r="U104" t="s">
        <v>1380</v>
      </c>
      <c r="Y104" t="s">
        <v>1663</v>
      </c>
      <c r="Z104" t="s">
        <v>1982</v>
      </c>
      <c r="AA104" t="s">
        <v>2031</v>
      </c>
      <c r="AD104" t="s">
        <v>2373</v>
      </c>
      <c r="AE104">
        <v>2</v>
      </c>
      <c r="AF104" t="s">
        <v>2097</v>
      </c>
      <c r="AG104" t="s">
        <v>1724</v>
      </c>
      <c r="AI104" t="s">
        <v>2278</v>
      </c>
      <c r="AJ104" t="s">
        <v>2124</v>
      </c>
      <c r="AK104" t="s">
        <v>2249</v>
      </c>
      <c r="AL104" t="s">
        <v>2373</v>
      </c>
      <c r="AM104" t="s">
        <v>1307</v>
      </c>
      <c r="AR104" t="s">
        <v>2163</v>
      </c>
      <c r="AW104" t="s">
        <v>1727</v>
      </c>
      <c r="AX104" t="s">
        <v>1727</v>
      </c>
      <c r="AY104" t="s">
        <v>1727</v>
      </c>
      <c r="AZ104" t="s">
        <v>1727</v>
      </c>
      <c r="BI104" t="s">
        <v>1630</v>
      </c>
      <c r="BL104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</c>
      <c r="BM104">
        <f>IF($T104="","",IF($BL104="","Yes","Blocked"))</f>
      </c>
      <c r="BP104">
        <f>IF($BO104="","",IFERROR(VLOOKUP($BO104,'01_Warehouse_Ledger'!$A:$N,4,FALSE),""))</f>
      </c>
      <c r="BQ104">
        <f>IF($BO104="","",IFERROR(VLOOKUP($BO104,'01_Warehouse_Ledger'!$A:$N,5,FALSE),""))</f>
      </c>
      <c r="BR104">
        <f>IF($BO104="","",IFERROR(VLOOKUP($BO104,'01_Warehouse_Ledger'!$A:$N,13,FALSE),""))</f>
      </c>
      <c r="BS104" t="s">
        <v>1727</v>
      </c>
      <c r="BT104" t="s">
        <v>1727</v>
      </c>
      <c r="BU104" t="s">
        <v>1727</v>
      </c>
      <c r="BV104" t="s">
        <v>1727</v>
      </c>
      <c r="BW104" t="s">
        <v>1727</v>
      </c>
      <c r="BX104">
        <v>19200</v>
      </c>
    </row>
    <row r="105">
      <c r="A105" t="s">
        <v>1415</v>
      </c>
      <c r="B105" t="s">
        <v>1727</v>
      </c>
      <c r="C105" t="s">
        <v>1727</v>
      </c>
      <c r="D105">
        <f>IF($B105&lt;&gt;"Yes","",IF($C105="No","Yes",IF($C105="Yes","No","")))</f>
      </c>
      <c r="E105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</c>
      <c r="F105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</c>
      <c r="G105" t="s">
        <v>2235</v>
      </c>
      <c r="H105" t="s">
        <v>2235</v>
      </c>
      <c r="I105" t="s">
        <v>1831</v>
      </c>
      <c r="J105" t="s">
        <v>1727</v>
      </c>
      <c r="K105" t="s">
        <v>1727</v>
      </c>
      <c r="L105" t="s">
        <v>1727</v>
      </c>
      <c r="M105" t="s">
        <v>2162</v>
      </c>
      <c r="N105" t="s">
        <v>2376</v>
      </c>
      <c r="O105" t="s">
        <v>1380</v>
      </c>
      <c r="P105" t="s">
        <v>2098</v>
      </c>
      <c r="Q105">
        <v>46075.0</v>
      </c>
      <c r="R105" t="s">
        <v>1830</v>
      </c>
      <c r="S105" t="s">
        <v>1924</v>
      </c>
      <c r="T105" t="s">
        <v>1894</v>
      </c>
      <c r="U105" t="s">
        <v>1380</v>
      </c>
      <c r="Y105" t="s">
        <v>2389</v>
      </c>
      <c r="Z105" t="s">
        <v>1834</v>
      </c>
      <c r="AA105" t="s">
        <v>2031</v>
      </c>
      <c r="AD105" t="s">
        <v>2012</v>
      </c>
      <c r="AE105">
        <v>2</v>
      </c>
      <c r="AF105" t="s">
        <v>2097</v>
      </c>
      <c r="AG105" t="s">
        <v>1969</v>
      </c>
      <c r="AI105" t="s">
        <v>2245</v>
      </c>
      <c r="AJ105" t="s">
        <v>2124</v>
      </c>
      <c r="AK105" t="s">
        <v>2249</v>
      </c>
      <c r="AL105" t="s">
        <v>2012</v>
      </c>
      <c r="AM105" t="s">
        <v>1307</v>
      </c>
      <c r="AR105" t="s">
        <v>2378</v>
      </c>
      <c r="AW105" t="s">
        <v>1727</v>
      </c>
      <c r="AX105" t="s">
        <v>1727</v>
      </c>
      <c r="AY105" t="s">
        <v>1727</v>
      </c>
      <c r="AZ105" t="s">
        <v>1727</v>
      </c>
      <c r="BI105" t="s">
        <v>1630</v>
      </c>
      <c r="BL105">
        <f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</c>
      <c r="BM105">
        <f>IF($T105="","",IF($BL105="","Yes","Blocked"))</f>
      </c>
      <c r="BP105">
        <f>IF($BO105="","",IFERROR(VLOOKUP($BO105,'01_Warehouse_Ledger'!$A:$N,4,FALSE),""))</f>
      </c>
      <c r="BQ105">
        <f>IF($BO105="","",IFERROR(VLOOKUP($BO105,'01_Warehouse_Ledger'!$A:$N,5,FALSE),""))</f>
      </c>
      <c r="BR105">
        <f>IF($BO105="","",IFERROR(VLOOKUP($BO105,'01_Warehouse_Ledger'!$A:$N,13,FALSE),""))</f>
      </c>
      <c r="BS105" t="s">
        <v>1727</v>
      </c>
      <c r="BT105" t="s">
        <v>1727</v>
      </c>
      <c r="BU105" t="s">
        <v>1727</v>
      </c>
      <c r="BV105" t="s">
        <v>1727</v>
      </c>
      <c r="BW105" t="s">
        <v>1727</v>
      </c>
      <c r="BX105">
        <v>19200</v>
      </c>
    </row>
    <row r="106">
      <c r="A106" t="s">
        <v>1415</v>
      </c>
      <c r="B106" t="s">
        <v>1727</v>
      </c>
      <c r="C106" t="s">
        <v>1727</v>
      </c>
      <c r="D106">
        <f>IF($B106&lt;&gt;"Yes","",IF($C106="No","Yes",IF($C106="Yes","No","")))</f>
      </c>
      <c r="E106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</c>
      <c r="F106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</c>
      <c r="G106" t="s">
        <v>2235</v>
      </c>
      <c r="H106" t="s">
        <v>2235</v>
      </c>
      <c r="I106" t="s">
        <v>1831</v>
      </c>
      <c r="J106" t="s">
        <v>1727</v>
      </c>
      <c r="K106" t="s">
        <v>1727</v>
      </c>
      <c r="L106" t="s">
        <v>1727</v>
      </c>
      <c r="M106" t="s">
        <v>2162</v>
      </c>
      <c r="N106" t="s">
        <v>2376</v>
      </c>
      <c r="O106" t="s">
        <v>1380</v>
      </c>
      <c r="P106" t="s">
        <v>2098</v>
      </c>
      <c r="Q106">
        <v>46075.0</v>
      </c>
      <c r="R106" t="s">
        <v>2411</v>
      </c>
      <c r="S106" t="s">
        <v>1840</v>
      </c>
      <c r="U106" t="s">
        <v>1380</v>
      </c>
      <c r="Y106" t="s">
        <v>1774</v>
      </c>
      <c r="Z106" t="s">
        <v>2037</v>
      </c>
      <c r="AA106" t="s">
        <v>2031</v>
      </c>
      <c r="AD106" t="s">
        <v>1796</v>
      </c>
      <c r="AE106">
        <v>2</v>
      </c>
      <c r="AF106" t="s">
        <v>2097</v>
      </c>
      <c r="AG106" t="s">
        <v>1725</v>
      </c>
      <c r="AJ106" t="s">
        <v>2124</v>
      </c>
      <c r="AK106" t="s">
        <v>2249</v>
      </c>
      <c r="AL106" t="s">
        <v>1796</v>
      </c>
      <c r="AM106" t="s">
        <v>1307</v>
      </c>
      <c r="AR106" t="s">
        <v>1942</v>
      </c>
      <c r="AW106" t="s">
        <v>1727</v>
      </c>
      <c r="AX106" t="s">
        <v>1727</v>
      </c>
      <c r="AY106" t="s">
        <v>1727</v>
      </c>
      <c r="AZ106" t="s">
        <v>1727</v>
      </c>
      <c r="BI106" t="s">
        <v>1630</v>
      </c>
      <c r="BL106">
        <f>IF($T106="","",IF((IF(AND($AW106&lt;&gt;"Yes",$AW106&lt;&gt;"N/A"),"Power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",""))="","",LEFT(IF(AND($AW106&lt;&gt;"Yes",$AW106&lt;&gt;"N/A"),"Power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",""),LEN(IF(AND($AW106&lt;&gt;"Yes",$AW106&lt;&gt;"N/A"),"Power Cable, ","")&amp;IF(AND($AX106&lt;&gt;"Yes",$AX106&lt;&gt;"N/A"),"Battery, ","")&amp;IF(AND($BE106&lt;&gt;"Yes",$BE106&lt;&gt;"N/A"),"Firmware Download, ","")&amp;IF(AND(OR($BE106="Yes",$BE106="N/A"),$BF106&lt;&gt;"Yes",$BF106&lt;&gt;"N/A"),"Firmware Install, ","")&amp;IF(AND($BJ106&lt;&gt;"Yes",$BJ106&lt;&gt;"N/A"),"Device ID, ","")&amp;IF(AND($BK106&lt;&gt;"Yes",$BK106&lt;&gt;"N/A"),"Epic Beans Relay, ",""))-2)))</f>
      </c>
      <c r="BM106">
        <f>IF($T106="","",IF($BL106="","Yes","Blocked"))</f>
      </c>
      <c r="BP106">
        <f>IF($BO106="","",IFERROR(VLOOKUP($BO106,'01_Warehouse_Ledger'!$A:$N,4,FALSE),""))</f>
      </c>
      <c r="BQ106">
        <f>IF($BO106="","",IFERROR(VLOOKUP($BO106,'01_Warehouse_Ledger'!$A:$N,5,FALSE),""))</f>
      </c>
      <c r="BR106">
        <f>IF($BO106="","",IFERROR(VLOOKUP($BO106,'01_Warehouse_Ledger'!$A:$N,13,FALSE),""))</f>
      </c>
      <c r="BS106" t="s">
        <v>1727</v>
      </c>
      <c r="BT106" t="s">
        <v>1727</v>
      </c>
      <c r="BU106" t="s">
        <v>1727</v>
      </c>
      <c r="BV106" t="s">
        <v>1727</v>
      </c>
      <c r="BW106" t="s">
        <v>1727</v>
      </c>
      <c r="BX106">
        <v>19200</v>
      </c>
    </row>
    <row r="107">
      <c r="A107" t="s">
        <v>1415</v>
      </c>
      <c r="B107" t="s">
        <v>1727</v>
      </c>
      <c r="C107" t="s">
        <v>1727</v>
      </c>
      <c r="D107">
        <f>IF($B107&lt;&gt;"Yes","",IF($C107="No","Yes",IF($C107="Yes","No","")))</f>
      </c>
      <c r="E107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</c>
      <c r="F107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</c>
      <c r="G107" t="s">
        <v>2235</v>
      </c>
      <c r="H107" t="s">
        <v>2235</v>
      </c>
      <c r="I107" t="s">
        <v>1831</v>
      </c>
      <c r="J107" t="s">
        <v>1727</v>
      </c>
      <c r="K107" t="s">
        <v>1727</v>
      </c>
      <c r="L107" t="s">
        <v>1727</v>
      </c>
      <c r="M107" t="s">
        <v>2162</v>
      </c>
      <c r="N107" t="s">
        <v>2376</v>
      </c>
      <c r="O107" t="s">
        <v>1380</v>
      </c>
      <c r="P107" t="s">
        <v>2098</v>
      </c>
      <c r="Q107">
        <v>46075.0</v>
      </c>
      <c r="R107" t="s">
        <v>1859</v>
      </c>
      <c r="S107" t="s">
        <v>1904</v>
      </c>
      <c r="T107" t="s">
        <v>1966</v>
      </c>
      <c r="U107" t="s">
        <v>1380</v>
      </c>
      <c r="Y107" t="s">
        <v>2105</v>
      </c>
      <c r="Z107" t="s">
        <v>2061</v>
      </c>
      <c r="AA107" t="s">
        <v>2031</v>
      </c>
      <c r="AD107" t="s">
        <v>1839</v>
      </c>
      <c r="AE107">
        <v>2</v>
      </c>
      <c r="AF107" t="s">
        <v>2097</v>
      </c>
      <c r="AG107" t="s">
        <v>1736</v>
      </c>
      <c r="AI107" t="s">
        <v>2008</v>
      </c>
      <c r="AJ107" t="s">
        <v>2124</v>
      </c>
      <c r="AK107" t="s">
        <v>2249</v>
      </c>
      <c r="AL107" t="s">
        <v>1839</v>
      </c>
      <c r="AM107" t="s">
        <v>1307</v>
      </c>
      <c r="AR107" t="s">
        <v>2296</v>
      </c>
      <c r="AW107" t="s">
        <v>1727</v>
      </c>
      <c r="AX107" t="s">
        <v>1727</v>
      </c>
      <c r="AY107" t="s">
        <v>1727</v>
      </c>
      <c r="AZ107" t="s">
        <v>1727</v>
      </c>
      <c r="BI107" t="s">
        <v>1630</v>
      </c>
      <c r="BL107">
        <f>IF($T107="","",IF((IF(AND($AW107&lt;&gt;"Yes",$AW107&lt;&gt;"N/A"),"Power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",""))="","",LEFT(IF(AND($AW107&lt;&gt;"Yes",$AW107&lt;&gt;"N/A"),"Power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",""),LEN(IF(AND($AW107&lt;&gt;"Yes",$AW107&lt;&gt;"N/A"),"Power Cable, ","")&amp;IF(AND($AX107&lt;&gt;"Yes",$AX107&lt;&gt;"N/A"),"Battery, ","")&amp;IF(AND($BE107&lt;&gt;"Yes",$BE107&lt;&gt;"N/A"),"Firmware Download, ","")&amp;IF(AND(OR($BE107="Yes",$BE107="N/A"),$BF107&lt;&gt;"Yes",$BF107&lt;&gt;"N/A"),"Firmware Install, ","")&amp;IF(AND($BJ107&lt;&gt;"Yes",$BJ107&lt;&gt;"N/A"),"Device ID, ","")&amp;IF(AND($BK107&lt;&gt;"Yes",$BK107&lt;&gt;"N/A"),"Epic Beans Relay, ",""))-2)))</f>
      </c>
      <c r="BM107">
        <f>IF($T107="","",IF($BL107="","Yes","Blocked"))</f>
      </c>
      <c r="BP107">
        <f>IF($BO107="","",IFERROR(VLOOKUP($BO107,'01_Warehouse_Ledger'!$A:$N,4,FALSE),""))</f>
      </c>
      <c r="BQ107">
        <f>IF($BO107="","",IFERROR(VLOOKUP($BO107,'01_Warehouse_Ledger'!$A:$N,5,FALSE),""))</f>
      </c>
      <c r="BR107">
        <f>IF($BO107="","",IFERROR(VLOOKUP($BO107,'01_Warehouse_Ledger'!$A:$N,13,FALSE),""))</f>
      </c>
      <c r="BS107" t="s">
        <v>1727</v>
      </c>
      <c r="BT107" t="s">
        <v>1727</v>
      </c>
      <c r="BU107" t="s">
        <v>1727</v>
      </c>
      <c r="BV107" t="s">
        <v>1727</v>
      </c>
      <c r="BW107" t="s">
        <v>1727</v>
      </c>
      <c r="BX107">
        <v>19200</v>
      </c>
    </row>
    <row r="108">
      <c r="A108" t="s">
        <v>1415</v>
      </c>
      <c r="B108" t="s">
        <v>1727</v>
      </c>
      <c r="C108" t="s">
        <v>1727</v>
      </c>
      <c r="D108">
        <f>IF($B108&lt;&gt;"Yes","",IF($C108="No","Yes",IF($C108="Yes","No","")))</f>
      </c>
      <c r="E108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</c>
      <c r="F108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</c>
      <c r="G108" t="s">
        <v>2235</v>
      </c>
      <c r="H108" t="s">
        <v>2235</v>
      </c>
      <c r="I108" t="s">
        <v>1831</v>
      </c>
      <c r="J108" t="s">
        <v>1727</v>
      </c>
      <c r="K108" t="s">
        <v>1727</v>
      </c>
      <c r="L108" t="s">
        <v>1727</v>
      </c>
      <c r="M108" t="s">
        <v>2162</v>
      </c>
      <c r="N108" t="s">
        <v>2376</v>
      </c>
      <c r="O108" t="s">
        <v>1380</v>
      </c>
      <c r="P108" t="s">
        <v>2098</v>
      </c>
      <c r="Q108">
        <v>46075.0</v>
      </c>
      <c r="R108" t="s">
        <v>2315</v>
      </c>
      <c r="S108" t="s">
        <v>1802</v>
      </c>
      <c r="T108" t="s">
        <v>2333</v>
      </c>
      <c r="U108" t="s">
        <v>1380</v>
      </c>
      <c r="Y108" t="s">
        <v>1752</v>
      </c>
      <c r="Z108" t="s">
        <v>2128</v>
      </c>
      <c r="AA108" t="s">
        <v>2031</v>
      </c>
      <c r="AD108" t="s">
        <v>2169</v>
      </c>
      <c r="AE108">
        <v>2</v>
      </c>
      <c r="AF108" t="s">
        <v>2097</v>
      </c>
      <c r="AG108" t="s">
        <v>1669</v>
      </c>
      <c r="AJ108" t="s">
        <v>2124</v>
      </c>
      <c r="AK108" t="s">
        <v>2249</v>
      </c>
      <c r="AL108" t="s">
        <v>2169</v>
      </c>
      <c r="AM108" t="s">
        <v>1307</v>
      </c>
      <c r="AR108" t="s">
        <v>2020</v>
      </c>
      <c r="AW108" t="s">
        <v>1727</v>
      </c>
      <c r="AX108" t="s">
        <v>1727</v>
      </c>
      <c r="AY108" t="s">
        <v>1727</v>
      </c>
      <c r="AZ108" t="s">
        <v>1727</v>
      </c>
      <c r="BI108" t="s">
        <v>1630</v>
      </c>
      <c r="BL108">
        <f>IF($T108="","",IF((IF(AND($AW108&lt;&gt;"Yes",$AW108&lt;&gt;"N/A"),"Power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",""))="","",LEFT(IF(AND($AW108&lt;&gt;"Yes",$AW108&lt;&gt;"N/A"),"Power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",""),LEN(IF(AND($AW108&lt;&gt;"Yes",$AW108&lt;&gt;"N/A"),"Power Cable, ","")&amp;IF(AND($AX108&lt;&gt;"Yes",$AX108&lt;&gt;"N/A"),"Battery, ","")&amp;IF(AND($BE108&lt;&gt;"Yes",$BE108&lt;&gt;"N/A"),"Firmware Download, ","")&amp;IF(AND(OR($BE108="Yes",$BE108="N/A"),$BF108&lt;&gt;"Yes",$BF108&lt;&gt;"N/A"),"Firmware Install, ","")&amp;IF(AND($BJ108&lt;&gt;"Yes",$BJ108&lt;&gt;"N/A"),"Device ID, ","")&amp;IF(AND($BK108&lt;&gt;"Yes",$BK108&lt;&gt;"N/A"),"Epic Beans Relay, ",""))-2)))</f>
      </c>
      <c r="BM108">
        <f>IF($T108="","",IF($BL108="","Yes","Blocked"))</f>
      </c>
      <c r="BP108">
        <f>IF($BO108="","",IFERROR(VLOOKUP($BO108,'01_Warehouse_Ledger'!$A:$N,4,FALSE),""))</f>
      </c>
      <c r="BQ108">
        <f>IF($BO108="","",IFERROR(VLOOKUP($BO108,'01_Warehouse_Ledger'!$A:$N,5,FALSE),""))</f>
      </c>
      <c r="BR108">
        <f>IF($BO108="","",IFERROR(VLOOKUP($BO108,'01_Warehouse_Ledger'!$A:$N,13,FALSE),""))</f>
      </c>
      <c r="BS108" t="s">
        <v>1727</v>
      </c>
      <c r="BT108" t="s">
        <v>1727</v>
      </c>
      <c r="BU108" t="s">
        <v>1727</v>
      </c>
      <c r="BV108" t="s">
        <v>1727</v>
      </c>
      <c r="BW108" t="s">
        <v>1727</v>
      </c>
      <c r="BX108">
        <v>19200</v>
      </c>
    </row>
    <row r="109">
      <c r="A109" t="s">
        <v>1415</v>
      </c>
      <c r="B109" t="s">
        <v>1727</v>
      </c>
      <c r="C109" t="s">
        <v>1727</v>
      </c>
      <c r="D109">
        <f>IF($B109&lt;&gt;"Yes","",IF($C109="No","Yes",IF($C109="Yes","No","")))</f>
      </c>
      <c r="E109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</c>
      <c r="F109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</c>
      <c r="G109" t="s">
        <v>2235</v>
      </c>
      <c r="H109" t="s">
        <v>2235</v>
      </c>
      <c r="I109" t="s">
        <v>1831</v>
      </c>
      <c r="J109" t="s">
        <v>1727</v>
      </c>
      <c r="K109" t="s">
        <v>1727</v>
      </c>
      <c r="L109" t="s">
        <v>1727</v>
      </c>
      <c r="M109" t="s">
        <v>2162</v>
      </c>
      <c r="N109" t="s">
        <v>2376</v>
      </c>
      <c r="O109" t="s">
        <v>1380</v>
      </c>
      <c r="P109" t="s">
        <v>2098</v>
      </c>
      <c r="Q109">
        <v>46075.0</v>
      </c>
      <c r="R109" t="s">
        <v>1674</v>
      </c>
      <c r="S109" t="s">
        <v>1845</v>
      </c>
      <c r="T109" t="s">
        <v>2173</v>
      </c>
      <c r="U109" t="s">
        <v>1380</v>
      </c>
      <c r="Y109" t="s">
        <v>2114</v>
      </c>
      <c r="Z109" t="s">
        <v>1764</v>
      </c>
      <c r="AA109" t="s">
        <v>2031</v>
      </c>
      <c r="AD109" t="s">
        <v>2123</v>
      </c>
      <c r="AE109">
        <v>2</v>
      </c>
      <c r="AF109" t="s">
        <v>2097</v>
      </c>
      <c r="AG109" t="s">
        <v>2062</v>
      </c>
      <c r="AJ109" t="s">
        <v>2124</v>
      </c>
      <c r="AK109" t="s">
        <v>2249</v>
      </c>
      <c r="AL109" t="s">
        <v>2123</v>
      </c>
      <c r="AM109" t="s">
        <v>1307</v>
      </c>
      <c r="AR109" t="s">
        <v>2216</v>
      </c>
      <c r="AW109" t="s">
        <v>1727</v>
      </c>
      <c r="AX109" t="s">
        <v>1727</v>
      </c>
      <c r="AY109" t="s">
        <v>1727</v>
      </c>
      <c r="AZ109" t="s">
        <v>1727</v>
      </c>
      <c r="BI109" t="s">
        <v>1630</v>
      </c>
      <c r="BL109">
        <f>IF($T109="","",IF((IF(AND($AW109&lt;&gt;"Yes",$AW109&lt;&gt;"N/A"),"Power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",""))="","",LEFT(IF(AND($AW109&lt;&gt;"Yes",$AW109&lt;&gt;"N/A"),"Power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",""),LEN(IF(AND($AW109&lt;&gt;"Yes",$AW109&lt;&gt;"N/A"),"Power Cable, ","")&amp;IF(AND($AX109&lt;&gt;"Yes",$AX109&lt;&gt;"N/A"),"Battery, ","")&amp;IF(AND($BE109&lt;&gt;"Yes",$BE109&lt;&gt;"N/A"),"Firmware Download, ","")&amp;IF(AND(OR($BE109="Yes",$BE109="N/A"),$BF109&lt;&gt;"Yes",$BF109&lt;&gt;"N/A"),"Firmware Install, ","")&amp;IF(AND($BJ109&lt;&gt;"Yes",$BJ109&lt;&gt;"N/A"),"Device ID, ","")&amp;IF(AND($BK109&lt;&gt;"Yes",$BK109&lt;&gt;"N/A"),"Epic Beans Relay, ",""))-2)))</f>
      </c>
      <c r="BM109">
        <f>IF($T109="","",IF($BL109="","Yes","Blocked"))</f>
      </c>
      <c r="BP109">
        <f>IF($BO109="","",IFERROR(VLOOKUP($BO109,'01_Warehouse_Ledger'!$A:$N,4,FALSE),""))</f>
      </c>
      <c r="BQ109">
        <f>IF($BO109="","",IFERROR(VLOOKUP($BO109,'01_Warehouse_Ledger'!$A:$N,5,FALSE),""))</f>
      </c>
      <c r="BR109">
        <f>IF($BO109="","",IFERROR(VLOOKUP($BO109,'01_Warehouse_Ledger'!$A:$N,13,FALSE),""))</f>
      </c>
      <c r="BS109" t="s">
        <v>1727</v>
      </c>
      <c r="BT109" t="s">
        <v>1727</v>
      </c>
      <c r="BU109" t="s">
        <v>1727</v>
      </c>
      <c r="BV109" t="s">
        <v>1727</v>
      </c>
      <c r="BW109" t="s">
        <v>1727</v>
      </c>
      <c r="BX109">
        <v>19200</v>
      </c>
    </row>
    <row r="110">
      <c r="A110" t="s">
        <v>1415</v>
      </c>
      <c r="B110" t="s">
        <v>1727</v>
      </c>
      <c r="C110" t="s">
        <v>1727</v>
      </c>
      <c r="D110">
        <f>IF($B110&lt;&gt;"Yes","",IF($C110="No","Yes",IF($C110="Yes","No","")))</f>
      </c>
      <c r="E110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</c>
      <c r="F110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</c>
      <c r="G110" t="s">
        <v>2235</v>
      </c>
      <c r="H110" t="s">
        <v>2235</v>
      </c>
      <c r="I110" t="s">
        <v>1831</v>
      </c>
      <c r="J110" t="s">
        <v>1727</v>
      </c>
      <c r="K110" t="s">
        <v>1727</v>
      </c>
      <c r="L110" t="s">
        <v>1727</v>
      </c>
      <c r="M110" t="s">
        <v>2162</v>
      </c>
      <c r="N110" t="s">
        <v>2376</v>
      </c>
      <c r="O110" t="s">
        <v>1380</v>
      </c>
      <c r="P110" t="s">
        <v>2098</v>
      </c>
      <c r="Q110">
        <v>46075.0</v>
      </c>
      <c r="R110" t="s">
        <v>2205</v>
      </c>
      <c r="S110" t="s">
        <v>2281</v>
      </c>
      <c r="T110" t="s">
        <v>1794</v>
      </c>
      <c r="U110" t="s">
        <v>1380</v>
      </c>
      <c r="Y110" t="s">
        <v>1864</v>
      </c>
      <c r="Z110" t="s">
        <v>2082</v>
      </c>
      <c r="AA110" t="s">
        <v>2031</v>
      </c>
      <c r="AD110" t="s">
        <v>2398</v>
      </c>
      <c r="AE110">
        <v>2</v>
      </c>
      <c r="AF110" t="s">
        <v>2097</v>
      </c>
      <c r="AG110" t="s">
        <v>1687</v>
      </c>
      <c r="AI110" t="s">
        <v>1937</v>
      </c>
      <c r="AJ110" t="s">
        <v>2124</v>
      </c>
      <c r="AK110" t="s">
        <v>2249</v>
      </c>
      <c r="AL110" t="s">
        <v>2398</v>
      </c>
      <c r="AM110" t="s">
        <v>1307</v>
      </c>
      <c r="AR110" t="s">
        <v>2350</v>
      </c>
      <c r="AW110" t="s">
        <v>1727</v>
      </c>
      <c r="AX110" t="s">
        <v>1727</v>
      </c>
      <c r="AY110" t="s">
        <v>1727</v>
      </c>
      <c r="AZ110" t="s">
        <v>1727</v>
      </c>
      <c r="BI110" t="s">
        <v>1630</v>
      </c>
      <c r="BL110">
        <f>IF($T110="","",IF((IF(AND($AW110&lt;&gt;"Yes",$AW110&lt;&gt;"N/A"),"Power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",""))="","",LEFT(IF(AND($AW110&lt;&gt;"Yes",$AW110&lt;&gt;"N/A"),"Power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",""),LEN(IF(AND($AW110&lt;&gt;"Yes",$AW110&lt;&gt;"N/A"),"Power Cable, ","")&amp;IF(AND($AX110&lt;&gt;"Yes",$AX110&lt;&gt;"N/A"),"Battery, ","")&amp;IF(AND($BE110&lt;&gt;"Yes",$BE110&lt;&gt;"N/A"),"Firmware Download, ","")&amp;IF(AND(OR($BE110="Yes",$BE110="N/A"),$BF110&lt;&gt;"Yes",$BF110&lt;&gt;"N/A"),"Firmware Install, ","")&amp;IF(AND($BJ110&lt;&gt;"Yes",$BJ110&lt;&gt;"N/A"),"Device ID, ","")&amp;IF(AND($BK110&lt;&gt;"Yes",$BK110&lt;&gt;"N/A"),"Epic Beans Relay, ",""))-2)))</f>
      </c>
      <c r="BM110">
        <f>IF($T110="","",IF($BL110="","Yes","Blocked"))</f>
      </c>
      <c r="BP110">
        <f>IF($BO110="","",IFERROR(VLOOKUP($BO110,'01_Warehouse_Ledger'!$A:$N,4,FALSE),""))</f>
      </c>
      <c r="BQ110">
        <f>IF($BO110="","",IFERROR(VLOOKUP($BO110,'01_Warehouse_Ledger'!$A:$N,5,FALSE),""))</f>
      </c>
      <c r="BR110">
        <f>IF($BO110="","",IFERROR(VLOOKUP($BO110,'01_Warehouse_Ledger'!$A:$N,13,FALSE),""))</f>
      </c>
      <c r="BS110" t="s">
        <v>1727</v>
      </c>
      <c r="BT110" t="s">
        <v>1727</v>
      </c>
      <c r="BU110" t="s">
        <v>1727</v>
      </c>
      <c r="BV110" t="s">
        <v>1727</v>
      </c>
      <c r="BW110" t="s">
        <v>1727</v>
      </c>
      <c r="BX110">
        <v>19200</v>
      </c>
    </row>
    <row r="111">
      <c r="A111" t="s">
        <v>1415</v>
      </c>
      <c r="B111" t="s">
        <v>1727</v>
      </c>
      <c r="C111" t="s">
        <v>1727</v>
      </c>
      <c r="D111">
        <f>IF($B111&lt;&gt;"Yes","",IF($C111="No","Yes",IF($C111="Yes","No","")))</f>
      </c>
      <c r="E111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</c>
      <c r="F111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</c>
      <c r="G111" t="s">
        <v>2235</v>
      </c>
      <c r="H111" t="s">
        <v>2235</v>
      </c>
      <c r="I111" t="s">
        <v>1831</v>
      </c>
      <c r="J111" t="s">
        <v>1727</v>
      </c>
      <c r="K111" t="s">
        <v>1727</v>
      </c>
      <c r="L111" t="s">
        <v>1727</v>
      </c>
      <c r="M111" t="s">
        <v>2162</v>
      </c>
      <c r="N111" t="s">
        <v>2376</v>
      </c>
      <c r="O111" t="s">
        <v>1380</v>
      </c>
      <c r="P111" t="s">
        <v>2098</v>
      </c>
      <c r="Q111">
        <v>46075.0</v>
      </c>
      <c r="R111" t="s">
        <v>1761</v>
      </c>
      <c r="S111" t="s">
        <v>2248</v>
      </c>
      <c r="T111" t="s">
        <v>1739</v>
      </c>
      <c r="U111" t="s">
        <v>1380</v>
      </c>
      <c r="Y111" t="s">
        <v>1911</v>
      </c>
      <c r="Z111" t="s">
        <v>1702</v>
      </c>
      <c r="AA111" t="s">
        <v>2031</v>
      </c>
      <c r="AD111" t="s">
        <v>1679</v>
      </c>
      <c r="AE111">
        <v>2</v>
      </c>
      <c r="AF111" t="s">
        <v>2097</v>
      </c>
      <c r="AG111" t="s">
        <v>2290</v>
      </c>
      <c r="AJ111" t="s">
        <v>2124</v>
      </c>
      <c r="AK111" t="s">
        <v>2249</v>
      </c>
      <c r="AL111" t="s">
        <v>1679</v>
      </c>
      <c r="AM111" t="s">
        <v>1307</v>
      </c>
      <c r="AR111" t="s">
        <v>1613</v>
      </c>
      <c r="AW111" t="s">
        <v>1727</v>
      </c>
      <c r="AX111" t="s">
        <v>1727</v>
      </c>
      <c r="AY111" t="s">
        <v>1727</v>
      </c>
      <c r="AZ111" t="s">
        <v>1727</v>
      </c>
      <c r="BI111" t="s">
        <v>1630</v>
      </c>
      <c r="BL111">
        <f>IF($T111="","",IF((IF(AND($AW111&lt;&gt;"Yes",$AW111&lt;&gt;"N/A"),"Power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",""))="","",LEFT(IF(AND($AW111&lt;&gt;"Yes",$AW111&lt;&gt;"N/A"),"Power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",""),LEN(IF(AND($AW111&lt;&gt;"Yes",$AW111&lt;&gt;"N/A"),"Power Cable, ","")&amp;IF(AND($AX111&lt;&gt;"Yes",$AX111&lt;&gt;"N/A"),"Battery, ","")&amp;IF(AND($BE111&lt;&gt;"Yes",$BE111&lt;&gt;"N/A"),"Firmware Download, ","")&amp;IF(AND(OR($BE111="Yes",$BE111="N/A"),$BF111&lt;&gt;"Yes",$BF111&lt;&gt;"N/A"),"Firmware Install, ","")&amp;IF(AND($BJ111&lt;&gt;"Yes",$BJ111&lt;&gt;"N/A"),"Device ID, ","")&amp;IF(AND($BK111&lt;&gt;"Yes",$BK111&lt;&gt;"N/A"),"Epic Beans Relay, ",""))-2)))</f>
      </c>
      <c r="BM111">
        <f>IF($T111="","",IF($BL111="","Yes","Blocked"))</f>
      </c>
      <c r="BP111">
        <f>IF($BO111="","",IFERROR(VLOOKUP($BO111,'01_Warehouse_Ledger'!$A:$N,4,FALSE),""))</f>
      </c>
      <c r="BQ111">
        <f>IF($BO111="","",IFERROR(VLOOKUP($BO111,'01_Warehouse_Ledger'!$A:$N,5,FALSE),""))</f>
      </c>
      <c r="BR111">
        <f>IF($BO111="","",IFERROR(VLOOKUP($BO111,'01_Warehouse_Ledger'!$A:$N,13,FALSE),""))</f>
      </c>
      <c r="BS111" t="s">
        <v>1727</v>
      </c>
      <c r="BT111" t="s">
        <v>1727</v>
      </c>
      <c r="BU111" t="s">
        <v>1727</v>
      </c>
      <c r="BV111" t="s">
        <v>1727</v>
      </c>
      <c r="BW111" t="s">
        <v>1727</v>
      </c>
      <c r="BX111">
        <v>19200</v>
      </c>
    </row>
    <row r="112">
      <c r="A112" t="s">
        <v>1415</v>
      </c>
      <c r="B112" t="s">
        <v>1727</v>
      </c>
      <c r="C112" t="s">
        <v>1727</v>
      </c>
      <c r="D112">
        <f>IF($B112&lt;&gt;"Yes","",IF($C112="No","Yes",IF($C112="Yes","No","")))</f>
      </c>
      <c r="E112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</c>
      <c r="F112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</c>
      <c r="G112" t="s">
        <v>2235</v>
      </c>
      <c r="H112" t="s">
        <v>2235</v>
      </c>
      <c r="I112" t="s">
        <v>1831</v>
      </c>
      <c r="J112" t="s">
        <v>1727</v>
      </c>
      <c r="K112" t="s">
        <v>1727</v>
      </c>
      <c r="L112" t="s">
        <v>1727</v>
      </c>
      <c r="M112" t="s">
        <v>2162</v>
      </c>
      <c r="N112" t="s">
        <v>2376</v>
      </c>
      <c r="O112" t="s">
        <v>1380</v>
      </c>
      <c r="P112" t="s">
        <v>2098</v>
      </c>
      <c r="Q112">
        <v>46075.0</v>
      </c>
      <c r="R112" t="s">
        <v>1696</v>
      </c>
      <c r="S112" t="s">
        <v>1918</v>
      </c>
      <c r="T112" t="s">
        <v>2015</v>
      </c>
      <c r="U112" t="s">
        <v>1380</v>
      </c>
      <c r="Y112" t="s">
        <v>2260</v>
      </c>
      <c r="Z112" t="s">
        <v>1618</v>
      </c>
      <c r="AA112" t="s">
        <v>2031</v>
      </c>
      <c r="AD112" t="s">
        <v>2023</v>
      </c>
      <c r="AE112">
        <v>2</v>
      </c>
      <c r="AF112" t="s">
        <v>2097</v>
      </c>
      <c r="AG112" t="s">
        <v>1856</v>
      </c>
      <c r="AJ112" t="s">
        <v>2124</v>
      </c>
      <c r="AK112" t="s">
        <v>2249</v>
      </c>
      <c r="AL112" t="s">
        <v>2023</v>
      </c>
      <c r="AM112" t="s">
        <v>1307</v>
      </c>
      <c r="AR112" t="s">
        <v>2186</v>
      </c>
      <c r="AW112" t="s">
        <v>1727</v>
      </c>
      <c r="AX112" t="s">
        <v>1727</v>
      </c>
      <c r="AY112" t="s">
        <v>1727</v>
      </c>
      <c r="AZ112" t="s">
        <v>1727</v>
      </c>
      <c r="BI112" t="s">
        <v>1630</v>
      </c>
      <c r="BL112">
        <f>IF($T112="","",IF((IF(AND($AW112&lt;&gt;"Yes",$AW112&lt;&gt;"N/A"),"Power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",""))="","",LEFT(IF(AND($AW112&lt;&gt;"Yes",$AW112&lt;&gt;"N/A"),"Power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",""),LEN(IF(AND($AW112&lt;&gt;"Yes",$AW112&lt;&gt;"N/A"),"Power Cable, ","")&amp;IF(AND($AX112&lt;&gt;"Yes",$AX112&lt;&gt;"N/A"),"Battery, ","")&amp;IF(AND($BE112&lt;&gt;"Yes",$BE112&lt;&gt;"N/A"),"Firmware Download, ","")&amp;IF(AND(OR($BE112="Yes",$BE112="N/A"),$BF112&lt;&gt;"Yes",$BF112&lt;&gt;"N/A"),"Firmware Install, ","")&amp;IF(AND($BJ112&lt;&gt;"Yes",$BJ112&lt;&gt;"N/A"),"Device ID, ","")&amp;IF(AND($BK112&lt;&gt;"Yes",$BK112&lt;&gt;"N/A"),"Epic Beans Relay, ",""))-2)))</f>
      </c>
      <c r="BM112">
        <f>IF($T112="","",IF($BL112="","Yes","Blocked"))</f>
      </c>
      <c r="BP112">
        <f>IF($BO112="","",IFERROR(VLOOKUP($BO112,'01_Warehouse_Ledger'!$A:$N,4,FALSE),""))</f>
      </c>
      <c r="BQ112">
        <f>IF($BO112="","",IFERROR(VLOOKUP($BO112,'01_Warehouse_Ledger'!$A:$N,5,FALSE),""))</f>
      </c>
      <c r="BR112">
        <f>IF($BO112="","",IFERROR(VLOOKUP($BO112,'01_Warehouse_Ledger'!$A:$N,13,FALSE),""))</f>
      </c>
      <c r="BS112" t="s">
        <v>1727</v>
      </c>
      <c r="BT112" t="s">
        <v>1727</v>
      </c>
      <c r="BU112" t="s">
        <v>1727</v>
      </c>
      <c r="BV112" t="s">
        <v>1727</v>
      </c>
      <c r="BW112" t="s">
        <v>1727</v>
      </c>
      <c r="BX112">
        <v>19200</v>
      </c>
    </row>
    <row r="113">
      <c r="A113" t="s">
        <v>1415</v>
      </c>
      <c r="C113" t="s">
        <v>1657</v>
      </c>
      <c r="D113">
        <f>IF($B113&lt;&gt;"Yes","",IF($C113="No","Yes",IF($C113="Yes","No","")))</f>
      </c>
      <c r="E113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</c>
      <c r="F113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</c>
      <c r="G113" t="s">
        <v>1880</v>
      </c>
      <c r="H113" t="s">
        <v>2235</v>
      </c>
      <c r="I113" t="s">
        <v>1831</v>
      </c>
      <c r="J113" t="s">
        <v>1727</v>
      </c>
      <c r="K113" t="s">
        <v>1657</v>
      </c>
      <c r="L113" t="s">
        <v>1657</v>
      </c>
      <c r="R113" t="s">
        <v>1716</v>
      </c>
      <c r="Y113" t="s">
        <v>1803</v>
      </c>
      <c r="Z113" t="s">
        <v>2337</v>
      </c>
      <c r="BI113" t="s">
        <v>1630</v>
      </c>
      <c r="BL113">
        <f>IF($T113="","",IF((IF(AND($AW113&lt;&gt;"Yes",$AW113&lt;&gt;"N/A"),"Power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",""))="","",LEFT(IF(AND($AW113&lt;&gt;"Yes",$AW113&lt;&gt;"N/A"),"Power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",""),LEN(IF(AND($AW113&lt;&gt;"Yes",$AW113&lt;&gt;"N/A"),"Power Cable, ","")&amp;IF(AND($AX113&lt;&gt;"Yes",$AX113&lt;&gt;"N/A"),"Battery, ","")&amp;IF(AND($BE113&lt;&gt;"Yes",$BE113&lt;&gt;"N/A"),"Firmware Download, ","")&amp;IF(AND(OR($BE113="Yes",$BE113="N/A"),$BF113&lt;&gt;"Yes",$BF113&lt;&gt;"N/A"),"Firmware Install, ","")&amp;IF(AND($BJ113&lt;&gt;"Yes",$BJ113&lt;&gt;"N/A"),"Device ID, ","")&amp;IF(AND($BK113&lt;&gt;"Yes",$BK113&lt;&gt;"N/A"),"Epic Beans Relay, ",""))-2)))</f>
      </c>
      <c r="BM113">
        <f>IF($T113="","",IF($BL113="","Yes","Blocked"))</f>
      </c>
      <c r="BP113">
        <f>IF($BO113="","",IFERROR(VLOOKUP($BO113,'01_Warehouse_Ledger'!$A:$N,4,FALSE),""))</f>
      </c>
      <c r="BQ113">
        <f>IF($BO113="","",IFERROR(VLOOKUP($BO113,'01_Warehouse_Ledger'!$A:$N,5,FALSE),""))</f>
      </c>
      <c r="BR113">
        <f>IF($BO113="","",IFERROR(VLOOKUP($BO113,'01_Warehouse_Ledger'!$A:$N,13,FALSE),""))</f>
      </c>
    </row>
    <row r="114">
      <c r="A114" t="s">
        <v>1415</v>
      </c>
      <c r="C114" t="s">
        <v>1657</v>
      </c>
      <c r="D114">
        <f>IF($B114&lt;&gt;"Yes","",IF($C114="No","Yes",IF($C114="Yes","No","")))</f>
      </c>
      <c r="E114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</c>
      <c r="F114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</c>
      <c r="G114" t="s">
        <v>1880</v>
      </c>
      <c r="H114" t="s">
        <v>2235</v>
      </c>
      <c r="I114" t="s">
        <v>1831</v>
      </c>
      <c r="J114" t="s">
        <v>1727</v>
      </c>
      <c r="K114" t="s">
        <v>1657</v>
      </c>
      <c r="L114" t="s">
        <v>1657</v>
      </c>
      <c r="R114" t="s">
        <v>2077</v>
      </c>
      <c r="Y114" t="s">
        <v>2366</v>
      </c>
      <c r="Z114" t="s">
        <v>2304</v>
      </c>
      <c r="BI114" t="s">
        <v>1630</v>
      </c>
      <c r="BL114">
        <f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</c>
      <c r="BM114">
        <f>IF($T114="","",IF($BL114="","Yes","Blocked"))</f>
      </c>
      <c r="BP114">
        <f>IF($BO114="","",IFERROR(VLOOKUP($BO114,'01_Warehouse_Ledger'!$A:$N,4,FALSE),""))</f>
      </c>
      <c r="BQ114">
        <f>IF($BO114="","",IFERROR(VLOOKUP($BO114,'01_Warehouse_Ledger'!$A:$N,5,FALSE),""))</f>
      </c>
      <c r="BR114">
        <f>IF($BO114="","",IFERROR(VLOOKUP($BO114,'01_Warehouse_Ledger'!$A:$N,13,FALSE),""))</f>
      </c>
    </row>
    <row r="115">
      <c r="A115" t="s">
        <v>1415</v>
      </c>
      <c r="C115" t="s">
        <v>1657</v>
      </c>
      <c r="D115">
        <f>IF($B115&lt;&gt;"Yes","",IF($C115="No","Yes",IF($C115="Yes","No","")))</f>
      </c>
      <c r="E115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</c>
      <c r="F115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</c>
      <c r="G115" t="s">
        <v>1880</v>
      </c>
      <c r="H115" t="s">
        <v>2235</v>
      </c>
      <c r="I115" t="s">
        <v>1831</v>
      </c>
      <c r="J115" t="s">
        <v>1727</v>
      </c>
      <c r="K115" t="s">
        <v>1657</v>
      </c>
      <c r="L115" t="s">
        <v>1657</v>
      </c>
      <c r="R115" t="s">
        <v>2142</v>
      </c>
      <c r="Y115" t="s">
        <v>1846</v>
      </c>
      <c r="Z115" t="s">
        <v>1955</v>
      </c>
      <c r="BI115" t="s">
        <v>1630</v>
      </c>
      <c r="BL115">
        <f>IF($T115="","",IF((IF(AND($AW115&lt;&gt;"Yes",$AW115&lt;&gt;"N/A"),"Power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",""))="","",LEFT(IF(AND($AW115&lt;&gt;"Yes",$AW115&lt;&gt;"N/A"),"Power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",""),LEN(IF(AND($AW115&lt;&gt;"Yes",$AW115&lt;&gt;"N/A"),"Power Cable, ","")&amp;IF(AND($AX115&lt;&gt;"Yes",$AX115&lt;&gt;"N/A"),"Battery, ","")&amp;IF(AND($BE115&lt;&gt;"Yes",$BE115&lt;&gt;"N/A"),"Firmware Download, ","")&amp;IF(AND(OR($BE115="Yes",$BE115="N/A"),$BF115&lt;&gt;"Yes",$BF115&lt;&gt;"N/A"),"Firmware Install, ","")&amp;IF(AND($BJ115&lt;&gt;"Yes",$BJ115&lt;&gt;"N/A"),"Device ID, ","")&amp;IF(AND($BK115&lt;&gt;"Yes",$BK115&lt;&gt;"N/A"),"Epic Beans Relay, ",""))-2)))</f>
      </c>
      <c r="BM115">
        <f>IF($T115="","",IF($BL115="","Yes","Blocked"))</f>
      </c>
      <c r="BP115">
        <f>IF($BO115="","",IFERROR(VLOOKUP($BO115,'01_Warehouse_Ledger'!$A:$N,4,FALSE),""))</f>
      </c>
      <c r="BQ115">
        <f>IF($BO115="","",IFERROR(VLOOKUP($BO115,'01_Warehouse_Ledger'!$A:$N,5,FALSE),""))</f>
      </c>
      <c r="BR115">
        <f>IF($BO115="","",IFERROR(VLOOKUP($BO115,'01_Warehouse_Ledger'!$A:$N,13,FALSE),""))</f>
      </c>
    </row>
    <row r="116">
      <c r="A116" t="s">
        <v>1415</v>
      </c>
      <c r="C116" t="s">
        <v>1657</v>
      </c>
      <c r="D116">
        <f>IF($B116&lt;&gt;"Yes","",IF($C116="No","Yes",IF($C116="Yes","No","")))</f>
      </c>
      <c r="E116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</c>
      <c r="F116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</c>
      <c r="G116" t="s">
        <v>1880</v>
      </c>
      <c r="H116" t="s">
        <v>2235</v>
      </c>
      <c r="I116" t="s">
        <v>1831</v>
      </c>
      <c r="J116" t="s">
        <v>1727</v>
      </c>
      <c r="K116" t="s">
        <v>1657</v>
      </c>
      <c r="L116" t="s">
        <v>1657</v>
      </c>
      <c r="R116" t="s">
        <v>2083</v>
      </c>
      <c r="Y116" t="s">
        <v>1912</v>
      </c>
      <c r="Z116" t="s">
        <v>1965</v>
      </c>
      <c r="BI116" t="s">
        <v>1630</v>
      </c>
      <c r="BL116">
        <f>IF($T116="","",IF((IF(AND($AW116&lt;&gt;"Yes",$AW116&lt;&gt;"N/A"),"Power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",""))="","",LEFT(IF(AND($AW116&lt;&gt;"Yes",$AW116&lt;&gt;"N/A"),"Power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",""),LEN(IF(AND($AW116&lt;&gt;"Yes",$AW116&lt;&gt;"N/A"),"Power Cable, ","")&amp;IF(AND($AX116&lt;&gt;"Yes",$AX116&lt;&gt;"N/A"),"Battery, ","")&amp;IF(AND($BE116&lt;&gt;"Yes",$BE116&lt;&gt;"N/A"),"Firmware Download, ","")&amp;IF(AND(OR($BE116="Yes",$BE116="N/A"),$BF116&lt;&gt;"Yes",$BF116&lt;&gt;"N/A"),"Firmware Install, ","")&amp;IF(AND($BJ116&lt;&gt;"Yes",$BJ116&lt;&gt;"N/A"),"Device ID, ","")&amp;IF(AND($BK116&lt;&gt;"Yes",$BK116&lt;&gt;"N/A"),"Epic Beans Relay, ",""))-2)))</f>
      </c>
      <c r="BM116">
        <f>IF($T116="","",IF($BL116="","Yes","Blocked"))</f>
      </c>
      <c r="BP116">
        <f>IF($BO116="","",IFERROR(VLOOKUP($BO116,'01_Warehouse_Ledger'!$A:$N,4,FALSE),""))</f>
      </c>
      <c r="BQ116">
        <f>IF($BO116="","",IFERROR(VLOOKUP($BO116,'01_Warehouse_Ledger'!$A:$N,5,FALSE),""))</f>
      </c>
      <c r="BR116">
        <f>IF($BO116="","",IFERROR(VLOOKUP($BO116,'01_Warehouse_Ledger'!$A:$N,13,FALSE),""))</f>
      </c>
    </row>
    <row r="117">
      <c r="A117" t="s">
        <v>1415</v>
      </c>
      <c r="B117" t="s">
        <v>1727</v>
      </c>
      <c r="C117" t="s">
        <v>1727</v>
      </c>
      <c r="D117">
        <f>IF($B117&lt;&gt;"Yes","",IF($C117="No","Yes",IF($C117="Yes","No","")))</f>
      </c>
      <c r="E117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</c>
      <c r="F117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</c>
      <c r="G117" t="s">
        <v>2235</v>
      </c>
      <c r="H117" t="s">
        <v>2235</v>
      </c>
      <c r="I117" t="s">
        <v>1831</v>
      </c>
      <c r="J117" t="s">
        <v>1727</v>
      </c>
      <c r="K117" t="s">
        <v>1727</v>
      </c>
      <c r="L117" t="s">
        <v>1727</v>
      </c>
      <c r="M117" t="s">
        <v>2162</v>
      </c>
      <c r="N117" t="s">
        <v>2376</v>
      </c>
      <c r="O117" t="s">
        <v>1380</v>
      </c>
      <c r="P117" t="s">
        <v>2098</v>
      </c>
      <c r="Q117">
        <v>46075.0</v>
      </c>
      <c r="R117" t="s">
        <v>2154</v>
      </c>
      <c r="S117" t="s">
        <v>1631</v>
      </c>
      <c r="T117" t="s">
        <v>1950</v>
      </c>
      <c r="U117" t="s">
        <v>1380</v>
      </c>
      <c r="Y117" t="s">
        <v>2384</v>
      </c>
      <c r="Z117" t="s">
        <v>2094</v>
      </c>
      <c r="AA117" t="s">
        <v>2031</v>
      </c>
      <c r="AD117" t="s">
        <v>1750</v>
      </c>
      <c r="AE117">
        <v>2</v>
      </c>
      <c r="AF117" t="s">
        <v>2097</v>
      </c>
      <c r="AG117" t="s">
        <v>1780</v>
      </c>
      <c r="AJ117" t="s">
        <v>2124</v>
      </c>
      <c r="AK117" t="s">
        <v>2249</v>
      </c>
      <c r="AL117" t="s">
        <v>1750</v>
      </c>
      <c r="AM117" t="s">
        <v>1307</v>
      </c>
      <c r="AR117" t="s">
        <v>2053</v>
      </c>
      <c r="AW117" t="s">
        <v>1727</v>
      </c>
      <c r="AX117" t="s">
        <v>1727</v>
      </c>
      <c r="AY117" t="s">
        <v>1727</v>
      </c>
      <c r="AZ117" t="s">
        <v>1727</v>
      </c>
      <c r="BI117" t="s">
        <v>1630</v>
      </c>
      <c r="BL117">
        <f>IF($T117="","",IF((IF(AND($AW117&lt;&gt;"Yes",$AW117&lt;&gt;"N/A"),"Power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",""))="","",LEFT(IF(AND($AW117&lt;&gt;"Yes",$AW117&lt;&gt;"N/A"),"Power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",""),LEN(IF(AND($AW117&lt;&gt;"Yes",$AW117&lt;&gt;"N/A"),"Power Cable, ","")&amp;IF(AND($AX117&lt;&gt;"Yes",$AX117&lt;&gt;"N/A"),"Battery, ","")&amp;IF(AND($BE117&lt;&gt;"Yes",$BE117&lt;&gt;"N/A"),"Firmware Download, ","")&amp;IF(AND(OR($BE117="Yes",$BE117="N/A"),$BF117&lt;&gt;"Yes",$BF117&lt;&gt;"N/A"),"Firmware Install, ","")&amp;IF(AND($BJ117&lt;&gt;"Yes",$BJ117&lt;&gt;"N/A"),"Device ID, ","")&amp;IF(AND($BK117&lt;&gt;"Yes",$BK117&lt;&gt;"N/A"),"Epic Beans Relay, ",""))-2)))</f>
      </c>
      <c r="BM117">
        <f>IF($T117="","",IF($BL117="","Yes","Blocked"))</f>
      </c>
      <c r="BP117">
        <f>IF($BO117="","",IFERROR(VLOOKUP($BO117,'01_Warehouse_Ledger'!$A:$N,4,FALSE),""))</f>
      </c>
      <c r="BQ117">
        <f>IF($BO117="","",IFERROR(VLOOKUP($BO117,'01_Warehouse_Ledger'!$A:$N,5,FALSE),""))</f>
      </c>
      <c r="BR117">
        <f>IF($BO117="","",IFERROR(VLOOKUP($BO117,'01_Warehouse_Ledger'!$A:$N,13,FALSE),""))</f>
      </c>
      <c r="BS117" t="s">
        <v>1727</v>
      </c>
      <c r="BT117" t="s">
        <v>1727</v>
      </c>
      <c r="BU117" t="s">
        <v>1727</v>
      </c>
      <c r="BV117" t="s">
        <v>1727</v>
      </c>
      <c r="BW117" t="s">
        <v>1727</v>
      </c>
      <c r="BX117">
        <v>19200</v>
      </c>
    </row>
    <row r="118">
      <c r="A118" t="s">
        <v>1415</v>
      </c>
      <c r="B118" t="s">
        <v>1727</v>
      </c>
      <c r="C118" t="s">
        <v>1727</v>
      </c>
      <c r="D118">
        <f>IF($B118&lt;&gt;"Yes","",IF($C118="No","Yes",IF($C118="Yes","No","")))</f>
      </c>
      <c r="E118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</c>
      <c r="F118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</c>
      <c r="G118" t="s">
        <v>2235</v>
      </c>
      <c r="H118" t="s">
        <v>2235</v>
      </c>
      <c r="I118" t="s">
        <v>1831</v>
      </c>
      <c r="J118" t="s">
        <v>1727</v>
      </c>
      <c r="K118" t="s">
        <v>1727</v>
      </c>
      <c r="L118" t="s">
        <v>1727</v>
      </c>
      <c r="M118" t="s">
        <v>2162</v>
      </c>
      <c r="N118" t="s">
        <v>2376</v>
      </c>
      <c r="O118" t="s">
        <v>1380</v>
      </c>
      <c r="P118" t="s">
        <v>2098</v>
      </c>
      <c r="Q118">
        <v>46075.0</v>
      </c>
      <c r="R118" t="s">
        <v>2170</v>
      </c>
      <c r="S118" t="s">
        <v>2358</v>
      </c>
      <c r="T118" t="s">
        <v>1746</v>
      </c>
      <c r="U118" t="s">
        <v>1380</v>
      </c>
      <c r="Y118" t="s">
        <v>2038</v>
      </c>
      <c r="Z118" t="s">
        <v>2268</v>
      </c>
      <c r="AA118" t="s">
        <v>2031</v>
      </c>
      <c r="AD118" t="s">
        <v>1819</v>
      </c>
      <c r="AE118">
        <v>2</v>
      </c>
      <c r="AF118" t="s">
        <v>2097</v>
      </c>
      <c r="AG118" t="s">
        <v>1887</v>
      </c>
      <c r="AJ118" t="s">
        <v>2124</v>
      </c>
      <c r="AK118" t="s">
        <v>2249</v>
      </c>
      <c r="AL118" t="s">
        <v>1819</v>
      </c>
      <c r="AM118" t="s">
        <v>1307</v>
      </c>
      <c r="AR118" t="s">
        <v>2176</v>
      </c>
      <c r="AW118" t="s">
        <v>1727</v>
      </c>
      <c r="AX118" t="s">
        <v>1727</v>
      </c>
      <c r="AY118" t="s">
        <v>1727</v>
      </c>
      <c r="AZ118" t="s">
        <v>1727</v>
      </c>
      <c r="BI118" t="s">
        <v>1630</v>
      </c>
      <c r="BL118">
        <f>IF($T118="","",IF((IF(AND($AW118&lt;&gt;"Yes",$AW118&lt;&gt;"N/A"),"Power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",""))="","",LEFT(IF(AND($AW118&lt;&gt;"Yes",$AW118&lt;&gt;"N/A"),"Power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",""),LEN(IF(AND($AW118&lt;&gt;"Yes",$AW118&lt;&gt;"N/A"),"Power Cable, ","")&amp;IF(AND($AX118&lt;&gt;"Yes",$AX118&lt;&gt;"N/A"),"Battery, ","")&amp;IF(AND($BE118&lt;&gt;"Yes",$BE118&lt;&gt;"N/A"),"Firmware Download, ","")&amp;IF(AND(OR($BE118="Yes",$BE118="N/A"),$BF118&lt;&gt;"Yes",$BF118&lt;&gt;"N/A"),"Firmware Install, ","")&amp;IF(AND($BJ118&lt;&gt;"Yes",$BJ118&lt;&gt;"N/A"),"Device ID, ","")&amp;IF(AND($BK118&lt;&gt;"Yes",$BK118&lt;&gt;"N/A"),"Epic Beans Relay, ",""))-2)))</f>
      </c>
      <c r="BM118">
        <f>IF($T118="","",IF($BL118="","Yes","Blocked"))</f>
      </c>
      <c r="BP118">
        <f>IF($BO118="","",IFERROR(VLOOKUP($BO118,'01_Warehouse_Ledger'!$A:$N,4,FALSE),""))</f>
      </c>
      <c r="BQ118">
        <f>IF($BO118="","",IFERROR(VLOOKUP($BO118,'01_Warehouse_Ledger'!$A:$N,5,FALSE),""))</f>
      </c>
      <c r="BR118">
        <f>IF($BO118="","",IFERROR(VLOOKUP($BO118,'01_Warehouse_Ledger'!$A:$N,13,FALSE),""))</f>
      </c>
      <c r="BS118" t="s">
        <v>1727</v>
      </c>
      <c r="BT118" t="s">
        <v>1727</v>
      </c>
      <c r="BU118" t="s">
        <v>1727</v>
      </c>
      <c r="BV118" t="s">
        <v>1727</v>
      </c>
      <c r="BW118" t="s">
        <v>1727</v>
      </c>
      <c r="BX118">
        <v>19200</v>
      </c>
    </row>
    <row r="119">
      <c r="A119" t="s">
        <v>1415</v>
      </c>
      <c r="C119" t="s">
        <v>1657</v>
      </c>
      <c r="D119">
        <f>IF($B119&lt;&gt;"Yes","",IF($C119="No","Yes",IF($C119="Yes","No","")))</f>
      </c>
      <c r="E119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</c>
      <c r="F119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</c>
      <c r="G119" t="s">
        <v>1880</v>
      </c>
      <c r="H119" t="s">
        <v>2357</v>
      </c>
      <c r="I119" t="s">
        <v>1831</v>
      </c>
      <c r="J119" t="s">
        <v>1727</v>
      </c>
      <c r="K119" t="s">
        <v>1657</v>
      </c>
      <c r="L119" t="s">
        <v>1657</v>
      </c>
      <c r="R119" t="s">
        <v>2000</v>
      </c>
      <c r="Y119" t="s">
        <v>2174</v>
      </c>
      <c r="Z119" t="s">
        <v>2305</v>
      </c>
      <c r="BI119" t="s">
        <v>1630</v>
      </c>
      <c r="BL119">
        <f>IF($T119="","",IF((IF(AND($AW119&lt;&gt;"Yes",$AW119&lt;&gt;"N/A"),"Power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",""))="","",LEFT(IF(AND($AW119&lt;&gt;"Yes",$AW119&lt;&gt;"N/A"),"Power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",""),LEN(IF(AND($AW119&lt;&gt;"Yes",$AW119&lt;&gt;"N/A"),"Power Cable, ","")&amp;IF(AND($AX119&lt;&gt;"Yes",$AX119&lt;&gt;"N/A"),"Battery, ","")&amp;IF(AND($BE119&lt;&gt;"Yes",$BE119&lt;&gt;"N/A"),"Firmware Download, ","")&amp;IF(AND(OR($BE119="Yes",$BE119="N/A"),$BF119&lt;&gt;"Yes",$BF119&lt;&gt;"N/A"),"Firmware Install, ","")&amp;IF(AND($BJ119&lt;&gt;"Yes",$BJ119&lt;&gt;"N/A"),"Device ID, ","")&amp;IF(AND($BK119&lt;&gt;"Yes",$BK119&lt;&gt;"N/A"),"Epic Beans Relay, ",""))-2)))</f>
      </c>
      <c r="BM119">
        <f>IF($T119="","",IF($BL119="","Yes","Blocked"))</f>
      </c>
      <c r="BP119">
        <f>IF($BO119="","",IFERROR(VLOOKUP($BO119,'01_Warehouse_Ledger'!$A:$N,4,FALSE),""))</f>
      </c>
      <c r="BQ119">
        <f>IF($BO119="","",IFERROR(VLOOKUP($BO119,'01_Warehouse_Ledger'!$A:$N,5,FALSE),""))</f>
      </c>
      <c r="BR119">
        <f>IF($BO119="","",IFERROR(VLOOKUP($BO119,'01_Warehouse_Ledger'!$A:$N,13,FALSE),""))</f>
      </c>
    </row>
    <row r="120">
      <c r="A120" t="s">
        <v>1415</v>
      </c>
      <c r="B120" t="s">
        <v>1727</v>
      </c>
      <c r="C120" t="s">
        <v>1727</v>
      </c>
      <c r="D120">
        <f>IF($B120&lt;&gt;"Yes","",IF($C120="No","Yes",IF($C120="Yes","No","")))</f>
      </c>
      <c r="E120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</c>
      <c r="F120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</c>
      <c r="G120" t="s">
        <v>2235</v>
      </c>
      <c r="H120" t="s">
        <v>2235</v>
      </c>
      <c r="I120" t="s">
        <v>1831</v>
      </c>
      <c r="J120" t="s">
        <v>1727</v>
      </c>
      <c r="K120" t="s">
        <v>1727</v>
      </c>
      <c r="L120" t="s">
        <v>1727</v>
      </c>
      <c r="M120" t="s">
        <v>2162</v>
      </c>
      <c r="N120" t="s">
        <v>2376</v>
      </c>
      <c r="O120" t="s">
        <v>1380</v>
      </c>
      <c r="P120" t="s">
        <v>2098</v>
      </c>
      <c r="Q120">
        <v>46075.0</v>
      </c>
      <c r="R120" t="s">
        <v>1945</v>
      </c>
      <c r="S120" t="s">
        <v>2200</v>
      </c>
      <c r="T120" t="s">
        <v>1791</v>
      </c>
      <c r="U120" t="s">
        <v>1380</v>
      </c>
      <c r="Y120" t="s">
        <v>1979</v>
      </c>
      <c r="Z120" t="s">
        <v>2388</v>
      </c>
      <c r="AA120" t="s">
        <v>2031</v>
      </c>
      <c r="AD120" t="s">
        <v>2391</v>
      </c>
      <c r="AE120">
        <v>2</v>
      </c>
      <c r="AF120" t="s">
        <v>2097</v>
      </c>
      <c r="AG120" t="s">
        <v>1916</v>
      </c>
      <c r="AJ120" t="s">
        <v>2124</v>
      </c>
      <c r="AK120" t="s">
        <v>2249</v>
      </c>
      <c r="AL120" t="s">
        <v>2391</v>
      </c>
      <c r="AM120" t="s">
        <v>1307</v>
      </c>
      <c r="AR120" t="s">
        <v>1957</v>
      </c>
      <c r="AW120" t="s">
        <v>1727</v>
      </c>
      <c r="AX120" t="s">
        <v>1727</v>
      </c>
      <c r="AY120" t="s">
        <v>1727</v>
      </c>
      <c r="AZ120" t="s">
        <v>1727</v>
      </c>
      <c r="BI120" t="s">
        <v>1630</v>
      </c>
      <c r="BL120">
        <f>IF($T120="","",IF((IF(AND($AW120&lt;&gt;"Yes",$AW120&lt;&gt;"N/A"),"Power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",""))="","",LEFT(IF(AND($AW120&lt;&gt;"Yes",$AW120&lt;&gt;"N/A"),"Power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",""),LEN(IF(AND($AW120&lt;&gt;"Yes",$AW120&lt;&gt;"N/A"),"Power Cable, ","")&amp;IF(AND($AX120&lt;&gt;"Yes",$AX120&lt;&gt;"N/A"),"Battery, ","")&amp;IF(AND($BE120&lt;&gt;"Yes",$BE120&lt;&gt;"N/A"),"Firmware Download, ","")&amp;IF(AND(OR($BE120="Yes",$BE120="N/A"),$BF120&lt;&gt;"Yes",$BF120&lt;&gt;"N/A"),"Firmware Install, ","")&amp;IF(AND($BJ120&lt;&gt;"Yes",$BJ120&lt;&gt;"N/A"),"Device ID, ","")&amp;IF(AND($BK120&lt;&gt;"Yes",$BK120&lt;&gt;"N/A"),"Epic Beans Relay, ",""))-2)))</f>
      </c>
      <c r="BM120">
        <f>IF($T120="","",IF($BL120="","Yes","Blocked"))</f>
      </c>
      <c r="BP120">
        <f>IF($BO120="","",IFERROR(VLOOKUP($BO120,'01_Warehouse_Ledger'!$A:$N,4,FALSE),""))</f>
      </c>
      <c r="BQ120">
        <f>IF($BO120="","",IFERROR(VLOOKUP($BO120,'01_Warehouse_Ledger'!$A:$N,5,FALSE),""))</f>
      </c>
      <c r="BR120">
        <f>IF($BO120="","",IFERROR(VLOOKUP($BO120,'01_Warehouse_Ledger'!$A:$N,13,FALSE),""))</f>
      </c>
      <c r="BS120" t="s">
        <v>1727</v>
      </c>
      <c r="BT120" t="s">
        <v>1727</v>
      </c>
      <c r="BU120" t="s">
        <v>1727</v>
      </c>
      <c r="BV120" t="s">
        <v>1727</v>
      </c>
      <c r="BW120" t="s">
        <v>1727</v>
      </c>
      <c r="BX120">
        <v>19200</v>
      </c>
    </row>
    <row r="121">
      <c r="A121" t="s">
        <v>1415</v>
      </c>
      <c r="C121" t="s">
        <v>1657</v>
      </c>
      <c r="D121">
        <f>IF($B121&lt;&gt;"Yes","",IF($C121="No","Yes",IF($C121="Yes","No","")))</f>
      </c>
      <c r="E121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</c>
      <c r="F121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</c>
      <c r="G121" t="s">
        <v>1880</v>
      </c>
      <c r="H121" t="s">
        <v>2235</v>
      </c>
      <c r="I121" t="s">
        <v>1831</v>
      </c>
      <c r="J121" t="s">
        <v>1727</v>
      </c>
      <c r="K121" t="s">
        <v>1657</v>
      </c>
      <c r="L121" t="s">
        <v>1657</v>
      </c>
      <c r="R121" t="s">
        <v>2067</v>
      </c>
      <c r="Y121" t="s">
        <v>1988</v>
      </c>
      <c r="Z121" t="s">
        <v>2318</v>
      </c>
      <c r="BI121" t="s">
        <v>1630</v>
      </c>
      <c r="BL121">
        <f>IF($T121="","",IF((IF(AND($AW121&lt;&gt;"Yes",$AW121&lt;&gt;"N/A"),"Power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",""))="","",LEFT(IF(AND($AW121&lt;&gt;"Yes",$AW121&lt;&gt;"N/A"),"Power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",""),LEN(IF(AND($AW121&lt;&gt;"Yes",$AW121&lt;&gt;"N/A"),"Power Cable, ","")&amp;IF(AND($AX121&lt;&gt;"Yes",$AX121&lt;&gt;"N/A"),"Battery, ","")&amp;IF(AND($BE121&lt;&gt;"Yes",$BE121&lt;&gt;"N/A"),"Firmware Download, ","")&amp;IF(AND(OR($BE121="Yes",$BE121="N/A"),$BF121&lt;&gt;"Yes",$BF121&lt;&gt;"N/A"),"Firmware Install, ","")&amp;IF(AND($BJ121&lt;&gt;"Yes",$BJ121&lt;&gt;"N/A"),"Device ID, ","")&amp;IF(AND($BK121&lt;&gt;"Yes",$BK121&lt;&gt;"N/A"),"Epic Beans Relay, ",""))-2)))</f>
      </c>
      <c r="BM121">
        <f>IF($T121="","",IF($BL121="","Yes","Blocked"))</f>
      </c>
      <c r="BP121">
        <f>IF($BO121="","",IFERROR(VLOOKUP($BO121,'01_Warehouse_Ledger'!$A:$N,4,FALSE),""))</f>
      </c>
      <c r="BQ121">
        <f>IF($BO121="","",IFERROR(VLOOKUP($BO121,'01_Warehouse_Ledger'!$A:$N,5,FALSE),""))</f>
      </c>
      <c r="BR121">
        <f>IF($BO121="","",IFERROR(VLOOKUP($BO121,'01_Warehouse_Ledger'!$A:$N,13,FALSE),""))</f>
      </c>
    </row>
    <row r="122">
      <c r="A122" t="s">
        <v>1415</v>
      </c>
      <c r="C122" t="s">
        <v>1657</v>
      </c>
      <c r="D122">
        <f>IF($B122&lt;&gt;"Yes","",IF($C122="No","Yes",IF($C122="Yes","No","")))</f>
      </c>
      <c r="E122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</c>
      <c r="F122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</c>
      <c r="G122" t="s">
        <v>1880</v>
      </c>
      <c r="H122" t="s">
        <v>2235</v>
      </c>
      <c r="I122" t="s">
        <v>1831</v>
      </c>
      <c r="J122" t="s">
        <v>1727</v>
      </c>
      <c r="K122" t="s">
        <v>1657</v>
      </c>
      <c r="L122" t="s">
        <v>1657</v>
      </c>
      <c r="R122" t="s">
        <v>1751</v>
      </c>
      <c r="Y122" t="s">
        <v>1768</v>
      </c>
      <c r="Z122" t="s">
        <v>1906</v>
      </c>
      <c r="BI122" t="s">
        <v>1630</v>
      </c>
      <c r="BL122">
        <f>IF($T122="","",IF((IF(AND($AW122&lt;&gt;"Yes",$AW122&lt;&gt;"N/A"),"Power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",""))="","",LEFT(IF(AND($AW122&lt;&gt;"Yes",$AW122&lt;&gt;"N/A"),"Power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",""),LEN(IF(AND($AW122&lt;&gt;"Yes",$AW122&lt;&gt;"N/A"),"Power Cable, ","")&amp;IF(AND($AX122&lt;&gt;"Yes",$AX122&lt;&gt;"N/A"),"Battery, ","")&amp;IF(AND($BE122&lt;&gt;"Yes",$BE122&lt;&gt;"N/A"),"Firmware Download, ","")&amp;IF(AND(OR($BE122="Yes",$BE122="N/A"),$BF122&lt;&gt;"Yes",$BF122&lt;&gt;"N/A"),"Firmware Install, ","")&amp;IF(AND($BJ122&lt;&gt;"Yes",$BJ122&lt;&gt;"N/A"),"Device ID, ","")&amp;IF(AND($BK122&lt;&gt;"Yes",$BK122&lt;&gt;"N/A"),"Epic Beans Relay, ",""))-2)))</f>
      </c>
      <c r="BM122">
        <f>IF($T122="","",IF($BL122="","Yes","Blocked"))</f>
      </c>
      <c r="BP122">
        <f>IF($BO122="","",IFERROR(VLOOKUP($BO122,'01_Warehouse_Ledger'!$A:$N,4,FALSE),""))</f>
      </c>
      <c r="BQ122">
        <f>IF($BO122="","",IFERROR(VLOOKUP($BO122,'01_Warehouse_Ledger'!$A:$N,5,FALSE),""))</f>
      </c>
      <c r="BR122">
        <f>IF($BO122="","",IFERROR(VLOOKUP($BO122,'01_Warehouse_Ledger'!$A:$N,13,FALSE),""))</f>
      </c>
    </row>
    <row r="123">
      <c r="A123" t="s">
        <v>1415</v>
      </c>
      <c r="B123" t="s">
        <v>1727</v>
      </c>
      <c r="C123" t="s">
        <v>1727</v>
      </c>
      <c r="D123">
        <f>IF($B123&lt;&gt;"Yes","",IF($C123="No","Yes",IF($C123="Yes","No","")))</f>
      </c>
      <c r="E123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</c>
      <c r="F123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</c>
      <c r="G123" t="s">
        <v>2235</v>
      </c>
      <c r="H123" t="s">
        <v>2235</v>
      </c>
      <c r="I123" t="s">
        <v>1831</v>
      </c>
      <c r="J123" t="s">
        <v>1727</v>
      </c>
      <c r="K123" t="s">
        <v>1727</v>
      </c>
      <c r="L123" t="s">
        <v>1727</v>
      </c>
      <c r="M123" t="s">
        <v>2162</v>
      </c>
      <c r="N123" t="s">
        <v>2376</v>
      </c>
      <c r="O123" t="s">
        <v>1380</v>
      </c>
      <c r="P123" t="s">
        <v>2098</v>
      </c>
      <c r="Q123">
        <v>46075.0</v>
      </c>
      <c r="R123" t="s">
        <v>2101</v>
      </c>
      <c r="S123" t="s">
        <v>1947</v>
      </c>
      <c r="T123" t="s">
        <v>2153</v>
      </c>
      <c r="U123" t="s">
        <v>1380</v>
      </c>
      <c r="Y123" t="s">
        <v>1678</v>
      </c>
      <c r="Z123" t="s">
        <v>2185</v>
      </c>
      <c r="AA123" t="s">
        <v>2031</v>
      </c>
      <c r="AD123" t="s">
        <v>1728</v>
      </c>
      <c r="AE123">
        <v>2</v>
      </c>
      <c r="AF123" t="s">
        <v>2097</v>
      </c>
      <c r="AG123" t="s">
        <v>2204</v>
      </c>
      <c r="AJ123" t="s">
        <v>2124</v>
      </c>
      <c r="AK123" t="s">
        <v>2249</v>
      </c>
      <c r="AL123" t="s">
        <v>1728</v>
      </c>
      <c r="AM123" t="s">
        <v>1307</v>
      </c>
      <c r="AR123" t="s">
        <v>1814</v>
      </c>
      <c r="AW123" t="s">
        <v>1727</v>
      </c>
      <c r="AX123" t="s">
        <v>1727</v>
      </c>
      <c r="AY123" t="s">
        <v>1727</v>
      </c>
      <c r="AZ123" t="s">
        <v>1727</v>
      </c>
      <c r="BI123" t="s">
        <v>1630</v>
      </c>
      <c r="BL123">
        <f>IF($T123="","",IF((IF(AND($AW123&lt;&gt;"Yes",$AW123&lt;&gt;"N/A"),"Power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",""))="","",LEFT(IF(AND($AW123&lt;&gt;"Yes",$AW123&lt;&gt;"N/A"),"Power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",""),LEN(IF(AND($AW123&lt;&gt;"Yes",$AW123&lt;&gt;"N/A"),"Power Cable, ","")&amp;IF(AND($AX123&lt;&gt;"Yes",$AX123&lt;&gt;"N/A"),"Battery, ","")&amp;IF(AND($BE123&lt;&gt;"Yes",$BE123&lt;&gt;"N/A"),"Firmware Download, ","")&amp;IF(AND(OR($BE123="Yes",$BE123="N/A"),$BF123&lt;&gt;"Yes",$BF123&lt;&gt;"N/A"),"Firmware Install, ","")&amp;IF(AND($BJ123&lt;&gt;"Yes",$BJ123&lt;&gt;"N/A"),"Device ID, ","")&amp;IF(AND($BK123&lt;&gt;"Yes",$BK123&lt;&gt;"N/A"),"Epic Beans Relay, ",""))-2)))</f>
      </c>
      <c r="BM123">
        <f>IF($T123="","",IF($BL123="","Yes","Blocked"))</f>
      </c>
      <c r="BP123">
        <f>IF($BO123="","",IFERROR(VLOOKUP($BO123,'01_Warehouse_Ledger'!$A:$N,4,FALSE),""))</f>
      </c>
      <c r="BQ123">
        <f>IF($BO123="","",IFERROR(VLOOKUP($BO123,'01_Warehouse_Ledger'!$A:$N,5,FALSE),""))</f>
      </c>
      <c r="BR123">
        <f>IF($BO123="","",IFERROR(VLOOKUP($BO123,'01_Warehouse_Ledger'!$A:$N,13,FALSE),""))</f>
      </c>
      <c r="BS123" t="s">
        <v>1727</v>
      </c>
      <c r="BT123" t="s">
        <v>1727</v>
      </c>
      <c r="BU123" t="s">
        <v>1727</v>
      </c>
      <c r="BV123" t="s">
        <v>1727</v>
      </c>
      <c r="BW123" t="s">
        <v>1727</v>
      </c>
      <c r="BX123">
        <v>19200</v>
      </c>
    </row>
    <row r="124">
      <c r="A124" t="s">
        <v>1415</v>
      </c>
      <c r="B124" t="s">
        <v>1727</v>
      </c>
      <c r="C124" t="s">
        <v>1727</v>
      </c>
      <c r="D124">
        <f>IF($B124&lt;&gt;"Yes","",IF($C124="No","Yes",IF($C124="Yes","No","")))</f>
      </c>
      <c r="E124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</c>
      <c r="F124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</c>
      <c r="G124" t="s">
        <v>2235</v>
      </c>
      <c r="H124" t="s">
        <v>2235</v>
      </c>
      <c r="I124" t="s">
        <v>1831</v>
      </c>
      <c r="J124" t="s">
        <v>1727</v>
      </c>
      <c r="K124" t="s">
        <v>1727</v>
      </c>
      <c r="L124" t="s">
        <v>1727</v>
      </c>
      <c r="M124" t="s">
        <v>2162</v>
      </c>
      <c r="N124" t="s">
        <v>2376</v>
      </c>
      <c r="O124" t="s">
        <v>1380</v>
      </c>
      <c r="P124" t="s">
        <v>2098</v>
      </c>
      <c r="Q124">
        <v>46075.0</v>
      </c>
      <c r="R124" t="s">
        <v>1829</v>
      </c>
      <c r="S124" t="s">
        <v>1879</v>
      </c>
      <c r="T124" t="s">
        <v>2065</v>
      </c>
      <c r="U124" t="s">
        <v>1380</v>
      </c>
      <c r="Y124" t="s">
        <v>2122</v>
      </c>
      <c r="Z124" t="s">
        <v>1742</v>
      </c>
      <c r="AA124" t="s">
        <v>2031</v>
      </c>
      <c r="AD124" t="s">
        <v>2355</v>
      </c>
      <c r="AE124">
        <v>2</v>
      </c>
      <c r="AF124" t="s">
        <v>2097</v>
      </c>
      <c r="AG124" t="s">
        <v>2408</v>
      </c>
      <c r="AJ124" t="s">
        <v>2124</v>
      </c>
      <c r="AK124" t="s">
        <v>2249</v>
      </c>
      <c r="AL124" t="s">
        <v>2355</v>
      </c>
      <c r="AM124" t="s">
        <v>1307</v>
      </c>
      <c r="AR124" t="s">
        <v>2377</v>
      </c>
      <c r="AW124" t="s">
        <v>1727</v>
      </c>
      <c r="AX124" t="s">
        <v>1727</v>
      </c>
      <c r="AY124" t="s">
        <v>1727</v>
      </c>
      <c r="AZ124" t="s">
        <v>1727</v>
      </c>
      <c r="BI124" t="s">
        <v>1630</v>
      </c>
      <c r="BL124">
        <f>IF($T124="","",IF((IF(AND($AW124&lt;&gt;"Yes",$AW124&lt;&gt;"N/A"),"Power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",""))="","",LEFT(IF(AND($AW124&lt;&gt;"Yes",$AW124&lt;&gt;"N/A"),"Power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",""),LEN(IF(AND($AW124&lt;&gt;"Yes",$AW124&lt;&gt;"N/A"),"Power Cable, ","")&amp;IF(AND($AX124&lt;&gt;"Yes",$AX124&lt;&gt;"N/A"),"Battery, ","")&amp;IF(AND($BE124&lt;&gt;"Yes",$BE124&lt;&gt;"N/A"),"Firmware Download, ","")&amp;IF(AND(OR($BE124="Yes",$BE124="N/A"),$BF124&lt;&gt;"Yes",$BF124&lt;&gt;"N/A"),"Firmware Install, ","")&amp;IF(AND($BJ124&lt;&gt;"Yes",$BJ124&lt;&gt;"N/A"),"Device ID, ","")&amp;IF(AND($BK124&lt;&gt;"Yes",$BK124&lt;&gt;"N/A"),"Epic Beans Relay, ",""))-2)))</f>
      </c>
      <c r="BM124">
        <f>IF($T124="","",IF($BL124="","Yes","Blocked"))</f>
      </c>
      <c r="BP124">
        <f>IF($BO124="","",IFERROR(VLOOKUP($BO124,'01_Warehouse_Ledger'!$A:$N,4,FALSE),""))</f>
      </c>
      <c r="BQ124">
        <f>IF($BO124="","",IFERROR(VLOOKUP($BO124,'01_Warehouse_Ledger'!$A:$N,5,FALSE),""))</f>
      </c>
      <c r="BR124">
        <f>IF($BO124="","",IFERROR(VLOOKUP($BO124,'01_Warehouse_Ledger'!$A:$N,13,FALSE),""))</f>
      </c>
      <c r="BS124" t="s">
        <v>1727</v>
      </c>
      <c r="BT124" t="s">
        <v>1727</v>
      </c>
      <c r="BU124" t="s">
        <v>1727</v>
      </c>
      <c r="BV124" t="s">
        <v>1727</v>
      </c>
      <c r="BW124" t="s">
        <v>1727</v>
      </c>
      <c r="BX124">
        <v>19200</v>
      </c>
    </row>
    <row r="125">
      <c r="A125" t="s">
        <v>1415</v>
      </c>
      <c r="B125" t="s">
        <v>1727</v>
      </c>
      <c r="C125" t="s">
        <v>1727</v>
      </c>
      <c r="D125">
        <f>IF($B125&lt;&gt;"Yes","",IF($C125="No","Yes",IF($C125="Yes","No","")))</f>
      </c>
      <c r="E125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</c>
      <c r="F125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</c>
      <c r="G125" t="s">
        <v>2235</v>
      </c>
      <c r="H125" t="s">
        <v>2235</v>
      </c>
      <c r="I125" t="s">
        <v>1831</v>
      </c>
      <c r="J125" t="s">
        <v>1727</v>
      </c>
      <c r="K125" t="s">
        <v>1727</v>
      </c>
      <c r="L125" t="s">
        <v>1727</v>
      </c>
      <c r="M125" t="s">
        <v>2162</v>
      </c>
      <c r="N125" t="s">
        <v>2376</v>
      </c>
      <c r="O125" t="s">
        <v>1380</v>
      </c>
      <c r="P125" t="s">
        <v>2098</v>
      </c>
      <c r="Q125">
        <v>46075.0</v>
      </c>
      <c r="R125" t="s">
        <v>2026</v>
      </c>
      <c r="S125" t="s">
        <v>1637</v>
      </c>
      <c r="T125" t="s">
        <v>2312</v>
      </c>
      <c r="U125" t="s">
        <v>1380</v>
      </c>
      <c r="Y125" t="s">
        <v>1648</v>
      </c>
      <c r="Z125" t="s">
        <v>1963</v>
      </c>
      <c r="AA125" t="s">
        <v>2031</v>
      </c>
      <c r="AD125" t="s">
        <v>2346</v>
      </c>
      <c r="AE125">
        <v>2</v>
      </c>
      <c r="AF125" t="s">
        <v>2097</v>
      </c>
      <c r="AG125" t="s">
        <v>2144</v>
      </c>
      <c r="AJ125" t="s">
        <v>2124</v>
      </c>
      <c r="AK125" t="s">
        <v>2249</v>
      </c>
      <c r="AL125" t="s">
        <v>2346</v>
      </c>
      <c r="AM125" t="s">
        <v>1307</v>
      </c>
      <c r="AR125" t="s">
        <v>1700</v>
      </c>
      <c r="AW125" t="s">
        <v>1727</v>
      </c>
      <c r="AX125" t="s">
        <v>1727</v>
      </c>
      <c r="AY125" t="s">
        <v>1727</v>
      </c>
      <c r="AZ125" t="s">
        <v>1727</v>
      </c>
      <c r="BI125" t="s">
        <v>1630</v>
      </c>
      <c r="BL125">
        <f>IF($T125="","",IF((IF(AND($AW125&lt;&gt;"Yes",$AW125&lt;&gt;"N/A"),"Power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",""))="","",LEFT(IF(AND($AW125&lt;&gt;"Yes",$AW125&lt;&gt;"N/A"),"Power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",""),LEN(IF(AND($AW125&lt;&gt;"Yes",$AW125&lt;&gt;"N/A"),"Power Cable, ","")&amp;IF(AND($AX125&lt;&gt;"Yes",$AX125&lt;&gt;"N/A"),"Battery, ","")&amp;IF(AND($BE125&lt;&gt;"Yes",$BE125&lt;&gt;"N/A"),"Firmware Download, ","")&amp;IF(AND(OR($BE125="Yes",$BE125="N/A"),$BF125&lt;&gt;"Yes",$BF125&lt;&gt;"N/A"),"Firmware Install, ","")&amp;IF(AND($BJ125&lt;&gt;"Yes",$BJ125&lt;&gt;"N/A"),"Device ID, ","")&amp;IF(AND($BK125&lt;&gt;"Yes",$BK125&lt;&gt;"N/A"),"Epic Beans Relay, ",""))-2)))</f>
      </c>
      <c r="BM125">
        <f>IF($T125="","",IF($BL125="","Yes","Blocked"))</f>
      </c>
      <c r="BP125">
        <f>IF($BO125="","",IFERROR(VLOOKUP($BO125,'01_Warehouse_Ledger'!$A:$N,4,FALSE),""))</f>
      </c>
      <c r="BQ125">
        <f>IF($BO125="","",IFERROR(VLOOKUP($BO125,'01_Warehouse_Ledger'!$A:$N,5,FALSE),""))</f>
      </c>
      <c r="BR125">
        <f>IF($BO125="","",IFERROR(VLOOKUP($BO125,'01_Warehouse_Ledger'!$A:$N,13,FALSE),""))</f>
      </c>
      <c r="BS125" t="s">
        <v>1727</v>
      </c>
      <c r="BT125" t="s">
        <v>1727</v>
      </c>
      <c r="BU125" t="s">
        <v>1727</v>
      </c>
      <c r="BV125" t="s">
        <v>1727</v>
      </c>
      <c r="BW125" t="s">
        <v>1727</v>
      </c>
      <c r="BX125">
        <v>19200</v>
      </c>
    </row>
    <row r="126">
      <c r="A126" t="s">
        <v>1415</v>
      </c>
      <c r="B126" t="s">
        <v>1727</v>
      </c>
      <c r="C126" t="s">
        <v>1727</v>
      </c>
      <c r="D126">
        <f>IF($B126&lt;&gt;"Yes","",IF($C126="No","Yes",IF($C126="Yes","No","")))</f>
      </c>
      <c r="E126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</c>
      <c r="F126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</c>
      <c r="G126" t="s">
        <v>2235</v>
      </c>
      <c r="H126" t="s">
        <v>2235</v>
      </c>
      <c r="I126" t="s">
        <v>1831</v>
      </c>
      <c r="J126" t="s">
        <v>1727</v>
      </c>
      <c r="K126" t="s">
        <v>1727</v>
      </c>
      <c r="L126" t="s">
        <v>1727</v>
      </c>
      <c r="M126" t="s">
        <v>2162</v>
      </c>
      <c r="N126" t="s">
        <v>2376</v>
      </c>
      <c r="O126" t="s">
        <v>1380</v>
      </c>
      <c r="P126" t="s">
        <v>2098</v>
      </c>
      <c r="Q126">
        <v>46075.0</v>
      </c>
      <c r="R126" t="s">
        <v>2160</v>
      </c>
      <c r="S126" t="s">
        <v>2244</v>
      </c>
      <c r="T126" t="s">
        <v>1857</v>
      </c>
      <c r="U126" t="s">
        <v>1380</v>
      </c>
      <c r="Y126" t="s">
        <v>2219</v>
      </c>
      <c r="Z126" t="s">
        <v>1711</v>
      </c>
      <c r="AA126" t="s">
        <v>2031</v>
      </c>
      <c r="AD126" t="s">
        <v>1810</v>
      </c>
      <c r="AE126">
        <v>2</v>
      </c>
      <c r="AF126" t="s">
        <v>2097</v>
      </c>
      <c r="AG126" t="s">
        <v>2230</v>
      </c>
      <c r="AJ126" t="s">
        <v>2124</v>
      </c>
      <c r="AK126" t="s">
        <v>2249</v>
      </c>
      <c r="AL126" t="s">
        <v>1810</v>
      </c>
      <c r="AM126" t="s">
        <v>1307</v>
      </c>
      <c r="AR126" t="s">
        <v>1990</v>
      </c>
      <c r="AW126" t="s">
        <v>1727</v>
      </c>
      <c r="AX126" t="s">
        <v>1727</v>
      </c>
      <c r="AY126" t="s">
        <v>1727</v>
      </c>
      <c r="AZ126" t="s">
        <v>1727</v>
      </c>
      <c r="BI126" t="s">
        <v>1630</v>
      </c>
      <c r="BL126">
        <f>IF($T126="","",IF((IF(AND($AW126&lt;&gt;"Yes",$AW126&lt;&gt;"N/A"),"Power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",""))="","",LEFT(IF(AND($AW126&lt;&gt;"Yes",$AW126&lt;&gt;"N/A"),"Power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",""),LEN(IF(AND($AW126&lt;&gt;"Yes",$AW126&lt;&gt;"N/A"),"Power Cable, ","")&amp;IF(AND($AX126&lt;&gt;"Yes",$AX126&lt;&gt;"N/A"),"Battery, ","")&amp;IF(AND($BE126&lt;&gt;"Yes",$BE126&lt;&gt;"N/A"),"Firmware Download, ","")&amp;IF(AND(OR($BE126="Yes",$BE126="N/A"),$BF126&lt;&gt;"Yes",$BF126&lt;&gt;"N/A"),"Firmware Install, ","")&amp;IF(AND($BJ126&lt;&gt;"Yes",$BJ126&lt;&gt;"N/A"),"Device ID, ","")&amp;IF(AND($BK126&lt;&gt;"Yes",$BK126&lt;&gt;"N/A"),"Epic Beans Relay, ",""))-2)))</f>
      </c>
      <c r="BM126">
        <f>IF($T126="","",IF($BL126="","Yes","Blocked"))</f>
      </c>
      <c r="BP126">
        <f>IF($BO126="","",IFERROR(VLOOKUP($BO126,'01_Warehouse_Ledger'!$A:$N,4,FALSE),""))</f>
      </c>
      <c r="BQ126">
        <f>IF($BO126="","",IFERROR(VLOOKUP($BO126,'01_Warehouse_Ledger'!$A:$N,5,FALSE),""))</f>
      </c>
      <c r="BR126">
        <f>IF($BO126="","",IFERROR(VLOOKUP($BO126,'01_Warehouse_Ledger'!$A:$N,13,FALSE),""))</f>
      </c>
      <c r="BS126" t="s">
        <v>1727</v>
      </c>
      <c r="BT126" t="s">
        <v>1727</v>
      </c>
      <c r="BU126" t="s">
        <v>1727</v>
      </c>
      <c r="BV126" t="s">
        <v>1727</v>
      </c>
      <c r="BW126" t="s">
        <v>1727</v>
      </c>
      <c r="BX126">
        <v>19200</v>
      </c>
    </row>
    <row r="127">
      <c r="A127" t="s">
        <v>1415</v>
      </c>
      <c r="B127" t="s">
        <v>1727</v>
      </c>
      <c r="C127" t="s">
        <v>1727</v>
      </c>
      <c r="D127">
        <f>IF($B127&lt;&gt;"Yes","",IF($C127="No","Yes",IF($C127="Yes","No","")))</f>
      </c>
      <c r="E127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</c>
      <c r="F127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</c>
      <c r="G127" t="s">
        <v>2235</v>
      </c>
      <c r="H127" t="s">
        <v>2235</v>
      </c>
      <c r="I127" t="s">
        <v>1831</v>
      </c>
      <c r="J127" t="s">
        <v>1727</v>
      </c>
      <c r="K127" t="s">
        <v>1727</v>
      </c>
      <c r="L127" t="s">
        <v>1727</v>
      </c>
      <c r="M127" t="s">
        <v>2162</v>
      </c>
      <c r="N127" t="s">
        <v>2376</v>
      </c>
      <c r="O127" t="s">
        <v>1380</v>
      </c>
      <c r="P127" t="s">
        <v>2098</v>
      </c>
      <c r="Q127">
        <v>46075.0</v>
      </c>
      <c r="R127" t="s">
        <v>1875</v>
      </c>
      <c r="S127" t="s">
        <v>1682</v>
      </c>
      <c r="T127" t="s">
        <v>2326</v>
      </c>
      <c r="U127" t="s">
        <v>1380</v>
      </c>
      <c r="AA127" t="s">
        <v>2031</v>
      </c>
      <c r="AD127" t="s">
        <v>2016</v>
      </c>
      <c r="AE127">
        <v>2</v>
      </c>
      <c r="AF127" t="s">
        <v>2097</v>
      </c>
      <c r="AG127" t="s">
        <v>2116</v>
      </c>
      <c r="AJ127" t="s">
        <v>2124</v>
      </c>
      <c r="AK127" t="s">
        <v>2249</v>
      </c>
      <c r="AL127" t="s">
        <v>2016</v>
      </c>
      <c r="AM127" t="s">
        <v>1307</v>
      </c>
      <c r="AR127" t="s">
        <v>2403</v>
      </c>
      <c r="AW127" t="s">
        <v>1727</v>
      </c>
      <c r="AX127" t="s">
        <v>1727</v>
      </c>
      <c r="AY127" t="s">
        <v>1727</v>
      </c>
      <c r="AZ127" t="s">
        <v>1727</v>
      </c>
      <c r="BS127" t="s">
        <v>1727</v>
      </c>
      <c r="BT127" t="s">
        <v>1727</v>
      </c>
      <c r="BU127" t="s">
        <v>1727</v>
      </c>
      <c r="BV127" t="s">
        <v>1727</v>
      </c>
      <c r="BW127" t="s">
        <v>1727</v>
      </c>
      <c r="BX127">
        <v>19200</v>
      </c>
    </row>
    <row r="128">
      <c r="A128" t="s">
        <v>1415</v>
      </c>
      <c r="B128" t="s">
        <v>1727</v>
      </c>
      <c r="C128" t="s">
        <v>1727</v>
      </c>
      <c r="D128">
        <f>IF($B128&lt;&gt;"Yes","",IF($C128="No","Yes",IF($C128="Yes","No","")))</f>
      </c>
      <c r="E128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</c>
      <c r="F128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</c>
      <c r="G128" t="s">
        <v>2235</v>
      </c>
      <c r="H128" t="s">
        <v>2235</v>
      </c>
      <c r="I128" t="s">
        <v>1831</v>
      </c>
      <c r="J128" t="s">
        <v>1727</v>
      </c>
      <c r="K128" t="s">
        <v>1727</v>
      </c>
      <c r="L128" t="s">
        <v>1727</v>
      </c>
      <c r="M128" t="s">
        <v>2162</v>
      </c>
      <c r="N128" t="s">
        <v>2376</v>
      </c>
      <c r="O128" t="s">
        <v>1380</v>
      </c>
      <c r="P128" t="s">
        <v>2098</v>
      </c>
      <c r="Q128">
        <v>46075.0</v>
      </c>
      <c r="R128" t="s">
        <v>1688</v>
      </c>
      <c r="S128" t="s">
        <v>1818</v>
      </c>
      <c r="T128" t="s">
        <v>1781</v>
      </c>
      <c r="U128" t="s">
        <v>1380</v>
      </c>
      <c r="Y128" t="s">
        <v>2181</v>
      </c>
      <c r="Z128" t="s">
        <v>1634</v>
      </c>
      <c r="AA128" t="s">
        <v>2031</v>
      </c>
      <c r="AD128" t="s">
        <v>1661</v>
      </c>
      <c r="AE128">
        <v>2</v>
      </c>
      <c r="AF128" t="s">
        <v>2097</v>
      </c>
      <c r="AG128" t="s">
        <v>1967</v>
      </c>
      <c r="AJ128" t="s">
        <v>2124</v>
      </c>
      <c r="AK128" t="s">
        <v>2249</v>
      </c>
      <c r="AL128" t="s">
        <v>1661</v>
      </c>
      <c r="AM128" t="s">
        <v>1307</v>
      </c>
      <c r="AR128" t="s">
        <v>2103</v>
      </c>
      <c r="AW128" t="s">
        <v>1727</v>
      </c>
      <c r="AX128" t="s">
        <v>1727</v>
      </c>
      <c r="AY128" t="s">
        <v>1727</v>
      </c>
      <c r="AZ128" t="s">
        <v>1727</v>
      </c>
      <c r="BI128" t="s">
        <v>1630</v>
      </c>
      <c r="BL128">
        <f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</c>
      <c r="BM128">
        <f>IF($T128="","",IF($BL128="","Yes","Blocked"))</f>
      </c>
      <c r="BP128">
        <f>IF($BO128="","",IFERROR(VLOOKUP($BO128,'01_Warehouse_Ledger'!$A:$N,4,FALSE),""))</f>
      </c>
      <c r="BQ128">
        <f>IF($BO128="","",IFERROR(VLOOKUP($BO128,'01_Warehouse_Ledger'!$A:$N,5,FALSE),""))</f>
      </c>
      <c r="BR128">
        <f>IF($BO128="","",IFERROR(VLOOKUP($BO128,'01_Warehouse_Ledger'!$A:$N,13,FALSE),""))</f>
      </c>
      <c r="BS128" t="s">
        <v>1727</v>
      </c>
      <c r="BT128" t="s">
        <v>1727</v>
      </c>
      <c r="BU128" t="s">
        <v>1727</v>
      </c>
      <c r="BV128" t="s">
        <v>1727</v>
      </c>
      <c r="BW128" t="s">
        <v>1727</v>
      </c>
      <c r="BX128">
        <v>19200</v>
      </c>
    </row>
    <row r="129">
      <c r="A129" t="s">
        <v>1415</v>
      </c>
      <c r="B129" t="s">
        <v>1727</v>
      </c>
      <c r="C129" t="s">
        <v>1727</v>
      </c>
      <c r="D129">
        <f>IF($B129&lt;&gt;"Yes","",IF($C129="No","Yes",IF($C129="Yes","No","")))</f>
      </c>
      <c r="E129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</c>
      <c r="F129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</c>
      <c r="G129" t="s">
        <v>2235</v>
      </c>
      <c r="H129" t="s">
        <v>2235</v>
      </c>
      <c r="I129" t="s">
        <v>1831</v>
      </c>
      <c r="J129" t="s">
        <v>1727</v>
      </c>
      <c r="K129" t="s">
        <v>1727</v>
      </c>
      <c r="L129" t="s">
        <v>1727</v>
      </c>
      <c r="M129" t="s">
        <v>2162</v>
      </c>
      <c r="N129" t="s">
        <v>2376</v>
      </c>
      <c r="O129" t="s">
        <v>1380</v>
      </c>
      <c r="P129" t="s">
        <v>2098</v>
      </c>
      <c r="Q129">
        <v>46075.0</v>
      </c>
      <c r="R129" t="s">
        <v>2251</v>
      </c>
      <c r="S129" t="s">
        <v>2130</v>
      </c>
      <c r="T129" t="s">
        <v>2330</v>
      </c>
      <c r="U129" t="s">
        <v>1380</v>
      </c>
      <c r="Y129" t="s">
        <v>1655</v>
      </c>
      <c r="Z129" t="s">
        <v>1697</v>
      </c>
      <c r="AA129" t="s">
        <v>2031</v>
      </c>
      <c r="AD129" t="s">
        <v>2045</v>
      </c>
      <c r="AE129">
        <v>2</v>
      </c>
      <c r="AF129" t="s">
        <v>2097</v>
      </c>
      <c r="AG129" t="s">
        <v>2345</v>
      </c>
      <c r="AJ129" t="s">
        <v>2124</v>
      </c>
      <c r="AK129" t="s">
        <v>2249</v>
      </c>
      <c r="AL129" t="s">
        <v>2045</v>
      </c>
      <c r="AM129" t="s">
        <v>1307</v>
      </c>
      <c r="AR129" t="s">
        <v>2310</v>
      </c>
      <c r="AW129" t="s">
        <v>1727</v>
      </c>
      <c r="AX129" t="s">
        <v>1727</v>
      </c>
      <c r="AY129" t="s">
        <v>1727</v>
      </c>
      <c r="AZ129" t="s">
        <v>1727</v>
      </c>
      <c r="BI129" t="s">
        <v>1630</v>
      </c>
      <c r="BL129">
        <f>IF($T129="","",IF((IF(AND($AW129&lt;&gt;"Yes",$AW129&lt;&gt;"N/A"),"Power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",""))="","",LEFT(IF(AND($AW129&lt;&gt;"Yes",$AW129&lt;&gt;"N/A"),"Power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",""),LEN(IF(AND($AW129&lt;&gt;"Yes",$AW129&lt;&gt;"N/A"),"Power Cable, ","")&amp;IF(AND($AX129&lt;&gt;"Yes",$AX129&lt;&gt;"N/A"),"Battery, ","")&amp;IF(AND($BE129&lt;&gt;"Yes",$BE129&lt;&gt;"N/A"),"Firmware Download, ","")&amp;IF(AND(OR($BE129="Yes",$BE129="N/A"),$BF129&lt;&gt;"Yes",$BF129&lt;&gt;"N/A"),"Firmware Install, ","")&amp;IF(AND($BJ129&lt;&gt;"Yes",$BJ129&lt;&gt;"N/A"),"Device ID, ","")&amp;IF(AND($BK129&lt;&gt;"Yes",$BK129&lt;&gt;"N/A"),"Epic Beans Relay, ",""))-2)))</f>
      </c>
      <c r="BM129">
        <f>IF($T129="","",IF($BL129="","Yes","Blocked"))</f>
      </c>
      <c r="BP129">
        <f>IF($BO129="","",IFERROR(VLOOKUP($BO129,'01_Warehouse_Ledger'!$A:$N,4,FALSE),""))</f>
      </c>
      <c r="BQ129">
        <f>IF($BO129="","",IFERROR(VLOOKUP($BO129,'01_Warehouse_Ledger'!$A:$N,5,FALSE),""))</f>
      </c>
      <c r="BR129">
        <f>IF($BO129="","",IFERROR(VLOOKUP($BO129,'01_Warehouse_Ledger'!$A:$N,13,FALSE),""))</f>
      </c>
      <c r="BS129" t="s">
        <v>1727</v>
      </c>
      <c r="BT129" t="s">
        <v>1727</v>
      </c>
      <c r="BU129" t="s">
        <v>1727</v>
      </c>
      <c r="BV129" t="s">
        <v>1727</v>
      </c>
      <c r="BW129" t="s">
        <v>1727</v>
      </c>
      <c r="BX129">
        <v>19200</v>
      </c>
    </row>
    <row r="130">
      <c r="A130" t="s">
        <v>1415</v>
      </c>
      <c r="B130" t="s">
        <v>1727</v>
      </c>
      <c r="C130" t="s">
        <v>1727</v>
      </c>
      <c r="D130">
        <f>IF($B130&lt;&gt;"Yes","",IF($C130="No","Yes",IF($C130="Yes","No","")))</f>
      </c>
      <c r="E130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</c>
      <c r="F130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</c>
      <c r="G130" t="s">
        <v>2235</v>
      </c>
      <c r="H130" t="s">
        <v>2235</v>
      </c>
      <c r="I130" t="s">
        <v>1831</v>
      </c>
      <c r="J130" t="s">
        <v>1727</v>
      </c>
      <c r="K130" t="s">
        <v>1727</v>
      </c>
      <c r="L130" t="s">
        <v>1727</v>
      </c>
      <c r="M130" t="s">
        <v>2162</v>
      </c>
      <c r="N130" t="s">
        <v>2376</v>
      </c>
      <c r="O130" t="s">
        <v>1380</v>
      </c>
      <c r="P130" t="s">
        <v>2098</v>
      </c>
      <c r="Q130">
        <v>46075.0</v>
      </c>
      <c r="R130" t="s">
        <v>2224</v>
      </c>
      <c r="S130" t="s">
        <v>2078</v>
      </c>
      <c r="T130" t="s">
        <v>1639</v>
      </c>
      <c r="U130" t="s">
        <v>1380</v>
      </c>
      <c r="Y130" t="s">
        <v>2334</v>
      </c>
      <c r="Z130" t="s">
        <v>2033</v>
      </c>
      <c r="AA130" t="s">
        <v>2031</v>
      </c>
      <c r="AD130" t="s">
        <v>1664</v>
      </c>
      <c r="AE130">
        <v>2</v>
      </c>
      <c r="AF130" t="s">
        <v>2097</v>
      </c>
      <c r="AG130" t="s">
        <v>1987</v>
      </c>
      <c r="AJ130" t="s">
        <v>2124</v>
      </c>
      <c r="AK130" t="s">
        <v>2249</v>
      </c>
      <c r="AL130" t="s">
        <v>1664</v>
      </c>
      <c r="AM130" t="s">
        <v>1307</v>
      </c>
      <c r="AR130" t="s">
        <v>1756</v>
      </c>
      <c r="AW130" t="s">
        <v>1727</v>
      </c>
      <c r="AX130" t="s">
        <v>1727</v>
      </c>
      <c r="AY130" t="s">
        <v>1727</v>
      </c>
      <c r="AZ130" t="s">
        <v>1727</v>
      </c>
      <c r="BI130" t="s">
        <v>1630</v>
      </c>
      <c r="BL130">
        <f>IF($T130="","",IF((IF(AND($AW130&lt;&gt;"Yes",$AW130&lt;&gt;"N/A"),"Power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",""))="","",LEFT(IF(AND($AW130&lt;&gt;"Yes",$AW130&lt;&gt;"N/A"),"Power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",""),LEN(IF(AND($AW130&lt;&gt;"Yes",$AW130&lt;&gt;"N/A"),"Power Cable, ","")&amp;IF(AND($AX130&lt;&gt;"Yes",$AX130&lt;&gt;"N/A"),"Battery, ","")&amp;IF(AND($BE130&lt;&gt;"Yes",$BE130&lt;&gt;"N/A"),"Firmware Download, ","")&amp;IF(AND(OR($BE130="Yes",$BE130="N/A"),$BF130&lt;&gt;"Yes",$BF130&lt;&gt;"N/A"),"Firmware Install, ","")&amp;IF(AND($BJ130&lt;&gt;"Yes",$BJ130&lt;&gt;"N/A"),"Device ID, ","")&amp;IF(AND($BK130&lt;&gt;"Yes",$BK130&lt;&gt;"N/A"),"Epic Beans Relay, ",""))-2)))</f>
      </c>
      <c r="BM130">
        <f>IF($T130="","",IF($BL130="","Yes","Blocked"))</f>
      </c>
      <c r="BP130">
        <f>IF($BO130="","",IFERROR(VLOOKUP($BO130,'01_Warehouse_Ledger'!$A:$N,4,FALSE),""))</f>
      </c>
      <c r="BQ130">
        <f>IF($BO130="","",IFERROR(VLOOKUP($BO130,'01_Warehouse_Ledger'!$A:$N,5,FALSE),""))</f>
      </c>
      <c r="BR130">
        <f>IF($BO130="","",IFERROR(VLOOKUP($BO130,'01_Warehouse_Ledger'!$A:$N,13,FALSE),""))</f>
      </c>
      <c r="BS130" t="s">
        <v>1727</v>
      </c>
      <c r="BT130" t="s">
        <v>1727</v>
      </c>
      <c r="BU130" t="s">
        <v>1727</v>
      </c>
      <c r="BV130" t="s">
        <v>1727</v>
      </c>
      <c r="BW130" t="s">
        <v>1727</v>
      </c>
      <c r="BX130">
        <v>19200</v>
      </c>
    </row>
    <row r="131">
      <c r="A131" t="s">
        <v>1415</v>
      </c>
      <c r="C131" t="s">
        <v>1657</v>
      </c>
      <c r="D131">
        <f>IF($B131&lt;&gt;"Yes","",IF($C131="No","Yes",IF($C131="Yes","No","")))</f>
      </c>
      <c r="E131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</c>
      <c r="F131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</c>
      <c r="G131" t="s">
        <v>1880</v>
      </c>
      <c r="H131" t="s">
        <v>2235</v>
      </c>
      <c r="I131" t="s">
        <v>1831</v>
      </c>
      <c r="J131" t="s">
        <v>1727</v>
      </c>
      <c r="K131" t="s">
        <v>1657</v>
      </c>
      <c r="L131" t="s">
        <v>1657</v>
      </c>
      <c r="R131" t="s">
        <v>1939</v>
      </c>
      <c r="BI131" t="s">
        <v>1630</v>
      </c>
      <c r="BL131">
        <f>IF($T131="","",IF((IF(AND($AW131&lt;&gt;"Yes",$AW131&lt;&gt;"N/A"),"Power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",""))="","",LEFT(IF(AND($AW131&lt;&gt;"Yes",$AW131&lt;&gt;"N/A"),"Power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",""),LEN(IF(AND($AW131&lt;&gt;"Yes",$AW131&lt;&gt;"N/A"),"Power Cable, ","")&amp;IF(AND($AX131&lt;&gt;"Yes",$AX131&lt;&gt;"N/A"),"Battery, ","")&amp;IF(AND($BE131&lt;&gt;"Yes",$BE131&lt;&gt;"N/A"),"Firmware Download, ","")&amp;IF(AND(OR($BE131="Yes",$BE131="N/A"),$BF131&lt;&gt;"Yes",$BF131&lt;&gt;"N/A"),"Firmware Install, ","")&amp;IF(AND($BJ131&lt;&gt;"Yes",$BJ131&lt;&gt;"N/A"),"Device ID, ","")&amp;IF(AND($BK131&lt;&gt;"Yes",$BK131&lt;&gt;"N/A"),"Epic Beans Relay, ",""))-2)))</f>
      </c>
      <c r="BM131">
        <f>IF($T131="","",IF($BL131="","Yes","Blocked"))</f>
      </c>
      <c r="BP131">
        <f>IF($BO131="","",IFERROR(VLOOKUP($BO131,'01_Warehouse_Ledger'!$A:$N,4,FALSE),""))</f>
      </c>
      <c r="BQ131">
        <f>IF($BO131="","",IFERROR(VLOOKUP($BO131,'01_Warehouse_Ledger'!$A:$N,5,FALSE),""))</f>
      </c>
      <c r="BR131">
        <f>IF($BO131="","",IFERROR(VLOOKUP($BO131,'01_Warehouse_Ledger'!$A:$N,13,FALSE),""))</f>
      </c>
    </row>
    <row r="132">
      <c r="A132" t="s">
        <v>1415</v>
      </c>
      <c r="C132" t="s">
        <v>1657</v>
      </c>
      <c r="D132">
        <f>IF($B132&lt;&gt;"Yes","",IF($C132="No","Yes",IF($C132="Yes","No","")))</f>
      </c>
      <c r="E132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</c>
      <c r="F132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</c>
      <c r="G132" t="s">
        <v>1880</v>
      </c>
      <c r="H132" t="s">
        <v>2235</v>
      </c>
      <c r="I132" t="s">
        <v>1831</v>
      </c>
      <c r="J132" t="s">
        <v>1727</v>
      </c>
      <c r="K132" t="s">
        <v>1657</v>
      </c>
      <c r="L132" t="s">
        <v>1657</v>
      </c>
      <c r="R132" t="s">
        <v>2393</v>
      </c>
      <c r="BI132" t="s">
        <v>1630</v>
      </c>
      <c r="BL132">
        <f>IF($T132="","",IF((IF(AND($AW132&lt;&gt;"Yes",$AW132&lt;&gt;"N/A"),"Power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",""))="","",LEFT(IF(AND($AW132&lt;&gt;"Yes",$AW132&lt;&gt;"N/A"),"Power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",""),LEN(IF(AND($AW132&lt;&gt;"Yes",$AW132&lt;&gt;"N/A"),"Power Cable, ","")&amp;IF(AND($AX132&lt;&gt;"Yes",$AX132&lt;&gt;"N/A"),"Battery, ","")&amp;IF(AND($BE132&lt;&gt;"Yes",$BE132&lt;&gt;"N/A"),"Firmware Download, ","")&amp;IF(AND(OR($BE132="Yes",$BE132="N/A"),$BF132&lt;&gt;"Yes",$BF132&lt;&gt;"N/A"),"Firmware Install, ","")&amp;IF(AND($BJ132&lt;&gt;"Yes",$BJ132&lt;&gt;"N/A"),"Device ID, ","")&amp;IF(AND($BK132&lt;&gt;"Yes",$BK132&lt;&gt;"N/A"),"Epic Beans Relay, ",""))-2)))</f>
      </c>
      <c r="BM132">
        <f>IF($T132="","",IF($BL132="","Yes","Blocked"))</f>
      </c>
      <c r="BP132">
        <f>IF($BO132="","",IFERROR(VLOOKUP($BO132,'01_Warehouse_Ledger'!$A:$N,4,FALSE),""))</f>
      </c>
      <c r="BQ132">
        <f>IF($BO132="","",IFERROR(VLOOKUP($BO132,'01_Warehouse_Ledger'!$A:$N,5,FALSE),""))</f>
      </c>
      <c r="BR132">
        <f>IF($BO132="","",IFERROR(VLOOKUP($BO132,'01_Warehouse_Ledger'!$A:$N,13,FALSE),""))</f>
      </c>
    </row>
    <row r="133">
      <c r="A133" t="s">
        <v>1415</v>
      </c>
      <c r="C133" t="s">
        <v>1657</v>
      </c>
      <c r="D133">
        <f>IF($B133&lt;&gt;"Yes","",IF($C133="No","Yes",IF($C133="Yes","No","")))</f>
      </c>
      <c r="E133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</c>
      <c r="F133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</c>
      <c r="G133" t="s">
        <v>1880</v>
      </c>
      <c r="H133" t="s">
        <v>2235</v>
      </c>
      <c r="I133" t="s">
        <v>1831</v>
      </c>
      <c r="J133" t="s">
        <v>1727</v>
      </c>
      <c r="K133" t="s">
        <v>1657</v>
      </c>
      <c r="L133" t="s">
        <v>1657</v>
      </c>
      <c r="R133" t="s">
        <v>1753</v>
      </c>
      <c r="BI133" t="s">
        <v>1630</v>
      </c>
      <c r="BL133">
        <f>IF($T133="","",IF((IF(AND($AW133&lt;&gt;"Yes",$AW133&lt;&gt;"N/A"),"Power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",""))="","",LEFT(IF(AND($AW133&lt;&gt;"Yes",$AW133&lt;&gt;"N/A"),"Power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",""),LEN(IF(AND($AW133&lt;&gt;"Yes",$AW133&lt;&gt;"N/A"),"Power Cable, ","")&amp;IF(AND($AX133&lt;&gt;"Yes",$AX133&lt;&gt;"N/A"),"Battery, ","")&amp;IF(AND($BE133&lt;&gt;"Yes",$BE133&lt;&gt;"N/A"),"Firmware Download, ","")&amp;IF(AND(OR($BE133="Yes",$BE133="N/A"),$BF133&lt;&gt;"Yes",$BF133&lt;&gt;"N/A"),"Firmware Install, ","")&amp;IF(AND($BJ133&lt;&gt;"Yes",$BJ133&lt;&gt;"N/A"),"Device ID, ","")&amp;IF(AND($BK133&lt;&gt;"Yes",$BK133&lt;&gt;"N/A"),"Epic Beans Relay, ",""))-2)))</f>
      </c>
      <c r="BM133">
        <f>IF($T133="","",IF($BL133="","Yes","Blocked"))</f>
      </c>
      <c r="BP133">
        <f>IF($BO133="","",IFERROR(VLOOKUP($BO133,'01_Warehouse_Ledger'!$A:$N,4,FALSE),""))</f>
      </c>
      <c r="BQ133">
        <f>IF($BO133="","",IFERROR(VLOOKUP($BO133,'01_Warehouse_Ledger'!$A:$N,5,FALSE),""))</f>
      </c>
      <c r="BR133">
        <f>IF($BO133="","",IFERROR(VLOOKUP($BO133,'01_Warehouse_Ledger'!$A:$N,13,FALSE),""))</f>
      </c>
    </row>
    <row r="134">
      <c r="A134" t="s">
        <v>1415</v>
      </c>
      <c r="C134" t="s">
        <v>1657</v>
      </c>
      <c r="D134">
        <f>IF($B134&lt;&gt;"Yes","",IF($C134="No","Yes",IF($C134="Yes","No","")))</f>
      </c>
      <c r="E134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</c>
      <c r="F134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</c>
      <c r="G134" t="s">
        <v>1880</v>
      </c>
      <c r="H134" t="s">
        <v>2235</v>
      </c>
      <c r="I134" t="s">
        <v>1831</v>
      </c>
      <c r="J134" t="s">
        <v>1727</v>
      </c>
      <c r="K134" t="s">
        <v>1657</v>
      </c>
      <c r="L134" t="s">
        <v>1657</v>
      </c>
      <c r="R134" t="s">
        <v>2294</v>
      </c>
      <c r="BI134" t="s">
        <v>1630</v>
      </c>
      <c r="BL134">
        <f>IF($T134="","",IF((IF(AND($AW134&lt;&gt;"Yes",$AW134&lt;&gt;"N/A"),"Power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",""))="","",LEFT(IF(AND($AW134&lt;&gt;"Yes",$AW134&lt;&gt;"N/A"),"Power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",""),LEN(IF(AND($AW134&lt;&gt;"Yes",$AW134&lt;&gt;"N/A"),"Power Cable, ","")&amp;IF(AND($AX134&lt;&gt;"Yes",$AX134&lt;&gt;"N/A"),"Battery, ","")&amp;IF(AND($BE134&lt;&gt;"Yes",$BE134&lt;&gt;"N/A"),"Firmware Download, ","")&amp;IF(AND(OR($BE134="Yes",$BE134="N/A"),$BF134&lt;&gt;"Yes",$BF134&lt;&gt;"N/A"),"Firmware Install, ","")&amp;IF(AND($BJ134&lt;&gt;"Yes",$BJ134&lt;&gt;"N/A"),"Device ID, ","")&amp;IF(AND($BK134&lt;&gt;"Yes",$BK134&lt;&gt;"N/A"),"Epic Beans Relay, ",""))-2)))</f>
      </c>
      <c r="BM134">
        <f>IF($T134="","",IF($BL134="","Yes","Blocked"))</f>
      </c>
      <c r="BP134">
        <f>IF($BO134="","",IFERROR(VLOOKUP($BO134,'01_Warehouse_Ledger'!$A:$N,4,FALSE),""))</f>
      </c>
      <c r="BQ134">
        <f>IF($BO134="","",IFERROR(VLOOKUP($BO134,'01_Warehouse_Ledger'!$A:$N,5,FALSE),""))</f>
      </c>
      <c r="BR134">
        <f>IF($BO134="","",IFERROR(VLOOKUP($BO134,'01_Warehouse_Ledger'!$A:$N,13,FALSE),""))</f>
      </c>
    </row>
    <row r="135">
      <c r="A135" t="s">
        <v>1415</v>
      </c>
      <c r="C135" t="s">
        <v>1657</v>
      </c>
      <c r="D135">
        <f>IF($B135&lt;&gt;"Yes","",IF($C135="No","Yes",IF($C135="Yes","No","")))</f>
      </c>
      <c r="E135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</c>
      <c r="F135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</c>
      <c r="G135" t="s">
        <v>1880</v>
      </c>
      <c r="H135" t="s">
        <v>2235</v>
      </c>
      <c r="I135" t="s">
        <v>1831</v>
      </c>
      <c r="J135" t="s">
        <v>1727</v>
      </c>
      <c r="K135" t="s">
        <v>1657</v>
      </c>
      <c r="L135" t="s">
        <v>1657</v>
      </c>
      <c r="R135" t="s">
        <v>2183</v>
      </c>
      <c r="BI135" t="s">
        <v>1630</v>
      </c>
      <c r="BL135">
        <f>IF($T135="","",IF((IF(AND($AW135&lt;&gt;"Yes",$AW135&lt;&gt;"N/A"),"Power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",""))="","",LEFT(IF(AND($AW135&lt;&gt;"Yes",$AW135&lt;&gt;"N/A"),"Power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",""),LEN(IF(AND($AW135&lt;&gt;"Yes",$AW135&lt;&gt;"N/A"),"Power Cable, ","")&amp;IF(AND($AX135&lt;&gt;"Yes",$AX135&lt;&gt;"N/A"),"Battery, ","")&amp;IF(AND($BE135&lt;&gt;"Yes",$BE135&lt;&gt;"N/A"),"Firmware Download, ","")&amp;IF(AND(OR($BE135="Yes",$BE135="N/A"),$BF135&lt;&gt;"Yes",$BF135&lt;&gt;"N/A"),"Firmware Install, ","")&amp;IF(AND($BJ135&lt;&gt;"Yes",$BJ135&lt;&gt;"N/A"),"Device ID, ","")&amp;IF(AND($BK135&lt;&gt;"Yes",$BK135&lt;&gt;"N/A"),"Epic Beans Relay, ",""))-2)))</f>
      </c>
      <c r="BM135">
        <f>IF($T135="","",IF($BL135="","Yes","Blocked"))</f>
      </c>
      <c r="BP135">
        <f>IF($BO135="","",IFERROR(VLOOKUP($BO135,'01_Warehouse_Ledger'!$A:$N,4,FALSE),""))</f>
      </c>
      <c r="BQ135">
        <f>IF($BO135="","",IFERROR(VLOOKUP($BO135,'01_Warehouse_Ledger'!$A:$N,5,FALSE),""))</f>
      </c>
      <c r="BR135">
        <f>IF($BO135="","",IFERROR(VLOOKUP($BO135,'01_Warehouse_Ledger'!$A:$N,13,FALSE),""))</f>
      </c>
    </row>
    <row r="136">
      <c r="A136" t="s">
        <v>1415</v>
      </c>
      <c r="C136" t="s">
        <v>1657</v>
      </c>
      <c r="D136">
        <f>IF($B136&lt;&gt;"Yes","",IF($C136="No","Yes",IF($C136="Yes","No","")))</f>
      </c>
      <c r="E136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</c>
      <c r="F136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</c>
      <c r="G136" t="s">
        <v>1880</v>
      </c>
      <c r="H136" t="s">
        <v>2235</v>
      </c>
      <c r="I136" t="s">
        <v>1831</v>
      </c>
      <c r="J136" t="s">
        <v>1727</v>
      </c>
      <c r="K136" t="s">
        <v>1657</v>
      </c>
      <c r="L136" t="s">
        <v>1657</v>
      </c>
      <c r="R136" t="s">
        <v>1729</v>
      </c>
      <c r="BI136" t="s">
        <v>1630</v>
      </c>
      <c r="BL136">
        <f>IF($T136="","",IF((IF(AND($AW136&lt;&gt;"Yes",$AW136&lt;&gt;"N/A"),"Power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",""))="","",LEFT(IF(AND($AW136&lt;&gt;"Yes",$AW136&lt;&gt;"N/A"),"Power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",""),LEN(IF(AND($AW136&lt;&gt;"Yes",$AW136&lt;&gt;"N/A"),"Power Cable, ","")&amp;IF(AND($AX136&lt;&gt;"Yes",$AX136&lt;&gt;"N/A"),"Battery, ","")&amp;IF(AND($BE136&lt;&gt;"Yes",$BE136&lt;&gt;"N/A"),"Firmware Download, ","")&amp;IF(AND(OR($BE136="Yes",$BE136="N/A"),$BF136&lt;&gt;"Yes",$BF136&lt;&gt;"N/A"),"Firmware Install, ","")&amp;IF(AND($BJ136&lt;&gt;"Yes",$BJ136&lt;&gt;"N/A"),"Device ID, ","")&amp;IF(AND($BK136&lt;&gt;"Yes",$BK136&lt;&gt;"N/A"),"Epic Beans Relay, ",""))-2)))</f>
      </c>
      <c r="BM136">
        <f>IF($T136="","",IF($BL136="","Yes","Blocked"))</f>
      </c>
      <c r="BP136">
        <f>IF($BO136="","",IFERROR(VLOOKUP($BO136,'01_Warehouse_Ledger'!$A:$N,4,FALSE),""))</f>
      </c>
      <c r="BQ136">
        <f>IF($BO136="","",IFERROR(VLOOKUP($BO136,'01_Warehouse_Ledger'!$A:$N,5,FALSE),""))</f>
      </c>
      <c r="BR136">
        <f>IF($BO136="","",IFERROR(VLOOKUP($BO136,'01_Warehouse_Ledger'!$A:$N,13,FALSE),""))</f>
      </c>
    </row>
    <row r="137">
      <c r="A137" t="s">
        <v>1415</v>
      </c>
      <c r="C137" t="s">
        <v>1657</v>
      </c>
      <c r="D137">
        <f>IF($B137&lt;&gt;"Yes","",IF($C137="No","Yes",IF($C137="Yes","No","")))</f>
      </c>
      <c r="E137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</c>
      <c r="F137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</c>
      <c r="G137" t="s">
        <v>1880</v>
      </c>
      <c r="H137" t="s">
        <v>2235</v>
      </c>
      <c r="I137" t="s">
        <v>1831</v>
      </c>
      <c r="J137" t="s">
        <v>1727</v>
      </c>
      <c r="K137" t="s">
        <v>1657</v>
      </c>
      <c r="L137" t="s">
        <v>1657</v>
      </c>
      <c r="R137" t="s">
        <v>2356</v>
      </c>
      <c r="BI137" t="s">
        <v>1630</v>
      </c>
      <c r="BL137">
        <f>IF($T137="","",IF((IF(AND($AW137&lt;&gt;"Yes",$AW137&lt;&gt;"N/A"),"Power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",""))="","",LEFT(IF(AND($AW137&lt;&gt;"Yes",$AW137&lt;&gt;"N/A"),"Power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",""),LEN(IF(AND($AW137&lt;&gt;"Yes",$AW137&lt;&gt;"N/A"),"Power Cable, ","")&amp;IF(AND($AX137&lt;&gt;"Yes",$AX137&lt;&gt;"N/A"),"Battery, ","")&amp;IF(AND($BE137&lt;&gt;"Yes",$BE137&lt;&gt;"N/A"),"Firmware Download, ","")&amp;IF(AND(OR($BE137="Yes",$BE137="N/A"),$BF137&lt;&gt;"Yes",$BF137&lt;&gt;"N/A"),"Firmware Install, ","")&amp;IF(AND($BJ137&lt;&gt;"Yes",$BJ137&lt;&gt;"N/A"),"Device ID, ","")&amp;IF(AND($BK137&lt;&gt;"Yes",$BK137&lt;&gt;"N/A"),"Epic Beans Relay, ",""))-2)))</f>
      </c>
      <c r="BM137">
        <f>IF($T137="","",IF($BL137="","Yes","Blocked"))</f>
      </c>
      <c r="BP137">
        <f>IF($BO137="","",IFERROR(VLOOKUP($BO137,'01_Warehouse_Ledger'!$A:$N,4,FALSE),""))</f>
      </c>
      <c r="BQ137">
        <f>IF($BO137="","",IFERROR(VLOOKUP($BO137,'01_Warehouse_Ledger'!$A:$N,5,FALSE),""))</f>
      </c>
      <c r="BR137">
        <f>IF($BO137="","",IFERROR(VLOOKUP($BO137,'01_Warehouse_Ledger'!$A:$N,13,FALSE),""))</f>
      </c>
    </row>
    <row r="138">
      <c r="A138" t="s">
        <v>1415</v>
      </c>
      <c r="C138" t="s">
        <v>1657</v>
      </c>
      <c r="E138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</c>
      <c r="F138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</c>
      <c r="G138" t="s">
        <v>1658</v>
      </c>
      <c r="H138" t="s">
        <v>2235</v>
      </c>
      <c r="I138" t="s">
        <v>1831</v>
      </c>
      <c r="R138" t="s">
        <v>2046</v>
      </c>
      <c r="BI138" t="s">
        <v>1630</v>
      </c>
      <c r="BL138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</c>
      <c r="BM138">
        <f>IF($T138="","",IF($BL138="","Yes","Blocked"))</f>
      </c>
    </row>
    <row r="139">
      <c r="A139" t="s">
        <v>1415</v>
      </c>
      <c r="C139" t="s">
        <v>1657</v>
      </c>
      <c r="E139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</c>
      <c r="F139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</c>
      <c r="G139" t="s">
        <v>1658</v>
      </c>
      <c r="H139" t="s">
        <v>2235</v>
      </c>
      <c r="I139" t="s">
        <v>1831</v>
      </c>
      <c r="R139" t="s">
        <v>2236</v>
      </c>
      <c r="BI139" t="s">
        <v>1630</v>
      </c>
      <c r="BL139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</c>
      <c r="BM139">
        <f>IF($T139="","",IF($BL139="","Yes","Blocked"))</f>
      </c>
    </row>
    <row r="140">
      <c r="A140" t="s">
        <v>1415</v>
      </c>
      <c r="C140" t="s">
        <v>1657</v>
      </c>
      <c r="E140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</c>
      <c r="F140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</c>
      <c r="G140" t="s">
        <v>1983</v>
      </c>
      <c r="H140" t="s">
        <v>2282</v>
      </c>
      <c r="I140" t="s">
        <v>1831</v>
      </c>
      <c r="R140" t="s">
        <v>1812</v>
      </c>
      <c r="Y140" t="s">
        <v>2139</v>
      </c>
      <c r="Z140" t="s">
        <v>2199</v>
      </c>
      <c r="BI140" t="s">
        <v>1630</v>
      </c>
      <c r="BL140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</c>
      <c r="BM140">
        <f>IF($T140="","",IF($BL140="","Yes","Blocked"))</f>
      </c>
    </row>
    <row r="141">
      <c r="A141" t="s">
        <v>1415</v>
      </c>
      <c r="C141" t="s">
        <v>1657</v>
      </c>
      <c r="E141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</c>
      <c r="F141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</c>
      <c r="G141" t="s">
        <v>1983</v>
      </c>
      <c r="H141" t="s">
        <v>2282</v>
      </c>
      <c r="I141" t="s">
        <v>1831</v>
      </c>
      <c r="R141" t="s">
        <v>2247</v>
      </c>
      <c r="Y141" t="s">
        <v>1704</v>
      </c>
      <c r="Z141" t="s">
        <v>2041</v>
      </c>
      <c r="BI141" t="s">
        <v>1630</v>
      </c>
      <c r="BL141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</c>
      <c r="BM141">
        <f>IF($T141="","",IF($BL141="","Yes","Blocked"))</f>
      </c>
    </row>
    <row r="142">
      <c r="A142" t="s">
        <v>1415</v>
      </c>
      <c r="C142" t="s">
        <v>1657</v>
      </c>
      <c r="E142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</c>
      <c r="F142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</c>
      <c r="G142" t="s">
        <v>1983</v>
      </c>
      <c r="H142" t="s">
        <v>2282</v>
      </c>
      <c r="I142" t="s">
        <v>1831</v>
      </c>
      <c r="R142" t="s">
        <v>1888</v>
      </c>
      <c r="Y142" t="s">
        <v>1868</v>
      </c>
      <c r="Z142" t="s">
        <v>1869</v>
      </c>
      <c r="BI142" t="s">
        <v>1630</v>
      </c>
      <c r="BL142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</c>
      <c r="BM142">
        <f>IF($T142="","",IF($BL142="","Yes","Blocked"))</f>
      </c>
    </row>
    <row r="143">
      <c r="A143" t="s">
        <v>1429</v>
      </c>
      <c r="B143" t="s">
        <v>1727</v>
      </c>
      <c r="C143" t="s">
        <v>1727</v>
      </c>
      <c r="D143">
        <f>IF($B143&lt;&gt;"Yes","",IF($C143="No","Yes",IF($C143="Yes","No","")))</f>
      </c>
      <c r="E143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</c>
      <c r="F143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</c>
      <c r="G143" t="s">
        <v>2192</v>
      </c>
      <c r="H143" t="s">
        <v>2192</v>
      </c>
      <c r="R143" t="s">
        <v>1743</v>
      </c>
      <c r="T143" t="s">
        <v>1931</v>
      </c>
      <c r="W143" t="s">
        <v>1881</v>
      </c>
      <c r="X143" t="s">
        <v>2192</v>
      </c>
      <c r="Y143" t="s">
        <v>2354</v>
      </c>
      <c r="Z143" t="s">
        <v>1995</v>
      </c>
      <c r="AA143" t="s">
        <v>2031</v>
      </c>
      <c r="AD143" t="s">
        <v>1821</v>
      </c>
      <c r="AE143">
        <v>1</v>
      </c>
      <c r="AF143" t="s">
        <v>2003</v>
      </c>
      <c r="AG143" t="s">
        <v>2228</v>
      </c>
      <c r="AJ143" t="s">
        <v>1621</v>
      </c>
      <c r="AM143" t="s">
        <v>1297</v>
      </c>
      <c r="AR143" t="s">
        <v>1832</v>
      </c>
      <c r="AS143" t="s">
        <v>2275</v>
      </c>
      <c r="AY143" t="s">
        <v>1727</v>
      </c>
      <c r="AZ143" t="s">
        <v>1727</v>
      </c>
      <c r="BB143" t="s">
        <v>1727</v>
      </c>
      <c r="BC143" t="s">
        <v>1996</v>
      </c>
      <c r="BL143">
        <f>IF($T143="","",IF((IF(AND($AW143&lt;&gt;"Yes",$AW143&lt;&gt;"N/A"),"Power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",""))="","",LEFT(IF(AND($AW143&lt;&gt;"Yes",$AW143&lt;&gt;"N/A"),"Power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",""),LEN(IF(AND($AW143&lt;&gt;"Yes",$AW143&lt;&gt;"N/A"),"Power Cable, ","")&amp;IF(AND($AX143&lt;&gt;"Yes",$AX143&lt;&gt;"N/A"),"Battery, ","")&amp;IF(AND($BE143&lt;&gt;"Yes",$BE143&lt;&gt;"N/A"),"Firmware Download, ","")&amp;IF(AND(OR($BE143="Yes",$BE143="N/A"),$BF143&lt;&gt;"Yes",$BF143&lt;&gt;"N/A"),"Firmware Install, ","")&amp;IF(AND($BJ143&lt;&gt;"Yes",$BJ143&lt;&gt;"N/A"),"Device ID, ","")&amp;IF(AND($BK143&lt;&gt;"Yes",$BK143&lt;&gt;"N/A"),"Epic Beans Relay, ",""))-2)))</f>
      </c>
      <c r="BM143">
        <f>IF($T143="","",IF($BL143="","Yes","Blocked"))</f>
      </c>
      <c r="BP143">
        <f>IF($BO143="","",IFERROR(VLOOKUP($BO143,'01_Warehouse_Ledger'!$A:$N,4,FALSE),""))</f>
      </c>
      <c r="BQ143">
        <f>IF($BO143="","",IFERROR(VLOOKUP($BO143,'01_Warehouse_Ledger'!$A:$N,5,FALSE),""))</f>
      </c>
      <c r="BR143">
        <f>IF($BO143="","",IFERROR(VLOOKUP($BO143,'01_Warehouse_Ledger'!$A:$N,13,FALSE),""))</f>
      </c>
      <c r="BS143" t="s">
        <v>1727</v>
      </c>
      <c r="BT143" t="s">
        <v>1727</v>
      </c>
      <c r="BU143" t="s">
        <v>1727</v>
      </c>
      <c r="BV143" t="s">
        <v>1727</v>
      </c>
    </row>
    <row r="144">
      <c r="A144" t="s">
        <v>1429</v>
      </c>
      <c r="B144" t="s">
        <v>1727</v>
      </c>
      <c r="C144" t="s">
        <v>1727</v>
      </c>
      <c r="D144">
        <f>IF($B144&lt;&gt;"Yes","",IF($C144="No","Yes",IF($C144="Yes","No","")))</f>
      </c>
      <c r="E144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</c>
      <c r="F144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</c>
      <c r="G144" t="s">
        <v>2192</v>
      </c>
      <c r="H144" t="s">
        <v>2192</v>
      </c>
      <c r="R144" t="s">
        <v>1956</v>
      </c>
      <c r="T144" t="s">
        <v>2327</v>
      </c>
      <c r="W144" t="s">
        <v>2231</v>
      </c>
      <c r="Y144" t="s">
        <v>1755</v>
      </c>
      <c r="Z144" t="s">
        <v>1380</v>
      </c>
      <c r="AA144" t="s">
        <v>2031</v>
      </c>
      <c r="AD144" t="s">
        <v>1821</v>
      </c>
      <c r="AE144">
        <v>1</v>
      </c>
      <c r="AF144" t="s">
        <v>2306</v>
      </c>
      <c r="AG144" t="s">
        <v>1687</v>
      </c>
      <c r="AJ144" t="s">
        <v>2255</v>
      </c>
      <c r="AR144" t="s">
        <v>1331</v>
      </c>
      <c r="AS144" t="s">
        <v>2343</v>
      </c>
      <c r="AY144" t="s">
        <v>1727</v>
      </c>
      <c r="AZ144" t="s">
        <v>1727</v>
      </c>
      <c r="BB144" t="s">
        <v>1727</v>
      </c>
      <c r="BC144" t="s">
        <v>1996</v>
      </c>
      <c r="BL144">
        <f>IF($T144="","",IF((IF(AND($AW144&lt;&gt;"Yes",$AW144&lt;&gt;"N/A"),"Power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",""))="","",LEFT(IF(AND($AW144&lt;&gt;"Yes",$AW144&lt;&gt;"N/A"),"Power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",""),LEN(IF(AND($AW144&lt;&gt;"Yes",$AW144&lt;&gt;"N/A"),"Power Cable, ","")&amp;IF(AND($AX144&lt;&gt;"Yes",$AX144&lt;&gt;"N/A"),"Battery, ","")&amp;IF(AND($BE144&lt;&gt;"Yes",$BE144&lt;&gt;"N/A"),"Firmware Download, ","")&amp;IF(AND(OR($BE144="Yes",$BE144="N/A"),$BF144&lt;&gt;"Yes",$BF144&lt;&gt;"N/A"),"Firmware Install, ","")&amp;IF(AND($BJ144&lt;&gt;"Yes",$BJ144&lt;&gt;"N/A"),"Device ID, ","")&amp;IF(AND($BK144&lt;&gt;"Yes",$BK144&lt;&gt;"N/A"),"Epic Beans Relay, ",""))-2)))</f>
      </c>
      <c r="BM144">
        <f>IF($T144="","",IF($BL144="","Yes","Blocked"))</f>
      </c>
      <c r="BP144">
        <f>IF($BO144="","",IFERROR(VLOOKUP($BO144,'01_Warehouse_Ledger'!$A:$N,4,FALSE),""))</f>
      </c>
      <c r="BQ144">
        <f>IF($BO144="","",IFERROR(VLOOKUP($BO144,'01_Warehouse_Ledger'!$A:$N,5,FALSE),""))</f>
      </c>
      <c r="BR144">
        <f>IF($BO144="","",IFERROR(VLOOKUP($BO144,'01_Warehouse_Ledger'!$A:$N,13,FALSE),""))</f>
      </c>
      <c r="BS144" t="s">
        <v>1727</v>
      </c>
      <c r="BT144" t="s">
        <v>1727</v>
      </c>
      <c r="BU144" t="s">
        <v>1727</v>
      </c>
      <c r="BV144" t="s">
        <v>1727</v>
      </c>
    </row>
    <row r="145">
      <c r="A145" t="s">
        <v>1429</v>
      </c>
      <c r="B145" t="s">
        <v>1727</v>
      </c>
      <c r="C145" t="s">
        <v>1727</v>
      </c>
      <c r="D145">
        <f>IF($B145&lt;&gt;"Yes","",IF($C145="No","Yes",IF($C145="Yes","No","")))</f>
      </c>
      <c r="E145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</c>
      <c r="F145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</c>
      <c r="G145" t="s">
        <v>2192</v>
      </c>
      <c r="H145" t="s">
        <v>2192</v>
      </c>
      <c r="R145" t="s">
        <v>2241</v>
      </c>
      <c r="T145" t="s">
        <v>2201</v>
      </c>
      <c r="W145" t="s">
        <v>1900</v>
      </c>
      <c r="Y145" t="s">
        <v>2166</v>
      </c>
      <c r="Z145" t="s">
        <v>2010</v>
      </c>
      <c r="AA145" t="s">
        <v>2031</v>
      </c>
      <c r="AD145" t="s">
        <v>1821</v>
      </c>
      <c r="AE145">
        <v>1</v>
      </c>
      <c r="AF145" t="s">
        <v>2306</v>
      </c>
      <c r="AG145" t="s">
        <v>2136</v>
      </c>
      <c r="AJ145" t="s">
        <v>2255</v>
      </c>
      <c r="AR145" t="s">
        <v>1331</v>
      </c>
      <c r="AS145" t="s">
        <v>2237</v>
      </c>
      <c r="AY145" t="s">
        <v>1727</v>
      </c>
      <c r="AZ145" t="s">
        <v>1657</v>
      </c>
      <c r="BB145" t="s">
        <v>1727</v>
      </c>
      <c r="BC145" t="s">
        <v>1675</v>
      </c>
      <c r="BL145">
        <f>IF($T145="","",IF((IF(AND($AW145&lt;&gt;"Yes",$AW145&lt;&gt;"N/A"),"Power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",""))="","",LEFT(IF(AND($AW145&lt;&gt;"Yes",$AW145&lt;&gt;"N/A"),"Power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",""),LEN(IF(AND($AW145&lt;&gt;"Yes",$AW145&lt;&gt;"N/A"),"Power Cable, ","")&amp;IF(AND($AX145&lt;&gt;"Yes",$AX145&lt;&gt;"N/A"),"Battery, ","")&amp;IF(AND($BE145&lt;&gt;"Yes",$BE145&lt;&gt;"N/A"),"Firmware Download, ","")&amp;IF(AND(OR($BE145="Yes",$BE145="N/A"),$BF145&lt;&gt;"Yes",$BF145&lt;&gt;"N/A"),"Firmware Install, ","")&amp;IF(AND($BJ145&lt;&gt;"Yes",$BJ145&lt;&gt;"N/A"),"Device ID, ","")&amp;IF(AND($BK145&lt;&gt;"Yes",$BK145&lt;&gt;"N/A"),"Epic Beans Relay, ",""))-2)))</f>
      </c>
      <c r="BM145">
        <f>IF($T145="","",IF($BL145="","Yes","Blocked"))</f>
      </c>
      <c r="BP145">
        <f>IF($BO145="","",IFERROR(VLOOKUP($BO145,'01_Warehouse_Ledger'!$A:$N,4,FALSE),""))</f>
      </c>
      <c r="BQ145">
        <f>IF($BO145="","",IFERROR(VLOOKUP($BO145,'01_Warehouse_Ledger'!$A:$N,5,FALSE),""))</f>
      </c>
      <c r="BR145">
        <f>IF($BO145="","",IFERROR(VLOOKUP($BO145,'01_Warehouse_Ledger'!$A:$N,13,FALSE),""))</f>
      </c>
      <c r="BS145" t="s">
        <v>1727</v>
      </c>
      <c r="BT145" t="s">
        <v>1727</v>
      </c>
      <c r="BU145" t="s">
        <v>1727</v>
      </c>
      <c r="BV145" t="s">
        <v>1727</v>
      </c>
    </row>
    <row r="146">
      <c r="A146" t="s">
        <v>1429</v>
      </c>
      <c r="B146" t="s">
        <v>1727</v>
      </c>
      <c r="C146" t="s">
        <v>1727</v>
      </c>
      <c r="D146">
        <f>IF($B146&lt;&gt;"Yes","",IF($C146="No","Yes",IF($C146="Yes","No","")))</f>
      </c>
      <c r="E146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</c>
      <c r="F146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</c>
      <c r="G146" t="s">
        <v>2192</v>
      </c>
      <c r="H146" t="s">
        <v>2192</v>
      </c>
      <c r="R146" t="s">
        <v>1628</v>
      </c>
      <c r="T146" t="s">
        <v>2374</v>
      </c>
      <c r="W146" t="s">
        <v>2367</v>
      </c>
      <c r="Y146" t="s">
        <v>1660</v>
      </c>
      <c r="Z146" t="s">
        <v>2010</v>
      </c>
      <c r="AA146" t="s">
        <v>2031</v>
      </c>
      <c r="AD146" t="s">
        <v>1821</v>
      </c>
      <c r="AE146">
        <v>1</v>
      </c>
      <c r="AF146" t="s">
        <v>2306</v>
      </c>
      <c r="AG146" t="s">
        <v>2271</v>
      </c>
      <c r="AJ146" t="s">
        <v>1974</v>
      </c>
      <c r="AR146" t="s">
        <v>1331</v>
      </c>
      <c r="AS146" t="s">
        <v>1706</v>
      </c>
      <c r="AY146" t="s">
        <v>1727</v>
      </c>
      <c r="AZ146" t="s">
        <v>1657</v>
      </c>
      <c r="BB146" t="s">
        <v>1727</v>
      </c>
      <c r="BC146" t="s">
        <v>1772</v>
      </c>
      <c r="BL146">
        <f>IF($T146="","",IF((IF(AND($AW146&lt;&gt;"Yes",$AW146&lt;&gt;"N/A"),"Power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",""))="","",LEFT(IF(AND($AW146&lt;&gt;"Yes",$AW146&lt;&gt;"N/A"),"Power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",""),LEN(IF(AND($AW146&lt;&gt;"Yes",$AW146&lt;&gt;"N/A"),"Power Cable, ","")&amp;IF(AND($AX146&lt;&gt;"Yes",$AX146&lt;&gt;"N/A"),"Battery, ","")&amp;IF(AND($BE146&lt;&gt;"Yes",$BE146&lt;&gt;"N/A"),"Firmware Download, ","")&amp;IF(AND(OR($BE146="Yes",$BE146="N/A"),$BF146&lt;&gt;"Yes",$BF146&lt;&gt;"N/A"),"Firmware Install, ","")&amp;IF(AND($BJ146&lt;&gt;"Yes",$BJ146&lt;&gt;"N/A"),"Device ID, ","")&amp;IF(AND($BK146&lt;&gt;"Yes",$BK146&lt;&gt;"N/A"),"Epic Beans Relay, ",""))-2)))</f>
      </c>
      <c r="BM146">
        <f>IF($T146="","",IF($BL146="","Yes","Blocked"))</f>
      </c>
      <c r="BP146">
        <f>IF($BO146="","",IFERROR(VLOOKUP($BO146,'01_Warehouse_Ledger'!$A:$N,4,FALSE),""))</f>
      </c>
      <c r="BQ146">
        <f>IF($BO146="","",IFERROR(VLOOKUP($BO146,'01_Warehouse_Ledger'!$A:$N,5,FALSE),""))</f>
      </c>
      <c r="BR146">
        <f>IF($BO146="","",IFERROR(VLOOKUP($BO146,'01_Warehouse_Ledger'!$A:$N,13,FALSE),""))</f>
      </c>
      <c r="BS146" t="s">
        <v>1727</v>
      </c>
      <c r="BT146" t="s">
        <v>1727</v>
      </c>
      <c r="BU146" t="s">
        <v>1727</v>
      </c>
      <c r="BV146" t="s">
        <v>1727</v>
      </c>
    </row>
    <row r="147">
      <c r="A147" t="s">
        <v>1429</v>
      </c>
      <c r="B147" t="s">
        <v>1727</v>
      </c>
      <c r="C147" t="s">
        <v>1727</v>
      </c>
      <c r="D147">
        <f>IF($B147&lt;&gt;"Yes","",IF($C147="No","Yes",IF($C147="Yes","No","")))</f>
      </c>
      <c r="E147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</c>
      <c r="F147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</c>
      <c r="G147" t="s">
        <v>2192</v>
      </c>
      <c r="H147" t="s">
        <v>2192</v>
      </c>
      <c r="R147" t="s">
        <v>1940</v>
      </c>
      <c r="T147" t="s">
        <v>2028</v>
      </c>
      <c r="W147" t="s">
        <v>2168</v>
      </c>
      <c r="Y147" t="s">
        <v>1662</v>
      </c>
      <c r="AA147" t="s">
        <v>2031</v>
      </c>
      <c r="AD147" t="s">
        <v>1821</v>
      </c>
      <c r="AE147">
        <v>1</v>
      </c>
      <c r="AF147" t="s">
        <v>2306</v>
      </c>
      <c r="AG147" t="s">
        <v>1969</v>
      </c>
      <c r="AJ147" t="s">
        <v>1974</v>
      </c>
      <c r="AR147" t="s">
        <v>1331</v>
      </c>
      <c r="AS147" t="s">
        <v>2343</v>
      </c>
      <c r="AY147" t="s">
        <v>1727</v>
      </c>
      <c r="AZ147" t="s">
        <v>1727</v>
      </c>
      <c r="BB147" t="s">
        <v>1727</v>
      </c>
      <c r="BC147" t="s">
        <v>1926</v>
      </c>
      <c r="BL147">
        <f>IF($T147="","",IF((IF(AND($AW147&lt;&gt;"Yes",$AW147&lt;&gt;"N/A"),"Power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",""))="","",LEFT(IF(AND($AW147&lt;&gt;"Yes",$AW147&lt;&gt;"N/A"),"Power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",""),LEN(IF(AND($AW147&lt;&gt;"Yes",$AW147&lt;&gt;"N/A"),"Power Cable, ","")&amp;IF(AND($AX147&lt;&gt;"Yes",$AX147&lt;&gt;"N/A"),"Battery, ","")&amp;IF(AND($BE147&lt;&gt;"Yes",$BE147&lt;&gt;"N/A"),"Firmware Download, ","")&amp;IF(AND(OR($BE147="Yes",$BE147="N/A"),$BF147&lt;&gt;"Yes",$BF147&lt;&gt;"N/A"),"Firmware Install, ","")&amp;IF(AND($BJ147&lt;&gt;"Yes",$BJ147&lt;&gt;"N/A"),"Device ID, ","")&amp;IF(AND($BK147&lt;&gt;"Yes",$BK147&lt;&gt;"N/A"),"Epic Beans Relay, ",""))-2)))</f>
      </c>
      <c r="BM147">
        <f>IF($T147="","",IF($BL147="","Yes","Blocked"))</f>
      </c>
      <c r="BP147">
        <f>IF($BO147="","",IFERROR(VLOOKUP($BO147,'01_Warehouse_Ledger'!$A:$N,4,FALSE),""))</f>
      </c>
      <c r="BQ147">
        <f>IF($BO147="","",IFERROR(VLOOKUP($BO147,'01_Warehouse_Ledger'!$A:$N,5,FALSE),""))</f>
      </c>
      <c r="BR147">
        <f>IF($BO147="","",IFERROR(VLOOKUP($BO147,'01_Warehouse_Ledger'!$A:$N,13,FALSE),""))</f>
      </c>
      <c r="BS147" t="s">
        <v>1727</v>
      </c>
      <c r="BT147" t="s">
        <v>1727</v>
      </c>
      <c r="BU147" t="s">
        <v>1727</v>
      </c>
      <c r="BV147" t="s">
        <v>1727</v>
      </c>
    </row>
    <row r="148">
      <c r="A148" t="s">
        <v>1429</v>
      </c>
      <c r="B148" t="s">
        <v>1727</v>
      </c>
      <c r="C148" t="s">
        <v>1727</v>
      </c>
      <c r="D148">
        <f>IF($B148&lt;&gt;"Yes","",IF($C148="No","Yes",IF($C148="Yes","No","")))</f>
      </c>
      <c r="E148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</c>
      <c r="F148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</c>
      <c r="G148" t="s">
        <v>2192</v>
      </c>
      <c r="H148" t="s">
        <v>2192</v>
      </c>
      <c r="R148" t="s">
        <v>2118</v>
      </c>
      <c r="T148" t="s">
        <v>2175</v>
      </c>
      <c r="W148" t="s">
        <v>2214</v>
      </c>
      <c r="Y148" t="s">
        <v>2202</v>
      </c>
      <c r="AA148" t="s">
        <v>2031</v>
      </c>
      <c r="AD148" t="s">
        <v>1821</v>
      </c>
      <c r="AE148">
        <v>1</v>
      </c>
      <c r="AF148" t="s">
        <v>2306</v>
      </c>
      <c r="AG148" t="s">
        <v>1736</v>
      </c>
      <c r="AJ148" t="s">
        <v>1822</v>
      </c>
      <c r="AR148" t="s">
        <v>1954</v>
      </c>
      <c r="AS148" t="s">
        <v>2343</v>
      </c>
      <c r="AY148" t="s">
        <v>1727</v>
      </c>
      <c r="AZ148" t="s">
        <v>1727</v>
      </c>
      <c r="BB148" t="s">
        <v>1727</v>
      </c>
      <c r="BC148" t="s">
        <v>2091</v>
      </c>
      <c r="BL148">
        <f>IF($T148="","",IF((IF(AND($AW148&lt;&gt;"Yes",$AW148&lt;&gt;"N/A"),"Power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",""))="","",LEFT(IF(AND($AW148&lt;&gt;"Yes",$AW148&lt;&gt;"N/A"),"Power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",""),LEN(IF(AND($AW148&lt;&gt;"Yes",$AW148&lt;&gt;"N/A"),"Power Cable, ","")&amp;IF(AND($AX148&lt;&gt;"Yes",$AX148&lt;&gt;"N/A"),"Battery, ","")&amp;IF(AND($BE148&lt;&gt;"Yes",$BE148&lt;&gt;"N/A"),"Firmware Download, ","")&amp;IF(AND(OR($BE148="Yes",$BE148="N/A"),$BF148&lt;&gt;"Yes",$BF148&lt;&gt;"N/A"),"Firmware Install, ","")&amp;IF(AND($BJ148&lt;&gt;"Yes",$BJ148&lt;&gt;"N/A"),"Device ID, ","")&amp;IF(AND($BK148&lt;&gt;"Yes",$BK148&lt;&gt;"N/A"),"Epic Beans Relay, ",""))-2)))</f>
      </c>
      <c r="BM148">
        <f>IF($T148="","",IF($BL148="","Yes","Blocked"))</f>
      </c>
      <c r="BP148">
        <f>IF($BO148="","",IFERROR(VLOOKUP($BO148,'01_Warehouse_Ledger'!$A:$N,4,FALSE),""))</f>
      </c>
      <c r="BQ148">
        <f>IF($BO148="","",IFERROR(VLOOKUP($BO148,'01_Warehouse_Ledger'!$A:$N,5,FALSE),""))</f>
      </c>
      <c r="BR148">
        <f>IF($BO148="","",IFERROR(VLOOKUP($BO148,'01_Warehouse_Ledger'!$A:$N,13,FALSE),""))</f>
      </c>
      <c r="BS148" t="s">
        <v>1727</v>
      </c>
      <c r="BT148" t="s">
        <v>1727</v>
      </c>
      <c r="BU148" t="s">
        <v>1727</v>
      </c>
      <c r="BV148" t="s">
        <v>1727</v>
      </c>
    </row>
    <row r="149">
      <c r="A149" t="s">
        <v>1429</v>
      </c>
      <c r="B149" t="s">
        <v>1727</v>
      </c>
      <c r="C149" t="s">
        <v>1727</v>
      </c>
      <c r="D149">
        <f>IF($B149&lt;&gt;"Yes","",IF($C149="No","Yes",IF($C149="Yes","No","")))</f>
      </c>
      <c r="E149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</c>
      <c r="F149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</c>
      <c r="G149" t="s">
        <v>2192</v>
      </c>
      <c r="H149" t="s">
        <v>2192</v>
      </c>
      <c r="R149" t="s">
        <v>1730</v>
      </c>
      <c r="T149" t="s">
        <v>1981</v>
      </c>
      <c r="W149" t="s">
        <v>2206</v>
      </c>
      <c r="Y149" t="s">
        <v>1738</v>
      </c>
      <c r="AA149" t="s">
        <v>2031</v>
      </c>
      <c r="AD149" t="s">
        <v>1821</v>
      </c>
      <c r="AE149">
        <v>1</v>
      </c>
      <c r="AF149" t="s">
        <v>2306</v>
      </c>
      <c r="AG149" t="s">
        <v>1804</v>
      </c>
      <c r="AJ149" t="s">
        <v>2255</v>
      </c>
      <c r="AR149" t="s">
        <v>1954</v>
      </c>
      <c r="AS149" t="s">
        <v>1901</v>
      </c>
      <c r="AY149" t="s">
        <v>1727</v>
      </c>
      <c r="AZ149" t="s">
        <v>1727</v>
      </c>
      <c r="BB149" t="s">
        <v>1727</v>
      </c>
      <c r="BC149" t="s">
        <v>1926</v>
      </c>
      <c r="BL149">
        <f>IF($T149="","",IF((IF(AND($AW149&lt;&gt;"Yes",$AW149&lt;&gt;"N/A"),"Power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",""))="","",LEFT(IF(AND($AW149&lt;&gt;"Yes",$AW149&lt;&gt;"N/A"),"Power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",""),LEN(IF(AND($AW149&lt;&gt;"Yes",$AW149&lt;&gt;"N/A"),"Power Cable, ","")&amp;IF(AND($AX149&lt;&gt;"Yes",$AX149&lt;&gt;"N/A"),"Battery, ","")&amp;IF(AND($BE149&lt;&gt;"Yes",$BE149&lt;&gt;"N/A"),"Firmware Download, ","")&amp;IF(AND(OR($BE149="Yes",$BE149="N/A"),$BF149&lt;&gt;"Yes",$BF149&lt;&gt;"N/A"),"Firmware Install, ","")&amp;IF(AND($BJ149&lt;&gt;"Yes",$BJ149&lt;&gt;"N/A"),"Device ID, ","")&amp;IF(AND($BK149&lt;&gt;"Yes",$BK149&lt;&gt;"N/A"),"Epic Beans Relay, ",""))-2)))</f>
      </c>
      <c r="BM149">
        <f>IF($T149="","",IF($BL149="","Yes","Blocked"))</f>
      </c>
      <c r="BP149">
        <f>IF($BO149="","",IFERROR(VLOOKUP($BO149,'01_Warehouse_Ledger'!$A:$N,4,FALSE),""))</f>
      </c>
      <c r="BQ149">
        <f>IF($BO149="","",IFERROR(VLOOKUP($BO149,'01_Warehouse_Ledger'!$A:$N,5,FALSE),""))</f>
      </c>
      <c r="BR149">
        <f>IF($BO149="","",IFERROR(VLOOKUP($BO149,'01_Warehouse_Ledger'!$A:$N,13,FALSE),""))</f>
      </c>
      <c r="BS149" t="s">
        <v>1727</v>
      </c>
      <c r="BT149" t="s">
        <v>1727</v>
      </c>
      <c r="BU149" t="s">
        <v>1727</v>
      </c>
      <c r="BV149" t="s">
        <v>1727</v>
      </c>
    </row>
    <row r="150">
      <c r="A150" t="s">
        <v>1429</v>
      </c>
      <c r="B150" t="s">
        <v>1657</v>
      </c>
      <c r="C150" t="s">
        <v>1657</v>
      </c>
      <c r="D150">
        <f>IF($B150&lt;&gt;"Yes","",IF($C150="No","Yes",IF($C150="Yes","No","")))</f>
      </c>
      <c r="E150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</c>
      <c r="F150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</c>
      <c r="G150" t="s">
        <v>2192</v>
      </c>
      <c r="H150" t="s">
        <v>2192</v>
      </c>
      <c r="AA150" t="s">
        <v>2031</v>
      </c>
      <c r="AD150" t="s">
        <v>1821</v>
      </c>
      <c r="AE150">
        <v>1</v>
      </c>
      <c r="AY150" t="s">
        <v>1657</v>
      </c>
      <c r="AZ150" t="s">
        <v>1727</v>
      </c>
      <c r="BB150" t="s">
        <v>1727</v>
      </c>
      <c r="BC150" t="s">
        <v>2347</v>
      </c>
      <c r="BL150">
        <f>IF($T150="","",IF((IF(AND($AW150&lt;&gt;"Yes",$AW150&lt;&gt;"N/A"),"Power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",""))="","",LEFT(IF(AND($AW150&lt;&gt;"Yes",$AW150&lt;&gt;"N/A"),"Power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",""),LEN(IF(AND($AW150&lt;&gt;"Yes",$AW150&lt;&gt;"N/A"),"Power Cable, ","")&amp;IF(AND($AX150&lt;&gt;"Yes",$AX150&lt;&gt;"N/A"),"Battery, ","")&amp;IF(AND($BE150&lt;&gt;"Yes",$BE150&lt;&gt;"N/A"),"Firmware Download, ","")&amp;IF(AND(OR($BE150="Yes",$BE150="N/A"),$BF150&lt;&gt;"Yes",$BF150&lt;&gt;"N/A"),"Firmware Install, ","")&amp;IF(AND($BJ150&lt;&gt;"Yes",$BJ150&lt;&gt;"N/A"),"Device ID, ","")&amp;IF(AND($BK150&lt;&gt;"Yes",$BK150&lt;&gt;"N/A"),"Epic Beans Relay, ",""))-2)))</f>
      </c>
      <c r="BM150">
        <f>IF($T150="","",IF($BL150="","Yes","Blocked"))</f>
      </c>
      <c r="BP150">
        <f>IF($BO150="","",IFERROR(VLOOKUP($BO150,'01_Warehouse_Ledger'!$A:$N,4,FALSE),""))</f>
      </c>
      <c r="BQ150">
        <f>IF($BO150="","",IFERROR(VLOOKUP($BO150,'01_Warehouse_Ledger'!$A:$N,5,FALSE),""))</f>
      </c>
      <c r="BR150">
        <f>IF($BO150="","",IFERROR(VLOOKUP($BO150,'01_Warehouse_Ledger'!$A:$N,13,FALSE),""))</f>
      </c>
      <c r="BS150" t="s">
        <v>1727</v>
      </c>
      <c r="BT150" t="s">
        <v>1727</v>
      </c>
      <c r="BU150" t="s">
        <v>1727</v>
      </c>
      <c r="BV150" t="s">
        <v>1727</v>
      </c>
    </row>
    <row r="151">
      <c r="A151" t="s">
        <v>1429</v>
      </c>
      <c r="B151" t="s">
        <v>1657</v>
      </c>
      <c r="C151" t="s">
        <v>1657</v>
      </c>
      <c r="D151">
        <f>IF($B151&lt;&gt;"Yes","",IF($C151="No","Yes",IF($C151="Yes","No","")))</f>
      </c>
      <c r="E151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</c>
      <c r="F151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</c>
      <c r="G151" t="s">
        <v>2192</v>
      </c>
      <c r="H151" t="s">
        <v>2192</v>
      </c>
      <c r="AA151" t="s">
        <v>2031</v>
      </c>
      <c r="AD151" t="s">
        <v>1821</v>
      </c>
      <c r="AE151">
        <v>1</v>
      </c>
      <c r="AY151" t="s">
        <v>1657</v>
      </c>
      <c r="AZ151" t="s">
        <v>1727</v>
      </c>
      <c r="BB151" t="s">
        <v>1727</v>
      </c>
      <c r="BC151" t="s">
        <v>2347</v>
      </c>
      <c r="BL151">
        <f>IF($T151="","",IF((IF(AND($AW151&lt;&gt;"Yes",$AW151&lt;&gt;"N/A"),"Power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",""))="","",LEFT(IF(AND($AW151&lt;&gt;"Yes",$AW151&lt;&gt;"N/A"),"Power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",""),LEN(IF(AND($AW151&lt;&gt;"Yes",$AW151&lt;&gt;"N/A"),"Power Cable, ","")&amp;IF(AND($AX151&lt;&gt;"Yes",$AX151&lt;&gt;"N/A"),"Battery, ","")&amp;IF(AND($BE151&lt;&gt;"Yes",$BE151&lt;&gt;"N/A"),"Firmware Download, ","")&amp;IF(AND(OR($BE151="Yes",$BE151="N/A"),$BF151&lt;&gt;"Yes",$BF151&lt;&gt;"N/A"),"Firmware Install, ","")&amp;IF(AND($BJ151&lt;&gt;"Yes",$BJ151&lt;&gt;"N/A"),"Device ID, ","")&amp;IF(AND($BK151&lt;&gt;"Yes",$BK151&lt;&gt;"N/A"),"Epic Beans Relay, ",""))-2)))</f>
      </c>
      <c r="BM151">
        <f>IF($T151="","",IF($BL151="","Yes","Blocked"))</f>
      </c>
      <c r="BP151">
        <f>IF($BO151="","",IFERROR(VLOOKUP($BO151,'01_Warehouse_Ledger'!$A:$N,4,FALSE),""))</f>
      </c>
      <c r="BQ151">
        <f>IF($BO151="","",IFERROR(VLOOKUP($BO151,'01_Warehouse_Ledger'!$A:$N,5,FALSE),""))</f>
      </c>
      <c r="BR151">
        <f>IF($BO151="","",IFERROR(VLOOKUP($BO151,'01_Warehouse_Ledger'!$A:$N,13,FALSE),""))</f>
      </c>
      <c r="BS151" t="s">
        <v>1727</v>
      </c>
      <c r="BT151" t="s">
        <v>1727</v>
      </c>
      <c r="BU151" t="s">
        <v>1727</v>
      </c>
      <c r="BV151" t="s">
        <v>1727</v>
      </c>
    </row>
    <row r="152">
      <c r="A152" t="s">
        <v>1429</v>
      </c>
      <c r="B152" t="s">
        <v>1657</v>
      </c>
      <c r="C152" t="s">
        <v>1657</v>
      </c>
      <c r="D152">
        <f>IF($B152&lt;&gt;"Yes","",IF($C152="No","Yes",IF($C152="Yes","No","")))</f>
      </c>
      <c r="E152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</c>
      <c r="F152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</c>
      <c r="G152" t="s">
        <v>2192</v>
      </c>
      <c r="H152" t="s">
        <v>2192</v>
      </c>
      <c r="AA152" t="s">
        <v>2031</v>
      </c>
      <c r="AD152" t="s">
        <v>1821</v>
      </c>
      <c r="AE152">
        <v>1</v>
      </c>
      <c r="AY152" t="s">
        <v>1657</v>
      </c>
      <c r="AZ152" t="s">
        <v>1727</v>
      </c>
      <c r="BB152" t="s">
        <v>1727</v>
      </c>
      <c r="BC152" t="s">
        <v>2347</v>
      </c>
      <c r="BL152">
        <f>IF($T152="","",IF((IF(AND($AW152&lt;&gt;"Yes",$AW152&lt;&gt;"N/A"),"Power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",""))="","",LEFT(IF(AND($AW152&lt;&gt;"Yes",$AW152&lt;&gt;"N/A"),"Power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",""),LEN(IF(AND($AW152&lt;&gt;"Yes",$AW152&lt;&gt;"N/A"),"Power Cable, ","")&amp;IF(AND($AX152&lt;&gt;"Yes",$AX152&lt;&gt;"N/A"),"Battery, ","")&amp;IF(AND($BE152&lt;&gt;"Yes",$BE152&lt;&gt;"N/A"),"Firmware Download, ","")&amp;IF(AND(OR($BE152="Yes",$BE152="N/A"),$BF152&lt;&gt;"Yes",$BF152&lt;&gt;"N/A"),"Firmware Install, ","")&amp;IF(AND($BJ152&lt;&gt;"Yes",$BJ152&lt;&gt;"N/A"),"Device ID, ","")&amp;IF(AND($BK152&lt;&gt;"Yes",$BK152&lt;&gt;"N/A"),"Epic Beans Relay, ",""))-2)))</f>
      </c>
      <c r="BM152">
        <f>IF($T152="","",IF($BL152="","Yes","Blocked"))</f>
      </c>
      <c r="BP152">
        <f>IF($BO152="","",IFERROR(VLOOKUP($BO152,'01_Warehouse_Ledger'!$A:$N,4,FALSE),""))</f>
      </c>
      <c r="BQ152">
        <f>IF($BO152="","",IFERROR(VLOOKUP($BO152,'01_Warehouse_Ledger'!$A:$N,5,FALSE),""))</f>
      </c>
      <c r="BR152">
        <f>IF($BO152="","",IFERROR(VLOOKUP($BO152,'01_Warehouse_Ledger'!$A:$N,13,FALSE),""))</f>
      </c>
      <c r="BS152" t="s">
        <v>1727</v>
      </c>
      <c r="BT152" t="s">
        <v>1727</v>
      </c>
      <c r="BU152" t="s">
        <v>1727</v>
      </c>
      <c r="BV152" t="s">
        <v>1727</v>
      </c>
    </row>
    <row r="153">
      <c r="A153" t="s">
        <v>1415</v>
      </c>
      <c r="B153" t="s">
        <v>1727</v>
      </c>
      <c r="C153" t="s">
        <v>1727</v>
      </c>
      <c r="D153">
        <f>IF($B153&lt;&gt;"Yes","",IF($C153="No","Yes",IF($C153="Yes","No","")))</f>
      </c>
      <c r="E153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</c>
      <c r="F153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</c>
      <c r="G153" t="s">
        <v>1365</v>
      </c>
      <c r="H153" t="s">
        <v>1365</v>
      </c>
      <c r="I153" t="s">
        <v>2380</v>
      </c>
      <c r="J153" t="s">
        <v>1866</v>
      </c>
      <c r="K153" t="s">
        <v>2267</v>
      </c>
      <c r="L153" t="s">
        <v>2267</v>
      </c>
      <c r="M153" t="s">
        <v>1692</v>
      </c>
      <c r="N153" t="s">
        <v>2143</v>
      </c>
      <c r="O153" t="s">
        <v>1380</v>
      </c>
      <c r="P153" t="s">
        <v>2217</v>
      </c>
      <c r="Q153">
        <v>46067.0</v>
      </c>
      <c r="R153" t="s">
        <v>2014</v>
      </c>
      <c r="U153" t="s">
        <v>2221</v>
      </c>
      <c r="Y153" t="s">
        <v>2193</v>
      </c>
      <c r="AA153" t="s">
        <v>2031</v>
      </c>
      <c r="AD153" t="s">
        <v>2307</v>
      </c>
      <c r="AE153">
        <v>2</v>
      </c>
      <c r="AF153" t="s">
        <v>1709</v>
      </c>
      <c r="AG153" t="s">
        <v>1724</v>
      </c>
      <c r="AI153">
        <v>5601483</v>
      </c>
      <c r="AJ153" t="s">
        <v>2255</v>
      </c>
      <c r="AK153" t="s">
        <v>1624</v>
      </c>
      <c r="AL153" t="s">
        <v>1946</v>
      </c>
      <c r="AM153" t="s">
        <v>1380</v>
      </c>
      <c r="AN153" t="s">
        <v>1380</v>
      </c>
      <c r="AO153" t="s">
        <v>1380</v>
      </c>
      <c r="AP153" t="s">
        <v>1380</v>
      </c>
      <c r="AQ153" t="s">
        <v>1380</v>
      </c>
      <c r="AR153" t="s">
        <v>1331</v>
      </c>
      <c r="AS153" t="s">
        <v>1626</v>
      </c>
      <c r="AY153" t="s">
        <v>1657</v>
      </c>
      <c r="AZ153" t="s">
        <v>1727</v>
      </c>
      <c r="BB153" t="s">
        <v>1727</v>
      </c>
      <c r="BI153" t="s">
        <v>1630</v>
      </c>
      <c r="BL153">
        <f>IF($T153="","",IF((IF(AND($AW153&lt;&gt;"Yes",$AW153&lt;&gt;"N/A"),"Power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",""))="","",LEFT(IF(AND($AW153&lt;&gt;"Yes",$AW153&lt;&gt;"N/A"),"Power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",""),LEN(IF(AND($AW153&lt;&gt;"Yes",$AW153&lt;&gt;"N/A"),"Power Cable, ","")&amp;IF(AND($AX153&lt;&gt;"Yes",$AX153&lt;&gt;"N/A"),"Battery, ","")&amp;IF(AND($BE153&lt;&gt;"Yes",$BE153&lt;&gt;"N/A"),"Firmware Download, ","")&amp;IF(AND(OR($BE153="Yes",$BE153="N/A"),$BF153&lt;&gt;"Yes",$BF153&lt;&gt;"N/A"),"Firmware Install, ","")&amp;IF(AND($BJ153&lt;&gt;"Yes",$BJ153&lt;&gt;"N/A"),"Device ID, ","")&amp;IF(AND($BK153&lt;&gt;"Yes",$BK153&lt;&gt;"N/A"),"Epic Beans Relay, ",""))-2)))</f>
      </c>
      <c r="BM153">
        <f>IF($T153="","",IF($BL153="","Yes","Blocked"))</f>
      </c>
      <c r="BP153">
        <f>IF($BO153="","",IFERROR(VLOOKUP($BO153,'01_Warehouse_Ledger'!$A:$N,4,FALSE),""))</f>
      </c>
      <c r="BQ153">
        <f>IF($BO153="","",IFERROR(VLOOKUP($BO153,'01_Warehouse_Ledger'!$A:$N,5,FALSE),""))</f>
      </c>
      <c r="BR153">
        <f>IF($BO153="","",IFERROR(VLOOKUP($BO153,'01_Warehouse_Ledger'!$A:$N,13,FALSE),""))</f>
      </c>
      <c r="BS153" t="s">
        <v>1657</v>
      </c>
      <c r="BT153" t="s">
        <v>1727</v>
      </c>
      <c r="BU153" t="s">
        <v>1727</v>
      </c>
      <c r="BV153" t="s">
        <v>1657</v>
      </c>
      <c r="BW153" t="s">
        <v>1727</v>
      </c>
    </row>
    <row r="154">
      <c r="A154" t="s">
        <v>1415</v>
      </c>
      <c r="B154" t="s">
        <v>1727</v>
      </c>
      <c r="C154" t="s">
        <v>1727</v>
      </c>
      <c r="D154">
        <f>IF($B154&lt;&gt;"Yes","",IF($C154="No","Yes",IF($C154="Yes","No","")))</f>
      </c>
      <c r="E154" t="s">
        <v>1657</v>
      </c>
      <c r="F154" t="s">
        <v>1657</v>
      </c>
      <c r="G154" t="s">
        <v>1365</v>
      </c>
      <c r="H154" t="s">
        <v>1365</v>
      </c>
      <c r="I154" t="s">
        <v>2380</v>
      </c>
      <c r="J154" t="s">
        <v>1866</v>
      </c>
      <c r="K154" t="s">
        <v>2267</v>
      </c>
      <c r="L154" t="s">
        <v>2267</v>
      </c>
      <c r="M154" t="s">
        <v>1692</v>
      </c>
      <c r="N154" t="s">
        <v>2143</v>
      </c>
      <c r="O154" t="s">
        <v>1380</v>
      </c>
      <c r="P154" t="s">
        <v>2217</v>
      </c>
      <c r="Q154">
        <v>46067.0</v>
      </c>
      <c r="R154" t="s">
        <v>1985</v>
      </c>
      <c r="Y154" t="s">
        <v>2027</v>
      </c>
      <c r="AA154" t="s">
        <v>2031</v>
      </c>
      <c r="AD154" t="s">
        <v>2054</v>
      </c>
      <c r="AE154">
        <v>2</v>
      </c>
      <c r="AF154" t="s">
        <v>1709</v>
      </c>
      <c r="AG154" t="s">
        <v>2271</v>
      </c>
      <c r="AI154">
        <v>5601483</v>
      </c>
      <c r="AJ154" t="s">
        <v>2255</v>
      </c>
      <c r="AK154" t="s">
        <v>1624</v>
      </c>
      <c r="AL154" t="s">
        <v>1946</v>
      </c>
      <c r="AM154" t="s">
        <v>1380</v>
      </c>
      <c r="AN154" t="s">
        <v>1380</v>
      </c>
      <c r="AO154" t="s">
        <v>1380</v>
      </c>
      <c r="AP154" t="s">
        <v>1380</v>
      </c>
      <c r="AQ154" t="s">
        <v>1380</v>
      </c>
      <c r="AR154" t="s">
        <v>1331</v>
      </c>
      <c r="AS154" t="s">
        <v>1626</v>
      </c>
      <c r="AY154" t="s">
        <v>1657</v>
      </c>
      <c r="AZ154" t="s">
        <v>1727</v>
      </c>
      <c r="BB154" t="s">
        <v>1727</v>
      </c>
      <c r="BI154" t="s">
        <v>1630</v>
      </c>
      <c r="BS154" t="s">
        <v>1657</v>
      </c>
      <c r="BT154" t="s">
        <v>1727</v>
      </c>
      <c r="BU154" t="s">
        <v>1727</v>
      </c>
      <c r="BV154" t="s">
        <v>1657</v>
      </c>
      <c r="BW154" t="s">
        <v>1727</v>
      </c>
    </row>
    <row r="155">
      <c r="A155" t="s">
        <v>1415</v>
      </c>
      <c r="B155" t="s">
        <v>1727</v>
      </c>
      <c r="C155" t="s">
        <v>1727</v>
      </c>
      <c r="D155">
        <f>IF($B155&lt;&gt;"Yes","",IF($C155="No","Yes",IF($C155="Yes","No","")))</f>
      </c>
      <c r="E155" t="s">
        <v>1657</v>
      </c>
      <c r="F155" t="s">
        <v>1657</v>
      </c>
      <c r="G155" t="s">
        <v>1365</v>
      </c>
      <c r="H155" t="s">
        <v>1365</v>
      </c>
      <c r="I155" t="s">
        <v>2380</v>
      </c>
      <c r="J155" t="s">
        <v>1866</v>
      </c>
      <c r="K155" t="s">
        <v>2267</v>
      </c>
      <c r="L155" t="s">
        <v>2267</v>
      </c>
      <c r="M155" t="s">
        <v>1692</v>
      </c>
      <c r="N155" t="s">
        <v>2143</v>
      </c>
      <c r="O155" t="s">
        <v>1380</v>
      </c>
      <c r="P155" t="s">
        <v>2217</v>
      </c>
      <c r="Q155">
        <v>46067.0</v>
      </c>
      <c r="R155" t="s">
        <v>2085</v>
      </c>
      <c r="Y155" t="s">
        <v>2287</v>
      </c>
      <c r="AA155" t="s">
        <v>2031</v>
      </c>
      <c r="AD155" t="s">
        <v>1927</v>
      </c>
      <c r="AE155">
        <v>2</v>
      </c>
      <c r="AF155" t="s">
        <v>1709</v>
      </c>
      <c r="AG155" t="s">
        <v>1969</v>
      </c>
      <c r="AI155">
        <v>5601483</v>
      </c>
      <c r="AJ155" t="s">
        <v>2255</v>
      </c>
      <c r="AK155" t="s">
        <v>1624</v>
      </c>
      <c r="AL155" t="s">
        <v>1946</v>
      </c>
      <c r="AM155" t="s">
        <v>1380</v>
      </c>
      <c r="AN155" t="s">
        <v>1380</v>
      </c>
      <c r="AO155" t="s">
        <v>1380</v>
      </c>
      <c r="AP155" t="s">
        <v>1380</v>
      </c>
      <c r="AQ155" t="s">
        <v>1380</v>
      </c>
      <c r="AR155" t="s">
        <v>1331</v>
      </c>
      <c r="AS155" t="s">
        <v>1626</v>
      </c>
      <c r="AY155" t="s">
        <v>1657</v>
      </c>
      <c r="AZ155" t="s">
        <v>1727</v>
      </c>
      <c r="BB155" t="s">
        <v>1727</v>
      </c>
      <c r="BI155" t="s">
        <v>1630</v>
      </c>
      <c r="BS155" t="s">
        <v>1657</v>
      </c>
      <c r="BT155" t="s">
        <v>1727</v>
      </c>
      <c r="BU155" t="s">
        <v>1727</v>
      </c>
      <c r="BV155" t="s">
        <v>1657</v>
      </c>
      <c r="BW155" t="s">
        <v>1727</v>
      </c>
    </row>
    <row r="156">
      <c r="A156" t="s">
        <v>1415</v>
      </c>
      <c r="B156" t="s">
        <v>1727</v>
      </c>
      <c r="C156" t="s">
        <v>1727</v>
      </c>
      <c r="D156">
        <f>IF($B156&lt;&gt;"Yes","",IF($C156="No","Yes",IF($C156="Yes","No","")))</f>
      </c>
      <c r="E156" t="s">
        <v>1657</v>
      </c>
      <c r="F156" t="s">
        <v>1657</v>
      </c>
      <c r="G156" t="s">
        <v>1365</v>
      </c>
      <c r="H156" t="s">
        <v>1365</v>
      </c>
      <c r="I156" t="s">
        <v>2380</v>
      </c>
      <c r="J156" t="s">
        <v>1866</v>
      </c>
      <c r="K156" t="s">
        <v>2267</v>
      </c>
      <c r="L156" t="s">
        <v>2267</v>
      </c>
      <c r="M156" t="s">
        <v>1692</v>
      </c>
      <c r="N156" t="s">
        <v>2143</v>
      </c>
      <c r="O156" t="s">
        <v>1380</v>
      </c>
      <c r="P156" t="s">
        <v>2217</v>
      </c>
      <c r="Q156">
        <v>46067.0</v>
      </c>
      <c r="R156" t="s">
        <v>1693</v>
      </c>
      <c r="Y156" t="s">
        <v>2295</v>
      </c>
      <c r="AA156" t="s">
        <v>2031</v>
      </c>
      <c r="AD156" t="s">
        <v>1824</v>
      </c>
      <c r="AE156">
        <v>2</v>
      </c>
      <c r="AF156" t="s">
        <v>1709</v>
      </c>
      <c r="AG156" t="s">
        <v>1736</v>
      </c>
      <c r="AI156">
        <v>5601483</v>
      </c>
      <c r="AJ156" t="s">
        <v>2255</v>
      </c>
      <c r="AK156" t="s">
        <v>1624</v>
      </c>
      <c r="AL156" t="s">
        <v>1946</v>
      </c>
      <c r="AM156" t="s">
        <v>1380</v>
      </c>
      <c r="AN156" t="s">
        <v>1380</v>
      </c>
      <c r="AO156" t="s">
        <v>1380</v>
      </c>
      <c r="AP156" t="s">
        <v>1380</v>
      </c>
      <c r="AQ156" t="s">
        <v>1380</v>
      </c>
      <c r="AR156" t="s">
        <v>1331</v>
      </c>
      <c r="AS156" t="s">
        <v>1626</v>
      </c>
      <c r="AY156" t="s">
        <v>1657</v>
      </c>
      <c r="AZ156" t="s">
        <v>1727</v>
      </c>
      <c r="BB156" t="s">
        <v>1727</v>
      </c>
      <c r="BI156" t="s">
        <v>1630</v>
      </c>
      <c r="BS156" t="s">
        <v>1657</v>
      </c>
      <c r="BT156" t="s">
        <v>1727</v>
      </c>
      <c r="BU156" t="s">
        <v>1727</v>
      </c>
      <c r="BV156" t="s">
        <v>1657</v>
      </c>
      <c r="BW156" t="s">
        <v>1727</v>
      </c>
    </row>
    <row r="157">
      <c r="A157" t="s">
        <v>1415</v>
      </c>
      <c r="B157" t="s">
        <v>1727</v>
      </c>
      <c r="C157" t="s">
        <v>1727</v>
      </c>
      <c r="D157">
        <f>IF($B157&lt;&gt;"Yes","",IF($C157="No","Yes",IF($C157="Yes","No","")))</f>
      </c>
      <c r="E157" t="s">
        <v>1657</v>
      </c>
      <c r="F157" t="s">
        <v>1657</v>
      </c>
      <c r="G157" t="s">
        <v>1365</v>
      </c>
      <c r="H157" t="s">
        <v>1365</v>
      </c>
      <c r="I157" t="s">
        <v>2380</v>
      </c>
      <c r="J157" t="s">
        <v>1866</v>
      </c>
      <c r="K157" t="s">
        <v>2267</v>
      </c>
      <c r="L157" t="s">
        <v>2267</v>
      </c>
      <c r="M157" t="s">
        <v>1692</v>
      </c>
      <c r="N157" t="s">
        <v>2143</v>
      </c>
      <c r="O157" t="s">
        <v>1380</v>
      </c>
      <c r="P157" t="s">
        <v>2217</v>
      </c>
      <c r="Q157">
        <v>46067.0</v>
      </c>
      <c r="R157" t="s">
        <v>2232</v>
      </c>
      <c r="Y157" t="s">
        <v>1838</v>
      </c>
      <c r="AA157" t="s">
        <v>2031</v>
      </c>
      <c r="AD157" t="s">
        <v>1689</v>
      </c>
      <c r="AE157">
        <v>2</v>
      </c>
      <c r="AF157" t="s">
        <v>1709</v>
      </c>
      <c r="AG157" t="s">
        <v>1687</v>
      </c>
      <c r="AI157">
        <v>5601483</v>
      </c>
      <c r="AJ157" t="s">
        <v>2255</v>
      </c>
      <c r="AK157" t="s">
        <v>1624</v>
      </c>
      <c r="AL157" t="s">
        <v>1946</v>
      </c>
      <c r="AM157" t="s">
        <v>1380</v>
      </c>
      <c r="AN157" t="s">
        <v>1380</v>
      </c>
      <c r="AO157" t="s">
        <v>1380</v>
      </c>
      <c r="AP157" t="s">
        <v>1380</v>
      </c>
      <c r="AQ157" t="s">
        <v>1380</v>
      </c>
      <c r="AR157" t="s">
        <v>1331</v>
      </c>
      <c r="AS157" t="s">
        <v>1626</v>
      </c>
      <c r="AY157" t="s">
        <v>1657</v>
      </c>
      <c r="AZ157" t="s">
        <v>1727</v>
      </c>
      <c r="BB157" t="s">
        <v>1727</v>
      </c>
      <c r="BI157" t="s">
        <v>1630</v>
      </c>
      <c r="BS157" t="s">
        <v>1657</v>
      </c>
      <c r="BT157" t="s">
        <v>1727</v>
      </c>
      <c r="BU157" t="s">
        <v>1727</v>
      </c>
      <c r="BV157" t="s">
        <v>1657</v>
      </c>
      <c r="BW157" t="s">
        <v>1727</v>
      </c>
    </row>
    <row r="158">
      <c r="A158" t="s">
        <v>1415</v>
      </c>
      <c r="B158" t="s">
        <v>1727</v>
      </c>
      <c r="C158" t="s">
        <v>1727</v>
      </c>
      <c r="D158">
        <f>IF($B158&lt;&gt;"Yes","",IF($C158="No","Yes",IF($C158="Yes","No","")))</f>
      </c>
      <c r="E158" t="s">
        <v>1657</v>
      </c>
      <c r="F158" t="s">
        <v>1657</v>
      </c>
      <c r="G158" t="s">
        <v>1365</v>
      </c>
      <c r="H158" t="s">
        <v>1365</v>
      </c>
      <c r="I158" t="s">
        <v>2380</v>
      </c>
      <c r="J158" t="s">
        <v>1866</v>
      </c>
      <c r="K158" t="s">
        <v>2267</v>
      </c>
      <c r="L158" t="s">
        <v>2267</v>
      </c>
      <c r="M158" t="s">
        <v>1692</v>
      </c>
      <c r="N158" t="s">
        <v>2143</v>
      </c>
      <c r="O158" t="s">
        <v>1380</v>
      </c>
      <c r="P158" t="s">
        <v>2217</v>
      </c>
      <c r="Q158">
        <v>46067.0</v>
      </c>
      <c r="R158" t="s">
        <v>1930</v>
      </c>
      <c r="Y158" t="s">
        <v>2381</v>
      </c>
      <c r="AA158" t="s">
        <v>2031</v>
      </c>
      <c r="AD158" t="s">
        <v>1837</v>
      </c>
      <c r="AE158">
        <v>2</v>
      </c>
      <c r="AF158" t="s">
        <v>1709</v>
      </c>
      <c r="AG158" t="s">
        <v>2136</v>
      </c>
      <c r="AI158">
        <v>5601483</v>
      </c>
      <c r="AJ158" t="s">
        <v>2255</v>
      </c>
      <c r="AK158" t="s">
        <v>1624</v>
      </c>
      <c r="AL158" t="s">
        <v>1946</v>
      </c>
      <c r="AM158" t="s">
        <v>1380</v>
      </c>
      <c r="AN158" t="s">
        <v>1380</v>
      </c>
      <c r="AO158" t="s">
        <v>1380</v>
      </c>
      <c r="AP158" t="s">
        <v>1380</v>
      </c>
      <c r="AQ158" t="s">
        <v>1380</v>
      </c>
      <c r="AR158" t="s">
        <v>1331</v>
      </c>
      <c r="AS158" t="s">
        <v>1626</v>
      </c>
      <c r="AY158" t="s">
        <v>1657</v>
      </c>
      <c r="AZ158" t="s">
        <v>1727</v>
      </c>
      <c r="BB158" t="s">
        <v>1727</v>
      </c>
      <c r="BI158" t="s">
        <v>1630</v>
      </c>
      <c r="BS158" t="s">
        <v>1657</v>
      </c>
      <c r="BT158" t="s">
        <v>1727</v>
      </c>
      <c r="BU158" t="s">
        <v>1727</v>
      </c>
      <c r="BV158" t="s">
        <v>1657</v>
      </c>
      <c r="BW158" t="s">
        <v>1727</v>
      </c>
    </row>
    <row r="159">
      <c r="A159" t="s">
        <v>1415</v>
      </c>
      <c r="B159" t="s">
        <v>1727</v>
      </c>
      <c r="C159" t="s">
        <v>1727</v>
      </c>
      <c r="D159">
        <f>IF($B159&lt;&gt;"Yes","",IF($C159="No","Yes",IF($C159="Yes","No","")))</f>
      </c>
      <c r="E159" t="s">
        <v>1657</v>
      </c>
      <c r="F159" t="s">
        <v>1657</v>
      </c>
      <c r="G159" t="s">
        <v>1365</v>
      </c>
      <c r="H159" t="s">
        <v>1365</v>
      </c>
      <c r="I159" t="s">
        <v>2380</v>
      </c>
      <c r="J159" t="s">
        <v>1866</v>
      </c>
      <c r="K159" t="s">
        <v>2267</v>
      </c>
      <c r="L159" t="s">
        <v>2267</v>
      </c>
      <c r="M159" t="s">
        <v>1692</v>
      </c>
      <c r="N159" t="s">
        <v>2143</v>
      </c>
      <c r="O159" t="s">
        <v>1380</v>
      </c>
      <c r="P159" t="s">
        <v>2217</v>
      </c>
      <c r="Q159">
        <v>46067.0</v>
      </c>
      <c r="R159" t="s">
        <v>1935</v>
      </c>
      <c r="Y159" t="s">
        <v>2406</v>
      </c>
      <c r="AA159" t="s">
        <v>2031</v>
      </c>
      <c r="AD159" t="s">
        <v>2322</v>
      </c>
      <c r="AE159">
        <v>2</v>
      </c>
      <c r="AF159" t="s">
        <v>1709</v>
      </c>
      <c r="AG159" t="s">
        <v>2290</v>
      </c>
      <c r="AI159">
        <v>5601483</v>
      </c>
      <c r="AJ159" t="s">
        <v>2255</v>
      </c>
      <c r="AK159" t="s">
        <v>1624</v>
      </c>
      <c r="AL159" t="s">
        <v>1946</v>
      </c>
      <c r="AM159" t="s">
        <v>1380</v>
      </c>
      <c r="AN159" t="s">
        <v>1380</v>
      </c>
      <c r="AO159" t="s">
        <v>1380</v>
      </c>
      <c r="AP159" t="s">
        <v>1380</v>
      </c>
      <c r="AQ159" t="s">
        <v>1380</v>
      </c>
      <c r="AR159" t="s">
        <v>1331</v>
      </c>
      <c r="AS159" t="s">
        <v>1626</v>
      </c>
      <c r="AY159" t="s">
        <v>1657</v>
      </c>
      <c r="AZ159" t="s">
        <v>1727</v>
      </c>
      <c r="BB159" t="s">
        <v>1727</v>
      </c>
      <c r="BI159" t="s">
        <v>1630</v>
      </c>
      <c r="BS159" t="s">
        <v>1657</v>
      </c>
      <c r="BT159" t="s">
        <v>1727</v>
      </c>
      <c r="BU159" t="s">
        <v>1727</v>
      </c>
      <c r="BV159" t="s">
        <v>1657</v>
      </c>
      <c r="BW159" t="s">
        <v>1727</v>
      </c>
    </row>
    <row r="160">
      <c r="A160" t="s">
        <v>1415</v>
      </c>
      <c r="B160" t="s">
        <v>1727</v>
      </c>
      <c r="C160" t="s">
        <v>1727</v>
      </c>
      <c r="D160">
        <f>IF($B160&lt;&gt;"Yes","",IF($C160="No","Yes",IF($C160="Yes","No","")))</f>
      </c>
      <c r="E160" t="s">
        <v>1657</v>
      </c>
      <c r="F160" t="s">
        <v>1657</v>
      </c>
      <c r="G160" t="s">
        <v>1365</v>
      </c>
      <c r="H160" t="s">
        <v>1365</v>
      </c>
      <c r="I160" t="s">
        <v>2380</v>
      </c>
      <c r="J160" t="s">
        <v>1866</v>
      </c>
      <c r="K160" t="s">
        <v>2267</v>
      </c>
      <c r="L160" t="s">
        <v>2267</v>
      </c>
      <c r="M160" t="s">
        <v>1692</v>
      </c>
      <c r="N160" t="s">
        <v>2143</v>
      </c>
      <c r="O160" t="s">
        <v>1380</v>
      </c>
      <c r="P160" t="s">
        <v>2217</v>
      </c>
      <c r="Q160">
        <v>46067.0</v>
      </c>
      <c r="R160" t="s">
        <v>2239</v>
      </c>
      <c r="Y160" t="s">
        <v>2157</v>
      </c>
      <c r="AA160" t="s">
        <v>2031</v>
      </c>
      <c r="AD160" t="s">
        <v>2263</v>
      </c>
      <c r="AE160">
        <v>2</v>
      </c>
      <c r="AF160" t="s">
        <v>1709</v>
      </c>
      <c r="AG160" t="s">
        <v>1804</v>
      </c>
      <c r="AI160">
        <v>5601483</v>
      </c>
      <c r="AJ160" t="s">
        <v>2255</v>
      </c>
      <c r="AK160" t="s">
        <v>1624</v>
      </c>
      <c r="AL160" t="s">
        <v>1946</v>
      </c>
      <c r="AM160" t="s">
        <v>1380</v>
      </c>
      <c r="AN160" t="s">
        <v>1380</v>
      </c>
      <c r="AO160" t="s">
        <v>1380</v>
      </c>
      <c r="AP160" t="s">
        <v>1380</v>
      </c>
      <c r="AQ160" t="s">
        <v>1380</v>
      </c>
      <c r="AR160" t="s">
        <v>1331</v>
      </c>
      <c r="AS160" t="s">
        <v>1626</v>
      </c>
      <c r="AY160" t="s">
        <v>1657</v>
      </c>
      <c r="AZ160" t="s">
        <v>1727</v>
      </c>
      <c r="BB160" t="s">
        <v>1727</v>
      </c>
      <c r="BI160" t="s">
        <v>1630</v>
      </c>
      <c r="BS160" t="s">
        <v>1657</v>
      </c>
      <c r="BT160" t="s">
        <v>1727</v>
      </c>
      <c r="BU160" t="s">
        <v>1727</v>
      </c>
      <c r="BV160" t="s">
        <v>1657</v>
      </c>
      <c r="BW160" t="s">
        <v>1727</v>
      </c>
    </row>
    <row r="161">
      <c r="A161" t="s">
        <v>1415</v>
      </c>
      <c r="B161" t="s">
        <v>1727</v>
      </c>
      <c r="C161" t="s">
        <v>1727</v>
      </c>
      <c r="D161">
        <f>IF($B161&lt;&gt;"Yes","",IF($C161="No","Yes",IF($C161="Yes","No","")))</f>
      </c>
      <c r="E161" t="s">
        <v>1657</v>
      </c>
      <c r="F161" t="s">
        <v>1657</v>
      </c>
      <c r="G161" t="s">
        <v>1365</v>
      </c>
      <c r="H161" t="s">
        <v>1365</v>
      </c>
      <c r="I161" t="s">
        <v>2380</v>
      </c>
      <c r="J161" t="s">
        <v>1866</v>
      </c>
      <c r="K161" t="s">
        <v>2267</v>
      </c>
      <c r="L161" t="s">
        <v>2267</v>
      </c>
      <c r="M161" t="s">
        <v>1692</v>
      </c>
      <c r="N161" t="s">
        <v>2143</v>
      </c>
      <c r="O161" t="s">
        <v>1380</v>
      </c>
      <c r="P161" t="s">
        <v>2217</v>
      </c>
      <c r="Q161">
        <v>46067.0</v>
      </c>
      <c r="R161" t="s">
        <v>1919</v>
      </c>
      <c r="Y161" t="s">
        <v>1971</v>
      </c>
      <c r="AA161" t="s">
        <v>2031</v>
      </c>
      <c r="AD161" t="s">
        <v>2412</v>
      </c>
      <c r="AE161">
        <v>2</v>
      </c>
      <c r="AF161" t="s">
        <v>1709</v>
      </c>
      <c r="AG161" t="s">
        <v>1653</v>
      </c>
      <c r="AI161">
        <v>5601483</v>
      </c>
      <c r="AJ161" t="s">
        <v>2255</v>
      </c>
      <c r="AK161" t="s">
        <v>1624</v>
      </c>
      <c r="AL161" t="s">
        <v>1946</v>
      </c>
      <c r="AM161" t="s">
        <v>1380</v>
      </c>
      <c r="AN161" t="s">
        <v>1380</v>
      </c>
      <c r="AO161" t="s">
        <v>1380</v>
      </c>
      <c r="AP161" t="s">
        <v>1380</v>
      </c>
      <c r="AQ161" t="s">
        <v>1380</v>
      </c>
      <c r="AR161" t="s">
        <v>1331</v>
      </c>
      <c r="AS161" t="s">
        <v>1626</v>
      </c>
      <c r="AY161" t="s">
        <v>1657</v>
      </c>
      <c r="AZ161" t="s">
        <v>1727</v>
      </c>
      <c r="BB161" t="s">
        <v>1727</v>
      </c>
      <c r="BI161" t="s">
        <v>1630</v>
      </c>
      <c r="BS161" t="s">
        <v>1657</v>
      </c>
      <c r="BT161" t="s">
        <v>1727</v>
      </c>
      <c r="BU161" t="s">
        <v>1727</v>
      </c>
      <c r="BV161" t="s">
        <v>1657</v>
      </c>
      <c r="BW161" t="s">
        <v>1727</v>
      </c>
    </row>
    <row r="162">
      <c r="A162" t="s">
        <v>1415</v>
      </c>
      <c r="B162" t="s">
        <v>1657</v>
      </c>
      <c r="C162" t="s">
        <v>1670</v>
      </c>
      <c r="D162">
        <f>IF($B162&lt;&gt;"Yes","",IF($C162="No","Yes",IF($C162="Yes","No","")))</f>
      </c>
      <c r="G162" t="s">
        <v>1983</v>
      </c>
      <c r="H162" t="s">
        <v>1903</v>
      </c>
      <c r="I162" t="s">
        <v>1831</v>
      </c>
      <c r="M162" t="s">
        <v>1692</v>
      </c>
      <c r="R162" t="s">
        <v>2100</v>
      </c>
      <c r="Y162" t="s">
        <v>1975</v>
      </c>
      <c r="Z162" t="s">
        <v>1741</v>
      </c>
      <c r="BI162" t="s">
        <v>1630</v>
      </c>
    </row>
    <row r="163">
      <c r="A163" t="s">
        <v>1415</v>
      </c>
      <c r="B163" t="s">
        <v>1657</v>
      </c>
      <c r="D163">
        <f>IF($B163&lt;&gt;"Yes","",IF($C163="No","Yes",IF($C163="Yes","No","")))</f>
      </c>
      <c r="G163" t="s">
        <v>1983</v>
      </c>
      <c r="H163" t="s">
        <v>1903</v>
      </c>
      <c r="I163" t="s">
        <v>1831</v>
      </c>
      <c r="R163" t="s">
        <v>2040</v>
      </c>
      <c r="Y163" t="s">
        <v>1766</v>
      </c>
      <c r="Z163" t="s">
        <v>2107</v>
      </c>
    </row>
    <row r="164">
      <c r="A164" t="s">
        <v>1415</v>
      </c>
      <c r="B164" t="s">
        <v>1657</v>
      </c>
      <c r="D164">
        <f>IF($B164&lt;&gt;"Yes","",IF($C164="No","Yes",IF($C164="Yes","No","")))</f>
      </c>
      <c r="G164" t="s">
        <v>1983</v>
      </c>
      <c r="H164" t="s">
        <v>1903</v>
      </c>
      <c r="I164" t="s">
        <v>1831</v>
      </c>
      <c r="R164" t="s">
        <v>1668</v>
      </c>
      <c r="Y164" t="s">
        <v>2215</v>
      </c>
      <c r="Z164" t="s">
        <v>2108</v>
      </c>
    </row>
    <row r="165">
      <c r="A165" t="s">
        <v>1415</v>
      </c>
      <c r="B165" t="s">
        <v>1657</v>
      </c>
      <c r="D165">
        <f>IF($B165&lt;&gt;"Yes","",IF($C165="No","Yes",IF($C165="Yes","No","")))</f>
      </c>
      <c r="G165" t="s">
        <v>1880</v>
      </c>
      <c r="I165" t="s">
        <v>1831</v>
      </c>
      <c r="R165" t="s">
        <v>1676</v>
      </c>
      <c r="Y165" t="s">
        <v>2011</v>
      </c>
      <c r="Z165" t="s">
        <v>1907</v>
      </c>
    </row>
    <row r="166">
      <c r="A166" t="s">
        <v>1415</v>
      </c>
      <c r="B166" t="s">
        <v>1657</v>
      </c>
      <c r="D166">
        <f>IF($B166&lt;&gt;"Yes","",IF($C166="No","Yes",IF($C166="Yes","No","")))</f>
      </c>
      <c r="G166" t="s">
        <v>1880</v>
      </c>
      <c r="I166" t="s">
        <v>1831</v>
      </c>
      <c r="R166" t="s">
        <v>1646</v>
      </c>
      <c r="Y166" t="s">
        <v>1825</v>
      </c>
      <c r="Z166" t="s">
        <v>2252</v>
      </c>
    </row>
    <row r="167">
      <c r="D167">
        <f>IF($B167&lt;&gt;"Yes","",IF($C167="No","Yes",IF($C167="Yes","No","")))</f>
      </c>
      <c r="E167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</c>
      <c r="F167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</c>
      <c r="BL167">
        <f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</c>
      <c r="BM167">
        <f>IF($T167="","",IF($BL167="","Yes","Blocked"))</f>
      </c>
      <c r="BP167">
        <f>IF($BO167="","",IFERROR(VLOOKUP($BO167,'01_Warehouse_Ledger'!$A:$N,4,FALSE),""))</f>
      </c>
      <c r="BQ167">
        <f>IF($BO167="","",IFERROR(VLOOKUP($BO167,'01_Warehouse_Ledger'!$A:$N,5,FALSE),""))</f>
      </c>
      <c r="BR167">
        <f>IF($BO167="","",IFERROR(VLOOKUP($BO167,'01_Warehouse_Ledger'!$A:$N,13,FALSE),""))</f>
      </c>
    </row>
    <row r="168">
      <c r="D168">
        <f>IF($B168&lt;&gt;"Yes","",IF($C168="No","Yes",IF($C168="Yes","No","")))</f>
      </c>
      <c r="E168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</c>
      <c r="F168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</c>
      <c r="BL168">
        <f>IF($T168="","",IF((IF(AND($AW168&lt;&gt;"Yes",$AW168&lt;&gt;"N/A"),"Power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",""))="","",LEFT(IF(AND($AW168&lt;&gt;"Yes",$AW168&lt;&gt;"N/A"),"Power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",""),LEN(IF(AND($AW168&lt;&gt;"Yes",$AW168&lt;&gt;"N/A"),"Power Cable, ","")&amp;IF(AND($AX168&lt;&gt;"Yes",$AX168&lt;&gt;"N/A"),"Battery, ","")&amp;IF(AND($BE168&lt;&gt;"Yes",$BE168&lt;&gt;"N/A"),"Firmware Download, ","")&amp;IF(AND(OR($BE168="Yes",$BE168="N/A"),$BF168&lt;&gt;"Yes",$BF168&lt;&gt;"N/A"),"Firmware Install, ","")&amp;IF(AND($BJ168&lt;&gt;"Yes",$BJ168&lt;&gt;"N/A"),"Device ID, ","")&amp;IF(AND($BK168&lt;&gt;"Yes",$BK168&lt;&gt;"N/A"),"Epic Beans Relay, ",""))-2)))</f>
      </c>
      <c r="BM168">
        <f>IF($T168="","",IF($BL168="","Yes","Blocked"))</f>
      </c>
      <c r="BP168">
        <f>IF($BO168="","",IFERROR(VLOOKUP($BO168,'01_Warehouse_Ledger'!$A:$N,4,FALSE),""))</f>
      </c>
      <c r="BQ168">
        <f>IF($BO168="","",IFERROR(VLOOKUP($BO168,'01_Warehouse_Ledger'!$A:$N,5,FALSE),""))</f>
      </c>
      <c r="BR168">
        <f>IF($BO168="","",IFERROR(VLOOKUP($BO168,'01_Warehouse_Ledger'!$A:$N,13,FALSE),""))</f>
      </c>
    </row>
    <row r="169">
      <c r="D169">
        <f>IF($B169&lt;&gt;"Yes","",IF($C169="No","Yes",IF($C169="Yes","No","")))</f>
      </c>
      <c r="E169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</c>
      <c r="F169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</c>
      <c r="BL169">
        <f>IF($T169="","",IF((IF(AND($AW169&lt;&gt;"Yes",$AW169&lt;&gt;"N/A"),"Power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",""))="","",LEFT(IF(AND($AW169&lt;&gt;"Yes",$AW169&lt;&gt;"N/A"),"Power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",""),LEN(IF(AND($AW169&lt;&gt;"Yes",$AW169&lt;&gt;"N/A"),"Power Cable, ","")&amp;IF(AND($AX169&lt;&gt;"Yes",$AX169&lt;&gt;"N/A"),"Battery, ","")&amp;IF(AND($BE169&lt;&gt;"Yes",$BE169&lt;&gt;"N/A"),"Firmware Download, ","")&amp;IF(AND(OR($BE169="Yes",$BE169="N/A"),$BF169&lt;&gt;"Yes",$BF169&lt;&gt;"N/A"),"Firmware Install, ","")&amp;IF(AND($BJ169&lt;&gt;"Yes",$BJ169&lt;&gt;"N/A"),"Device ID, ","")&amp;IF(AND($BK169&lt;&gt;"Yes",$BK169&lt;&gt;"N/A"),"Epic Beans Relay, ",""))-2)))</f>
      </c>
      <c r="BM169">
        <f>IF($T169="","",IF($BL169="","Yes","Blocked"))</f>
      </c>
      <c r="BP169">
        <f>IF($BO169="","",IFERROR(VLOOKUP($BO169,'01_Warehouse_Ledger'!$A:$N,4,FALSE),""))</f>
      </c>
      <c r="BQ169">
        <f>IF($BO169="","",IFERROR(VLOOKUP($BO169,'01_Warehouse_Ledger'!$A:$N,5,FALSE),""))</f>
      </c>
      <c r="BR169">
        <f>IF($BO169="","",IFERROR(VLOOKUP($BO169,'01_Warehouse_Ledger'!$A:$N,13,FALSE),""))</f>
      </c>
    </row>
    <row r="170">
      <c r="D170">
        <f>IF($B170&lt;&gt;"Yes","",IF($C170="No","Yes",IF($C170="Yes","No","")))</f>
      </c>
      <c r="E170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</c>
      <c r="F170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</c>
      <c r="BL170">
        <f>IF($T170="","",IF((IF(AND($AW170&lt;&gt;"Yes",$AW170&lt;&gt;"N/A"),"Power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",""))="","",LEFT(IF(AND($AW170&lt;&gt;"Yes",$AW170&lt;&gt;"N/A"),"Power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",""),LEN(IF(AND($AW170&lt;&gt;"Yes",$AW170&lt;&gt;"N/A"),"Power Cable, ","")&amp;IF(AND($AX170&lt;&gt;"Yes",$AX170&lt;&gt;"N/A"),"Battery, ","")&amp;IF(AND($BE170&lt;&gt;"Yes",$BE170&lt;&gt;"N/A"),"Firmware Download, ","")&amp;IF(AND(OR($BE170="Yes",$BE170="N/A"),$BF170&lt;&gt;"Yes",$BF170&lt;&gt;"N/A"),"Firmware Install, ","")&amp;IF(AND($BJ170&lt;&gt;"Yes",$BJ170&lt;&gt;"N/A"),"Device ID, ","")&amp;IF(AND($BK170&lt;&gt;"Yes",$BK170&lt;&gt;"N/A"),"Epic Beans Relay, ",""))-2)))</f>
      </c>
      <c r="BM170">
        <f>IF($T170="","",IF($BL170="","Yes","Blocked"))</f>
      </c>
      <c r="BP170">
        <f>IF($BO170="","",IFERROR(VLOOKUP($BO170,'01_Warehouse_Ledger'!$A:$N,4,FALSE),""))</f>
      </c>
      <c r="BQ170">
        <f>IF($BO170="","",IFERROR(VLOOKUP($BO170,'01_Warehouse_Ledger'!$A:$N,5,FALSE),""))</f>
      </c>
      <c r="BR170">
        <f>IF($BO170="","",IFERROR(VLOOKUP($BO170,'01_Warehouse_Ledger'!$A:$N,13,FALSE),""))</f>
      </c>
    </row>
    <row r="171">
      <c r="D171">
        <f>IF($B171&lt;&gt;"Yes","",IF($C171="No","Yes",IF($C171="Yes","No","")))</f>
      </c>
      <c r="E171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</c>
      <c r="F171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</c>
      <c r="BL171">
        <f>IF($T171="","",IF((IF(AND($AW171&lt;&gt;"Yes",$AW171&lt;&gt;"N/A"),"Power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",""))="","",LEFT(IF(AND($AW171&lt;&gt;"Yes",$AW171&lt;&gt;"N/A"),"Power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",""),LEN(IF(AND($AW171&lt;&gt;"Yes",$AW171&lt;&gt;"N/A"),"Power Cable, ","")&amp;IF(AND($AX171&lt;&gt;"Yes",$AX171&lt;&gt;"N/A"),"Battery, ","")&amp;IF(AND($BE171&lt;&gt;"Yes",$BE171&lt;&gt;"N/A"),"Firmware Download, ","")&amp;IF(AND(OR($BE171="Yes",$BE171="N/A"),$BF171&lt;&gt;"Yes",$BF171&lt;&gt;"N/A"),"Firmware Install, ","")&amp;IF(AND($BJ171&lt;&gt;"Yes",$BJ171&lt;&gt;"N/A"),"Device ID, ","")&amp;IF(AND($BK171&lt;&gt;"Yes",$BK171&lt;&gt;"N/A"),"Epic Beans Relay, ",""))-2)))</f>
      </c>
      <c r="BM171">
        <f>IF($T171="","",IF($BL171="","Yes","Blocked"))</f>
      </c>
      <c r="BP171">
        <f>IF($BO171="","",IFERROR(VLOOKUP($BO171,'01_Warehouse_Ledger'!$A:$N,4,FALSE),""))</f>
      </c>
      <c r="BQ171">
        <f>IF($BO171="","",IFERROR(VLOOKUP($BO171,'01_Warehouse_Ledger'!$A:$N,5,FALSE),""))</f>
      </c>
      <c r="BR171">
        <f>IF($BO171="","",IFERROR(VLOOKUP($BO171,'01_Warehouse_Ledger'!$A:$N,13,FALSE),""))</f>
      </c>
    </row>
    <row r="172">
      <c r="D172">
        <f>IF($B172&lt;&gt;"Yes","",IF($C172="No","Yes",IF($C172="Yes","No","")))</f>
      </c>
      <c r="E172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</c>
      <c r="F172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</c>
      <c r="BL172">
        <f>IF($T172="","",IF((IF(AND($AW172&lt;&gt;"Yes",$AW172&lt;&gt;"N/A"),"Power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",""))="","",LEFT(IF(AND($AW172&lt;&gt;"Yes",$AW172&lt;&gt;"N/A"),"Power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",""),LEN(IF(AND($AW172&lt;&gt;"Yes",$AW172&lt;&gt;"N/A"),"Power Cable, ","")&amp;IF(AND($AX172&lt;&gt;"Yes",$AX172&lt;&gt;"N/A"),"Battery, ","")&amp;IF(AND($BE172&lt;&gt;"Yes",$BE172&lt;&gt;"N/A"),"Firmware Download, ","")&amp;IF(AND(OR($BE172="Yes",$BE172="N/A"),$BF172&lt;&gt;"Yes",$BF172&lt;&gt;"N/A"),"Firmware Install, ","")&amp;IF(AND($BJ172&lt;&gt;"Yes",$BJ172&lt;&gt;"N/A"),"Device ID, ","")&amp;IF(AND($BK172&lt;&gt;"Yes",$BK172&lt;&gt;"N/A"),"Epic Beans Relay, ",""))-2)))</f>
      </c>
      <c r="BM172">
        <f>IF($T172="","",IF($BL172="","Yes","Blocked"))</f>
      </c>
      <c r="BP172">
        <f>IF($BO172="","",IFERROR(VLOOKUP($BO172,'01_Warehouse_Ledger'!$A:$N,4,FALSE),""))</f>
      </c>
      <c r="BQ172">
        <f>IF($BO172="","",IFERROR(VLOOKUP($BO172,'01_Warehouse_Ledger'!$A:$N,5,FALSE),""))</f>
      </c>
      <c r="BR172">
        <f>IF($BO172="","",IFERROR(VLOOKUP($BO172,'01_Warehouse_Ledger'!$A:$N,13,FALSE),""))</f>
      </c>
    </row>
    <row r="173">
      <c r="D173">
        <f>IF($B173&lt;&gt;"Yes","",IF($C173="No","Yes",IF($C173="Yes","No","")))</f>
      </c>
      <c r="E173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</c>
      <c r="F173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</c>
      <c r="BL173">
        <f>IF($T173="","",IF((IF(AND($AW173&lt;&gt;"Yes",$AW173&lt;&gt;"N/A"),"Power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",""))="","",LEFT(IF(AND($AW173&lt;&gt;"Yes",$AW173&lt;&gt;"N/A"),"Power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",""),LEN(IF(AND($AW173&lt;&gt;"Yes",$AW173&lt;&gt;"N/A"),"Power Cable, ","")&amp;IF(AND($AX173&lt;&gt;"Yes",$AX173&lt;&gt;"N/A"),"Battery, ","")&amp;IF(AND($BE173&lt;&gt;"Yes",$BE173&lt;&gt;"N/A"),"Firmware Download, ","")&amp;IF(AND(OR($BE173="Yes",$BE173="N/A"),$BF173&lt;&gt;"Yes",$BF173&lt;&gt;"N/A"),"Firmware Install, ","")&amp;IF(AND($BJ173&lt;&gt;"Yes",$BJ173&lt;&gt;"N/A"),"Device ID, ","")&amp;IF(AND($BK173&lt;&gt;"Yes",$BK173&lt;&gt;"N/A"),"Epic Beans Relay, ",""))-2)))</f>
      </c>
      <c r="BM173">
        <f>IF($T173="","",IF($BL173="","Yes","Blocked"))</f>
      </c>
      <c r="BP173">
        <f>IF($BO173="","",IFERROR(VLOOKUP($BO173,'01_Warehouse_Ledger'!$A:$N,4,FALSE),""))</f>
      </c>
      <c r="BQ173">
        <f>IF($BO173="","",IFERROR(VLOOKUP($BO173,'01_Warehouse_Ledger'!$A:$N,5,FALSE),""))</f>
      </c>
      <c r="BR173">
        <f>IF($BO173="","",IFERROR(VLOOKUP($BO173,'01_Warehouse_Ledger'!$A:$N,13,FALSE),""))</f>
      </c>
    </row>
    <row r="174">
      <c r="D174">
        <f>IF($B174&lt;&gt;"Yes","",IF($C174="No","Yes",IF($C174="Yes","No","")))</f>
      </c>
      <c r="E174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</c>
      <c r="F174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</c>
      <c r="BL174">
        <f>IF($T174="","",IF((IF(AND($AW174&lt;&gt;"Yes",$AW174&lt;&gt;"N/A"),"Power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",""))="","",LEFT(IF(AND($AW174&lt;&gt;"Yes",$AW174&lt;&gt;"N/A"),"Power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",""),LEN(IF(AND($AW174&lt;&gt;"Yes",$AW174&lt;&gt;"N/A"),"Power Cable, ","")&amp;IF(AND($AX174&lt;&gt;"Yes",$AX174&lt;&gt;"N/A"),"Battery, ","")&amp;IF(AND($BE174&lt;&gt;"Yes",$BE174&lt;&gt;"N/A"),"Firmware Download, ","")&amp;IF(AND(OR($BE174="Yes",$BE174="N/A"),$BF174&lt;&gt;"Yes",$BF174&lt;&gt;"N/A"),"Firmware Install, ","")&amp;IF(AND($BJ174&lt;&gt;"Yes",$BJ174&lt;&gt;"N/A"),"Device ID, ","")&amp;IF(AND($BK174&lt;&gt;"Yes",$BK174&lt;&gt;"N/A"),"Epic Beans Relay, ",""))-2)))</f>
      </c>
      <c r="BM174">
        <f>IF($T174="","",IF($BL174="","Yes","Blocked"))</f>
      </c>
      <c r="BP174">
        <f>IF($BO174="","",IFERROR(VLOOKUP($BO174,'01_Warehouse_Ledger'!$A:$N,4,FALSE),""))</f>
      </c>
      <c r="BQ174">
        <f>IF($BO174="","",IFERROR(VLOOKUP($BO174,'01_Warehouse_Ledger'!$A:$N,5,FALSE),""))</f>
      </c>
      <c r="BR174">
        <f>IF($BO174="","",IFERROR(VLOOKUP($BO174,'01_Warehouse_Ledger'!$A:$N,13,FALSE),""))</f>
      </c>
    </row>
    <row r="175">
      <c r="D175">
        <f>IF($B175&lt;&gt;"Yes","",IF($C175="No","Yes",IF($C175="Yes","No","")))</f>
      </c>
      <c r="E175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</c>
      <c r="F175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</c>
      <c r="BL175">
        <f>IF($T175="","",IF((IF(AND($AW175&lt;&gt;"Yes",$AW175&lt;&gt;"N/A"),"Power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",""))="","",LEFT(IF(AND($AW175&lt;&gt;"Yes",$AW175&lt;&gt;"N/A"),"Power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",""),LEN(IF(AND($AW175&lt;&gt;"Yes",$AW175&lt;&gt;"N/A"),"Power Cable, ","")&amp;IF(AND($AX175&lt;&gt;"Yes",$AX175&lt;&gt;"N/A"),"Battery, ","")&amp;IF(AND($BE175&lt;&gt;"Yes",$BE175&lt;&gt;"N/A"),"Firmware Download, ","")&amp;IF(AND(OR($BE175="Yes",$BE175="N/A"),$BF175&lt;&gt;"Yes",$BF175&lt;&gt;"N/A"),"Firmware Install, ","")&amp;IF(AND($BJ175&lt;&gt;"Yes",$BJ175&lt;&gt;"N/A"),"Device ID, ","")&amp;IF(AND($BK175&lt;&gt;"Yes",$BK175&lt;&gt;"N/A"),"Epic Beans Relay, ",""))-2)))</f>
      </c>
      <c r="BM175">
        <f>IF($T175="","",IF($BL175="","Yes","Blocked"))</f>
      </c>
      <c r="BP175">
        <f>IF($BO175="","",IFERROR(VLOOKUP($BO175,'01_Warehouse_Ledger'!$A:$N,4,FALSE),""))</f>
      </c>
      <c r="BQ175">
        <f>IF($BO175="","",IFERROR(VLOOKUP($BO175,'01_Warehouse_Ledger'!$A:$N,5,FALSE),""))</f>
      </c>
      <c r="BR175">
        <f>IF($BO175="","",IFERROR(VLOOKUP($BO175,'01_Warehouse_Ledger'!$A:$N,13,FALSE),""))</f>
      </c>
    </row>
    <row r="176">
      <c r="D176">
        <f>IF($B176&lt;&gt;"Yes","",IF($C176="No","Yes",IF($C176="Yes","No","")))</f>
      </c>
      <c r="E176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</c>
      <c r="F176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</c>
      <c r="BL176">
        <f>IF($T176="","",IF((IF(AND($AW176&lt;&gt;"Yes",$AW176&lt;&gt;"N/A"),"Power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",""))="","",LEFT(IF(AND($AW176&lt;&gt;"Yes",$AW176&lt;&gt;"N/A"),"Power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",""),LEN(IF(AND($AW176&lt;&gt;"Yes",$AW176&lt;&gt;"N/A"),"Power Cable, ","")&amp;IF(AND($AX176&lt;&gt;"Yes",$AX176&lt;&gt;"N/A"),"Battery, ","")&amp;IF(AND($BE176&lt;&gt;"Yes",$BE176&lt;&gt;"N/A"),"Firmware Download, ","")&amp;IF(AND(OR($BE176="Yes",$BE176="N/A"),$BF176&lt;&gt;"Yes",$BF176&lt;&gt;"N/A"),"Firmware Install, ","")&amp;IF(AND($BJ176&lt;&gt;"Yes",$BJ176&lt;&gt;"N/A"),"Device ID, ","")&amp;IF(AND($BK176&lt;&gt;"Yes",$BK176&lt;&gt;"N/A"),"Epic Beans Relay, ",""))-2)))</f>
      </c>
      <c r="BM176">
        <f>IF($T176="","",IF($BL176="","Yes","Blocked"))</f>
      </c>
      <c r="BP176">
        <f>IF($BO176="","",IFERROR(VLOOKUP($BO176,'01_Warehouse_Ledger'!$A:$N,4,FALSE),""))</f>
      </c>
      <c r="BQ176">
        <f>IF($BO176="","",IFERROR(VLOOKUP($BO176,'01_Warehouse_Ledger'!$A:$N,5,FALSE),""))</f>
      </c>
      <c r="BR176">
        <f>IF($BO176="","",IFERROR(VLOOKUP($BO176,'01_Warehouse_Ledger'!$A:$N,13,FALSE),""))</f>
      </c>
    </row>
    <row r="177">
      <c r="D177">
        <f>IF($B177&lt;&gt;"Yes","",IF($C177="No","Yes",IF($C177="Yes","No","")))</f>
      </c>
      <c r="E177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</c>
      <c r="F177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</c>
      <c r="BL177">
        <f>IF($T177="","",IF((IF(AND($AW177&lt;&gt;"Yes",$AW177&lt;&gt;"N/A"),"Power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",""))="","",LEFT(IF(AND($AW177&lt;&gt;"Yes",$AW177&lt;&gt;"N/A"),"Power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",""),LEN(IF(AND($AW177&lt;&gt;"Yes",$AW177&lt;&gt;"N/A"),"Power Cable, ","")&amp;IF(AND($AX177&lt;&gt;"Yes",$AX177&lt;&gt;"N/A"),"Battery, ","")&amp;IF(AND($BE177&lt;&gt;"Yes",$BE177&lt;&gt;"N/A"),"Firmware Download, ","")&amp;IF(AND(OR($BE177="Yes",$BE177="N/A"),$BF177&lt;&gt;"Yes",$BF177&lt;&gt;"N/A"),"Firmware Install, ","")&amp;IF(AND($BJ177&lt;&gt;"Yes",$BJ177&lt;&gt;"N/A"),"Device ID, ","")&amp;IF(AND($BK177&lt;&gt;"Yes",$BK177&lt;&gt;"N/A"),"Epic Beans Relay, ",""))-2)))</f>
      </c>
      <c r="BM177">
        <f>IF($T177="","",IF($BL177="","Yes","Blocked"))</f>
      </c>
      <c r="BP177">
        <f>IF($BO177="","",IFERROR(VLOOKUP($BO177,'01_Warehouse_Ledger'!$A:$N,4,FALSE),""))</f>
      </c>
      <c r="BQ177">
        <f>IF($BO177="","",IFERROR(VLOOKUP($BO177,'01_Warehouse_Ledger'!$A:$N,5,FALSE),""))</f>
      </c>
      <c r="BR177">
        <f>IF($BO177="","",IFERROR(VLOOKUP($BO177,'01_Warehouse_Ledger'!$A:$N,13,FALSE),""))</f>
      </c>
    </row>
    <row r="178">
      <c r="D178">
        <f>IF($B178&lt;&gt;"Yes","",IF($C178="No","Yes",IF($C178="Yes","No","")))</f>
      </c>
      <c r="E178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</c>
      <c r="F178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</c>
      <c r="BL178">
        <f>IF($T178="","",IF((IF(AND($AW178&lt;&gt;"Yes",$AW178&lt;&gt;"N/A"),"Power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",""))="","",LEFT(IF(AND($AW178&lt;&gt;"Yes",$AW178&lt;&gt;"N/A"),"Power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",""),LEN(IF(AND($AW178&lt;&gt;"Yes",$AW178&lt;&gt;"N/A"),"Power Cable, ","")&amp;IF(AND($AX178&lt;&gt;"Yes",$AX178&lt;&gt;"N/A"),"Battery, ","")&amp;IF(AND($BE178&lt;&gt;"Yes",$BE178&lt;&gt;"N/A"),"Firmware Download, ","")&amp;IF(AND(OR($BE178="Yes",$BE178="N/A"),$BF178&lt;&gt;"Yes",$BF178&lt;&gt;"N/A"),"Firmware Install, ","")&amp;IF(AND($BJ178&lt;&gt;"Yes",$BJ178&lt;&gt;"N/A"),"Device ID, ","")&amp;IF(AND($BK178&lt;&gt;"Yes",$BK178&lt;&gt;"N/A"),"Epic Beans Relay, ",""))-2)))</f>
      </c>
      <c r="BM178">
        <f>IF($T178="","",IF($BL178="","Yes","Blocked"))</f>
      </c>
      <c r="BP178">
        <f>IF($BO178="","",IFERROR(VLOOKUP($BO178,'01_Warehouse_Ledger'!$A:$N,4,FALSE),""))</f>
      </c>
      <c r="BQ178">
        <f>IF($BO178="","",IFERROR(VLOOKUP($BO178,'01_Warehouse_Ledger'!$A:$N,5,FALSE),""))</f>
      </c>
      <c r="BR178">
        <f>IF($BO178="","",IFERROR(VLOOKUP($BO178,'01_Warehouse_Ledger'!$A:$N,13,FALSE),""))</f>
      </c>
    </row>
    <row r="179">
      <c r="D179">
        <f>IF($B179&lt;&gt;"Yes","",IF($C179="No","Yes",IF($C179="Yes","No","")))</f>
      </c>
      <c r="E179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</c>
      <c r="F179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</c>
      <c r="BL179">
        <f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</c>
      <c r="BM179">
        <f>IF($T179="","",IF($BL179="","Yes","Blocked"))</f>
      </c>
      <c r="BP179">
        <f>IF($BO179="","",IFERROR(VLOOKUP($BO179,'01_Warehouse_Ledger'!$A:$N,4,FALSE),""))</f>
      </c>
      <c r="BQ179">
        <f>IF($BO179="","",IFERROR(VLOOKUP($BO179,'01_Warehouse_Ledger'!$A:$N,5,FALSE),""))</f>
      </c>
      <c r="BR179">
        <f>IF($BO179="","",IFERROR(VLOOKUP($BO179,'01_Warehouse_Ledger'!$A:$N,13,FALSE),""))</f>
      </c>
    </row>
    <row r="180">
      <c r="D180">
        <f>IF($B180&lt;&gt;"Yes","",IF($C180="No","Yes",IF($C180="Yes","No","")))</f>
      </c>
      <c r="E180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</c>
      <c r="F180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</c>
      <c r="BL180">
        <f>IF($T180="","",IF((IF(AND($AW180&lt;&gt;"Yes",$AW180&lt;&gt;"N/A"),"Power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",""))="","",LEFT(IF(AND($AW180&lt;&gt;"Yes",$AW180&lt;&gt;"N/A"),"Power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",""),LEN(IF(AND($AW180&lt;&gt;"Yes",$AW180&lt;&gt;"N/A"),"Power Cable, ","")&amp;IF(AND($AX180&lt;&gt;"Yes",$AX180&lt;&gt;"N/A"),"Battery, ","")&amp;IF(AND($BE180&lt;&gt;"Yes",$BE180&lt;&gt;"N/A"),"Firmware Download, ","")&amp;IF(AND(OR($BE180="Yes",$BE180="N/A"),$BF180&lt;&gt;"Yes",$BF180&lt;&gt;"N/A"),"Firmware Install, ","")&amp;IF(AND($BJ180&lt;&gt;"Yes",$BJ180&lt;&gt;"N/A"),"Device ID, ","")&amp;IF(AND($BK180&lt;&gt;"Yes",$BK180&lt;&gt;"N/A"),"Epic Beans Relay, ",""))-2)))</f>
      </c>
      <c r="BM180">
        <f>IF($T180="","",IF($BL180="","Yes","Blocked"))</f>
      </c>
      <c r="BP180">
        <f>IF($BO180="","",IFERROR(VLOOKUP($BO180,'01_Warehouse_Ledger'!$A:$N,4,FALSE),""))</f>
      </c>
      <c r="BQ180">
        <f>IF($BO180="","",IFERROR(VLOOKUP($BO180,'01_Warehouse_Ledger'!$A:$N,5,FALSE),""))</f>
      </c>
      <c r="BR180">
        <f>IF($BO180="","",IFERROR(VLOOKUP($BO180,'01_Warehouse_Ledger'!$A:$N,13,FALSE),""))</f>
      </c>
    </row>
    <row r="181">
      <c r="D181">
        <f>IF($B181&lt;&gt;"Yes","",IF($C181="No","Yes",IF($C181="Yes","No","")))</f>
      </c>
      <c r="E181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</c>
      <c r="F181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</c>
      <c r="BL181">
        <f>IF($T181="","",IF((IF(AND($AW181&lt;&gt;"Yes",$AW181&lt;&gt;"N/A"),"Power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",""))="","",LEFT(IF(AND($AW181&lt;&gt;"Yes",$AW181&lt;&gt;"N/A"),"Power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",""),LEN(IF(AND($AW181&lt;&gt;"Yes",$AW181&lt;&gt;"N/A"),"Power Cable, ","")&amp;IF(AND($AX181&lt;&gt;"Yes",$AX181&lt;&gt;"N/A"),"Battery, ","")&amp;IF(AND($BE181&lt;&gt;"Yes",$BE181&lt;&gt;"N/A"),"Firmware Download, ","")&amp;IF(AND(OR($BE181="Yes",$BE181="N/A"),$BF181&lt;&gt;"Yes",$BF181&lt;&gt;"N/A"),"Firmware Install, ","")&amp;IF(AND($BJ181&lt;&gt;"Yes",$BJ181&lt;&gt;"N/A"),"Device ID, ","")&amp;IF(AND($BK181&lt;&gt;"Yes",$BK181&lt;&gt;"N/A"),"Epic Beans Relay, ",""))-2)))</f>
      </c>
      <c r="BM181">
        <f>IF($T181="","",IF($BL181="","Yes","Blocked"))</f>
      </c>
      <c r="BP181">
        <f>IF($BO181="","",IFERROR(VLOOKUP($BO181,'01_Warehouse_Ledger'!$A:$N,4,FALSE),""))</f>
      </c>
      <c r="BQ181">
        <f>IF($BO181="","",IFERROR(VLOOKUP($BO181,'01_Warehouse_Ledger'!$A:$N,5,FALSE),""))</f>
      </c>
      <c r="BR181">
        <f>IF($BO181="","",IFERROR(VLOOKUP($BO181,'01_Warehouse_Ledger'!$A:$N,13,FALSE),""))</f>
      </c>
    </row>
    <row r="182">
      <c r="D182">
        <f>IF($B182&lt;&gt;"Yes","",IF($C182="No","Yes",IF($C182="Yes","No","")))</f>
      </c>
      <c r="E182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</c>
      <c r="F182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</c>
      <c r="BL182">
        <f>IF($T182="","",IF((IF(AND($AW182&lt;&gt;"Yes",$AW182&lt;&gt;"N/A"),"Power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",""))="","",LEFT(IF(AND($AW182&lt;&gt;"Yes",$AW182&lt;&gt;"N/A"),"Power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",""),LEN(IF(AND($AW182&lt;&gt;"Yes",$AW182&lt;&gt;"N/A"),"Power Cable, ","")&amp;IF(AND($AX182&lt;&gt;"Yes",$AX182&lt;&gt;"N/A"),"Battery, ","")&amp;IF(AND($BE182&lt;&gt;"Yes",$BE182&lt;&gt;"N/A"),"Firmware Download, ","")&amp;IF(AND(OR($BE182="Yes",$BE182="N/A"),$BF182&lt;&gt;"Yes",$BF182&lt;&gt;"N/A"),"Firmware Install, ","")&amp;IF(AND($BJ182&lt;&gt;"Yes",$BJ182&lt;&gt;"N/A"),"Device ID, ","")&amp;IF(AND($BK182&lt;&gt;"Yes",$BK182&lt;&gt;"N/A"),"Epic Beans Relay, ",""))-2)))</f>
      </c>
      <c r="BM182">
        <f>IF($T182="","",IF($BL182="","Yes","Blocked"))</f>
      </c>
      <c r="BP182">
        <f>IF($BO182="","",IFERROR(VLOOKUP($BO182,'01_Warehouse_Ledger'!$A:$N,4,FALSE),""))</f>
      </c>
      <c r="BQ182">
        <f>IF($BO182="","",IFERROR(VLOOKUP($BO182,'01_Warehouse_Ledger'!$A:$N,5,FALSE),""))</f>
      </c>
      <c r="BR182">
        <f>IF($BO182="","",IFERROR(VLOOKUP($BO182,'01_Warehouse_Ledger'!$A:$N,13,FALSE),""))</f>
      </c>
    </row>
    <row r="183">
      <c r="D183">
        <f>IF($B183&lt;&gt;"Yes","",IF($C183="No","Yes",IF($C183="Yes","No","")))</f>
      </c>
      <c r="E183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</c>
      <c r="F183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</c>
      <c r="BL183">
        <f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</c>
      <c r="BM183">
        <f>IF($T183="","",IF($BL183="","Yes","Blocked"))</f>
      </c>
      <c r="BP183">
        <f>IF($BO183="","",IFERROR(VLOOKUP($BO183,'01_Warehouse_Ledger'!$A:$N,4,FALSE),""))</f>
      </c>
      <c r="BQ183">
        <f>IF($BO183="","",IFERROR(VLOOKUP($BO183,'01_Warehouse_Ledger'!$A:$N,5,FALSE),""))</f>
      </c>
      <c r="BR183">
        <f>IF($BO183="","",IFERROR(VLOOKUP($BO183,'01_Warehouse_Ledger'!$A:$N,13,FALSE),""))</f>
      </c>
    </row>
    <row r="184">
      <c r="D184">
        <f>IF($B184&lt;&gt;"Yes","",IF($C184="No","Yes",IF($C184="Yes","No","")))</f>
      </c>
      <c r="E184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</c>
      <c r="F184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</c>
      <c r="BL184">
        <f>IF($T184="","",IF((IF(AND($AW184&lt;&gt;"Yes",$AW184&lt;&gt;"N/A"),"Power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",""))="","",LEFT(IF(AND($AW184&lt;&gt;"Yes",$AW184&lt;&gt;"N/A"),"Power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",""),LEN(IF(AND($AW184&lt;&gt;"Yes",$AW184&lt;&gt;"N/A"),"Power Cable, ","")&amp;IF(AND($AX184&lt;&gt;"Yes",$AX184&lt;&gt;"N/A"),"Battery, ","")&amp;IF(AND($BE184&lt;&gt;"Yes",$BE184&lt;&gt;"N/A"),"Firmware Download, ","")&amp;IF(AND(OR($BE184="Yes",$BE184="N/A"),$BF184&lt;&gt;"Yes",$BF184&lt;&gt;"N/A"),"Firmware Install, ","")&amp;IF(AND($BJ184&lt;&gt;"Yes",$BJ184&lt;&gt;"N/A"),"Device ID, ","")&amp;IF(AND($BK184&lt;&gt;"Yes",$BK184&lt;&gt;"N/A"),"Epic Beans Relay, ",""))-2)))</f>
      </c>
      <c r="BM184">
        <f>IF($T184="","",IF($BL184="","Yes","Blocked"))</f>
      </c>
      <c r="BP184">
        <f>IF($BO184="","",IFERROR(VLOOKUP($BO184,'01_Warehouse_Ledger'!$A:$N,4,FALSE),""))</f>
      </c>
      <c r="BQ184">
        <f>IF($BO184="","",IFERROR(VLOOKUP($BO184,'01_Warehouse_Ledger'!$A:$N,5,FALSE),""))</f>
      </c>
      <c r="BR184">
        <f>IF($BO184="","",IFERROR(VLOOKUP($BO184,'01_Warehouse_Ledger'!$A:$N,13,FALSE),""))</f>
      </c>
    </row>
    <row r="185">
      <c r="D185">
        <f>IF($B185&lt;&gt;"Yes","",IF($C185="No","Yes",IF($C185="Yes","No","")))</f>
      </c>
      <c r="E185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</c>
      <c r="F185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</c>
      <c r="BL185">
        <f>IF($T185="","",IF((IF(AND($AW185&lt;&gt;"Yes",$AW185&lt;&gt;"N/A"),"Power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",""))="","",LEFT(IF(AND($AW185&lt;&gt;"Yes",$AW185&lt;&gt;"N/A"),"Power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",""),LEN(IF(AND($AW185&lt;&gt;"Yes",$AW185&lt;&gt;"N/A"),"Power Cable, ","")&amp;IF(AND($AX185&lt;&gt;"Yes",$AX185&lt;&gt;"N/A"),"Battery, ","")&amp;IF(AND($BE185&lt;&gt;"Yes",$BE185&lt;&gt;"N/A"),"Firmware Download, ","")&amp;IF(AND(OR($BE185="Yes",$BE185="N/A"),$BF185&lt;&gt;"Yes",$BF185&lt;&gt;"N/A"),"Firmware Install, ","")&amp;IF(AND($BJ185&lt;&gt;"Yes",$BJ185&lt;&gt;"N/A"),"Device ID, ","")&amp;IF(AND($BK185&lt;&gt;"Yes",$BK185&lt;&gt;"N/A"),"Epic Beans Relay, ",""))-2)))</f>
      </c>
      <c r="BM185">
        <f>IF($T185="","",IF($BL185="","Yes","Blocked"))</f>
      </c>
      <c r="BP185">
        <f>IF($BO185="","",IFERROR(VLOOKUP($BO185,'01_Warehouse_Ledger'!$A:$N,4,FALSE),""))</f>
      </c>
      <c r="BQ185">
        <f>IF($BO185="","",IFERROR(VLOOKUP($BO185,'01_Warehouse_Ledger'!$A:$N,5,FALSE),""))</f>
      </c>
      <c r="BR185">
        <f>IF($BO185="","",IFERROR(VLOOKUP($BO185,'01_Warehouse_Ledger'!$A:$N,13,FALSE),""))</f>
      </c>
    </row>
    <row r="186">
      <c r="D186">
        <f>IF($B186&lt;&gt;"Yes","",IF($C186="No","Yes",IF($C186="Yes","No","")))</f>
      </c>
      <c r="E186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</c>
      <c r="F186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</c>
      <c r="BL186">
        <f>IF($T186="","",IF((IF(AND($AW186&lt;&gt;"Yes",$AW186&lt;&gt;"N/A"),"Power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",""))="","",LEFT(IF(AND($AW186&lt;&gt;"Yes",$AW186&lt;&gt;"N/A"),"Power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",""),LEN(IF(AND($AW186&lt;&gt;"Yes",$AW186&lt;&gt;"N/A"),"Power Cable, ","")&amp;IF(AND($AX186&lt;&gt;"Yes",$AX186&lt;&gt;"N/A"),"Battery, ","")&amp;IF(AND($BE186&lt;&gt;"Yes",$BE186&lt;&gt;"N/A"),"Firmware Download, ","")&amp;IF(AND(OR($BE186="Yes",$BE186="N/A"),$BF186&lt;&gt;"Yes",$BF186&lt;&gt;"N/A"),"Firmware Install, ","")&amp;IF(AND($BJ186&lt;&gt;"Yes",$BJ186&lt;&gt;"N/A"),"Device ID, ","")&amp;IF(AND($BK186&lt;&gt;"Yes",$BK186&lt;&gt;"N/A"),"Epic Beans Relay, ",""))-2)))</f>
      </c>
      <c r="BM186">
        <f>IF($T186="","",IF($BL186="","Yes","Blocked"))</f>
      </c>
      <c r="BP186">
        <f>IF($BO186="","",IFERROR(VLOOKUP($BO186,'01_Warehouse_Ledger'!$A:$N,4,FALSE),""))</f>
      </c>
      <c r="BQ186">
        <f>IF($BO186="","",IFERROR(VLOOKUP($BO186,'01_Warehouse_Ledger'!$A:$N,5,FALSE),""))</f>
      </c>
      <c r="BR186">
        <f>IF($BO186="","",IFERROR(VLOOKUP($BO186,'01_Warehouse_Ledger'!$A:$N,13,FALSE),""))</f>
      </c>
    </row>
    <row r="187">
      <c r="D187">
        <f>IF($B187&lt;&gt;"Yes","",IF($C187="No","Yes",IF($C187="Yes","No","")))</f>
      </c>
      <c r="E187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</c>
      <c r="F187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</c>
      <c r="BL187">
        <f>IF($T187="","",IF((IF(AND($AW187&lt;&gt;"Yes",$AW187&lt;&gt;"N/A"),"Power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",""))="","",LEFT(IF(AND($AW187&lt;&gt;"Yes",$AW187&lt;&gt;"N/A"),"Power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",""),LEN(IF(AND($AW187&lt;&gt;"Yes",$AW187&lt;&gt;"N/A"),"Power Cable, ","")&amp;IF(AND($AX187&lt;&gt;"Yes",$AX187&lt;&gt;"N/A"),"Battery, ","")&amp;IF(AND($BE187&lt;&gt;"Yes",$BE187&lt;&gt;"N/A"),"Firmware Download, ","")&amp;IF(AND(OR($BE187="Yes",$BE187="N/A"),$BF187&lt;&gt;"Yes",$BF187&lt;&gt;"N/A"),"Firmware Install, ","")&amp;IF(AND($BJ187&lt;&gt;"Yes",$BJ187&lt;&gt;"N/A"),"Device ID, ","")&amp;IF(AND($BK187&lt;&gt;"Yes",$BK187&lt;&gt;"N/A"),"Epic Beans Relay, ",""))-2)))</f>
      </c>
      <c r="BM187">
        <f>IF($T187="","",IF($BL187="","Yes","Blocked"))</f>
      </c>
      <c r="BP187">
        <f>IF($BO187="","",IFERROR(VLOOKUP($BO187,'01_Warehouse_Ledger'!$A:$N,4,FALSE),""))</f>
      </c>
      <c r="BQ187">
        <f>IF($BO187="","",IFERROR(VLOOKUP($BO187,'01_Warehouse_Ledger'!$A:$N,5,FALSE),""))</f>
      </c>
      <c r="BR187">
        <f>IF($BO187="","",IFERROR(VLOOKUP($BO187,'01_Warehouse_Ledger'!$A:$N,13,FALSE),""))</f>
      </c>
    </row>
    <row r="188">
      <c r="D188">
        <f>IF($B188&lt;&gt;"Yes","",IF($C188="No","Yes",IF($C188="Yes","No","")))</f>
      </c>
      <c r="E188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</c>
      <c r="F188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</c>
      <c r="BL188">
        <f>IF($T188="","",IF((IF(AND($AW188&lt;&gt;"Yes",$AW188&lt;&gt;"N/A"),"Power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",""))="","",LEFT(IF(AND($AW188&lt;&gt;"Yes",$AW188&lt;&gt;"N/A"),"Power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",""),LEN(IF(AND($AW188&lt;&gt;"Yes",$AW188&lt;&gt;"N/A"),"Power Cable, ","")&amp;IF(AND($AX188&lt;&gt;"Yes",$AX188&lt;&gt;"N/A"),"Battery, ","")&amp;IF(AND($BE188&lt;&gt;"Yes",$BE188&lt;&gt;"N/A"),"Firmware Download, ","")&amp;IF(AND(OR($BE188="Yes",$BE188="N/A"),$BF188&lt;&gt;"Yes",$BF188&lt;&gt;"N/A"),"Firmware Install, ","")&amp;IF(AND($BJ188&lt;&gt;"Yes",$BJ188&lt;&gt;"N/A"),"Device ID, ","")&amp;IF(AND($BK188&lt;&gt;"Yes",$BK188&lt;&gt;"N/A"),"Epic Beans Relay, ",""))-2)))</f>
      </c>
      <c r="BM188">
        <f>IF($T188="","",IF($BL188="","Yes","Blocked"))</f>
      </c>
      <c r="BP188">
        <f>IF($BO188="","",IFERROR(VLOOKUP($BO188,'01_Warehouse_Ledger'!$A:$N,4,FALSE),""))</f>
      </c>
      <c r="BQ188">
        <f>IF($BO188="","",IFERROR(VLOOKUP($BO188,'01_Warehouse_Ledger'!$A:$N,5,FALSE),""))</f>
      </c>
      <c r="BR188">
        <f>IF($BO188="","",IFERROR(VLOOKUP($BO188,'01_Warehouse_Ledger'!$A:$N,13,FALSE),""))</f>
      </c>
    </row>
    <row r="189">
      <c r="D189">
        <f>IF($B189&lt;&gt;"Yes","",IF($C189="No","Yes",IF($C189="Yes","No","")))</f>
      </c>
      <c r="E189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</c>
      <c r="F189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</c>
      <c r="BL189">
        <f>IF($T189="","",IF((IF(AND($AW189&lt;&gt;"Yes",$AW189&lt;&gt;"N/A"),"Power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",""))="","",LEFT(IF(AND($AW189&lt;&gt;"Yes",$AW189&lt;&gt;"N/A"),"Power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",""),LEN(IF(AND($AW189&lt;&gt;"Yes",$AW189&lt;&gt;"N/A"),"Power Cable, ","")&amp;IF(AND($AX189&lt;&gt;"Yes",$AX189&lt;&gt;"N/A"),"Battery, ","")&amp;IF(AND($BE189&lt;&gt;"Yes",$BE189&lt;&gt;"N/A"),"Firmware Download, ","")&amp;IF(AND(OR($BE189="Yes",$BE189="N/A"),$BF189&lt;&gt;"Yes",$BF189&lt;&gt;"N/A"),"Firmware Install, ","")&amp;IF(AND($BJ189&lt;&gt;"Yes",$BJ189&lt;&gt;"N/A"),"Device ID, ","")&amp;IF(AND($BK189&lt;&gt;"Yes",$BK189&lt;&gt;"N/A"),"Epic Beans Relay, ",""))-2)))</f>
      </c>
      <c r="BM189">
        <f>IF($T189="","",IF($BL189="","Yes","Blocked"))</f>
      </c>
      <c r="BP189">
        <f>IF($BO189="","",IFERROR(VLOOKUP($BO189,'01_Warehouse_Ledger'!$A:$N,4,FALSE),""))</f>
      </c>
      <c r="BQ189">
        <f>IF($BO189="","",IFERROR(VLOOKUP($BO189,'01_Warehouse_Ledger'!$A:$N,5,FALSE),""))</f>
      </c>
      <c r="BR189">
        <f>IF($BO189="","",IFERROR(VLOOKUP($BO189,'01_Warehouse_Ledger'!$A:$N,13,FALSE),""))</f>
      </c>
    </row>
    <row r="190">
      <c r="D190">
        <f>IF($B190&lt;&gt;"Yes","",IF($C190="No","Yes",IF($C190="Yes","No","")))</f>
      </c>
      <c r="E190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</c>
      <c r="F190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</c>
      <c r="BL190">
        <f>IF($T190="","",IF((IF(AND($AW190&lt;&gt;"Yes",$AW190&lt;&gt;"N/A"),"Power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",""))="","",LEFT(IF(AND($AW190&lt;&gt;"Yes",$AW190&lt;&gt;"N/A"),"Power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",""),LEN(IF(AND($AW190&lt;&gt;"Yes",$AW190&lt;&gt;"N/A"),"Power Cable, ","")&amp;IF(AND($AX190&lt;&gt;"Yes",$AX190&lt;&gt;"N/A"),"Battery, ","")&amp;IF(AND($BE190&lt;&gt;"Yes",$BE190&lt;&gt;"N/A"),"Firmware Download, ","")&amp;IF(AND(OR($BE190="Yes",$BE190="N/A"),$BF190&lt;&gt;"Yes",$BF190&lt;&gt;"N/A"),"Firmware Install, ","")&amp;IF(AND($BJ190&lt;&gt;"Yes",$BJ190&lt;&gt;"N/A"),"Device ID, ","")&amp;IF(AND($BK190&lt;&gt;"Yes",$BK190&lt;&gt;"N/A"),"Epic Beans Relay, ",""))-2)))</f>
      </c>
      <c r="BM190">
        <f>IF($T190="","",IF($BL190="","Yes","Blocked"))</f>
      </c>
      <c r="BP190">
        <f>IF($BO190="","",IFERROR(VLOOKUP($BO190,'01_Warehouse_Ledger'!$A:$N,4,FALSE),""))</f>
      </c>
      <c r="BQ190">
        <f>IF($BO190="","",IFERROR(VLOOKUP($BO190,'01_Warehouse_Ledger'!$A:$N,5,FALSE),""))</f>
      </c>
      <c r="BR190">
        <f>IF($BO190="","",IFERROR(VLOOKUP($BO190,'01_Warehouse_Ledger'!$A:$N,13,FALSE),""))</f>
      </c>
    </row>
    <row r="191">
      <c r="D191">
        <f>IF($B191&lt;&gt;"Yes","",IF($C191="No","Yes",IF($C191="Yes","No","")))</f>
      </c>
      <c r="E191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</c>
      <c r="F191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</c>
      <c r="BL191">
        <f>IF($T191="","",IF((IF(AND($AW191&lt;&gt;"Yes",$AW191&lt;&gt;"N/A"),"Power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",""))="","",LEFT(IF(AND($AW191&lt;&gt;"Yes",$AW191&lt;&gt;"N/A"),"Power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",""),LEN(IF(AND($AW191&lt;&gt;"Yes",$AW191&lt;&gt;"N/A"),"Power Cable, ","")&amp;IF(AND($AX191&lt;&gt;"Yes",$AX191&lt;&gt;"N/A"),"Battery, ","")&amp;IF(AND($BE191&lt;&gt;"Yes",$BE191&lt;&gt;"N/A"),"Firmware Download, ","")&amp;IF(AND(OR($BE191="Yes",$BE191="N/A"),$BF191&lt;&gt;"Yes",$BF191&lt;&gt;"N/A"),"Firmware Install, ","")&amp;IF(AND($BJ191&lt;&gt;"Yes",$BJ191&lt;&gt;"N/A"),"Device ID, ","")&amp;IF(AND($BK191&lt;&gt;"Yes",$BK191&lt;&gt;"N/A"),"Epic Beans Relay, ",""))-2)))</f>
      </c>
      <c r="BM191">
        <f>IF($T191="","",IF($BL191="","Yes","Blocked"))</f>
      </c>
      <c r="BP191">
        <f>IF($BO191="","",IFERROR(VLOOKUP($BO191,'01_Warehouse_Ledger'!$A:$N,4,FALSE),""))</f>
      </c>
      <c r="BQ191">
        <f>IF($BO191="","",IFERROR(VLOOKUP($BO191,'01_Warehouse_Ledger'!$A:$N,5,FALSE),""))</f>
      </c>
      <c r="BR191">
        <f>IF($BO191="","",IFERROR(VLOOKUP($BO191,'01_Warehouse_Ledger'!$A:$N,13,FALSE),""))</f>
      </c>
    </row>
    <row r="192">
      <c r="D192">
        <f>IF($B192&lt;&gt;"Yes","",IF($C192="No","Yes",IF($C192="Yes","No","")))</f>
      </c>
      <c r="E192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</c>
      <c r="F192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</c>
      <c r="BL192">
        <f>IF($T192="","",IF((IF(AND($AW192&lt;&gt;"Yes",$AW192&lt;&gt;"N/A"),"Power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",""))="","",LEFT(IF(AND($AW192&lt;&gt;"Yes",$AW192&lt;&gt;"N/A"),"Power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",""),LEN(IF(AND($AW192&lt;&gt;"Yes",$AW192&lt;&gt;"N/A"),"Power Cable, ","")&amp;IF(AND($AX192&lt;&gt;"Yes",$AX192&lt;&gt;"N/A"),"Battery, ","")&amp;IF(AND($BE192&lt;&gt;"Yes",$BE192&lt;&gt;"N/A"),"Firmware Download, ","")&amp;IF(AND(OR($BE192="Yes",$BE192="N/A"),$BF192&lt;&gt;"Yes",$BF192&lt;&gt;"N/A"),"Firmware Install, ","")&amp;IF(AND($BJ192&lt;&gt;"Yes",$BJ192&lt;&gt;"N/A"),"Device ID, ","")&amp;IF(AND($BK192&lt;&gt;"Yes",$BK192&lt;&gt;"N/A"),"Epic Beans Relay, ",""))-2)))</f>
      </c>
      <c r="BM192">
        <f>IF($T192="","",IF($BL192="","Yes","Blocked"))</f>
      </c>
      <c r="BP192">
        <f>IF($BO192="","",IFERROR(VLOOKUP($BO192,'01_Warehouse_Ledger'!$A:$N,4,FALSE),""))</f>
      </c>
      <c r="BQ192">
        <f>IF($BO192="","",IFERROR(VLOOKUP($BO192,'01_Warehouse_Ledger'!$A:$N,5,FALSE),""))</f>
      </c>
      <c r="BR192">
        <f>IF($BO192="","",IFERROR(VLOOKUP($BO192,'01_Warehouse_Ledger'!$A:$N,13,FALSE),""))</f>
      </c>
    </row>
    <row r="193">
      <c r="D193">
        <f>IF($B193&lt;&gt;"Yes","",IF($C193="No","Yes",IF($C193="Yes","No","")))</f>
      </c>
      <c r="E193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</c>
      <c r="F193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</c>
      <c r="BL193">
        <f>IF($T193="","",IF((IF(AND($AW193&lt;&gt;"Yes",$AW193&lt;&gt;"N/A"),"Power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",""))="","",LEFT(IF(AND($AW193&lt;&gt;"Yes",$AW193&lt;&gt;"N/A"),"Power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",""),LEN(IF(AND($AW193&lt;&gt;"Yes",$AW193&lt;&gt;"N/A"),"Power Cable, ","")&amp;IF(AND($AX193&lt;&gt;"Yes",$AX193&lt;&gt;"N/A"),"Battery, ","")&amp;IF(AND($BE193&lt;&gt;"Yes",$BE193&lt;&gt;"N/A"),"Firmware Download, ","")&amp;IF(AND(OR($BE193="Yes",$BE193="N/A"),$BF193&lt;&gt;"Yes",$BF193&lt;&gt;"N/A"),"Firmware Install, ","")&amp;IF(AND($BJ193&lt;&gt;"Yes",$BJ193&lt;&gt;"N/A"),"Device ID, ","")&amp;IF(AND($BK193&lt;&gt;"Yes",$BK193&lt;&gt;"N/A"),"Epic Beans Relay, ",""))-2)))</f>
      </c>
      <c r="BM193">
        <f>IF($T193="","",IF($BL193="","Yes","Blocked"))</f>
      </c>
      <c r="BP193">
        <f>IF($BO193="","",IFERROR(VLOOKUP($BO193,'01_Warehouse_Ledger'!$A:$N,4,FALSE),""))</f>
      </c>
      <c r="BQ193">
        <f>IF($BO193="","",IFERROR(VLOOKUP($BO193,'01_Warehouse_Ledger'!$A:$N,5,FALSE),""))</f>
      </c>
      <c r="BR193">
        <f>IF($BO193="","",IFERROR(VLOOKUP($BO193,'01_Warehouse_Ledger'!$A:$N,13,FALSE),""))</f>
      </c>
    </row>
    <row r="194">
      <c r="D194">
        <f>IF($B194&lt;&gt;"Yes","",IF($C194="No","Yes",IF($C194="Yes","No","")))</f>
      </c>
      <c r="E194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</c>
      <c r="F194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</c>
      <c r="BL194">
        <f>IF($T194="","",IF((IF(AND($AW194&lt;&gt;"Yes",$AW194&lt;&gt;"N/A"),"Power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",""))="","",LEFT(IF(AND($AW194&lt;&gt;"Yes",$AW194&lt;&gt;"N/A"),"Power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",""),LEN(IF(AND($AW194&lt;&gt;"Yes",$AW194&lt;&gt;"N/A"),"Power Cable, ","")&amp;IF(AND($AX194&lt;&gt;"Yes",$AX194&lt;&gt;"N/A"),"Battery, ","")&amp;IF(AND($BE194&lt;&gt;"Yes",$BE194&lt;&gt;"N/A"),"Firmware Download, ","")&amp;IF(AND(OR($BE194="Yes",$BE194="N/A"),$BF194&lt;&gt;"Yes",$BF194&lt;&gt;"N/A"),"Firmware Install, ","")&amp;IF(AND($BJ194&lt;&gt;"Yes",$BJ194&lt;&gt;"N/A"),"Device ID, ","")&amp;IF(AND($BK194&lt;&gt;"Yes",$BK194&lt;&gt;"N/A"),"Epic Beans Relay, ",""))-2)))</f>
      </c>
      <c r="BM194">
        <f>IF($T194="","",IF($BL194="","Yes","Blocked"))</f>
      </c>
      <c r="BP194">
        <f>IF($BO194="","",IFERROR(VLOOKUP($BO194,'01_Warehouse_Ledger'!$A:$N,4,FALSE),""))</f>
      </c>
      <c r="BQ194">
        <f>IF($BO194="","",IFERROR(VLOOKUP($BO194,'01_Warehouse_Ledger'!$A:$N,5,FALSE),""))</f>
      </c>
      <c r="BR194">
        <f>IF($BO194="","",IFERROR(VLOOKUP($BO194,'01_Warehouse_Ledger'!$A:$N,13,FALSE),""))</f>
      </c>
    </row>
    <row r="195">
      <c r="D195">
        <f>IF($B195&lt;&gt;"Yes","",IF($C195="No","Yes",IF($C195="Yes","No","")))</f>
      </c>
      <c r="E195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</c>
      <c r="F195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</c>
      <c r="BL195">
        <f>IF($T195="","",IF((IF(AND($AW195&lt;&gt;"Yes",$AW195&lt;&gt;"N/A"),"Power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",""))="","",LEFT(IF(AND($AW195&lt;&gt;"Yes",$AW195&lt;&gt;"N/A"),"Power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",""),LEN(IF(AND($AW195&lt;&gt;"Yes",$AW195&lt;&gt;"N/A"),"Power Cable, ","")&amp;IF(AND($AX195&lt;&gt;"Yes",$AX195&lt;&gt;"N/A"),"Battery, ","")&amp;IF(AND($BE195&lt;&gt;"Yes",$BE195&lt;&gt;"N/A"),"Firmware Download, ","")&amp;IF(AND(OR($BE195="Yes",$BE195="N/A"),$BF195&lt;&gt;"Yes",$BF195&lt;&gt;"N/A"),"Firmware Install, ","")&amp;IF(AND($BJ195&lt;&gt;"Yes",$BJ195&lt;&gt;"N/A"),"Device ID, ","")&amp;IF(AND($BK195&lt;&gt;"Yes",$BK195&lt;&gt;"N/A"),"Epic Beans Relay, ",""))-2)))</f>
      </c>
      <c r="BM195">
        <f>IF($T195="","",IF($BL195="","Yes","Blocked"))</f>
      </c>
      <c r="BP195">
        <f>IF($BO195="","",IFERROR(VLOOKUP($BO195,'01_Warehouse_Ledger'!$A:$N,4,FALSE),""))</f>
      </c>
      <c r="BQ195">
        <f>IF($BO195="","",IFERROR(VLOOKUP($BO195,'01_Warehouse_Ledger'!$A:$N,5,FALSE),""))</f>
      </c>
      <c r="BR195">
        <f>IF($BO195="","",IFERROR(VLOOKUP($BO195,'01_Warehouse_Ledger'!$A:$N,13,FALSE),""))</f>
      </c>
    </row>
    <row r="196">
      <c r="D196">
        <f>IF($B196&lt;&gt;"Yes","",IF($C196="No","Yes",IF($C196="Yes","No","")))</f>
      </c>
      <c r="E196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</c>
      <c r="F196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</c>
      <c r="BL196">
        <f>IF($T196="","",IF((IF(AND($AW196&lt;&gt;"Yes",$AW196&lt;&gt;"N/A"),"Power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",""))="","",LEFT(IF(AND($AW196&lt;&gt;"Yes",$AW196&lt;&gt;"N/A"),"Power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",""),LEN(IF(AND($AW196&lt;&gt;"Yes",$AW196&lt;&gt;"N/A"),"Power Cable, ","")&amp;IF(AND($AX196&lt;&gt;"Yes",$AX196&lt;&gt;"N/A"),"Battery, ","")&amp;IF(AND($BE196&lt;&gt;"Yes",$BE196&lt;&gt;"N/A"),"Firmware Download, ","")&amp;IF(AND(OR($BE196="Yes",$BE196="N/A"),$BF196&lt;&gt;"Yes",$BF196&lt;&gt;"N/A"),"Firmware Install, ","")&amp;IF(AND($BJ196&lt;&gt;"Yes",$BJ196&lt;&gt;"N/A"),"Device ID, ","")&amp;IF(AND($BK196&lt;&gt;"Yes",$BK196&lt;&gt;"N/A"),"Epic Beans Relay, ",""))-2)))</f>
      </c>
      <c r="BM196">
        <f>IF($T196="","",IF($BL196="","Yes","Blocked"))</f>
      </c>
      <c r="BP196">
        <f>IF($BO196="","",IFERROR(VLOOKUP($BO196,'01_Warehouse_Ledger'!$A:$N,4,FALSE),""))</f>
      </c>
      <c r="BQ196">
        <f>IF($BO196="","",IFERROR(VLOOKUP($BO196,'01_Warehouse_Ledger'!$A:$N,5,FALSE),""))</f>
      </c>
      <c r="BR196">
        <f>IF($BO196="","",IFERROR(VLOOKUP($BO196,'01_Warehouse_Ledger'!$A:$N,13,FALSE),""))</f>
      </c>
    </row>
    <row r="197">
      <c r="D197">
        <f>IF($B197&lt;&gt;"Yes","",IF($C197="No","Yes",IF($C197="Yes","No","")))</f>
      </c>
      <c r="E197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</c>
      <c r="F197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</c>
      <c r="BL197">
        <f>IF($T197="","",IF((IF(AND($AW197&lt;&gt;"Yes",$AW197&lt;&gt;"N/A"),"Power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",""))="","",LEFT(IF(AND($AW197&lt;&gt;"Yes",$AW197&lt;&gt;"N/A"),"Power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",""),LEN(IF(AND($AW197&lt;&gt;"Yes",$AW197&lt;&gt;"N/A"),"Power Cable, ","")&amp;IF(AND($AX197&lt;&gt;"Yes",$AX197&lt;&gt;"N/A"),"Battery, ","")&amp;IF(AND($BE197&lt;&gt;"Yes",$BE197&lt;&gt;"N/A"),"Firmware Download, ","")&amp;IF(AND(OR($BE197="Yes",$BE197="N/A"),$BF197&lt;&gt;"Yes",$BF197&lt;&gt;"N/A"),"Firmware Install, ","")&amp;IF(AND($BJ197&lt;&gt;"Yes",$BJ197&lt;&gt;"N/A"),"Device ID, ","")&amp;IF(AND($BK197&lt;&gt;"Yes",$BK197&lt;&gt;"N/A"),"Epic Beans Relay, ",""))-2)))</f>
      </c>
      <c r="BM197">
        <f>IF($T197="","",IF($BL197="","Yes","Blocked"))</f>
      </c>
      <c r="BP197">
        <f>IF($BO197="","",IFERROR(VLOOKUP($BO197,'01_Warehouse_Ledger'!$A:$N,4,FALSE),""))</f>
      </c>
      <c r="BQ197">
        <f>IF($BO197="","",IFERROR(VLOOKUP($BO197,'01_Warehouse_Ledger'!$A:$N,5,FALSE),""))</f>
      </c>
      <c r="BR197">
        <f>IF($BO197="","",IFERROR(VLOOKUP($BO197,'01_Warehouse_Ledger'!$A:$N,13,FALSE),""))</f>
      </c>
    </row>
    <row r="198">
      <c r="D198">
        <f>IF($B198&lt;&gt;"Yes","",IF($C198="No","Yes",IF($C198="Yes","No","")))</f>
      </c>
      <c r="E198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</c>
      <c r="F198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</c>
      <c r="BL198">
        <f>IF($T198="","",IF((IF(AND($AW198&lt;&gt;"Yes",$AW198&lt;&gt;"N/A"),"Power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",""))="","",LEFT(IF(AND($AW198&lt;&gt;"Yes",$AW198&lt;&gt;"N/A"),"Power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",""),LEN(IF(AND($AW198&lt;&gt;"Yes",$AW198&lt;&gt;"N/A"),"Power Cable, ","")&amp;IF(AND($AX198&lt;&gt;"Yes",$AX198&lt;&gt;"N/A"),"Battery, ","")&amp;IF(AND($BE198&lt;&gt;"Yes",$BE198&lt;&gt;"N/A"),"Firmware Download, ","")&amp;IF(AND(OR($BE198="Yes",$BE198="N/A"),$BF198&lt;&gt;"Yes",$BF198&lt;&gt;"N/A"),"Firmware Install, ","")&amp;IF(AND($BJ198&lt;&gt;"Yes",$BJ198&lt;&gt;"N/A"),"Device ID, ","")&amp;IF(AND($BK198&lt;&gt;"Yes",$BK198&lt;&gt;"N/A"),"Epic Beans Relay, ",""))-2)))</f>
      </c>
      <c r="BM198">
        <f>IF($T198="","",IF($BL198="","Yes","Blocked"))</f>
      </c>
      <c r="BP198">
        <f>IF($BO198="","",IFERROR(VLOOKUP($BO198,'01_Warehouse_Ledger'!$A:$N,4,FALSE),""))</f>
      </c>
      <c r="BQ198">
        <f>IF($BO198="","",IFERROR(VLOOKUP($BO198,'01_Warehouse_Ledger'!$A:$N,5,FALSE),""))</f>
      </c>
      <c r="BR198">
        <f>IF($BO198="","",IFERROR(VLOOKUP($BO198,'01_Warehouse_Ledger'!$A:$N,13,FALSE),""))</f>
      </c>
    </row>
    <row r="199">
      <c r="D199">
        <f>IF($B199&lt;&gt;"Yes","",IF($C199="No","Yes",IF($C199="Yes","No","")))</f>
      </c>
      <c r="E199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</c>
      <c r="F199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</c>
      <c r="BL199">
        <f>IF($T199="","",IF((IF(AND($AW199&lt;&gt;"Yes",$AW199&lt;&gt;"N/A"),"Power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",""))="","",LEFT(IF(AND($AW199&lt;&gt;"Yes",$AW199&lt;&gt;"N/A"),"Power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",""),LEN(IF(AND($AW199&lt;&gt;"Yes",$AW199&lt;&gt;"N/A"),"Power Cable, ","")&amp;IF(AND($AX199&lt;&gt;"Yes",$AX199&lt;&gt;"N/A"),"Battery, ","")&amp;IF(AND($BE199&lt;&gt;"Yes",$BE199&lt;&gt;"N/A"),"Firmware Download, ","")&amp;IF(AND(OR($BE199="Yes",$BE199="N/A"),$BF199&lt;&gt;"Yes",$BF199&lt;&gt;"N/A"),"Firmware Install, ","")&amp;IF(AND($BJ199&lt;&gt;"Yes",$BJ199&lt;&gt;"N/A"),"Device ID, ","")&amp;IF(AND($BK199&lt;&gt;"Yes",$BK199&lt;&gt;"N/A"),"Epic Beans Relay, ",""))-2)))</f>
      </c>
      <c r="BM199">
        <f>IF($T199="","",IF($BL199="","Yes","Blocked"))</f>
      </c>
      <c r="BP199">
        <f>IF($BO199="","",IFERROR(VLOOKUP($BO199,'01_Warehouse_Ledger'!$A:$N,4,FALSE),""))</f>
      </c>
      <c r="BQ199">
        <f>IF($BO199="","",IFERROR(VLOOKUP($BO199,'01_Warehouse_Ledger'!$A:$N,5,FALSE),""))</f>
      </c>
      <c r="BR199">
        <f>IF($BO199="","",IFERROR(VLOOKUP($BO199,'01_Warehouse_Ledger'!$A:$N,13,FALSE),""))</f>
      </c>
    </row>
    <row r="200">
      <c r="D200">
        <f>IF($B200&lt;&gt;"Yes","",IF($C200="No","Yes",IF($C200="Yes","No","")))</f>
      </c>
      <c r="E200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</c>
      <c r="F200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</c>
      <c r="BL200">
        <f>IF($T200="","",IF((IF(AND($AW200&lt;&gt;"Yes",$AW200&lt;&gt;"N/A"),"Power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",""))="","",LEFT(IF(AND($AW200&lt;&gt;"Yes",$AW200&lt;&gt;"N/A"),"Power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",""),LEN(IF(AND($AW200&lt;&gt;"Yes",$AW200&lt;&gt;"N/A"),"Power Cable, ","")&amp;IF(AND($AX200&lt;&gt;"Yes",$AX200&lt;&gt;"N/A"),"Battery, ","")&amp;IF(AND($BE200&lt;&gt;"Yes",$BE200&lt;&gt;"N/A"),"Firmware Download, ","")&amp;IF(AND(OR($BE200="Yes",$BE200="N/A"),$BF200&lt;&gt;"Yes",$BF200&lt;&gt;"N/A"),"Firmware Install, ","")&amp;IF(AND($BJ200&lt;&gt;"Yes",$BJ200&lt;&gt;"N/A"),"Device ID, ","")&amp;IF(AND($BK200&lt;&gt;"Yes",$BK200&lt;&gt;"N/A"),"Epic Beans Relay, ",""))-2)))</f>
      </c>
      <c r="BM200">
        <f>IF($T200="","",IF($BL200="","Yes","Blocked"))</f>
      </c>
      <c r="BP200">
        <f>IF($BO200="","",IFERROR(VLOOKUP($BO200,'01_Warehouse_Ledger'!$A:$N,4,FALSE),""))</f>
      </c>
      <c r="BQ200">
        <f>IF($BO200="","",IFERROR(VLOOKUP($BO200,'01_Warehouse_Ledger'!$A:$N,5,FALSE),""))</f>
      </c>
      <c r="BR200">
        <f>IF($BO200="","",IFERROR(VLOOKUP($BO200,'01_Warehouse_Ledger'!$A:$N,13,FALSE),""))</f>
      </c>
    </row>
    <row r="201">
      <c r="D201">
        <f>IF($B201&lt;&gt;"Yes","",IF($C201="No","Yes",IF($C201="Yes","No","")))</f>
      </c>
      <c r="E201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</c>
      <c r="F201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</c>
      <c r="BL201">
        <f>IF($T201="","",IF((IF(AND($AW201&lt;&gt;"Yes",$AW201&lt;&gt;"N/A"),"Power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",""))="","",LEFT(IF(AND($AW201&lt;&gt;"Yes",$AW201&lt;&gt;"N/A"),"Power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",""),LEN(IF(AND($AW201&lt;&gt;"Yes",$AW201&lt;&gt;"N/A"),"Power Cable, ","")&amp;IF(AND($AX201&lt;&gt;"Yes",$AX201&lt;&gt;"N/A"),"Battery, ","")&amp;IF(AND($BE201&lt;&gt;"Yes",$BE201&lt;&gt;"N/A"),"Firmware Download, ","")&amp;IF(AND(OR($BE201="Yes",$BE201="N/A"),$BF201&lt;&gt;"Yes",$BF201&lt;&gt;"N/A"),"Firmware Install, ","")&amp;IF(AND($BJ201&lt;&gt;"Yes",$BJ201&lt;&gt;"N/A"),"Device ID, ","")&amp;IF(AND($BK201&lt;&gt;"Yes",$BK201&lt;&gt;"N/A"),"Epic Beans Relay, ",""))-2)))</f>
      </c>
      <c r="BM201">
        <f>IF($T201="","",IF($BL201="","Yes","Blocked"))</f>
      </c>
      <c r="BP201">
        <f>IF($BO201="","",IFERROR(VLOOKUP($BO201,'01_Warehouse_Ledger'!$A:$N,4,FALSE),""))</f>
      </c>
      <c r="BQ201">
        <f>IF($BO201="","",IFERROR(VLOOKUP($BO201,'01_Warehouse_Ledger'!$A:$N,5,FALSE),""))</f>
      </c>
      <c r="BR201">
        <f>IF($BO201="","",IFERROR(VLOOKUP($BO201,'01_Warehouse_Ledger'!$A:$N,13,FALSE),""))</f>
      </c>
    </row>
    <row r="202">
      <c r="D202">
        <f>IF($B202&lt;&gt;"Yes","",IF($C202="No","Yes",IF($C202="Yes","No","")))</f>
      </c>
      <c r="E202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</c>
      <c r="F202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</c>
      <c r="BL202">
        <f>IF($T202="","",IF((IF(AND($AW202&lt;&gt;"Yes",$AW202&lt;&gt;"N/A"),"Power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",""))="","",LEFT(IF(AND($AW202&lt;&gt;"Yes",$AW202&lt;&gt;"N/A"),"Power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",""),LEN(IF(AND($AW202&lt;&gt;"Yes",$AW202&lt;&gt;"N/A"),"Power Cable, ","")&amp;IF(AND($AX202&lt;&gt;"Yes",$AX202&lt;&gt;"N/A"),"Battery, ","")&amp;IF(AND($BE202&lt;&gt;"Yes",$BE202&lt;&gt;"N/A"),"Firmware Download, ","")&amp;IF(AND(OR($BE202="Yes",$BE202="N/A"),$BF202&lt;&gt;"Yes",$BF202&lt;&gt;"N/A"),"Firmware Install, ","")&amp;IF(AND($BJ202&lt;&gt;"Yes",$BJ202&lt;&gt;"N/A"),"Device ID, ","")&amp;IF(AND($BK202&lt;&gt;"Yes",$BK202&lt;&gt;"N/A"),"Epic Beans Relay, ",""))-2)))</f>
      </c>
      <c r="BM202">
        <f>IF($T202="","",IF($BL202="","Yes","Blocked"))</f>
      </c>
      <c r="BP202">
        <f>IF($BO202="","",IFERROR(VLOOKUP($BO202,'01_Warehouse_Ledger'!$A:$N,4,FALSE),""))</f>
      </c>
      <c r="BQ202">
        <f>IF($BO202="","",IFERROR(VLOOKUP($BO202,'01_Warehouse_Ledger'!$A:$N,5,FALSE),""))</f>
      </c>
      <c r="BR202">
        <f>IF($BO202="","",IFERROR(VLOOKUP($BO202,'01_Warehouse_Ledger'!$A:$N,13,FALSE),""))</f>
      </c>
    </row>
    <row r="203">
      <c r="D203">
        <f>IF($B203&lt;&gt;"Yes","",IF($C203="No","Yes",IF($C203="Yes","No","")))</f>
      </c>
      <c r="E203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</c>
      <c r="F203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</c>
      <c r="BL203">
        <f>IF($T203="","",IF((IF(AND($AW203&lt;&gt;"Yes",$AW203&lt;&gt;"N/A"),"Power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",""))="","",LEFT(IF(AND($AW203&lt;&gt;"Yes",$AW203&lt;&gt;"N/A"),"Power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",""),LEN(IF(AND($AW203&lt;&gt;"Yes",$AW203&lt;&gt;"N/A"),"Power Cable, ","")&amp;IF(AND($AX203&lt;&gt;"Yes",$AX203&lt;&gt;"N/A"),"Battery, ","")&amp;IF(AND($BE203&lt;&gt;"Yes",$BE203&lt;&gt;"N/A"),"Firmware Download, ","")&amp;IF(AND(OR($BE203="Yes",$BE203="N/A"),$BF203&lt;&gt;"Yes",$BF203&lt;&gt;"N/A"),"Firmware Install, ","")&amp;IF(AND($BJ203&lt;&gt;"Yes",$BJ203&lt;&gt;"N/A"),"Device ID, ","")&amp;IF(AND($BK203&lt;&gt;"Yes",$BK203&lt;&gt;"N/A"),"Epic Beans Relay, ",""))-2)))</f>
      </c>
      <c r="BM203">
        <f>IF($T203="","",IF($BL203="","Yes","Blocked"))</f>
      </c>
      <c r="BP203">
        <f>IF($BO203="","",IFERROR(VLOOKUP($BO203,'01_Warehouse_Ledger'!$A:$N,4,FALSE),""))</f>
      </c>
      <c r="BQ203">
        <f>IF($BO203="","",IFERROR(VLOOKUP($BO203,'01_Warehouse_Ledger'!$A:$N,5,FALSE),""))</f>
      </c>
      <c r="BR203">
        <f>IF($BO203="","",IFERROR(VLOOKUP($BO203,'01_Warehouse_Ledger'!$A:$N,13,FALSE),""))</f>
      </c>
    </row>
    <row r="204">
      <c r="D204">
        <f>IF($B204&lt;&gt;"Yes","",IF($C204="No","Yes",IF($C204="Yes","No","")))</f>
      </c>
      <c r="E204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</c>
      <c r="F204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</c>
      <c r="BL204">
        <f>IF($T204="","",IF((IF(AND($AW204&lt;&gt;"Yes",$AW204&lt;&gt;"N/A"),"Power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",""))="","",LEFT(IF(AND($AW204&lt;&gt;"Yes",$AW204&lt;&gt;"N/A"),"Power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",""),LEN(IF(AND($AW204&lt;&gt;"Yes",$AW204&lt;&gt;"N/A"),"Power Cable, ","")&amp;IF(AND($AX204&lt;&gt;"Yes",$AX204&lt;&gt;"N/A"),"Battery, ","")&amp;IF(AND($BE204&lt;&gt;"Yes",$BE204&lt;&gt;"N/A"),"Firmware Download, ","")&amp;IF(AND(OR($BE204="Yes",$BE204="N/A"),$BF204&lt;&gt;"Yes",$BF204&lt;&gt;"N/A"),"Firmware Install, ","")&amp;IF(AND($BJ204&lt;&gt;"Yes",$BJ204&lt;&gt;"N/A"),"Device ID, ","")&amp;IF(AND($BK204&lt;&gt;"Yes",$BK204&lt;&gt;"N/A"),"Epic Beans Relay, ",""))-2)))</f>
      </c>
      <c r="BM204">
        <f>IF($T204="","",IF($BL204="","Yes","Blocked"))</f>
      </c>
      <c r="BP204">
        <f>IF($BO204="","",IFERROR(VLOOKUP($BO204,'01_Warehouse_Ledger'!$A:$N,4,FALSE),""))</f>
      </c>
      <c r="BQ204">
        <f>IF($BO204="","",IFERROR(VLOOKUP($BO204,'01_Warehouse_Ledger'!$A:$N,5,FALSE),""))</f>
      </c>
      <c r="BR204">
        <f>IF($BO204="","",IFERROR(VLOOKUP($BO204,'01_Warehouse_Ledger'!$A:$N,13,FALSE),""))</f>
      </c>
    </row>
    <row r="205">
      <c r="D205">
        <f>IF($B205&lt;&gt;"Yes","",IF($C205="No","Yes",IF($C205="Yes","No","")))</f>
      </c>
      <c r="E205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</c>
      <c r="F205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</c>
      <c r="BL205">
        <f>IF($T205="","",IF((IF(AND($AW205&lt;&gt;"Yes",$AW205&lt;&gt;"N/A"),"Power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",""))="","",LEFT(IF(AND($AW205&lt;&gt;"Yes",$AW205&lt;&gt;"N/A"),"Power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",""),LEN(IF(AND($AW205&lt;&gt;"Yes",$AW205&lt;&gt;"N/A"),"Power Cable, ","")&amp;IF(AND($AX205&lt;&gt;"Yes",$AX205&lt;&gt;"N/A"),"Battery, ","")&amp;IF(AND($BE205&lt;&gt;"Yes",$BE205&lt;&gt;"N/A"),"Firmware Download, ","")&amp;IF(AND(OR($BE205="Yes",$BE205="N/A"),$BF205&lt;&gt;"Yes",$BF205&lt;&gt;"N/A"),"Firmware Install, ","")&amp;IF(AND($BJ205&lt;&gt;"Yes",$BJ205&lt;&gt;"N/A"),"Device ID, ","")&amp;IF(AND($BK205&lt;&gt;"Yes",$BK205&lt;&gt;"N/A"),"Epic Beans Relay, ",""))-2)))</f>
      </c>
      <c r="BM205">
        <f>IF($T205="","",IF($BL205="","Yes","Blocked"))</f>
      </c>
      <c r="BP205">
        <f>IF($BO205="","",IFERROR(VLOOKUP($BO205,'01_Warehouse_Ledger'!$A:$N,4,FALSE),""))</f>
      </c>
      <c r="BQ205">
        <f>IF($BO205="","",IFERROR(VLOOKUP($BO205,'01_Warehouse_Ledger'!$A:$N,5,FALSE),""))</f>
      </c>
      <c r="BR205">
        <f>IF($BO205="","",IFERROR(VLOOKUP($BO205,'01_Warehouse_Ledger'!$A:$N,13,FALSE),""))</f>
      </c>
    </row>
    <row r="206">
      <c r="D206">
        <f>IF($B206&lt;&gt;"Yes","",IF($C206="No","Yes",IF($C206="Yes","No","")))</f>
      </c>
      <c r="E206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</c>
      <c r="F206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</c>
      <c r="BL206">
        <f>IF($T206="","",IF((IF(AND($AW206&lt;&gt;"Yes",$AW206&lt;&gt;"N/A"),"Power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",""))="","",LEFT(IF(AND($AW206&lt;&gt;"Yes",$AW206&lt;&gt;"N/A"),"Power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",""),LEN(IF(AND($AW206&lt;&gt;"Yes",$AW206&lt;&gt;"N/A"),"Power Cable, ","")&amp;IF(AND($AX206&lt;&gt;"Yes",$AX206&lt;&gt;"N/A"),"Battery, ","")&amp;IF(AND($BE206&lt;&gt;"Yes",$BE206&lt;&gt;"N/A"),"Firmware Download, ","")&amp;IF(AND(OR($BE206="Yes",$BE206="N/A"),$BF206&lt;&gt;"Yes",$BF206&lt;&gt;"N/A"),"Firmware Install, ","")&amp;IF(AND($BJ206&lt;&gt;"Yes",$BJ206&lt;&gt;"N/A"),"Device ID, ","")&amp;IF(AND($BK206&lt;&gt;"Yes",$BK206&lt;&gt;"N/A"),"Epic Beans Relay, ",""))-2)))</f>
      </c>
      <c r="BM206">
        <f>IF($T206="","",IF($BL206="","Yes","Blocked"))</f>
      </c>
      <c r="BP206">
        <f>IF($BO206="","",IFERROR(VLOOKUP($BO206,'01_Warehouse_Ledger'!$A:$N,4,FALSE),""))</f>
      </c>
      <c r="BQ206">
        <f>IF($BO206="","",IFERROR(VLOOKUP($BO206,'01_Warehouse_Ledger'!$A:$N,5,FALSE),""))</f>
      </c>
      <c r="BR206">
        <f>IF($BO206="","",IFERROR(VLOOKUP($BO206,'01_Warehouse_Ledger'!$A:$N,13,FALSE),""))</f>
      </c>
    </row>
    <row r="207">
      <c r="D207">
        <f>IF($B207&lt;&gt;"Yes","",IF($C207="No","Yes",IF($C207="Yes","No","")))</f>
      </c>
      <c r="E207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</c>
      <c r="F207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</c>
      <c r="BL207">
        <f>IF($T207="","",IF((IF(AND($AW207&lt;&gt;"Yes",$AW207&lt;&gt;"N/A"),"Power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",""))="","",LEFT(IF(AND($AW207&lt;&gt;"Yes",$AW207&lt;&gt;"N/A"),"Power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",""),LEN(IF(AND($AW207&lt;&gt;"Yes",$AW207&lt;&gt;"N/A"),"Power Cable, ","")&amp;IF(AND($AX207&lt;&gt;"Yes",$AX207&lt;&gt;"N/A"),"Battery, ","")&amp;IF(AND($BE207&lt;&gt;"Yes",$BE207&lt;&gt;"N/A"),"Firmware Download, ","")&amp;IF(AND(OR($BE207="Yes",$BE207="N/A"),$BF207&lt;&gt;"Yes",$BF207&lt;&gt;"N/A"),"Firmware Install, ","")&amp;IF(AND($BJ207&lt;&gt;"Yes",$BJ207&lt;&gt;"N/A"),"Device ID, ","")&amp;IF(AND($BK207&lt;&gt;"Yes",$BK207&lt;&gt;"N/A"),"Epic Beans Relay, ",""))-2)))</f>
      </c>
      <c r="BM207">
        <f>IF($T207="","",IF($BL207="","Yes","Blocked"))</f>
      </c>
      <c r="BP207">
        <f>IF($BO207="","",IFERROR(VLOOKUP($BO207,'01_Warehouse_Ledger'!$A:$N,4,FALSE),""))</f>
      </c>
      <c r="BQ207">
        <f>IF($BO207="","",IFERROR(VLOOKUP($BO207,'01_Warehouse_Ledger'!$A:$N,5,FALSE),""))</f>
      </c>
      <c r="BR207">
        <f>IF($BO207="","",IFERROR(VLOOKUP($BO207,'01_Warehouse_Ledger'!$A:$N,13,FALSE),""))</f>
      </c>
    </row>
    <row r="208">
      <c r="D208">
        <f>IF($B208&lt;&gt;"Yes","",IF($C208="No","Yes",IF($C208="Yes","No","")))</f>
      </c>
      <c r="E208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</c>
      <c r="F208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</c>
      <c r="BL208">
        <f>IF($T208="","",IF((IF(AND($AW208&lt;&gt;"Yes",$AW208&lt;&gt;"N/A"),"Power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",""))="","",LEFT(IF(AND($AW208&lt;&gt;"Yes",$AW208&lt;&gt;"N/A"),"Power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",""),LEN(IF(AND($AW208&lt;&gt;"Yes",$AW208&lt;&gt;"N/A"),"Power Cable, ","")&amp;IF(AND($AX208&lt;&gt;"Yes",$AX208&lt;&gt;"N/A"),"Battery, ","")&amp;IF(AND($BE208&lt;&gt;"Yes",$BE208&lt;&gt;"N/A"),"Firmware Download, ","")&amp;IF(AND(OR($BE208="Yes",$BE208="N/A"),$BF208&lt;&gt;"Yes",$BF208&lt;&gt;"N/A"),"Firmware Install, ","")&amp;IF(AND($BJ208&lt;&gt;"Yes",$BJ208&lt;&gt;"N/A"),"Device ID, ","")&amp;IF(AND($BK208&lt;&gt;"Yes",$BK208&lt;&gt;"N/A"),"Epic Beans Relay, ",""))-2)))</f>
      </c>
      <c r="BM208">
        <f>IF($T208="","",IF($BL208="","Yes","Blocked"))</f>
      </c>
      <c r="BP208">
        <f>IF($BO208="","",IFERROR(VLOOKUP($BO208,'01_Warehouse_Ledger'!$A:$N,4,FALSE),""))</f>
      </c>
      <c r="BQ208">
        <f>IF($BO208="","",IFERROR(VLOOKUP($BO208,'01_Warehouse_Ledger'!$A:$N,5,FALSE),""))</f>
      </c>
      <c r="BR208">
        <f>IF($BO208="","",IFERROR(VLOOKUP($BO208,'01_Warehouse_Ledger'!$A:$N,13,FALSE),""))</f>
      </c>
    </row>
    <row r="209">
      <c r="D209">
        <f>IF($B209&lt;&gt;"Yes","",IF($C209="No","Yes",IF($C209="Yes","No","")))</f>
      </c>
      <c r="E209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</c>
      <c r="F209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</c>
      <c r="BL209">
        <f>IF($T209="","",IF((IF(AND($AW209&lt;&gt;"Yes",$AW209&lt;&gt;"N/A"),"Power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",""))="","",LEFT(IF(AND($AW209&lt;&gt;"Yes",$AW209&lt;&gt;"N/A"),"Power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",""),LEN(IF(AND($AW209&lt;&gt;"Yes",$AW209&lt;&gt;"N/A"),"Power Cable, ","")&amp;IF(AND($AX209&lt;&gt;"Yes",$AX209&lt;&gt;"N/A"),"Battery, ","")&amp;IF(AND($BE209&lt;&gt;"Yes",$BE209&lt;&gt;"N/A"),"Firmware Download, ","")&amp;IF(AND(OR($BE209="Yes",$BE209="N/A"),$BF209&lt;&gt;"Yes",$BF209&lt;&gt;"N/A"),"Firmware Install, ","")&amp;IF(AND($BJ209&lt;&gt;"Yes",$BJ209&lt;&gt;"N/A"),"Device ID, ","")&amp;IF(AND($BK209&lt;&gt;"Yes",$BK209&lt;&gt;"N/A"),"Epic Beans Relay, ",""))-2)))</f>
      </c>
      <c r="BM209">
        <f>IF($T209="","",IF($BL209="","Yes","Blocked"))</f>
      </c>
      <c r="BP209">
        <f>IF($BO209="","",IFERROR(VLOOKUP($BO209,'01_Warehouse_Ledger'!$A:$N,4,FALSE),""))</f>
      </c>
      <c r="BQ209">
        <f>IF($BO209="","",IFERROR(VLOOKUP($BO209,'01_Warehouse_Ledger'!$A:$N,5,FALSE),""))</f>
      </c>
      <c r="BR209">
        <f>IF($BO209="","",IFERROR(VLOOKUP($BO209,'01_Warehouse_Ledger'!$A:$N,13,FALSE),""))</f>
      </c>
    </row>
    <row r="210">
      <c r="D210">
        <f>IF($B210&lt;&gt;"Yes","",IF($C210="No","Yes",IF($C210="Yes","No","")))</f>
      </c>
      <c r="E210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</c>
      <c r="F210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</c>
      <c r="BL210">
        <f>IF($T210="","",IF((IF(AND($AW210&lt;&gt;"Yes",$AW210&lt;&gt;"N/A"),"Power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",""))="","",LEFT(IF(AND($AW210&lt;&gt;"Yes",$AW210&lt;&gt;"N/A"),"Power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",""),LEN(IF(AND($AW210&lt;&gt;"Yes",$AW210&lt;&gt;"N/A"),"Power Cable, ","")&amp;IF(AND($AX210&lt;&gt;"Yes",$AX210&lt;&gt;"N/A"),"Battery, ","")&amp;IF(AND($BE210&lt;&gt;"Yes",$BE210&lt;&gt;"N/A"),"Firmware Download, ","")&amp;IF(AND(OR($BE210="Yes",$BE210="N/A"),$BF210&lt;&gt;"Yes",$BF210&lt;&gt;"N/A"),"Firmware Install, ","")&amp;IF(AND($BJ210&lt;&gt;"Yes",$BJ210&lt;&gt;"N/A"),"Device ID, ","")&amp;IF(AND($BK210&lt;&gt;"Yes",$BK210&lt;&gt;"N/A"),"Epic Beans Relay, ",""))-2)))</f>
      </c>
      <c r="BM210">
        <f>IF($T210="","",IF($BL210="","Yes","Blocked"))</f>
      </c>
      <c r="BP210">
        <f>IF($BO210="","",IFERROR(VLOOKUP($BO210,'01_Warehouse_Ledger'!$A:$N,4,FALSE),""))</f>
      </c>
      <c r="BQ210">
        <f>IF($BO210="","",IFERROR(VLOOKUP($BO210,'01_Warehouse_Ledger'!$A:$N,5,FALSE),""))</f>
      </c>
      <c r="BR210">
        <f>IF($BO210="","",IFERROR(VLOOKUP($BO210,'01_Warehouse_Ledger'!$A:$N,13,FALSE),""))</f>
      </c>
    </row>
    <row r="211">
      <c r="D211">
        <f>IF($B211&lt;&gt;"Yes","",IF($C211="No","Yes",IF($C211="Yes","No","")))</f>
      </c>
      <c r="E211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</c>
      <c r="F211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</c>
      <c r="BL211">
        <f>IF($T211="","",IF((IF(AND($AW211&lt;&gt;"Yes",$AW211&lt;&gt;"N/A"),"Power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",""))="","",LEFT(IF(AND($AW211&lt;&gt;"Yes",$AW211&lt;&gt;"N/A"),"Power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",""),LEN(IF(AND($AW211&lt;&gt;"Yes",$AW211&lt;&gt;"N/A"),"Power Cable, ","")&amp;IF(AND($AX211&lt;&gt;"Yes",$AX211&lt;&gt;"N/A"),"Battery, ","")&amp;IF(AND($BE211&lt;&gt;"Yes",$BE211&lt;&gt;"N/A"),"Firmware Download, ","")&amp;IF(AND(OR($BE211="Yes",$BE211="N/A"),$BF211&lt;&gt;"Yes",$BF211&lt;&gt;"N/A"),"Firmware Install, ","")&amp;IF(AND($BJ211&lt;&gt;"Yes",$BJ211&lt;&gt;"N/A"),"Device ID, ","")&amp;IF(AND($BK211&lt;&gt;"Yes",$BK211&lt;&gt;"N/A"),"Epic Beans Relay, ",""))-2)))</f>
      </c>
      <c r="BM211">
        <f>IF($T211="","",IF($BL211="","Yes","Blocked"))</f>
      </c>
      <c r="BP211">
        <f>IF($BO211="","",IFERROR(VLOOKUP($BO211,'01_Warehouse_Ledger'!$A:$N,4,FALSE),""))</f>
      </c>
      <c r="BQ211">
        <f>IF($BO211="","",IFERROR(VLOOKUP($BO211,'01_Warehouse_Ledger'!$A:$N,5,FALSE),""))</f>
      </c>
      <c r="BR211">
        <f>IF($BO211="","",IFERROR(VLOOKUP($BO211,'01_Warehouse_Ledger'!$A:$N,13,FALSE),""))</f>
      </c>
    </row>
    <row r="212">
      <c r="D212">
        <f>IF($B212&lt;&gt;"Yes","",IF($C212="No","Yes",IF($C212="Yes","No","")))</f>
      </c>
      <c r="E212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</c>
      <c r="F212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</c>
      <c r="BL212">
        <f>IF($T212="","",IF((IF(AND($AW212&lt;&gt;"Yes",$AW212&lt;&gt;"N/A"),"Power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",""))="","",LEFT(IF(AND($AW212&lt;&gt;"Yes",$AW212&lt;&gt;"N/A"),"Power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",""),LEN(IF(AND($AW212&lt;&gt;"Yes",$AW212&lt;&gt;"N/A"),"Power Cable, ","")&amp;IF(AND($AX212&lt;&gt;"Yes",$AX212&lt;&gt;"N/A"),"Battery, ","")&amp;IF(AND($BE212&lt;&gt;"Yes",$BE212&lt;&gt;"N/A"),"Firmware Download, ","")&amp;IF(AND(OR($BE212="Yes",$BE212="N/A"),$BF212&lt;&gt;"Yes",$BF212&lt;&gt;"N/A"),"Firmware Install, ","")&amp;IF(AND($BJ212&lt;&gt;"Yes",$BJ212&lt;&gt;"N/A"),"Device ID, ","")&amp;IF(AND($BK212&lt;&gt;"Yes",$BK212&lt;&gt;"N/A"),"Epic Beans Relay, ",""))-2)))</f>
      </c>
      <c r="BM212">
        <f>IF($T212="","",IF($BL212="","Yes","Blocked"))</f>
      </c>
      <c r="BP212">
        <f>IF($BO212="","",IFERROR(VLOOKUP($BO212,'01_Warehouse_Ledger'!$A:$N,4,FALSE),""))</f>
      </c>
      <c r="BQ212">
        <f>IF($BO212="","",IFERROR(VLOOKUP($BO212,'01_Warehouse_Ledger'!$A:$N,5,FALSE),""))</f>
      </c>
      <c r="BR212">
        <f>IF($BO212="","",IFERROR(VLOOKUP($BO212,'01_Warehouse_Ledger'!$A:$N,13,FALSE),""))</f>
      </c>
    </row>
    <row r="213">
      <c r="D213">
        <f>IF($B213&lt;&gt;"Yes","",IF($C213="No","Yes",IF($C213="Yes","No","")))</f>
      </c>
      <c r="E213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</c>
      <c r="F213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</c>
      <c r="BL213">
        <f>IF($T213="","",IF((IF(AND($AW213&lt;&gt;"Yes",$AW213&lt;&gt;"N/A"),"Power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",""))="","",LEFT(IF(AND($AW213&lt;&gt;"Yes",$AW213&lt;&gt;"N/A"),"Power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",""),LEN(IF(AND($AW213&lt;&gt;"Yes",$AW213&lt;&gt;"N/A"),"Power Cable, ","")&amp;IF(AND($AX213&lt;&gt;"Yes",$AX213&lt;&gt;"N/A"),"Battery, ","")&amp;IF(AND($BE213&lt;&gt;"Yes",$BE213&lt;&gt;"N/A"),"Firmware Download, ","")&amp;IF(AND(OR($BE213="Yes",$BE213="N/A"),$BF213&lt;&gt;"Yes",$BF213&lt;&gt;"N/A"),"Firmware Install, ","")&amp;IF(AND($BJ213&lt;&gt;"Yes",$BJ213&lt;&gt;"N/A"),"Device ID, ","")&amp;IF(AND($BK213&lt;&gt;"Yes",$BK213&lt;&gt;"N/A"),"Epic Beans Relay, ",""))-2)))</f>
      </c>
      <c r="BM213">
        <f>IF($T213="","",IF($BL213="","Yes","Blocked"))</f>
      </c>
      <c r="BP213">
        <f>IF($BO213="","",IFERROR(VLOOKUP($BO213,'01_Warehouse_Ledger'!$A:$N,4,FALSE),""))</f>
      </c>
      <c r="BQ213">
        <f>IF($BO213="","",IFERROR(VLOOKUP($BO213,'01_Warehouse_Ledger'!$A:$N,5,FALSE),""))</f>
      </c>
      <c r="BR213">
        <f>IF($BO213="","",IFERROR(VLOOKUP($BO213,'01_Warehouse_Ledger'!$A:$N,13,FALSE),""))</f>
      </c>
    </row>
    <row r="214">
      <c r="D214">
        <f>IF($B214&lt;&gt;"Yes","",IF($C214="No","Yes",IF($C214="Yes","No","")))</f>
      </c>
      <c r="E214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</c>
      <c r="F214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</c>
      <c r="BL214">
        <f>IF($T214="","",IF((IF(AND($AW214&lt;&gt;"Yes",$AW214&lt;&gt;"N/A"),"Power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",""))="","",LEFT(IF(AND($AW214&lt;&gt;"Yes",$AW214&lt;&gt;"N/A"),"Power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",""),LEN(IF(AND($AW214&lt;&gt;"Yes",$AW214&lt;&gt;"N/A"),"Power Cable, ","")&amp;IF(AND($AX214&lt;&gt;"Yes",$AX214&lt;&gt;"N/A"),"Battery, ","")&amp;IF(AND($BE214&lt;&gt;"Yes",$BE214&lt;&gt;"N/A"),"Firmware Download, ","")&amp;IF(AND(OR($BE214="Yes",$BE214="N/A"),$BF214&lt;&gt;"Yes",$BF214&lt;&gt;"N/A"),"Firmware Install, ","")&amp;IF(AND($BJ214&lt;&gt;"Yes",$BJ214&lt;&gt;"N/A"),"Device ID, ","")&amp;IF(AND($BK214&lt;&gt;"Yes",$BK214&lt;&gt;"N/A"),"Epic Beans Relay, ",""))-2)))</f>
      </c>
      <c r="BM214">
        <f>IF($T214="","",IF($BL214="","Yes","Blocked"))</f>
      </c>
      <c r="BP214">
        <f>IF($BO214="","",IFERROR(VLOOKUP($BO214,'01_Warehouse_Ledger'!$A:$N,4,FALSE),""))</f>
      </c>
      <c r="BQ214">
        <f>IF($BO214="","",IFERROR(VLOOKUP($BO214,'01_Warehouse_Ledger'!$A:$N,5,FALSE),""))</f>
      </c>
      <c r="BR214">
        <f>IF($BO214="","",IFERROR(VLOOKUP($BO214,'01_Warehouse_Ledger'!$A:$N,13,FALSE),""))</f>
      </c>
    </row>
    <row r="215">
      <c r="D215">
        <f>IF($B215&lt;&gt;"Yes","",IF($C215="No","Yes",IF($C215="Yes","No","")))</f>
      </c>
      <c r="E215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</c>
      <c r="F215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</c>
      <c r="BL215">
        <f>IF($T215="","",IF((IF(AND($AW215&lt;&gt;"Yes",$AW215&lt;&gt;"N/A"),"Power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",""))="","",LEFT(IF(AND($AW215&lt;&gt;"Yes",$AW215&lt;&gt;"N/A"),"Power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",""),LEN(IF(AND($AW215&lt;&gt;"Yes",$AW215&lt;&gt;"N/A"),"Power Cable, ","")&amp;IF(AND($AX215&lt;&gt;"Yes",$AX215&lt;&gt;"N/A"),"Battery, ","")&amp;IF(AND($BE215&lt;&gt;"Yes",$BE215&lt;&gt;"N/A"),"Firmware Download, ","")&amp;IF(AND(OR($BE215="Yes",$BE215="N/A"),$BF215&lt;&gt;"Yes",$BF215&lt;&gt;"N/A"),"Firmware Install, ","")&amp;IF(AND($BJ215&lt;&gt;"Yes",$BJ215&lt;&gt;"N/A"),"Device ID, ","")&amp;IF(AND($BK215&lt;&gt;"Yes",$BK215&lt;&gt;"N/A"),"Epic Beans Relay, ",""))-2)))</f>
      </c>
      <c r="BM215">
        <f>IF($T215="","",IF($BL215="","Yes","Blocked"))</f>
      </c>
      <c r="BP215">
        <f>IF($BO215="","",IFERROR(VLOOKUP($BO215,'01_Warehouse_Ledger'!$A:$N,4,FALSE),""))</f>
      </c>
      <c r="BQ215">
        <f>IF($BO215="","",IFERROR(VLOOKUP($BO215,'01_Warehouse_Ledger'!$A:$N,5,FALSE),""))</f>
      </c>
      <c r="BR215">
        <f>IF($BO215="","",IFERROR(VLOOKUP($BO215,'01_Warehouse_Ledger'!$A:$N,13,FALSE),""))</f>
      </c>
    </row>
    <row r="216">
      <c r="D216">
        <f>IF($B216&lt;&gt;"Yes","",IF($C216="No","Yes",IF($C216="Yes","No","")))</f>
      </c>
      <c r="E216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</c>
      <c r="F216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</c>
      <c r="BL216">
        <f>IF($T216="","",IF((IF(AND($AW216&lt;&gt;"Yes",$AW216&lt;&gt;"N/A"),"Power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",""))="","",LEFT(IF(AND($AW216&lt;&gt;"Yes",$AW216&lt;&gt;"N/A"),"Power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",""),LEN(IF(AND($AW216&lt;&gt;"Yes",$AW216&lt;&gt;"N/A"),"Power Cable, ","")&amp;IF(AND($AX216&lt;&gt;"Yes",$AX216&lt;&gt;"N/A"),"Battery, ","")&amp;IF(AND($BE216&lt;&gt;"Yes",$BE216&lt;&gt;"N/A"),"Firmware Download, ","")&amp;IF(AND(OR($BE216="Yes",$BE216="N/A"),$BF216&lt;&gt;"Yes",$BF216&lt;&gt;"N/A"),"Firmware Install, ","")&amp;IF(AND($BJ216&lt;&gt;"Yes",$BJ216&lt;&gt;"N/A"),"Device ID, ","")&amp;IF(AND($BK216&lt;&gt;"Yes",$BK216&lt;&gt;"N/A"),"Epic Beans Relay, ",""))-2)))</f>
      </c>
      <c r="BM216">
        <f>IF($T216="","",IF($BL216="","Yes","Blocked"))</f>
      </c>
      <c r="BP216">
        <f>IF($BO216="","",IFERROR(VLOOKUP($BO216,'01_Warehouse_Ledger'!$A:$N,4,FALSE),""))</f>
      </c>
      <c r="BQ216">
        <f>IF($BO216="","",IFERROR(VLOOKUP($BO216,'01_Warehouse_Ledger'!$A:$N,5,FALSE),""))</f>
      </c>
      <c r="BR216">
        <f>IF($BO216="","",IFERROR(VLOOKUP($BO216,'01_Warehouse_Ledger'!$A:$N,13,FALSE),""))</f>
      </c>
    </row>
    <row r="217">
      <c r="D217">
        <f>IF($B217&lt;&gt;"Yes","",IF($C217="No","Yes",IF($C217="Yes","No","")))</f>
      </c>
      <c r="E217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</c>
      <c r="F217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</c>
      <c r="BL217">
        <f>IF($T217="","",IF((IF(AND($AW217&lt;&gt;"Yes",$AW217&lt;&gt;"N/A"),"Power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",""))="","",LEFT(IF(AND($AW217&lt;&gt;"Yes",$AW217&lt;&gt;"N/A"),"Power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",""),LEN(IF(AND($AW217&lt;&gt;"Yes",$AW217&lt;&gt;"N/A"),"Power Cable, ","")&amp;IF(AND($AX217&lt;&gt;"Yes",$AX217&lt;&gt;"N/A"),"Battery, ","")&amp;IF(AND($BE217&lt;&gt;"Yes",$BE217&lt;&gt;"N/A"),"Firmware Download, ","")&amp;IF(AND(OR($BE217="Yes",$BE217="N/A"),$BF217&lt;&gt;"Yes",$BF217&lt;&gt;"N/A"),"Firmware Install, ","")&amp;IF(AND($BJ217&lt;&gt;"Yes",$BJ217&lt;&gt;"N/A"),"Device ID, ","")&amp;IF(AND($BK217&lt;&gt;"Yes",$BK217&lt;&gt;"N/A"),"Epic Beans Relay, ",""))-2)))</f>
      </c>
      <c r="BM217">
        <f>IF($T217="","",IF($BL217="","Yes","Blocked"))</f>
      </c>
      <c r="BP217">
        <f>IF($BO217="","",IFERROR(VLOOKUP($BO217,'01_Warehouse_Ledger'!$A:$N,4,FALSE),""))</f>
      </c>
      <c r="BQ217">
        <f>IF($BO217="","",IFERROR(VLOOKUP($BO217,'01_Warehouse_Ledger'!$A:$N,5,FALSE),""))</f>
      </c>
      <c r="BR217">
        <f>IF($BO217="","",IFERROR(VLOOKUP($BO217,'01_Warehouse_Ledger'!$A:$N,13,FALSE),""))</f>
      </c>
    </row>
    <row r="218">
      <c r="D218">
        <f>IF($B218&lt;&gt;"Yes","",IF($C218="No","Yes",IF($C218="Yes","No","")))</f>
      </c>
      <c r="E218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</c>
      <c r="F218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</c>
      <c r="BL218">
        <f>IF($T218="","",IF((IF(AND($AW218&lt;&gt;"Yes",$AW218&lt;&gt;"N/A"),"Power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",""))="","",LEFT(IF(AND($AW218&lt;&gt;"Yes",$AW218&lt;&gt;"N/A"),"Power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",""),LEN(IF(AND($AW218&lt;&gt;"Yes",$AW218&lt;&gt;"N/A"),"Power Cable, ","")&amp;IF(AND($AX218&lt;&gt;"Yes",$AX218&lt;&gt;"N/A"),"Battery, ","")&amp;IF(AND($BE218&lt;&gt;"Yes",$BE218&lt;&gt;"N/A"),"Firmware Download, ","")&amp;IF(AND(OR($BE218="Yes",$BE218="N/A"),$BF218&lt;&gt;"Yes",$BF218&lt;&gt;"N/A"),"Firmware Install, ","")&amp;IF(AND($BJ218&lt;&gt;"Yes",$BJ218&lt;&gt;"N/A"),"Device ID, ","")&amp;IF(AND($BK218&lt;&gt;"Yes",$BK218&lt;&gt;"N/A"),"Epic Beans Relay, ",""))-2)))</f>
      </c>
      <c r="BM218">
        <f>IF($T218="","",IF($BL218="","Yes","Blocked"))</f>
      </c>
      <c r="BP218">
        <f>IF($BO218="","",IFERROR(VLOOKUP($BO218,'01_Warehouse_Ledger'!$A:$N,4,FALSE),""))</f>
      </c>
      <c r="BQ218">
        <f>IF($BO218="","",IFERROR(VLOOKUP($BO218,'01_Warehouse_Ledger'!$A:$N,5,FALSE),""))</f>
      </c>
      <c r="BR218">
        <f>IF($BO218="","",IFERROR(VLOOKUP($BO218,'01_Warehouse_Ledger'!$A:$N,13,FALSE),""))</f>
      </c>
    </row>
    <row r="219">
      <c r="D219">
        <f>IF($B219&lt;&gt;"Yes","",IF($C219="No","Yes",IF($C219="Yes","No","")))</f>
      </c>
      <c r="E219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</c>
      <c r="F219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</c>
      <c r="BL219">
        <f>IF($T219="","",IF((IF(AND($AW219&lt;&gt;"Yes",$AW219&lt;&gt;"N/A"),"Power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",""))="","",LEFT(IF(AND($AW219&lt;&gt;"Yes",$AW219&lt;&gt;"N/A"),"Power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",""),LEN(IF(AND($AW219&lt;&gt;"Yes",$AW219&lt;&gt;"N/A"),"Power Cable, ","")&amp;IF(AND($AX219&lt;&gt;"Yes",$AX219&lt;&gt;"N/A"),"Battery, ","")&amp;IF(AND($BE219&lt;&gt;"Yes",$BE219&lt;&gt;"N/A"),"Firmware Download, ","")&amp;IF(AND(OR($BE219="Yes",$BE219="N/A"),$BF219&lt;&gt;"Yes",$BF219&lt;&gt;"N/A"),"Firmware Install, ","")&amp;IF(AND($BJ219&lt;&gt;"Yes",$BJ219&lt;&gt;"N/A"),"Device ID, ","")&amp;IF(AND($BK219&lt;&gt;"Yes",$BK219&lt;&gt;"N/A"),"Epic Beans Relay, ",""))-2)))</f>
      </c>
      <c r="BM219">
        <f>IF($T219="","",IF($BL219="","Yes","Blocked"))</f>
      </c>
      <c r="BP219">
        <f>IF($BO219="","",IFERROR(VLOOKUP($BO219,'01_Warehouse_Ledger'!$A:$N,4,FALSE),""))</f>
      </c>
      <c r="BQ219">
        <f>IF($BO219="","",IFERROR(VLOOKUP($BO219,'01_Warehouse_Ledger'!$A:$N,5,FALSE),""))</f>
      </c>
      <c r="BR219">
        <f>IF($BO219="","",IFERROR(VLOOKUP($BO219,'01_Warehouse_Ledger'!$A:$N,13,FALSE),""))</f>
      </c>
    </row>
    <row r="220">
      <c r="D220">
        <f>IF($B220&lt;&gt;"Yes","",IF($C220="No","Yes",IF($C220="Yes","No","")))</f>
      </c>
      <c r="E220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</c>
      <c r="F220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</c>
      <c r="BL220">
        <f>IF($T220="","",IF((IF(AND($AW220&lt;&gt;"Yes",$AW220&lt;&gt;"N/A"),"Power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",""))="","",LEFT(IF(AND($AW220&lt;&gt;"Yes",$AW220&lt;&gt;"N/A"),"Power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",""),LEN(IF(AND($AW220&lt;&gt;"Yes",$AW220&lt;&gt;"N/A"),"Power Cable, ","")&amp;IF(AND($AX220&lt;&gt;"Yes",$AX220&lt;&gt;"N/A"),"Battery, ","")&amp;IF(AND($BE220&lt;&gt;"Yes",$BE220&lt;&gt;"N/A"),"Firmware Download, ","")&amp;IF(AND(OR($BE220="Yes",$BE220="N/A"),$BF220&lt;&gt;"Yes",$BF220&lt;&gt;"N/A"),"Firmware Install, ","")&amp;IF(AND($BJ220&lt;&gt;"Yes",$BJ220&lt;&gt;"N/A"),"Device ID, ","")&amp;IF(AND($BK220&lt;&gt;"Yes",$BK220&lt;&gt;"N/A"),"Epic Beans Relay, ",""))-2)))</f>
      </c>
      <c r="BM220">
        <f>IF($T220="","",IF($BL220="","Yes","Blocked"))</f>
      </c>
      <c r="BP220">
        <f>IF($BO220="","",IFERROR(VLOOKUP($BO220,'01_Warehouse_Ledger'!$A:$N,4,FALSE),""))</f>
      </c>
      <c r="BQ220">
        <f>IF($BO220="","",IFERROR(VLOOKUP($BO220,'01_Warehouse_Ledger'!$A:$N,5,FALSE),""))</f>
      </c>
      <c r="BR220">
        <f>IF($BO220="","",IFERROR(VLOOKUP($BO220,'01_Warehouse_Ledger'!$A:$N,13,FALSE),""))</f>
      </c>
    </row>
    <row r="221">
      <c r="D221">
        <f>IF($B221&lt;&gt;"Yes","",IF($C221="No","Yes",IF($C221="Yes","No","")))</f>
      </c>
      <c r="E221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</c>
      <c r="F221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</c>
      <c r="BL221">
        <f>IF($T221="","",IF((IF(AND($AW221&lt;&gt;"Yes",$AW221&lt;&gt;"N/A"),"Power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",""))="","",LEFT(IF(AND($AW221&lt;&gt;"Yes",$AW221&lt;&gt;"N/A"),"Power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",""),LEN(IF(AND($AW221&lt;&gt;"Yes",$AW221&lt;&gt;"N/A"),"Power Cable, ","")&amp;IF(AND($AX221&lt;&gt;"Yes",$AX221&lt;&gt;"N/A"),"Battery, ","")&amp;IF(AND($BE221&lt;&gt;"Yes",$BE221&lt;&gt;"N/A"),"Firmware Download, ","")&amp;IF(AND(OR($BE221="Yes",$BE221="N/A"),$BF221&lt;&gt;"Yes",$BF221&lt;&gt;"N/A"),"Firmware Install, ","")&amp;IF(AND($BJ221&lt;&gt;"Yes",$BJ221&lt;&gt;"N/A"),"Device ID, ","")&amp;IF(AND($BK221&lt;&gt;"Yes",$BK221&lt;&gt;"N/A"),"Epic Beans Relay, ",""))-2)))</f>
      </c>
      <c r="BM221">
        <f>IF($T221="","",IF($BL221="","Yes","Blocked"))</f>
      </c>
      <c r="BP221">
        <f>IF($BO221="","",IFERROR(VLOOKUP($BO221,'01_Warehouse_Ledger'!$A:$N,4,FALSE),""))</f>
      </c>
      <c r="BQ221">
        <f>IF($BO221="","",IFERROR(VLOOKUP($BO221,'01_Warehouse_Ledger'!$A:$N,5,FALSE),""))</f>
      </c>
      <c r="BR221">
        <f>IF($BO221="","",IFERROR(VLOOKUP($BO221,'01_Warehouse_Ledger'!$A:$N,13,FALSE),""))</f>
      </c>
    </row>
    <row r="222">
      <c r="D222">
        <f>IF($B222&lt;&gt;"Yes","",IF($C222="No","Yes",IF($C222="Yes","No","")))</f>
      </c>
      <c r="E222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</c>
      <c r="F222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</c>
      <c r="BL222">
        <f>IF($T222="","",IF((IF(AND($AW222&lt;&gt;"Yes",$AW222&lt;&gt;"N/A"),"Power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",""))="","",LEFT(IF(AND($AW222&lt;&gt;"Yes",$AW222&lt;&gt;"N/A"),"Power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",""),LEN(IF(AND($AW222&lt;&gt;"Yes",$AW222&lt;&gt;"N/A"),"Power Cable, ","")&amp;IF(AND($AX222&lt;&gt;"Yes",$AX222&lt;&gt;"N/A"),"Battery, ","")&amp;IF(AND($BE222&lt;&gt;"Yes",$BE222&lt;&gt;"N/A"),"Firmware Download, ","")&amp;IF(AND(OR($BE222="Yes",$BE222="N/A"),$BF222&lt;&gt;"Yes",$BF222&lt;&gt;"N/A"),"Firmware Install, ","")&amp;IF(AND($BJ222&lt;&gt;"Yes",$BJ222&lt;&gt;"N/A"),"Device ID, ","")&amp;IF(AND($BK222&lt;&gt;"Yes",$BK222&lt;&gt;"N/A"),"Epic Beans Relay, ",""))-2)))</f>
      </c>
      <c r="BM222">
        <f>IF($T222="","",IF($BL222="","Yes","Blocked"))</f>
      </c>
      <c r="BP222">
        <f>IF($BO222="","",IFERROR(VLOOKUP($BO222,'01_Warehouse_Ledger'!$A:$N,4,FALSE),""))</f>
      </c>
      <c r="BQ222">
        <f>IF($BO222="","",IFERROR(VLOOKUP($BO222,'01_Warehouse_Ledger'!$A:$N,5,FALSE),""))</f>
      </c>
      <c r="BR222">
        <f>IF($BO222="","",IFERROR(VLOOKUP($BO222,'01_Warehouse_Ledger'!$A:$N,13,FALSE),""))</f>
      </c>
    </row>
    <row r="223">
      <c r="D223">
        <f>IF($B223&lt;&gt;"Yes","",IF($C223="No","Yes",IF($C223="Yes","No","")))</f>
      </c>
      <c r="E223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</c>
      <c r="F223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</c>
      <c r="BL223">
        <f>IF($T223="","",IF((IF(AND($AW223&lt;&gt;"Yes",$AW223&lt;&gt;"N/A"),"Power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",""))="","",LEFT(IF(AND($AW223&lt;&gt;"Yes",$AW223&lt;&gt;"N/A"),"Power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",""),LEN(IF(AND($AW223&lt;&gt;"Yes",$AW223&lt;&gt;"N/A"),"Power Cable, ","")&amp;IF(AND($AX223&lt;&gt;"Yes",$AX223&lt;&gt;"N/A"),"Battery, ","")&amp;IF(AND($BE223&lt;&gt;"Yes",$BE223&lt;&gt;"N/A"),"Firmware Download, ","")&amp;IF(AND(OR($BE223="Yes",$BE223="N/A"),$BF223&lt;&gt;"Yes",$BF223&lt;&gt;"N/A"),"Firmware Install, ","")&amp;IF(AND($BJ223&lt;&gt;"Yes",$BJ223&lt;&gt;"N/A"),"Device ID, ","")&amp;IF(AND($BK223&lt;&gt;"Yes",$BK223&lt;&gt;"N/A"),"Epic Beans Relay, ",""))-2)))</f>
      </c>
      <c r="BM223">
        <f>IF($T223="","",IF($BL223="","Yes","Blocked"))</f>
      </c>
      <c r="BP223">
        <f>IF($BO223="","",IFERROR(VLOOKUP($BO223,'01_Warehouse_Ledger'!$A:$N,4,FALSE),""))</f>
      </c>
      <c r="BQ223">
        <f>IF($BO223="","",IFERROR(VLOOKUP($BO223,'01_Warehouse_Ledger'!$A:$N,5,FALSE),""))</f>
      </c>
      <c r="BR223">
        <f>IF($BO223="","",IFERROR(VLOOKUP($BO223,'01_Warehouse_Ledger'!$A:$N,13,FALSE),""))</f>
      </c>
    </row>
    <row r="224">
      <c r="D224">
        <f>IF($B224&lt;&gt;"Yes","",IF($C224="No","Yes",IF($C224="Yes","No","")))</f>
      </c>
      <c r="E224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</c>
      <c r="F224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</c>
      <c r="BL224">
        <f>IF($T224="","",IF((IF(AND($AW224&lt;&gt;"Yes",$AW224&lt;&gt;"N/A"),"Power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",""))="","",LEFT(IF(AND($AW224&lt;&gt;"Yes",$AW224&lt;&gt;"N/A"),"Power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",""),LEN(IF(AND($AW224&lt;&gt;"Yes",$AW224&lt;&gt;"N/A"),"Power Cable, ","")&amp;IF(AND($AX224&lt;&gt;"Yes",$AX224&lt;&gt;"N/A"),"Battery, ","")&amp;IF(AND($BE224&lt;&gt;"Yes",$BE224&lt;&gt;"N/A"),"Firmware Download, ","")&amp;IF(AND(OR($BE224="Yes",$BE224="N/A"),$BF224&lt;&gt;"Yes",$BF224&lt;&gt;"N/A"),"Firmware Install, ","")&amp;IF(AND($BJ224&lt;&gt;"Yes",$BJ224&lt;&gt;"N/A"),"Device ID, ","")&amp;IF(AND($BK224&lt;&gt;"Yes",$BK224&lt;&gt;"N/A"),"Epic Beans Relay, ",""))-2)))</f>
      </c>
      <c r="BM224">
        <f>IF($T224="","",IF($BL224="","Yes","Blocked"))</f>
      </c>
      <c r="BP224">
        <f>IF($BO224="","",IFERROR(VLOOKUP($BO224,'01_Warehouse_Ledger'!$A:$N,4,FALSE),""))</f>
      </c>
      <c r="BQ224">
        <f>IF($BO224="","",IFERROR(VLOOKUP($BO224,'01_Warehouse_Ledger'!$A:$N,5,FALSE),""))</f>
      </c>
      <c r="BR224">
        <f>IF($BO224="","",IFERROR(VLOOKUP($BO224,'01_Warehouse_Ledger'!$A:$N,13,FALSE),""))</f>
      </c>
    </row>
    <row r="225">
      <c r="D225">
        <f>IF($B225&lt;&gt;"Yes","",IF($C225="No","Yes",IF($C225="Yes","No","")))</f>
      </c>
      <c r="E225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</c>
      <c r="F225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</c>
      <c r="BL225">
        <f>IF($T225="","",IF((IF(AND($AW225&lt;&gt;"Yes",$AW225&lt;&gt;"N/A"),"Power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",""))="","",LEFT(IF(AND($AW225&lt;&gt;"Yes",$AW225&lt;&gt;"N/A"),"Power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",""),LEN(IF(AND($AW225&lt;&gt;"Yes",$AW225&lt;&gt;"N/A"),"Power Cable, ","")&amp;IF(AND($AX225&lt;&gt;"Yes",$AX225&lt;&gt;"N/A"),"Battery, ","")&amp;IF(AND($BE225&lt;&gt;"Yes",$BE225&lt;&gt;"N/A"),"Firmware Download, ","")&amp;IF(AND(OR($BE225="Yes",$BE225="N/A"),$BF225&lt;&gt;"Yes",$BF225&lt;&gt;"N/A"),"Firmware Install, ","")&amp;IF(AND($BJ225&lt;&gt;"Yes",$BJ225&lt;&gt;"N/A"),"Device ID, ","")&amp;IF(AND($BK225&lt;&gt;"Yes",$BK225&lt;&gt;"N/A"),"Epic Beans Relay, ",""))-2)))</f>
      </c>
      <c r="BM225">
        <f>IF($T225="","",IF($BL225="","Yes","Blocked"))</f>
      </c>
      <c r="BP225">
        <f>IF($BO225="","",IFERROR(VLOOKUP($BO225,'01_Warehouse_Ledger'!$A:$N,4,FALSE),""))</f>
      </c>
      <c r="BQ225">
        <f>IF($BO225="","",IFERROR(VLOOKUP($BO225,'01_Warehouse_Ledger'!$A:$N,5,FALSE),""))</f>
      </c>
      <c r="BR225">
        <f>IF($BO225="","",IFERROR(VLOOKUP($BO225,'01_Warehouse_Ledger'!$A:$N,13,FALSE),""))</f>
      </c>
    </row>
    <row r="226">
      <c r="D226">
        <f>IF($B226&lt;&gt;"Yes","",IF($C226="No","Yes",IF($C226="Yes","No","")))</f>
      </c>
      <c r="E226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</c>
      <c r="F226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</c>
      <c r="BL226">
        <f>IF($T226="","",IF((IF(AND($AW226&lt;&gt;"Yes",$AW226&lt;&gt;"N/A"),"Power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",""))="","",LEFT(IF(AND($AW226&lt;&gt;"Yes",$AW226&lt;&gt;"N/A"),"Power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",""),LEN(IF(AND($AW226&lt;&gt;"Yes",$AW226&lt;&gt;"N/A"),"Power Cable, ","")&amp;IF(AND($AX226&lt;&gt;"Yes",$AX226&lt;&gt;"N/A"),"Battery, ","")&amp;IF(AND($BE226&lt;&gt;"Yes",$BE226&lt;&gt;"N/A"),"Firmware Download, ","")&amp;IF(AND(OR($BE226="Yes",$BE226="N/A"),$BF226&lt;&gt;"Yes",$BF226&lt;&gt;"N/A"),"Firmware Install, ","")&amp;IF(AND($BJ226&lt;&gt;"Yes",$BJ226&lt;&gt;"N/A"),"Device ID, ","")&amp;IF(AND($BK226&lt;&gt;"Yes",$BK226&lt;&gt;"N/A"),"Epic Beans Relay, ",""))-2)))</f>
      </c>
      <c r="BM226">
        <f>IF($T226="","",IF($BL226="","Yes","Blocked"))</f>
      </c>
      <c r="BP226">
        <f>IF($BO226="","",IFERROR(VLOOKUP($BO226,'01_Warehouse_Ledger'!$A:$N,4,FALSE),""))</f>
      </c>
      <c r="BQ226">
        <f>IF($BO226="","",IFERROR(VLOOKUP($BO226,'01_Warehouse_Ledger'!$A:$N,5,FALSE),""))</f>
      </c>
      <c r="BR226">
        <f>IF($BO226="","",IFERROR(VLOOKUP($BO226,'01_Warehouse_Ledger'!$A:$N,13,FALSE),""))</f>
      </c>
    </row>
    <row r="227">
      <c r="D227">
        <f>IF($B227&lt;&gt;"Yes","",IF($C227="No","Yes",IF($C227="Yes","No","")))</f>
      </c>
      <c r="E227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</c>
      <c r="F227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</c>
      <c r="BL227">
        <f>IF($T227="","",IF((IF(AND($AW227&lt;&gt;"Yes",$AW227&lt;&gt;"N/A"),"Power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",""))="","",LEFT(IF(AND($AW227&lt;&gt;"Yes",$AW227&lt;&gt;"N/A"),"Power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",""),LEN(IF(AND($AW227&lt;&gt;"Yes",$AW227&lt;&gt;"N/A"),"Power Cable, ","")&amp;IF(AND($AX227&lt;&gt;"Yes",$AX227&lt;&gt;"N/A"),"Battery, ","")&amp;IF(AND($BE227&lt;&gt;"Yes",$BE227&lt;&gt;"N/A"),"Firmware Download, ","")&amp;IF(AND(OR($BE227="Yes",$BE227="N/A"),$BF227&lt;&gt;"Yes",$BF227&lt;&gt;"N/A"),"Firmware Install, ","")&amp;IF(AND($BJ227&lt;&gt;"Yes",$BJ227&lt;&gt;"N/A"),"Device ID, ","")&amp;IF(AND($BK227&lt;&gt;"Yes",$BK227&lt;&gt;"N/A"),"Epic Beans Relay, ",""))-2)))</f>
      </c>
      <c r="BM227">
        <f>IF($T227="","",IF($BL227="","Yes","Blocked"))</f>
      </c>
      <c r="BP227">
        <f>IF($BO227="","",IFERROR(VLOOKUP($BO227,'01_Warehouse_Ledger'!$A:$N,4,FALSE),""))</f>
      </c>
      <c r="BQ227">
        <f>IF($BO227="","",IFERROR(VLOOKUP($BO227,'01_Warehouse_Ledger'!$A:$N,5,FALSE),""))</f>
      </c>
      <c r="BR227">
        <f>IF($BO227="","",IFERROR(VLOOKUP($BO227,'01_Warehouse_Ledger'!$A:$N,13,FALSE),""))</f>
      </c>
    </row>
    <row r="228">
      <c r="D228">
        <f>IF($B228&lt;&gt;"Yes","",IF($C228="No","Yes",IF($C228="Yes","No","")))</f>
      </c>
      <c r="E228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</c>
      <c r="F228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</c>
      <c r="BL228">
        <f>IF($T228="","",IF((IF(AND($AW228&lt;&gt;"Yes",$AW228&lt;&gt;"N/A"),"Power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",""))="","",LEFT(IF(AND($AW228&lt;&gt;"Yes",$AW228&lt;&gt;"N/A"),"Power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",""),LEN(IF(AND($AW228&lt;&gt;"Yes",$AW228&lt;&gt;"N/A"),"Power Cable, ","")&amp;IF(AND($AX228&lt;&gt;"Yes",$AX228&lt;&gt;"N/A"),"Battery, ","")&amp;IF(AND($BE228&lt;&gt;"Yes",$BE228&lt;&gt;"N/A"),"Firmware Download, ","")&amp;IF(AND(OR($BE228="Yes",$BE228="N/A"),$BF228&lt;&gt;"Yes",$BF228&lt;&gt;"N/A"),"Firmware Install, ","")&amp;IF(AND($BJ228&lt;&gt;"Yes",$BJ228&lt;&gt;"N/A"),"Device ID, ","")&amp;IF(AND($BK228&lt;&gt;"Yes",$BK228&lt;&gt;"N/A"),"Epic Beans Relay, ",""))-2)))</f>
      </c>
      <c r="BM228">
        <f>IF($T228="","",IF($BL228="","Yes","Blocked"))</f>
      </c>
      <c r="BP228">
        <f>IF($BO228="","",IFERROR(VLOOKUP($BO228,'01_Warehouse_Ledger'!$A:$N,4,FALSE),""))</f>
      </c>
      <c r="BQ228">
        <f>IF($BO228="","",IFERROR(VLOOKUP($BO228,'01_Warehouse_Ledger'!$A:$N,5,FALSE),""))</f>
      </c>
      <c r="BR228">
        <f>IF($BO228="","",IFERROR(VLOOKUP($BO228,'01_Warehouse_Ledger'!$A:$N,13,FALSE),""))</f>
      </c>
    </row>
    <row r="229">
      <c r="D229">
        <f>IF($B229&lt;&gt;"Yes","",IF($C229="No","Yes",IF($C229="Yes","No","")))</f>
      </c>
      <c r="E229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</c>
      <c r="F229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</c>
      <c r="BL229">
        <f>IF($T229="","",IF((IF(AND($AW229&lt;&gt;"Yes",$AW229&lt;&gt;"N/A"),"Power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",""))="","",LEFT(IF(AND($AW229&lt;&gt;"Yes",$AW229&lt;&gt;"N/A"),"Power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",""),LEN(IF(AND($AW229&lt;&gt;"Yes",$AW229&lt;&gt;"N/A"),"Power Cable, ","")&amp;IF(AND($AX229&lt;&gt;"Yes",$AX229&lt;&gt;"N/A"),"Battery, ","")&amp;IF(AND($BE229&lt;&gt;"Yes",$BE229&lt;&gt;"N/A"),"Firmware Download, ","")&amp;IF(AND(OR($BE229="Yes",$BE229="N/A"),$BF229&lt;&gt;"Yes",$BF229&lt;&gt;"N/A"),"Firmware Install, ","")&amp;IF(AND($BJ229&lt;&gt;"Yes",$BJ229&lt;&gt;"N/A"),"Device ID, ","")&amp;IF(AND($BK229&lt;&gt;"Yes",$BK229&lt;&gt;"N/A"),"Epic Beans Relay, ",""))-2)))</f>
      </c>
      <c r="BM229">
        <f>IF($T229="","",IF($BL229="","Yes","Blocked"))</f>
      </c>
      <c r="BP229">
        <f>IF($BO229="","",IFERROR(VLOOKUP($BO229,'01_Warehouse_Ledger'!$A:$N,4,FALSE),""))</f>
      </c>
      <c r="BQ229">
        <f>IF($BO229="","",IFERROR(VLOOKUP($BO229,'01_Warehouse_Ledger'!$A:$N,5,FALSE),""))</f>
      </c>
      <c r="BR229">
        <f>IF($BO229="","",IFERROR(VLOOKUP($BO229,'01_Warehouse_Ledger'!$A:$N,13,FALSE),""))</f>
      </c>
    </row>
    <row r="230">
      <c r="D230">
        <f>IF($B230&lt;&gt;"Yes","",IF($C230="No","Yes",IF($C230="Yes","No","")))</f>
      </c>
      <c r="E230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</c>
      <c r="F230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</c>
      <c r="BL230">
        <f>IF($T230="","",IF((IF(AND($AW230&lt;&gt;"Yes",$AW230&lt;&gt;"N/A"),"Power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",""))="","",LEFT(IF(AND($AW230&lt;&gt;"Yes",$AW230&lt;&gt;"N/A"),"Power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",""),LEN(IF(AND($AW230&lt;&gt;"Yes",$AW230&lt;&gt;"N/A"),"Power Cable, ","")&amp;IF(AND($AX230&lt;&gt;"Yes",$AX230&lt;&gt;"N/A"),"Battery, ","")&amp;IF(AND($BE230&lt;&gt;"Yes",$BE230&lt;&gt;"N/A"),"Firmware Download, ","")&amp;IF(AND(OR($BE230="Yes",$BE230="N/A"),$BF230&lt;&gt;"Yes",$BF230&lt;&gt;"N/A"),"Firmware Install, ","")&amp;IF(AND($BJ230&lt;&gt;"Yes",$BJ230&lt;&gt;"N/A"),"Device ID, ","")&amp;IF(AND($BK230&lt;&gt;"Yes",$BK230&lt;&gt;"N/A"),"Epic Beans Relay, ",""))-2)))</f>
      </c>
      <c r="BM230">
        <f>IF($T230="","",IF($BL230="","Yes","Blocked"))</f>
      </c>
      <c r="BP230">
        <f>IF($BO230="","",IFERROR(VLOOKUP($BO230,'01_Warehouse_Ledger'!$A:$N,4,FALSE),""))</f>
      </c>
      <c r="BQ230">
        <f>IF($BO230="","",IFERROR(VLOOKUP($BO230,'01_Warehouse_Ledger'!$A:$N,5,FALSE),""))</f>
      </c>
      <c r="BR230">
        <f>IF($BO230="","",IFERROR(VLOOKUP($BO230,'01_Warehouse_Ledger'!$A:$N,13,FALSE),""))</f>
      </c>
    </row>
    <row r="231">
      <c r="D231">
        <f>IF($B231&lt;&gt;"Yes","",IF($C231="No","Yes",IF($C231="Yes","No","")))</f>
      </c>
      <c r="E231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</c>
      <c r="F231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</c>
      <c r="BL231">
        <f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</c>
      <c r="BM231">
        <f>IF($T231="","",IF($BL231="","Yes","Blocked"))</f>
      </c>
      <c r="BP231">
        <f>IF($BO231="","",IFERROR(VLOOKUP($BO231,'01_Warehouse_Ledger'!$A:$N,4,FALSE),""))</f>
      </c>
      <c r="BQ231">
        <f>IF($BO231="","",IFERROR(VLOOKUP($BO231,'01_Warehouse_Ledger'!$A:$N,5,FALSE),""))</f>
      </c>
      <c r="BR231">
        <f>IF($BO231="","",IFERROR(VLOOKUP($BO231,'01_Warehouse_Ledger'!$A:$N,13,FALSE),""))</f>
      </c>
    </row>
    <row r="232">
      <c r="D232">
        <f>IF($B232&lt;&gt;"Yes","",IF($C232="No","Yes",IF($C232="Yes","No","")))</f>
      </c>
      <c r="E232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</c>
      <c r="F232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</c>
      <c r="BL232">
        <f>IF($T232="","",IF((IF(AND($AW232&lt;&gt;"Yes",$AW232&lt;&gt;"N/A"),"Power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",""))="","",LEFT(IF(AND($AW232&lt;&gt;"Yes",$AW232&lt;&gt;"N/A"),"Power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",""),LEN(IF(AND($AW232&lt;&gt;"Yes",$AW232&lt;&gt;"N/A"),"Power Cable, ","")&amp;IF(AND($AX232&lt;&gt;"Yes",$AX232&lt;&gt;"N/A"),"Battery, ","")&amp;IF(AND($BE232&lt;&gt;"Yes",$BE232&lt;&gt;"N/A"),"Firmware Download, ","")&amp;IF(AND(OR($BE232="Yes",$BE232="N/A"),$BF232&lt;&gt;"Yes",$BF232&lt;&gt;"N/A"),"Firmware Install, ","")&amp;IF(AND($BJ232&lt;&gt;"Yes",$BJ232&lt;&gt;"N/A"),"Device ID, ","")&amp;IF(AND($BK232&lt;&gt;"Yes",$BK232&lt;&gt;"N/A"),"Epic Beans Relay, ",""))-2)))</f>
      </c>
      <c r="BM232">
        <f>IF($T232="","",IF($BL232="","Yes","Blocked"))</f>
      </c>
      <c r="BP232">
        <f>IF($BO232="","",IFERROR(VLOOKUP($BO232,'01_Warehouse_Ledger'!$A:$N,4,FALSE),""))</f>
      </c>
      <c r="BQ232">
        <f>IF($BO232="","",IFERROR(VLOOKUP($BO232,'01_Warehouse_Ledger'!$A:$N,5,FALSE),""))</f>
      </c>
      <c r="BR232">
        <f>IF($BO232="","",IFERROR(VLOOKUP($BO232,'01_Warehouse_Ledger'!$A:$N,13,FALSE),""))</f>
      </c>
    </row>
    <row r="233">
      <c r="D233">
        <f>IF($B233&lt;&gt;"Yes","",IF($C233="No","Yes",IF($C233="Yes","No","")))</f>
      </c>
      <c r="E233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</c>
      <c r="F233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</c>
      <c r="BL233">
        <f>IF($T233="","",IF((IF(AND($AW233&lt;&gt;"Yes",$AW233&lt;&gt;"N/A"),"Power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",""))="","",LEFT(IF(AND($AW233&lt;&gt;"Yes",$AW233&lt;&gt;"N/A"),"Power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",""),LEN(IF(AND($AW233&lt;&gt;"Yes",$AW233&lt;&gt;"N/A"),"Power Cable, ","")&amp;IF(AND($AX233&lt;&gt;"Yes",$AX233&lt;&gt;"N/A"),"Battery, ","")&amp;IF(AND($BE233&lt;&gt;"Yes",$BE233&lt;&gt;"N/A"),"Firmware Download, ","")&amp;IF(AND(OR($BE233="Yes",$BE233="N/A"),$BF233&lt;&gt;"Yes",$BF233&lt;&gt;"N/A"),"Firmware Install, ","")&amp;IF(AND($BJ233&lt;&gt;"Yes",$BJ233&lt;&gt;"N/A"),"Device ID, ","")&amp;IF(AND($BK233&lt;&gt;"Yes",$BK233&lt;&gt;"N/A"),"Epic Beans Relay, ",""))-2)))</f>
      </c>
      <c r="BM233">
        <f>IF($T233="","",IF($BL233="","Yes","Blocked"))</f>
      </c>
      <c r="BP233">
        <f>IF($BO233="","",IFERROR(VLOOKUP($BO233,'01_Warehouse_Ledger'!$A:$N,4,FALSE),""))</f>
      </c>
      <c r="BQ233">
        <f>IF($BO233="","",IFERROR(VLOOKUP($BO233,'01_Warehouse_Ledger'!$A:$N,5,FALSE),""))</f>
      </c>
      <c r="BR233">
        <f>IF($BO233="","",IFERROR(VLOOKUP($BO233,'01_Warehouse_Ledger'!$A:$N,13,FALSE),""))</f>
      </c>
    </row>
    <row r="234">
      <c r="D234">
        <f>IF($B234&lt;&gt;"Yes","",IF($C234="No","Yes",IF($C234="Yes","No","")))</f>
      </c>
      <c r="E234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</c>
      <c r="F234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</c>
      <c r="BL234">
        <f>IF($T234="","",IF((IF(AND($AW234&lt;&gt;"Yes",$AW234&lt;&gt;"N/A"),"Power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",""))="","",LEFT(IF(AND($AW234&lt;&gt;"Yes",$AW234&lt;&gt;"N/A"),"Power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",""),LEN(IF(AND($AW234&lt;&gt;"Yes",$AW234&lt;&gt;"N/A"),"Power Cable, ","")&amp;IF(AND($AX234&lt;&gt;"Yes",$AX234&lt;&gt;"N/A"),"Battery, ","")&amp;IF(AND($BE234&lt;&gt;"Yes",$BE234&lt;&gt;"N/A"),"Firmware Download, ","")&amp;IF(AND(OR($BE234="Yes",$BE234="N/A"),$BF234&lt;&gt;"Yes",$BF234&lt;&gt;"N/A"),"Firmware Install, ","")&amp;IF(AND($BJ234&lt;&gt;"Yes",$BJ234&lt;&gt;"N/A"),"Device ID, ","")&amp;IF(AND($BK234&lt;&gt;"Yes",$BK234&lt;&gt;"N/A"),"Epic Beans Relay, ",""))-2)))</f>
      </c>
      <c r="BM234">
        <f>IF($T234="","",IF($BL234="","Yes","Blocked"))</f>
      </c>
      <c r="BP234">
        <f>IF($BO234="","",IFERROR(VLOOKUP($BO234,'01_Warehouse_Ledger'!$A:$N,4,FALSE),""))</f>
      </c>
      <c r="BQ234">
        <f>IF($BO234="","",IFERROR(VLOOKUP($BO234,'01_Warehouse_Ledger'!$A:$N,5,FALSE),""))</f>
      </c>
      <c r="BR234">
        <f>IF($BO234="","",IFERROR(VLOOKUP($BO234,'01_Warehouse_Ledger'!$A:$N,13,FALSE),""))</f>
      </c>
    </row>
    <row r="235">
      <c r="D235">
        <f>IF($B235&lt;&gt;"Yes","",IF($C235="No","Yes",IF($C235="Yes","No","")))</f>
      </c>
      <c r="E235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</c>
      <c r="F235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</c>
      <c r="BL235">
        <f>IF($T235="","",IF((IF(AND($AW235&lt;&gt;"Yes",$AW235&lt;&gt;"N/A"),"Power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",""))="","",LEFT(IF(AND($AW235&lt;&gt;"Yes",$AW235&lt;&gt;"N/A"),"Power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",""),LEN(IF(AND($AW235&lt;&gt;"Yes",$AW235&lt;&gt;"N/A"),"Power Cable, ","")&amp;IF(AND($AX235&lt;&gt;"Yes",$AX235&lt;&gt;"N/A"),"Battery, ","")&amp;IF(AND($BE235&lt;&gt;"Yes",$BE235&lt;&gt;"N/A"),"Firmware Download, ","")&amp;IF(AND(OR($BE235="Yes",$BE235="N/A"),$BF235&lt;&gt;"Yes",$BF235&lt;&gt;"N/A"),"Firmware Install, ","")&amp;IF(AND($BJ235&lt;&gt;"Yes",$BJ235&lt;&gt;"N/A"),"Device ID, ","")&amp;IF(AND($BK235&lt;&gt;"Yes",$BK235&lt;&gt;"N/A"),"Epic Beans Relay, ",""))-2)))</f>
      </c>
      <c r="BM235">
        <f>IF($T235="","",IF($BL235="","Yes","Blocked"))</f>
      </c>
      <c r="BP235">
        <f>IF($BO235="","",IFERROR(VLOOKUP($BO235,'01_Warehouse_Ledger'!$A:$N,4,FALSE),""))</f>
      </c>
      <c r="BQ235">
        <f>IF($BO235="","",IFERROR(VLOOKUP($BO235,'01_Warehouse_Ledger'!$A:$N,5,FALSE),""))</f>
      </c>
      <c r="BR235">
        <f>IF($BO235="","",IFERROR(VLOOKUP($BO235,'01_Warehouse_Ledger'!$A:$N,13,FALSE),""))</f>
      </c>
    </row>
    <row r="236">
      <c r="D236">
        <f>IF($B236&lt;&gt;"Yes","",IF($C236="No","Yes",IF($C236="Yes","No","")))</f>
      </c>
      <c r="E236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</c>
      <c r="F236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</c>
      <c r="BL236">
        <f>IF($T236="","",IF((IF(AND($AW236&lt;&gt;"Yes",$AW236&lt;&gt;"N/A"),"Power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",""))="","",LEFT(IF(AND($AW236&lt;&gt;"Yes",$AW236&lt;&gt;"N/A"),"Power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",""),LEN(IF(AND($AW236&lt;&gt;"Yes",$AW236&lt;&gt;"N/A"),"Power Cable, ","")&amp;IF(AND($AX236&lt;&gt;"Yes",$AX236&lt;&gt;"N/A"),"Battery, ","")&amp;IF(AND($BE236&lt;&gt;"Yes",$BE236&lt;&gt;"N/A"),"Firmware Download, ","")&amp;IF(AND(OR($BE236="Yes",$BE236="N/A"),$BF236&lt;&gt;"Yes",$BF236&lt;&gt;"N/A"),"Firmware Install, ","")&amp;IF(AND($BJ236&lt;&gt;"Yes",$BJ236&lt;&gt;"N/A"),"Device ID, ","")&amp;IF(AND($BK236&lt;&gt;"Yes",$BK236&lt;&gt;"N/A"),"Epic Beans Relay, ",""))-2)))</f>
      </c>
      <c r="BM236">
        <f>IF($T236="","",IF($BL236="","Yes","Blocked"))</f>
      </c>
      <c r="BP236">
        <f>IF($BO236="","",IFERROR(VLOOKUP($BO236,'01_Warehouse_Ledger'!$A:$N,4,FALSE),""))</f>
      </c>
      <c r="BQ236">
        <f>IF($BO236="","",IFERROR(VLOOKUP($BO236,'01_Warehouse_Ledger'!$A:$N,5,FALSE),""))</f>
      </c>
      <c r="BR236">
        <f>IF($BO236="","",IFERROR(VLOOKUP($BO236,'01_Warehouse_Ledger'!$A:$N,13,FALSE),""))</f>
      </c>
    </row>
    <row r="237">
      <c r="D237">
        <f>IF($B237&lt;&gt;"Yes","",IF($C237="No","Yes",IF($C237="Yes","No","")))</f>
      </c>
      <c r="E237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</c>
      <c r="F237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</c>
      <c r="BL237">
        <f>IF($T237="","",IF((IF(AND($AW237&lt;&gt;"Yes",$AW237&lt;&gt;"N/A"),"Power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",""))="","",LEFT(IF(AND($AW237&lt;&gt;"Yes",$AW237&lt;&gt;"N/A"),"Power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",""),LEN(IF(AND($AW237&lt;&gt;"Yes",$AW237&lt;&gt;"N/A"),"Power Cable, ","")&amp;IF(AND($AX237&lt;&gt;"Yes",$AX237&lt;&gt;"N/A"),"Battery, ","")&amp;IF(AND($BE237&lt;&gt;"Yes",$BE237&lt;&gt;"N/A"),"Firmware Download, ","")&amp;IF(AND(OR($BE237="Yes",$BE237="N/A"),$BF237&lt;&gt;"Yes",$BF237&lt;&gt;"N/A"),"Firmware Install, ","")&amp;IF(AND($BJ237&lt;&gt;"Yes",$BJ237&lt;&gt;"N/A"),"Device ID, ","")&amp;IF(AND($BK237&lt;&gt;"Yes",$BK237&lt;&gt;"N/A"),"Epic Beans Relay, ",""))-2)))</f>
      </c>
      <c r="BM237">
        <f>IF($T237="","",IF($BL237="","Yes","Blocked"))</f>
      </c>
      <c r="BP237">
        <f>IF($BO237="","",IFERROR(VLOOKUP($BO237,'01_Warehouse_Ledger'!$A:$N,4,FALSE),""))</f>
      </c>
      <c r="BQ237">
        <f>IF($BO237="","",IFERROR(VLOOKUP($BO237,'01_Warehouse_Ledger'!$A:$N,5,FALSE),""))</f>
      </c>
      <c r="BR237">
        <f>IF($BO237="","",IFERROR(VLOOKUP($BO237,'01_Warehouse_Ledger'!$A:$N,13,FALSE),""))</f>
      </c>
    </row>
    <row r="238">
      <c r="D238">
        <f>IF($B238&lt;&gt;"Yes","",IF($C238="No","Yes",IF($C238="Yes","No","")))</f>
      </c>
      <c r="E238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</c>
      <c r="F238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</c>
      <c r="BL238">
        <f>IF($T238="","",IF((IF(AND($AW238&lt;&gt;"Yes",$AW238&lt;&gt;"N/A"),"Power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",""))="","",LEFT(IF(AND($AW238&lt;&gt;"Yes",$AW238&lt;&gt;"N/A"),"Power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",""),LEN(IF(AND($AW238&lt;&gt;"Yes",$AW238&lt;&gt;"N/A"),"Power Cable, ","")&amp;IF(AND($AX238&lt;&gt;"Yes",$AX238&lt;&gt;"N/A"),"Battery, ","")&amp;IF(AND($BE238&lt;&gt;"Yes",$BE238&lt;&gt;"N/A"),"Firmware Download, ","")&amp;IF(AND(OR($BE238="Yes",$BE238="N/A"),$BF238&lt;&gt;"Yes",$BF238&lt;&gt;"N/A"),"Firmware Install, ","")&amp;IF(AND($BJ238&lt;&gt;"Yes",$BJ238&lt;&gt;"N/A"),"Device ID, ","")&amp;IF(AND($BK238&lt;&gt;"Yes",$BK238&lt;&gt;"N/A"),"Epic Beans Relay, ",""))-2)))</f>
      </c>
      <c r="BM238">
        <f>IF($T238="","",IF($BL238="","Yes","Blocked"))</f>
      </c>
      <c r="BP238">
        <f>IF($BO238="","",IFERROR(VLOOKUP($BO238,'01_Warehouse_Ledger'!$A:$N,4,FALSE),""))</f>
      </c>
      <c r="BQ238">
        <f>IF($BO238="","",IFERROR(VLOOKUP($BO238,'01_Warehouse_Ledger'!$A:$N,5,FALSE),""))</f>
      </c>
      <c r="BR238">
        <f>IF($BO238="","",IFERROR(VLOOKUP($BO238,'01_Warehouse_Ledger'!$A:$N,13,FALSE),""))</f>
      </c>
    </row>
    <row r="239">
      <c r="D239">
        <f>IF($B239&lt;&gt;"Yes","",IF($C239="No","Yes",IF($C239="Yes","No","")))</f>
      </c>
      <c r="E239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</c>
      <c r="F239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</c>
      <c r="BL239">
        <f>IF($T239="","",IF((IF(AND($AW239&lt;&gt;"Yes",$AW239&lt;&gt;"N/A"),"Power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",""))="","",LEFT(IF(AND($AW239&lt;&gt;"Yes",$AW239&lt;&gt;"N/A"),"Power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",""),LEN(IF(AND($AW239&lt;&gt;"Yes",$AW239&lt;&gt;"N/A"),"Power Cable, ","")&amp;IF(AND($AX239&lt;&gt;"Yes",$AX239&lt;&gt;"N/A"),"Battery, ","")&amp;IF(AND($BE239&lt;&gt;"Yes",$BE239&lt;&gt;"N/A"),"Firmware Download, ","")&amp;IF(AND(OR($BE239="Yes",$BE239="N/A"),$BF239&lt;&gt;"Yes",$BF239&lt;&gt;"N/A"),"Firmware Install, ","")&amp;IF(AND($BJ239&lt;&gt;"Yes",$BJ239&lt;&gt;"N/A"),"Device ID, ","")&amp;IF(AND($BK239&lt;&gt;"Yes",$BK239&lt;&gt;"N/A"),"Epic Beans Relay, ",""))-2)))</f>
      </c>
      <c r="BM239">
        <f>IF($T239="","",IF($BL239="","Yes","Blocked"))</f>
      </c>
      <c r="BP239">
        <f>IF($BO239="","",IFERROR(VLOOKUP($BO239,'01_Warehouse_Ledger'!$A:$N,4,FALSE),""))</f>
      </c>
      <c r="BQ239">
        <f>IF($BO239="","",IFERROR(VLOOKUP($BO239,'01_Warehouse_Ledger'!$A:$N,5,FALSE),""))</f>
      </c>
      <c r="BR239">
        <f>IF($BO239="","",IFERROR(VLOOKUP($BO239,'01_Warehouse_Ledger'!$A:$N,13,FALSE),""))</f>
      </c>
    </row>
    <row r="240">
      <c r="D240">
        <f>IF($B240&lt;&gt;"Yes","",IF($C240="No","Yes",IF($C240="Yes","No","")))</f>
      </c>
      <c r="E240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</c>
      <c r="F240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</c>
      <c r="BL240">
        <f>IF($T240="","",IF((IF(AND($AW240&lt;&gt;"Yes",$AW240&lt;&gt;"N/A"),"Power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",""))="","",LEFT(IF(AND($AW240&lt;&gt;"Yes",$AW240&lt;&gt;"N/A"),"Power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",""),LEN(IF(AND($AW240&lt;&gt;"Yes",$AW240&lt;&gt;"N/A"),"Power Cable, ","")&amp;IF(AND($AX240&lt;&gt;"Yes",$AX240&lt;&gt;"N/A"),"Battery, ","")&amp;IF(AND($BE240&lt;&gt;"Yes",$BE240&lt;&gt;"N/A"),"Firmware Download, ","")&amp;IF(AND(OR($BE240="Yes",$BE240="N/A"),$BF240&lt;&gt;"Yes",$BF240&lt;&gt;"N/A"),"Firmware Install, ","")&amp;IF(AND($BJ240&lt;&gt;"Yes",$BJ240&lt;&gt;"N/A"),"Device ID, ","")&amp;IF(AND($BK240&lt;&gt;"Yes",$BK240&lt;&gt;"N/A"),"Epic Beans Relay, ",""))-2)))</f>
      </c>
      <c r="BM240">
        <f>IF($T240="","",IF($BL240="","Yes","Blocked"))</f>
      </c>
      <c r="BP240">
        <f>IF($BO240="","",IFERROR(VLOOKUP($BO240,'01_Warehouse_Ledger'!$A:$N,4,FALSE),""))</f>
      </c>
      <c r="BQ240">
        <f>IF($BO240="","",IFERROR(VLOOKUP($BO240,'01_Warehouse_Ledger'!$A:$N,5,FALSE),""))</f>
      </c>
      <c r="BR240">
        <f>IF($BO240="","",IFERROR(VLOOKUP($BO240,'01_Warehouse_Ledger'!$A:$N,13,FALSE),""))</f>
      </c>
    </row>
    <row r="241">
      <c r="D241">
        <f>IF($B241&lt;&gt;"Yes","",IF($C241="No","Yes",IF($C241="Yes","No","")))</f>
      </c>
      <c r="E241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</c>
      <c r="F241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</c>
      <c r="BL241">
        <f>IF($T241="","",IF((IF(AND($AW241&lt;&gt;"Yes",$AW241&lt;&gt;"N/A"),"Power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",""))="","",LEFT(IF(AND($AW241&lt;&gt;"Yes",$AW241&lt;&gt;"N/A"),"Power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",""),LEN(IF(AND($AW241&lt;&gt;"Yes",$AW241&lt;&gt;"N/A"),"Power Cable, ","")&amp;IF(AND($AX241&lt;&gt;"Yes",$AX241&lt;&gt;"N/A"),"Battery, ","")&amp;IF(AND($BE241&lt;&gt;"Yes",$BE241&lt;&gt;"N/A"),"Firmware Download, ","")&amp;IF(AND(OR($BE241="Yes",$BE241="N/A"),$BF241&lt;&gt;"Yes",$BF241&lt;&gt;"N/A"),"Firmware Install, ","")&amp;IF(AND($BJ241&lt;&gt;"Yes",$BJ241&lt;&gt;"N/A"),"Device ID, ","")&amp;IF(AND($BK241&lt;&gt;"Yes",$BK241&lt;&gt;"N/A"),"Epic Beans Relay, ",""))-2)))</f>
      </c>
      <c r="BM241">
        <f>IF($T241="","",IF($BL241="","Yes","Blocked"))</f>
      </c>
      <c r="BP241">
        <f>IF($BO241="","",IFERROR(VLOOKUP($BO241,'01_Warehouse_Ledger'!$A:$N,4,FALSE),""))</f>
      </c>
      <c r="BQ241">
        <f>IF($BO241="","",IFERROR(VLOOKUP($BO241,'01_Warehouse_Ledger'!$A:$N,5,FALSE),""))</f>
      </c>
      <c r="BR241">
        <f>IF($BO241="","",IFERROR(VLOOKUP($BO241,'01_Warehouse_Ledger'!$A:$N,13,FALSE),""))</f>
      </c>
    </row>
    <row r="242">
      <c r="D242">
        <f>IF($B242&lt;&gt;"Yes","",IF($C242="No","Yes",IF($C242="Yes","No","")))</f>
      </c>
      <c r="E242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</c>
      <c r="F242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</c>
      <c r="BL242">
        <f>IF($T242="","",IF((IF(AND($AW242&lt;&gt;"Yes",$AW242&lt;&gt;"N/A"),"Power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",""))="","",LEFT(IF(AND($AW242&lt;&gt;"Yes",$AW242&lt;&gt;"N/A"),"Power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",""),LEN(IF(AND($AW242&lt;&gt;"Yes",$AW242&lt;&gt;"N/A"),"Power Cable, ","")&amp;IF(AND($AX242&lt;&gt;"Yes",$AX242&lt;&gt;"N/A"),"Battery, ","")&amp;IF(AND($BE242&lt;&gt;"Yes",$BE242&lt;&gt;"N/A"),"Firmware Download, ","")&amp;IF(AND(OR($BE242="Yes",$BE242="N/A"),$BF242&lt;&gt;"Yes",$BF242&lt;&gt;"N/A"),"Firmware Install, ","")&amp;IF(AND($BJ242&lt;&gt;"Yes",$BJ242&lt;&gt;"N/A"),"Device ID, ","")&amp;IF(AND($BK242&lt;&gt;"Yes",$BK242&lt;&gt;"N/A"),"Epic Beans Relay, ",""))-2)))</f>
      </c>
      <c r="BM242">
        <f>IF($T242="","",IF($BL242="","Yes","Blocked"))</f>
      </c>
      <c r="BP242">
        <f>IF($BO242="","",IFERROR(VLOOKUP($BO242,'01_Warehouse_Ledger'!$A:$N,4,FALSE),""))</f>
      </c>
      <c r="BQ242">
        <f>IF($BO242="","",IFERROR(VLOOKUP($BO242,'01_Warehouse_Ledger'!$A:$N,5,FALSE),""))</f>
      </c>
      <c r="BR242">
        <f>IF($BO242="","",IFERROR(VLOOKUP($BO242,'01_Warehouse_Ledger'!$A:$N,13,FALSE),""))</f>
      </c>
    </row>
    <row r="243">
      <c r="D243">
        <f>IF($B243&lt;&gt;"Yes","",IF($C243="No","Yes",IF($C243="Yes","No","")))</f>
      </c>
      <c r="E243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</c>
      <c r="F243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</c>
      <c r="BL243">
        <f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</c>
      <c r="BM243">
        <f>IF($T243="","",IF($BL243="","Yes","Blocked"))</f>
      </c>
      <c r="BP243">
        <f>IF($BO243="","",IFERROR(VLOOKUP($BO243,'01_Warehouse_Ledger'!$A:$N,4,FALSE),""))</f>
      </c>
      <c r="BQ243">
        <f>IF($BO243="","",IFERROR(VLOOKUP($BO243,'01_Warehouse_Ledger'!$A:$N,5,FALSE),""))</f>
      </c>
      <c r="BR243">
        <f>IF($BO243="","",IFERROR(VLOOKUP($BO243,'01_Warehouse_Ledger'!$A:$N,13,FALSE),""))</f>
      </c>
    </row>
    <row r="244">
      <c r="D244">
        <f>IF($B244&lt;&gt;"Yes","",IF($C244="No","Yes",IF($C244="Yes","No","")))</f>
      </c>
      <c r="E244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</c>
      <c r="F244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</c>
      <c r="BL244">
        <f>IF($T244="","",IF((IF(AND($AW244&lt;&gt;"Yes",$AW244&lt;&gt;"N/A"),"Power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",""))="","",LEFT(IF(AND($AW244&lt;&gt;"Yes",$AW244&lt;&gt;"N/A"),"Power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",""),LEN(IF(AND($AW244&lt;&gt;"Yes",$AW244&lt;&gt;"N/A"),"Power Cable, ","")&amp;IF(AND($AX244&lt;&gt;"Yes",$AX244&lt;&gt;"N/A"),"Battery, ","")&amp;IF(AND($BE244&lt;&gt;"Yes",$BE244&lt;&gt;"N/A"),"Firmware Download, ","")&amp;IF(AND(OR($BE244="Yes",$BE244="N/A"),$BF244&lt;&gt;"Yes",$BF244&lt;&gt;"N/A"),"Firmware Install, ","")&amp;IF(AND($BJ244&lt;&gt;"Yes",$BJ244&lt;&gt;"N/A"),"Device ID, ","")&amp;IF(AND($BK244&lt;&gt;"Yes",$BK244&lt;&gt;"N/A"),"Epic Beans Relay, ",""))-2)))</f>
      </c>
      <c r="BM244">
        <f>IF($T244="","",IF($BL244="","Yes","Blocked"))</f>
      </c>
      <c r="BP244">
        <f>IF($BO244="","",IFERROR(VLOOKUP($BO244,'01_Warehouse_Ledger'!$A:$N,4,FALSE),""))</f>
      </c>
      <c r="BQ244">
        <f>IF($BO244="","",IFERROR(VLOOKUP($BO244,'01_Warehouse_Ledger'!$A:$N,5,FALSE),""))</f>
      </c>
      <c r="BR244">
        <f>IF($BO244="","",IFERROR(VLOOKUP($BO244,'01_Warehouse_Ledger'!$A:$N,13,FALSE),""))</f>
      </c>
    </row>
    <row r="245">
      <c r="D245">
        <f>IF($B245&lt;&gt;"Yes","",IF($C245="No","Yes",IF($C245="Yes","No","")))</f>
      </c>
      <c r="E245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</c>
      <c r="F245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</c>
      <c r="BL245">
        <f>IF($T245="","",IF((IF(AND($AW245&lt;&gt;"Yes",$AW245&lt;&gt;"N/A"),"Power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",""))="","",LEFT(IF(AND($AW245&lt;&gt;"Yes",$AW245&lt;&gt;"N/A"),"Power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",""),LEN(IF(AND($AW245&lt;&gt;"Yes",$AW245&lt;&gt;"N/A"),"Power Cable, ","")&amp;IF(AND($AX245&lt;&gt;"Yes",$AX245&lt;&gt;"N/A"),"Battery, ","")&amp;IF(AND($BE245&lt;&gt;"Yes",$BE245&lt;&gt;"N/A"),"Firmware Download, ","")&amp;IF(AND(OR($BE245="Yes",$BE245="N/A"),$BF245&lt;&gt;"Yes",$BF245&lt;&gt;"N/A"),"Firmware Install, ","")&amp;IF(AND($BJ245&lt;&gt;"Yes",$BJ245&lt;&gt;"N/A"),"Device ID, ","")&amp;IF(AND($BK245&lt;&gt;"Yes",$BK245&lt;&gt;"N/A"),"Epic Beans Relay, ",""))-2)))</f>
      </c>
      <c r="BM245">
        <f>IF($T245="","",IF($BL245="","Yes","Blocked"))</f>
      </c>
      <c r="BP245">
        <f>IF($BO245="","",IFERROR(VLOOKUP($BO245,'01_Warehouse_Ledger'!$A:$N,4,FALSE),""))</f>
      </c>
      <c r="BQ245">
        <f>IF($BO245="","",IFERROR(VLOOKUP($BO245,'01_Warehouse_Ledger'!$A:$N,5,FALSE),""))</f>
      </c>
      <c r="BR245">
        <f>IF($BO245="","",IFERROR(VLOOKUP($BO245,'01_Warehouse_Ledger'!$A:$N,13,FALSE),""))</f>
      </c>
    </row>
    <row r="246">
      <c r="D246">
        <f>IF($B246&lt;&gt;"Yes","",IF($C246="No","Yes",IF($C246="Yes","No","")))</f>
      </c>
      <c r="E246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</c>
      <c r="F246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</c>
      <c r="BL246">
        <f>IF($T246="","",IF((IF(AND($AW246&lt;&gt;"Yes",$AW246&lt;&gt;"N/A"),"Power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",""))="","",LEFT(IF(AND($AW246&lt;&gt;"Yes",$AW246&lt;&gt;"N/A"),"Power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",""),LEN(IF(AND($AW246&lt;&gt;"Yes",$AW246&lt;&gt;"N/A"),"Power Cable, ","")&amp;IF(AND($AX246&lt;&gt;"Yes",$AX246&lt;&gt;"N/A"),"Battery, ","")&amp;IF(AND($BE246&lt;&gt;"Yes",$BE246&lt;&gt;"N/A"),"Firmware Download, ","")&amp;IF(AND(OR($BE246="Yes",$BE246="N/A"),$BF246&lt;&gt;"Yes",$BF246&lt;&gt;"N/A"),"Firmware Install, ","")&amp;IF(AND($BJ246&lt;&gt;"Yes",$BJ246&lt;&gt;"N/A"),"Device ID, ","")&amp;IF(AND($BK246&lt;&gt;"Yes",$BK246&lt;&gt;"N/A"),"Epic Beans Relay, ",""))-2)))</f>
      </c>
      <c r="BM246">
        <f>IF($T246="","",IF($BL246="","Yes","Blocked"))</f>
      </c>
      <c r="BP246">
        <f>IF($BO246="","",IFERROR(VLOOKUP($BO246,'01_Warehouse_Ledger'!$A:$N,4,FALSE),""))</f>
      </c>
      <c r="BQ246">
        <f>IF($BO246="","",IFERROR(VLOOKUP($BO246,'01_Warehouse_Ledger'!$A:$N,5,FALSE),""))</f>
      </c>
      <c r="BR246">
        <f>IF($BO246="","",IFERROR(VLOOKUP($BO246,'01_Warehouse_Ledger'!$A:$N,13,FALSE),""))</f>
      </c>
    </row>
    <row r="247">
      <c r="D247">
        <f>IF($B247&lt;&gt;"Yes","",IF($C247="No","Yes",IF($C247="Yes","No","")))</f>
      </c>
      <c r="E247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</c>
      <c r="F247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</c>
      <c r="BL247">
        <f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</c>
      <c r="BM247">
        <f>IF($T247="","",IF($BL247="","Yes","Blocked"))</f>
      </c>
      <c r="BP247">
        <f>IF($BO247="","",IFERROR(VLOOKUP($BO247,'01_Warehouse_Ledger'!$A:$N,4,FALSE),""))</f>
      </c>
      <c r="BQ247">
        <f>IF($BO247="","",IFERROR(VLOOKUP($BO247,'01_Warehouse_Ledger'!$A:$N,5,FALSE),""))</f>
      </c>
      <c r="BR247">
        <f>IF($BO247="","",IFERROR(VLOOKUP($BO247,'01_Warehouse_Ledger'!$A:$N,13,FALSE),""))</f>
      </c>
    </row>
    <row r="248">
      <c r="D248">
        <f>IF($B248&lt;&gt;"Yes","",IF($C248="No","Yes",IF($C248="Yes","No","")))</f>
      </c>
      <c r="E248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</c>
      <c r="F248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</c>
      <c r="BL248">
        <f>IF($T248="","",IF((IF(AND($AW248&lt;&gt;"Yes",$AW248&lt;&gt;"N/A"),"Power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",""))="","",LEFT(IF(AND($AW248&lt;&gt;"Yes",$AW248&lt;&gt;"N/A"),"Power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",""),LEN(IF(AND($AW248&lt;&gt;"Yes",$AW248&lt;&gt;"N/A"),"Power Cable, ","")&amp;IF(AND($AX248&lt;&gt;"Yes",$AX248&lt;&gt;"N/A"),"Battery, ","")&amp;IF(AND($BE248&lt;&gt;"Yes",$BE248&lt;&gt;"N/A"),"Firmware Download, ","")&amp;IF(AND(OR($BE248="Yes",$BE248="N/A"),$BF248&lt;&gt;"Yes",$BF248&lt;&gt;"N/A"),"Firmware Install, ","")&amp;IF(AND($BJ248&lt;&gt;"Yes",$BJ248&lt;&gt;"N/A"),"Device ID, ","")&amp;IF(AND($BK248&lt;&gt;"Yes",$BK248&lt;&gt;"N/A"),"Epic Beans Relay, ",""))-2)))</f>
      </c>
      <c r="BM248">
        <f>IF($T248="","",IF($BL248="","Yes","Blocked"))</f>
      </c>
      <c r="BP248">
        <f>IF($BO248="","",IFERROR(VLOOKUP($BO248,'01_Warehouse_Ledger'!$A:$N,4,FALSE),""))</f>
      </c>
      <c r="BQ248">
        <f>IF($BO248="","",IFERROR(VLOOKUP($BO248,'01_Warehouse_Ledger'!$A:$N,5,FALSE),""))</f>
      </c>
      <c r="BR248">
        <f>IF($BO248="","",IFERROR(VLOOKUP($BO248,'01_Warehouse_Ledger'!$A:$N,13,FALSE),""))</f>
      </c>
    </row>
    <row r="249">
      <c r="D249">
        <f>IF($B249&lt;&gt;"Yes","",IF($C249="No","Yes",IF($C249="Yes","No","")))</f>
      </c>
      <c r="E249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</c>
      <c r="F249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</c>
      <c r="BL249">
        <f>IF($T249="","",IF((IF(AND($AW249&lt;&gt;"Yes",$AW249&lt;&gt;"N/A"),"Power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",""))="","",LEFT(IF(AND($AW249&lt;&gt;"Yes",$AW249&lt;&gt;"N/A"),"Power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",""),LEN(IF(AND($AW249&lt;&gt;"Yes",$AW249&lt;&gt;"N/A"),"Power Cable, ","")&amp;IF(AND($AX249&lt;&gt;"Yes",$AX249&lt;&gt;"N/A"),"Battery, ","")&amp;IF(AND($BE249&lt;&gt;"Yes",$BE249&lt;&gt;"N/A"),"Firmware Download, ","")&amp;IF(AND(OR($BE249="Yes",$BE249="N/A"),$BF249&lt;&gt;"Yes",$BF249&lt;&gt;"N/A"),"Firmware Install, ","")&amp;IF(AND($BJ249&lt;&gt;"Yes",$BJ249&lt;&gt;"N/A"),"Device ID, ","")&amp;IF(AND($BK249&lt;&gt;"Yes",$BK249&lt;&gt;"N/A"),"Epic Beans Relay, ",""))-2)))</f>
      </c>
      <c r="BM249">
        <f>IF($T249="","",IF($BL249="","Yes","Blocked"))</f>
      </c>
      <c r="BP249">
        <f>IF($BO249="","",IFERROR(VLOOKUP($BO249,'01_Warehouse_Ledger'!$A:$N,4,FALSE),""))</f>
      </c>
      <c r="BQ249">
        <f>IF($BO249="","",IFERROR(VLOOKUP($BO249,'01_Warehouse_Ledger'!$A:$N,5,FALSE),""))</f>
      </c>
      <c r="BR249">
        <f>IF($BO249="","",IFERROR(VLOOKUP($BO249,'01_Warehouse_Ledger'!$A:$N,13,FALSE),""))</f>
      </c>
    </row>
    <row r="250">
      <c r="D250">
        <f>IF($B250&lt;&gt;"Yes","",IF($C250="No","Yes",IF($C250="Yes","No","")))</f>
      </c>
      <c r="E250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</c>
      <c r="F250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</c>
      <c r="BL250">
        <f>IF($T250="","",IF((IF(AND($AW250&lt;&gt;"Yes",$AW250&lt;&gt;"N/A"),"Power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",""))="","",LEFT(IF(AND($AW250&lt;&gt;"Yes",$AW250&lt;&gt;"N/A"),"Power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",""),LEN(IF(AND($AW250&lt;&gt;"Yes",$AW250&lt;&gt;"N/A"),"Power Cable, ","")&amp;IF(AND($AX250&lt;&gt;"Yes",$AX250&lt;&gt;"N/A"),"Battery, ","")&amp;IF(AND($BE250&lt;&gt;"Yes",$BE250&lt;&gt;"N/A"),"Firmware Download, ","")&amp;IF(AND(OR($BE250="Yes",$BE250="N/A"),$BF250&lt;&gt;"Yes",$BF250&lt;&gt;"N/A"),"Firmware Install, ","")&amp;IF(AND($BJ250&lt;&gt;"Yes",$BJ250&lt;&gt;"N/A"),"Device ID, ","")&amp;IF(AND($BK250&lt;&gt;"Yes",$BK250&lt;&gt;"N/A"),"Epic Beans Relay, ",""))-2)))</f>
      </c>
      <c r="BM250">
        <f>IF($T250="","",IF($BL250="","Yes","Blocked"))</f>
      </c>
      <c r="BP250">
        <f>IF($BO250="","",IFERROR(VLOOKUP($BO250,'01_Warehouse_Ledger'!$A:$N,4,FALSE),""))</f>
      </c>
      <c r="BQ250">
        <f>IF($BO250="","",IFERROR(VLOOKUP($BO250,'01_Warehouse_Ledger'!$A:$N,5,FALSE),""))</f>
      </c>
      <c r="BR250">
        <f>IF($BO250="","",IFERROR(VLOOKUP($BO250,'01_Warehouse_Ledger'!$A:$N,13,FALSE),""))</f>
      </c>
    </row>
    <row r="251">
      <c r="D251">
        <f>IF($B251&lt;&gt;"Yes","",IF($C251="No","Yes",IF($C251="Yes","No","")))</f>
      </c>
      <c r="E251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</c>
      <c r="F251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</c>
      <c r="BL251">
        <f>IF($T251="","",IF((IF(AND($AW251&lt;&gt;"Yes",$AW251&lt;&gt;"N/A"),"Power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",""))="","",LEFT(IF(AND($AW251&lt;&gt;"Yes",$AW251&lt;&gt;"N/A"),"Power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",""),LEN(IF(AND($AW251&lt;&gt;"Yes",$AW251&lt;&gt;"N/A"),"Power Cable, ","")&amp;IF(AND($AX251&lt;&gt;"Yes",$AX251&lt;&gt;"N/A"),"Battery, ","")&amp;IF(AND($BE251&lt;&gt;"Yes",$BE251&lt;&gt;"N/A"),"Firmware Download, ","")&amp;IF(AND(OR($BE251="Yes",$BE251="N/A"),$BF251&lt;&gt;"Yes",$BF251&lt;&gt;"N/A"),"Firmware Install, ","")&amp;IF(AND($BJ251&lt;&gt;"Yes",$BJ251&lt;&gt;"N/A"),"Device ID, ","")&amp;IF(AND($BK251&lt;&gt;"Yes",$BK251&lt;&gt;"N/A"),"Epic Beans Relay, ",""))-2)))</f>
      </c>
      <c r="BM251">
        <f>IF($T251="","",IF($BL251="","Yes","Blocked"))</f>
      </c>
      <c r="BP251">
        <f>IF($BO251="","",IFERROR(VLOOKUP($BO251,'01_Warehouse_Ledger'!$A:$N,4,FALSE),""))</f>
      </c>
      <c r="BQ251">
        <f>IF($BO251="","",IFERROR(VLOOKUP($BO251,'01_Warehouse_Ledger'!$A:$N,5,FALSE),""))</f>
      </c>
      <c r="BR251">
        <f>IF($BO251="","",IFERROR(VLOOKUP($BO251,'01_Warehouse_Ledger'!$A:$N,13,FALSE),""))</f>
      </c>
    </row>
    <row r="252">
      <c r="D252">
        <f>IF($B252&lt;&gt;"Yes","",IF($C252="No","Yes",IF($C252="Yes","No","")))</f>
      </c>
      <c r="E252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</c>
      <c r="F252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</c>
      <c r="BL252">
        <f>IF($T252="","",IF((IF(AND($AW252&lt;&gt;"Yes",$AW252&lt;&gt;"N/A"),"Power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",""))="","",LEFT(IF(AND($AW252&lt;&gt;"Yes",$AW252&lt;&gt;"N/A"),"Power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",""),LEN(IF(AND($AW252&lt;&gt;"Yes",$AW252&lt;&gt;"N/A"),"Power Cable, ","")&amp;IF(AND($AX252&lt;&gt;"Yes",$AX252&lt;&gt;"N/A"),"Battery, ","")&amp;IF(AND($BE252&lt;&gt;"Yes",$BE252&lt;&gt;"N/A"),"Firmware Download, ","")&amp;IF(AND(OR($BE252="Yes",$BE252="N/A"),$BF252&lt;&gt;"Yes",$BF252&lt;&gt;"N/A"),"Firmware Install, ","")&amp;IF(AND($BJ252&lt;&gt;"Yes",$BJ252&lt;&gt;"N/A"),"Device ID, ","")&amp;IF(AND($BK252&lt;&gt;"Yes",$BK252&lt;&gt;"N/A"),"Epic Beans Relay, ",""))-2)))</f>
      </c>
      <c r="BM252">
        <f>IF($T252="","",IF($BL252="","Yes","Blocked"))</f>
      </c>
      <c r="BP252">
        <f>IF($BO252="","",IFERROR(VLOOKUP($BO252,'01_Warehouse_Ledger'!$A:$N,4,FALSE),""))</f>
      </c>
      <c r="BQ252">
        <f>IF($BO252="","",IFERROR(VLOOKUP($BO252,'01_Warehouse_Ledger'!$A:$N,5,FALSE),""))</f>
      </c>
      <c r="BR252">
        <f>IF($BO252="","",IFERROR(VLOOKUP($BO252,'01_Warehouse_Ledger'!$A:$N,13,FALSE),""))</f>
      </c>
    </row>
    <row r="253">
      <c r="D253">
        <f>IF($B253&lt;&gt;"Yes","",IF($C253="No","Yes",IF($C253="Yes","No","")))</f>
      </c>
      <c r="E253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</c>
      <c r="F253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</c>
      <c r="BL253">
        <f>IF($T253="","",IF((IF(AND($AW253&lt;&gt;"Yes",$AW253&lt;&gt;"N/A"),"Power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",""))="","",LEFT(IF(AND($AW253&lt;&gt;"Yes",$AW253&lt;&gt;"N/A"),"Power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",""),LEN(IF(AND($AW253&lt;&gt;"Yes",$AW253&lt;&gt;"N/A"),"Power Cable, ","")&amp;IF(AND($AX253&lt;&gt;"Yes",$AX253&lt;&gt;"N/A"),"Battery, ","")&amp;IF(AND($BE253&lt;&gt;"Yes",$BE253&lt;&gt;"N/A"),"Firmware Download, ","")&amp;IF(AND(OR($BE253="Yes",$BE253="N/A"),$BF253&lt;&gt;"Yes",$BF253&lt;&gt;"N/A"),"Firmware Install, ","")&amp;IF(AND($BJ253&lt;&gt;"Yes",$BJ253&lt;&gt;"N/A"),"Device ID, ","")&amp;IF(AND($BK253&lt;&gt;"Yes",$BK253&lt;&gt;"N/A"),"Epic Beans Relay, ",""))-2)))</f>
      </c>
      <c r="BM253">
        <f>IF($T253="","",IF($BL253="","Yes","Blocked"))</f>
      </c>
      <c r="BP253">
        <f>IF($BO253="","",IFERROR(VLOOKUP($BO253,'01_Warehouse_Ledger'!$A:$N,4,FALSE),""))</f>
      </c>
      <c r="BQ253">
        <f>IF($BO253="","",IFERROR(VLOOKUP($BO253,'01_Warehouse_Ledger'!$A:$N,5,FALSE),""))</f>
      </c>
      <c r="BR253">
        <f>IF($BO253="","",IFERROR(VLOOKUP($BO253,'01_Warehouse_Ledger'!$A:$N,13,FALSE),""))</f>
      </c>
    </row>
    <row r="254">
      <c r="D254">
        <f>IF($B254&lt;&gt;"Yes","",IF($C254="No","Yes",IF($C254="Yes","No","")))</f>
      </c>
      <c r="E254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</c>
      <c r="F254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</c>
      <c r="BL254">
        <f>IF($T254="","",IF((IF(AND($AW254&lt;&gt;"Yes",$AW254&lt;&gt;"N/A"),"Power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",""))="","",LEFT(IF(AND($AW254&lt;&gt;"Yes",$AW254&lt;&gt;"N/A"),"Power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",""),LEN(IF(AND($AW254&lt;&gt;"Yes",$AW254&lt;&gt;"N/A"),"Power Cable, ","")&amp;IF(AND($AX254&lt;&gt;"Yes",$AX254&lt;&gt;"N/A"),"Battery, ","")&amp;IF(AND($BE254&lt;&gt;"Yes",$BE254&lt;&gt;"N/A"),"Firmware Download, ","")&amp;IF(AND(OR($BE254="Yes",$BE254="N/A"),$BF254&lt;&gt;"Yes",$BF254&lt;&gt;"N/A"),"Firmware Install, ","")&amp;IF(AND($BJ254&lt;&gt;"Yes",$BJ254&lt;&gt;"N/A"),"Device ID, ","")&amp;IF(AND($BK254&lt;&gt;"Yes",$BK254&lt;&gt;"N/A"),"Epic Beans Relay, ",""))-2)))</f>
      </c>
      <c r="BM254">
        <f>IF($T254="","",IF($BL254="","Yes","Blocked"))</f>
      </c>
      <c r="BP254">
        <f>IF($BO254="","",IFERROR(VLOOKUP($BO254,'01_Warehouse_Ledger'!$A:$N,4,FALSE),""))</f>
      </c>
      <c r="BQ254">
        <f>IF($BO254="","",IFERROR(VLOOKUP($BO254,'01_Warehouse_Ledger'!$A:$N,5,FALSE),""))</f>
      </c>
      <c r="BR254">
        <f>IF($BO254="","",IFERROR(VLOOKUP($BO254,'01_Warehouse_Ledger'!$A:$N,13,FALSE),""))</f>
      </c>
    </row>
    <row r="255">
      <c r="D255">
        <f>IF($B255&lt;&gt;"Yes","",IF($C255="No","Yes",IF($C255="Yes","No","")))</f>
      </c>
      <c r="E255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</c>
      <c r="F255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</c>
      <c r="BL255">
        <f>IF($T255="","",IF((IF(AND($AW255&lt;&gt;"Yes",$AW255&lt;&gt;"N/A"),"Power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",""))="","",LEFT(IF(AND($AW255&lt;&gt;"Yes",$AW255&lt;&gt;"N/A"),"Power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",""),LEN(IF(AND($AW255&lt;&gt;"Yes",$AW255&lt;&gt;"N/A"),"Power Cable, ","")&amp;IF(AND($AX255&lt;&gt;"Yes",$AX255&lt;&gt;"N/A"),"Battery, ","")&amp;IF(AND($BE255&lt;&gt;"Yes",$BE255&lt;&gt;"N/A"),"Firmware Download, ","")&amp;IF(AND(OR($BE255="Yes",$BE255="N/A"),$BF255&lt;&gt;"Yes",$BF255&lt;&gt;"N/A"),"Firmware Install, ","")&amp;IF(AND($BJ255&lt;&gt;"Yes",$BJ255&lt;&gt;"N/A"),"Device ID, ","")&amp;IF(AND($BK255&lt;&gt;"Yes",$BK255&lt;&gt;"N/A"),"Epic Beans Relay, ",""))-2)))</f>
      </c>
      <c r="BM255">
        <f>IF($T255="","",IF($BL255="","Yes","Blocked"))</f>
      </c>
      <c r="BP255">
        <f>IF($BO255="","",IFERROR(VLOOKUP($BO255,'01_Warehouse_Ledger'!$A:$N,4,FALSE),""))</f>
      </c>
      <c r="BQ255">
        <f>IF($BO255="","",IFERROR(VLOOKUP($BO255,'01_Warehouse_Ledger'!$A:$N,5,FALSE),""))</f>
      </c>
      <c r="BR255">
        <f>IF($BO255="","",IFERROR(VLOOKUP($BO255,'01_Warehouse_Ledger'!$A:$N,13,FALSE),""))</f>
      </c>
    </row>
    <row r="256">
      <c r="D256">
        <f>IF($B256&lt;&gt;"Yes","",IF($C256="No","Yes",IF($C256="Yes","No","")))</f>
      </c>
      <c r="E256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</c>
      <c r="F256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</c>
      <c r="BL256">
        <f>IF($T256="","",IF((IF(AND($AW256&lt;&gt;"Yes",$AW256&lt;&gt;"N/A"),"Power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",""))="","",LEFT(IF(AND($AW256&lt;&gt;"Yes",$AW256&lt;&gt;"N/A"),"Power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",""),LEN(IF(AND($AW256&lt;&gt;"Yes",$AW256&lt;&gt;"N/A"),"Power Cable, ","")&amp;IF(AND($AX256&lt;&gt;"Yes",$AX256&lt;&gt;"N/A"),"Battery, ","")&amp;IF(AND($BE256&lt;&gt;"Yes",$BE256&lt;&gt;"N/A"),"Firmware Download, ","")&amp;IF(AND(OR($BE256="Yes",$BE256="N/A"),$BF256&lt;&gt;"Yes",$BF256&lt;&gt;"N/A"),"Firmware Install, ","")&amp;IF(AND($BJ256&lt;&gt;"Yes",$BJ256&lt;&gt;"N/A"),"Device ID, ","")&amp;IF(AND($BK256&lt;&gt;"Yes",$BK256&lt;&gt;"N/A"),"Epic Beans Relay, ",""))-2)))</f>
      </c>
      <c r="BM256">
        <f>IF($T256="","",IF($BL256="","Yes","Blocked"))</f>
      </c>
      <c r="BP256">
        <f>IF($BO256="","",IFERROR(VLOOKUP($BO256,'01_Warehouse_Ledger'!$A:$N,4,FALSE),""))</f>
      </c>
      <c r="BQ256">
        <f>IF($BO256="","",IFERROR(VLOOKUP($BO256,'01_Warehouse_Ledger'!$A:$N,5,FALSE),""))</f>
      </c>
      <c r="BR256">
        <f>IF($BO256="","",IFERROR(VLOOKUP($BO256,'01_Warehouse_Ledger'!$A:$N,13,FALSE),""))</f>
      </c>
    </row>
    <row r="257">
      <c r="D257">
        <f>IF($B257&lt;&gt;"Yes","",IF($C257="No","Yes",IF($C257="Yes","No","")))</f>
      </c>
      <c r="E257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</c>
      <c r="F257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</c>
      <c r="BL257">
        <f>IF($T257="","",IF((IF(AND($AW257&lt;&gt;"Yes",$AW257&lt;&gt;"N/A"),"Power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",""))="","",LEFT(IF(AND($AW257&lt;&gt;"Yes",$AW257&lt;&gt;"N/A"),"Power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",""),LEN(IF(AND($AW257&lt;&gt;"Yes",$AW257&lt;&gt;"N/A"),"Power Cable, ","")&amp;IF(AND($AX257&lt;&gt;"Yes",$AX257&lt;&gt;"N/A"),"Battery, ","")&amp;IF(AND($BE257&lt;&gt;"Yes",$BE257&lt;&gt;"N/A"),"Firmware Download, ","")&amp;IF(AND(OR($BE257="Yes",$BE257="N/A"),$BF257&lt;&gt;"Yes",$BF257&lt;&gt;"N/A"),"Firmware Install, ","")&amp;IF(AND($BJ257&lt;&gt;"Yes",$BJ257&lt;&gt;"N/A"),"Device ID, ","")&amp;IF(AND($BK257&lt;&gt;"Yes",$BK257&lt;&gt;"N/A"),"Epic Beans Relay, ",""))-2)))</f>
      </c>
      <c r="BM257">
        <f>IF($T257="","",IF($BL257="","Yes","Blocked"))</f>
      </c>
      <c r="BP257">
        <f>IF($BO257="","",IFERROR(VLOOKUP($BO257,'01_Warehouse_Ledger'!$A:$N,4,FALSE),""))</f>
      </c>
      <c r="BQ257">
        <f>IF($BO257="","",IFERROR(VLOOKUP($BO257,'01_Warehouse_Ledger'!$A:$N,5,FALSE),""))</f>
      </c>
      <c r="BR257">
        <f>IF($BO257="","",IFERROR(VLOOKUP($BO257,'01_Warehouse_Ledger'!$A:$N,13,FALSE),""))</f>
      </c>
    </row>
    <row r="258">
      <c r="D258">
        <f>IF($B258&lt;&gt;"Yes","",IF($C258="No","Yes",IF($C258="Yes","No","")))</f>
      </c>
      <c r="E258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</c>
      <c r="F258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</c>
      <c r="BL258">
        <f>IF($T258="","",IF((IF(AND($AW258&lt;&gt;"Yes",$AW258&lt;&gt;"N/A"),"Power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",""))="","",LEFT(IF(AND($AW258&lt;&gt;"Yes",$AW258&lt;&gt;"N/A"),"Power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",""),LEN(IF(AND($AW258&lt;&gt;"Yes",$AW258&lt;&gt;"N/A"),"Power Cable, ","")&amp;IF(AND($AX258&lt;&gt;"Yes",$AX258&lt;&gt;"N/A"),"Battery, ","")&amp;IF(AND($BE258&lt;&gt;"Yes",$BE258&lt;&gt;"N/A"),"Firmware Download, ","")&amp;IF(AND(OR($BE258="Yes",$BE258="N/A"),$BF258&lt;&gt;"Yes",$BF258&lt;&gt;"N/A"),"Firmware Install, ","")&amp;IF(AND($BJ258&lt;&gt;"Yes",$BJ258&lt;&gt;"N/A"),"Device ID, ","")&amp;IF(AND($BK258&lt;&gt;"Yes",$BK258&lt;&gt;"N/A"),"Epic Beans Relay, ",""))-2)))</f>
      </c>
      <c r="BM258">
        <f>IF($T258="","",IF($BL258="","Yes","Blocked"))</f>
      </c>
      <c r="BP258">
        <f>IF($BO258="","",IFERROR(VLOOKUP($BO258,'01_Warehouse_Ledger'!$A:$N,4,FALSE),""))</f>
      </c>
      <c r="BQ258">
        <f>IF($BO258="","",IFERROR(VLOOKUP($BO258,'01_Warehouse_Ledger'!$A:$N,5,FALSE),""))</f>
      </c>
      <c r="BR258">
        <f>IF($BO258="","",IFERROR(VLOOKUP($BO258,'01_Warehouse_Ledger'!$A:$N,13,FALSE),""))</f>
      </c>
    </row>
    <row r="259">
      <c r="D259">
        <f>IF($B259&lt;&gt;"Yes","",IF($C259="No","Yes",IF($C259="Yes","No","")))</f>
      </c>
      <c r="E259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</c>
      <c r="F259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</c>
      <c r="BL259">
        <f>IF($T259="","",IF((IF(AND($AW259&lt;&gt;"Yes",$AW259&lt;&gt;"N/A"),"Power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",""))="","",LEFT(IF(AND($AW259&lt;&gt;"Yes",$AW259&lt;&gt;"N/A"),"Power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",""),LEN(IF(AND($AW259&lt;&gt;"Yes",$AW259&lt;&gt;"N/A"),"Power Cable, ","")&amp;IF(AND($AX259&lt;&gt;"Yes",$AX259&lt;&gt;"N/A"),"Battery, ","")&amp;IF(AND($BE259&lt;&gt;"Yes",$BE259&lt;&gt;"N/A"),"Firmware Download, ","")&amp;IF(AND(OR($BE259="Yes",$BE259="N/A"),$BF259&lt;&gt;"Yes",$BF259&lt;&gt;"N/A"),"Firmware Install, ","")&amp;IF(AND($BJ259&lt;&gt;"Yes",$BJ259&lt;&gt;"N/A"),"Device ID, ","")&amp;IF(AND($BK259&lt;&gt;"Yes",$BK259&lt;&gt;"N/A"),"Epic Beans Relay, ",""))-2)))</f>
      </c>
      <c r="BM259">
        <f>IF($T259="","",IF($BL259="","Yes","Blocked"))</f>
      </c>
      <c r="BP259">
        <f>IF($BO259="","",IFERROR(VLOOKUP($BO259,'01_Warehouse_Ledger'!$A:$N,4,FALSE),""))</f>
      </c>
      <c r="BQ259">
        <f>IF($BO259="","",IFERROR(VLOOKUP($BO259,'01_Warehouse_Ledger'!$A:$N,5,FALSE),""))</f>
      </c>
      <c r="BR259">
        <f>IF($BO259="","",IFERROR(VLOOKUP($BO259,'01_Warehouse_Ledger'!$A:$N,13,FALSE),""))</f>
      </c>
    </row>
    <row r="260">
      <c r="D260">
        <f>IF($B260&lt;&gt;"Yes","",IF($C260="No","Yes",IF($C260="Yes","No","")))</f>
      </c>
      <c r="E260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</c>
      <c r="F260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</c>
      <c r="BL260">
        <f>IF($T260="","",IF((IF(AND($AW260&lt;&gt;"Yes",$AW260&lt;&gt;"N/A"),"Power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",""))="","",LEFT(IF(AND($AW260&lt;&gt;"Yes",$AW260&lt;&gt;"N/A"),"Power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",""),LEN(IF(AND($AW260&lt;&gt;"Yes",$AW260&lt;&gt;"N/A"),"Power Cable, ","")&amp;IF(AND($AX260&lt;&gt;"Yes",$AX260&lt;&gt;"N/A"),"Battery, ","")&amp;IF(AND($BE260&lt;&gt;"Yes",$BE260&lt;&gt;"N/A"),"Firmware Download, ","")&amp;IF(AND(OR($BE260="Yes",$BE260="N/A"),$BF260&lt;&gt;"Yes",$BF260&lt;&gt;"N/A"),"Firmware Install, ","")&amp;IF(AND($BJ260&lt;&gt;"Yes",$BJ260&lt;&gt;"N/A"),"Device ID, ","")&amp;IF(AND($BK260&lt;&gt;"Yes",$BK260&lt;&gt;"N/A"),"Epic Beans Relay, ",""))-2)))</f>
      </c>
      <c r="BM260">
        <f>IF($T260="","",IF($BL260="","Yes","Blocked"))</f>
      </c>
      <c r="BP260">
        <f>IF($BO260="","",IFERROR(VLOOKUP($BO260,'01_Warehouse_Ledger'!$A:$N,4,FALSE),""))</f>
      </c>
      <c r="BQ260">
        <f>IF($BO260="","",IFERROR(VLOOKUP($BO260,'01_Warehouse_Ledger'!$A:$N,5,FALSE),""))</f>
      </c>
      <c r="BR260">
        <f>IF($BO260="","",IFERROR(VLOOKUP($BO260,'01_Warehouse_Ledger'!$A:$N,13,FALSE),""))</f>
      </c>
    </row>
    <row r="261">
      <c r="D261">
        <f>IF($B261&lt;&gt;"Yes","",IF($C261="No","Yes",IF($C261="Yes","No","")))</f>
      </c>
      <c r="E261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</c>
      <c r="F261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</c>
      <c r="BL261">
        <f>IF($T261="","",IF((IF(AND($AW261&lt;&gt;"Yes",$AW261&lt;&gt;"N/A"),"Power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",""))="","",LEFT(IF(AND($AW261&lt;&gt;"Yes",$AW261&lt;&gt;"N/A"),"Power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",""),LEN(IF(AND($AW261&lt;&gt;"Yes",$AW261&lt;&gt;"N/A"),"Power Cable, ","")&amp;IF(AND($AX261&lt;&gt;"Yes",$AX261&lt;&gt;"N/A"),"Battery, ","")&amp;IF(AND($BE261&lt;&gt;"Yes",$BE261&lt;&gt;"N/A"),"Firmware Download, ","")&amp;IF(AND(OR($BE261="Yes",$BE261="N/A"),$BF261&lt;&gt;"Yes",$BF261&lt;&gt;"N/A"),"Firmware Install, ","")&amp;IF(AND($BJ261&lt;&gt;"Yes",$BJ261&lt;&gt;"N/A"),"Device ID, ","")&amp;IF(AND($BK261&lt;&gt;"Yes",$BK261&lt;&gt;"N/A"),"Epic Beans Relay, ",""))-2)))</f>
      </c>
      <c r="BM261">
        <f>IF($T261="","",IF($BL261="","Yes","Blocked"))</f>
      </c>
      <c r="BP261">
        <f>IF($BO261="","",IFERROR(VLOOKUP($BO261,'01_Warehouse_Ledger'!$A:$N,4,FALSE),""))</f>
      </c>
      <c r="BQ261">
        <f>IF($BO261="","",IFERROR(VLOOKUP($BO261,'01_Warehouse_Ledger'!$A:$N,5,FALSE),""))</f>
      </c>
      <c r="BR261">
        <f>IF($BO261="","",IFERROR(VLOOKUP($BO261,'01_Warehouse_Ledger'!$A:$N,13,FALSE),""))</f>
      </c>
    </row>
    <row r="262">
      <c r="D262">
        <f>IF($B262&lt;&gt;"Yes","",IF($C262="No","Yes",IF($C262="Yes","No","")))</f>
      </c>
      <c r="E262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</c>
      <c r="F262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</c>
      <c r="BL262">
        <f>IF($T262="","",IF((IF(AND($AW262&lt;&gt;"Yes",$AW262&lt;&gt;"N/A"),"Power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",""))="","",LEFT(IF(AND($AW262&lt;&gt;"Yes",$AW262&lt;&gt;"N/A"),"Power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",""),LEN(IF(AND($AW262&lt;&gt;"Yes",$AW262&lt;&gt;"N/A"),"Power Cable, ","")&amp;IF(AND($AX262&lt;&gt;"Yes",$AX262&lt;&gt;"N/A"),"Battery, ","")&amp;IF(AND($BE262&lt;&gt;"Yes",$BE262&lt;&gt;"N/A"),"Firmware Download, ","")&amp;IF(AND(OR($BE262="Yes",$BE262="N/A"),$BF262&lt;&gt;"Yes",$BF262&lt;&gt;"N/A"),"Firmware Install, ","")&amp;IF(AND($BJ262&lt;&gt;"Yes",$BJ262&lt;&gt;"N/A"),"Device ID, ","")&amp;IF(AND($BK262&lt;&gt;"Yes",$BK262&lt;&gt;"N/A"),"Epic Beans Relay, ",""))-2)))</f>
      </c>
      <c r="BM262">
        <f>IF($T262="","",IF($BL262="","Yes","Blocked"))</f>
      </c>
      <c r="BP262">
        <f>IF($BO262="","",IFERROR(VLOOKUP($BO262,'01_Warehouse_Ledger'!$A:$N,4,FALSE),""))</f>
      </c>
      <c r="BQ262">
        <f>IF($BO262="","",IFERROR(VLOOKUP($BO262,'01_Warehouse_Ledger'!$A:$N,5,FALSE),""))</f>
      </c>
      <c r="BR262">
        <f>IF($BO262="","",IFERROR(VLOOKUP($BO262,'01_Warehouse_Ledger'!$A:$N,13,FALSE),""))</f>
      </c>
    </row>
    <row r="263">
      <c r="D263">
        <f>IF($B263&lt;&gt;"Yes","",IF($C263="No","Yes",IF($C263="Yes","No","")))</f>
      </c>
      <c r="E263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</c>
      <c r="F263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</c>
      <c r="BL263">
        <f>IF($T263="","",IF((IF(AND($AW263&lt;&gt;"Yes",$AW263&lt;&gt;"N/A"),"Power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",""))="","",LEFT(IF(AND($AW263&lt;&gt;"Yes",$AW263&lt;&gt;"N/A"),"Power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",""),LEN(IF(AND($AW263&lt;&gt;"Yes",$AW263&lt;&gt;"N/A"),"Power Cable, ","")&amp;IF(AND($AX263&lt;&gt;"Yes",$AX263&lt;&gt;"N/A"),"Battery, ","")&amp;IF(AND($BE263&lt;&gt;"Yes",$BE263&lt;&gt;"N/A"),"Firmware Download, ","")&amp;IF(AND(OR($BE263="Yes",$BE263="N/A"),$BF263&lt;&gt;"Yes",$BF263&lt;&gt;"N/A"),"Firmware Install, ","")&amp;IF(AND($BJ263&lt;&gt;"Yes",$BJ263&lt;&gt;"N/A"),"Device ID, ","")&amp;IF(AND($BK263&lt;&gt;"Yes",$BK263&lt;&gt;"N/A"),"Epic Beans Relay, ",""))-2)))</f>
      </c>
      <c r="BM263">
        <f>IF($T263="","",IF($BL263="","Yes","Blocked"))</f>
      </c>
      <c r="BP263">
        <f>IF($BO263="","",IFERROR(VLOOKUP($BO263,'01_Warehouse_Ledger'!$A:$N,4,FALSE),""))</f>
      </c>
      <c r="BQ263">
        <f>IF($BO263="","",IFERROR(VLOOKUP($BO263,'01_Warehouse_Ledger'!$A:$N,5,FALSE),""))</f>
      </c>
      <c r="BR263">
        <f>IF($BO263="","",IFERROR(VLOOKUP($BO263,'01_Warehouse_Ledger'!$A:$N,13,FALSE),""))</f>
      </c>
    </row>
    <row r="264">
      <c r="D264">
        <f>IF($B264&lt;&gt;"Yes","",IF($C264="No","Yes",IF($C264="Yes","No","")))</f>
      </c>
      <c r="E264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</c>
      <c r="F264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</c>
      <c r="BL264">
        <f>IF($T264="","",IF((IF(AND($AW264&lt;&gt;"Yes",$AW264&lt;&gt;"N/A"),"Power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",""))="","",LEFT(IF(AND($AW264&lt;&gt;"Yes",$AW264&lt;&gt;"N/A"),"Power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",""),LEN(IF(AND($AW264&lt;&gt;"Yes",$AW264&lt;&gt;"N/A"),"Power Cable, ","")&amp;IF(AND($AX264&lt;&gt;"Yes",$AX264&lt;&gt;"N/A"),"Battery, ","")&amp;IF(AND($BE264&lt;&gt;"Yes",$BE264&lt;&gt;"N/A"),"Firmware Download, ","")&amp;IF(AND(OR($BE264="Yes",$BE264="N/A"),$BF264&lt;&gt;"Yes",$BF264&lt;&gt;"N/A"),"Firmware Install, ","")&amp;IF(AND($BJ264&lt;&gt;"Yes",$BJ264&lt;&gt;"N/A"),"Device ID, ","")&amp;IF(AND($BK264&lt;&gt;"Yes",$BK264&lt;&gt;"N/A"),"Epic Beans Relay, ",""))-2)))</f>
      </c>
      <c r="BM264">
        <f>IF($T264="","",IF($BL264="","Yes","Blocked"))</f>
      </c>
      <c r="BP264">
        <f>IF($BO264="","",IFERROR(VLOOKUP($BO264,'01_Warehouse_Ledger'!$A:$N,4,FALSE),""))</f>
      </c>
      <c r="BQ264">
        <f>IF($BO264="","",IFERROR(VLOOKUP($BO264,'01_Warehouse_Ledger'!$A:$N,5,FALSE),""))</f>
      </c>
      <c r="BR264">
        <f>IF($BO264="","",IFERROR(VLOOKUP($BO264,'01_Warehouse_Ledger'!$A:$N,13,FALSE),""))</f>
      </c>
    </row>
    <row r="265">
      <c r="D265">
        <f>IF($B265&lt;&gt;"Yes","",IF($C265="No","Yes",IF($C265="Yes","No","")))</f>
      </c>
      <c r="E265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</c>
      <c r="F265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</c>
      <c r="BL265">
        <f>IF($T265="","",IF((IF(AND($AW265&lt;&gt;"Yes",$AW265&lt;&gt;"N/A"),"Power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",""))="","",LEFT(IF(AND($AW265&lt;&gt;"Yes",$AW265&lt;&gt;"N/A"),"Power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",""),LEN(IF(AND($AW265&lt;&gt;"Yes",$AW265&lt;&gt;"N/A"),"Power Cable, ","")&amp;IF(AND($AX265&lt;&gt;"Yes",$AX265&lt;&gt;"N/A"),"Battery, ","")&amp;IF(AND($BE265&lt;&gt;"Yes",$BE265&lt;&gt;"N/A"),"Firmware Download, ","")&amp;IF(AND(OR($BE265="Yes",$BE265="N/A"),$BF265&lt;&gt;"Yes",$BF265&lt;&gt;"N/A"),"Firmware Install, ","")&amp;IF(AND($BJ265&lt;&gt;"Yes",$BJ265&lt;&gt;"N/A"),"Device ID, ","")&amp;IF(AND($BK265&lt;&gt;"Yes",$BK265&lt;&gt;"N/A"),"Epic Beans Relay, ",""))-2)))</f>
      </c>
      <c r="BM265">
        <f>IF($T265="","",IF($BL265="","Yes","Blocked"))</f>
      </c>
      <c r="BP265">
        <f>IF($BO265="","",IFERROR(VLOOKUP($BO265,'01_Warehouse_Ledger'!$A:$N,4,FALSE),""))</f>
      </c>
      <c r="BQ265">
        <f>IF($BO265="","",IFERROR(VLOOKUP($BO265,'01_Warehouse_Ledger'!$A:$N,5,FALSE),""))</f>
      </c>
      <c r="BR265">
        <f>IF($BO265="","",IFERROR(VLOOKUP($BO265,'01_Warehouse_Ledger'!$A:$N,13,FALSE),""))</f>
      </c>
    </row>
    <row r="266">
      <c r="D266">
        <f>IF($B266&lt;&gt;"Yes","",IF($C266="No","Yes",IF($C266="Yes","No","")))</f>
      </c>
      <c r="E266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</c>
      <c r="F266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</c>
      <c r="BL266">
        <f>IF($T266="","",IF((IF(AND($AW266&lt;&gt;"Yes",$AW266&lt;&gt;"N/A"),"Power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",""))="","",LEFT(IF(AND($AW266&lt;&gt;"Yes",$AW266&lt;&gt;"N/A"),"Power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",""),LEN(IF(AND($AW266&lt;&gt;"Yes",$AW266&lt;&gt;"N/A"),"Power Cable, ","")&amp;IF(AND($AX266&lt;&gt;"Yes",$AX266&lt;&gt;"N/A"),"Battery, ","")&amp;IF(AND($BE266&lt;&gt;"Yes",$BE266&lt;&gt;"N/A"),"Firmware Download, ","")&amp;IF(AND(OR($BE266="Yes",$BE266="N/A"),$BF266&lt;&gt;"Yes",$BF266&lt;&gt;"N/A"),"Firmware Install, ","")&amp;IF(AND($BJ266&lt;&gt;"Yes",$BJ266&lt;&gt;"N/A"),"Device ID, ","")&amp;IF(AND($BK266&lt;&gt;"Yes",$BK266&lt;&gt;"N/A"),"Epic Beans Relay, ",""))-2)))</f>
      </c>
      <c r="BM266">
        <f>IF($T266="","",IF($BL266="","Yes","Blocked"))</f>
      </c>
      <c r="BP266">
        <f>IF($BO266="","",IFERROR(VLOOKUP($BO266,'01_Warehouse_Ledger'!$A:$N,4,FALSE),""))</f>
      </c>
      <c r="BQ266">
        <f>IF($BO266="","",IFERROR(VLOOKUP($BO266,'01_Warehouse_Ledger'!$A:$N,5,FALSE),""))</f>
      </c>
      <c r="BR266">
        <f>IF($BO266="","",IFERROR(VLOOKUP($BO266,'01_Warehouse_Ledger'!$A:$N,13,FALSE),""))</f>
      </c>
    </row>
    <row r="267">
      <c r="D267">
        <f>IF($B267&lt;&gt;"Yes","",IF($C267="No","Yes",IF($C267="Yes","No","")))</f>
      </c>
      <c r="E267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</c>
      <c r="F267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</c>
      <c r="BL267">
        <f>IF($T267="","",IF((IF(AND($AW267&lt;&gt;"Yes",$AW267&lt;&gt;"N/A"),"Power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",""))="","",LEFT(IF(AND($AW267&lt;&gt;"Yes",$AW267&lt;&gt;"N/A"),"Power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",""),LEN(IF(AND($AW267&lt;&gt;"Yes",$AW267&lt;&gt;"N/A"),"Power Cable, ","")&amp;IF(AND($AX267&lt;&gt;"Yes",$AX267&lt;&gt;"N/A"),"Battery, ","")&amp;IF(AND($BE267&lt;&gt;"Yes",$BE267&lt;&gt;"N/A"),"Firmware Download, ","")&amp;IF(AND(OR($BE267="Yes",$BE267="N/A"),$BF267&lt;&gt;"Yes",$BF267&lt;&gt;"N/A"),"Firmware Install, ","")&amp;IF(AND($BJ267&lt;&gt;"Yes",$BJ267&lt;&gt;"N/A"),"Device ID, ","")&amp;IF(AND($BK267&lt;&gt;"Yes",$BK267&lt;&gt;"N/A"),"Epic Beans Relay, ",""))-2)))</f>
      </c>
      <c r="BM267">
        <f>IF($T267="","",IF($BL267="","Yes","Blocked"))</f>
      </c>
      <c r="BP267">
        <f>IF($BO267="","",IFERROR(VLOOKUP($BO267,'01_Warehouse_Ledger'!$A:$N,4,FALSE),""))</f>
      </c>
      <c r="BQ267">
        <f>IF($BO267="","",IFERROR(VLOOKUP($BO267,'01_Warehouse_Ledger'!$A:$N,5,FALSE),""))</f>
      </c>
      <c r="BR267">
        <f>IF($BO267="","",IFERROR(VLOOKUP($BO267,'01_Warehouse_Ledger'!$A:$N,13,FALSE),""))</f>
      </c>
    </row>
    <row r="268">
      <c r="D268">
        <f>IF($B268&lt;&gt;"Yes","",IF($C268="No","Yes",IF($C268="Yes","No","")))</f>
      </c>
      <c r="E268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</c>
      <c r="F268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</c>
      <c r="BL268">
        <f>IF($T268="","",IF((IF(AND($AW268&lt;&gt;"Yes",$AW268&lt;&gt;"N/A"),"Power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",""))="","",LEFT(IF(AND($AW268&lt;&gt;"Yes",$AW268&lt;&gt;"N/A"),"Power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",""),LEN(IF(AND($AW268&lt;&gt;"Yes",$AW268&lt;&gt;"N/A"),"Power Cable, ","")&amp;IF(AND($AX268&lt;&gt;"Yes",$AX268&lt;&gt;"N/A"),"Battery, ","")&amp;IF(AND($BE268&lt;&gt;"Yes",$BE268&lt;&gt;"N/A"),"Firmware Download, ","")&amp;IF(AND(OR($BE268="Yes",$BE268="N/A"),$BF268&lt;&gt;"Yes",$BF268&lt;&gt;"N/A"),"Firmware Install, ","")&amp;IF(AND($BJ268&lt;&gt;"Yes",$BJ268&lt;&gt;"N/A"),"Device ID, ","")&amp;IF(AND($BK268&lt;&gt;"Yes",$BK268&lt;&gt;"N/A"),"Epic Beans Relay, ",""))-2)))</f>
      </c>
      <c r="BM268">
        <f>IF($T268="","",IF($BL268="","Yes","Blocked"))</f>
      </c>
      <c r="BP268">
        <f>IF($BO268="","",IFERROR(VLOOKUP($BO268,'01_Warehouse_Ledger'!$A:$N,4,FALSE),""))</f>
      </c>
      <c r="BQ268">
        <f>IF($BO268="","",IFERROR(VLOOKUP($BO268,'01_Warehouse_Ledger'!$A:$N,5,FALSE),""))</f>
      </c>
      <c r="BR268">
        <f>IF($BO268="","",IFERROR(VLOOKUP($BO268,'01_Warehouse_Ledger'!$A:$N,13,FALSE),""))</f>
      </c>
    </row>
    <row r="269">
      <c r="D269">
        <f>IF($B269&lt;&gt;"Yes","",IF($C269="No","Yes",IF($C269="Yes","No","")))</f>
      </c>
      <c r="E269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</c>
      <c r="F269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</c>
      <c r="BL269">
        <f>IF($T269="","",IF((IF(AND($AW269&lt;&gt;"Yes",$AW269&lt;&gt;"N/A"),"Power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",""))="","",LEFT(IF(AND($AW269&lt;&gt;"Yes",$AW269&lt;&gt;"N/A"),"Power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",""),LEN(IF(AND($AW269&lt;&gt;"Yes",$AW269&lt;&gt;"N/A"),"Power Cable, ","")&amp;IF(AND($AX269&lt;&gt;"Yes",$AX269&lt;&gt;"N/A"),"Battery, ","")&amp;IF(AND($BE269&lt;&gt;"Yes",$BE269&lt;&gt;"N/A"),"Firmware Download, ","")&amp;IF(AND(OR($BE269="Yes",$BE269="N/A"),$BF269&lt;&gt;"Yes",$BF269&lt;&gt;"N/A"),"Firmware Install, ","")&amp;IF(AND($BJ269&lt;&gt;"Yes",$BJ269&lt;&gt;"N/A"),"Device ID, ","")&amp;IF(AND($BK269&lt;&gt;"Yes",$BK269&lt;&gt;"N/A"),"Epic Beans Relay, ",""))-2)))</f>
      </c>
      <c r="BM269">
        <f>IF($T269="","",IF($BL269="","Yes","Blocked"))</f>
      </c>
      <c r="BP269">
        <f>IF($BO269="","",IFERROR(VLOOKUP($BO269,'01_Warehouse_Ledger'!$A:$N,4,FALSE),""))</f>
      </c>
      <c r="BQ269">
        <f>IF($BO269="","",IFERROR(VLOOKUP($BO269,'01_Warehouse_Ledger'!$A:$N,5,FALSE),""))</f>
      </c>
      <c r="BR269">
        <f>IF($BO269="","",IFERROR(VLOOKUP($BO269,'01_Warehouse_Ledger'!$A:$N,13,FALSE),""))</f>
      </c>
    </row>
    <row r="270">
      <c r="D270">
        <f>IF($B270&lt;&gt;"Yes","",IF($C270="No","Yes",IF($C270="Yes","No","")))</f>
      </c>
      <c r="E270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</c>
      <c r="F270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</c>
      <c r="BL270">
        <f>IF($T270="","",IF((IF(AND($AW270&lt;&gt;"Yes",$AW270&lt;&gt;"N/A"),"Power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",""))="","",LEFT(IF(AND($AW270&lt;&gt;"Yes",$AW270&lt;&gt;"N/A"),"Power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",""),LEN(IF(AND($AW270&lt;&gt;"Yes",$AW270&lt;&gt;"N/A"),"Power Cable, ","")&amp;IF(AND($AX270&lt;&gt;"Yes",$AX270&lt;&gt;"N/A"),"Battery, ","")&amp;IF(AND($BE270&lt;&gt;"Yes",$BE270&lt;&gt;"N/A"),"Firmware Download, ","")&amp;IF(AND(OR($BE270="Yes",$BE270="N/A"),$BF270&lt;&gt;"Yes",$BF270&lt;&gt;"N/A"),"Firmware Install, ","")&amp;IF(AND($BJ270&lt;&gt;"Yes",$BJ270&lt;&gt;"N/A"),"Device ID, ","")&amp;IF(AND($BK270&lt;&gt;"Yes",$BK270&lt;&gt;"N/A"),"Epic Beans Relay, ",""))-2)))</f>
      </c>
      <c r="BM270">
        <f>IF($T270="","",IF($BL270="","Yes","Blocked"))</f>
      </c>
      <c r="BP270">
        <f>IF($BO270="","",IFERROR(VLOOKUP($BO270,'01_Warehouse_Ledger'!$A:$N,4,FALSE),""))</f>
      </c>
      <c r="BQ270">
        <f>IF($BO270="","",IFERROR(VLOOKUP($BO270,'01_Warehouse_Ledger'!$A:$N,5,FALSE),""))</f>
      </c>
      <c r="BR270">
        <f>IF($BO270="","",IFERROR(VLOOKUP($BO270,'01_Warehouse_Ledger'!$A:$N,13,FALSE),""))</f>
      </c>
    </row>
    <row r="271">
      <c r="D271">
        <f>IF($B271&lt;&gt;"Yes","",IF($C271="No","Yes",IF($C271="Yes","No","")))</f>
      </c>
      <c r="E271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</c>
      <c r="F271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</c>
      <c r="BL271">
        <f>IF($T271="","",IF((IF(AND($AW271&lt;&gt;"Yes",$AW271&lt;&gt;"N/A"),"Power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",""))="","",LEFT(IF(AND($AW271&lt;&gt;"Yes",$AW271&lt;&gt;"N/A"),"Power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",""),LEN(IF(AND($AW271&lt;&gt;"Yes",$AW271&lt;&gt;"N/A"),"Power Cable, ","")&amp;IF(AND($AX271&lt;&gt;"Yes",$AX271&lt;&gt;"N/A"),"Battery, ","")&amp;IF(AND($BE271&lt;&gt;"Yes",$BE271&lt;&gt;"N/A"),"Firmware Download, ","")&amp;IF(AND(OR($BE271="Yes",$BE271="N/A"),$BF271&lt;&gt;"Yes",$BF271&lt;&gt;"N/A"),"Firmware Install, ","")&amp;IF(AND($BJ271&lt;&gt;"Yes",$BJ271&lt;&gt;"N/A"),"Device ID, ","")&amp;IF(AND($BK271&lt;&gt;"Yes",$BK271&lt;&gt;"N/A"),"Epic Beans Relay, ",""))-2)))</f>
      </c>
      <c r="BM271">
        <f>IF($T271="","",IF($BL271="","Yes","Blocked"))</f>
      </c>
      <c r="BP271">
        <f>IF($BO271="","",IFERROR(VLOOKUP($BO271,'01_Warehouse_Ledger'!$A:$N,4,FALSE),""))</f>
      </c>
      <c r="BQ271">
        <f>IF($BO271="","",IFERROR(VLOOKUP($BO271,'01_Warehouse_Ledger'!$A:$N,5,FALSE),""))</f>
      </c>
      <c r="BR271">
        <f>IF($BO271="","",IFERROR(VLOOKUP($BO271,'01_Warehouse_Ledger'!$A:$N,13,FALSE),""))</f>
      </c>
    </row>
    <row r="272">
      <c r="D272">
        <f>IF($B272&lt;&gt;"Yes","",IF($C272="No","Yes",IF($C272="Yes","No","")))</f>
      </c>
      <c r="E272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</c>
      <c r="F272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</c>
      <c r="BL272">
        <f>IF($T272="","",IF((IF(AND($AW272&lt;&gt;"Yes",$AW272&lt;&gt;"N/A"),"Power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",""))="","",LEFT(IF(AND($AW272&lt;&gt;"Yes",$AW272&lt;&gt;"N/A"),"Power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",""),LEN(IF(AND($AW272&lt;&gt;"Yes",$AW272&lt;&gt;"N/A"),"Power Cable, ","")&amp;IF(AND($AX272&lt;&gt;"Yes",$AX272&lt;&gt;"N/A"),"Battery, ","")&amp;IF(AND($BE272&lt;&gt;"Yes",$BE272&lt;&gt;"N/A"),"Firmware Download, ","")&amp;IF(AND(OR($BE272="Yes",$BE272="N/A"),$BF272&lt;&gt;"Yes",$BF272&lt;&gt;"N/A"),"Firmware Install, ","")&amp;IF(AND($BJ272&lt;&gt;"Yes",$BJ272&lt;&gt;"N/A"),"Device ID, ","")&amp;IF(AND($BK272&lt;&gt;"Yes",$BK272&lt;&gt;"N/A"),"Epic Beans Relay, ",""))-2)))</f>
      </c>
      <c r="BM272">
        <f>IF($T272="","",IF($BL272="","Yes","Blocked"))</f>
      </c>
      <c r="BP272">
        <f>IF($BO272="","",IFERROR(VLOOKUP($BO272,'01_Warehouse_Ledger'!$A:$N,4,FALSE),""))</f>
      </c>
      <c r="BQ272">
        <f>IF($BO272="","",IFERROR(VLOOKUP($BO272,'01_Warehouse_Ledger'!$A:$N,5,FALSE),""))</f>
      </c>
      <c r="BR272">
        <f>IF($BO272="","",IFERROR(VLOOKUP($BO272,'01_Warehouse_Ledger'!$A:$N,13,FALSE),""))</f>
      </c>
    </row>
    <row r="273">
      <c r="D273">
        <f>IF($B273&lt;&gt;"Yes","",IF($C273="No","Yes",IF($C273="Yes","No","")))</f>
      </c>
      <c r="E273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</c>
      <c r="F273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</c>
      <c r="BL273">
        <f>IF($T273="","",IF((IF(AND($AW273&lt;&gt;"Yes",$AW273&lt;&gt;"N/A"),"Power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",""))="","",LEFT(IF(AND($AW273&lt;&gt;"Yes",$AW273&lt;&gt;"N/A"),"Power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",""),LEN(IF(AND($AW273&lt;&gt;"Yes",$AW273&lt;&gt;"N/A"),"Power Cable, ","")&amp;IF(AND($AX273&lt;&gt;"Yes",$AX273&lt;&gt;"N/A"),"Battery, ","")&amp;IF(AND($BE273&lt;&gt;"Yes",$BE273&lt;&gt;"N/A"),"Firmware Download, ","")&amp;IF(AND(OR($BE273="Yes",$BE273="N/A"),$BF273&lt;&gt;"Yes",$BF273&lt;&gt;"N/A"),"Firmware Install, ","")&amp;IF(AND($BJ273&lt;&gt;"Yes",$BJ273&lt;&gt;"N/A"),"Device ID, ","")&amp;IF(AND($BK273&lt;&gt;"Yes",$BK273&lt;&gt;"N/A"),"Epic Beans Relay, ",""))-2)))</f>
      </c>
      <c r="BM273">
        <f>IF($T273="","",IF($BL273="","Yes","Blocked"))</f>
      </c>
      <c r="BP273">
        <f>IF($BO273="","",IFERROR(VLOOKUP($BO273,'01_Warehouse_Ledger'!$A:$N,4,FALSE),""))</f>
      </c>
      <c r="BQ273">
        <f>IF($BO273="","",IFERROR(VLOOKUP($BO273,'01_Warehouse_Ledger'!$A:$N,5,FALSE),""))</f>
      </c>
      <c r="BR273">
        <f>IF($BO273="","",IFERROR(VLOOKUP($BO273,'01_Warehouse_Ledger'!$A:$N,13,FALSE),""))</f>
      </c>
    </row>
    <row r="274">
      <c r="D274">
        <f>IF($B274&lt;&gt;"Yes","",IF($C274="No","Yes",IF($C274="Yes","No","")))</f>
      </c>
      <c r="E274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</c>
      <c r="F274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</c>
      <c r="BL274">
        <f>IF($T274="","",IF((IF(AND($AW274&lt;&gt;"Yes",$AW274&lt;&gt;"N/A"),"Power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",""))="","",LEFT(IF(AND($AW274&lt;&gt;"Yes",$AW274&lt;&gt;"N/A"),"Power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",""),LEN(IF(AND($AW274&lt;&gt;"Yes",$AW274&lt;&gt;"N/A"),"Power Cable, ","")&amp;IF(AND($AX274&lt;&gt;"Yes",$AX274&lt;&gt;"N/A"),"Battery, ","")&amp;IF(AND($BE274&lt;&gt;"Yes",$BE274&lt;&gt;"N/A"),"Firmware Download, ","")&amp;IF(AND(OR($BE274="Yes",$BE274="N/A"),$BF274&lt;&gt;"Yes",$BF274&lt;&gt;"N/A"),"Firmware Install, ","")&amp;IF(AND($BJ274&lt;&gt;"Yes",$BJ274&lt;&gt;"N/A"),"Device ID, ","")&amp;IF(AND($BK274&lt;&gt;"Yes",$BK274&lt;&gt;"N/A"),"Epic Beans Relay, ",""))-2)))</f>
      </c>
      <c r="BM274">
        <f>IF($T274="","",IF($BL274="","Yes","Blocked"))</f>
      </c>
      <c r="BP274">
        <f>IF($BO274="","",IFERROR(VLOOKUP($BO274,'01_Warehouse_Ledger'!$A:$N,4,FALSE),""))</f>
      </c>
      <c r="BQ274">
        <f>IF($BO274="","",IFERROR(VLOOKUP($BO274,'01_Warehouse_Ledger'!$A:$N,5,FALSE),""))</f>
      </c>
      <c r="BR274">
        <f>IF($BO274="","",IFERROR(VLOOKUP($BO274,'01_Warehouse_Ledger'!$A:$N,13,FALSE),""))</f>
      </c>
    </row>
    <row r="275">
      <c r="D275">
        <f>IF($B275&lt;&gt;"Yes","",IF($C275="No","Yes",IF($C275="Yes","No","")))</f>
      </c>
      <c r="E275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</c>
      <c r="F275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</c>
      <c r="BL275">
        <f>IF($T275="","",IF((IF(AND($AW275&lt;&gt;"Yes",$AW275&lt;&gt;"N/A"),"Power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",""))="","",LEFT(IF(AND($AW275&lt;&gt;"Yes",$AW275&lt;&gt;"N/A"),"Power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",""),LEN(IF(AND($AW275&lt;&gt;"Yes",$AW275&lt;&gt;"N/A"),"Power Cable, ","")&amp;IF(AND($AX275&lt;&gt;"Yes",$AX275&lt;&gt;"N/A"),"Battery, ","")&amp;IF(AND($BE275&lt;&gt;"Yes",$BE275&lt;&gt;"N/A"),"Firmware Download, ","")&amp;IF(AND(OR($BE275="Yes",$BE275="N/A"),$BF275&lt;&gt;"Yes",$BF275&lt;&gt;"N/A"),"Firmware Install, ","")&amp;IF(AND($BJ275&lt;&gt;"Yes",$BJ275&lt;&gt;"N/A"),"Device ID, ","")&amp;IF(AND($BK275&lt;&gt;"Yes",$BK275&lt;&gt;"N/A"),"Epic Beans Relay, ",""))-2)))</f>
      </c>
      <c r="BM275">
        <f>IF($T275="","",IF($BL275="","Yes","Blocked"))</f>
      </c>
      <c r="BP275">
        <f>IF($BO275="","",IFERROR(VLOOKUP($BO275,'01_Warehouse_Ledger'!$A:$N,4,FALSE),""))</f>
      </c>
      <c r="BQ275">
        <f>IF($BO275="","",IFERROR(VLOOKUP($BO275,'01_Warehouse_Ledger'!$A:$N,5,FALSE),""))</f>
      </c>
      <c r="BR275">
        <f>IF($BO275="","",IFERROR(VLOOKUP($BO275,'01_Warehouse_Ledger'!$A:$N,13,FALSE),""))</f>
      </c>
    </row>
    <row r="276">
      <c r="D276">
        <f>IF($B276&lt;&gt;"Yes","",IF($C276="No","Yes",IF($C276="Yes","No","")))</f>
      </c>
      <c r="E276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</c>
      <c r="F276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</c>
      <c r="BL276">
        <f>IF($T276="","",IF((IF(AND($AW276&lt;&gt;"Yes",$AW276&lt;&gt;"N/A"),"Power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",""))="","",LEFT(IF(AND($AW276&lt;&gt;"Yes",$AW276&lt;&gt;"N/A"),"Power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",""),LEN(IF(AND($AW276&lt;&gt;"Yes",$AW276&lt;&gt;"N/A"),"Power Cable, ","")&amp;IF(AND($AX276&lt;&gt;"Yes",$AX276&lt;&gt;"N/A"),"Battery, ","")&amp;IF(AND($BE276&lt;&gt;"Yes",$BE276&lt;&gt;"N/A"),"Firmware Download, ","")&amp;IF(AND(OR($BE276="Yes",$BE276="N/A"),$BF276&lt;&gt;"Yes",$BF276&lt;&gt;"N/A"),"Firmware Install, ","")&amp;IF(AND($BJ276&lt;&gt;"Yes",$BJ276&lt;&gt;"N/A"),"Device ID, ","")&amp;IF(AND($BK276&lt;&gt;"Yes",$BK276&lt;&gt;"N/A"),"Epic Beans Relay, ",""))-2)))</f>
      </c>
      <c r="BM276">
        <f>IF($T276="","",IF($BL276="","Yes","Blocked"))</f>
      </c>
      <c r="BP276">
        <f>IF($BO276="","",IFERROR(VLOOKUP($BO276,'01_Warehouse_Ledger'!$A:$N,4,FALSE),""))</f>
      </c>
      <c r="BQ276">
        <f>IF($BO276="","",IFERROR(VLOOKUP($BO276,'01_Warehouse_Ledger'!$A:$N,5,FALSE),""))</f>
      </c>
      <c r="BR276">
        <f>IF($BO276="","",IFERROR(VLOOKUP($BO276,'01_Warehouse_Ledger'!$A:$N,13,FALSE),""))</f>
      </c>
    </row>
    <row r="277">
      <c r="D277">
        <f>IF($B277&lt;&gt;"Yes","",IF($C277="No","Yes",IF($C277="Yes","No","")))</f>
      </c>
      <c r="E277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</c>
      <c r="F277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</c>
      <c r="BL277">
        <f>IF($T277="","",IF((IF(AND($AW277&lt;&gt;"Yes",$AW277&lt;&gt;"N/A"),"Power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",""))="","",LEFT(IF(AND($AW277&lt;&gt;"Yes",$AW277&lt;&gt;"N/A"),"Power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",""),LEN(IF(AND($AW277&lt;&gt;"Yes",$AW277&lt;&gt;"N/A"),"Power Cable, ","")&amp;IF(AND($AX277&lt;&gt;"Yes",$AX277&lt;&gt;"N/A"),"Battery, ","")&amp;IF(AND($BE277&lt;&gt;"Yes",$BE277&lt;&gt;"N/A"),"Firmware Download, ","")&amp;IF(AND(OR($BE277="Yes",$BE277="N/A"),$BF277&lt;&gt;"Yes",$BF277&lt;&gt;"N/A"),"Firmware Install, ","")&amp;IF(AND($BJ277&lt;&gt;"Yes",$BJ277&lt;&gt;"N/A"),"Device ID, ","")&amp;IF(AND($BK277&lt;&gt;"Yes",$BK277&lt;&gt;"N/A"),"Epic Beans Relay, ",""))-2)))</f>
      </c>
      <c r="BM277">
        <f>IF($T277="","",IF($BL277="","Yes","Blocked"))</f>
      </c>
      <c r="BP277">
        <f>IF($BO277="","",IFERROR(VLOOKUP($BO277,'01_Warehouse_Ledger'!$A:$N,4,FALSE),""))</f>
      </c>
      <c r="BQ277">
        <f>IF($BO277="","",IFERROR(VLOOKUP($BO277,'01_Warehouse_Ledger'!$A:$N,5,FALSE),""))</f>
      </c>
      <c r="BR277">
        <f>IF($BO277="","",IFERROR(VLOOKUP($BO277,'01_Warehouse_Ledger'!$A:$N,13,FALSE),""))</f>
      </c>
    </row>
    <row r="278">
      <c r="D278">
        <f>IF($B278&lt;&gt;"Yes","",IF($C278="No","Yes",IF($C278="Yes","No","")))</f>
      </c>
      <c r="E278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</c>
      <c r="F278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</c>
      <c r="BL278">
        <f>IF($T278="","",IF((IF(AND($AW278&lt;&gt;"Yes",$AW278&lt;&gt;"N/A"),"Power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",""))="","",LEFT(IF(AND($AW278&lt;&gt;"Yes",$AW278&lt;&gt;"N/A"),"Power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",""),LEN(IF(AND($AW278&lt;&gt;"Yes",$AW278&lt;&gt;"N/A"),"Power Cable, ","")&amp;IF(AND($AX278&lt;&gt;"Yes",$AX278&lt;&gt;"N/A"),"Battery, ","")&amp;IF(AND($BE278&lt;&gt;"Yes",$BE278&lt;&gt;"N/A"),"Firmware Download, ","")&amp;IF(AND(OR($BE278="Yes",$BE278="N/A"),$BF278&lt;&gt;"Yes",$BF278&lt;&gt;"N/A"),"Firmware Install, ","")&amp;IF(AND($BJ278&lt;&gt;"Yes",$BJ278&lt;&gt;"N/A"),"Device ID, ","")&amp;IF(AND($BK278&lt;&gt;"Yes",$BK278&lt;&gt;"N/A"),"Epic Beans Relay, ",""))-2)))</f>
      </c>
      <c r="BM278">
        <f>IF($T278="","",IF($BL278="","Yes","Blocked"))</f>
      </c>
      <c r="BP278">
        <f>IF($BO278="","",IFERROR(VLOOKUP($BO278,'01_Warehouse_Ledger'!$A:$N,4,FALSE),""))</f>
      </c>
      <c r="BQ278">
        <f>IF($BO278="","",IFERROR(VLOOKUP($BO278,'01_Warehouse_Ledger'!$A:$N,5,FALSE),""))</f>
      </c>
      <c r="BR278">
        <f>IF($BO278="","",IFERROR(VLOOKUP($BO278,'01_Warehouse_Ledger'!$A:$N,13,FALSE),""))</f>
      </c>
    </row>
    <row r="279">
      <c r="D279">
        <f>IF($B279&lt;&gt;"Yes","",IF($C279="No","Yes",IF($C279="Yes","No","")))</f>
      </c>
      <c r="E279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</c>
      <c r="F279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</c>
      <c r="BL279">
        <f>IF($T279="","",IF((IF(AND($AW279&lt;&gt;"Yes",$AW279&lt;&gt;"N/A"),"Power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",""))="","",LEFT(IF(AND($AW279&lt;&gt;"Yes",$AW279&lt;&gt;"N/A"),"Power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",""),LEN(IF(AND($AW279&lt;&gt;"Yes",$AW279&lt;&gt;"N/A"),"Power Cable, ","")&amp;IF(AND($AX279&lt;&gt;"Yes",$AX279&lt;&gt;"N/A"),"Battery, ","")&amp;IF(AND($BE279&lt;&gt;"Yes",$BE279&lt;&gt;"N/A"),"Firmware Download, ","")&amp;IF(AND(OR($BE279="Yes",$BE279="N/A"),$BF279&lt;&gt;"Yes",$BF279&lt;&gt;"N/A"),"Firmware Install, ","")&amp;IF(AND($BJ279&lt;&gt;"Yes",$BJ279&lt;&gt;"N/A"),"Device ID, ","")&amp;IF(AND($BK279&lt;&gt;"Yes",$BK279&lt;&gt;"N/A"),"Epic Beans Relay, ",""))-2)))</f>
      </c>
      <c r="BM279">
        <f>IF($T279="","",IF($BL279="","Yes","Blocked"))</f>
      </c>
      <c r="BP279">
        <f>IF($BO279="","",IFERROR(VLOOKUP($BO279,'01_Warehouse_Ledger'!$A:$N,4,FALSE),""))</f>
      </c>
      <c r="BQ279">
        <f>IF($BO279="","",IFERROR(VLOOKUP($BO279,'01_Warehouse_Ledger'!$A:$N,5,FALSE),""))</f>
      </c>
      <c r="BR279">
        <f>IF($BO279="","",IFERROR(VLOOKUP($BO279,'01_Warehouse_Ledger'!$A:$N,13,FALSE),""))</f>
      </c>
    </row>
    <row r="280">
      <c r="D280">
        <f>IF($B280&lt;&gt;"Yes","",IF($C280="No","Yes",IF($C280="Yes","No","")))</f>
      </c>
      <c r="E280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</c>
      <c r="F280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</c>
      <c r="BL280">
        <f>IF($T280="","",IF((IF(AND($AW280&lt;&gt;"Yes",$AW280&lt;&gt;"N/A"),"Power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",""))="","",LEFT(IF(AND($AW280&lt;&gt;"Yes",$AW280&lt;&gt;"N/A"),"Power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",""),LEN(IF(AND($AW280&lt;&gt;"Yes",$AW280&lt;&gt;"N/A"),"Power Cable, ","")&amp;IF(AND($AX280&lt;&gt;"Yes",$AX280&lt;&gt;"N/A"),"Battery, ","")&amp;IF(AND($BE280&lt;&gt;"Yes",$BE280&lt;&gt;"N/A"),"Firmware Download, ","")&amp;IF(AND(OR($BE280="Yes",$BE280="N/A"),$BF280&lt;&gt;"Yes",$BF280&lt;&gt;"N/A"),"Firmware Install, ","")&amp;IF(AND($BJ280&lt;&gt;"Yes",$BJ280&lt;&gt;"N/A"),"Device ID, ","")&amp;IF(AND($BK280&lt;&gt;"Yes",$BK280&lt;&gt;"N/A"),"Epic Beans Relay, ",""))-2)))</f>
      </c>
      <c r="BM280">
        <f>IF($T280="","",IF($BL280="","Yes","Blocked"))</f>
      </c>
      <c r="BP280">
        <f>IF($BO280="","",IFERROR(VLOOKUP($BO280,'01_Warehouse_Ledger'!$A:$N,4,FALSE),""))</f>
      </c>
      <c r="BQ280">
        <f>IF($BO280="","",IFERROR(VLOOKUP($BO280,'01_Warehouse_Ledger'!$A:$N,5,FALSE),""))</f>
      </c>
      <c r="BR280">
        <f>IF($BO280="","",IFERROR(VLOOKUP($BO280,'01_Warehouse_Ledger'!$A:$N,13,FALSE),""))</f>
      </c>
    </row>
    <row r="281">
      <c r="D281">
        <f>IF($B281&lt;&gt;"Yes","",IF($C281="No","Yes",IF($C281="Yes","No","")))</f>
      </c>
      <c r="E281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</c>
      <c r="F281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</c>
      <c r="BL281">
        <f>IF($T281="","",IF((IF(AND($AW281&lt;&gt;"Yes",$AW281&lt;&gt;"N/A"),"Power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",""))="","",LEFT(IF(AND($AW281&lt;&gt;"Yes",$AW281&lt;&gt;"N/A"),"Power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",""),LEN(IF(AND($AW281&lt;&gt;"Yes",$AW281&lt;&gt;"N/A"),"Power Cable, ","")&amp;IF(AND($AX281&lt;&gt;"Yes",$AX281&lt;&gt;"N/A"),"Battery, ","")&amp;IF(AND($BE281&lt;&gt;"Yes",$BE281&lt;&gt;"N/A"),"Firmware Download, ","")&amp;IF(AND(OR($BE281="Yes",$BE281="N/A"),$BF281&lt;&gt;"Yes",$BF281&lt;&gt;"N/A"),"Firmware Install, ","")&amp;IF(AND($BJ281&lt;&gt;"Yes",$BJ281&lt;&gt;"N/A"),"Device ID, ","")&amp;IF(AND($BK281&lt;&gt;"Yes",$BK281&lt;&gt;"N/A"),"Epic Beans Relay, ",""))-2)))</f>
      </c>
      <c r="BM281">
        <f>IF($T281="","",IF($BL281="","Yes","Blocked"))</f>
      </c>
      <c r="BP281">
        <f>IF($BO281="","",IFERROR(VLOOKUP($BO281,'01_Warehouse_Ledger'!$A:$N,4,FALSE),""))</f>
      </c>
      <c r="BQ281">
        <f>IF($BO281="","",IFERROR(VLOOKUP($BO281,'01_Warehouse_Ledger'!$A:$N,5,FALSE),""))</f>
      </c>
      <c r="BR281">
        <f>IF($BO281="","",IFERROR(VLOOKUP($BO281,'01_Warehouse_Ledger'!$A:$N,13,FALSE),""))</f>
      </c>
    </row>
    <row r="282">
      <c r="D282">
        <f>IF($B282&lt;&gt;"Yes","",IF($C282="No","Yes",IF($C282="Yes","No","")))</f>
      </c>
      <c r="E282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</c>
      <c r="F282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</c>
      <c r="BL282">
        <f>IF($T282="","",IF((IF(AND($AW282&lt;&gt;"Yes",$AW282&lt;&gt;"N/A"),"Power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",""))="","",LEFT(IF(AND($AW282&lt;&gt;"Yes",$AW282&lt;&gt;"N/A"),"Power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",""),LEN(IF(AND($AW282&lt;&gt;"Yes",$AW282&lt;&gt;"N/A"),"Power Cable, ","")&amp;IF(AND($AX282&lt;&gt;"Yes",$AX282&lt;&gt;"N/A"),"Battery, ","")&amp;IF(AND($BE282&lt;&gt;"Yes",$BE282&lt;&gt;"N/A"),"Firmware Download, ","")&amp;IF(AND(OR($BE282="Yes",$BE282="N/A"),$BF282&lt;&gt;"Yes",$BF282&lt;&gt;"N/A"),"Firmware Install, ","")&amp;IF(AND($BJ282&lt;&gt;"Yes",$BJ282&lt;&gt;"N/A"),"Device ID, ","")&amp;IF(AND($BK282&lt;&gt;"Yes",$BK282&lt;&gt;"N/A"),"Epic Beans Relay, ",""))-2)))</f>
      </c>
      <c r="BM282">
        <f>IF($T282="","",IF($BL282="","Yes","Blocked"))</f>
      </c>
      <c r="BP282">
        <f>IF($BO282="","",IFERROR(VLOOKUP($BO282,'01_Warehouse_Ledger'!$A:$N,4,FALSE),""))</f>
      </c>
      <c r="BQ282">
        <f>IF($BO282="","",IFERROR(VLOOKUP($BO282,'01_Warehouse_Ledger'!$A:$N,5,FALSE),""))</f>
      </c>
      <c r="BR282">
        <f>IF($BO282="","",IFERROR(VLOOKUP($BO282,'01_Warehouse_Ledger'!$A:$N,13,FALSE),""))</f>
      </c>
    </row>
    <row r="283">
      <c r="D283">
        <f>IF($B283&lt;&gt;"Yes","",IF($C283="No","Yes",IF($C283="Yes","No","")))</f>
      </c>
      <c r="E283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</c>
      <c r="F283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</c>
      <c r="BL283">
        <f>IF($T283="","",IF((IF(AND($AW283&lt;&gt;"Yes",$AW283&lt;&gt;"N/A"),"Power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",""))="","",LEFT(IF(AND($AW283&lt;&gt;"Yes",$AW283&lt;&gt;"N/A"),"Power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",""),LEN(IF(AND($AW283&lt;&gt;"Yes",$AW283&lt;&gt;"N/A"),"Power Cable, ","")&amp;IF(AND($AX283&lt;&gt;"Yes",$AX283&lt;&gt;"N/A"),"Battery, ","")&amp;IF(AND($BE283&lt;&gt;"Yes",$BE283&lt;&gt;"N/A"),"Firmware Download, ","")&amp;IF(AND(OR($BE283="Yes",$BE283="N/A"),$BF283&lt;&gt;"Yes",$BF283&lt;&gt;"N/A"),"Firmware Install, ","")&amp;IF(AND($BJ283&lt;&gt;"Yes",$BJ283&lt;&gt;"N/A"),"Device ID, ","")&amp;IF(AND($BK283&lt;&gt;"Yes",$BK283&lt;&gt;"N/A"),"Epic Beans Relay, ",""))-2)))</f>
      </c>
      <c r="BM283">
        <f>IF($T283="","",IF($BL283="","Yes","Blocked"))</f>
      </c>
      <c r="BP283">
        <f>IF($BO283="","",IFERROR(VLOOKUP($BO283,'01_Warehouse_Ledger'!$A:$N,4,FALSE),""))</f>
      </c>
      <c r="BQ283">
        <f>IF($BO283="","",IFERROR(VLOOKUP($BO283,'01_Warehouse_Ledger'!$A:$N,5,FALSE),""))</f>
      </c>
      <c r="BR283">
        <f>IF($BO283="","",IFERROR(VLOOKUP($BO283,'01_Warehouse_Ledger'!$A:$N,13,FALSE),""))</f>
      </c>
    </row>
    <row r="284">
      <c r="D284">
        <f>IF($B284&lt;&gt;"Yes","",IF($C284="No","Yes",IF($C284="Yes","No","")))</f>
      </c>
      <c r="E284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</c>
      <c r="F284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</c>
      <c r="BL284">
        <f>IF($T284="","",IF((IF(AND($AW284&lt;&gt;"Yes",$AW284&lt;&gt;"N/A"),"Power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",""))="","",LEFT(IF(AND($AW284&lt;&gt;"Yes",$AW284&lt;&gt;"N/A"),"Power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",""),LEN(IF(AND($AW284&lt;&gt;"Yes",$AW284&lt;&gt;"N/A"),"Power Cable, ","")&amp;IF(AND($AX284&lt;&gt;"Yes",$AX284&lt;&gt;"N/A"),"Battery, ","")&amp;IF(AND($BE284&lt;&gt;"Yes",$BE284&lt;&gt;"N/A"),"Firmware Download, ","")&amp;IF(AND(OR($BE284="Yes",$BE284="N/A"),$BF284&lt;&gt;"Yes",$BF284&lt;&gt;"N/A"),"Firmware Install, ","")&amp;IF(AND($BJ284&lt;&gt;"Yes",$BJ284&lt;&gt;"N/A"),"Device ID, ","")&amp;IF(AND($BK284&lt;&gt;"Yes",$BK284&lt;&gt;"N/A"),"Epic Beans Relay, ",""))-2)))</f>
      </c>
      <c r="BM284">
        <f>IF($T284="","",IF($BL284="","Yes","Blocked"))</f>
      </c>
      <c r="BP284">
        <f>IF($BO284="","",IFERROR(VLOOKUP($BO284,'01_Warehouse_Ledger'!$A:$N,4,FALSE),""))</f>
      </c>
      <c r="BQ284">
        <f>IF($BO284="","",IFERROR(VLOOKUP($BO284,'01_Warehouse_Ledger'!$A:$N,5,FALSE),""))</f>
      </c>
      <c r="BR284">
        <f>IF($BO284="","",IFERROR(VLOOKUP($BO284,'01_Warehouse_Ledger'!$A:$N,13,FALSE),""))</f>
      </c>
    </row>
    <row r="285">
      <c r="D285">
        <f>IF($B285&lt;&gt;"Yes","",IF($C285="No","Yes",IF($C285="Yes","No","")))</f>
      </c>
      <c r="E285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</c>
      <c r="F285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</c>
      <c r="BL285">
        <f>IF($T285="","",IF((IF(AND($AW285&lt;&gt;"Yes",$AW285&lt;&gt;"N/A"),"Power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",""))="","",LEFT(IF(AND($AW285&lt;&gt;"Yes",$AW285&lt;&gt;"N/A"),"Power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",""),LEN(IF(AND($AW285&lt;&gt;"Yes",$AW285&lt;&gt;"N/A"),"Power Cable, ","")&amp;IF(AND($AX285&lt;&gt;"Yes",$AX285&lt;&gt;"N/A"),"Battery, ","")&amp;IF(AND($BE285&lt;&gt;"Yes",$BE285&lt;&gt;"N/A"),"Firmware Download, ","")&amp;IF(AND(OR($BE285="Yes",$BE285="N/A"),$BF285&lt;&gt;"Yes",$BF285&lt;&gt;"N/A"),"Firmware Install, ","")&amp;IF(AND($BJ285&lt;&gt;"Yes",$BJ285&lt;&gt;"N/A"),"Device ID, ","")&amp;IF(AND($BK285&lt;&gt;"Yes",$BK285&lt;&gt;"N/A"),"Epic Beans Relay, ",""))-2)))</f>
      </c>
      <c r="BM285">
        <f>IF($T285="","",IF($BL285="","Yes","Blocked"))</f>
      </c>
      <c r="BP285">
        <f>IF($BO285="","",IFERROR(VLOOKUP($BO285,'01_Warehouse_Ledger'!$A:$N,4,FALSE),""))</f>
      </c>
      <c r="BQ285">
        <f>IF($BO285="","",IFERROR(VLOOKUP($BO285,'01_Warehouse_Ledger'!$A:$N,5,FALSE),""))</f>
      </c>
      <c r="BR285">
        <f>IF($BO285="","",IFERROR(VLOOKUP($BO285,'01_Warehouse_Ledger'!$A:$N,13,FALSE),""))</f>
      </c>
    </row>
    <row r="286">
      <c r="D286">
        <f>IF($B286&lt;&gt;"Yes","",IF($C286="No","Yes",IF($C286="Yes","No","")))</f>
      </c>
      <c r="E286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</c>
      <c r="F286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</c>
      <c r="BL286">
        <f>IF($T286="","",IF((IF(AND($AW286&lt;&gt;"Yes",$AW286&lt;&gt;"N/A"),"Power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",""))="","",LEFT(IF(AND($AW286&lt;&gt;"Yes",$AW286&lt;&gt;"N/A"),"Power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",""),LEN(IF(AND($AW286&lt;&gt;"Yes",$AW286&lt;&gt;"N/A"),"Power Cable, ","")&amp;IF(AND($AX286&lt;&gt;"Yes",$AX286&lt;&gt;"N/A"),"Battery, ","")&amp;IF(AND($BE286&lt;&gt;"Yes",$BE286&lt;&gt;"N/A"),"Firmware Download, ","")&amp;IF(AND(OR($BE286="Yes",$BE286="N/A"),$BF286&lt;&gt;"Yes",$BF286&lt;&gt;"N/A"),"Firmware Install, ","")&amp;IF(AND($BJ286&lt;&gt;"Yes",$BJ286&lt;&gt;"N/A"),"Device ID, ","")&amp;IF(AND($BK286&lt;&gt;"Yes",$BK286&lt;&gt;"N/A"),"Epic Beans Relay, ",""))-2)))</f>
      </c>
      <c r="BM286">
        <f>IF($T286="","",IF($BL286="","Yes","Blocked"))</f>
      </c>
      <c r="BP286">
        <f>IF($BO286="","",IFERROR(VLOOKUP($BO286,'01_Warehouse_Ledger'!$A:$N,4,FALSE),""))</f>
      </c>
      <c r="BQ286">
        <f>IF($BO286="","",IFERROR(VLOOKUP($BO286,'01_Warehouse_Ledger'!$A:$N,5,FALSE),""))</f>
      </c>
      <c r="BR286">
        <f>IF($BO286="","",IFERROR(VLOOKUP($BO286,'01_Warehouse_Ledger'!$A:$N,13,FALSE),""))</f>
      </c>
    </row>
    <row r="287">
      <c r="D287">
        <f>IF($B287&lt;&gt;"Yes","",IF($C287="No","Yes",IF($C287="Yes","No","")))</f>
      </c>
      <c r="E287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</c>
      <c r="F287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</c>
      <c r="BL287">
        <f>IF($T287="","",IF((IF(AND($AW287&lt;&gt;"Yes",$AW287&lt;&gt;"N/A"),"Power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",""))="","",LEFT(IF(AND($AW287&lt;&gt;"Yes",$AW287&lt;&gt;"N/A"),"Power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",""),LEN(IF(AND($AW287&lt;&gt;"Yes",$AW287&lt;&gt;"N/A"),"Power Cable, ","")&amp;IF(AND($AX287&lt;&gt;"Yes",$AX287&lt;&gt;"N/A"),"Battery, ","")&amp;IF(AND($BE287&lt;&gt;"Yes",$BE287&lt;&gt;"N/A"),"Firmware Download, ","")&amp;IF(AND(OR($BE287="Yes",$BE287="N/A"),$BF287&lt;&gt;"Yes",$BF287&lt;&gt;"N/A"),"Firmware Install, ","")&amp;IF(AND($BJ287&lt;&gt;"Yes",$BJ287&lt;&gt;"N/A"),"Device ID, ","")&amp;IF(AND($BK287&lt;&gt;"Yes",$BK287&lt;&gt;"N/A"),"Epic Beans Relay, ",""))-2)))</f>
      </c>
      <c r="BM287">
        <f>IF($T287="","",IF($BL287="","Yes","Blocked"))</f>
      </c>
      <c r="BP287">
        <f>IF($BO287="","",IFERROR(VLOOKUP($BO287,'01_Warehouse_Ledger'!$A:$N,4,FALSE),""))</f>
      </c>
      <c r="BQ287">
        <f>IF($BO287="","",IFERROR(VLOOKUP($BO287,'01_Warehouse_Ledger'!$A:$N,5,FALSE),""))</f>
      </c>
      <c r="BR287">
        <f>IF($BO287="","",IFERROR(VLOOKUP($BO287,'01_Warehouse_Ledger'!$A:$N,13,FALSE),""))</f>
      </c>
    </row>
    <row r="288">
      <c r="D288">
        <f>IF($B288&lt;&gt;"Yes","",IF($C288="No","Yes",IF($C288="Yes","No","")))</f>
      </c>
      <c r="E288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</c>
      <c r="F288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</c>
      <c r="BL288">
        <f>IF($T288="","",IF((IF(AND($AW288&lt;&gt;"Yes",$AW288&lt;&gt;"N/A"),"Power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",""))="","",LEFT(IF(AND($AW288&lt;&gt;"Yes",$AW288&lt;&gt;"N/A"),"Power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",""),LEN(IF(AND($AW288&lt;&gt;"Yes",$AW288&lt;&gt;"N/A"),"Power Cable, ","")&amp;IF(AND($AX288&lt;&gt;"Yes",$AX288&lt;&gt;"N/A"),"Battery, ","")&amp;IF(AND($BE288&lt;&gt;"Yes",$BE288&lt;&gt;"N/A"),"Firmware Download, ","")&amp;IF(AND(OR($BE288="Yes",$BE288="N/A"),$BF288&lt;&gt;"Yes",$BF288&lt;&gt;"N/A"),"Firmware Install, ","")&amp;IF(AND($BJ288&lt;&gt;"Yes",$BJ288&lt;&gt;"N/A"),"Device ID, ","")&amp;IF(AND($BK288&lt;&gt;"Yes",$BK288&lt;&gt;"N/A"),"Epic Beans Relay, ",""))-2)))</f>
      </c>
      <c r="BM288">
        <f>IF($T288="","",IF($BL288="","Yes","Blocked"))</f>
      </c>
      <c r="BP288">
        <f>IF($BO288="","",IFERROR(VLOOKUP($BO288,'01_Warehouse_Ledger'!$A:$N,4,FALSE),""))</f>
      </c>
      <c r="BQ288">
        <f>IF($BO288="","",IFERROR(VLOOKUP($BO288,'01_Warehouse_Ledger'!$A:$N,5,FALSE),""))</f>
      </c>
      <c r="BR288">
        <f>IF($BO288="","",IFERROR(VLOOKUP($BO288,'01_Warehouse_Ledger'!$A:$N,13,FALSE),""))</f>
      </c>
    </row>
    <row r="289">
      <c r="D289">
        <f>IF($B289&lt;&gt;"Yes","",IF($C289="No","Yes",IF($C289="Yes","No","")))</f>
      </c>
      <c r="E289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</c>
      <c r="F289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</c>
      <c r="BL289">
        <f>IF($T289="","",IF((IF(AND($AW289&lt;&gt;"Yes",$AW289&lt;&gt;"N/A"),"Power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",""))="","",LEFT(IF(AND($AW289&lt;&gt;"Yes",$AW289&lt;&gt;"N/A"),"Power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",""),LEN(IF(AND($AW289&lt;&gt;"Yes",$AW289&lt;&gt;"N/A"),"Power Cable, ","")&amp;IF(AND($AX289&lt;&gt;"Yes",$AX289&lt;&gt;"N/A"),"Battery, ","")&amp;IF(AND($BE289&lt;&gt;"Yes",$BE289&lt;&gt;"N/A"),"Firmware Download, ","")&amp;IF(AND(OR($BE289="Yes",$BE289="N/A"),$BF289&lt;&gt;"Yes",$BF289&lt;&gt;"N/A"),"Firmware Install, ","")&amp;IF(AND($BJ289&lt;&gt;"Yes",$BJ289&lt;&gt;"N/A"),"Device ID, ","")&amp;IF(AND($BK289&lt;&gt;"Yes",$BK289&lt;&gt;"N/A"),"Epic Beans Relay, ",""))-2)))</f>
      </c>
      <c r="BM289">
        <f>IF($T289="","",IF($BL289="","Yes","Blocked"))</f>
      </c>
      <c r="BP289">
        <f>IF($BO289="","",IFERROR(VLOOKUP($BO289,'01_Warehouse_Ledger'!$A:$N,4,FALSE),""))</f>
      </c>
      <c r="BQ289">
        <f>IF($BO289="","",IFERROR(VLOOKUP($BO289,'01_Warehouse_Ledger'!$A:$N,5,FALSE),""))</f>
      </c>
      <c r="BR289">
        <f>IF($BO289="","",IFERROR(VLOOKUP($BO289,'01_Warehouse_Ledger'!$A:$N,13,FALSE),""))</f>
      </c>
    </row>
    <row r="290">
      <c r="D290">
        <f>IF($B290&lt;&gt;"Yes","",IF($C290="No","Yes",IF($C290="Yes","No","")))</f>
      </c>
      <c r="E290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</c>
      <c r="F290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</c>
      <c r="BL290">
        <f>IF($T290="","",IF((IF(AND($AW290&lt;&gt;"Yes",$AW290&lt;&gt;"N/A"),"Power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",""))="","",LEFT(IF(AND($AW290&lt;&gt;"Yes",$AW290&lt;&gt;"N/A"),"Power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",""),LEN(IF(AND($AW290&lt;&gt;"Yes",$AW290&lt;&gt;"N/A"),"Power Cable, ","")&amp;IF(AND($AX290&lt;&gt;"Yes",$AX290&lt;&gt;"N/A"),"Battery, ","")&amp;IF(AND($BE290&lt;&gt;"Yes",$BE290&lt;&gt;"N/A"),"Firmware Download, ","")&amp;IF(AND(OR($BE290="Yes",$BE290="N/A"),$BF290&lt;&gt;"Yes",$BF290&lt;&gt;"N/A"),"Firmware Install, ","")&amp;IF(AND($BJ290&lt;&gt;"Yes",$BJ290&lt;&gt;"N/A"),"Device ID, ","")&amp;IF(AND($BK290&lt;&gt;"Yes",$BK290&lt;&gt;"N/A"),"Epic Beans Relay, ",""))-2)))</f>
      </c>
      <c r="BM290">
        <f>IF($T290="","",IF($BL290="","Yes","Blocked"))</f>
      </c>
      <c r="BP290">
        <f>IF($BO290="","",IFERROR(VLOOKUP($BO290,'01_Warehouse_Ledger'!$A:$N,4,FALSE),""))</f>
      </c>
      <c r="BQ290">
        <f>IF($BO290="","",IFERROR(VLOOKUP($BO290,'01_Warehouse_Ledger'!$A:$N,5,FALSE),""))</f>
      </c>
      <c r="BR290">
        <f>IF($BO290="","",IFERROR(VLOOKUP($BO290,'01_Warehouse_Ledger'!$A:$N,13,FALSE),""))</f>
      </c>
    </row>
    <row r="291">
      <c r="D291">
        <f>IF($B291&lt;&gt;"Yes","",IF($C291="No","Yes",IF($C291="Yes","No","")))</f>
      </c>
      <c r="E291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</c>
      <c r="F291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</c>
      <c r="BL291">
        <f>IF($T291="","",IF((IF(AND($AW291&lt;&gt;"Yes",$AW291&lt;&gt;"N/A"),"Power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",""))="","",LEFT(IF(AND($AW291&lt;&gt;"Yes",$AW291&lt;&gt;"N/A"),"Power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",""),LEN(IF(AND($AW291&lt;&gt;"Yes",$AW291&lt;&gt;"N/A"),"Power Cable, ","")&amp;IF(AND($AX291&lt;&gt;"Yes",$AX291&lt;&gt;"N/A"),"Battery, ","")&amp;IF(AND($BE291&lt;&gt;"Yes",$BE291&lt;&gt;"N/A"),"Firmware Download, ","")&amp;IF(AND(OR($BE291="Yes",$BE291="N/A"),$BF291&lt;&gt;"Yes",$BF291&lt;&gt;"N/A"),"Firmware Install, ","")&amp;IF(AND($BJ291&lt;&gt;"Yes",$BJ291&lt;&gt;"N/A"),"Device ID, ","")&amp;IF(AND($BK291&lt;&gt;"Yes",$BK291&lt;&gt;"N/A"),"Epic Beans Relay, ",""))-2)))</f>
      </c>
      <c r="BM291">
        <f>IF($T291="","",IF($BL291="","Yes","Blocked"))</f>
      </c>
      <c r="BP291">
        <f>IF($BO291="","",IFERROR(VLOOKUP($BO291,'01_Warehouse_Ledger'!$A:$N,4,FALSE),""))</f>
      </c>
      <c r="BQ291">
        <f>IF($BO291="","",IFERROR(VLOOKUP($BO291,'01_Warehouse_Ledger'!$A:$N,5,FALSE),""))</f>
      </c>
      <c r="BR291">
        <f>IF($BO291="","",IFERROR(VLOOKUP($BO291,'01_Warehouse_Ledger'!$A:$N,13,FALSE),""))</f>
      </c>
    </row>
    <row r="292">
      <c r="D292">
        <f>IF($B292&lt;&gt;"Yes","",IF($C292="No","Yes",IF($C292="Yes","No","")))</f>
      </c>
      <c r="E292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</c>
      <c r="F292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</c>
      <c r="BL292">
        <f>IF($T292="","",IF((IF(AND($AW292&lt;&gt;"Yes",$AW292&lt;&gt;"N/A"),"Power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",""))="","",LEFT(IF(AND($AW292&lt;&gt;"Yes",$AW292&lt;&gt;"N/A"),"Power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",""),LEN(IF(AND($AW292&lt;&gt;"Yes",$AW292&lt;&gt;"N/A"),"Power Cable, ","")&amp;IF(AND($AX292&lt;&gt;"Yes",$AX292&lt;&gt;"N/A"),"Battery, ","")&amp;IF(AND($BE292&lt;&gt;"Yes",$BE292&lt;&gt;"N/A"),"Firmware Download, ","")&amp;IF(AND(OR($BE292="Yes",$BE292="N/A"),$BF292&lt;&gt;"Yes",$BF292&lt;&gt;"N/A"),"Firmware Install, ","")&amp;IF(AND($BJ292&lt;&gt;"Yes",$BJ292&lt;&gt;"N/A"),"Device ID, ","")&amp;IF(AND($BK292&lt;&gt;"Yes",$BK292&lt;&gt;"N/A"),"Epic Beans Relay, ",""))-2)))</f>
      </c>
      <c r="BM292">
        <f>IF($T292="","",IF($BL292="","Yes","Blocked"))</f>
      </c>
      <c r="BP292">
        <f>IF($BO292="","",IFERROR(VLOOKUP($BO292,'01_Warehouse_Ledger'!$A:$N,4,FALSE),""))</f>
      </c>
      <c r="BQ292">
        <f>IF($BO292="","",IFERROR(VLOOKUP($BO292,'01_Warehouse_Ledger'!$A:$N,5,FALSE),""))</f>
      </c>
      <c r="BR292">
        <f>IF($BO292="","",IFERROR(VLOOKUP($BO292,'01_Warehouse_Ledger'!$A:$N,13,FALSE),""))</f>
      </c>
    </row>
    <row r="293">
      <c r="D293">
        <f>IF($B293&lt;&gt;"Yes","",IF($C293="No","Yes",IF($C293="Yes","No","")))</f>
      </c>
      <c r="E293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</c>
      <c r="F293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</c>
      <c r="BL293">
        <f>IF($T293="","",IF((IF(AND($AW293&lt;&gt;"Yes",$AW293&lt;&gt;"N/A"),"Power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",""))="","",LEFT(IF(AND($AW293&lt;&gt;"Yes",$AW293&lt;&gt;"N/A"),"Power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",""),LEN(IF(AND($AW293&lt;&gt;"Yes",$AW293&lt;&gt;"N/A"),"Power Cable, ","")&amp;IF(AND($AX293&lt;&gt;"Yes",$AX293&lt;&gt;"N/A"),"Battery, ","")&amp;IF(AND($BE293&lt;&gt;"Yes",$BE293&lt;&gt;"N/A"),"Firmware Download, ","")&amp;IF(AND(OR($BE293="Yes",$BE293="N/A"),$BF293&lt;&gt;"Yes",$BF293&lt;&gt;"N/A"),"Firmware Install, ","")&amp;IF(AND($BJ293&lt;&gt;"Yes",$BJ293&lt;&gt;"N/A"),"Device ID, ","")&amp;IF(AND($BK293&lt;&gt;"Yes",$BK293&lt;&gt;"N/A"),"Epic Beans Relay, ",""))-2)))</f>
      </c>
      <c r="BM293">
        <f>IF($T293="","",IF($BL293="","Yes","Blocked"))</f>
      </c>
      <c r="BP293">
        <f>IF($BO293="","",IFERROR(VLOOKUP($BO293,'01_Warehouse_Ledger'!$A:$N,4,FALSE),""))</f>
      </c>
      <c r="BQ293">
        <f>IF($BO293="","",IFERROR(VLOOKUP($BO293,'01_Warehouse_Ledger'!$A:$N,5,FALSE),""))</f>
      </c>
      <c r="BR293">
        <f>IF($BO293="","",IFERROR(VLOOKUP($BO293,'01_Warehouse_Ledger'!$A:$N,13,FALSE),""))</f>
      </c>
    </row>
    <row r="294">
      <c r="D294">
        <f>IF($B294&lt;&gt;"Yes","",IF($C294="No","Yes",IF($C294="Yes","No","")))</f>
      </c>
      <c r="E294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</c>
      <c r="F294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</c>
      <c r="BL294">
        <f>IF($T294="","",IF((IF(AND($AW294&lt;&gt;"Yes",$AW294&lt;&gt;"N/A"),"Power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",""))="","",LEFT(IF(AND($AW294&lt;&gt;"Yes",$AW294&lt;&gt;"N/A"),"Power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",""),LEN(IF(AND($AW294&lt;&gt;"Yes",$AW294&lt;&gt;"N/A"),"Power Cable, ","")&amp;IF(AND($AX294&lt;&gt;"Yes",$AX294&lt;&gt;"N/A"),"Battery, ","")&amp;IF(AND($BE294&lt;&gt;"Yes",$BE294&lt;&gt;"N/A"),"Firmware Download, ","")&amp;IF(AND(OR($BE294="Yes",$BE294="N/A"),$BF294&lt;&gt;"Yes",$BF294&lt;&gt;"N/A"),"Firmware Install, ","")&amp;IF(AND($BJ294&lt;&gt;"Yes",$BJ294&lt;&gt;"N/A"),"Device ID, ","")&amp;IF(AND($BK294&lt;&gt;"Yes",$BK294&lt;&gt;"N/A"),"Epic Beans Relay, ",""))-2)))</f>
      </c>
      <c r="BM294">
        <f>IF($T294="","",IF($BL294="","Yes","Blocked"))</f>
      </c>
      <c r="BP294">
        <f>IF($BO294="","",IFERROR(VLOOKUP($BO294,'01_Warehouse_Ledger'!$A:$N,4,FALSE),""))</f>
      </c>
      <c r="BQ294">
        <f>IF($BO294="","",IFERROR(VLOOKUP($BO294,'01_Warehouse_Ledger'!$A:$N,5,FALSE),""))</f>
      </c>
      <c r="BR294">
        <f>IF($BO294="","",IFERROR(VLOOKUP($BO294,'01_Warehouse_Ledger'!$A:$N,13,FALSE),""))</f>
      </c>
    </row>
    <row r="295">
      <c r="D295">
        <f>IF($B295&lt;&gt;"Yes","",IF($C295="No","Yes",IF($C295="Yes","No","")))</f>
      </c>
      <c r="E295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</c>
      <c r="F295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</c>
      <c r="BL295">
        <f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</c>
      <c r="BM295">
        <f>IF($T295="","",IF($BL295="","Yes","Blocked"))</f>
      </c>
      <c r="BP295">
        <f>IF($BO295="","",IFERROR(VLOOKUP($BO295,'01_Warehouse_Ledger'!$A:$N,4,FALSE),""))</f>
      </c>
      <c r="BQ295">
        <f>IF($BO295="","",IFERROR(VLOOKUP($BO295,'01_Warehouse_Ledger'!$A:$N,5,FALSE),""))</f>
      </c>
      <c r="BR295">
        <f>IF($BO295="","",IFERROR(VLOOKUP($BO295,'01_Warehouse_Ledger'!$A:$N,13,FALSE),""))</f>
      </c>
    </row>
    <row r="296">
      <c r="D296">
        <f>IF($B296&lt;&gt;"Yes","",IF($C296="No","Yes",IF($C296="Yes","No","")))</f>
      </c>
      <c r="E296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</c>
      <c r="F296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</c>
      <c r="BL296">
        <f>IF($T296="","",IF((IF(AND($AW296&lt;&gt;"Yes",$AW296&lt;&gt;"N/A"),"Power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",""))="","",LEFT(IF(AND($AW296&lt;&gt;"Yes",$AW296&lt;&gt;"N/A"),"Power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",""),LEN(IF(AND($AW296&lt;&gt;"Yes",$AW296&lt;&gt;"N/A"),"Power Cable, ","")&amp;IF(AND($AX296&lt;&gt;"Yes",$AX296&lt;&gt;"N/A"),"Battery, ","")&amp;IF(AND($BE296&lt;&gt;"Yes",$BE296&lt;&gt;"N/A"),"Firmware Download, ","")&amp;IF(AND(OR($BE296="Yes",$BE296="N/A"),$BF296&lt;&gt;"Yes",$BF296&lt;&gt;"N/A"),"Firmware Install, ","")&amp;IF(AND($BJ296&lt;&gt;"Yes",$BJ296&lt;&gt;"N/A"),"Device ID, ","")&amp;IF(AND($BK296&lt;&gt;"Yes",$BK296&lt;&gt;"N/A"),"Epic Beans Relay, ",""))-2)))</f>
      </c>
      <c r="BM296">
        <f>IF($T296="","",IF($BL296="","Yes","Blocked"))</f>
      </c>
      <c r="BP296">
        <f>IF($BO296="","",IFERROR(VLOOKUP($BO296,'01_Warehouse_Ledger'!$A:$N,4,FALSE),""))</f>
      </c>
      <c r="BQ296">
        <f>IF($BO296="","",IFERROR(VLOOKUP($BO296,'01_Warehouse_Ledger'!$A:$N,5,FALSE),""))</f>
      </c>
      <c r="BR296">
        <f>IF($BO296="","",IFERROR(VLOOKUP($BO296,'01_Warehouse_Ledger'!$A:$N,13,FALSE),""))</f>
      </c>
    </row>
    <row r="297">
      <c r="D297">
        <f>IF($B297&lt;&gt;"Yes","",IF($C297="No","Yes",IF($C297="Yes","No","")))</f>
      </c>
      <c r="E297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</c>
      <c r="F297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</c>
      <c r="BL297">
        <f>IF($T297="","",IF((IF(AND($AW297&lt;&gt;"Yes",$AW297&lt;&gt;"N/A"),"Power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",""))="","",LEFT(IF(AND($AW297&lt;&gt;"Yes",$AW297&lt;&gt;"N/A"),"Power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",""),LEN(IF(AND($AW297&lt;&gt;"Yes",$AW297&lt;&gt;"N/A"),"Power Cable, ","")&amp;IF(AND($AX297&lt;&gt;"Yes",$AX297&lt;&gt;"N/A"),"Battery, ","")&amp;IF(AND($BE297&lt;&gt;"Yes",$BE297&lt;&gt;"N/A"),"Firmware Download, ","")&amp;IF(AND(OR($BE297="Yes",$BE297="N/A"),$BF297&lt;&gt;"Yes",$BF297&lt;&gt;"N/A"),"Firmware Install, ","")&amp;IF(AND($BJ297&lt;&gt;"Yes",$BJ297&lt;&gt;"N/A"),"Device ID, ","")&amp;IF(AND($BK297&lt;&gt;"Yes",$BK297&lt;&gt;"N/A"),"Epic Beans Relay, ",""))-2)))</f>
      </c>
      <c r="BM297">
        <f>IF($T297="","",IF($BL297="","Yes","Blocked"))</f>
      </c>
      <c r="BP297">
        <f>IF($BO297="","",IFERROR(VLOOKUP($BO297,'01_Warehouse_Ledger'!$A:$N,4,FALSE),""))</f>
      </c>
      <c r="BQ297">
        <f>IF($BO297="","",IFERROR(VLOOKUP($BO297,'01_Warehouse_Ledger'!$A:$N,5,FALSE),""))</f>
      </c>
      <c r="BR297">
        <f>IF($BO297="","",IFERROR(VLOOKUP($BO297,'01_Warehouse_Ledger'!$A:$N,13,FALSE),""))</f>
      </c>
    </row>
    <row r="298">
      <c r="D298">
        <f>IF($B298&lt;&gt;"Yes","",IF($C298="No","Yes",IF($C298="Yes","No","")))</f>
      </c>
      <c r="E298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</c>
      <c r="F298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</c>
      <c r="BL298">
        <f>IF($T298="","",IF((IF(AND($AW298&lt;&gt;"Yes",$AW298&lt;&gt;"N/A"),"Power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",""))="","",LEFT(IF(AND($AW298&lt;&gt;"Yes",$AW298&lt;&gt;"N/A"),"Power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",""),LEN(IF(AND($AW298&lt;&gt;"Yes",$AW298&lt;&gt;"N/A"),"Power Cable, ","")&amp;IF(AND($AX298&lt;&gt;"Yes",$AX298&lt;&gt;"N/A"),"Battery, ","")&amp;IF(AND($BE298&lt;&gt;"Yes",$BE298&lt;&gt;"N/A"),"Firmware Download, ","")&amp;IF(AND(OR($BE298="Yes",$BE298="N/A"),$BF298&lt;&gt;"Yes",$BF298&lt;&gt;"N/A"),"Firmware Install, ","")&amp;IF(AND($BJ298&lt;&gt;"Yes",$BJ298&lt;&gt;"N/A"),"Device ID, ","")&amp;IF(AND($BK298&lt;&gt;"Yes",$BK298&lt;&gt;"N/A"),"Epic Beans Relay, ",""))-2)))</f>
      </c>
      <c r="BM298">
        <f>IF($T298="","",IF($BL298="","Yes","Blocked"))</f>
      </c>
      <c r="BP298">
        <f>IF($BO298="","",IFERROR(VLOOKUP($BO298,'01_Warehouse_Ledger'!$A:$N,4,FALSE),""))</f>
      </c>
      <c r="BQ298">
        <f>IF($BO298="","",IFERROR(VLOOKUP($BO298,'01_Warehouse_Ledger'!$A:$N,5,FALSE),""))</f>
      </c>
      <c r="BR298">
        <f>IF($BO298="","",IFERROR(VLOOKUP($BO298,'01_Warehouse_Ledger'!$A:$N,13,FALSE),""))</f>
      </c>
    </row>
    <row r="299">
      <c r="D299">
        <f>IF($B299&lt;&gt;"Yes","",IF($C299="No","Yes",IF($C299="Yes","No","")))</f>
      </c>
      <c r="E299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</c>
      <c r="F299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</c>
      <c r="BL299">
        <f>IF($T299="","",IF((IF(AND($AW299&lt;&gt;"Yes",$AW299&lt;&gt;"N/A"),"Power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",""))="","",LEFT(IF(AND($AW299&lt;&gt;"Yes",$AW299&lt;&gt;"N/A"),"Power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",""),LEN(IF(AND($AW299&lt;&gt;"Yes",$AW299&lt;&gt;"N/A"),"Power Cable, ","")&amp;IF(AND($AX299&lt;&gt;"Yes",$AX299&lt;&gt;"N/A"),"Battery, ","")&amp;IF(AND($BE299&lt;&gt;"Yes",$BE299&lt;&gt;"N/A"),"Firmware Download, ","")&amp;IF(AND(OR($BE299="Yes",$BE299="N/A"),$BF299&lt;&gt;"Yes",$BF299&lt;&gt;"N/A"),"Firmware Install, ","")&amp;IF(AND($BJ299&lt;&gt;"Yes",$BJ299&lt;&gt;"N/A"),"Device ID, ","")&amp;IF(AND($BK299&lt;&gt;"Yes",$BK299&lt;&gt;"N/A"),"Epic Beans Relay, ",""))-2)))</f>
      </c>
      <c r="BM299">
        <f>IF($T299="","",IF($BL299="","Yes","Blocked"))</f>
      </c>
      <c r="BP299">
        <f>IF($BO299="","",IFERROR(VLOOKUP($BO299,'01_Warehouse_Ledger'!$A:$N,4,FALSE),""))</f>
      </c>
      <c r="BQ299">
        <f>IF($BO299="","",IFERROR(VLOOKUP($BO299,'01_Warehouse_Ledger'!$A:$N,5,FALSE),""))</f>
      </c>
      <c r="BR299">
        <f>IF($BO299="","",IFERROR(VLOOKUP($BO299,'01_Warehouse_Ledger'!$A:$N,13,FALSE),""))</f>
      </c>
    </row>
    <row r="300">
      <c r="D300">
        <f>IF($B300&lt;&gt;"Yes","",IF($C300="No","Yes",IF($C300="Yes","No","")))</f>
      </c>
      <c r="E300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</c>
      <c r="F300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</c>
      <c r="BL300">
        <f>IF($T300="","",IF((IF(AND($AW300&lt;&gt;"Yes",$AW300&lt;&gt;"N/A"),"Power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",""))="","",LEFT(IF(AND($AW300&lt;&gt;"Yes",$AW300&lt;&gt;"N/A"),"Power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",""),LEN(IF(AND($AW300&lt;&gt;"Yes",$AW300&lt;&gt;"N/A"),"Power Cable, ","")&amp;IF(AND($AX300&lt;&gt;"Yes",$AX300&lt;&gt;"N/A"),"Battery, ","")&amp;IF(AND($BE300&lt;&gt;"Yes",$BE300&lt;&gt;"N/A"),"Firmware Download, ","")&amp;IF(AND(OR($BE300="Yes",$BE300="N/A"),$BF300&lt;&gt;"Yes",$BF300&lt;&gt;"N/A"),"Firmware Install, ","")&amp;IF(AND($BJ300&lt;&gt;"Yes",$BJ300&lt;&gt;"N/A"),"Device ID, ","")&amp;IF(AND($BK300&lt;&gt;"Yes",$BK300&lt;&gt;"N/A"),"Epic Beans Relay, ",""))-2)))</f>
      </c>
      <c r="BM300">
        <f>IF($T300="","",IF($BL300="","Yes","Blocked"))</f>
      </c>
      <c r="BP300">
        <f>IF($BO300="","",IFERROR(VLOOKUP($BO300,'01_Warehouse_Ledger'!$A:$N,4,FALSE),""))</f>
      </c>
      <c r="BQ300">
        <f>IF($BO300="","",IFERROR(VLOOKUP($BO300,'01_Warehouse_Ledger'!$A:$N,5,FALSE),""))</f>
      </c>
      <c r="BR300">
        <f>IF($BO300="","",IFERROR(VLOOKUP($BO300,'01_Warehouse_Ledger'!$A:$N,13,FALSE),""))</f>
      </c>
    </row>
    <row r="301">
      <c r="D301">
        <f>IF($B301&lt;&gt;"Yes","",IF($C301="No","Yes",IF($C301="Yes","No","")))</f>
      </c>
      <c r="E301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</c>
      <c r="F301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</c>
      <c r="BL301">
        <f>IF($T301="","",IF((IF(AND($AW301&lt;&gt;"Yes",$AW301&lt;&gt;"N/A"),"Power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",""))="","",LEFT(IF(AND($AW301&lt;&gt;"Yes",$AW301&lt;&gt;"N/A"),"Power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",""),LEN(IF(AND($AW301&lt;&gt;"Yes",$AW301&lt;&gt;"N/A"),"Power Cable, ","")&amp;IF(AND($AX301&lt;&gt;"Yes",$AX301&lt;&gt;"N/A"),"Battery, ","")&amp;IF(AND($BE301&lt;&gt;"Yes",$BE301&lt;&gt;"N/A"),"Firmware Download, ","")&amp;IF(AND(OR($BE301="Yes",$BE301="N/A"),$BF301&lt;&gt;"Yes",$BF301&lt;&gt;"N/A"),"Firmware Install, ","")&amp;IF(AND($BJ301&lt;&gt;"Yes",$BJ301&lt;&gt;"N/A"),"Device ID, ","")&amp;IF(AND($BK301&lt;&gt;"Yes",$BK301&lt;&gt;"N/A"),"Epic Beans Relay, ",""))-2)))</f>
      </c>
      <c r="BM301">
        <f>IF($T301="","",IF($BL301="","Yes","Blocked"))</f>
      </c>
      <c r="BP301">
        <f>IF($BO301="","",IFERROR(VLOOKUP($BO301,'01_Warehouse_Ledger'!$A:$N,4,FALSE),""))</f>
      </c>
      <c r="BQ301">
        <f>IF($BO301="","",IFERROR(VLOOKUP($BO301,'01_Warehouse_Ledger'!$A:$N,5,FALSE),""))</f>
      </c>
      <c r="BR301">
        <f>IF($BO301="","",IFERROR(VLOOKUP($BO301,'01_Warehouse_Ledger'!$A:$N,13,FALSE),""))</f>
      </c>
    </row>
    <row r="302">
      <c r="D302">
        <f>IF($B302&lt;&gt;"Yes","",IF($C302="No","Yes",IF($C302="Yes","No","")))</f>
      </c>
      <c r="E302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</c>
      <c r="F302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</c>
      <c r="BL302">
        <f>IF($T302="","",IF((IF(AND($AW302&lt;&gt;"Yes",$AW302&lt;&gt;"N/A"),"Power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",""))="","",LEFT(IF(AND($AW302&lt;&gt;"Yes",$AW302&lt;&gt;"N/A"),"Power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",""),LEN(IF(AND($AW302&lt;&gt;"Yes",$AW302&lt;&gt;"N/A"),"Power Cable, ","")&amp;IF(AND($AX302&lt;&gt;"Yes",$AX302&lt;&gt;"N/A"),"Battery, ","")&amp;IF(AND($BE302&lt;&gt;"Yes",$BE302&lt;&gt;"N/A"),"Firmware Download, ","")&amp;IF(AND(OR($BE302="Yes",$BE302="N/A"),$BF302&lt;&gt;"Yes",$BF302&lt;&gt;"N/A"),"Firmware Install, ","")&amp;IF(AND($BJ302&lt;&gt;"Yes",$BJ302&lt;&gt;"N/A"),"Device ID, ","")&amp;IF(AND($BK302&lt;&gt;"Yes",$BK302&lt;&gt;"N/A"),"Epic Beans Relay, ",""))-2)))</f>
      </c>
      <c r="BM302">
        <f>IF($T302="","",IF($BL302="","Yes","Blocked"))</f>
      </c>
      <c r="BP302">
        <f>IF($BO302="","",IFERROR(VLOOKUP($BO302,'01_Warehouse_Ledger'!$A:$N,4,FALSE),""))</f>
      </c>
      <c r="BQ302">
        <f>IF($BO302="","",IFERROR(VLOOKUP($BO302,'01_Warehouse_Ledger'!$A:$N,5,FALSE),""))</f>
      </c>
      <c r="BR302">
        <f>IF($BO302="","",IFERROR(VLOOKUP($BO302,'01_Warehouse_Ledger'!$A:$N,13,FALSE),""))</f>
      </c>
    </row>
    <row r="303">
      <c r="D303">
        <f>IF($B303&lt;&gt;"Yes","",IF($C303="No","Yes",IF($C303="Yes","No","")))</f>
      </c>
      <c r="E303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</c>
      <c r="F303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</c>
      <c r="BL303">
        <f>IF($T303="","",IF((IF(AND($AW303&lt;&gt;"Yes",$AW303&lt;&gt;"N/A"),"Power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",""))="","",LEFT(IF(AND($AW303&lt;&gt;"Yes",$AW303&lt;&gt;"N/A"),"Power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",""),LEN(IF(AND($AW303&lt;&gt;"Yes",$AW303&lt;&gt;"N/A"),"Power Cable, ","")&amp;IF(AND($AX303&lt;&gt;"Yes",$AX303&lt;&gt;"N/A"),"Battery, ","")&amp;IF(AND($BE303&lt;&gt;"Yes",$BE303&lt;&gt;"N/A"),"Firmware Download, ","")&amp;IF(AND(OR($BE303="Yes",$BE303="N/A"),$BF303&lt;&gt;"Yes",$BF303&lt;&gt;"N/A"),"Firmware Install, ","")&amp;IF(AND($BJ303&lt;&gt;"Yes",$BJ303&lt;&gt;"N/A"),"Device ID, ","")&amp;IF(AND($BK303&lt;&gt;"Yes",$BK303&lt;&gt;"N/A"),"Epic Beans Relay, ",""))-2)))</f>
      </c>
      <c r="BM303">
        <f>IF($T303="","",IF($BL303="","Yes","Blocked"))</f>
      </c>
      <c r="BP303">
        <f>IF($BO303="","",IFERROR(VLOOKUP($BO303,'01_Warehouse_Ledger'!$A:$N,4,FALSE),""))</f>
      </c>
      <c r="BQ303">
        <f>IF($BO303="","",IFERROR(VLOOKUP($BO303,'01_Warehouse_Ledger'!$A:$N,5,FALSE),""))</f>
      </c>
      <c r="BR303">
        <f>IF($BO303="","",IFERROR(VLOOKUP($BO303,'01_Warehouse_Ledger'!$A:$N,13,FALSE),""))</f>
      </c>
    </row>
    <row r="304">
      <c r="D304">
        <f>IF($B304&lt;&gt;"Yes","",IF($C304="No","Yes",IF($C304="Yes","No","")))</f>
      </c>
      <c r="E304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</c>
      <c r="F304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</c>
      <c r="BL304">
        <f>IF($T304="","",IF((IF(AND($AW304&lt;&gt;"Yes",$AW304&lt;&gt;"N/A"),"Power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",""))="","",LEFT(IF(AND($AW304&lt;&gt;"Yes",$AW304&lt;&gt;"N/A"),"Power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",""),LEN(IF(AND($AW304&lt;&gt;"Yes",$AW304&lt;&gt;"N/A"),"Power Cable, ","")&amp;IF(AND($AX304&lt;&gt;"Yes",$AX304&lt;&gt;"N/A"),"Battery, ","")&amp;IF(AND($BE304&lt;&gt;"Yes",$BE304&lt;&gt;"N/A"),"Firmware Download, ","")&amp;IF(AND(OR($BE304="Yes",$BE304="N/A"),$BF304&lt;&gt;"Yes",$BF304&lt;&gt;"N/A"),"Firmware Install, ","")&amp;IF(AND($BJ304&lt;&gt;"Yes",$BJ304&lt;&gt;"N/A"),"Device ID, ","")&amp;IF(AND($BK304&lt;&gt;"Yes",$BK304&lt;&gt;"N/A"),"Epic Beans Relay, ",""))-2)))</f>
      </c>
      <c r="BM304">
        <f>IF($T304="","",IF($BL304="","Yes","Blocked"))</f>
      </c>
      <c r="BP304">
        <f>IF($BO304="","",IFERROR(VLOOKUP($BO304,'01_Warehouse_Ledger'!$A:$N,4,FALSE),""))</f>
      </c>
      <c r="BQ304">
        <f>IF($BO304="","",IFERROR(VLOOKUP($BO304,'01_Warehouse_Ledger'!$A:$N,5,FALSE),""))</f>
      </c>
      <c r="BR304">
        <f>IF($BO304="","",IFERROR(VLOOKUP($BO304,'01_Warehouse_Ledger'!$A:$N,13,FALSE),""))</f>
      </c>
    </row>
    <row r="305">
      <c r="D305">
        <f>IF($B305&lt;&gt;"Yes","",IF($C305="No","Yes",IF($C305="Yes","No","")))</f>
      </c>
      <c r="E305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</c>
      <c r="F305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</c>
      <c r="BL305">
        <f>IF($T305="","",IF((IF(AND($AW305&lt;&gt;"Yes",$AW305&lt;&gt;"N/A"),"Power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",""))="","",LEFT(IF(AND($AW305&lt;&gt;"Yes",$AW305&lt;&gt;"N/A"),"Power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",""),LEN(IF(AND($AW305&lt;&gt;"Yes",$AW305&lt;&gt;"N/A"),"Power Cable, ","")&amp;IF(AND($AX305&lt;&gt;"Yes",$AX305&lt;&gt;"N/A"),"Battery, ","")&amp;IF(AND($BE305&lt;&gt;"Yes",$BE305&lt;&gt;"N/A"),"Firmware Download, ","")&amp;IF(AND(OR($BE305="Yes",$BE305="N/A"),$BF305&lt;&gt;"Yes",$BF305&lt;&gt;"N/A"),"Firmware Install, ","")&amp;IF(AND($BJ305&lt;&gt;"Yes",$BJ305&lt;&gt;"N/A"),"Device ID, ","")&amp;IF(AND($BK305&lt;&gt;"Yes",$BK305&lt;&gt;"N/A"),"Epic Beans Relay, ",""))-2)))</f>
      </c>
      <c r="BM305">
        <f>IF($T305="","",IF($BL305="","Yes","Blocked"))</f>
      </c>
      <c r="BP305">
        <f>IF($BO305="","",IFERROR(VLOOKUP($BO305,'01_Warehouse_Ledger'!$A:$N,4,FALSE),""))</f>
      </c>
      <c r="BQ305">
        <f>IF($BO305="","",IFERROR(VLOOKUP($BO305,'01_Warehouse_Ledger'!$A:$N,5,FALSE),""))</f>
      </c>
      <c r="BR305">
        <f>IF($BO305="","",IFERROR(VLOOKUP($BO305,'01_Warehouse_Ledger'!$A:$N,13,FALSE),""))</f>
      </c>
    </row>
    <row r="306">
      <c r="D306">
        <f>IF($B306&lt;&gt;"Yes","",IF($C306="No","Yes",IF($C306="Yes","No","")))</f>
      </c>
      <c r="E306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</c>
      <c r="F306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</c>
      <c r="BL306">
        <f>IF($T306="","",IF((IF(AND($AW306&lt;&gt;"Yes",$AW306&lt;&gt;"N/A"),"Power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",""))="","",LEFT(IF(AND($AW306&lt;&gt;"Yes",$AW306&lt;&gt;"N/A"),"Power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",""),LEN(IF(AND($AW306&lt;&gt;"Yes",$AW306&lt;&gt;"N/A"),"Power Cable, ","")&amp;IF(AND($AX306&lt;&gt;"Yes",$AX306&lt;&gt;"N/A"),"Battery, ","")&amp;IF(AND($BE306&lt;&gt;"Yes",$BE306&lt;&gt;"N/A"),"Firmware Download, ","")&amp;IF(AND(OR($BE306="Yes",$BE306="N/A"),$BF306&lt;&gt;"Yes",$BF306&lt;&gt;"N/A"),"Firmware Install, ","")&amp;IF(AND($BJ306&lt;&gt;"Yes",$BJ306&lt;&gt;"N/A"),"Device ID, ","")&amp;IF(AND($BK306&lt;&gt;"Yes",$BK306&lt;&gt;"N/A"),"Epic Beans Relay, ",""))-2)))</f>
      </c>
      <c r="BM306">
        <f>IF($T306="","",IF($BL306="","Yes","Blocked"))</f>
      </c>
      <c r="BP306">
        <f>IF($BO306="","",IFERROR(VLOOKUP($BO306,'01_Warehouse_Ledger'!$A:$N,4,FALSE),""))</f>
      </c>
      <c r="BQ306">
        <f>IF($BO306="","",IFERROR(VLOOKUP($BO306,'01_Warehouse_Ledger'!$A:$N,5,FALSE),""))</f>
      </c>
      <c r="BR306">
        <f>IF($BO306="","",IFERROR(VLOOKUP($BO306,'01_Warehouse_Ledger'!$A:$N,13,FALSE),""))</f>
      </c>
    </row>
    <row r="307">
      <c r="D307">
        <f>IF($B307&lt;&gt;"Yes","",IF($C307="No","Yes",IF($C307="Yes","No","")))</f>
      </c>
      <c r="E307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</c>
      <c r="F307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</c>
      <c r="BL307">
        <f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</c>
      <c r="BM307">
        <f>IF($T307="","",IF($BL307="","Yes","Blocked"))</f>
      </c>
      <c r="BP307">
        <f>IF($BO307="","",IFERROR(VLOOKUP($BO307,'01_Warehouse_Ledger'!$A:$N,4,FALSE),""))</f>
      </c>
      <c r="BQ307">
        <f>IF($BO307="","",IFERROR(VLOOKUP($BO307,'01_Warehouse_Ledger'!$A:$N,5,FALSE),""))</f>
      </c>
      <c r="BR307">
        <f>IF($BO307="","",IFERROR(VLOOKUP($BO307,'01_Warehouse_Ledger'!$A:$N,13,FALSE),""))</f>
      </c>
    </row>
    <row r="308">
      <c r="D308">
        <f>IF($B308&lt;&gt;"Yes","",IF($C308="No","Yes",IF($C308="Yes","No","")))</f>
      </c>
      <c r="E308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</c>
      <c r="F308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</c>
      <c r="BL308">
        <f>IF($T308="","",IF((IF(AND($AW308&lt;&gt;"Yes",$AW308&lt;&gt;"N/A"),"Power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",""))="","",LEFT(IF(AND($AW308&lt;&gt;"Yes",$AW308&lt;&gt;"N/A"),"Power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",""),LEN(IF(AND($AW308&lt;&gt;"Yes",$AW308&lt;&gt;"N/A"),"Power Cable, ","")&amp;IF(AND($AX308&lt;&gt;"Yes",$AX308&lt;&gt;"N/A"),"Battery, ","")&amp;IF(AND($BE308&lt;&gt;"Yes",$BE308&lt;&gt;"N/A"),"Firmware Download, ","")&amp;IF(AND(OR($BE308="Yes",$BE308="N/A"),$BF308&lt;&gt;"Yes",$BF308&lt;&gt;"N/A"),"Firmware Install, ","")&amp;IF(AND($BJ308&lt;&gt;"Yes",$BJ308&lt;&gt;"N/A"),"Device ID, ","")&amp;IF(AND($BK308&lt;&gt;"Yes",$BK308&lt;&gt;"N/A"),"Epic Beans Relay, ",""))-2)))</f>
      </c>
      <c r="BM308">
        <f>IF($T308="","",IF($BL308="","Yes","Blocked"))</f>
      </c>
      <c r="BP308">
        <f>IF($BO308="","",IFERROR(VLOOKUP($BO308,'01_Warehouse_Ledger'!$A:$N,4,FALSE),""))</f>
      </c>
      <c r="BQ308">
        <f>IF($BO308="","",IFERROR(VLOOKUP($BO308,'01_Warehouse_Ledger'!$A:$N,5,FALSE),""))</f>
      </c>
      <c r="BR308">
        <f>IF($BO308="","",IFERROR(VLOOKUP($BO308,'01_Warehouse_Ledger'!$A:$N,13,FALSE),""))</f>
      </c>
    </row>
    <row r="309">
      <c r="D309">
        <f>IF($B309&lt;&gt;"Yes","",IF($C309="No","Yes",IF($C309="Yes","No","")))</f>
      </c>
      <c r="E309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</c>
      <c r="F309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</c>
      <c r="BL309">
        <f>IF($T309="","",IF((IF(AND($AW309&lt;&gt;"Yes",$AW309&lt;&gt;"N/A"),"Power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",""))="","",LEFT(IF(AND($AW309&lt;&gt;"Yes",$AW309&lt;&gt;"N/A"),"Power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",""),LEN(IF(AND($AW309&lt;&gt;"Yes",$AW309&lt;&gt;"N/A"),"Power Cable, ","")&amp;IF(AND($AX309&lt;&gt;"Yes",$AX309&lt;&gt;"N/A"),"Battery, ","")&amp;IF(AND($BE309&lt;&gt;"Yes",$BE309&lt;&gt;"N/A"),"Firmware Download, ","")&amp;IF(AND(OR($BE309="Yes",$BE309="N/A"),$BF309&lt;&gt;"Yes",$BF309&lt;&gt;"N/A"),"Firmware Install, ","")&amp;IF(AND($BJ309&lt;&gt;"Yes",$BJ309&lt;&gt;"N/A"),"Device ID, ","")&amp;IF(AND($BK309&lt;&gt;"Yes",$BK309&lt;&gt;"N/A"),"Epic Beans Relay, ",""))-2)))</f>
      </c>
      <c r="BM309">
        <f>IF($T309="","",IF($BL309="","Yes","Blocked"))</f>
      </c>
      <c r="BP309">
        <f>IF($BO309="","",IFERROR(VLOOKUP($BO309,'01_Warehouse_Ledger'!$A:$N,4,FALSE),""))</f>
      </c>
      <c r="BQ309">
        <f>IF($BO309="","",IFERROR(VLOOKUP($BO309,'01_Warehouse_Ledger'!$A:$N,5,FALSE),""))</f>
      </c>
      <c r="BR309">
        <f>IF($BO309="","",IFERROR(VLOOKUP($BO309,'01_Warehouse_Ledger'!$A:$N,13,FALSE),""))</f>
      </c>
    </row>
    <row r="310">
      <c r="D310">
        <f>IF($B310&lt;&gt;"Yes","",IF($C310="No","Yes",IF($C310="Yes","No","")))</f>
      </c>
      <c r="E310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</c>
      <c r="F310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</c>
      <c r="BL310">
        <f>IF($T310="","",IF((IF(AND($AW310&lt;&gt;"Yes",$AW310&lt;&gt;"N/A"),"Power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",""))="","",LEFT(IF(AND($AW310&lt;&gt;"Yes",$AW310&lt;&gt;"N/A"),"Power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",""),LEN(IF(AND($AW310&lt;&gt;"Yes",$AW310&lt;&gt;"N/A"),"Power Cable, ","")&amp;IF(AND($AX310&lt;&gt;"Yes",$AX310&lt;&gt;"N/A"),"Battery, ","")&amp;IF(AND($BE310&lt;&gt;"Yes",$BE310&lt;&gt;"N/A"),"Firmware Download, ","")&amp;IF(AND(OR($BE310="Yes",$BE310="N/A"),$BF310&lt;&gt;"Yes",$BF310&lt;&gt;"N/A"),"Firmware Install, ","")&amp;IF(AND($BJ310&lt;&gt;"Yes",$BJ310&lt;&gt;"N/A"),"Device ID, ","")&amp;IF(AND($BK310&lt;&gt;"Yes",$BK310&lt;&gt;"N/A"),"Epic Beans Relay, ",""))-2)))</f>
      </c>
      <c r="BM310">
        <f>IF($T310="","",IF($BL310="","Yes","Blocked"))</f>
      </c>
      <c r="BP310">
        <f>IF($BO310="","",IFERROR(VLOOKUP($BO310,'01_Warehouse_Ledger'!$A:$N,4,FALSE),""))</f>
      </c>
      <c r="BQ310">
        <f>IF($BO310="","",IFERROR(VLOOKUP($BO310,'01_Warehouse_Ledger'!$A:$N,5,FALSE),""))</f>
      </c>
      <c r="BR310">
        <f>IF($BO310="","",IFERROR(VLOOKUP($BO310,'01_Warehouse_Ledger'!$A:$N,13,FALSE),""))</f>
      </c>
    </row>
    <row r="311">
      <c r="D311">
        <f>IF($B311&lt;&gt;"Yes","",IF($C311="No","Yes",IF($C311="Yes","No","")))</f>
      </c>
      <c r="E311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</c>
      <c r="F311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</c>
      <c r="BL311">
        <f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</c>
      <c r="BM311">
        <f>IF($T311="","",IF($BL311="","Yes","Blocked"))</f>
      </c>
      <c r="BP311">
        <f>IF($BO311="","",IFERROR(VLOOKUP($BO311,'01_Warehouse_Ledger'!$A:$N,4,FALSE),""))</f>
      </c>
      <c r="BQ311">
        <f>IF($BO311="","",IFERROR(VLOOKUP($BO311,'01_Warehouse_Ledger'!$A:$N,5,FALSE),""))</f>
      </c>
      <c r="BR311">
        <f>IF($BO311="","",IFERROR(VLOOKUP($BO311,'01_Warehouse_Ledger'!$A:$N,13,FALSE),""))</f>
      </c>
    </row>
    <row r="312">
      <c r="D312">
        <f>IF($B312&lt;&gt;"Yes","",IF($C312="No","Yes",IF($C312="Yes","No","")))</f>
      </c>
      <c r="E312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</c>
      <c r="F312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</c>
      <c r="BL312">
        <f>IF($T312="","",IF((IF(AND($AW312&lt;&gt;"Yes",$AW312&lt;&gt;"N/A"),"Power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",""))="","",LEFT(IF(AND($AW312&lt;&gt;"Yes",$AW312&lt;&gt;"N/A"),"Power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",""),LEN(IF(AND($AW312&lt;&gt;"Yes",$AW312&lt;&gt;"N/A"),"Power Cable, ","")&amp;IF(AND($AX312&lt;&gt;"Yes",$AX312&lt;&gt;"N/A"),"Battery, ","")&amp;IF(AND($BE312&lt;&gt;"Yes",$BE312&lt;&gt;"N/A"),"Firmware Download, ","")&amp;IF(AND(OR($BE312="Yes",$BE312="N/A"),$BF312&lt;&gt;"Yes",$BF312&lt;&gt;"N/A"),"Firmware Install, ","")&amp;IF(AND($BJ312&lt;&gt;"Yes",$BJ312&lt;&gt;"N/A"),"Device ID, ","")&amp;IF(AND($BK312&lt;&gt;"Yes",$BK312&lt;&gt;"N/A"),"Epic Beans Relay, ",""))-2)))</f>
      </c>
      <c r="BM312">
        <f>IF($T312="","",IF($BL312="","Yes","Blocked"))</f>
      </c>
      <c r="BP312">
        <f>IF($BO312="","",IFERROR(VLOOKUP($BO312,'01_Warehouse_Ledger'!$A:$N,4,FALSE),""))</f>
      </c>
      <c r="BQ312">
        <f>IF($BO312="","",IFERROR(VLOOKUP($BO312,'01_Warehouse_Ledger'!$A:$N,5,FALSE),""))</f>
      </c>
      <c r="BR312">
        <f>IF($BO312="","",IFERROR(VLOOKUP($BO312,'01_Warehouse_Ledger'!$A:$N,13,FALSE),""))</f>
      </c>
    </row>
    <row r="313">
      <c r="D313">
        <f>IF($B313&lt;&gt;"Yes","",IF($C313="No","Yes",IF($C313="Yes","No","")))</f>
      </c>
      <c r="E313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</c>
      <c r="F313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</c>
      <c r="BL313">
        <f>IF($T313="","",IF((IF(AND($AW313&lt;&gt;"Yes",$AW313&lt;&gt;"N/A"),"Power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",""))="","",LEFT(IF(AND($AW313&lt;&gt;"Yes",$AW313&lt;&gt;"N/A"),"Power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",""),LEN(IF(AND($AW313&lt;&gt;"Yes",$AW313&lt;&gt;"N/A"),"Power Cable, ","")&amp;IF(AND($AX313&lt;&gt;"Yes",$AX313&lt;&gt;"N/A"),"Battery, ","")&amp;IF(AND($BE313&lt;&gt;"Yes",$BE313&lt;&gt;"N/A"),"Firmware Download, ","")&amp;IF(AND(OR($BE313="Yes",$BE313="N/A"),$BF313&lt;&gt;"Yes",$BF313&lt;&gt;"N/A"),"Firmware Install, ","")&amp;IF(AND($BJ313&lt;&gt;"Yes",$BJ313&lt;&gt;"N/A"),"Device ID, ","")&amp;IF(AND($BK313&lt;&gt;"Yes",$BK313&lt;&gt;"N/A"),"Epic Beans Relay, ",""))-2)))</f>
      </c>
      <c r="BM313">
        <f>IF($T313="","",IF($BL313="","Yes","Blocked"))</f>
      </c>
      <c r="BP313">
        <f>IF($BO313="","",IFERROR(VLOOKUP($BO313,'01_Warehouse_Ledger'!$A:$N,4,FALSE),""))</f>
      </c>
      <c r="BQ313">
        <f>IF($BO313="","",IFERROR(VLOOKUP($BO313,'01_Warehouse_Ledger'!$A:$N,5,FALSE),""))</f>
      </c>
      <c r="BR313">
        <f>IF($BO313="","",IFERROR(VLOOKUP($BO313,'01_Warehouse_Ledger'!$A:$N,13,FALSE),""))</f>
      </c>
    </row>
    <row r="314">
      <c r="D314">
        <f>IF($B314&lt;&gt;"Yes","",IF($C314="No","Yes",IF($C314="Yes","No","")))</f>
      </c>
      <c r="E314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</c>
      <c r="F314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</c>
      <c r="BL314">
        <f>IF($T314="","",IF((IF(AND($AW314&lt;&gt;"Yes",$AW314&lt;&gt;"N/A"),"Power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",""))="","",LEFT(IF(AND($AW314&lt;&gt;"Yes",$AW314&lt;&gt;"N/A"),"Power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",""),LEN(IF(AND($AW314&lt;&gt;"Yes",$AW314&lt;&gt;"N/A"),"Power Cable, ","")&amp;IF(AND($AX314&lt;&gt;"Yes",$AX314&lt;&gt;"N/A"),"Battery, ","")&amp;IF(AND($BE314&lt;&gt;"Yes",$BE314&lt;&gt;"N/A"),"Firmware Download, ","")&amp;IF(AND(OR($BE314="Yes",$BE314="N/A"),$BF314&lt;&gt;"Yes",$BF314&lt;&gt;"N/A"),"Firmware Install, ","")&amp;IF(AND($BJ314&lt;&gt;"Yes",$BJ314&lt;&gt;"N/A"),"Device ID, ","")&amp;IF(AND($BK314&lt;&gt;"Yes",$BK314&lt;&gt;"N/A"),"Epic Beans Relay, ",""))-2)))</f>
      </c>
      <c r="BM314">
        <f>IF($T314="","",IF($BL314="","Yes","Blocked"))</f>
      </c>
      <c r="BP314">
        <f>IF($BO314="","",IFERROR(VLOOKUP($BO314,'01_Warehouse_Ledger'!$A:$N,4,FALSE),""))</f>
      </c>
      <c r="BQ314">
        <f>IF($BO314="","",IFERROR(VLOOKUP($BO314,'01_Warehouse_Ledger'!$A:$N,5,FALSE),""))</f>
      </c>
      <c r="BR314">
        <f>IF($BO314="","",IFERROR(VLOOKUP($BO314,'01_Warehouse_Ledger'!$A:$N,13,FALSE),""))</f>
      </c>
    </row>
    <row r="315">
      <c r="D315">
        <f>IF($B315&lt;&gt;"Yes","",IF($C315="No","Yes",IF($C315="Yes","No","")))</f>
      </c>
      <c r="E315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</c>
      <c r="F315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</c>
      <c r="BL315">
        <f>IF($T315="","",IF((IF(AND($AW315&lt;&gt;"Yes",$AW315&lt;&gt;"N/A"),"Power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",""))="","",LEFT(IF(AND($AW315&lt;&gt;"Yes",$AW315&lt;&gt;"N/A"),"Power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",""),LEN(IF(AND($AW315&lt;&gt;"Yes",$AW315&lt;&gt;"N/A"),"Power Cable, ","")&amp;IF(AND($AX315&lt;&gt;"Yes",$AX315&lt;&gt;"N/A"),"Battery, ","")&amp;IF(AND($BE315&lt;&gt;"Yes",$BE315&lt;&gt;"N/A"),"Firmware Download, ","")&amp;IF(AND(OR($BE315="Yes",$BE315="N/A"),$BF315&lt;&gt;"Yes",$BF315&lt;&gt;"N/A"),"Firmware Install, ","")&amp;IF(AND($BJ315&lt;&gt;"Yes",$BJ315&lt;&gt;"N/A"),"Device ID, ","")&amp;IF(AND($BK315&lt;&gt;"Yes",$BK315&lt;&gt;"N/A"),"Epic Beans Relay, ",""))-2)))</f>
      </c>
      <c r="BM315">
        <f>IF($T315="","",IF($BL315="","Yes","Blocked"))</f>
      </c>
      <c r="BP315">
        <f>IF($BO315="","",IFERROR(VLOOKUP($BO315,'01_Warehouse_Ledger'!$A:$N,4,FALSE),""))</f>
      </c>
      <c r="BQ315">
        <f>IF($BO315="","",IFERROR(VLOOKUP($BO315,'01_Warehouse_Ledger'!$A:$N,5,FALSE),""))</f>
      </c>
      <c r="BR315">
        <f>IF($BO315="","",IFERROR(VLOOKUP($BO315,'01_Warehouse_Ledger'!$A:$N,13,FALSE),""))</f>
      </c>
    </row>
    <row r="316">
      <c r="D316">
        <f>IF($B316&lt;&gt;"Yes","",IF($C316="No","Yes",IF($C316="Yes","No","")))</f>
      </c>
      <c r="E316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</c>
      <c r="F316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</c>
      <c r="BL316">
        <f>IF($T316="","",IF((IF(AND($AW316&lt;&gt;"Yes",$AW316&lt;&gt;"N/A"),"Power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",""))="","",LEFT(IF(AND($AW316&lt;&gt;"Yes",$AW316&lt;&gt;"N/A"),"Power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",""),LEN(IF(AND($AW316&lt;&gt;"Yes",$AW316&lt;&gt;"N/A"),"Power Cable, ","")&amp;IF(AND($AX316&lt;&gt;"Yes",$AX316&lt;&gt;"N/A"),"Battery, ","")&amp;IF(AND($BE316&lt;&gt;"Yes",$BE316&lt;&gt;"N/A"),"Firmware Download, ","")&amp;IF(AND(OR($BE316="Yes",$BE316="N/A"),$BF316&lt;&gt;"Yes",$BF316&lt;&gt;"N/A"),"Firmware Install, ","")&amp;IF(AND($BJ316&lt;&gt;"Yes",$BJ316&lt;&gt;"N/A"),"Device ID, ","")&amp;IF(AND($BK316&lt;&gt;"Yes",$BK316&lt;&gt;"N/A"),"Epic Beans Relay, ",""))-2)))</f>
      </c>
      <c r="BM316">
        <f>IF($T316="","",IF($BL316="","Yes","Blocked"))</f>
      </c>
      <c r="BP316">
        <f>IF($BO316="","",IFERROR(VLOOKUP($BO316,'01_Warehouse_Ledger'!$A:$N,4,FALSE),""))</f>
      </c>
      <c r="BQ316">
        <f>IF($BO316="","",IFERROR(VLOOKUP($BO316,'01_Warehouse_Ledger'!$A:$N,5,FALSE),""))</f>
      </c>
      <c r="BR316">
        <f>IF($BO316="","",IFERROR(VLOOKUP($BO316,'01_Warehouse_Ledger'!$A:$N,13,FALSE),""))</f>
      </c>
    </row>
    <row r="317">
      <c r="D317">
        <f>IF($B317&lt;&gt;"Yes","",IF($C317="No","Yes",IF($C317="Yes","No","")))</f>
      </c>
      <c r="E317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</c>
      <c r="F317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</c>
      <c r="BL317">
        <f>IF($T317="","",IF((IF(AND($AW317&lt;&gt;"Yes",$AW317&lt;&gt;"N/A"),"Power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",""))="","",LEFT(IF(AND($AW317&lt;&gt;"Yes",$AW317&lt;&gt;"N/A"),"Power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",""),LEN(IF(AND($AW317&lt;&gt;"Yes",$AW317&lt;&gt;"N/A"),"Power Cable, ","")&amp;IF(AND($AX317&lt;&gt;"Yes",$AX317&lt;&gt;"N/A"),"Battery, ","")&amp;IF(AND($BE317&lt;&gt;"Yes",$BE317&lt;&gt;"N/A"),"Firmware Download, ","")&amp;IF(AND(OR($BE317="Yes",$BE317="N/A"),$BF317&lt;&gt;"Yes",$BF317&lt;&gt;"N/A"),"Firmware Install, ","")&amp;IF(AND($BJ317&lt;&gt;"Yes",$BJ317&lt;&gt;"N/A"),"Device ID, ","")&amp;IF(AND($BK317&lt;&gt;"Yes",$BK317&lt;&gt;"N/A"),"Epic Beans Relay, ",""))-2)))</f>
      </c>
      <c r="BM317">
        <f>IF($T317="","",IF($BL317="","Yes","Blocked"))</f>
      </c>
      <c r="BP317">
        <f>IF($BO317="","",IFERROR(VLOOKUP($BO317,'01_Warehouse_Ledger'!$A:$N,4,FALSE),""))</f>
      </c>
      <c r="BQ317">
        <f>IF($BO317="","",IFERROR(VLOOKUP($BO317,'01_Warehouse_Ledger'!$A:$N,5,FALSE),""))</f>
      </c>
      <c r="BR317">
        <f>IF($BO317="","",IFERROR(VLOOKUP($BO317,'01_Warehouse_Ledger'!$A:$N,13,FALSE),""))</f>
      </c>
    </row>
    <row r="318">
      <c r="D318">
        <f>IF($B318&lt;&gt;"Yes","",IF($C318="No","Yes",IF($C318="Yes","No","")))</f>
      </c>
      <c r="E318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</c>
      <c r="F318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</c>
      <c r="BL318">
        <f>IF($T318="","",IF((IF(AND($AW318&lt;&gt;"Yes",$AW318&lt;&gt;"N/A"),"Power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",""))="","",LEFT(IF(AND($AW318&lt;&gt;"Yes",$AW318&lt;&gt;"N/A"),"Power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",""),LEN(IF(AND($AW318&lt;&gt;"Yes",$AW318&lt;&gt;"N/A"),"Power Cable, ","")&amp;IF(AND($AX318&lt;&gt;"Yes",$AX318&lt;&gt;"N/A"),"Battery, ","")&amp;IF(AND($BE318&lt;&gt;"Yes",$BE318&lt;&gt;"N/A"),"Firmware Download, ","")&amp;IF(AND(OR($BE318="Yes",$BE318="N/A"),$BF318&lt;&gt;"Yes",$BF318&lt;&gt;"N/A"),"Firmware Install, ","")&amp;IF(AND($BJ318&lt;&gt;"Yes",$BJ318&lt;&gt;"N/A"),"Device ID, ","")&amp;IF(AND($BK318&lt;&gt;"Yes",$BK318&lt;&gt;"N/A"),"Epic Beans Relay, ",""))-2)))</f>
      </c>
      <c r="BM318">
        <f>IF($T318="","",IF($BL318="","Yes","Blocked"))</f>
      </c>
      <c r="BP318">
        <f>IF($BO318="","",IFERROR(VLOOKUP($BO318,'01_Warehouse_Ledger'!$A:$N,4,FALSE),""))</f>
      </c>
      <c r="BQ318">
        <f>IF($BO318="","",IFERROR(VLOOKUP($BO318,'01_Warehouse_Ledger'!$A:$N,5,FALSE),""))</f>
      </c>
      <c r="BR318">
        <f>IF($BO318="","",IFERROR(VLOOKUP($BO318,'01_Warehouse_Ledger'!$A:$N,13,FALSE),""))</f>
      </c>
    </row>
    <row r="319">
      <c r="D319">
        <f>IF($B319&lt;&gt;"Yes","",IF($C319="No","Yes",IF($C319="Yes","No","")))</f>
      </c>
      <c r="E319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</c>
      <c r="F319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</c>
      <c r="BL319">
        <f>IF($T319="","",IF((IF(AND($AW319&lt;&gt;"Yes",$AW319&lt;&gt;"N/A"),"Power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",""))="","",LEFT(IF(AND($AW319&lt;&gt;"Yes",$AW319&lt;&gt;"N/A"),"Power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",""),LEN(IF(AND($AW319&lt;&gt;"Yes",$AW319&lt;&gt;"N/A"),"Power Cable, ","")&amp;IF(AND($AX319&lt;&gt;"Yes",$AX319&lt;&gt;"N/A"),"Battery, ","")&amp;IF(AND($BE319&lt;&gt;"Yes",$BE319&lt;&gt;"N/A"),"Firmware Download, ","")&amp;IF(AND(OR($BE319="Yes",$BE319="N/A"),$BF319&lt;&gt;"Yes",$BF319&lt;&gt;"N/A"),"Firmware Install, ","")&amp;IF(AND($BJ319&lt;&gt;"Yes",$BJ319&lt;&gt;"N/A"),"Device ID, ","")&amp;IF(AND($BK319&lt;&gt;"Yes",$BK319&lt;&gt;"N/A"),"Epic Beans Relay, ",""))-2)))</f>
      </c>
      <c r="BM319">
        <f>IF($T319="","",IF($BL319="","Yes","Blocked"))</f>
      </c>
      <c r="BP319">
        <f>IF($BO319="","",IFERROR(VLOOKUP($BO319,'01_Warehouse_Ledger'!$A:$N,4,FALSE),""))</f>
      </c>
      <c r="BQ319">
        <f>IF($BO319="","",IFERROR(VLOOKUP($BO319,'01_Warehouse_Ledger'!$A:$N,5,FALSE),""))</f>
      </c>
      <c r="BR319">
        <f>IF($BO319="","",IFERROR(VLOOKUP($BO319,'01_Warehouse_Ledger'!$A:$N,13,FALSE),""))</f>
      </c>
    </row>
    <row r="320">
      <c r="D320">
        <f>IF($B320&lt;&gt;"Yes","",IF($C320="No","Yes",IF($C320="Yes","No","")))</f>
      </c>
      <c r="E320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</c>
      <c r="F320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</c>
      <c r="BL320">
        <f>IF($T320="","",IF((IF(AND($AW320&lt;&gt;"Yes",$AW320&lt;&gt;"N/A"),"Power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",""))="","",LEFT(IF(AND($AW320&lt;&gt;"Yes",$AW320&lt;&gt;"N/A"),"Power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",""),LEN(IF(AND($AW320&lt;&gt;"Yes",$AW320&lt;&gt;"N/A"),"Power Cable, ","")&amp;IF(AND($AX320&lt;&gt;"Yes",$AX320&lt;&gt;"N/A"),"Battery, ","")&amp;IF(AND($BE320&lt;&gt;"Yes",$BE320&lt;&gt;"N/A"),"Firmware Download, ","")&amp;IF(AND(OR($BE320="Yes",$BE320="N/A"),$BF320&lt;&gt;"Yes",$BF320&lt;&gt;"N/A"),"Firmware Install, ","")&amp;IF(AND($BJ320&lt;&gt;"Yes",$BJ320&lt;&gt;"N/A"),"Device ID, ","")&amp;IF(AND($BK320&lt;&gt;"Yes",$BK320&lt;&gt;"N/A"),"Epic Beans Relay, ",""))-2)))</f>
      </c>
      <c r="BM320">
        <f>IF($T320="","",IF($BL320="","Yes","Blocked"))</f>
      </c>
      <c r="BP320">
        <f>IF($BO320="","",IFERROR(VLOOKUP($BO320,'01_Warehouse_Ledger'!$A:$N,4,FALSE),""))</f>
      </c>
      <c r="BQ320">
        <f>IF($BO320="","",IFERROR(VLOOKUP($BO320,'01_Warehouse_Ledger'!$A:$N,5,FALSE),""))</f>
      </c>
      <c r="BR320">
        <f>IF($BO320="","",IFERROR(VLOOKUP($BO320,'01_Warehouse_Ledger'!$A:$N,13,FALSE),""))</f>
      </c>
    </row>
    <row r="321">
      <c r="D321">
        <f>IF($B321&lt;&gt;"Yes","",IF($C321="No","Yes",IF($C321="Yes","No","")))</f>
      </c>
      <c r="E321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</c>
      <c r="F321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</c>
      <c r="BL321">
        <f>IF($T321="","",IF((IF(AND($AW321&lt;&gt;"Yes",$AW321&lt;&gt;"N/A"),"Power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",""))="","",LEFT(IF(AND($AW321&lt;&gt;"Yes",$AW321&lt;&gt;"N/A"),"Power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",""),LEN(IF(AND($AW321&lt;&gt;"Yes",$AW321&lt;&gt;"N/A"),"Power Cable, ","")&amp;IF(AND($AX321&lt;&gt;"Yes",$AX321&lt;&gt;"N/A"),"Battery, ","")&amp;IF(AND($BE321&lt;&gt;"Yes",$BE321&lt;&gt;"N/A"),"Firmware Download, ","")&amp;IF(AND(OR($BE321="Yes",$BE321="N/A"),$BF321&lt;&gt;"Yes",$BF321&lt;&gt;"N/A"),"Firmware Install, ","")&amp;IF(AND($BJ321&lt;&gt;"Yes",$BJ321&lt;&gt;"N/A"),"Device ID, ","")&amp;IF(AND($BK321&lt;&gt;"Yes",$BK321&lt;&gt;"N/A"),"Epic Beans Relay, ",""))-2)))</f>
      </c>
      <c r="BM321">
        <f>IF($T321="","",IF($BL321="","Yes","Blocked"))</f>
      </c>
      <c r="BP321">
        <f>IF($BO321="","",IFERROR(VLOOKUP($BO321,'01_Warehouse_Ledger'!$A:$N,4,FALSE),""))</f>
      </c>
      <c r="BQ321">
        <f>IF($BO321="","",IFERROR(VLOOKUP($BO321,'01_Warehouse_Ledger'!$A:$N,5,FALSE),""))</f>
      </c>
      <c r="BR321">
        <f>IF($BO321="","",IFERROR(VLOOKUP($BO321,'01_Warehouse_Ledger'!$A:$N,13,FALSE),""))</f>
      </c>
    </row>
    <row r="322">
      <c r="D322">
        <f>IF($B322&lt;&gt;"Yes","",IF($C322="No","Yes",IF($C322="Yes","No","")))</f>
      </c>
      <c r="E322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</c>
      <c r="F322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</c>
      <c r="BL322">
        <f>IF($T322="","",IF((IF(AND($AW322&lt;&gt;"Yes",$AW322&lt;&gt;"N/A"),"Power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",""))="","",LEFT(IF(AND($AW322&lt;&gt;"Yes",$AW322&lt;&gt;"N/A"),"Power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",""),LEN(IF(AND($AW322&lt;&gt;"Yes",$AW322&lt;&gt;"N/A"),"Power Cable, ","")&amp;IF(AND($AX322&lt;&gt;"Yes",$AX322&lt;&gt;"N/A"),"Battery, ","")&amp;IF(AND($BE322&lt;&gt;"Yes",$BE322&lt;&gt;"N/A"),"Firmware Download, ","")&amp;IF(AND(OR($BE322="Yes",$BE322="N/A"),$BF322&lt;&gt;"Yes",$BF322&lt;&gt;"N/A"),"Firmware Install, ","")&amp;IF(AND($BJ322&lt;&gt;"Yes",$BJ322&lt;&gt;"N/A"),"Device ID, ","")&amp;IF(AND($BK322&lt;&gt;"Yes",$BK322&lt;&gt;"N/A"),"Epic Beans Relay, ",""))-2)))</f>
      </c>
      <c r="BM322">
        <f>IF($T322="","",IF($BL322="","Yes","Blocked"))</f>
      </c>
      <c r="BP322">
        <f>IF($BO322="","",IFERROR(VLOOKUP($BO322,'01_Warehouse_Ledger'!$A:$N,4,FALSE),""))</f>
      </c>
      <c r="BQ322">
        <f>IF($BO322="","",IFERROR(VLOOKUP($BO322,'01_Warehouse_Ledger'!$A:$N,5,FALSE),""))</f>
      </c>
      <c r="BR322">
        <f>IF($BO322="","",IFERROR(VLOOKUP($BO322,'01_Warehouse_Ledger'!$A:$N,13,FALSE),""))</f>
      </c>
    </row>
    <row r="323">
      <c r="D323">
        <f>IF($B323&lt;&gt;"Yes","",IF($C323="No","Yes",IF($C323="Yes","No","")))</f>
      </c>
      <c r="E323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</c>
      <c r="F323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</c>
      <c r="BL323">
        <f>IF($T323="","",IF((IF(AND($AW323&lt;&gt;"Yes",$AW323&lt;&gt;"N/A"),"Power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",""))="","",LEFT(IF(AND($AW323&lt;&gt;"Yes",$AW323&lt;&gt;"N/A"),"Power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",""),LEN(IF(AND($AW323&lt;&gt;"Yes",$AW323&lt;&gt;"N/A"),"Power Cable, ","")&amp;IF(AND($AX323&lt;&gt;"Yes",$AX323&lt;&gt;"N/A"),"Battery, ","")&amp;IF(AND($BE323&lt;&gt;"Yes",$BE323&lt;&gt;"N/A"),"Firmware Download, ","")&amp;IF(AND(OR($BE323="Yes",$BE323="N/A"),$BF323&lt;&gt;"Yes",$BF323&lt;&gt;"N/A"),"Firmware Install, ","")&amp;IF(AND($BJ323&lt;&gt;"Yes",$BJ323&lt;&gt;"N/A"),"Device ID, ","")&amp;IF(AND($BK323&lt;&gt;"Yes",$BK323&lt;&gt;"N/A"),"Epic Beans Relay, ",""))-2)))</f>
      </c>
      <c r="BM323">
        <f>IF($T323="","",IF($BL323="","Yes","Blocked"))</f>
      </c>
      <c r="BP323">
        <f>IF($BO323="","",IFERROR(VLOOKUP($BO323,'01_Warehouse_Ledger'!$A:$N,4,FALSE),""))</f>
      </c>
      <c r="BQ323">
        <f>IF($BO323="","",IFERROR(VLOOKUP($BO323,'01_Warehouse_Ledger'!$A:$N,5,FALSE),""))</f>
      </c>
      <c r="BR323">
        <f>IF($BO323="","",IFERROR(VLOOKUP($BO323,'01_Warehouse_Ledger'!$A:$N,13,FALSE),""))</f>
      </c>
    </row>
    <row r="324">
      <c r="D324">
        <f>IF($B324&lt;&gt;"Yes","",IF($C324="No","Yes",IF($C324="Yes","No","")))</f>
      </c>
      <c r="E324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</c>
      <c r="F324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</c>
      <c r="BL324">
        <f>IF($T324="","",IF((IF(AND($AW324&lt;&gt;"Yes",$AW324&lt;&gt;"N/A"),"Power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",""))="","",LEFT(IF(AND($AW324&lt;&gt;"Yes",$AW324&lt;&gt;"N/A"),"Power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",""),LEN(IF(AND($AW324&lt;&gt;"Yes",$AW324&lt;&gt;"N/A"),"Power Cable, ","")&amp;IF(AND($AX324&lt;&gt;"Yes",$AX324&lt;&gt;"N/A"),"Battery, ","")&amp;IF(AND($BE324&lt;&gt;"Yes",$BE324&lt;&gt;"N/A"),"Firmware Download, ","")&amp;IF(AND(OR($BE324="Yes",$BE324="N/A"),$BF324&lt;&gt;"Yes",$BF324&lt;&gt;"N/A"),"Firmware Install, ","")&amp;IF(AND($BJ324&lt;&gt;"Yes",$BJ324&lt;&gt;"N/A"),"Device ID, ","")&amp;IF(AND($BK324&lt;&gt;"Yes",$BK324&lt;&gt;"N/A"),"Epic Beans Relay, ",""))-2)))</f>
      </c>
      <c r="BM324">
        <f>IF($T324="","",IF($BL324="","Yes","Blocked"))</f>
      </c>
      <c r="BP324">
        <f>IF($BO324="","",IFERROR(VLOOKUP($BO324,'01_Warehouse_Ledger'!$A:$N,4,FALSE),""))</f>
      </c>
      <c r="BQ324">
        <f>IF($BO324="","",IFERROR(VLOOKUP($BO324,'01_Warehouse_Ledger'!$A:$N,5,FALSE),""))</f>
      </c>
      <c r="BR324">
        <f>IF($BO324="","",IFERROR(VLOOKUP($BO324,'01_Warehouse_Ledger'!$A:$N,13,FALSE),""))</f>
      </c>
    </row>
    <row r="325">
      <c r="D325">
        <f>IF($B325&lt;&gt;"Yes","",IF($C325="No","Yes",IF($C325="Yes","No","")))</f>
      </c>
      <c r="E325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</c>
      <c r="F325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</c>
      <c r="BL325">
        <f>IF($T325="","",IF((IF(AND($AW325&lt;&gt;"Yes",$AW325&lt;&gt;"N/A"),"Power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",""))="","",LEFT(IF(AND($AW325&lt;&gt;"Yes",$AW325&lt;&gt;"N/A"),"Power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",""),LEN(IF(AND($AW325&lt;&gt;"Yes",$AW325&lt;&gt;"N/A"),"Power Cable, ","")&amp;IF(AND($AX325&lt;&gt;"Yes",$AX325&lt;&gt;"N/A"),"Battery, ","")&amp;IF(AND($BE325&lt;&gt;"Yes",$BE325&lt;&gt;"N/A"),"Firmware Download, ","")&amp;IF(AND(OR($BE325="Yes",$BE325="N/A"),$BF325&lt;&gt;"Yes",$BF325&lt;&gt;"N/A"),"Firmware Install, ","")&amp;IF(AND($BJ325&lt;&gt;"Yes",$BJ325&lt;&gt;"N/A"),"Device ID, ","")&amp;IF(AND($BK325&lt;&gt;"Yes",$BK325&lt;&gt;"N/A"),"Epic Beans Relay, ",""))-2)))</f>
      </c>
      <c r="BM325">
        <f>IF($T325="","",IF($BL325="","Yes","Blocked"))</f>
      </c>
      <c r="BP325">
        <f>IF($BO325="","",IFERROR(VLOOKUP($BO325,'01_Warehouse_Ledger'!$A:$N,4,FALSE),""))</f>
      </c>
      <c r="BQ325">
        <f>IF($BO325="","",IFERROR(VLOOKUP($BO325,'01_Warehouse_Ledger'!$A:$N,5,FALSE),""))</f>
      </c>
      <c r="BR325">
        <f>IF($BO325="","",IFERROR(VLOOKUP($BO325,'01_Warehouse_Ledger'!$A:$N,13,FALSE),""))</f>
      </c>
    </row>
    <row r="326">
      <c r="D326">
        <f>IF($B326&lt;&gt;"Yes","",IF($C326="No","Yes",IF($C326="Yes","No","")))</f>
      </c>
      <c r="E326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</c>
      <c r="F326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</c>
      <c r="BL326">
        <f>IF($T326="","",IF((IF(AND($AW326&lt;&gt;"Yes",$AW326&lt;&gt;"N/A"),"Power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",""))="","",LEFT(IF(AND($AW326&lt;&gt;"Yes",$AW326&lt;&gt;"N/A"),"Power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",""),LEN(IF(AND($AW326&lt;&gt;"Yes",$AW326&lt;&gt;"N/A"),"Power Cable, ","")&amp;IF(AND($AX326&lt;&gt;"Yes",$AX326&lt;&gt;"N/A"),"Battery, ","")&amp;IF(AND($BE326&lt;&gt;"Yes",$BE326&lt;&gt;"N/A"),"Firmware Download, ","")&amp;IF(AND(OR($BE326="Yes",$BE326="N/A"),$BF326&lt;&gt;"Yes",$BF326&lt;&gt;"N/A"),"Firmware Install, ","")&amp;IF(AND($BJ326&lt;&gt;"Yes",$BJ326&lt;&gt;"N/A"),"Device ID, ","")&amp;IF(AND($BK326&lt;&gt;"Yes",$BK326&lt;&gt;"N/A"),"Epic Beans Relay, ",""))-2)))</f>
      </c>
      <c r="BM326">
        <f>IF($T326="","",IF($BL326="","Yes","Blocked"))</f>
      </c>
      <c r="BP326">
        <f>IF($BO326="","",IFERROR(VLOOKUP($BO326,'01_Warehouse_Ledger'!$A:$N,4,FALSE),""))</f>
      </c>
      <c r="BQ326">
        <f>IF($BO326="","",IFERROR(VLOOKUP($BO326,'01_Warehouse_Ledger'!$A:$N,5,FALSE),""))</f>
      </c>
      <c r="BR326">
        <f>IF($BO326="","",IFERROR(VLOOKUP($BO326,'01_Warehouse_Ledger'!$A:$N,13,FALSE),""))</f>
      </c>
    </row>
    <row r="327">
      <c r="D327">
        <f>IF($B327&lt;&gt;"Yes","",IF($C327="No","Yes",IF($C327="Yes","No","")))</f>
      </c>
      <c r="E327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</c>
      <c r="F327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</c>
      <c r="BL327">
        <f>IF($T327="","",IF((IF(AND($AW327&lt;&gt;"Yes",$AW327&lt;&gt;"N/A"),"Power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",""))="","",LEFT(IF(AND($AW327&lt;&gt;"Yes",$AW327&lt;&gt;"N/A"),"Power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",""),LEN(IF(AND($AW327&lt;&gt;"Yes",$AW327&lt;&gt;"N/A"),"Power Cable, ","")&amp;IF(AND($AX327&lt;&gt;"Yes",$AX327&lt;&gt;"N/A"),"Battery, ","")&amp;IF(AND($BE327&lt;&gt;"Yes",$BE327&lt;&gt;"N/A"),"Firmware Download, ","")&amp;IF(AND(OR($BE327="Yes",$BE327="N/A"),$BF327&lt;&gt;"Yes",$BF327&lt;&gt;"N/A"),"Firmware Install, ","")&amp;IF(AND($BJ327&lt;&gt;"Yes",$BJ327&lt;&gt;"N/A"),"Device ID, ","")&amp;IF(AND($BK327&lt;&gt;"Yes",$BK327&lt;&gt;"N/A"),"Epic Beans Relay, ",""))-2)))</f>
      </c>
      <c r="BM327">
        <f>IF($T327="","",IF($BL327="","Yes","Blocked"))</f>
      </c>
      <c r="BP327">
        <f>IF($BO327="","",IFERROR(VLOOKUP($BO327,'01_Warehouse_Ledger'!$A:$N,4,FALSE),""))</f>
      </c>
      <c r="BQ327">
        <f>IF($BO327="","",IFERROR(VLOOKUP($BO327,'01_Warehouse_Ledger'!$A:$N,5,FALSE),""))</f>
      </c>
      <c r="BR327">
        <f>IF($BO327="","",IFERROR(VLOOKUP($BO327,'01_Warehouse_Ledger'!$A:$N,13,FALSE),""))</f>
      </c>
    </row>
    <row r="328">
      <c r="D328">
        <f>IF($B328&lt;&gt;"Yes","",IF($C328="No","Yes",IF($C328="Yes","No","")))</f>
      </c>
      <c r="E328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</c>
      <c r="F328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</c>
      <c r="BL328">
        <f>IF($T328="","",IF((IF(AND($AW328&lt;&gt;"Yes",$AW328&lt;&gt;"N/A"),"Power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",""))="","",LEFT(IF(AND($AW328&lt;&gt;"Yes",$AW328&lt;&gt;"N/A"),"Power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",""),LEN(IF(AND($AW328&lt;&gt;"Yes",$AW328&lt;&gt;"N/A"),"Power Cable, ","")&amp;IF(AND($AX328&lt;&gt;"Yes",$AX328&lt;&gt;"N/A"),"Battery, ","")&amp;IF(AND($BE328&lt;&gt;"Yes",$BE328&lt;&gt;"N/A"),"Firmware Download, ","")&amp;IF(AND(OR($BE328="Yes",$BE328="N/A"),$BF328&lt;&gt;"Yes",$BF328&lt;&gt;"N/A"),"Firmware Install, ","")&amp;IF(AND($BJ328&lt;&gt;"Yes",$BJ328&lt;&gt;"N/A"),"Device ID, ","")&amp;IF(AND($BK328&lt;&gt;"Yes",$BK328&lt;&gt;"N/A"),"Epic Beans Relay, ",""))-2)))</f>
      </c>
      <c r="BM328">
        <f>IF($T328="","",IF($BL328="","Yes","Blocked"))</f>
      </c>
      <c r="BP328">
        <f>IF($BO328="","",IFERROR(VLOOKUP($BO328,'01_Warehouse_Ledger'!$A:$N,4,FALSE),""))</f>
      </c>
      <c r="BQ328">
        <f>IF($BO328="","",IFERROR(VLOOKUP($BO328,'01_Warehouse_Ledger'!$A:$N,5,FALSE),""))</f>
      </c>
      <c r="BR328">
        <f>IF($BO328="","",IFERROR(VLOOKUP($BO328,'01_Warehouse_Ledger'!$A:$N,13,FALSE),""))</f>
      </c>
    </row>
    <row r="329">
      <c r="D329">
        <f>IF($B329&lt;&gt;"Yes","",IF($C329="No","Yes",IF($C329="Yes","No","")))</f>
      </c>
      <c r="E329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</c>
      <c r="F329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</c>
      <c r="BL329">
        <f>IF($T329="","",IF((IF(AND($AW329&lt;&gt;"Yes",$AW329&lt;&gt;"N/A"),"Power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",""))="","",LEFT(IF(AND($AW329&lt;&gt;"Yes",$AW329&lt;&gt;"N/A"),"Power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",""),LEN(IF(AND($AW329&lt;&gt;"Yes",$AW329&lt;&gt;"N/A"),"Power Cable, ","")&amp;IF(AND($AX329&lt;&gt;"Yes",$AX329&lt;&gt;"N/A"),"Battery, ","")&amp;IF(AND($BE329&lt;&gt;"Yes",$BE329&lt;&gt;"N/A"),"Firmware Download, ","")&amp;IF(AND(OR($BE329="Yes",$BE329="N/A"),$BF329&lt;&gt;"Yes",$BF329&lt;&gt;"N/A"),"Firmware Install, ","")&amp;IF(AND($BJ329&lt;&gt;"Yes",$BJ329&lt;&gt;"N/A"),"Device ID, ","")&amp;IF(AND($BK329&lt;&gt;"Yes",$BK329&lt;&gt;"N/A"),"Epic Beans Relay, ",""))-2)))</f>
      </c>
      <c r="BM329">
        <f>IF($T329="","",IF($BL329="","Yes","Blocked"))</f>
      </c>
      <c r="BP329">
        <f>IF($BO329="","",IFERROR(VLOOKUP($BO329,'01_Warehouse_Ledger'!$A:$N,4,FALSE),""))</f>
      </c>
      <c r="BQ329">
        <f>IF($BO329="","",IFERROR(VLOOKUP($BO329,'01_Warehouse_Ledger'!$A:$N,5,FALSE),""))</f>
      </c>
      <c r="BR329">
        <f>IF($BO329="","",IFERROR(VLOOKUP($BO329,'01_Warehouse_Ledger'!$A:$N,13,FALSE),""))</f>
      </c>
    </row>
    <row r="330">
      <c r="D330">
        <f>IF($B330&lt;&gt;"Yes","",IF($C330="No","Yes",IF($C330="Yes","No","")))</f>
      </c>
      <c r="E330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</c>
      <c r="F330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</c>
      <c r="BL330">
        <f>IF($T330="","",IF((IF(AND($AW330&lt;&gt;"Yes",$AW330&lt;&gt;"N/A"),"Power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",""))="","",LEFT(IF(AND($AW330&lt;&gt;"Yes",$AW330&lt;&gt;"N/A"),"Power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",""),LEN(IF(AND($AW330&lt;&gt;"Yes",$AW330&lt;&gt;"N/A"),"Power Cable, ","")&amp;IF(AND($AX330&lt;&gt;"Yes",$AX330&lt;&gt;"N/A"),"Battery, ","")&amp;IF(AND($BE330&lt;&gt;"Yes",$BE330&lt;&gt;"N/A"),"Firmware Download, ","")&amp;IF(AND(OR($BE330="Yes",$BE330="N/A"),$BF330&lt;&gt;"Yes",$BF330&lt;&gt;"N/A"),"Firmware Install, ","")&amp;IF(AND($BJ330&lt;&gt;"Yes",$BJ330&lt;&gt;"N/A"),"Device ID, ","")&amp;IF(AND($BK330&lt;&gt;"Yes",$BK330&lt;&gt;"N/A"),"Epic Beans Relay, ",""))-2)))</f>
      </c>
      <c r="BM330">
        <f>IF($T330="","",IF($BL330="","Yes","Blocked"))</f>
      </c>
      <c r="BP330">
        <f>IF($BO330="","",IFERROR(VLOOKUP($BO330,'01_Warehouse_Ledger'!$A:$N,4,FALSE),""))</f>
      </c>
      <c r="BQ330">
        <f>IF($BO330="","",IFERROR(VLOOKUP($BO330,'01_Warehouse_Ledger'!$A:$N,5,FALSE),""))</f>
      </c>
      <c r="BR330">
        <f>IF($BO330="","",IFERROR(VLOOKUP($BO330,'01_Warehouse_Ledger'!$A:$N,13,FALSE),""))</f>
      </c>
    </row>
    <row r="331">
      <c r="D331">
        <f>IF($B331&lt;&gt;"Yes","",IF($C331="No","Yes",IF($C331="Yes","No","")))</f>
      </c>
      <c r="E331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</c>
      <c r="F331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</c>
      <c r="BL331">
        <f>IF($T331="","",IF((IF(AND($AW331&lt;&gt;"Yes",$AW331&lt;&gt;"N/A"),"Power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",""))="","",LEFT(IF(AND($AW331&lt;&gt;"Yes",$AW331&lt;&gt;"N/A"),"Power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",""),LEN(IF(AND($AW331&lt;&gt;"Yes",$AW331&lt;&gt;"N/A"),"Power Cable, ","")&amp;IF(AND($AX331&lt;&gt;"Yes",$AX331&lt;&gt;"N/A"),"Battery, ","")&amp;IF(AND($BE331&lt;&gt;"Yes",$BE331&lt;&gt;"N/A"),"Firmware Download, ","")&amp;IF(AND(OR($BE331="Yes",$BE331="N/A"),$BF331&lt;&gt;"Yes",$BF331&lt;&gt;"N/A"),"Firmware Install, ","")&amp;IF(AND($BJ331&lt;&gt;"Yes",$BJ331&lt;&gt;"N/A"),"Device ID, ","")&amp;IF(AND($BK331&lt;&gt;"Yes",$BK331&lt;&gt;"N/A"),"Epic Beans Relay, ",""))-2)))</f>
      </c>
      <c r="BM331">
        <f>IF($T331="","",IF($BL331="","Yes","Blocked"))</f>
      </c>
      <c r="BP331">
        <f>IF($BO331="","",IFERROR(VLOOKUP($BO331,'01_Warehouse_Ledger'!$A:$N,4,FALSE),""))</f>
      </c>
      <c r="BQ331">
        <f>IF($BO331="","",IFERROR(VLOOKUP($BO331,'01_Warehouse_Ledger'!$A:$N,5,FALSE),""))</f>
      </c>
      <c r="BR331">
        <f>IF($BO331="","",IFERROR(VLOOKUP($BO331,'01_Warehouse_Ledger'!$A:$N,13,FALSE),""))</f>
      </c>
    </row>
    <row r="332">
      <c r="D332">
        <f>IF($B332&lt;&gt;"Yes","",IF($C332="No","Yes",IF($C332="Yes","No","")))</f>
      </c>
      <c r="E332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</c>
      <c r="F332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</c>
      <c r="BL332">
        <f>IF($T332="","",IF((IF(AND($AW332&lt;&gt;"Yes",$AW332&lt;&gt;"N/A"),"Power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",""))="","",LEFT(IF(AND($AW332&lt;&gt;"Yes",$AW332&lt;&gt;"N/A"),"Power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",""),LEN(IF(AND($AW332&lt;&gt;"Yes",$AW332&lt;&gt;"N/A"),"Power Cable, ","")&amp;IF(AND($AX332&lt;&gt;"Yes",$AX332&lt;&gt;"N/A"),"Battery, ","")&amp;IF(AND($BE332&lt;&gt;"Yes",$BE332&lt;&gt;"N/A"),"Firmware Download, ","")&amp;IF(AND(OR($BE332="Yes",$BE332="N/A"),$BF332&lt;&gt;"Yes",$BF332&lt;&gt;"N/A"),"Firmware Install, ","")&amp;IF(AND($BJ332&lt;&gt;"Yes",$BJ332&lt;&gt;"N/A"),"Device ID, ","")&amp;IF(AND($BK332&lt;&gt;"Yes",$BK332&lt;&gt;"N/A"),"Epic Beans Relay, ",""))-2)))</f>
      </c>
      <c r="BM332">
        <f>IF($T332="","",IF($BL332="","Yes","Blocked"))</f>
      </c>
      <c r="BP332">
        <f>IF($BO332="","",IFERROR(VLOOKUP($BO332,'01_Warehouse_Ledger'!$A:$N,4,FALSE),""))</f>
      </c>
      <c r="BQ332">
        <f>IF($BO332="","",IFERROR(VLOOKUP($BO332,'01_Warehouse_Ledger'!$A:$N,5,FALSE),""))</f>
      </c>
      <c r="BR332">
        <f>IF($BO332="","",IFERROR(VLOOKUP($BO332,'01_Warehouse_Ledger'!$A:$N,13,FALSE),""))</f>
      </c>
    </row>
    <row r="333">
      <c r="D333">
        <f>IF($B333&lt;&gt;"Yes","",IF($C333="No","Yes",IF($C333="Yes","No","")))</f>
      </c>
      <c r="E333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</c>
      <c r="F333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</c>
      <c r="BL333">
        <f>IF($T333="","",IF((IF(AND($AW333&lt;&gt;"Yes",$AW333&lt;&gt;"N/A"),"Power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",""))="","",LEFT(IF(AND($AW333&lt;&gt;"Yes",$AW333&lt;&gt;"N/A"),"Power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",""),LEN(IF(AND($AW333&lt;&gt;"Yes",$AW333&lt;&gt;"N/A"),"Power Cable, ","")&amp;IF(AND($AX333&lt;&gt;"Yes",$AX333&lt;&gt;"N/A"),"Battery, ","")&amp;IF(AND($BE333&lt;&gt;"Yes",$BE333&lt;&gt;"N/A"),"Firmware Download, ","")&amp;IF(AND(OR($BE333="Yes",$BE333="N/A"),$BF333&lt;&gt;"Yes",$BF333&lt;&gt;"N/A"),"Firmware Install, ","")&amp;IF(AND($BJ333&lt;&gt;"Yes",$BJ333&lt;&gt;"N/A"),"Device ID, ","")&amp;IF(AND($BK333&lt;&gt;"Yes",$BK333&lt;&gt;"N/A"),"Epic Beans Relay, ",""))-2)))</f>
      </c>
      <c r="BM333">
        <f>IF($T333="","",IF($BL333="","Yes","Blocked"))</f>
      </c>
      <c r="BP333">
        <f>IF($BO333="","",IFERROR(VLOOKUP($BO333,'01_Warehouse_Ledger'!$A:$N,4,FALSE),""))</f>
      </c>
      <c r="BQ333">
        <f>IF($BO333="","",IFERROR(VLOOKUP($BO333,'01_Warehouse_Ledger'!$A:$N,5,FALSE),""))</f>
      </c>
      <c r="BR333">
        <f>IF($BO333="","",IFERROR(VLOOKUP($BO333,'01_Warehouse_Ledger'!$A:$N,13,FALSE),""))</f>
      </c>
    </row>
    <row r="334">
      <c r="D334">
        <f>IF($B334&lt;&gt;"Yes","",IF($C334="No","Yes",IF($C334="Yes","No","")))</f>
      </c>
      <c r="E334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</c>
      <c r="F334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</c>
      <c r="BL334">
        <f>IF($T334="","",IF((IF(AND($AW334&lt;&gt;"Yes",$AW334&lt;&gt;"N/A"),"Power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",""))="","",LEFT(IF(AND($AW334&lt;&gt;"Yes",$AW334&lt;&gt;"N/A"),"Power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",""),LEN(IF(AND($AW334&lt;&gt;"Yes",$AW334&lt;&gt;"N/A"),"Power Cable, ","")&amp;IF(AND($AX334&lt;&gt;"Yes",$AX334&lt;&gt;"N/A"),"Battery, ","")&amp;IF(AND($BE334&lt;&gt;"Yes",$BE334&lt;&gt;"N/A"),"Firmware Download, ","")&amp;IF(AND(OR($BE334="Yes",$BE334="N/A"),$BF334&lt;&gt;"Yes",$BF334&lt;&gt;"N/A"),"Firmware Install, ","")&amp;IF(AND($BJ334&lt;&gt;"Yes",$BJ334&lt;&gt;"N/A"),"Device ID, ","")&amp;IF(AND($BK334&lt;&gt;"Yes",$BK334&lt;&gt;"N/A"),"Epic Beans Relay, ",""))-2)))</f>
      </c>
      <c r="BM334">
        <f>IF($T334="","",IF($BL334="","Yes","Blocked"))</f>
      </c>
      <c r="BP334">
        <f>IF($BO334="","",IFERROR(VLOOKUP($BO334,'01_Warehouse_Ledger'!$A:$N,4,FALSE),""))</f>
      </c>
      <c r="BQ334">
        <f>IF($BO334="","",IFERROR(VLOOKUP($BO334,'01_Warehouse_Ledger'!$A:$N,5,FALSE),""))</f>
      </c>
      <c r="BR334">
        <f>IF($BO334="","",IFERROR(VLOOKUP($BO334,'01_Warehouse_Ledger'!$A:$N,13,FALSE),""))</f>
      </c>
    </row>
    <row r="335">
      <c r="D335">
        <f>IF($B335&lt;&gt;"Yes","",IF($C335="No","Yes",IF($C335="Yes","No","")))</f>
      </c>
      <c r="E335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</c>
      <c r="F335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</c>
      <c r="BL335">
        <f>IF($T335="","",IF((IF(AND($AW335&lt;&gt;"Yes",$AW335&lt;&gt;"N/A"),"Power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",""))="","",LEFT(IF(AND($AW335&lt;&gt;"Yes",$AW335&lt;&gt;"N/A"),"Power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",""),LEN(IF(AND($AW335&lt;&gt;"Yes",$AW335&lt;&gt;"N/A"),"Power Cable, ","")&amp;IF(AND($AX335&lt;&gt;"Yes",$AX335&lt;&gt;"N/A"),"Battery, ","")&amp;IF(AND($BE335&lt;&gt;"Yes",$BE335&lt;&gt;"N/A"),"Firmware Download, ","")&amp;IF(AND(OR($BE335="Yes",$BE335="N/A"),$BF335&lt;&gt;"Yes",$BF335&lt;&gt;"N/A"),"Firmware Install, ","")&amp;IF(AND($BJ335&lt;&gt;"Yes",$BJ335&lt;&gt;"N/A"),"Device ID, ","")&amp;IF(AND($BK335&lt;&gt;"Yes",$BK335&lt;&gt;"N/A"),"Epic Beans Relay, ",""))-2)))</f>
      </c>
      <c r="BM335">
        <f>IF($T335="","",IF($BL335="","Yes","Blocked"))</f>
      </c>
      <c r="BP335">
        <f>IF($BO335="","",IFERROR(VLOOKUP($BO335,'01_Warehouse_Ledger'!$A:$N,4,FALSE),""))</f>
      </c>
      <c r="BQ335">
        <f>IF($BO335="","",IFERROR(VLOOKUP($BO335,'01_Warehouse_Ledger'!$A:$N,5,FALSE),""))</f>
      </c>
      <c r="BR335">
        <f>IF($BO335="","",IFERROR(VLOOKUP($BO335,'01_Warehouse_Ledger'!$A:$N,13,FALSE),""))</f>
      </c>
    </row>
    <row r="336">
      <c r="D336">
        <f>IF($B336&lt;&gt;"Yes","",IF($C336="No","Yes",IF($C336="Yes","No","")))</f>
      </c>
      <c r="E336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</c>
      <c r="F336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</c>
      <c r="BL336">
        <f>IF($T336="","",IF((IF(AND($AW336&lt;&gt;"Yes",$AW336&lt;&gt;"N/A"),"Power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",""))="","",LEFT(IF(AND($AW336&lt;&gt;"Yes",$AW336&lt;&gt;"N/A"),"Power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",""),LEN(IF(AND($AW336&lt;&gt;"Yes",$AW336&lt;&gt;"N/A"),"Power Cable, ","")&amp;IF(AND($AX336&lt;&gt;"Yes",$AX336&lt;&gt;"N/A"),"Battery, ","")&amp;IF(AND($BE336&lt;&gt;"Yes",$BE336&lt;&gt;"N/A"),"Firmware Download, ","")&amp;IF(AND(OR($BE336="Yes",$BE336="N/A"),$BF336&lt;&gt;"Yes",$BF336&lt;&gt;"N/A"),"Firmware Install, ","")&amp;IF(AND($BJ336&lt;&gt;"Yes",$BJ336&lt;&gt;"N/A"),"Device ID, ","")&amp;IF(AND($BK336&lt;&gt;"Yes",$BK336&lt;&gt;"N/A"),"Epic Beans Relay, ",""))-2)))</f>
      </c>
      <c r="BM336">
        <f>IF($T336="","",IF($BL336="","Yes","Blocked"))</f>
      </c>
      <c r="BP336">
        <f>IF($BO336="","",IFERROR(VLOOKUP($BO336,'01_Warehouse_Ledger'!$A:$N,4,FALSE),""))</f>
      </c>
      <c r="BQ336">
        <f>IF($BO336="","",IFERROR(VLOOKUP($BO336,'01_Warehouse_Ledger'!$A:$N,5,FALSE),""))</f>
      </c>
      <c r="BR336">
        <f>IF($BO336="","",IFERROR(VLOOKUP($BO336,'01_Warehouse_Ledger'!$A:$N,13,FALSE),""))</f>
      </c>
    </row>
    <row r="337">
      <c r="D337">
        <f>IF($B337&lt;&gt;"Yes","",IF($C337="No","Yes",IF($C337="Yes","No","")))</f>
      </c>
      <c r="E337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</c>
      <c r="F337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</c>
      <c r="BL337">
        <f>IF($T337="","",IF((IF(AND($AW337&lt;&gt;"Yes",$AW337&lt;&gt;"N/A"),"Power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",""))="","",LEFT(IF(AND($AW337&lt;&gt;"Yes",$AW337&lt;&gt;"N/A"),"Power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",""),LEN(IF(AND($AW337&lt;&gt;"Yes",$AW337&lt;&gt;"N/A"),"Power Cable, ","")&amp;IF(AND($AX337&lt;&gt;"Yes",$AX337&lt;&gt;"N/A"),"Battery, ","")&amp;IF(AND($BE337&lt;&gt;"Yes",$BE337&lt;&gt;"N/A"),"Firmware Download, ","")&amp;IF(AND(OR($BE337="Yes",$BE337="N/A"),$BF337&lt;&gt;"Yes",$BF337&lt;&gt;"N/A"),"Firmware Install, ","")&amp;IF(AND($BJ337&lt;&gt;"Yes",$BJ337&lt;&gt;"N/A"),"Device ID, ","")&amp;IF(AND($BK337&lt;&gt;"Yes",$BK337&lt;&gt;"N/A"),"Epic Beans Relay, ",""))-2)))</f>
      </c>
      <c r="BM337">
        <f>IF($T337="","",IF($BL337="","Yes","Blocked"))</f>
      </c>
      <c r="BP337">
        <f>IF($BO337="","",IFERROR(VLOOKUP($BO337,'01_Warehouse_Ledger'!$A:$N,4,FALSE),""))</f>
      </c>
      <c r="BQ337">
        <f>IF($BO337="","",IFERROR(VLOOKUP($BO337,'01_Warehouse_Ledger'!$A:$N,5,FALSE),""))</f>
      </c>
      <c r="BR337">
        <f>IF($BO337="","",IFERROR(VLOOKUP($BO337,'01_Warehouse_Ledger'!$A:$N,13,FALSE),""))</f>
      </c>
    </row>
    <row r="338">
      <c r="D338">
        <f>IF($B338&lt;&gt;"Yes","",IF($C338="No","Yes",IF($C338="Yes","No","")))</f>
      </c>
      <c r="E338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</c>
      <c r="F338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</c>
      <c r="BL338">
        <f>IF($T338="","",IF((IF(AND($AW338&lt;&gt;"Yes",$AW338&lt;&gt;"N/A"),"Power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",""))="","",LEFT(IF(AND($AW338&lt;&gt;"Yes",$AW338&lt;&gt;"N/A"),"Power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",""),LEN(IF(AND($AW338&lt;&gt;"Yes",$AW338&lt;&gt;"N/A"),"Power Cable, ","")&amp;IF(AND($AX338&lt;&gt;"Yes",$AX338&lt;&gt;"N/A"),"Battery, ","")&amp;IF(AND($BE338&lt;&gt;"Yes",$BE338&lt;&gt;"N/A"),"Firmware Download, ","")&amp;IF(AND(OR($BE338="Yes",$BE338="N/A"),$BF338&lt;&gt;"Yes",$BF338&lt;&gt;"N/A"),"Firmware Install, ","")&amp;IF(AND($BJ338&lt;&gt;"Yes",$BJ338&lt;&gt;"N/A"),"Device ID, ","")&amp;IF(AND($BK338&lt;&gt;"Yes",$BK338&lt;&gt;"N/A"),"Epic Beans Relay, ",""))-2)))</f>
      </c>
      <c r="BM338">
        <f>IF($T338="","",IF($BL338="","Yes","Blocked"))</f>
      </c>
      <c r="BP338">
        <f>IF($BO338="","",IFERROR(VLOOKUP($BO338,'01_Warehouse_Ledger'!$A:$N,4,FALSE),""))</f>
      </c>
      <c r="BQ338">
        <f>IF($BO338="","",IFERROR(VLOOKUP($BO338,'01_Warehouse_Ledger'!$A:$N,5,FALSE),""))</f>
      </c>
      <c r="BR338">
        <f>IF($BO338="","",IFERROR(VLOOKUP($BO338,'01_Warehouse_Ledger'!$A:$N,13,FALSE),""))</f>
      </c>
    </row>
    <row r="339">
      <c r="D339">
        <f>IF($B339&lt;&gt;"Yes","",IF($C339="No","Yes",IF($C339="Yes","No","")))</f>
      </c>
      <c r="E339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</c>
      <c r="F339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</c>
      <c r="BL339">
        <f>IF($T339="","",IF((IF(AND($AW339&lt;&gt;"Yes",$AW339&lt;&gt;"N/A"),"Power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",""))="","",LEFT(IF(AND($AW339&lt;&gt;"Yes",$AW339&lt;&gt;"N/A"),"Power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",""),LEN(IF(AND($AW339&lt;&gt;"Yes",$AW339&lt;&gt;"N/A"),"Power Cable, ","")&amp;IF(AND($AX339&lt;&gt;"Yes",$AX339&lt;&gt;"N/A"),"Battery, ","")&amp;IF(AND($BE339&lt;&gt;"Yes",$BE339&lt;&gt;"N/A"),"Firmware Download, ","")&amp;IF(AND(OR($BE339="Yes",$BE339="N/A"),$BF339&lt;&gt;"Yes",$BF339&lt;&gt;"N/A"),"Firmware Install, ","")&amp;IF(AND($BJ339&lt;&gt;"Yes",$BJ339&lt;&gt;"N/A"),"Device ID, ","")&amp;IF(AND($BK339&lt;&gt;"Yes",$BK339&lt;&gt;"N/A"),"Epic Beans Relay, ",""))-2)))</f>
      </c>
      <c r="BM339">
        <f>IF($T339="","",IF($BL339="","Yes","Blocked"))</f>
      </c>
      <c r="BP339">
        <f>IF($BO339="","",IFERROR(VLOOKUP($BO339,'01_Warehouse_Ledger'!$A:$N,4,FALSE),""))</f>
      </c>
      <c r="BQ339">
        <f>IF($BO339="","",IFERROR(VLOOKUP($BO339,'01_Warehouse_Ledger'!$A:$N,5,FALSE),""))</f>
      </c>
      <c r="BR339">
        <f>IF($BO339="","",IFERROR(VLOOKUP($BO339,'01_Warehouse_Ledger'!$A:$N,13,FALSE),""))</f>
      </c>
    </row>
    <row r="340">
      <c r="D340">
        <f>IF($B340&lt;&gt;"Yes","",IF($C340="No","Yes",IF($C340="Yes","No","")))</f>
      </c>
      <c r="E340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</c>
      <c r="F340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</c>
      <c r="BL340">
        <f>IF($T340="","",IF((IF(AND($AW340&lt;&gt;"Yes",$AW340&lt;&gt;"N/A"),"Power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",""))="","",LEFT(IF(AND($AW340&lt;&gt;"Yes",$AW340&lt;&gt;"N/A"),"Power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",""),LEN(IF(AND($AW340&lt;&gt;"Yes",$AW340&lt;&gt;"N/A"),"Power Cable, ","")&amp;IF(AND($AX340&lt;&gt;"Yes",$AX340&lt;&gt;"N/A"),"Battery, ","")&amp;IF(AND($BE340&lt;&gt;"Yes",$BE340&lt;&gt;"N/A"),"Firmware Download, ","")&amp;IF(AND(OR($BE340="Yes",$BE340="N/A"),$BF340&lt;&gt;"Yes",$BF340&lt;&gt;"N/A"),"Firmware Install, ","")&amp;IF(AND($BJ340&lt;&gt;"Yes",$BJ340&lt;&gt;"N/A"),"Device ID, ","")&amp;IF(AND($BK340&lt;&gt;"Yes",$BK340&lt;&gt;"N/A"),"Epic Beans Relay, ",""))-2)))</f>
      </c>
      <c r="BM340">
        <f>IF($T340="","",IF($BL340="","Yes","Blocked"))</f>
      </c>
      <c r="BP340">
        <f>IF($BO340="","",IFERROR(VLOOKUP($BO340,'01_Warehouse_Ledger'!$A:$N,4,FALSE),""))</f>
      </c>
      <c r="BQ340">
        <f>IF($BO340="","",IFERROR(VLOOKUP($BO340,'01_Warehouse_Ledger'!$A:$N,5,FALSE),""))</f>
      </c>
      <c r="BR340">
        <f>IF($BO340="","",IFERROR(VLOOKUP($BO340,'01_Warehouse_Ledger'!$A:$N,13,FALSE),""))</f>
      </c>
    </row>
    <row r="341">
      <c r="D341">
        <f>IF($B341&lt;&gt;"Yes","",IF($C341="No","Yes",IF($C341="Yes","No","")))</f>
      </c>
      <c r="E341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</c>
      <c r="F341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</c>
      <c r="BL341">
        <f>IF($T341="","",IF((IF(AND($AW341&lt;&gt;"Yes",$AW341&lt;&gt;"N/A"),"Power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",""))="","",LEFT(IF(AND($AW341&lt;&gt;"Yes",$AW341&lt;&gt;"N/A"),"Power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",""),LEN(IF(AND($AW341&lt;&gt;"Yes",$AW341&lt;&gt;"N/A"),"Power Cable, ","")&amp;IF(AND($AX341&lt;&gt;"Yes",$AX341&lt;&gt;"N/A"),"Battery, ","")&amp;IF(AND($BE341&lt;&gt;"Yes",$BE341&lt;&gt;"N/A"),"Firmware Download, ","")&amp;IF(AND(OR($BE341="Yes",$BE341="N/A"),$BF341&lt;&gt;"Yes",$BF341&lt;&gt;"N/A"),"Firmware Install, ","")&amp;IF(AND($BJ341&lt;&gt;"Yes",$BJ341&lt;&gt;"N/A"),"Device ID, ","")&amp;IF(AND($BK341&lt;&gt;"Yes",$BK341&lt;&gt;"N/A"),"Epic Beans Relay, ",""))-2)))</f>
      </c>
      <c r="BM341">
        <f>IF($T341="","",IF($BL341="","Yes","Blocked"))</f>
      </c>
      <c r="BP341">
        <f>IF($BO341="","",IFERROR(VLOOKUP($BO341,'01_Warehouse_Ledger'!$A:$N,4,FALSE),""))</f>
      </c>
      <c r="BQ341">
        <f>IF($BO341="","",IFERROR(VLOOKUP($BO341,'01_Warehouse_Ledger'!$A:$N,5,FALSE),""))</f>
      </c>
      <c r="BR341">
        <f>IF($BO341="","",IFERROR(VLOOKUP($BO341,'01_Warehouse_Ledger'!$A:$N,13,FALSE),""))</f>
      </c>
    </row>
    <row r="342">
      <c r="D342">
        <f>IF($B342&lt;&gt;"Yes","",IF($C342="No","Yes",IF($C342="Yes","No","")))</f>
      </c>
      <c r="E342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</c>
      <c r="F342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</c>
      <c r="BL342">
        <f>IF($T342="","",IF((IF(AND($AW342&lt;&gt;"Yes",$AW342&lt;&gt;"N/A"),"Power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",""))="","",LEFT(IF(AND($AW342&lt;&gt;"Yes",$AW342&lt;&gt;"N/A"),"Power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",""),LEN(IF(AND($AW342&lt;&gt;"Yes",$AW342&lt;&gt;"N/A"),"Power Cable, ","")&amp;IF(AND($AX342&lt;&gt;"Yes",$AX342&lt;&gt;"N/A"),"Battery, ","")&amp;IF(AND($BE342&lt;&gt;"Yes",$BE342&lt;&gt;"N/A"),"Firmware Download, ","")&amp;IF(AND(OR($BE342="Yes",$BE342="N/A"),$BF342&lt;&gt;"Yes",$BF342&lt;&gt;"N/A"),"Firmware Install, ","")&amp;IF(AND($BJ342&lt;&gt;"Yes",$BJ342&lt;&gt;"N/A"),"Device ID, ","")&amp;IF(AND($BK342&lt;&gt;"Yes",$BK342&lt;&gt;"N/A"),"Epic Beans Relay, ",""))-2)))</f>
      </c>
      <c r="BM342">
        <f>IF($T342="","",IF($BL342="","Yes","Blocked"))</f>
      </c>
      <c r="BP342">
        <f>IF($BO342="","",IFERROR(VLOOKUP($BO342,'01_Warehouse_Ledger'!$A:$N,4,FALSE),""))</f>
      </c>
      <c r="BQ342">
        <f>IF($BO342="","",IFERROR(VLOOKUP($BO342,'01_Warehouse_Ledger'!$A:$N,5,FALSE),""))</f>
      </c>
      <c r="BR342">
        <f>IF($BO342="","",IFERROR(VLOOKUP($BO342,'01_Warehouse_Ledger'!$A:$N,13,FALSE),""))</f>
      </c>
    </row>
    <row r="343">
      <c r="D343">
        <f>IF($B343&lt;&gt;"Yes","",IF($C343="No","Yes",IF($C343="Yes","No","")))</f>
      </c>
      <c r="E343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</c>
      <c r="F343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</c>
      <c r="BL343">
        <f>IF($T343="","",IF((IF(AND($AW343&lt;&gt;"Yes",$AW343&lt;&gt;"N/A"),"Power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",""))="","",LEFT(IF(AND($AW343&lt;&gt;"Yes",$AW343&lt;&gt;"N/A"),"Power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",""),LEN(IF(AND($AW343&lt;&gt;"Yes",$AW343&lt;&gt;"N/A"),"Power Cable, ","")&amp;IF(AND($AX343&lt;&gt;"Yes",$AX343&lt;&gt;"N/A"),"Battery, ","")&amp;IF(AND($BE343&lt;&gt;"Yes",$BE343&lt;&gt;"N/A"),"Firmware Download, ","")&amp;IF(AND(OR($BE343="Yes",$BE343="N/A"),$BF343&lt;&gt;"Yes",$BF343&lt;&gt;"N/A"),"Firmware Install, ","")&amp;IF(AND($BJ343&lt;&gt;"Yes",$BJ343&lt;&gt;"N/A"),"Device ID, ","")&amp;IF(AND($BK343&lt;&gt;"Yes",$BK343&lt;&gt;"N/A"),"Epic Beans Relay, ",""))-2)))</f>
      </c>
      <c r="BM343">
        <f>IF($T343="","",IF($BL343="","Yes","Blocked"))</f>
      </c>
      <c r="BP343">
        <f>IF($BO343="","",IFERROR(VLOOKUP($BO343,'01_Warehouse_Ledger'!$A:$N,4,FALSE),""))</f>
      </c>
      <c r="BQ343">
        <f>IF($BO343="","",IFERROR(VLOOKUP($BO343,'01_Warehouse_Ledger'!$A:$N,5,FALSE),""))</f>
      </c>
      <c r="BR343">
        <f>IF($BO343="","",IFERROR(VLOOKUP($BO343,'01_Warehouse_Ledger'!$A:$N,13,FALSE),""))</f>
      </c>
    </row>
    <row r="344">
      <c r="D344">
        <f>IF($B344&lt;&gt;"Yes","",IF($C344="No","Yes",IF($C344="Yes","No","")))</f>
      </c>
      <c r="E344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</c>
      <c r="F344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</c>
      <c r="BL344">
        <f>IF($T344="","",IF((IF(AND($AW344&lt;&gt;"Yes",$AW344&lt;&gt;"N/A"),"Power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",""))="","",LEFT(IF(AND($AW344&lt;&gt;"Yes",$AW344&lt;&gt;"N/A"),"Power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",""),LEN(IF(AND($AW344&lt;&gt;"Yes",$AW344&lt;&gt;"N/A"),"Power Cable, ","")&amp;IF(AND($AX344&lt;&gt;"Yes",$AX344&lt;&gt;"N/A"),"Battery, ","")&amp;IF(AND($BE344&lt;&gt;"Yes",$BE344&lt;&gt;"N/A"),"Firmware Download, ","")&amp;IF(AND(OR($BE344="Yes",$BE344="N/A"),$BF344&lt;&gt;"Yes",$BF344&lt;&gt;"N/A"),"Firmware Install, ","")&amp;IF(AND($BJ344&lt;&gt;"Yes",$BJ344&lt;&gt;"N/A"),"Device ID, ","")&amp;IF(AND($BK344&lt;&gt;"Yes",$BK344&lt;&gt;"N/A"),"Epic Beans Relay, ",""))-2)))</f>
      </c>
      <c r="BM344">
        <f>IF($T344="","",IF($BL344="","Yes","Blocked"))</f>
      </c>
      <c r="BP344">
        <f>IF($BO344="","",IFERROR(VLOOKUP($BO344,'01_Warehouse_Ledger'!$A:$N,4,FALSE),""))</f>
      </c>
      <c r="BQ344">
        <f>IF($BO344="","",IFERROR(VLOOKUP($BO344,'01_Warehouse_Ledger'!$A:$N,5,FALSE),""))</f>
      </c>
      <c r="BR344">
        <f>IF($BO344="","",IFERROR(VLOOKUP($BO344,'01_Warehouse_Ledger'!$A:$N,13,FALSE),""))</f>
      </c>
    </row>
    <row r="345">
      <c r="D345">
        <f>IF($B345&lt;&gt;"Yes","",IF($C345="No","Yes",IF($C345="Yes","No","")))</f>
      </c>
      <c r="E345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</c>
      <c r="F345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</c>
      <c r="BL345">
        <f>IF($T345="","",IF((IF(AND($AW345&lt;&gt;"Yes",$AW345&lt;&gt;"N/A"),"Power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",""))="","",LEFT(IF(AND($AW345&lt;&gt;"Yes",$AW345&lt;&gt;"N/A"),"Power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",""),LEN(IF(AND($AW345&lt;&gt;"Yes",$AW345&lt;&gt;"N/A"),"Power Cable, ","")&amp;IF(AND($AX345&lt;&gt;"Yes",$AX345&lt;&gt;"N/A"),"Battery, ","")&amp;IF(AND($BE345&lt;&gt;"Yes",$BE345&lt;&gt;"N/A"),"Firmware Download, ","")&amp;IF(AND(OR($BE345="Yes",$BE345="N/A"),$BF345&lt;&gt;"Yes",$BF345&lt;&gt;"N/A"),"Firmware Install, ","")&amp;IF(AND($BJ345&lt;&gt;"Yes",$BJ345&lt;&gt;"N/A"),"Device ID, ","")&amp;IF(AND($BK345&lt;&gt;"Yes",$BK345&lt;&gt;"N/A"),"Epic Beans Relay, ",""))-2)))</f>
      </c>
      <c r="BM345">
        <f>IF($T345="","",IF($BL345="","Yes","Blocked"))</f>
      </c>
      <c r="BP345">
        <f>IF($BO345="","",IFERROR(VLOOKUP($BO345,'01_Warehouse_Ledger'!$A:$N,4,FALSE),""))</f>
      </c>
      <c r="BQ345">
        <f>IF($BO345="","",IFERROR(VLOOKUP($BO345,'01_Warehouse_Ledger'!$A:$N,5,FALSE),""))</f>
      </c>
      <c r="BR345">
        <f>IF($BO345="","",IFERROR(VLOOKUP($BO345,'01_Warehouse_Ledger'!$A:$N,13,FALSE),""))</f>
      </c>
    </row>
    <row r="346">
      <c r="D346">
        <f>IF($B346&lt;&gt;"Yes","",IF($C346="No","Yes",IF($C346="Yes","No","")))</f>
      </c>
      <c r="E346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</c>
      <c r="F346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</c>
      <c r="BL346">
        <f>IF($T346="","",IF((IF(AND($AW346&lt;&gt;"Yes",$AW346&lt;&gt;"N/A"),"Power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",""))="","",LEFT(IF(AND($AW346&lt;&gt;"Yes",$AW346&lt;&gt;"N/A"),"Power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",""),LEN(IF(AND($AW346&lt;&gt;"Yes",$AW346&lt;&gt;"N/A"),"Power Cable, ","")&amp;IF(AND($AX346&lt;&gt;"Yes",$AX346&lt;&gt;"N/A"),"Battery, ","")&amp;IF(AND($BE346&lt;&gt;"Yes",$BE346&lt;&gt;"N/A"),"Firmware Download, ","")&amp;IF(AND(OR($BE346="Yes",$BE346="N/A"),$BF346&lt;&gt;"Yes",$BF346&lt;&gt;"N/A"),"Firmware Install, ","")&amp;IF(AND($BJ346&lt;&gt;"Yes",$BJ346&lt;&gt;"N/A"),"Device ID, ","")&amp;IF(AND($BK346&lt;&gt;"Yes",$BK346&lt;&gt;"N/A"),"Epic Beans Relay, ",""))-2)))</f>
      </c>
      <c r="BM346">
        <f>IF($T346="","",IF($BL346="","Yes","Blocked"))</f>
      </c>
      <c r="BP346">
        <f>IF($BO346="","",IFERROR(VLOOKUP($BO346,'01_Warehouse_Ledger'!$A:$N,4,FALSE),""))</f>
      </c>
      <c r="BQ346">
        <f>IF($BO346="","",IFERROR(VLOOKUP($BO346,'01_Warehouse_Ledger'!$A:$N,5,FALSE),""))</f>
      </c>
      <c r="BR346">
        <f>IF($BO346="","",IFERROR(VLOOKUP($BO346,'01_Warehouse_Ledger'!$A:$N,13,FALSE),""))</f>
      </c>
    </row>
    <row r="347">
      <c r="D347">
        <f>IF($B347&lt;&gt;"Yes","",IF($C347="No","Yes",IF($C347="Yes","No","")))</f>
      </c>
      <c r="E347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</c>
      <c r="F347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</c>
      <c r="BL347">
        <f>IF($T347="","",IF((IF(AND($AW347&lt;&gt;"Yes",$AW347&lt;&gt;"N/A"),"Power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",""))="","",LEFT(IF(AND($AW347&lt;&gt;"Yes",$AW347&lt;&gt;"N/A"),"Power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",""),LEN(IF(AND($AW347&lt;&gt;"Yes",$AW347&lt;&gt;"N/A"),"Power Cable, ","")&amp;IF(AND($AX347&lt;&gt;"Yes",$AX347&lt;&gt;"N/A"),"Battery, ","")&amp;IF(AND($BE347&lt;&gt;"Yes",$BE347&lt;&gt;"N/A"),"Firmware Download, ","")&amp;IF(AND(OR($BE347="Yes",$BE347="N/A"),$BF347&lt;&gt;"Yes",$BF347&lt;&gt;"N/A"),"Firmware Install, ","")&amp;IF(AND($BJ347&lt;&gt;"Yes",$BJ347&lt;&gt;"N/A"),"Device ID, ","")&amp;IF(AND($BK347&lt;&gt;"Yes",$BK347&lt;&gt;"N/A"),"Epic Beans Relay, ",""))-2)))</f>
      </c>
      <c r="BM347">
        <f>IF($T347="","",IF($BL347="","Yes","Blocked"))</f>
      </c>
      <c r="BP347">
        <f>IF($BO347="","",IFERROR(VLOOKUP($BO347,'01_Warehouse_Ledger'!$A:$N,4,FALSE),""))</f>
      </c>
      <c r="BQ347">
        <f>IF($BO347="","",IFERROR(VLOOKUP($BO347,'01_Warehouse_Ledger'!$A:$N,5,FALSE),""))</f>
      </c>
      <c r="BR347">
        <f>IF($BO347="","",IFERROR(VLOOKUP($BO347,'01_Warehouse_Ledger'!$A:$N,13,FALSE),""))</f>
      </c>
    </row>
    <row r="348">
      <c r="D348">
        <f>IF($B348&lt;&gt;"Yes","",IF($C348="No","Yes",IF($C348="Yes","No","")))</f>
      </c>
      <c r="E348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</c>
      <c r="F348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</c>
      <c r="BL348">
        <f>IF($T348="","",IF((IF(AND($AW348&lt;&gt;"Yes",$AW348&lt;&gt;"N/A"),"Power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",""))="","",LEFT(IF(AND($AW348&lt;&gt;"Yes",$AW348&lt;&gt;"N/A"),"Power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",""),LEN(IF(AND($AW348&lt;&gt;"Yes",$AW348&lt;&gt;"N/A"),"Power Cable, ","")&amp;IF(AND($AX348&lt;&gt;"Yes",$AX348&lt;&gt;"N/A"),"Battery, ","")&amp;IF(AND($BE348&lt;&gt;"Yes",$BE348&lt;&gt;"N/A"),"Firmware Download, ","")&amp;IF(AND(OR($BE348="Yes",$BE348="N/A"),$BF348&lt;&gt;"Yes",$BF348&lt;&gt;"N/A"),"Firmware Install, ","")&amp;IF(AND($BJ348&lt;&gt;"Yes",$BJ348&lt;&gt;"N/A"),"Device ID, ","")&amp;IF(AND($BK348&lt;&gt;"Yes",$BK348&lt;&gt;"N/A"),"Epic Beans Relay, ",""))-2)))</f>
      </c>
      <c r="BM348">
        <f>IF($T348="","",IF($BL348="","Yes","Blocked"))</f>
      </c>
      <c r="BP348">
        <f>IF($BO348="","",IFERROR(VLOOKUP($BO348,'01_Warehouse_Ledger'!$A:$N,4,FALSE),""))</f>
      </c>
      <c r="BQ348">
        <f>IF($BO348="","",IFERROR(VLOOKUP($BO348,'01_Warehouse_Ledger'!$A:$N,5,FALSE),""))</f>
      </c>
      <c r="BR348">
        <f>IF($BO348="","",IFERROR(VLOOKUP($BO348,'01_Warehouse_Ledger'!$A:$N,13,FALSE),""))</f>
      </c>
    </row>
    <row r="349">
      <c r="D349">
        <f>IF($B349&lt;&gt;"Yes","",IF($C349="No","Yes",IF($C349="Yes","No","")))</f>
      </c>
      <c r="E349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</c>
      <c r="F349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</c>
      <c r="BL349">
        <f>IF($T349="","",IF((IF(AND($AW349&lt;&gt;"Yes",$AW349&lt;&gt;"N/A"),"Power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",""))="","",LEFT(IF(AND($AW349&lt;&gt;"Yes",$AW349&lt;&gt;"N/A"),"Power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",""),LEN(IF(AND($AW349&lt;&gt;"Yes",$AW349&lt;&gt;"N/A"),"Power Cable, ","")&amp;IF(AND($AX349&lt;&gt;"Yes",$AX349&lt;&gt;"N/A"),"Battery, ","")&amp;IF(AND($BE349&lt;&gt;"Yes",$BE349&lt;&gt;"N/A"),"Firmware Download, ","")&amp;IF(AND(OR($BE349="Yes",$BE349="N/A"),$BF349&lt;&gt;"Yes",$BF349&lt;&gt;"N/A"),"Firmware Install, ","")&amp;IF(AND($BJ349&lt;&gt;"Yes",$BJ349&lt;&gt;"N/A"),"Device ID, ","")&amp;IF(AND($BK349&lt;&gt;"Yes",$BK349&lt;&gt;"N/A"),"Epic Beans Relay, ",""))-2)))</f>
      </c>
      <c r="BM349">
        <f>IF($T349="","",IF($BL349="","Yes","Blocked"))</f>
      </c>
      <c r="BP349">
        <f>IF($BO349="","",IFERROR(VLOOKUP($BO349,'01_Warehouse_Ledger'!$A:$N,4,FALSE),""))</f>
      </c>
      <c r="BQ349">
        <f>IF($BO349="","",IFERROR(VLOOKUP($BO349,'01_Warehouse_Ledger'!$A:$N,5,FALSE),""))</f>
      </c>
      <c r="BR349">
        <f>IF($BO349="","",IFERROR(VLOOKUP($BO349,'01_Warehouse_Ledger'!$A:$N,13,FALSE),""))</f>
      </c>
    </row>
    <row r="350">
      <c r="D350">
        <f>IF($B350&lt;&gt;"Yes","",IF($C350="No","Yes",IF($C350="Yes","No","")))</f>
      </c>
      <c r="E350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</c>
      <c r="F350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</c>
      <c r="BL350">
        <f>IF($T350="","",IF((IF(AND($AW350&lt;&gt;"Yes",$AW350&lt;&gt;"N/A"),"Power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",""))="","",LEFT(IF(AND($AW350&lt;&gt;"Yes",$AW350&lt;&gt;"N/A"),"Power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",""),LEN(IF(AND($AW350&lt;&gt;"Yes",$AW350&lt;&gt;"N/A"),"Power Cable, ","")&amp;IF(AND($AX350&lt;&gt;"Yes",$AX350&lt;&gt;"N/A"),"Battery, ","")&amp;IF(AND($BE350&lt;&gt;"Yes",$BE350&lt;&gt;"N/A"),"Firmware Download, ","")&amp;IF(AND(OR($BE350="Yes",$BE350="N/A"),$BF350&lt;&gt;"Yes",$BF350&lt;&gt;"N/A"),"Firmware Install, ","")&amp;IF(AND($BJ350&lt;&gt;"Yes",$BJ350&lt;&gt;"N/A"),"Device ID, ","")&amp;IF(AND($BK350&lt;&gt;"Yes",$BK350&lt;&gt;"N/A"),"Epic Beans Relay, ",""))-2)))</f>
      </c>
      <c r="BM350">
        <f>IF($T350="","",IF($BL350="","Yes","Blocked"))</f>
      </c>
      <c r="BP350">
        <f>IF($BO350="","",IFERROR(VLOOKUP($BO350,'01_Warehouse_Ledger'!$A:$N,4,FALSE),""))</f>
      </c>
      <c r="BQ350">
        <f>IF($BO350="","",IFERROR(VLOOKUP($BO350,'01_Warehouse_Ledger'!$A:$N,5,FALSE),""))</f>
      </c>
      <c r="BR350">
        <f>IF($BO350="","",IFERROR(VLOOKUP($BO350,'01_Warehouse_Ledger'!$A:$N,13,FALSE),""))</f>
      </c>
    </row>
    <row r="351">
      <c r="D351">
        <f>IF($B351&lt;&gt;"Yes","",IF($C351="No","Yes",IF($C351="Yes","No","")))</f>
      </c>
      <c r="E351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</c>
      <c r="F351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</c>
      <c r="BL351">
        <f>IF($T351="","",IF((IF(AND($AW351&lt;&gt;"Yes",$AW351&lt;&gt;"N/A"),"Power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",""))="","",LEFT(IF(AND($AW351&lt;&gt;"Yes",$AW351&lt;&gt;"N/A"),"Power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",""),LEN(IF(AND($AW351&lt;&gt;"Yes",$AW351&lt;&gt;"N/A"),"Power Cable, ","")&amp;IF(AND($AX351&lt;&gt;"Yes",$AX351&lt;&gt;"N/A"),"Battery, ","")&amp;IF(AND($BE351&lt;&gt;"Yes",$BE351&lt;&gt;"N/A"),"Firmware Download, ","")&amp;IF(AND(OR($BE351="Yes",$BE351="N/A"),$BF351&lt;&gt;"Yes",$BF351&lt;&gt;"N/A"),"Firmware Install, ","")&amp;IF(AND($BJ351&lt;&gt;"Yes",$BJ351&lt;&gt;"N/A"),"Device ID, ","")&amp;IF(AND($BK351&lt;&gt;"Yes",$BK351&lt;&gt;"N/A"),"Epic Beans Relay, ",""))-2)))</f>
      </c>
      <c r="BM351">
        <f>IF($T351="","",IF($BL351="","Yes","Blocked"))</f>
      </c>
      <c r="BP351">
        <f>IF($BO351="","",IFERROR(VLOOKUP($BO351,'01_Warehouse_Ledger'!$A:$N,4,FALSE),""))</f>
      </c>
      <c r="BQ351">
        <f>IF($BO351="","",IFERROR(VLOOKUP($BO351,'01_Warehouse_Ledger'!$A:$N,5,FALSE),""))</f>
      </c>
      <c r="BR351">
        <f>IF($BO351="","",IFERROR(VLOOKUP($BO351,'01_Warehouse_Ledger'!$A:$N,13,FALSE),""))</f>
      </c>
    </row>
    <row r="352">
      <c r="D352">
        <f>IF($B352&lt;&gt;"Yes","",IF($C352="No","Yes",IF($C352="Yes","No","")))</f>
      </c>
      <c r="E352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</c>
      <c r="F352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</c>
      <c r="BL352">
        <f>IF($T352="","",IF((IF(AND($AW352&lt;&gt;"Yes",$AW352&lt;&gt;"N/A"),"Power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",""))="","",LEFT(IF(AND($AW352&lt;&gt;"Yes",$AW352&lt;&gt;"N/A"),"Power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",""),LEN(IF(AND($AW352&lt;&gt;"Yes",$AW352&lt;&gt;"N/A"),"Power Cable, ","")&amp;IF(AND($AX352&lt;&gt;"Yes",$AX352&lt;&gt;"N/A"),"Battery, ","")&amp;IF(AND($BE352&lt;&gt;"Yes",$BE352&lt;&gt;"N/A"),"Firmware Download, ","")&amp;IF(AND(OR($BE352="Yes",$BE352="N/A"),$BF352&lt;&gt;"Yes",$BF352&lt;&gt;"N/A"),"Firmware Install, ","")&amp;IF(AND($BJ352&lt;&gt;"Yes",$BJ352&lt;&gt;"N/A"),"Device ID, ","")&amp;IF(AND($BK352&lt;&gt;"Yes",$BK352&lt;&gt;"N/A"),"Epic Beans Relay, ",""))-2)))</f>
      </c>
      <c r="BM352">
        <f>IF($T352="","",IF($BL352="","Yes","Blocked"))</f>
      </c>
      <c r="BP352">
        <f>IF($BO352="","",IFERROR(VLOOKUP($BO352,'01_Warehouse_Ledger'!$A:$N,4,FALSE),""))</f>
      </c>
      <c r="BQ352">
        <f>IF($BO352="","",IFERROR(VLOOKUP($BO352,'01_Warehouse_Ledger'!$A:$N,5,FALSE),""))</f>
      </c>
      <c r="BR352">
        <f>IF($BO352="","",IFERROR(VLOOKUP($BO352,'01_Warehouse_Ledger'!$A:$N,13,FALSE),""))</f>
      </c>
    </row>
    <row r="353">
      <c r="D353">
        <f>IF($B353&lt;&gt;"Yes","",IF($C353="No","Yes",IF($C353="Yes","No","")))</f>
      </c>
      <c r="E353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</c>
      <c r="F353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</c>
      <c r="BL353">
        <f>IF($T353="","",IF((IF(AND($AW353&lt;&gt;"Yes",$AW353&lt;&gt;"N/A"),"Power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",""))="","",LEFT(IF(AND($AW353&lt;&gt;"Yes",$AW353&lt;&gt;"N/A"),"Power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",""),LEN(IF(AND($AW353&lt;&gt;"Yes",$AW353&lt;&gt;"N/A"),"Power Cable, ","")&amp;IF(AND($AX353&lt;&gt;"Yes",$AX353&lt;&gt;"N/A"),"Battery, ","")&amp;IF(AND($BE353&lt;&gt;"Yes",$BE353&lt;&gt;"N/A"),"Firmware Download, ","")&amp;IF(AND(OR($BE353="Yes",$BE353="N/A"),$BF353&lt;&gt;"Yes",$BF353&lt;&gt;"N/A"),"Firmware Install, ","")&amp;IF(AND($BJ353&lt;&gt;"Yes",$BJ353&lt;&gt;"N/A"),"Device ID, ","")&amp;IF(AND($BK353&lt;&gt;"Yes",$BK353&lt;&gt;"N/A"),"Epic Beans Relay, ",""))-2)))</f>
      </c>
      <c r="BM353">
        <f>IF($T353="","",IF($BL353="","Yes","Blocked"))</f>
      </c>
      <c r="BP353">
        <f>IF($BO353="","",IFERROR(VLOOKUP($BO353,'01_Warehouse_Ledger'!$A:$N,4,FALSE),""))</f>
      </c>
      <c r="BQ353">
        <f>IF($BO353="","",IFERROR(VLOOKUP($BO353,'01_Warehouse_Ledger'!$A:$N,5,FALSE),""))</f>
      </c>
      <c r="BR353">
        <f>IF($BO353="","",IFERROR(VLOOKUP($BO353,'01_Warehouse_Ledger'!$A:$N,13,FALSE),""))</f>
      </c>
    </row>
    <row r="354">
      <c r="D354">
        <f>IF($B354&lt;&gt;"Yes","",IF($C354="No","Yes",IF($C354="Yes","No","")))</f>
      </c>
      <c r="E354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</c>
      <c r="F354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</c>
      <c r="BL354">
        <f>IF($T354="","",IF((IF(AND($AW354&lt;&gt;"Yes",$AW354&lt;&gt;"N/A"),"Power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",""))="","",LEFT(IF(AND($AW354&lt;&gt;"Yes",$AW354&lt;&gt;"N/A"),"Power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",""),LEN(IF(AND($AW354&lt;&gt;"Yes",$AW354&lt;&gt;"N/A"),"Power Cable, ","")&amp;IF(AND($AX354&lt;&gt;"Yes",$AX354&lt;&gt;"N/A"),"Battery, ","")&amp;IF(AND($BE354&lt;&gt;"Yes",$BE354&lt;&gt;"N/A"),"Firmware Download, ","")&amp;IF(AND(OR($BE354="Yes",$BE354="N/A"),$BF354&lt;&gt;"Yes",$BF354&lt;&gt;"N/A"),"Firmware Install, ","")&amp;IF(AND($BJ354&lt;&gt;"Yes",$BJ354&lt;&gt;"N/A"),"Device ID, ","")&amp;IF(AND($BK354&lt;&gt;"Yes",$BK354&lt;&gt;"N/A"),"Epic Beans Relay, ",""))-2)))</f>
      </c>
      <c r="BM354">
        <f>IF($T354="","",IF($BL354="","Yes","Blocked"))</f>
      </c>
      <c r="BP354">
        <f>IF($BO354="","",IFERROR(VLOOKUP($BO354,'01_Warehouse_Ledger'!$A:$N,4,FALSE),""))</f>
      </c>
      <c r="BQ354">
        <f>IF($BO354="","",IFERROR(VLOOKUP($BO354,'01_Warehouse_Ledger'!$A:$N,5,FALSE),""))</f>
      </c>
      <c r="BR354">
        <f>IF($BO354="","",IFERROR(VLOOKUP($BO354,'01_Warehouse_Ledger'!$A:$N,13,FALSE),""))</f>
      </c>
    </row>
    <row r="355">
      <c r="D355">
        <f>IF($B355&lt;&gt;"Yes","",IF($C355="No","Yes",IF($C355="Yes","No","")))</f>
      </c>
      <c r="E355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</c>
      <c r="F355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</c>
      <c r="BL355">
        <f>IF($T355="","",IF((IF(AND($AW355&lt;&gt;"Yes",$AW355&lt;&gt;"N/A"),"Power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",""))="","",LEFT(IF(AND($AW355&lt;&gt;"Yes",$AW355&lt;&gt;"N/A"),"Power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",""),LEN(IF(AND($AW355&lt;&gt;"Yes",$AW355&lt;&gt;"N/A"),"Power Cable, ","")&amp;IF(AND($AX355&lt;&gt;"Yes",$AX355&lt;&gt;"N/A"),"Battery, ","")&amp;IF(AND($BE355&lt;&gt;"Yes",$BE355&lt;&gt;"N/A"),"Firmware Download, ","")&amp;IF(AND(OR($BE355="Yes",$BE355="N/A"),$BF355&lt;&gt;"Yes",$BF355&lt;&gt;"N/A"),"Firmware Install, ","")&amp;IF(AND($BJ355&lt;&gt;"Yes",$BJ355&lt;&gt;"N/A"),"Device ID, ","")&amp;IF(AND($BK355&lt;&gt;"Yes",$BK355&lt;&gt;"N/A"),"Epic Beans Relay, ",""))-2)))</f>
      </c>
      <c r="BM355">
        <f>IF($T355="","",IF($BL355="","Yes","Blocked"))</f>
      </c>
      <c r="BP355">
        <f>IF($BO355="","",IFERROR(VLOOKUP($BO355,'01_Warehouse_Ledger'!$A:$N,4,FALSE),""))</f>
      </c>
      <c r="BQ355">
        <f>IF($BO355="","",IFERROR(VLOOKUP($BO355,'01_Warehouse_Ledger'!$A:$N,5,FALSE),""))</f>
      </c>
      <c r="BR355">
        <f>IF($BO355="","",IFERROR(VLOOKUP($BO355,'01_Warehouse_Ledger'!$A:$N,13,FALSE),""))</f>
      </c>
    </row>
    <row r="356">
      <c r="D356">
        <f>IF($B356&lt;&gt;"Yes","",IF($C356="No","Yes",IF($C356="Yes","No","")))</f>
      </c>
      <c r="E356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</c>
      <c r="F356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</c>
      <c r="BL356">
        <f>IF($T356="","",IF((IF(AND($AW356&lt;&gt;"Yes",$AW356&lt;&gt;"N/A"),"Power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",""))="","",LEFT(IF(AND($AW356&lt;&gt;"Yes",$AW356&lt;&gt;"N/A"),"Power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",""),LEN(IF(AND($AW356&lt;&gt;"Yes",$AW356&lt;&gt;"N/A"),"Power Cable, ","")&amp;IF(AND($AX356&lt;&gt;"Yes",$AX356&lt;&gt;"N/A"),"Battery, ","")&amp;IF(AND($BE356&lt;&gt;"Yes",$BE356&lt;&gt;"N/A"),"Firmware Download, ","")&amp;IF(AND(OR($BE356="Yes",$BE356="N/A"),$BF356&lt;&gt;"Yes",$BF356&lt;&gt;"N/A"),"Firmware Install, ","")&amp;IF(AND($BJ356&lt;&gt;"Yes",$BJ356&lt;&gt;"N/A"),"Device ID, ","")&amp;IF(AND($BK356&lt;&gt;"Yes",$BK356&lt;&gt;"N/A"),"Epic Beans Relay, ",""))-2)))</f>
      </c>
      <c r="BM356">
        <f>IF($T356="","",IF($BL356="","Yes","Blocked"))</f>
      </c>
      <c r="BP356">
        <f>IF($BO356="","",IFERROR(VLOOKUP($BO356,'01_Warehouse_Ledger'!$A:$N,4,FALSE),""))</f>
      </c>
      <c r="BQ356">
        <f>IF($BO356="","",IFERROR(VLOOKUP($BO356,'01_Warehouse_Ledger'!$A:$N,5,FALSE),""))</f>
      </c>
      <c r="BR356">
        <f>IF($BO356="","",IFERROR(VLOOKUP($BO356,'01_Warehouse_Ledger'!$A:$N,13,FALSE),""))</f>
      </c>
    </row>
    <row r="357">
      <c r="D357">
        <f>IF($B357&lt;&gt;"Yes","",IF($C357="No","Yes",IF($C357="Yes","No","")))</f>
      </c>
      <c r="E357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</c>
      <c r="F357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</c>
      <c r="BL357">
        <f>IF($T357="","",IF((IF(AND($AW357&lt;&gt;"Yes",$AW357&lt;&gt;"N/A"),"Power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",""))="","",LEFT(IF(AND($AW357&lt;&gt;"Yes",$AW357&lt;&gt;"N/A"),"Power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",""),LEN(IF(AND($AW357&lt;&gt;"Yes",$AW357&lt;&gt;"N/A"),"Power Cable, ","")&amp;IF(AND($AX357&lt;&gt;"Yes",$AX357&lt;&gt;"N/A"),"Battery, ","")&amp;IF(AND($BE357&lt;&gt;"Yes",$BE357&lt;&gt;"N/A"),"Firmware Download, ","")&amp;IF(AND(OR($BE357="Yes",$BE357="N/A"),$BF357&lt;&gt;"Yes",$BF357&lt;&gt;"N/A"),"Firmware Install, ","")&amp;IF(AND($BJ357&lt;&gt;"Yes",$BJ357&lt;&gt;"N/A"),"Device ID, ","")&amp;IF(AND($BK357&lt;&gt;"Yes",$BK357&lt;&gt;"N/A"),"Epic Beans Relay, ",""))-2)))</f>
      </c>
      <c r="BM357">
        <f>IF($T357="","",IF($BL357="","Yes","Blocked"))</f>
      </c>
      <c r="BP357">
        <f>IF($BO357="","",IFERROR(VLOOKUP($BO357,'01_Warehouse_Ledger'!$A:$N,4,FALSE),""))</f>
      </c>
      <c r="BQ357">
        <f>IF($BO357="","",IFERROR(VLOOKUP($BO357,'01_Warehouse_Ledger'!$A:$N,5,FALSE),""))</f>
      </c>
      <c r="BR357">
        <f>IF($BO357="","",IFERROR(VLOOKUP($BO357,'01_Warehouse_Ledger'!$A:$N,13,FALSE),""))</f>
      </c>
    </row>
    <row r="358">
      <c r="D358">
        <f>IF($B358&lt;&gt;"Yes","",IF($C358="No","Yes",IF($C358="Yes","No","")))</f>
      </c>
      <c r="E358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</c>
      <c r="F358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</c>
      <c r="BL358">
        <f>IF($T358="","",IF((IF(AND($AW358&lt;&gt;"Yes",$AW358&lt;&gt;"N/A"),"Power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",""))="","",LEFT(IF(AND($AW358&lt;&gt;"Yes",$AW358&lt;&gt;"N/A"),"Power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",""),LEN(IF(AND($AW358&lt;&gt;"Yes",$AW358&lt;&gt;"N/A"),"Power Cable, ","")&amp;IF(AND($AX358&lt;&gt;"Yes",$AX358&lt;&gt;"N/A"),"Battery, ","")&amp;IF(AND($BE358&lt;&gt;"Yes",$BE358&lt;&gt;"N/A"),"Firmware Download, ","")&amp;IF(AND(OR($BE358="Yes",$BE358="N/A"),$BF358&lt;&gt;"Yes",$BF358&lt;&gt;"N/A"),"Firmware Install, ","")&amp;IF(AND($BJ358&lt;&gt;"Yes",$BJ358&lt;&gt;"N/A"),"Device ID, ","")&amp;IF(AND($BK358&lt;&gt;"Yes",$BK358&lt;&gt;"N/A"),"Epic Beans Relay, ",""))-2)))</f>
      </c>
      <c r="BM358">
        <f>IF($T358="","",IF($BL358="","Yes","Blocked"))</f>
      </c>
      <c r="BP358">
        <f>IF($BO358="","",IFERROR(VLOOKUP($BO358,'01_Warehouse_Ledger'!$A:$N,4,FALSE),""))</f>
      </c>
      <c r="BQ358">
        <f>IF($BO358="","",IFERROR(VLOOKUP($BO358,'01_Warehouse_Ledger'!$A:$N,5,FALSE),""))</f>
      </c>
      <c r="BR358">
        <f>IF($BO358="","",IFERROR(VLOOKUP($BO358,'01_Warehouse_Ledger'!$A:$N,13,FALSE),""))</f>
      </c>
    </row>
    <row r="359">
      <c r="D359">
        <f>IF($B359&lt;&gt;"Yes","",IF($C359="No","Yes",IF($C359="Yes","No","")))</f>
      </c>
      <c r="E359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</c>
      <c r="F359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</c>
      <c r="BL359">
        <f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</c>
      <c r="BM359">
        <f>IF($T359="","",IF($BL359="","Yes","Blocked"))</f>
      </c>
      <c r="BP359">
        <f>IF($BO359="","",IFERROR(VLOOKUP($BO359,'01_Warehouse_Ledger'!$A:$N,4,FALSE),""))</f>
      </c>
      <c r="BQ359">
        <f>IF($BO359="","",IFERROR(VLOOKUP($BO359,'01_Warehouse_Ledger'!$A:$N,5,FALSE),""))</f>
      </c>
      <c r="BR359">
        <f>IF($BO359="","",IFERROR(VLOOKUP($BO359,'01_Warehouse_Ledger'!$A:$N,13,FALSE),""))</f>
      </c>
    </row>
    <row r="360">
      <c r="D360">
        <f>IF($B360&lt;&gt;"Yes","",IF($C360="No","Yes",IF($C360="Yes","No","")))</f>
      </c>
      <c r="E360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</c>
      <c r="F360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</c>
      <c r="BL360">
        <f>IF($T360="","",IF((IF(AND($AW360&lt;&gt;"Yes",$AW360&lt;&gt;"N/A"),"Power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",""))="","",LEFT(IF(AND($AW360&lt;&gt;"Yes",$AW360&lt;&gt;"N/A"),"Power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",""),LEN(IF(AND($AW360&lt;&gt;"Yes",$AW360&lt;&gt;"N/A"),"Power Cable, ","")&amp;IF(AND($AX360&lt;&gt;"Yes",$AX360&lt;&gt;"N/A"),"Battery, ","")&amp;IF(AND($BE360&lt;&gt;"Yes",$BE360&lt;&gt;"N/A"),"Firmware Download, ","")&amp;IF(AND(OR($BE360="Yes",$BE360="N/A"),$BF360&lt;&gt;"Yes",$BF360&lt;&gt;"N/A"),"Firmware Install, ","")&amp;IF(AND($BJ360&lt;&gt;"Yes",$BJ360&lt;&gt;"N/A"),"Device ID, ","")&amp;IF(AND($BK360&lt;&gt;"Yes",$BK360&lt;&gt;"N/A"),"Epic Beans Relay, ",""))-2)))</f>
      </c>
      <c r="BM360">
        <f>IF($T360="","",IF($BL360="","Yes","Blocked"))</f>
      </c>
      <c r="BP360">
        <f>IF($BO360="","",IFERROR(VLOOKUP($BO360,'01_Warehouse_Ledger'!$A:$N,4,FALSE),""))</f>
      </c>
      <c r="BQ360">
        <f>IF($BO360="","",IFERROR(VLOOKUP($BO360,'01_Warehouse_Ledger'!$A:$N,5,FALSE),""))</f>
      </c>
      <c r="BR360">
        <f>IF($BO360="","",IFERROR(VLOOKUP($BO360,'01_Warehouse_Ledger'!$A:$N,13,FALSE),""))</f>
      </c>
    </row>
    <row r="361">
      <c r="D361">
        <f>IF($B361&lt;&gt;"Yes","",IF($C361="No","Yes",IF($C361="Yes","No","")))</f>
      </c>
      <c r="E361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</c>
      <c r="F361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</c>
      <c r="BL361">
        <f>IF($T361="","",IF((IF(AND($AW361&lt;&gt;"Yes",$AW361&lt;&gt;"N/A"),"Power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",""))="","",LEFT(IF(AND($AW361&lt;&gt;"Yes",$AW361&lt;&gt;"N/A"),"Power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",""),LEN(IF(AND($AW361&lt;&gt;"Yes",$AW361&lt;&gt;"N/A"),"Power Cable, ","")&amp;IF(AND($AX361&lt;&gt;"Yes",$AX361&lt;&gt;"N/A"),"Battery, ","")&amp;IF(AND($BE361&lt;&gt;"Yes",$BE361&lt;&gt;"N/A"),"Firmware Download, ","")&amp;IF(AND(OR($BE361="Yes",$BE361="N/A"),$BF361&lt;&gt;"Yes",$BF361&lt;&gt;"N/A"),"Firmware Install, ","")&amp;IF(AND($BJ361&lt;&gt;"Yes",$BJ361&lt;&gt;"N/A"),"Device ID, ","")&amp;IF(AND($BK361&lt;&gt;"Yes",$BK361&lt;&gt;"N/A"),"Epic Beans Relay, ",""))-2)))</f>
      </c>
      <c r="BM361">
        <f>IF($T361="","",IF($BL361="","Yes","Blocked"))</f>
      </c>
      <c r="BP361">
        <f>IF($BO361="","",IFERROR(VLOOKUP($BO361,'01_Warehouse_Ledger'!$A:$N,4,FALSE),""))</f>
      </c>
      <c r="BQ361">
        <f>IF($BO361="","",IFERROR(VLOOKUP($BO361,'01_Warehouse_Ledger'!$A:$N,5,FALSE),""))</f>
      </c>
      <c r="BR361">
        <f>IF($BO361="","",IFERROR(VLOOKUP($BO361,'01_Warehouse_Ledger'!$A:$N,13,FALSE),""))</f>
      </c>
    </row>
    <row r="362">
      <c r="D362">
        <f>IF($B362&lt;&gt;"Yes","",IF($C362="No","Yes",IF($C362="Yes","No","")))</f>
      </c>
      <c r="E362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</c>
      <c r="F362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</c>
      <c r="BL362">
        <f>IF($T362="","",IF((IF(AND($AW362&lt;&gt;"Yes",$AW362&lt;&gt;"N/A"),"Power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",""))="","",LEFT(IF(AND($AW362&lt;&gt;"Yes",$AW362&lt;&gt;"N/A"),"Power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",""),LEN(IF(AND($AW362&lt;&gt;"Yes",$AW362&lt;&gt;"N/A"),"Power Cable, ","")&amp;IF(AND($AX362&lt;&gt;"Yes",$AX362&lt;&gt;"N/A"),"Battery, ","")&amp;IF(AND($BE362&lt;&gt;"Yes",$BE362&lt;&gt;"N/A"),"Firmware Download, ","")&amp;IF(AND(OR($BE362="Yes",$BE362="N/A"),$BF362&lt;&gt;"Yes",$BF362&lt;&gt;"N/A"),"Firmware Install, ","")&amp;IF(AND($BJ362&lt;&gt;"Yes",$BJ362&lt;&gt;"N/A"),"Device ID, ","")&amp;IF(AND($BK362&lt;&gt;"Yes",$BK362&lt;&gt;"N/A"),"Epic Beans Relay, ",""))-2)))</f>
      </c>
      <c r="BM362">
        <f>IF($T362="","",IF($BL362="","Yes","Blocked"))</f>
      </c>
      <c r="BP362">
        <f>IF($BO362="","",IFERROR(VLOOKUP($BO362,'01_Warehouse_Ledger'!$A:$N,4,FALSE),""))</f>
      </c>
      <c r="BQ362">
        <f>IF($BO362="","",IFERROR(VLOOKUP($BO362,'01_Warehouse_Ledger'!$A:$N,5,FALSE),""))</f>
      </c>
      <c r="BR362">
        <f>IF($BO362="","",IFERROR(VLOOKUP($BO362,'01_Warehouse_Ledger'!$A:$N,13,FALSE),""))</f>
      </c>
    </row>
    <row r="363">
      <c r="D363">
        <f>IF($B363&lt;&gt;"Yes","",IF($C363="No","Yes",IF($C363="Yes","No","")))</f>
      </c>
      <c r="E363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</c>
      <c r="F363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</c>
      <c r="BL363">
        <f>IF($T363="","",IF((IF(AND($AW363&lt;&gt;"Yes",$AW363&lt;&gt;"N/A"),"Power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",""))="","",LEFT(IF(AND($AW363&lt;&gt;"Yes",$AW363&lt;&gt;"N/A"),"Power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",""),LEN(IF(AND($AW363&lt;&gt;"Yes",$AW363&lt;&gt;"N/A"),"Power Cable, ","")&amp;IF(AND($AX363&lt;&gt;"Yes",$AX363&lt;&gt;"N/A"),"Battery, ","")&amp;IF(AND($BE363&lt;&gt;"Yes",$BE363&lt;&gt;"N/A"),"Firmware Download, ","")&amp;IF(AND(OR($BE363="Yes",$BE363="N/A"),$BF363&lt;&gt;"Yes",$BF363&lt;&gt;"N/A"),"Firmware Install, ","")&amp;IF(AND($BJ363&lt;&gt;"Yes",$BJ363&lt;&gt;"N/A"),"Device ID, ","")&amp;IF(AND($BK363&lt;&gt;"Yes",$BK363&lt;&gt;"N/A"),"Epic Beans Relay, ",""))-2)))</f>
      </c>
      <c r="BM363">
        <f>IF($T363="","",IF($BL363="","Yes","Blocked"))</f>
      </c>
      <c r="BP363">
        <f>IF($BO363="","",IFERROR(VLOOKUP($BO363,'01_Warehouse_Ledger'!$A:$N,4,FALSE),""))</f>
      </c>
      <c r="BQ363">
        <f>IF($BO363="","",IFERROR(VLOOKUP($BO363,'01_Warehouse_Ledger'!$A:$N,5,FALSE),""))</f>
      </c>
      <c r="BR363">
        <f>IF($BO363="","",IFERROR(VLOOKUP($BO363,'01_Warehouse_Ledger'!$A:$N,13,FALSE),""))</f>
      </c>
    </row>
    <row r="364">
      <c r="D364">
        <f>IF($B364&lt;&gt;"Yes","",IF($C364="No","Yes",IF($C364="Yes","No","")))</f>
      </c>
      <c r="E364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</c>
      <c r="F364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</c>
      <c r="BL364">
        <f>IF($T364="","",IF((IF(AND($AW364&lt;&gt;"Yes",$AW364&lt;&gt;"N/A"),"Power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",""))="","",LEFT(IF(AND($AW364&lt;&gt;"Yes",$AW364&lt;&gt;"N/A"),"Power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",""),LEN(IF(AND($AW364&lt;&gt;"Yes",$AW364&lt;&gt;"N/A"),"Power Cable, ","")&amp;IF(AND($AX364&lt;&gt;"Yes",$AX364&lt;&gt;"N/A"),"Battery, ","")&amp;IF(AND($BE364&lt;&gt;"Yes",$BE364&lt;&gt;"N/A"),"Firmware Download, ","")&amp;IF(AND(OR($BE364="Yes",$BE364="N/A"),$BF364&lt;&gt;"Yes",$BF364&lt;&gt;"N/A"),"Firmware Install, ","")&amp;IF(AND($BJ364&lt;&gt;"Yes",$BJ364&lt;&gt;"N/A"),"Device ID, ","")&amp;IF(AND($BK364&lt;&gt;"Yes",$BK364&lt;&gt;"N/A"),"Epic Beans Relay, ",""))-2)))</f>
      </c>
      <c r="BM364">
        <f>IF($T364="","",IF($BL364="","Yes","Blocked"))</f>
      </c>
      <c r="BP364">
        <f>IF($BO364="","",IFERROR(VLOOKUP($BO364,'01_Warehouse_Ledger'!$A:$N,4,FALSE),""))</f>
      </c>
      <c r="BQ364">
        <f>IF($BO364="","",IFERROR(VLOOKUP($BO364,'01_Warehouse_Ledger'!$A:$N,5,FALSE),""))</f>
      </c>
      <c r="BR364">
        <f>IF($BO364="","",IFERROR(VLOOKUP($BO364,'01_Warehouse_Ledger'!$A:$N,13,FALSE),""))</f>
      </c>
    </row>
    <row r="365">
      <c r="D365">
        <f>IF($B365&lt;&gt;"Yes","",IF($C365="No","Yes",IF($C365="Yes","No","")))</f>
      </c>
      <c r="E365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</c>
      <c r="F365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</c>
      <c r="BL365">
        <f>IF($T365="","",IF((IF(AND($AW365&lt;&gt;"Yes",$AW365&lt;&gt;"N/A"),"Power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",""))="","",LEFT(IF(AND($AW365&lt;&gt;"Yes",$AW365&lt;&gt;"N/A"),"Power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",""),LEN(IF(AND($AW365&lt;&gt;"Yes",$AW365&lt;&gt;"N/A"),"Power Cable, ","")&amp;IF(AND($AX365&lt;&gt;"Yes",$AX365&lt;&gt;"N/A"),"Battery, ","")&amp;IF(AND($BE365&lt;&gt;"Yes",$BE365&lt;&gt;"N/A"),"Firmware Download, ","")&amp;IF(AND(OR($BE365="Yes",$BE365="N/A"),$BF365&lt;&gt;"Yes",$BF365&lt;&gt;"N/A"),"Firmware Install, ","")&amp;IF(AND($BJ365&lt;&gt;"Yes",$BJ365&lt;&gt;"N/A"),"Device ID, ","")&amp;IF(AND($BK365&lt;&gt;"Yes",$BK365&lt;&gt;"N/A"),"Epic Beans Relay, ",""))-2)))</f>
      </c>
      <c r="BM365">
        <f>IF($T365="","",IF($BL365="","Yes","Blocked"))</f>
      </c>
      <c r="BP365">
        <f>IF($BO365="","",IFERROR(VLOOKUP($BO365,'01_Warehouse_Ledger'!$A:$N,4,FALSE),""))</f>
      </c>
      <c r="BQ365">
        <f>IF($BO365="","",IFERROR(VLOOKUP($BO365,'01_Warehouse_Ledger'!$A:$N,5,FALSE),""))</f>
      </c>
      <c r="BR365">
        <f>IF($BO365="","",IFERROR(VLOOKUP($BO365,'01_Warehouse_Ledger'!$A:$N,13,FALSE),""))</f>
      </c>
    </row>
    <row r="366">
      <c r="D366">
        <f>IF($B366&lt;&gt;"Yes","",IF($C366="No","Yes",IF($C366="Yes","No","")))</f>
      </c>
      <c r="E366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</c>
      <c r="F366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</c>
      <c r="BL366">
        <f>IF($T366="","",IF((IF(AND($AW366&lt;&gt;"Yes",$AW366&lt;&gt;"N/A"),"Power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",""))="","",LEFT(IF(AND($AW366&lt;&gt;"Yes",$AW366&lt;&gt;"N/A"),"Power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",""),LEN(IF(AND($AW366&lt;&gt;"Yes",$AW366&lt;&gt;"N/A"),"Power Cable, ","")&amp;IF(AND($AX366&lt;&gt;"Yes",$AX366&lt;&gt;"N/A"),"Battery, ","")&amp;IF(AND($BE366&lt;&gt;"Yes",$BE366&lt;&gt;"N/A"),"Firmware Download, ","")&amp;IF(AND(OR($BE366="Yes",$BE366="N/A"),$BF366&lt;&gt;"Yes",$BF366&lt;&gt;"N/A"),"Firmware Install, ","")&amp;IF(AND($BJ366&lt;&gt;"Yes",$BJ366&lt;&gt;"N/A"),"Device ID, ","")&amp;IF(AND($BK366&lt;&gt;"Yes",$BK366&lt;&gt;"N/A"),"Epic Beans Relay, ",""))-2)))</f>
      </c>
      <c r="BM366">
        <f>IF($T366="","",IF($BL366="","Yes","Blocked"))</f>
      </c>
      <c r="BP366">
        <f>IF($BO366="","",IFERROR(VLOOKUP($BO366,'01_Warehouse_Ledger'!$A:$N,4,FALSE),""))</f>
      </c>
      <c r="BQ366">
        <f>IF($BO366="","",IFERROR(VLOOKUP($BO366,'01_Warehouse_Ledger'!$A:$N,5,FALSE),""))</f>
      </c>
      <c r="BR366">
        <f>IF($BO366="","",IFERROR(VLOOKUP($BO366,'01_Warehouse_Ledger'!$A:$N,13,FALSE),""))</f>
      </c>
    </row>
    <row r="367">
      <c r="D367">
        <f>IF($B367&lt;&gt;"Yes","",IF($C367="No","Yes",IF($C367="Yes","No","")))</f>
      </c>
      <c r="E367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</c>
      <c r="F367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</c>
      <c r="BL367">
        <f>IF($T367="","",IF((IF(AND($AW367&lt;&gt;"Yes",$AW367&lt;&gt;"N/A"),"Power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",""))="","",LEFT(IF(AND($AW367&lt;&gt;"Yes",$AW367&lt;&gt;"N/A"),"Power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",""),LEN(IF(AND($AW367&lt;&gt;"Yes",$AW367&lt;&gt;"N/A"),"Power Cable, ","")&amp;IF(AND($AX367&lt;&gt;"Yes",$AX367&lt;&gt;"N/A"),"Battery, ","")&amp;IF(AND($BE367&lt;&gt;"Yes",$BE367&lt;&gt;"N/A"),"Firmware Download, ","")&amp;IF(AND(OR($BE367="Yes",$BE367="N/A"),$BF367&lt;&gt;"Yes",$BF367&lt;&gt;"N/A"),"Firmware Install, ","")&amp;IF(AND($BJ367&lt;&gt;"Yes",$BJ367&lt;&gt;"N/A"),"Device ID, ","")&amp;IF(AND($BK367&lt;&gt;"Yes",$BK367&lt;&gt;"N/A"),"Epic Beans Relay, ",""))-2)))</f>
      </c>
      <c r="BM367">
        <f>IF($T367="","",IF($BL367="","Yes","Blocked"))</f>
      </c>
      <c r="BP367">
        <f>IF($BO367="","",IFERROR(VLOOKUP($BO367,'01_Warehouse_Ledger'!$A:$N,4,FALSE),""))</f>
      </c>
      <c r="BQ367">
        <f>IF($BO367="","",IFERROR(VLOOKUP($BO367,'01_Warehouse_Ledger'!$A:$N,5,FALSE),""))</f>
      </c>
      <c r="BR367">
        <f>IF($BO367="","",IFERROR(VLOOKUP($BO367,'01_Warehouse_Ledger'!$A:$N,13,FALSE),""))</f>
      </c>
    </row>
    <row r="368">
      <c r="D368">
        <f>IF($B368&lt;&gt;"Yes","",IF($C368="No","Yes",IF($C368="Yes","No","")))</f>
      </c>
      <c r="E368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</c>
      <c r="F368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</c>
      <c r="BL368">
        <f>IF($T368="","",IF((IF(AND($AW368&lt;&gt;"Yes",$AW368&lt;&gt;"N/A"),"Power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",""))="","",LEFT(IF(AND($AW368&lt;&gt;"Yes",$AW368&lt;&gt;"N/A"),"Power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",""),LEN(IF(AND($AW368&lt;&gt;"Yes",$AW368&lt;&gt;"N/A"),"Power Cable, ","")&amp;IF(AND($AX368&lt;&gt;"Yes",$AX368&lt;&gt;"N/A"),"Battery, ","")&amp;IF(AND($BE368&lt;&gt;"Yes",$BE368&lt;&gt;"N/A"),"Firmware Download, ","")&amp;IF(AND(OR($BE368="Yes",$BE368="N/A"),$BF368&lt;&gt;"Yes",$BF368&lt;&gt;"N/A"),"Firmware Install, ","")&amp;IF(AND($BJ368&lt;&gt;"Yes",$BJ368&lt;&gt;"N/A"),"Device ID, ","")&amp;IF(AND($BK368&lt;&gt;"Yes",$BK368&lt;&gt;"N/A"),"Epic Beans Relay, ",""))-2)))</f>
      </c>
      <c r="BM368">
        <f>IF($T368="","",IF($BL368="","Yes","Blocked"))</f>
      </c>
      <c r="BP368">
        <f>IF($BO368="","",IFERROR(VLOOKUP($BO368,'01_Warehouse_Ledger'!$A:$N,4,FALSE),""))</f>
      </c>
      <c r="BQ368">
        <f>IF($BO368="","",IFERROR(VLOOKUP($BO368,'01_Warehouse_Ledger'!$A:$N,5,FALSE),""))</f>
      </c>
      <c r="BR368">
        <f>IF($BO368="","",IFERROR(VLOOKUP($BO368,'01_Warehouse_Ledger'!$A:$N,13,FALSE),""))</f>
      </c>
    </row>
    <row r="369">
      <c r="D369">
        <f>IF($B369&lt;&gt;"Yes","",IF($C369="No","Yes",IF($C369="Yes","No","")))</f>
      </c>
      <c r="E369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</c>
      <c r="F369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</c>
      <c r="BL369">
        <f>IF($T369="","",IF((IF(AND($AW369&lt;&gt;"Yes",$AW369&lt;&gt;"N/A"),"Power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",""))="","",LEFT(IF(AND($AW369&lt;&gt;"Yes",$AW369&lt;&gt;"N/A"),"Power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",""),LEN(IF(AND($AW369&lt;&gt;"Yes",$AW369&lt;&gt;"N/A"),"Power Cable, ","")&amp;IF(AND($AX369&lt;&gt;"Yes",$AX369&lt;&gt;"N/A"),"Battery, ","")&amp;IF(AND($BE369&lt;&gt;"Yes",$BE369&lt;&gt;"N/A"),"Firmware Download, ","")&amp;IF(AND(OR($BE369="Yes",$BE369="N/A"),$BF369&lt;&gt;"Yes",$BF369&lt;&gt;"N/A"),"Firmware Install, ","")&amp;IF(AND($BJ369&lt;&gt;"Yes",$BJ369&lt;&gt;"N/A"),"Device ID, ","")&amp;IF(AND($BK369&lt;&gt;"Yes",$BK369&lt;&gt;"N/A"),"Epic Beans Relay, ",""))-2)))</f>
      </c>
      <c r="BM369">
        <f>IF($T369="","",IF($BL369="","Yes","Blocked"))</f>
      </c>
      <c r="BP369">
        <f>IF($BO369="","",IFERROR(VLOOKUP($BO369,'01_Warehouse_Ledger'!$A:$N,4,FALSE),""))</f>
      </c>
      <c r="BQ369">
        <f>IF($BO369="","",IFERROR(VLOOKUP($BO369,'01_Warehouse_Ledger'!$A:$N,5,FALSE),""))</f>
      </c>
      <c r="BR369">
        <f>IF($BO369="","",IFERROR(VLOOKUP($BO369,'01_Warehouse_Ledger'!$A:$N,13,FALSE),""))</f>
      </c>
    </row>
    <row r="370">
      <c r="D370">
        <f>IF($B370&lt;&gt;"Yes","",IF($C370="No","Yes",IF($C370="Yes","No","")))</f>
      </c>
      <c r="E370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</c>
      <c r="F370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</c>
      <c r="BL370">
        <f>IF($T370="","",IF((IF(AND($AW370&lt;&gt;"Yes",$AW370&lt;&gt;"N/A"),"Power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",""))="","",LEFT(IF(AND($AW370&lt;&gt;"Yes",$AW370&lt;&gt;"N/A"),"Power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",""),LEN(IF(AND($AW370&lt;&gt;"Yes",$AW370&lt;&gt;"N/A"),"Power Cable, ","")&amp;IF(AND($AX370&lt;&gt;"Yes",$AX370&lt;&gt;"N/A"),"Battery, ","")&amp;IF(AND($BE370&lt;&gt;"Yes",$BE370&lt;&gt;"N/A"),"Firmware Download, ","")&amp;IF(AND(OR($BE370="Yes",$BE370="N/A"),$BF370&lt;&gt;"Yes",$BF370&lt;&gt;"N/A"),"Firmware Install, ","")&amp;IF(AND($BJ370&lt;&gt;"Yes",$BJ370&lt;&gt;"N/A"),"Device ID, ","")&amp;IF(AND($BK370&lt;&gt;"Yes",$BK370&lt;&gt;"N/A"),"Epic Beans Relay, ",""))-2)))</f>
      </c>
      <c r="BM370">
        <f>IF($T370="","",IF($BL370="","Yes","Blocked"))</f>
      </c>
      <c r="BP370">
        <f>IF($BO370="","",IFERROR(VLOOKUP($BO370,'01_Warehouse_Ledger'!$A:$N,4,FALSE),""))</f>
      </c>
      <c r="BQ370">
        <f>IF($BO370="","",IFERROR(VLOOKUP($BO370,'01_Warehouse_Ledger'!$A:$N,5,FALSE),""))</f>
      </c>
      <c r="BR370">
        <f>IF($BO370="","",IFERROR(VLOOKUP($BO370,'01_Warehouse_Ledger'!$A:$N,13,FALSE),""))</f>
      </c>
    </row>
    <row r="371">
      <c r="D371">
        <f>IF($B371&lt;&gt;"Yes","",IF($C371="No","Yes",IF($C371="Yes","No","")))</f>
      </c>
      <c r="E371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</c>
      <c r="F371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</c>
      <c r="BL371">
        <f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</c>
      <c r="BM371">
        <f>IF($T371="","",IF($BL371="","Yes","Blocked"))</f>
      </c>
      <c r="BP371">
        <f>IF($BO371="","",IFERROR(VLOOKUP($BO371,'01_Warehouse_Ledger'!$A:$N,4,FALSE),""))</f>
      </c>
      <c r="BQ371">
        <f>IF($BO371="","",IFERROR(VLOOKUP($BO371,'01_Warehouse_Ledger'!$A:$N,5,FALSE),""))</f>
      </c>
      <c r="BR371">
        <f>IF($BO371="","",IFERROR(VLOOKUP($BO371,'01_Warehouse_Ledger'!$A:$N,13,FALSE),""))</f>
      </c>
    </row>
    <row r="372">
      <c r="D372">
        <f>IF($B372&lt;&gt;"Yes","",IF($C372="No","Yes",IF($C372="Yes","No","")))</f>
      </c>
      <c r="E372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</c>
      <c r="F372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</c>
      <c r="BL372">
        <f>IF($T372="","",IF((IF(AND($AW372&lt;&gt;"Yes",$AW372&lt;&gt;"N/A"),"Power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",""))="","",LEFT(IF(AND($AW372&lt;&gt;"Yes",$AW372&lt;&gt;"N/A"),"Power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",""),LEN(IF(AND($AW372&lt;&gt;"Yes",$AW372&lt;&gt;"N/A"),"Power Cable, ","")&amp;IF(AND($AX372&lt;&gt;"Yes",$AX372&lt;&gt;"N/A"),"Battery, ","")&amp;IF(AND($BE372&lt;&gt;"Yes",$BE372&lt;&gt;"N/A"),"Firmware Download, ","")&amp;IF(AND(OR($BE372="Yes",$BE372="N/A"),$BF372&lt;&gt;"Yes",$BF372&lt;&gt;"N/A"),"Firmware Install, ","")&amp;IF(AND($BJ372&lt;&gt;"Yes",$BJ372&lt;&gt;"N/A"),"Device ID, ","")&amp;IF(AND($BK372&lt;&gt;"Yes",$BK372&lt;&gt;"N/A"),"Epic Beans Relay, ",""))-2)))</f>
      </c>
      <c r="BM372">
        <f>IF($T372="","",IF($BL372="","Yes","Blocked"))</f>
      </c>
      <c r="BP372">
        <f>IF($BO372="","",IFERROR(VLOOKUP($BO372,'01_Warehouse_Ledger'!$A:$N,4,FALSE),""))</f>
      </c>
      <c r="BQ372">
        <f>IF($BO372="","",IFERROR(VLOOKUP($BO372,'01_Warehouse_Ledger'!$A:$N,5,FALSE),""))</f>
      </c>
      <c r="BR372">
        <f>IF($BO372="","",IFERROR(VLOOKUP($BO372,'01_Warehouse_Ledger'!$A:$N,13,FALSE),""))</f>
      </c>
    </row>
    <row r="373">
      <c r="D373">
        <f>IF($B373&lt;&gt;"Yes","",IF($C373="No","Yes",IF($C373="Yes","No","")))</f>
      </c>
      <c r="E373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</c>
      <c r="F373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</c>
      <c r="BL373">
        <f>IF($T373="","",IF((IF(AND($AW373&lt;&gt;"Yes",$AW373&lt;&gt;"N/A"),"Power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",""))="","",LEFT(IF(AND($AW373&lt;&gt;"Yes",$AW373&lt;&gt;"N/A"),"Power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",""),LEN(IF(AND($AW373&lt;&gt;"Yes",$AW373&lt;&gt;"N/A"),"Power Cable, ","")&amp;IF(AND($AX373&lt;&gt;"Yes",$AX373&lt;&gt;"N/A"),"Battery, ","")&amp;IF(AND($BE373&lt;&gt;"Yes",$BE373&lt;&gt;"N/A"),"Firmware Download, ","")&amp;IF(AND(OR($BE373="Yes",$BE373="N/A"),$BF373&lt;&gt;"Yes",$BF373&lt;&gt;"N/A"),"Firmware Install, ","")&amp;IF(AND($BJ373&lt;&gt;"Yes",$BJ373&lt;&gt;"N/A"),"Device ID, ","")&amp;IF(AND($BK373&lt;&gt;"Yes",$BK373&lt;&gt;"N/A"),"Epic Beans Relay, ",""))-2)))</f>
      </c>
      <c r="BM373">
        <f>IF($T373="","",IF($BL373="","Yes","Blocked"))</f>
      </c>
      <c r="BP373">
        <f>IF($BO373="","",IFERROR(VLOOKUP($BO373,'01_Warehouse_Ledger'!$A:$N,4,FALSE),""))</f>
      </c>
      <c r="BQ373">
        <f>IF($BO373="","",IFERROR(VLOOKUP($BO373,'01_Warehouse_Ledger'!$A:$N,5,FALSE),""))</f>
      </c>
      <c r="BR373">
        <f>IF($BO373="","",IFERROR(VLOOKUP($BO373,'01_Warehouse_Ledger'!$A:$N,13,FALSE),""))</f>
      </c>
    </row>
    <row r="374">
      <c r="D374">
        <f>IF($B374&lt;&gt;"Yes","",IF($C374="No","Yes",IF($C374="Yes","No","")))</f>
      </c>
      <c r="E374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</c>
      <c r="F374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</c>
      <c r="BL374">
        <f>IF($T374="","",IF((IF(AND($AW374&lt;&gt;"Yes",$AW374&lt;&gt;"N/A"),"Power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",""))="","",LEFT(IF(AND($AW374&lt;&gt;"Yes",$AW374&lt;&gt;"N/A"),"Power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",""),LEN(IF(AND($AW374&lt;&gt;"Yes",$AW374&lt;&gt;"N/A"),"Power Cable, ","")&amp;IF(AND($AX374&lt;&gt;"Yes",$AX374&lt;&gt;"N/A"),"Battery, ","")&amp;IF(AND($BE374&lt;&gt;"Yes",$BE374&lt;&gt;"N/A"),"Firmware Download, ","")&amp;IF(AND(OR($BE374="Yes",$BE374="N/A"),$BF374&lt;&gt;"Yes",$BF374&lt;&gt;"N/A"),"Firmware Install, ","")&amp;IF(AND($BJ374&lt;&gt;"Yes",$BJ374&lt;&gt;"N/A"),"Device ID, ","")&amp;IF(AND($BK374&lt;&gt;"Yes",$BK374&lt;&gt;"N/A"),"Epic Beans Relay, ",""))-2)))</f>
      </c>
      <c r="BM374">
        <f>IF($T374="","",IF($BL374="","Yes","Blocked"))</f>
      </c>
      <c r="BP374">
        <f>IF($BO374="","",IFERROR(VLOOKUP($BO374,'01_Warehouse_Ledger'!$A:$N,4,FALSE),""))</f>
      </c>
      <c r="BQ374">
        <f>IF($BO374="","",IFERROR(VLOOKUP($BO374,'01_Warehouse_Ledger'!$A:$N,5,FALSE),""))</f>
      </c>
      <c r="BR374">
        <f>IF($BO374="","",IFERROR(VLOOKUP($BO374,'01_Warehouse_Ledger'!$A:$N,13,FALSE),""))</f>
      </c>
    </row>
    <row r="375">
      <c r="D375">
        <f>IF($B375&lt;&gt;"Yes","",IF($C375="No","Yes",IF($C375="Yes","No","")))</f>
      </c>
      <c r="E375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</c>
      <c r="F375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</c>
      <c r="BL375">
        <f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</c>
      <c r="BM375">
        <f>IF($T375="","",IF($BL375="","Yes","Blocked"))</f>
      </c>
      <c r="BP375">
        <f>IF($BO375="","",IFERROR(VLOOKUP($BO375,'01_Warehouse_Ledger'!$A:$N,4,FALSE),""))</f>
      </c>
      <c r="BQ375">
        <f>IF($BO375="","",IFERROR(VLOOKUP($BO375,'01_Warehouse_Ledger'!$A:$N,5,FALSE),""))</f>
      </c>
      <c r="BR375">
        <f>IF($BO375="","",IFERROR(VLOOKUP($BO375,'01_Warehouse_Ledger'!$A:$N,13,FALSE),""))</f>
      </c>
    </row>
    <row r="376">
      <c r="D376">
        <f>IF($B376&lt;&gt;"Yes","",IF($C376="No","Yes",IF($C376="Yes","No","")))</f>
      </c>
      <c r="E376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</c>
      <c r="F376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</c>
      <c r="BL376">
        <f>IF($T376="","",IF((IF(AND($AW376&lt;&gt;"Yes",$AW376&lt;&gt;"N/A"),"Power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",""))="","",LEFT(IF(AND($AW376&lt;&gt;"Yes",$AW376&lt;&gt;"N/A"),"Power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",""),LEN(IF(AND($AW376&lt;&gt;"Yes",$AW376&lt;&gt;"N/A"),"Power Cable, ","")&amp;IF(AND($AX376&lt;&gt;"Yes",$AX376&lt;&gt;"N/A"),"Battery, ","")&amp;IF(AND($BE376&lt;&gt;"Yes",$BE376&lt;&gt;"N/A"),"Firmware Download, ","")&amp;IF(AND(OR($BE376="Yes",$BE376="N/A"),$BF376&lt;&gt;"Yes",$BF376&lt;&gt;"N/A"),"Firmware Install, ","")&amp;IF(AND($BJ376&lt;&gt;"Yes",$BJ376&lt;&gt;"N/A"),"Device ID, ","")&amp;IF(AND($BK376&lt;&gt;"Yes",$BK376&lt;&gt;"N/A"),"Epic Beans Relay, ",""))-2)))</f>
      </c>
      <c r="BM376">
        <f>IF($T376="","",IF($BL376="","Yes","Blocked"))</f>
      </c>
      <c r="BP376">
        <f>IF($BO376="","",IFERROR(VLOOKUP($BO376,'01_Warehouse_Ledger'!$A:$N,4,FALSE),""))</f>
      </c>
      <c r="BQ376">
        <f>IF($BO376="","",IFERROR(VLOOKUP($BO376,'01_Warehouse_Ledger'!$A:$N,5,FALSE),""))</f>
      </c>
      <c r="BR376">
        <f>IF($BO376="","",IFERROR(VLOOKUP($BO376,'01_Warehouse_Ledger'!$A:$N,13,FALSE),""))</f>
      </c>
    </row>
    <row r="377">
      <c r="D377">
        <f>IF($B377&lt;&gt;"Yes","",IF($C377="No","Yes",IF($C377="Yes","No","")))</f>
      </c>
      <c r="E377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</c>
      <c r="F377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</c>
      <c r="BL377">
        <f>IF($T377="","",IF((IF(AND($AW377&lt;&gt;"Yes",$AW377&lt;&gt;"N/A"),"Power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",""))="","",LEFT(IF(AND($AW377&lt;&gt;"Yes",$AW377&lt;&gt;"N/A"),"Power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",""),LEN(IF(AND($AW377&lt;&gt;"Yes",$AW377&lt;&gt;"N/A"),"Power Cable, ","")&amp;IF(AND($AX377&lt;&gt;"Yes",$AX377&lt;&gt;"N/A"),"Battery, ","")&amp;IF(AND($BE377&lt;&gt;"Yes",$BE377&lt;&gt;"N/A"),"Firmware Download, ","")&amp;IF(AND(OR($BE377="Yes",$BE377="N/A"),$BF377&lt;&gt;"Yes",$BF377&lt;&gt;"N/A"),"Firmware Install, ","")&amp;IF(AND($BJ377&lt;&gt;"Yes",$BJ377&lt;&gt;"N/A"),"Device ID, ","")&amp;IF(AND($BK377&lt;&gt;"Yes",$BK377&lt;&gt;"N/A"),"Epic Beans Relay, ",""))-2)))</f>
      </c>
      <c r="BM377">
        <f>IF($T377="","",IF($BL377="","Yes","Blocked"))</f>
      </c>
      <c r="BP377">
        <f>IF($BO377="","",IFERROR(VLOOKUP($BO377,'01_Warehouse_Ledger'!$A:$N,4,FALSE),""))</f>
      </c>
      <c r="BQ377">
        <f>IF($BO377="","",IFERROR(VLOOKUP($BO377,'01_Warehouse_Ledger'!$A:$N,5,FALSE),""))</f>
      </c>
      <c r="BR377">
        <f>IF($BO377="","",IFERROR(VLOOKUP($BO377,'01_Warehouse_Ledger'!$A:$N,13,FALSE),""))</f>
      </c>
    </row>
    <row r="378">
      <c r="D378">
        <f>IF($B378&lt;&gt;"Yes","",IF($C378="No","Yes",IF($C378="Yes","No","")))</f>
      </c>
      <c r="E378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</c>
      <c r="F378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</c>
      <c r="BL378">
        <f>IF($T378="","",IF((IF(AND($AW378&lt;&gt;"Yes",$AW378&lt;&gt;"N/A"),"Power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",""))="","",LEFT(IF(AND($AW378&lt;&gt;"Yes",$AW378&lt;&gt;"N/A"),"Power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",""),LEN(IF(AND($AW378&lt;&gt;"Yes",$AW378&lt;&gt;"N/A"),"Power Cable, ","")&amp;IF(AND($AX378&lt;&gt;"Yes",$AX378&lt;&gt;"N/A"),"Battery, ","")&amp;IF(AND($BE378&lt;&gt;"Yes",$BE378&lt;&gt;"N/A"),"Firmware Download, ","")&amp;IF(AND(OR($BE378="Yes",$BE378="N/A"),$BF378&lt;&gt;"Yes",$BF378&lt;&gt;"N/A"),"Firmware Install, ","")&amp;IF(AND($BJ378&lt;&gt;"Yes",$BJ378&lt;&gt;"N/A"),"Device ID, ","")&amp;IF(AND($BK378&lt;&gt;"Yes",$BK378&lt;&gt;"N/A"),"Epic Beans Relay, ",""))-2)))</f>
      </c>
      <c r="BM378">
        <f>IF($T378="","",IF($BL378="","Yes","Blocked"))</f>
      </c>
      <c r="BP378">
        <f>IF($BO378="","",IFERROR(VLOOKUP($BO378,'01_Warehouse_Ledger'!$A:$N,4,FALSE),""))</f>
      </c>
      <c r="BQ378">
        <f>IF($BO378="","",IFERROR(VLOOKUP($BO378,'01_Warehouse_Ledger'!$A:$N,5,FALSE),""))</f>
      </c>
      <c r="BR378">
        <f>IF($BO378="","",IFERROR(VLOOKUP($BO378,'01_Warehouse_Ledger'!$A:$N,13,FALSE),""))</f>
      </c>
    </row>
    <row r="379">
      <c r="D379">
        <f>IF($B379&lt;&gt;"Yes","",IF($C379="No","Yes",IF($C379="Yes","No","")))</f>
      </c>
      <c r="E379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</c>
      <c r="F379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</c>
      <c r="BL379">
        <f>IF($T379="","",IF((IF(AND($AW379&lt;&gt;"Yes",$AW379&lt;&gt;"N/A"),"Power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",""))="","",LEFT(IF(AND($AW379&lt;&gt;"Yes",$AW379&lt;&gt;"N/A"),"Power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",""),LEN(IF(AND($AW379&lt;&gt;"Yes",$AW379&lt;&gt;"N/A"),"Power Cable, ","")&amp;IF(AND($AX379&lt;&gt;"Yes",$AX379&lt;&gt;"N/A"),"Battery, ","")&amp;IF(AND($BE379&lt;&gt;"Yes",$BE379&lt;&gt;"N/A"),"Firmware Download, ","")&amp;IF(AND(OR($BE379="Yes",$BE379="N/A"),$BF379&lt;&gt;"Yes",$BF379&lt;&gt;"N/A"),"Firmware Install, ","")&amp;IF(AND($BJ379&lt;&gt;"Yes",$BJ379&lt;&gt;"N/A"),"Device ID, ","")&amp;IF(AND($BK379&lt;&gt;"Yes",$BK379&lt;&gt;"N/A"),"Epic Beans Relay, ",""))-2)))</f>
      </c>
      <c r="BM379">
        <f>IF($T379="","",IF($BL379="","Yes","Blocked"))</f>
      </c>
      <c r="BP379">
        <f>IF($BO379="","",IFERROR(VLOOKUP($BO379,'01_Warehouse_Ledger'!$A:$N,4,FALSE),""))</f>
      </c>
      <c r="BQ379">
        <f>IF($BO379="","",IFERROR(VLOOKUP($BO379,'01_Warehouse_Ledger'!$A:$N,5,FALSE),""))</f>
      </c>
      <c r="BR379">
        <f>IF($BO379="","",IFERROR(VLOOKUP($BO379,'01_Warehouse_Ledger'!$A:$N,13,FALSE),""))</f>
      </c>
    </row>
    <row r="380">
      <c r="D380">
        <f>IF($B380&lt;&gt;"Yes","",IF($C380="No","Yes",IF($C380="Yes","No","")))</f>
      </c>
      <c r="E380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</c>
      <c r="F380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</c>
      <c r="BL380">
        <f>IF($T380="","",IF((IF(AND($AW380&lt;&gt;"Yes",$AW380&lt;&gt;"N/A"),"Power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",""))="","",LEFT(IF(AND($AW380&lt;&gt;"Yes",$AW380&lt;&gt;"N/A"),"Power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",""),LEN(IF(AND($AW380&lt;&gt;"Yes",$AW380&lt;&gt;"N/A"),"Power Cable, ","")&amp;IF(AND($AX380&lt;&gt;"Yes",$AX380&lt;&gt;"N/A"),"Battery, ","")&amp;IF(AND($BE380&lt;&gt;"Yes",$BE380&lt;&gt;"N/A"),"Firmware Download, ","")&amp;IF(AND(OR($BE380="Yes",$BE380="N/A"),$BF380&lt;&gt;"Yes",$BF380&lt;&gt;"N/A"),"Firmware Install, ","")&amp;IF(AND($BJ380&lt;&gt;"Yes",$BJ380&lt;&gt;"N/A"),"Device ID, ","")&amp;IF(AND($BK380&lt;&gt;"Yes",$BK380&lt;&gt;"N/A"),"Epic Beans Relay, ",""))-2)))</f>
      </c>
      <c r="BM380">
        <f>IF($T380="","",IF($BL380="","Yes","Blocked"))</f>
      </c>
      <c r="BP380">
        <f>IF($BO380="","",IFERROR(VLOOKUP($BO380,'01_Warehouse_Ledger'!$A:$N,4,FALSE),""))</f>
      </c>
      <c r="BQ380">
        <f>IF($BO380="","",IFERROR(VLOOKUP($BO380,'01_Warehouse_Ledger'!$A:$N,5,FALSE),""))</f>
      </c>
      <c r="BR380">
        <f>IF($BO380="","",IFERROR(VLOOKUP($BO380,'01_Warehouse_Ledger'!$A:$N,13,FALSE),""))</f>
      </c>
    </row>
    <row r="381">
      <c r="D381">
        <f>IF($B381&lt;&gt;"Yes","",IF($C381="No","Yes",IF($C381="Yes","No","")))</f>
      </c>
      <c r="E381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</c>
      <c r="F381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</c>
      <c r="BL381">
        <f>IF($T381="","",IF((IF(AND($AW381&lt;&gt;"Yes",$AW381&lt;&gt;"N/A"),"Power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",""))="","",LEFT(IF(AND($AW381&lt;&gt;"Yes",$AW381&lt;&gt;"N/A"),"Power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",""),LEN(IF(AND($AW381&lt;&gt;"Yes",$AW381&lt;&gt;"N/A"),"Power Cable, ","")&amp;IF(AND($AX381&lt;&gt;"Yes",$AX381&lt;&gt;"N/A"),"Battery, ","")&amp;IF(AND($BE381&lt;&gt;"Yes",$BE381&lt;&gt;"N/A"),"Firmware Download, ","")&amp;IF(AND(OR($BE381="Yes",$BE381="N/A"),$BF381&lt;&gt;"Yes",$BF381&lt;&gt;"N/A"),"Firmware Install, ","")&amp;IF(AND($BJ381&lt;&gt;"Yes",$BJ381&lt;&gt;"N/A"),"Device ID, ","")&amp;IF(AND($BK381&lt;&gt;"Yes",$BK381&lt;&gt;"N/A"),"Epic Beans Relay, ",""))-2)))</f>
      </c>
      <c r="BM381">
        <f>IF($T381="","",IF($BL381="","Yes","Blocked"))</f>
      </c>
      <c r="BP381">
        <f>IF($BO381="","",IFERROR(VLOOKUP($BO381,'01_Warehouse_Ledger'!$A:$N,4,FALSE),""))</f>
      </c>
      <c r="BQ381">
        <f>IF($BO381="","",IFERROR(VLOOKUP($BO381,'01_Warehouse_Ledger'!$A:$N,5,FALSE),""))</f>
      </c>
      <c r="BR381">
        <f>IF($BO381="","",IFERROR(VLOOKUP($BO381,'01_Warehouse_Ledger'!$A:$N,13,FALSE),""))</f>
      </c>
    </row>
    <row r="382">
      <c r="D382">
        <f>IF($B382&lt;&gt;"Yes","",IF($C382="No","Yes",IF($C382="Yes","No","")))</f>
      </c>
      <c r="E382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</c>
      <c r="F382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</c>
      <c r="BL382">
        <f>IF($T382="","",IF((IF(AND($AW382&lt;&gt;"Yes",$AW382&lt;&gt;"N/A"),"Power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",""))="","",LEFT(IF(AND($AW382&lt;&gt;"Yes",$AW382&lt;&gt;"N/A"),"Power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",""),LEN(IF(AND($AW382&lt;&gt;"Yes",$AW382&lt;&gt;"N/A"),"Power Cable, ","")&amp;IF(AND($AX382&lt;&gt;"Yes",$AX382&lt;&gt;"N/A"),"Battery, ","")&amp;IF(AND($BE382&lt;&gt;"Yes",$BE382&lt;&gt;"N/A"),"Firmware Download, ","")&amp;IF(AND(OR($BE382="Yes",$BE382="N/A"),$BF382&lt;&gt;"Yes",$BF382&lt;&gt;"N/A"),"Firmware Install, ","")&amp;IF(AND($BJ382&lt;&gt;"Yes",$BJ382&lt;&gt;"N/A"),"Device ID, ","")&amp;IF(AND($BK382&lt;&gt;"Yes",$BK382&lt;&gt;"N/A"),"Epic Beans Relay, ",""))-2)))</f>
      </c>
      <c r="BM382">
        <f>IF($T382="","",IF($BL382="","Yes","Blocked"))</f>
      </c>
      <c r="BP382">
        <f>IF($BO382="","",IFERROR(VLOOKUP($BO382,'01_Warehouse_Ledger'!$A:$N,4,FALSE),""))</f>
      </c>
      <c r="BQ382">
        <f>IF($BO382="","",IFERROR(VLOOKUP($BO382,'01_Warehouse_Ledger'!$A:$N,5,FALSE),""))</f>
      </c>
      <c r="BR382">
        <f>IF($BO382="","",IFERROR(VLOOKUP($BO382,'01_Warehouse_Ledger'!$A:$N,13,FALSE),""))</f>
      </c>
    </row>
    <row r="383">
      <c r="D383">
        <f>IF($B383&lt;&gt;"Yes","",IF($C383="No","Yes",IF($C383="Yes","No","")))</f>
      </c>
      <c r="E383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</c>
      <c r="F383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</c>
      <c r="BL383">
        <f>IF($T383="","",IF((IF(AND($AW383&lt;&gt;"Yes",$AW383&lt;&gt;"N/A"),"Power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",""))="","",LEFT(IF(AND($AW383&lt;&gt;"Yes",$AW383&lt;&gt;"N/A"),"Power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",""),LEN(IF(AND($AW383&lt;&gt;"Yes",$AW383&lt;&gt;"N/A"),"Power Cable, ","")&amp;IF(AND($AX383&lt;&gt;"Yes",$AX383&lt;&gt;"N/A"),"Battery, ","")&amp;IF(AND($BE383&lt;&gt;"Yes",$BE383&lt;&gt;"N/A"),"Firmware Download, ","")&amp;IF(AND(OR($BE383="Yes",$BE383="N/A"),$BF383&lt;&gt;"Yes",$BF383&lt;&gt;"N/A"),"Firmware Install, ","")&amp;IF(AND($BJ383&lt;&gt;"Yes",$BJ383&lt;&gt;"N/A"),"Device ID, ","")&amp;IF(AND($BK383&lt;&gt;"Yes",$BK383&lt;&gt;"N/A"),"Epic Beans Relay, ",""))-2)))</f>
      </c>
      <c r="BM383">
        <f>IF($T383="","",IF($BL383="","Yes","Blocked"))</f>
      </c>
      <c r="BP383">
        <f>IF($BO383="","",IFERROR(VLOOKUP($BO383,'01_Warehouse_Ledger'!$A:$N,4,FALSE),""))</f>
      </c>
      <c r="BQ383">
        <f>IF($BO383="","",IFERROR(VLOOKUP($BO383,'01_Warehouse_Ledger'!$A:$N,5,FALSE),""))</f>
      </c>
      <c r="BR383">
        <f>IF($BO383="","",IFERROR(VLOOKUP($BO383,'01_Warehouse_Ledger'!$A:$N,13,FALSE),""))</f>
      </c>
    </row>
    <row r="384">
      <c r="D384">
        <f>IF($B384&lt;&gt;"Yes","",IF($C384="No","Yes",IF($C384="Yes","No","")))</f>
      </c>
      <c r="E384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</c>
      <c r="F384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</c>
      <c r="BL384">
        <f>IF($T384="","",IF((IF(AND($AW384&lt;&gt;"Yes",$AW384&lt;&gt;"N/A"),"Power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",""))="","",LEFT(IF(AND($AW384&lt;&gt;"Yes",$AW384&lt;&gt;"N/A"),"Power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",""),LEN(IF(AND($AW384&lt;&gt;"Yes",$AW384&lt;&gt;"N/A"),"Power Cable, ","")&amp;IF(AND($AX384&lt;&gt;"Yes",$AX384&lt;&gt;"N/A"),"Battery, ","")&amp;IF(AND($BE384&lt;&gt;"Yes",$BE384&lt;&gt;"N/A"),"Firmware Download, ","")&amp;IF(AND(OR($BE384="Yes",$BE384="N/A"),$BF384&lt;&gt;"Yes",$BF384&lt;&gt;"N/A"),"Firmware Install, ","")&amp;IF(AND($BJ384&lt;&gt;"Yes",$BJ384&lt;&gt;"N/A"),"Device ID, ","")&amp;IF(AND($BK384&lt;&gt;"Yes",$BK384&lt;&gt;"N/A"),"Epic Beans Relay, ",""))-2)))</f>
      </c>
      <c r="BM384">
        <f>IF($T384="","",IF($BL384="","Yes","Blocked"))</f>
      </c>
      <c r="BP384">
        <f>IF($BO384="","",IFERROR(VLOOKUP($BO384,'01_Warehouse_Ledger'!$A:$N,4,FALSE),""))</f>
      </c>
      <c r="BQ384">
        <f>IF($BO384="","",IFERROR(VLOOKUP($BO384,'01_Warehouse_Ledger'!$A:$N,5,FALSE),""))</f>
      </c>
      <c r="BR384">
        <f>IF($BO384="","",IFERROR(VLOOKUP($BO384,'01_Warehouse_Ledger'!$A:$N,13,FALSE),""))</f>
      </c>
    </row>
    <row r="385">
      <c r="D385">
        <f>IF($B385&lt;&gt;"Yes","",IF($C385="No","Yes",IF($C385="Yes","No","")))</f>
      </c>
      <c r="E385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</c>
      <c r="F385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</c>
      <c r="BL385">
        <f>IF($T385="","",IF((IF(AND($AW385&lt;&gt;"Yes",$AW385&lt;&gt;"N/A"),"Power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",""))="","",LEFT(IF(AND($AW385&lt;&gt;"Yes",$AW385&lt;&gt;"N/A"),"Power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",""),LEN(IF(AND($AW385&lt;&gt;"Yes",$AW385&lt;&gt;"N/A"),"Power Cable, ","")&amp;IF(AND($AX385&lt;&gt;"Yes",$AX385&lt;&gt;"N/A"),"Battery, ","")&amp;IF(AND($BE385&lt;&gt;"Yes",$BE385&lt;&gt;"N/A"),"Firmware Download, ","")&amp;IF(AND(OR($BE385="Yes",$BE385="N/A"),$BF385&lt;&gt;"Yes",$BF385&lt;&gt;"N/A"),"Firmware Install, ","")&amp;IF(AND($BJ385&lt;&gt;"Yes",$BJ385&lt;&gt;"N/A"),"Device ID, ","")&amp;IF(AND($BK385&lt;&gt;"Yes",$BK385&lt;&gt;"N/A"),"Epic Beans Relay, ",""))-2)))</f>
      </c>
      <c r="BM385">
        <f>IF($T385="","",IF($BL385="","Yes","Blocked"))</f>
      </c>
      <c r="BP385">
        <f>IF($BO385="","",IFERROR(VLOOKUP($BO385,'01_Warehouse_Ledger'!$A:$N,4,FALSE),""))</f>
      </c>
      <c r="BQ385">
        <f>IF($BO385="","",IFERROR(VLOOKUP($BO385,'01_Warehouse_Ledger'!$A:$N,5,FALSE),""))</f>
      </c>
      <c r="BR385">
        <f>IF($BO385="","",IFERROR(VLOOKUP($BO385,'01_Warehouse_Ledger'!$A:$N,13,FALSE),""))</f>
      </c>
    </row>
    <row r="386">
      <c r="D386">
        <f>IF($B386&lt;&gt;"Yes","",IF($C386="No","Yes",IF($C386="Yes","No","")))</f>
      </c>
      <c r="E386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</c>
      <c r="F386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</c>
      <c r="BL386">
        <f>IF($T386="","",IF((IF(AND($AW386&lt;&gt;"Yes",$AW386&lt;&gt;"N/A"),"Power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",""))="","",LEFT(IF(AND($AW386&lt;&gt;"Yes",$AW386&lt;&gt;"N/A"),"Power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",""),LEN(IF(AND($AW386&lt;&gt;"Yes",$AW386&lt;&gt;"N/A"),"Power Cable, ","")&amp;IF(AND($AX386&lt;&gt;"Yes",$AX386&lt;&gt;"N/A"),"Battery, ","")&amp;IF(AND($BE386&lt;&gt;"Yes",$BE386&lt;&gt;"N/A"),"Firmware Download, ","")&amp;IF(AND(OR($BE386="Yes",$BE386="N/A"),$BF386&lt;&gt;"Yes",$BF386&lt;&gt;"N/A"),"Firmware Install, ","")&amp;IF(AND($BJ386&lt;&gt;"Yes",$BJ386&lt;&gt;"N/A"),"Device ID, ","")&amp;IF(AND($BK386&lt;&gt;"Yes",$BK386&lt;&gt;"N/A"),"Epic Beans Relay, ",""))-2)))</f>
      </c>
      <c r="BM386">
        <f>IF($T386="","",IF($BL386="","Yes","Blocked"))</f>
      </c>
      <c r="BP386">
        <f>IF($BO386="","",IFERROR(VLOOKUP($BO386,'01_Warehouse_Ledger'!$A:$N,4,FALSE),""))</f>
      </c>
      <c r="BQ386">
        <f>IF($BO386="","",IFERROR(VLOOKUP($BO386,'01_Warehouse_Ledger'!$A:$N,5,FALSE),""))</f>
      </c>
      <c r="BR386">
        <f>IF($BO386="","",IFERROR(VLOOKUP($BO386,'01_Warehouse_Ledger'!$A:$N,13,FALSE),""))</f>
      </c>
    </row>
    <row r="387">
      <c r="D387">
        <f>IF($B387&lt;&gt;"Yes","",IF($C387="No","Yes",IF($C387="Yes","No","")))</f>
      </c>
      <c r="E387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</c>
      <c r="F387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</c>
      <c r="BL387">
        <f>IF($T387="","",IF((IF(AND($AW387&lt;&gt;"Yes",$AW387&lt;&gt;"N/A"),"Power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",""))="","",LEFT(IF(AND($AW387&lt;&gt;"Yes",$AW387&lt;&gt;"N/A"),"Power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",""),LEN(IF(AND($AW387&lt;&gt;"Yes",$AW387&lt;&gt;"N/A"),"Power Cable, ","")&amp;IF(AND($AX387&lt;&gt;"Yes",$AX387&lt;&gt;"N/A"),"Battery, ","")&amp;IF(AND($BE387&lt;&gt;"Yes",$BE387&lt;&gt;"N/A"),"Firmware Download, ","")&amp;IF(AND(OR($BE387="Yes",$BE387="N/A"),$BF387&lt;&gt;"Yes",$BF387&lt;&gt;"N/A"),"Firmware Install, ","")&amp;IF(AND($BJ387&lt;&gt;"Yes",$BJ387&lt;&gt;"N/A"),"Device ID, ","")&amp;IF(AND($BK387&lt;&gt;"Yes",$BK387&lt;&gt;"N/A"),"Epic Beans Relay, ",""))-2)))</f>
      </c>
      <c r="BM387">
        <f>IF($T387="","",IF($BL387="","Yes","Blocked"))</f>
      </c>
      <c r="BP387">
        <f>IF($BO387="","",IFERROR(VLOOKUP($BO387,'01_Warehouse_Ledger'!$A:$N,4,FALSE),""))</f>
      </c>
      <c r="BQ387">
        <f>IF($BO387="","",IFERROR(VLOOKUP($BO387,'01_Warehouse_Ledger'!$A:$N,5,FALSE),""))</f>
      </c>
      <c r="BR387">
        <f>IF($BO387="","",IFERROR(VLOOKUP($BO387,'01_Warehouse_Ledger'!$A:$N,13,FALSE),""))</f>
      </c>
    </row>
    <row r="388">
      <c r="D388">
        <f>IF($B388&lt;&gt;"Yes","",IF($C388="No","Yes",IF($C388="Yes","No","")))</f>
      </c>
      <c r="E388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</c>
      <c r="F388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</c>
      <c r="BL388">
        <f>IF($T388="","",IF((IF(AND($AW388&lt;&gt;"Yes",$AW388&lt;&gt;"N/A"),"Power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",""))="","",LEFT(IF(AND($AW388&lt;&gt;"Yes",$AW388&lt;&gt;"N/A"),"Power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",""),LEN(IF(AND($AW388&lt;&gt;"Yes",$AW388&lt;&gt;"N/A"),"Power Cable, ","")&amp;IF(AND($AX388&lt;&gt;"Yes",$AX388&lt;&gt;"N/A"),"Battery, ","")&amp;IF(AND($BE388&lt;&gt;"Yes",$BE388&lt;&gt;"N/A"),"Firmware Download, ","")&amp;IF(AND(OR($BE388="Yes",$BE388="N/A"),$BF388&lt;&gt;"Yes",$BF388&lt;&gt;"N/A"),"Firmware Install, ","")&amp;IF(AND($BJ388&lt;&gt;"Yes",$BJ388&lt;&gt;"N/A"),"Device ID, ","")&amp;IF(AND($BK388&lt;&gt;"Yes",$BK388&lt;&gt;"N/A"),"Epic Beans Relay, ",""))-2)))</f>
      </c>
      <c r="BM388">
        <f>IF($T388="","",IF($BL388="","Yes","Blocked"))</f>
      </c>
      <c r="BP388">
        <f>IF($BO388="","",IFERROR(VLOOKUP($BO388,'01_Warehouse_Ledger'!$A:$N,4,FALSE),""))</f>
      </c>
      <c r="BQ388">
        <f>IF($BO388="","",IFERROR(VLOOKUP($BO388,'01_Warehouse_Ledger'!$A:$N,5,FALSE),""))</f>
      </c>
      <c r="BR388">
        <f>IF($BO388="","",IFERROR(VLOOKUP($BO388,'01_Warehouse_Ledger'!$A:$N,13,FALSE),""))</f>
      </c>
    </row>
    <row r="389">
      <c r="D389">
        <f>IF($B389&lt;&gt;"Yes","",IF($C389="No","Yes",IF($C389="Yes","No","")))</f>
      </c>
      <c r="E389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</c>
      <c r="F389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</c>
      <c r="BL389">
        <f>IF($T389="","",IF((IF(AND($AW389&lt;&gt;"Yes",$AW389&lt;&gt;"N/A"),"Power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",""))="","",LEFT(IF(AND($AW389&lt;&gt;"Yes",$AW389&lt;&gt;"N/A"),"Power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",""),LEN(IF(AND($AW389&lt;&gt;"Yes",$AW389&lt;&gt;"N/A"),"Power Cable, ","")&amp;IF(AND($AX389&lt;&gt;"Yes",$AX389&lt;&gt;"N/A"),"Battery, ","")&amp;IF(AND($BE389&lt;&gt;"Yes",$BE389&lt;&gt;"N/A"),"Firmware Download, ","")&amp;IF(AND(OR($BE389="Yes",$BE389="N/A"),$BF389&lt;&gt;"Yes",$BF389&lt;&gt;"N/A"),"Firmware Install, ","")&amp;IF(AND($BJ389&lt;&gt;"Yes",$BJ389&lt;&gt;"N/A"),"Device ID, ","")&amp;IF(AND($BK389&lt;&gt;"Yes",$BK389&lt;&gt;"N/A"),"Epic Beans Relay, ",""))-2)))</f>
      </c>
      <c r="BM389">
        <f>IF($T389="","",IF($BL389="","Yes","Blocked"))</f>
      </c>
      <c r="BP389">
        <f>IF($BO389="","",IFERROR(VLOOKUP($BO389,'01_Warehouse_Ledger'!$A:$N,4,FALSE),""))</f>
      </c>
      <c r="BQ389">
        <f>IF($BO389="","",IFERROR(VLOOKUP($BO389,'01_Warehouse_Ledger'!$A:$N,5,FALSE),""))</f>
      </c>
      <c r="BR389">
        <f>IF($BO389="","",IFERROR(VLOOKUP($BO389,'01_Warehouse_Ledger'!$A:$N,13,FALSE),""))</f>
      </c>
    </row>
    <row r="390">
      <c r="D390">
        <f>IF($B390&lt;&gt;"Yes","",IF($C390="No","Yes",IF($C390="Yes","No","")))</f>
      </c>
      <c r="E390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</c>
      <c r="F390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</c>
      <c r="BL390">
        <f>IF($T390="","",IF((IF(AND($AW390&lt;&gt;"Yes",$AW390&lt;&gt;"N/A"),"Power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",""))="","",LEFT(IF(AND($AW390&lt;&gt;"Yes",$AW390&lt;&gt;"N/A"),"Power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",""),LEN(IF(AND($AW390&lt;&gt;"Yes",$AW390&lt;&gt;"N/A"),"Power Cable, ","")&amp;IF(AND($AX390&lt;&gt;"Yes",$AX390&lt;&gt;"N/A"),"Battery, ","")&amp;IF(AND($BE390&lt;&gt;"Yes",$BE390&lt;&gt;"N/A"),"Firmware Download, ","")&amp;IF(AND(OR($BE390="Yes",$BE390="N/A"),$BF390&lt;&gt;"Yes",$BF390&lt;&gt;"N/A"),"Firmware Install, ","")&amp;IF(AND($BJ390&lt;&gt;"Yes",$BJ390&lt;&gt;"N/A"),"Device ID, ","")&amp;IF(AND($BK390&lt;&gt;"Yes",$BK390&lt;&gt;"N/A"),"Epic Beans Relay, ",""))-2)))</f>
      </c>
      <c r="BM390">
        <f>IF($T390="","",IF($BL390="","Yes","Blocked"))</f>
      </c>
      <c r="BP390">
        <f>IF($BO390="","",IFERROR(VLOOKUP($BO390,'01_Warehouse_Ledger'!$A:$N,4,FALSE),""))</f>
      </c>
      <c r="BQ390">
        <f>IF($BO390="","",IFERROR(VLOOKUP($BO390,'01_Warehouse_Ledger'!$A:$N,5,FALSE),""))</f>
      </c>
      <c r="BR390">
        <f>IF($BO390="","",IFERROR(VLOOKUP($BO390,'01_Warehouse_Ledger'!$A:$N,13,FALSE),""))</f>
      </c>
    </row>
    <row r="391">
      <c r="D391">
        <f>IF($B391&lt;&gt;"Yes","",IF($C391="No","Yes",IF($C391="Yes","No","")))</f>
      </c>
      <c r="E391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</c>
      <c r="F391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</c>
      <c r="BL391">
        <f>IF($T391="","",IF((IF(AND($AW391&lt;&gt;"Yes",$AW391&lt;&gt;"N/A"),"Power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",""))="","",LEFT(IF(AND($AW391&lt;&gt;"Yes",$AW391&lt;&gt;"N/A"),"Power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",""),LEN(IF(AND($AW391&lt;&gt;"Yes",$AW391&lt;&gt;"N/A"),"Power Cable, ","")&amp;IF(AND($AX391&lt;&gt;"Yes",$AX391&lt;&gt;"N/A"),"Battery, ","")&amp;IF(AND($BE391&lt;&gt;"Yes",$BE391&lt;&gt;"N/A"),"Firmware Download, ","")&amp;IF(AND(OR($BE391="Yes",$BE391="N/A"),$BF391&lt;&gt;"Yes",$BF391&lt;&gt;"N/A"),"Firmware Install, ","")&amp;IF(AND($BJ391&lt;&gt;"Yes",$BJ391&lt;&gt;"N/A"),"Device ID, ","")&amp;IF(AND($BK391&lt;&gt;"Yes",$BK391&lt;&gt;"N/A"),"Epic Beans Relay, ",""))-2)))</f>
      </c>
      <c r="BM391">
        <f>IF($T391="","",IF($BL391="","Yes","Blocked"))</f>
      </c>
      <c r="BP391">
        <f>IF($BO391="","",IFERROR(VLOOKUP($BO391,'01_Warehouse_Ledger'!$A:$N,4,FALSE),""))</f>
      </c>
      <c r="BQ391">
        <f>IF($BO391="","",IFERROR(VLOOKUP($BO391,'01_Warehouse_Ledger'!$A:$N,5,FALSE),""))</f>
      </c>
      <c r="BR391">
        <f>IF($BO391="","",IFERROR(VLOOKUP($BO391,'01_Warehouse_Ledger'!$A:$N,13,FALSE),""))</f>
      </c>
    </row>
    <row r="392">
      <c r="D392">
        <f>IF($B392&lt;&gt;"Yes","",IF($C392="No","Yes",IF($C392="Yes","No","")))</f>
      </c>
      <c r="E392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</c>
      <c r="F392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</c>
      <c r="BL392">
        <f>IF($T392="","",IF((IF(AND($AW392&lt;&gt;"Yes",$AW392&lt;&gt;"N/A"),"Power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",""))="","",LEFT(IF(AND($AW392&lt;&gt;"Yes",$AW392&lt;&gt;"N/A"),"Power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",""),LEN(IF(AND($AW392&lt;&gt;"Yes",$AW392&lt;&gt;"N/A"),"Power Cable, ","")&amp;IF(AND($AX392&lt;&gt;"Yes",$AX392&lt;&gt;"N/A"),"Battery, ","")&amp;IF(AND($BE392&lt;&gt;"Yes",$BE392&lt;&gt;"N/A"),"Firmware Download, ","")&amp;IF(AND(OR($BE392="Yes",$BE392="N/A"),$BF392&lt;&gt;"Yes",$BF392&lt;&gt;"N/A"),"Firmware Install, ","")&amp;IF(AND($BJ392&lt;&gt;"Yes",$BJ392&lt;&gt;"N/A"),"Device ID, ","")&amp;IF(AND($BK392&lt;&gt;"Yes",$BK392&lt;&gt;"N/A"),"Epic Beans Relay, ",""))-2)))</f>
      </c>
      <c r="BM392">
        <f>IF($T392="","",IF($BL392="","Yes","Blocked"))</f>
      </c>
      <c r="BP392">
        <f>IF($BO392="","",IFERROR(VLOOKUP($BO392,'01_Warehouse_Ledger'!$A:$N,4,FALSE),""))</f>
      </c>
      <c r="BQ392">
        <f>IF($BO392="","",IFERROR(VLOOKUP($BO392,'01_Warehouse_Ledger'!$A:$N,5,FALSE),""))</f>
      </c>
      <c r="BR392">
        <f>IF($BO392="","",IFERROR(VLOOKUP($BO392,'01_Warehouse_Ledger'!$A:$N,13,FALSE),""))</f>
      </c>
    </row>
    <row r="393">
      <c r="D393">
        <f>IF($B393&lt;&gt;"Yes","",IF($C393="No","Yes",IF($C393="Yes","No","")))</f>
      </c>
      <c r="E393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</c>
      <c r="F393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</c>
      <c r="BL393">
        <f>IF($T393="","",IF((IF(AND($AW393&lt;&gt;"Yes",$AW393&lt;&gt;"N/A"),"Power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",""))="","",LEFT(IF(AND($AW393&lt;&gt;"Yes",$AW393&lt;&gt;"N/A"),"Power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",""),LEN(IF(AND($AW393&lt;&gt;"Yes",$AW393&lt;&gt;"N/A"),"Power Cable, ","")&amp;IF(AND($AX393&lt;&gt;"Yes",$AX393&lt;&gt;"N/A"),"Battery, ","")&amp;IF(AND($BE393&lt;&gt;"Yes",$BE393&lt;&gt;"N/A"),"Firmware Download, ","")&amp;IF(AND(OR($BE393="Yes",$BE393="N/A"),$BF393&lt;&gt;"Yes",$BF393&lt;&gt;"N/A"),"Firmware Install, ","")&amp;IF(AND($BJ393&lt;&gt;"Yes",$BJ393&lt;&gt;"N/A"),"Device ID, ","")&amp;IF(AND($BK393&lt;&gt;"Yes",$BK393&lt;&gt;"N/A"),"Epic Beans Relay, ",""))-2)))</f>
      </c>
      <c r="BM393">
        <f>IF($T393="","",IF($BL393="","Yes","Blocked"))</f>
      </c>
      <c r="BP393">
        <f>IF($BO393="","",IFERROR(VLOOKUP($BO393,'01_Warehouse_Ledger'!$A:$N,4,FALSE),""))</f>
      </c>
      <c r="BQ393">
        <f>IF($BO393="","",IFERROR(VLOOKUP($BO393,'01_Warehouse_Ledger'!$A:$N,5,FALSE),""))</f>
      </c>
      <c r="BR393">
        <f>IF($BO393="","",IFERROR(VLOOKUP($BO393,'01_Warehouse_Ledger'!$A:$N,13,FALSE),""))</f>
      </c>
    </row>
    <row r="394">
      <c r="D394">
        <f>IF($B394&lt;&gt;"Yes","",IF($C394="No","Yes",IF($C394="Yes","No","")))</f>
      </c>
      <c r="E394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</c>
      <c r="F394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</c>
      <c r="BL394">
        <f>IF($T394="","",IF((IF(AND($AW394&lt;&gt;"Yes",$AW394&lt;&gt;"N/A"),"Power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",""))="","",LEFT(IF(AND($AW394&lt;&gt;"Yes",$AW394&lt;&gt;"N/A"),"Power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",""),LEN(IF(AND($AW394&lt;&gt;"Yes",$AW394&lt;&gt;"N/A"),"Power Cable, ","")&amp;IF(AND($AX394&lt;&gt;"Yes",$AX394&lt;&gt;"N/A"),"Battery, ","")&amp;IF(AND($BE394&lt;&gt;"Yes",$BE394&lt;&gt;"N/A"),"Firmware Download, ","")&amp;IF(AND(OR($BE394="Yes",$BE394="N/A"),$BF394&lt;&gt;"Yes",$BF394&lt;&gt;"N/A"),"Firmware Install, ","")&amp;IF(AND($BJ394&lt;&gt;"Yes",$BJ394&lt;&gt;"N/A"),"Device ID, ","")&amp;IF(AND($BK394&lt;&gt;"Yes",$BK394&lt;&gt;"N/A"),"Epic Beans Relay, ",""))-2)))</f>
      </c>
      <c r="BM394">
        <f>IF($T394="","",IF($BL394="","Yes","Blocked"))</f>
      </c>
      <c r="BP394">
        <f>IF($BO394="","",IFERROR(VLOOKUP($BO394,'01_Warehouse_Ledger'!$A:$N,4,FALSE),""))</f>
      </c>
      <c r="BQ394">
        <f>IF($BO394="","",IFERROR(VLOOKUP($BO394,'01_Warehouse_Ledger'!$A:$N,5,FALSE),""))</f>
      </c>
      <c r="BR394">
        <f>IF($BO394="","",IFERROR(VLOOKUP($BO394,'01_Warehouse_Ledger'!$A:$N,13,FALSE),""))</f>
      </c>
    </row>
    <row r="395">
      <c r="D395">
        <f>IF($B395&lt;&gt;"Yes","",IF($C395="No","Yes",IF($C395="Yes","No","")))</f>
      </c>
      <c r="E395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</c>
      <c r="F395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</c>
      <c r="BL395">
        <f>IF($T395="","",IF((IF(AND($AW395&lt;&gt;"Yes",$AW395&lt;&gt;"N/A"),"Power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",""))="","",LEFT(IF(AND($AW395&lt;&gt;"Yes",$AW395&lt;&gt;"N/A"),"Power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",""),LEN(IF(AND($AW395&lt;&gt;"Yes",$AW395&lt;&gt;"N/A"),"Power Cable, ","")&amp;IF(AND($AX395&lt;&gt;"Yes",$AX395&lt;&gt;"N/A"),"Battery, ","")&amp;IF(AND($BE395&lt;&gt;"Yes",$BE395&lt;&gt;"N/A"),"Firmware Download, ","")&amp;IF(AND(OR($BE395="Yes",$BE395="N/A"),$BF395&lt;&gt;"Yes",$BF395&lt;&gt;"N/A"),"Firmware Install, ","")&amp;IF(AND($BJ395&lt;&gt;"Yes",$BJ395&lt;&gt;"N/A"),"Device ID, ","")&amp;IF(AND($BK395&lt;&gt;"Yes",$BK395&lt;&gt;"N/A"),"Epic Beans Relay, ",""))-2)))</f>
      </c>
      <c r="BM395">
        <f>IF($T395="","",IF($BL395="","Yes","Blocked"))</f>
      </c>
      <c r="BP395">
        <f>IF($BO395="","",IFERROR(VLOOKUP($BO395,'01_Warehouse_Ledger'!$A:$N,4,FALSE),""))</f>
      </c>
      <c r="BQ395">
        <f>IF($BO395="","",IFERROR(VLOOKUP($BO395,'01_Warehouse_Ledger'!$A:$N,5,FALSE),""))</f>
      </c>
      <c r="BR395">
        <f>IF($BO395="","",IFERROR(VLOOKUP($BO395,'01_Warehouse_Ledger'!$A:$N,13,FALSE),""))</f>
      </c>
    </row>
    <row r="396">
      <c r="D396">
        <f>IF($B396&lt;&gt;"Yes","",IF($C396="No","Yes",IF($C396="Yes","No","")))</f>
      </c>
      <c r="E396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</c>
      <c r="F396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</c>
      <c r="BL396">
        <f>IF($T396="","",IF((IF(AND($AW396&lt;&gt;"Yes",$AW396&lt;&gt;"N/A"),"Power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",""))="","",LEFT(IF(AND($AW396&lt;&gt;"Yes",$AW396&lt;&gt;"N/A"),"Power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",""),LEN(IF(AND($AW396&lt;&gt;"Yes",$AW396&lt;&gt;"N/A"),"Power Cable, ","")&amp;IF(AND($AX396&lt;&gt;"Yes",$AX396&lt;&gt;"N/A"),"Battery, ","")&amp;IF(AND($BE396&lt;&gt;"Yes",$BE396&lt;&gt;"N/A"),"Firmware Download, ","")&amp;IF(AND(OR($BE396="Yes",$BE396="N/A"),$BF396&lt;&gt;"Yes",$BF396&lt;&gt;"N/A"),"Firmware Install, ","")&amp;IF(AND($BJ396&lt;&gt;"Yes",$BJ396&lt;&gt;"N/A"),"Device ID, ","")&amp;IF(AND($BK396&lt;&gt;"Yes",$BK396&lt;&gt;"N/A"),"Epic Beans Relay, ",""))-2)))</f>
      </c>
      <c r="BM396">
        <f>IF($T396="","",IF($BL396="","Yes","Blocked"))</f>
      </c>
      <c r="BP396">
        <f>IF($BO396="","",IFERROR(VLOOKUP($BO396,'01_Warehouse_Ledger'!$A:$N,4,FALSE),""))</f>
      </c>
      <c r="BQ396">
        <f>IF($BO396="","",IFERROR(VLOOKUP($BO396,'01_Warehouse_Ledger'!$A:$N,5,FALSE),""))</f>
      </c>
      <c r="BR396">
        <f>IF($BO396="","",IFERROR(VLOOKUP($BO396,'01_Warehouse_Ledger'!$A:$N,13,FALSE),""))</f>
      </c>
    </row>
    <row r="397">
      <c r="D397">
        <f>IF($B397&lt;&gt;"Yes","",IF($C397="No","Yes",IF($C397="Yes","No","")))</f>
      </c>
      <c r="E397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</c>
      <c r="F397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</c>
      <c r="BL397">
        <f>IF($T397="","",IF((IF(AND($AW397&lt;&gt;"Yes",$AW397&lt;&gt;"N/A"),"Power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",""))="","",LEFT(IF(AND($AW397&lt;&gt;"Yes",$AW397&lt;&gt;"N/A"),"Power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",""),LEN(IF(AND($AW397&lt;&gt;"Yes",$AW397&lt;&gt;"N/A"),"Power Cable, ","")&amp;IF(AND($AX397&lt;&gt;"Yes",$AX397&lt;&gt;"N/A"),"Battery, ","")&amp;IF(AND($BE397&lt;&gt;"Yes",$BE397&lt;&gt;"N/A"),"Firmware Download, ","")&amp;IF(AND(OR($BE397="Yes",$BE397="N/A"),$BF397&lt;&gt;"Yes",$BF397&lt;&gt;"N/A"),"Firmware Install, ","")&amp;IF(AND($BJ397&lt;&gt;"Yes",$BJ397&lt;&gt;"N/A"),"Device ID, ","")&amp;IF(AND($BK397&lt;&gt;"Yes",$BK397&lt;&gt;"N/A"),"Epic Beans Relay, ",""))-2)))</f>
      </c>
      <c r="BM397">
        <f>IF($T397="","",IF($BL397="","Yes","Blocked"))</f>
      </c>
      <c r="BP397">
        <f>IF($BO397="","",IFERROR(VLOOKUP($BO397,'01_Warehouse_Ledger'!$A:$N,4,FALSE),""))</f>
      </c>
      <c r="BQ397">
        <f>IF($BO397="","",IFERROR(VLOOKUP($BO397,'01_Warehouse_Ledger'!$A:$N,5,FALSE),""))</f>
      </c>
      <c r="BR397">
        <f>IF($BO397="","",IFERROR(VLOOKUP($BO397,'01_Warehouse_Ledger'!$A:$N,13,FALSE),""))</f>
      </c>
    </row>
    <row r="398">
      <c r="D398">
        <f>IF($B398&lt;&gt;"Yes","",IF($C398="No","Yes",IF($C398="Yes","No","")))</f>
      </c>
      <c r="E398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</c>
      <c r="F398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</c>
      <c r="BL398">
        <f>IF($T398="","",IF((IF(AND($AW398&lt;&gt;"Yes",$AW398&lt;&gt;"N/A"),"Power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",""))="","",LEFT(IF(AND($AW398&lt;&gt;"Yes",$AW398&lt;&gt;"N/A"),"Power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",""),LEN(IF(AND($AW398&lt;&gt;"Yes",$AW398&lt;&gt;"N/A"),"Power Cable, ","")&amp;IF(AND($AX398&lt;&gt;"Yes",$AX398&lt;&gt;"N/A"),"Battery, ","")&amp;IF(AND($BE398&lt;&gt;"Yes",$BE398&lt;&gt;"N/A"),"Firmware Download, ","")&amp;IF(AND(OR($BE398="Yes",$BE398="N/A"),$BF398&lt;&gt;"Yes",$BF398&lt;&gt;"N/A"),"Firmware Install, ","")&amp;IF(AND($BJ398&lt;&gt;"Yes",$BJ398&lt;&gt;"N/A"),"Device ID, ","")&amp;IF(AND($BK398&lt;&gt;"Yes",$BK398&lt;&gt;"N/A"),"Epic Beans Relay, ",""))-2)))</f>
      </c>
      <c r="BM398">
        <f>IF($T398="","",IF($BL398="","Yes","Blocked"))</f>
      </c>
      <c r="BP398">
        <f>IF($BO398="","",IFERROR(VLOOKUP($BO398,'01_Warehouse_Ledger'!$A:$N,4,FALSE),""))</f>
      </c>
      <c r="BQ398">
        <f>IF($BO398="","",IFERROR(VLOOKUP($BO398,'01_Warehouse_Ledger'!$A:$N,5,FALSE),""))</f>
      </c>
      <c r="BR398">
        <f>IF($BO398="","",IFERROR(VLOOKUP($BO398,'01_Warehouse_Ledger'!$A:$N,13,FALSE),""))</f>
      </c>
    </row>
    <row r="399">
      <c r="D399">
        <f>IF($B399&lt;&gt;"Yes","",IF($C399="No","Yes",IF($C399="Yes","No","")))</f>
      </c>
      <c r="E399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</c>
      <c r="F399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</c>
      <c r="BL399">
        <f>IF($T399="","",IF((IF(AND($AW399&lt;&gt;"Yes",$AW399&lt;&gt;"N/A"),"Power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",""))="","",LEFT(IF(AND($AW399&lt;&gt;"Yes",$AW399&lt;&gt;"N/A"),"Power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",""),LEN(IF(AND($AW399&lt;&gt;"Yes",$AW399&lt;&gt;"N/A"),"Power Cable, ","")&amp;IF(AND($AX399&lt;&gt;"Yes",$AX399&lt;&gt;"N/A"),"Battery, ","")&amp;IF(AND($BE399&lt;&gt;"Yes",$BE399&lt;&gt;"N/A"),"Firmware Download, ","")&amp;IF(AND(OR($BE399="Yes",$BE399="N/A"),$BF399&lt;&gt;"Yes",$BF399&lt;&gt;"N/A"),"Firmware Install, ","")&amp;IF(AND($BJ399&lt;&gt;"Yes",$BJ399&lt;&gt;"N/A"),"Device ID, ","")&amp;IF(AND($BK399&lt;&gt;"Yes",$BK399&lt;&gt;"N/A"),"Epic Beans Relay, ",""))-2)))</f>
      </c>
      <c r="BM399">
        <f>IF($T399="","",IF($BL399="","Yes","Blocked"))</f>
      </c>
      <c r="BP399">
        <f>IF($BO399="","",IFERROR(VLOOKUP($BO399,'01_Warehouse_Ledger'!$A:$N,4,FALSE),""))</f>
      </c>
      <c r="BQ399">
        <f>IF($BO399="","",IFERROR(VLOOKUP($BO399,'01_Warehouse_Ledger'!$A:$N,5,FALSE),""))</f>
      </c>
      <c r="BR399">
        <f>IF($BO399="","",IFERROR(VLOOKUP($BO399,'01_Warehouse_Ledger'!$A:$N,13,FALSE),""))</f>
      </c>
    </row>
    <row r="400">
      <c r="D400">
        <f>IF($B400&lt;&gt;"Yes","",IF($C400="No","Yes",IF($C400="Yes","No","")))</f>
      </c>
      <c r="E400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</c>
      <c r="F400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</c>
      <c r="BL400">
        <f>IF($T400="","",IF((IF(AND($AW400&lt;&gt;"Yes",$AW400&lt;&gt;"N/A"),"Power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",""))="","",LEFT(IF(AND($AW400&lt;&gt;"Yes",$AW400&lt;&gt;"N/A"),"Power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",""),LEN(IF(AND($AW400&lt;&gt;"Yes",$AW400&lt;&gt;"N/A"),"Power Cable, ","")&amp;IF(AND($AX400&lt;&gt;"Yes",$AX400&lt;&gt;"N/A"),"Battery, ","")&amp;IF(AND($BE400&lt;&gt;"Yes",$BE400&lt;&gt;"N/A"),"Firmware Download, ","")&amp;IF(AND(OR($BE400="Yes",$BE400="N/A"),$BF400&lt;&gt;"Yes",$BF400&lt;&gt;"N/A"),"Firmware Install, ","")&amp;IF(AND($BJ400&lt;&gt;"Yes",$BJ400&lt;&gt;"N/A"),"Device ID, ","")&amp;IF(AND($BK400&lt;&gt;"Yes",$BK400&lt;&gt;"N/A"),"Epic Beans Relay, ",""))-2)))</f>
      </c>
      <c r="BM400">
        <f>IF($T400="","",IF($BL400="","Yes","Blocked"))</f>
      </c>
      <c r="BP400">
        <f>IF($BO400="","",IFERROR(VLOOKUP($BO400,'01_Warehouse_Ledger'!$A:$N,4,FALSE),""))</f>
      </c>
      <c r="BQ400">
        <f>IF($BO400="","",IFERROR(VLOOKUP($BO400,'01_Warehouse_Ledger'!$A:$N,5,FALSE),""))</f>
      </c>
      <c r="BR400">
        <f>IF($BO400="","",IFERROR(VLOOKUP($BO400,'01_Warehouse_Ledger'!$A:$N,13,FALSE),""))</f>
      </c>
    </row>
    <row r="401">
      <c r="D401">
        <f>IF($B401&lt;&gt;"Yes","",IF($C401="No","Yes",IF($C401="Yes","No","")))</f>
      </c>
      <c r="E401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</c>
      <c r="F401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</c>
      <c r="BL401">
        <f>IF($T401="","",IF((IF(AND($AW401&lt;&gt;"Yes",$AW401&lt;&gt;"N/A"),"Power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",""))="","",LEFT(IF(AND($AW401&lt;&gt;"Yes",$AW401&lt;&gt;"N/A"),"Power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",""),LEN(IF(AND($AW401&lt;&gt;"Yes",$AW401&lt;&gt;"N/A"),"Power Cable, ","")&amp;IF(AND($AX401&lt;&gt;"Yes",$AX401&lt;&gt;"N/A"),"Battery, ","")&amp;IF(AND($BE401&lt;&gt;"Yes",$BE401&lt;&gt;"N/A"),"Firmware Download, ","")&amp;IF(AND(OR($BE401="Yes",$BE401="N/A"),$BF401&lt;&gt;"Yes",$BF401&lt;&gt;"N/A"),"Firmware Install, ","")&amp;IF(AND($BJ401&lt;&gt;"Yes",$BJ401&lt;&gt;"N/A"),"Device ID, ","")&amp;IF(AND($BK401&lt;&gt;"Yes",$BK401&lt;&gt;"N/A"),"Epic Beans Relay, ",""))-2)))</f>
      </c>
      <c r="BM401">
        <f>IF($T401="","",IF($BL401="","Yes","Blocked"))</f>
      </c>
      <c r="BP401">
        <f>IF($BO401="","",IFERROR(VLOOKUP($BO401,'01_Warehouse_Ledger'!$A:$N,4,FALSE),""))</f>
      </c>
      <c r="BQ401">
        <f>IF($BO401="","",IFERROR(VLOOKUP($BO401,'01_Warehouse_Ledger'!$A:$N,5,FALSE),""))</f>
      </c>
      <c r="BR401">
        <f>IF($BO401="","",IFERROR(VLOOKUP($BO401,'01_Warehouse_Ledger'!$A:$N,13,FALSE),""))</f>
      </c>
    </row>
    <row r="402">
      <c r="D402">
        <f>IF($B402&lt;&gt;"Yes","",IF($C402="No","Yes",IF($C402="Yes","No","")))</f>
      </c>
      <c r="E402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</c>
      <c r="F402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</c>
      <c r="BL402">
        <f>IF($T402="","",IF((IF(AND($AW402&lt;&gt;"Yes",$AW402&lt;&gt;"N/A"),"Power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",""))="","",LEFT(IF(AND($AW402&lt;&gt;"Yes",$AW402&lt;&gt;"N/A"),"Power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",""),LEN(IF(AND($AW402&lt;&gt;"Yes",$AW402&lt;&gt;"N/A"),"Power Cable, ","")&amp;IF(AND($AX402&lt;&gt;"Yes",$AX402&lt;&gt;"N/A"),"Battery, ","")&amp;IF(AND($BE402&lt;&gt;"Yes",$BE402&lt;&gt;"N/A"),"Firmware Download, ","")&amp;IF(AND(OR($BE402="Yes",$BE402="N/A"),$BF402&lt;&gt;"Yes",$BF402&lt;&gt;"N/A"),"Firmware Install, ","")&amp;IF(AND($BJ402&lt;&gt;"Yes",$BJ402&lt;&gt;"N/A"),"Device ID, ","")&amp;IF(AND($BK402&lt;&gt;"Yes",$BK402&lt;&gt;"N/A"),"Epic Beans Relay, ",""))-2)))</f>
      </c>
      <c r="BM402">
        <f>IF($T402="","",IF($BL402="","Yes","Blocked"))</f>
      </c>
      <c r="BP402">
        <f>IF($BO402="","",IFERROR(VLOOKUP($BO402,'01_Warehouse_Ledger'!$A:$N,4,FALSE),""))</f>
      </c>
      <c r="BQ402">
        <f>IF($BO402="","",IFERROR(VLOOKUP($BO402,'01_Warehouse_Ledger'!$A:$N,5,FALSE),""))</f>
      </c>
      <c r="BR402">
        <f>IF($BO402="","",IFERROR(VLOOKUP($BO402,'01_Warehouse_Ledger'!$A:$N,13,FALSE),""))</f>
      </c>
    </row>
    <row r="403">
      <c r="D403">
        <f>IF($B403&lt;&gt;"Yes","",IF($C403="No","Yes",IF($C403="Yes","No","")))</f>
      </c>
      <c r="E403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</c>
      <c r="F403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</c>
      <c r="BL403">
        <f>IF($T403="","",IF((IF(AND($AW403&lt;&gt;"Yes",$AW403&lt;&gt;"N/A"),"Power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",""))="","",LEFT(IF(AND($AW403&lt;&gt;"Yes",$AW403&lt;&gt;"N/A"),"Power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",""),LEN(IF(AND($AW403&lt;&gt;"Yes",$AW403&lt;&gt;"N/A"),"Power Cable, ","")&amp;IF(AND($AX403&lt;&gt;"Yes",$AX403&lt;&gt;"N/A"),"Battery, ","")&amp;IF(AND($BE403&lt;&gt;"Yes",$BE403&lt;&gt;"N/A"),"Firmware Download, ","")&amp;IF(AND(OR($BE403="Yes",$BE403="N/A"),$BF403&lt;&gt;"Yes",$BF403&lt;&gt;"N/A"),"Firmware Install, ","")&amp;IF(AND($BJ403&lt;&gt;"Yes",$BJ403&lt;&gt;"N/A"),"Device ID, ","")&amp;IF(AND($BK403&lt;&gt;"Yes",$BK403&lt;&gt;"N/A"),"Epic Beans Relay, ",""))-2)))</f>
      </c>
      <c r="BM403">
        <f>IF($T403="","",IF($BL403="","Yes","Blocked"))</f>
      </c>
      <c r="BP403">
        <f>IF($BO403="","",IFERROR(VLOOKUP($BO403,'01_Warehouse_Ledger'!$A:$N,4,FALSE),""))</f>
      </c>
      <c r="BQ403">
        <f>IF($BO403="","",IFERROR(VLOOKUP($BO403,'01_Warehouse_Ledger'!$A:$N,5,FALSE),""))</f>
      </c>
      <c r="BR403">
        <f>IF($BO403="","",IFERROR(VLOOKUP($BO403,'01_Warehouse_Ledger'!$A:$N,13,FALSE),""))</f>
      </c>
    </row>
    <row r="404">
      <c r="D404">
        <f>IF($B404&lt;&gt;"Yes","",IF($C404="No","Yes",IF($C404="Yes","No","")))</f>
      </c>
      <c r="E404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</c>
      <c r="F404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</c>
      <c r="BL404">
        <f>IF($T404="","",IF((IF(AND($AW404&lt;&gt;"Yes",$AW404&lt;&gt;"N/A"),"Power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",""))="","",LEFT(IF(AND($AW404&lt;&gt;"Yes",$AW404&lt;&gt;"N/A"),"Power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",""),LEN(IF(AND($AW404&lt;&gt;"Yes",$AW404&lt;&gt;"N/A"),"Power Cable, ","")&amp;IF(AND($AX404&lt;&gt;"Yes",$AX404&lt;&gt;"N/A"),"Battery, ","")&amp;IF(AND($BE404&lt;&gt;"Yes",$BE404&lt;&gt;"N/A"),"Firmware Download, ","")&amp;IF(AND(OR($BE404="Yes",$BE404="N/A"),$BF404&lt;&gt;"Yes",$BF404&lt;&gt;"N/A"),"Firmware Install, ","")&amp;IF(AND($BJ404&lt;&gt;"Yes",$BJ404&lt;&gt;"N/A"),"Device ID, ","")&amp;IF(AND($BK404&lt;&gt;"Yes",$BK404&lt;&gt;"N/A"),"Epic Beans Relay, ",""))-2)))</f>
      </c>
      <c r="BM404">
        <f>IF($T404="","",IF($BL404="","Yes","Blocked"))</f>
      </c>
      <c r="BP404">
        <f>IF($BO404="","",IFERROR(VLOOKUP($BO404,'01_Warehouse_Ledger'!$A:$N,4,FALSE),""))</f>
      </c>
      <c r="BQ404">
        <f>IF($BO404="","",IFERROR(VLOOKUP($BO404,'01_Warehouse_Ledger'!$A:$N,5,FALSE),""))</f>
      </c>
      <c r="BR404">
        <f>IF($BO404="","",IFERROR(VLOOKUP($BO404,'01_Warehouse_Ledger'!$A:$N,13,FALSE),""))</f>
      </c>
    </row>
    <row r="405">
      <c r="D405">
        <f>IF($B405&lt;&gt;"Yes","",IF($C405="No","Yes",IF($C405="Yes","No","")))</f>
      </c>
      <c r="E405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</c>
      <c r="F405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</c>
      <c r="BL405">
        <f>IF($T405="","",IF((IF(AND($AW405&lt;&gt;"Yes",$AW405&lt;&gt;"N/A"),"Power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",""))="","",LEFT(IF(AND($AW405&lt;&gt;"Yes",$AW405&lt;&gt;"N/A"),"Power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",""),LEN(IF(AND($AW405&lt;&gt;"Yes",$AW405&lt;&gt;"N/A"),"Power Cable, ","")&amp;IF(AND($AX405&lt;&gt;"Yes",$AX405&lt;&gt;"N/A"),"Battery, ","")&amp;IF(AND($BE405&lt;&gt;"Yes",$BE405&lt;&gt;"N/A"),"Firmware Download, ","")&amp;IF(AND(OR($BE405="Yes",$BE405="N/A"),$BF405&lt;&gt;"Yes",$BF405&lt;&gt;"N/A"),"Firmware Install, ","")&amp;IF(AND($BJ405&lt;&gt;"Yes",$BJ405&lt;&gt;"N/A"),"Device ID, ","")&amp;IF(AND($BK405&lt;&gt;"Yes",$BK405&lt;&gt;"N/A"),"Epic Beans Relay, ",""))-2)))</f>
      </c>
      <c r="BM405">
        <f>IF($T405="","",IF($BL405="","Yes","Blocked"))</f>
      </c>
      <c r="BP405">
        <f>IF($BO405="","",IFERROR(VLOOKUP($BO405,'01_Warehouse_Ledger'!$A:$N,4,FALSE),""))</f>
      </c>
      <c r="BQ405">
        <f>IF($BO405="","",IFERROR(VLOOKUP($BO405,'01_Warehouse_Ledger'!$A:$N,5,FALSE),""))</f>
      </c>
      <c r="BR405">
        <f>IF($BO405="","",IFERROR(VLOOKUP($BO405,'01_Warehouse_Ledger'!$A:$N,13,FALSE),""))</f>
      </c>
    </row>
    <row r="406">
      <c r="D406">
        <f>IF($B406&lt;&gt;"Yes","",IF($C406="No","Yes",IF($C406="Yes","No","")))</f>
      </c>
      <c r="E406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</c>
      <c r="F406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</c>
      <c r="BL406">
        <f>IF($T406="","",IF((IF(AND($AW406&lt;&gt;"Yes",$AW406&lt;&gt;"N/A"),"Power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",""))="","",LEFT(IF(AND($AW406&lt;&gt;"Yes",$AW406&lt;&gt;"N/A"),"Power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",""),LEN(IF(AND($AW406&lt;&gt;"Yes",$AW406&lt;&gt;"N/A"),"Power Cable, ","")&amp;IF(AND($AX406&lt;&gt;"Yes",$AX406&lt;&gt;"N/A"),"Battery, ","")&amp;IF(AND($BE406&lt;&gt;"Yes",$BE406&lt;&gt;"N/A"),"Firmware Download, ","")&amp;IF(AND(OR($BE406="Yes",$BE406="N/A"),$BF406&lt;&gt;"Yes",$BF406&lt;&gt;"N/A"),"Firmware Install, ","")&amp;IF(AND($BJ406&lt;&gt;"Yes",$BJ406&lt;&gt;"N/A"),"Device ID, ","")&amp;IF(AND($BK406&lt;&gt;"Yes",$BK406&lt;&gt;"N/A"),"Epic Beans Relay, ",""))-2)))</f>
      </c>
      <c r="BM406">
        <f>IF($T406="","",IF($BL406="","Yes","Blocked"))</f>
      </c>
      <c r="BP406">
        <f>IF($BO406="","",IFERROR(VLOOKUP($BO406,'01_Warehouse_Ledger'!$A:$N,4,FALSE),""))</f>
      </c>
      <c r="BQ406">
        <f>IF($BO406="","",IFERROR(VLOOKUP($BO406,'01_Warehouse_Ledger'!$A:$N,5,FALSE),""))</f>
      </c>
      <c r="BR406">
        <f>IF($BO406="","",IFERROR(VLOOKUP($BO406,'01_Warehouse_Ledger'!$A:$N,13,FALSE),""))</f>
      </c>
    </row>
    <row r="407">
      <c r="D407">
        <f>IF($B407&lt;&gt;"Yes","",IF($C407="No","Yes",IF($C407="Yes","No","")))</f>
      </c>
      <c r="E407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</c>
      <c r="F407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</c>
      <c r="BL407">
        <f>IF($T407="","",IF((IF(AND($AW407&lt;&gt;"Yes",$AW407&lt;&gt;"N/A"),"Power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",""))="","",LEFT(IF(AND($AW407&lt;&gt;"Yes",$AW407&lt;&gt;"N/A"),"Power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",""),LEN(IF(AND($AW407&lt;&gt;"Yes",$AW407&lt;&gt;"N/A"),"Power Cable, ","")&amp;IF(AND($AX407&lt;&gt;"Yes",$AX407&lt;&gt;"N/A"),"Battery, ","")&amp;IF(AND($BE407&lt;&gt;"Yes",$BE407&lt;&gt;"N/A"),"Firmware Download, ","")&amp;IF(AND(OR($BE407="Yes",$BE407="N/A"),$BF407&lt;&gt;"Yes",$BF407&lt;&gt;"N/A"),"Firmware Install, ","")&amp;IF(AND($BJ407&lt;&gt;"Yes",$BJ407&lt;&gt;"N/A"),"Device ID, ","")&amp;IF(AND($BK407&lt;&gt;"Yes",$BK407&lt;&gt;"N/A"),"Epic Beans Relay, ",""))-2)))</f>
      </c>
      <c r="BM407">
        <f>IF($T407="","",IF($BL407="","Yes","Blocked"))</f>
      </c>
      <c r="BP407">
        <f>IF($BO407="","",IFERROR(VLOOKUP($BO407,'01_Warehouse_Ledger'!$A:$N,4,FALSE),""))</f>
      </c>
      <c r="BQ407">
        <f>IF($BO407="","",IFERROR(VLOOKUP($BO407,'01_Warehouse_Ledger'!$A:$N,5,FALSE),""))</f>
      </c>
      <c r="BR407">
        <f>IF($BO407="","",IFERROR(VLOOKUP($BO407,'01_Warehouse_Ledger'!$A:$N,13,FALSE),""))</f>
      </c>
    </row>
    <row r="408">
      <c r="D408">
        <f>IF($B408&lt;&gt;"Yes","",IF($C408="No","Yes",IF($C408="Yes","No","")))</f>
      </c>
      <c r="E408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</c>
      <c r="F408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</c>
      <c r="BL408">
        <f>IF($T408="","",IF((IF(AND($AW408&lt;&gt;"Yes",$AW408&lt;&gt;"N/A"),"Power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",""))="","",LEFT(IF(AND($AW408&lt;&gt;"Yes",$AW408&lt;&gt;"N/A"),"Power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",""),LEN(IF(AND($AW408&lt;&gt;"Yes",$AW408&lt;&gt;"N/A"),"Power Cable, ","")&amp;IF(AND($AX408&lt;&gt;"Yes",$AX408&lt;&gt;"N/A"),"Battery, ","")&amp;IF(AND($BE408&lt;&gt;"Yes",$BE408&lt;&gt;"N/A"),"Firmware Download, ","")&amp;IF(AND(OR($BE408="Yes",$BE408="N/A"),$BF408&lt;&gt;"Yes",$BF408&lt;&gt;"N/A"),"Firmware Install, ","")&amp;IF(AND($BJ408&lt;&gt;"Yes",$BJ408&lt;&gt;"N/A"),"Device ID, ","")&amp;IF(AND($BK408&lt;&gt;"Yes",$BK408&lt;&gt;"N/A"),"Epic Beans Relay, ",""))-2)))</f>
      </c>
      <c r="BM408">
        <f>IF($T408="","",IF($BL408="","Yes","Blocked"))</f>
      </c>
      <c r="BP408">
        <f>IF($BO408="","",IFERROR(VLOOKUP($BO408,'01_Warehouse_Ledger'!$A:$N,4,FALSE),""))</f>
      </c>
      <c r="BQ408">
        <f>IF($BO408="","",IFERROR(VLOOKUP($BO408,'01_Warehouse_Ledger'!$A:$N,5,FALSE),""))</f>
      </c>
      <c r="BR408">
        <f>IF($BO408="","",IFERROR(VLOOKUP($BO408,'01_Warehouse_Ledger'!$A:$N,13,FALSE),""))</f>
      </c>
    </row>
    <row r="409">
      <c r="D409">
        <f>IF($B409&lt;&gt;"Yes","",IF($C409="No","Yes",IF($C409="Yes","No","")))</f>
      </c>
      <c r="E409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</c>
      <c r="F409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</c>
      <c r="BL409">
        <f>IF($T409="","",IF((IF(AND($AW409&lt;&gt;"Yes",$AW409&lt;&gt;"N/A"),"Power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",""))="","",LEFT(IF(AND($AW409&lt;&gt;"Yes",$AW409&lt;&gt;"N/A"),"Power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",""),LEN(IF(AND($AW409&lt;&gt;"Yes",$AW409&lt;&gt;"N/A"),"Power Cable, ","")&amp;IF(AND($AX409&lt;&gt;"Yes",$AX409&lt;&gt;"N/A"),"Battery, ","")&amp;IF(AND($BE409&lt;&gt;"Yes",$BE409&lt;&gt;"N/A"),"Firmware Download, ","")&amp;IF(AND(OR($BE409="Yes",$BE409="N/A"),$BF409&lt;&gt;"Yes",$BF409&lt;&gt;"N/A"),"Firmware Install, ","")&amp;IF(AND($BJ409&lt;&gt;"Yes",$BJ409&lt;&gt;"N/A"),"Device ID, ","")&amp;IF(AND($BK409&lt;&gt;"Yes",$BK409&lt;&gt;"N/A"),"Epic Beans Relay, ",""))-2)))</f>
      </c>
      <c r="BM409">
        <f>IF($T409="","",IF($BL409="","Yes","Blocked"))</f>
      </c>
      <c r="BP409">
        <f>IF($BO409="","",IFERROR(VLOOKUP($BO409,'01_Warehouse_Ledger'!$A:$N,4,FALSE),""))</f>
      </c>
      <c r="BQ409">
        <f>IF($BO409="","",IFERROR(VLOOKUP($BO409,'01_Warehouse_Ledger'!$A:$N,5,FALSE),""))</f>
      </c>
      <c r="BR409">
        <f>IF($BO409="","",IFERROR(VLOOKUP($BO409,'01_Warehouse_Ledger'!$A:$N,13,FALSE),""))</f>
      </c>
    </row>
    <row r="410">
      <c r="D410">
        <f>IF($B410&lt;&gt;"Yes","",IF($C410="No","Yes",IF($C410="Yes","No","")))</f>
      </c>
      <c r="E410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</c>
      <c r="F410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</c>
      <c r="BL410">
        <f>IF($T410="","",IF((IF(AND($AW410&lt;&gt;"Yes",$AW410&lt;&gt;"N/A"),"Power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",""))="","",LEFT(IF(AND($AW410&lt;&gt;"Yes",$AW410&lt;&gt;"N/A"),"Power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",""),LEN(IF(AND($AW410&lt;&gt;"Yes",$AW410&lt;&gt;"N/A"),"Power Cable, ","")&amp;IF(AND($AX410&lt;&gt;"Yes",$AX410&lt;&gt;"N/A"),"Battery, ","")&amp;IF(AND($BE410&lt;&gt;"Yes",$BE410&lt;&gt;"N/A"),"Firmware Download, ","")&amp;IF(AND(OR($BE410="Yes",$BE410="N/A"),$BF410&lt;&gt;"Yes",$BF410&lt;&gt;"N/A"),"Firmware Install, ","")&amp;IF(AND($BJ410&lt;&gt;"Yes",$BJ410&lt;&gt;"N/A"),"Device ID, ","")&amp;IF(AND($BK410&lt;&gt;"Yes",$BK410&lt;&gt;"N/A"),"Epic Beans Relay, ",""))-2)))</f>
      </c>
      <c r="BM410">
        <f>IF($T410="","",IF($BL410="","Yes","Blocked"))</f>
      </c>
      <c r="BP410">
        <f>IF($BO410="","",IFERROR(VLOOKUP($BO410,'01_Warehouse_Ledger'!$A:$N,4,FALSE),""))</f>
      </c>
      <c r="BQ410">
        <f>IF($BO410="","",IFERROR(VLOOKUP($BO410,'01_Warehouse_Ledger'!$A:$N,5,FALSE),""))</f>
      </c>
      <c r="BR410">
        <f>IF($BO410="","",IFERROR(VLOOKUP($BO410,'01_Warehouse_Ledger'!$A:$N,13,FALSE),""))</f>
      </c>
    </row>
    <row r="411">
      <c r="D411">
        <f>IF($B411&lt;&gt;"Yes","",IF($C411="No","Yes",IF($C411="Yes","No","")))</f>
      </c>
      <c r="E411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</c>
      <c r="F411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</c>
      <c r="BL411">
        <f>IF($T411="","",IF((IF(AND($AW411&lt;&gt;"Yes",$AW411&lt;&gt;"N/A"),"Power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",""))="","",LEFT(IF(AND($AW411&lt;&gt;"Yes",$AW411&lt;&gt;"N/A"),"Power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",""),LEN(IF(AND($AW411&lt;&gt;"Yes",$AW411&lt;&gt;"N/A"),"Power Cable, ","")&amp;IF(AND($AX411&lt;&gt;"Yes",$AX411&lt;&gt;"N/A"),"Battery, ","")&amp;IF(AND($BE411&lt;&gt;"Yes",$BE411&lt;&gt;"N/A"),"Firmware Download, ","")&amp;IF(AND(OR($BE411="Yes",$BE411="N/A"),$BF411&lt;&gt;"Yes",$BF411&lt;&gt;"N/A"),"Firmware Install, ","")&amp;IF(AND($BJ411&lt;&gt;"Yes",$BJ411&lt;&gt;"N/A"),"Device ID, ","")&amp;IF(AND($BK411&lt;&gt;"Yes",$BK411&lt;&gt;"N/A"),"Epic Beans Relay, ",""))-2)))</f>
      </c>
      <c r="BM411">
        <f>IF($T411="","",IF($BL411="","Yes","Blocked"))</f>
      </c>
      <c r="BP411">
        <f>IF($BO411="","",IFERROR(VLOOKUP($BO411,'01_Warehouse_Ledger'!$A:$N,4,FALSE),""))</f>
      </c>
      <c r="BQ411">
        <f>IF($BO411="","",IFERROR(VLOOKUP($BO411,'01_Warehouse_Ledger'!$A:$N,5,FALSE),""))</f>
      </c>
      <c r="BR411">
        <f>IF($BO411="","",IFERROR(VLOOKUP($BO411,'01_Warehouse_Ledger'!$A:$N,13,FALSE),""))</f>
      </c>
    </row>
    <row r="412">
      <c r="D412">
        <f>IF($B412&lt;&gt;"Yes","",IF($C412="No","Yes",IF($C412="Yes","No","")))</f>
      </c>
      <c r="E412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</c>
      <c r="F412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</c>
      <c r="BL412">
        <f>IF($T412="","",IF((IF(AND($AW412&lt;&gt;"Yes",$AW412&lt;&gt;"N/A"),"Power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",""))="","",LEFT(IF(AND($AW412&lt;&gt;"Yes",$AW412&lt;&gt;"N/A"),"Power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",""),LEN(IF(AND($AW412&lt;&gt;"Yes",$AW412&lt;&gt;"N/A"),"Power Cable, ","")&amp;IF(AND($AX412&lt;&gt;"Yes",$AX412&lt;&gt;"N/A"),"Battery, ","")&amp;IF(AND($BE412&lt;&gt;"Yes",$BE412&lt;&gt;"N/A"),"Firmware Download, ","")&amp;IF(AND(OR($BE412="Yes",$BE412="N/A"),$BF412&lt;&gt;"Yes",$BF412&lt;&gt;"N/A"),"Firmware Install, ","")&amp;IF(AND($BJ412&lt;&gt;"Yes",$BJ412&lt;&gt;"N/A"),"Device ID, ","")&amp;IF(AND($BK412&lt;&gt;"Yes",$BK412&lt;&gt;"N/A"),"Epic Beans Relay, ",""))-2)))</f>
      </c>
      <c r="BM412">
        <f>IF($T412="","",IF($BL412="","Yes","Blocked"))</f>
      </c>
      <c r="BP412">
        <f>IF($BO412="","",IFERROR(VLOOKUP($BO412,'01_Warehouse_Ledger'!$A:$N,4,FALSE),""))</f>
      </c>
      <c r="BQ412">
        <f>IF($BO412="","",IFERROR(VLOOKUP($BO412,'01_Warehouse_Ledger'!$A:$N,5,FALSE),""))</f>
      </c>
      <c r="BR412">
        <f>IF($BO412="","",IFERROR(VLOOKUP($BO412,'01_Warehouse_Ledger'!$A:$N,13,FALSE),""))</f>
      </c>
    </row>
    <row r="413">
      <c r="D413">
        <f>IF($B413&lt;&gt;"Yes","",IF($C413="No","Yes",IF($C413="Yes","No","")))</f>
      </c>
      <c r="E413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</c>
      <c r="F413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</c>
      <c r="BL413">
        <f>IF($T413="","",IF((IF(AND($AW413&lt;&gt;"Yes",$AW413&lt;&gt;"N/A"),"Power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",""))="","",LEFT(IF(AND($AW413&lt;&gt;"Yes",$AW413&lt;&gt;"N/A"),"Power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",""),LEN(IF(AND($AW413&lt;&gt;"Yes",$AW413&lt;&gt;"N/A"),"Power Cable, ","")&amp;IF(AND($AX413&lt;&gt;"Yes",$AX413&lt;&gt;"N/A"),"Battery, ","")&amp;IF(AND($BE413&lt;&gt;"Yes",$BE413&lt;&gt;"N/A"),"Firmware Download, ","")&amp;IF(AND(OR($BE413="Yes",$BE413="N/A"),$BF413&lt;&gt;"Yes",$BF413&lt;&gt;"N/A"),"Firmware Install, ","")&amp;IF(AND($BJ413&lt;&gt;"Yes",$BJ413&lt;&gt;"N/A"),"Device ID, ","")&amp;IF(AND($BK413&lt;&gt;"Yes",$BK413&lt;&gt;"N/A"),"Epic Beans Relay, ",""))-2)))</f>
      </c>
      <c r="BM413">
        <f>IF($T413="","",IF($BL413="","Yes","Blocked"))</f>
      </c>
      <c r="BP413">
        <f>IF($BO413="","",IFERROR(VLOOKUP($BO413,'01_Warehouse_Ledger'!$A:$N,4,FALSE),""))</f>
      </c>
      <c r="BQ413">
        <f>IF($BO413="","",IFERROR(VLOOKUP($BO413,'01_Warehouse_Ledger'!$A:$N,5,FALSE),""))</f>
      </c>
      <c r="BR413">
        <f>IF($BO413="","",IFERROR(VLOOKUP($BO413,'01_Warehouse_Ledger'!$A:$N,13,FALSE),""))</f>
      </c>
    </row>
    <row r="414">
      <c r="D414">
        <f>IF($B414&lt;&gt;"Yes","",IF($C414="No","Yes",IF($C414="Yes","No","")))</f>
      </c>
      <c r="E414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</c>
      <c r="F414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</c>
      <c r="BL414">
        <f>IF($T414="","",IF((IF(AND($AW414&lt;&gt;"Yes",$AW414&lt;&gt;"N/A"),"Power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",""))="","",LEFT(IF(AND($AW414&lt;&gt;"Yes",$AW414&lt;&gt;"N/A"),"Power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",""),LEN(IF(AND($AW414&lt;&gt;"Yes",$AW414&lt;&gt;"N/A"),"Power Cable, ","")&amp;IF(AND($AX414&lt;&gt;"Yes",$AX414&lt;&gt;"N/A"),"Battery, ","")&amp;IF(AND($BE414&lt;&gt;"Yes",$BE414&lt;&gt;"N/A"),"Firmware Download, ","")&amp;IF(AND(OR($BE414="Yes",$BE414="N/A"),$BF414&lt;&gt;"Yes",$BF414&lt;&gt;"N/A"),"Firmware Install, ","")&amp;IF(AND($BJ414&lt;&gt;"Yes",$BJ414&lt;&gt;"N/A"),"Device ID, ","")&amp;IF(AND($BK414&lt;&gt;"Yes",$BK414&lt;&gt;"N/A"),"Epic Beans Relay, ",""))-2)))</f>
      </c>
      <c r="BM414">
        <f>IF($T414="","",IF($BL414="","Yes","Blocked"))</f>
      </c>
      <c r="BP414">
        <f>IF($BO414="","",IFERROR(VLOOKUP($BO414,'01_Warehouse_Ledger'!$A:$N,4,FALSE),""))</f>
      </c>
      <c r="BQ414">
        <f>IF($BO414="","",IFERROR(VLOOKUP($BO414,'01_Warehouse_Ledger'!$A:$N,5,FALSE),""))</f>
      </c>
      <c r="BR414">
        <f>IF($BO414="","",IFERROR(VLOOKUP($BO414,'01_Warehouse_Ledger'!$A:$N,13,FALSE),""))</f>
      </c>
    </row>
    <row r="415">
      <c r="D415">
        <f>IF($B415&lt;&gt;"Yes","",IF($C415="No","Yes",IF($C415="Yes","No","")))</f>
      </c>
      <c r="E415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</c>
      <c r="F415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</c>
      <c r="BL415">
        <f>IF($T415="","",IF((IF(AND($AW415&lt;&gt;"Yes",$AW415&lt;&gt;"N/A"),"Power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",""))="","",LEFT(IF(AND($AW415&lt;&gt;"Yes",$AW415&lt;&gt;"N/A"),"Power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",""),LEN(IF(AND($AW415&lt;&gt;"Yes",$AW415&lt;&gt;"N/A"),"Power Cable, ","")&amp;IF(AND($AX415&lt;&gt;"Yes",$AX415&lt;&gt;"N/A"),"Battery, ","")&amp;IF(AND($BE415&lt;&gt;"Yes",$BE415&lt;&gt;"N/A"),"Firmware Download, ","")&amp;IF(AND(OR($BE415="Yes",$BE415="N/A"),$BF415&lt;&gt;"Yes",$BF415&lt;&gt;"N/A"),"Firmware Install, ","")&amp;IF(AND($BJ415&lt;&gt;"Yes",$BJ415&lt;&gt;"N/A"),"Device ID, ","")&amp;IF(AND($BK415&lt;&gt;"Yes",$BK415&lt;&gt;"N/A"),"Epic Beans Relay, ",""))-2)))</f>
      </c>
      <c r="BM415">
        <f>IF($T415="","",IF($BL415="","Yes","Blocked"))</f>
      </c>
      <c r="BP415">
        <f>IF($BO415="","",IFERROR(VLOOKUP($BO415,'01_Warehouse_Ledger'!$A:$N,4,FALSE),""))</f>
      </c>
      <c r="BQ415">
        <f>IF($BO415="","",IFERROR(VLOOKUP($BO415,'01_Warehouse_Ledger'!$A:$N,5,FALSE),""))</f>
      </c>
      <c r="BR415">
        <f>IF($BO415="","",IFERROR(VLOOKUP($BO415,'01_Warehouse_Ledger'!$A:$N,13,FALSE),""))</f>
      </c>
    </row>
    <row r="416">
      <c r="D416">
        <f>IF($B416&lt;&gt;"Yes","",IF($C416="No","Yes",IF($C416="Yes","No","")))</f>
      </c>
      <c r="E416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</c>
      <c r="F416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</c>
      <c r="BL416">
        <f>IF($T416="","",IF((IF(AND($AW416&lt;&gt;"Yes",$AW416&lt;&gt;"N/A"),"Power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",""))="","",LEFT(IF(AND($AW416&lt;&gt;"Yes",$AW416&lt;&gt;"N/A"),"Power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",""),LEN(IF(AND($AW416&lt;&gt;"Yes",$AW416&lt;&gt;"N/A"),"Power Cable, ","")&amp;IF(AND($AX416&lt;&gt;"Yes",$AX416&lt;&gt;"N/A"),"Battery, ","")&amp;IF(AND($BE416&lt;&gt;"Yes",$BE416&lt;&gt;"N/A"),"Firmware Download, ","")&amp;IF(AND(OR($BE416="Yes",$BE416="N/A"),$BF416&lt;&gt;"Yes",$BF416&lt;&gt;"N/A"),"Firmware Install, ","")&amp;IF(AND($BJ416&lt;&gt;"Yes",$BJ416&lt;&gt;"N/A"),"Device ID, ","")&amp;IF(AND($BK416&lt;&gt;"Yes",$BK416&lt;&gt;"N/A"),"Epic Beans Relay, ",""))-2)))</f>
      </c>
      <c r="BM416">
        <f>IF($T416="","",IF($BL416="","Yes","Blocked"))</f>
      </c>
      <c r="BP416">
        <f>IF($BO416="","",IFERROR(VLOOKUP($BO416,'01_Warehouse_Ledger'!$A:$N,4,FALSE),""))</f>
      </c>
      <c r="BQ416">
        <f>IF($BO416="","",IFERROR(VLOOKUP($BO416,'01_Warehouse_Ledger'!$A:$N,5,FALSE),""))</f>
      </c>
      <c r="BR416">
        <f>IF($BO416="","",IFERROR(VLOOKUP($BO416,'01_Warehouse_Ledger'!$A:$N,13,FALSE),""))</f>
      </c>
    </row>
    <row r="417">
      <c r="D417">
        <f>IF($B417&lt;&gt;"Yes","",IF($C417="No","Yes",IF($C417="Yes","No","")))</f>
      </c>
      <c r="E417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</c>
      <c r="F417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</c>
      <c r="BL417">
        <f>IF($T417="","",IF((IF(AND($AW417&lt;&gt;"Yes",$AW417&lt;&gt;"N/A"),"Power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",""))="","",LEFT(IF(AND($AW417&lt;&gt;"Yes",$AW417&lt;&gt;"N/A"),"Power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",""),LEN(IF(AND($AW417&lt;&gt;"Yes",$AW417&lt;&gt;"N/A"),"Power Cable, ","")&amp;IF(AND($AX417&lt;&gt;"Yes",$AX417&lt;&gt;"N/A"),"Battery, ","")&amp;IF(AND($BE417&lt;&gt;"Yes",$BE417&lt;&gt;"N/A"),"Firmware Download, ","")&amp;IF(AND(OR($BE417="Yes",$BE417="N/A"),$BF417&lt;&gt;"Yes",$BF417&lt;&gt;"N/A"),"Firmware Install, ","")&amp;IF(AND($BJ417&lt;&gt;"Yes",$BJ417&lt;&gt;"N/A"),"Device ID, ","")&amp;IF(AND($BK417&lt;&gt;"Yes",$BK417&lt;&gt;"N/A"),"Epic Beans Relay, ",""))-2)))</f>
      </c>
      <c r="BM417">
        <f>IF($T417="","",IF($BL417="","Yes","Blocked"))</f>
      </c>
      <c r="BP417">
        <f>IF($BO417="","",IFERROR(VLOOKUP($BO417,'01_Warehouse_Ledger'!$A:$N,4,FALSE),""))</f>
      </c>
      <c r="BQ417">
        <f>IF($BO417="","",IFERROR(VLOOKUP($BO417,'01_Warehouse_Ledger'!$A:$N,5,FALSE),""))</f>
      </c>
      <c r="BR417">
        <f>IF($BO417="","",IFERROR(VLOOKUP($BO417,'01_Warehouse_Ledger'!$A:$N,13,FALSE),""))</f>
      </c>
    </row>
    <row r="418">
      <c r="D418">
        <f>IF($B418&lt;&gt;"Yes","",IF($C418="No","Yes",IF($C418="Yes","No","")))</f>
      </c>
      <c r="E418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</c>
      <c r="F418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</c>
      <c r="BL418">
        <f>IF($T418="","",IF((IF(AND($AW418&lt;&gt;"Yes",$AW418&lt;&gt;"N/A"),"Power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",""))="","",LEFT(IF(AND($AW418&lt;&gt;"Yes",$AW418&lt;&gt;"N/A"),"Power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",""),LEN(IF(AND($AW418&lt;&gt;"Yes",$AW418&lt;&gt;"N/A"),"Power Cable, ","")&amp;IF(AND($AX418&lt;&gt;"Yes",$AX418&lt;&gt;"N/A"),"Battery, ","")&amp;IF(AND($BE418&lt;&gt;"Yes",$BE418&lt;&gt;"N/A"),"Firmware Download, ","")&amp;IF(AND(OR($BE418="Yes",$BE418="N/A"),$BF418&lt;&gt;"Yes",$BF418&lt;&gt;"N/A"),"Firmware Install, ","")&amp;IF(AND($BJ418&lt;&gt;"Yes",$BJ418&lt;&gt;"N/A"),"Device ID, ","")&amp;IF(AND($BK418&lt;&gt;"Yes",$BK418&lt;&gt;"N/A"),"Epic Beans Relay, ",""))-2)))</f>
      </c>
      <c r="BM418">
        <f>IF($T418="","",IF($BL418="","Yes","Blocked"))</f>
      </c>
      <c r="BP418">
        <f>IF($BO418="","",IFERROR(VLOOKUP($BO418,'01_Warehouse_Ledger'!$A:$N,4,FALSE),""))</f>
      </c>
      <c r="BQ418">
        <f>IF($BO418="","",IFERROR(VLOOKUP($BO418,'01_Warehouse_Ledger'!$A:$N,5,FALSE),""))</f>
      </c>
      <c r="BR418">
        <f>IF($BO418="","",IFERROR(VLOOKUP($BO418,'01_Warehouse_Ledger'!$A:$N,13,FALSE),""))</f>
      </c>
    </row>
    <row r="419">
      <c r="D419">
        <f>IF($B419&lt;&gt;"Yes","",IF($C419="No","Yes",IF($C419="Yes","No","")))</f>
      </c>
      <c r="E419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</c>
      <c r="F419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</c>
      <c r="BL419">
        <f>IF($T419="","",IF((IF(AND($AW419&lt;&gt;"Yes",$AW419&lt;&gt;"N/A"),"Power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",""))="","",LEFT(IF(AND($AW419&lt;&gt;"Yes",$AW419&lt;&gt;"N/A"),"Power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",""),LEN(IF(AND($AW419&lt;&gt;"Yes",$AW419&lt;&gt;"N/A"),"Power Cable, ","")&amp;IF(AND($AX419&lt;&gt;"Yes",$AX419&lt;&gt;"N/A"),"Battery, ","")&amp;IF(AND($BE419&lt;&gt;"Yes",$BE419&lt;&gt;"N/A"),"Firmware Download, ","")&amp;IF(AND(OR($BE419="Yes",$BE419="N/A"),$BF419&lt;&gt;"Yes",$BF419&lt;&gt;"N/A"),"Firmware Install, ","")&amp;IF(AND($BJ419&lt;&gt;"Yes",$BJ419&lt;&gt;"N/A"),"Device ID, ","")&amp;IF(AND($BK419&lt;&gt;"Yes",$BK419&lt;&gt;"N/A"),"Epic Beans Relay, ",""))-2)))</f>
      </c>
      <c r="BM419">
        <f>IF($T419="","",IF($BL419="","Yes","Blocked"))</f>
      </c>
      <c r="BP419">
        <f>IF($BO419="","",IFERROR(VLOOKUP($BO419,'01_Warehouse_Ledger'!$A:$N,4,FALSE),""))</f>
      </c>
      <c r="BQ419">
        <f>IF($BO419="","",IFERROR(VLOOKUP($BO419,'01_Warehouse_Ledger'!$A:$N,5,FALSE),""))</f>
      </c>
      <c r="BR419">
        <f>IF($BO419="","",IFERROR(VLOOKUP($BO419,'01_Warehouse_Ledger'!$A:$N,13,FALSE),""))</f>
      </c>
    </row>
    <row r="420">
      <c r="D420">
        <f>IF($B420&lt;&gt;"Yes","",IF($C420="No","Yes",IF($C420="Yes","No","")))</f>
      </c>
      <c r="E420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</c>
      <c r="F420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</c>
      <c r="BL420">
        <f>IF($T420="","",IF((IF(AND($AW420&lt;&gt;"Yes",$AW420&lt;&gt;"N/A"),"Power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",""))="","",LEFT(IF(AND($AW420&lt;&gt;"Yes",$AW420&lt;&gt;"N/A"),"Power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",""),LEN(IF(AND($AW420&lt;&gt;"Yes",$AW420&lt;&gt;"N/A"),"Power Cable, ","")&amp;IF(AND($AX420&lt;&gt;"Yes",$AX420&lt;&gt;"N/A"),"Battery, ","")&amp;IF(AND($BE420&lt;&gt;"Yes",$BE420&lt;&gt;"N/A"),"Firmware Download, ","")&amp;IF(AND(OR($BE420="Yes",$BE420="N/A"),$BF420&lt;&gt;"Yes",$BF420&lt;&gt;"N/A"),"Firmware Install, ","")&amp;IF(AND($BJ420&lt;&gt;"Yes",$BJ420&lt;&gt;"N/A"),"Device ID, ","")&amp;IF(AND($BK420&lt;&gt;"Yes",$BK420&lt;&gt;"N/A"),"Epic Beans Relay, ",""))-2)))</f>
      </c>
      <c r="BM420">
        <f>IF($T420="","",IF($BL420="","Yes","Blocked"))</f>
      </c>
      <c r="BP420">
        <f>IF($BO420="","",IFERROR(VLOOKUP($BO420,'01_Warehouse_Ledger'!$A:$N,4,FALSE),""))</f>
      </c>
      <c r="BQ420">
        <f>IF($BO420="","",IFERROR(VLOOKUP($BO420,'01_Warehouse_Ledger'!$A:$N,5,FALSE),""))</f>
      </c>
      <c r="BR420">
        <f>IF($BO420="","",IFERROR(VLOOKUP($BO420,'01_Warehouse_Ledger'!$A:$N,13,FALSE),""))</f>
      </c>
    </row>
    <row r="421">
      <c r="D421">
        <f>IF($B421&lt;&gt;"Yes","",IF($C421="No","Yes",IF($C421="Yes","No","")))</f>
      </c>
      <c r="E421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</c>
      <c r="F421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</c>
      <c r="BL421">
        <f>IF($T421="","",IF((IF(AND($AW421&lt;&gt;"Yes",$AW421&lt;&gt;"N/A"),"Power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",""))="","",LEFT(IF(AND($AW421&lt;&gt;"Yes",$AW421&lt;&gt;"N/A"),"Power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",""),LEN(IF(AND($AW421&lt;&gt;"Yes",$AW421&lt;&gt;"N/A"),"Power Cable, ","")&amp;IF(AND($AX421&lt;&gt;"Yes",$AX421&lt;&gt;"N/A"),"Battery, ","")&amp;IF(AND($BE421&lt;&gt;"Yes",$BE421&lt;&gt;"N/A"),"Firmware Download, ","")&amp;IF(AND(OR($BE421="Yes",$BE421="N/A"),$BF421&lt;&gt;"Yes",$BF421&lt;&gt;"N/A"),"Firmware Install, ","")&amp;IF(AND($BJ421&lt;&gt;"Yes",$BJ421&lt;&gt;"N/A"),"Device ID, ","")&amp;IF(AND($BK421&lt;&gt;"Yes",$BK421&lt;&gt;"N/A"),"Epic Beans Relay, ",""))-2)))</f>
      </c>
      <c r="BM421">
        <f>IF($T421="","",IF($BL421="","Yes","Blocked"))</f>
      </c>
      <c r="BP421">
        <f>IF($BO421="","",IFERROR(VLOOKUP($BO421,'01_Warehouse_Ledger'!$A:$N,4,FALSE),""))</f>
      </c>
      <c r="BQ421">
        <f>IF($BO421="","",IFERROR(VLOOKUP($BO421,'01_Warehouse_Ledger'!$A:$N,5,FALSE),""))</f>
      </c>
      <c r="BR421">
        <f>IF($BO421="","",IFERROR(VLOOKUP($BO421,'01_Warehouse_Ledger'!$A:$N,13,FALSE),""))</f>
      </c>
    </row>
    <row r="422">
      <c r="D422">
        <f>IF($B422&lt;&gt;"Yes","",IF($C422="No","Yes",IF($C422="Yes","No","")))</f>
      </c>
      <c r="E422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</c>
      <c r="F422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</c>
      <c r="BL422">
        <f>IF($T422="","",IF((IF(AND($AW422&lt;&gt;"Yes",$AW422&lt;&gt;"N/A"),"Power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",""))="","",LEFT(IF(AND($AW422&lt;&gt;"Yes",$AW422&lt;&gt;"N/A"),"Power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",""),LEN(IF(AND($AW422&lt;&gt;"Yes",$AW422&lt;&gt;"N/A"),"Power Cable, ","")&amp;IF(AND($AX422&lt;&gt;"Yes",$AX422&lt;&gt;"N/A"),"Battery, ","")&amp;IF(AND($BE422&lt;&gt;"Yes",$BE422&lt;&gt;"N/A"),"Firmware Download, ","")&amp;IF(AND(OR($BE422="Yes",$BE422="N/A"),$BF422&lt;&gt;"Yes",$BF422&lt;&gt;"N/A"),"Firmware Install, ","")&amp;IF(AND($BJ422&lt;&gt;"Yes",$BJ422&lt;&gt;"N/A"),"Device ID, ","")&amp;IF(AND($BK422&lt;&gt;"Yes",$BK422&lt;&gt;"N/A"),"Epic Beans Relay, ",""))-2)))</f>
      </c>
      <c r="BM422">
        <f>IF($T422="","",IF($BL422="","Yes","Blocked"))</f>
      </c>
      <c r="BP422">
        <f>IF($BO422="","",IFERROR(VLOOKUP($BO422,'01_Warehouse_Ledger'!$A:$N,4,FALSE),""))</f>
      </c>
      <c r="BQ422">
        <f>IF($BO422="","",IFERROR(VLOOKUP($BO422,'01_Warehouse_Ledger'!$A:$N,5,FALSE),""))</f>
      </c>
      <c r="BR422">
        <f>IF($BO422="","",IFERROR(VLOOKUP($BO422,'01_Warehouse_Ledger'!$A:$N,13,FALSE),""))</f>
      </c>
    </row>
    <row r="423">
      <c r="D423">
        <f>IF($B423&lt;&gt;"Yes","",IF($C423="No","Yes",IF($C423="Yes","No","")))</f>
      </c>
      <c r="E423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</c>
      <c r="F423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</c>
      <c r="BL423">
        <f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</c>
      <c r="BM423">
        <f>IF($T423="","",IF($BL423="","Yes","Blocked"))</f>
      </c>
      <c r="BP423">
        <f>IF($BO423="","",IFERROR(VLOOKUP($BO423,'01_Warehouse_Ledger'!$A:$N,4,FALSE),""))</f>
      </c>
      <c r="BQ423">
        <f>IF($BO423="","",IFERROR(VLOOKUP($BO423,'01_Warehouse_Ledger'!$A:$N,5,FALSE),""))</f>
      </c>
      <c r="BR423">
        <f>IF($BO423="","",IFERROR(VLOOKUP($BO423,'01_Warehouse_Ledger'!$A:$N,13,FALSE),""))</f>
      </c>
    </row>
    <row r="424">
      <c r="D424">
        <f>IF($B424&lt;&gt;"Yes","",IF($C424="No","Yes",IF($C424="Yes","No","")))</f>
      </c>
      <c r="E424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</c>
      <c r="F424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</c>
      <c r="BL424">
        <f>IF($T424="","",IF((IF(AND($AW424&lt;&gt;"Yes",$AW424&lt;&gt;"N/A"),"Power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",""))="","",LEFT(IF(AND($AW424&lt;&gt;"Yes",$AW424&lt;&gt;"N/A"),"Power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",""),LEN(IF(AND($AW424&lt;&gt;"Yes",$AW424&lt;&gt;"N/A"),"Power Cable, ","")&amp;IF(AND($AX424&lt;&gt;"Yes",$AX424&lt;&gt;"N/A"),"Battery, ","")&amp;IF(AND($BE424&lt;&gt;"Yes",$BE424&lt;&gt;"N/A"),"Firmware Download, ","")&amp;IF(AND(OR($BE424="Yes",$BE424="N/A"),$BF424&lt;&gt;"Yes",$BF424&lt;&gt;"N/A"),"Firmware Install, ","")&amp;IF(AND($BJ424&lt;&gt;"Yes",$BJ424&lt;&gt;"N/A"),"Device ID, ","")&amp;IF(AND($BK424&lt;&gt;"Yes",$BK424&lt;&gt;"N/A"),"Epic Beans Relay, ",""))-2)))</f>
      </c>
      <c r="BM424">
        <f>IF($T424="","",IF($BL424="","Yes","Blocked"))</f>
      </c>
      <c r="BP424">
        <f>IF($BO424="","",IFERROR(VLOOKUP($BO424,'01_Warehouse_Ledger'!$A:$N,4,FALSE),""))</f>
      </c>
      <c r="BQ424">
        <f>IF($BO424="","",IFERROR(VLOOKUP($BO424,'01_Warehouse_Ledger'!$A:$N,5,FALSE),""))</f>
      </c>
      <c r="BR424">
        <f>IF($BO424="","",IFERROR(VLOOKUP($BO424,'01_Warehouse_Ledger'!$A:$N,13,FALSE),""))</f>
      </c>
    </row>
    <row r="425">
      <c r="D425">
        <f>IF($B425&lt;&gt;"Yes","",IF($C425="No","Yes",IF($C425="Yes","No","")))</f>
      </c>
      <c r="E425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</c>
      <c r="F425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</c>
      <c r="BL425">
        <f>IF($T425="","",IF((IF(AND($AW425&lt;&gt;"Yes",$AW425&lt;&gt;"N/A"),"Power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",""))="","",LEFT(IF(AND($AW425&lt;&gt;"Yes",$AW425&lt;&gt;"N/A"),"Power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",""),LEN(IF(AND($AW425&lt;&gt;"Yes",$AW425&lt;&gt;"N/A"),"Power Cable, ","")&amp;IF(AND($AX425&lt;&gt;"Yes",$AX425&lt;&gt;"N/A"),"Battery, ","")&amp;IF(AND($BE425&lt;&gt;"Yes",$BE425&lt;&gt;"N/A"),"Firmware Download, ","")&amp;IF(AND(OR($BE425="Yes",$BE425="N/A"),$BF425&lt;&gt;"Yes",$BF425&lt;&gt;"N/A"),"Firmware Install, ","")&amp;IF(AND($BJ425&lt;&gt;"Yes",$BJ425&lt;&gt;"N/A"),"Device ID, ","")&amp;IF(AND($BK425&lt;&gt;"Yes",$BK425&lt;&gt;"N/A"),"Epic Beans Relay, ",""))-2)))</f>
      </c>
      <c r="BM425">
        <f>IF($T425="","",IF($BL425="","Yes","Blocked"))</f>
      </c>
      <c r="BP425">
        <f>IF($BO425="","",IFERROR(VLOOKUP($BO425,'01_Warehouse_Ledger'!$A:$N,4,FALSE),""))</f>
      </c>
      <c r="BQ425">
        <f>IF($BO425="","",IFERROR(VLOOKUP($BO425,'01_Warehouse_Ledger'!$A:$N,5,FALSE),""))</f>
      </c>
      <c r="BR425">
        <f>IF($BO425="","",IFERROR(VLOOKUP($BO425,'01_Warehouse_Ledger'!$A:$N,13,FALSE),""))</f>
      </c>
    </row>
    <row r="426">
      <c r="D426">
        <f>IF($B426&lt;&gt;"Yes","",IF($C426="No","Yes",IF($C426="Yes","No","")))</f>
      </c>
      <c r="E426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</c>
      <c r="F426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</c>
      <c r="BL426">
        <f>IF($T426="","",IF((IF(AND($AW426&lt;&gt;"Yes",$AW426&lt;&gt;"N/A"),"Power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",""))="","",LEFT(IF(AND($AW426&lt;&gt;"Yes",$AW426&lt;&gt;"N/A"),"Power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",""),LEN(IF(AND($AW426&lt;&gt;"Yes",$AW426&lt;&gt;"N/A"),"Power Cable, ","")&amp;IF(AND($AX426&lt;&gt;"Yes",$AX426&lt;&gt;"N/A"),"Battery, ","")&amp;IF(AND($BE426&lt;&gt;"Yes",$BE426&lt;&gt;"N/A"),"Firmware Download, ","")&amp;IF(AND(OR($BE426="Yes",$BE426="N/A"),$BF426&lt;&gt;"Yes",$BF426&lt;&gt;"N/A"),"Firmware Install, ","")&amp;IF(AND($BJ426&lt;&gt;"Yes",$BJ426&lt;&gt;"N/A"),"Device ID, ","")&amp;IF(AND($BK426&lt;&gt;"Yes",$BK426&lt;&gt;"N/A"),"Epic Beans Relay, ",""))-2)))</f>
      </c>
      <c r="BM426">
        <f>IF($T426="","",IF($BL426="","Yes","Blocked"))</f>
      </c>
      <c r="BP426">
        <f>IF($BO426="","",IFERROR(VLOOKUP($BO426,'01_Warehouse_Ledger'!$A:$N,4,FALSE),""))</f>
      </c>
      <c r="BQ426">
        <f>IF($BO426="","",IFERROR(VLOOKUP($BO426,'01_Warehouse_Ledger'!$A:$N,5,FALSE),""))</f>
      </c>
      <c r="BR426">
        <f>IF($BO426="","",IFERROR(VLOOKUP($BO426,'01_Warehouse_Ledger'!$A:$N,13,FALSE),""))</f>
      </c>
    </row>
    <row r="427">
      <c r="D427">
        <f>IF($B427&lt;&gt;"Yes","",IF($C427="No","Yes",IF($C427="Yes","No","")))</f>
      </c>
      <c r="E427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</c>
      <c r="F427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</c>
      <c r="BL427">
        <f>IF($T427="","",IF((IF(AND($AW427&lt;&gt;"Yes",$AW427&lt;&gt;"N/A"),"Power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",""))="","",LEFT(IF(AND($AW427&lt;&gt;"Yes",$AW427&lt;&gt;"N/A"),"Power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",""),LEN(IF(AND($AW427&lt;&gt;"Yes",$AW427&lt;&gt;"N/A"),"Power Cable, ","")&amp;IF(AND($AX427&lt;&gt;"Yes",$AX427&lt;&gt;"N/A"),"Battery, ","")&amp;IF(AND($BE427&lt;&gt;"Yes",$BE427&lt;&gt;"N/A"),"Firmware Download, ","")&amp;IF(AND(OR($BE427="Yes",$BE427="N/A"),$BF427&lt;&gt;"Yes",$BF427&lt;&gt;"N/A"),"Firmware Install, ","")&amp;IF(AND($BJ427&lt;&gt;"Yes",$BJ427&lt;&gt;"N/A"),"Device ID, ","")&amp;IF(AND($BK427&lt;&gt;"Yes",$BK427&lt;&gt;"N/A"),"Epic Beans Relay, ",""))-2)))</f>
      </c>
      <c r="BM427">
        <f>IF($T427="","",IF($BL427="","Yes","Blocked"))</f>
      </c>
      <c r="BP427">
        <f>IF($BO427="","",IFERROR(VLOOKUP($BO427,'01_Warehouse_Ledger'!$A:$N,4,FALSE),""))</f>
      </c>
      <c r="BQ427">
        <f>IF($BO427="","",IFERROR(VLOOKUP($BO427,'01_Warehouse_Ledger'!$A:$N,5,FALSE),""))</f>
      </c>
      <c r="BR427">
        <f>IF($BO427="","",IFERROR(VLOOKUP($BO427,'01_Warehouse_Ledger'!$A:$N,13,FALSE),""))</f>
      </c>
    </row>
    <row r="428">
      <c r="D428">
        <f>IF($B428&lt;&gt;"Yes","",IF($C428="No","Yes",IF($C428="Yes","No","")))</f>
      </c>
      <c r="E428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</c>
      <c r="F428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</c>
      <c r="BL428">
        <f>IF($T428="","",IF((IF(AND($AW428&lt;&gt;"Yes",$AW428&lt;&gt;"N/A"),"Power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",""))="","",LEFT(IF(AND($AW428&lt;&gt;"Yes",$AW428&lt;&gt;"N/A"),"Power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",""),LEN(IF(AND($AW428&lt;&gt;"Yes",$AW428&lt;&gt;"N/A"),"Power Cable, ","")&amp;IF(AND($AX428&lt;&gt;"Yes",$AX428&lt;&gt;"N/A"),"Battery, ","")&amp;IF(AND($BE428&lt;&gt;"Yes",$BE428&lt;&gt;"N/A"),"Firmware Download, ","")&amp;IF(AND(OR($BE428="Yes",$BE428="N/A"),$BF428&lt;&gt;"Yes",$BF428&lt;&gt;"N/A"),"Firmware Install, ","")&amp;IF(AND($BJ428&lt;&gt;"Yes",$BJ428&lt;&gt;"N/A"),"Device ID, ","")&amp;IF(AND($BK428&lt;&gt;"Yes",$BK428&lt;&gt;"N/A"),"Epic Beans Relay, ",""))-2)))</f>
      </c>
      <c r="BM428">
        <f>IF($T428="","",IF($BL428="","Yes","Blocked"))</f>
      </c>
      <c r="BP428">
        <f>IF($BO428="","",IFERROR(VLOOKUP($BO428,'01_Warehouse_Ledger'!$A:$N,4,FALSE),""))</f>
      </c>
      <c r="BQ428">
        <f>IF($BO428="","",IFERROR(VLOOKUP($BO428,'01_Warehouse_Ledger'!$A:$N,5,FALSE),""))</f>
      </c>
      <c r="BR428">
        <f>IF($BO428="","",IFERROR(VLOOKUP($BO428,'01_Warehouse_Ledger'!$A:$N,13,FALSE),""))</f>
      </c>
    </row>
    <row r="429">
      <c r="D429">
        <f>IF($B429&lt;&gt;"Yes","",IF($C429="No","Yes",IF($C429="Yes","No","")))</f>
      </c>
      <c r="E429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</c>
      <c r="F429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</c>
      <c r="BL429">
        <f>IF($T429="","",IF((IF(AND($AW429&lt;&gt;"Yes",$AW429&lt;&gt;"N/A"),"Power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",""))="","",LEFT(IF(AND($AW429&lt;&gt;"Yes",$AW429&lt;&gt;"N/A"),"Power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",""),LEN(IF(AND($AW429&lt;&gt;"Yes",$AW429&lt;&gt;"N/A"),"Power Cable, ","")&amp;IF(AND($AX429&lt;&gt;"Yes",$AX429&lt;&gt;"N/A"),"Battery, ","")&amp;IF(AND($BE429&lt;&gt;"Yes",$BE429&lt;&gt;"N/A"),"Firmware Download, ","")&amp;IF(AND(OR($BE429="Yes",$BE429="N/A"),$BF429&lt;&gt;"Yes",$BF429&lt;&gt;"N/A"),"Firmware Install, ","")&amp;IF(AND($BJ429&lt;&gt;"Yes",$BJ429&lt;&gt;"N/A"),"Device ID, ","")&amp;IF(AND($BK429&lt;&gt;"Yes",$BK429&lt;&gt;"N/A"),"Epic Beans Relay, ",""))-2)))</f>
      </c>
      <c r="BM429">
        <f>IF($T429="","",IF($BL429="","Yes","Blocked"))</f>
      </c>
      <c r="BP429">
        <f>IF($BO429="","",IFERROR(VLOOKUP($BO429,'01_Warehouse_Ledger'!$A:$N,4,FALSE),""))</f>
      </c>
      <c r="BQ429">
        <f>IF($BO429="","",IFERROR(VLOOKUP($BO429,'01_Warehouse_Ledger'!$A:$N,5,FALSE),""))</f>
      </c>
      <c r="BR429">
        <f>IF($BO429="","",IFERROR(VLOOKUP($BO429,'01_Warehouse_Ledger'!$A:$N,13,FALSE),""))</f>
      </c>
    </row>
    <row r="430">
      <c r="D430">
        <f>IF($B430&lt;&gt;"Yes","",IF($C430="No","Yes",IF($C430="Yes","No","")))</f>
      </c>
      <c r="E430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</c>
      <c r="F430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</c>
      <c r="BL430">
        <f>IF($T430="","",IF((IF(AND($AW430&lt;&gt;"Yes",$AW430&lt;&gt;"N/A"),"Power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",""))="","",LEFT(IF(AND($AW430&lt;&gt;"Yes",$AW430&lt;&gt;"N/A"),"Power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",""),LEN(IF(AND($AW430&lt;&gt;"Yes",$AW430&lt;&gt;"N/A"),"Power Cable, ","")&amp;IF(AND($AX430&lt;&gt;"Yes",$AX430&lt;&gt;"N/A"),"Battery, ","")&amp;IF(AND($BE430&lt;&gt;"Yes",$BE430&lt;&gt;"N/A"),"Firmware Download, ","")&amp;IF(AND(OR($BE430="Yes",$BE430="N/A"),$BF430&lt;&gt;"Yes",$BF430&lt;&gt;"N/A"),"Firmware Install, ","")&amp;IF(AND($BJ430&lt;&gt;"Yes",$BJ430&lt;&gt;"N/A"),"Device ID, ","")&amp;IF(AND($BK430&lt;&gt;"Yes",$BK430&lt;&gt;"N/A"),"Epic Beans Relay, ",""))-2)))</f>
      </c>
      <c r="BM430">
        <f>IF($T430="","",IF($BL430="","Yes","Blocked"))</f>
      </c>
      <c r="BP430">
        <f>IF($BO430="","",IFERROR(VLOOKUP($BO430,'01_Warehouse_Ledger'!$A:$N,4,FALSE),""))</f>
      </c>
      <c r="BQ430">
        <f>IF($BO430="","",IFERROR(VLOOKUP($BO430,'01_Warehouse_Ledger'!$A:$N,5,FALSE),""))</f>
      </c>
      <c r="BR430">
        <f>IF($BO430="","",IFERROR(VLOOKUP($BO430,'01_Warehouse_Ledger'!$A:$N,13,FALSE),""))</f>
      </c>
    </row>
    <row r="431">
      <c r="D431">
        <f>IF($B431&lt;&gt;"Yes","",IF($C431="No","Yes",IF($C431="Yes","No","")))</f>
      </c>
      <c r="E431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</c>
      <c r="F431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</c>
      <c r="BL431">
        <f>IF($T431="","",IF((IF(AND($AW431&lt;&gt;"Yes",$AW431&lt;&gt;"N/A"),"Power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",""))="","",LEFT(IF(AND($AW431&lt;&gt;"Yes",$AW431&lt;&gt;"N/A"),"Power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",""),LEN(IF(AND($AW431&lt;&gt;"Yes",$AW431&lt;&gt;"N/A"),"Power Cable, ","")&amp;IF(AND($AX431&lt;&gt;"Yes",$AX431&lt;&gt;"N/A"),"Battery, ","")&amp;IF(AND($BE431&lt;&gt;"Yes",$BE431&lt;&gt;"N/A"),"Firmware Download, ","")&amp;IF(AND(OR($BE431="Yes",$BE431="N/A"),$BF431&lt;&gt;"Yes",$BF431&lt;&gt;"N/A"),"Firmware Install, ","")&amp;IF(AND($BJ431&lt;&gt;"Yes",$BJ431&lt;&gt;"N/A"),"Device ID, ","")&amp;IF(AND($BK431&lt;&gt;"Yes",$BK431&lt;&gt;"N/A"),"Epic Beans Relay, ",""))-2)))</f>
      </c>
      <c r="BM431">
        <f>IF($T431="","",IF($BL431="","Yes","Blocked"))</f>
      </c>
      <c r="BP431">
        <f>IF($BO431="","",IFERROR(VLOOKUP($BO431,'01_Warehouse_Ledger'!$A:$N,4,FALSE),""))</f>
      </c>
      <c r="BQ431">
        <f>IF($BO431="","",IFERROR(VLOOKUP($BO431,'01_Warehouse_Ledger'!$A:$N,5,FALSE),""))</f>
      </c>
      <c r="BR431">
        <f>IF($BO431="","",IFERROR(VLOOKUP($BO431,'01_Warehouse_Ledger'!$A:$N,13,FALSE),""))</f>
      </c>
    </row>
    <row r="432">
      <c r="D432">
        <f>IF($B432&lt;&gt;"Yes","",IF($C432="No","Yes",IF($C432="Yes","No","")))</f>
      </c>
      <c r="E432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</c>
      <c r="F432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</c>
      <c r="BL432">
        <f>IF($T432="","",IF((IF(AND($AW432&lt;&gt;"Yes",$AW432&lt;&gt;"N/A"),"Power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",""))="","",LEFT(IF(AND($AW432&lt;&gt;"Yes",$AW432&lt;&gt;"N/A"),"Power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",""),LEN(IF(AND($AW432&lt;&gt;"Yes",$AW432&lt;&gt;"N/A"),"Power Cable, ","")&amp;IF(AND($AX432&lt;&gt;"Yes",$AX432&lt;&gt;"N/A"),"Battery, ","")&amp;IF(AND($BE432&lt;&gt;"Yes",$BE432&lt;&gt;"N/A"),"Firmware Download, ","")&amp;IF(AND(OR($BE432="Yes",$BE432="N/A"),$BF432&lt;&gt;"Yes",$BF432&lt;&gt;"N/A"),"Firmware Install, ","")&amp;IF(AND($BJ432&lt;&gt;"Yes",$BJ432&lt;&gt;"N/A"),"Device ID, ","")&amp;IF(AND($BK432&lt;&gt;"Yes",$BK432&lt;&gt;"N/A"),"Epic Beans Relay, ",""))-2)))</f>
      </c>
      <c r="BM432">
        <f>IF($T432="","",IF($BL432="","Yes","Blocked"))</f>
      </c>
      <c r="BP432">
        <f>IF($BO432="","",IFERROR(VLOOKUP($BO432,'01_Warehouse_Ledger'!$A:$N,4,FALSE),""))</f>
      </c>
      <c r="BQ432">
        <f>IF($BO432="","",IFERROR(VLOOKUP($BO432,'01_Warehouse_Ledger'!$A:$N,5,FALSE),""))</f>
      </c>
      <c r="BR432">
        <f>IF($BO432="","",IFERROR(VLOOKUP($BO432,'01_Warehouse_Ledger'!$A:$N,13,FALSE),""))</f>
      </c>
    </row>
    <row r="433">
      <c r="D433">
        <f>IF($B433&lt;&gt;"Yes","",IF($C433="No","Yes",IF($C433="Yes","No","")))</f>
      </c>
      <c r="E433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</c>
      <c r="F433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</c>
      <c r="BL433">
        <f>IF($T433="","",IF((IF(AND($AW433&lt;&gt;"Yes",$AW433&lt;&gt;"N/A"),"Power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",""))="","",LEFT(IF(AND($AW433&lt;&gt;"Yes",$AW433&lt;&gt;"N/A"),"Power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",""),LEN(IF(AND($AW433&lt;&gt;"Yes",$AW433&lt;&gt;"N/A"),"Power Cable, ","")&amp;IF(AND($AX433&lt;&gt;"Yes",$AX433&lt;&gt;"N/A"),"Battery, ","")&amp;IF(AND($BE433&lt;&gt;"Yes",$BE433&lt;&gt;"N/A"),"Firmware Download, ","")&amp;IF(AND(OR($BE433="Yes",$BE433="N/A"),$BF433&lt;&gt;"Yes",$BF433&lt;&gt;"N/A"),"Firmware Install, ","")&amp;IF(AND($BJ433&lt;&gt;"Yes",$BJ433&lt;&gt;"N/A"),"Device ID, ","")&amp;IF(AND($BK433&lt;&gt;"Yes",$BK433&lt;&gt;"N/A"),"Epic Beans Relay, ",""))-2)))</f>
      </c>
      <c r="BM433">
        <f>IF($T433="","",IF($BL433="","Yes","Blocked"))</f>
      </c>
      <c r="BP433">
        <f>IF($BO433="","",IFERROR(VLOOKUP($BO433,'01_Warehouse_Ledger'!$A:$N,4,FALSE),""))</f>
      </c>
      <c r="BQ433">
        <f>IF($BO433="","",IFERROR(VLOOKUP($BO433,'01_Warehouse_Ledger'!$A:$N,5,FALSE),""))</f>
      </c>
      <c r="BR433">
        <f>IF($BO433="","",IFERROR(VLOOKUP($BO433,'01_Warehouse_Ledger'!$A:$N,13,FALSE),""))</f>
      </c>
    </row>
    <row r="434">
      <c r="D434">
        <f>IF($B434&lt;&gt;"Yes","",IF($C434="No","Yes",IF($C434="Yes","No","")))</f>
      </c>
      <c r="E434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</c>
      <c r="F434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</c>
      <c r="BL434">
        <f>IF($T434="","",IF((IF(AND($AW434&lt;&gt;"Yes",$AW434&lt;&gt;"N/A"),"Power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",""))="","",LEFT(IF(AND($AW434&lt;&gt;"Yes",$AW434&lt;&gt;"N/A"),"Power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",""),LEN(IF(AND($AW434&lt;&gt;"Yes",$AW434&lt;&gt;"N/A"),"Power Cable, ","")&amp;IF(AND($AX434&lt;&gt;"Yes",$AX434&lt;&gt;"N/A"),"Battery, ","")&amp;IF(AND($BE434&lt;&gt;"Yes",$BE434&lt;&gt;"N/A"),"Firmware Download, ","")&amp;IF(AND(OR($BE434="Yes",$BE434="N/A"),$BF434&lt;&gt;"Yes",$BF434&lt;&gt;"N/A"),"Firmware Install, ","")&amp;IF(AND($BJ434&lt;&gt;"Yes",$BJ434&lt;&gt;"N/A"),"Device ID, ","")&amp;IF(AND($BK434&lt;&gt;"Yes",$BK434&lt;&gt;"N/A"),"Epic Beans Relay, ",""))-2)))</f>
      </c>
      <c r="BM434">
        <f>IF($T434="","",IF($BL434="","Yes","Blocked"))</f>
      </c>
      <c r="BP434">
        <f>IF($BO434="","",IFERROR(VLOOKUP($BO434,'01_Warehouse_Ledger'!$A:$N,4,FALSE),""))</f>
      </c>
      <c r="BQ434">
        <f>IF($BO434="","",IFERROR(VLOOKUP($BO434,'01_Warehouse_Ledger'!$A:$N,5,FALSE),""))</f>
      </c>
      <c r="BR434">
        <f>IF($BO434="","",IFERROR(VLOOKUP($BO434,'01_Warehouse_Ledger'!$A:$N,13,FALSE),""))</f>
      </c>
    </row>
    <row r="435">
      <c r="D435">
        <f>IF($B435&lt;&gt;"Yes","",IF($C435="No","Yes",IF($C435="Yes","No","")))</f>
      </c>
      <c r="E435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</c>
      <c r="F435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</c>
      <c r="BL435">
        <f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</c>
      <c r="BM435">
        <f>IF($T435="","",IF($BL435="","Yes","Blocked"))</f>
      </c>
      <c r="BP435">
        <f>IF($BO435="","",IFERROR(VLOOKUP($BO435,'01_Warehouse_Ledger'!$A:$N,4,FALSE),""))</f>
      </c>
      <c r="BQ435">
        <f>IF($BO435="","",IFERROR(VLOOKUP($BO435,'01_Warehouse_Ledger'!$A:$N,5,FALSE),""))</f>
      </c>
      <c r="BR435">
        <f>IF($BO435="","",IFERROR(VLOOKUP($BO435,'01_Warehouse_Ledger'!$A:$N,13,FALSE),""))</f>
      </c>
    </row>
    <row r="436">
      <c r="D436">
        <f>IF($B436&lt;&gt;"Yes","",IF($C436="No","Yes",IF($C436="Yes","No","")))</f>
      </c>
      <c r="E436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</c>
      <c r="F436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</c>
      <c r="BL436">
        <f>IF($T436="","",IF((IF(AND($AW436&lt;&gt;"Yes",$AW436&lt;&gt;"N/A"),"Power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",""))="","",LEFT(IF(AND($AW436&lt;&gt;"Yes",$AW436&lt;&gt;"N/A"),"Power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",""),LEN(IF(AND($AW436&lt;&gt;"Yes",$AW436&lt;&gt;"N/A"),"Power Cable, ","")&amp;IF(AND($AX436&lt;&gt;"Yes",$AX436&lt;&gt;"N/A"),"Battery, ","")&amp;IF(AND($BE436&lt;&gt;"Yes",$BE436&lt;&gt;"N/A"),"Firmware Download, ","")&amp;IF(AND(OR($BE436="Yes",$BE436="N/A"),$BF436&lt;&gt;"Yes",$BF436&lt;&gt;"N/A"),"Firmware Install, ","")&amp;IF(AND($BJ436&lt;&gt;"Yes",$BJ436&lt;&gt;"N/A"),"Device ID, ","")&amp;IF(AND($BK436&lt;&gt;"Yes",$BK436&lt;&gt;"N/A"),"Epic Beans Relay, ",""))-2)))</f>
      </c>
      <c r="BM436">
        <f>IF($T436="","",IF($BL436="","Yes","Blocked"))</f>
      </c>
      <c r="BP436">
        <f>IF($BO436="","",IFERROR(VLOOKUP($BO436,'01_Warehouse_Ledger'!$A:$N,4,FALSE),""))</f>
      </c>
      <c r="BQ436">
        <f>IF($BO436="","",IFERROR(VLOOKUP($BO436,'01_Warehouse_Ledger'!$A:$N,5,FALSE),""))</f>
      </c>
      <c r="BR436">
        <f>IF($BO436="","",IFERROR(VLOOKUP($BO436,'01_Warehouse_Ledger'!$A:$N,13,FALSE),""))</f>
      </c>
    </row>
    <row r="437">
      <c r="D437">
        <f>IF($B437&lt;&gt;"Yes","",IF($C437="No","Yes",IF($C437="Yes","No","")))</f>
      </c>
      <c r="E437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</c>
      <c r="F437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</c>
      <c r="BL437">
        <f>IF($T437="","",IF((IF(AND($AW437&lt;&gt;"Yes",$AW437&lt;&gt;"N/A"),"Power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",""))="","",LEFT(IF(AND($AW437&lt;&gt;"Yes",$AW437&lt;&gt;"N/A"),"Power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",""),LEN(IF(AND($AW437&lt;&gt;"Yes",$AW437&lt;&gt;"N/A"),"Power Cable, ","")&amp;IF(AND($AX437&lt;&gt;"Yes",$AX437&lt;&gt;"N/A"),"Battery, ","")&amp;IF(AND($BE437&lt;&gt;"Yes",$BE437&lt;&gt;"N/A"),"Firmware Download, ","")&amp;IF(AND(OR($BE437="Yes",$BE437="N/A"),$BF437&lt;&gt;"Yes",$BF437&lt;&gt;"N/A"),"Firmware Install, ","")&amp;IF(AND($BJ437&lt;&gt;"Yes",$BJ437&lt;&gt;"N/A"),"Device ID, ","")&amp;IF(AND($BK437&lt;&gt;"Yes",$BK437&lt;&gt;"N/A"),"Epic Beans Relay, ",""))-2)))</f>
      </c>
      <c r="BM437">
        <f>IF($T437="","",IF($BL437="","Yes","Blocked"))</f>
      </c>
      <c r="BP437">
        <f>IF($BO437="","",IFERROR(VLOOKUP($BO437,'01_Warehouse_Ledger'!$A:$N,4,FALSE),""))</f>
      </c>
      <c r="BQ437">
        <f>IF($BO437="","",IFERROR(VLOOKUP($BO437,'01_Warehouse_Ledger'!$A:$N,5,FALSE),""))</f>
      </c>
      <c r="BR437">
        <f>IF($BO437="","",IFERROR(VLOOKUP($BO437,'01_Warehouse_Ledger'!$A:$N,13,FALSE),""))</f>
      </c>
    </row>
    <row r="438">
      <c r="D438">
        <f>IF($B438&lt;&gt;"Yes","",IF($C438="No","Yes",IF($C438="Yes","No","")))</f>
      </c>
      <c r="E438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</c>
      <c r="F438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</c>
      <c r="BL438">
        <f>IF($T438="","",IF((IF(AND($AW438&lt;&gt;"Yes",$AW438&lt;&gt;"N/A"),"Power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",""))="","",LEFT(IF(AND($AW438&lt;&gt;"Yes",$AW438&lt;&gt;"N/A"),"Power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",""),LEN(IF(AND($AW438&lt;&gt;"Yes",$AW438&lt;&gt;"N/A"),"Power Cable, ","")&amp;IF(AND($AX438&lt;&gt;"Yes",$AX438&lt;&gt;"N/A"),"Battery, ","")&amp;IF(AND($BE438&lt;&gt;"Yes",$BE438&lt;&gt;"N/A"),"Firmware Download, ","")&amp;IF(AND(OR($BE438="Yes",$BE438="N/A"),$BF438&lt;&gt;"Yes",$BF438&lt;&gt;"N/A"),"Firmware Install, ","")&amp;IF(AND($BJ438&lt;&gt;"Yes",$BJ438&lt;&gt;"N/A"),"Device ID, ","")&amp;IF(AND($BK438&lt;&gt;"Yes",$BK438&lt;&gt;"N/A"),"Epic Beans Relay, ",""))-2)))</f>
      </c>
      <c r="BM438">
        <f>IF($T438="","",IF($BL438="","Yes","Blocked"))</f>
      </c>
      <c r="BP438">
        <f>IF($BO438="","",IFERROR(VLOOKUP($BO438,'01_Warehouse_Ledger'!$A:$N,4,FALSE),""))</f>
      </c>
      <c r="BQ438">
        <f>IF($BO438="","",IFERROR(VLOOKUP($BO438,'01_Warehouse_Ledger'!$A:$N,5,FALSE),""))</f>
      </c>
      <c r="BR438">
        <f>IF($BO438="","",IFERROR(VLOOKUP($BO438,'01_Warehouse_Ledger'!$A:$N,13,FALSE),""))</f>
      </c>
    </row>
    <row r="439">
      <c r="D439">
        <f>IF($B439&lt;&gt;"Yes","",IF($C439="No","Yes",IF($C439="Yes","No","")))</f>
      </c>
      <c r="E439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</c>
      <c r="F439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</c>
      <c r="BL439">
        <f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</c>
      <c r="BM439">
        <f>IF($T439="","",IF($BL439="","Yes","Blocked"))</f>
      </c>
      <c r="BP439">
        <f>IF($BO439="","",IFERROR(VLOOKUP($BO439,'01_Warehouse_Ledger'!$A:$N,4,FALSE),""))</f>
      </c>
      <c r="BQ439">
        <f>IF($BO439="","",IFERROR(VLOOKUP($BO439,'01_Warehouse_Ledger'!$A:$N,5,FALSE),""))</f>
      </c>
      <c r="BR439">
        <f>IF($BO439="","",IFERROR(VLOOKUP($BO439,'01_Warehouse_Ledger'!$A:$N,13,FALSE),""))</f>
      </c>
    </row>
    <row r="440">
      <c r="D440">
        <f>IF($B440&lt;&gt;"Yes","",IF($C440="No","Yes",IF($C440="Yes","No","")))</f>
      </c>
      <c r="E440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</c>
      <c r="F440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</c>
      <c r="BL440">
        <f>IF($T440="","",IF((IF(AND($AW440&lt;&gt;"Yes",$AW440&lt;&gt;"N/A"),"Power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",""))="","",LEFT(IF(AND($AW440&lt;&gt;"Yes",$AW440&lt;&gt;"N/A"),"Power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",""),LEN(IF(AND($AW440&lt;&gt;"Yes",$AW440&lt;&gt;"N/A"),"Power Cable, ","")&amp;IF(AND($AX440&lt;&gt;"Yes",$AX440&lt;&gt;"N/A"),"Battery, ","")&amp;IF(AND($BE440&lt;&gt;"Yes",$BE440&lt;&gt;"N/A"),"Firmware Download, ","")&amp;IF(AND(OR($BE440="Yes",$BE440="N/A"),$BF440&lt;&gt;"Yes",$BF440&lt;&gt;"N/A"),"Firmware Install, ","")&amp;IF(AND($BJ440&lt;&gt;"Yes",$BJ440&lt;&gt;"N/A"),"Device ID, ","")&amp;IF(AND($BK440&lt;&gt;"Yes",$BK440&lt;&gt;"N/A"),"Epic Beans Relay, ",""))-2)))</f>
      </c>
      <c r="BM440">
        <f>IF($T440="","",IF($BL440="","Yes","Blocked"))</f>
      </c>
      <c r="BP440">
        <f>IF($BO440="","",IFERROR(VLOOKUP($BO440,'01_Warehouse_Ledger'!$A:$N,4,FALSE),""))</f>
      </c>
      <c r="BQ440">
        <f>IF($BO440="","",IFERROR(VLOOKUP($BO440,'01_Warehouse_Ledger'!$A:$N,5,FALSE),""))</f>
      </c>
      <c r="BR440">
        <f>IF($BO440="","",IFERROR(VLOOKUP($BO440,'01_Warehouse_Ledger'!$A:$N,13,FALSE),""))</f>
      </c>
    </row>
    <row r="441">
      <c r="D441">
        <f>IF($B441&lt;&gt;"Yes","",IF($C441="No","Yes",IF($C441="Yes","No","")))</f>
      </c>
      <c r="E441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</c>
      <c r="F441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</c>
      <c r="BL441">
        <f>IF($T441="","",IF((IF(AND($AW441&lt;&gt;"Yes",$AW441&lt;&gt;"N/A"),"Power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",""))="","",LEFT(IF(AND($AW441&lt;&gt;"Yes",$AW441&lt;&gt;"N/A"),"Power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",""),LEN(IF(AND($AW441&lt;&gt;"Yes",$AW441&lt;&gt;"N/A"),"Power Cable, ","")&amp;IF(AND($AX441&lt;&gt;"Yes",$AX441&lt;&gt;"N/A"),"Battery, ","")&amp;IF(AND($BE441&lt;&gt;"Yes",$BE441&lt;&gt;"N/A"),"Firmware Download, ","")&amp;IF(AND(OR($BE441="Yes",$BE441="N/A"),$BF441&lt;&gt;"Yes",$BF441&lt;&gt;"N/A"),"Firmware Install, ","")&amp;IF(AND($BJ441&lt;&gt;"Yes",$BJ441&lt;&gt;"N/A"),"Device ID, ","")&amp;IF(AND($BK441&lt;&gt;"Yes",$BK441&lt;&gt;"N/A"),"Epic Beans Relay, ",""))-2)))</f>
      </c>
      <c r="BM441">
        <f>IF($T441="","",IF($BL441="","Yes","Blocked"))</f>
      </c>
      <c r="BP441">
        <f>IF($BO441="","",IFERROR(VLOOKUP($BO441,'01_Warehouse_Ledger'!$A:$N,4,FALSE),""))</f>
      </c>
      <c r="BQ441">
        <f>IF($BO441="","",IFERROR(VLOOKUP($BO441,'01_Warehouse_Ledger'!$A:$N,5,FALSE),""))</f>
      </c>
      <c r="BR441">
        <f>IF($BO441="","",IFERROR(VLOOKUP($BO441,'01_Warehouse_Ledger'!$A:$N,13,FALSE),""))</f>
      </c>
    </row>
    <row r="442">
      <c r="D442">
        <f>IF($B442&lt;&gt;"Yes","",IF($C442="No","Yes",IF($C442="Yes","No","")))</f>
      </c>
      <c r="E442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</c>
      <c r="F442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</c>
      <c r="BL442">
        <f>IF($T442="","",IF((IF(AND($AW442&lt;&gt;"Yes",$AW442&lt;&gt;"N/A"),"Power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",""))="","",LEFT(IF(AND($AW442&lt;&gt;"Yes",$AW442&lt;&gt;"N/A"),"Power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",""),LEN(IF(AND($AW442&lt;&gt;"Yes",$AW442&lt;&gt;"N/A"),"Power Cable, ","")&amp;IF(AND($AX442&lt;&gt;"Yes",$AX442&lt;&gt;"N/A"),"Battery, ","")&amp;IF(AND($BE442&lt;&gt;"Yes",$BE442&lt;&gt;"N/A"),"Firmware Download, ","")&amp;IF(AND(OR($BE442="Yes",$BE442="N/A"),$BF442&lt;&gt;"Yes",$BF442&lt;&gt;"N/A"),"Firmware Install, ","")&amp;IF(AND($BJ442&lt;&gt;"Yes",$BJ442&lt;&gt;"N/A"),"Device ID, ","")&amp;IF(AND($BK442&lt;&gt;"Yes",$BK442&lt;&gt;"N/A"),"Epic Beans Relay, ",""))-2)))</f>
      </c>
      <c r="BM442">
        <f>IF($T442="","",IF($BL442="","Yes","Blocked"))</f>
      </c>
      <c r="BP442">
        <f>IF($BO442="","",IFERROR(VLOOKUP($BO442,'01_Warehouse_Ledger'!$A:$N,4,FALSE),""))</f>
      </c>
      <c r="BQ442">
        <f>IF($BO442="","",IFERROR(VLOOKUP($BO442,'01_Warehouse_Ledger'!$A:$N,5,FALSE),""))</f>
      </c>
      <c r="BR442">
        <f>IF($BO442="","",IFERROR(VLOOKUP($BO442,'01_Warehouse_Ledger'!$A:$N,13,FALSE),""))</f>
      </c>
    </row>
    <row r="443">
      <c r="D443">
        <f>IF($B443&lt;&gt;"Yes","",IF($C443="No","Yes",IF($C443="Yes","No","")))</f>
      </c>
      <c r="E443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</c>
      <c r="F443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</c>
      <c r="BL443">
        <f>IF($T443="","",IF((IF(AND($AW443&lt;&gt;"Yes",$AW443&lt;&gt;"N/A"),"Power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",""))="","",LEFT(IF(AND($AW443&lt;&gt;"Yes",$AW443&lt;&gt;"N/A"),"Power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",""),LEN(IF(AND($AW443&lt;&gt;"Yes",$AW443&lt;&gt;"N/A"),"Power Cable, ","")&amp;IF(AND($AX443&lt;&gt;"Yes",$AX443&lt;&gt;"N/A"),"Battery, ","")&amp;IF(AND($BE443&lt;&gt;"Yes",$BE443&lt;&gt;"N/A"),"Firmware Download, ","")&amp;IF(AND(OR($BE443="Yes",$BE443="N/A"),$BF443&lt;&gt;"Yes",$BF443&lt;&gt;"N/A"),"Firmware Install, ","")&amp;IF(AND($BJ443&lt;&gt;"Yes",$BJ443&lt;&gt;"N/A"),"Device ID, ","")&amp;IF(AND($BK443&lt;&gt;"Yes",$BK443&lt;&gt;"N/A"),"Epic Beans Relay, ",""))-2)))</f>
      </c>
      <c r="BM443">
        <f>IF($T443="","",IF($BL443="","Yes","Blocked"))</f>
      </c>
      <c r="BP443">
        <f>IF($BO443="","",IFERROR(VLOOKUP($BO443,'01_Warehouse_Ledger'!$A:$N,4,FALSE),""))</f>
      </c>
      <c r="BQ443">
        <f>IF($BO443="","",IFERROR(VLOOKUP($BO443,'01_Warehouse_Ledger'!$A:$N,5,FALSE),""))</f>
      </c>
      <c r="BR443">
        <f>IF($BO443="","",IFERROR(VLOOKUP($BO443,'01_Warehouse_Ledger'!$A:$N,13,FALSE),""))</f>
      </c>
    </row>
    <row r="444">
      <c r="D444">
        <f>IF($B444&lt;&gt;"Yes","",IF($C444="No","Yes",IF($C444="Yes","No","")))</f>
      </c>
      <c r="E444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</c>
      <c r="F444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</c>
      <c r="BL444">
        <f>IF($T444="","",IF((IF(AND($AW444&lt;&gt;"Yes",$AW444&lt;&gt;"N/A"),"Power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",""))="","",LEFT(IF(AND($AW444&lt;&gt;"Yes",$AW444&lt;&gt;"N/A"),"Power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",""),LEN(IF(AND($AW444&lt;&gt;"Yes",$AW444&lt;&gt;"N/A"),"Power Cable, ","")&amp;IF(AND($AX444&lt;&gt;"Yes",$AX444&lt;&gt;"N/A"),"Battery, ","")&amp;IF(AND($BE444&lt;&gt;"Yes",$BE444&lt;&gt;"N/A"),"Firmware Download, ","")&amp;IF(AND(OR($BE444="Yes",$BE444="N/A"),$BF444&lt;&gt;"Yes",$BF444&lt;&gt;"N/A"),"Firmware Install, ","")&amp;IF(AND($BJ444&lt;&gt;"Yes",$BJ444&lt;&gt;"N/A"),"Device ID, ","")&amp;IF(AND($BK444&lt;&gt;"Yes",$BK444&lt;&gt;"N/A"),"Epic Beans Relay, ",""))-2)))</f>
      </c>
      <c r="BM444">
        <f>IF($T444="","",IF($BL444="","Yes","Blocked"))</f>
      </c>
      <c r="BP444">
        <f>IF($BO444="","",IFERROR(VLOOKUP($BO444,'01_Warehouse_Ledger'!$A:$N,4,FALSE),""))</f>
      </c>
      <c r="BQ444">
        <f>IF($BO444="","",IFERROR(VLOOKUP($BO444,'01_Warehouse_Ledger'!$A:$N,5,FALSE),""))</f>
      </c>
      <c r="BR444">
        <f>IF($BO444="","",IFERROR(VLOOKUP($BO444,'01_Warehouse_Ledger'!$A:$N,13,FALSE),""))</f>
      </c>
    </row>
    <row r="445">
      <c r="D445">
        <f>IF($B445&lt;&gt;"Yes","",IF($C445="No","Yes",IF($C445="Yes","No","")))</f>
      </c>
      <c r="E445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</c>
      <c r="F445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</c>
      <c r="BL445">
        <f>IF($T445="","",IF((IF(AND($AW445&lt;&gt;"Yes",$AW445&lt;&gt;"N/A"),"Power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",""))="","",LEFT(IF(AND($AW445&lt;&gt;"Yes",$AW445&lt;&gt;"N/A"),"Power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",""),LEN(IF(AND($AW445&lt;&gt;"Yes",$AW445&lt;&gt;"N/A"),"Power Cable, ","")&amp;IF(AND($AX445&lt;&gt;"Yes",$AX445&lt;&gt;"N/A"),"Battery, ","")&amp;IF(AND($BE445&lt;&gt;"Yes",$BE445&lt;&gt;"N/A"),"Firmware Download, ","")&amp;IF(AND(OR($BE445="Yes",$BE445="N/A"),$BF445&lt;&gt;"Yes",$BF445&lt;&gt;"N/A"),"Firmware Install, ","")&amp;IF(AND($BJ445&lt;&gt;"Yes",$BJ445&lt;&gt;"N/A"),"Device ID, ","")&amp;IF(AND($BK445&lt;&gt;"Yes",$BK445&lt;&gt;"N/A"),"Epic Beans Relay, ",""))-2)))</f>
      </c>
      <c r="BM445">
        <f>IF($T445="","",IF($BL445="","Yes","Blocked"))</f>
      </c>
      <c r="BP445">
        <f>IF($BO445="","",IFERROR(VLOOKUP($BO445,'01_Warehouse_Ledger'!$A:$N,4,FALSE),""))</f>
      </c>
      <c r="BQ445">
        <f>IF($BO445="","",IFERROR(VLOOKUP($BO445,'01_Warehouse_Ledger'!$A:$N,5,FALSE),""))</f>
      </c>
      <c r="BR445">
        <f>IF($BO445="","",IFERROR(VLOOKUP($BO445,'01_Warehouse_Ledger'!$A:$N,13,FALSE),""))</f>
      </c>
    </row>
    <row r="446">
      <c r="D446">
        <f>IF($B446&lt;&gt;"Yes","",IF($C446="No","Yes",IF($C446="Yes","No","")))</f>
      </c>
      <c r="E446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</c>
      <c r="F446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</c>
      <c r="BL446">
        <f>IF($T446="","",IF((IF(AND($AW446&lt;&gt;"Yes",$AW446&lt;&gt;"N/A"),"Power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",""))="","",LEFT(IF(AND($AW446&lt;&gt;"Yes",$AW446&lt;&gt;"N/A"),"Power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",""),LEN(IF(AND($AW446&lt;&gt;"Yes",$AW446&lt;&gt;"N/A"),"Power Cable, ","")&amp;IF(AND($AX446&lt;&gt;"Yes",$AX446&lt;&gt;"N/A"),"Battery, ","")&amp;IF(AND($BE446&lt;&gt;"Yes",$BE446&lt;&gt;"N/A"),"Firmware Download, ","")&amp;IF(AND(OR($BE446="Yes",$BE446="N/A"),$BF446&lt;&gt;"Yes",$BF446&lt;&gt;"N/A"),"Firmware Install, ","")&amp;IF(AND($BJ446&lt;&gt;"Yes",$BJ446&lt;&gt;"N/A"),"Device ID, ","")&amp;IF(AND($BK446&lt;&gt;"Yes",$BK446&lt;&gt;"N/A"),"Epic Beans Relay, ",""))-2)))</f>
      </c>
      <c r="BM446">
        <f>IF($T446="","",IF($BL446="","Yes","Blocked"))</f>
      </c>
      <c r="BP446">
        <f>IF($BO446="","",IFERROR(VLOOKUP($BO446,'01_Warehouse_Ledger'!$A:$N,4,FALSE),""))</f>
      </c>
      <c r="BQ446">
        <f>IF($BO446="","",IFERROR(VLOOKUP($BO446,'01_Warehouse_Ledger'!$A:$N,5,FALSE),""))</f>
      </c>
      <c r="BR446">
        <f>IF($BO446="","",IFERROR(VLOOKUP($BO446,'01_Warehouse_Ledger'!$A:$N,13,FALSE),""))</f>
      </c>
    </row>
    <row r="447">
      <c r="D447">
        <f>IF($B447&lt;&gt;"Yes","",IF($C447="No","Yes",IF($C447="Yes","No","")))</f>
      </c>
      <c r="E447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</c>
      <c r="F447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</c>
      <c r="BL447">
        <f>IF($T447="","",IF((IF(AND($AW447&lt;&gt;"Yes",$AW447&lt;&gt;"N/A"),"Power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",""))="","",LEFT(IF(AND($AW447&lt;&gt;"Yes",$AW447&lt;&gt;"N/A"),"Power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",""),LEN(IF(AND($AW447&lt;&gt;"Yes",$AW447&lt;&gt;"N/A"),"Power Cable, ","")&amp;IF(AND($AX447&lt;&gt;"Yes",$AX447&lt;&gt;"N/A"),"Battery, ","")&amp;IF(AND($BE447&lt;&gt;"Yes",$BE447&lt;&gt;"N/A"),"Firmware Download, ","")&amp;IF(AND(OR($BE447="Yes",$BE447="N/A"),$BF447&lt;&gt;"Yes",$BF447&lt;&gt;"N/A"),"Firmware Install, ","")&amp;IF(AND($BJ447&lt;&gt;"Yes",$BJ447&lt;&gt;"N/A"),"Device ID, ","")&amp;IF(AND($BK447&lt;&gt;"Yes",$BK447&lt;&gt;"N/A"),"Epic Beans Relay, ",""))-2)))</f>
      </c>
      <c r="BM447">
        <f>IF($T447="","",IF($BL447="","Yes","Blocked"))</f>
      </c>
      <c r="BP447">
        <f>IF($BO447="","",IFERROR(VLOOKUP($BO447,'01_Warehouse_Ledger'!$A:$N,4,FALSE),""))</f>
      </c>
      <c r="BQ447">
        <f>IF($BO447="","",IFERROR(VLOOKUP($BO447,'01_Warehouse_Ledger'!$A:$N,5,FALSE),""))</f>
      </c>
      <c r="BR447">
        <f>IF($BO447="","",IFERROR(VLOOKUP($BO447,'01_Warehouse_Ledger'!$A:$N,13,FALSE),""))</f>
      </c>
    </row>
    <row r="448">
      <c r="D448">
        <f>IF($B448&lt;&gt;"Yes","",IF($C448="No","Yes",IF($C448="Yes","No","")))</f>
      </c>
      <c r="E448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</c>
      <c r="F448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</c>
      <c r="BL448">
        <f>IF($T448="","",IF((IF(AND($AW448&lt;&gt;"Yes",$AW448&lt;&gt;"N/A"),"Power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",""))="","",LEFT(IF(AND($AW448&lt;&gt;"Yes",$AW448&lt;&gt;"N/A"),"Power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",""),LEN(IF(AND($AW448&lt;&gt;"Yes",$AW448&lt;&gt;"N/A"),"Power Cable, ","")&amp;IF(AND($AX448&lt;&gt;"Yes",$AX448&lt;&gt;"N/A"),"Battery, ","")&amp;IF(AND($BE448&lt;&gt;"Yes",$BE448&lt;&gt;"N/A"),"Firmware Download, ","")&amp;IF(AND(OR($BE448="Yes",$BE448="N/A"),$BF448&lt;&gt;"Yes",$BF448&lt;&gt;"N/A"),"Firmware Install, ","")&amp;IF(AND($BJ448&lt;&gt;"Yes",$BJ448&lt;&gt;"N/A"),"Device ID, ","")&amp;IF(AND($BK448&lt;&gt;"Yes",$BK448&lt;&gt;"N/A"),"Epic Beans Relay, ",""))-2)))</f>
      </c>
      <c r="BM448">
        <f>IF($T448="","",IF($BL448="","Yes","Blocked"))</f>
      </c>
      <c r="BP448">
        <f>IF($BO448="","",IFERROR(VLOOKUP($BO448,'01_Warehouse_Ledger'!$A:$N,4,FALSE),""))</f>
      </c>
      <c r="BQ448">
        <f>IF($BO448="","",IFERROR(VLOOKUP($BO448,'01_Warehouse_Ledger'!$A:$N,5,FALSE),""))</f>
      </c>
      <c r="BR448">
        <f>IF($BO448="","",IFERROR(VLOOKUP($BO448,'01_Warehouse_Ledger'!$A:$N,13,FALSE),""))</f>
      </c>
    </row>
    <row r="449">
      <c r="D449">
        <f>IF($B449&lt;&gt;"Yes","",IF($C449="No","Yes",IF($C449="Yes","No","")))</f>
      </c>
      <c r="E449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</c>
      <c r="F449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</c>
      <c r="BL449">
        <f>IF($T449="","",IF((IF(AND($AW449&lt;&gt;"Yes",$AW449&lt;&gt;"N/A"),"Power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",""))="","",LEFT(IF(AND($AW449&lt;&gt;"Yes",$AW449&lt;&gt;"N/A"),"Power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",""),LEN(IF(AND($AW449&lt;&gt;"Yes",$AW449&lt;&gt;"N/A"),"Power Cable, ","")&amp;IF(AND($AX449&lt;&gt;"Yes",$AX449&lt;&gt;"N/A"),"Battery, ","")&amp;IF(AND($BE449&lt;&gt;"Yes",$BE449&lt;&gt;"N/A"),"Firmware Download, ","")&amp;IF(AND(OR($BE449="Yes",$BE449="N/A"),$BF449&lt;&gt;"Yes",$BF449&lt;&gt;"N/A"),"Firmware Install, ","")&amp;IF(AND($BJ449&lt;&gt;"Yes",$BJ449&lt;&gt;"N/A"),"Device ID, ","")&amp;IF(AND($BK449&lt;&gt;"Yes",$BK449&lt;&gt;"N/A"),"Epic Beans Relay, ",""))-2)))</f>
      </c>
      <c r="BM449">
        <f>IF($T449="","",IF($BL449="","Yes","Blocked"))</f>
      </c>
      <c r="BP449">
        <f>IF($BO449="","",IFERROR(VLOOKUP($BO449,'01_Warehouse_Ledger'!$A:$N,4,FALSE),""))</f>
      </c>
      <c r="BQ449">
        <f>IF($BO449="","",IFERROR(VLOOKUP($BO449,'01_Warehouse_Ledger'!$A:$N,5,FALSE),""))</f>
      </c>
      <c r="BR449">
        <f>IF($BO449="","",IFERROR(VLOOKUP($BO449,'01_Warehouse_Ledger'!$A:$N,13,FALSE),""))</f>
      </c>
    </row>
    <row r="450">
      <c r="D450">
        <f>IF($B450&lt;&gt;"Yes","",IF($C450="No","Yes",IF($C450="Yes","No","")))</f>
      </c>
      <c r="E450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</c>
      <c r="F450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</c>
      <c r="BL450">
        <f>IF($T450="","",IF((IF(AND($AW450&lt;&gt;"Yes",$AW450&lt;&gt;"N/A"),"Power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",""))="","",LEFT(IF(AND($AW450&lt;&gt;"Yes",$AW450&lt;&gt;"N/A"),"Power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",""),LEN(IF(AND($AW450&lt;&gt;"Yes",$AW450&lt;&gt;"N/A"),"Power Cable, ","")&amp;IF(AND($AX450&lt;&gt;"Yes",$AX450&lt;&gt;"N/A"),"Battery, ","")&amp;IF(AND($BE450&lt;&gt;"Yes",$BE450&lt;&gt;"N/A"),"Firmware Download, ","")&amp;IF(AND(OR($BE450="Yes",$BE450="N/A"),$BF450&lt;&gt;"Yes",$BF450&lt;&gt;"N/A"),"Firmware Install, ","")&amp;IF(AND($BJ450&lt;&gt;"Yes",$BJ450&lt;&gt;"N/A"),"Device ID, ","")&amp;IF(AND($BK450&lt;&gt;"Yes",$BK450&lt;&gt;"N/A"),"Epic Beans Relay, ",""))-2)))</f>
      </c>
      <c r="BM450">
        <f>IF($T450="","",IF($BL450="","Yes","Blocked"))</f>
      </c>
      <c r="BP450">
        <f>IF($BO450="","",IFERROR(VLOOKUP($BO450,'01_Warehouse_Ledger'!$A:$N,4,FALSE),""))</f>
      </c>
      <c r="BQ450">
        <f>IF($BO450="","",IFERROR(VLOOKUP($BO450,'01_Warehouse_Ledger'!$A:$N,5,FALSE),""))</f>
      </c>
      <c r="BR450">
        <f>IF($BO450="","",IFERROR(VLOOKUP($BO450,'01_Warehouse_Ledger'!$A:$N,13,FALSE),""))</f>
      </c>
    </row>
    <row r="451">
      <c r="D451">
        <f>IF($B451&lt;&gt;"Yes","",IF($C451="No","Yes",IF($C451="Yes","No","")))</f>
      </c>
      <c r="E451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</c>
      <c r="F451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</c>
      <c r="BL451">
        <f>IF($T451="","",IF((IF(AND($AW451&lt;&gt;"Yes",$AW451&lt;&gt;"N/A"),"Power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",""))="","",LEFT(IF(AND($AW451&lt;&gt;"Yes",$AW451&lt;&gt;"N/A"),"Power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",""),LEN(IF(AND($AW451&lt;&gt;"Yes",$AW451&lt;&gt;"N/A"),"Power Cable, ","")&amp;IF(AND($AX451&lt;&gt;"Yes",$AX451&lt;&gt;"N/A"),"Battery, ","")&amp;IF(AND($BE451&lt;&gt;"Yes",$BE451&lt;&gt;"N/A"),"Firmware Download, ","")&amp;IF(AND(OR($BE451="Yes",$BE451="N/A"),$BF451&lt;&gt;"Yes",$BF451&lt;&gt;"N/A"),"Firmware Install, ","")&amp;IF(AND($BJ451&lt;&gt;"Yes",$BJ451&lt;&gt;"N/A"),"Device ID, ","")&amp;IF(AND($BK451&lt;&gt;"Yes",$BK451&lt;&gt;"N/A"),"Epic Beans Relay, ",""))-2)))</f>
      </c>
      <c r="BM451">
        <f>IF($T451="","",IF($BL451="","Yes","Blocked"))</f>
      </c>
      <c r="BP451">
        <f>IF($BO451="","",IFERROR(VLOOKUP($BO451,'01_Warehouse_Ledger'!$A:$N,4,FALSE),""))</f>
      </c>
      <c r="BQ451">
        <f>IF($BO451="","",IFERROR(VLOOKUP($BO451,'01_Warehouse_Ledger'!$A:$N,5,FALSE),""))</f>
      </c>
      <c r="BR451">
        <f>IF($BO451="","",IFERROR(VLOOKUP($BO451,'01_Warehouse_Ledger'!$A:$N,13,FALSE),""))</f>
      </c>
    </row>
    <row r="452">
      <c r="D452">
        <f>IF($B452&lt;&gt;"Yes","",IF($C452="No","Yes",IF($C452="Yes","No","")))</f>
      </c>
      <c r="E452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</c>
      <c r="F452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</c>
      <c r="BL452">
        <f>IF($T452="","",IF((IF(AND($AW452&lt;&gt;"Yes",$AW452&lt;&gt;"N/A"),"Power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",""))="","",LEFT(IF(AND($AW452&lt;&gt;"Yes",$AW452&lt;&gt;"N/A"),"Power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",""),LEN(IF(AND($AW452&lt;&gt;"Yes",$AW452&lt;&gt;"N/A"),"Power Cable, ","")&amp;IF(AND($AX452&lt;&gt;"Yes",$AX452&lt;&gt;"N/A"),"Battery, ","")&amp;IF(AND($BE452&lt;&gt;"Yes",$BE452&lt;&gt;"N/A"),"Firmware Download, ","")&amp;IF(AND(OR($BE452="Yes",$BE452="N/A"),$BF452&lt;&gt;"Yes",$BF452&lt;&gt;"N/A"),"Firmware Install, ","")&amp;IF(AND($BJ452&lt;&gt;"Yes",$BJ452&lt;&gt;"N/A"),"Device ID, ","")&amp;IF(AND($BK452&lt;&gt;"Yes",$BK452&lt;&gt;"N/A"),"Epic Beans Relay, ",""))-2)))</f>
      </c>
      <c r="BM452">
        <f>IF($T452="","",IF($BL452="","Yes","Blocked"))</f>
      </c>
      <c r="BP452">
        <f>IF($BO452="","",IFERROR(VLOOKUP($BO452,'01_Warehouse_Ledger'!$A:$N,4,FALSE),""))</f>
      </c>
      <c r="BQ452">
        <f>IF($BO452="","",IFERROR(VLOOKUP($BO452,'01_Warehouse_Ledger'!$A:$N,5,FALSE),""))</f>
      </c>
      <c r="BR452">
        <f>IF($BO452="","",IFERROR(VLOOKUP($BO452,'01_Warehouse_Ledger'!$A:$N,13,FALSE),""))</f>
      </c>
    </row>
    <row r="453">
      <c r="D453">
        <f>IF($B453&lt;&gt;"Yes","",IF($C453="No","Yes",IF($C453="Yes","No","")))</f>
      </c>
      <c r="E453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</c>
      <c r="F453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</c>
      <c r="BL453">
        <f>IF($T453="","",IF((IF(AND($AW453&lt;&gt;"Yes",$AW453&lt;&gt;"N/A"),"Power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",""))="","",LEFT(IF(AND($AW453&lt;&gt;"Yes",$AW453&lt;&gt;"N/A"),"Power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",""),LEN(IF(AND($AW453&lt;&gt;"Yes",$AW453&lt;&gt;"N/A"),"Power Cable, ","")&amp;IF(AND($AX453&lt;&gt;"Yes",$AX453&lt;&gt;"N/A"),"Battery, ","")&amp;IF(AND($BE453&lt;&gt;"Yes",$BE453&lt;&gt;"N/A"),"Firmware Download, ","")&amp;IF(AND(OR($BE453="Yes",$BE453="N/A"),$BF453&lt;&gt;"Yes",$BF453&lt;&gt;"N/A"),"Firmware Install, ","")&amp;IF(AND($BJ453&lt;&gt;"Yes",$BJ453&lt;&gt;"N/A"),"Device ID, ","")&amp;IF(AND($BK453&lt;&gt;"Yes",$BK453&lt;&gt;"N/A"),"Epic Beans Relay, ",""))-2)))</f>
      </c>
      <c r="BM453">
        <f>IF($T453="","",IF($BL453="","Yes","Blocked"))</f>
      </c>
      <c r="BP453">
        <f>IF($BO453="","",IFERROR(VLOOKUP($BO453,'01_Warehouse_Ledger'!$A:$N,4,FALSE),""))</f>
      </c>
      <c r="BQ453">
        <f>IF($BO453="","",IFERROR(VLOOKUP($BO453,'01_Warehouse_Ledger'!$A:$N,5,FALSE),""))</f>
      </c>
      <c r="BR453">
        <f>IF($BO453="","",IFERROR(VLOOKUP($BO453,'01_Warehouse_Ledger'!$A:$N,13,FALSE),""))</f>
      </c>
    </row>
    <row r="454">
      <c r="D454">
        <f>IF($B454&lt;&gt;"Yes","",IF($C454="No","Yes",IF($C454="Yes","No","")))</f>
      </c>
      <c r="E454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</c>
      <c r="F454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</c>
      <c r="BL454">
        <f>IF($T454="","",IF((IF(AND($AW454&lt;&gt;"Yes",$AW454&lt;&gt;"N/A"),"Power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",""))="","",LEFT(IF(AND($AW454&lt;&gt;"Yes",$AW454&lt;&gt;"N/A"),"Power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",""),LEN(IF(AND($AW454&lt;&gt;"Yes",$AW454&lt;&gt;"N/A"),"Power Cable, ","")&amp;IF(AND($AX454&lt;&gt;"Yes",$AX454&lt;&gt;"N/A"),"Battery, ","")&amp;IF(AND($BE454&lt;&gt;"Yes",$BE454&lt;&gt;"N/A"),"Firmware Download, ","")&amp;IF(AND(OR($BE454="Yes",$BE454="N/A"),$BF454&lt;&gt;"Yes",$BF454&lt;&gt;"N/A"),"Firmware Install, ","")&amp;IF(AND($BJ454&lt;&gt;"Yes",$BJ454&lt;&gt;"N/A"),"Device ID, ","")&amp;IF(AND($BK454&lt;&gt;"Yes",$BK454&lt;&gt;"N/A"),"Epic Beans Relay, ",""))-2)))</f>
      </c>
      <c r="BM454">
        <f>IF($T454="","",IF($BL454="","Yes","Blocked"))</f>
      </c>
      <c r="BP454">
        <f>IF($BO454="","",IFERROR(VLOOKUP($BO454,'01_Warehouse_Ledger'!$A:$N,4,FALSE),""))</f>
      </c>
      <c r="BQ454">
        <f>IF($BO454="","",IFERROR(VLOOKUP($BO454,'01_Warehouse_Ledger'!$A:$N,5,FALSE),""))</f>
      </c>
      <c r="BR454">
        <f>IF($BO454="","",IFERROR(VLOOKUP($BO454,'01_Warehouse_Ledger'!$A:$N,13,FALSE),""))</f>
      </c>
    </row>
    <row r="455">
      <c r="D455">
        <f>IF($B455&lt;&gt;"Yes","",IF($C455="No","Yes",IF($C455="Yes","No","")))</f>
      </c>
      <c r="E455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</c>
      <c r="F455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</c>
      <c r="BL455">
        <f>IF($T455="","",IF((IF(AND($AW455&lt;&gt;"Yes",$AW455&lt;&gt;"N/A"),"Power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",""))="","",LEFT(IF(AND($AW455&lt;&gt;"Yes",$AW455&lt;&gt;"N/A"),"Power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",""),LEN(IF(AND($AW455&lt;&gt;"Yes",$AW455&lt;&gt;"N/A"),"Power Cable, ","")&amp;IF(AND($AX455&lt;&gt;"Yes",$AX455&lt;&gt;"N/A"),"Battery, ","")&amp;IF(AND($BE455&lt;&gt;"Yes",$BE455&lt;&gt;"N/A"),"Firmware Download, ","")&amp;IF(AND(OR($BE455="Yes",$BE455="N/A"),$BF455&lt;&gt;"Yes",$BF455&lt;&gt;"N/A"),"Firmware Install, ","")&amp;IF(AND($BJ455&lt;&gt;"Yes",$BJ455&lt;&gt;"N/A"),"Device ID, ","")&amp;IF(AND($BK455&lt;&gt;"Yes",$BK455&lt;&gt;"N/A"),"Epic Beans Relay, ",""))-2)))</f>
      </c>
      <c r="BM455">
        <f>IF($T455="","",IF($BL455="","Yes","Blocked"))</f>
      </c>
      <c r="BP455">
        <f>IF($BO455="","",IFERROR(VLOOKUP($BO455,'01_Warehouse_Ledger'!$A:$N,4,FALSE),""))</f>
      </c>
      <c r="BQ455">
        <f>IF($BO455="","",IFERROR(VLOOKUP($BO455,'01_Warehouse_Ledger'!$A:$N,5,FALSE),""))</f>
      </c>
      <c r="BR455">
        <f>IF($BO455="","",IFERROR(VLOOKUP($BO455,'01_Warehouse_Ledger'!$A:$N,13,FALSE),""))</f>
      </c>
    </row>
    <row r="456">
      <c r="D456">
        <f>IF($B456&lt;&gt;"Yes","",IF($C456="No","Yes",IF($C456="Yes","No","")))</f>
      </c>
      <c r="E456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</c>
      <c r="F456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</c>
      <c r="BL456">
        <f>IF($T456="","",IF((IF(AND($AW456&lt;&gt;"Yes",$AW456&lt;&gt;"N/A"),"Power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",""))="","",LEFT(IF(AND($AW456&lt;&gt;"Yes",$AW456&lt;&gt;"N/A"),"Power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",""),LEN(IF(AND($AW456&lt;&gt;"Yes",$AW456&lt;&gt;"N/A"),"Power Cable, ","")&amp;IF(AND($AX456&lt;&gt;"Yes",$AX456&lt;&gt;"N/A"),"Battery, ","")&amp;IF(AND($BE456&lt;&gt;"Yes",$BE456&lt;&gt;"N/A"),"Firmware Download, ","")&amp;IF(AND(OR($BE456="Yes",$BE456="N/A"),$BF456&lt;&gt;"Yes",$BF456&lt;&gt;"N/A"),"Firmware Install, ","")&amp;IF(AND($BJ456&lt;&gt;"Yes",$BJ456&lt;&gt;"N/A"),"Device ID, ","")&amp;IF(AND($BK456&lt;&gt;"Yes",$BK456&lt;&gt;"N/A"),"Epic Beans Relay, ",""))-2)))</f>
      </c>
      <c r="BM456">
        <f>IF($T456="","",IF($BL456="","Yes","Blocked"))</f>
      </c>
      <c r="BP456">
        <f>IF($BO456="","",IFERROR(VLOOKUP($BO456,'01_Warehouse_Ledger'!$A:$N,4,FALSE),""))</f>
      </c>
      <c r="BQ456">
        <f>IF($BO456="","",IFERROR(VLOOKUP($BO456,'01_Warehouse_Ledger'!$A:$N,5,FALSE),""))</f>
      </c>
      <c r="BR456">
        <f>IF($BO456="","",IFERROR(VLOOKUP($BO456,'01_Warehouse_Ledger'!$A:$N,13,FALSE),""))</f>
      </c>
    </row>
    <row r="457">
      <c r="D457">
        <f>IF($B457&lt;&gt;"Yes","",IF($C457="No","Yes",IF($C457="Yes","No","")))</f>
      </c>
      <c r="E457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</c>
      <c r="F457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</c>
      <c r="BL457">
        <f>IF($T457="","",IF((IF(AND($AW457&lt;&gt;"Yes",$AW457&lt;&gt;"N/A"),"Power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",""))="","",LEFT(IF(AND($AW457&lt;&gt;"Yes",$AW457&lt;&gt;"N/A"),"Power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",""),LEN(IF(AND($AW457&lt;&gt;"Yes",$AW457&lt;&gt;"N/A"),"Power Cable, ","")&amp;IF(AND($AX457&lt;&gt;"Yes",$AX457&lt;&gt;"N/A"),"Battery, ","")&amp;IF(AND($BE457&lt;&gt;"Yes",$BE457&lt;&gt;"N/A"),"Firmware Download, ","")&amp;IF(AND(OR($BE457="Yes",$BE457="N/A"),$BF457&lt;&gt;"Yes",$BF457&lt;&gt;"N/A"),"Firmware Install, ","")&amp;IF(AND($BJ457&lt;&gt;"Yes",$BJ457&lt;&gt;"N/A"),"Device ID, ","")&amp;IF(AND($BK457&lt;&gt;"Yes",$BK457&lt;&gt;"N/A"),"Epic Beans Relay, ",""))-2)))</f>
      </c>
      <c r="BM457">
        <f>IF($T457="","",IF($BL457="","Yes","Blocked"))</f>
      </c>
      <c r="BP457">
        <f>IF($BO457="","",IFERROR(VLOOKUP($BO457,'01_Warehouse_Ledger'!$A:$N,4,FALSE),""))</f>
      </c>
      <c r="BQ457">
        <f>IF($BO457="","",IFERROR(VLOOKUP($BO457,'01_Warehouse_Ledger'!$A:$N,5,FALSE),""))</f>
      </c>
      <c r="BR457">
        <f>IF($BO457="","",IFERROR(VLOOKUP($BO457,'01_Warehouse_Ledger'!$A:$N,13,FALSE),""))</f>
      </c>
    </row>
    <row r="458">
      <c r="D458">
        <f>IF($B458&lt;&gt;"Yes","",IF($C458="No","Yes",IF($C458="Yes","No","")))</f>
      </c>
      <c r="E458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</c>
      <c r="F458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</c>
      <c r="BL458">
        <f>IF($T458="","",IF((IF(AND($AW458&lt;&gt;"Yes",$AW458&lt;&gt;"N/A"),"Power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",""))="","",LEFT(IF(AND($AW458&lt;&gt;"Yes",$AW458&lt;&gt;"N/A"),"Power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",""),LEN(IF(AND($AW458&lt;&gt;"Yes",$AW458&lt;&gt;"N/A"),"Power Cable, ","")&amp;IF(AND($AX458&lt;&gt;"Yes",$AX458&lt;&gt;"N/A"),"Battery, ","")&amp;IF(AND($BE458&lt;&gt;"Yes",$BE458&lt;&gt;"N/A"),"Firmware Download, ","")&amp;IF(AND(OR($BE458="Yes",$BE458="N/A"),$BF458&lt;&gt;"Yes",$BF458&lt;&gt;"N/A"),"Firmware Install, ","")&amp;IF(AND($BJ458&lt;&gt;"Yes",$BJ458&lt;&gt;"N/A"),"Device ID, ","")&amp;IF(AND($BK458&lt;&gt;"Yes",$BK458&lt;&gt;"N/A"),"Epic Beans Relay, ",""))-2)))</f>
      </c>
      <c r="BM458">
        <f>IF($T458="","",IF($BL458="","Yes","Blocked"))</f>
      </c>
      <c r="BP458">
        <f>IF($BO458="","",IFERROR(VLOOKUP($BO458,'01_Warehouse_Ledger'!$A:$N,4,FALSE),""))</f>
      </c>
      <c r="BQ458">
        <f>IF($BO458="","",IFERROR(VLOOKUP($BO458,'01_Warehouse_Ledger'!$A:$N,5,FALSE),""))</f>
      </c>
      <c r="BR458">
        <f>IF($BO458="","",IFERROR(VLOOKUP($BO458,'01_Warehouse_Ledger'!$A:$N,13,FALSE),""))</f>
      </c>
    </row>
    <row r="459">
      <c r="D459">
        <f>IF($B459&lt;&gt;"Yes","",IF($C459="No","Yes",IF($C459="Yes","No","")))</f>
      </c>
      <c r="E459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</c>
      <c r="F459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</c>
      <c r="BL459">
        <f>IF($T459="","",IF((IF(AND($AW459&lt;&gt;"Yes",$AW459&lt;&gt;"N/A"),"Power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",""))="","",LEFT(IF(AND($AW459&lt;&gt;"Yes",$AW459&lt;&gt;"N/A"),"Power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",""),LEN(IF(AND($AW459&lt;&gt;"Yes",$AW459&lt;&gt;"N/A"),"Power Cable, ","")&amp;IF(AND($AX459&lt;&gt;"Yes",$AX459&lt;&gt;"N/A"),"Battery, ","")&amp;IF(AND($BE459&lt;&gt;"Yes",$BE459&lt;&gt;"N/A"),"Firmware Download, ","")&amp;IF(AND(OR($BE459="Yes",$BE459="N/A"),$BF459&lt;&gt;"Yes",$BF459&lt;&gt;"N/A"),"Firmware Install, ","")&amp;IF(AND($BJ459&lt;&gt;"Yes",$BJ459&lt;&gt;"N/A"),"Device ID, ","")&amp;IF(AND($BK459&lt;&gt;"Yes",$BK459&lt;&gt;"N/A"),"Epic Beans Relay, ",""))-2)))</f>
      </c>
      <c r="BM459">
        <f>IF($T459="","",IF($BL459="","Yes","Blocked"))</f>
      </c>
      <c r="BP459">
        <f>IF($BO459="","",IFERROR(VLOOKUP($BO459,'01_Warehouse_Ledger'!$A:$N,4,FALSE),""))</f>
      </c>
      <c r="BQ459">
        <f>IF($BO459="","",IFERROR(VLOOKUP($BO459,'01_Warehouse_Ledger'!$A:$N,5,FALSE),""))</f>
      </c>
      <c r="BR459">
        <f>IF($BO459="","",IFERROR(VLOOKUP($BO459,'01_Warehouse_Ledger'!$A:$N,13,FALSE),""))</f>
      </c>
    </row>
    <row r="460">
      <c r="D460">
        <f>IF($B460&lt;&gt;"Yes","",IF($C460="No","Yes",IF($C460="Yes","No","")))</f>
      </c>
      <c r="E460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</c>
      <c r="F460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</c>
      <c r="BL460">
        <f>IF($T460="","",IF((IF(AND($AW460&lt;&gt;"Yes",$AW460&lt;&gt;"N/A"),"Power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",""))="","",LEFT(IF(AND($AW460&lt;&gt;"Yes",$AW460&lt;&gt;"N/A"),"Power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",""),LEN(IF(AND($AW460&lt;&gt;"Yes",$AW460&lt;&gt;"N/A"),"Power Cable, ","")&amp;IF(AND($AX460&lt;&gt;"Yes",$AX460&lt;&gt;"N/A"),"Battery, ","")&amp;IF(AND($BE460&lt;&gt;"Yes",$BE460&lt;&gt;"N/A"),"Firmware Download, ","")&amp;IF(AND(OR($BE460="Yes",$BE460="N/A"),$BF460&lt;&gt;"Yes",$BF460&lt;&gt;"N/A"),"Firmware Install, ","")&amp;IF(AND($BJ460&lt;&gt;"Yes",$BJ460&lt;&gt;"N/A"),"Device ID, ","")&amp;IF(AND($BK460&lt;&gt;"Yes",$BK460&lt;&gt;"N/A"),"Epic Beans Relay, ",""))-2)))</f>
      </c>
      <c r="BM460">
        <f>IF($T460="","",IF($BL460="","Yes","Blocked"))</f>
      </c>
      <c r="BP460">
        <f>IF($BO460="","",IFERROR(VLOOKUP($BO460,'01_Warehouse_Ledger'!$A:$N,4,FALSE),""))</f>
      </c>
      <c r="BQ460">
        <f>IF($BO460="","",IFERROR(VLOOKUP($BO460,'01_Warehouse_Ledger'!$A:$N,5,FALSE),""))</f>
      </c>
      <c r="BR460">
        <f>IF($BO460="","",IFERROR(VLOOKUP($BO460,'01_Warehouse_Ledger'!$A:$N,13,FALSE),""))</f>
      </c>
    </row>
    <row r="461">
      <c r="D461">
        <f>IF($B461&lt;&gt;"Yes","",IF($C461="No","Yes",IF($C461="Yes","No","")))</f>
      </c>
      <c r="E461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</c>
      <c r="F461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</c>
      <c r="BL461">
        <f>IF($T461="","",IF((IF(AND($AW461&lt;&gt;"Yes",$AW461&lt;&gt;"N/A"),"Power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",""))="","",LEFT(IF(AND($AW461&lt;&gt;"Yes",$AW461&lt;&gt;"N/A"),"Power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",""),LEN(IF(AND($AW461&lt;&gt;"Yes",$AW461&lt;&gt;"N/A"),"Power Cable, ","")&amp;IF(AND($AX461&lt;&gt;"Yes",$AX461&lt;&gt;"N/A"),"Battery, ","")&amp;IF(AND($BE461&lt;&gt;"Yes",$BE461&lt;&gt;"N/A"),"Firmware Download, ","")&amp;IF(AND(OR($BE461="Yes",$BE461="N/A"),$BF461&lt;&gt;"Yes",$BF461&lt;&gt;"N/A"),"Firmware Install, ","")&amp;IF(AND($BJ461&lt;&gt;"Yes",$BJ461&lt;&gt;"N/A"),"Device ID, ","")&amp;IF(AND($BK461&lt;&gt;"Yes",$BK461&lt;&gt;"N/A"),"Epic Beans Relay, ",""))-2)))</f>
      </c>
      <c r="BM461">
        <f>IF($T461="","",IF($BL461="","Yes","Blocked"))</f>
      </c>
      <c r="BP461">
        <f>IF($BO461="","",IFERROR(VLOOKUP($BO461,'01_Warehouse_Ledger'!$A:$N,4,FALSE),""))</f>
      </c>
      <c r="BQ461">
        <f>IF($BO461="","",IFERROR(VLOOKUP($BO461,'01_Warehouse_Ledger'!$A:$N,5,FALSE),""))</f>
      </c>
      <c r="BR461">
        <f>IF($BO461="","",IFERROR(VLOOKUP($BO461,'01_Warehouse_Ledger'!$A:$N,13,FALSE),""))</f>
      </c>
    </row>
    <row r="462">
      <c r="D462">
        <f>IF($B462&lt;&gt;"Yes","",IF($C462="No","Yes",IF($C462="Yes","No","")))</f>
      </c>
      <c r="E462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</c>
      <c r="F462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</c>
      <c r="BL462">
        <f>IF($T462="","",IF((IF(AND($AW462&lt;&gt;"Yes",$AW462&lt;&gt;"N/A"),"Power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",""))="","",LEFT(IF(AND($AW462&lt;&gt;"Yes",$AW462&lt;&gt;"N/A"),"Power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",""),LEN(IF(AND($AW462&lt;&gt;"Yes",$AW462&lt;&gt;"N/A"),"Power Cable, ","")&amp;IF(AND($AX462&lt;&gt;"Yes",$AX462&lt;&gt;"N/A"),"Battery, ","")&amp;IF(AND($BE462&lt;&gt;"Yes",$BE462&lt;&gt;"N/A"),"Firmware Download, ","")&amp;IF(AND(OR($BE462="Yes",$BE462="N/A"),$BF462&lt;&gt;"Yes",$BF462&lt;&gt;"N/A"),"Firmware Install, ","")&amp;IF(AND($BJ462&lt;&gt;"Yes",$BJ462&lt;&gt;"N/A"),"Device ID, ","")&amp;IF(AND($BK462&lt;&gt;"Yes",$BK462&lt;&gt;"N/A"),"Epic Beans Relay, ",""))-2)))</f>
      </c>
      <c r="BM462">
        <f>IF($T462="","",IF($BL462="","Yes","Blocked"))</f>
      </c>
      <c r="BP462">
        <f>IF($BO462="","",IFERROR(VLOOKUP($BO462,'01_Warehouse_Ledger'!$A:$N,4,FALSE),""))</f>
      </c>
      <c r="BQ462">
        <f>IF($BO462="","",IFERROR(VLOOKUP($BO462,'01_Warehouse_Ledger'!$A:$N,5,FALSE),""))</f>
      </c>
      <c r="BR462">
        <f>IF($BO462="","",IFERROR(VLOOKUP($BO462,'01_Warehouse_Ledger'!$A:$N,13,FALSE),""))</f>
      </c>
    </row>
    <row r="463">
      <c r="D463">
        <f>IF($B463&lt;&gt;"Yes","",IF($C463="No","Yes",IF($C463="Yes","No","")))</f>
      </c>
      <c r="E463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</c>
      <c r="F463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</c>
      <c r="BL463">
        <f>IF($T463="","",IF((IF(AND($AW463&lt;&gt;"Yes",$AW463&lt;&gt;"N/A"),"Power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",""))="","",LEFT(IF(AND($AW463&lt;&gt;"Yes",$AW463&lt;&gt;"N/A"),"Power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",""),LEN(IF(AND($AW463&lt;&gt;"Yes",$AW463&lt;&gt;"N/A"),"Power Cable, ","")&amp;IF(AND($AX463&lt;&gt;"Yes",$AX463&lt;&gt;"N/A"),"Battery, ","")&amp;IF(AND($BE463&lt;&gt;"Yes",$BE463&lt;&gt;"N/A"),"Firmware Download, ","")&amp;IF(AND(OR($BE463="Yes",$BE463="N/A"),$BF463&lt;&gt;"Yes",$BF463&lt;&gt;"N/A"),"Firmware Install, ","")&amp;IF(AND($BJ463&lt;&gt;"Yes",$BJ463&lt;&gt;"N/A"),"Device ID, ","")&amp;IF(AND($BK463&lt;&gt;"Yes",$BK463&lt;&gt;"N/A"),"Epic Beans Relay, ",""))-2)))</f>
      </c>
      <c r="BM463">
        <f>IF($T463="","",IF($BL463="","Yes","Blocked"))</f>
      </c>
      <c r="BP463">
        <f>IF($BO463="","",IFERROR(VLOOKUP($BO463,'01_Warehouse_Ledger'!$A:$N,4,FALSE),""))</f>
      </c>
      <c r="BQ463">
        <f>IF($BO463="","",IFERROR(VLOOKUP($BO463,'01_Warehouse_Ledger'!$A:$N,5,FALSE),""))</f>
      </c>
      <c r="BR463">
        <f>IF($BO463="","",IFERROR(VLOOKUP($BO463,'01_Warehouse_Ledger'!$A:$N,13,FALSE),""))</f>
      </c>
    </row>
    <row r="464">
      <c r="D464">
        <f>IF($B464&lt;&gt;"Yes","",IF($C464="No","Yes",IF($C464="Yes","No","")))</f>
      </c>
      <c r="E464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</c>
      <c r="F464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</c>
      <c r="BL464">
        <f>IF($T464="","",IF((IF(AND($AW464&lt;&gt;"Yes",$AW464&lt;&gt;"N/A"),"Power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",""))="","",LEFT(IF(AND($AW464&lt;&gt;"Yes",$AW464&lt;&gt;"N/A"),"Power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",""),LEN(IF(AND($AW464&lt;&gt;"Yes",$AW464&lt;&gt;"N/A"),"Power Cable, ","")&amp;IF(AND($AX464&lt;&gt;"Yes",$AX464&lt;&gt;"N/A"),"Battery, ","")&amp;IF(AND($BE464&lt;&gt;"Yes",$BE464&lt;&gt;"N/A"),"Firmware Download, ","")&amp;IF(AND(OR($BE464="Yes",$BE464="N/A"),$BF464&lt;&gt;"Yes",$BF464&lt;&gt;"N/A"),"Firmware Install, ","")&amp;IF(AND($BJ464&lt;&gt;"Yes",$BJ464&lt;&gt;"N/A"),"Device ID, ","")&amp;IF(AND($BK464&lt;&gt;"Yes",$BK464&lt;&gt;"N/A"),"Epic Beans Relay, ",""))-2)))</f>
      </c>
      <c r="BM464">
        <f>IF($T464="","",IF($BL464="","Yes","Blocked"))</f>
      </c>
      <c r="BP464">
        <f>IF($BO464="","",IFERROR(VLOOKUP($BO464,'01_Warehouse_Ledger'!$A:$N,4,FALSE),""))</f>
      </c>
      <c r="BQ464">
        <f>IF($BO464="","",IFERROR(VLOOKUP($BO464,'01_Warehouse_Ledger'!$A:$N,5,FALSE),""))</f>
      </c>
      <c r="BR464">
        <f>IF($BO464="","",IFERROR(VLOOKUP($BO464,'01_Warehouse_Ledger'!$A:$N,13,FALSE),""))</f>
      </c>
    </row>
    <row r="465">
      <c r="D465">
        <f>IF($B465&lt;&gt;"Yes","",IF($C465="No","Yes",IF($C465="Yes","No","")))</f>
      </c>
      <c r="E465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</c>
      <c r="F465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</c>
      <c r="BL465">
        <f>IF($T465="","",IF((IF(AND($AW465&lt;&gt;"Yes",$AW465&lt;&gt;"N/A"),"Power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",""))="","",LEFT(IF(AND($AW465&lt;&gt;"Yes",$AW465&lt;&gt;"N/A"),"Power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",""),LEN(IF(AND($AW465&lt;&gt;"Yes",$AW465&lt;&gt;"N/A"),"Power Cable, ","")&amp;IF(AND($AX465&lt;&gt;"Yes",$AX465&lt;&gt;"N/A"),"Battery, ","")&amp;IF(AND($BE465&lt;&gt;"Yes",$BE465&lt;&gt;"N/A"),"Firmware Download, ","")&amp;IF(AND(OR($BE465="Yes",$BE465="N/A"),$BF465&lt;&gt;"Yes",$BF465&lt;&gt;"N/A"),"Firmware Install, ","")&amp;IF(AND($BJ465&lt;&gt;"Yes",$BJ465&lt;&gt;"N/A"),"Device ID, ","")&amp;IF(AND($BK465&lt;&gt;"Yes",$BK465&lt;&gt;"N/A"),"Epic Beans Relay, ",""))-2)))</f>
      </c>
      <c r="BM465">
        <f>IF($T465="","",IF($BL465="","Yes","Blocked"))</f>
      </c>
      <c r="BP465">
        <f>IF($BO465="","",IFERROR(VLOOKUP($BO465,'01_Warehouse_Ledger'!$A:$N,4,FALSE),""))</f>
      </c>
      <c r="BQ465">
        <f>IF($BO465="","",IFERROR(VLOOKUP($BO465,'01_Warehouse_Ledger'!$A:$N,5,FALSE),""))</f>
      </c>
      <c r="BR465">
        <f>IF($BO465="","",IFERROR(VLOOKUP($BO465,'01_Warehouse_Ledger'!$A:$N,13,FALSE),""))</f>
      </c>
    </row>
    <row r="466">
      <c r="D466">
        <f>IF($B466&lt;&gt;"Yes","",IF($C466="No","Yes",IF($C466="Yes","No","")))</f>
      </c>
      <c r="E466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</c>
      <c r="F466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</c>
      <c r="BL466">
        <f>IF($T466="","",IF((IF(AND($AW466&lt;&gt;"Yes",$AW466&lt;&gt;"N/A"),"Power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",""))="","",LEFT(IF(AND($AW466&lt;&gt;"Yes",$AW466&lt;&gt;"N/A"),"Power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",""),LEN(IF(AND($AW466&lt;&gt;"Yes",$AW466&lt;&gt;"N/A"),"Power Cable, ","")&amp;IF(AND($AX466&lt;&gt;"Yes",$AX466&lt;&gt;"N/A"),"Battery, ","")&amp;IF(AND($BE466&lt;&gt;"Yes",$BE466&lt;&gt;"N/A"),"Firmware Download, ","")&amp;IF(AND(OR($BE466="Yes",$BE466="N/A"),$BF466&lt;&gt;"Yes",$BF466&lt;&gt;"N/A"),"Firmware Install, ","")&amp;IF(AND($BJ466&lt;&gt;"Yes",$BJ466&lt;&gt;"N/A"),"Device ID, ","")&amp;IF(AND($BK466&lt;&gt;"Yes",$BK466&lt;&gt;"N/A"),"Epic Beans Relay, ",""))-2)))</f>
      </c>
      <c r="BM466">
        <f>IF($T466="","",IF($BL466="","Yes","Blocked"))</f>
      </c>
      <c r="BP466">
        <f>IF($BO466="","",IFERROR(VLOOKUP($BO466,'01_Warehouse_Ledger'!$A:$N,4,FALSE),""))</f>
      </c>
      <c r="BQ466">
        <f>IF($BO466="","",IFERROR(VLOOKUP($BO466,'01_Warehouse_Ledger'!$A:$N,5,FALSE),""))</f>
      </c>
      <c r="BR466">
        <f>IF($BO466="","",IFERROR(VLOOKUP($BO466,'01_Warehouse_Ledger'!$A:$N,13,FALSE),""))</f>
      </c>
    </row>
    <row r="467">
      <c r="D467">
        <f>IF($B467&lt;&gt;"Yes","",IF($C467="No","Yes",IF($C467="Yes","No","")))</f>
      </c>
      <c r="E467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</c>
      <c r="F467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</c>
      <c r="BL467">
        <f>IF($T467="","",IF((IF(AND($AW467&lt;&gt;"Yes",$AW467&lt;&gt;"N/A"),"Power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",""))="","",LEFT(IF(AND($AW467&lt;&gt;"Yes",$AW467&lt;&gt;"N/A"),"Power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",""),LEN(IF(AND($AW467&lt;&gt;"Yes",$AW467&lt;&gt;"N/A"),"Power Cable, ","")&amp;IF(AND($AX467&lt;&gt;"Yes",$AX467&lt;&gt;"N/A"),"Battery, ","")&amp;IF(AND($BE467&lt;&gt;"Yes",$BE467&lt;&gt;"N/A"),"Firmware Download, ","")&amp;IF(AND(OR($BE467="Yes",$BE467="N/A"),$BF467&lt;&gt;"Yes",$BF467&lt;&gt;"N/A"),"Firmware Install, ","")&amp;IF(AND($BJ467&lt;&gt;"Yes",$BJ467&lt;&gt;"N/A"),"Device ID, ","")&amp;IF(AND($BK467&lt;&gt;"Yes",$BK467&lt;&gt;"N/A"),"Epic Beans Relay, ",""))-2)))</f>
      </c>
      <c r="BM467">
        <f>IF($T467="","",IF($BL467="","Yes","Blocked"))</f>
      </c>
      <c r="BP467">
        <f>IF($BO467="","",IFERROR(VLOOKUP($BO467,'01_Warehouse_Ledger'!$A:$N,4,FALSE),""))</f>
      </c>
      <c r="BQ467">
        <f>IF($BO467="","",IFERROR(VLOOKUP($BO467,'01_Warehouse_Ledger'!$A:$N,5,FALSE),""))</f>
      </c>
      <c r="BR467">
        <f>IF($BO467="","",IFERROR(VLOOKUP($BO467,'01_Warehouse_Ledger'!$A:$N,13,FALSE),""))</f>
      </c>
    </row>
    <row r="468">
      <c r="D468">
        <f>IF($B468&lt;&gt;"Yes","",IF($C468="No","Yes",IF($C468="Yes","No","")))</f>
      </c>
      <c r="E468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</c>
      <c r="F468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</c>
      <c r="BL468">
        <f>IF($T468="","",IF((IF(AND($AW468&lt;&gt;"Yes",$AW468&lt;&gt;"N/A"),"Power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",""))="","",LEFT(IF(AND($AW468&lt;&gt;"Yes",$AW468&lt;&gt;"N/A"),"Power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",""),LEN(IF(AND($AW468&lt;&gt;"Yes",$AW468&lt;&gt;"N/A"),"Power Cable, ","")&amp;IF(AND($AX468&lt;&gt;"Yes",$AX468&lt;&gt;"N/A"),"Battery, ","")&amp;IF(AND($BE468&lt;&gt;"Yes",$BE468&lt;&gt;"N/A"),"Firmware Download, ","")&amp;IF(AND(OR($BE468="Yes",$BE468="N/A"),$BF468&lt;&gt;"Yes",$BF468&lt;&gt;"N/A"),"Firmware Install, ","")&amp;IF(AND($BJ468&lt;&gt;"Yes",$BJ468&lt;&gt;"N/A"),"Device ID, ","")&amp;IF(AND($BK468&lt;&gt;"Yes",$BK468&lt;&gt;"N/A"),"Epic Beans Relay, ",""))-2)))</f>
      </c>
      <c r="BM468">
        <f>IF($T468="","",IF($BL468="","Yes","Blocked"))</f>
      </c>
      <c r="BP468">
        <f>IF($BO468="","",IFERROR(VLOOKUP($BO468,'01_Warehouse_Ledger'!$A:$N,4,FALSE),""))</f>
      </c>
      <c r="BQ468">
        <f>IF($BO468="","",IFERROR(VLOOKUP($BO468,'01_Warehouse_Ledger'!$A:$N,5,FALSE),""))</f>
      </c>
      <c r="BR468">
        <f>IF($BO468="","",IFERROR(VLOOKUP($BO468,'01_Warehouse_Ledger'!$A:$N,13,FALSE),""))</f>
      </c>
    </row>
    <row r="469">
      <c r="D469">
        <f>IF($B469&lt;&gt;"Yes","",IF($C469="No","Yes",IF($C469="Yes","No","")))</f>
      </c>
      <c r="E469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</c>
      <c r="F469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</c>
      <c r="BL469">
        <f>IF($T469="","",IF((IF(AND($AW469&lt;&gt;"Yes",$AW469&lt;&gt;"N/A"),"Power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",""))="","",LEFT(IF(AND($AW469&lt;&gt;"Yes",$AW469&lt;&gt;"N/A"),"Power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",""),LEN(IF(AND($AW469&lt;&gt;"Yes",$AW469&lt;&gt;"N/A"),"Power Cable, ","")&amp;IF(AND($AX469&lt;&gt;"Yes",$AX469&lt;&gt;"N/A"),"Battery, ","")&amp;IF(AND($BE469&lt;&gt;"Yes",$BE469&lt;&gt;"N/A"),"Firmware Download, ","")&amp;IF(AND(OR($BE469="Yes",$BE469="N/A"),$BF469&lt;&gt;"Yes",$BF469&lt;&gt;"N/A"),"Firmware Install, ","")&amp;IF(AND($BJ469&lt;&gt;"Yes",$BJ469&lt;&gt;"N/A"),"Device ID, ","")&amp;IF(AND($BK469&lt;&gt;"Yes",$BK469&lt;&gt;"N/A"),"Epic Beans Relay, ",""))-2)))</f>
      </c>
      <c r="BM469">
        <f>IF($T469="","",IF($BL469="","Yes","Blocked"))</f>
      </c>
      <c r="BP469">
        <f>IF($BO469="","",IFERROR(VLOOKUP($BO469,'01_Warehouse_Ledger'!$A:$N,4,FALSE),""))</f>
      </c>
      <c r="BQ469">
        <f>IF($BO469="","",IFERROR(VLOOKUP($BO469,'01_Warehouse_Ledger'!$A:$N,5,FALSE),""))</f>
      </c>
      <c r="BR469">
        <f>IF($BO469="","",IFERROR(VLOOKUP($BO469,'01_Warehouse_Ledger'!$A:$N,13,FALSE),""))</f>
      </c>
    </row>
    <row r="470">
      <c r="D470">
        <f>IF($B470&lt;&gt;"Yes","",IF($C470="No","Yes",IF($C470="Yes","No","")))</f>
      </c>
      <c r="E470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</c>
      <c r="F470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</c>
      <c r="BL470">
        <f>IF($T470="","",IF((IF(AND($AW470&lt;&gt;"Yes",$AW470&lt;&gt;"N/A"),"Power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",""))="","",LEFT(IF(AND($AW470&lt;&gt;"Yes",$AW470&lt;&gt;"N/A"),"Power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",""),LEN(IF(AND($AW470&lt;&gt;"Yes",$AW470&lt;&gt;"N/A"),"Power Cable, ","")&amp;IF(AND($AX470&lt;&gt;"Yes",$AX470&lt;&gt;"N/A"),"Battery, ","")&amp;IF(AND($BE470&lt;&gt;"Yes",$BE470&lt;&gt;"N/A"),"Firmware Download, ","")&amp;IF(AND(OR($BE470="Yes",$BE470="N/A"),$BF470&lt;&gt;"Yes",$BF470&lt;&gt;"N/A"),"Firmware Install, ","")&amp;IF(AND($BJ470&lt;&gt;"Yes",$BJ470&lt;&gt;"N/A"),"Device ID, ","")&amp;IF(AND($BK470&lt;&gt;"Yes",$BK470&lt;&gt;"N/A"),"Epic Beans Relay, ",""))-2)))</f>
      </c>
      <c r="BM470">
        <f>IF($T470="","",IF($BL470="","Yes","Blocked"))</f>
      </c>
      <c r="BP470">
        <f>IF($BO470="","",IFERROR(VLOOKUP($BO470,'01_Warehouse_Ledger'!$A:$N,4,FALSE),""))</f>
      </c>
      <c r="BQ470">
        <f>IF($BO470="","",IFERROR(VLOOKUP($BO470,'01_Warehouse_Ledger'!$A:$N,5,FALSE),""))</f>
      </c>
      <c r="BR470">
        <f>IF($BO470="","",IFERROR(VLOOKUP($BO470,'01_Warehouse_Ledger'!$A:$N,13,FALSE),""))</f>
      </c>
    </row>
    <row r="471">
      <c r="D471">
        <f>IF($B471&lt;&gt;"Yes","",IF($C471="No","Yes",IF($C471="Yes","No","")))</f>
      </c>
      <c r="E471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</c>
      <c r="F471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</c>
      <c r="BL471">
        <f>IF($T471="","",IF((IF(AND($AW471&lt;&gt;"Yes",$AW471&lt;&gt;"N/A"),"Power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",""))="","",LEFT(IF(AND($AW471&lt;&gt;"Yes",$AW471&lt;&gt;"N/A"),"Power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",""),LEN(IF(AND($AW471&lt;&gt;"Yes",$AW471&lt;&gt;"N/A"),"Power Cable, ","")&amp;IF(AND($AX471&lt;&gt;"Yes",$AX471&lt;&gt;"N/A"),"Battery, ","")&amp;IF(AND($BE471&lt;&gt;"Yes",$BE471&lt;&gt;"N/A"),"Firmware Download, ","")&amp;IF(AND(OR($BE471="Yes",$BE471="N/A"),$BF471&lt;&gt;"Yes",$BF471&lt;&gt;"N/A"),"Firmware Install, ","")&amp;IF(AND($BJ471&lt;&gt;"Yes",$BJ471&lt;&gt;"N/A"),"Device ID, ","")&amp;IF(AND($BK471&lt;&gt;"Yes",$BK471&lt;&gt;"N/A"),"Epic Beans Relay, ",""))-2)))</f>
      </c>
      <c r="BM471">
        <f>IF($T471="","",IF($BL471="","Yes","Blocked"))</f>
      </c>
      <c r="BP471">
        <f>IF($BO471="","",IFERROR(VLOOKUP($BO471,'01_Warehouse_Ledger'!$A:$N,4,FALSE),""))</f>
      </c>
      <c r="BQ471">
        <f>IF($BO471="","",IFERROR(VLOOKUP($BO471,'01_Warehouse_Ledger'!$A:$N,5,FALSE),""))</f>
      </c>
      <c r="BR471">
        <f>IF($BO471="","",IFERROR(VLOOKUP($BO471,'01_Warehouse_Ledger'!$A:$N,13,FALSE),""))</f>
      </c>
    </row>
    <row r="472">
      <c r="D472">
        <f>IF($B472&lt;&gt;"Yes","",IF($C472="No","Yes",IF($C472="Yes","No","")))</f>
      </c>
      <c r="E472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</c>
      <c r="F472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</c>
      <c r="BL472">
        <f>IF($T472="","",IF((IF(AND($AW472&lt;&gt;"Yes",$AW472&lt;&gt;"N/A"),"Power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",""))="","",LEFT(IF(AND($AW472&lt;&gt;"Yes",$AW472&lt;&gt;"N/A"),"Power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",""),LEN(IF(AND($AW472&lt;&gt;"Yes",$AW472&lt;&gt;"N/A"),"Power Cable, ","")&amp;IF(AND($AX472&lt;&gt;"Yes",$AX472&lt;&gt;"N/A"),"Battery, ","")&amp;IF(AND($BE472&lt;&gt;"Yes",$BE472&lt;&gt;"N/A"),"Firmware Download, ","")&amp;IF(AND(OR($BE472="Yes",$BE472="N/A"),$BF472&lt;&gt;"Yes",$BF472&lt;&gt;"N/A"),"Firmware Install, ","")&amp;IF(AND($BJ472&lt;&gt;"Yes",$BJ472&lt;&gt;"N/A"),"Device ID, ","")&amp;IF(AND($BK472&lt;&gt;"Yes",$BK472&lt;&gt;"N/A"),"Epic Beans Relay, ",""))-2)))</f>
      </c>
      <c r="BM472">
        <f>IF($T472="","",IF($BL472="","Yes","Blocked"))</f>
      </c>
      <c r="BP472">
        <f>IF($BO472="","",IFERROR(VLOOKUP($BO472,'01_Warehouse_Ledger'!$A:$N,4,FALSE),""))</f>
      </c>
      <c r="BQ472">
        <f>IF($BO472="","",IFERROR(VLOOKUP($BO472,'01_Warehouse_Ledger'!$A:$N,5,FALSE),""))</f>
      </c>
      <c r="BR472">
        <f>IF($BO472="","",IFERROR(VLOOKUP($BO472,'01_Warehouse_Ledger'!$A:$N,13,FALSE),""))</f>
      </c>
    </row>
    <row r="473">
      <c r="D473">
        <f>IF($B473&lt;&gt;"Yes","",IF($C473="No","Yes",IF($C473="Yes","No","")))</f>
      </c>
      <c r="E473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</c>
      <c r="F473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</c>
      <c r="BL473">
        <f>IF($T473="","",IF((IF(AND($AW473&lt;&gt;"Yes",$AW473&lt;&gt;"N/A"),"Power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",""))="","",LEFT(IF(AND($AW473&lt;&gt;"Yes",$AW473&lt;&gt;"N/A"),"Power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",""),LEN(IF(AND($AW473&lt;&gt;"Yes",$AW473&lt;&gt;"N/A"),"Power Cable, ","")&amp;IF(AND($AX473&lt;&gt;"Yes",$AX473&lt;&gt;"N/A"),"Battery, ","")&amp;IF(AND($BE473&lt;&gt;"Yes",$BE473&lt;&gt;"N/A"),"Firmware Download, ","")&amp;IF(AND(OR($BE473="Yes",$BE473="N/A"),$BF473&lt;&gt;"Yes",$BF473&lt;&gt;"N/A"),"Firmware Install, ","")&amp;IF(AND($BJ473&lt;&gt;"Yes",$BJ473&lt;&gt;"N/A"),"Device ID, ","")&amp;IF(AND($BK473&lt;&gt;"Yes",$BK473&lt;&gt;"N/A"),"Epic Beans Relay, ",""))-2)))</f>
      </c>
      <c r="BM473">
        <f>IF($T473="","",IF($BL473="","Yes","Blocked"))</f>
      </c>
      <c r="BP473">
        <f>IF($BO473="","",IFERROR(VLOOKUP($BO473,'01_Warehouse_Ledger'!$A:$N,4,FALSE),""))</f>
      </c>
      <c r="BQ473">
        <f>IF($BO473="","",IFERROR(VLOOKUP($BO473,'01_Warehouse_Ledger'!$A:$N,5,FALSE),""))</f>
      </c>
      <c r="BR473">
        <f>IF($BO473="","",IFERROR(VLOOKUP($BO473,'01_Warehouse_Ledger'!$A:$N,13,FALSE),""))</f>
      </c>
    </row>
    <row r="474">
      <c r="D474">
        <f>IF($B474&lt;&gt;"Yes","",IF($C474="No","Yes",IF($C474="Yes","No","")))</f>
      </c>
      <c r="E474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</c>
      <c r="F474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</c>
      <c r="BL474">
        <f>IF($T474="","",IF((IF(AND($AW474&lt;&gt;"Yes",$AW474&lt;&gt;"N/A"),"Power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",""))="","",LEFT(IF(AND($AW474&lt;&gt;"Yes",$AW474&lt;&gt;"N/A"),"Power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",""),LEN(IF(AND($AW474&lt;&gt;"Yes",$AW474&lt;&gt;"N/A"),"Power Cable, ","")&amp;IF(AND($AX474&lt;&gt;"Yes",$AX474&lt;&gt;"N/A"),"Battery, ","")&amp;IF(AND($BE474&lt;&gt;"Yes",$BE474&lt;&gt;"N/A"),"Firmware Download, ","")&amp;IF(AND(OR($BE474="Yes",$BE474="N/A"),$BF474&lt;&gt;"Yes",$BF474&lt;&gt;"N/A"),"Firmware Install, ","")&amp;IF(AND($BJ474&lt;&gt;"Yes",$BJ474&lt;&gt;"N/A"),"Device ID, ","")&amp;IF(AND($BK474&lt;&gt;"Yes",$BK474&lt;&gt;"N/A"),"Epic Beans Relay, ",""))-2)))</f>
      </c>
      <c r="BM474">
        <f>IF($T474="","",IF($BL474="","Yes","Blocked"))</f>
      </c>
      <c r="BP474">
        <f>IF($BO474="","",IFERROR(VLOOKUP($BO474,'01_Warehouse_Ledger'!$A:$N,4,FALSE),""))</f>
      </c>
      <c r="BQ474">
        <f>IF($BO474="","",IFERROR(VLOOKUP($BO474,'01_Warehouse_Ledger'!$A:$N,5,FALSE),""))</f>
      </c>
      <c r="BR474">
        <f>IF($BO474="","",IFERROR(VLOOKUP($BO474,'01_Warehouse_Ledger'!$A:$N,13,FALSE),""))</f>
      </c>
    </row>
    <row r="475">
      <c r="D475">
        <f>IF($B475&lt;&gt;"Yes","",IF($C475="No","Yes",IF($C475="Yes","No","")))</f>
      </c>
      <c r="E475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</c>
      <c r="F475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</c>
      <c r="BL475">
        <f>IF($T475="","",IF((IF(AND($AW475&lt;&gt;"Yes",$AW475&lt;&gt;"N/A"),"Power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",""))="","",LEFT(IF(AND($AW475&lt;&gt;"Yes",$AW475&lt;&gt;"N/A"),"Power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",""),LEN(IF(AND($AW475&lt;&gt;"Yes",$AW475&lt;&gt;"N/A"),"Power Cable, ","")&amp;IF(AND($AX475&lt;&gt;"Yes",$AX475&lt;&gt;"N/A"),"Battery, ","")&amp;IF(AND($BE475&lt;&gt;"Yes",$BE475&lt;&gt;"N/A"),"Firmware Download, ","")&amp;IF(AND(OR($BE475="Yes",$BE475="N/A"),$BF475&lt;&gt;"Yes",$BF475&lt;&gt;"N/A"),"Firmware Install, ","")&amp;IF(AND($BJ475&lt;&gt;"Yes",$BJ475&lt;&gt;"N/A"),"Device ID, ","")&amp;IF(AND($BK475&lt;&gt;"Yes",$BK475&lt;&gt;"N/A"),"Epic Beans Relay, ",""))-2)))</f>
      </c>
      <c r="BM475">
        <f>IF($T475="","",IF($BL475="","Yes","Blocked"))</f>
      </c>
      <c r="BP475">
        <f>IF($BO475="","",IFERROR(VLOOKUP($BO475,'01_Warehouse_Ledger'!$A:$N,4,FALSE),""))</f>
      </c>
      <c r="BQ475">
        <f>IF($BO475="","",IFERROR(VLOOKUP($BO475,'01_Warehouse_Ledger'!$A:$N,5,FALSE),""))</f>
      </c>
      <c r="BR475">
        <f>IF($BO475="","",IFERROR(VLOOKUP($BO475,'01_Warehouse_Ledger'!$A:$N,13,FALSE),""))</f>
      </c>
    </row>
    <row r="476">
      <c r="D476">
        <f>IF($B476&lt;&gt;"Yes","",IF($C476="No","Yes",IF($C476="Yes","No","")))</f>
      </c>
      <c r="E476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</c>
      <c r="F476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</c>
      <c r="BL476">
        <f>IF($T476="","",IF((IF(AND($AW476&lt;&gt;"Yes",$AW476&lt;&gt;"N/A"),"Power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",""))="","",LEFT(IF(AND($AW476&lt;&gt;"Yes",$AW476&lt;&gt;"N/A"),"Power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",""),LEN(IF(AND($AW476&lt;&gt;"Yes",$AW476&lt;&gt;"N/A"),"Power Cable, ","")&amp;IF(AND($AX476&lt;&gt;"Yes",$AX476&lt;&gt;"N/A"),"Battery, ","")&amp;IF(AND($BE476&lt;&gt;"Yes",$BE476&lt;&gt;"N/A"),"Firmware Download, ","")&amp;IF(AND(OR($BE476="Yes",$BE476="N/A"),$BF476&lt;&gt;"Yes",$BF476&lt;&gt;"N/A"),"Firmware Install, ","")&amp;IF(AND($BJ476&lt;&gt;"Yes",$BJ476&lt;&gt;"N/A"),"Device ID, ","")&amp;IF(AND($BK476&lt;&gt;"Yes",$BK476&lt;&gt;"N/A"),"Epic Beans Relay, ",""))-2)))</f>
      </c>
      <c r="BM476">
        <f>IF($T476="","",IF($BL476="","Yes","Blocked"))</f>
      </c>
      <c r="BP476">
        <f>IF($BO476="","",IFERROR(VLOOKUP($BO476,'01_Warehouse_Ledger'!$A:$N,4,FALSE),""))</f>
      </c>
      <c r="BQ476">
        <f>IF($BO476="","",IFERROR(VLOOKUP($BO476,'01_Warehouse_Ledger'!$A:$N,5,FALSE),""))</f>
      </c>
      <c r="BR476">
        <f>IF($BO476="","",IFERROR(VLOOKUP($BO476,'01_Warehouse_Ledger'!$A:$N,13,FALSE),""))</f>
      </c>
    </row>
    <row r="477">
      <c r="D477">
        <f>IF($B477&lt;&gt;"Yes","",IF($C477="No","Yes",IF($C477="Yes","No","")))</f>
      </c>
      <c r="E477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</c>
      <c r="F477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</c>
      <c r="BL477">
        <f>IF($T477="","",IF((IF(AND($AW477&lt;&gt;"Yes",$AW477&lt;&gt;"N/A"),"Power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",""))="","",LEFT(IF(AND($AW477&lt;&gt;"Yes",$AW477&lt;&gt;"N/A"),"Power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",""),LEN(IF(AND($AW477&lt;&gt;"Yes",$AW477&lt;&gt;"N/A"),"Power Cable, ","")&amp;IF(AND($AX477&lt;&gt;"Yes",$AX477&lt;&gt;"N/A"),"Battery, ","")&amp;IF(AND($BE477&lt;&gt;"Yes",$BE477&lt;&gt;"N/A"),"Firmware Download, ","")&amp;IF(AND(OR($BE477="Yes",$BE477="N/A"),$BF477&lt;&gt;"Yes",$BF477&lt;&gt;"N/A"),"Firmware Install, ","")&amp;IF(AND($BJ477&lt;&gt;"Yes",$BJ477&lt;&gt;"N/A"),"Device ID, ","")&amp;IF(AND($BK477&lt;&gt;"Yes",$BK477&lt;&gt;"N/A"),"Epic Beans Relay, ",""))-2)))</f>
      </c>
      <c r="BM477">
        <f>IF($T477="","",IF($BL477="","Yes","Blocked"))</f>
      </c>
      <c r="BP477">
        <f>IF($BO477="","",IFERROR(VLOOKUP($BO477,'01_Warehouse_Ledger'!$A:$N,4,FALSE),""))</f>
      </c>
      <c r="BQ477">
        <f>IF($BO477="","",IFERROR(VLOOKUP($BO477,'01_Warehouse_Ledger'!$A:$N,5,FALSE),""))</f>
      </c>
      <c r="BR477">
        <f>IF($BO477="","",IFERROR(VLOOKUP($BO477,'01_Warehouse_Ledger'!$A:$N,13,FALSE),""))</f>
      </c>
    </row>
    <row r="478">
      <c r="D478">
        <f>IF($B478&lt;&gt;"Yes","",IF($C478="No","Yes",IF($C478="Yes","No","")))</f>
      </c>
      <c r="E478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</c>
      <c r="F478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</c>
      <c r="BL478">
        <f>IF($T478="","",IF((IF(AND($AW478&lt;&gt;"Yes",$AW478&lt;&gt;"N/A"),"Power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",""))="","",LEFT(IF(AND($AW478&lt;&gt;"Yes",$AW478&lt;&gt;"N/A"),"Power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",""),LEN(IF(AND($AW478&lt;&gt;"Yes",$AW478&lt;&gt;"N/A"),"Power Cable, ","")&amp;IF(AND($AX478&lt;&gt;"Yes",$AX478&lt;&gt;"N/A"),"Battery, ","")&amp;IF(AND($BE478&lt;&gt;"Yes",$BE478&lt;&gt;"N/A"),"Firmware Download, ","")&amp;IF(AND(OR($BE478="Yes",$BE478="N/A"),$BF478&lt;&gt;"Yes",$BF478&lt;&gt;"N/A"),"Firmware Install, ","")&amp;IF(AND($BJ478&lt;&gt;"Yes",$BJ478&lt;&gt;"N/A"),"Device ID, ","")&amp;IF(AND($BK478&lt;&gt;"Yes",$BK478&lt;&gt;"N/A"),"Epic Beans Relay, ",""))-2)))</f>
      </c>
      <c r="BM478">
        <f>IF($T478="","",IF($BL478="","Yes","Blocked"))</f>
      </c>
      <c r="BP478">
        <f>IF($BO478="","",IFERROR(VLOOKUP($BO478,'01_Warehouse_Ledger'!$A:$N,4,FALSE),""))</f>
      </c>
      <c r="BQ478">
        <f>IF($BO478="","",IFERROR(VLOOKUP($BO478,'01_Warehouse_Ledger'!$A:$N,5,FALSE),""))</f>
      </c>
      <c r="BR478">
        <f>IF($BO478="","",IFERROR(VLOOKUP($BO478,'01_Warehouse_Ledger'!$A:$N,13,FALSE),""))</f>
      </c>
    </row>
    <row r="479">
      <c r="D479">
        <f>IF($B479&lt;&gt;"Yes","",IF($C479="No","Yes",IF($C479="Yes","No","")))</f>
      </c>
      <c r="E479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</c>
      <c r="F479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</c>
      <c r="BL479">
        <f>IF($T479="","",IF((IF(AND($AW479&lt;&gt;"Yes",$AW479&lt;&gt;"N/A"),"Power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",""))="","",LEFT(IF(AND($AW479&lt;&gt;"Yes",$AW479&lt;&gt;"N/A"),"Power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",""),LEN(IF(AND($AW479&lt;&gt;"Yes",$AW479&lt;&gt;"N/A"),"Power Cable, ","")&amp;IF(AND($AX479&lt;&gt;"Yes",$AX479&lt;&gt;"N/A"),"Battery, ","")&amp;IF(AND($BE479&lt;&gt;"Yes",$BE479&lt;&gt;"N/A"),"Firmware Download, ","")&amp;IF(AND(OR($BE479="Yes",$BE479="N/A"),$BF479&lt;&gt;"Yes",$BF479&lt;&gt;"N/A"),"Firmware Install, ","")&amp;IF(AND($BJ479&lt;&gt;"Yes",$BJ479&lt;&gt;"N/A"),"Device ID, ","")&amp;IF(AND($BK479&lt;&gt;"Yes",$BK479&lt;&gt;"N/A"),"Epic Beans Relay, ",""))-2)))</f>
      </c>
      <c r="BM479">
        <f>IF($T479="","",IF($BL479="","Yes","Blocked"))</f>
      </c>
      <c r="BP479">
        <f>IF($BO479="","",IFERROR(VLOOKUP($BO479,'01_Warehouse_Ledger'!$A:$N,4,FALSE),""))</f>
      </c>
      <c r="BQ479">
        <f>IF($BO479="","",IFERROR(VLOOKUP($BO479,'01_Warehouse_Ledger'!$A:$N,5,FALSE),""))</f>
      </c>
      <c r="BR479">
        <f>IF($BO479="","",IFERROR(VLOOKUP($BO479,'01_Warehouse_Ledger'!$A:$N,13,FALSE),""))</f>
      </c>
    </row>
    <row r="480">
      <c r="D480">
        <f>IF($B480&lt;&gt;"Yes","",IF($C480="No","Yes",IF($C480="Yes","No","")))</f>
      </c>
      <c r="E480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</c>
      <c r="F480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</c>
      <c r="BL480">
        <f>IF($T480="","",IF((IF(AND($AW480&lt;&gt;"Yes",$AW480&lt;&gt;"N/A"),"Power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",""))="","",LEFT(IF(AND($AW480&lt;&gt;"Yes",$AW480&lt;&gt;"N/A"),"Power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",""),LEN(IF(AND($AW480&lt;&gt;"Yes",$AW480&lt;&gt;"N/A"),"Power Cable, ","")&amp;IF(AND($AX480&lt;&gt;"Yes",$AX480&lt;&gt;"N/A"),"Battery, ","")&amp;IF(AND($BE480&lt;&gt;"Yes",$BE480&lt;&gt;"N/A"),"Firmware Download, ","")&amp;IF(AND(OR($BE480="Yes",$BE480="N/A"),$BF480&lt;&gt;"Yes",$BF480&lt;&gt;"N/A"),"Firmware Install, ","")&amp;IF(AND($BJ480&lt;&gt;"Yes",$BJ480&lt;&gt;"N/A"),"Device ID, ","")&amp;IF(AND($BK480&lt;&gt;"Yes",$BK480&lt;&gt;"N/A"),"Epic Beans Relay, ",""))-2)))</f>
      </c>
      <c r="BM480">
        <f>IF($T480="","",IF($BL480="","Yes","Blocked"))</f>
      </c>
      <c r="BP480">
        <f>IF($BO480="","",IFERROR(VLOOKUP($BO480,'01_Warehouse_Ledger'!$A:$N,4,FALSE),""))</f>
      </c>
      <c r="BQ480">
        <f>IF($BO480="","",IFERROR(VLOOKUP($BO480,'01_Warehouse_Ledger'!$A:$N,5,FALSE),""))</f>
      </c>
      <c r="BR480">
        <f>IF($BO480="","",IFERROR(VLOOKUP($BO480,'01_Warehouse_Ledger'!$A:$N,13,FALSE),""))</f>
      </c>
    </row>
    <row r="481">
      <c r="D481">
        <f>IF($B481&lt;&gt;"Yes","",IF($C481="No","Yes",IF($C481="Yes","No","")))</f>
      </c>
      <c r="E481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</c>
      <c r="F481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</c>
      <c r="BL481">
        <f>IF($T481="","",IF((IF(AND($AW481&lt;&gt;"Yes",$AW481&lt;&gt;"N/A"),"Power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",""))="","",LEFT(IF(AND($AW481&lt;&gt;"Yes",$AW481&lt;&gt;"N/A"),"Power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",""),LEN(IF(AND($AW481&lt;&gt;"Yes",$AW481&lt;&gt;"N/A"),"Power Cable, ","")&amp;IF(AND($AX481&lt;&gt;"Yes",$AX481&lt;&gt;"N/A"),"Battery, ","")&amp;IF(AND($BE481&lt;&gt;"Yes",$BE481&lt;&gt;"N/A"),"Firmware Download, ","")&amp;IF(AND(OR($BE481="Yes",$BE481="N/A"),$BF481&lt;&gt;"Yes",$BF481&lt;&gt;"N/A"),"Firmware Install, ","")&amp;IF(AND($BJ481&lt;&gt;"Yes",$BJ481&lt;&gt;"N/A"),"Device ID, ","")&amp;IF(AND($BK481&lt;&gt;"Yes",$BK481&lt;&gt;"N/A"),"Epic Beans Relay, ",""))-2)))</f>
      </c>
      <c r="BM481">
        <f>IF($T481="","",IF($BL481="","Yes","Blocked"))</f>
      </c>
      <c r="BP481">
        <f>IF($BO481="","",IFERROR(VLOOKUP($BO481,'01_Warehouse_Ledger'!$A:$N,4,FALSE),""))</f>
      </c>
      <c r="BQ481">
        <f>IF($BO481="","",IFERROR(VLOOKUP($BO481,'01_Warehouse_Ledger'!$A:$N,5,FALSE),""))</f>
      </c>
      <c r="BR481">
        <f>IF($BO481="","",IFERROR(VLOOKUP($BO481,'01_Warehouse_Ledger'!$A:$N,13,FALSE),""))</f>
      </c>
    </row>
    <row r="482">
      <c r="D482">
        <f>IF($B482&lt;&gt;"Yes","",IF($C482="No","Yes",IF($C482="Yes","No","")))</f>
      </c>
      <c r="E482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</c>
      <c r="F482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</c>
      <c r="BL482">
        <f>IF($T482="","",IF((IF(AND($AW482&lt;&gt;"Yes",$AW482&lt;&gt;"N/A"),"Power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",""))="","",LEFT(IF(AND($AW482&lt;&gt;"Yes",$AW482&lt;&gt;"N/A"),"Power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",""),LEN(IF(AND($AW482&lt;&gt;"Yes",$AW482&lt;&gt;"N/A"),"Power Cable, ","")&amp;IF(AND($AX482&lt;&gt;"Yes",$AX482&lt;&gt;"N/A"),"Battery, ","")&amp;IF(AND($BE482&lt;&gt;"Yes",$BE482&lt;&gt;"N/A"),"Firmware Download, ","")&amp;IF(AND(OR($BE482="Yes",$BE482="N/A"),$BF482&lt;&gt;"Yes",$BF482&lt;&gt;"N/A"),"Firmware Install, ","")&amp;IF(AND($BJ482&lt;&gt;"Yes",$BJ482&lt;&gt;"N/A"),"Device ID, ","")&amp;IF(AND($BK482&lt;&gt;"Yes",$BK482&lt;&gt;"N/A"),"Epic Beans Relay, ",""))-2)))</f>
      </c>
      <c r="BM482">
        <f>IF($T482="","",IF($BL482="","Yes","Blocked"))</f>
      </c>
      <c r="BP482">
        <f>IF($BO482="","",IFERROR(VLOOKUP($BO482,'01_Warehouse_Ledger'!$A:$N,4,FALSE),""))</f>
      </c>
      <c r="BQ482">
        <f>IF($BO482="","",IFERROR(VLOOKUP($BO482,'01_Warehouse_Ledger'!$A:$N,5,FALSE),""))</f>
      </c>
      <c r="BR482">
        <f>IF($BO482="","",IFERROR(VLOOKUP($BO482,'01_Warehouse_Ledger'!$A:$N,13,FALSE),""))</f>
      </c>
    </row>
    <row r="483">
      <c r="D483">
        <f>IF($B483&lt;&gt;"Yes","",IF($C483="No","Yes",IF($C483="Yes","No","")))</f>
      </c>
      <c r="E483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</c>
      <c r="F483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</c>
      <c r="BL483">
        <f>IF($T483="","",IF((IF(AND($AW483&lt;&gt;"Yes",$AW483&lt;&gt;"N/A"),"Power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",""))="","",LEFT(IF(AND($AW483&lt;&gt;"Yes",$AW483&lt;&gt;"N/A"),"Power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",""),LEN(IF(AND($AW483&lt;&gt;"Yes",$AW483&lt;&gt;"N/A"),"Power Cable, ","")&amp;IF(AND($AX483&lt;&gt;"Yes",$AX483&lt;&gt;"N/A"),"Battery, ","")&amp;IF(AND($BE483&lt;&gt;"Yes",$BE483&lt;&gt;"N/A"),"Firmware Download, ","")&amp;IF(AND(OR($BE483="Yes",$BE483="N/A"),$BF483&lt;&gt;"Yes",$BF483&lt;&gt;"N/A"),"Firmware Install, ","")&amp;IF(AND($BJ483&lt;&gt;"Yes",$BJ483&lt;&gt;"N/A"),"Device ID, ","")&amp;IF(AND($BK483&lt;&gt;"Yes",$BK483&lt;&gt;"N/A"),"Epic Beans Relay, ",""))-2)))</f>
      </c>
      <c r="BM483">
        <f>IF($T483="","",IF($BL483="","Yes","Blocked"))</f>
      </c>
      <c r="BP483">
        <f>IF($BO483="","",IFERROR(VLOOKUP($BO483,'01_Warehouse_Ledger'!$A:$N,4,FALSE),""))</f>
      </c>
      <c r="BQ483">
        <f>IF($BO483="","",IFERROR(VLOOKUP($BO483,'01_Warehouse_Ledger'!$A:$N,5,FALSE),""))</f>
      </c>
      <c r="BR483">
        <f>IF($BO483="","",IFERROR(VLOOKUP($BO483,'01_Warehouse_Ledger'!$A:$N,13,FALSE),""))</f>
      </c>
    </row>
    <row r="484">
      <c r="D484">
        <f>IF($B484&lt;&gt;"Yes","",IF($C484="No","Yes",IF($C484="Yes","No","")))</f>
      </c>
      <c r="E484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</c>
      <c r="F484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</c>
      <c r="BL484">
        <f>IF($T484="","",IF((IF(AND($AW484&lt;&gt;"Yes",$AW484&lt;&gt;"N/A"),"Power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",""))="","",LEFT(IF(AND($AW484&lt;&gt;"Yes",$AW484&lt;&gt;"N/A"),"Power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",""),LEN(IF(AND($AW484&lt;&gt;"Yes",$AW484&lt;&gt;"N/A"),"Power Cable, ","")&amp;IF(AND($AX484&lt;&gt;"Yes",$AX484&lt;&gt;"N/A"),"Battery, ","")&amp;IF(AND($BE484&lt;&gt;"Yes",$BE484&lt;&gt;"N/A"),"Firmware Download, ","")&amp;IF(AND(OR($BE484="Yes",$BE484="N/A"),$BF484&lt;&gt;"Yes",$BF484&lt;&gt;"N/A"),"Firmware Install, ","")&amp;IF(AND($BJ484&lt;&gt;"Yes",$BJ484&lt;&gt;"N/A"),"Device ID, ","")&amp;IF(AND($BK484&lt;&gt;"Yes",$BK484&lt;&gt;"N/A"),"Epic Beans Relay, ",""))-2)))</f>
      </c>
      <c r="BM484">
        <f>IF($T484="","",IF($BL484="","Yes","Blocked"))</f>
      </c>
      <c r="BP484">
        <f>IF($BO484="","",IFERROR(VLOOKUP($BO484,'01_Warehouse_Ledger'!$A:$N,4,FALSE),""))</f>
      </c>
      <c r="BQ484">
        <f>IF($BO484="","",IFERROR(VLOOKUP($BO484,'01_Warehouse_Ledger'!$A:$N,5,FALSE),""))</f>
      </c>
      <c r="BR484">
        <f>IF($BO484="","",IFERROR(VLOOKUP($BO484,'01_Warehouse_Ledger'!$A:$N,13,FALSE),""))</f>
      </c>
    </row>
    <row r="485">
      <c r="D485">
        <f>IF($B485&lt;&gt;"Yes","",IF($C485="No","Yes",IF($C485="Yes","No","")))</f>
      </c>
      <c r="E485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</c>
      <c r="F485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</c>
      <c r="BL485">
        <f>IF($T485="","",IF((IF(AND($AW485&lt;&gt;"Yes",$AW485&lt;&gt;"N/A"),"Power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",""))="","",LEFT(IF(AND($AW485&lt;&gt;"Yes",$AW485&lt;&gt;"N/A"),"Power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",""),LEN(IF(AND($AW485&lt;&gt;"Yes",$AW485&lt;&gt;"N/A"),"Power Cable, ","")&amp;IF(AND($AX485&lt;&gt;"Yes",$AX485&lt;&gt;"N/A"),"Battery, ","")&amp;IF(AND($BE485&lt;&gt;"Yes",$BE485&lt;&gt;"N/A"),"Firmware Download, ","")&amp;IF(AND(OR($BE485="Yes",$BE485="N/A"),$BF485&lt;&gt;"Yes",$BF485&lt;&gt;"N/A"),"Firmware Install, ","")&amp;IF(AND($BJ485&lt;&gt;"Yes",$BJ485&lt;&gt;"N/A"),"Device ID, ","")&amp;IF(AND($BK485&lt;&gt;"Yes",$BK485&lt;&gt;"N/A"),"Epic Beans Relay, ",""))-2)))</f>
      </c>
      <c r="BM485">
        <f>IF($T485="","",IF($BL485="","Yes","Blocked"))</f>
      </c>
      <c r="BP485">
        <f>IF($BO485="","",IFERROR(VLOOKUP($BO485,'01_Warehouse_Ledger'!$A:$N,4,FALSE),""))</f>
      </c>
      <c r="BQ485">
        <f>IF($BO485="","",IFERROR(VLOOKUP($BO485,'01_Warehouse_Ledger'!$A:$N,5,FALSE),""))</f>
      </c>
      <c r="BR485">
        <f>IF($BO485="","",IFERROR(VLOOKUP($BO485,'01_Warehouse_Ledger'!$A:$N,13,FALSE),""))</f>
      </c>
    </row>
    <row r="486">
      <c r="D486">
        <f>IF($B486&lt;&gt;"Yes","",IF($C486="No","Yes",IF($C486="Yes","No","")))</f>
      </c>
      <c r="E486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</c>
      <c r="F486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</c>
      <c r="BL486">
        <f>IF($T486="","",IF((IF(AND($AW486&lt;&gt;"Yes",$AW486&lt;&gt;"N/A"),"Power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",""))="","",LEFT(IF(AND($AW486&lt;&gt;"Yes",$AW486&lt;&gt;"N/A"),"Power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",""),LEN(IF(AND($AW486&lt;&gt;"Yes",$AW486&lt;&gt;"N/A"),"Power Cable, ","")&amp;IF(AND($AX486&lt;&gt;"Yes",$AX486&lt;&gt;"N/A"),"Battery, ","")&amp;IF(AND($BE486&lt;&gt;"Yes",$BE486&lt;&gt;"N/A"),"Firmware Download, ","")&amp;IF(AND(OR($BE486="Yes",$BE486="N/A"),$BF486&lt;&gt;"Yes",$BF486&lt;&gt;"N/A"),"Firmware Install, ","")&amp;IF(AND($BJ486&lt;&gt;"Yes",$BJ486&lt;&gt;"N/A"),"Device ID, ","")&amp;IF(AND($BK486&lt;&gt;"Yes",$BK486&lt;&gt;"N/A"),"Epic Beans Relay, ",""))-2)))</f>
      </c>
      <c r="BM486">
        <f>IF($T486="","",IF($BL486="","Yes","Blocked"))</f>
      </c>
      <c r="BP486">
        <f>IF($BO486="","",IFERROR(VLOOKUP($BO486,'01_Warehouse_Ledger'!$A:$N,4,FALSE),""))</f>
      </c>
      <c r="BQ486">
        <f>IF($BO486="","",IFERROR(VLOOKUP($BO486,'01_Warehouse_Ledger'!$A:$N,5,FALSE),""))</f>
      </c>
      <c r="BR486">
        <f>IF($BO486="","",IFERROR(VLOOKUP($BO486,'01_Warehouse_Ledger'!$A:$N,13,FALSE),""))</f>
      </c>
    </row>
    <row r="487">
      <c r="D487">
        <f>IF($B487&lt;&gt;"Yes","",IF($C487="No","Yes",IF($C487="Yes","No","")))</f>
      </c>
      <c r="E487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</c>
      <c r="F487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</c>
      <c r="BL487">
        <f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</c>
      <c r="BM487">
        <f>IF($T487="","",IF($BL487="","Yes","Blocked"))</f>
      </c>
      <c r="BP487">
        <f>IF($BO487="","",IFERROR(VLOOKUP($BO487,'01_Warehouse_Ledger'!$A:$N,4,FALSE),""))</f>
      </c>
      <c r="BQ487">
        <f>IF($BO487="","",IFERROR(VLOOKUP($BO487,'01_Warehouse_Ledger'!$A:$N,5,FALSE),""))</f>
      </c>
      <c r="BR487">
        <f>IF($BO487="","",IFERROR(VLOOKUP($BO487,'01_Warehouse_Ledger'!$A:$N,13,FALSE),""))</f>
      </c>
    </row>
    <row r="488">
      <c r="D488">
        <f>IF($B488&lt;&gt;"Yes","",IF($C488="No","Yes",IF($C488="Yes","No","")))</f>
      </c>
      <c r="E488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</c>
      <c r="F488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</c>
      <c r="BL488">
        <f>IF($T488="","",IF((IF(AND($AW488&lt;&gt;"Yes",$AW488&lt;&gt;"N/A"),"Power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",""))="","",LEFT(IF(AND($AW488&lt;&gt;"Yes",$AW488&lt;&gt;"N/A"),"Power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",""),LEN(IF(AND($AW488&lt;&gt;"Yes",$AW488&lt;&gt;"N/A"),"Power Cable, ","")&amp;IF(AND($AX488&lt;&gt;"Yes",$AX488&lt;&gt;"N/A"),"Battery, ","")&amp;IF(AND($BE488&lt;&gt;"Yes",$BE488&lt;&gt;"N/A"),"Firmware Download, ","")&amp;IF(AND(OR($BE488="Yes",$BE488="N/A"),$BF488&lt;&gt;"Yes",$BF488&lt;&gt;"N/A"),"Firmware Install, ","")&amp;IF(AND($BJ488&lt;&gt;"Yes",$BJ488&lt;&gt;"N/A"),"Device ID, ","")&amp;IF(AND($BK488&lt;&gt;"Yes",$BK488&lt;&gt;"N/A"),"Epic Beans Relay, ",""))-2)))</f>
      </c>
      <c r="BM488">
        <f>IF($T488="","",IF($BL488="","Yes","Blocked"))</f>
      </c>
      <c r="BP488">
        <f>IF($BO488="","",IFERROR(VLOOKUP($BO488,'01_Warehouse_Ledger'!$A:$N,4,FALSE),""))</f>
      </c>
      <c r="BQ488">
        <f>IF($BO488="","",IFERROR(VLOOKUP($BO488,'01_Warehouse_Ledger'!$A:$N,5,FALSE),""))</f>
      </c>
      <c r="BR488">
        <f>IF($BO488="","",IFERROR(VLOOKUP($BO488,'01_Warehouse_Ledger'!$A:$N,13,FALSE),""))</f>
      </c>
    </row>
    <row r="489">
      <c r="D489">
        <f>IF($B489&lt;&gt;"Yes","",IF($C489="No","Yes",IF($C489="Yes","No","")))</f>
      </c>
      <c r="E489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</c>
      <c r="F489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</c>
      <c r="BL489">
        <f>IF($T489="","",IF((IF(AND($AW489&lt;&gt;"Yes",$AW489&lt;&gt;"N/A"),"Power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",""))="","",LEFT(IF(AND($AW489&lt;&gt;"Yes",$AW489&lt;&gt;"N/A"),"Power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",""),LEN(IF(AND($AW489&lt;&gt;"Yes",$AW489&lt;&gt;"N/A"),"Power Cable, ","")&amp;IF(AND($AX489&lt;&gt;"Yes",$AX489&lt;&gt;"N/A"),"Battery, ","")&amp;IF(AND($BE489&lt;&gt;"Yes",$BE489&lt;&gt;"N/A"),"Firmware Download, ","")&amp;IF(AND(OR($BE489="Yes",$BE489="N/A"),$BF489&lt;&gt;"Yes",$BF489&lt;&gt;"N/A"),"Firmware Install, ","")&amp;IF(AND($BJ489&lt;&gt;"Yes",$BJ489&lt;&gt;"N/A"),"Device ID, ","")&amp;IF(AND($BK489&lt;&gt;"Yes",$BK489&lt;&gt;"N/A"),"Epic Beans Relay, ",""))-2)))</f>
      </c>
      <c r="BM489">
        <f>IF($T489="","",IF($BL489="","Yes","Blocked"))</f>
      </c>
      <c r="BP489">
        <f>IF($BO489="","",IFERROR(VLOOKUP($BO489,'01_Warehouse_Ledger'!$A:$N,4,FALSE),""))</f>
      </c>
      <c r="BQ489">
        <f>IF($BO489="","",IFERROR(VLOOKUP($BO489,'01_Warehouse_Ledger'!$A:$N,5,FALSE),""))</f>
      </c>
      <c r="BR489">
        <f>IF($BO489="","",IFERROR(VLOOKUP($BO489,'01_Warehouse_Ledger'!$A:$N,13,FALSE),""))</f>
      </c>
    </row>
    <row r="490">
      <c r="D490">
        <f>IF($B490&lt;&gt;"Yes","",IF($C490="No","Yes",IF($C490="Yes","No","")))</f>
      </c>
      <c r="E490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</c>
      <c r="F490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</c>
      <c r="BL490">
        <f>IF($T490="","",IF((IF(AND($AW490&lt;&gt;"Yes",$AW490&lt;&gt;"N/A"),"Power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",""))="","",LEFT(IF(AND($AW490&lt;&gt;"Yes",$AW490&lt;&gt;"N/A"),"Power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",""),LEN(IF(AND($AW490&lt;&gt;"Yes",$AW490&lt;&gt;"N/A"),"Power Cable, ","")&amp;IF(AND($AX490&lt;&gt;"Yes",$AX490&lt;&gt;"N/A"),"Battery, ","")&amp;IF(AND($BE490&lt;&gt;"Yes",$BE490&lt;&gt;"N/A"),"Firmware Download, ","")&amp;IF(AND(OR($BE490="Yes",$BE490="N/A"),$BF490&lt;&gt;"Yes",$BF490&lt;&gt;"N/A"),"Firmware Install, ","")&amp;IF(AND($BJ490&lt;&gt;"Yes",$BJ490&lt;&gt;"N/A"),"Device ID, ","")&amp;IF(AND($BK490&lt;&gt;"Yes",$BK490&lt;&gt;"N/A"),"Epic Beans Relay, ",""))-2)))</f>
      </c>
      <c r="BM490">
        <f>IF($T490="","",IF($BL490="","Yes","Blocked"))</f>
      </c>
      <c r="BP490">
        <f>IF($BO490="","",IFERROR(VLOOKUP($BO490,'01_Warehouse_Ledger'!$A:$N,4,FALSE),""))</f>
      </c>
      <c r="BQ490">
        <f>IF($BO490="","",IFERROR(VLOOKUP($BO490,'01_Warehouse_Ledger'!$A:$N,5,FALSE),""))</f>
      </c>
      <c r="BR490">
        <f>IF($BO490="","",IFERROR(VLOOKUP($BO490,'01_Warehouse_Ledger'!$A:$N,13,FALSE),""))</f>
      </c>
    </row>
    <row r="491">
      <c r="D491">
        <f>IF($B491&lt;&gt;"Yes","",IF($C491="No","Yes",IF($C491="Yes","No","")))</f>
      </c>
      <c r="E491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</c>
      <c r="F491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</c>
      <c r="BL491">
        <f>IF($T491="","",IF((IF(AND($AW491&lt;&gt;"Yes",$AW491&lt;&gt;"N/A"),"Power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",""))="","",LEFT(IF(AND($AW491&lt;&gt;"Yes",$AW491&lt;&gt;"N/A"),"Power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",""),LEN(IF(AND($AW491&lt;&gt;"Yes",$AW491&lt;&gt;"N/A"),"Power Cable, ","")&amp;IF(AND($AX491&lt;&gt;"Yes",$AX491&lt;&gt;"N/A"),"Battery, ","")&amp;IF(AND($BE491&lt;&gt;"Yes",$BE491&lt;&gt;"N/A"),"Firmware Download, ","")&amp;IF(AND(OR($BE491="Yes",$BE491="N/A"),$BF491&lt;&gt;"Yes",$BF491&lt;&gt;"N/A"),"Firmware Install, ","")&amp;IF(AND($BJ491&lt;&gt;"Yes",$BJ491&lt;&gt;"N/A"),"Device ID, ","")&amp;IF(AND($BK491&lt;&gt;"Yes",$BK491&lt;&gt;"N/A"),"Epic Beans Relay, ",""))-2)))</f>
      </c>
      <c r="BM491">
        <f>IF($T491="","",IF($BL491="","Yes","Blocked"))</f>
      </c>
      <c r="BP491">
        <f>IF($BO491="","",IFERROR(VLOOKUP($BO491,'01_Warehouse_Ledger'!$A:$N,4,FALSE),""))</f>
      </c>
      <c r="BQ491">
        <f>IF($BO491="","",IFERROR(VLOOKUP($BO491,'01_Warehouse_Ledger'!$A:$N,5,FALSE),""))</f>
      </c>
      <c r="BR491">
        <f>IF($BO491="","",IFERROR(VLOOKUP($BO491,'01_Warehouse_Ledger'!$A:$N,13,FALSE),""))</f>
      </c>
    </row>
    <row r="492">
      <c r="D492">
        <f>IF($B492&lt;&gt;"Yes","",IF($C492="No","Yes",IF($C492="Yes","No","")))</f>
      </c>
      <c r="E492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</c>
      <c r="F492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</c>
      <c r="BL492">
        <f>IF($T492="","",IF((IF(AND($AW492&lt;&gt;"Yes",$AW492&lt;&gt;"N/A"),"Power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",""))="","",LEFT(IF(AND($AW492&lt;&gt;"Yes",$AW492&lt;&gt;"N/A"),"Power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",""),LEN(IF(AND($AW492&lt;&gt;"Yes",$AW492&lt;&gt;"N/A"),"Power Cable, ","")&amp;IF(AND($AX492&lt;&gt;"Yes",$AX492&lt;&gt;"N/A"),"Battery, ","")&amp;IF(AND($BE492&lt;&gt;"Yes",$BE492&lt;&gt;"N/A"),"Firmware Download, ","")&amp;IF(AND(OR($BE492="Yes",$BE492="N/A"),$BF492&lt;&gt;"Yes",$BF492&lt;&gt;"N/A"),"Firmware Install, ","")&amp;IF(AND($BJ492&lt;&gt;"Yes",$BJ492&lt;&gt;"N/A"),"Device ID, ","")&amp;IF(AND($BK492&lt;&gt;"Yes",$BK492&lt;&gt;"N/A"),"Epic Beans Relay, ",""))-2)))</f>
      </c>
      <c r="BM492">
        <f>IF($T492="","",IF($BL492="","Yes","Blocked"))</f>
      </c>
      <c r="BP492">
        <f>IF($BO492="","",IFERROR(VLOOKUP($BO492,'01_Warehouse_Ledger'!$A:$N,4,FALSE),""))</f>
      </c>
      <c r="BQ492">
        <f>IF($BO492="","",IFERROR(VLOOKUP($BO492,'01_Warehouse_Ledger'!$A:$N,5,FALSE),""))</f>
      </c>
      <c r="BR492">
        <f>IF($BO492="","",IFERROR(VLOOKUP($BO492,'01_Warehouse_Ledger'!$A:$N,13,FALSE),""))</f>
      </c>
    </row>
    <row r="493">
      <c r="D493">
        <f>IF($B493&lt;&gt;"Yes","",IF($C493="No","Yes",IF($C493="Yes","No","")))</f>
      </c>
      <c r="E493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</c>
      <c r="F493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</c>
      <c r="BL493">
        <f>IF($T493="","",IF((IF(AND($AW493&lt;&gt;"Yes",$AW493&lt;&gt;"N/A"),"Power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",""))="","",LEFT(IF(AND($AW493&lt;&gt;"Yes",$AW493&lt;&gt;"N/A"),"Power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",""),LEN(IF(AND($AW493&lt;&gt;"Yes",$AW493&lt;&gt;"N/A"),"Power Cable, ","")&amp;IF(AND($AX493&lt;&gt;"Yes",$AX493&lt;&gt;"N/A"),"Battery, ","")&amp;IF(AND($BE493&lt;&gt;"Yes",$BE493&lt;&gt;"N/A"),"Firmware Download, ","")&amp;IF(AND(OR($BE493="Yes",$BE493="N/A"),$BF493&lt;&gt;"Yes",$BF493&lt;&gt;"N/A"),"Firmware Install, ","")&amp;IF(AND($BJ493&lt;&gt;"Yes",$BJ493&lt;&gt;"N/A"),"Device ID, ","")&amp;IF(AND($BK493&lt;&gt;"Yes",$BK493&lt;&gt;"N/A"),"Epic Beans Relay, ",""))-2)))</f>
      </c>
      <c r="BM493">
        <f>IF($T493="","",IF($BL493="","Yes","Blocked"))</f>
      </c>
      <c r="BP493">
        <f>IF($BO493="","",IFERROR(VLOOKUP($BO493,'01_Warehouse_Ledger'!$A:$N,4,FALSE),""))</f>
      </c>
      <c r="BQ493">
        <f>IF($BO493="","",IFERROR(VLOOKUP($BO493,'01_Warehouse_Ledger'!$A:$N,5,FALSE),""))</f>
      </c>
      <c r="BR493">
        <f>IF($BO493="","",IFERROR(VLOOKUP($BO493,'01_Warehouse_Ledger'!$A:$N,13,FALSE),""))</f>
      </c>
    </row>
    <row r="494">
      <c r="D494">
        <f>IF($B494&lt;&gt;"Yes","",IF($C494="No","Yes",IF($C494="Yes","No","")))</f>
      </c>
      <c r="E494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</c>
      <c r="F494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</c>
      <c r="BL494">
        <f>IF($T494="","",IF((IF(AND($AW494&lt;&gt;"Yes",$AW494&lt;&gt;"N/A"),"Power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",""))="","",LEFT(IF(AND($AW494&lt;&gt;"Yes",$AW494&lt;&gt;"N/A"),"Power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",""),LEN(IF(AND($AW494&lt;&gt;"Yes",$AW494&lt;&gt;"N/A"),"Power Cable, ","")&amp;IF(AND($AX494&lt;&gt;"Yes",$AX494&lt;&gt;"N/A"),"Battery, ","")&amp;IF(AND($BE494&lt;&gt;"Yes",$BE494&lt;&gt;"N/A"),"Firmware Download, ","")&amp;IF(AND(OR($BE494="Yes",$BE494="N/A"),$BF494&lt;&gt;"Yes",$BF494&lt;&gt;"N/A"),"Firmware Install, ","")&amp;IF(AND($BJ494&lt;&gt;"Yes",$BJ494&lt;&gt;"N/A"),"Device ID, ","")&amp;IF(AND($BK494&lt;&gt;"Yes",$BK494&lt;&gt;"N/A"),"Epic Beans Relay, ",""))-2)))</f>
      </c>
      <c r="BM494">
        <f>IF($T494="","",IF($BL494="","Yes","Blocked"))</f>
      </c>
      <c r="BP494">
        <f>IF($BO494="","",IFERROR(VLOOKUP($BO494,'01_Warehouse_Ledger'!$A:$N,4,FALSE),""))</f>
      </c>
      <c r="BQ494">
        <f>IF($BO494="","",IFERROR(VLOOKUP($BO494,'01_Warehouse_Ledger'!$A:$N,5,FALSE),""))</f>
      </c>
      <c r="BR494">
        <f>IF($BO494="","",IFERROR(VLOOKUP($BO494,'01_Warehouse_Ledger'!$A:$N,13,FALSE),""))</f>
      </c>
    </row>
    <row r="495">
      <c r="D495">
        <f>IF($B495&lt;&gt;"Yes","",IF($C495="No","Yes",IF($C495="Yes","No","")))</f>
      </c>
      <c r="E495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</c>
      <c r="F495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</c>
      <c r="BL495">
        <f>IF($T495="","",IF((IF(AND($AW495&lt;&gt;"Yes",$AW495&lt;&gt;"N/A"),"Power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",""))="","",LEFT(IF(AND($AW495&lt;&gt;"Yes",$AW495&lt;&gt;"N/A"),"Power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",""),LEN(IF(AND($AW495&lt;&gt;"Yes",$AW495&lt;&gt;"N/A"),"Power Cable, ","")&amp;IF(AND($AX495&lt;&gt;"Yes",$AX495&lt;&gt;"N/A"),"Battery, ","")&amp;IF(AND($BE495&lt;&gt;"Yes",$BE495&lt;&gt;"N/A"),"Firmware Download, ","")&amp;IF(AND(OR($BE495="Yes",$BE495="N/A"),$BF495&lt;&gt;"Yes",$BF495&lt;&gt;"N/A"),"Firmware Install, ","")&amp;IF(AND($BJ495&lt;&gt;"Yes",$BJ495&lt;&gt;"N/A"),"Device ID, ","")&amp;IF(AND($BK495&lt;&gt;"Yes",$BK495&lt;&gt;"N/A"),"Epic Beans Relay, ",""))-2)))</f>
      </c>
      <c r="BM495">
        <f>IF($T495="","",IF($BL495="","Yes","Blocked"))</f>
      </c>
      <c r="BP495">
        <f>IF($BO495="","",IFERROR(VLOOKUP($BO495,'01_Warehouse_Ledger'!$A:$N,4,FALSE),""))</f>
      </c>
      <c r="BQ495">
        <f>IF($BO495="","",IFERROR(VLOOKUP($BO495,'01_Warehouse_Ledger'!$A:$N,5,FALSE),""))</f>
      </c>
      <c r="BR495">
        <f>IF($BO495="","",IFERROR(VLOOKUP($BO495,'01_Warehouse_Ledger'!$A:$N,13,FALSE),""))</f>
      </c>
    </row>
    <row r="496">
      <c r="D496">
        <f>IF($B496&lt;&gt;"Yes","",IF($C496="No","Yes",IF($C496="Yes","No","")))</f>
      </c>
      <c r="E496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</c>
      <c r="F496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</c>
      <c r="BL496">
        <f>IF($T496="","",IF((IF(AND($AW496&lt;&gt;"Yes",$AW496&lt;&gt;"N/A"),"Power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",""))="","",LEFT(IF(AND($AW496&lt;&gt;"Yes",$AW496&lt;&gt;"N/A"),"Power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",""),LEN(IF(AND($AW496&lt;&gt;"Yes",$AW496&lt;&gt;"N/A"),"Power Cable, ","")&amp;IF(AND($AX496&lt;&gt;"Yes",$AX496&lt;&gt;"N/A"),"Battery, ","")&amp;IF(AND($BE496&lt;&gt;"Yes",$BE496&lt;&gt;"N/A"),"Firmware Download, ","")&amp;IF(AND(OR($BE496="Yes",$BE496="N/A"),$BF496&lt;&gt;"Yes",$BF496&lt;&gt;"N/A"),"Firmware Install, ","")&amp;IF(AND($BJ496&lt;&gt;"Yes",$BJ496&lt;&gt;"N/A"),"Device ID, ","")&amp;IF(AND($BK496&lt;&gt;"Yes",$BK496&lt;&gt;"N/A"),"Epic Beans Relay, ",""))-2)))</f>
      </c>
      <c r="BM496">
        <f>IF($T496="","",IF($BL496="","Yes","Blocked"))</f>
      </c>
      <c r="BP496">
        <f>IF($BO496="","",IFERROR(VLOOKUP($BO496,'01_Warehouse_Ledger'!$A:$N,4,FALSE),""))</f>
      </c>
      <c r="BQ496">
        <f>IF($BO496="","",IFERROR(VLOOKUP($BO496,'01_Warehouse_Ledger'!$A:$N,5,FALSE),""))</f>
      </c>
      <c r="BR496">
        <f>IF($BO496="","",IFERROR(VLOOKUP($BO496,'01_Warehouse_Ledger'!$A:$N,13,FALSE),""))</f>
      </c>
    </row>
    <row r="497">
      <c r="D497">
        <f>IF($B497&lt;&gt;"Yes","",IF($C497="No","Yes",IF($C497="Yes","No","")))</f>
      </c>
      <c r="E497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</c>
      <c r="F497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</c>
      <c r="BL497">
        <f>IF($T497="","",IF((IF(AND($AW497&lt;&gt;"Yes",$AW497&lt;&gt;"N/A"),"Power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",""))="","",LEFT(IF(AND($AW497&lt;&gt;"Yes",$AW497&lt;&gt;"N/A"),"Power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",""),LEN(IF(AND($AW497&lt;&gt;"Yes",$AW497&lt;&gt;"N/A"),"Power Cable, ","")&amp;IF(AND($AX497&lt;&gt;"Yes",$AX497&lt;&gt;"N/A"),"Battery, ","")&amp;IF(AND($BE497&lt;&gt;"Yes",$BE497&lt;&gt;"N/A"),"Firmware Download, ","")&amp;IF(AND(OR($BE497="Yes",$BE497="N/A"),$BF497&lt;&gt;"Yes",$BF497&lt;&gt;"N/A"),"Firmware Install, ","")&amp;IF(AND($BJ497&lt;&gt;"Yes",$BJ497&lt;&gt;"N/A"),"Device ID, ","")&amp;IF(AND($BK497&lt;&gt;"Yes",$BK497&lt;&gt;"N/A"),"Epic Beans Relay, ",""))-2)))</f>
      </c>
      <c r="BM497">
        <f>IF($T497="","",IF($BL497="","Yes","Blocked"))</f>
      </c>
      <c r="BP497">
        <f>IF($BO497="","",IFERROR(VLOOKUP($BO497,'01_Warehouse_Ledger'!$A:$N,4,FALSE),""))</f>
      </c>
      <c r="BQ497">
        <f>IF($BO497="","",IFERROR(VLOOKUP($BO497,'01_Warehouse_Ledger'!$A:$N,5,FALSE),""))</f>
      </c>
      <c r="BR497">
        <f>IF($BO497="","",IFERROR(VLOOKUP($BO497,'01_Warehouse_Ledger'!$A:$N,13,FALSE),""))</f>
      </c>
    </row>
    <row r="498">
      <c r="D498">
        <f>IF($B498&lt;&gt;"Yes","",IF($C498="No","Yes",IF($C498="Yes","No","")))</f>
      </c>
      <c r="E498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</c>
      <c r="F498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</c>
      <c r="BL498">
        <f>IF($T498="","",IF((IF(AND($AW498&lt;&gt;"Yes",$AW498&lt;&gt;"N/A"),"Power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",""))="","",LEFT(IF(AND($AW498&lt;&gt;"Yes",$AW498&lt;&gt;"N/A"),"Power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",""),LEN(IF(AND($AW498&lt;&gt;"Yes",$AW498&lt;&gt;"N/A"),"Power Cable, ","")&amp;IF(AND($AX498&lt;&gt;"Yes",$AX498&lt;&gt;"N/A"),"Battery, ","")&amp;IF(AND($BE498&lt;&gt;"Yes",$BE498&lt;&gt;"N/A"),"Firmware Download, ","")&amp;IF(AND(OR($BE498="Yes",$BE498="N/A"),$BF498&lt;&gt;"Yes",$BF498&lt;&gt;"N/A"),"Firmware Install, ","")&amp;IF(AND($BJ498&lt;&gt;"Yes",$BJ498&lt;&gt;"N/A"),"Device ID, ","")&amp;IF(AND($BK498&lt;&gt;"Yes",$BK498&lt;&gt;"N/A"),"Epic Beans Relay, ",""))-2)))</f>
      </c>
      <c r="BM498">
        <f>IF($T498="","",IF($BL498="","Yes","Blocked"))</f>
      </c>
      <c r="BP498">
        <f>IF($BO498="","",IFERROR(VLOOKUP($BO498,'01_Warehouse_Ledger'!$A:$N,4,FALSE),""))</f>
      </c>
      <c r="BQ498">
        <f>IF($BO498="","",IFERROR(VLOOKUP($BO498,'01_Warehouse_Ledger'!$A:$N,5,FALSE),""))</f>
      </c>
      <c r="BR498">
        <f>IF($BO498="","",IFERROR(VLOOKUP($BO498,'01_Warehouse_Ledger'!$A:$N,13,FALSE),""))</f>
      </c>
    </row>
    <row r="499">
      <c r="D499">
        <f>IF($B499&lt;&gt;"Yes","",IF($C499="No","Yes",IF($C499="Yes","No","")))</f>
      </c>
      <c r="E499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</c>
      <c r="F499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</c>
      <c r="BL499">
        <f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</c>
      <c r="BM499">
        <f>IF($T499="","",IF($BL499="","Yes","Blocked"))</f>
      </c>
      <c r="BP499">
        <f>IF($BO499="","",IFERROR(VLOOKUP($BO499,'01_Warehouse_Ledger'!$A:$N,4,FALSE),""))</f>
      </c>
      <c r="BQ499">
        <f>IF($BO499="","",IFERROR(VLOOKUP($BO499,'01_Warehouse_Ledger'!$A:$N,5,FALSE),""))</f>
      </c>
      <c r="BR499">
        <f>IF($BO499="","",IFERROR(VLOOKUP($BO499,'01_Warehouse_Ledger'!$A:$N,13,FALSE),""))</f>
      </c>
    </row>
    <row r="500">
      <c r="D500">
        <f>IF($B500&lt;&gt;"Yes","",IF($C500="No","Yes",IF($C500="Yes","No","")))</f>
      </c>
      <c r="E500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</c>
      <c r="F500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</c>
      <c r="BL500">
        <f>IF($T500="","",IF((IF(AND($AW500&lt;&gt;"Yes",$AW500&lt;&gt;"N/A"),"Power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",""))="","",LEFT(IF(AND($AW500&lt;&gt;"Yes",$AW500&lt;&gt;"N/A"),"Power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",""),LEN(IF(AND($AW500&lt;&gt;"Yes",$AW500&lt;&gt;"N/A"),"Power Cable, ","")&amp;IF(AND($AX500&lt;&gt;"Yes",$AX500&lt;&gt;"N/A"),"Battery, ","")&amp;IF(AND($BE500&lt;&gt;"Yes",$BE500&lt;&gt;"N/A"),"Firmware Download, ","")&amp;IF(AND(OR($BE500="Yes",$BE500="N/A"),$BF500&lt;&gt;"Yes",$BF500&lt;&gt;"N/A"),"Firmware Install, ","")&amp;IF(AND($BJ500&lt;&gt;"Yes",$BJ500&lt;&gt;"N/A"),"Device ID, ","")&amp;IF(AND($BK500&lt;&gt;"Yes",$BK500&lt;&gt;"N/A"),"Epic Beans Relay, ",""))-2)))</f>
      </c>
      <c r="BM500">
        <f>IF($T500="","",IF($BL500="","Yes","Blocked"))</f>
      </c>
      <c r="BP500">
        <f>IF($BO500="","",IFERROR(VLOOKUP($BO500,'01_Warehouse_Ledger'!$A:$N,4,FALSE),""))</f>
      </c>
      <c r="BQ500">
        <f>IF($BO500="","",IFERROR(VLOOKUP($BO500,'01_Warehouse_Ledger'!$A:$N,5,FALSE),""))</f>
      </c>
      <c r="BR500">
        <f>IF($BO500="","",IFERROR(VLOOKUP($BO500,'01_Warehouse_Ledger'!$A:$N,13,FALSE),""))</f>
      </c>
    </row>
    <row r="501">
      <c r="D501">
        <f>IF($B501&lt;&gt;"Yes","",IF($C501="No","Yes",IF($C501="Yes","No","")))</f>
      </c>
      <c r="E501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</c>
      <c r="F501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</c>
      <c r="BL501">
        <f>IF($T501="","",IF((IF(AND($AW501&lt;&gt;"Yes",$AW501&lt;&gt;"N/A"),"Power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",""))="","",LEFT(IF(AND($AW501&lt;&gt;"Yes",$AW501&lt;&gt;"N/A"),"Power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",""),LEN(IF(AND($AW501&lt;&gt;"Yes",$AW501&lt;&gt;"N/A"),"Power Cable, ","")&amp;IF(AND($AX501&lt;&gt;"Yes",$AX501&lt;&gt;"N/A"),"Battery, ","")&amp;IF(AND($BE501&lt;&gt;"Yes",$BE501&lt;&gt;"N/A"),"Firmware Download, ","")&amp;IF(AND(OR($BE501="Yes",$BE501="N/A"),$BF501&lt;&gt;"Yes",$BF501&lt;&gt;"N/A"),"Firmware Install, ","")&amp;IF(AND($BJ501&lt;&gt;"Yes",$BJ501&lt;&gt;"N/A"),"Device ID, ","")&amp;IF(AND($BK501&lt;&gt;"Yes",$BK501&lt;&gt;"N/A"),"Epic Beans Relay, ",""))-2)))</f>
      </c>
      <c r="BM501">
        <f>IF($T501="","",IF($BL501="","Yes","Blocked"))</f>
      </c>
      <c r="BP501">
        <f>IF($BO501="","",IFERROR(VLOOKUP($BO501,'01_Warehouse_Ledger'!$A:$N,4,FALSE),""))</f>
      </c>
      <c r="BQ501">
        <f>IF($BO501="","",IFERROR(VLOOKUP($BO501,'01_Warehouse_Ledger'!$A:$N,5,FALSE),""))</f>
      </c>
      <c r="BR501">
        <f>IF($BO501="","",IFERROR(VLOOKUP($BO501,'01_Warehouse_Ledger'!$A:$N,13,FALSE),""))</f>
      </c>
    </row>
    <row r="502">
      <c r="D502">
        <f>IF($B502&lt;&gt;"Yes","",IF($C502="No","Yes",IF($C502="Yes","No","")))</f>
      </c>
      <c r="E502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</c>
      <c r="F502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</c>
      <c r="BL502">
        <f>IF($T502="","",IF((IF(AND($AW502&lt;&gt;"Yes",$AW502&lt;&gt;"N/A"),"Power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",""))="","",LEFT(IF(AND($AW502&lt;&gt;"Yes",$AW502&lt;&gt;"N/A"),"Power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",""),LEN(IF(AND($AW502&lt;&gt;"Yes",$AW502&lt;&gt;"N/A"),"Power Cable, ","")&amp;IF(AND($AX502&lt;&gt;"Yes",$AX502&lt;&gt;"N/A"),"Battery, ","")&amp;IF(AND($BE502&lt;&gt;"Yes",$BE502&lt;&gt;"N/A"),"Firmware Download, ","")&amp;IF(AND(OR($BE502="Yes",$BE502="N/A"),$BF502&lt;&gt;"Yes",$BF502&lt;&gt;"N/A"),"Firmware Install, ","")&amp;IF(AND($BJ502&lt;&gt;"Yes",$BJ502&lt;&gt;"N/A"),"Device ID, ","")&amp;IF(AND($BK502&lt;&gt;"Yes",$BK502&lt;&gt;"N/A"),"Epic Beans Relay, ",""))-2)))</f>
      </c>
      <c r="BM502">
        <f>IF($T502="","",IF($BL502="","Yes","Blocked"))</f>
      </c>
      <c r="BP502">
        <f>IF($BO502="","",IFERROR(VLOOKUP($BO502,'01_Warehouse_Ledger'!$A:$N,4,FALSE),""))</f>
      </c>
      <c r="BQ502">
        <f>IF($BO502="","",IFERROR(VLOOKUP($BO502,'01_Warehouse_Ledger'!$A:$N,5,FALSE),""))</f>
      </c>
      <c r="BR502">
        <f>IF($BO502="","",IFERROR(VLOOKUP($BO502,'01_Warehouse_Ledger'!$A:$N,13,FALSE),""))</f>
      </c>
    </row>
    <row r="503">
      <c r="D503">
        <f>IF($B503&lt;&gt;"Yes","",IF($C503="No","Yes",IF($C503="Yes","No","")))</f>
      </c>
      <c r="E503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</c>
      <c r="F503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</c>
      <c r="BL503">
        <f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</c>
      <c r="BM503">
        <f>IF($T503="","",IF($BL503="","Yes","Blocked"))</f>
      </c>
      <c r="BP503">
        <f>IF($BO503="","",IFERROR(VLOOKUP($BO503,'01_Warehouse_Ledger'!$A:$N,4,FALSE),""))</f>
      </c>
      <c r="BQ503">
        <f>IF($BO503="","",IFERROR(VLOOKUP($BO503,'01_Warehouse_Ledger'!$A:$N,5,FALSE),""))</f>
      </c>
      <c r="BR503">
        <f>IF($BO503="","",IFERROR(VLOOKUP($BO503,'01_Warehouse_Ledger'!$A:$N,13,FALSE),""))</f>
      </c>
    </row>
    <row r="504">
      <c r="D504">
        <f>IF($B504&lt;&gt;"Yes","",IF($C504="No","Yes",IF($C504="Yes","No","")))</f>
      </c>
      <c r="E504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</c>
      <c r="F504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</c>
      <c r="BL504">
        <f>IF($T504="","",IF((IF(AND($AW504&lt;&gt;"Yes",$AW504&lt;&gt;"N/A"),"Power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",""))="","",LEFT(IF(AND($AW504&lt;&gt;"Yes",$AW504&lt;&gt;"N/A"),"Power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",""),LEN(IF(AND($AW504&lt;&gt;"Yes",$AW504&lt;&gt;"N/A"),"Power Cable, ","")&amp;IF(AND($AX504&lt;&gt;"Yes",$AX504&lt;&gt;"N/A"),"Battery, ","")&amp;IF(AND($BE504&lt;&gt;"Yes",$BE504&lt;&gt;"N/A"),"Firmware Download, ","")&amp;IF(AND(OR($BE504="Yes",$BE504="N/A"),$BF504&lt;&gt;"Yes",$BF504&lt;&gt;"N/A"),"Firmware Install, ","")&amp;IF(AND($BJ504&lt;&gt;"Yes",$BJ504&lt;&gt;"N/A"),"Device ID, ","")&amp;IF(AND($BK504&lt;&gt;"Yes",$BK504&lt;&gt;"N/A"),"Epic Beans Relay, ",""))-2)))</f>
      </c>
      <c r="BM504">
        <f>IF($T504="","",IF($BL504="","Yes","Blocked"))</f>
      </c>
      <c r="BP504">
        <f>IF($BO504="","",IFERROR(VLOOKUP($BO504,'01_Warehouse_Ledger'!$A:$N,4,FALSE),""))</f>
      </c>
      <c r="BQ504">
        <f>IF($BO504="","",IFERROR(VLOOKUP($BO504,'01_Warehouse_Ledger'!$A:$N,5,FALSE),""))</f>
      </c>
      <c r="BR504">
        <f>IF($BO504="","",IFERROR(VLOOKUP($BO504,'01_Warehouse_Ledger'!$A:$N,13,FALSE),""))</f>
      </c>
    </row>
    <row r="505">
      <c r="D505">
        <f>IF($B505&lt;&gt;"Yes","",IF($C505="No","Yes",IF($C505="Yes","No","")))</f>
      </c>
      <c r="E505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</c>
      <c r="F505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</c>
      <c r="BL505">
        <f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</c>
      <c r="BM505">
        <f>IF($T505="","",IF($BL505="","Yes","Blocked"))</f>
      </c>
      <c r="BP505">
        <f>IF($BO505="","",IFERROR(VLOOKUP($BO505,'01_Warehouse_Ledger'!$A:$N,4,FALSE),""))</f>
      </c>
      <c r="BQ505">
        <f>IF($BO505="","",IFERROR(VLOOKUP($BO505,'01_Warehouse_Ledger'!$A:$N,5,FALSE),""))</f>
      </c>
      <c r="BR505">
        <f>IF($BO505="","",IFERROR(VLOOKUP($BO505,'01_Warehouse_Ledger'!$A:$N,13,FALSE),""))</f>
      </c>
    </row>
    <row r="506">
      <c r="D506">
        <f>IF($B506&lt;&gt;"Yes","",IF($C506="No","Yes",IF($C506="Yes","No","")))</f>
      </c>
      <c r="E506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</c>
      <c r="F506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</c>
      <c r="BL506">
        <f>IF($T506="","",IF((IF(AND($AW506&lt;&gt;"Yes",$AW506&lt;&gt;"N/A"),"Power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",""))="","",LEFT(IF(AND($AW506&lt;&gt;"Yes",$AW506&lt;&gt;"N/A"),"Power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",""),LEN(IF(AND($AW506&lt;&gt;"Yes",$AW506&lt;&gt;"N/A"),"Power Cable, ","")&amp;IF(AND($AX506&lt;&gt;"Yes",$AX506&lt;&gt;"N/A"),"Battery, ","")&amp;IF(AND($BE506&lt;&gt;"Yes",$BE506&lt;&gt;"N/A"),"Firmware Download, ","")&amp;IF(AND(OR($BE506="Yes",$BE506="N/A"),$BF506&lt;&gt;"Yes",$BF506&lt;&gt;"N/A"),"Firmware Install, ","")&amp;IF(AND($BJ506&lt;&gt;"Yes",$BJ506&lt;&gt;"N/A"),"Device ID, ","")&amp;IF(AND($BK506&lt;&gt;"Yes",$BK506&lt;&gt;"N/A"),"Epic Beans Relay, ",""))-2)))</f>
      </c>
      <c r="BM506">
        <f>IF($T506="","",IF($BL506="","Yes","Blocked"))</f>
      </c>
      <c r="BP506">
        <f>IF($BO506="","",IFERROR(VLOOKUP($BO506,'01_Warehouse_Ledger'!$A:$N,4,FALSE),""))</f>
      </c>
      <c r="BQ506">
        <f>IF($BO506="","",IFERROR(VLOOKUP($BO506,'01_Warehouse_Ledger'!$A:$N,5,FALSE),""))</f>
      </c>
      <c r="BR506">
        <f>IF($BO506="","",IFERROR(VLOOKUP($BO506,'01_Warehouse_Ledger'!$A:$N,13,FALSE),""))</f>
      </c>
    </row>
    <row r="507">
      <c r="D507">
        <f>IF($B507&lt;&gt;"Yes","",IF($C507="No","Yes",IF($C507="Yes","No","")))</f>
      </c>
      <c r="E507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</c>
      <c r="F507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</c>
      <c r="BL507">
        <f>IF($T507="","",IF((IF(AND($AW507&lt;&gt;"Yes",$AW507&lt;&gt;"N/A"),"Power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",""))="","",LEFT(IF(AND($AW507&lt;&gt;"Yes",$AW507&lt;&gt;"N/A"),"Power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",""),LEN(IF(AND($AW507&lt;&gt;"Yes",$AW507&lt;&gt;"N/A"),"Power Cable, ","")&amp;IF(AND($AX507&lt;&gt;"Yes",$AX507&lt;&gt;"N/A"),"Battery, ","")&amp;IF(AND($BE507&lt;&gt;"Yes",$BE507&lt;&gt;"N/A"),"Firmware Download, ","")&amp;IF(AND(OR($BE507="Yes",$BE507="N/A"),$BF507&lt;&gt;"Yes",$BF507&lt;&gt;"N/A"),"Firmware Install, ","")&amp;IF(AND($BJ507&lt;&gt;"Yes",$BJ507&lt;&gt;"N/A"),"Device ID, ","")&amp;IF(AND($BK507&lt;&gt;"Yes",$BK507&lt;&gt;"N/A"),"Epic Beans Relay, ",""))-2)))</f>
      </c>
      <c r="BM507">
        <f>IF($T507="","",IF($BL507="","Yes","Blocked"))</f>
      </c>
      <c r="BP507">
        <f>IF($BO507="","",IFERROR(VLOOKUP($BO507,'01_Warehouse_Ledger'!$A:$N,4,FALSE),""))</f>
      </c>
      <c r="BQ507">
        <f>IF($BO507="","",IFERROR(VLOOKUP($BO507,'01_Warehouse_Ledger'!$A:$N,5,FALSE),""))</f>
      </c>
      <c r="BR507">
        <f>IF($BO507="","",IFERROR(VLOOKUP($BO507,'01_Warehouse_Ledger'!$A:$N,13,FALSE),""))</f>
      </c>
    </row>
    <row r="508">
      <c r="D508">
        <f>IF($B508&lt;&gt;"Yes","",IF($C508="No","Yes",IF($C508="Yes","No","")))</f>
      </c>
      <c r="E508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</c>
      <c r="F508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</c>
      <c r="BL508">
        <f>IF($T508="","",IF((IF(AND($AW508&lt;&gt;"Yes",$AW508&lt;&gt;"N/A"),"Power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",""))="","",LEFT(IF(AND($AW508&lt;&gt;"Yes",$AW508&lt;&gt;"N/A"),"Power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",""),LEN(IF(AND($AW508&lt;&gt;"Yes",$AW508&lt;&gt;"N/A"),"Power Cable, ","")&amp;IF(AND($AX508&lt;&gt;"Yes",$AX508&lt;&gt;"N/A"),"Battery, ","")&amp;IF(AND($BE508&lt;&gt;"Yes",$BE508&lt;&gt;"N/A"),"Firmware Download, ","")&amp;IF(AND(OR($BE508="Yes",$BE508="N/A"),$BF508&lt;&gt;"Yes",$BF508&lt;&gt;"N/A"),"Firmware Install, ","")&amp;IF(AND($BJ508&lt;&gt;"Yes",$BJ508&lt;&gt;"N/A"),"Device ID, ","")&amp;IF(AND($BK508&lt;&gt;"Yes",$BK508&lt;&gt;"N/A"),"Epic Beans Relay, ",""))-2)))</f>
      </c>
      <c r="BM508">
        <f>IF($T508="","",IF($BL508="","Yes","Blocked"))</f>
      </c>
      <c r="BP508">
        <f>IF($BO508="","",IFERROR(VLOOKUP($BO508,'01_Warehouse_Ledger'!$A:$N,4,FALSE),""))</f>
      </c>
      <c r="BQ508">
        <f>IF($BO508="","",IFERROR(VLOOKUP($BO508,'01_Warehouse_Ledger'!$A:$N,5,FALSE),""))</f>
      </c>
      <c r="BR508">
        <f>IF($BO508="","",IFERROR(VLOOKUP($BO508,'01_Warehouse_Ledger'!$A:$N,13,FALSE),""))</f>
      </c>
    </row>
    <row r="509">
      <c r="D509">
        <f>IF($B509&lt;&gt;"Yes","",IF($C509="No","Yes",IF($C509="Yes","No","")))</f>
      </c>
      <c r="E509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</c>
      <c r="F509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</c>
      <c r="BL509">
        <f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</c>
      <c r="BM509">
        <f>IF($T509="","",IF($BL509="","Yes","Blocked"))</f>
      </c>
    </row>
    <row r="510">
      <c r="D510">
        <f>IF($B510&lt;&gt;"Yes","",IF($C510="No","Yes",IF($C510="Yes","No","")))</f>
      </c>
      <c r="E510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</c>
      <c r="F510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</c>
      <c r="BL510">
        <f>IF($T510="","",IF((IF(AND($AW510&lt;&gt;"Yes",$AW510&lt;&gt;"N/A"),"Power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",""))="","",LEFT(IF(AND($AW510&lt;&gt;"Yes",$AW510&lt;&gt;"N/A"),"Power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",""),LEN(IF(AND($AW510&lt;&gt;"Yes",$AW510&lt;&gt;"N/A"),"Power Cable, ","")&amp;IF(AND($AX510&lt;&gt;"Yes",$AX510&lt;&gt;"N/A"),"Battery, ","")&amp;IF(AND($BE510&lt;&gt;"Yes",$BE510&lt;&gt;"N/A"),"Firmware Download, ","")&amp;IF(AND(OR($BE510="Yes",$BE510="N/A"),$BF510&lt;&gt;"Yes",$BF510&lt;&gt;"N/A"),"Firmware Install, ","")&amp;IF(AND($BJ510&lt;&gt;"Yes",$BJ510&lt;&gt;"N/A"),"Device ID, ","")&amp;IF(AND($BK510&lt;&gt;"Yes",$BK510&lt;&gt;"N/A"),"Epic Beans Relay, ",""))-2)))</f>
      </c>
      <c r="BM510">
        <f>IF($T510="","",IF($BL510="","Yes","Blocked"))</f>
      </c>
    </row>
    <row r="511">
      <c r="D511">
        <f>IF($B511&lt;&gt;"Yes","",IF($C511="No","Yes",IF($C511="Yes","No","")))</f>
      </c>
      <c r="E511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</c>
      <c r="F511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</c>
      <c r="BL511">
        <f>IF($T511="","",IF((IF(AND($AW511&lt;&gt;"Yes",$AW511&lt;&gt;"N/A"),"Power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",""))="","",LEFT(IF(AND($AW511&lt;&gt;"Yes",$AW511&lt;&gt;"N/A"),"Power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",""),LEN(IF(AND($AW511&lt;&gt;"Yes",$AW511&lt;&gt;"N/A"),"Power Cable, ","")&amp;IF(AND($AX511&lt;&gt;"Yes",$AX511&lt;&gt;"N/A"),"Battery, ","")&amp;IF(AND($BE511&lt;&gt;"Yes",$BE511&lt;&gt;"N/A"),"Firmware Download, ","")&amp;IF(AND(OR($BE511="Yes",$BE511="N/A"),$BF511&lt;&gt;"Yes",$BF511&lt;&gt;"N/A"),"Firmware Install, ","")&amp;IF(AND($BJ511&lt;&gt;"Yes",$BJ511&lt;&gt;"N/A"),"Device ID, ","")&amp;IF(AND($BK511&lt;&gt;"Yes",$BK511&lt;&gt;"N/A"),"Epic Beans Relay, ",""))-2)))</f>
      </c>
      <c r="BM511">
        <f>IF($T511="","",IF($BL511="","Yes","Blocked"))</f>
      </c>
    </row>
    <row r="512">
      <c r="D512">
        <f>IF($B512&lt;&gt;"Yes","",IF($C512="No","Yes",IF($C512="Yes","No","")))</f>
      </c>
      <c r="E512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</c>
      <c r="F512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</c>
      <c r="BL512">
        <f>IF($T512="","",IF((IF(AND($AW512&lt;&gt;"Yes",$AW512&lt;&gt;"N/A"),"Power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",""))="","",LEFT(IF(AND($AW512&lt;&gt;"Yes",$AW512&lt;&gt;"N/A"),"Power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",""),LEN(IF(AND($AW512&lt;&gt;"Yes",$AW512&lt;&gt;"N/A"),"Power Cable, ","")&amp;IF(AND($AX512&lt;&gt;"Yes",$AX512&lt;&gt;"N/A"),"Battery, ","")&amp;IF(AND($BE512&lt;&gt;"Yes",$BE512&lt;&gt;"N/A"),"Firmware Download, ","")&amp;IF(AND(OR($BE512="Yes",$BE512="N/A"),$BF512&lt;&gt;"Yes",$BF512&lt;&gt;"N/A"),"Firmware Install, ","")&amp;IF(AND($BJ512&lt;&gt;"Yes",$BJ512&lt;&gt;"N/A"),"Device ID, ","")&amp;IF(AND($BK512&lt;&gt;"Yes",$BK512&lt;&gt;"N/A"),"Epic Beans Relay, ",""))-2)))</f>
      </c>
      <c r="BM512">
        <f>IF($T512="","",IF($BL512="","Yes","Blocked"))</f>
      </c>
    </row>
    <row r="513">
      <c r="D513">
        <f>IF($B513&lt;&gt;"Yes","",IF($C513="No","Yes",IF($C513="Yes","No","")))</f>
      </c>
      <c r="E513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</c>
      <c r="F513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</c>
      <c r="BL513">
        <f>IF($T513="","",IF((IF(AND($AW513&lt;&gt;"Yes",$AW513&lt;&gt;"N/A"),"Power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",""))="","",LEFT(IF(AND($AW513&lt;&gt;"Yes",$AW513&lt;&gt;"N/A"),"Power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",""),LEN(IF(AND($AW513&lt;&gt;"Yes",$AW513&lt;&gt;"N/A"),"Power Cable, ","")&amp;IF(AND($AX513&lt;&gt;"Yes",$AX513&lt;&gt;"N/A"),"Battery, ","")&amp;IF(AND($BE513&lt;&gt;"Yes",$BE513&lt;&gt;"N/A"),"Firmware Download, ","")&amp;IF(AND(OR($BE513="Yes",$BE513="N/A"),$BF513&lt;&gt;"Yes",$BF513&lt;&gt;"N/A"),"Firmware Install, ","")&amp;IF(AND($BJ513&lt;&gt;"Yes",$BJ513&lt;&gt;"N/A"),"Device ID, ","")&amp;IF(AND($BK513&lt;&gt;"Yes",$BK513&lt;&gt;"N/A"),"Epic Beans Relay, ",""))-2)))</f>
      </c>
      <c r="BM513">
        <f>IF($T513="","",IF($BL513="","Yes","Blocked"))</f>
      </c>
    </row>
    <row r="514">
      <c r="D514">
        <f>IF($B514&lt;&gt;"Yes","",IF($C514="No","Yes",IF($C514="Yes","No","")))</f>
      </c>
      <c r="E514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</c>
      <c r="F514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</c>
      <c r="BL514">
        <f>IF($T514="","",IF((IF(AND($AW514&lt;&gt;"Yes",$AW514&lt;&gt;"N/A"),"Power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",""))="","",LEFT(IF(AND($AW514&lt;&gt;"Yes",$AW514&lt;&gt;"N/A"),"Power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",""),LEN(IF(AND($AW514&lt;&gt;"Yes",$AW514&lt;&gt;"N/A"),"Power Cable, ","")&amp;IF(AND($AX514&lt;&gt;"Yes",$AX514&lt;&gt;"N/A"),"Battery, ","")&amp;IF(AND($BE514&lt;&gt;"Yes",$BE514&lt;&gt;"N/A"),"Firmware Download, ","")&amp;IF(AND(OR($BE514="Yes",$BE514="N/A"),$BF514&lt;&gt;"Yes",$BF514&lt;&gt;"N/A"),"Firmware Install, ","")&amp;IF(AND($BJ514&lt;&gt;"Yes",$BJ514&lt;&gt;"N/A"),"Device ID, ","")&amp;IF(AND($BK514&lt;&gt;"Yes",$BK514&lt;&gt;"N/A"),"Epic Beans Relay, ",""))-2)))</f>
      </c>
      <c r="BM514">
        <f>IF($T514="","",IF($BL514="","Yes","Blocked"))</f>
      </c>
    </row>
    <row r="515">
      <c r="D515">
        <f>IF($B515&lt;&gt;"Yes","",IF($C515="No","Yes",IF($C515="Yes","No","")))</f>
      </c>
      <c r="E515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</c>
      <c r="F515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</c>
      <c r="BL515">
        <f>IF($T515="","",IF((IF(AND($AW515&lt;&gt;"Yes",$AW515&lt;&gt;"N/A"),"Power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",""))="","",LEFT(IF(AND($AW515&lt;&gt;"Yes",$AW515&lt;&gt;"N/A"),"Power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",""),LEN(IF(AND($AW515&lt;&gt;"Yes",$AW515&lt;&gt;"N/A"),"Power Cable, ","")&amp;IF(AND($AX515&lt;&gt;"Yes",$AX515&lt;&gt;"N/A"),"Battery, ","")&amp;IF(AND($BE515&lt;&gt;"Yes",$BE515&lt;&gt;"N/A"),"Firmware Download, ","")&amp;IF(AND(OR($BE515="Yes",$BE515="N/A"),$BF515&lt;&gt;"Yes",$BF515&lt;&gt;"N/A"),"Firmware Install, ","")&amp;IF(AND($BJ515&lt;&gt;"Yes",$BJ515&lt;&gt;"N/A"),"Device ID, ","")&amp;IF(AND($BK515&lt;&gt;"Yes",$BK515&lt;&gt;"N/A"),"Epic Beans Relay, ",""))-2)))</f>
      </c>
      <c r="BM515">
        <f>IF($T515="","",IF($BL515="","Yes","Blocked"))</f>
      </c>
    </row>
    <row r="516">
      <c r="D516">
        <f>IF($B516&lt;&gt;"Yes","",IF($C516="No","Yes",IF($C516="Yes","No","")))</f>
      </c>
      <c r="E516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</c>
      <c r="F516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</c>
      <c r="BL516">
        <f>IF($T516="","",IF((IF(AND($AW516&lt;&gt;"Yes",$AW516&lt;&gt;"N/A"),"Power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",""))="","",LEFT(IF(AND($AW516&lt;&gt;"Yes",$AW516&lt;&gt;"N/A"),"Power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",""),LEN(IF(AND($AW516&lt;&gt;"Yes",$AW516&lt;&gt;"N/A"),"Power Cable, ","")&amp;IF(AND($AX516&lt;&gt;"Yes",$AX516&lt;&gt;"N/A"),"Battery, ","")&amp;IF(AND($BE516&lt;&gt;"Yes",$BE516&lt;&gt;"N/A"),"Firmware Download, ","")&amp;IF(AND(OR($BE516="Yes",$BE516="N/A"),$BF516&lt;&gt;"Yes",$BF516&lt;&gt;"N/A"),"Firmware Install, ","")&amp;IF(AND($BJ516&lt;&gt;"Yes",$BJ516&lt;&gt;"N/A"),"Device ID, ","")&amp;IF(AND($BK516&lt;&gt;"Yes",$BK516&lt;&gt;"N/A"),"Epic Beans Relay, ",""))-2)))</f>
      </c>
      <c r="BM516">
        <f>IF($T516="","",IF($BL516="","Yes","Blocked"))</f>
      </c>
    </row>
    <row r="517">
      <c r="D517">
        <f>IF($B517&lt;&gt;"Yes","",IF($C517="No","Yes",IF($C517="Yes","No","")))</f>
      </c>
      <c r="E517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</c>
      <c r="F517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</c>
      <c r="BL517">
        <f>IF($T517="","",IF((IF(AND($AW517&lt;&gt;"Yes",$AW517&lt;&gt;"N/A"),"Power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",""))="","",LEFT(IF(AND($AW517&lt;&gt;"Yes",$AW517&lt;&gt;"N/A"),"Power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",""),LEN(IF(AND($AW517&lt;&gt;"Yes",$AW517&lt;&gt;"N/A"),"Power Cable, ","")&amp;IF(AND($AX517&lt;&gt;"Yes",$AX517&lt;&gt;"N/A"),"Battery, ","")&amp;IF(AND($BE517&lt;&gt;"Yes",$BE517&lt;&gt;"N/A"),"Firmware Download, ","")&amp;IF(AND(OR($BE517="Yes",$BE517="N/A"),$BF517&lt;&gt;"Yes",$BF517&lt;&gt;"N/A"),"Firmware Install, ","")&amp;IF(AND($BJ517&lt;&gt;"Yes",$BJ517&lt;&gt;"N/A"),"Device ID, ","")&amp;IF(AND($BK517&lt;&gt;"Yes",$BK517&lt;&gt;"N/A"),"Epic Beans Relay, ",""))-2)))</f>
      </c>
      <c r="BM517">
        <f>IF($T517="","",IF($BL517="","Yes","Blocked"))</f>
      </c>
    </row>
    <row r="518">
      <c r="D518">
        <f>IF($B518&lt;&gt;"Yes","",IF($C518="No","Yes",IF($C518="Yes","No","")))</f>
      </c>
      <c r="E518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</c>
      <c r="F518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</c>
      <c r="BL518">
        <f>IF($T518="","",IF((IF(AND($AW518&lt;&gt;"Yes",$AW518&lt;&gt;"N/A"),"Power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",""))="","",LEFT(IF(AND($AW518&lt;&gt;"Yes",$AW518&lt;&gt;"N/A"),"Power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",""),LEN(IF(AND($AW518&lt;&gt;"Yes",$AW518&lt;&gt;"N/A"),"Power Cable, ","")&amp;IF(AND($AX518&lt;&gt;"Yes",$AX518&lt;&gt;"N/A"),"Battery, ","")&amp;IF(AND($BE518&lt;&gt;"Yes",$BE518&lt;&gt;"N/A"),"Firmware Download, ","")&amp;IF(AND(OR($BE518="Yes",$BE518="N/A"),$BF518&lt;&gt;"Yes",$BF518&lt;&gt;"N/A"),"Firmware Install, ","")&amp;IF(AND($BJ518&lt;&gt;"Yes",$BJ518&lt;&gt;"N/A"),"Device ID, ","")&amp;IF(AND($BK518&lt;&gt;"Yes",$BK518&lt;&gt;"N/A"),"Epic Beans Relay, ",""))-2)))</f>
      </c>
      <c r="BM518">
        <f>IF($T518="","",IF($BL518="","Yes","Blocked"))</f>
      </c>
    </row>
    <row r="519">
      <c r="D519">
        <f>IF($B519&lt;&gt;"Yes","",IF($C519="No","Yes",IF($C519="Yes","No","")))</f>
      </c>
      <c r="E519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</c>
      <c r="F519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</c>
      <c r="BL519">
        <f>IF($T519="","",IF((IF(AND($AW519&lt;&gt;"Yes",$AW519&lt;&gt;"N/A"),"Power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",""))="","",LEFT(IF(AND($AW519&lt;&gt;"Yes",$AW519&lt;&gt;"N/A"),"Power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",""),LEN(IF(AND($AW519&lt;&gt;"Yes",$AW519&lt;&gt;"N/A"),"Power Cable, ","")&amp;IF(AND($AX519&lt;&gt;"Yes",$AX519&lt;&gt;"N/A"),"Battery, ","")&amp;IF(AND($BE519&lt;&gt;"Yes",$BE519&lt;&gt;"N/A"),"Firmware Download, ","")&amp;IF(AND(OR($BE519="Yes",$BE519="N/A"),$BF519&lt;&gt;"Yes",$BF519&lt;&gt;"N/A"),"Firmware Install, ","")&amp;IF(AND($BJ519&lt;&gt;"Yes",$BJ519&lt;&gt;"N/A"),"Device ID, ","")&amp;IF(AND($BK519&lt;&gt;"Yes",$BK519&lt;&gt;"N/A"),"Epic Beans Relay, ",""))-2)))</f>
      </c>
      <c r="BM519">
        <f>IF($T519="","",IF($BL519="","Yes","Blocked"))</f>
      </c>
    </row>
    <row r="520">
      <c r="D520">
        <f>IF($B520&lt;&gt;"Yes","",IF($C520="No","Yes",IF($C520="Yes","No","")))</f>
      </c>
      <c r="E520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</c>
      <c r="F520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</c>
      <c r="BL520">
        <f>IF($T520="","",IF((IF(AND($AW520&lt;&gt;"Yes",$AW520&lt;&gt;"N/A"),"Power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",""))="","",LEFT(IF(AND($AW520&lt;&gt;"Yes",$AW520&lt;&gt;"N/A"),"Power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",""),LEN(IF(AND($AW520&lt;&gt;"Yes",$AW520&lt;&gt;"N/A"),"Power Cable, ","")&amp;IF(AND($AX520&lt;&gt;"Yes",$AX520&lt;&gt;"N/A"),"Battery, ","")&amp;IF(AND($BE520&lt;&gt;"Yes",$BE520&lt;&gt;"N/A"),"Firmware Download, ","")&amp;IF(AND(OR($BE520="Yes",$BE520="N/A"),$BF520&lt;&gt;"Yes",$BF520&lt;&gt;"N/A"),"Firmware Install, ","")&amp;IF(AND($BJ520&lt;&gt;"Yes",$BJ520&lt;&gt;"N/A"),"Device ID, ","")&amp;IF(AND($BK520&lt;&gt;"Yes",$BK520&lt;&gt;"N/A"),"Epic Beans Relay, ",""))-2)))</f>
      </c>
      <c r="BM520">
        <f>IF($T520="","",IF($BL520="","Yes","Blocked"))</f>
      </c>
    </row>
    <row r="521">
      <c r="D521">
        <f>IF($B521&lt;&gt;"Yes","",IF($C521="No","Yes",IF($C521="Yes","No","")))</f>
      </c>
      <c r="E521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</c>
      <c r="F521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</c>
      <c r="BL521">
        <f>IF($T521="","",IF((IF(AND($AW521&lt;&gt;"Yes",$AW521&lt;&gt;"N/A"),"Power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",""))="","",LEFT(IF(AND($AW521&lt;&gt;"Yes",$AW521&lt;&gt;"N/A"),"Power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",""),LEN(IF(AND($AW521&lt;&gt;"Yes",$AW521&lt;&gt;"N/A"),"Power Cable, ","")&amp;IF(AND($AX521&lt;&gt;"Yes",$AX521&lt;&gt;"N/A"),"Battery, ","")&amp;IF(AND($BE521&lt;&gt;"Yes",$BE521&lt;&gt;"N/A"),"Firmware Download, ","")&amp;IF(AND(OR($BE521="Yes",$BE521="N/A"),$BF521&lt;&gt;"Yes",$BF521&lt;&gt;"N/A"),"Firmware Install, ","")&amp;IF(AND($BJ521&lt;&gt;"Yes",$BJ521&lt;&gt;"N/A"),"Device ID, ","")&amp;IF(AND($BK521&lt;&gt;"Yes",$BK521&lt;&gt;"N/A"),"Epic Beans Relay, ",""))-2)))</f>
      </c>
      <c r="BM521">
        <f>IF($T521="","",IF($BL521="","Yes","Blocked"))</f>
      </c>
    </row>
    <row r="522">
      <c r="D522">
        <f>IF($B522&lt;&gt;"Yes","",IF($C522="No","Yes",IF($C522="Yes","No","")))</f>
      </c>
      <c r="E522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</c>
      <c r="F522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</c>
      <c r="BL522">
        <f>IF($T522="","",IF((IF(AND($AW522&lt;&gt;"Yes",$AW522&lt;&gt;"N/A"),"Power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",""))="","",LEFT(IF(AND($AW522&lt;&gt;"Yes",$AW522&lt;&gt;"N/A"),"Power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",""),LEN(IF(AND($AW522&lt;&gt;"Yes",$AW522&lt;&gt;"N/A"),"Power Cable, ","")&amp;IF(AND($AX522&lt;&gt;"Yes",$AX522&lt;&gt;"N/A"),"Battery, ","")&amp;IF(AND($BE522&lt;&gt;"Yes",$BE522&lt;&gt;"N/A"),"Firmware Download, ","")&amp;IF(AND(OR($BE522="Yes",$BE522="N/A"),$BF522&lt;&gt;"Yes",$BF522&lt;&gt;"N/A"),"Firmware Install, ","")&amp;IF(AND($BJ522&lt;&gt;"Yes",$BJ522&lt;&gt;"N/A"),"Device ID, ","")&amp;IF(AND($BK522&lt;&gt;"Yes",$BK522&lt;&gt;"N/A"),"Epic Beans Relay, ",""))-2)))</f>
      </c>
      <c r="BM522">
        <f>IF($T522="","",IF($BL522="","Yes","Blocked"))</f>
      </c>
    </row>
    <row r="523">
      <c r="D523">
        <f>IF($B523&lt;&gt;"Yes","",IF($C523="No","Yes",IF($C523="Yes","No","")))</f>
      </c>
      <c r="E523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</c>
      <c r="F523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</c>
      <c r="BL523">
        <f>IF($T523="","",IF((IF(AND($AW523&lt;&gt;"Yes",$AW523&lt;&gt;"N/A"),"Power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",""))="","",LEFT(IF(AND($AW523&lt;&gt;"Yes",$AW523&lt;&gt;"N/A"),"Power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",""),LEN(IF(AND($AW523&lt;&gt;"Yes",$AW523&lt;&gt;"N/A"),"Power Cable, ","")&amp;IF(AND($AX523&lt;&gt;"Yes",$AX523&lt;&gt;"N/A"),"Battery, ","")&amp;IF(AND($BE523&lt;&gt;"Yes",$BE523&lt;&gt;"N/A"),"Firmware Download, ","")&amp;IF(AND(OR($BE523="Yes",$BE523="N/A"),$BF523&lt;&gt;"Yes",$BF523&lt;&gt;"N/A"),"Firmware Install, ","")&amp;IF(AND($BJ523&lt;&gt;"Yes",$BJ523&lt;&gt;"N/A"),"Device ID, ","")&amp;IF(AND($BK523&lt;&gt;"Yes",$BK523&lt;&gt;"N/A"),"Epic Beans Relay, ",""))-2)))</f>
      </c>
      <c r="BM523">
        <f>IF($T523="","",IF($BL523="","Yes","Blocked"))</f>
      </c>
    </row>
    <row r="524">
      <c r="D524">
        <f>IF($B524&lt;&gt;"Yes","",IF($C524="No","Yes",IF($C524="Yes","No","")))</f>
      </c>
      <c r="E524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</c>
      <c r="F524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</c>
      <c r="BL524">
        <f>IF($T524="","",IF((IF(AND($AW524&lt;&gt;"Yes",$AW524&lt;&gt;"N/A"),"Power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",""))="","",LEFT(IF(AND($AW524&lt;&gt;"Yes",$AW524&lt;&gt;"N/A"),"Power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",""),LEN(IF(AND($AW524&lt;&gt;"Yes",$AW524&lt;&gt;"N/A"),"Power Cable, ","")&amp;IF(AND($AX524&lt;&gt;"Yes",$AX524&lt;&gt;"N/A"),"Battery, ","")&amp;IF(AND($BE524&lt;&gt;"Yes",$BE524&lt;&gt;"N/A"),"Firmware Download, ","")&amp;IF(AND(OR($BE524="Yes",$BE524="N/A"),$BF524&lt;&gt;"Yes",$BF524&lt;&gt;"N/A"),"Firmware Install, ","")&amp;IF(AND($BJ524&lt;&gt;"Yes",$BJ524&lt;&gt;"N/A"),"Device ID, ","")&amp;IF(AND($BK524&lt;&gt;"Yes",$BK524&lt;&gt;"N/A"),"Epic Beans Relay, ",""))-2)))</f>
      </c>
      <c r="BM524">
        <f>IF($T524="","",IF($BL524="","Yes","Blocked"))</f>
      </c>
    </row>
    <row r="525">
      <c r="D525">
        <f>IF($B525&lt;&gt;"Yes","",IF($C525="No","Yes",IF($C525="Yes","No","")))</f>
      </c>
      <c r="E525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</c>
      <c r="F525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</c>
      <c r="BL525">
        <f>IF($T525="","",IF((IF(AND($AW525&lt;&gt;"Yes",$AW525&lt;&gt;"N/A"),"Power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",""))="","",LEFT(IF(AND($AW525&lt;&gt;"Yes",$AW525&lt;&gt;"N/A"),"Power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",""),LEN(IF(AND($AW525&lt;&gt;"Yes",$AW525&lt;&gt;"N/A"),"Power Cable, ","")&amp;IF(AND($AX525&lt;&gt;"Yes",$AX525&lt;&gt;"N/A"),"Battery, ","")&amp;IF(AND($BE525&lt;&gt;"Yes",$BE525&lt;&gt;"N/A"),"Firmware Download, ","")&amp;IF(AND(OR($BE525="Yes",$BE525="N/A"),$BF525&lt;&gt;"Yes",$BF525&lt;&gt;"N/A"),"Firmware Install, ","")&amp;IF(AND($BJ525&lt;&gt;"Yes",$BJ525&lt;&gt;"N/A"),"Device ID, ","")&amp;IF(AND($BK525&lt;&gt;"Yes",$BK525&lt;&gt;"N/A"),"Epic Beans Relay, ",""))-2)))</f>
      </c>
      <c r="BM525">
        <f>IF($T525="","",IF($BL525="","Yes","Blocked"))</f>
      </c>
    </row>
    <row r="526">
      <c r="D526">
        <f>IF($B526&lt;&gt;"Yes","",IF($C526="No","Yes",IF($C526="Yes","No","")))</f>
      </c>
      <c r="E526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</c>
      <c r="F526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</c>
      <c r="BL526">
        <f>IF($T526="","",IF((IF(AND($AW526&lt;&gt;"Yes",$AW526&lt;&gt;"N/A"),"Power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",""))="","",LEFT(IF(AND($AW526&lt;&gt;"Yes",$AW526&lt;&gt;"N/A"),"Power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",""),LEN(IF(AND($AW526&lt;&gt;"Yes",$AW526&lt;&gt;"N/A"),"Power Cable, ","")&amp;IF(AND($AX526&lt;&gt;"Yes",$AX526&lt;&gt;"N/A"),"Battery, ","")&amp;IF(AND($BE526&lt;&gt;"Yes",$BE526&lt;&gt;"N/A"),"Firmware Download, ","")&amp;IF(AND(OR($BE526="Yes",$BE526="N/A"),$BF526&lt;&gt;"Yes",$BF526&lt;&gt;"N/A"),"Firmware Install, ","")&amp;IF(AND($BJ526&lt;&gt;"Yes",$BJ526&lt;&gt;"N/A"),"Device ID, ","")&amp;IF(AND($BK526&lt;&gt;"Yes",$BK526&lt;&gt;"N/A"),"Epic Beans Relay, ",""))-2)))</f>
      </c>
      <c r="BM526">
        <f>IF($T526="","",IF($BL526="","Yes","Blocked"))</f>
      </c>
    </row>
    <row r="527">
      <c r="D527">
        <f>IF($B527&lt;&gt;"Yes","",IF($C527="No","Yes",IF($C527="Yes","No","")))</f>
      </c>
      <c r="E527">
        <f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</c>
      <c r="F527">
        <f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</c>
      <c r="BM527">
        <f>IF($T527="","",IF($BL527="","Yes","Blocked"))</f>
      </c>
    </row>
    <row r="528">
      <c r="D528">
        <f>IF($B528&lt;&gt;"Yes","",IF($C528="No","Yes",IF($C528="Yes","No","")))</f>
      </c>
      <c r="E528">
        <f>IF($A528="","",IF($A528="Neuron",IF(OR(AND($S528&lt;&gt;"",LOWER(TRIM($S528))&lt;&gt;"n/a",COUNTIF($S$2:$S$532,$S528)&gt;1),AND($T528&lt;&gt;"",LOWER(TRIM($T528))&lt;&gt;"n/a",COUNTIF($T$2:$T$532,$T528)&gt;1),AND($W528&lt;&gt;"",LOWER(TRIM($W528))&lt;&gt;"n/a",COUNTIF($W$2:$W$532,$W528)&gt;1)),"Yes","No"),IF($A528="Cybernet",IF(OR(AND($Y528&lt;&gt;"",LOWER(TRIM($Y528))&lt;&gt;"n/a",COUNTIF($Y$2:$Y$532,$Y528)&gt;1),AND($Z528&lt;&gt;"",LOWER(TRIM($Z528))&lt;&gt;"n/a",COUNTIF($Z$2:$Z$532,$Z528)&gt;1)),"Yes","No"),IF(AND($AL528&lt;&gt;"",LOWER(TRIM($AL528))&lt;&gt;"n/a",COUNTIF($AL$2:$AL$532,$AL528)&gt;1),"Yes","No"))))</f>
      </c>
      <c r="F528">
        <f>IF($B528&lt;&gt;"Yes","",IF($A528="Neuron",IF(OR(AND($S528&lt;&gt;"",LOWER(TRIM($S528))&lt;&gt;"n/a",COUNTIFS($B$2:$B$532,"Yes",$A$2:$A$532,"Neuron",$S$2:$S$532,$S528)&gt;1),AND($T528&lt;&gt;"",LOWER(TRIM($T528))&lt;&gt;"n/a",COUNTIFS($B$2:$B$532,"Yes",$A$2:$A$532,"Neuron",$T$2:$T$532,$T528)&gt;1),AND($W528&lt;&gt;"",LOWER(TRIM($W528))&lt;&gt;"n/a",COUNTIFS($B$2:$B$532,"Yes",$A$2:$A$532,"Neuron",$W$2:$W$532,$W528)&gt;1)),"Yes","No"),IF($A528="Cybernet",IF(OR(AND($Y528&lt;&gt;"",LOWER(TRIM($Y528))&lt;&gt;"n/a",COUNTIFS($B$2:$B$532,"Yes",$A$2:$A$532,"Cybernet",$Y$2:$Y$532,$Y528)&gt;1),AND($Z528&lt;&gt;"",LOWER(TRIM($Z528))&lt;&gt;"n/a",COUNTIFS($B$2:$B$532,"Yes",$A$2:$A$532,"Cybernet",$Z$2:$Z$532,$Z528)&gt;1)),"Yes","No"),IF(AND($AL528&lt;&gt;"",LOWER(TRIM($AL528))&lt;&gt;"n/a"),IF(COUNTIFS($B$2:$B$532,"Yes",$A$2:$A$532,$A528,$AL$2:$AL$532,$AL528)&gt;1,"Yes","No"),"No"))))</f>
      </c>
      <c r="BM528">
        <f>IF($T528="","",IF($BL528="","Yes","Blocked"))</f>
      </c>
    </row>
    <row r="529">
      <c r="D529">
        <f>IF($B529&lt;&gt;"Yes","",IF($C529="No","Yes",IF($C529="Yes","No","")))</f>
      </c>
      <c r="E529">
        <f>IF($A529="","",IF($A529="Neuron",IF(OR(AND($S529&lt;&gt;"",LOWER(TRIM($S529))&lt;&gt;"n/a",COUNTIF($S$2:$S$532,$S529)&gt;1),AND($T529&lt;&gt;"",LOWER(TRIM($T529))&lt;&gt;"n/a",COUNTIF($T$2:$T$532,$T529)&gt;1),AND($W529&lt;&gt;"",LOWER(TRIM($W529))&lt;&gt;"n/a",COUNTIF($W$2:$W$532,$W529)&gt;1)),"Yes","No"),IF($A529="Cybernet",IF(OR(AND($Y529&lt;&gt;"",LOWER(TRIM($Y529))&lt;&gt;"n/a",COUNTIF($Y$2:$Y$532,$Y529)&gt;1),AND($Z529&lt;&gt;"",LOWER(TRIM($Z529))&lt;&gt;"n/a",COUNTIF($Z$2:$Z$532,$Z529)&gt;1)),"Yes","No"),IF(AND($AL529&lt;&gt;"",LOWER(TRIM($AL529))&lt;&gt;"n/a",COUNTIF($AL$2:$AL$532,$AL529)&gt;1),"Yes","No"))))</f>
      </c>
      <c r="F529">
        <f>IF($B529&lt;&gt;"Yes","",IF($A529="Neuron",IF(OR(AND($S529&lt;&gt;"",LOWER(TRIM($S529))&lt;&gt;"n/a",COUNTIFS($B$2:$B$532,"Yes",$A$2:$A$532,"Neuron",$S$2:$S$532,$S529)&gt;1),AND($T529&lt;&gt;"",LOWER(TRIM($T529))&lt;&gt;"n/a",COUNTIFS($B$2:$B$532,"Yes",$A$2:$A$532,"Neuron",$T$2:$T$532,$T529)&gt;1),AND($W529&lt;&gt;"",LOWER(TRIM($W529))&lt;&gt;"n/a",COUNTIFS($B$2:$B$532,"Yes",$A$2:$A$532,"Neuron",$W$2:$W$532,$W529)&gt;1)),"Yes","No"),IF($A529="Cybernet",IF(OR(AND($Y529&lt;&gt;"",LOWER(TRIM($Y529))&lt;&gt;"n/a",COUNTIFS($B$2:$B$532,"Yes",$A$2:$A$532,"Cybernet",$Y$2:$Y$532,$Y529)&gt;1),AND($Z529&lt;&gt;"",LOWER(TRIM($Z529))&lt;&gt;"n/a",COUNTIFS($B$2:$B$532,"Yes",$A$2:$A$532,"Cybernet",$Z$2:$Z$532,$Z529)&gt;1)),"Yes","No"),IF(AND($AL529&lt;&gt;"",LOWER(TRIM($AL529))&lt;&gt;"n/a"),IF(COUNTIFS($B$2:$B$532,"Yes",$A$2:$A$532,$A529,$AL$2:$AL$532,$AL529)&gt;1,"Yes","No"),"No"))))</f>
      </c>
      <c r="BM529">
        <f>IF($T529="","",IF($BL529="","Yes","Blocked"))</f>
      </c>
    </row>
    <row r="530">
      <c r="D530">
        <f>IF($B530&lt;&gt;"Yes","",IF($C530="No","Yes",IF($C530="Yes","No","")))</f>
      </c>
      <c r="E530">
        <f>IF($A530="","",IF($A530="Neuron",IF(OR(AND($S530&lt;&gt;"",LOWER(TRIM($S530))&lt;&gt;"n/a",COUNTIF($S$2:$S$532,$S530)&gt;1),AND($T530&lt;&gt;"",LOWER(TRIM($T530))&lt;&gt;"n/a",COUNTIF($T$2:$T$532,$T530)&gt;1),AND($W530&lt;&gt;"",LOWER(TRIM($W530))&lt;&gt;"n/a",COUNTIF($W$2:$W$532,$W530)&gt;1)),"Yes","No"),IF($A530="Cybernet",IF(OR(AND($Y530&lt;&gt;"",LOWER(TRIM($Y530))&lt;&gt;"n/a",COUNTIF($Y$2:$Y$532,$Y530)&gt;1),AND($Z530&lt;&gt;"",LOWER(TRIM($Z530))&lt;&gt;"n/a",COUNTIF($Z$2:$Z$532,$Z530)&gt;1)),"Yes","No"),IF(AND($AL530&lt;&gt;"",LOWER(TRIM($AL530))&lt;&gt;"n/a",COUNTIF($AL$2:$AL$532,$AL530)&gt;1),"Yes","No"))))</f>
      </c>
      <c r="F530">
        <f>IF($B530&lt;&gt;"Yes","",IF($A530="Neuron",IF(OR(AND($S530&lt;&gt;"",LOWER(TRIM($S530))&lt;&gt;"n/a",COUNTIFS($B$2:$B$532,"Yes",$A$2:$A$532,"Neuron",$S$2:$S$532,$S530)&gt;1),AND($T530&lt;&gt;"",LOWER(TRIM($T530))&lt;&gt;"n/a",COUNTIFS($B$2:$B$532,"Yes",$A$2:$A$532,"Neuron",$T$2:$T$532,$T530)&gt;1),AND($W530&lt;&gt;"",LOWER(TRIM($W530))&lt;&gt;"n/a",COUNTIFS($B$2:$B$532,"Yes",$A$2:$A$532,"Neuron",$W$2:$W$532,$W530)&gt;1)),"Yes","No"),IF($A530="Cybernet",IF(OR(AND($Y530&lt;&gt;"",LOWER(TRIM($Y530))&lt;&gt;"n/a",COUNTIFS($B$2:$B$532,"Yes",$A$2:$A$532,"Cybernet",$Y$2:$Y$532,$Y530)&gt;1),AND($Z530&lt;&gt;"",LOWER(TRIM($Z530))&lt;&gt;"n/a",COUNTIFS($B$2:$B$532,"Yes",$A$2:$A$532,"Cybernet",$Z$2:$Z$532,$Z530)&gt;1)),"Yes","No"),IF(AND($AL530&lt;&gt;"",LOWER(TRIM($AL530))&lt;&gt;"n/a"),IF(COUNTIFS($B$2:$B$532,"Yes",$A$2:$A$532,$A530,$AL$2:$AL$532,$AL530)&gt;1,"Yes","No"),"No"))))</f>
      </c>
      <c r="BM530">
        <f>IF($T530="","",IF($BL530="","Yes","Blocked"))</f>
      </c>
    </row>
    <row r="531">
      <c r="A531" t="s">
        <v>1331</v>
      </c>
      <c r="B531" t="s">
        <v>1727</v>
      </c>
      <c r="C531" t="s">
        <v>1727</v>
      </c>
      <c r="D531">
        <f>IF($B531&lt;&gt;"Yes","",IF($C531="No","Yes",IF($C531="Yes","No","")))</f>
      </c>
      <c r="E531">
        <f>IF($A531="","",IF($A531="Neuron",IF(OR(AND($S531&lt;&gt;"",LOWER(TRIM($S531))&lt;&gt;"n/a",COUNTIF($S$2:$S$532,$S531)&gt;1),AND($T531&lt;&gt;"",LOWER(TRIM($T531))&lt;&gt;"n/a",COUNTIF($T$2:$T$532,$T531)&gt;1),AND($W531&lt;&gt;"",LOWER(TRIM($W531))&lt;&gt;"n/a",COUNTIF($W$2:$W$532,$W531)&gt;1)),"Yes","No"),IF($A531="Cybernet",IF(OR(AND($Y531&lt;&gt;"",LOWER(TRIM($Y531))&lt;&gt;"n/a",COUNTIF($Y$2:$Y$532,$Y531)&gt;1),AND($Z531&lt;&gt;"",LOWER(TRIM($Z531))&lt;&gt;"n/a",COUNTIF($Z$2:$Z$532,$Z531)&gt;1)),"Yes","No"),IF(AND($AL531&lt;&gt;"",LOWER(TRIM($AL531))&lt;&gt;"n/a",COUNTIF($AL$2:$AL$532,$AL531)&gt;1),"Yes","No"))))</f>
      </c>
      <c r="F531">
        <f>IF($B531&lt;&gt;"Yes","",IF($A531="Neuron",IF(OR(AND($S531&lt;&gt;"",LOWER(TRIM($S531))&lt;&gt;"n/a",COUNTIFS($B$2:$B$532,"Yes",$A$2:$A$532,"Neuron",$S$2:$S$532,$S531)&gt;1),AND($T531&lt;&gt;"",LOWER(TRIM($T531))&lt;&gt;"n/a",COUNTIFS($B$2:$B$532,"Yes",$A$2:$A$532,"Neuron",$T$2:$T$532,$T531)&gt;1),AND($W531&lt;&gt;"",LOWER(TRIM($W531))&lt;&gt;"n/a",COUNTIFS($B$2:$B$532,"Yes",$A$2:$A$532,"Neuron",$W$2:$W$532,$W531)&gt;1)),"Yes","No"),IF($A531="Cybernet",IF(OR(AND($Y531&lt;&gt;"",LOWER(TRIM($Y531))&lt;&gt;"n/a",COUNTIFS($B$2:$B$532,"Yes",$A$2:$A$532,"Cybernet",$Y$2:$Y$532,$Y531)&gt;1),AND($Z531&lt;&gt;"",LOWER(TRIM($Z531))&lt;&gt;"n/a",COUNTIFS($B$2:$B$532,"Yes",$A$2:$A$532,"Cybernet",$Z$2:$Z$532,$Z531)&gt;1)),"Yes","No"),IF(AND($AL531&lt;&gt;"",LOWER(TRIM($AL531))&lt;&gt;"n/a"),IF(COUNTIFS($B$2:$B$532,"Yes",$A$2:$A$532,$A531,$AL$2:$AL$532,$AL531)&gt;1,"Yes","No"),"No"))))</f>
      </c>
      <c r="S531" t="s">
        <v>2056</v>
      </c>
      <c r="BM531">
        <f>IF($T531="","",IF($BL531="","Yes","Blocked"))</f>
      </c>
    </row>
    <row r="532">
      <c r="A532" t="s">
        <v>1331</v>
      </c>
      <c r="B532" t="s">
        <v>1727</v>
      </c>
      <c r="C532" t="s">
        <v>1727</v>
      </c>
      <c r="E532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</c>
      <c r="F532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</c>
      <c r="S532" t="s">
        <v>2056</v>
      </c>
      <c r="BL532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</c>
      <c r="BM532">
        <f>IF($T532="","",IF($BL532="","Yes","Blocked"))</f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1353</v>
      </c>
      <c r="B1" s="19" t="s">
        <v>1354</v>
      </c>
      <c r="C1" s="19" t="s">
        <v>1355</v>
      </c>
      <c r="D1" s="19" t="s">
        <v>1356</v>
      </c>
      <c r="E1" s="19" t="s">
        <v>1357</v>
      </c>
      <c r="F1" s="19" t="s">
        <v>1358</v>
      </c>
      <c r="G1" s="19" t="s">
        <v>1359</v>
      </c>
      <c r="H1" s="19" t="s">
        <v>1360</v>
      </c>
      <c r="I1" s="19" t="s">
        <v>1361</v>
      </c>
    </row>
    <row r="2" spans="1:9">
      <c r="A2" t="s">
        <v>1362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9</v>
      </c>
      <c r="G2" t="s">
        <v>1363</v>
      </c>
      <c r="H2" s="17" t="s">
        <v>1364</v>
      </c>
    </row>
    <row r="3" spans="1:9">
      <c r="A3" t="s">
        <v>1365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-12</v>
      </c>
      <c r="G3" t="s">
        <v>1366</v>
      </c>
      <c r="H3" t="s">
        <v>1367</v>
      </c>
    </row>
    <row r="4" spans="1:9">
      <c r="A4" t="s">
        <v>1368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2</v>
      </c>
      <c r="G4" t="s">
        <v>1369</v>
      </c>
      <c r="H4" s="17" t="s">
        <v>1370</v>
      </c>
      <c r="I4" t="s">
        <v>1371</v>
      </c>
    </row>
    <row r="5" spans="1:9">
      <c r="A5" t="s">
        <v>1372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-5</v>
      </c>
      <c r="G5" t="s">
        <v>1373</v>
      </c>
      <c r="H5" s="17" t="s">
        <v>1370</v>
      </c>
      <c r="I5" t="s">
        <v>1374</v>
      </c>
    </row>
    <row r="6" spans="1:9">
      <c r="A6" t="s">
        <v>1375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2</v>
      </c>
      <c r="G6" t="s">
        <v>1376</v>
      </c>
      <c r="H6" s="17" t="s">
        <v>1370</v>
      </c>
    </row>
    <row r="7" spans="1:9">
      <c r="A7" t="s">
        <v>1377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9</v>
      </c>
      <c r="G7" t="s">
        <v>1378</v>
      </c>
    </row>
    <row r="8" spans="1:9">
      <c r="A8" t="s">
        <v>1379</v>
      </c>
      <c r="B8">
        <v>3</v>
      </c>
      <c r="C8">
        <v>0</v>
      </c>
      <c r="D8" s="54">
        <f t="shared" si="0"/>
        <v>0</v>
      </c>
      <c r="E8" t="s">
        <v>1380</v>
      </c>
      <c r="F8" t="e">
        <f t="shared" ca="1" si="1"/>
        <v>#VALUE!</v>
      </c>
      <c r="G8" t="s">
        <v>1381</v>
      </c>
    </row>
    <row r="9" spans="1:9">
      <c r="A9" t="s">
        <v>1382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23</v>
      </c>
      <c r="G9" t="s">
        <v>1383</v>
      </c>
    </row>
    <row r="10" spans="1:9">
      <c r="A10" t="s">
        <v>1384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24</v>
      </c>
      <c r="G10" t="s">
        <v>1383</v>
      </c>
    </row>
    <row r="11" spans="1:9">
      <c r="A11" t="s">
        <v>1385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16</v>
      </c>
      <c r="G11" t="s">
        <v>1383</v>
      </c>
    </row>
    <row r="12" spans="1:9">
      <c r="A12" t="s">
        <v>1386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30</v>
      </c>
      <c r="G12" t="s">
        <v>1383</v>
      </c>
    </row>
    <row r="13" spans="1:9">
      <c r="A13" t="s">
        <v>1387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37</v>
      </c>
      <c r="G13" t="s">
        <v>1383</v>
      </c>
    </row>
    <row r="14" spans="1:9">
      <c r="A14" t="s">
        <v>1388</v>
      </c>
      <c r="B14">
        <v>6</v>
      </c>
      <c r="C14">
        <v>0</v>
      </c>
      <c r="D14" s="54">
        <f t="shared" si="0"/>
        <v>0</v>
      </c>
      <c r="E14" t="s">
        <v>1380</v>
      </c>
      <c r="F14" t="e">
        <f t="shared" ca="1" si="1"/>
        <v>#VALUE!</v>
      </c>
      <c r="G14" t="s">
        <v>1383</v>
      </c>
    </row>
    <row r="15" spans="1:9">
      <c r="A15" s="18" t="s">
        <v>1389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1390</v>
      </c>
      <c r="B1" s="41" t="s">
        <v>1391</v>
      </c>
      <c r="C1" s="41" t="s">
        <v>1392</v>
      </c>
      <c r="D1" s="41" t="s">
        <v>1393</v>
      </c>
      <c r="E1" s="41" t="s">
        <v>1394</v>
      </c>
      <c r="F1" s="41" t="s">
        <v>1395</v>
      </c>
      <c r="G1" s="41" t="s">
        <v>1396</v>
      </c>
      <c r="H1" s="41" t="s">
        <v>1</v>
      </c>
      <c r="I1" s="41" t="s">
        <v>1397</v>
      </c>
      <c r="J1" s="41" t="s">
        <v>1398</v>
      </c>
      <c r="K1" s="41" t="s">
        <v>1399</v>
      </c>
      <c r="L1" s="41" t="s">
        <v>1400</v>
      </c>
      <c r="M1" s="41" t="s">
        <v>1401</v>
      </c>
      <c r="N1" s="41" t="s">
        <v>1402</v>
      </c>
      <c r="O1" s="41" t="s">
        <v>1403</v>
      </c>
      <c r="P1" s="41" t="s">
        <v>1404</v>
      </c>
      <c r="Q1" s="41" t="s">
        <v>1405</v>
      </c>
      <c r="R1" s="41" t="s">
        <v>1406</v>
      </c>
      <c r="S1" s="41" t="s">
        <v>1407</v>
      </c>
      <c r="T1" s="41" t="s">
        <v>1408</v>
      </c>
      <c r="U1" s="41" t="s">
        <v>1409</v>
      </c>
      <c r="V1" s="41" t="s">
        <v>1410</v>
      </c>
      <c r="W1" s="41" t="s">
        <v>1411</v>
      </c>
      <c r="X1" s="41" t="s">
        <v>1412</v>
      </c>
      <c r="Y1" s="41" t="s">
        <v>189</v>
      </c>
      <c r="Z1" s="41" t="s">
        <v>1413</v>
      </c>
      <c r="AA1" s="41" t="s">
        <v>1414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1415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1331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1392</v>
      </c>
      <c r="B1" s="42" t="s">
        <v>1416</v>
      </c>
      <c r="C1" s="42" t="s">
        <v>1417</v>
      </c>
      <c r="D1" s="42" t="s">
        <v>1398</v>
      </c>
      <c r="E1" s="42" t="s">
        <v>1402</v>
      </c>
      <c r="F1" s="42" t="s">
        <v>1403</v>
      </c>
      <c r="G1" s="42" t="s">
        <v>1404</v>
      </c>
      <c r="H1" s="42" t="s">
        <v>1401</v>
      </c>
      <c r="I1" s="42" t="s">
        <v>1418</v>
      </c>
      <c r="J1" s="42" t="s">
        <v>1419</v>
      </c>
      <c r="K1" s="42" t="s">
        <v>1420</v>
      </c>
      <c r="L1" s="42" t="s">
        <v>1413</v>
      </c>
      <c r="M1" s="42" t="s">
        <v>1414</v>
      </c>
      <c r="N1" s="42" t="s">
        <v>1412</v>
      </c>
      <c r="O1" s="42" t="s">
        <v>1421</v>
      </c>
      <c r="P1" s="42" t="s">
        <v>1410</v>
      </c>
      <c r="Q1" s="42" t="s">
        <v>1422</v>
      </c>
      <c r="R1" s="42" t="s">
        <v>1423</v>
      </c>
      <c r="S1" s="42" t="s">
        <v>1424</v>
      </c>
      <c r="T1" s="42" t="s">
        <v>1425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Blocked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Blocked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Blocked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Blocked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Blocked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Blocked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Blocked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Blocked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Blocked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Blocked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Blocked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Blocked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Blocked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Blocked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Blocked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Blocked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Blocked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Blocked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Blocked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Blocked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Blocked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Blocked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Blocked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Blocked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Blocked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Blocked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Blocked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Blocked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Blocked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Blocked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Blocked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Blocked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Blocked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Blocked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Blocked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Blocked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Blocked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Blocked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Blocked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Blocked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Blocked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Blocked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Blocked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Blocked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Blocked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Blocked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Blocked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Blocked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/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/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/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str">
        <f>'12 - Device_Configuration'!BL104</f>
        <v/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/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/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/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/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/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/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/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/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/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/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/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/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/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/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/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/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/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>Blocked</v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>Blocked</v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>Blocked</v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>Blocked</v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Blocked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Blocked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Blocked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/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/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/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/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1426</v>
      </c>
      <c r="B1" s="61" t="s">
        <v>1427</v>
      </c>
      <c r="C1" s="63"/>
      <c r="D1" s="61" t="s">
        <v>1428</v>
      </c>
      <c r="E1" s="63"/>
      <c r="F1" s="61" t="s">
        <v>1429</v>
      </c>
      <c r="G1" s="64"/>
      <c r="H1" s="63"/>
      <c r="I1" s="5"/>
      <c r="J1" s="61" t="s">
        <v>1430</v>
      </c>
      <c r="K1" s="63"/>
    </row>
    <row r="2" spans="1:11" ht="30" customHeight="1">
      <c r="A2" s="6"/>
      <c r="B2" s="6" t="s">
        <v>1331</v>
      </c>
      <c r="C2" s="6" t="s">
        <v>1415</v>
      </c>
      <c r="D2" s="6" t="s">
        <v>1331</v>
      </c>
      <c r="E2" s="6" t="s">
        <v>1415</v>
      </c>
      <c r="F2" s="6" t="s">
        <v>1431</v>
      </c>
      <c r="G2" s="6" t="s">
        <v>1432</v>
      </c>
      <c r="H2" s="6" t="s">
        <v>1433</v>
      </c>
      <c r="I2" s="6"/>
      <c r="J2" s="6" t="s">
        <v>1331</v>
      </c>
      <c r="K2" s="6" t="s">
        <v>1415</v>
      </c>
    </row>
    <row r="3" spans="1:11">
      <c r="A3" s="7" t="s">
        <v>1434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1435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1436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1437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1438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1439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1440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1441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1442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1443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1444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1445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1446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1447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1448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1449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1450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1451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1452</v>
      </c>
      <c r="B1" s="50" t="s">
        <v>1453</v>
      </c>
      <c r="C1" s="50" t="s">
        <v>1454</v>
      </c>
      <c r="D1" s="50" t="s">
        <v>1</v>
      </c>
      <c r="E1" s="50" t="s">
        <v>1455</v>
      </c>
      <c r="F1" s="50" t="s">
        <v>1456</v>
      </c>
      <c r="G1" s="50" t="s">
        <v>1457</v>
      </c>
      <c r="H1" s="50" t="s">
        <v>1426</v>
      </c>
      <c r="I1" s="50" t="s">
        <v>1458</v>
      </c>
      <c r="J1" s="50" t="s">
        <v>1459</v>
      </c>
      <c r="K1" s="50" t="s">
        <v>189</v>
      </c>
    </row>
    <row r="2" spans="1:11" ht="30">
      <c r="A2" s="3"/>
      <c r="B2" s="4" t="s">
        <v>1460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1461</v>
      </c>
      <c r="C3" s="4" t="s">
        <v>1462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1463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1464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1465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1466</v>
      </c>
      <c r="C7" s="4" t="s">
        <v>1467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1468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1469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1470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1471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1472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1473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1474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1475</v>
      </c>
      <c r="B15" s="4" t="s">
        <v>1476</v>
      </c>
      <c r="C15" s="4" t="s">
        <v>1477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1478</v>
      </c>
    </row>
    <row r="3" spans="1:6">
      <c r="A3" s="10" t="s">
        <v>1479</v>
      </c>
    </row>
    <row r="4" spans="1:6" ht="30" customHeight="1">
      <c r="A4" s="50" t="s">
        <v>1458</v>
      </c>
      <c r="B4" s="50" t="s">
        <v>1480</v>
      </c>
      <c r="C4" s="50" t="s">
        <v>1481</v>
      </c>
      <c r="D4" s="50" t="s">
        <v>1482</v>
      </c>
      <c r="E4" s="50" t="s">
        <v>1341</v>
      </c>
      <c r="F4" s="50" t="s">
        <v>1483</v>
      </c>
    </row>
    <row r="5" spans="1:6">
      <c r="A5" s="7" t="s">
        <v>1484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1485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1486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1487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1488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1489</v>
      </c>
    </row>
    <row r="14" spans="1:6">
      <c r="A14" s="50" t="s">
        <v>1490</v>
      </c>
      <c r="B14" s="50" t="s">
        <v>1292</v>
      </c>
    </row>
    <row r="15" spans="1:6">
      <c r="A15" s="7" t="s">
        <v>1491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1492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1493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1494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1495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1496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1497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1498</v>
      </c>
    </row>
    <row r="3" spans="1:7" ht="30" customHeight="1">
      <c r="A3" s="50" t="s">
        <v>1453</v>
      </c>
      <c r="B3" s="50" t="s">
        <v>1499</v>
      </c>
      <c r="C3" s="50" t="s">
        <v>1500</v>
      </c>
      <c r="D3" s="50" t="s">
        <v>1501</v>
      </c>
      <c r="E3" s="50" t="s">
        <v>1502</v>
      </c>
      <c r="F3" s="50" t="s">
        <v>1503</v>
      </c>
      <c r="G3" s="50" t="s">
        <v>189</v>
      </c>
    </row>
    <row r="4" spans="1:7" ht="150">
      <c r="A4" s="8" t="s">
        <v>1331</v>
      </c>
      <c r="B4" s="4" t="s">
        <v>1504</v>
      </c>
      <c r="C4" s="8" t="s">
        <v>1331</v>
      </c>
      <c r="D4" s="8" t="s">
        <v>1505</v>
      </c>
      <c r="E4" s="8"/>
      <c r="F4" s="12"/>
      <c r="G4" s="4"/>
    </row>
    <row r="5" spans="1:7" ht="30" customHeight="1">
      <c r="A5" s="8" t="s">
        <v>1331</v>
      </c>
      <c r="B5" s="4" t="s">
        <v>1506</v>
      </c>
      <c r="C5" s="8" t="s">
        <v>1331</v>
      </c>
      <c r="D5" s="8" t="s">
        <v>1505</v>
      </c>
      <c r="E5" s="8"/>
      <c r="F5" s="12"/>
      <c r="G5" s="4"/>
    </row>
    <row r="6" spans="1:7" ht="30" customHeight="1">
      <c r="A6" s="8" t="s">
        <v>1331</v>
      </c>
      <c r="B6" s="4" t="s">
        <v>1507</v>
      </c>
      <c r="C6" s="8" t="s">
        <v>1331</v>
      </c>
      <c r="D6" s="8" t="s">
        <v>1505</v>
      </c>
      <c r="E6" s="8"/>
      <c r="F6" s="12"/>
      <c r="G6" s="4"/>
    </row>
    <row r="7" spans="1:7" ht="30" customHeight="1">
      <c r="A7" s="8" t="s">
        <v>1331</v>
      </c>
      <c r="B7" s="4" t="s">
        <v>1508</v>
      </c>
      <c r="C7" s="8" t="s">
        <v>1331</v>
      </c>
      <c r="D7" s="8" t="s">
        <v>1505</v>
      </c>
      <c r="E7" s="8"/>
      <c r="F7" s="12"/>
      <c r="G7" s="4"/>
    </row>
    <row r="8" spans="1:7" ht="150">
      <c r="A8" s="8" t="s">
        <v>1331</v>
      </c>
      <c r="B8" s="4" t="s">
        <v>1509</v>
      </c>
      <c r="C8" s="8" t="s">
        <v>1331</v>
      </c>
      <c r="D8" s="8" t="s">
        <v>1505</v>
      </c>
      <c r="E8" s="8"/>
      <c r="F8" s="12"/>
      <c r="G8" s="4"/>
    </row>
    <row r="9" spans="1:7" ht="30" customHeight="1">
      <c r="A9" s="8" t="s">
        <v>1331</v>
      </c>
      <c r="B9" s="4" t="s">
        <v>1510</v>
      </c>
      <c r="C9" s="8" t="s">
        <v>1331</v>
      </c>
      <c r="D9" s="8" t="s">
        <v>1505</v>
      </c>
      <c r="E9" s="8"/>
      <c r="F9" s="12"/>
      <c r="G9" s="4"/>
    </row>
    <row r="10" spans="1:7" ht="45" customHeight="1">
      <c r="A10" s="8" t="s">
        <v>1511</v>
      </c>
      <c r="B10" s="4" t="s">
        <v>1512</v>
      </c>
      <c r="C10" s="8" t="s">
        <v>1331</v>
      </c>
      <c r="D10" s="8" t="s">
        <v>1505</v>
      </c>
      <c r="E10" s="8"/>
      <c r="F10" s="12"/>
      <c r="G10" s="4"/>
    </row>
    <row r="11" spans="1:7" ht="30" customHeight="1">
      <c r="A11" s="8" t="s">
        <v>1513</v>
      </c>
      <c r="B11" s="4" t="s">
        <v>1514</v>
      </c>
      <c r="C11" s="8" t="s">
        <v>1515</v>
      </c>
      <c r="D11" s="8" t="s">
        <v>1505</v>
      </c>
      <c r="E11" s="8"/>
      <c r="F11" s="12"/>
      <c r="G11" s="4"/>
    </row>
    <row r="12" spans="1:7" ht="30" customHeight="1">
      <c r="A12" s="8" t="s">
        <v>1516</v>
      </c>
      <c r="B12" s="4" t="s">
        <v>1517</v>
      </c>
      <c r="C12" s="8" t="s">
        <v>1331</v>
      </c>
      <c r="D12" s="8" t="s">
        <v>1505</v>
      </c>
      <c r="E12" s="8"/>
      <c r="F12" s="12"/>
      <c r="G12" s="4"/>
    </row>
    <row r="13" spans="1:7" ht="30" customHeight="1">
      <c r="A13" s="8" t="s">
        <v>1518</v>
      </c>
      <c r="B13" s="4" t="s">
        <v>1519</v>
      </c>
      <c r="C13" s="8" t="s">
        <v>1331</v>
      </c>
      <c r="D13" s="8" t="s">
        <v>1505</v>
      </c>
      <c r="E13" s="8"/>
      <c r="F13" s="12"/>
      <c r="G13" s="4"/>
    </row>
    <row r="14" spans="1:7" ht="30" customHeight="1">
      <c r="A14" s="8" t="s">
        <v>1520</v>
      </c>
      <c r="B14" s="4" t="s">
        <v>1521</v>
      </c>
      <c r="C14" s="8" t="s">
        <v>1522</v>
      </c>
      <c r="D14" s="8" t="s">
        <v>1505</v>
      </c>
      <c r="E14" s="8"/>
      <c r="F14" s="12"/>
      <c r="G14" s="4"/>
    </row>
    <row r="15" spans="1:7" ht="30" customHeight="1">
      <c r="A15" s="8" t="s">
        <v>1520</v>
      </c>
      <c r="B15" s="4" t="s">
        <v>1523</v>
      </c>
      <c r="C15" s="8" t="s">
        <v>1331</v>
      </c>
      <c r="D15" s="8" t="s">
        <v>1505</v>
      </c>
      <c r="E15" s="8"/>
      <c r="F15" s="12"/>
      <c r="G15" s="4"/>
    </row>
    <row r="16" spans="1:7" ht="30" customHeight="1">
      <c r="A16" s="8" t="s">
        <v>1520</v>
      </c>
      <c r="B16" s="4" t="s">
        <v>1524</v>
      </c>
      <c r="C16" s="8" t="s">
        <v>1415</v>
      </c>
      <c r="D16" s="8" t="s">
        <v>1505</v>
      </c>
      <c r="E16" s="8"/>
      <c r="F16" s="12"/>
      <c r="G16" s="4"/>
    </row>
    <row r="17" spans="1:7" ht="30" customHeight="1">
      <c r="A17" s="8" t="s">
        <v>1520</v>
      </c>
      <c r="B17" s="4" t="s">
        <v>1525</v>
      </c>
      <c r="C17" s="8" t="s">
        <v>1415</v>
      </c>
      <c r="D17" s="8" t="s">
        <v>1505</v>
      </c>
      <c r="E17" s="8"/>
      <c r="F17" s="12"/>
      <c r="G17" s="4"/>
    </row>
    <row r="18" spans="1:7" ht="150">
      <c r="A18" s="8" t="s">
        <v>1520</v>
      </c>
      <c r="B18" s="4" t="s">
        <v>1526</v>
      </c>
      <c r="C18" s="8" t="s">
        <v>1415</v>
      </c>
      <c r="D18" s="8" t="s">
        <v>1505</v>
      </c>
      <c r="E18" s="8"/>
      <c r="F18" s="12"/>
      <c r="G18" s="4"/>
    </row>
    <row r="19" spans="1:7" ht="30" customHeight="1">
      <c r="A19" s="8" t="s">
        <v>1527</v>
      </c>
      <c r="B19" s="4" t="s">
        <v>1528</v>
      </c>
      <c r="C19" s="8" t="s">
        <v>1415</v>
      </c>
      <c r="D19" s="8" t="s">
        <v>1505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1529</v>
      </c>
    </row>
    <row r="3" spans="1:8" ht="30" customHeight="1">
      <c r="A3" s="50" t="s">
        <v>1426</v>
      </c>
      <c r="B3" s="50" t="s">
        <v>1530</v>
      </c>
      <c r="C3" s="50" t="s">
        <v>1531</v>
      </c>
      <c r="D3" s="50" t="s">
        <v>1532</v>
      </c>
      <c r="E3" s="50" t="s">
        <v>1533</v>
      </c>
      <c r="F3" s="50" t="s">
        <v>1534</v>
      </c>
      <c r="G3" s="50" t="s">
        <v>34</v>
      </c>
      <c r="H3" s="50" t="s">
        <v>189</v>
      </c>
    </row>
    <row r="4" spans="1:8" ht="75">
      <c r="A4" s="8" t="s">
        <v>1434</v>
      </c>
      <c r="B4" s="8" t="s">
        <v>1535</v>
      </c>
      <c r="C4" s="8" t="s">
        <v>1535</v>
      </c>
      <c r="D4" s="8" t="s">
        <v>1535</v>
      </c>
      <c r="E4" s="8" t="s">
        <v>1535</v>
      </c>
      <c r="F4" s="8" t="s">
        <v>1535</v>
      </c>
      <c r="G4" s="8" t="s">
        <v>1535</v>
      </c>
      <c r="H4" s="4"/>
    </row>
    <row r="5" spans="1:8" ht="75">
      <c r="A5" s="8" t="s">
        <v>1435</v>
      </c>
      <c r="B5" s="8" t="s">
        <v>1535</v>
      </c>
      <c r="C5" s="8" t="s">
        <v>1535</v>
      </c>
      <c r="D5" s="8" t="s">
        <v>1535</v>
      </c>
      <c r="E5" s="8" t="s">
        <v>1535</v>
      </c>
      <c r="F5" s="8" t="s">
        <v>1535</v>
      </c>
      <c r="G5" s="8" t="s">
        <v>1535</v>
      </c>
      <c r="H5" s="4"/>
    </row>
    <row r="6" spans="1:8" ht="75">
      <c r="A6" s="8" t="s">
        <v>1436</v>
      </c>
      <c r="B6" s="8" t="s">
        <v>1535</v>
      </c>
      <c r="C6" s="8" t="s">
        <v>1535</v>
      </c>
      <c r="D6" s="8" t="s">
        <v>1535</v>
      </c>
      <c r="E6" s="8" t="s">
        <v>1535</v>
      </c>
      <c r="F6" s="8" t="s">
        <v>1535</v>
      </c>
      <c r="G6" s="8" t="s">
        <v>1535</v>
      </c>
      <c r="H6" s="4"/>
    </row>
    <row r="7" spans="1:8" ht="75">
      <c r="A7" s="8" t="s">
        <v>1437</v>
      </c>
      <c r="B7" s="8" t="s">
        <v>1535</v>
      </c>
      <c r="C7" s="8" t="s">
        <v>1535</v>
      </c>
      <c r="D7" s="8" t="s">
        <v>1535</v>
      </c>
      <c r="E7" s="8" t="s">
        <v>1535</v>
      </c>
      <c r="F7" s="8" t="s">
        <v>1535</v>
      </c>
      <c r="G7" s="8" t="s">
        <v>1535</v>
      </c>
      <c r="H7" s="4"/>
    </row>
    <row r="8" spans="1:8" ht="75">
      <c r="A8" s="8" t="s">
        <v>1438</v>
      </c>
      <c r="B8" s="8" t="s">
        <v>1535</v>
      </c>
      <c r="C8" s="8" t="s">
        <v>1535</v>
      </c>
      <c r="D8" s="8" t="s">
        <v>1535</v>
      </c>
      <c r="E8" s="8" t="s">
        <v>1535</v>
      </c>
      <c r="F8" s="8" t="s">
        <v>1535</v>
      </c>
      <c r="G8" s="8" t="s">
        <v>1535</v>
      </c>
      <c r="H8" s="4"/>
    </row>
    <row r="9" spans="1:8" ht="75">
      <c r="A9" s="8" t="s">
        <v>1439</v>
      </c>
      <c r="B9" s="8" t="s">
        <v>1535</v>
      </c>
      <c r="C9" s="8" t="s">
        <v>1535</v>
      </c>
      <c r="D9" s="8" t="s">
        <v>1535</v>
      </c>
      <c r="E9" s="8" t="s">
        <v>1535</v>
      </c>
      <c r="F9" s="8" t="s">
        <v>1535</v>
      </c>
      <c r="G9" s="8" t="s">
        <v>1535</v>
      </c>
      <c r="H9" s="4"/>
    </row>
    <row r="10" spans="1:8" ht="75">
      <c r="A10" s="8" t="s">
        <v>1440</v>
      </c>
      <c r="B10" s="8" t="s">
        <v>1535</v>
      </c>
      <c r="C10" s="8" t="s">
        <v>1535</v>
      </c>
      <c r="D10" s="8" t="s">
        <v>1535</v>
      </c>
      <c r="E10" s="8" t="s">
        <v>1535</v>
      </c>
      <c r="F10" s="8" t="s">
        <v>1535</v>
      </c>
      <c r="G10" s="8" t="s">
        <v>1535</v>
      </c>
      <c r="H10" s="4"/>
    </row>
    <row r="11" spans="1:8" ht="75">
      <c r="A11" s="8" t="s">
        <v>1441</v>
      </c>
      <c r="B11" s="8" t="s">
        <v>1535</v>
      </c>
      <c r="C11" s="8" t="s">
        <v>1535</v>
      </c>
      <c r="D11" s="8" t="s">
        <v>1535</v>
      </c>
      <c r="E11" s="8" t="s">
        <v>1535</v>
      </c>
      <c r="F11" s="8" t="s">
        <v>1535</v>
      </c>
      <c r="G11" s="8" t="s">
        <v>1535</v>
      </c>
      <c r="H11" s="4"/>
    </row>
    <row r="12" spans="1:8" ht="75">
      <c r="A12" s="8" t="s">
        <v>1442</v>
      </c>
      <c r="B12" s="8" t="s">
        <v>1535</v>
      </c>
      <c r="C12" s="8" t="s">
        <v>1535</v>
      </c>
      <c r="D12" s="8" t="s">
        <v>1535</v>
      </c>
      <c r="E12" s="8" t="s">
        <v>1535</v>
      </c>
      <c r="F12" s="8" t="s">
        <v>1535</v>
      </c>
      <c r="G12" s="8" t="s">
        <v>1535</v>
      </c>
      <c r="H12" s="4"/>
    </row>
    <row r="13" spans="1:8" ht="75">
      <c r="A13" s="8" t="s">
        <v>1443</v>
      </c>
      <c r="B13" s="8" t="s">
        <v>1535</v>
      </c>
      <c r="C13" s="8" t="s">
        <v>1535</v>
      </c>
      <c r="D13" s="8" t="s">
        <v>1535</v>
      </c>
      <c r="E13" s="8" t="s">
        <v>1535</v>
      </c>
      <c r="F13" s="8" t="s">
        <v>1535</v>
      </c>
      <c r="G13" s="8" t="s">
        <v>1535</v>
      </c>
      <c r="H13" s="4"/>
    </row>
    <row r="14" spans="1:8" ht="75">
      <c r="A14" s="8" t="s">
        <v>1444</v>
      </c>
      <c r="B14" s="8" t="s">
        <v>1535</v>
      </c>
      <c r="C14" s="8" t="s">
        <v>1535</v>
      </c>
      <c r="D14" s="8" t="s">
        <v>1535</v>
      </c>
      <c r="E14" s="8" t="s">
        <v>1535</v>
      </c>
      <c r="F14" s="8" t="s">
        <v>1535</v>
      </c>
      <c r="G14" s="8" t="s">
        <v>1535</v>
      </c>
      <c r="H14" s="4"/>
    </row>
    <row r="15" spans="1:8" ht="75">
      <c r="A15" s="8" t="s">
        <v>1445</v>
      </c>
      <c r="B15" s="8" t="s">
        <v>1535</v>
      </c>
      <c r="C15" s="8" t="s">
        <v>1535</v>
      </c>
      <c r="D15" s="8" t="s">
        <v>1535</v>
      </c>
      <c r="E15" s="8" t="s">
        <v>1535</v>
      </c>
      <c r="F15" s="8" t="s">
        <v>1535</v>
      </c>
      <c r="G15" s="8" t="s">
        <v>1535</v>
      </c>
      <c r="H15" s="4"/>
    </row>
    <row r="16" spans="1:8" ht="75">
      <c r="A16" s="8" t="s">
        <v>1446</v>
      </c>
      <c r="B16" s="8" t="s">
        <v>1535</v>
      </c>
      <c r="C16" s="8" t="s">
        <v>1535</v>
      </c>
      <c r="D16" s="8" t="s">
        <v>1535</v>
      </c>
      <c r="E16" s="8" t="s">
        <v>1535</v>
      </c>
      <c r="F16" s="8" t="s">
        <v>1535</v>
      </c>
      <c r="G16" s="8" t="s">
        <v>1535</v>
      </c>
      <c r="H16" s="4"/>
    </row>
    <row r="17" spans="1:8" ht="75">
      <c r="A17" s="8" t="s">
        <v>1447</v>
      </c>
      <c r="B17" s="8" t="s">
        <v>1535</v>
      </c>
      <c r="C17" s="8" t="s">
        <v>1535</v>
      </c>
      <c r="D17" s="8" t="s">
        <v>1535</v>
      </c>
      <c r="E17" s="8" t="s">
        <v>1535</v>
      </c>
      <c r="F17" s="8" t="s">
        <v>1535</v>
      </c>
      <c r="G17" s="8" t="s">
        <v>1535</v>
      </c>
      <c r="H17" s="4"/>
    </row>
    <row r="18" spans="1:8" ht="75">
      <c r="A18" s="8" t="s">
        <v>1448</v>
      </c>
      <c r="B18" s="8" t="s">
        <v>1535</v>
      </c>
      <c r="C18" s="8" t="s">
        <v>1535</v>
      </c>
      <c r="D18" s="8" t="s">
        <v>1535</v>
      </c>
      <c r="E18" s="8" t="s">
        <v>1535</v>
      </c>
      <c r="F18" s="8" t="s">
        <v>1535</v>
      </c>
      <c r="G18" s="8" t="s">
        <v>1535</v>
      </c>
      <c r="H18" s="4"/>
    </row>
    <row r="19" spans="1:8" ht="75">
      <c r="A19" s="8" t="s">
        <v>1449</v>
      </c>
      <c r="B19" s="8" t="s">
        <v>1535</v>
      </c>
      <c r="C19" s="8" t="s">
        <v>1535</v>
      </c>
      <c r="D19" s="8" t="s">
        <v>1535</v>
      </c>
      <c r="E19" s="8" t="s">
        <v>1535</v>
      </c>
      <c r="F19" s="8" t="s">
        <v>1535</v>
      </c>
      <c r="G19" s="8" t="s">
        <v>1535</v>
      </c>
      <c r="H19" s="4"/>
    </row>
    <row r="20" spans="1:8" ht="75">
      <c r="A20" s="8" t="s">
        <v>1450</v>
      </c>
      <c r="B20" s="8" t="s">
        <v>1535</v>
      </c>
      <c r="C20" s="8" t="s">
        <v>1535</v>
      </c>
      <c r="D20" s="8" t="s">
        <v>1535</v>
      </c>
      <c r="E20" s="8" t="s">
        <v>1535</v>
      </c>
      <c r="F20" s="8" t="s">
        <v>1535</v>
      </c>
      <c r="G20" s="8" t="s">
        <v>1535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1536</v>
      </c>
    </row>
    <row r="3" spans="1:5" ht="90">
      <c r="A3" s="50" t="s">
        <v>18</v>
      </c>
      <c r="B3" s="50" t="s">
        <v>1537</v>
      </c>
      <c r="C3" s="50" t="s">
        <v>1538</v>
      </c>
      <c r="D3" s="50" t="s">
        <v>1539</v>
      </c>
      <c r="E3" s="50" t="s">
        <v>1540</v>
      </c>
    </row>
    <row r="4" spans="1:5" ht="60" customHeight="1">
      <c r="A4" s="4">
        <f>374</f>
        <v>374</v>
      </c>
      <c r="B4" s="4" t="s">
        <v>1541</v>
      </c>
      <c r="C4" s="4"/>
      <c r="D4" s="4"/>
      <c r="E4" s="4"/>
    </row>
    <row r="5" spans="1:5" ht="60" customHeight="1">
      <c r="A5" s="4">
        <f>4/4</f>
        <v>1</v>
      </c>
      <c r="B5" s="4" t="s">
        <v>1542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1543</v>
      </c>
      <c r="C6" s="4"/>
      <c r="D6" s="4"/>
      <c r="E6" s="4"/>
    </row>
    <row r="7" spans="1:5" ht="30" customHeight="1">
      <c r="A7" s="4">
        <f>D22/38</f>
        <v>0</v>
      </c>
      <c r="B7" s="4" t="s">
        <v>1544</v>
      </c>
      <c r="C7" s="4"/>
      <c r="D7" s="4"/>
      <c r="E7" s="4"/>
    </row>
    <row r="8" spans="1:5" ht="30" customHeight="1">
      <c r="A8" s="4">
        <f>D23/38</f>
        <v>0</v>
      </c>
      <c r="B8" s="4" t="s">
        <v>1545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1546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1547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1548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1549</v>
      </c>
      <c r="C12" s="4"/>
      <c r="D12" s="4"/>
      <c r="E12" s="4"/>
    </row>
    <row r="13" spans="1:5" ht="30" customHeight="1">
      <c r="A13" s="4">
        <f>389/389</f>
        <v>1</v>
      </c>
      <c r="B13" s="4" t="s">
        <v>1550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1551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1552</v>
      </c>
      <c r="C15" s="4"/>
      <c r="D15" s="4"/>
      <c r="E15" s="4"/>
    </row>
    <row r="16" spans="1:5" ht="60" customHeight="1">
      <c r="A16" s="4">
        <f>COUNTA(#REF!)</f>
        <v>1</v>
      </c>
      <c r="B16" s="4" t="s">
        <v>1553</v>
      </c>
      <c r="C16" s="4"/>
      <c r="D16" s="4"/>
      <c r="E16" s="4"/>
    </row>
    <row r="17" spans="1:5" ht="30" customHeight="1">
      <c r="A17" s="4">
        <f>SUM(AY3:AY10)</f>
        <v>0</v>
      </c>
      <c r="B17" s="4" t="s">
        <v>1554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1555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1556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1557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1558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1559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1560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1561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1562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1563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1564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1565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1566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1567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1568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1569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1570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1571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1572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1573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1574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1575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1576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1577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1578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1579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1580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1581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1582</v>
      </c>
      <c r="C45" s="4"/>
      <c r="D45" s="4"/>
      <c r="E45" s="4"/>
    </row>
    <row r="46" spans="1:5" ht="30.75" customHeight="1">
      <c r="A46" s="4" t="e">
        <v>#VALUE!</v>
      </c>
      <c r="B46" s="4" t="s">
        <v>1583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1584</v>
      </c>
      <c r="C47" s="4"/>
      <c r="D47" s="4"/>
      <c r="E47" s="4"/>
    </row>
    <row r="48" spans="1:5" ht="30.75" customHeight="1">
      <c r="A48" s="4" t="e">
        <v>#VALUE!</v>
      </c>
      <c r="B48" s="4" t="s">
        <v>1585</v>
      </c>
      <c r="C48" s="4"/>
      <c r="D48" s="4"/>
      <c r="E48" s="4"/>
    </row>
    <row r="49" spans="1:5" ht="30.75" customHeight="1">
      <c r="A49" s="4" t="e">
        <v>#VALUE!</v>
      </c>
      <c r="B49" s="4" t="s">
        <v>1586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1587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1588</v>
      </c>
      <c r="C51" s="4"/>
      <c r="D51" s="4"/>
      <c r="E51" s="4"/>
    </row>
    <row r="52" spans="1:5" ht="30.75" customHeight="1">
      <c r="A52" s="4" t="e">
        <v>#VALUE!</v>
      </c>
      <c r="B52" s="4" t="s">
        <v>1589</v>
      </c>
      <c r="C52" s="4"/>
      <c r="D52" s="4"/>
      <c r="E52" s="4"/>
    </row>
    <row r="53" spans="1:5" ht="30.75" customHeight="1">
      <c r="A53" s="4" t="e">
        <v>#VALUE!</v>
      </c>
      <c r="B53" s="4" t="s">
        <v>1590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1591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1592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1593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1594</v>
      </c>
      <c r="C57" s="4"/>
      <c r="D57" s="4"/>
      <c r="E57" s="4"/>
    </row>
    <row r="58" spans="1:5" ht="30" customHeight="1">
      <c r="A58" s="4"/>
      <c r="B58" s="4" t="s">
        <v>1595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1596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1597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1598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1599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1600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1601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1602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1603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1604</v>
      </c>
    </row>
    <row r="3" spans="1:7">
      <c r="A3" t="s">
        <v>1605</v>
      </c>
      <c r="C3" t="s">
        <v>1606</v>
      </c>
      <c r="E3" t="s">
        <v>1607</v>
      </c>
      <c r="G3" t="s">
        <v>1608</v>
      </c>
    </row>
    <row r="4" spans="1:7" ht="195" customHeight="1">
      <c r="A4" s="2" t="s">
        <v>1609</v>
      </c>
      <c r="C4" s="2" t="s">
        <v>1610</v>
      </c>
      <c r="E4" s="2" t="s">
        <v>1611</v>
      </c>
      <c r="G4" s="2" t="s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2026-02-26T22:22:53Z</dcterms:modified>
  <cp:category/>
  <cp:contentStatus/>
</cp:coreProperties>
</file>