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BL6PEPF0001998B\EXCELCNV\d296cd46-12a0-4350-9df1-3f65f5f11d04\"/>
    </mc:Choice>
  </mc:AlternateContent>
  <xr:revisionPtr revIDLastSave="0" documentId="8_{31877645-A55C-4826-B9D2-752B08174AB0}" xr6:coauthVersionLast="47" xr6:coauthVersionMax="47" xr10:uidLastSave="{00000000-0000-0000-0000-000000000000}"/>
  <bookViews>
    <workbookView xWindow="-60" yWindow="-60" windowWidth="15480" windowHeight="11640" firstSheet="9" activeTab="9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<sst xmlns="http://schemas.openxmlformats.org/spreadsheetml/2006/main" count="9515" uniqueCount="2462">
  <si>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</si>
  <si>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</si>
  <si>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</si>
  <si>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</si>
  <si>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</si>
  <si>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</si>
  <si>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</si>
  <si>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</si>
  <si>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</si>
  <si>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</si>
  <si>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</si>
  <si>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</si>
  <si>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</si>
  <si>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</si>
  <si>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</si>
  <si>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</si>
  <si>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</si>
  <si>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</si>
  <si>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</si>
  <si>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</si>
  <si>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</si>
  <si>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</si>
  <si>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</si>
  <si>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</si>
  <si>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L2:L528</t>
  </si>
  <si>
    <t>expression</t>
  </si>
  <si>
    <t>$L2&gt;0</t>
  </si>
  <si>
    <t>Error flag (error count &gt; 0)</t>
  </si>
  <si>
    <t>Red</t>
  </si>
  <si>
    <t>$L2=0</t>
  </si>
  <si>
    <t>No errors (error count = 0)</t>
  </si>
  <si>
    <t>Green</t>
  </si>
  <si>
    <t>M2:M528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</si>
  <si>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</si>
  <si>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</si>
  <si>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</si>
  <si>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</si>
  <si>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</si>
  <si>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</si>
  <si>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</si>
  <si>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</si>
  <si>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</si>
  <si>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</si>
  <si>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</si>
  <si>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</si>
  <si>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</si>
  <si>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</si>
  <si>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</si>
  <si>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</si>
  <si>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</si>
  <si>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</si>
  <si>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</si>
  <si>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</si>
  <si>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</si>
  <si>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</si>
  <si>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</si>
  <si>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</si>
  <si>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</si>
  <si>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</si>
  <si>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</si>
  <si>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</si>
  <si>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</si>
  <si>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</si>
  <si>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</si>
  <si>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</si>
  <si>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</si>
  <si>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</si>
  <si>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</si>
  <si>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12 - Device_Configuration</t>
  </si>
  <si>
    <t>tblDeviceConfig</t>
  </si>
  <si>
    <t>A2:B528 F2:F528 AE2:AF528 R2:S528</t>
  </si>
  <si>
    <t>$F2="Yes"</t>
  </si>
  <si>
    <t>Duplicates/conflicts (DupDeployed=Yes)</t>
  </si>
  <si>
    <t>R2:R528</t>
  </si>
  <si>
    <t>AND($A2="Cybernet",$B2="Yes",$C2&lt;&gt;"Yes",LEN(TRIM(R2))=0)</t>
  </si>
  <si>
    <t>Cybernet Hostname required (pre-install)</t>
  </si>
  <si>
    <t>S2:S528</t>
  </si>
  <si>
    <t>AND($A2="Neuron",$B2="Yes",$C2&lt;&gt;"Yes",LEN(TRIM(S2))=0)</t>
  </si>
  <si>
    <t>Neuron Hostname required (pre-install)</t>
  </si>
  <si>
    <t>BH2:BH528</t>
  </si>
  <si>
    <t>AND($A2="Cybernet",$B2="Yes",$C2&lt;&gt;"Yes",LEN(TRIM(BH2))=0)</t>
  </si>
  <si>
    <t>Software_List required for Cybernet (pre-install)</t>
  </si>
  <si>
    <t>I2:I528 N2:N528 P2:Q528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</si>
  <si>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</si>
  <si>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</si>
  <si>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</si>
  <si>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</si>
  <si>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</si>
  <si>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</si>
  <si>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</si>
  <si>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</si>
  <si>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</si>
  <si>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</si>
  <si>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</si>
  <si>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</si>
  <si>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</si>
  <si>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</si>
  <si>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</si>
  <si>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</si>
  <si>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</si>
  <si>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</si>
  <si>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</si>
  <si>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</si>
  <si>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</si>
  <si>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</si>
  <si>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</si>
  <si>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</si>
  <si>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</si>
  <si>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</si>
  <si>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</si>
  <si>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</si>
  <si>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</si>
  <si>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</si>
  <si>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</si>
  <si>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</si>
  <si>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</si>
  <si>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</si>
  <si>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</si>
  <si>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</si>
  <si>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</si>
  <si>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</si>
  <si>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</si>
  <si>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</si>
  <si>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</si>
  <si>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</si>
  <si>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</si>
  <si>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</si>
  <si>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</si>
  <si>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</si>
  <si>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</si>
  <si>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</si>
  <si>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</si>
  <si>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</si>
  <si>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</si>
  <si>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</si>
  <si>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</si>
  <si>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</si>
  <si>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</si>
  <si>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</si>
  <si>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</si>
  <si>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</si>
  <si>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</si>
  <si>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</si>
  <si>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</si>
  <si>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</si>
  <si>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</si>
  <si>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</si>
  <si>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</si>
  <si>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</si>
  <si>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</si>
  <si>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</si>
  <si>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</si>
  <si>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</si>
  <si>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</si>
  <si>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</si>
  <si>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</si>
  <si>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</si>
  <si>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</si>
  <si>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</si>
  <si>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</si>
  <si>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</si>
  <si>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</si>
  <si>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</si>
  <si>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</si>
  <si>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</si>
  <si>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</si>
  <si>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</si>
  <si>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</si>
  <si>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</si>
  <si>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12 - Device_Configuration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</si>
  <si>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</si>
  <si>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</si>
  <si>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</si>
  <si>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</si>
  <si>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</si>
  <si>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</si>
  <si>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</si>
  <si>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</si>
  <si>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</si>
  <si>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</si>
  <si>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</si>
  <si>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</si>
  <si>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</si>
  <si>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</si>
  <si>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</si>
  <si>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</si>
  <si>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</si>
  <si>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</si>
  <si>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</si>
  <si>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</si>
  <si>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</si>
  <si>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</si>
  <si>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</si>
  <si>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</si>
  <si>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</si>
  <si>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</si>
  <si>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</si>
  <si>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</si>
  <si>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</si>
  <si>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</si>
  <si>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</si>
  <si>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</si>
  <si>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</si>
  <si>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</si>
  <si>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</si>
  <si>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</si>
  <si>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</si>
  <si>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</si>
  <si>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</si>
  <si>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</si>
  <si>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</si>
  <si>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</si>
  <si>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</si>
  <si>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</si>
  <si>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</si>
  <si>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</si>
  <si>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</si>
  <si>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</si>
  <si>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</si>
  <si>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</si>
  <si>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</si>
  <si>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</si>
  <si>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</si>
  <si>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</si>
  <si>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</si>
  <si>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</si>
  <si>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</si>
  <si>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</si>
  <si>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</si>
  <si>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</si>
  <si>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</si>
  <si>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</si>
  <si>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</si>
  <si>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</si>
  <si>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</si>
  <si>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</si>
  <si>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</si>
  <si>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</si>
  <si>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</si>
  <si>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</si>
  <si>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</si>
  <si>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</si>
  <si>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</si>
  <si>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</si>
  <si>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</si>
  <si>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</si>
  <si>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</si>
  <si>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</si>
  <si>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</si>
  <si>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</si>
  <si>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</si>
  <si>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</si>
  <si>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</si>
  <si>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</si>
  <si>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</si>
  <si>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</si>
  <si>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</si>
  <si>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</si>
  <si>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</si>
  <si>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</si>
  <si>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</si>
  <si>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</si>
  <si>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</si>
  <si>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</si>
  <si>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</si>
  <si>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</si>
  <si>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</si>
  <si>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</si>
  <si>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</si>
  <si>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</si>
  <si>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</si>
  <si>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</si>
  <si>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</si>
  <si>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</si>
  <si>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</si>
  <si>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</si>
  <si>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</si>
  <si>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</si>
  <si>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</si>
  <si>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</si>
  <si>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</si>
  <si>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</si>
  <si>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</si>
  <si>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</si>
  <si>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</si>
  <si>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</si>
  <si>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</si>
  <si>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</si>
  <si>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</si>
  <si>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</si>
  <si>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</si>
  <si>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</si>
  <si>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</si>
  <si>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</si>
  <si>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</si>
  <si>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</si>
  <si>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</si>
  <si>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</si>
  <si>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</si>
  <si>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</si>
  <si>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</si>
  <si>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</si>
  <si>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</si>
  <si>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</si>
  <si>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</si>
  <si>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</si>
  <si>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</si>
  <si>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</si>
  <si>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</si>
  <si>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</si>
  <si>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</si>
  <si>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</si>
  <si>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</si>
  <si>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</si>
  <si>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</si>
  <si>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</si>
  <si>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</si>
  <si>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</si>
  <si>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</si>
  <si>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</si>
  <si>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</si>
  <si>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</si>
  <si>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</si>
  <si>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</si>
  <si>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</si>
  <si>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</si>
  <si>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</si>
  <si>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</si>
  <si>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</si>
  <si>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</si>
  <si>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</si>
  <si>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</si>
  <si>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</si>
  <si>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</si>
  <si>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</si>
  <si>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</si>
  <si>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</si>
  <si>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</si>
  <si>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</si>
  <si>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</si>
  <si>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</si>
  <si>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</si>
  <si>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</si>
  <si>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</si>
  <si>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</si>
  <si>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</si>
  <si>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</si>
  <si>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</si>
  <si>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</si>
  <si>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</si>
  <si>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</si>
  <si>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</si>
  <si>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</si>
  <si>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</si>
  <si>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</si>
  <si>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</si>
  <si>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</si>
  <si>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</si>
  <si>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</si>
  <si>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</si>
  <si>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</si>
  <si>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</si>
  <si>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</si>
  <si>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</si>
  <si>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</si>
  <si>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</si>
  <si>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</si>
  <si>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</si>
  <si>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</si>
  <si>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</si>
  <si>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</si>
  <si>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</si>
  <si>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</si>
  <si>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</si>
  <si>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</si>
  <si>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</si>
  <si>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</si>
  <si>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</si>
  <si>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</si>
  <si>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</si>
  <si>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</si>
  <si>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</si>
  <si>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</si>
  <si>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</si>
  <si>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</si>
  <si>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</si>
  <si>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</si>
  <si>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</si>
  <si>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</si>
  <si>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</si>
  <si>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</si>
  <si>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</si>
  <si>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</si>
  <si>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</si>
  <si>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</si>
  <si>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</si>
  <si>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</si>
  <si>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</si>
  <si>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</si>
  <si>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</si>
  <si>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</si>
  <si>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</si>
  <si>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</si>
  <si>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</si>
  <si>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</si>
  <si>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</si>
  <si>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</si>
  <si>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</si>
  <si>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</si>
  <si>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</si>
  <si>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</si>
  <si>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</si>
  <si>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</si>
  <si>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</si>
  <si>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</si>
  <si>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</si>
  <si>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</si>
  <si>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</si>
  <si>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</si>
  <si>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</si>
  <si>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</si>
  <si>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</si>
  <si>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</si>
  <si>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</si>
  <si>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</si>
  <si>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</si>
  <si>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</si>
  <si>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</si>
  <si>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</si>
  <si>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</si>
  <si>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</si>
  <si>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</si>
  <si>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</si>
  <si>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</si>
  <si>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</si>
  <si>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</si>
  <si>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</si>
  <si>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</si>
  <si>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</si>
  <si>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</si>
  <si>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</si>
  <si>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</si>
  <si>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</si>
  <si>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</si>
  <si>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</si>
  <si>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</si>
  <si>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</si>
  <si>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</si>
  <si>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</si>
  <si>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</si>
  <si>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</si>
  <si>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</si>
  <si>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</si>
  <si>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</si>
  <si>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</si>
  <si>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</si>
  <si>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</si>
  <si>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</si>
  <si>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</si>
  <si>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</si>
  <si>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</si>
  <si>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</si>
  <si>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</si>
  <si>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</si>
  <si>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</si>
  <si>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</si>
  <si>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</si>
  <si>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</si>
  <si>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</si>
  <si>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</si>
  <si>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</si>
  <si>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</si>
  <si>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</si>
  <si>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</si>
  <si>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</si>
  <si>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</si>
  <si>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</si>
  <si>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</si>
  <si>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</si>
  <si>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</si>
  <si>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</si>
  <si>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</si>
  <si>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</si>
  <si>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</si>
  <si>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</si>
  <si>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</si>
  <si>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</si>
  <si>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</si>
  <si>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</si>
  <si>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</si>
  <si>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</si>
  <si>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</si>
  <si>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</si>
  <si>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</si>
  <si>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</si>
  <si>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</si>
  <si>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</si>
  <si>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</si>
  <si>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</si>
  <si>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</si>
  <si>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</si>
  <si>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</si>
  <si>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</si>
  <si>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</si>
  <si>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</si>
  <si>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</si>
  <si>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</si>
  <si>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</si>
  <si>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</si>
  <si>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</si>
  <si>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</si>
  <si>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</si>
  <si>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</si>
  <si>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</si>
  <si>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</si>
  <si>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</si>
  <si>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</si>
  <si>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</si>
  <si>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</si>
  <si>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</si>
  <si>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</si>
  <si>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</si>
  <si>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</si>
  <si>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</si>
  <si>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</si>
  <si>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</si>
  <si>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</si>
  <si>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</si>
  <si>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</si>
  <si>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</si>
  <si>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</si>
  <si>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</si>
  <si>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</si>
  <si>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</si>
  <si>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</si>
  <si>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</si>
  <si>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</si>
  <si>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</si>
  <si>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</si>
  <si>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</si>
  <si>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</si>
  <si>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</si>
  <si>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</si>
  <si>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</si>
  <si>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</si>
  <si>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</si>
  <si>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</si>
  <si>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</si>
  <si>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</si>
  <si>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</si>
  <si>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</si>
  <si>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</si>
  <si>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</si>
  <si>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</si>
  <si>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</si>
  <si>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</si>
  <si>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</si>
  <si>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</si>
  <si>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</si>
  <si>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</si>
  <si>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</si>
  <si>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</si>
  <si>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</si>
  <si>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</si>
  <si>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</si>
  <si>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</si>
  <si>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</si>
  <si>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</si>
  <si>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</si>
  <si>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</si>
  <si>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</si>
  <si>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</si>
  <si>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</si>
  <si>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</si>
  <si>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</si>
  <si>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</si>
  <si>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</si>
  <si>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</si>
  <si>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</si>
  <si>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</si>
  <si>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</si>
  <si>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</si>
  <si>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</si>
  <si>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</si>
  <si>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</si>
  <si>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</si>
  <si>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</si>
  <si>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</si>
  <si>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</si>
  <si>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</si>
  <si>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</si>
  <si>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</si>
  <si>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</si>
  <si>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</si>
  <si>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</si>
  <si>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</si>
  <si>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</si>
  <si>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</si>
  <si>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</si>
  <si>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</si>
  <si>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</si>
  <si>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</si>
  <si>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</si>
  <si>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</si>
  <si>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</si>
  <si>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</si>
  <si>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</si>
  <si>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</si>
  <si>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</si>
  <si>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</si>
  <si>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</si>
  <si>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</si>
  <si>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</si>
  <si>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</si>
  <si>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</si>
  <si>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</si>
  <si>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</si>
  <si>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</si>
  <si>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</si>
  <si>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</si>
  <si>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</si>
  <si>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</si>
  <si>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</si>
  <si>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</si>
  <si>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</si>
  <si>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</si>
  <si>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</si>
  <si>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</si>
  <si>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</si>
  <si>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</si>
  <si>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</si>
  <si>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</si>
  <si>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</si>
  <si>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</si>
  <si>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</si>
  <si>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</si>
  <si>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</si>
  <si>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</si>
  <si>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</si>
  <si>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</si>
  <si>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</si>
  <si>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</si>
  <si>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</si>
  <si>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</si>
  <si>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</si>
  <si>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</si>
  <si>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</si>
  <si>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</si>
  <si>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</si>
  <si>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</si>
  <si>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</si>
  <si>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</si>
  <si>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</si>
  <si>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</si>
  <si>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</si>
  <si>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</si>
  <si>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</si>
  <si>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</si>
  <si>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</si>
  <si>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</si>
  <si>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</si>
  <si>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</si>
  <si>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</si>
  <si>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</si>
  <si>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</si>
  <si>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</si>
  <si>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</si>
  <si>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</si>
  <si>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</si>
  <si>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</si>
  <si>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</si>
  <si>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</si>
  <si>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</si>
  <si>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</si>
  <si>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</si>
  <si>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</si>
  <si>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</si>
  <si>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</si>
  <si>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</si>
  <si>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</si>
  <si>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</si>
  <si>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</si>
  <si>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</si>
  <si>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</si>
  <si>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</si>
  <si>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</si>
  <si>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</si>
  <si>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</si>
  <si>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</si>
  <si>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</si>
  <si>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</si>
  <si>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</si>
  <si>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</si>
  <si>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</si>
  <si>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</si>
  <si>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</si>
  <si>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</si>
  <si>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</si>
  <si>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</si>
  <si>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</si>
  <si>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</si>
  <si>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</si>
  <si>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</si>
  <si>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</si>
  <si>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</si>
  <si>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</si>
  <si>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</si>
  <si>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</si>
  <si>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</si>
  <si>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</si>
  <si>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</si>
  <si>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</si>
  <si>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</si>
  <si>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</si>
  <si>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</si>
  <si>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</si>
  <si>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</si>
  <si>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</si>
  <si>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</si>
  <si>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</si>
  <si>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</si>
  <si>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</si>
  <si>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</si>
  <si>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</si>
  <si>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</si>
  <si>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</si>
  <si>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</si>
  <si>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</si>
  <si>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</si>
  <si>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</si>
  <si>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</si>
  <si>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</si>
  <si>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</si>
  <si>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</si>
  <si>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</si>
  <si>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</si>
  <si>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</si>
  <si>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</si>
  <si>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</si>
  <si>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</si>
  <si>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</si>
  <si>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</si>
  <si>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</si>
  <si>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</si>
  <si>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</si>
  <si>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</si>
  <si>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</si>
  <si>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</si>
  <si>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</si>
  <si>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</si>
  <si>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</si>
  <si>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</si>
  <si>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</si>
  <si>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</si>
  <si>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</si>
  <si>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</si>
  <si>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</si>
  <si>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</si>
  <si>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</si>
  <si>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</si>
  <si>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</si>
  <si>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</si>
  <si>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</si>
  <si>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</si>
  <si>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</si>
  <si>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</si>
  <si>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</si>
  <si>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</si>
  <si>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</si>
  <si>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</si>
  <si>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</si>
  <si>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</si>
  <si>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</si>
  <si>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</si>
  <si>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</si>
  <si>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</si>
  <si>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</si>
  <si>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</si>
  <si>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</si>
  <si>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</si>
  <si>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</si>
  <si>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</si>
  <si>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</si>
  <si>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</si>
  <si>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</si>
  <si>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</si>
  <si>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</si>
  <si>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</si>
  <si>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</si>
  <si>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</si>
  <si>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</si>
  <si>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</si>
  <si>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</si>
  <si>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</si>
  <si>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</si>
  <si>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</si>
  <si>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</si>
  <si>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</si>
  <si>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</si>
  <si>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</si>
  <si>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</si>
  <si>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</si>
  <si>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</si>
  <si>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</si>
  <si>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</si>
  <si>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</si>
  <si>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</si>
  <si>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</si>
  <si>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</si>
  <si>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</si>
  <si>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</si>
  <si>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</si>
  <si>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</si>
  <si>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</si>
  <si>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</si>
  <si>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</si>
  <si>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</si>
  <si>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</si>
  <si>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</si>
  <si>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</si>
  <si>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</si>
  <si>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</si>
  <si>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</si>
  <si>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</si>
  <si>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</si>
  <si>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</si>
  <si>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</si>
  <si>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</si>
  <si>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</si>
  <si>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</si>
  <si>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</si>
  <si>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</si>
  <si>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</si>
  <si>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</si>
  <si>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</si>
  <si>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</si>
  <si>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</si>
  <si>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</si>
  <si>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</si>
  <si>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</si>
  <si>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</si>
  <si>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</si>
  <si>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</si>
  <si>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</si>
  <si>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</si>
  <si>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</si>
  <si>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</si>
  <si>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</si>
  <si>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</si>
  <si>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</si>
  <si>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</si>
  <si>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</si>
  <si>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</si>
  <si>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</si>
  <si>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</si>
  <si>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</si>
  <si>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</si>
  <si>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</si>
  <si>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</si>
  <si>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</si>
  <si>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</si>
  <si>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</si>
  <si>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</si>
  <si>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</si>
  <si>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</si>
  <si>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</si>
  <si>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</si>
  <si>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</si>
  <si>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</si>
  <si>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</si>
  <si>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</si>
  <si>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</si>
  <si>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</si>
  <si>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</si>
  <si>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</si>
  <si>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</si>
  <si>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</si>
  <si>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</si>
  <si>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</si>
  <si>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</si>
  <si>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</si>
  <si>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</si>
  <si>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</si>
  <si>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</si>
  <si>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</si>
  <si>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</si>
  <si>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</si>
  <si>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</si>
  <si>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</si>
  <si>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</si>
  <si>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</si>
  <si>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</si>
  <si>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</si>
  <si>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</si>
  <si>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</si>
  <si>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</si>
  <si>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</si>
  <si>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</si>
  <si>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</si>
  <si>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</si>
  <si>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</si>
  <si>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</si>
  <si>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</si>
  <si>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</si>
  <si>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</si>
  <si>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</si>
  <si>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</si>
  <si>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</si>
  <si>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</si>
  <si>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</si>
  <si>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</si>
  <si>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</si>
  <si>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</si>
  <si>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</si>
  <si>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</si>
  <si>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</si>
  <si>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</si>
  <si>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</si>
  <si>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</si>
  <si>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</si>
  <si>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</si>
  <si>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</si>
  <si>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</si>
  <si>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</si>
  <si>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</si>
  <si>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</si>
  <si>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</si>
  <si>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</si>
  <si>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</si>
  <si>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</si>
  <si>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</si>
  <si>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</si>
  <si>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</si>
  <si>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</si>
  <si>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</si>
  <si>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</si>
  <si>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</si>
  <si>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</si>
  <si>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</si>
  <si>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</si>
  <si>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</si>
  <si>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</si>
  <si>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</si>
  <si>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</si>
  <si>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</si>
  <si>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</si>
  <si>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</si>
  <si>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</si>
  <si>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</si>
  <si>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</si>
  <si>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</si>
  <si>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</si>
  <si>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</si>
  <si>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</si>
  <si>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</si>
  <si>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</si>
  <si>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</si>
  <si>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</si>
  <si>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</si>
  <si>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</si>
  <si>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</si>
  <si>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</si>
  <si>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</si>
  <si>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</si>
  <si>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</si>
  <si>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</si>
  <si>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</si>
  <si>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</si>
  <si>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</si>
  <si>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</si>
  <si>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</si>
  <si>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</si>
  <si>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</si>
  <si>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</si>
  <si>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</si>
  <si>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</si>
  <si>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</si>
  <si>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</si>
  <si>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</si>
  <si>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</si>
  <si>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</si>
  <si>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</si>
  <si>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</si>
  <si>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</si>
  <si>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</si>
  <si>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</si>
  <si>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</si>
  <si>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</si>
  <si>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</si>
  <si>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</si>
  <si>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</si>
  <si>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</si>
  <si>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</si>
  <si>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</si>
  <si>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</si>
  <si>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</si>
  <si>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</si>
  <si>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</si>
  <si>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</si>
  <si>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</si>
  <si>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</si>
  <si>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</si>
  <si>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</si>
  <si>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</si>
  <si>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</si>
  <si>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</si>
  <si>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</si>
  <si>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</si>
  <si>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</si>
  <si>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</si>
  <si>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</si>
  <si>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</si>
  <si>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</si>
  <si>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</si>
  <si>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</si>
  <si>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</si>
  <si>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</si>
  <si>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</si>
  <si>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</si>
  <si>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</si>
  <si>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</si>
  <si>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</si>
  <si>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</si>
  <si>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</si>
  <si>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</si>
  <si>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</si>
  <si>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</si>
  <si>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</si>
  <si>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</si>
  <si>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</si>
  <si>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</si>
  <si>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</si>
  <si>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</si>
  <si>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</si>
  <si>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</si>
  <si>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</si>
  <si>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</si>
  <si>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</si>
  <si>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</si>
  <si>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</si>
  <si>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</si>
  <si>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</si>
  <si>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</si>
  <si>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</si>
  <si>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</si>
  <si>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</si>
  <si>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</si>
  <si>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</si>
  <si>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</si>
  <si>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</si>
  <si>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</si>
  <si>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</si>
  <si>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</si>
  <si>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</si>
  <si>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</si>
  <si>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</si>
  <si>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</si>
  <si>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</si>
  <si>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</si>
  <si>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</si>
  <si>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</si>
  <si>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</si>
  <si>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</si>
  <si>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</si>
  <si>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</si>
  <si>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</si>
  <si>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</si>
  <si>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</si>
  <si>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</si>
  <si>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</si>
  <si>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</si>
  <si>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</si>
  <si>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</si>
  <si>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</si>
  <si>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</si>
  <si>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</si>
  <si>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</si>
  <si>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</si>
  <si>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</si>
  <si>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</si>
  <si>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</si>
  <si>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</si>
  <si>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</si>
  <si>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</si>
  <si>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</si>
  <si>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</si>
  <si>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</si>
  <si>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</si>
  <si>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</si>
  <si>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</si>
  <si>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</si>
  <si>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</si>
  <si>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</si>
  <si>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</si>
  <si>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</si>
  <si>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</si>
  <si>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</si>
  <si>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</si>
  <si>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</si>
  <si>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</si>
  <si>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</si>
  <si>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</si>
  <si>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</si>
  <si>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</si>
  <si>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</si>
  <si>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</si>
  <si>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</si>
  <si>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</si>
  <si>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</si>
  <si>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</si>
  <si>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</si>
  <si>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</si>
  <si>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</si>
  <si>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</si>
  <si>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</si>
  <si>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</si>
  <si>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</si>
  <si>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</si>
  <si>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</si>
  <si>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</si>
  <si>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</si>
  <si>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</si>
  <si>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</si>
  <si>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</si>
  <si>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</si>
  <si>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</si>
  <si>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</si>
  <si>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</si>
  <si>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</si>
  <si>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</si>
  <si>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</si>
  <si>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</si>
  <si>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</si>
  <si>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</si>
  <si>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</si>
  <si>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</si>
  <si>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</si>
  <si>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</si>
  <si>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</si>
  <si>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</si>
  <si>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</si>
  <si>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</si>
  <si>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</si>
  <si>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</si>
  <si>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</si>
  <si>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</si>
  <si>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</si>
  <si>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</si>
  <si>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</si>
  <si>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</si>
  <si>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</si>
  <si>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</si>
  <si>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</si>
  <si>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</si>
  <si>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</si>
  <si>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</si>
  <si>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</si>
  <si>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</si>
  <si>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</si>
  <si>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</si>
  <si>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</si>
  <si>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</si>
  <si>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</si>
  <si>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</si>
  <si>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</si>
  <si>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</si>
  <si>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</si>
  <si>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</si>
  <si>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</si>
  <si>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</si>
  <si>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</si>
  <si>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</si>
  <si>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</si>
  <si>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</si>
  <si>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</si>
  <si>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</si>
  <si>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</si>
  <si>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</si>
  <si>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</si>
  <si>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</si>
  <si>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</si>
  <si>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</si>
  <si>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</si>
  <si>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</si>
  <si>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</si>
  <si>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</si>
  <si>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</si>
  <si>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</si>
  <si>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</si>
  <si>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</si>
  <si>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</si>
  <si>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</si>
  <si>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</si>
  <si>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</si>
  <si>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</si>
  <si>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</si>
  <si>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</si>
  <si>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</si>
  <si>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</si>
  <si>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</si>
  <si>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</si>
  <si>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</si>
  <si>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</si>
  <si>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</si>
  <si>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</si>
  <si>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</si>
  <si>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</si>
  <si>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</si>
  <si>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</si>
  <si>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</si>
  <si>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</si>
  <si>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</si>
  <si>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</si>
  <si>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</si>
  <si>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</si>
  <si>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</si>
  <si>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</si>
  <si>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</si>
  <si>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</si>
  <si>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</si>
  <si>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</si>
  <si>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</si>
  <si>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</si>
  <si>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</si>
  <si>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</si>
  <si>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</si>
  <si>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</si>
  <si>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</si>
  <si>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</si>
  <si>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</si>
  <si>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</si>
  <si>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</si>
  <si>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</si>
  <si>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</si>
  <si>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</si>
  <si>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</si>
  <si>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</si>
  <si>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</si>
  <si>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</si>
  <si>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</si>
  <si>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</si>
  <si>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</si>
  <si>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</si>
  <si>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</si>
  <si>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</si>
  <si>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</si>
  <si>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</si>
  <si>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</si>
  <si>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</si>
  <si>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</si>
  <si>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</si>
  <si>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</si>
  <si>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</si>
  <si>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</si>
  <si>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</si>
  <si>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</si>
  <si>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</si>
  <si>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</si>
  <si>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</si>
  <si>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</si>
  <si>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</si>
  <si>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</si>
  <si>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</si>
  <si>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</si>
  <si>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</si>
  <si>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</si>
  <si>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</si>
  <si>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</si>
  <si>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</si>
  <si>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</si>
  <si>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</si>
  <si>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</si>
  <si>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</si>
  <si>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</si>
  <si>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</si>
  <si>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</si>
  <si>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</si>
  <si>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</si>
  <si>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</si>
  <si>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</si>
  <si>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</si>
  <si>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</si>
  <si>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</si>
  <si>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</si>
  <si>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</si>
  <si>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</si>
  <si>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</si>
  <si>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</si>
  <si>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</si>
  <si>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</si>
  <si>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</si>
  <si>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</si>
  <si>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</si>
  <si>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</si>
  <si>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</si>
  <si>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</si>
  <si>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</si>
  <si>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</si>
  <si>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</si>
  <si>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</si>
  <si>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</si>
  <si>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</si>
  <si>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</si>
  <si>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</si>
  <si>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</si>
  <si>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</si>
  <si>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</si>
  <si>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</si>
  <si>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</si>
  <si>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</si>
  <si>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</si>
  <si>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</si>
  <si>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</si>
  <si>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</si>
  <si>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</si>
  <si>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</si>
  <si>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</si>
  <si>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</si>
  <si>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</si>
  <si>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</si>
  <si>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</si>
  <si>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</si>
  <si>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</si>
  <si>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</si>
  <si>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</si>
  <si>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</si>
  <si>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</si>
  <si>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</si>
  <si>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</si>
  <si>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</si>
  <si>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</si>
  <si>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</si>
  <si>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</si>
  <si>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</si>
  <si>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</si>
  <si>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</si>
  <si>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</si>
  <si>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</si>
  <si>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</si>
  <si>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</si>
  <si>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</si>
  <si>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</si>
  <si>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</si>
  <si>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</si>
  <si>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</si>
  <si>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</si>
  <si>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</si>
  <si>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</si>
  <si>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</si>
  <si>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</si>
  <si>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</si>
  <si>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</si>
  <si>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</si>
  <si>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</si>
  <si>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</si>
  <si>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</si>
  <si>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</si>
  <si>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</si>
  <si>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</si>
  <si>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</si>
  <si>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</si>
  <si>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>Column1</t>
  </si>
  <si>
    <t>CFAM</t>
  </si>
  <si>
    <t xml:space="preserve">WLS450OPR001+ </t>
  </si>
  <si>
    <t>REQ1310102</t>
  </si>
  <si>
    <t>CCMC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</si>
  <si>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</si>
  <si>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</si>
  <si>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</si>
  <si>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</si>
  <si>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</si>
  <si>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</si>
  <si>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</si>
  <si>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</si>
  <si>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</si>
  <si>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</si>
  <si>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</si>
  <si>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</si>
  <si>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</si>
  <si>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</si>
  <si>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n/a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</si>
  <si>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</si>
  <si>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</si>
  <si>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</si>
  <si>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</si>
  <si>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</si>
  <si>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</si>
  <si>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</si>
  <si>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</si>
  <si>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</si>
  <si>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</si>
  <si>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</si>
  <si>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Install Building</t>
  </si>
  <si>
    <t>Area/Unit</t>
  </si>
  <si>
    <t>Room</t>
  </si>
  <si>
    <t>Bay</t>
  </si>
  <si>
    <t>Port No.</t>
  </si>
  <si>
    <t>Manufacturer</t>
  </si>
  <si>
    <t>Medical Device Model</t>
  </si>
  <si>
    <t>Medical Device Class</t>
  </si>
  <si>
    <t>PI_Use_Case</t>
  </si>
  <si>
    <t>Credential Type (Client)</t>
  </si>
  <si>
    <t>PI_Config_Shared</t>
  </si>
  <si>
    <t>PI_Config_Autologon</t>
  </si>
  <si>
    <t>PI_Imprivata</t>
  </si>
  <si>
    <t>Software List (Client Approved)</t>
  </si>
  <si>
    <t>Has Badge Scanner</t>
  </si>
  <si>
    <t>Has Barcode Scanner</t>
  </si>
  <si>
    <t>Power Cable Present</t>
  </si>
  <si>
    <t>Battery Present</t>
  </si>
  <si>
    <t>Ready for Deployment</t>
  </si>
  <si>
    <t>IT Device Status</t>
  </si>
  <si>
    <t>Blocker Reason</t>
  </si>
  <si>
    <t>PI_Validated_By</t>
  </si>
  <si>
    <t>PI_Validated_Date</t>
  </si>
  <si>
    <t>Cybernet</t>
  </si>
  <si>
    <t>Neuron ID</t>
  </si>
  <si>
    <t>Neuron MAC</t>
  </si>
  <si>
    <t>Software List (Operational)</t>
  </si>
  <si>
    <t>Software Source</t>
  </si>
  <si>
    <t>Software Installed</t>
  </si>
  <si>
    <t>Readiness (Auto)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</si>
  <si>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</si>
  <si>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</si>
  <si>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</si>
  <si>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</si>
  <si>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</si>
  <si>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</si>
  <si>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</si>
  <si>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Peripherals</t>
  </si>
  <si>
    <t>Total Sent</t>
  </si>
  <si>
    <t>Mouse &amp; Keyboard</t>
  </si>
  <si>
    <t>Barcode Scanner</t>
  </si>
  <si>
    <t>Tap Badge</t>
  </si>
  <si>
    <t>HQ</t>
  </si>
  <si>
    <t>GVH</t>
  </si>
  <si>
    <t>LHH</t>
  </si>
  <si>
    <t>MEETH</t>
  </si>
  <si>
    <t>NWH</t>
  </si>
  <si>
    <t>PBMC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</si>
  <si>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</si>
  <si>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</si>
  <si>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</si>
  <si>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</si>
  <si>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</si>
  <si>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</si>
  <si>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</si>
  <si>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</si>
  <si>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</si>
  <si>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</si>
  <si>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</si>
  <si>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</si>
  <si>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</si>
  <si>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</si>
  <si>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</si>
  <si>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</si>
  <si>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</si>
  <si>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</si>
  <si>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Wave/PO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</si>
  <si>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</si>
  <si>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</si>
  <si>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</si>
  <si>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</si>
  <si>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</si>
  <si>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</si>
  <si>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</si>
  <si>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</si>
  <si>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</si>
  <si>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</si>
  <si>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</si>
  <si>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</si>
  <si>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</si>
  <si>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</si>
  <si>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</si>
  <si>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</si>
  <si>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</si>
  <si>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</si>
  <si>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</si>
  <si>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</si>
  <si>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</si>
  <si>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</si>
  <si>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</si>
  <si>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</si>
  <si>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</si>
  <si>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</si>
  <si>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</si>
  <si>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</si>
  <si>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</si>
  <si>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</si>
  <si>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</si>
  <si>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</si>
  <si>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</si>
  <si>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</si>
  <si>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</si>
  <si>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</si>
  <si>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</si>
  <si>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</si>
  <si>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</si>
  <si>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</si>
  <si>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</si>
  <si>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</si>
  <si>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</si>
  <si>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</si>
  <si>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</si>
  <si>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</si>
  <si>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</si>
  <si>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</si>
  <si>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</si>
  <si>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</si>
  <si>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</si>
  <si>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</si>
  <si>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</si>
  <si>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</si>
  <si>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</si>
  <si>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</si>
  <si>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</si>
  <si>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</si>
  <si>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</si>
  <si>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</si>
  <si>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</si>
  <si>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</si>
  <si>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</si>
  <si>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</si>
  <si>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</si>
  <si>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</si>
  <si>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</si>
  <si>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</si>
  <si>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</si>
  <si>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</si>
  <si>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</si>
  <si>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</si>
  <si>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</si>
  <si>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</si>
  <si>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</si>
  <si>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</si>
  <si>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</si>
  <si>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</si>
  <si>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</si>
  <si>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</si>
  <si>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</si>
  <si>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</si>
  <si>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</si>
  <si>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</si>
  <si>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</si>
  <si>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</si>
  <si>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</si>
  <si>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</si>
  <si>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</si>
  <si>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</si>
  <si>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</si>
  <si>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</si>
  <si>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</si>
  <si>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</si>
  <si>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</si>
  <si>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</si>
  <si>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</si>
  <si>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</si>
  <si>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</si>
  <si>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</si>
  <si>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</si>
  <si>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</si>
  <si>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</si>
  <si>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</si>
  <si>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</si>
  <si>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</si>
  <si>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</si>
  <si>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</si>
  <si>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</si>
  <si>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</si>
  <si>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</si>
  <si>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</si>
  <si>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</si>
  <si>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</si>
  <si>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</si>
  <si>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</si>
  <si>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</si>
  <si>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</si>
  <si>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</si>
  <si>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</si>
  <si>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</si>
  <si>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</si>
  <si>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</si>
  <si>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</si>
  <si>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</si>
  <si>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</si>
  <si>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</si>
  <si>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</si>
  <si>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</si>
  <si>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</si>
  <si>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</si>
  <si>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</si>
  <si>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</si>
  <si>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</si>
  <si>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</si>
  <si>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</si>
  <si>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</si>
  <si>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</si>
  <si>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</si>
  <si>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</si>
  <si>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</si>
  <si>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</si>
  <si>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</si>
  <si>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</si>
  <si>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</si>
  <si>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</si>
  <si>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</si>
  <si>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</si>
  <si>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</si>
  <si>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</si>
  <si>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</si>
  <si>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</si>
  <si>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</si>
  <si>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</si>
  <si>
    <t>MX750 - DE77669043</t>
  </si>
  <si>
    <t>00:0D:05:0A:A8:3B</t>
  </si>
  <si>
    <t>Baud Rate</t>
  </si>
  <si>
    <t>Last Move TS (AUTO)</t>
  </si>
  <si>
    <t>LIJ-SDF-MACH-I</t>
  </si>
  <si>
    <t>00:0D:05:0A:A6:BD</t>
  </si>
  <si>
    <t>GCH-MACH-K</t>
  </si>
  <si>
    <t>MEDSG2425F-3141</t>
  </si>
  <si>
    <t>Mindray A5 - EJ-57023077</t>
  </si>
  <si>
    <t>WA25300319</t>
  </si>
  <si>
    <t>00:0D:05:0A:A7:B9</t>
  </si>
  <si>
    <t>APOLLO</t>
  </si>
  <si>
    <t>WMH300OPR343</t>
  </si>
  <si>
    <t>Philips Intellivue MX800</t>
  </si>
  <si>
    <t>12 - Device_Configuration!$A$2:$CC$532</t>
  </si>
  <si>
    <t>MEDSG2425F-0053</t>
  </si>
  <si>
    <t>WVS900OPR030</t>
  </si>
  <si>
    <t>CyberMed-S24 TGL</t>
  </si>
  <si>
    <t xml:space="preserve">iPro
Epic Satellite
ALLSCRIPTS
EPIC BCA</t>
  </si>
  <si>
    <t>LIJ-MACH-QQ</t>
  </si>
  <si>
    <t>BROKEN - Bluescreen@boot</t>
  </si>
  <si>
    <t>10.134.18.72</t>
  </si>
  <si>
    <t>00:0D:05:0A:B6:e7</t>
  </si>
  <si>
    <t>A0F5097FEF3A</t>
  </si>
  <si>
    <t>Anesthesia Machine - Drager Atlan 350</t>
  </si>
  <si>
    <t>LIJ-MACH-A</t>
  </si>
  <si>
    <t>LIJ-IR</t>
  </si>
  <si>
    <t>A0F5097FF5A7</t>
  </si>
  <si>
    <t>6T0S164337</t>
  </si>
  <si>
    <t>WNH270OPR409</t>
  </si>
  <si>
    <t>LIJ-SDF-MACH-Z</t>
  </si>
  <si>
    <t>MEDSG2425F-3235</t>
  </si>
  <si>
    <t>LIJ-SDF-MACH-J</t>
  </si>
  <si>
    <t>WMH300OPR348</t>
  </si>
  <si>
    <t>WNH270OPR461</t>
  </si>
  <si>
    <t>Medical Peripheral 3</t>
  </si>
  <si>
    <t>MEDSG2425E-3209</t>
  </si>
  <si>
    <t>10.134.18.60</t>
  </si>
  <si>
    <t>Neuron IP</t>
  </si>
  <si>
    <t>WNH269OPR024</t>
  </si>
  <si>
    <t>10.134.18.73</t>
  </si>
  <si>
    <t>IR 11</t>
  </si>
  <si>
    <t>GCH-MACH-J</t>
  </si>
  <si>
    <t>MEDSG2425E-0173</t>
  </si>
  <si>
    <t>Patient Monitor - Philips MX750</t>
  </si>
  <si>
    <t>No</t>
  </si>
  <si>
    <t>101 Commercial St</t>
  </si>
  <si>
    <t xml:space="preserve">Ran POSTINSTALL </t>
  </si>
  <si>
    <t>medng2425e-3739</t>
  </si>
  <si>
    <t>ASCJ-0097</t>
  </si>
  <si>
    <t>MEDNG2425E-3069</t>
  </si>
  <si>
    <t>MEDSG2425F-0019</t>
  </si>
  <si>
    <t>ASCJ-0098</t>
  </si>
  <si>
    <t>10.134.18.71</t>
  </si>
  <si>
    <t>1T0S255982</t>
  </si>
  <si>
    <t>WA25300273</t>
  </si>
  <si>
    <t>WNH270OPR459</t>
  </si>
  <si>
    <t>OR 18</t>
  </si>
  <si>
    <t>NO</t>
  </si>
  <si>
    <t>ASUL-0203</t>
  </si>
  <si>
    <t>LIJ-SDF-MACH-K</t>
  </si>
  <si>
    <t>Has New Breakaway</t>
  </si>
  <si>
    <t>WNH270OPR421</t>
  </si>
  <si>
    <t>ALREADY HAD A BADGE SCANNER INSTALLED / RAN AL</t>
  </si>
  <si>
    <t>WNH270OPR460</t>
  </si>
  <si>
    <t>MEDSG2425F-3173</t>
  </si>
  <si>
    <t>MEDSG2425E-3749</t>
  </si>
  <si>
    <t>ASEA-0168</t>
  </si>
  <si>
    <t>WMH300OPR339</t>
  </si>
  <si>
    <t>Pallet Association</t>
  </si>
  <si>
    <t>LIJ-MACH-S</t>
  </si>
  <si>
    <t>00:0D:05:0A:A4:DD</t>
  </si>
  <si>
    <t>MX750 - DE77669044</t>
  </si>
  <si>
    <t>WNH269OPR026</t>
  </si>
  <si>
    <t>LIJ-SDF-MACH-N</t>
  </si>
  <si>
    <t>OR 7</t>
  </si>
  <si>
    <t>WNH270OPR440</t>
  </si>
  <si>
    <t>8605505-08106008073299</t>
  </si>
  <si>
    <t>9T0S237854</t>
  </si>
  <si>
    <t>SN scratched off slightly;</t>
  </si>
  <si>
    <t>inpatient</t>
  </si>
  <si>
    <t>WNH269OPR018</t>
  </si>
  <si>
    <t>A0F5097B8D8E</t>
  </si>
  <si>
    <t>A0F5097FDF60</t>
  </si>
  <si>
    <t>WNH270OPR424</t>
  </si>
  <si>
    <t>00:0D:05:0A:A6:C7</t>
  </si>
  <si>
    <t>MEDSG2425F-0270</t>
  </si>
  <si>
    <t>WMH300OPR347</t>
  </si>
  <si>
    <t>MX750 - DE77669069</t>
  </si>
  <si>
    <t>00:0D:05:0A:B2:5B</t>
  </si>
  <si>
    <t>00:0D:05:0A:A6:c3</t>
  </si>
  <si>
    <t>WA24406299</t>
  </si>
  <si>
    <t>MEDNG2425E-3136</t>
  </si>
  <si>
    <t>Medical Peripheral 1</t>
  </si>
  <si>
    <t xml:space="preserve">Phillips </t>
  </si>
  <si>
    <t>LIJ</t>
  </si>
  <si>
    <t>PI_Rejection_Reason</t>
  </si>
  <si>
    <t>Floor 1</t>
  </si>
  <si>
    <t>WLS450OPR004</t>
  </si>
  <si>
    <t>00:0D:05:0A:B2:4D</t>
  </si>
  <si>
    <t>9T0S247179</t>
  </si>
  <si>
    <t>9T0S237956</t>
  </si>
  <si>
    <t>10.134.19.46</t>
  </si>
  <si>
    <t>MEETH-MACH-U</t>
  </si>
  <si>
    <t>WNH270OPR425</t>
  </si>
  <si>
    <t>MEDSG2425F-3009</t>
  </si>
  <si>
    <t>00:0D:05:0A:A8:66</t>
  </si>
  <si>
    <t>MEDSG2425F-0213</t>
  </si>
  <si>
    <t>Epic Beans Data Sent</t>
  </si>
  <si>
    <t>WA25300268</t>
  </si>
  <si>
    <t>WA25203896</t>
  </si>
  <si>
    <t>WLS450OPR007</t>
  </si>
  <si>
    <t>OR 4</t>
  </si>
  <si>
    <t>OR 16</t>
  </si>
  <si>
    <t>Ran POSTINSTALL, boxe</t>
  </si>
  <si>
    <t>Yes</t>
  </si>
  <si>
    <t>ASCJ-0113</t>
  </si>
  <si>
    <t>WNH270OPR448</t>
  </si>
  <si>
    <t>WVS900OPR025</t>
  </si>
  <si>
    <t>ZUCKER HOSPITAL</t>
  </si>
  <si>
    <t>WA24406289</t>
  </si>
  <si>
    <t>MEDSG2425F-3319</t>
  </si>
  <si>
    <t xml:space="preserve">BSM 051 B </t>
  </si>
  <si>
    <t>WA25300278</t>
  </si>
  <si>
    <t>OR 6</t>
  </si>
  <si>
    <t>10.134.18.75</t>
  </si>
  <si>
    <t>MEDNG2425E-3061</t>
  </si>
  <si>
    <t>00187DE0E205</t>
  </si>
  <si>
    <t>MEDSG2425F-0151</t>
  </si>
  <si>
    <t>00:0D:05:0A:B6:2D</t>
  </si>
  <si>
    <t>00:0D:05:0A:B6:59</t>
  </si>
  <si>
    <t>WVS900OPR028</t>
  </si>
  <si>
    <t>2T0S264810</t>
  </si>
  <si>
    <t>Serial Connector Cable 5</t>
  </si>
  <si>
    <t>00187DE0E2B9</t>
  </si>
  <si>
    <t>00:0D:05:0A:a5:f7</t>
  </si>
  <si>
    <t>WA25203823</t>
  </si>
  <si>
    <t>A0F5097B8BC2</t>
  </si>
  <si>
    <t>ASPM-0001</t>
  </si>
  <si>
    <t>WNH270OPR434</t>
  </si>
  <si>
    <t>MEDSG2425F-0068</t>
  </si>
  <si>
    <t>WNH270OPR445</t>
  </si>
  <si>
    <t>LIJ-MACH-DD</t>
  </si>
  <si>
    <t>MEDNG2425E-3673</t>
  </si>
  <si>
    <t>MX750 - DE77669022</t>
  </si>
  <si>
    <t>Spare</t>
  </si>
  <si>
    <t>LIJ-SDF-MACH-AA</t>
  </si>
  <si>
    <t>WA25300323</t>
  </si>
  <si>
    <t>MEDSG2425F-3318</t>
  </si>
  <si>
    <t>WNH270OPR423</t>
  </si>
  <si>
    <t>GCH-MACH-G</t>
  </si>
  <si>
    <t>MEDSG2425F-0160</t>
  </si>
  <si>
    <t>00:0D:05:0A:A5:FF</t>
  </si>
  <si>
    <t>10.134.18.59</t>
  </si>
  <si>
    <t>MEDNG2425E-3137</t>
  </si>
  <si>
    <t>WNH270INR001</t>
  </si>
  <si>
    <t>MEDSG2425E-3070</t>
  </si>
  <si>
    <t>00:0D:05:0A:A4:F9</t>
  </si>
  <si>
    <t>WMH300OPR336</t>
  </si>
  <si>
    <t>A0F5097B8CF9</t>
  </si>
  <si>
    <t>ALREADY HAD A BADGE SCANNER INSTALLED / imprivata installed, so cant run  AL / DIDNT PROGRAM SCANNER</t>
  </si>
  <si>
    <t>00:0D:05:0A:A4:D5</t>
  </si>
  <si>
    <t>MEDSG2425F-0060</t>
  </si>
  <si>
    <t>00:0D:05:0A:B2:AD</t>
  </si>
  <si>
    <t>WA25203890</t>
  </si>
  <si>
    <t>10.134.18.57</t>
  </si>
  <si>
    <t>BSM 033 B</t>
  </si>
  <si>
    <t>1T0S260498</t>
  </si>
  <si>
    <t>OR 17</t>
  </si>
  <si>
    <t>00187DE0E2BA</t>
  </si>
  <si>
    <t>0T0S250268</t>
  </si>
  <si>
    <t>WA24406125</t>
  </si>
  <si>
    <t>A0F5097FDF52</t>
  </si>
  <si>
    <t>Has Mouse</t>
  </si>
  <si>
    <t>10.134.19.29</t>
  </si>
  <si>
    <t>00:0d:05:0a:a7:43</t>
  </si>
  <si>
    <t>Device ID Assigned</t>
  </si>
  <si>
    <t>BSM 040 A</t>
  </si>
  <si>
    <t>00:0D:05:0A:B1:85</t>
  </si>
  <si>
    <t>00187DE0ADF1</t>
  </si>
  <si>
    <t>LIJ-MACH-FF</t>
  </si>
  <si>
    <t>A0F5097B8E6F</t>
  </si>
  <si>
    <t>00187DE0E229</t>
  </si>
  <si>
    <t>ZHH-MACH-C</t>
  </si>
  <si>
    <t>ARYJ-0053</t>
  </si>
  <si>
    <t>A0F5097B8E02</t>
  </si>
  <si>
    <t>00:0D:05:0A:b3:0f</t>
  </si>
  <si>
    <t>A0F5097FE3A5</t>
  </si>
  <si>
    <t>10.134.18.77</t>
  </si>
  <si>
    <t>LIJ-SDF-MACH-X</t>
  </si>
  <si>
    <t>LIJ-MACH-H</t>
  </si>
  <si>
    <t>MEDSG2425F-0013</t>
  </si>
  <si>
    <t>OR 3</t>
  </si>
  <si>
    <t>BSM 045D</t>
  </si>
  <si>
    <t>12 - Device_Configuration!$BO$2:$BO$532</t>
  </si>
  <si>
    <t>Dialysis S/N</t>
  </si>
  <si>
    <t>00:0D:05:0A:B2:6b</t>
  </si>
  <si>
    <t>00:0D:05:0A:B3:1f</t>
  </si>
  <si>
    <t>00187DE0E28E</t>
  </si>
  <si>
    <t>ARXM-0366</t>
  </si>
  <si>
    <t>00:0D:05:0A:A8:5b</t>
  </si>
  <si>
    <t>WNH270OPR452</t>
  </si>
  <si>
    <t>WNH270OPR403</t>
  </si>
  <si>
    <t>MX750 - DE77669041</t>
  </si>
  <si>
    <t>10.134.18.61</t>
  </si>
  <si>
    <t>12 - Device_Configuration!$BL$2:$CC$532</t>
  </si>
  <si>
    <t>10.134.19.27</t>
  </si>
  <si>
    <t>BSM 047 D</t>
  </si>
  <si>
    <t>Fix: rehydrated 12 - Device_Configuration (A1:CC532) from the Active tracker, writing values and formulas without per-cell style indexes and using sharedStrings.</t>
  </si>
  <si>
    <t>LIJ-MACH-M</t>
  </si>
  <si>
    <t>ARXM-0371</t>
  </si>
  <si>
    <t>WRI130OPR045</t>
  </si>
  <si>
    <t>scan</t>
  </si>
  <si>
    <t>MINDRAY A5</t>
  </si>
  <si>
    <t>WA25106707</t>
  </si>
  <si>
    <t>8605505-08106008076496</t>
  </si>
  <si>
    <t>MEDNG2425E-3670</t>
  </si>
  <si>
    <t>A0F5097B8AFD</t>
  </si>
  <si>
    <t>WNH270OPR413</t>
  </si>
  <si>
    <t>MEDSG2425F-3155</t>
  </si>
  <si>
    <t>WNH270OPR436</t>
  </si>
  <si>
    <t>WNH270OPR417</t>
  </si>
  <si>
    <t>OR iPro Cybernet Workstation</t>
  </si>
  <si>
    <t>MX550</t>
  </si>
  <si>
    <t>MEDSG2425F-0046</t>
  </si>
  <si>
    <t>00:0D:05:0A:A8:57</t>
  </si>
  <si>
    <t>LIJ-SDF-MACH-L</t>
  </si>
  <si>
    <t>BSM 046D</t>
  </si>
  <si>
    <t>8605505-08106008075770</t>
  </si>
  <si>
    <t>MEDNG2425E-3218</t>
  </si>
  <si>
    <t>ARZD-0003</t>
  </si>
  <si>
    <t>LIJ-MACH-O</t>
  </si>
  <si>
    <t>Serial Connector Cable 1</t>
  </si>
  <si>
    <t>OR#1-TUR / IPRO</t>
  </si>
  <si>
    <t>LIJ-SDF-MACH-M</t>
  </si>
  <si>
    <t>10.134.18.76</t>
  </si>
  <si>
    <t>LIJ-MACH-B</t>
  </si>
  <si>
    <t>MEDSG2425F-3358</t>
  </si>
  <si>
    <t>A0F5097FEEFA</t>
  </si>
  <si>
    <t>MEDSG2425F-0162</t>
  </si>
  <si>
    <t>10.134.19.38</t>
  </si>
  <si>
    <t>BSM 034 B</t>
  </si>
  <si>
    <t>LIJ-SDF-MACH-D</t>
  </si>
  <si>
    <t>WMH300OPR344</t>
  </si>
  <si>
    <t>BSM 039 B</t>
  </si>
  <si>
    <t>MEDSG2425F-0121</t>
  </si>
  <si>
    <t>WNH270OPR411</t>
  </si>
  <si>
    <t>OR 9</t>
  </si>
  <si>
    <t>00187DE0E27F</t>
  </si>
  <si>
    <t>Pallet Status (AUTO)</t>
  </si>
  <si>
    <t>WNH270OPR419</t>
  </si>
  <si>
    <t>Cybernet Manufacturing Inc</t>
  </si>
  <si>
    <t>LIJ-SDF-MACH-R</t>
  </si>
  <si>
    <t>LIJ-SDF-MACH-O</t>
  </si>
  <si>
    <t>Third Floor/Cath Lab</t>
  </si>
  <si>
    <t>MEDSG2425F-0076</t>
  </si>
  <si>
    <t>MEDSG2425F-3168</t>
  </si>
  <si>
    <t>no</t>
  </si>
  <si>
    <t>Dialysis Machine</t>
  </si>
  <si>
    <t>MEDNG2425E-3101</t>
  </si>
  <si>
    <t>00:0D:05:0A:B2:61</t>
  </si>
  <si>
    <t>WMH300OPR338</t>
  </si>
  <si>
    <t>LIJ-SDF-MACH-G</t>
  </si>
  <si>
    <t>00:0D:05:0A:A8:DF</t>
  </si>
  <si>
    <t>Current Building</t>
  </si>
  <si>
    <t>BSM 046 C</t>
  </si>
  <si>
    <t>WNH270OPR439</t>
  </si>
  <si>
    <t>LIJ-MACH-WW</t>
  </si>
  <si>
    <t>MEDSG2425F-0180</t>
  </si>
  <si>
    <t>A0F5097B8ADC</t>
  </si>
  <si>
    <t>LIJ-MACH-L</t>
  </si>
  <si>
    <t>100 Commercial St</t>
  </si>
  <si>
    <t>WA23C03815</t>
  </si>
  <si>
    <t>10.134.18.64</t>
  </si>
  <si>
    <t>MEDSG2425F-0269</t>
  </si>
  <si>
    <t>00:0D:05:0A:b6:65</t>
  </si>
  <si>
    <t>MEDSG2425F-0163</t>
  </si>
  <si>
    <t>GCH-MACH-F</t>
  </si>
  <si>
    <t>OR 25 / OR 13</t>
  </si>
  <si>
    <t>WNH270OPR454</t>
  </si>
  <si>
    <t>Firmware Downloaded</t>
  </si>
  <si>
    <t>WA25300324</t>
  </si>
  <si>
    <t>Asset Tag</t>
  </si>
  <si>
    <t>A0F5097B89E1</t>
  </si>
  <si>
    <t>Neuron S/N</t>
  </si>
  <si>
    <t>00187DE0E350</t>
  </si>
  <si>
    <t>WNH270OPR414</t>
  </si>
  <si>
    <t>1T0S255935</t>
  </si>
  <si>
    <t>MEDSG2425F-3214</t>
  </si>
  <si>
    <t>BSM 051 A</t>
  </si>
  <si>
    <t>MEDSG2425F-3182</t>
  </si>
  <si>
    <t>WA23C03907</t>
  </si>
  <si>
    <t>PHILLIP</t>
  </si>
  <si>
    <t>A0F5097FE012</t>
  </si>
  <si>
    <t>LIJ - Proc</t>
  </si>
  <si>
    <t>LIJ-MACH-Z</t>
  </si>
  <si>
    <t>00:0D:05:0A:A5:6F</t>
  </si>
  <si>
    <t>00:0D:05:0A:B0:E7</t>
  </si>
  <si>
    <t>00:0D:05:0A:B3:05</t>
  </si>
  <si>
    <t>MEDSG2425F-0264</t>
  </si>
  <si>
    <t>Cybernet MAC</t>
  </si>
  <si>
    <t>WMH300OPR340</t>
  </si>
  <si>
    <t>MEDSG2425F-0166</t>
  </si>
  <si>
    <t>MEDSG2425F-3294</t>
  </si>
  <si>
    <t>LIJ-SDF-MACH-C</t>
  </si>
  <si>
    <t>10.134.19.47</t>
  </si>
  <si>
    <t>A0F5097B961B</t>
  </si>
  <si>
    <t>OR 21</t>
  </si>
  <si>
    <t>A0F5097FEBFE</t>
  </si>
  <si>
    <t>LIJ-MACH-W</t>
  </si>
  <si>
    <t>WNH269OPR022</t>
  </si>
  <si>
    <t>A0F5097B8B74</t>
  </si>
  <si>
    <t>00:0D:05:0A:B3:b7</t>
  </si>
  <si>
    <t>WA25203684</t>
  </si>
  <si>
    <t>GCH-MACH-H</t>
  </si>
  <si>
    <t>LIJ-MACH-RR</t>
  </si>
  <si>
    <t>LIJ-SDF-MACH-U</t>
  </si>
  <si>
    <t>RAN AL / DIDNT PROGRAM SCANNER</t>
  </si>
  <si>
    <t>8605505-08106008075761</t>
  </si>
  <si>
    <t>MEDSG2425F-0170</t>
  </si>
  <si>
    <t>WNH270OPR412</t>
  </si>
  <si>
    <t>WNH269OPR015</t>
  </si>
  <si>
    <t>A0F5097FA59B</t>
  </si>
  <si>
    <t>Part Numbers</t>
  </si>
  <si>
    <t>Atlan A350</t>
  </si>
  <si>
    <t>MEDSG2425f-0265</t>
  </si>
  <si>
    <t>WNH269OPR016</t>
  </si>
  <si>
    <t>A0F5097B9C84</t>
  </si>
  <si>
    <t>OR7-TUR- / 1802BM007</t>
  </si>
  <si>
    <t>Ran POSTINSTALL</t>
  </si>
  <si>
    <t>WNH270OPR443</t>
  </si>
  <si>
    <t>WVS900OPR029</t>
  </si>
  <si>
    <t>Serial Connector Cable 2</t>
  </si>
  <si>
    <t>MX750 -  DE77669033</t>
  </si>
  <si>
    <t>WA25203747</t>
  </si>
  <si>
    <t>LIJ-SDF-MACH-W</t>
  </si>
  <si>
    <t>WNH270OPR432</t>
  </si>
  <si>
    <t>Anesthesia Tech 10783</t>
  </si>
  <si>
    <t>LIJ-MACH-F</t>
  </si>
  <si>
    <t>A0F5097FF05E</t>
  </si>
  <si>
    <t>00:0D:05:0A:B2:47</t>
  </si>
  <si>
    <t>00187DE0E213</t>
  </si>
  <si>
    <t>MEDSG2425F-3218</t>
  </si>
  <si>
    <t>BSM 038 B</t>
  </si>
  <si>
    <t>A0F5097FEB57</t>
  </si>
  <si>
    <t>NEURON</t>
  </si>
  <si>
    <t>00:0D:05:0A:B6:D7</t>
  </si>
  <si>
    <t>WVS900OPR023</t>
  </si>
  <si>
    <t>MX750 - DE77668935</t>
  </si>
  <si>
    <t>In Storage</t>
  </si>
  <si>
    <t>WA24406375</t>
  </si>
  <si>
    <t>Neuron Profile</t>
  </si>
  <si>
    <t>00:0D:05:0A:B4:47</t>
  </si>
  <si>
    <t>A0F5097B975D</t>
  </si>
  <si>
    <t>00:0D:05:0A:B4:81</t>
  </si>
  <si>
    <t>WNH270OPR407</t>
  </si>
  <si>
    <t>00:0D:05:0A:B6:AB</t>
  </si>
  <si>
    <t>00187DE0E276</t>
  </si>
  <si>
    <t>OR 14</t>
  </si>
  <si>
    <t>6T0S163941</t>
  </si>
  <si>
    <t>OR 5</t>
  </si>
  <si>
    <t>WA25300280</t>
  </si>
  <si>
    <t>MEDNG2425E-?</t>
  </si>
  <si>
    <t>MEDSG2425F-3044</t>
  </si>
  <si>
    <t>Fix: re-created tblDeviceConfig as a real Excel Table (ref A1:CC532) and attached it to sheet 12 via tableParts.</t>
  </si>
  <si>
    <t>WMH300OPR337</t>
  </si>
  <si>
    <t>Drager Atlan</t>
  </si>
  <si>
    <t>MEDNG2425E-3152</t>
  </si>
  <si>
    <t>10.134.18.62</t>
  </si>
  <si>
    <t>10.134.19.50</t>
  </si>
  <si>
    <t>WLS450OPR001</t>
  </si>
  <si>
    <t>MEDSG2425E-3291</t>
  </si>
  <si>
    <t>MEETH-MACH-V</t>
  </si>
  <si>
    <t>A0F5097F9550</t>
  </si>
  <si>
    <t>00:0D:05:0A:A8:29</t>
  </si>
  <si>
    <t>LIJ Main / LIJ OR</t>
  </si>
  <si>
    <t>GCX Arm Part Numbers</t>
  </si>
  <si>
    <t>WNH269OPR021</t>
  </si>
  <si>
    <t>BSM 035 B</t>
  </si>
  <si>
    <t>OR 10</t>
  </si>
  <si>
    <t>MEDSG2425E-3033</t>
  </si>
  <si>
    <t>WA25203891</t>
  </si>
  <si>
    <t>NX750 - DE77668952</t>
  </si>
  <si>
    <t>Fresenius BlueStar - 2008T</t>
  </si>
  <si>
    <t>LIJ-SDF-MACH-Y</t>
  </si>
  <si>
    <t>Medical Peripheral 4</t>
  </si>
  <si>
    <t>BSM 039 A</t>
  </si>
  <si>
    <t>DC:90:09:61:8B:EA</t>
  </si>
  <si>
    <t>ran AL</t>
  </si>
  <si>
    <t>10.134.19.49</t>
  </si>
  <si>
    <t>WNH270OPR416</t>
  </si>
  <si>
    <t>Open Patient Area</t>
  </si>
  <si>
    <t>Root cause: i085 carried per-cell style indexes that do not exist in the WEBSAFE template, triggering a repair pass that dropped the cell values.</t>
  </si>
  <si>
    <t>WNH270OPR431</t>
  </si>
  <si>
    <t>BSM 038 A</t>
  </si>
  <si>
    <t>WA25203887</t>
  </si>
  <si>
    <t>Endoscopy Suite</t>
  </si>
  <si>
    <t>MEDSG2425F-0283</t>
  </si>
  <si>
    <t>00187DE0E35F</t>
  </si>
  <si>
    <t>10.134.19.43</t>
  </si>
  <si>
    <t>WMH300OPR346</t>
  </si>
  <si>
    <t>OR#6-TUR / IPRO</t>
  </si>
  <si>
    <t>0T0S250288</t>
  </si>
  <si>
    <t>N/A</t>
  </si>
  <si>
    <t>MEDNG2425E-3205</t>
  </si>
  <si>
    <t>ASHH-0186</t>
  </si>
  <si>
    <t>:</t>
  </si>
  <si>
    <t>WNH269OPR020</t>
  </si>
  <si>
    <t>00187DE07843</t>
  </si>
  <si>
    <t>ASEA-0253</t>
  </si>
  <si>
    <t>Changed to MEETH</t>
  </si>
  <si>
    <t>LIJ-MACH-N</t>
  </si>
  <si>
    <t>BSM 033 A</t>
  </si>
  <si>
    <t>MX750 - DE77669027</t>
  </si>
  <si>
    <t>Lab 3/ Neuro BiPlane</t>
  </si>
  <si>
    <t>MEDSG2425F-3063</t>
  </si>
  <si>
    <t>ASKF-0202</t>
  </si>
  <si>
    <t>WLS450OPR006</t>
  </si>
  <si>
    <t>Fix: repaired 00_Error_Log_Device_Config formulas to remove xlfn.SINGLE and eliminate #REF by pointing at tblDeviceConfig columns.</t>
  </si>
  <si>
    <t>WA24406265</t>
  </si>
  <si>
    <t>WNH270OPR437</t>
  </si>
  <si>
    <t>MEDNG2425E-3235</t>
  </si>
  <si>
    <t>A0F5097FA3F3</t>
  </si>
  <si>
    <t>WA25300317</t>
  </si>
  <si>
    <t>A0F5097FEFFB</t>
  </si>
  <si>
    <t>Anesthesia Machine</t>
  </si>
  <si>
    <t>Neuron Power Cable Present</t>
  </si>
  <si>
    <t>00:0D:05:0A:A8:3F</t>
  </si>
  <si>
    <t>00:0D:05:0A:B2:99</t>
  </si>
  <si>
    <t>042V2</t>
  </si>
  <si>
    <t>10.134.19.34</t>
  </si>
  <si>
    <t>00:0D:05:0A:A5:b7</t>
  </si>
  <si>
    <t>MEDSG2425E-3206</t>
  </si>
  <si>
    <t>10.134.19.41</t>
  </si>
  <si>
    <t>WNH270OPR458</t>
  </si>
  <si>
    <t>00:0D:05:0A:B3:BB</t>
  </si>
  <si>
    <t>MEDSG2425F-0011</t>
  </si>
  <si>
    <t>00:0D:05:0A:A7:49</t>
  </si>
  <si>
    <t>12 - Device_Configuration!$D$2:$D$532</t>
  </si>
  <si>
    <t>LIJ-SDF-MACH-V</t>
  </si>
  <si>
    <t>ASCJ-0095</t>
  </si>
  <si>
    <t>WNH270OPR450</t>
  </si>
  <si>
    <t>0T0S250280</t>
  </si>
  <si>
    <t>9T0S237738</t>
  </si>
  <si>
    <t>00:0D:05:0A:A6:89</t>
  </si>
  <si>
    <t>ARYJ-0052</t>
  </si>
  <si>
    <t>ARXM-0372</t>
  </si>
  <si>
    <t>10.134.19.48</t>
  </si>
  <si>
    <t>MX750 - DE77673010</t>
  </si>
  <si>
    <t>8605505-08106008076500</t>
  </si>
  <si>
    <t>MEDSG2425F-3302</t>
  </si>
  <si>
    <t>LIJ-SDF-MACH-AC</t>
  </si>
  <si>
    <t>BSM 035 A</t>
  </si>
  <si>
    <t>Medical Peripheral 2</t>
  </si>
  <si>
    <t>LIJ-SDF-MACH-F</t>
  </si>
  <si>
    <t>MEDSG2425F-0284</t>
  </si>
  <si>
    <t>00:0D:05:0A:A7:8f</t>
  </si>
  <si>
    <t>OR 20</t>
  </si>
  <si>
    <t>00:0D:05:0A:A7:0D</t>
  </si>
  <si>
    <t>WNH269OPR013</t>
  </si>
  <si>
    <t>00187DE0E265</t>
  </si>
  <si>
    <t>00:0D:05:0A:B3:07</t>
  </si>
  <si>
    <t>WNH270OPR433</t>
  </si>
  <si>
    <t>PI_Result</t>
  </si>
  <si>
    <t>A0F5097B8E58</t>
  </si>
  <si>
    <t>BSM 034 A</t>
  </si>
  <si>
    <t>A0F5097B8B9A</t>
  </si>
  <si>
    <t>10.134.18.74</t>
  </si>
  <si>
    <t>MEDSG2425F-3312</t>
  </si>
  <si>
    <t>DupDeployed</t>
  </si>
  <si>
    <t>LIJ-SDF-MACH-B</t>
  </si>
  <si>
    <t>WMH300OPR342</t>
  </si>
  <si>
    <t>WNH270OPR426</t>
  </si>
  <si>
    <t>LIJ-MACH-EE</t>
  </si>
  <si>
    <t>MEDSG2425F-0109</t>
  </si>
  <si>
    <t>00:0D:05:0A:A5:2D</t>
  </si>
  <si>
    <t>00:0D:05:0A:B2:43</t>
  </si>
  <si>
    <t>00:0D:05:0A:A5:35</t>
  </si>
  <si>
    <t>WNH270OPR428</t>
  </si>
  <si>
    <t>00:0D:05:0A:A6:E5</t>
  </si>
  <si>
    <t>WNH269OPR017</t>
  </si>
  <si>
    <t>WA24406115</t>
  </si>
  <si>
    <t>A0F5097BA067</t>
  </si>
  <si>
    <t>00:0D:05:0A:A6:C1</t>
  </si>
  <si>
    <t>LIJ SDF</t>
  </si>
  <si>
    <t>MEDSG2425F-0149</t>
  </si>
  <si>
    <t>ALREADY HAS BADGE SCANNER / SCANNER PROGRAMMED / RAN AL</t>
  </si>
  <si>
    <t>Ran POSTINSTALL, boxed</t>
  </si>
  <si>
    <t>00:0D:05:0A:B2:C5</t>
  </si>
  <si>
    <t>00:0D:05:0A:B1:73</t>
  </si>
  <si>
    <t>00:0D:05:0A:A6:F9</t>
  </si>
  <si>
    <t>12 - Device_Configuration!$BL$2:$BL$532</t>
  </si>
  <si>
    <t>12 - Device_Configuration!$BP$2:$BP$532</t>
  </si>
  <si>
    <t>WA24406321</t>
  </si>
  <si>
    <t>LIJ ORs</t>
  </si>
  <si>
    <t>1427182 LIJ Installation - Tim W. Seeberger, Akbar, Chris Perkins, Epic Team, Anesthesia Techs, and Admins</t>
  </si>
  <si>
    <t>MEDSG2425F-0287</t>
  </si>
  <si>
    <t>WNH270OPR457</t>
  </si>
  <si>
    <t>WNH270OPR435</t>
  </si>
  <si>
    <t>00:0D:05:0A:a7:91</t>
  </si>
  <si>
    <t>MX750 - DE77669060</t>
  </si>
  <si>
    <t>MEDSG2425F-3058</t>
  </si>
  <si>
    <t>MEDSG2425F-0094</t>
  </si>
  <si>
    <t>Glen Cove</t>
  </si>
  <si>
    <t>00:0D:05:0A:B3:BF</t>
  </si>
  <si>
    <t>00:0D:05:0A:B1:27</t>
  </si>
  <si>
    <t>WA24406274</t>
  </si>
  <si>
    <t>WNY210OPR054</t>
  </si>
  <si>
    <t>PI_Imprivata_Type</t>
  </si>
  <si>
    <t>PBMC-MACH-N</t>
  </si>
  <si>
    <t>A0F5097BA02C</t>
  </si>
  <si>
    <t>MEDSG2425F-0146</t>
  </si>
  <si>
    <t>NA</t>
  </si>
  <si>
    <t>Procedural Room 1</t>
  </si>
  <si>
    <t>A0F5097B8C9F</t>
  </si>
  <si>
    <t>WVS900OPR024</t>
  </si>
  <si>
    <t>WMH300OPR341</t>
  </si>
  <si>
    <t>WNH270OPR405</t>
  </si>
  <si>
    <t>00:0D:05:0A:B1:A9</t>
  </si>
  <si>
    <t>MEDSG2425E-3219</t>
  </si>
  <si>
    <t>ARZD-0002</t>
  </si>
  <si>
    <t>Drager</t>
  </si>
  <si>
    <t>1T0S255978</t>
  </si>
  <si>
    <t>MEDSG2425F-0142</t>
  </si>
  <si>
    <t>A0F5097BA0A3</t>
  </si>
  <si>
    <t>00:0D:05:0A:A7:f7</t>
  </si>
  <si>
    <t>GCH-MACH-I</t>
  </si>
  <si>
    <t>LIJ-MACH-U</t>
  </si>
  <si>
    <t>Fresenius BlueStar</t>
  </si>
  <si>
    <t>LIJ-SDF-MACH-S</t>
  </si>
  <si>
    <t>WA24406353</t>
  </si>
  <si>
    <t>6T0S163895</t>
  </si>
  <si>
    <t>MEDSG2425F-0091</t>
  </si>
  <si>
    <t>OR 1</t>
  </si>
  <si>
    <t>ASUL-0204</t>
  </si>
  <si>
    <t>MEDSG2425F-3222</t>
  </si>
  <si>
    <t>MEDNG2425E-3100</t>
  </si>
  <si>
    <t>1T0S260521</t>
  </si>
  <si>
    <t>A Secret Next Thing</t>
  </si>
  <si>
    <t>WNH270OPR427</t>
  </si>
  <si>
    <t>pass</t>
  </si>
  <si>
    <t>TOOLING ERROR LOG (i086, 2026-02-27)</t>
  </si>
  <si>
    <t>OR 15</t>
  </si>
  <si>
    <t>LIJ-SDF-MACH-AF</t>
  </si>
  <si>
    <t>WA25300315</t>
  </si>
  <si>
    <t>A0F5097B8CD0</t>
  </si>
  <si>
    <t>9T0S247174</t>
  </si>
  <si>
    <t>WA25203864</t>
  </si>
  <si>
    <t>WNH270OPR406</t>
  </si>
  <si>
    <t>Firmware Installed</t>
  </si>
  <si>
    <t>CCMC-MACH-A</t>
  </si>
  <si>
    <t>00187DE0E222</t>
  </si>
  <si>
    <t>Issue observed: i085 opens in Excel for Web as a 'repaired_' copy and the Device_Configuration tab renders blank.</t>
  </si>
  <si>
    <t>WNH270OPR429</t>
  </si>
  <si>
    <t>00:0D:05:0A:B1:A3</t>
  </si>
  <si>
    <t>00:0D:05:0A:B2:77</t>
  </si>
  <si>
    <t>MEDNG2425E-3222</t>
  </si>
  <si>
    <t>00:0D:05:0A:A8:2B</t>
  </si>
  <si>
    <t>BSM 040 B</t>
  </si>
  <si>
    <t>WNH270OPR438</t>
  </si>
  <si>
    <t>MEDSG2425F-0193</t>
  </si>
  <si>
    <t>Inpatient</t>
  </si>
  <si>
    <t>MX750 - DE77668944</t>
  </si>
  <si>
    <t>A0F5097BA00D</t>
  </si>
  <si>
    <t>WA25300321</t>
  </si>
  <si>
    <t>MEDNG2425E-3698</t>
  </si>
  <si>
    <t>MEDSG2425F-3315</t>
  </si>
  <si>
    <t>WA23C03752</t>
  </si>
  <si>
    <t>ARXM-0373</t>
  </si>
  <si>
    <t>WNH270OPR430</t>
  </si>
  <si>
    <t>LIJ-SDF-MACH-T</t>
  </si>
  <si>
    <t>MEDSG2425F-3062</t>
  </si>
  <si>
    <t>00187DE0ADF6</t>
  </si>
  <si>
    <t>MEDSG2425F-3304</t>
  </si>
  <si>
    <t>A0F5097FA58A</t>
  </si>
  <si>
    <t>MX750 - DE77669020</t>
  </si>
  <si>
    <t>12 - Device_Configuration!$BM$2:$BM$532</t>
  </si>
  <si>
    <t>WA24406391</t>
  </si>
  <si>
    <t>LIJ-SDF-MACH-H</t>
  </si>
  <si>
    <t>00:0D:05:0A:B6:a7</t>
  </si>
  <si>
    <t>A0F5097BA08B</t>
  </si>
  <si>
    <t>MEDSG2425E-3210</t>
  </si>
  <si>
    <t>10.134.19.28</t>
  </si>
  <si>
    <t>WNH270OPR447</t>
  </si>
  <si>
    <t>WNH270OPR415</t>
  </si>
  <si>
    <t>00:0D:05:0A:B0:F3</t>
  </si>
  <si>
    <t>MX750 - DE77668950</t>
  </si>
  <si>
    <t>WA24406364</t>
  </si>
  <si>
    <t>1T0S260271</t>
  </si>
  <si>
    <t>WNH270INR002</t>
  </si>
  <si>
    <t>A0F5097BA007</t>
  </si>
  <si>
    <t>WNH269OPR023</t>
  </si>
  <si>
    <t>LIJVS</t>
  </si>
  <si>
    <t>MEDNG2425E-3046</t>
  </si>
  <si>
    <t>BSM 050 D</t>
  </si>
  <si>
    <t xml:space="preserve">Medical Device
Model</t>
  </si>
  <si>
    <t>WNY210OPR053</t>
  </si>
  <si>
    <t>NSUH</t>
  </si>
  <si>
    <t>WNH269OPR025</t>
  </si>
  <si>
    <t>00:0D:05:0A:B2:A1</t>
  </si>
  <si>
    <t>LIJ-MACH-D</t>
  </si>
  <si>
    <t>A0F5097FA52B</t>
  </si>
  <si>
    <t>MEDNG2425E-3059</t>
  </si>
  <si>
    <t>Medical Device ID</t>
  </si>
  <si>
    <t>OR 22</t>
  </si>
  <si>
    <t>WNH270OPR422</t>
  </si>
  <si>
    <t>WA23C03136</t>
  </si>
  <si>
    <t>MEDSG2425F-0165</t>
  </si>
  <si>
    <t>BSM 036 A</t>
  </si>
  <si>
    <t>0T0S248167</t>
  </si>
  <si>
    <t>DesignationChanged</t>
  </si>
  <si>
    <t>9T0S237816</t>
  </si>
  <si>
    <t>A0F5097B99F8</t>
  </si>
  <si>
    <t>MEDSG2425F-0062</t>
  </si>
  <si>
    <t>WA23C03908</t>
  </si>
  <si>
    <t>MEDNG2425E-3342</t>
  </si>
  <si>
    <t>MX750 - DE77669070</t>
  </si>
  <si>
    <t>akbar, Diane from Anesthesia, and Metasource badge-in TDR</t>
  </si>
  <si>
    <t>A0F5097FEC20</t>
  </si>
  <si>
    <t>MEDSG2425E-3050</t>
  </si>
  <si>
    <t>WA25203733</t>
  </si>
  <si>
    <t>gather from Tim's spreadsheet</t>
  </si>
  <si>
    <t>LIJ-SDF-MACH-A</t>
  </si>
  <si>
    <t>042V1</t>
  </si>
  <si>
    <t>WNH270OPR442</t>
  </si>
  <si>
    <t>00:0D:05:0A:A7:69</t>
  </si>
  <si>
    <t>Warehouse Location (AUTO)</t>
  </si>
  <si>
    <t>WA25203818</t>
  </si>
  <si>
    <t>1-C-2</t>
  </si>
  <si>
    <t>MEDSG2425F-3075</t>
  </si>
  <si>
    <t>OR 12</t>
  </si>
  <si>
    <t>WA23C03913</t>
  </si>
  <si>
    <t>WNH269OPR019</t>
  </si>
  <si>
    <t>MEDSG2425F-3131</t>
  </si>
  <si>
    <t>A0F5097B98D9</t>
  </si>
  <si>
    <t>LIJ - OR</t>
  </si>
  <si>
    <t>WNH270OPR451</t>
  </si>
  <si>
    <t>PHILLIPS</t>
  </si>
  <si>
    <t>LIJ-SDF-MACH-AD</t>
  </si>
  <si>
    <t>WNH269OPR014</t>
  </si>
  <si>
    <t>10.134.19.44</t>
  </si>
  <si>
    <t>WVS900OPR026</t>
  </si>
  <si>
    <t>LIJ-SDF-MACH-Q</t>
  </si>
  <si>
    <t>BSM 041 A</t>
  </si>
  <si>
    <t>LIJ-MACH-E</t>
  </si>
  <si>
    <t xml:space="preserve">OR 15-TUR </t>
  </si>
  <si>
    <t>9T0S247133</t>
  </si>
  <si>
    <t>WNH270OPR453</t>
  </si>
  <si>
    <t>LIJ-MACH-AA</t>
  </si>
  <si>
    <t>Apollo</t>
  </si>
  <si>
    <t>MEETH-MACH-W</t>
  </si>
  <si>
    <t>WNH270OPR441</t>
  </si>
  <si>
    <t>00:0D:05:0A:B1:45</t>
  </si>
  <si>
    <t>BSM 036 B</t>
  </si>
  <si>
    <t>0T0S248191</t>
  </si>
  <si>
    <t>Drager Apollo</t>
  </si>
  <si>
    <t>WA24406365</t>
  </si>
  <si>
    <t>Ground Level/Dialysis</t>
  </si>
  <si>
    <t>LIJ-SDF-MACH-P</t>
  </si>
  <si>
    <t>00:0D:05:0A:b6:53</t>
  </si>
  <si>
    <t>MEDSG2425F-0172</t>
  </si>
  <si>
    <t>A0F5097FE29D</t>
  </si>
  <si>
    <t>MEDSG2425F-0168</t>
  </si>
  <si>
    <t>8605505-08106008075769</t>
  </si>
  <si>
    <t>00:0D:05:0A:b4:71</t>
  </si>
  <si>
    <t>WA25300267</t>
  </si>
  <si>
    <t>WA25300322</t>
  </si>
  <si>
    <t>yes</t>
  </si>
  <si>
    <t>00:0D:05:0A:B3:3D</t>
  </si>
  <si>
    <t>GCX Arm Deployed</t>
  </si>
  <si>
    <t>MX750 - DE77669038</t>
  </si>
  <si>
    <t>OR 2</t>
  </si>
  <si>
    <t>Serial Connector Cable 4</t>
  </si>
  <si>
    <t>LIJ-SDF-MACH-AB</t>
  </si>
  <si>
    <t>Has Keyboard</t>
  </si>
  <si>
    <t>Philips Mindray</t>
  </si>
  <si>
    <t>A0F5097B9FA6</t>
  </si>
  <si>
    <t>00:0D:05:0A:B0:B1</t>
  </si>
  <si>
    <t>OR#4-TUR / IPRO</t>
  </si>
  <si>
    <t>WNH270OPR410</t>
  </si>
  <si>
    <t>WA25300237</t>
  </si>
  <si>
    <t>LIJ-MACH-G</t>
  </si>
  <si>
    <t>LIJ - Annex</t>
  </si>
  <si>
    <t>Software Downloaded</t>
  </si>
  <si>
    <t>ZHH-MACH-A</t>
  </si>
  <si>
    <t>A0F5097FF17E</t>
  </si>
  <si>
    <t>OR Cybernet</t>
  </si>
  <si>
    <t>MEDNG2425E-3097</t>
  </si>
  <si>
    <t>MEDSG2425F-3048</t>
  </si>
  <si>
    <t>WNH270OPR404</t>
  </si>
  <si>
    <t>OR 8</t>
  </si>
  <si>
    <t>A0F5097FE484</t>
  </si>
  <si>
    <t>BSM 041 B</t>
  </si>
  <si>
    <t>A0F5097B9BB8</t>
  </si>
  <si>
    <t>WNH270OPR446</t>
  </si>
  <si>
    <t>MEDNG2425E-3214</t>
  </si>
  <si>
    <t>MX750 - DE77669068</t>
  </si>
  <si>
    <t>00187DE09A86</t>
  </si>
  <si>
    <t>MEDSG2425F-3046</t>
  </si>
  <si>
    <t>WMH300OPR350</t>
  </si>
  <si>
    <t>WA24406339</t>
  </si>
  <si>
    <t>9T0S247186</t>
  </si>
  <si>
    <t>WNH270OPR408</t>
  </si>
  <si>
    <t>WLS450OPR003</t>
  </si>
  <si>
    <t>00:0D:05:0A:B3:65</t>
  </si>
  <si>
    <t>00:0D:05:0A:B0:AF</t>
  </si>
  <si>
    <t>OR</t>
  </si>
  <si>
    <t>8605505-08106008076502</t>
  </si>
  <si>
    <t>WA24406279</t>
  </si>
  <si>
    <t>10.134.19.45</t>
  </si>
  <si>
    <t>MX750 - DE77668941</t>
  </si>
  <si>
    <t>A0F5097B969A</t>
  </si>
  <si>
    <t>0018DE0ADF7</t>
  </si>
  <si>
    <t>Configuration Date</t>
  </si>
  <si>
    <t>10.134.19.37</t>
  </si>
  <si>
    <t>WNH270OPR420</t>
  </si>
  <si>
    <t>00:0D:05:0A:B2:29</t>
  </si>
  <si>
    <t>WMH300OPR349</t>
  </si>
  <si>
    <t>00:0D:05:0A:B1:1F</t>
  </si>
  <si>
    <t>00:0D:05:0A:B2:31</t>
  </si>
  <si>
    <t>Column2</t>
  </si>
  <si>
    <t>ZHH-MACH-B</t>
  </si>
  <si>
    <t>8605505-08106008075768</t>
  </si>
  <si>
    <t>10.134.19.36</t>
  </si>
  <si>
    <t>00:0D:05:0A:B0:CD</t>
  </si>
  <si>
    <t>6T0S164346</t>
  </si>
  <si>
    <t>00187DE0E379</t>
  </si>
  <si>
    <t>12 - Device_Configuration!$BN$2:$BN$532</t>
  </si>
  <si>
    <t>A0F5097FA526</t>
  </si>
  <si>
    <t>00:0D:05:0A:A6:DD</t>
  </si>
  <si>
    <t>Anesthesia S/N</t>
  </si>
  <si>
    <t>00187DE07866</t>
  </si>
  <si>
    <t>Has New Ethernet</t>
  </si>
  <si>
    <t>LIJ-SDF-MACH-AE</t>
  </si>
  <si>
    <t>00187DE0E258</t>
  </si>
  <si>
    <t>MEDSG2425E-0026</t>
  </si>
  <si>
    <t xml:space="preserve">Medical Device
Class</t>
  </si>
  <si>
    <t>WA25203816</t>
  </si>
  <si>
    <t>00:0D:05:0A:A4:fb</t>
  </si>
  <si>
    <t>WA24406114</t>
  </si>
  <si>
    <t>000D050AA5A9</t>
  </si>
  <si>
    <t>A0F5097B9629</t>
  </si>
  <si>
    <t>10.134.18.65</t>
  </si>
  <si>
    <t>WA25300259</t>
  </si>
  <si>
    <t>Phillips</t>
  </si>
  <si>
    <t>MEDSG2425F-3224</t>
  </si>
  <si>
    <t>QC: validated no inline strings, no xlfn, and no #REF in Error Log formulas; workbook loads cleanly in openpyxl.</t>
  </si>
  <si>
    <t>OR 11</t>
  </si>
  <si>
    <t>ARXM-0293</t>
  </si>
  <si>
    <t>did not get to install</t>
  </si>
  <si>
    <t>WA24406201</t>
  </si>
  <si>
    <t>00:0D:05:0A:A8:F5</t>
  </si>
  <si>
    <t>MX750 - DE77668953</t>
  </si>
  <si>
    <t>MEDSG2425F-0123</t>
  </si>
  <si>
    <t>00:0D:05:0A:a6:85</t>
  </si>
  <si>
    <t>MEDSG2425F-0093</t>
  </si>
  <si>
    <t>MEDNG2425E-3292</t>
  </si>
  <si>
    <t>ASBJ-0311</t>
  </si>
  <si>
    <t>WNH270OPR449</t>
  </si>
  <si>
    <t>LIJ - CCMC</t>
  </si>
  <si>
    <t>LIJ-MACH-I</t>
  </si>
  <si>
    <t>10.134.18.69</t>
  </si>
  <si>
    <t>A0F5097FDD3F</t>
  </si>
  <si>
    <t>2008T</t>
  </si>
  <si>
    <t>10.134.19.31</t>
  </si>
  <si>
    <t>00:0D:05:0A:B6:A1</t>
  </si>
  <si>
    <t>WLS450OPR005</t>
  </si>
  <si>
    <t>PalletID (Manual)</t>
  </si>
  <si>
    <t>MEDSG2425F-3696</t>
  </si>
  <si>
    <t>WA23C03201</t>
  </si>
  <si>
    <t>Spare Unit</t>
  </si>
  <si>
    <t>LIJ-SDF-MACH-E</t>
  </si>
  <si>
    <t>00:0D:05:0A:A8:7D</t>
  </si>
  <si>
    <t>Medical Peripheral 5</t>
  </si>
  <si>
    <t>WMH300OPR345</t>
  </si>
  <si>
    <t>ASEA-0173</t>
  </si>
  <si>
    <t>A0F5097FA5C5</t>
  </si>
  <si>
    <t>MEDSG2425F-0282</t>
  </si>
  <si>
    <t>Pass</t>
  </si>
  <si>
    <t>MX750 - DE77668939</t>
  </si>
  <si>
    <t>MX750 - DE77669023</t>
  </si>
  <si>
    <t>Neuron Renamed</t>
  </si>
  <si>
    <t>iPro OR Workstation</t>
  </si>
  <si>
    <t>MEDNG2425E-3315</t>
  </si>
  <si>
    <t>00:0D:05:0A:A8:A3</t>
  </si>
  <si>
    <t>00:0D:05:0A:A8:3D</t>
  </si>
  <si>
    <t>MEDSG2425F-3310</t>
  </si>
  <si>
    <t>10.134.18.63</t>
  </si>
  <si>
    <t>A0F5097FDE6F</t>
  </si>
  <si>
    <t>MEDSG2425F-0192</t>
  </si>
  <si>
    <t>00:0D:05:0A:B0:BB</t>
  </si>
  <si>
    <t>MEDSG2425F-0083</t>
  </si>
  <si>
    <t>Serial Connector Cable 3</t>
  </si>
  <si>
    <t>ARXM-0403</t>
  </si>
  <si>
    <t>WA25300337</t>
  </si>
  <si>
    <t>WNH270OPR444</t>
  </si>
  <si>
    <t>00:0D:05:0A:A8:4D</t>
  </si>
  <si>
    <t>MEDSG2425F-3097</t>
  </si>
  <si>
    <t>Cybernet Serial</t>
  </si>
  <si>
    <t>ARZJ-0068</t>
  </si>
  <si>
    <t>ASCJ-0102</t>
  </si>
  <si>
    <t>A0F5097B9FB3</t>
  </si>
  <si>
    <t>00:0D:05:0A:A8:C3</t>
  </si>
  <si>
    <t>WLS450OPR002</t>
  </si>
  <si>
    <t>1T0S255909</t>
  </si>
  <si>
    <t>MX750 - DE77669021</t>
  </si>
  <si>
    <t>Changed to GC</t>
  </si>
  <si>
    <t>GCH-MACH-E</t>
  </si>
  <si>
    <t>MEDNG2425E-3312</t>
  </si>
  <si>
    <t>00187DE0E2BB</t>
  </si>
  <si>
    <t>OR 19</t>
  </si>
  <si>
    <t>WA25300338</t>
  </si>
  <si>
    <t>WA25203897</t>
  </si>
  <si>
    <t>WNH270OPR418</t>
  </si>
  <si>
    <t>ASPB0089</t>
  </si>
  <si>
    <t>Change: removed xl/calcChain.xml to avoid calcChain drift after injecting 40k+ cells, which can trigger Web repair prompts.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</si>
  <si>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</si>
  <si>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</si>
  <si>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</si>
  <si>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</si>
  <si>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</si>
  <si>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</si>
  <si>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</si>
  <si>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</si>
  <si>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</si>
  <si>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</si>
  <si>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</si>
  <si>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/xl/worksheets/sheet1.xml</t>
  </si>
  <si>
    <t>Excel repair replaced sheet1-3 (XML error)</t>
  </si>
  <si>
    <t>Sheet XML serialized with non-canonical namespace prefixes (ns0/ns1/ns2) after tool rewrite; Excel for Desktop treats as invalid and replaces parts.</t>
  </si>
  <si>
    <t>Rewrite worksheets 1-3 with canonical namespace prefixes (default worksheet namespace + mc + xr + r). Preserve all other parts byte-for-byte.</t>
  </si>
  <si>
    <t>Desktop open should not prompt repair; Web should open in Edit without 'Couldn't open workbook'.</t>
  </si>
  <si>
    <t>error066400_01.xml: replaced sheet1-3</t>
  </si>
  <si>
    <t>E-012</t>
  </si>
  <si>
    <t>tables</t>
  </si>
  <si>
    <t>/xl/tables/table9.xml</t>
  </si>
  <si>
    <t>Excel repaired tblDeviceConfig table XML (persists)</t>
  </si>
  <si>
    <t>tblDeviceConfig table uses tableColumn extensions (dataDxfId and calculatedColumnFormula) that trigger Desktop repair; Web likely refuses the same corruption.</t>
  </si>
  <si>
    <t>Rebuild table9.xml to plain schema: remove dataDxfId and calculatedColumnFormula while keeping name=tblDeviceConfig, id=10, ref=A1:CC532 (81 columns).</t>
  </si>
  <si>
    <t>Desktop open should not generate a new error*.xml; Web should open without modal.</t>
  </si>
  <si>
    <t>error218920_01.xml + error284680_01.xml: repaired table9</t>
  </si>
  <si>
    <t>E-013</t>
  </si>
  <si>
    <t>web</t>
  </si>
  <si>
    <t>Excel for Web open</t>
  </si>
  <si>
    <t>Web still rejects workbook</t>
  </si>
  <si>
    <t>Desktop still repairs table9; Web likely hard-fails on the same table corruption instead of repairing.</t>
  </si>
  <si>
    <t>After table9 rebuild, retest in Web with a new filename; if it still fails, capture new Desktop repair XML log, Web error modal screenshot, and the tab Excel opens to after repair (activeTab behavior).</t>
  </si>
  <si>
    <t>Web opens; Device_Configuration renders; activeTab stable.</t>
  </si>
  <si>
    <t>Evidence needed: Web modal screenshot + new repair XML + activeTab after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</si>
</sst>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40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180</c:v>
                </c:pt>
                <c:pt idx="5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17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16"/>
    <tableColumn id="6" xr3:uid="{00000000-0010-0000-0200-000006000000}" name="Site Locations" dataDxfId="15"/>
    <tableColumn id="8" xr3:uid="{00000000-0010-0000-0200-000008000000}" name="Area" dataDxfId="14"/>
    <tableColumn id="5" xr3:uid="{00000000-0010-0000-0200-000005000000}" name="Subarea" dataDxfId="13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blDeviceConfig" displayName="tblDeviceConfig" ref="A1:CC532">
  <autoFilter ref="A1:CC532" xr:uid="{00000000-0009-0000-0100-000002000000}">
    <filterColumn colId="0">
      <filters>
        <filter val="Cybernet"/>
      </filters>
    </filterColumn>
  </autoFilter>
  <tableColumns count="81">
    <tableColumn id="2" xr3:uid="{00000000-0010-0000-0100-000002000000}" name="Device Type"/>
    <tableColumn id="8" xr3:uid="{00000000-0010-0000-0100-000008000000}" name="Deployed"/>
    <tableColumn id="64" xr3:uid="{00000000-0010-0000-0100-000040000000}" name="Installed"/>
    <tableColumn id="65" xr3:uid="{812267BB-A7AB-40FE-B62B-147AA09254FD}" name="Spare"/>
    <tableColumn id="66" xr3:uid="{65EFAC28-0400-4860-A268-27333A172767}" name="DesignationChanged"/>
    <tableColumn id="67" xr3:uid="{21557AC9-B507-4C4D-BA47-3C9660288D9E}" name="DupDeployed"/>
    <tableColumn id="4" xr3:uid="{00000000-0010-0000-0100-000004000000}" name="Current Building"/>
    <tableColumn id="29" xr3:uid="{00000000-0010-0000-0100-00001D000000}" name="Install Building"/>
    <tableColumn id="52" xr3:uid="{00000000-0010-0000-0100-000034000000}" name="PI_Use_Case"/>
    <tableColumn id="53" xr3:uid="{00000000-0010-0000-0100-000035000000}" name="PI_Config_Shared"/>
    <tableColumn id="54" xr3:uid="{00000000-0010-0000-0100-000036000000}" name="PI_Config_Autologon"/>
    <tableColumn id="55" xr3:uid="{00000000-0010-0000-0100-000037000000}" name="PI_Imprivata"/>
    <tableColumn id="80" xr3:uid="{402EA967-1FAD-4DF2-A60D-0AA9FDA596A6}" name="PI_Imprivata_Type"/>
    <tableColumn id="56" xr3:uid="{00000000-0010-0000-0100-000038000000}" name="PI_Result"/>
    <tableColumn id="57" xr3:uid="{00000000-0010-0000-0100-000039000000}" name="PI_Rejection_Reason"/>
    <tableColumn id="58" xr3:uid="{00000000-0010-0000-0100-00003A000000}" name="PI_Validated_By"/>
    <tableColumn id="44" xr3:uid="{00000000-0010-0000-0100-00002C000000}" name="PI_Validated_Date"/>
    <tableColumn id="74" xr3:uid="{E153C85E-B198-4EDD-BDE3-0F019AC5E821}" name="Cybernet Hostname"/>
    <tableColumn id="21" xr3:uid="{00000000-0010-0000-0100-000015000000}" name="Neuron Hostname"/>
    <tableColumn id="1" xr3:uid="{00000000-0010-0000-0100-000001000000}" name="Neuron MAC"/>
    <tableColumn id="22" xr3:uid="{00000000-0010-0000-0100-000016000000}" name="Neuron IP"/>
    <tableColumn id="24" xr3:uid="{00000000-0010-0000-0100-000018000000}" name="Neuron Renamed"/>
    <tableColumn id="18" xr3:uid="{00000000-0010-0000-0100-000012000000}" name="Neuron S/N"/>
    <tableColumn id="25" xr3:uid="{00000000-0010-0000-0100-000019000000}" name="Neuron Profile"/>
    <tableColumn id="19" xr3:uid="{00000000-0010-0000-0100-000013000000}" name="Cybernet Serial"/>
    <tableColumn id="31" xr3:uid="{00000000-0010-0000-0100-00001F000000}" name="Cybernet MAC"/>
    <tableColumn id="28" xr3:uid="{00000000-0010-0000-0100-00001C000000}" name="Medical Device_x000a_Class"/>
    <tableColumn id="81" xr3:uid="{839EA2C2-AFEC-4435-BE0F-2D38CA3734CE}" name="Asset Tag"/>
    <tableColumn id="27" xr3:uid="{00000000-0010-0000-0100-00001B000000}" name="Dialysis S/N"/>
    <tableColumn id="20" xr3:uid="{00000000-0010-0000-0100-000014000000}" name="Anesthesia S/N"/>
    <tableColumn id="3" xr3:uid="{00000000-0010-0000-0100-000003000000}" name="Wave/PO"/>
    <tableColumn id="33" xr3:uid="{00000000-0010-0000-0100-000021000000}" name="Area/Unit"/>
    <tableColumn id="34" xr3:uid="{00000000-0010-0000-0100-000022000000}" name="Room"/>
    <tableColumn id="35" xr3:uid="{00000000-0010-0000-0100-000023000000}" name="Bay"/>
    <tableColumn id="26" xr3:uid="{00000000-0010-0000-0100-00001A000000}" name="Port No."/>
    <tableColumn id="37" xr3:uid="{00000000-0010-0000-0100-000025000000}" name="Manufacturer"/>
    <tableColumn id="32" xr3:uid="{00000000-0010-0000-0100-000020000000}" name="Medical Device_x000a_Model"/>
    <tableColumn id="38" xr3:uid="{00000000-0010-0000-0100-000026000000}" name="Medical Device ID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36" xr3:uid="{00000000-0010-0000-0100-000024000000}" name="Serial Connector Cable 5"/>
    <tableColumn id="46" xr3:uid="{00000000-0010-0000-0100-00002E000000}" name="Medical Peripheral 1"/>
    <tableColumn id="47" xr3:uid="{00000000-0010-0000-0100-00002F000000}" name="Medical Peripheral 2"/>
    <tableColumn id="48" xr3:uid="{00000000-0010-0000-0100-000030000000}" name="Medical Peripheral 3"/>
    <tableColumn id="49" xr3:uid="{00000000-0010-0000-0100-000031000000}" name="Medical Peripheral 4"/>
    <tableColumn id="50" xr3:uid="{00000000-0010-0000-0100-000032000000}" name="Medical Peripheral 5"/>
    <tableColumn id="5" xr3:uid="{00000000-0010-0000-0100-000005000000}" name="Neuron Power Cable Present"/>
    <tableColumn id="6" xr3:uid="{00000000-0010-0000-0100-000006000000}" name="Battery Present"/>
    <tableColumn id="45" xr3:uid="{00000000-0010-0000-0100-00002D000000}" name="Has Barcode Scanner"/>
    <tableColumn id="51" xr3:uid="{00000000-0010-0000-0100-000033000000}" name="Has Badge Scanner"/>
    <tableColumn id="9" xr3:uid="{00000000-0010-0000-0100-000009000000}" name="Configuration Date"/>
    <tableColumn id="10" xr3:uid="{00000000-0010-0000-0100-00000A000000}" name="Ready for Deployment"/>
    <tableColumn id="11" xr3:uid="{00000000-0010-0000-0100-00000B000000}" name="Notes"/>
    <tableColumn id="23" xr3:uid="{00000000-0010-0000-0100-000017000000}" name="IT Device Status"/>
    <tableColumn id="12" xr3:uid="{00000000-0010-0000-0100-00000C000000}" name="Firmware Downloaded"/>
    <tableColumn id="13" xr3:uid="{00000000-0010-0000-0100-00000D000000}" name="Firmware Installed"/>
    <tableColumn id="7" xr3:uid="{00000000-0010-0000-0100-000007000000}" name="Software Downloaded"/>
    <tableColumn id="30" xr3:uid="{00000000-0010-0000-0100-00001E000000}" name="Software Installed"/>
    <tableColumn id="59" xr3:uid="{00000000-0010-0000-0100-00003B000000}" name="Software List"/>
    <tableColumn id="14" xr3:uid="{00000000-0010-0000-0100-00000E000000}" name="Device ID Assigned"/>
    <tableColumn id="15" xr3:uid="{00000000-0010-0000-0100-00000F000000}" name="Epic Beans Data Sent"/>
    <tableColumn id="16" xr3:uid="{00000000-0010-0000-0100-000010000000}" name="Blocker Reason"/>
    <tableColumn id="17" xr3:uid="{00000000-0010-0000-0100-000011000000}" name="Readiness (Auto)"/>
    <tableColumn id="43" xr3:uid="{00000000-0010-0000-0100-00002B000000}" name="Column1"/>
    <tableColumn id="60" xr3:uid="{00000000-0010-0000-0100-00003C000000}" name="PalletID (Manual)"/>
    <tableColumn id="61" xr3:uid="{00000000-0010-0000-0100-00003D000000}" name="Warehouse Location (AUTO)"/>
    <tableColumn id="62" xr3:uid="{00000000-0010-0000-0100-00003E000000}" name="Pallet Status (AUTO)"/>
    <tableColumn id="63" xr3:uid="{00000000-0010-0000-0100-00003F000000}" name="Last Move TS (AUTO)"/>
    <tableColumn id="68" xr3:uid="{5DEB76ED-A566-4742-9E10-7716A1EE9B71}" name="Has Mouse"/>
    <tableColumn id="69" xr3:uid="{635ADFB6-8DB4-4F21-A784-427CF74D11EA}" name="Has Keyboard"/>
    <tableColumn id="70" xr3:uid="{3E571746-AE97-43C0-9234-38F2734CEDDF}" name="Has New Ethernet"/>
    <tableColumn id="71" xr3:uid="{C652F095-A959-469A-A7DE-86B5074A69E5}" name="Has New Breakaway"/>
    <tableColumn id="78" xr3:uid="{8DBBD79E-4015-457A-9531-F4C8A794FF19}" name="GCX Arm Deployed"/>
    <tableColumn id="73" xr3:uid="{68E1DAAD-C831-4FE1-B257-1FC9E7AB9C89}" name="Baud Rate"/>
    <tableColumn id="75" xr3:uid="{85C56C6A-33E1-4920-85AA-5EBFADFB1DD0}" name="Part Numbers"/>
    <tableColumn id="76" xr3:uid="{4999DB1B-ABA0-4487-A7C6-4111D103D61C}" name="GCX Arm Part Numbers"/>
    <tableColumn id="72" xr3:uid="{09465DF9-CDD4-44E6-B8C8-590C0ECA3E5F}" name="Pallet Association"/>
    <tableColumn id="79" xr3:uid="{A06ECD4F-4814-47CB-8809-36ABDA232FA8}" name="Column2"/>
    <tableColumn id="77" xr3:uid="{E9112EFD-23DA-4664-BA4D-4E5463274FA7}" name="A Secret Next Th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14ac xr xr2 xr3" xr:uid="{00000000-0001-0000-0000-000000000000}">
  <dimension ref="A1:M5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IFERROR(INDEX(tblDeviceConfig[Device Type],ROW()-1),"")</f>
      </c>
      <c r="C2" t="str">
        <f>IFERROR(INDEX(tblDeviceConfig[Deployed],ROW()-1),"")</f>
      </c>
      <c r="D2" t="str">
        <f>IFERROR(INDEX(tblDeviceConfig[Installed],ROW()-1),"")</f>
      </c>
      <c r="E2">
        <f>IFERROR(INDEX(tblDeviceConfig[Cybernet Hostname],ROW()-1),"")</f>
      </c>
      <c r="F2" t="str">
        <f>IFERROR(INDEX(tblDeviceConfig[Neuron Hostname],ROW()-1),"")</f>
      </c>
      <c r="G2" t="str">
        <f>IFERROR(INDEX(tblDeviceConfig[Software List],ROW()-1),"")</f>
      </c>
      <c r="H2" t="str">
        <f>IFERROR(INDEX(tblDeviceConfig[PI_Use_Case],ROW()-1),"")</f>
      </c>
      <c r="I2">
        <f>IFERROR(INDEX(tblDeviceConfig[PI_Result],ROW()-1),"")</f>
      </c>
      <c r="J2">
        <f>IFERROR(INDEX(tblDeviceConfig[PI_Validated_By],ROW()-1),"")</f>
      </c>
      <c r="K2">
        <f>IFERROR(INDEX(tblDeviceConfig[PI_Validated_Date],ROW()-1),"")</f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</c>
      <c r="C3" t="str">
        <f>IFERROR(INDEX(tblDeviceConfig[Deployed],ROW()-1),"")</f>
      </c>
      <c r="D3" t="str">
        <f>IFERROR(INDEX(tblDeviceConfig[Installed],ROW()-1),"")</f>
      </c>
      <c r="E3">
        <f>IFERROR(INDEX(tblDeviceConfig[Cybernet Hostname],ROW()-1),"")</f>
      </c>
      <c r="F3" t="str">
        <f>IFERROR(INDEX(tblDeviceConfig[Neuron Hostname],ROW()-1),"")</f>
      </c>
      <c r="G3">
        <f>IFERROR(INDEX(tblDeviceConfig[Software List],ROW()-1),"")</f>
      </c>
      <c r="H3">
        <f>IFERROR(INDEX(tblDeviceConfig[PI_Use_Case],ROW()-1),"")</f>
      </c>
      <c r="I3">
        <f>IFERROR(INDEX(tblDeviceConfig[PI_Result],ROW()-1),"")</f>
      </c>
      <c r="J3">
        <f>IFERROR(INDEX(tblDeviceConfig[PI_Validated_By],ROW()-1),"")</f>
      </c>
      <c r="K3">
        <f>IFERROR(INDEX(tblDeviceConfig[PI_Validated_Date],ROW()-1),"")</f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</c>
      <c r="C4" t="str">
        <f>IFERROR(INDEX(tblDeviceConfig[Deployed],ROW()-1),"")</f>
      </c>
      <c r="D4" t="str">
        <f>IFERROR(INDEX(tblDeviceConfig[Installed],ROW()-1),"")</f>
      </c>
      <c r="E4">
        <f>IFERROR(INDEX(tblDeviceConfig[Cybernet Hostname],ROW()-1),"")</f>
      </c>
      <c r="F4" t="str">
        <f>IFERROR(INDEX(tblDeviceConfig[Neuron Hostname],ROW()-1),"")</f>
      </c>
      <c r="G4">
        <f>IFERROR(INDEX(tblDeviceConfig[Software List],ROW()-1),"")</f>
      </c>
      <c r="H4">
        <f>IFERROR(INDEX(tblDeviceConfig[PI_Use_Case],ROW()-1),"")</f>
      </c>
      <c r="I4">
        <f>IFERROR(INDEX(tblDeviceConfig[PI_Result],ROW()-1),"")</f>
      </c>
      <c r="J4">
        <f>IFERROR(INDEX(tblDeviceConfig[PI_Validated_By],ROW()-1),"")</f>
      </c>
      <c r="K4">
        <f>IFERROR(INDEX(tblDeviceConfig[PI_Validated_Date],ROW()-1),"")</f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</c>
      <c r="C5" t="str">
        <f>IFERROR(INDEX(tblDeviceConfig[Deployed],ROW()-1),"")</f>
      </c>
      <c r="D5" t="str">
        <f>IFERROR(INDEX(tblDeviceConfig[Installed],ROW()-1),"")</f>
      </c>
      <c r="E5">
        <f>IFERROR(INDEX(tblDeviceConfig[Cybernet Hostname],ROW()-1),"")</f>
      </c>
      <c r="F5" t="str">
        <f>IFERROR(INDEX(tblDeviceConfig[Neuron Hostname],ROW()-1),"")</f>
      </c>
      <c r="G5">
        <f>IFERROR(INDEX(tblDeviceConfig[Software List],ROW()-1),"")</f>
      </c>
      <c r="H5">
        <f>IFERROR(INDEX(tblDeviceConfig[PI_Use_Case],ROW()-1),"")</f>
      </c>
      <c r="I5">
        <f>IFERROR(INDEX(tblDeviceConfig[PI_Result],ROW()-1),"")</f>
      </c>
      <c r="J5">
        <f>IFERROR(INDEX(tblDeviceConfig[PI_Validated_By],ROW()-1),"")</f>
      </c>
      <c r="K5">
        <f>IFERROR(INDEX(tblDeviceConfig[PI_Validated_Date],ROW()-1),"")</f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</c>
      <c r="C6" t="str">
        <f>IFERROR(INDEX(tblDeviceConfig[Deployed],ROW()-1),"")</f>
      </c>
      <c r="D6" t="str">
        <f>IFERROR(INDEX(tblDeviceConfig[Installed],ROW()-1),"")</f>
      </c>
      <c r="E6">
        <f>IFERROR(INDEX(tblDeviceConfig[Cybernet Hostname],ROW()-1),"")</f>
      </c>
      <c r="F6" t="str">
        <f>IFERROR(INDEX(tblDeviceConfig[Neuron Hostname],ROW()-1),"")</f>
      </c>
      <c r="G6">
        <f>IFERROR(INDEX(tblDeviceConfig[Software List],ROW()-1),"")</f>
      </c>
      <c r="H6">
        <f>IFERROR(INDEX(tblDeviceConfig[PI_Use_Case],ROW()-1),"")</f>
      </c>
      <c r="I6">
        <f>IFERROR(INDEX(tblDeviceConfig[PI_Result],ROW()-1),"")</f>
      </c>
      <c r="J6">
        <f>IFERROR(INDEX(tblDeviceConfig[PI_Validated_By],ROW()-1),"")</f>
      </c>
      <c r="K6">
        <f>IFERROR(INDEX(tblDeviceConfig[PI_Validated_Date],ROW()-1),"")</f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</c>
      <c r="C7" t="str">
        <f>IFERROR(INDEX(tblDeviceConfig[Deployed],ROW()-1),"")</f>
      </c>
      <c r="D7" t="str">
        <f>IFERROR(INDEX(tblDeviceConfig[Installed],ROW()-1),"")</f>
      </c>
      <c r="E7">
        <f>IFERROR(INDEX(tblDeviceConfig[Cybernet Hostname],ROW()-1),"")</f>
      </c>
      <c r="F7" t="str">
        <f>IFERROR(INDEX(tblDeviceConfig[Neuron Hostname],ROW()-1),"")</f>
      </c>
      <c r="G7">
        <f>IFERROR(INDEX(tblDeviceConfig[Software List],ROW()-1),"")</f>
      </c>
      <c r="H7">
        <f>IFERROR(INDEX(tblDeviceConfig[PI_Use_Case],ROW()-1),"")</f>
      </c>
      <c r="I7">
        <f>IFERROR(INDEX(tblDeviceConfig[PI_Result],ROW()-1),"")</f>
      </c>
      <c r="J7">
        <f>IFERROR(INDEX(tblDeviceConfig[PI_Validated_By],ROW()-1),"")</f>
      </c>
      <c r="K7">
        <f>IFERROR(INDEX(tblDeviceConfig[PI_Validated_Date],ROW()-1),"")</f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</c>
      <c r="C8" t="str">
        <f>IFERROR(INDEX(tblDeviceConfig[Deployed],ROW()-1),"")</f>
      </c>
      <c r="D8" t="str">
        <f>IFERROR(INDEX(tblDeviceConfig[Installed],ROW()-1),"")</f>
      </c>
      <c r="E8">
        <f>IFERROR(INDEX(tblDeviceConfig[Cybernet Hostname],ROW()-1),"")</f>
      </c>
      <c r="F8" t="str">
        <f>IFERROR(INDEX(tblDeviceConfig[Neuron Hostname],ROW()-1),"")</f>
      </c>
      <c r="G8">
        <f>IFERROR(INDEX(tblDeviceConfig[Software List],ROW()-1),"")</f>
      </c>
      <c r="H8">
        <f>IFERROR(INDEX(tblDeviceConfig[PI_Use_Case],ROW()-1),"")</f>
      </c>
      <c r="I8">
        <f>IFERROR(INDEX(tblDeviceConfig[PI_Result],ROW()-1),"")</f>
      </c>
      <c r="J8">
        <f>IFERROR(INDEX(tblDeviceConfig[PI_Validated_By],ROW()-1),"")</f>
      </c>
      <c r="K8">
        <f>IFERROR(INDEX(tblDeviceConfig[PI_Validated_Date],ROW()-1),"")</f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</c>
      <c r="C9" t="str">
        <f>IFERROR(INDEX(tblDeviceConfig[Deployed],ROW()-1),"")</f>
      </c>
      <c r="D9" t="str">
        <f>IFERROR(INDEX(tblDeviceConfig[Installed],ROW()-1),"")</f>
      </c>
      <c r="E9">
        <f>IFERROR(INDEX(tblDeviceConfig[Cybernet Hostname],ROW()-1),"")</f>
      </c>
      <c r="F9" t="str">
        <f>IFERROR(INDEX(tblDeviceConfig[Neuron Hostname],ROW()-1),"")</f>
      </c>
      <c r="G9">
        <f>IFERROR(INDEX(tblDeviceConfig[Software List],ROW()-1),"")</f>
      </c>
      <c r="H9">
        <f>IFERROR(INDEX(tblDeviceConfig[PI_Use_Case],ROW()-1),"")</f>
      </c>
      <c r="I9">
        <f>IFERROR(INDEX(tblDeviceConfig[PI_Result],ROW()-1),"")</f>
      </c>
      <c r="J9">
        <f>IFERROR(INDEX(tblDeviceConfig[PI_Validated_By],ROW()-1),"")</f>
      </c>
      <c r="K9">
        <f>IFERROR(INDEX(tblDeviceConfig[PI_Validated_Date],ROW()-1),"")</f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</c>
      <c r="C10" t="str">
        <f>IFERROR(INDEX(tblDeviceConfig[Deployed],ROW()-1),"")</f>
      </c>
      <c r="D10" t="str">
        <f>IFERROR(INDEX(tblDeviceConfig[Installed],ROW()-1),"")</f>
      </c>
      <c r="E10">
        <f>IFERROR(INDEX(tblDeviceConfig[Cybernet Hostname],ROW()-1),"")</f>
      </c>
      <c r="F10" t="str">
        <f>IFERROR(INDEX(tblDeviceConfig[Neuron Hostname],ROW()-1),"")</f>
      </c>
      <c r="G10">
        <f>IFERROR(INDEX(tblDeviceConfig[Software List],ROW()-1),"")</f>
      </c>
      <c r="H10">
        <f>IFERROR(INDEX(tblDeviceConfig[PI_Use_Case],ROW()-1),"")</f>
      </c>
      <c r="I10">
        <f>IFERROR(INDEX(tblDeviceConfig[PI_Result],ROW()-1),"")</f>
      </c>
      <c r="J10">
        <f>IFERROR(INDEX(tblDeviceConfig[PI_Validated_By],ROW()-1),"")</f>
      </c>
      <c r="K10">
        <f>IFERROR(INDEX(tblDeviceConfig[PI_Validated_Date],ROW()-1),"")</f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</c>
      <c r="C11" t="str">
        <f>IFERROR(INDEX(tblDeviceConfig[Deployed],ROW()-1),"")</f>
      </c>
      <c r="D11" t="str">
        <f>IFERROR(INDEX(tblDeviceConfig[Installed],ROW()-1),"")</f>
      </c>
      <c r="E11">
        <f>IFERROR(INDEX(tblDeviceConfig[Cybernet Hostname],ROW()-1),"")</f>
      </c>
      <c r="F11" t="str">
        <f>IFERROR(INDEX(tblDeviceConfig[Neuron Hostname],ROW()-1),"")</f>
      </c>
      <c r="G11">
        <f>IFERROR(INDEX(tblDeviceConfig[Software List],ROW()-1),"")</f>
      </c>
      <c r="H11">
        <f>IFERROR(INDEX(tblDeviceConfig[PI_Use_Case],ROW()-1),"")</f>
      </c>
      <c r="I11">
        <f>IFERROR(INDEX(tblDeviceConfig[PI_Result],ROW()-1),"")</f>
      </c>
      <c r="J11">
        <f>IFERROR(INDEX(tblDeviceConfig[PI_Validated_By],ROW()-1),"")</f>
      </c>
      <c r="K11">
        <f>IFERROR(INDEX(tblDeviceConfig[PI_Validated_Date],ROW()-1),"")</f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</c>
      <c r="C12" t="str">
        <f>IFERROR(INDEX(tblDeviceConfig[Deployed],ROW()-1),"")</f>
      </c>
      <c r="D12" t="str">
        <f>IFERROR(INDEX(tblDeviceConfig[Installed],ROW()-1),"")</f>
      </c>
      <c r="E12">
        <f>IFERROR(INDEX(tblDeviceConfig[Cybernet Hostname],ROW()-1),"")</f>
      </c>
      <c r="F12" t="str">
        <f>IFERROR(INDEX(tblDeviceConfig[Neuron Hostname],ROW()-1),"")</f>
      </c>
      <c r="G12">
        <f>IFERROR(INDEX(tblDeviceConfig[Software List],ROW()-1),"")</f>
      </c>
      <c r="H12">
        <f>IFERROR(INDEX(tblDeviceConfig[PI_Use_Case],ROW()-1),"")</f>
      </c>
      <c r="I12">
        <f>IFERROR(INDEX(tblDeviceConfig[PI_Result],ROW()-1),"")</f>
      </c>
      <c r="J12">
        <f>IFERROR(INDEX(tblDeviceConfig[PI_Validated_By],ROW()-1),"")</f>
      </c>
      <c r="K12">
        <f>IFERROR(INDEX(tblDeviceConfig[PI_Validated_Date],ROW()-1),"")</f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</c>
      <c r="C13" t="str">
        <f>IFERROR(INDEX(tblDeviceConfig[Deployed],ROW()-1),"")</f>
      </c>
      <c r="D13" t="str">
        <f>IFERROR(INDEX(tblDeviceConfig[Installed],ROW()-1),"")</f>
      </c>
      <c r="E13">
        <f>IFERROR(INDEX(tblDeviceConfig[Cybernet Hostname],ROW()-1),"")</f>
      </c>
      <c r="F13" t="str">
        <f>IFERROR(INDEX(tblDeviceConfig[Neuron Hostname],ROW()-1),"")</f>
      </c>
      <c r="G13">
        <f>IFERROR(INDEX(tblDeviceConfig[Software List],ROW()-1),"")</f>
      </c>
      <c r="H13">
        <f>IFERROR(INDEX(tblDeviceConfig[PI_Use_Case],ROW()-1),"")</f>
      </c>
      <c r="I13">
        <f>IFERROR(INDEX(tblDeviceConfig[PI_Result],ROW()-1),"")</f>
      </c>
      <c r="J13">
        <f>IFERROR(INDEX(tblDeviceConfig[PI_Validated_By],ROW()-1),"")</f>
      </c>
      <c r="K13">
        <f>IFERROR(INDEX(tblDeviceConfig[PI_Validated_Date],ROW()-1),"")</f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</c>
      <c r="C14" t="str">
        <f>IFERROR(INDEX(tblDeviceConfig[Deployed],ROW()-1),"")</f>
      </c>
      <c r="D14" t="str">
        <f>IFERROR(INDEX(tblDeviceConfig[Installed],ROW()-1),"")</f>
      </c>
      <c r="E14">
        <f>IFERROR(INDEX(tblDeviceConfig[Cybernet Hostname],ROW()-1),"")</f>
      </c>
      <c r="F14" t="str">
        <f>IFERROR(INDEX(tblDeviceConfig[Neuron Hostname],ROW()-1),"")</f>
      </c>
      <c r="G14">
        <f>IFERROR(INDEX(tblDeviceConfig[Software List],ROW()-1),"")</f>
      </c>
      <c r="H14">
        <f>IFERROR(INDEX(tblDeviceConfig[PI_Use_Case],ROW()-1),"")</f>
      </c>
      <c r="I14">
        <f>IFERROR(INDEX(tblDeviceConfig[PI_Result],ROW()-1),"")</f>
      </c>
      <c r="J14">
        <f>IFERROR(INDEX(tblDeviceConfig[PI_Validated_By],ROW()-1),"")</f>
      </c>
      <c r="K14">
        <f>IFERROR(INDEX(tblDeviceConfig[PI_Validated_Date],ROW()-1),"")</f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</c>
      <c r="C15" t="str">
        <f>IFERROR(INDEX(tblDeviceConfig[Deployed],ROW()-1),"")</f>
      </c>
      <c r="D15" t="str">
        <f>IFERROR(INDEX(tblDeviceConfig[Installed],ROW()-1),"")</f>
      </c>
      <c r="E15">
        <f>IFERROR(INDEX(tblDeviceConfig[Cybernet Hostname],ROW()-1),"")</f>
      </c>
      <c r="F15" t="str">
        <f>IFERROR(INDEX(tblDeviceConfig[Neuron Hostname],ROW()-1),"")</f>
      </c>
      <c r="G15">
        <f>IFERROR(INDEX(tblDeviceConfig[Software List],ROW()-1),"")</f>
      </c>
      <c r="H15">
        <f>IFERROR(INDEX(tblDeviceConfig[PI_Use_Case],ROW()-1),"")</f>
      </c>
      <c r="I15">
        <f>IFERROR(INDEX(tblDeviceConfig[PI_Result],ROW()-1),"")</f>
      </c>
      <c r="J15">
        <f>IFERROR(INDEX(tblDeviceConfig[PI_Validated_By],ROW()-1),"")</f>
      </c>
      <c r="K15">
        <f>IFERROR(INDEX(tblDeviceConfig[PI_Validated_Date],ROW()-1),"")</f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</c>
      <c r="C16" t="str">
        <f>IFERROR(INDEX(tblDeviceConfig[Deployed],ROW()-1),"")</f>
      </c>
      <c r="D16" t="str">
        <f>IFERROR(INDEX(tblDeviceConfig[Installed],ROW()-1),"")</f>
      </c>
      <c r="E16">
        <f>IFERROR(INDEX(tblDeviceConfig[Cybernet Hostname],ROW()-1),"")</f>
      </c>
      <c r="F16" t="str">
        <f>IFERROR(INDEX(tblDeviceConfig[Neuron Hostname],ROW()-1),"")</f>
      </c>
      <c r="G16">
        <f>IFERROR(INDEX(tblDeviceConfig[Software List],ROW()-1),"")</f>
      </c>
      <c r="H16">
        <f>IFERROR(INDEX(tblDeviceConfig[PI_Use_Case],ROW()-1),"")</f>
      </c>
      <c r="I16">
        <f>IFERROR(INDEX(tblDeviceConfig[PI_Result],ROW()-1),"")</f>
      </c>
      <c r="J16">
        <f>IFERROR(INDEX(tblDeviceConfig[PI_Validated_By],ROW()-1),"")</f>
      </c>
      <c r="K16">
        <f>IFERROR(INDEX(tblDeviceConfig[PI_Validated_Date],ROW()-1),"")</f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</c>
      <c r="C17" t="str">
        <f>IFERROR(INDEX(tblDeviceConfig[Deployed],ROW()-1),"")</f>
      </c>
      <c r="D17" t="str">
        <f>IFERROR(INDEX(tblDeviceConfig[Installed],ROW()-1),"")</f>
      </c>
      <c r="E17">
        <f>IFERROR(INDEX(tblDeviceConfig[Cybernet Hostname],ROW()-1),"")</f>
      </c>
      <c r="F17" t="str">
        <f>IFERROR(INDEX(tblDeviceConfig[Neuron Hostname],ROW()-1),"")</f>
      </c>
      <c r="G17">
        <f>IFERROR(INDEX(tblDeviceConfig[Software List],ROW()-1),"")</f>
      </c>
      <c r="H17">
        <f>IFERROR(INDEX(tblDeviceConfig[PI_Use_Case],ROW()-1),"")</f>
      </c>
      <c r="I17">
        <f>IFERROR(INDEX(tblDeviceConfig[PI_Result],ROW()-1),"")</f>
      </c>
      <c r="J17">
        <f>IFERROR(INDEX(tblDeviceConfig[PI_Validated_By],ROW()-1),"")</f>
      </c>
      <c r="K17">
        <f>IFERROR(INDEX(tblDeviceConfig[PI_Validated_Date],ROW()-1),"")</f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</c>
      <c r="C18" t="str">
        <f>IFERROR(INDEX(tblDeviceConfig[Deployed],ROW()-1),"")</f>
      </c>
      <c r="D18" t="str">
        <f>IFERROR(INDEX(tblDeviceConfig[Installed],ROW()-1),"")</f>
      </c>
      <c r="E18">
        <f>IFERROR(INDEX(tblDeviceConfig[Cybernet Hostname],ROW()-1),"")</f>
      </c>
      <c r="F18" t="str">
        <f>IFERROR(INDEX(tblDeviceConfig[Neuron Hostname],ROW()-1),"")</f>
      </c>
      <c r="G18">
        <f>IFERROR(INDEX(tblDeviceConfig[Software List],ROW()-1),"")</f>
      </c>
      <c r="H18">
        <f>IFERROR(INDEX(tblDeviceConfig[PI_Use_Case],ROW()-1),"")</f>
      </c>
      <c r="I18">
        <f>IFERROR(INDEX(tblDeviceConfig[PI_Result],ROW()-1),"")</f>
      </c>
      <c r="J18">
        <f>IFERROR(INDEX(tblDeviceConfig[PI_Validated_By],ROW()-1),"")</f>
      </c>
      <c r="K18">
        <f>IFERROR(INDEX(tblDeviceConfig[PI_Validated_Date],ROW()-1),"")</f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</c>
      <c r="C19" t="str">
        <f>IFERROR(INDEX(tblDeviceConfig[Deployed],ROW()-1),"")</f>
      </c>
      <c r="D19" t="str">
        <f>IFERROR(INDEX(tblDeviceConfig[Installed],ROW()-1),"")</f>
      </c>
      <c r="E19">
        <f>IFERROR(INDEX(tblDeviceConfig[Cybernet Hostname],ROW()-1),"")</f>
      </c>
      <c r="F19" t="str">
        <f>IFERROR(INDEX(tblDeviceConfig[Neuron Hostname],ROW()-1),"")</f>
      </c>
      <c r="G19">
        <f>IFERROR(INDEX(tblDeviceConfig[Software List],ROW()-1),"")</f>
      </c>
      <c r="H19">
        <f>IFERROR(INDEX(tblDeviceConfig[PI_Use_Case],ROW()-1),"")</f>
      </c>
      <c r="I19">
        <f>IFERROR(INDEX(tblDeviceConfig[PI_Result],ROW()-1),"")</f>
      </c>
      <c r="J19">
        <f>IFERROR(INDEX(tblDeviceConfig[PI_Validated_By],ROW()-1),"")</f>
      </c>
      <c r="K19">
        <f>IFERROR(INDEX(tblDeviceConfig[PI_Validated_Date],ROW()-1),"")</f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</c>
      <c r="C20" t="str">
        <f>IFERROR(INDEX(tblDeviceConfig[Deployed],ROW()-1),"")</f>
      </c>
      <c r="D20" t="str">
        <f>IFERROR(INDEX(tblDeviceConfig[Installed],ROW()-1),"")</f>
      </c>
      <c r="E20">
        <f>IFERROR(INDEX(tblDeviceConfig[Cybernet Hostname],ROW()-1),"")</f>
      </c>
      <c r="F20" t="str">
        <f>IFERROR(INDEX(tblDeviceConfig[Neuron Hostname],ROW()-1),"")</f>
      </c>
      <c r="G20">
        <f>IFERROR(INDEX(tblDeviceConfig[Software List],ROW()-1),"")</f>
      </c>
      <c r="H20">
        <f>IFERROR(INDEX(tblDeviceConfig[PI_Use_Case],ROW()-1),"")</f>
      </c>
      <c r="I20">
        <f>IFERROR(INDEX(tblDeviceConfig[PI_Result],ROW()-1),"")</f>
      </c>
      <c r="J20">
        <f>IFERROR(INDEX(tblDeviceConfig[PI_Validated_By],ROW()-1),"")</f>
      </c>
      <c r="K20">
        <f>IFERROR(INDEX(tblDeviceConfig[PI_Validated_Date],ROW()-1),"")</f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</c>
      <c r="C21" t="str">
        <f>IFERROR(INDEX(tblDeviceConfig[Deployed],ROW()-1),"")</f>
      </c>
      <c r="D21" t="str">
        <f>IFERROR(INDEX(tblDeviceConfig[Installed],ROW()-1),"")</f>
      </c>
      <c r="E21">
        <f>IFERROR(INDEX(tblDeviceConfig[Cybernet Hostname],ROW()-1),"")</f>
      </c>
      <c r="F21" t="str">
        <f>IFERROR(INDEX(tblDeviceConfig[Neuron Hostname],ROW()-1),"")</f>
      </c>
      <c r="G21">
        <f>IFERROR(INDEX(tblDeviceConfig[Software List],ROW()-1),"")</f>
      </c>
      <c r="H21">
        <f>IFERROR(INDEX(tblDeviceConfig[PI_Use_Case],ROW()-1),"")</f>
      </c>
      <c r="I21">
        <f>IFERROR(INDEX(tblDeviceConfig[PI_Result],ROW()-1),"")</f>
      </c>
      <c r="J21">
        <f>IFERROR(INDEX(tblDeviceConfig[PI_Validated_By],ROW()-1),"")</f>
      </c>
      <c r="K21">
        <f>IFERROR(INDEX(tblDeviceConfig[PI_Validated_Date],ROW()-1),"")</f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</c>
      <c r="C22" t="str">
        <f>IFERROR(INDEX(tblDeviceConfig[Deployed],ROW()-1),"")</f>
      </c>
      <c r="D22" t="str">
        <f>IFERROR(INDEX(tblDeviceConfig[Installed],ROW()-1),"")</f>
      </c>
      <c r="E22">
        <f>IFERROR(INDEX(tblDeviceConfig[Cybernet Hostname],ROW()-1),"")</f>
      </c>
      <c r="F22" t="str">
        <f>IFERROR(INDEX(tblDeviceConfig[Neuron Hostname],ROW()-1),"")</f>
      </c>
      <c r="G22">
        <f>IFERROR(INDEX(tblDeviceConfig[Software List],ROW()-1),"")</f>
      </c>
      <c r="H22">
        <f>IFERROR(INDEX(tblDeviceConfig[PI_Use_Case],ROW()-1),"")</f>
      </c>
      <c r="I22">
        <f>IFERROR(INDEX(tblDeviceConfig[PI_Result],ROW()-1),"")</f>
      </c>
      <c r="J22">
        <f>IFERROR(INDEX(tblDeviceConfig[PI_Validated_By],ROW()-1),"")</f>
      </c>
      <c r="K22">
        <f>IFERROR(INDEX(tblDeviceConfig[PI_Validated_Date],ROW()-1),"")</f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</c>
      <c r="C23" t="str">
        <f>IFERROR(INDEX(tblDeviceConfig[Deployed],ROW()-1),"")</f>
      </c>
      <c r="D23" t="str">
        <f>IFERROR(INDEX(tblDeviceConfig[Installed],ROW()-1),"")</f>
      </c>
      <c r="E23">
        <f>IFERROR(INDEX(tblDeviceConfig[Cybernet Hostname],ROW()-1),"")</f>
      </c>
      <c r="F23" t="str">
        <f>IFERROR(INDEX(tblDeviceConfig[Neuron Hostname],ROW()-1),"")</f>
      </c>
      <c r="G23">
        <f>IFERROR(INDEX(tblDeviceConfig[Software List],ROW()-1),"")</f>
      </c>
      <c r="H23">
        <f>IFERROR(INDEX(tblDeviceConfig[PI_Use_Case],ROW()-1),"")</f>
      </c>
      <c r="I23">
        <f>IFERROR(INDEX(tblDeviceConfig[PI_Result],ROW()-1),"")</f>
      </c>
      <c r="J23">
        <f>IFERROR(INDEX(tblDeviceConfig[PI_Validated_By],ROW()-1),"")</f>
      </c>
      <c r="K23">
        <f>IFERROR(INDEX(tblDeviceConfig[PI_Validated_Date],ROW()-1),"")</f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</c>
      <c r="C24" t="str">
        <f>IFERROR(INDEX(tblDeviceConfig[Deployed],ROW()-1),"")</f>
      </c>
      <c r="D24" t="str">
        <f>IFERROR(INDEX(tblDeviceConfig[Installed],ROW()-1),"")</f>
      </c>
      <c r="E24">
        <f>IFERROR(INDEX(tblDeviceConfig[Cybernet Hostname],ROW()-1),"")</f>
      </c>
      <c r="F24" t="str">
        <f>IFERROR(INDEX(tblDeviceConfig[Neuron Hostname],ROW()-1),"")</f>
      </c>
      <c r="G24">
        <f>IFERROR(INDEX(tblDeviceConfig[Software List],ROW()-1),"")</f>
      </c>
      <c r="H24">
        <f>IFERROR(INDEX(tblDeviceConfig[PI_Use_Case],ROW()-1),"")</f>
      </c>
      <c r="I24">
        <f>IFERROR(INDEX(tblDeviceConfig[PI_Result],ROW()-1),"")</f>
      </c>
      <c r="J24">
        <f>IFERROR(INDEX(tblDeviceConfig[PI_Validated_By],ROW()-1),"")</f>
      </c>
      <c r="K24">
        <f>IFERROR(INDEX(tblDeviceConfig[PI_Validated_Date],ROW()-1),"")</f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</c>
      <c r="C25" t="str">
        <f>IFERROR(INDEX(tblDeviceConfig[Deployed],ROW()-1),"")</f>
      </c>
      <c r="D25" t="str">
        <f>IFERROR(INDEX(tblDeviceConfig[Installed],ROW()-1),"")</f>
      </c>
      <c r="E25">
        <f>IFERROR(INDEX(tblDeviceConfig[Cybernet Hostname],ROW()-1),"")</f>
      </c>
      <c r="F25" t="str">
        <f>IFERROR(INDEX(tblDeviceConfig[Neuron Hostname],ROW()-1),"")</f>
      </c>
      <c r="G25">
        <f>IFERROR(INDEX(tblDeviceConfig[Software List],ROW()-1),"")</f>
      </c>
      <c r="H25">
        <f>IFERROR(INDEX(tblDeviceConfig[PI_Use_Case],ROW()-1),"")</f>
      </c>
      <c r="I25">
        <f>IFERROR(INDEX(tblDeviceConfig[PI_Result],ROW()-1),"")</f>
      </c>
      <c r="J25">
        <f>IFERROR(INDEX(tblDeviceConfig[PI_Validated_By],ROW()-1),"")</f>
      </c>
      <c r="K25">
        <f>IFERROR(INDEX(tblDeviceConfig[PI_Validated_Date],ROW()-1),"")</f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</c>
      <c r="C26" t="str">
        <f>IFERROR(INDEX(tblDeviceConfig[Deployed],ROW()-1),"")</f>
      </c>
      <c r="D26" t="str">
        <f>IFERROR(INDEX(tblDeviceConfig[Installed],ROW()-1),"")</f>
      </c>
      <c r="E26">
        <f>IFERROR(INDEX(tblDeviceConfig[Cybernet Hostname],ROW()-1),"")</f>
      </c>
      <c r="F26" t="str">
        <f>IFERROR(INDEX(tblDeviceConfig[Neuron Hostname],ROW()-1),"")</f>
      </c>
      <c r="G26">
        <f>IFERROR(INDEX(tblDeviceConfig[Software List],ROW()-1),"")</f>
      </c>
      <c r="H26">
        <f>IFERROR(INDEX(tblDeviceConfig[PI_Use_Case],ROW()-1),"")</f>
      </c>
      <c r="I26">
        <f>IFERROR(INDEX(tblDeviceConfig[PI_Result],ROW()-1),"")</f>
      </c>
      <c r="J26">
        <f>IFERROR(INDEX(tblDeviceConfig[PI_Validated_By],ROW()-1),"")</f>
      </c>
      <c r="K26">
        <f>IFERROR(INDEX(tblDeviceConfig[PI_Validated_Date],ROW()-1),"")</f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</c>
      <c r="C27" t="str">
        <f>IFERROR(INDEX(tblDeviceConfig[Deployed],ROW()-1),"")</f>
      </c>
      <c r="D27" t="str">
        <f>IFERROR(INDEX(tblDeviceConfig[Installed],ROW()-1),"")</f>
      </c>
      <c r="E27">
        <f>IFERROR(INDEX(tblDeviceConfig[Cybernet Hostname],ROW()-1),"")</f>
      </c>
      <c r="F27" t="str">
        <f>IFERROR(INDEX(tblDeviceConfig[Neuron Hostname],ROW()-1),"")</f>
      </c>
      <c r="G27">
        <f>IFERROR(INDEX(tblDeviceConfig[Software List],ROW()-1),"")</f>
      </c>
      <c r="H27">
        <f>IFERROR(INDEX(tblDeviceConfig[PI_Use_Case],ROW()-1),"")</f>
      </c>
      <c r="I27">
        <f>IFERROR(INDEX(tblDeviceConfig[PI_Result],ROW()-1),"")</f>
      </c>
      <c r="J27">
        <f>IFERROR(INDEX(tblDeviceConfig[PI_Validated_By],ROW()-1),"")</f>
      </c>
      <c r="K27">
        <f>IFERROR(INDEX(tblDeviceConfig[PI_Validated_Date],ROW()-1),"")</f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</c>
      <c r="C28" t="str">
        <f>IFERROR(INDEX(tblDeviceConfig[Deployed],ROW()-1),"")</f>
      </c>
      <c r="D28" t="str">
        <f>IFERROR(INDEX(tblDeviceConfig[Installed],ROW()-1),"")</f>
      </c>
      <c r="E28">
        <f>IFERROR(INDEX(tblDeviceConfig[Cybernet Hostname],ROW()-1),"")</f>
      </c>
      <c r="F28" t="str">
        <f>IFERROR(INDEX(tblDeviceConfig[Neuron Hostname],ROW()-1),"")</f>
      </c>
      <c r="G28">
        <f>IFERROR(INDEX(tblDeviceConfig[Software List],ROW()-1),"")</f>
      </c>
      <c r="H28">
        <f>IFERROR(INDEX(tblDeviceConfig[PI_Use_Case],ROW()-1),"")</f>
      </c>
      <c r="I28">
        <f>IFERROR(INDEX(tblDeviceConfig[PI_Result],ROW()-1),"")</f>
      </c>
      <c r="J28">
        <f>IFERROR(INDEX(tblDeviceConfig[PI_Validated_By],ROW()-1),"")</f>
      </c>
      <c r="K28">
        <f>IFERROR(INDEX(tblDeviceConfig[PI_Validated_Date],ROW()-1),"")</f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</c>
      <c r="C29" t="str">
        <f>IFERROR(INDEX(tblDeviceConfig[Deployed],ROW()-1),"")</f>
      </c>
      <c r="D29" t="str">
        <f>IFERROR(INDEX(tblDeviceConfig[Installed],ROW()-1),"")</f>
      </c>
      <c r="E29">
        <f>IFERROR(INDEX(tblDeviceConfig[Cybernet Hostname],ROW()-1),"")</f>
      </c>
      <c r="F29" t="str">
        <f>IFERROR(INDEX(tblDeviceConfig[Neuron Hostname],ROW()-1),"")</f>
      </c>
      <c r="G29">
        <f>IFERROR(INDEX(tblDeviceConfig[Software List],ROW()-1),"")</f>
      </c>
      <c r="H29">
        <f>IFERROR(INDEX(tblDeviceConfig[PI_Use_Case],ROW()-1),"")</f>
      </c>
      <c r="I29">
        <f>IFERROR(INDEX(tblDeviceConfig[PI_Result],ROW()-1),"")</f>
      </c>
      <c r="J29">
        <f>IFERROR(INDEX(tblDeviceConfig[PI_Validated_By],ROW()-1),"")</f>
      </c>
      <c r="K29">
        <f>IFERROR(INDEX(tblDeviceConfig[PI_Validated_Date],ROW()-1),"")</f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</c>
      <c r="C30" t="str">
        <f>IFERROR(INDEX(tblDeviceConfig[Deployed],ROW()-1),"")</f>
      </c>
      <c r="D30" t="str">
        <f>IFERROR(INDEX(tblDeviceConfig[Installed],ROW()-1),"")</f>
      </c>
      <c r="E30">
        <f>IFERROR(INDEX(tblDeviceConfig[Cybernet Hostname],ROW()-1),"")</f>
      </c>
      <c r="F30" t="str">
        <f>IFERROR(INDEX(tblDeviceConfig[Neuron Hostname],ROW()-1),"")</f>
      </c>
      <c r="G30">
        <f>IFERROR(INDEX(tblDeviceConfig[Software List],ROW()-1),"")</f>
      </c>
      <c r="H30">
        <f>IFERROR(INDEX(tblDeviceConfig[PI_Use_Case],ROW()-1),"")</f>
      </c>
      <c r="I30">
        <f>IFERROR(INDEX(tblDeviceConfig[PI_Result],ROW()-1),"")</f>
      </c>
      <c r="J30">
        <f>IFERROR(INDEX(tblDeviceConfig[PI_Validated_By],ROW()-1),"")</f>
      </c>
      <c r="K30">
        <f>IFERROR(INDEX(tblDeviceConfig[PI_Validated_Date],ROW()-1),"")</f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</c>
      <c r="C31" t="str">
        <f>IFERROR(INDEX(tblDeviceConfig[Deployed],ROW()-1),"")</f>
      </c>
      <c r="D31" t="str">
        <f>IFERROR(INDEX(tblDeviceConfig[Installed],ROW()-1),"")</f>
      </c>
      <c r="E31">
        <f>IFERROR(INDEX(tblDeviceConfig[Cybernet Hostname],ROW()-1),"")</f>
      </c>
      <c r="F31" t="str">
        <f>IFERROR(INDEX(tblDeviceConfig[Neuron Hostname],ROW()-1),"")</f>
      </c>
      <c r="G31">
        <f>IFERROR(INDEX(tblDeviceConfig[Software List],ROW()-1),"")</f>
      </c>
      <c r="H31">
        <f>IFERROR(INDEX(tblDeviceConfig[PI_Use_Case],ROW()-1),"")</f>
      </c>
      <c r="I31">
        <f>IFERROR(INDEX(tblDeviceConfig[PI_Result],ROW()-1),"")</f>
      </c>
      <c r="J31">
        <f>IFERROR(INDEX(tblDeviceConfig[PI_Validated_By],ROW()-1),"")</f>
      </c>
      <c r="K31">
        <f>IFERROR(INDEX(tblDeviceConfig[PI_Validated_Date],ROW()-1),"")</f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</c>
      <c r="C32" t="str">
        <f>IFERROR(INDEX(tblDeviceConfig[Deployed],ROW()-1),"")</f>
      </c>
      <c r="D32" t="str">
        <f>IFERROR(INDEX(tblDeviceConfig[Installed],ROW()-1),"")</f>
      </c>
      <c r="E32">
        <f>IFERROR(INDEX(tblDeviceConfig[Cybernet Hostname],ROW()-1),"")</f>
      </c>
      <c r="F32" t="str">
        <f>IFERROR(INDEX(tblDeviceConfig[Neuron Hostname],ROW()-1),"")</f>
      </c>
      <c r="G32">
        <f>IFERROR(INDEX(tblDeviceConfig[Software List],ROW()-1),"")</f>
      </c>
      <c r="H32">
        <f>IFERROR(INDEX(tblDeviceConfig[PI_Use_Case],ROW()-1),"")</f>
      </c>
      <c r="I32">
        <f>IFERROR(INDEX(tblDeviceConfig[PI_Result],ROW()-1),"")</f>
      </c>
      <c r="J32">
        <f>IFERROR(INDEX(tblDeviceConfig[PI_Validated_By],ROW()-1),"")</f>
      </c>
      <c r="K32">
        <f>IFERROR(INDEX(tblDeviceConfig[PI_Validated_Date],ROW()-1),"")</f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</c>
      <c r="C33" t="str">
        <f>IFERROR(INDEX(tblDeviceConfig[Deployed],ROW()-1),"")</f>
      </c>
      <c r="D33" t="str">
        <f>IFERROR(INDEX(tblDeviceConfig[Installed],ROW()-1),"")</f>
      </c>
      <c r="E33">
        <f>IFERROR(INDEX(tblDeviceConfig[Cybernet Hostname],ROW()-1),"")</f>
      </c>
      <c r="F33" t="str">
        <f>IFERROR(INDEX(tblDeviceConfig[Neuron Hostname],ROW()-1),"")</f>
      </c>
      <c r="G33">
        <f>IFERROR(INDEX(tblDeviceConfig[Software List],ROW()-1),"")</f>
      </c>
      <c r="H33">
        <f>IFERROR(INDEX(tblDeviceConfig[PI_Use_Case],ROW()-1),"")</f>
      </c>
      <c r="I33">
        <f>IFERROR(INDEX(tblDeviceConfig[PI_Result],ROW()-1),"")</f>
      </c>
      <c r="J33">
        <f>IFERROR(INDEX(tblDeviceConfig[PI_Validated_By],ROW()-1),"")</f>
      </c>
      <c r="K33">
        <f>IFERROR(INDEX(tblDeviceConfig[PI_Validated_Date],ROW()-1),"")</f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</c>
      <c r="C34" t="str">
        <f>IFERROR(INDEX(tblDeviceConfig[Deployed],ROW()-1),"")</f>
      </c>
      <c r="D34" t="str">
        <f>IFERROR(INDEX(tblDeviceConfig[Installed],ROW()-1),"")</f>
      </c>
      <c r="E34">
        <f>IFERROR(INDEX(tblDeviceConfig[Cybernet Hostname],ROW()-1),"")</f>
      </c>
      <c r="F34" t="str">
        <f>IFERROR(INDEX(tblDeviceConfig[Neuron Hostname],ROW()-1),"")</f>
      </c>
      <c r="G34">
        <f>IFERROR(INDEX(tblDeviceConfig[Software List],ROW()-1),"")</f>
      </c>
      <c r="H34">
        <f>IFERROR(INDEX(tblDeviceConfig[PI_Use_Case],ROW()-1),"")</f>
      </c>
      <c r="I34">
        <f>IFERROR(INDEX(tblDeviceConfig[PI_Result],ROW()-1),"")</f>
      </c>
      <c r="J34">
        <f>IFERROR(INDEX(tblDeviceConfig[PI_Validated_By],ROW()-1),"")</f>
      </c>
      <c r="K34">
        <f>IFERROR(INDEX(tblDeviceConfig[PI_Validated_Date],ROW()-1),"")</f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</c>
      <c r="C35" t="str">
        <f>IFERROR(INDEX(tblDeviceConfig[Deployed],ROW()-1),"")</f>
      </c>
      <c r="D35" t="str">
        <f>IFERROR(INDEX(tblDeviceConfig[Installed],ROW()-1),"")</f>
      </c>
      <c r="E35">
        <f>IFERROR(INDEX(tblDeviceConfig[Cybernet Hostname],ROW()-1),"")</f>
      </c>
      <c r="F35" t="str">
        <f>IFERROR(INDEX(tblDeviceConfig[Neuron Hostname],ROW()-1),"")</f>
      </c>
      <c r="G35">
        <f>IFERROR(INDEX(tblDeviceConfig[Software List],ROW()-1),"")</f>
      </c>
      <c r="H35">
        <f>IFERROR(INDEX(tblDeviceConfig[PI_Use_Case],ROW()-1),"")</f>
      </c>
      <c r="I35">
        <f>IFERROR(INDEX(tblDeviceConfig[PI_Result],ROW()-1),"")</f>
      </c>
      <c r="J35">
        <f>IFERROR(INDEX(tblDeviceConfig[PI_Validated_By],ROW()-1),"")</f>
      </c>
      <c r="K35">
        <f>IFERROR(INDEX(tblDeviceConfig[PI_Validated_Date],ROW()-1),"")</f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</c>
      <c r="C36" t="str">
        <f>IFERROR(INDEX(tblDeviceConfig[Deployed],ROW()-1),"")</f>
      </c>
      <c r="D36" t="str">
        <f>IFERROR(INDEX(tblDeviceConfig[Installed],ROW()-1),"")</f>
      </c>
      <c r="E36">
        <f>IFERROR(INDEX(tblDeviceConfig[Cybernet Hostname],ROW()-1),"")</f>
      </c>
      <c r="F36" t="str">
        <f>IFERROR(INDEX(tblDeviceConfig[Neuron Hostname],ROW()-1),"")</f>
      </c>
      <c r="G36">
        <f>IFERROR(INDEX(tblDeviceConfig[Software List],ROW()-1),"")</f>
      </c>
      <c r="H36">
        <f>IFERROR(INDEX(tblDeviceConfig[PI_Use_Case],ROW()-1),"")</f>
      </c>
      <c r="I36">
        <f>IFERROR(INDEX(tblDeviceConfig[PI_Result],ROW()-1),"")</f>
      </c>
      <c r="J36">
        <f>IFERROR(INDEX(tblDeviceConfig[PI_Validated_By],ROW()-1),"")</f>
      </c>
      <c r="K36">
        <f>IFERROR(INDEX(tblDeviceConfig[PI_Validated_Date],ROW()-1),"")</f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</c>
      <c r="C37" t="str">
        <f>IFERROR(INDEX(tblDeviceConfig[Deployed],ROW()-1),"")</f>
      </c>
      <c r="D37" t="str">
        <f>IFERROR(INDEX(tblDeviceConfig[Installed],ROW()-1),"")</f>
      </c>
      <c r="E37">
        <f>IFERROR(INDEX(tblDeviceConfig[Cybernet Hostname],ROW()-1),"")</f>
      </c>
      <c r="F37" t="str">
        <f>IFERROR(INDEX(tblDeviceConfig[Neuron Hostname],ROW()-1),"")</f>
      </c>
      <c r="G37">
        <f>IFERROR(INDEX(tblDeviceConfig[Software List],ROW()-1),"")</f>
      </c>
      <c r="H37">
        <f>IFERROR(INDEX(tblDeviceConfig[PI_Use_Case],ROW()-1),"")</f>
      </c>
      <c r="I37">
        <f>IFERROR(INDEX(tblDeviceConfig[PI_Result],ROW()-1),"")</f>
      </c>
      <c r="J37">
        <f>IFERROR(INDEX(tblDeviceConfig[PI_Validated_By],ROW()-1),"")</f>
      </c>
      <c r="K37">
        <f>IFERROR(INDEX(tblDeviceConfig[PI_Validated_Date],ROW()-1),"")</f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</c>
      <c r="C38" t="str">
        <f>IFERROR(INDEX(tblDeviceConfig[Deployed],ROW()-1),"")</f>
      </c>
      <c r="D38" t="str">
        <f>IFERROR(INDEX(tblDeviceConfig[Installed],ROW()-1),"")</f>
      </c>
      <c r="E38">
        <f>IFERROR(INDEX(tblDeviceConfig[Cybernet Hostname],ROW()-1),"")</f>
      </c>
      <c r="F38" t="str">
        <f>IFERROR(INDEX(tblDeviceConfig[Neuron Hostname],ROW()-1),"")</f>
      </c>
      <c r="G38">
        <f>IFERROR(INDEX(tblDeviceConfig[Software List],ROW()-1),"")</f>
      </c>
      <c r="H38">
        <f>IFERROR(INDEX(tblDeviceConfig[PI_Use_Case],ROW()-1),"")</f>
      </c>
      <c r="I38">
        <f>IFERROR(INDEX(tblDeviceConfig[PI_Result],ROW()-1),"")</f>
      </c>
      <c r="J38">
        <f>IFERROR(INDEX(tblDeviceConfig[PI_Validated_By],ROW()-1),"")</f>
      </c>
      <c r="K38">
        <f>IFERROR(INDEX(tblDeviceConfig[PI_Validated_Date],ROW()-1),"")</f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</c>
      <c r="C39" t="str">
        <f>IFERROR(INDEX(tblDeviceConfig[Deployed],ROW()-1),"")</f>
      </c>
      <c r="D39" t="str">
        <f>IFERROR(INDEX(tblDeviceConfig[Installed],ROW()-1),"")</f>
      </c>
      <c r="E39">
        <f>IFERROR(INDEX(tblDeviceConfig[Cybernet Hostname],ROW()-1),"")</f>
      </c>
      <c r="F39" t="str">
        <f>IFERROR(INDEX(tblDeviceConfig[Neuron Hostname],ROW()-1),"")</f>
      </c>
      <c r="G39">
        <f>IFERROR(INDEX(tblDeviceConfig[Software List],ROW()-1),"")</f>
      </c>
      <c r="H39">
        <f>IFERROR(INDEX(tblDeviceConfig[PI_Use_Case],ROW()-1),"")</f>
      </c>
      <c r="I39">
        <f>IFERROR(INDEX(tblDeviceConfig[PI_Result],ROW()-1),"")</f>
      </c>
      <c r="J39">
        <f>IFERROR(INDEX(tblDeviceConfig[PI_Validated_By],ROW()-1),"")</f>
      </c>
      <c r="K39">
        <f>IFERROR(INDEX(tblDeviceConfig[PI_Validated_Date],ROW()-1),"")</f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</c>
      <c r="C40" t="str">
        <f>IFERROR(INDEX(tblDeviceConfig[Deployed],ROW()-1),"")</f>
      </c>
      <c r="D40" t="str">
        <f>IFERROR(INDEX(tblDeviceConfig[Installed],ROW()-1),"")</f>
      </c>
      <c r="E40">
        <f>IFERROR(INDEX(tblDeviceConfig[Cybernet Hostname],ROW()-1),"")</f>
      </c>
      <c r="F40" t="str">
        <f>IFERROR(INDEX(tblDeviceConfig[Neuron Hostname],ROW()-1),"")</f>
      </c>
      <c r="G40">
        <f>IFERROR(INDEX(tblDeviceConfig[Software List],ROW()-1),"")</f>
      </c>
      <c r="H40">
        <f>IFERROR(INDEX(tblDeviceConfig[PI_Use_Case],ROW()-1),"")</f>
      </c>
      <c r="I40">
        <f>IFERROR(INDEX(tblDeviceConfig[PI_Result],ROW()-1),"")</f>
      </c>
      <c r="J40">
        <f>IFERROR(INDEX(tblDeviceConfig[PI_Validated_By],ROW()-1),"")</f>
      </c>
      <c r="K40">
        <f>IFERROR(INDEX(tblDeviceConfig[PI_Validated_Date],ROW()-1),"")</f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</c>
      <c r="C41" t="str">
        <f>IFERROR(INDEX(tblDeviceConfig[Deployed],ROW()-1),"")</f>
      </c>
      <c r="D41" t="str">
        <f>IFERROR(INDEX(tblDeviceConfig[Installed],ROW()-1),"")</f>
      </c>
      <c r="E41">
        <f>IFERROR(INDEX(tblDeviceConfig[Cybernet Hostname],ROW()-1),"")</f>
      </c>
      <c r="F41" t="str">
        <f>IFERROR(INDEX(tblDeviceConfig[Neuron Hostname],ROW()-1),"")</f>
      </c>
      <c r="G41">
        <f>IFERROR(INDEX(tblDeviceConfig[Software List],ROW()-1),"")</f>
      </c>
      <c r="H41">
        <f>IFERROR(INDEX(tblDeviceConfig[PI_Use_Case],ROW()-1),"")</f>
      </c>
      <c r="I41">
        <f>IFERROR(INDEX(tblDeviceConfig[PI_Result],ROW()-1),"")</f>
      </c>
      <c r="J41">
        <f>IFERROR(INDEX(tblDeviceConfig[PI_Validated_By],ROW()-1),"")</f>
      </c>
      <c r="K41">
        <f>IFERROR(INDEX(tblDeviceConfig[PI_Validated_Date],ROW()-1),"")</f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</c>
      <c r="C42" t="str">
        <f>IFERROR(INDEX(tblDeviceConfig[Deployed],ROW()-1),"")</f>
      </c>
      <c r="D42" t="str">
        <f>IFERROR(INDEX(tblDeviceConfig[Installed],ROW()-1),"")</f>
      </c>
      <c r="E42">
        <f>IFERROR(INDEX(tblDeviceConfig[Cybernet Hostname],ROW()-1),"")</f>
      </c>
      <c r="F42" t="str">
        <f>IFERROR(INDEX(tblDeviceConfig[Neuron Hostname],ROW()-1),"")</f>
      </c>
      <c r="G42">
        <f>IFERROR(INDEX(tblDeviceConfig[Software List],ROW()-1),"")</f>
      </c>
      <c r="H42">
        <f>IFERROR(INDEX(tblDeviceConfig[PI_Use_Case],ROW()-1),"")</f>
      </c>
      <c r="I42">
        <f>IFERROR(INDEX(tblDeviceConfig[PI_Result],ROW()-1),"")</f>
      </c>
      <c r="J42">
        <f>IFERROR(INDEX(tblDeviceConfig[PI_Validated_By],ROW()-1),"")</f>
      </c>
      <c r="K42">
        <f>IFERROR(INDEX(tblDeviceConfig[PI_Validated_Date],ROW()-1),"")</f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</c>
      <c r="C43" t="str">
        <f>IFERROR(INDEX(tblDeviceConfig[Deployed],ROW()-1),"")</f>
      </c>
      <c r="D43" t="str">
        <f>IFERROR(INDEX(tblDeviceConfig[Installed],ROW()-1),"")</f>
      </c>
      <c r="E43">
        <f>IFERROR(INDEX(tblDeviceConfig[Cybernet Hostname],ROW()-1),"")</f>
      </c>
      <c r="F43" t="str">
        <f>IFERROR(INDEX(tblDeviceConfig[Neuron Hostname],ROW()-1),"")</f>
      </c>
      <c r="G43">
        <f>IFERROR(INDEX(tblDeviceConfig[Software List],ROW()-1),"")</f>
      </c>
      <c r="H43">
        <f>IFERROR(INDEX(tblDeviceConfig[PI_Use_Case],ROW()-1),"")</f>
      </c>
      <c r="I43">
        <f>IFERROR(INDEX(tblDeviceConfig[PI_Result],ROW()-1),"")</f>
      </c>
      <c r="J43">
        <f>IFERROR(INDEX(tblDeviceConfig[PI_Validated_By],ROW()-1),"")</f>
      </c>
      <c r="K43">
        <f>IFERROR(INDEX(tblDeviceConfig[PI_Validated_Date],ROW()-1),"")</f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</c>
      <c r="C44" t="str">
        <f>IFERROR(INDEX(tblDeviceConfig[Deployed],ROW()-1),"")</f>
      </c>
      <c r="D44" t="str">
        <f>IFERROR(INDEX(tblDeviceConfig[Installed],ROW()-1),"")</f>
      </c>
      <c r="E44">
        <f>IFERROR(INDEX(tblDeviceConfig[Cybernet Hostname],ROW()-1),"")</f>
      </c>
      <c r="F44" t="str">
        <f>IFERROR(INDEX(tblDeviceConfig[Neuron Hostname],ROW()-1),"")</f>
      </c>
      <c r="G44">
        <f>IFERROR(INDEX(tblDeviceConfig[Software List],ROW()-1),"")</f>
      </c>
      <c r="H44">
        <f>IFERROR(INDEX(tblDeviceConfig[PI_Use_Case],ROW()-1),"")</f>
      </c>
      <c r="I44">
        <f>IFERROR(INDEX(tblDeviceConfig[PI_Result],ROW()-1),"")</f>
      </c>
      <c r="J44">
        <f>IFERROR(INDEX(tblDeviceConfig[PI_Validated_By],ROW()-1),"")</f>
      </c>
      <c r="K44">
        <f>IFERROR(INDEX(tblDeviceConfig[PI_Validated_Date],ROW()-1),"")</f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</c>
      <c r="C45" t="str">
        <f>IFERROR(INDEX(tblDeviceConfig[Deployed],ROW()-1),"")</f>
      </c>
      <c r="D45" t="str">
        <f>IFERROR(INDEX(tblDeviceConfig[Installed],ROW()-1),"")</f>
      </c>
      <c r="E45">
        <f>IFERROR(INDEX(tblDeviceConfig[Cybernet Hostname],ROW()-1),"")</f>
      </c>
      <c r="F45" t="str">
        <f>IFERROR(INDEX(tblDeviceConfig[Neuron Hostname],ROW()-1),"")</f>
      </c>
      <c r="G45">
        <f>IFERROR(INDEX(tblDeviceConfig[Software List],ROW()-1),"")</f>
      </c>
      <c r="H45">
        <f>IFERROR(INDEX(tblDeviceConfig[PI_Use_Case],ROW()-1),"")</f>
      </c>
      <c r="I45">
        <f>IFERROR(INDEX(tblDeviceConfig[PI_Result],ROW()-1),"")</f>
      </c>
      <c r="J45">
        <f>IFERROR(INDEX(tblDeviceConfig[PI_Validated_By],ROW()-1),"")</f>
      </c>
      <c r="K45">
        <f>IFERROR(INDEX(tblDeviceConfig[PI_Validated_Date],ROW()-1),"")</f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</c>
      <c r="C46" t="str">
        <f>IFERROR(INDEX(tblDeviceConfig[Deployed],ROW()-1),"")</f>
      </c>
      <c r="D46" t="str">
        <f>IFERROR(INDEX(tblDeviceConfig[Installed],ROW()-1),"")</f>
      </c>
      <c r="E46">
        <f>IFERROR(INDEX(tblDeviceConfig[Cybernet Hostname],ROW()-1),"")</f>
      </c>
      <c r="F46" t="str">
        <f>IFERROR(INDEX(tblDeviceConfig[Neuron Hostname],ROW()-1),"")</f>
      </c>
      <c r="G46">
        <f>IFERROR(INDEX(tblDeviceConfig[Software List],ROW()-1),"")</f>
      </c>
      <c r="H46">
        <f>IFERROR(INDEX(tblDeviceConfig[PI_Use_Case],ROW()-1),"")</f>
      </c>
      <c r="I46">
        <f>IFERROR(INDEX(tblDeviceConfig[PI_Result],ROW()-1),"")</f>
      </c>
      <c r="J46">
        <f>IFERROR(INDEX(tblDeviceConfig[PI_Validated_By],ROW()-1),"")</f>
      </c>
      <c r="K46">
        <f>IFERROR(INDEX(tblDeviceConfig[PI_Validated_Date],ROW()-1),"")</f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</c>
      <c r="C47" t="str">
        <f>IFERROR(INDEX(tblDeviceConfig[Deployed],ROW()-1),"")</f>
      </c>
      <c r="D47" t="str">
        <f>IFERROR(INDEX(tblDeviceConfig[Installed],ROW()-1),"")</f>
      </c>
      <c r="E47">
        <f>IFERROR(INDEX(tblDeviceConfig[Cybernet Hostname],ROW()-1),"")</f>
      </c>
      <c r="F47" t="str">
        <f>IFERROR(INDEX(tblDeviceConfig[Neuron Hostname],ROW()-1),"")</f>
      </c>
      <c r="G47">
        <f>IFERROR(INDEX(tblDeviceConfig[Software List],ROW()-1),"")</f>
      </c>
      <c r="H47">
        <f>IFERROR(INDEX(tblDeviceConfig[PI_Use_Case],ROW()-1),"")</f>
      </c>
      <c r="I47">
        <f>IFERROR(INDEX(tblDeviceConfig[PI_Result],ROW()-1),"")</f>
      </c>
      <c r="J47">
        <f>IFERROR(INDEX(tblDeviceConfig[PI_Validated_By],ROW()-1),"")</f>
      </c>
      <c r="K47">
        <f>IFERROR(INDEX(tblDeviceConfig[PI_Validated_Date],ROW()-1),"")</f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</c>
      <c r="C48" t="str">
        <f>IFERROR(INDEX(tblDeviceConfig[Deployed],ROW()-1),"")</f>
      </c>
      <c r="D48" t="str">
        <f>IFERROR(INDEX(tblDeviceConfig[Installed],ROW()-1),"")</f>
      </c>
      <c r="E48">
        <f>IFERROR(INDEX(tblDeviceConfig[Cybernet Hostname],ROW()-1),"")</f>
      </c>
      <c r="F48" t="str">
        <f>IFERROR(INDEX(tblDeviceConfig[Neuron Hostname],ROW()-1),"")</f>
      </c>
      <c r="G48">
        <f>IFERROR(INDEX(tblDeviceConfig[Software List],ROW()-1),"")</f>
      </c>
      <c r="H48">
        <f>IFERROR(INDEX(tblDeviceConfig[PI_Use_Case],ROW()-1),"")</f>
      </c>
      <c r="I48">
        <f>IFERROR(INDEX(tblDeviceConfig[PI_Result],ROW()-1),"")</f>
      </c>
      <c r="J48">
        <f>IFERROR(INDEX(tblDeviceConfig[PI_Validated_By],ROW()-1),"")</f>
      </c>
      <c r="K48">
        <f>IFERROR(INDEX(tblDeviceConfig[PI_Validated_Date],ROW()-1),"")</f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</c>
      <c r="C49" t="str">
        <f>IFERROR(INDEX(tblDeviceConfig[Deployed],ROW()-1),"")</f>
      </c>
      <c r="D49" t="str">
        <f>IFERROR(INDEX(tblDeviceConfig[Installed],ROW()-1),"")</f>
      </c>
      <c r="E49">
        <f>IFERROR(INDEX(tblDeviceConfig[Cybernet Hostname],ROW()-1),"")</f>
      </c>
      <c r="F49" t="str">
        <f>IFERROR(INDEX(tblDeviceConfig[Neuron Hostname],ROW()-1),"")</f>
      </c>
      <c r="G49">
        <f>IFERROR(INDEX(tblDeviceConfig[Software List],ROW()-1),"")</f>
      </c>
      <c r="H49">
        <f>IFERROR(INDEX(tblDeviceConfig[PI_Use_Case],ROW()-1),"")</f>
      </c>
      <c r="I49">
        <f>IFERROR(INDEX(tblDeviceConfig[PI_Result],ROW()-1),"")</f>
      </c>
      <c r="J49">
        <f>IFERROR(INDEX(tblDeviceConfig[PI_Validated_By],ROW()-1),"")</f>
      </c>
      <c r="K49">
        <f>IFERROR(INDEX(tblDeviceConfig[PI_Validated_Date],ROW()-1),"")</f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</c>
      <c r="C50" t="str">
        <f>IFERROR(INDEX(tblDeviceConfig[Deployed],ROW()-1),"")</f>
      </c>
      <c r="D50" t="str">
        <f>IFERROR(INDEX(tblDeviceConfig[Installed],ROW()-1),"")</f>
      </c>
      <c r="E50">
        <f>IFERROR(INDEX(tblDeviceConfig[Cybernet Hostname],ROW()-1),"")</f>
      </c>
      <c r="F50" t="str">
        <f>IFERROR(INDEX(tblDeviceConfig[Neuron Hostname],ROW()-1),"")</f>
      </c>
      <c r="G50">
        <f>IFERROR(INDEX(tblDeviceConfig[Software List],ROW()-1),"")</f>
      </c>
      <c r="H50">
        <f>IFERROR(INDEX(tblDeviceConfig[PI_Use_Case],ROW()-1),"")</f>
      </c>
      <c r="I50">
        <f>IFERROR(INDEX(tblDeviceConfig[PI_Result],ROW()-1),"")</f>
      </c>
      <c r="J50">
        <f>IFERROR(INDEX(tblDeviceConfig[PI_Validated_By],ROW()-1),"")</f>
      </c>
      <c r="K50">
        <f>IFERROR(INDEX(tblDeviceConfig[PI_Validated_Date],ROW()-1),"")</f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</c>
      <c r="C51" t="str">
        <f>IFERROR(INDEX(tblDeviceConfig[Deployed],ROW()-1),"")</f>
      </c>
      <c r="D51" t="str">
        <f>IFERROR(INDEX(tblDeviceConfig[Installed],ROW()-1),"")</f>
      </c>
      <c r="E51">
        <f>IFERROR(INDEX(tblDeviceConfig[Cybernet Hostname],ROW()-1),"")</f>
      </c>
      <c r="F51" t="str">
        <f>IFERROR(INDEX(tblDeviceConfig[Neuron Hostname],ROW()-1),"")</f>
      </c>
      <c r="G51">
        <f>IFERROR(INDEX(tblDeviceConfig[Software List],ROW()-1),"")</f>
      </c>
      <c r="H51">
        <f>IFERROR(INDEX(tblDeviceConfig[PI_Use_Case],ROW()-1),"")</f>
      </c>
      <c r="I51">
        <f>IFERROR(INDEX(tblDeviceConfig[PI_Result],ROW()-1),"")</f>
      </c>
      <c r="J51">
        <f>IFERROR(INDEX(tblDeviceConfig[PI_Validated_By],ROW()-1),"")</f>
      </c>
      <c r="K51">
        <f>IFERROR(INDEX(tblDeviceConfig[PI_Validated_Date],ROW()-1),"")</f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</c>
      <c r="C52" t="str">
        <f>IFERROR(INDEX(tblDeviceConfig[Deployed],ROW()-1),"")</f>
      </c>
      <c r="D52" t="str">
        <f>IFERROR(INDEX(tblDeviceConfig[Installed],ROW()-1),"")</f>
      </c>
      <c r="E52">
        <f>IFERROR(INDEX(tblDeviceConfig[Cybernet Hostname],ROW()-1),"")</f>
      </c>
      <c r="F52" t="str">
        <f>IFERROR(INDEX(tblDeviceConfig[Neuron Hostname],ROW()-1),"")</f>
      </c>
      <c r="G52">
        <f>IFERROR(INDEX(tblDeviceConfig[Software List],ROW()-1),"")</f>
      </c>
      <c r="H52">
        <f>IFERROR(INDEX(tblDeviceConfig[PI_Use_Case],ROW()-1),"")</f>
      </c>
      <c r="I52">
        <f>IFERROR(INDEX(tblDeviceConfig[PI_Result],ROW()-1),"")</f>
      </c>
      <c r="J52">
        <f>IFERROR(INDEX(tblDeviceConfig[PI_Validated_By],ROW()-1),"")</f>
      </c>
      <c r="K52">
        <f>IFERROR(INDEX(tblDeviceConfig[PI_Validated_Date],ROW()-1),"")</f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</c>
      <c r="C53" t="str">
        <f>IFERROR(INDEX(tblDeviceConfig[Deployed],ROW()-1),"")</f>
      </c>
      <c r="D53" t="str">
        <f>IFERROR(INDEX(tblDeviceConfig[Installed],ROW()-1),"")</f>
      </c>
      <c r="E53">
        <f>IFERROR(INDEX(tblDeviceConfig[Cybernet Hostname],ROW()-1),"")</f>
      </c>
      <c r="F53" t="str">
        <f>IFERROR(INDEX(tblDeviceConfig[Neuron Hostname],ROW()-1),"")</f>
      </c>
      <c r="G53">
        <f>IFERROR(INDEX(tblDeviceConfig[Software List],ROW()-1),"")</f>
      </c>
      <c r="H53">
        <f>IFERROR(INDEX(tblDeviceConfig[PI_Use_Case],ROW()-1),"")</f>
      </c>
      <c r="I53">
        <f>IFERROR(INDEX(tblDeviceConfig[PI_Result],ROW()-1),"")</f>
      </c>
      <c r="J53">
        <f>IFERROR(INDEX(tblDeviceConfig[PI_Validated_By],ROW()-1),"")</f>
      </c>
      <c r="K53">
        <f>IFERROR(INDEX(tblDeviceConfig[PI_Validated_Date],ROW()-1),"")</f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</c>
      <c r="C54" t="str">
        <f>IFERROR(INDEX(tblDeviceConfig[Deployed],ROW()-1),"")</f>
      </c>
      <c r="D54" t="str">
        <f>IFERROR(INDEX(tblDeviceConfig[Installed],ROW()-1),"")</f>
      </c>
      <c r="E54">
        <f>IFERROR(INDEX(tblDeviceConfig[Cybernet Hostname],ROW()-1),"")</f>
      </c>
      <c r="F54" t="str">
        <f>IFERROR(INDEX(tblDeviceConfig[Neuron Hostname],ROW()-1),"")</f>
      </c>
      <c r="G54">
        <f>IFERROR(INDEX(tblDeviceConfig[Software List],ROW()-1),"")</f>
      </c>
      <c r="H54">
        <f>IFERROR(INDEX(tblDeviceConfig[PI_Use_Case],ROW()-1),"")</f>
      </c>
      <c r="I54">
        <f>IFERROR(INDEX(tblDeviceConfig[PI_Result],ROW()-1),"")</f>
      </c>
      <c r="J54">
        <f>IFERROR(INDEX(tblDeviceConfig[PI_Validated_By],ROW()-1),"")</f>
      </c>
      <c r="K54">
        <f>IFERROR(INDEX(tblDeviceConfig[PI_Validated_Date],ROW()-1),"")</f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</c>
      <c r="C55" t="str">
        <f>IFERROR(INDEX(tblDeviceConfig[Deployed],ROW()-1),"")</f>
      </c>
      <c r="D55" t="str">
        <f>IFERROR(INDEX(tblDeviceConfig[Installed],ROW()-1),"")</f>
      </c>
      <c r="E55">
        <f>IFERROR(INDEX(tblDeviceConfig[Cybernet Hostname],ROW()-1),"")</f>
      </c>
      <c r="F55" t="str">
        <f>IFERROR(INDEX(tblDeviceConfig[Neuron Hostname],ROW()-1),"")</f>
      </c>
      <c r="G55">
        <f>IFERROR(INDEX(tblDeviceConfig[Software List],ROW()-1),"")</f>
      </c>
      <c r="H55">
        <f>IFERROR(INDEX(tblDeviceConfig[PI_Use_Case],ROW()-1),"")</f>
      </c>
      <c r="I55">
        <f>IFERROR(INDEX(tblDeviceConfig[PI_Result],ROW()-1),"")</f>
      </c>
      <c r="J55">
        <f>IFERROR(INDEX(tblDeviceConfig[PI_Validated_By],ROW()-1),"")</f>
      </c>
      <c r="K55">
        <f>IFERROR(INDEX(tblDeviceConfig[PI_Validated_Date],ROW()-1),"")</f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</c>
      <c r="C56" t="str">
        <f>IFERROR(INDEX(tblDeviceConfig[Deployed],ROW()-1),"")</f>
      </c>
      <c r="D56" t="str">
        <f>IFERROR(INDEX(tblDeviceConfig[Installed],ROW()-1),"")</f>
      </c>
      <c r="E56">
        <f>IFERROR(INDEX(tblDeviceConfig[Cybernet Hostname],ROW()-1),"")</f>
      </c>
      <c r="F56" t="str">
        <f>IFERROR(INDEX(tblDeviceConfig[Neuron Hostname],ROW()-1),"")</f>
      </c>
      <c r="G56">
        <f>IFERROR(INDEX(tblDeviceConfig[Software List],ROW()-1),"")</f>
      </c>
      <c r="H56">
        <f>IFERROR(INDEX(tblDeviceConfig[PI_Use_Case],ROW()-1),"")</f>
      </c>
      <c r="I56">
        <f>IFERROR(INDEX(tblDeviceConfig[PI_Result],ROW()-1),"")</f>
      </c>
      <c r="J56">
        <f>IFERROR(INDEX(tblDeviceConfig[PI_Validated_By],ROW()-1),"")</f>
      </c>
      <c r="K56">
        <f>IFERROR(INDEX(tblDeviceConfig[PI_Validated_Date],ROW()-1),"")</f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</c>
      <c r="C57" t="str">
        <f>IFERROR(INDEX(tblDeviceConfig[Deployed],ROW()-1),"")</f>
      </c>
      <c r="D57" t="str">
        <f>IFERROR(INDEX(tblDeviceConfig[Installed],ROW()-1),"")</f>
      </c>
      <c r="E57">
        <f>IFERROR(INDEX(tblDeviceConfig[Cybernet Hostname],ROW()-1),"")</f>
      </c>
      <c r="F57" t="str">
        <f>IFERROR(INDEX(tblDeviceConfig[Neuron Hostname],ROW()-1),"")</f>
      </c>
      <c r="G57">
        <f>IFERROR(INDEX(tblDeviceConfig[Software List],ROW()-1),"")</f>
      </c>
      <c r="H57">
        <f>IFERROR(INDEX(tblDeviceConfig[PI_Use_Case],ROW()-1),"")</f>
      </c>
      <c r="I57">
        <f>IFERROR(INDEX(tblDeviceConfig[PI_Result],ROW()-1),"")</f>
      </c>
      <c r="J57">
        <f>IFERROR(INDEX(tblDeviceConfig[PI_Validated_By],ROW()-1),"")</f>
      </c>
      <c r="K57">
        <f>IFERROR(INDEX(tblDeviceConfig[PI_Validated_Date],ROW()-1),"")</f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</c>
      <c r="C58" t="str">
        <f>IFERROR(INDEX(tblDeviceConfig[Deployed],ROW()-1),"")</f>
      </c>
      <c r="D58" t="str">
        <f>IFERROR(INDEX(tblDeviceConfig[Installed],ROW()-1),"")</f>
      </c>
      <c r="E58">
        <f>IFERROR(INDEX(tblDeviceConfig[Cybernet Hostname],ROW()-1),"")</f>
      </c>
      <c r="F58" t="str">
        <f>IFERROR(INDEX(tblDeviceConfig[Neuron Hostname],ROW()-1),"")</f>
      </c>
      <c r="G58">
        <f>IFERROR(INDEX(tblDeviceConfig[Software List],ROW()-1),"")</f>
      </c>
      <c r="H58">
        <f>IFERROR(INDEX(tblDeviceConfig[PI_Use_Case],ROW()-1),"")</f>
      </c>
      <c r="I58">
        <f>IFERROR(INDEX(tblDeviceConfig[PI_Result],ROW()-1),"")</f>
      </c>
      <c r="J58">
        <f>IFERROR(INDEX(tblDeviceConfig[PI_Validated_By],ROW()-1),"")</f>
      </c>
      <c r="K58">
        <f>IFERROR(INDEX(tblDeviceConfig[PI_Validated_Date],ROW()-1),"")</f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</c>
      <c r="C59" t="str">
        <f>IFERROR(INDEX(tblDeviceConfig[Deployed],ROW()-1),"")</f>
      </c>
      <c r="D59" t="str">
        <f>IFERROR(INDEX(tblDeviceConfig[Installed],ROW()-1),"")</f>
      </c>
      <c r="E59">
        <f>IFERROR(INDEX(tblDeviceConfig[Cybernet Hostname],ROW()-1),"")</f>
      </c>
      <c r="F59" t="str">
        <f>IFERROR(INDEX(tblDeviceConfig[Neuron Hostname],ROW()-1),"")</f>
      </c>
      <c r="G59">
        <f>IFERROR(INDEX(tblDeviceConfig[Software List],ROW()-1),"")</f>
      </c>
      <c r="H59">
        <f>IFERROR(INDEX(tblDeviceConfig[PI_Use_Case],ROW()-1),"")</f>
      </c>
      <c r="I59">
        <f>IFERROR(INDEX(tblDeviceConfig[PI_Result],ROW()-1),"")</f>
      </c>
      <c r="J59">
        <f>IFERROR(INDEX(tblDeviceConfig[PI_Validated_By],ROW()-1),"")</f>
      </c>
      <c r="K59">
        <f>IFERROR(INDEX(tblDeviceConfig[PI_Validated_Date],ROW()-1),"")</f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</c>
      <c r="C60" t="str">
        <f>IFERROR(INDEX(tblDeviceConfig[Deployed],ROW()-1),"")</f>
      </c>
      <c r="D60" t="str">
        <f>IFERROR(INDEX(tblDeviceConfig[Installed],ROW()-1),"")</f>
      </c>
      <c r="E60">
        <f>IFERROR(INDEX(tblDeviceConfig[Cybernet Hostname],ROW()-1),"")</f>
      </c>
      <c r="F60" t="str">
        <f>IFERROR(INDEX(tblDeviceConfig[Neuron Hostname],ROW()-1),"")</f>
      </c>
      <c r="G60">
        <f>IFERROR(INDEX(tblDeviceConfig[Software List],ROW()-1),"")</f>
      </c>
      <c r="H60">
        <f>IFERROR(INDEX(tblDeviceConfig[PI_Use_Case],ROW()-1),"")</f>
      </c>
      <c r="I60">
        <f>IFERROR(INDEX(tblDeviceConfig[PI_Result],ROW()-1),"")</f>
      </c>
      <c r="J60">
        <f>IFERROR(INDEX(tblDeviceConfig[PI_Validated_By],ROW()-1),"")</f>
      </c>
      <c r="K60">
        <f>IFERROR(INDEX(tblDeviceConfig[PI_Validated_Date],ROW()-1),"")</f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</c>
      <c r="C61" t="str">
        <f>IFERROR(INDEX(tblDeviceConfig[Deployed],ROW()-1),"")</f>
      </c>
      <c r="D61" t="str">
        <f>IFERROR(INDEX(tblDeviceConfig[Installed],ROW()-1),"")</f>
      </c>
      <c r="E61">
        <f>IFERROR(INDEX(tblDeviceConfig[Cybernet Hostname],ROW()-1),"")</f>
      </c>
      <c r="F61" t="str">
        <f>IFERROR(INDEX(tblDeviceConfig[Neuron Hostname],ROW()-1),"")</f>
      </c>
      <c r="G61">
        <f>IFERROR(INDEX(tblDeviceConfig[Software List],ROW()-1),"")</f>
      </c>
      <c r="H61">
        <f>IFERROR(INDEX(tblDeviceConfig[PI_Use_Case],ROW()-1),"")</f>
      </c>
      <c r="I61">
        <f>IFERROR(INDEX(tblDeviceConfig[PI_Result],ROW()-1),"")</f>
      </c>
      <c r="J61">
        <f>IFERROR(INDEX(tblDeviceConfig[PI_Validated_By],ROW()-1),"")</f>
      </c>
      <c r="K61">
        <f>IFERROR(INDEX(tblDeviceConfig[PI_Validated_Date],ROW()-1),"")</f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</c>
      <c r="C62" t="str">
        <f>IFERROR(INDEX(tblDeviceConfig[Deployed],ROW()-1),"")</f>
      </c>
      <c r="D62" t="str">
        <f>IFERROR(INDEX(tblDeviceConfig[Installed],ROW()-1),"")</f>
      </c>
      <c r="E62">
        <f>IFERROR(INDEX(tblDeviceConfig[Cybernet Hostname],ROW()-1),"")</f>
      </c>
      <c r="F62" t="str">
        <f>IFERROR(INDEX(tblDeviceConfig[Neuron Hostname],ROW()-1),"")</f>
      </c>
      <c r="G62">
        <f>IFERROR(INDEX(tblDeviceConfig[Software List],ROW()-1),"")</f>
      </c>
      <c r="H62">
        <f>IFERROR(INDEX(tblDeviceConfig[PI_Use_Case],ROW()-1),"")</f>
      </c>
      <c r="I62">
        <f>IFERROR(INDEX(tblDeviceConfig[PI_Result],ROW()-1),"")</f>
      </c>
      <c r="J62">
        <f>IFERROR(INDEX(tblDeviceConfig[PI_Validated_By],ROW()-1),"")</f>
      </c>
      <c r="K62">
        <f>IFERROR(INDEX(tblDeviceConfig[PI_Validated_Date],ROW()-1),"")</f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</c>
      <c r="C63" t="str">
        <f>IFERROR(INDEX(tblDeviceConfig[Deployed],ROW()-1),"")</f>
      </c>
      <c r="D63" t="str">
        <f>IFERROR(INDEX(tblDeviceConfig[Installed],ROW()-1),"")</f>
      </c>
      <c r="E63">
        <f>IFERROR(INDEX(tblDeviceConfig[Cybernet Hostname],ROW()-1),"")</f>
      </c>
      <c r="F63" t="str">
        <f>IFERROR(INDEX(tblDeviceConfig[Neuron Hostname],ROW()-1),"")</f>
      </c>
      <c r="G63">
        <f>IFERROR(INDEX(tblDeviceConfig[Software List],ROW()-1),"")</f>
      </c>
      <c r="H63">
        <f>IFERROR(INDEX(tblDeviceConfig[PI_Use_Case],ROW()-1),"")</f>
      </c>
      <c r="I63">
        <f>IFERROR(INDEX(tblDeviceConfig[PI_Result],ROW()-1),"")</f>
      </c>
      <c r="J63">
        <f>IFERROR(INDEX(tblDeviceConfig[PI_Validated_By],ROW()-1),"")</f>
      </c>
      <c r="K63">
        <f>IFERROR(INDEX(tblDeviceConfig[PI_Validated_Date],ROW()-1),"")</f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</c>
      <c r="C64" t="str">
        <f>IFERROR(INDEX(tblDeviceConfig[Deployed],ROW()-1),"")</f>
      </c>
      <c r="D64" t="str">
        <f>IFERROR(INDEX(tblDeviceConfig[Installed],ROW()-1),"")</f>
      </c>
      <c r="E64">
        <f>IFERROR(INDEX(tblDeviceConfig[Cybernet Hostname],ROW()-1),"")</f>
      </c>
      <c r="F64" t="str">
        <f>IFERROR(INDEX(tblDeviceConfig[Neuron Hostname],ROW()-1),"")</f>
      </c>
      <c r="G64">
        <f>IFERROR(INDEX(tblDeviceConfig[Software List],ROW()-1),"")</f>
      </c>
      <c r="H64">
        <f>IFERROR(INDEX(tblDeviceConfig[PI_Use_Case],ROW()-1),"")</f>
      </c>
      <c r="I64">
        <f>IFERROR(INDEX(tblDeviceConfig[PI_Result],ROW()-1),"")</f>
      </c>
      <c r="J64">
        <f>IFERROR(INDEX(tblDeviceConfig[PI_Validated_By],ROW()-1),"")</f>
      </c>
      <c r="K64">
        <f>IFERROR(INDEX(tblDeviceConfig[PI_Validated_Date],ROW()-1),"")</f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</c>
      <c r="C65" t="str">
        <f>IFERROR(INDEX(tblDeviceConfig[Deployed],ROW()-1),"")</f>
      </c>
      <c r="D65" t="str">
        <f>IFERROR(INDEX(tblDeviceConfig[Installed],ROW()-1),"")</f>
      </c>
      <c r="E65">
        <f>IFERROR(INDEX(tblDeviceConfig[Cybernet Hostname],ROW()-1),"")</f>
      </c>
      <c r="F65" t="str">
        <f>IFERROR(INDEX(tblDeviceConfig[Neuron Hostname],ROW()-1),"")</f>
      </c>
      <c r="G65">
        <f>IFERROR(INDEX(tblDeviceConfig[Software List],ROW()-1),"")</f>
      </c>
      <c r="H65">
        <f>IFERROR(INDEX(tblDeviceConfig[PI_Use_Case],ROW()-1),"")</f>
      </c>
      <c r="I65">
        <f>IFERROR(INDEX(tblDeviceConfig[PI_Result],ROW()-1),"")</f>
      </c>
      <c r="J65">
        <f>IFERROR(INDEX(tblDeviceConfig[PI_Validated_By],ROW()-1),"")</f>
      </c>
      <c r="K65">
        <f>IFERROR(INDEX(tblDeviceConfig[PI_Validated_Date],ROW()-1),"")</f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</c>
      <c r="C66" t="str">
        <f>IFERROR(INDEX(tblDeviceConfig[Deployed],ROW()-1),"")</f>
      </c>
      <c r="D66" t="str">
        <f>IFERROR(INDEX(tblDeviceConfig[Installed],ROW()-1),"")</f>
      </c>
      <c r="E66">
        <f>IFERROR(INDEX(tblDeviceConfig[Cybernet Hostname],ROW()-1),"")</f>
      </c>
      <c r="F66" t="str">
        <f>IFERROR(INDEX(tblDeviceConfig[Neuron Hostname],ROW()-1),"")</f>
      </c>
      <c r="G66">
        <f>IFERROR(INDEX(tblDeviceConfig[Software List],ROW()-1),"")</f>
      </c>
      <c r="H66">
        <f>IFERROR(INDEX(tblDeviceConfig[PI_Use_Case],ROW()-1),"")</f>
      </c>
      <c r="I66">
        <f>IFERROR(INDEX(tblDeviceConfig[PI_Result],ROW()-1),"")</f>
      </c>
      <c r="J66">
        <f>IFERROR(INDEX(tblDeviceConfig[PI_Validated_By],ROW()-1),"")</f>
      </c>
      <c r="K66">
        <f>IFERROR(INDEX(tblDeviceConfig[PI_Validated_Date],ROW()-1),"")</f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</c>
      <c r="C67" t="str">
        <f>IFERROR(INDEX(tblDeviceConfig[Deployed],ROW()-1),"")</f>
      </c>
      <c r="D67" t="str">
        <f>IFERROR(INDEX(tblDeviceConfig[Installed],ROW()-1),"")</f>
      </c>
      <c r="E67">
        <f>IFERROR(INDEX(tblDeviceConfig[Cybernet Hostname],ROW()-1),"")</f>
      </c>
      <c r="F67" t="str">
        <f>IFERROR(INDEX(tblDeviceConfig[Neuron Hostname],ROW()-1),"")</f>
      </c>
      <c r="G67">
        <f>IFERROR(INDEX(tblDeviceConfig[Software List],ROW()-1),"")</f>
      </c>
      <c r="H67">
        <f>IFERROR(INDEX(tblDeviceConfig[PI_Use_Case],ROW()-1),"")</f>
      </c>
      <c r="I67">
        <f>IFERROR(INDEX(tblDeviceConfig[PI_Result],ROW()-1),"")</f>
      </c>
      <c r="J67">
        <f>IFERROR(INDEX(tblDeviceConfig[PI_Validated_By],ROW()-1),"")</f>
      </c>
      <c r="K67">
        <f>IFERROR(INDEX(tblDeviceConfig[PI_Validated_Date],ROW()-1),"")</f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</c>
      <c r="C68" t="str">
        <f>IFERROR(INDEX(tblDeviceConfig[Deployed],ROW()-1),"")</f>
      </c>
      <c r="D68" t="str">
        <f>IFERROR(INDEX(tblDeviceConfig[Installed],ROW()-1),"")</f>
      </c>
      <c r="E68">
        <f>IFERROR(INDEX(tblDeviceConfig[Cybernet Hostname],ROW()-1),"")</f>
      </c>
      <c r="F68" t="str">
        <f>IFERROR(INDEX(tblDeviceConfig[Neuron Hostname],ROW()-1),"")</f>
      </c>
      <c r="G68">
        <f>IFERROR(INDEX(tblDeviceConfig[Software List],ROW()-1),"")</f>
      </c>
      <c r="H68">
        <f>IFERROR(INDEX(tblDeviceConfig[PI_Use_Case],ROW()-1),"")</f>
      </c>
      <c r="I68">
        <f>IFERROR(INDEX(tblDeviceConfig[PI_Result],ROW()-1),"")</f>
      </c>
      <c r="J68">
        <f>IFERROR(INDEX(tblDeviceConfig[PI_Validated_By],ROW()-1),"")</f>
      </c>
      <c r="K68">
        <f>IFERROR(INDEX(tblDeviceConfig[PI_Validated_Date],ROW()-1),"")</f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</c>
      <c r="C69" t="str">
        <f>IFERROR(INDEX(tblDeviceConfig[Deployed],ROW()-1),"")</f>
      </c>
      <c r="D69" t="str">
        <f>IFERROR(INDEX(tblDeviceConfig[Installed],ROW()-1),"")</f>
      </c>
      <c r="E69">
        <f>IFERROR(INDEX(tblDeviceConfig[Cybernet Hostname],ROW()-1),"")</f>
      </c>
      <c r="F69" t="str">
        <f>IFERROR(INDEX(tblDeviceConfig[Neuron Hostname],ROW()-1),"")</f>
      </c>
      <c r="G69">
        <f>IFERROR(INDEX(tblDeviceConfig[Software List],ROW()-1),"")</f>
      </c>
      <c r="H69">
        <f>IFERROR(INDEX(tblDeviceConfig[PI_Use_Case],ROW()-1),"")</f>
      </c>
      <c r="I69">
        <f>IFERROR(INDEX(tblDeviceConfig[PI_Result],ROW()-1),"")</f>
      </c>
      <c r="J69">
        <f>IFERROR(INDEX(tblDeviceConfig[PI_Validated_By],ROW()-1),"")</f>
      </c>
      <c r="K69">
        <f>IFERROR(INDEX(tblDeviceConfig[PI_Validated_Date],ROW()-1),"")</f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</c>
      <c r="C70" t="str">
        <f>IFERROR(INDEX(tblDeviceConfig[Deployed],ROW()-1),"")</f>
      </c>
      <c r="D70" t="str">
        <f>IFERROR(INDEX(tblDeviceConfig[Installed],ROW()-1),"")</f>
      </c>
      <c r="E70">
        <f>IFERROR(INDEX(tblDeviceConfig[Cybernet Hostname],ROW()-1),"")</f>
      </c>
      <c r="F70" t="str">
        <f>IFERROR(INDEX(tblDeviceConfig[Neuron Hostname],ROW()-1),"")</f>
      </c>
      <c r="G70">
        <f>IFERROR(INDEX(tblDeviceConfig[Software List],ROW()-1),"")</f>
      </c>
      <c r="H70">
        <f>IFERROR(INDEX(tblDeviceConfig[PI_Use_Case],ROW()-1),"")</f>
      </c>
      <c r="I70">
        <f>IFERROR(INDEX(tblDeviceConfig[PI_Result],ROW()-1),"")</f>
      </c>
      <c r="J70">
        <f>IFERROR(INDEX(tblDeviceConfig[PI_Validated_By],ROW()-1),"")</f>
      </c>
      <c r="K70">
        <f>IFERROR(INDEX(tblDeviceConfig[PI_Validated_Date],ROW()-1),"")</f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</c>
      <c r="C71" t="str">
        <f>IFERROR(INDEX(tblDeviceConfig[Deployed],ROW()-1),"")</f>
      </c>
      <c r="D71" t="str">
        <f>IFERROR(INDEX(tblDeviceConfig[Installed],ROW()-1),"")</f>
      </c>
      <c r="E71">
        <f>IFERROR(INDEX(tblDeviceConfig[Cybernet Hostname],ROW()-1),"")</f>
      </c>
      <c r="F71" t="str">
        <f>IFERROR(INDEX(tblDeviceConfig[Neuron Hostname],ROW()-1),"")</f>
      </c>
      <c r="G71">
        <f>IFERROR(INDEX(tblDeviceConfig[Software List],ROW()-1),"")</f>
      </c>
      <c r="H71">
        <f>IFERROR(INDEX(tblDeviceConfig[PI_Use_Case],ROW()-1),"")</f>
      </c>
      <c r="I71">
        <f>IFERROR(INDEX(tblDeviceConfig[PI_Result],ROW()-1),"")</f>
      </c>
      <c r="J71">
        <f>IFERROR(INDEX(tblDeviceConfig[PI_Validated_By],ROW()-1),"")</f>
      </c>
      <c r="K71">
        <f>IFERROR(INDEX(tblDeviceConfig[PI_Validated_Date],ROW()-1),"")</f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</c>
      <c r="C72" t="str">
        <f>IFERROR(INDEX(tblDeviceConfig[Deployed],ROW()-1),"")</f>
      </c>
      <c r="D72" t="str">
        <f>IFERROR(INDEX(tblDeviceConfig[Installed],ROW()-1),"")</f>
      </c>
      <c r="E72">
        <f>IFERROR(INDEX(tblDeviceConfig[Cybernet Hostname],ROW()-1),"")</f>
      </c>
      <c r="F72" t="str">
        <f>IFERROR(INDEX(tblDeviceConfig[Neuron Hostname],ROW()-1),"")</f>
      </c>
      <c r="G72">
        <f>IFERROR(INDEX(tblDeviceConfig[Software List],ROW()-1),"")</f>
      </c>
      <c r="H72">
        <f>IFERROR(INDEX(tblDeviceConfig[PI_Use_Case],ROW()-1),"")</f>
      </c>
      <c r="I72">
        <f>IFERROR(INDEX(tblDeviceConfig[PI_Result],ROW()-1),"")</f>
      </c>
      <c r="J72">
        <f>IFERROR(INDEX(tblDeviceConfig[PI_Validated_By],ROW()-1),"")</f>
      </c>
      <c r="K72">
        <f>IFERROR(INDEX(tblDeviceConfig[PI_Validated_Date],ROW()-1),"")</f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</c>
      <c r="C73" t="str">
        <f>IFERROR(INDEX(tblDeviceConfig[Deployed],ROW()-1),"")</f>
      </c>
      <c r="D73" t="str">
        <f>IFERROR(INDEX(tblDeviceConfig[Installed],ROW()-1),"")</f>
      </c>
      <c r="E73">
        <f>IFERROR(INDEX(tblDeviceConfig[Cybernet Hostname],ROW()-1),"")</f>
      </c>
      <c r="F73" t="str">
        <f>IFERROR(INDEX(tblDeviceConfig[Neuron Hostname],ROW()-1),"")</f>
      </c>
      <c r="G73">
        <f>IFERROR(INDEX(tblDeviceConfig[Software List],ROW()-1),"")</f>
      </c>
      <c r="H73">
        <f>IFERROR(INDEX(tblDeviceConfig[PI_Use_Case],ROW()-1),"")</f>
      </c>
      <c r="I73">
        <f>IFERROR(INDEX(tblDeviceConfig[PI_Result],ROW()-1),"")</f>
      </c>
      <c r="J73">
        <f>IFERROR(INDEX(tblDeviceConfig[PI_Validated_By],ROW()-1),"")</f>
      </c>
      <c r="K73">
        <f>IFERROR(INDEX(tblDeviceConfig[PI_Validated_Date],ROW()-1),"")</f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</c>
      <c r="C74" t="str">
        <f>IFERROR(INDEX(tblDeviceConfig[Deployed],ROW()-1),"")</f>
      </c>
      <c r="D74" t="str">
        <f>IFERROR(INDEX(tblDeviceConfig[Installed],ROW()-1),"")</f>
      </c>
      <c r="E74">
        <f>IFERROR(INDEX(tblDeviceConfig[Cybernet Hostname],ROW()-1),"")</f>
      </c>
      <c r="F74" t="str">
        <f>IFERROR(INDEX(tblDeviceConfig[Neuron Hostname],ROW()-1),"")</f>
      </c>
      <c r="G74">
        <f>IFERROR(INDEX(tblDeviceConfig[Software List],ROW()-1),"")</f>
      </c>
      <c r="H74">
        <f>IFERROR(INDEX(tblDeviceConfig[PI_Use_Case],ROW()-1),"")</f>
      </c>
      <c r="I74">
        <f>IFERROR(INDEX(tblDeviceConfig[PI_Result],ROW()-1),"")</f>
      </c>
      <c r="J74">
        <f>IFERROR(INDEX(tblDeviceConfig[PI_Validated_By],ROW()-1),"")</f>
      </c>
      <c r="K74">
        <f>IFERROR(INDEX(tblDeviceConfig[PI_Validated_Date],ROW()-1),"")</f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</c>
      <c r="C75" t="str">
        <f>IFERROR(INDEX(tblDeviceConfig[Deployed],ROW()-1),"")</f>
      </c>
      <c r="D75" t="str">
        <f>IFERROR(INDEX(tblDeviceConfig[Installed],ROW()-1),"")</f>
      </c>
      <c r="E75">
        <f>IFERROR(INDEX(tblDeviceConfig[Cybernet Hostname],ROW()-1),"")</f>
      </c>
      <c r="F75" t="str">
        <f>IFERROR(INDEX(tblDeviceConfig[Neuron Hostname],ROW()-1),"")</f>
      </c>
      <c r="G75">
        <f>IFERROR(INDEX(tblDeviceConfig[Software List],ROW()-1),"")</f>
      </c>
      <c r="H75">
        <f>IFERROR(INDEX(tblDeviceConfig[PI_Use_Case],ROW()-1),"")</f>
      </c>
      <c r="I75">
        <f>IFERROR(INDEX(tblDeviceConfig[PI_Result],ROW()-1),"")</f>
      </c>
      <c r="J75">
        <f>IFERROR(INDEX(tblDeviceConfig[PI_Validated_By],ROW()-1),"")</f>
      </c>
      <c r="K75">
        <f>IFERROR(INDEX(tblDeviceConfig[PI_Validated_Date],ROW()-1),"")</f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</c>
      <c r="C76" t="str">
        <f>IFERROR(INDEX(tblDeviceConfig[Deployed],ROW()-1),"")</f>
      </c>
      <c r="D76" t="str">
        <f>IFERROR(INDEX(tblDeviceConfig[Installed],ROW()-1),"")</f>
      </c>
      <c r="E76">
        <f>IFERROR(INDEX(tblDeviceConfig[Cybernet Hostname],ROW()-1),"")</f>
      </c>
      <c r="F76" t="str">
        <f>IFERROR(INDEX(tblDeviceConfig[Neuron Hostname],ROW()-1),"")</f>
      </c>
      <c r="G76">
        <f>IFERROR(INDEX(tblDeviceConfig[Software List],ROW()-1),"")</f>
      </c>
      <c r="H76">
        <f>IFERROR(INDEX(tblDeviceConfig[PI_Use_Case],ROW()-1),"")</f>
      </c>
      <c r="I76">
        <f>IFERROR(INDEX(tblDeviceConfig[PI_Result],ROW()-1),"")</f>
      </c>
      <c r="J76">
        <f>IFERROR(INDEX(tblDeviceConfig[PI_Validated_By],ROW()-1),"")</f>
      </c>
      <c r="K76">
        <f>IFERROR(INDEX(tblDeviceConfig[PI_Validated_Date],ROW()-1),"")</f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</c>
      <c r="C77" t="str">
        <f>IFERROR(INDEX(tblDeviceConfig[Deployed],ROW()-1),"")</f>
      </c>
      <c r="D77" t="str">
        <f>IFERROR(INDEX(tblDeviceConfig[Installed],ROW()-1),"")</f>
      </c>
      <c r="E77">
        <f>IFERROR(INDEX(tblDeviceConfig[Cybernet Hostname],ROW()-1),"")</f>
      </c>
      <c r="F77" t="str">
        <f>IFERROR(INDEX(tblDeviceConfig[Neuron Hostname],ROW()-1),"")</f>
      </c>
      <c r="G77">
        <f>IFERROR(INDEX(tblDeviceConfig[Software List],ROW()-1),"")</f>
      </c>
      <c r="H77">
        <f>IFERROR(INDEX(tblDeviceConfig[PI_Use_Case],ROW()-1),"")</f>
      </c>
      <c r="I77">
        <f>IFERROR(INDEX(tblDeviceConfig[PI_Result],ROW()-1),"")</f>
      </c>
      <c r="J77">
        <f>IFERROR(INDEX(tblDeviceConfig[PI_Validated_By],ROW()-1),"")</f>
      </c>
      <c r="K77">
        <f>IFERROR(INDEX(tblDeviceConfig[PI_Validated_Date],ROW()-1),"")</f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</c>
      <c r="C78">
        <f>IFERROR(INDEX(tblDeviceConfig[Deployed],ROW()-1),"")</f>
      </c>
      <c r="D78" t="str">
        <f>IFERROR(INDEX(tblDeviceConfig[Installed],ROW()-1),"")</f>
      </c>
      <c r="E78">
        <f>IFERROR(INDEX(tblDeviceConfig[Cybernet Hostname],ROW()-1),"")</f>
      </c>
      <c r="F78" t="str">
        <f>IFERROR(INDEX(tblDeviceConfig[Neuron Hostname],ROW()-1),"")</f>
      </c>
      <c r="G78">
        <f>IFERROR(INDEX(tblDeviceConfig[Software List],ROW()-1),"")</f>
      </c>
      <c r="H78">
        <f>IFERROR(INDEX(tblDeviceConfig[PI_Use_Case],ROW()-1),"")</f>
      </c>
      <c r="I78">
        <f>IFERROR(INDEX(tblDeviceConfig[PI_Result],ROW()-1),"")</f>
      </c>
      <c r="J78">
        <f>IFERROR(INDEX(tblDeviceConfig[PI_Validated_By],ROW()-1),"")</f>
      </c>
      <c r="K78">
        <f>IFERROR(INDEX(tblDeviceConfig[PI_Validated_Date],ROW()-1),"")</f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</c>
      <c r="C79">
        <f>IFERROR(INDEX(tblDeviceConfig[Deployed],ROW()-1),"")</f>
      </c>
      <c r="D79" t="str">
        <f>IFERROR(INDEX(tblDeviceConfig[Installed],ROW()-1),"")</f>
      </c>
      <c r="E79">
        <f>IFERROR(INDEX(tblDeviceConfig[Cybernet Hostname],ROW()-1),"")</f>
      </c>
      <c r="F79" t="str">
        <f>IFERROR(INDEX(tblDeviceConfig[Neuron Hostname],ROW()-1),"")</f>
      </c>
      <c r="G79">
        <f>IFERROR(INDEX(tblDeviceConfig[Software List],ROW()-1),"")</f>
      </c>
      <c r="H79">
        <f>IFERROR(INDEX(tblDeviceConfig[PI_Use_Case],ROW()-1),"")</f>
      </c>
      <c r="I79">
        <f>IFERROR(INDEX(tblDeviceConfig[PI_Result],ROW()-1),"")</f>
      </c>
      <c r="J79">
        <f>IFERROR(INDEX(tblDeviceConfig[PI_Validated_By],ROW()-1),"")</f>
      </c>
      <c r="K79">
        <f>IFERROR(INDEX(tblDeviceConfig[PI_Validated_Date],ROW()-1),"")</f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</c>
      <c r="C80">
        <f>IFERROR(INDEX(tblDeviceConfig[Deployed],ROW()-1),"")</f>
      </c>
      <c r="D80" t="str">
        <f>IFERROR(INDEX(tblDeviceConfig[Installed],ROW()-1),"")</f>
      </c>
      <c r="E80">
        <f>IFERROR(INDEX(tblDeviceConfig[Cybernet Hostname],ROW()-1),"")</f>
      </c>
      <c r="F80" t="str">
        <f>IFERROR(INDEX(tblDeviceConfig[Neuron Hostname],ROW()-1),"")</f>
      </c>
      <c r="G80">
        <f>IFERROR(INDEX(tblDeviceConfig[Software List],ROW()-1),"")</f>
      </c>
      <c r="H80">
        <f>IFERROR(INDEX(tblDeviceConfig[PI_Use_Case],ROW()-1),"")</f>
      </c>
      <c r="I80">
        <f>IFERROR(INDEX(tblDeviceConfig[PI_Result],ROW()-1),"")</f>
      </c>
      <c r="J80">
        <f>IFERROR(INDEX(tblDeviceConfig[PI_Validated_By],ROW()-1),"")</f>
      </c>
      <c r="K80">
        <f>IFERROR(INDEX(tblDeviceConfig[PI_Validated_Date],ROW()-1),"")</f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</c>
      <c r="C81">
        <f>IFERROR(INDEX(tblDeviceConfig[Deployed],ROW()-1),"")</f>
      </c>
      <c r="D81" t="str">
        <f>IFERROR(INDEX(tblDeviceConfig[Installed],ROW()-1),"")</f>
      </c>
      <c r="E81">
        <f>IFERROR(INDEX(tblDeviceConfig[Cybernet Hostname],ROW()-1),"")</f>
      </c>
      <c r="F81" t="str">
        <f>IFERROR(INDEX(tblDeviceConfig[Neuron Hostname],ROW()-1),"")</f>
      </c>
      <c r="G81">
        <f>IFERROR(INDEX(tblDeviceConfig[Software List],ROW()-1),"")</f>
      </c>
      <c r="H81">
        <f>IFERROR(INDEX(tblDeviceConfig[PI_Use_Case],ROW()-1),"")</f>
      </c>
      <c r="I81">
        <f>IFERROR(INDEX(tblDeviceConfig[PI_Result],ROW()-1),"")</f>
      </c>
      <c r="J81">
        <f>IFERROR(INDEX(tblDeviceConfig[PI_Validated_By],ROW()-1),"")</f>
      </c>
      <c r="K81">
        <f>IFERROR(INDEX(tblDeviceConfig[PI_Validated_Date],ROW()-1),"")</f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</c>
      <c r="C82">
        <f>IFERROR(INDEX(tblDeviceConfig[Deployed],ROW()-1),"")</f>
      </c>
      <c r="D82" t="str">
        <f>IFERROR(INDEX(tblDeviceConfig[Installed],ROW()-1),"")</f>
      </c>
      <c r="E82">
        <f>IFERROR(INDEX(tblDeviceConfig[Cybernet Hostname],ROW()-1),"")</f>
      </c>
      <c r="F82" t="str">
        <f>IFERROR(INDEX(tblDeviceConfig[Neuron Hostname],ROW()-1),"")</f>
      </c>
      <c r="G82">
        <f>IFERROR(INDEX(tblDeviceConfig[Software List],ROW()-1),"")</f>
      </c>
      <c r="H82">
        <f>IFERROR(INDEX(tblDeviceConfig[PI_Use_Case],ROW()-1),"")</f>
      </c>
      <c r="I82">
        <f>IFERROR(INDEX(tblDeviceConfig[PI_Result],ROW()-1),"")</f>
      </c>
      <c r="J82">
        <f>IFERROR(INDEX(tblDeviceConfig[PI_Validated_By],ROW()-1),"")</f>
      </c>
      <c r="K82">
        <f>IFERROR(INDEX(tblDeviceConfig[PI_Validated_Date],ROW()-1),"")</f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</c>
      <c r="C83">
        <f>IFERROR(INDEX(tblDeviceConfig[Deployed],ROW()-1),"")</f>
      </c>
      <c r="D83" t="str">
        <f>IFERROR(INDEX(tblDeviceConfig[Installed],ROW()-1),"")</f>
      </c>
      <c r="E83">
        <f>IFERROR(INDEX(tblDeviceConfig[Cybernet Hostname],ROW()-1),"")</f>
      </c>
      <c r="F83" t="str">
        <f>IFERROR(INDEX(tblDeviceConfig[Neuron Hostname],ROW()-1),"")</f>
      </c>
      <c r="G83">
        <f>IFERROR(INDEX(tblDeviceConfig[Software List],ROW()-1),"")</f>
      </c>
      <c r="H83">
        <f>IFERROR(INDEX(tblDeviceConfig[PI_Use_Case],ROW()-1),"")</f>
      </c>
      <c r="I83">
        <f>IFERROR(INDEX(tblDeviceConfig[PI_Result],ROW()-1),"")</f>
      </c>
      <c r="J83">
        <f>IFERROR(INDEX(tblDeviceConfig[PI_Validated_By],ROW()-1),"")</f>
      </c>
      <c r="K83">
        <f>IFERROR(INDEX(tblDeviceConfig[PI_Validated_Date],ROW()-1),"")</f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</c>
      <c r="C84">
        <f>IFERROR(INDEX(tblDeviceConfig[Deployed],ROW()-1),"")</f>
      </c>
      <c r="D84" t="str">
        <f>IFERROR(INDEX(tblDeviceConfig[Installed],ROW()-1),"")</f>
      </c>
      <c r="E84">
        <f>IFERROR(INDEX(tblDeviceConfig[Cybernet Hostname],ROW()-1),"")</f>
      </c>
      <c r="F84" t="str">
        <f>IFERROR(INDEX(tblDeviceConfig[Neuron Hostname],ROW()-1),"")</f>
      </c>
      <c r="G84">
        <f>IFERROR(INDEX(tblDeviceConfig[Software List],ROW()-1),"")</f>
      </c>
      <c r="H84">
        <f>IFERROR(INDEX(tblDeviceConfig[PI_Use_Case],ROW()-1),"")</f>
      </c>
      <c r="I84">
        <f>IFERROR(INDEX(tblDeviceConfig[PI_Result],ROW()-1),"")</f>
      </c>
      <c r="J84">
        <f>IFERROR(INDEX(tblDeviceConfig[PI_Validated_By],ROW()-1),"")</f>
      </c>
      <c r="K84">
        <f>IFERROR(INDEX(tblDeviceConfig[PI_Validated_Date],ROW()-1),"")</f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</c>
      <c r="C85" t="str">
        <f>IFERROR(INDEX(tblDeviceConfig[Deployed],ROW()-1),"")</f>
      </c>
      <c r="D85" t="str">
        <f>IFERROR(INDEX(tblDeviceConfig[Installed],ROW()-1),"")</f>
      </c>
      <c r="E85">
        <f>IFERROR(INDEX(tblDeviceConfig[Cybernet Hostname],ROW()-1),"")</f>
      </c>
      <c r="F85" t="str">
        <f>IFERROR(INDEX(tblDeviceConfig[Neuron Hostname],ROW()-1),"")</f>
      </c>
      <c r="G85">
        <f>IFERROR(INDEX(tblDeviceConfig[Software List],ROW()-1),"")</f>
      </c>
      <c r="H85">
        <f>IFERROR(INDEX(tblDeviceConfig[PI_Use_Case],ROW()-1),"")</f>
      </c>
      <c r="I85">
        <f>IFERROR(INDEX(tblDeviceConfig[PI_Result],ROW()-1),"")</f>
      </c>
      <c r="J85">
        <f>IFERROR(INDEX(tblDeviceConfig[PI_Validated_By],ROW()-1),"")</f>
      </c>
      <c r="K85">
        <f>IFERROR(INDEX(tblDeviceConfig[PI_Validated_Date],ROW()-1),"")</f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</c>
      <c r="C86" t="str">
        <f>IFERROR(INDEX(tblDeviceConfig[Deployed],ROW()-1),"")</f>
      </c>
      <c r="D86" t="str">
        <f>IFERROR(INDEX(tblDeviceConfig[Installed],ROW()-1),"")</f>
      </c>
      <c r="E86">
        <f>IFERROR(INDEX(tblDeviceConfig[Cybernet Hostname],ROW()-1),"")</f>
      </c>
      <c r="F86" t="str">
        <f>IFERROR(INDEX(tblDeviceConfig[Neuron Hostname],ROW()-1),"")</f>
      </c>
      <c r="G86">
        <f>IFERROR(INDEX(tblDeviceConfig[Software List],ROW()-1),"")</f>
      </c>
      <c r="H86">
        <f>IFERROR(INDEX(tblDeviceConfig[PI_Use_Case],ROW()-1),"")</f>
      </c>
      <c r="I86">
        <f>IFERROR(INDEX(tblDeviceConfig[PI_Result],ROW()-1),"")</f>
      </c>
      <c r="J86">
        <f>IFERROR(INDEX(tblDeviceConfig[PI_Validated_By],ROW()-1),"")</f>
      </c>
      <c r="K86">
        <f>IFERROR(INDEX(tblDeviceConfig[PI_Validated_Date],ROW()-1),"")</f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</c>
      <c r="C87" t="str">
        <f>IFERROR(INDEX(tblDeviceConfig[Deployed],ROW()-1),"")</f>
      </c>
      <c r="D87" t="str">
        <f>IFERROR(INDEX(tblDeviceConfig[Installed],ROW()-1),"")</f>
      </c>
      <c r="E87">
        <f>IFERROR(INDEX(tblDeviceConfig[Cybernet Hostname],ROW()-1),"")</f>
      </c>
      <c r="F87" t="str">
        <f>IFERROR(INDEX(tblDeviceConfig[Neuron Hostname],ROW()-1),"")</f>
      </c>
      <c r="G87">
        <f>IFERROR(INDEX(tblDeviceConfig[Software List],ROW()-1),"")</f>
      </c>
      <c r="H87">
        <f>IFERROR(INDEX(tblDeviceConfig[PI_Use_Case],ROW()-1),"")</f>
      </c>
      <c r="I87">
        <f>IFERROR(INDEX(tblDeviceConfig[PI_Result],ROW()-1),"")</f>
      </c>
      <c r="J87">
        <f>IFERROR(INDEX(tblDeviceConfig[PI_Validated_By],ROW()-1),"")</f>
      </c>
      <c r="K87">
        <f>IFERROR(INDEX(tblDeviceConfig[PI_Validated_Date],ROW()-1),"")</f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</c>
      <c r="C88" t="str">
        <f>IFERROR(INDEX(tblDeviceConfig[Deployed],ROW()-1),"")</f>
      </c>
      <c r="D88" t="str">
        <f>IFERROR(INDEX(tblDeviceConfig[Installed],ROW()-1),"")</f>
      </c>
      <c r="E88">
        <f>IFERROR(INDEX(tblDeviceConfig[Cybernet Hostname],ROW()-1),"")</f>
      </c>
      <c r="F88" t="str">
        <f>IFERROR(INDEX(tblDeviceConfig[Neuron Hostname],ROW()-1),"")</f>
      </c>
      <c r="G88">
        <f>IFERROR(INDEX(tblDeviceConfig[Software List],ROW()-1),"")</f>
      </c>
      <c r="H88">
        <f>IFERROR(INDEX(tblDeviceConfig[PI_Use_Case],ROW()-1),"")</f>
      </c>
      <c r="I88">
        <f>IFERROR(INDEX(tblDeviceConfig[PI_Result],ROW()-1),"")</f>
      </c>
      <c r="J88">
        <f>IFERROR(INDEX(tblDeviceConfig[PI_Validated_By],ROW()-1),"")</f>
      </c>
      <c r="K88">
        <f>IFERROR(INDEX(tblDeviceConfig[PI_Validated_Date],ROW()-1),"")</f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</c>
      <c r="C89" t="str">
        <f>IFERROR(INDEX(tblDeviceConfig[Deployed],ROW()-1),"")</f>
      </c>
      <c r="D89" t="str">
        <f>IFERROR(INDEX(tblDeviceConfig[Installed],ROW()-1),"")</f>
      </c>
      <c r="E89">
        <f>IFERROR(INDEX(tblDeviceConfig[Cybernet Hostname],ROW()-1),"")</f>
      </c>
      <c r="F89" t="str">
        <f>IFERROR(INDEX(tblDeviceConfig[Neuron Hostname],ROW()-1),"")</f>
      </c>
      <c r="G89">
        <f>IFERROR(INDEX(tblDeviceConfig[Software List],ROW()-1),"")</f>
      </c>
      <c r="H89">
        <f>IFERROR(INDEX(tblDeviceConfig[PI_Use_Case],ROW()-1),"")</f>
      </c>
      <c r="I89">
        <f>IFERROR(INDEX(tblDeviceConfig[PI_Result],ROW()-1),"")</f>
      </c>
      <c r="J89">
        <f>IFERROR(INDEX(tblDeviceConfig[PI_Validated_By],ROW()-1),"")</f>
      </c>
      <c r="K89">
        <f>IFERROR(INDEX(tblDeviceConfig[PI_Validated_Date],ROW()-1),"")</f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</c>
      <c r="C90">
        <f>IFERROR(INDEX(tblDeviceConfig[Deployed],ROW()-1),"")</f>
      </c>
      <c r="D90" t="str">
        <f>IFERROR(INDEX(tblDeviceConfig[Installed],ROW()-1),"")</f>
      </c>
      <c r="E90">
        <f>IFERROR(INDEX(tblDeviceConfig[Cybernet Hostname],ROW()-1),"")</f>
      </c>
      <c r="F90" t="str">
        <f>IFERROR(INDEX(tblDeviceConfig[Neuron Hostname],ROW()-1),"")</f>
      </c>
      <c r="G90">
        <f>IFERROR(INDEX(tblDeviceConfig[Software List],ROW()-1),"")</f>
      </c>
      <c r="H90">
        <f>IFERROR(INDEX(tblDeviceConfig[PI_Use_Case],ROW()-1),"")</f>
      </c>
      <c r="I90">
        <f>IFERROR(INDEX(tblDeviceConfig[PI_Result],ROW()-1),"")</f>
      </c>
      <c r="J90">
        <f>IFERROR(INDEX(tblDeviceConfig[PI_Validated_By],ROW()-1),"")</f>
      </c>
      <c r="K90">
        <f>IFERROR(INDEX(tblDeviceConfig[PI_Validated_Date],ROW()-1),"")</f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</c>
      <c r="C91">
        <f>IFERROR(INDEX(tblDeviceConfig[Deployed],ROW()-1),"")</f>
      </c>
      <c r="D91" t="str">
        <f>IFERROR(INDEX(tblDeviceConfig[Installed],ROW()-1),"")</f>
      </c>
      <c r="E91">
        <f>IFERROR(INDEX(tblDeviceConfig[Cybernet Hostname],ROW()-1),"")</f>
      </c>
      <c r="F91" t="str">
        <f>IFERROR(INDEX(tblDeviceConfig[Neuron Hostname],ROW()-1),"")</f>
      </c>
      <c r="G91">
        <f>IFERROR(INDEX(tblDeviceConfig[Software List],ROW()-1),"")</f>
      </c>
      <c r="H91">
        <f>IFERROR(INDEX(tblDeviceConfig[PI_Use_Case],ROW()-1),"")</f>
      </c>
      <c r="I91">
        <f>IFERROR(INDEX(tblDeviceConfig[PI_Result],ROW()-1),"")</f>
      </c>
      <c r="J91">
        <f>IFERROR(INDEX(tblDeviceConfig[PI_Validated_By],ROW()-1),"")</f>
      </c>
      <c r="K91">
        <f>IFERROR(INDEX(tblDeviceConfig[PI_Validated_Date],ROW()-1),"")</f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</c>
      <c r="C92">
        <f>IFERROR(INDEX(tblDeviceConfig[Deployed],ROW()-1),"")</f>
      </c>
      <c r="D92" t="str">
        <f>IFERROR(INDEX(tblDeviceConfig[Installed],ROW()-1),"")</f>
      </c>
      <c r="E92">
        <f>IFERROR(INDEX(tblDeviceConfig[Cybernet Hostname],ROW()-1),"")</f>
      </c>
      <c r="F92" t="str">
        <f>IFERROR(INDEX(tblDeviceConfig[Neuron Hostname],ROW()-1),"")</f>
      </c>
      <c r="G92">
        <f>IFERROR(INDEX(tblDeviceConfig[Software List],ROW()-1),"")</f>
      </c>
      <c r="H92">
        <f>IFERROR(INDEX(tblDeviceConfig[PI_Use_Case],ROW()-1),"")</f>
      </c>
      <c r="I92">
        <f>IFERROR(INDEX(tblDeviceConfig[PI_Result],ROW()-1),"")</f>
      </c>
      <c r="J92">
        <f>IFERROR(INDEX(tblDeviceConfig[PI_Validated_By],ROW()-1),"")</f>
      </c>
      <c r="K92">
        <f>IFERROR(INDEX(tblDeviceConfig[PI_Validated_Date],ROW()-1),"")</f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</c>
      <c r="C93">
        <f>IFERROR(INDEX(tblDeviceConfig[Deployed],ROW()-1),"")</f>
      </c>
      <c r="D93" t="str">
        <f>IFERROR(INDEX(tblDeviceConfig[Installed],ROW()-1),"")</f>
      </c>
      <c r="E93">
        <f>IFERROR(INDEX(tblDeviceConfig[Cybernet Hostname],ROW()-1),"")</f>
      </c>
      <c r="F93" t="str">
        <f>IFERROR(INDEX(tblDeviceConfig[Neuron Hostname],ROW()-1),"")</f>
      </c>
      <c r="G93">
        <f>IFERROR(INDEX(tblDeviceConfig[Software List],ROW()-1),"")</f>
      </c>
      <c r="H93">
        <f>IFERROR(INDEX(tblDeviceConfig[PI_Use_Case],ROW()-1),"")</f>
      </c>
      <c r="I93">
        <f>IFERROR(INDEX(tblDeviceConfig[PI_Result],ROW()-1),"")</f>
      </c>
      <c r="J93">
        <f>IFERROR(INDEX(tblDeviceConfig[PI_Validated_By],ROW()-1),"")</f>
      </c>
      <c r="K93">
        <f>IFERROR(INDEX(tblDeviceConfig[PI_Validated_Date],ROW()-1),"")</f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</c>
      <c r="C94">
        <f>IFERROR(INDEX(tblDeviceConfig[Deployed],ROW()-1),"")</f>
      </c>
      <c r="D94" t="str">
        <f>IFERROR(INDEX(tblDeviceConfig[Installed],ROW()-1),"")</f>
      </c>
      <c r="E94">
        <f>IFERROR(INDEX(tblDeviceConfig[Cybernet Hostname],ROW()-1),"")</f>
      </c>
      <c r="F94" t="str">
        <f>IFERROR(INDEX(tblDeviceConfig[Neuron Hostname],ROW()-1),"")</f>
      </c>
      <c r="G94">
        <f>IFERROR(INDEX(tblDeviceConfig[Software List],ROW()-1),"")</f>
      </c>
      <c r="H94">
        <f>IFERROR(INDEX(tblDeviceConfig[PI_Use_Case],ROW()-1),"")</f>
      </c>
      <c r="I94">
        <f>IFERROR(INDEX(tblDeviceConfig[PI_Result],ROW()-1),"")</f>
      </c>
      <c r="J94">
        <f>IFERROR(INDEX(tblDeviceConfig[PI_Validated_By],ROW()-1),"")</f>
      </c>
      <c r="K94">
        <f>IFERROR(INDEX(tblDeviceConfig[PI_Validated_Date],ROW()-1),"")</f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</c>
      <c r="C95">
        <f>IFERROR(INDEX(tblDeviceConfig[Deployed],ROW()-1),"")</f>
      </c>
      <c r="D95" t="str">
        <f>IFERROR(INDEX(tblDeviceConfig[Installed],ROW()-1),"")</f>
      </c>
      <c r="E95">
        <f>IFERROR(INDEX(tblDeviceConfig[Cybernet Hostname],ROW()-1),"")</f>
      </c>
      <c r="F95" t="str">
        <f>IFERROR(INDEX(tblDeviceConfig[Neuron Hostname],ROW()-1),"")</f>
      </c>
      <c r="G95">
        <f>IFERROR(INDEX(tblDeviceConfig[Software List],ROW()-1),"")</f>
      </c>
      <c r="H95">
        <f>IFERROR(INDEX(tblDeviceConfig[PI_Use_Case],ROW()-1),"")</f>
      </c>
      <c r="I95">
        <f>IFERROR(INDEX(tblDeviceConfig[PI_Result],ROW()-1),"")</f>
      </c>
      <c r="J95">
        <f>IFERROR(INDEX(tblDeviceConfig[PI_Validated_By],ROW()-1),"")</f>
      </c>
      <c r="K95">
        <f>IFERROR(INDEX(tblDeviceConfig[PI_Validated_Date],ROW()-1),"")</f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</c>
      <c r="C96">
        <f>IFERROR(INDEX(tblDeviceConfig[Deployed],ROW()-1),"")</f>
      </c>
      <c r="D96" t="str">
        <f>IFERROR(INDEX(tblDeviceConfig[Installed],ROW()-1),"")</f>
      </c>
      <c r="E96">
        <f>IFERROR(INDEX(tblDeviceConfig[Cybernet Hostname],ROW()-1),"")</f>
      </c>
      <c r="F96" t="str">
        <f>IFERROR(INDEX(tblDeviceConfig[Neuron Hostname],ROW()-1),"")</f>
      </c>
      <c r="G96">
        <f>IFERROR(INDEX(tblDeviceConfig[Software List],ROW()-1),"")</f>
      </c>
      <c r="H96">
        <f>IFERROR(INDEX(tblDeviceConfig[PI_Use_Case],ROW()-1),"")</f>
      </c>
      <c r="I96">
        <f>IFERROR(INDEX(tblDeviceConfig[PI_Result],ROW()-1),"")</f>
      </c>
      <c r="J96">
        <f>IFERROR(INDEX(tblDeviceConfig[PI_Validated_By],ROW()-1),"")</f>
      </c>
      <c r="K96">
        <f>IFERROR(INDEX(tblDeviceConfig[PI_Validated_Date],ROW()-1),"")</f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</c>
      <c r="C97">
        <f>IFERROR(INDEX(tblDeviceConfig[Deployed],ROW()-1),"")</f>
      </c>
      <c r="D97" t="str">
        <f>IFERROR(INDEX(tblDeviceConfig[Installed],ROW()-1),"")</f>
      </c>
      <c r="E97">
        <f>IFERROR(INDEX(tblDeviceConfig[Cybernet Hostname],ROW()-1),"")</f>
      </c>
      <c r="F97" t="str">
        <f>IFERROR(INDEX(tblDeviceConfig[Neuron Hostname],ROW()-1),"")</f>
      </c>
      <c r="G97">
        <f>IFERROR(INDEX(tblDeviceConfig[Software List],ROW()-1),"")</f>
      </c>
      <c r="H97">
        <f>IFERROR(INDEX(tblDeviceConfig[PI_Use_Case],ROW()-1),"")</f>
      </c>
      <c r="I97">
        <f>IFERROR(INDEX(tblDeviceConfig[PI_Result],ROW()-1),"")</f>
      </c>
      <c r="J97">
        <f>IFERROR(INDEX(tblDeviceConfig[PI_Validated_By],ROW()-1),"")</f>
      </c>
      <c r="K97">
        <f>IFERROR(INDEX(tblDeviceConfig[PI_Validated_Date],ROW()-1),"")</f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</c>
      <c r="C98">
        <f>IFERROR(INDEX(tblDeviceConfig[Deployed],ROW()-1),"")</f>
      </c>
      <c r="D98" t="str">
        <f>IFERROR(INDEX(tblDeviceConfig[Installed],ROW()-1),"")</f>
      </c>
      <c r="E98">
        <f>IFERROR(INDEX(tblDeviceConfig[Cybernet Hostname],ROW()-1),"")</f>
      </c>
      <c r="F98" t="str">
        <f>IFERROR(INDEX(tblDeviceConfig[Neuron Hostname],ROW()-1),"")</f>
      </c>
      <c r="G98">
        <f>IFERROR(INDEX(tblDeviceConfig[Software List],ROW()-1),"")</f>
      </c>
      <c r="H98">
        <f>IFERROR(INDEX(tblDeviceConfig[PI_Use_Case],ROW()-1),"")</f>
      </c>
      <c r="I98">
        <f>IFERROR(INDEX(tblDeviceConfig[PI_Result],ROW()-1),"")</f>
      </c>
      <c r="J98">
        <f>IFERROR(INDEX(tblDeviceConfig[PI_Validated_By],ROW()-1),"")</f>
      </c>
      <c r="K98">
        <f>IFERROR(INDEX(tblDeviceConfig[PI_Validated_Date],ROW()-1),"")</f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</c>
      <c r="C99">
        <f>IFERROR(INDEX(tblDeviceConfig[Deployed],ROW()-1),"")</f>
      </c>
      <c r="D99" t="str">
        <f>IFERROR(INDEX(tblDeviceConfig[Installed],ROW()-1),"")</f>
      </c>
      <c r="E99">
        <f>IFERROR(INDEX(tblDeviceConfig[Cybernet Hostname],ROW()-1),"")</f>
      </c>
      <c r="F99" t="str">
        <f>IFERROR(INDEX(tblDeviceConfig[Neuron Hostname],ROW()-1),"")</f>
      </c>
      <c r="G99">
        <f>IFERROR(INDEX(tblDeviceConfig[Software List],ROW()-1),"")</f>
      </c>
      <c r="H99">
        <f>IFERROR(INDEX(tblDeviceConfig[PI_Use_Case],ROW()-1),"")</f>
      </c>
      <c r="I99">
        <f>IFERROR(INDEX(tblDeviceConfig[PI_Result],ROW()-1),"")</f>
      </c>
      <c r="J99">
        <f>IFERROR(INDEX(tblDeviceConfig[PI_Validated_By],ROW()-1),"")</f>
      </c>
      <c r="K99">
        <f>IFERROR(INDEX(tblDeviceConfig[PI_Validated_Date],ROW()-1),"")</f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</c>
      <c r="C100">
        <f>IFERROR(INDEX(tblDeviceConfig[Deployed],ROW()-1),"")</f>
      </c>
      <c r="D100" t="str">
        <f>IFERROR(INDEX(tblDeviceConfig[Installed],ROW()-1),"")</f>
      </c>
      <c r="E100">
        <f>IFERROR(INDEX(tblDeviceConfig[Cybernet Hostname],ROW()-1),"")</f>
      </c>
      <c r="F100" t="str">
        <f>IFERROR(INDEX(tblDeviceConfig[Neuron Hostname],ROW()-1),"")</f>
      </c>
      <c r="G100">
        <f>IFERROR(INDEX(tblDeviceConfig[Software List],ROW()-1),"")</f>
      </c>
      <c r="H100">
        <f>IFERROR(INDEX(tblDeviceConfig[PI_Use_Case],ROW()-1),"")</f>
      </c>
      <c r="I100">
        <f>IFERROR(INDEX(tblDeviceConfig[PI_Result],ROW()-1),"")</f>
      </c>
      <c r="J100">
        <f>IFERROR(INDEX(tblDeviceConfig[PI_Validated_By],ROW()-1),"")</f>
      </c>
      <c r="K100">
        <f>IFERROR(INDEX(tblDeviceConfig[PI_Validated_Date],ROW()-1),"")</f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</c>
      <c r="C101">
        <f>IFERROR(INDEX(tblDeviceConfig[Deployed],ROW()-1),"")</f>
      </c>
      <c r="D101" t="str">
        <f>IFERROR(INDEX(tblDeviceConfig[Installed],ROW()-1),"")</f>
      </c>
      <c r="E101">
        <f>IFERROR(INDEX(tblDeviceConfig[Cybernet Hostname],ROW()-1),"")</f>
      </c>
      <c r="F101" t="str">
        <f>IFERROR(INDEX(tblDeviceConfig[Neuron Hostname],ROW()-1),"")</f>
      </c>
      <c r="G101">
        <f>IFERROR(INDEX(tblDeviceConfig[Software List],ROW()-1),"")</f>
      </c>
      <c r="H101">
        <f>IFERROR(INDEX(tblDeviceConfig[PI_Use_Case],ROW()-1),"")</f>
      </c>
      <c r="I101">
        <f>IFERROR(INDEX(tblDeviceConfig[PI_Result],ROW()-1),"")</f>
      </c>
      <c r="J101">
        <f>IFERROR(INDEX(tblDeviceConfig[PI_Validated_By],ROW()-1),"")</f>
      </c>
      <c r="K101">
        <f>IFERROR(INDEX(tblDeviceConfig[PI_Validated_Date],ROW()-1),"")</f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</c>
      <c r="C102">
        <f>IFERROR(INDEX(tblDeviceConfig[Deployed],ROW()-1),"")</f>
      </c>
      <c r="D102" t="str">
        <f>IFERROR(INDEX(tblDeviceConfig[Installed],ROW()-1),"")</f>
      </c>
      <c r="E102">
        <f>IFERROR(INDEX(tblDeviceConfig[Cybernet Hostname],ROW()-1),"")</f>
      </c>
      <c r="F102" t="str">
        <f>IFERROR(INDEX(tblDeviceConfig[Neuron Hostname],ROW()-1),"")</f>
      </c>
      <c r="G102">
        <f>IFERROR(INDEX(tblDeviceConfig[Software List],ROW()-1),"")</f>
      </c>
      <c r="H102">
        <f>IFERROR(INDEX(tblDeviceConfig[PI_Use_Case],ROW()-1),"")</f>
      </c>
      <c r="I102">
        <f>IFERROR(INDEX(tblDeviceConfig[PI_Result],ROW()-1),"")</f>
      </c>
      <c r="J102">
        <f>IFERROR(INDEX(tblDeviceConfig[PI_Validated_By],ROW()-1),"")</f>
      </c>
      <c r="K102">
        <f>IFERROR(INDEX(tblDeviceConfig[PI_Validated_Date],ROW()-1),"")</f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</c>
      <c r="C103">
        <f>IFERROR(INDEX(tblDeviceConfig[Deployed],ROW()-1),"")</f>
      </c>
      <c r="D103" t="str">
        <f>IFERROR(INDEX(tblDeviceConfig[Installed],ROW()-1),"")</f>
      </c>
      <c r="E103">
        <f>IFERROR(INDEX(tblDeviceConfig[Cybernet Hostname],ROW()-1),"")</f>
      </c>
      <c r="F103" t="str">
        <f>IFERROR(INDEX(tblDeviceConfig[Neuron Hostname],ROW()-1),"")</f>
      </c>
      <c r="G103">
        <f>IFERROR(INDEX(tblDeviceConfig[Software List],ROW()-1),"")</f>
      </c>
      <c r="H103">
        <f>IFERROR(INDEX(tblDeviceConfig[PI_Use_Case],ROW()-1),"")</f>
      </c>
      <c r="I103">
        <f>IFERROR(INDEX(tblDeviceConfig[PI_Result],ROW()-1),"")</f>
      </c>
      <c r="J103">
        <f>IFERROR(INDEX(tblDeviceConfig[PI_Validated_By],ROW()-1),"")</f>
      </c>
      <c r="K103">
        <f>IFERROR(INDEX(tblDeviceConfig[PI_Validated_Date],ROW()-1),"")</f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</c>
      <c r="C104">
        <f>IFERROR(INDEX(tblDeviceConfig[Deployed],ROW()-1),"")</f>
      </c>
      <c r="D104" t="str">
        <f>IFERROR(INDEX(tblDeviceConfig[Installed],ROW()-1),"")</f>
      </c>
      <c r="E104">
        <f>IFERROR(INDEX(tblDeviceConfig[Cybernet Hostname],ROW()-1),"")</f>
      </c>
      <c r="F104" t="str">
        <f>IFERROR(INDEX(tblDeviceConfig[Neuron Hostname],ROW()-1),"")</f>
      </c>
      <c r="G104">
        <f>IFERROR(INDEX(tblDeviceConfig[Software List],ROW()-1),"")</f>
      </c>
      <c r="H104">
        <f>IFERROR(INDEX(tblDeviceConfig[PI_Use_Case],ROW()-1),"")</f>
      </c>
      <c r="I104">
        <f>IFERROR(INDEX(tblDeviceConfig[PI_Result],ROW()-1),"")</f>
      </c>
      <c r="J104">
        <f>IFERROR(INDEX(tblDeviceConfig[PI_Validated_By],ROW()-1),"")</f>
      </c>
      <c r="K104">
        <f>IFERROR(INDEX(tblDeviceConfig[PI_Validated_Date],ROW()-1),"")</f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</c>
      <c r="C105">
        <f>IFERROR(INDEX(tblDeviceConfig[Deployed],ROW()-1),"")</f>
      </c>
      <c r="D105" t="str">
        <f>IFERROR(INDEX(tblDeviceConfig[Installed],ROW()-1),"")</f>
      </c>
      <c r="E105">
        <f>IFERROR(INDEX(tblDeviceConfig[Cybernet Hostname],ROW()-1),"")</f>
      </c>
      <c r="F105" t="str">
        <f>IFERROR(INDEX(tblDeviceConfig[Neuron Hostname],ROW()-1),"")</f>
      </c>
      <c r="G105">
        <f>IFERROR(INDEX(tblDeviceConfig[Software List],ROW()-1),"")</f>
      </c>
      <c r="H105">
        <f>IFERROR(INDEX(tblDeviceConfig[PI_Use_Case],ROW()-1),"")</f>
      </c>
      <c r="I105">
        <f>IFERROR(INDEX(tblDeviceConfig[PI_Result],ROW()-1),"")</f>
      </c>
      <c r="J105">
        <f>IFERROR(INDEX(tblDeviceConfig[PI_Validated_By],ROW()-1),"")</f>
      </c>
      <c r="K105">
        <f>IFERROR(INDEX(tblDeviceConfig[PI_Validated_Date],ROW()-1),"")</f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</c>
      <c r="C106">
        <f>IFERROR(INDEX(tblDeviceConfig[Deployed],ROW()-1),"")</f>
      </c>
      <c r="D106" t="str">
        <f>IFERROR(INDEX(tblDeviceConfig[Installed],ROW()-1),"")</f>
      </c>
      <c r="E106">
        <f>IFERROR(INDEX(tblDeviceConfig[Cybernet Hostname],ROW()-1),"")</f>
      </c>
      <c r="F106" t="str">
        <f>IFERROR(INDEX(tblDeviceConfig[Neuron Hostname],ROW()-1),"")</f>
      </c>
      <c r="G106">
        <f>IFERROR(INDEX(tblDeviceConfig[Software List],ROW()-1),"")</f>
      </c>
      <c r="H106">
        <f>IFERROR(INDEX(tblDeviceConfig[PI_Use_Case],ROW()-1),"")</f>
      </c>
      <c r="I106">
        <f>IFERROR(INDEX(tblDeviceConfig[PI_Result],ROW()-1),"")</f>
      </c>
      <c r="J106">
        <f>IFERROR(INDEX(tblDeviceConfig[PI_Validated_By],ROW()-1),"")</f>
      </c>
      <c r="K106">
        <f>IFERROR(INDEX(tblDeviceConfig[PI_Validated_Date],ROW()-1),"")</f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</c>
      <c r="C107">
        <f>IFERROR(INDEX(tblDeviceConfig[Deployed],ROW()-1),"")</f>
      </c>
      <c r="D107" t="str">
        <f>IFERROR(INDEX(tblDeviceConfig[Installed],ROW()-1),"")</f>
      </c>
      <c r="E107">
        <f>IFERROR(INDEX(tblDeviceConfig[Cybernet Hostname],ROW()-1),"")</f>
      </c>
      <c r="F107" t="str">
        <f>IFERROR(INDEX(tblDeviceConfig[Neuron Hostname],ROW()-1),"")</f>
      </c>
      <c r="G107">
        <f>IFERROR(INDEX(tblDeviceConfig[Software List],ROW()-1),"")</f>
      </c>
      <c r="H107">
        <f>IFERROR(INDEX(tblDeviceConfig[PI_Use_Case],ROW()-1),"")</f>
      </c>
      <c r="I107">
        <f>IFERROR(INDEX(tblDeviceConfig[PI_Result],ROW()-1),"")</f>
      </c>
      <c r="J107">
        <f>IFERROR(INDEX(tblDeviceConfig[PI_Validated_By],ROW()-1),"")</f>
      </c>
      <c r="K107">
        <f>IFERROR(INDEX(tblDeviceConfig[PI_Validated_Date],ROW()-1),"")</f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</c>
      <c r="C108">
        <f>IFERROR(INDEX(tblDeviceConfig[Deployed],ROW()-1),"")</f>
      </c>
      <c r="D108" t="str">
        <f>IFERROR(INDEX(tblDeviceConfig[Installed],ROW()-1),"")</f>
      </c>
      <c r="E108">
        <f>IFERROR(INDEX(tblDeviceConfig[Cybernet Hostname],ROW()-1),"")</f>
      </c>
      <c r="F108" t="str">
        <f>IFERROR(INDEX(tblDeviceConfig[Neuron Hostname],ROW()-1),"")</f>
      </c>
      <c r="G108">
        <f>IFERROR(INDEX(tblDeviceConfig[Software List],ROW()-1),"")</f>
      </c>
      <c r="H108">
        <f>IFERROR(INDEX(tblDeviceConfig[PI_Use_Case],ROW()-1),"")</f>
      </c>
      <c r="I108">
        <f>IFERROR(INDEX(tblDeviceConfig[PI_Result],ROW()-1),"")</f>
      </c>
      <c r="J108">
        <f>IFERROR(INDEX(tblDeviceConfig[PI_Validated_By],ROW()-1),"")</f>
      </c>
      <c r="K108">
        <f>IFERROR(INDEX(tblDeviceConfig[PI_Validated_Date],ROW()-1),"")</f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</c>
      <c r="C109">
        <f>IFERROR(INDEX(tblDeviceConfig[Deployed],ROW()-1),"")</f>
      </c>
      <c r="D109" t="str">
        <f>IFERROR(INDEX(tblDeviceConfig[Installed],ROW()-1),"")</f>
      </c>
      <c r="E109">
        <f>IFERROR(INDEX(tblDeviceConfig[Cybernet Hostname],ROW()-1),"")</f>
      </c>
      <c r="F109" t="str">
        <f>IFERROR(INDEX(tblDeviceConfig[Neuron Hostname],ROW()-1),"")</f>
      </c>
      <c r="G109">
        <f>IFERROR(INDEX(tblDeviceConfig[Software List],ROW()-1),"")</f>
      </c>
      <c r="H109">
        <f>IFERROR(INDEX(tblDeviceConfig[PI_Use_Case],ROW()-1),"")</f>
      </c>
      <c r="I109">
        <f>IFERROR(INDEX(tblDeviceConfig[PI_Result],ROW()-1),"")</f>
      </c>
      <c r="J109">
        <f>IFERROR(INDEX(tblDeviceConfig[PI_Validated_By],ROW()-1),"")</f>
      </c>
      <c r="K109">
        <f>IFERROR(INDEX(tblDeviceConfig[PI_Validated_Date],ROW()-1),"")</f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</c>
      <c r="C110">
        <f>IFERROR(INDEX(tblDeviceConfig[Deployed],ROW()-1),"")</f>
      </c>
      <c r="D110" t="str">
        <f>IFERROR(INDEX(tblDeviceConfig[Installed],ROW()-1),"")</f>
      </c>
      <c r="E110">
        <f>IFERROR(INDEX(tblDeviceConfig[Cybernet Hostname],ROW()-1),"")</f>
      </c>
      <c r="F110" t="str">
        <f>IFERROR(INDEX(tblDeviceConfig[Neuron Hostname],ROW()-1),"")</f>
      </c>
      <c r="G110">
        <f>IFERROR(INDEX(tblDeviceConfig[Software List],ROW()-1),"")</f>
      </c>
      <c r="H110">
        <f>IFERROR(INDEX(tblDeviceConfig[PI_Use_Case],ROW()-1),"")</f>
      </c>
      <c r="I110">
        <f>IFERROR(INDEX(tblDeviceConfig[PI_Result],ROW()-1),"")</f>
      </c>
      <c r="J110">
        <f>IFERROR(INDEX(tblDeviceConfig[PI_Validated_By],ROW()-1),"")</f>
      </c>
      <c r="K110">
        <f>IFERROR(INDEX(tblDeviceConfig[PI_Validated_Date],ROW()-1),"")</f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</c>
      <c r="C111">
        <f>IFERROR(INDEX(tblDeviceConfig[Deployed],ROW()-1),"")</f>
      </c>
      <c r="D111" t="str">
        <f>IFERROR(INDEX(tblDeviceConfig[Installed],ROW()-1),"")</f>
      </c>
      <c r="E111">
        <f>IFERROR(INDEX(tblDeviceConfig[Cybernet Hostname],ROW()-1),"")</f>
      </c>
      <c r="F111" t="str">
        <f>IFERROR(INDEX(tblDeviceConfig[Neuron Hostname],ROW()-1),"")</f>
      </c>
      <c r="G111">
        <f>IFERROR(INDEX(tblDeviceConfig[Software List],ROW()-1),"")</f>
      </c>
      <c r="H111">
        <f>IFERROR(INDEX(tblDeviceConfig[PI_Use_Case],ROW()-1),"")</f>
      </c>
      <c r="I111">
        <f>IFERROR(INDEX(tblDeviceConfig[PI_Result],ROW()-1),"")</f>
      </c>
      <c r="J111">
        <f>IFERROR(INDEX(tblDeviceConfig[PI_Validated_By],ROW()-1),"")</f>
      </c>
      <c r="K111">
        <f>IFERROR(INDEX(tblDeviceConfig[PI_Validated_Date],ROW()-1),"")</f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</c>
      <c r="C112">
        <f>IFERROR(INDEX(tblDeviceConfig[Deployed],ROW()-1),"")</f>
      </c>
      <c r="D112" t="str">
        <f>IFERROR(INDEX(tblDeviceConfig[Installed],ROW()-1),"")</f>
      </c>
      <c r="E112">
        <f>IFERROR(INDEX(tblDeviceConfig[Cybernet Hostname],ROW()-1),"")</f>
      </c>
      <c r="F112" t="str">
        <f>IFERROR(INDEX(tblDeviceConfig[Neuron Hostname],ROW()-1),"")</f>
      </c>
      <c r="G112">
        <f>IFERROR(INDEX(tblDeviceConfig[Software List],ROW()-1),"")</f>
      </c>
      <c r="H112">
        <f>IFERROR(INDEX(tblDeviceConfig[PI_Use_Case],ROW()-1),"")</f>
      </c>
      <c r="I112">
        <f>IFERROR(INDEX(tblDeviceConfig[PI_Result],ROW()-1),"")</f>
      </c>
      <c r="J112">
        <f>IFERROR(INDEX(tblDeviceConfig[PI_Validated_By],ROW()-1),"")</f>
      </c>
      <c r="K112">
        <f>IFERROR(INDEX(tblDeviceConfig[PI_Validated_Date],ROW()-1),"")</f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</c>
      <c r="C113">
        <f>IFERROR(INDEX(tblDeviceConfig[Deployed],ROW()-1),"")</f>
      </c>
      <c r="D113" t="str">
        <f>IFERROR(INDEX(tblDeviceConfig[Installed],ROW()-1),"")</f>
      </c>
      <c r="E113">
        <f>IFERROR(INDEX(tblDeviceConfig[Cybernet Hostname],ROW()-1),"")</f>
      </c>
      <c r="F113" t="str">
        <f>IFERROR(INDEX(tblDeviceConfig[Neuron Hostname],ROW()-1),"")</f>
      </c>
      <c r="G113">
        <f>IFERROR(INDEX(tblDeviceConfig[Software List],ROW()-1),"")</f>
      </c>
      <c r="H113">
        <f>IFERROR(INDEX(tblDeviceConfig[PI_Use_Case],ROW()-1),"")</f>
      </c>
      <c r="I113">
        <f>IFERROR(INDEX(tblDeviceConfig[PI_Result],ROW()-1),"")</f>
      </c>
      <c r="J113">
        <f>IFERROR(INDEX(tblDeviceConfig[PI_Validated_By],ROW()-1),"")</f>
      </c>
      <c r="K113">
        <f>IFERROR(INDEX(tblDeviceConfig[PI_Validated_Date],ROW()-1),"")</f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</c>
      <c r="C114">
        <f>IFERROR(INDEX(tblDeviceConfig[Deployed],ROW()-1),"")</f>
      </c>
      <c r="D114" t="str">
        <f>IFERROR(INDEX(tblDeviceConfig[Installed],ROW()-1),"")</f>
      </c>
      <c r="E114">
        <f>IFERROR(INDEX(tblDeviceConfig[Cybernet Hostname],ROW()-1),"")</f>
      </c>
      <c r="F114" t="str">
        <f>IFERROR(INDEX(tblDeviceConfig[Neuron Hostname],ROW()-1),"")</f>
      </c>
      <c r="G114">
        <f>IFERROR(INDEX(tblDeviceConfig[Software List],ROW()-1),"")</f>
      </c>
      <c r="H114">
        <f>IFERROR(INDEX(tblDeviceConfig[PI_Use_Case],ROW()-1),"")</f>
      </c>
      <c r="I114">
        <f>IFERROR(INDEX(tblDeviceConfig[PI_Result],ROW()-1),"")</f>
      </c>
      <c r="J114">
        <f>IFERROR(INDEX(tblDeviceConfig[PI_Validated_By],ROW()-1),"")</f>
      </c>
      <c r="K114">
        <f>IFERROR(INDEX(tblDeviceConfig[PI_Validated_Date],ROW()-1),"")</f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</c>
      <c r="C115">
        <f>IFERROR(INDEX(tblDeviceConfig[Deployed],ROW()-1),"")</f>
      </c>
      <c r="D115" t="str">
        <f>IFERROR(INDEX(tblDeviceConfig[Installed],ROW()-1),"")</f>
      </c>
      <c r="E115">
        <f>IFERROR(INDEX(tblDeviceConfig[Cybernet Hostname],ROW()-1),"")</f>
      </c>
      <c r="F115" t="str">
        <f>IFERROR(INDEX(tblDeviceConfig[Neuron Hostname],ROW()-1),"")</f>
      </c>
      <c r="G115">
        <f>IFERROR(INDEX(tblDeviceConfig[Software List],ROW()-1),"")</f>
      </c>
      <c r="H115">
        <f>IFERROR(INDEX(tblDeviceConfig[PI_Use_Case],ROW()-1),"")</f>
      </c>
      <c r="I115">
        <f>IFERROR(INDEX(tblDeviceConfig[PI_Result],ROW()-1),"")</f>
      </c>
      <c r="J115">
        <f>IFERROR(INDEX(tblDeviceConfig[PI_Validated_By],ROW()-1),"")</f>
      </c>
      <c r="K115">
        <f>IFERROR(INDEX(tblDeviceConfig[PI_Validated_Date],ROW()-1),"")</f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</c>
      <c r="C116">
        <f>IFERROR(INDEX(tblDeviceConfig[Deployed],ROW()-1),"")</f>
      </c>
      <c r="D116" t="str">
        <f>IFERROR(INDEX(tblDeviceConfig[Installed],ROW()-1),"")</f>
      </c>
      <c r="E116">
        <f>IFERROR(INDEX(tblDeviceConfig[Cybernet Hostname],ROW()-1),"")</f>
      </c>
      <c r="F116" t="str">
        <f>IFERROR(INDEX(tblDeviceConfig[Neuron Hostname],ROW()-1),"")</f>
      </c>
      <c r="G116">
        <f>IFERROR(INDEX(tblDeviceConfig[Software List],ROW()-1),"")</f>
      </c>
      <c r="H116">
        <f>IFERROR(INDEX(tblDeviceConfig[PI_Use_Case],ROW()-1),"")</f>
      </c>
      <c r="I116">
        <f>IFERROR(INDEX(tblDeviceConfig[PI_Result],ROW()-1),"")</f>
      </c>
      <c r="J116">
        <f>IFERROR(INDEX(tblDeviceConfig[PI_Validated_By],ROW()-1),"")</f>
      </c>
      <c r="K116">
        <f>IFERROR(INDEX(tblDeviceConfig[PI_Validated_Date],ROW()-1),"")</f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</c>
      <c r="C117">
        <f>IFERROR(INDEX(tblDeviceConfig[Deployed],ROW()-1),"")</f>
      </c>
      <c r="D117" t="str">
        <f>IFERROR(INDEX(tblDeviceConfig[Installed],ROW()-1),"")</f>
      </c>
      <c r="E117">
        <f>IFERROR(INDEX(tblDeviceConfig[Cybernet Hostname],ROW()-1),"")</f>
      </c>
      <c r="F117" t="str">
        <f>IFERROR(INDEX(tblDeviceConfig[Neuron Hostname],ROW()-1),"")</f>
      </c>
      <c r="G117">
        <f>IFERROR(INDEX(tblDeviceConfig[Software List],ROW()-1),"")</f>
      </c>
      <c r="H117">
        <f>IFERROR(INDEX(tblDeviceConfig[PI_Use_Case],ROW()-1),"")</f>
      </c>
      <c r="I117">
        <f>IFERROR(INDEX(tblDeviceConfig[PI_Result],ROW()-1),"")</f>
      </c>
      <c r="J117">
        <f>IFERROR(INDEX(tblDeviceConfig[PI_Validated_By],ROW()-1),"")</f>
      </c>
      <c r="K117">
        <f>IFERROR(INDEX(tblDeviceConfig[PI_Validated_Date],ROW()-1),"")</f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</c>
      <c r="C118">
        <f>IFERROR(INDEX(tblDeviceConfig[Deployed],ROW()-1),"")</f>
      </c>
      <c r="D118" t="str">
        <f>IFERROR(INDEX(tblDeviceConfig[Installed],ROW()-1),"")</f>
      </c>
      <c r="E118">
        <f>IFERROR(INDEX(tblDeviceConfig[Cybernet Hostname],ROW()-1),"")</f>
      </c>
      <c r="F118" t="str">
        <f>IFERROR(INDEX(tblDeviceConfig[Neuron Hostname],ROW()-1),"")</f>
      </c>
      <c r="G118">
        <f>IFERROR(INDEX(tblDeviceConfig[Software List],ROW()-1),"")</f>
      </c>
      <c r="H118">
        <f>IFERROR(INDEX(tblDeviceConfig[PI_Use_Case],ROW()-1),"")</f>
      </c>
      <c r="I118">
        <f>IFERROR(INDEX(tblDeviceConfig[PI_Result],ROW()-1),"")</f>
      </c>
      <c r="J118">
        <f>IFERROR(INDEX(tblDeviceConfig[PI_Validated_By],ROW()-1),"")</f>
      </c>
      <c r="K118">
        <f>IFERROR(INDEX(tblDeviceConfig[PI_Validated_Date],ROW()-1),"")</f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</c>
      <c r="C119">
        <f>IFERROR(INDEX(tblDeviceConfig[Deployed],ROW()-1),"")</f>
      </c>
      <c r="D119" t="str">
        <f>IFERROR(INDEX(tblDeviceConfig[Installed],ROW()-1),"")</f>
      </c>
      <c r="E119">
        <f>IFERROR(INDEX(tblDeviceConfig[Cybernet Hostname],ROW()-1),"")</f>
      </c>
      <c r="F119" t="str">
        <f>IFERROR(INDEX(tblDeviceConfig[Neuron Hostname],ROW()-1),"")</f>
      </c>
      <c r="G119">
        <f>IFERROR(INDEX(tblDeviceConfig[Software List],ROW()-1),"")</f>
      </c>
      <c r="H119">
        <f>IFERROR(INDEX(tblDeviceConfig[PI_Use_Case],ROW()-1),"")</f>
      </c>
      <c r="I119">
        <f>IFERROR(INDEX(tblDeviceConfig[PI_Result],ROW()-1),"")</f>
      </c>
      <c r="J119">
        <f>IFERROR(INDEX(tblDeviceConfig[PI_Validated_By],ROW()-1),"")</f>
      </c>
      <c r="K119">
        <f>IFERROR(INDEX(tblDeviceConfig[PI_Validated_Date],ROW()-1),"")</f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</c>
      <c r="C120">
        <f>IFERROR(INDEX(tblDeviceConfig[Deployed],ROW()-1),"")</f>
      </c>
      <c r="D120" t="str">
        <f>IFERROR(INDEX(tblDeviceConfig[Installed],ROW()-1),"")</f>
      </c>
      <c r="E120">
        <f>IFERROR(INDEX(tblDeviceConfig[Cybernet Hostname],ROW()-1),"")</f>
      </c>
      <c r="F120" t="str">
        <f>IFERROR(INDEX(tblDeviceConfig[Neuron Hostname],ROW()-1),"")</f>
      </c>
      <c r="G120">
        <f>IFERROR(INDEX(tblDeviceConfig[Software List],ROW()-1),"")</f>
      </c>
      <c r="H120">
        <f>IFERROR(INDEX(tblDeviceConfig[PI_Use_Case],ROW()-1),"")</f>
      </c>
      <c r="I120">
        <f>IFERROR(INDEX(tblDeviceConfig[PI_Result],ROW()-1),"")</f>
      </c>
      <c r="J120">
        <f>IFERROR(INDEX(tblDeviceConfig[PI_Validated_By],ROW()-1),"")</f>
      </c>
      <c r="K120">
        <f>IFERROR(INDEX(tblDeviceConfig[PI_Validated_Date],ROW()-1),"")</f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</c>
      <c r="C121">
        <f>IFERROR(INDEX(tblDeviceConfig[Deployed],ROW()-1),"")</f>
      </c>
      <c r="D121" t="str">
        <f>IFERROR(INDEX(tblDeviceConfig[Installed],ROW()-1),"")</f>
      </c>
      <c r="E121">
        <f>IFERROR(INDEX(tblDeviceConfig[Cybernet Hostname],ROW()-1),"")</f>
      </c>
      <c r="F121" t="str">
        <f>IFERROR(INDEX(tblDeviceConfig[Neuron Hostname],ROW()-1),"")</f>
      </c>
      <c r="G121">
        <f>IFERROR(INDEX(tblDeviceConfig[Software List],ROW()-1),"")</f>
      </c>
      <c r="H121">
        <f>IFERROR(INDEX(tblDeviceConfig[PI_Use_Case],ROW()-1),"")</f>
      </c>
      <c r="I121">
        <f>IFERROR(INDEX(tblDeviceConfig[PI_Result],ROW()-1),"")</f>
      </c>
      <c r="J121">
        <f>IFERROR(INDEX(tblDeviceConfig[PI_Validated_By],ROW()-1),"")</f>
      </c>
      <c r="K121">
        <f>IFERROR(INDEX(tblDeviceConfig[PI_Validated_Date],ROW()-1),"")</f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</c>
      <c r="C122">
        <f>IFERROR(INDEX(tblDeviceConfig[Deployed],ROW()-1),"")</f>
      </c>
      <c r="D122" t="str">
        <f>IFERROR(INDEX(tblDeviceConfig[Installed],ROW()-1),"")</f>
      </c>
      <c r="E122">
        <f>IFERROR(INDEX(tblDeviceConfig[Cybernet Hostname],ROW()-1),"")</f>
      </c>
      <c r="F122" t="str">
        <f>IFERROR(INDEX(tblDeviceConfig[Neuron Hostname],ROW()-1),"")</f>
      </c>
      <c r="G122">
        <f>IFERROR(INDEX(tblDeviceConfig[Software List],ROW()-1),"")</f>
      </c>
      <c r="H122">
        <f>IFERROR(INDEX(tblDeviceConfig[PI_Use_Case],ROW()-1),"")</f>
      </c>
      <c r="I122">
        <f>IFERROR(INDEX(tblDeviceConfig[PI_Result],ROW()-1),"")</f>
      </c>
      <c r="J122">
        <f>IFERROR(INDEX(tblDeviceConfig[PI_Validated_By],ROW()-1),"")</f>
      </c>
      <c r="K122">
        <f>IFERROR(INDEX(tblDeviceConfig[PI_Validated_Date],ROW()-1),"")</f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</c>
      <c r="C123">
        <f>IFERROR(INDEX(tblDeviceConfig[Deployed],ROW()-1),"")</f>
      </c>
      <c r="D123" t="str">
        <f>IFERROR(INDEX(tblDeviceConfig[Installed],ROW()-1),"")</f>
      </c>
      <c r="E123">
        <f>IFERROR(INDEX(tblDeviceConfig[Cybernet Hostname],ROW()-1),"")</f>
      </c>
      <c r="F123" t="str">
        <f>IFERROR(INDEX(tblDeviceConfig[Neuron Hostname],ROW()-1),"")</f>
      </c>
      <c r="G123">
        <f>IFERROR(INDEX(tblDeviceConfig[Software List],ROW()-1),"")</f>
      </c>
      <c r="H123">
        <f>IFERROR(INDEX(tblDeviceConfig[PI_Use_Case],ROW()-1),"")</f>
      </c>
      <c r="I123">
        <f>IFERROR(INDEX(tblDeviceConfig[PI_Result],ROW()-1),"")</f>
      </c>
      <c r="J123">
        <f>IFERROR(INDEX(tblDeviceConfig[PI_Validated_By],ROW()-1),"")</f>
      </c>
      <c r="K123">
        <f>IFERROR(INDEX(tblDeviceConfig[PI_Validated_Date],ROW()-1),"")</f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</c>
      <c r="C124">
        <f>IFERROR(INDEX(tblDeviceConfig[Deployed],ROW()-1),"")</f>
      </c>
      <c r="D124" t="str">
        <f>IFERROR(INDEX(tblDeviceConfig[Installed],ROW()-1),"")</f>
      </c>
      <c r="E124">
        <f>IFERROR(INDEX(tblDeviceConfig[Cybernet Hostname],ROW()-1),"")</f>
      </c>
      <c r="F124" t="str">
        <f>IFERROR(INDEX(tblDeviceConfig[Neuron Hostname],ROW()-1),"")</f>
      </c>
      <c r="G124">
        <f>IFERROR(INDEX(tblDeviceConfig[Software List],ROW()-1),"")</f>
      </c>
      <c r="H124">
        <f>IFERROR(INDEX(tblDeviceConfig[PI_Use_Case],ROW()-1),"")</f>
      </c>
      <c r="I124">
        <f>IFERROR(INDEX(tblDeviceConfig[PI_Result],ROW()-1),"")</f>
      </c>
      <c r="J124">
        <f>IFERROR(INDEX(tblDeviceConfig[PI_Validated_By],ROW()-1),"")</f>
      </c>
      <c r="K124">
        <f>IFERROR(INDEX(tblDeviceConfig[PI_Validated_Date],ROW()-1),"")</f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</c>
      <c r="C125">
        <f>IFERROR(INDEX(tblDeviceConfig[Deployed],ROW()-1),"")</f>
      </c>
      <c r="D125" t="str">
        <f>IFERROR(INDEX(tblDeviceConfig[Installed],ROW()-1),"")</f>
      </c>
      <c r="E125">
        <f>IFERROR(INDEX(tblDeviceConfig[Cybernet Hostname],ROW()-1),"")</f>
      </c>
      <c r="F125" t="str">
        <f>IFERROR(INDEX(tblDeviceConfig[Neuron Hostname],ROW()-1),"")</f>
      </c>
      <c r="G125">
        <f>IFERROR(INDEX(tblDeviceConfig[Software List],ROW()-1),"")</f>
      </c>
      <c r="H125">
        <f>IFERROR(INDEX(tblDeviceConfig[PI_Use_Case],ROW()-1),"")</f>
      </c>
      <c r="I125">
        <f>IFERROR(INDEX(tblDeviceConfig[PI_Result],ROW()-1),"")</f>
      </c>
      <c r="J125">
        <f>IFERROR(INDEX(tblDeviceConfig[PI_Validated_By],ROW()-1),"")</f>
      </c>
      <c r="K125">
        <f>IFERROR(INDEX(tblDeviceConfig[PI_Validated_Date],ROW()-1),"")</f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</c>
      <c r="C126">
        <f>IFERROR(INDEX(tblDeviceConfig[Deployed],ROW()-1),"")</f>
      </c>
      <c r="D126" t="str">
        <f>IFERROR(INDEX(tblDeviceConfig[Installed],ROW()-1),"")</f>
      </c>
      <c r="E126">
        <f>IFERROR(INDEX(tblDeviceConfig[Cybernet Hostname],ROW()-1),"")</f>
      </c>
      <c r="F126" t="str">
        <f>IFERROR(INDEX(tblDeviceConfig[Neuron Hostname],ROW()-1),"")</f>
      </c>
      <c r="G126">
        <f>IFERROR(INDEX(tblDeviceConfig[Software List],ROW()-1),"")</f>
      </c>
      <c r="H126">
        <f>IFERROR(INDEX(tblDeviceConfig[PI_Use_Case],ROW()-1),"")</f>
      </c>
      <c r="I126">
        <f>IFERROR(INDEX(tblDeviceConfig[PI_Result],ROW()-1),"")</f>
      </c>
      <c r="J126">
        <f>IFERROR(INDEX(tblDeviceConfig[PI_Validated_By],ROW()-1),"")</f>
      </c>
      <c r="K126">
        <f>IFERROR(INDEX(tblDeviceConfig[PI_Validated_Date],ROW()-1),"")</f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</c>
      <c r="C127" t="str">
        <f>IFERROR(INDEX(tblDeviceConfig[Deployed],ROW()-1),"")</f>
      </c>
      <c r="D127" t="str">
        <f>IFERROR(INDEX(tblDeviceConfig[Installed],ROW()-1),"")</f>
      </c>
      <c r="E127">
        <f>IFERROR(INDEX(tblDeviceConfig[Cybernet Hostname],ROW()-1),"")</f>
      </c>
      <c r="F127" t="str">
        <f>IFERROR(INDEX(tblDeviceConfig[Neuron Hostname],ROW()-1),"")</f>
      </c>
      <c r="G127">
        <f>IFERROR(INDEX(tblDeviceConfig[Software List],ROW()-1),"")</f>
      </c>
      <c r="H127">
        <f>IFERROR(INDEX(tblDeviceConfig[PI_Use_Case],ROW()-1),"")</f>
      </c>
      <c r="I127">
        <f>IFERROR(INDEX(tblDeviceConfig[PI_Result],ROW()-1),"")</f>
      </c>
      <c r="J127">
        <f>IFERROR(INDEX(tblDeviceConfig[PI_Validated_By],ROW()-1),"")</f>
      </c>
      <c r="K127">
        <f>IFERROR(INDEX(tblDeviceConfig[PI_Validated_Date],ROW()-1),"")</f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</c>
      <c r="C128">
        <f>IFERROR(INDEX(tblDeviceConfig[Deployed],ROW()-1),"")</f>
      </c>
      <c r="D128" t="str">
        <f>IFERROR(INDEX(tblDeviceConfig[Installed],ROW()-1),"")</f>
      </c>
      <c r="E128">
        <f>IFERROR(INDEX(tblDeviceConfig[Cybernet Hostname],ROW()-1),"")</f>
      </c>
      <c r="F128" t="str">
        <f>IFERROR(INDEX(tblDeviceConfig[Neuron Hostname],ROW()-1),"")</f>
      </c>
      <c r="G128">
        <f>IFERROR(INDEX(tblDeviceConfig[Software List],ROW()-1),"")</f>
      </c>
      <c r="H128">
        <f>IFERROR(INDEX(tblDeviceConfig[PI_Use_Case],ROW()-1),"")</f>
      </c>
      <c r="I128">
        <f>IFERROR(INDEX(tblDeviceConfig[PI_Result],ROW()-1),"")</f>
      </c>
      <c r="J128">
        <f>IFERROR(INDEX(tblDeviceConfig[PI_Validated_By],ROW()-1),"")</f>
      </c>
      <c r="K128">
        <f>IFERROR(INDEX(tblDeviceConfig[PI_Validated_Date],ROW()-1),"")</f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</c>
      <c r="C129" t="str">
        <f>IFERROR(INDEX(tblDeviceConfig[Deployed],ROW()-1),"")</f>
      </c>
      <c r="D129" t="str">
        <f>IFERROR(INDEX(tblDeviceConfig[Installed],ROW()-1),"")</f>
      </c>
      <c r="E129">
        <f>IFERROR(INDEX(tblDeviceConfig[Cybernet Hostname],ROW()-1),"")</f>
      </c>
      <c r="F129" t="str">
        <f>IFERROR(INDEX(tblDeviceConfig[Neuron Hostname],ROW()-1),"")</f>
      </c>
      <c r="G129">
        <f>IFERROR(INDEX(tblDeviceConfig[Software List],ROW()-1),"")</f>
      </c>
      <c r="H129">
        <f>IFERROR(INDEX(tblDeviceConfig[PI_Use_Case],ROW()-1),"")</f>
      </c>
      <c r="I129">
        <f>IFERROR(INDEX(tblDeviceConfig[PI_Result],ROW()-1),"")</f>
      </c>
      <c r="J129">
        <f>IFERROR(INDEX(tblDeviceConfig[PI_Validated_By],ROW()-1),"")</f>
      </c>
      <c r="K129">
        <f>IFERROR(INDEX(tblDeviceConfig[PI_Validated_Date],ROW()-1),"")</f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</c>
      <c r="C130">
        <f>IFERROR(INDEX(tblDeviceConfig[Deployed],ROW()-1),"")</f>
      </c>
      <c r="D130" t="str">
        <f>IFERROR(INDEX(tblDeviceConfig[Installed],ROW()-1),"")</f>
      </c>
      <c r="E130">
        <f>IFERROR(INDEX(tblDeviceConfig[Cybernet Hostname],ROW()-1),"")</f>
      </c>
      <c r="F130" t="str">
        <f>IFERROR(INDEX(tblDeviceConfig[Neuron Hostname],ROW()-1),"")</f>
      </c>
      <c r="G130">
        <f>IFERROR(INDEX(tblDeviceConfig[Software List],ROW()-1),"")</f>
      </c>
      <c r="H130">
        <f>IFERROR(INDEX(tblDeviceConfig[PI_Use_Case],ROW()-1),"")</f>
      </c>
      <c r="I130">
        <f>IFERROR(INDEX(tblDeviceConfig[PI_Result],ROW()-1),"")</f>
      </c>
      <c r="J130">
        <f>IFERROR(INDEX(tblDeviceConfig[PI_Validated_By],ROW()-1),"")</f>
      </c>
      <c r="K130">
        <f>IFERROR(INDEX(tblDeviceConfig[PI_Validated_Date],ROW()-1),"")</f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</c>
      <c r="C131">
        <f>IFERROR(INDEX(tblDeviceConfig[Deployed],ROW()-1),"")</f>
      </c>
      <c r="D131" t="str">
        <f>IFERROR(INDEX(tblDeviceConfig[Installed],ROW()-1),"")</f>
      </c>
      <c r="E131">
        <f>IFERROR(INDEX(tblDeviceConfig[Cybernet Hostname],ROW()-1),"")</f>
      </c>
      <c r="F131" t="str">
        <f>IFERROR(INDEX(tblDeviceConfig[Neuron Hostname],ROW()-1),"")</f>
      </c>
      <c r="G131">
        <f>IFERROR(INDEX(tblDeviceConfig[Software List],ROW()-1),"")</f>
      </c>
      <c r="H131">
        <f>IFERROR(INDEX(tblDeviceConfig[PI_Use_Case],ROW()-1),"")</f>
      </c>
      <c r="I131">
        <f>IFERROR(INDEX(tblDeviceConfig[PI_Result],ROW()-1),"")</f>
      </c>
      <c r="J131">
        <f>IFERROR(INDEX(tblDeviceConfig[PI_Validated_By],ROW()-1),"")</f>
      </c>
      <c r="K131">
        <f>IFERROR(INDEX(tblDeviceConfig[PI_Validated_Date],ROW()-1),"")</f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</c>
      <c r="C132">
        <f>IFERROR(INDEX(tblDeviceConfig[Deployed],ROW()-1),"")</f>
      </c>
      <c r="D132" t="str">
        <f>IFERROR(INDEX(tblDeviceConfig[Installed],ROW()-1),"")</f>
      </c>
      <c r="E132">
        <f>IFERROR(INDEX(tblDeviceConfig[Cybernet Hostname],ROW()-1),"")</f>
      </c>
      <c r="F132" t="str">
        <f>IFERROR(INDEX(tblDeviceConfig[Neuron Hostname],ROW()-1),"")</f>
      </c>
      <c r="G132">
        <f>IFERROR(INDEX(tblDeviceConfig[Software List],ROW()-1),"")</f>
      </c>
      <c r="H132">
        <f>IFERROR(INDEX(tblDeviceConfig[PI_Use_Case],ROW()-1),"")</f>
      </c>
      <c r="I132">
        <f>IFERROR(INDEX(tblDeviceConfig[PI_Result],ROW()-1),"")</f>
      </c>
      <c r="J132">
        <f>IFERROR(INDEX(tblDeviceConfig[PI_Validated_By],ROW()-1),"")</f>
      </c>
      <c r="K132">
        <f>IFERROR(INDEX(tblDeviceConfig[PI_Validated_Date],ROW()-1),"")</f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</c>
      <c r="C133">
        <f>IFERROR(INDEX(tblDeviceConfig[Deployed],ROW()-1),"")</f>
      </c>
      <c r="D133" t="str">
        <f>IFERROR(INDEX(tblDeviceConfig[Installed],ROW()-1),"")</f>
      </c>
      <c r="E133">
        <f>IFERROR(INDEX(tblDeviceConfig[Cybernet Hostname],ROW()-1),"")</f>
      </c>
      <c r="F133" t="str">
        <f>IFERROR(INDEX(tblDeviceConfig[Neuron Hostname],ROW()-1),"")</f>
      </c>
      <c r="G133">
        <f>IFERROR(INDEX(tblDeviceConfig[Software List],ROW()-1),"")</f>
      </c>
      <c r="H133">
        <f>IFERROR(INDEX(tblDeviceConfig[PI_Use_Case],ROW()-1),"")</f>
      </c>
      <c r="I133">
        <f>IFERROR(INDEX(tblDeviceConfig[PI_Result],ROW()-1),"")</f>
      </c>
      <c r="J133">
        <f>IFERROR(INDEX(tblDeviceConfig[PI_Validated_By],ROW()-1),"")</f>
      </c>
      <c r="K133">
        <f>IFERROR(INDEX(tblDeviceConfig[PI_Validated_Date],ROW()-1),"")</f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</c>
      <c r="C134">
        <f>IFERROR(INDEX(tblDeviceConfig[Deployed],ROW()-1),"")</f>
      </c>
      <c r="D134" t="str">
        <f>IFERROR(INDEX(tblDeviceConfig[Installed],ROW()-1),"")</f>
      </c>
      <c r="E134">
        <f>IFERROR(INDEX(tblDeviceConfig[Cybernet Hostname],ROW()-1),"")</f>
      </c>
      <c r="F134" t="str">
        <f>IFERROR(INDEX(tblDeviceConfig[Neuron Hostname],ROW()-1),"")</f>
      </c>
      <c r="G134">
        <f>IFERROR(INDEX(tblDeviceConfig[Software List],ROW()-1),"")</f>
      </c>
      <c r="H134">
        <f>IFERROR(INDEX(tblDeviceConfig[PI_Use_Case],ROW()-1),"")</f>
      </c>
      <c r="I134">
        <f>IFERROR(INDEX(tblDeviceConfig[PI_Result],ROW()-1),"")</f>
      </c>
      <c r="J134">
        <f>IFERROR(INDEX(tblDeviceConfig[PI_Validated_By],ROW()-1),"")</f>
      </c>
      <c r="K134">
        <f>IFERROR(INDEX(tblDeviceConfig[PI_Validated_Date],ROW()-1),"")</f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</c>
      <c r="C135">
        <f>IFERROR(INDEX(tblDeviceConfig[Deployed],ROW()-1),"")</f>
      </c>
      <c r="D135" t="str">
        <f>IFERROR(INDEX(tblDeviceConfig[Installed],ROW()-1),"")</f>
      </c>
      <c r="E135">
        <f>IFERROR(INDEX(tblDeviceConfig[Cybernet Hostname],ROW()-1),"")</f>
      </c>
      <c r="F135" t="str">
        <f>IFERROR(INDEX(tblDeviceConfig[Neuron Hostname],ROW()-1),"")</f>
      </c>
      <c r="G135">
        <f>IFERROR(INDEX(tblDeviceConfig[Software List],ROW()-1),"")</f>
      </c>
      <c r="H135">
        <f>IFERROR(INDEX(tblDeviceConfig[PI_Use_Case],ROW()-1),"")</f>
      </c>
      <c r="I135">
        <f>IFERROR(INDEX(tblDeviceConfig[PI_Result],ROW()-1),"")</f>
      </c>
      <c r="J135">
        <f>IFERROR(INDEX(tblDeviceConfig[PI_Validated_By],ROW()-1),"")</f>
      </c>
      <c r="K135">
        <f>IFERROR(INDEX(tblDeviceConfig[PI_Validated_Date],ROW()-1),"")</f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</c>
      <c r="C136">
        <f>IFERROR(INDEX(tblDeviceConfig[Deployed],ROW()-1),"")</f>
      </c>
      <c r="D136" t="str">
        <f>IFERROR(INDEX(tblDeviceConfig[Installed],ROW()-1),"")</f>
      </c>
      <c r="E136">
        <f>IFERROR(INDEX(tblDeviceConfig[Cybernet Hostname],ROW()-1),"")</f>
      </c>
      <c r="F136" t="str">
        <f>IFERROR(INDEX(tblDeviceConfig[Neuron Hostname],ROW()-1),"")</f>
      </c>
      <c r="G136">
        <f>IFERROR(INDEX(tblDeviceConfig[Software List],ROW()-1),"")</f>
      </c>
      <c r="H136">
        <f>IFERROR(INDEX(tblDeviceConfig[PI_Use_Case],ROW()-1),"")</f>
      </c>
      <c r="I136">
        <f>IFERROR(INDEX(tblDeviceConfig[PI_Result],ROW()-1),"")</f>
      </c>
      <c r="J136">
        <f>IFERROR(INDEX(tblDeviceConfig[PI_Validated_By],ROW()-1),"")</f>
      </c>
      <c r="K136">
        <f>IFERROR(INDEX(tblDeviceConfig[PI_Validated_Date],ROW()-1),"")</f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</c>
      <c r="C137">
        <f>IFERROR(INDEX(tblDeviceConfig[Deployed],ROW()-1),"")</f>
      </c>
      <c r="D137" t="str">
        <f>IFERROR(INDEX(tblDeviceConfig[Installed],ROW()-1),"")</f>
      </c>
      <c r="E137">
        <f>IFERROR(INDEX(tblDeviceConfig[Cybernet Hostname],ROW()-1),"")</f>
      </c>
      <c r="F137" t="str">
        <f>IFERROR(INDEX(tblDeviceConfig[Neuron Hostname],ROW()-1),"")</f>
      </c>
      <c r="G137">
        <f>IFERROR(INDEX(tblDeviceConfig[Software List],ROW()-1),"")</f>
      </c>
      <c r="H137">
        <f>IFERROR(INDEX(tblDeviceConfig[PI_Use_Case],ROW()-1),"")</f>
      </c>
      <c r="I137">
        <f>IFERROR(INDEX(tblDeviceConfig[PI_Result],ROW()-1),"")</f>
      </c>
      <c r="J137">
        <f>IFERROR(INDEX(tblDeviceConfig[PI_Validated_By],ROW()-1),"")</f>
      </c>
      <c r="K137">
        <f>IFERROR(INDEX(tblDeviceConfig[PI_Validated_Date],ROW()-1),"")</f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</c>
      <c r="C138">
        <f>IFERROR(INDEX(tblDeviceConfig[Deployed],ROW()-1),"")</f>
      </c>
      <c r="D138" t="str">
        <f>IFERROR(INDEX(tblDeviceConfig[Installed],ROW()-1),"")</f>
      </c>
      <c r="E138">
        <f>IFERROR(INDEX(tblDeviceConfig[Cybernet Hostname],ROW()-1),"")</f>
      </c>
      <c r="F138" t="str">
        <f>IFERROR(INDEX(tblDeviceConfig[Neuron Hostname],ROW()-1),"")</f>
      </c>
      <c r="G138">
        <f>IFERROR(INDEX(tblDeviceConfig[Software List],ROW()-1),"")</f>
      </c>
      <c r="H138">
        <f>IFERROR(INDEX(tblDeviceConfig[PI_Use_Case],ROW()-1),"")</f>
      </c>
      <c r="I138">
        <f>IFERROR(INDEX(tblDeviceConfig[PI_Result],ROW()-1),"")</f>
      </c>
      <c r="J138">
        <f>IFERROR(INDEX(tblDeviceConfig[PI_Validated_By],ROW()-1),"")</f>
      </c>
      <c r="K138">
        <f>IFERROR(INDEX(tblDeviceConfig[PI_Validated_Date],ROW()-1),"")</f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</c>
      <c r="C139" t="str">
        <f>IFERROR(INDEX(tblDeviceConfig[Deployed],ROW()-1),"")</f>
      </c>
      <c r="D139" t="str">
        <f>IFERROR(INDEX(tblDeviceConfig[Installed],ROW()-1),"")</f>
      </c>
      <c r="E139">
        <f>IFERROR(INDEX(tblDeviceConfig[Cybernet Hostname],ROW()-1),"")</f>
      </c>
      <c r="F139" t="str">
        <f>IFERROR(INDEX(tblDeviceConfig[Neuron Hostname],ROW()-1),"")</f>
      </c>
      <c r="G139">
        <f>IFERROR(INDEX(tblDeviceConfig[Software List],ROW()-1),"")</f>
      </c>
      <c r="H139">
        <f>IFERROR(INDEX(tblDeviceConfig[PI_Use_Case],ROW()-1),"")</f>
      </c>
      <c r="I139">
        <f>IFERROR(INDEX(tblDeviceConfig[PI_Result],ROW()-1),"")</f>
      </c>
      <c r="J139">
        <f>IFERROR(INDEX(tblDeviceConfig[PI_Validated_By],ROW()-1),"")</f>
      </c>
      <c r="K139">
        <f>IFERROR(INDEX(tblDeviceConfig[PI_Validated_Date],ROW()-1),"")</f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</c>
      <c r="C140" t="str">
        <f>IFERROR(INDEX(tblDeviceConfig[Deployed],ROW()-1),"")</f>
      </c>
      <c r="D140" t="str">
        <f>IFERROR(INDEX(tblDeviceConfig[Installed],ROW()-1),"")</f>
      </c>
      <c r="E140">
        <f>IFERROR(INDEX(tblDeviceConfig[Cybernet Hostname],ROW()-1),"")</f>
      </c>
      <c r="F140" t="str">
        <f>IFERROR(INDEX(tblDeviceConfig[Neuron Hostname],ROW()-1),"")</f>
      </c>
      <c r="G140">
        <f>IFERROR(INDEX(tblDeviceConfig[Software List],ROW()-1),"")</f>
      </c>
      <c r="H140">
        <f>IFERROR(INDEX(tblDeviceConfig[PI_Use_Case],ROW()-1),"")</f>
      </c>
      <c r="I140">
        <f>IFERROR(INDEX(tblDeviceConfig[PI_Result],ROW()-1),"")</f>
      </c>
      <c r="J140">
        <f>IFERROR(INDEX(tblDeviceConfig[PI_Validated_By],ROW()-1),"")</f>
      </c>
      <c r="K140">
        <f>IFERROR(INDEX(tblDeviceConfig[PI_Validated_Date],ROW()-1),"")</f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</c>
      <c r="C141" t="str">
        <f>IFERROR(INDEX(tblDeviceConfig[Deployed],ROW()-1),"")</f>
      </c>
      <c r="D141" t="str">
        <f>IFERROR(INDEX(tblDeviceConfig[Installed],ROW()-1),"")</f>
      </c>
      <c r="E141">
        <f>IFERROR(INDEX(tblDeviceConfig[Cybernet Hostname],ROW()-1),"")</f>
      </c>
      <c r="F141" t="str">
        <f>IFERROR(INDEX(tblDeviceConfig[Neuron Hostname],ROW()-1),"")</f>
      </c>
      <c r="G141">
        <f>IFERROR(INDEX(tblDeviceConfig[Software List],ROW()-1),"")</f>
      </c>
      <c r="H141">
        <f>IFERROR(INDEX(tblDeviceConfig[PI_Use_Case],ROW()-1),"")</f>
      </c>
      <c r="I141">
        <f>IFERROR(INDEX(tblDeviceConfig[PI_Result],ROW()-1),"")</f>
      </c>
      <c r="J141">
        <f>IFERROR(INDEX(tblDeviceConfig[PI_Validated_By],ROW()-1),"")</f>
      </c>
      <c r="K141">
        <f>IFERROR(INDEX(tblDeviceConfig[PI_Validated_Date],ROW()-1),"")</f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</c>
      <c r="C142" t="str">
        <f>IFERROR(INDEX(tblDeviceConfig[Deployed],ROW()-1),"")</f>
      </c>
      <c r="D142" t="str">
        <f>IFERROR(INDEX(tblDeviceConfig[Installed],ROW()-1),"")</f>
      </c>
      <c r="E142">
        <f>IFERROR(INDEX(tblDeviceConfig[Cybernet Hostname],ROW()-1),"")</f>
      </c>
      <c r="F142" t="str">
        <f>IFERROR(INDEX(tblDeviceConfig[Neuron Hostname],ROW()-1),"")</f>
      </c>
      <c r="G142">
        <f>IFERROR(INDEX(tblDeviceConfig[Software List],ROW()-1),"")</f>
      </c>
      <c r="H142">
        <f>IFERROR(INDEX(tblDeviceConfig[PI_Use_Case],ROW()-1),"")</f>
      </c>
      <c r="I142">
        <f>IFERROR(INDEX(tblDeviceConfig[PI_Result],ROW()-1),"")</f>
      </c>
      <c r="J142">
        <f>IFERROR(INDEX(tblDeviceConfig[PI_Validated_By],ROW()-1),"")</f>
      </c>
      <c r="K142">
        <f>IFERROR(INDEX(tblDeviceConfig[PI_Validated_Date],ROW()-1),"")</f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</c>
      <c r="C143" t="str">
        <f>IFERROR(INDEX(tblDeviceConfig[Deployed],ROW()-1),"")</f>
      </c>
      <c r="D143" t="str">
        <f>IFERROR(INDEX(tblDeviceConfig[Installed],ROW()-1),"")</f>
      </c>
      <c r="E143">
        <f>IFERROR(INDEX(tblDeviceConfig[Cybernet Hostname],ROW()-1),"")</f>
      </c>
      <c r="F143" t="str">
        <f>IFERROR(INDEX(tblDeviceConfig[Neuron Hostname],ROW()-1),"")</f>
      </c>
      <c r="G143">
        <f>IFERROR(INDEX(tblDeviceConfig[Software List],ROW()-1),"")</f>
      </c>
      <c r="H143">
        <f>IFERROR(INDEX(tblDeviceConfig[PI_Use_Case],ROW()-1),"")</f>
      </c>
      <c r="I143">
        <f>IFERROR(INDEX(tblDeviceConfig[PI_Result],ROW()-1),"")</f>
      </c>
      <c r="J143">
        <f>IFERROR(INDEX(tblDeviceConfig[PI_Validated_By],ROW()-1),"")</f>
      </c>
      <c r="K143">
        <f>IFERROR(INDEX(tblDeviceConfig[PI_Validated_Date],ROW()-1),"")</f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</c>
      <c r="C144" t="str">
        <f>IFERROR(INDEX(tblDeviceConfig[Deployed],ROW()-1),"")</f>
      </c>
      <c r="D144" t="str">
        <f>IFERROR(INDEX(tblDeviceConfig[Installed],ROW()-1),"")</f>
      </c>
      <c r="E144">
        <f>IFERROR(INDEX(tblDeviceConfig[Cybernet Hostname],ROW()-1),"")</f>
      </c>
      <c r="F144" t="str">
        <f>IFERROR(INDEX(tblDeviceConfig[Neuron Hostname],ROW()-1),"")</f>
      </c>
      <c r="G144">
        <f>IFERROR(INDEX(tblDeviceConfig[Software List],ROW()-1),"")</f>
      </c>
      <c r="H144">
        <f>IFERROR(INDEX(tblDeviceConfig[PI_Use_Case],ROW()-1),"")</f>
      </c>
      <c r="I144">
        <f>IFERROR(INDEX(tblDeviceConfig[PI_Result],ROW()-1),"")</f>
      </c>
      <c r="J144">
        <f>IFERROR(INDEX(tblDeviceConfig[PI_Validated_By],ROW()-1),"")</f>
      </c>
      <c r="K144">
        <f>IFERROR(INDEX(tblDeviceConfig[PI_Validated_Date],ROW()-1),"")</f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</c>
      <c r="C145" t="str">
        <f>IFERROR(INDEX(tblDeviceConfig[Deployed],ROW()-1),"")</f>
      </c>
      <c r="D145" t="str">
        <f>IFERROR(INDEX(tblDeviceConfig[Installed],ROW()-1),"")</f>
      </c>
      <c r="E145">
        <f>IFERROR(INDEX(tblDeviceConfig[Cybernet Hostname],ROW()-1),"")</f>
      </c>
      <c r="F145" t="str">
        <f>IFERROR(INDEX(tblDeviceConfig[Neuron Hostname],ROW()-1),"")</f>
      </c>
      <c r="G145">
        <f>IFERROR(INDEX(tblDeviceConfig[Software List],ROW()-1),"")</f>
      </c>
      <c r="H145">
        <f>IFERROR(INDEX(tblDeviceConfig[PI_Use_Case],ROW()-1),"")</f>
      </c>
      <c r="I145">
        <f>IFERROR(INDEX(tblDeviceConfig[PI_Result],ROW()-1),"")</f>
      </c>
      <c r="J145">
        <f>IFERROR(INDEX(tblDeviceConfig[PI_Validated_By],ROW()-1),"")</f>
      </c>
      <c r="K145">
        <f>IFERROR(INDEX(tblDeviceConfig[PI_Validated_Date],ROW()-1),"")</f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</c>
      <c r="C146" t="str">
        <f>IFERROR(INDEX(tblDeviceConfig[Deployed],ROW()-1),"")</f>
      </c>
      <c r="D146" t="str">
        <f>IFERROR(INDEX(tblDeviceConfig[Installed],ROW()-1),"")</f>
      </c>
      <c r="E146">
        <f>IFERROR(INDEX(tblDeviceConfig[Cybernet Hostname],ROW()-1),"")</f>
      </c>
      <c r="F146">
        <f>IFERROR(INDEX(tblDeviceConfig[Neuron Hostname],ROW()-1),"")</f>
      </c>
      <c r="G146">
        <f>IFERROR(INDEX(tblDeviceConfig[Software List],ROW()-1),"")</f>
      </c>
      <c r="H146">
        <f>IFERROR(INDEX(tblDeviceConfig[PI_Use_Case],ROW()-1),"")</f>
      </c>
      <c r="I146">
        <f>IFERROR(INDEX(tblDeviceConfig[PI_Result],ROW()-1),"")</f>
      </c>
      <c r="J146">
        <f>IFERROR(INDEX(tblDeviceConfig[PI_Validated_By],ROW()-1),"")</f>
      </c>
      <c r="K146">
        <f>IFERROR(INDEX(tblDeviceConfig[PI_Validated_Date],ROW()-1),"")</f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</c>
      <c r="C147" t="str">
        <f>IFERROR(INDEX(tblDeviceConfig[Deployed],ROW()-1),"")</f>
      </c>
      <c r="D147" t="str">
        <f>IFERROR(INDEX(tblDeviceConfig[Installed],ROW()-1),"")</f>
      </c>
      <c r="E147">
        <f>IFERROR(INDEX(tblDeviceConfig[Cybernet Hostname],ROW()-1),"")</f>
      </c>
      <c r="F147">
        <f>IFERROR(INDEX(tblDeviceConfig[Neuron Hostname],ROW()-1),"")</f>
      </c>
      <c r="G147">
        <f>IFERROR(INDEX(tblDeviceConfig[Software List],ROW()-1),"")</f>
      </c>
      <c r="H147">
        <f>IFERROR(INDEX(tblDeviceConfig[PI_Use_Case],ROW()-1),"")</f>
      </c>
      <c r="I147">
        <f>IFERROR(INDEX(tblDeviceConfig[PI_Result],ROW()-1),"")</f>
      </c>
      <c r="J147">
        <f>IFERROR(INDEX(tblDeviceConfig[PI_Validated_By],ROW()-1),"")</f>
      </c>
      <c r="K147">
        <f>IFERROR(INDEX(tblDeviceConfig[PI_Validated_Date],ROW()-1),"")</f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</c>
      <c r="C148" t="str">
        <f>IFERROR(INDEX(tblDeviceConfig[Deployed],ROW()-1),"")</f>
      </c>
      <c r="D148" t="str">
        <f>IFERROR(INDEX(tblDeviceConfig[Installed],ROW()-1),"")</f>
      </c>
      <c r="E148">
        <f>IFERROR(INDEX(tblDeviceConfig[Cybernet Hostname],ROW()-1),"")</f>
      </c>
      <c r="F148">
        <f>IFERROR(INDEX(tblDeviceConfig[Neuron Hostname],ROW()-1),"")</f>
      </c>
      <c r="G148">
        <f>IFERROR(INDEX(tblDeviceConfig[Software List],ROW()-1),"")</f>
      </c>
      <c r="H148">
        <f>IFERROR(INDEX(tblDeviceConfig[PI_Use_Case],ROW()-1),"")</f>
      </c>
      <c r="I148">
        <f>IFERROR(INDEX(tblDeviceConfig[PI_Result],ROW()-1),"")</f>
      </c>
      <c r="J148">
        <f>IFERROR(INDEX(tblDeviceConfig[PI_Validated_By],ROW()-1),"")</f>
      </c>
      <c r="K148">
        <f>IFERROR(INDEX(tblDeviceConfig[PI_Validated_Date],ROW()-1),"")</f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>
        <f>IFERROR(INDEX(tblDeviceConfig[Device Type],ROW()-1),"")</f>
      </c>
      <c r="C149">
        <f>IFERROR(INDEX(tblDeviceConfig[Deployed],ROW()-1),"")</f>
      </c>
      <c r="D149">
        <f>IFERROR(INDEX(tblDeviceConfig[Installed],ROW()-1),"")</f>
      </c>
      <c r="E149">
        <f>IFERROR(INDEX(tblDeviceConfig[Cybernet Hostname],ROW()-1),"")</f>
      </c>
      <c r="F149">
        <f>IFERROR(INDEX(tblDeviceConfig[Neuron Hostname],ROW()-1),"")</f>
      </c>
      <c r="G149">
        <f>IFERROR(INDEX(tblDeviceConfig[Software List],ROW()-1),"")</f>
      </c>
      <c r="H149">
        <f>IFERROR(INDEX(tblDeviceConfig[PI_Use_Case],ROW()-1),"")</f>
      </c>
      <c r="I149">
        <f>IFERROR(INDEX(tblDeviceConfig[PI_Result],ROW()-1),"")</f>
      </c>
      <c r="J149">
        <f>IFERROR(INDEX(tblDeviceConfig[PI_Validated_By],ROW()-1),"")</f>
      </c>
      <c r="K149">
        <f>IFERROR(INDEX(tblDeviceConfig[PI_Validated_Date],ROW()-1),"")</f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>
        <f>IFERROR(INDEX(tblDeviceConfig[Device Type],ROW()-1),"")</f>
      </c>
      <c r="C150">
        <f>IFERROR(INDEX(tblDeviceConfig[Deployed],ROW()-1),"")</f>
      </c>
      <c r="D150">
        <f>IFERROR(INDEX(tblDeviceConfig[Installed],ROW()-1),"")</f>
      </c>
      <c r="E150">
        <f>IFERROR(INDEX(tblDeviceConfig[Cybernet Hostname],ROW()-1),"")</f>
      </c>
      <c r="F150">
        <f>IFERROR(INDEX(tblDeviceConfig[Neuron Hostname],ROW()-1),"")</f>
      </c>
      <c r="G150">
        <f>IFERROR(INDEX(tblDeviceConfig[Software List],ROW()-1),"")</f>
      </c>
      <c r="H150">
        <f>IFERROR(INDEX(tblDeviceConfig[PI_Use_Case],ROW()-1),"")</f>
      </c>
      <c r="I150">
        <f>IFERROR(INDEX(tblDeviceConfig[PI_Result],ROW()-1),"")</f>
      </c>
      <c r="J150">
        <f>IFERROR(INDEX(tblDeviceConfig[PI_Validated_By],ROW()-1),"")</f>
      </c>
      <c r="K150">
        <f>IFERROR(INDEX(tblDeviceConfig[PI_Validated_Date],ROW()-1),"")</f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>
        <f>IFERROR(INDEX(tblDeviceConfig[Device Type],ROW()-1),"")</f>
      </c>
      <c r="C151">
        <f>IFERROR(INDEX(tblDeviceConfig[Deployed],ROW()-1),"")</f>
      </c>
      <c r="D151">
        <f>IFERROR(INDEX(tblDeviceConfig[Installed],ROW()-1),"")</f>
      </c>
      <c r="E151">
        <f>IFERROR(INDEX(tblDeviceConfig[Cybernet Hostname],ROW()-1),"")</f>
      </c>
      <c r="F151">
        <f>IFERROR(INDEX(tblDeviceConfig[Neuron Hostname],ROW()-1),"")</f>
      </c>
      <c r="G151">
        <f>IFERROR(INDEX(tblDeviceConfig[Software List],ROW()-1),"")</f>
      </c>
      <c r="H151">
        <f>IFERROR(INDEX(tblDeviceConfig[PI_Use_Case],ROW()-1),"")</f>
      </c>
      <c r="I151">
        <f>IFERROR(INDEX(tblDeviceConfig[PI_Result],ROW()-1),"")</f>
      </c>
      <c r="J151">
        <f>IFERROR(INDEX(tblDeviceConfig[PI_Validated_By],ROW()-1),"")</f>
      </c>
      <c r="K151">
        <f>IFERROR(INDEX(tblDeviceConfig[PI_Validated_Date],ROW()-1),"")</f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>
        <f>IFERROR(INDEX(tblDeviceConfig[Device Type],ROW()-1),"")</f>
      </c>
      <c r="C152">
        <f>IFERROR(INDEX(tblDeviceConfig[Deployed],ROW()-1),"")</f>
      </c>
      <c r="D152">
        <f>IFERROR(INDEX(tblDeviceConfig[Installed],ROW()-1),"")</f>
      </c>
      <c r="E152">
        <f>IFERROR(INDEX(tblDeviceConfig[Cybernet Hostname],ROW()-1),"")</f>
      </c>
      <c r="F152">
        <f>IFERROR(INDEX(tblDeviceConfig[Neuron Hostname],ROW()-1),"")</f>
      </c>
      <c r="G152">
        <f>IFERROR(INDEX(tblDeviceConfig[Software List],ROW()-1),"")</f>
      </c>
      <c r="H152">
        <f>IFERROR(INDEX(tblDeviceConfig[PI_Use_Case],ROW()-1),"")</f>
      </c>
      <c r="I152">
        <f>IFERROR(INDEX(tblDeviceConfig[PI_Result],ROW()-1),"")</f>
      </c>
      <c r="J152">
        <f>IFERROR(INDEX(tblDeviceConfig[PI_Validated_By],ROW()-1),"")</f>
      </c>
      <c r="K152">
        <f>IFERROR(INDEX(tblDeviceConfig[PI_Validated_Date],ROW()-1),"")</f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>
        <f>IFERROR(INDEX(tblDeviceConfig[Device Type],ROW()-1),"")</f>
      </c>
      <c r="C153">
        <f>IFERROR(INDEX(tblDeviceConfig[Deployed],ROW()-1),"")</f>
      </c>
      <c r="D153">
        <f>IFERROR(INDEX(tblDeviceConfig[Installed],ROW()-1),"")</f>
      </c>
      <c r="E153">
        <f>IFERROR(INDEX(tblDeviceConfig[Cybernet Hostname],ROW()-1),"")</f>
      </c>
      <c r="F153">
        <f>IFERROR(INDEX(tblDeviceConfig[Neuron Hostname],ROW()-1),"")</f>
      </c>
      <c r="G153">
        <f>IFERROR(INDEX(tblDeviceConfig[Software List],ROW()-1),"")</f>
      </c>
      <c r="H153">
        <f>IFERROR(INDEX(tblDeviceConfig[PI_Use_Case],ROW()-1),"")</f>
      </c>
      <c r="I153">
        <f>IFERROR(INDEX(tblDeviceConfig[PI_Result],ROW()-1),"")</f>
      </c>
      <c r="J153">
        <f>IFERROR(INDEX(tblDeviceConfig[PI_Validated_By],ROW()-1),"")</f>
      </c>
      <c r="K153">
        <f>IFERROR(INDEX(tblDeviceConfig[PI_Validated_Date],ROW()-1),"")</f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>
        <f>IFERROR(INDEX(tblDeviceConfig[Device Type],ROW()-1),"")</f>
      </c>
      <c r="C154">
        <f>IFERROR(INDEX(tblDeviceConfig[Deployed],ROW()-1),"")</f>
      </c>
      <c r="D154">
        <f>IFERROR(INDEX(tblDeviceConfig[Installed],ROW()-1),"")</f>
      </c>
      <c r="E154">
        <f>IFERROR(INDEX(tblDeviceConfig[Cybernet Hostname],ROW()-1),"")</f>
      </c>
      <c r="F154">
        <f>IFERROR(INDEX(tblDeviceConfig[Neuron Hostname],ROW()-1),"")</f>
      </c>
      <c r="G154">
        <f>IFERROR(INDEX(tblDeviceConfig[Software List],ROW()-1),"")</f>
      </c>
      <c r="H154">
        <f>IFERROR(INDEX(tblDeviceConfig[PI_Use_Case],ROW()-1),"")</f>
      </c>
      <c r="I154">
        <f>IFERROR(INDEX(tblDeviceConfig[PI_Result],ROW()-1),"")</f>
      </c>
      <c r="J154">
        <f>IFERROR(INDEX(tblDeviceConfig[PI_Validated_By],ROW()-1),"")</f>
      </c>
      <c r="K154">
        <f>IFERROR(INDEX(tblDeviceConfig[PI_Validated_Date],ROW()-1),"")</f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>
        <f>IFERROR(INDEX(tblDeviceConfig[Device Type],ROW()-1),"")</f>
      </c>
      <c r="C155">
        <f>IFERROR(INDEX(tblDeviceConfig[Deployed],ROW()-1),"")</f>
      </c>
      <c r="D155">
        <f>IFERROR(INDEX(tblDeviceConfig[Installed],ROW()-1),"")</f>
      </c>
      <c r="E155">
        <f>IFERROR(INDEX(tblDeviceConfig[Cybernet Hostname],ROW()-1),"")</f>
      </c>
      <c r="F155">
        <f>IFERROR(INDEX(tblDeviceConfig[Neuron Hostname],ROW()-1),"")</f>
      </c>
      <c r="G155">
        <f>IFERROR(INDEX(tblDeviceConfig[Software List],ROW()-1),"")</f>
      </c>
      <c r="H155">
        <f>IFERROR(INDEX(tblDeviceConfig[PI_Use_Case],ROW()-1),"")</f>
      </c>
      <c r="I155">
        <f>IFERROR(INDEX(tblDeviceConfig[PI_Result],ROW()-1),"")</f>
      </c>
      <c r="J155">
        <f>IFERROR(INDEX(tblDeviceConfig[PI_Validated_By],ROW()-1),"")</f>
      </c>
      <c r="K155">
        <f>IFERROR(INDEX(tblDeviceConfig[PI_Validated_Date],ROW()-1),"")</f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>
        <f>IFERROR(INDEX(tblDeviceConfig[Device Type],ROW()-1),"")</f>
      </c>
      <c r="C156">
        <f>IFERROR(INDEX(tblDeviceConfig[Deployed],ROW()-1),"")</f>
      </c>
      <c r="D156">
        <f>IFERROR(INDEX(tblDeviceConfig[Installed],ROW()-1),"")</f>
      </c>
      <c r="E156">
        <f>IFERROR(INDEX(tblDeviceConfig[Cybernet Hostname],ROW()-1),"")</f>
      </c>
      <c r="F156">
        <f>IFERROR(INDEX(tblDeviceConfig[Neuron Hostname],ROW()-1),"")</f>
      </c>
      <c r="G156">
        <f>IFERROR(INDEX(tblDeviceConfig[Software List],ROW()-1),"")</f>
      </c>
      <c r="H156">
        <f>IFERROR(INDEX(tblDeviceConfig[PI_Use_Case],ROW()-1),"")</f>
      </c>
      <c r="I156">
        <f>IFERROR(INDEX(tblDeviceConfig[PI_Result],ROW()-1),"")</f>
      </c>
      <c r="J156">
        <f>IFERROR(INDEX(tblDeviceConfig[PI_Validated_By],ROW()-1),"")</f>
      </c>
      <c r="K156">
        <f>IFERROR(INDEX(tblDeviceConfig[PI_Validated_Date],ROW()-1),"")</f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>
        <f>IFERROR(INDEX(tblDeviceConfig[Device Type],ROW()-1),"")</f>
      </c>
      <c r="C157">
        <f>IFERROR(INDEX(tblDeviceConfig[Deployed],ROW()-1),"")</f>
      </c>
      <c r="D157">
        <f>IFERROR(INDEX(tblDeviceConfig[Installed],ROW()-1),"")</f>
      </c>
      <c r="E157">
        <f>IFERROR(INDEX(tblDeviceConfig[Cybernet Hostname],ROW()-1),"")</f>
      </c>
      <c r="F157">
        <f>IFERROR(INDEX(tblDeviceConfig[Neuron Hostname],ROW()-1),"")</f>
      </c>
      <c r="G157">
        <f>IFERROR(INDEX(tblDeviceConfig[Software List],ROW()-1),"")</f>
      </c>
      <c r="H157">
        <f>IFERROR(INDEX(tblDeviceConfig[PI_Use_Case],ROW()-1),"")</f>
      </c>
      <c r="I157">
        <f>IFERROR(INDEX(tblDeviceConfig[PI_Result],ROW()-1),"")</f>
      </c>
      <c r="J157">
        <f>IFERROR(INDEX(tblDeviceConfig[PI_Validated_By],ROW()-1),"")</f>
      </c>
      <c r="K157">
        <f>IFERROR(INDEX(tblDeviceConfig[PI_Validated_Date],ROW()-1),"")</f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>
        <f>IFERROR(INDEX(tblDeviceConfig[Device Type],ROW()-1),"")</f>
      </c>
      <c r="C158">
        <f>IFERROR(INDEX(tblDeviceConfig[Deployed],ROW()-1),"")</f>
      </c>
      <c r="D158">
        <f>IFERROR(INDEX(tblDeviceConfig[Installed],ROW()-1),"")</f>
      </c>
      <c r="E158">
        <f>IFERROR(INDEX(tblDeviceConfig[Cybernet Hostname],ROW()-1),"")</f>
      </c>
      <c r="F158">
        <f>IFERROR(INDEX(tblDeviceConfig[Neuron Hostname],ROW()-1),"")</f>
      </c>
      <c r="G158">
        <f>IFERROR(INDEX(tblDeviceConfig[Software List],ROW()-1),"")</f>
      </c>
      <c r="H158">
        <f>IFERROR(INDEX(tblDeviceConfig[PI_Use_Case],ROW()-1),"")</f>
      </c>
      <c r="I158">
        <f>IFERROR(INDEX(tblDeviceConfig[PI_Result],ROW()-1),"")</f>
      </c>
      <c r="J158">
        <f>IFERROR(INDEX(tblDeviceConfig[PI_Validated_By],ROW()-1),"")</f>
      </c>
      <c r="K158">
        <f>IFERROR(INDEX(tblDeviceConfig[PI_Validated_Date],ROW()-1),"")</f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>
        <f>IFERROR(INDEX(tblDeviceConfig[Device Type],ROW()-1),"")</f>
      </c>
      <c r="C159">
        <f>IFERROR(INDEX(tblDeviceConfig[Deployed],ROW()-1),"")</f>
      </c>
      <c r="D159">
        <f>IFERROR(INDEX(tblDeviceConfig[Installed],ROW()-1),"")</f>
      </c>
      <c r="E159">
        <f>IFERROR(INDEX(tblDeviceConfig[Cybernet Hostname],ROW()-1),"")</f>
      </c>
      <c r="F159">
        <f>IFERROR(INDEX(tblDeviceConfig[Neuron Hostname],ROW()-1),"")</f>
      </c>
      <c r="G159">
        <f>IFERROR(INDEX(tblDeviceConfig[Software List],ROW()-1),"")</f>
      </c>
      <c r="H159">
        <f>IFERROR(INDEX(tblDeviceConfig[PI_Use_Case],ROW()-1),"")</f>
      </c>
      <c r="I159">
        <f>IFERROR(INDEX(tblDeviceConfig[PI_Result],ROW()-1),"")</f>
      </c>
      <c r="J159">
        <f>IFERROR(INDEX(tblDeviceConfig[PI_Validated_By],ROW()-1),"")</f>
      </c>
      <c r="K159">
        <f>IFERROR(INDEX(tblDeviceConfig[PI_Validated_Date],ROW()-1),"")</f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>
        <f>IFERROR(INDEX(tblDeviceConfig[Device Type],ROW()-1),"")</f>
      </c>
      <c r="C160">
        <f>IFERROR(INDEX(tblDeviceConfig[Deployed],ROW()-1),"")</f>
      </c>
      <c r="D160">
        <f>IFERROR(INDEX(tblDeviceConfig[Installed],ROW()-1),"")</f>
      </c>
      <c r="E160">
        <f>IFERROR(INDEX(tblDeviceConfig[Cybernet Hostname],ROW()-1),"")</f>
      </c>
      <c r="F160">
        <f>IFERROR(INDEX(tblDeviceConfig[Neuron Hostname],ROW()-1),"")</f>
      </c>
      <c r="G160">
        <f>IFERROR(INDEX(tblDeviceConfig[Software List],ROW()-1),"")</f>
      </c>
      <c r="H160">
        <f>IFERROR(INDEX(tblDeviceConfig[PI_Use_Case],ROW()-1),"")</f>
      </c>
      <c r="I160">
        <f>IFERROR(INDEX(tblDeviceConfig[PI_Result],ROW()-1),"")</f>
      </c>
      <c r="J160">
        <f>IFERROR(INDEX(tblDeviceConfig[PI_Validated_By],ROW()-1),"")</f>
      </c>
      <c r="K160">
        <f>IFERROR(INDEX(tblDeviceConfig[PI_Validated_Date],ROW()-1),"")</f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>
        <f>IFERROR(INDEX(tblDeviceConfig[Device Type],ROW()-1),"")</f>
      </c>
      <c r="C161">
        <f>IFERROR(INDEX(tblDeviceConfig[Deployed],ROW()-1),"")</f>
      </c>
      <c r="D161">
        <f>IFERROR(INDEX(tblDeviceConfig[Installed],ROW()-1),"")</f>
      </c>
      <c r="E161">
        <f>IFERROR(INDEX(tblDeviceConfig[Cybernet Hostname],ROW()-1),"")</f>
      </c>
      <c r="F161">
        <f>IFERROR(INDEX(tblDeviceConfig[Neuron Hostname],ROW()-1),"")</f>
      </c>
      <c r="G161">
        <f>IFERROR(INDEX(tblDeviceConfig[Software List],ROW()-1),"")</f>
      </c>
      <c r="H161">
        <f>IFERROR(INDEX(tblDeviceConfig[PI_Use_Case],ROW()-1),"")</f>
      </c>
      <c r="I161">
        <f>IFERROR(INDEX(tblDeviceConfig[PI_Result],ROW()-1),"")</f>
      </c>
      <c r="J161">
        <f>IFERROR(INDEX(tblDeviceConfig[PI_Validated_By],ROW()-1),"")</f>
      </c>
      <c r="K161">
        <f>IFERROR(INDEX(tblDeviceConfig[PI_Validated_Date],ROW()-1),"")</f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>
        <f>IFERROR(INDEX(tblDeviceConfig[Device Type],ROW()-1),"")</f>
      </c>
      <c r="C162">
        <f>IFERROR(INDEX(tblDeviceConfig[Deployed],ROW()-1),"")</f>
      </c>
      <c r="D162">
        <f>IFERROR(INDEX(tblDeviceConfig[Installed],ROW()-1),"")</f>
      </c>
      <c r="E162">
        <f>IFERROR(INDEX(tblDeviceConfig[Cybernet Hostname],ROW()-1),"")</f>
      </c>
      <c r="F162">
        <f>IFERROR(INDEX(tblDeviceConfig[Neuron Hostname],ROW()-1),"")</f>
      </c>
      <c r="G162">
        <f>IFERROR(INDEX(tblDeviceConfig[Software List],ROW()-1),"")</f>
      </c>
      <c r="H162">
        <f>IFERROR(INDEX(tblDeviceConfig[PI_Use_Case],ROW()-1),"")</f>
      </c>
      <c r="I162">
        <f>IFERROR(INDEX(tblDeviceConfig[PI_Result],ROW()-1),"")</f>
      </c>
      <c r="J162">
        <f>IFERROR(INDEX(tblDeviceConfig[PI_Validated_By],ROW()-1),"")</f>
      </c>
      <c r="K162">
        <f>IFERROR(INDEX(tblDeviceConfig[PI_Validated_Date],ROW()-1),"")</f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>
        <f>IFERROR(INDEX(tblDeviceConfig[Device Type],ROW()-1),"")</f>
      </c>
      <c r="C163">
        <f>IFERROR(INDEX(tblDeviceConfig[Deployed],ROW()-1),"")</f>
      </c>
      <c r="D163">
        <f>IFERROR(INDEX(tblDeviceConfig[Installed],ROW()-1),"")</f>
      </c>
      <c r="E163">
        <f>IFERROR(INDEX(tblDeviceConfig[Cybernet Hostname],ROW()-1),"")</f>
      </c>
      <c r="F163">
        <f>IFERROR(INDEX(tblDeviceConfig[Neuron Hostname],ROW()-1),"")</f>
      </c>
      <c r="G163">
        <f>IFERROR(INDEX(tblDeviceConfig[Software List],ROW()-1),"")</f>
      </c>
      <c r="H163">
        <f>IFERROR(INDEX(tblDeviceConfig[PI_Use_Case],ROW()-1),"")</f>
      </c>
      <c r="I163">
        <f>IFERROR(INDEX(tblDeviceConfig[PI_Result],ROW()-1),"")</f>
      </c>
      <c r="J163">
        <f>IFERROR(INDEX(tblDeviceConfig[PI_Validated_By],ROW()-1),"")</f>
      </c>
      <c r="K163">
        <f>IFERROR(INDEX(tblDeviceConfig[PI_Validated_Date],ROW()-1),"")</f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>
        <f>IFERROR(INDEX(tblDeviceConfig[Device Type],ROW()-1),"")</f>
      </c>
      <c r="C164">
        <f>IFERROR(INDEX(tblDeviceConfig[Deployed],ROW()-1),"")</f>
      </c>
      <c r="D164">
        <f>IFERROR(INDEX(tblDeviceConfig[Installed],ROW()-1),"")</f>
      </c>
      <c r="E164">
        <f>IFERROR(INDEX(tblDeviceConfig[Cybernet Hostname],ROW()-1),"")</f>
      </c>
      <c r="F164">
        <f>IFERROR(INDEX(tblDeviceConfig[Neuron Hostname],ROW()-1),"")</f>
      </c>
      <c r="G164">
        <f>IFERROR(INDEX(tblDeviceConfig[Software List],ROW()-1),"")</f>
      </c>
      <c r="H164">
        <f>IFERROR(INDEX(tblDeviceConfig[PI_Use_Case],ROW()-1),"")</f>
      </c>
      <c r="I164">
        <f>IFERROR(INDEX(tblDeviceConfig[PI_Result],ROW()-1),"")</f>
      </c>
      <c r="J164">
        <f>IFERROR(INDEX(tblDeviceConfig[PI_Validated_By],ROW()-1),"")</f>
      </c>
      <c r="K164">
        <f>IFERROR(INDEX(tblDeviceConfig[PI_Validated_Date],ROW()-1),"")</f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>
        <f>IFERROR(INDEX(tblDeviceConfig[Device Type],ROW()-1),"")</f>
      </c>
      <c r="C165">
        <f>IFERROR(INDEX(tblDeviceConfig[Deployed],ROW()-1),"")</f>
      </c>
      <c r="D165">
        <f>IFERROR(INDEX(tblDeviceConfig[Installed],ROW()-1),"")</f>
      </c>
      <c r="E165">
        <f>IFERROR(INDEX(tblDeviceConfig[Cybernet Hostname],ROW()-1),"")</f>
      </c>
      <c r="F165">
        <f>IFERROR(INDEX(tblDeviceConfig[Neuron Hostname],ROW()-1),"")</f>
      </c>
      <c r="G165">
        <f>IFERROR(INDEX(tblDeviceConfig[Software List],ROW()-1),"")</f>
      </c>
      <c r="H165">
        <f>IFERROR(INDEX(tblDeviceConfig[PI_Use_Case],ROW()-1),"")</f>
      </c>
      <c r="I165">
        <f>IFERROR(INDEX(tblDeviceConfig[PI_Result],ROW()-1),"")</f>
      </c>
      <c r="J165">
        <f>IFERROR(INDEX(tblDeviceConfig[PI_Validated_By],ROW()-1),"")</f>
      </c>
      <c r="K165">
        <f>IFERROR(INDEX(tblDeviceConfig[PI_Validated_Date],ROW()-1),"")</f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>
        <f>IFERROR(INDEX(tblDeviceConfig[Device Type],ROW()-1),"")</f>
      </c>
      <c r="C166">
        <f>IFERROR(INDEX(tblDeviceConfig[Deployed],ROW()-1),"")</f>
      </c>
      <c r="D166">
        <f>IFERROR(INDEX(tblDeviceConfig[Installed],ROW()-1),"")</f>
      </c>
      <c r="E166">
        <f>IFERROR(INDEX(tblDeviceConfig[Cybernet Hostname],ROW()-1),"")</f>
      </c>
      <c r="F166">
        <f>IFERROR(INDEX(tblDeviceConfig[Neuron Hostname],ROW()-1),"")</f>
      </c>
      <c r="G166">
        <f>IFERROR(INDEX(tblDeviceConfig[Software List],ROW()-1),"")</f>
      </c>
      <c r="H166">
        <f>IFERROR(INDEX(tblDeviceConfig[PI_Use_Case],ROW()-1),"")</f>
      </c>
      <c r="I166">
        <f>IFERROR(INDEX(tblDeviceConfig[PI_Result],ROW()-1),"")</f>
      </c>
      <c r="J166">
        <f>IFERROR(INDEX(tblDeviceConfig[PI_Validated_By],ROW()-1),"")</f>
      </c>
      <c r="K166">
        <f>IFERROR(INDEX(tblDeviceConfig[PI_Validated_Date],ROW()-1),"")</f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</c>
      <c r="C167">
        <f>IFERROR(INDEX(tblDeviceConfig[Deployed],ROW()-1),"")</f>
      </c>
      <c r="D167">
        <f>IFERROR(INDEX(tblDeviceConfig[Installed],ROW()-1),"")</f>
      </c>
      <c r="E167">
        <f>IFERROR(INDEX(tblDeviceConfig[Cybernet Hostname],ROW()-1),"")</f>
      </c>
      <c r="F167">
        <f>IFERROR(INDEX(tblDeviceConfig[Neuron Hostname],ROW()-1),"")</f>
      </c>
      <c r="G167">
        <f>IFERROR(INDEX(tblDeviceConfig[Software List],ROW()-1),"")</f>
      </c>
      <c r="H167">
        <f>IFERROR(INDEX(tblDeviceConfig[PI_Use_Case],ROW()-1),"")</f>
      </c>
      <c r="I167">
        <f>IFERROR(INDEX(tblDeviceConfig[PI_Result],ROW()-1),"")</f>
      </c>
      <c r="J167">
        <f>IFERROR(INDEX(tblDeviceConfig[PI_Validated_By],ROW()-1),"")</f>
      </c>
      <c r="K167">
        <f>IFERROR(INDEX(tblDeviceConfig[PI_Validated_Date],ROW()-1),"")</f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</c>
      <c r="C168">
        <f>IFERROR(INDEX(tblDeviceConfig[Deployed],ROW()-1),"")</f>
      </c>
      <c r="D168">
        <f>IFERROR(INDEX(tblDeviceConfig[Installed],ROW()-1),"")</f>
      </c>
      <c r="E168">
        <f>IFERROR(INDEX(tblDeviceConfig[Cybernet Hostname],ROW()-1),"")</f>
      </c>
      <c r="F168">
        <f>IFERROR(INDEX(tblDeviceConfig[Neuron Hostname],ROW()-1),"")</f>
      </c>
      <c r="G168">
        <f>IFERROR(INDEX(tblDeviceConfig[Software List],ROW()-1),"")</f>
      </c>
      <c r="H168">
        <f>IFERROR(INDEX(tblDeviceConfig[PI_Use_Case],ROW()-1),"")</f>
      </c>
      <c r="I168">
        <f>IFERROR(INDEX(tblDeviceConfig[PI_Result],ROW()-1),"")</f>
      </c>
      <c r="J168">
        <f>IFERROR(INDEX(tblDeviceConfig[PI_Validated_By],ROW()-1),"")</f>
      </c>
      <c r="K168">
        <f>IFERROR(INDEX(tblDeviceConfig[PI_Validated_Date],ROW()-1),"")</f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</c>
      <c r="C169">
        <f>IFERROR(INDEX(tblDeviceConfig[Deployed],ROW()-1),"")</f>
      </c>
      <c r="D169">
        <f>IFERROR(INDEX(tblDeviceConfig[Installed],ROW()-1),"")</f>
      </c>
      <c r="E169">
        <f>IFERROR(INDEX(tblDeviceConfig[Cybernet Hostname],ROW()-1),"")</f>
      </c>
      <c r="F169">
        <f>IFERROR(INDEX(tblDeviceConfig[Neuron Hostname],ROW()-1),"")</f>
      </c>
      <c r="G169">
        <f>IFERROR(INDEX(tblDeviceConfig[Software List],ROW()-1),"")</f>
      </c>
      <c r="H169">
        <f>IFERROR(INDEX(tblDeviceConfig[PI_Use_Case],ROW()-1),"")</f>
      </c>
      <c r="I169">
        <f>IFERROR(INDEX(tblDeviceConfig[PI_Result],ROW()-1),"")</f>
      </c>
      <c r="J169">
        <f>IFERROR(INDEX(tblDeviceConfig[PI_Validated_By],ROW()-1),"")</f>
      </c>
      <c r="K169">
        <f>IFERROR(INDEX(tblDeviceConfig[PI_Validated_Date],ROW()-1),"")</f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</c>
      <c r="C170">
        <f>IFERROR(INDEX(tblDeviceConfig[Deployed],ROW()-1),"")</f>
      </c>
      <c r="D170">
        <f>IFERROR(INDEX(tblDeviceConfig[Installed],ROW()-1),"")</f>
      </c>
      <c r="E170">
        <f>IFERROR(INDEX(tblDeviceConfig[Cybernet Hostname],ROW()-1),"")</f>
      </c>
      <c r="F170">
        <f>IFERROR(INDEX(tblDeviceConfig[Neuron Hostname],ROW()-1),"")</f>
      </c>
      <c r="G170">
        <f>IFERROR(INDEX(tblDeviceConfig[Software List],ROW()-1),"")</f>
      </c>
      <c r="H170">
        <f>IFERROR(INDEX(tblDeviceConfig[PI_Use_Case],ROW()-1),"")</f>
      </c>
      <c r="I170">
        <f>IFERROR(INDEX(tblDeviceConfig[PI_Result],ROW()-1),"")</f>
      </c>
      <c r="J170">
        <f>IFERROR(INDEX(tblDeviceConfig[PI_Validated_By],ROW()-1),"")</f>
      </c>
      <c r="K170">
        <f>IFERROR(INDEX(tblDeviceConfig[PI_Validated_Date],ROW()-1),"")</f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</c>
      <c r="C171">
        <f>IFERROR(INDEX(tblDeviceConfig[Deployed],ROW()-1),"")</f>
      </c>
      <c r="D171">
        <f>IFERROR(INDEX(tblDeviceConfig[Installed],ROW()-1),"")</f>
      </c>
      <c r="E171">
        <f>IFERROR(INDEX(tblDeviceConfig[Cybernet Hostname],ROW()-1),"")</f>
      </c>
      <c r="F171">
        <f>IFERROR(INDEX(tblDeviceConfig[Neuron Hostname],ROW()-1),"")</f>
      </c>
      <c r="G171">
        <f>IFERROR(INDEX(tblDeviceConfig[Software List],ROW()-1),"")</f>
      </c>
      <c r="H171">
        <f>IFERROR(INDEX(tblDeviceConfig[PI_Use_Case],ROW()-1),"")</f>
      </c>
      <c r="I171">
        <f>IFERROR(INDEX(tblDeviceConfig[PI_Result],ROW()-1),"")</f>
      </c>
      <c r="J171">
        <f>IFERROR(INDEX(tblDeviceConfig[PI_Validated_By],ROW()-1),"")</f>
      </c>
      <c r="K171">
        <f>IFERROR(INDEX(tblDeviceConfig[PI_Validated_Date],ROW()-1),"")</f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</c>
      <c r="C172">
        <f>IFERROR(INDEX(tblDeviceConfig[Deployed],ROW()-1),"")</f>
      </c>
      <c r="D172">
        <f>IFERROR(INDEX(tblDeviceConfig[Installed],ROW()-1),"")</f>
      </c>
      <c r="E172">
        <f>IFERROR(INDEX(tblDeviceConfig[Cybernet Hostname],ROW()-1),"")</f>
      </c>
      <c r="F172">
        <f>IFERROR(INDEX(tblDeviceConfig[Neuron Hostname],ROW()-1),"")</f>
      </c>
      <c r="G172">
        <f>IFERROR(INDEX(tblDeviceConfig[Software List],ROW()-1),"")</f>
      </c>
      <c r="H172">
        <f>IFERROR(INDEX(tblDeviceConfig[PI_Use_Case],ROW()-1),"")</f>
      </c>
      <c r="I172">
        <f>IFERROR(INDEX(tblDeviceConfig[PI_Result],ROW()-1),"")</f>
      </c>
      <c r="J172">
        <f>IFERROR(INDEX(tblDeviceConfig[PI_Validated_By],ROW()-1),"")</f>
      </c>
      <c r="K172">
        <f>IFERROR(INDEX(tblDeviceConfig[PI_Validated_Date],ROW()-1),"")</f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</c>
      <c r="C173">
        <f>IFERROR(INDEX(tblDeviceConfig[Deployed],ROW()-1),"")</f>
      </c>
      <c r="D173">
        <f>IFERROR(INDEX(tblDeviceConfig[Installed],ROW()-1),"")</f>
      </c>
      <c r="E173">
        <f>IFERROR(INDEX(tblDeviceConfig[Cybernet Hostname],ROW()-1),"")</f>
      </c>
      <c r="F173">
        <f>IFERROR(INDEX(tblDeviceConfig[Neuron Hostname],ROW()-1),"")</f>
      </c>
      <c r="G173">
        <f>IFERROR(INDEX(tblDeviceConfig[Software List],ROW()-1),"")</f>
      </c>
      <c r="H173">
        <f>IFERROR(INDEX(tblDeviceConfig[PI_Use_Case],ROW()-1),"")</f>
      </c>
      <c r="I173">
        <f>IFERROR(INDEX(tblDeviceConfig[PI_Result],ROW()-1),"")</f>
      </c>
      <c r="J173">
        <f>IFERROR(INDEX(tblDeviceConfig[PI_Validated_By],ROW()-1),"")</f>
      </c>
      <c r="K173">
        <f>IFERROR(INDEX(tblDeviceConfig[PI_Validated_Date],ROW()-1),"")</f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</c>
      <c r="C174">
        <f>IFERROR(INDEX(tblDeviceConfig[Deployed],ROW()-1),"")</f>
      </c>
      <c r="D174">
        <f>IFERROR(INDEX(tblDeviceConfig[Installed],ROW()-1),"")</f>
      </c>
      <c r="E174">
        <f>IFERROR(INDEX(tblDeviceConfig[Cybernet Hostname],ROW()-1),"")</f>
      </c>
      <c r="F174">
        <f>IFERROR(INDEX(tblDeviceConfig[Neuron Hostname],ROW()-1),"")</f>
      </c>
      <c r="G174">
        <f>IFERROR(INDEX(tblDeviceConfig[Software List],ROW()-1),"")</f>
      </c>
      <c r="H174">
        <f>IFERROR(INDEX(tblDeviceConfig[PI_Use_Case],ROW()-1),"")</f>
      </c>
      <c r="I174">
        <f>IFERROR(INDEX(tblDeviceConfig[PI_Result],ROW()-1),"")</f>
      </c>
      <c r="J174">
        <f>IFERROR(INDEX(tblDeviceConfig[PI_Validated_By],ROW()-1),"")</f>
      </c>
      <c r="K174">
        <f>IFERROR(INDEX(tblDeviceConfig[PI_Validated_Date],ROW()-1),"")</f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</c>
      <c r="C175">
        <f>IFERROR(INDEX(tblDeviceConfig[Deployed],ROW()-1),"")</f>
      </c>
      <c r="D175">
        <f>IFERROR(INDEX(tblDeviceConfig[Installed],ROW()-1),"")</f>
      </c>
      <c r="E175">
        <f>IFERROR(INDEX(tblDeviceConfig[Cybernet Hostname],ROW()-1),"")</f>
      </c>
      <c r="F175">
        <f>IFERROR(INDEX(tblDeviceConfig[Neuron Hostname],ROW()-1),"")</f>
      </c>
      <c r="G175">
        <f>IFERROR(INDEX(tblDeviceConfig[Software List],ROW()-1),"")</f>
      </c>
      <c r="H175">
        <f>IFERROR(INDEX(tblDeviceConfig[PI_Use_Case],ROW()-1),"")</f>
      </c>
      <c r="I175">
        <f>IFERROR(INDEX(tblDeviceConfig[PI_Result],ROW()-1),"")</f>
      </c>
      <c r="J175">
        <f>IFERROR(INDEX(tblDeviceConfig[PI_Validated_By],ROW()-1),"")</f>
      </c>
      <c r="K175">
        <f>IFERROR(INDEX(tblDeviceConfig[PI_Validated_Date],ROW()-1),"")</f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</c>
      <c r="C176">
        <f>IFERROR(INDEX(tblDeviceConfig[Deployed],ROW()-1),"")</f>
      </c>
      <c r="D176">
        <f>IFERROR(INDEX(tblDeviceConfig[Installed],ROW()-1),"")</f>
      </c>
      <c r="E176">
        <f>IFERROR(INDEX(tblDeviceConfig[Cybernet Hostname],ROW()-1),"")</f>
      </c>
      <c r="F176">
        <f>IFERROR(INDEX(tblDeviceConfig[Neuron Hostname],ROW()-1),"")</f>
      </c>
      <c r="G176">
        <f>IFERROR(INDEX(tblDeviceConfig[Software List],ROW()-1),"")</f>
      </c>
      <c r="H176">
        <f>IFERROR(INDEX(tblDeviceConfig[PI_Use_Case],ROW()-1),"")</f>
      </c>
      <c r="I176">
        <f>IFERROR(INDEX(tblDeviceConfig[PI_Result],ROW()-1),"")</f>
      </c>
      <c r="J176">
        <f>IFERROR(INDEX(tblDeviceConfig[PI_Validated_By],ROW()-1),"")</f>
      </c>
      <c r="K176">
        <f>IFERROR(INDEX(tblDeviceConfig[PI_Validated_Date],ROW()-1),"")</f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</c>
      <c r="C177">
        <f>IFERROR(INDEX(tblDeviceConfig[Deployed],ROW()-1),"")</f>
      </c>
      <c r="D177">
        <f>IFERROR(INDEX(tblDeviceConfig[Installed],ROW()-1),"")</f>
      </c>
      <c r="E177">
        <f>IFERROR(INDEX(tblDeviceConfig[Cybernet Hostname],ROW()-1),"")</f>
      </c>
      <c r="F177">
        <f>IFERROR(INDEX(tblDeviceConfig[Neuron Hostname],ROW()-1),"")</f>
      </c>
      <c r="G177">
        <f>IFERROR(INDEX(tblDeviceConfig[Software List],ROW()-1),"")</f>
      </c>
      <c r="H177">
        <f>IFERROR(INDEX(tblDeviceConfig[PI_Use_Case],ROW()-1),"")</f>
      </c>
      <c r="I177">
        <f>IFERROR(INDEX(tblDeviceConfig[PI_Result],ROW()-1),"")</f>
      </c>
      <c r="J177">
        <f>IFERROR(INDEX(tblDeviceConfig[PI_Validated_By],ROW()-1),"")</f>
      </c>
      <c r="K177">
        <f>IFERROR(INDEX(tblDeviceConfig[PI_Validated_Date],ROW()-1),"")</f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</c>
      <c r="C178">
        <f>IFERROR(INDEX(tblDeviceConfig[Deployed],ROW()-1),"")</f>
      </c>
      <c r="D178">
        <f>IFERROR(INDEX(tblDeviceConfig[Installed],ROW()-1),"")</f>
      </c>
      <c r="E178">
        <f>IFERROR(INDEX(tblDeviceConfig[Cybernet Hostname],ROW()-1),"")</f>
      </c>
      <c r="F178">
        <f>IFERROR(INDEX(tblDeviceConfig[Neuron Hostname],ROW()-1),"")</f>
      </c>
      <c r="G178">
        <f>IFERROR(INDEX(tblDeviceConfig[Software List],ROW()-1),"")</f>
      </c>
      <c r="H178">
        <f>IFERROR(INDEX(tblDeviceConfig[PI_Use_Case],ROW()-1),"")</f>
      </c>
      <c r="I178">
        <f>IFERROR(INDEX(tblDeviceConfig[PI_Result],ROW()-1),"")</f>
      </c>
      <c r="J178">
        <f>IFERROR(INDEX(tblDeviceConfig[PI_Validated_By],ROW()-1),"")</f>
      </c>
      <c r="K178">
        <f>IFERROR(INDEX(tblDeviceConfig[PI_Validated_Date],ROW()-1),"")</f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</c>
      <c r="C179">
        <f>IFERROR(INDEX(tblDeviceConfig[Deployed],ROW()-1),"")</f>
      </c>
      <c r="D179">
        <f>IFERROR(INDEX(tblDeviceConfig[Installed],ROW()-1),"")</f>
      </c>
      <c r="E179">
        <f>IFERROR(INDEX(tblDeviceConfig[Cybernet Hostname],ROW()-1),"")</f>
      </c>
      <c r="F179">
        <f>IFERROR(INDEX(tblDeviceConfig[Neuron Hostname],ROW()-1),"")</f>
      </c>
      <c r="G179">
        <f>IFERROR(INDEX(tblDeviceConfig[Software List],ROW()-1),"")</f>
      </c>
      <c r="H179">
        <f>IFERROR(INDEX(tblDeviceConfig[PI_Use_Case],ROW()-1),"")</f>
      </c>
      <c r="I179">
        <f>IFERROR(INDEX(tblDeviceConfig[PI_Result],ROW()-1),"")</f>
      </c>
      <c r="J179">
        <f>IFERROR(INDEX(tblDeviceConfig[PI_Validated_By],ROW()-1),"")</f>
      </c>
      <c r="K179">
        <f>IFERROR(INDEX(tblDeviceConfig[PI_Validated_Date],ROW()-1),"")</f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</c>
      <c r="C180">
        <f>IFERROR(INDEX(tblDeviceConfig[Deployed],ROW()-1),"")</f>
      </c>
      <c r="D180">
        <f>IFERROR(INDEX(tblDeviceConfig[Installed],ROW()-1),"")</f>
      </c>
      <c r="E180">
        <f>IFERROR(INDEX(tblDeviceConfig[Cybernet Hostname],ROW()-1),"")</f>
      </c>
      <c r="F180">
        <f>IFERROR(INDEX(tblDeviceConfig[Neuron Hostname],ROW()-1),"")</f>
      </c>
      <c r="G180">
        <f>IFERROR(INDEX(tblDeviceConfig[Software List],ROW()-1),"")</f>
      </c>
      <c r="H180">
        <f>IFERROR(INDEX(tblDeviceConfig[PI_Use_Case],ROW()-1),"")</f>
      </c>
      <c r="I180">
        <f>IFERROR(INDEX(tblDeviceConfig[PI_Result],ROW()-1),"")</f>
      </c>
      <c r="J180">
        <f>IFERROR(INDEX(tblDeviceConfig[PI_Validated_By],ROW()-1),"")</f>
      </c>
      <c r="K180">
        <f>IFERROR(INDEX(tblDeviceConfig[PI_Validated_Date],ROW()-1),"")</f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</c>
      <c r="C181">
        <f>IFERROR(INDEX(tblDeviceConfig[Deployed],ROW()-1),"")</f>
      </c>
      <c r="D181">
        <f>IFERROR(INDEX(tblDeviceConfig[Installed],ROW()-1),"")</f>
      </c>
      <c r="E181">
        <f>IFERROR(INDEX(tblDeviceConfig[Cybernet Hostname],ROW()-1),"")</f>
      </c>
      <c r="F181">
        <f>IFERROR(INDEX(tblDeviceConfig[Neuron Hostname],ROW()-1),"")</f>
      </c>
      <c r="G181">
        <f>IFERROR(INDEX(tblDeviceConfig[Software List],ROW()-1),"")</f>
      </c>
      <c r="H181">
        <f>IFERROR(INDEX(tblDeviceConfig[PI_Use_Case],ROW()-1),"")</f>
      </c>
      <c r="I181">
        <f>IFERROR(INDEX(tblDeviceConfig[PI_Result],ROW()-1),"")</f>
      </c>
      <c r="J181">
        <f>IFERROR(INDEX(tblDeviceConfig[PI_Validated_By],ROW()-1),"")</f>
      </c>
      <c r="K181">
        <f>IFERROR(INDEX(tblDeviceConfig[PI_Validated_Date],ROW()-1),"")</f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</c>
      <c r="C182">
        <f>IFERROR(INDEX(tblDeviceConfig[Deployed],ROW()-1),"")</f>
      </c>
      <c r="D182">
        <f>IFERROR(INDEX(tblDeviceConfig[Installed],ROW()-1),"")</f>
      </c>
      <c r="E182">
        <f>IFERROR(INDEX(tblDeviceConfig[Cybernet Hostname],ROW()-1),"")</f>
      </c>
      <c r="F182">
        <f>IFERROR(INDEX(tblDeviceConfig[Neuron Hostname],ROW()-1),"")</f>
      </c>
      <c r="G182">
        <f>IFERROR(INDEX(tblDeviceConfig[Software List],ROW()-1),"")</f>
      </c>
      <c r="H182">
        <f>IFERROR(INDEX(tblDeviceConfig[PI_Use_Case],ROW()-1),"")</f>
      </c>
      <c r="I182">
        <f>IFERROR(INDEX(tblDeviceConfig[PI_Result],ROW()-1),"")</f>
      </c>
      <c r="J182">
        <f>IFERROR(INDEX(tblDeviceConfig[PI_Validated_By],ROW()-1),"")</f>
      </c>
      <c r="K182">
        <f>IFERROR(INDEX(tblDeviceConfig[PI_Validated_Date],ROW()-1),"")</f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</c>
      <c r="C183">
        <f>IFERROR(INDEX(tblDeviceConfig[Deployed],ROW()-1),"")</f>
      </c>
      <c r="D183">
        <f>IFERROR(INDEX(tblDeviceConfig[Installed],ROW()-1),"")</f>
      </c>
      <c r="E183">
        <f>IFERROR(INDEX(tblDeviceConfig[Cybernet Hostname],ROW()-1),"")</f>
      </c>
      <c r="F183">
        <f>IFERROR(INDEX(tblDeviceConfig[Neuron Hostname],ROW()-1),"")</f>
      </c>
      <c r="G183">
        <f>IFERROR(INDEX(tblDeviceConfig[Software List],ROW()-1),"")</f>
      </c>
      <c r="H183">
        <f>IFERROR(INDEX(tblDeviceConfig[PI_Use_Case],ROW()-1),"")</f>
      </c>
      <c r="I183">
        <f>IFERROR(INDEX(tblDeviceConfig[PI_Result],ROW()-1),"")</f>
      </c>
      <c r="J183">
        <f>IFERROR(INDEX(tblDeviceConfig[PI_Validated_By],ROW()-1),"")</f>
      </c>
      <c r="K183">
        <f>IFERROR(INDEX(tblDeviceConfig[PI_Validated_Date],ROW()-1),"")</f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</c>
      <c r="C184">
        <f>IFERROR(INDEX(tblDeviceConfig[Deployed],ROW()-1),"")</f>
      </c>
      <c r="D184">
        <f>IFERROR(INDEX(tblDeviceConfig[Installed],ROW()-1),"")</f>
      </c>
      <c r="E184">
        <f>IFERROR(INDEX(tblDeviceConfig[Cybernet Hostname],ROW()-1),"")</f>
      </c>
      <c r="F184">
        <f>IFERROR(INDEX(tblDeviceConfig[Neuron Hostname],ROW()-1),"")</f>
      </c>
      <c r="G184">
        <f>IFERROR(INDEX(tblDeviceConfig[Software List],ROW()-1),"")</f>
      </c>
      <c r="H184">
        <f>IFERROR(INDEX(tblDeviceConfig[PI_Use_Case],ROW()-1),"")</f>
      </c>
      <c r="I184">
        <f>IFERROR(INDEX(tblDeviceConfig[PI_Result],ROW()-1),"")</f>
      </c>
      <c r="J184">
        <f>IFERROR(INDEX(tblDeviceConfig[PI_Validated_By],ROW()-1),"")</f>
      </c>
      <c r="K184">
        <f>IFERROR(INDEX(tblDeviceConfig[PI_Validated_Date],ROW()-1),"")</f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</c>
      <c r="C185">
        <f>IFERROR(INDEX(tblDeviceConfig[Deployed],ROW()-1),"")</f>
      </c>
      <c r="D185">
        <f>IFERROR(INDEX(tblDeviceConfig[Installed],ROW()-1),"")</f>
      </c>
      <c r="E185">
        <f>IFERROR(INDEX(tblDeviceConfig[Cybernet Hostname],ROW()-1),"")</f>
      </c>
      <c r="F185">
        <f>IFERROR(INDEX(tblDeviceConfig[Neuron Hostname],ROW()-1),"")</f>
      </c>
      <c r="G185">
        <f>IFERROR(INDEX(tblDeviceConfig[Software List],ROW()-1),"")</f>
      </c>
      <c r="H185">
        <f>IFERROR(INDEX(tblDeviceConfig[PI_Use_Case],ROW()-1),"")</f>
      </c>
      <c r="I185">
        <f>IFERROR(INDEX(tblDeviceConfig[PI_Result],ROW()-1),"")</f>
      </c>
      <c r="J185">
        <f>IFERROR(INDEX(tblDeviceConfig[PI_Validated_By],ROW()-1),"")</f>
      </c>
      <c r="K185">
        <f>IFERROR(INDEX(tblDeviceConfig[PI_Validated_Date],ROW()-1),"")</f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</c>
      <c r="C186">
        <f>IFERROR(INDEX(tblDeviceConfig[Deployed],ROW()-1),"")</f>
      </c>
      <c r="D186">
        <f>IFERROR(INDEX(tblDeviceConfig[Installed],ROW()-1),"")</f>
      </c>
      <c r="E186">
        <f>IFERROR(INDEX(tblDeviceConfig[Cybernet Hostname],ROW()-1),"")</f>
      </c>
      <c r="F186">
        <f>IFERROR(INDEX(tblDeviceConfig[Neuron Hostname],ROW()-1),"")</f>
      </c>
      <c r="G186">
        <f>IFERROR(INDEX(tblDeviceConfig[Software List],ROW()-1),"")</f>
      </c>
      <c r="H186">
        <f>IFERROR(INDEX(tblDeviceConfig[PI_Use_Case],ROW()-1),"")</f>
      </c>
      <c r="I186">
        <f>IFERROR(INDEX(tblDeviceConfig[PI_Result],ROW()-1),"")</f>
      </c>
      <c r="J186">
        <f>IFERROR(INDEX(tblDeviceConfig[PI_Validated_By],ROW()-1),"")</f>
      </c>
      <c r="K186">
        <f>IFERROR(INDEX(tblDeviceConfig[PI_Validated_Date],ROW()-1),"")</f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</c>
      <c r="C187">
        <f>IFERROR(INDEX(tblDeviceConfig[Deployed],ROW()-1),"")</f>
      </c>
      <c r="D187">
        <f>IFERROR(INDEX(tblDeviceConfig[Installed],ROW()-1),"")</f>
      </c>
      <c r="E187">
        <f>IFERROR(INDEX(tblDeviceConfig[Cybernet Hostname],ROW()-1),"")</f>
      </c>
      <c r="F187">
        <f>IFERROR(INDEX(tblDeviceConfig[Neuron Hostname],ROW()-1),"")</f>
      </c>
      <c r="G187">
        <f>IFERROR(INDEX(tblDeviceConfig[Software List],ROW()-1),"")</f>
      </c>
      <c r="H187">
        <f>IFERROR(INDEX(tblDeviceConfig[PI_Use_Case],ROW()-1),"")</f>
      </c>
      <c r="I187">
        <f>IFERROR(INDEX(tblDeviceConfig[PI_Result],ROW()-1),"")</f>
      </c>
      <c r="J187">
        <f>IFERROR(INDEX(tblDeviceConfig[PI_Validated_By],ROW()-1),"")</f>
      </c>
      <c r="K187">
        <f>IFERROR(INDEX(tblDeviceConfig[PI_Validated_Date],ROW()-1),"")</f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</c>
      <c r="C188">
        <f>IFERROR(INDEX(tblDeviceConfig[Deployed],ROW()-1),"")</f>
      </c>
      <c r="D188">
        <f>IFERROR(INDEX(tblDeviceConfig[Installed],ROW()-1),"")</f>
      </c>
      <c r="E188">
        <f>IFERROR(INDEX(tblDeviceConfig[Cybernet Hostname],ROW()-1),"")</f>
      </c>
      <c r="F188">
        <f>IFERROR(INDEX(tblDeviceConfig[Neuron Hostname],ROW()-1),"")</f>
      </c>
      <c r="G188">
        <f>IFERROR(INDEX(tblDeviceConfig[Software List],ROW()-1),"")</f>
      </c>
      <c r="H188">
        <f>IFERROR(INDEX(tblDeviceConfig[PI_Use_Case],ROW()-1),"")</f>
      </c>
      <c r="I188">
        <f>IFERROR(INDEX(tblDeviceConfig[PI_Result],ROW()-1),"")</f>
      </c>
      <c r="J188">
        <f>IFERROR(INDEX(tblDeviceConfig[PI_Validated_By],ROW()-1),"")</f>
      </c>
      <c r="K188">
        <f>IFERROR(INDEX(tblDeviceConfig[PI_Validated_Date],ROW()-1),"")</f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</c>
      <c r="C189">
        <f>IFERROR(INDEX(tblDeviceConfig[Deployed],ROW()-1),"")</f>
      </c>
      <c r="D189">
        <f>IFERROR(INDEX(tblDeviceConfig[Installed],ROW()-1),"")</f>
      </c>
      <c r="E189">
        <f>IFERROR(INDEX(tblDeviceConfig[Cybernet Hostname],ROW()-1),"")</f>
      </c>
      <c r="F189">
        <f>IFERROR(INDEX(tblDeviceConfig[Neuron Hostname],ROW()-1),"")</f>
      </c>
      <c r="G189">
        <f>IFERROR(INDEX(tblDeviceConfig[Software List],ROW()-1),"")</f>
      </c>
      <c r="H189">
        <f>IFERROR(INDEX(tblDeviceConfig[PI_Use_Case],ROW()-1),"")</f>
      </c>
      <c r="I189">
        <f>IFERROR(INDEX(tblDeviceConfig[PI_Result],ROW()-1),"")</f>
      </c>
      <c r="J189">
        <f>IFERROR(INDEX(tblDeviceConfig[PI_Validated_By],ROW()-1),"")</f>
      </c>
      <c r="K189">
        <f>IFERROR(INDEX(tblDeviceConfig[PI_Validated_Date],ROW()-1),"")</f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</c>
      <c r="C190">
        <f>IFERROR(INDEX(tblDeviceConfig[Deployed],ROW()-1),"")</f>
      </c>
      <c r="D190">
        <f>IFERROR(INDEX(tblDeviceConfig[Installed],ROW()-1),"")</f>
      </c>
      <c r="E190">
        <f>IFERROR(INDEX(tblDeviceConfig[Cybernet Hostname],ROW()-1),"")</f>
      </c>
      <c r="F190">
        <f>IFERROR(INDEX(tblDeviceConfig[Neuron Hostname],ROW()-1),"")</f>
      </c>
      <c r="G190">
        <f>IFERROR(INDEX(tblDeviceConfig[Software List],ROW()-1),"")</f>
      </c>
      <c r="H190">
        <f>IFERROR(INDEX(tblDeviceConfig[PI_Use_Case],ROW()-1),"")</f>
      </c>
      <c r="I190">
        <f>IFERROR(INDEX(tblDeviceConfig[PI_Result],ROW()-1),"")</f>
      </c>
      <c r="J190">
        <f>IFERROR(INDEX(tblDeviceConfig[PI_Validated_By],ROW()-1),"")</f>
      </c>
      <c r="K190">
        <f>IFERROR(INDEX(tblDeviceConfig[PI_Validated_Date],ROW()-1),"")</f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</c>
      <c r="C191">
        <f>IFERROR(INDEX(tblDeviceConfig[Deployed],ROW()-1),"")</f>
      </c>
      <c r="D191">
        <f>IFERROR(INDEX(tblDeviceConfig[Installed],ROW()-1),"")</f>
      </c>
      <c r="E191">
        <f>IFERROR(INDEX(tblDeviceConfig[Cybernet Hostname],ROW()-1),"")</f>
      </c>
      <c r="F191">
        <f>IFERROR(INDEX(tblDeviceConfig[Neuron Hostname],ROW()-1),"")</f>
      </c>
      <c r="G191">
        <f>IFERROR(INDEX(tblDeviceConfig[Software List],ROW()-1),"")</f>
      </c>
      <c r="H191">
        <f>IFERROR(INDEX(tblDeviceConfig[PI_Use_Case],ROW()-1),"")</f>
      </c>
      <c r="I191">
        <f>IFERROR(INDEX(tblDeviceConfig[PI_Result],ROW()-1),"")</f>
      </c>
      <c r="J191">
        <f>IFERROR(INDEX(tblDeviceConfig[PI_Validated_By],ROW()-1),"")</f>
      </c>
      <c r="K191">
        <f>IFERROR(INDEX(tblDeviceConfig[PI_Validated_Date],ROW()-1),"")</f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</c>
      <c r="C192">
        <f>IFERROR(INDEX(tblDeviceConfig[Deployed],ROW()-1),"")</f>
      </c>
      <c r="D192">
        <f>IFERROR(INDEX(tblDeviceConfig[Installed],ROW()-1),"")</f>
      </c>
      <c r="E192">
        <f>IFERROR(INDEX(tblDeviceConfig[Cybernet Hostname],ROW()-1),"")</f>
      </c>
      <c r="F192">
        <f>IFERROR(INDEX(tblDeviceConfig[Neuron Hostname],ROW()-1),"")</f>
      </c>
      <c r="G192">
        <f>IFERROR(INDEX(tblDeviceConfig[Software List],ROW()-1),"")</f>
      </c>
      <c r="H192">
        <f>IFERROR(INDEX(tblDeviceConfig[PI_Use_Case],ROW()-1),"")</f>
      </c>
      <c r="I192">
        <f>IFERROR(INDEX(tblDeviceConfig[PI_Result],ROW()-1),"")</f>
      </c>
      <c r="J192">
        <f>IFERROR(INDEX(tblDeviceConfig[PI_Validated_By],ROW()-1),"")</f>
      </c>
      <c r="K192">
        <f>IFERROR(INDEX(tblDeviceConfig[PI_Validated_Date],ROW()-1),"")</f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</c>
      <c r="C193">
        <f>IFERROR(INDEX(tblDeviceConfig[Deployed],ROW()-1),"")</f>
      </c>
      <c r="D193">
        <f>IFERROR(INDEX(tblDeviceConfig[Installed],ROW()-1),"")</f>
      </c>
      <c r="E193">
        <f>IFERROR(INDEX(tblDeviceConfig[Cybernet Hostname],ROW()-1),"")</f>
      </c>
      <c r="F193">
        <f>IFERROR(INDEX(tblDeviceConfig[Neuron Hostname],ROW()-1),"")</f>
      </c>
      <c r="G193">
        <f>IFERROR(INDEX(tblDeviceConfig[Software List],ROW()-1),"")</f>
      </c>
      <c r="H193">
        <f>IFERROR(INDEX(tblDeviceConfig[PI_Use_Case],ROW()-1),"")</f>
      </c>
      <c r="I193">
        <f>IFERROR(INDEX(tblDeviceConfig[PI_Result],ROW()-1),"")</f>
      </c>
      <c r="J193">
        <f>IFERROR(INDEX(tblDeviceConfig[PI_Validated_By],ROW()-1),"")</f>
      </c>
      <c r="K193">
        <f>IFERROR(INDEX(tblDeviceConfig[PI_Validated_Date],ROW()-1),"")</f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</c>
      <c r="C194">
        <f>IFERROR(INDEX(tblDeviceConfig[Deployed],ROW()-1),"")</f>
      </c>
      <c r="D194">
        <f>IFERROR(INDEX(tblDeviceConfig[Installed],ROW()-1),"")</f>
      </c>
      <c r="E194">
        <f>IFERROR(INDEX(tblDeviceConfig[Cybernet Hostname],ROW()-1),"")</f>
      </c>
      <c r="F194">
        <f>IFERROR(INDEX(tblDeviceConfig[Neuron Hostname],ROW()-1),"")</f>
      </c>
      <c r="G194">
        <f>IFERROR(INDEX(tblDeviceConfig[Software List],ROW()-1),"")</f>
      </c>
      <c r="H194">
        <f>IFERROR(INDEX(tblDeviceConfig[PI_Use_Case],ROW()-1),"")</f>
      </c>
      <c r="I194">
        <f>IFERROR(INDEX(tblDeviceConfig[PI_Result],ROW()-1),"")</f>
      </c>
      <c r="J194">
        <f>IFERROR(INDEX(tblDeviceConfig[PI_Validated_By],ROW()-1),"")</f>
      </c>
      <c r="K194">
        <f>IFERROR(INDEX(tblDeviceConfig[PI_Validated_Date],ROW()-1),"")</f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</c>
      <c r="C195">
        <f>IFERROR(INDEX(tblDeviceConfig[Deployed],ROW()-1),"")</f>
      </c>
      <c r="D195">
        <f>IFERROR(INDEX(tblDeviceConfig[Installed],ROW()-1),"")</f>
      </c>
      <c r="E195">
        <f>IFERROR(INDEX(tblDeviceConfig[Cybernet Hostname],ROW()-1),"")</f>
      </c>
      <c r="F195">
        <f>IFERROR(INDEX(tblDeviceConfig[Neuron Hostname],ROW()-1),"")</f>
      </c>
      <c r="G195">
        <f>IFERROR(INDEX(tblDeviceConfig[Software List],ROW()-1),"")</f>
      </c>
      <c r="H195">
        <f>IFERROR(INDEX(tblDeviceConfig[PI_Use_Case],ROW()-1),"")</f>
      </c>
      <c r="I195">
        <f>IFERROR(INDEX(tblDeviceConfig[PI_Result],ROW()-1),"")</f>
      </c>
      <c r="J195">
        <f>IFERROR(INDEX(tblDeviceConfig[PI_Validated_By],ROW()-1),"")</f>
      </c>
      <c r="K195">
        <f>IFERROR(INDEX(tblDeviceConfig[PI_Validated_Date],ROW()-1),"")</f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</c>
      <c r="C196">
        <f>IFERROR(INDEX(tblDeviceConfig[Deployed],ROW()-1),"")</f>
      </c>
      <c r="D196">
        <f>IFERROR(INDEX(tblDeviceConfig[Installed],ROW()-1),"")</f>
      </c>
      <c r="E196">
        <f>IFERROR(INDEX(tblDeviceConfig[Cybernet Hostname],ROW()-1),"")</f>
      </c>
      <c r="F196">
        <f>IFERROR(INDEX(tblDeviceConfig[Neuron Hostname],ROW()-1),"")</f>
      </c>
      <c r="G196">
        <f>IFERROR(INDEX(tblDeviceConfig[Software List],ROW()-1),"")</f>
      </c>
      <c r="H196">
        <f>IFERROR(INDEX(tblDeviceConfig[PI_Use_Case],ROW()-1),"")</f>
      </c>
      <c r="I196">
        <f>IFERROR(INDEX(tblDeviceConfig[PI_Result],ROW()-1),"")</f>
      </c>
      <c r="J196">
        <f>IFERROR(INDEX(tblDeviceConfig[PI_Validated_By],ROW()-1),"")</f>
      </c>
      <c r="K196">
        <f>IFERROR(INDEX(tblDeviceConfig[PI_Validated_Date],ROW()-1),"")</f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</c>
      <c r="C197">
        <f>IFERROR(INDEX(tblDeviceConfig[Deployed],ROW()-1),"")</f>
      </c>
      <c r="D197">
        <f>IFERROR(INDEX(tblDeviceConfig[Installed],ROW()-1),"")</f>
      </c>
      <c r="E197">
        <f>IFERROR(INDEX(tblDeviceConfig[Cybernet Hostname],ROW()-1),"")</f>
      </c>
      <c r="F197">
        <f>IFERROR(INDEX(tblDeviceConfig[Neuron Hostname],ROW()-1),"")</f>
      </c>
      <c r="G197">
        <f>IFERROR(INDEX(tblDeviceConfig[Software List],ROW()-1),"")</f>
      </c>
      <c r="H197">
        <f>IFERROR(INDEX(tblDeviceConfig[PI_Use_Case],ROW()-1),"")</f>
      </c>
      <c r="I197">
        <f>IFERROR(INDEX(tblDeviceConfig[PI_Result],ROW()-1),"")</f>
      </c>
      <c r="J197">
        <f>IFERROR(INDEX(tblDeviceConfig[PI_Validated_By],ROW()-1),"")</f>
      </c>
      <c r="K197">
        <f>IFERROR(INDEX(tblDeviceConfig[PI_Validated_Date],ROW()-1),"")</f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</c>
      <c r="C198">
        <f>IFERROR(INDEX(tblDeviceConfig[Deployed],ROW()-1),"")</f>
      </c>
      <c r="D198">
        <f>IFERROR(INDEX(tblDeviceConfig[Installed],ROW()-1),"")</f>
      </c>
      <c r="E198">
        <f>IFERROR(INDEX(tblDeviceConfig[Cybernet Hostname],ROW()-1),"")</f>
      </c>
      <c r="F198">
        <f>IFERROR(INDEX(tblDeviceConfig[Neuron Hostname],ROW()-1),"")</f>
      </c>
      <c r="G198">
        <f>IFERROR(INDEX(tblDeviceConfig[Software List],ROW()-1),"")</f>
      </c>
      <c r="H198">
        <f>IFERROR(INDEX(tblDeviceConfig[PI_Use_Case],ROW()-1),"")</f>
      </c>
      <c r="I198">
        <f>IFERROR(INDEX(tblDeviceConfig[PI_Result],ROW()-1),"")</f>
      </c>
      <c r="J198">
        <f>IFERROR(INDEX(tblDeviceConfig[PI_Validated_By],ROW()-1),"")</f>
      </c>
      <c r="K198">
        <f>IFERROR(INDEX(tblDeviceConfig[PI_Validated_Date],ROW()-1),"")</f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</c>
      <c r="C199">
        <f>IFERROR(INDEX(tblDeviceConfig[Deployed],ROW()-1),"")</f>
      </c>
      <c r="D199">
        <f>IFERROR(INDEX(tblDeviceConfig[Installed],ROW()-1),"")</f>
      </c>
      <c r="E199">
        <f>IFERROR(INDEX(tblDeviceConfig[Cybernet Hostname],ROW()-1),"")</f>
      </c>
      <c r="F199">
        <f>IFERROR(INDEX(tblDeviceConfig[Neuron Hostname],ROW()-1),"")</f>
      </c>
      <c r="G199">
        <f>IFERROR(INDEX(tblDeviceConfig[Software List],ROW()-1),"")</f>
      </c>
      <c r="H199">
        <f>IFERROR(INDEX(tblDeviceConfig[PI_Use_Case],ROW()-1),"")</f>
      </c>
      <c r="I199">
        <f>IFERROR(INDEX(tblDeviceConfig[PI_Result],ROW()-1),"")</f>
      </c>
      <c r="J199">
        <f>IFERROR(INDEX(tblDeviceConfig[PI_Validated_By],ROW()-1),"")</f>
      </c>
      <c r="K199">
        <f>IFERROR(INDEX(tblDeviceConfig[PI_Validated_Date],ROW()-1),"")</f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</c>
      <c r="C200">
        <f>IFERROR(INDEX(tblDeviceConfig[Deployed],ROW()-1),"")</f>
      </c>
      <c r="D200">
        <f>IFERROR(INDEX(tblDeviceConfig[Installed],ROW()-1),"")</f>
      </c>
      <c r="E200">
        <f>IFERROR(INDEX(tblDeviceConfig[Cybernet Hostname],ROW()-1),"")</f>
      </c>
      <c r="F200">
        <f>IFERROR(INDEX(tblDeviceConfig[Neuron Hostname],ROW()-1),"")</f>
      </c>
      <c r="G200">
        <f>IFERROR(INDEX(tblDeviceConfig[Software List],ROW()-1),"")</f>
      </c>
      <c r="H200">
        <f>IFERROR(INDEX(tblDeviceConfig[PI_Use_Case],ROW()-1),"")</f>
      </c>
      <c r="I200">
        <f>IFERROR(INDEX(tblDeviceConfig[PI_Result],ROW()-1),"")</f>
      </c>
      <c r="J200">
        <f>IFERROR(INDEX(tblDeviceConfig[PI_Validated_By],ROW()-1),"")</f>
      </c>
      <c r="K200">
        <f>IFERROR(INDEX(tblDeviceConfig[PI_Validated_Date],ROW()-1),"")</f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</c>
      <c r="C201">
        <f>IFERROR(INDEX(tblDeviceConfig[Deployed],ROW()-1),"")</f>
      </c>
      <c r="D201">
        <f>IFERROR(INDEX(tblDeviceConfig[Installed],ROW()-1),"")</f>
      </c>
      <c r="E201">
        <f>IFERROR(INDEX(tblDeviceConfig[Cybernet Hostname],ROW()-1),"")</f>
      </c>
      <c r="F201">
        <f>IFERROR(INDEX(tblDeviceConfig[Neuron Hostname],ROW()-1),"")</f>
      </c>
      <c r="G201">
        <f>IFERROR(INDEX(tblDeviceConfig[Software List],ROW()-1),"")</f>
      </c>
      <c r="H201">
        <f>IFERROR(INDEX(tblDeviceConfig[PI_Use_Case],ROW()-1),"")</f>
      </c>
      <c r="I201">
        <f>IFERROR(INDEX(tblDeviceConfig[PI_Result],ROW()-1),"")</f>
      </c>
      <c r="J201">
        <f>IFERROR(INDEX(tblDeviceConfig[PI_Validated_By],ROW()-1),"")</f>
      </c>
      <c r="K201">
        <f>IFERROR(INDEX(tblDeviceConfig[PI_Validated_Date],ROW()-1),"")</f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</c>
      <c r="C202">
        <f>IFERROR(INDEX(tblDeviceConfig[Deployed],ROW()-1),"")</f>
      </c>
      <c r="D202">
        <f>IFERROR(INDEX(tblDeviceConfig[Installed],ROW()-1),"")</f>
      </c>
      <c r="E202">
        <f>IFERROR(INDEX(tblDeviceConfig[Cybernet Hostname],ROW()-1),"")</f>
      </c>
      <c r="F202">
        <f>IFERROR(INDEX(tblDeviceConfig[Neuron Hostname],ROW()-1),"")</f>
      </c>
      <c r="G202">
        <f>IFERROR(INDEX(tblDeviceConfig[Software List],ROW()-1),"")</f>
      </c>
      <c r="H202">
        <f>IFERROR(INDEX(tblDeviceConfig[PI_Use_Case],ROW()-1),"")</f>
      </c>
      <c r="I202">
        <f>IFERROR(INDEX(tblDeviceConfig[PI_Result],ROW()-1),"")</f>
      </c>
      <c r="J202">
        <f>IFERROR(INDEX(tblDeviceConfig[PI_Validated_By],ROW()-1),"")</f>
      </c>
      <c r="K202">
        <f>IFERROR(INDEX(tblDeviceConfig[PI_Validated_Date],ROW()-1),"")</f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</c>
      <c r="C203">
        <f>IFERROR(INDEX(tblDeviceConfig[Deployed],ROW()-1),"")</f>
      </c>
      <c r="D203">
        <f>IFERROR(INDEX(tblDeviceConfig[Installed],ROW()-1),"")</f>
      </c>
      <c r="E203">
        <f>IFERROR(INDEX(tblDeviceConfig[Cybernet Hostname],ROW()-1),"")</f>
      </c>
      <c r="F203">
        <f>IFERROR(INDEX(tblDeviceConfig[Neuron Hostname],ROW()-1),"")</f>
      </c>
      <c r="G203">
        <f>IFERROR(INDEX(tblDeviceConfig[Software List],ROW()-1),"")</f>
      </c>
      <c r="H203">
        <f>IFERROR(INDEX(tblDeviceConfig[PI_Use_Case],ROW()-1),"")</f>
      </c>
      <c r="I203">
        <f>IFERROR(INDEX(tblDeviceConfig[PI_Result],ROW()-1),"")</f>
      </c>
      <c r="J203">
        <f>IFERROR(INDEX(tblDeviceConfig[PI_Validated_By],ROW()-1),"")</f>
      </c>
      <c r="K203">
        <f>IFERROR(INDEX(tblDeviceConfig[PI_Validated_Date],ROW()-1),"")</f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</c>
      <c r="C204">
        <f>IFERROR(INDEX(tblDeviceConfig[Deployed],ROW()-1),"")</f>
      </c>
      <c r="D204">
        <f>IFERROR(INDEX(tblDeviceConfig[Installed],ROW()-1),"")</f>
      </c>
      <c r="E204">
        <f>IFERROR(INDEX(tblDeviceConfig[Cybernet Hostname],ROW()-1),"")</f>
      </c>
      <c r="F204">
        <f>IFERROR(INDEX(tblDeviceConfig[Neuron Hostname],ROW()-1),"")</f>
      </c>
      <c r="G204">
        <f>IFERROR(INDEX(tblDeviceConfig[Software List],ROW()-1),"")</f>
      </c>
      <c r="H204">
        <f>IFERROR(INDEX(tblDeviceConfig[PI_Use_Case],ROW()-1),"")</f>
      </c>
      <c r="I204">
        <f>IFERROR(INDEX(tblDeviceConfig[PI_Result],ROW()-1),"")</f>
      </c>
      <c r="J204">
        <f>IFERROR(INDEX(tblDeviceConfig[PI_Validated_By],ROW()-1),"")</f>
      </c>
      <c r="K204">
        <f>IFERROR(INDEX(tblDeviceConfig[PI_Validated_Date],ROW()-1),"")</f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</c>
      <c r="C205">
        <f>IFERROR(INDEX(tblDeviceConfig[Deployed],ROW()-1),"")</f>
      </c>
      <c r="D205">
        <f>IFERROR(INDEX(tblDeviceConfig[Installed],ROW()-1),"")</f>
      </c>
      <c r="E205">
        <f>IFERROR(INDEX(tblDeviceConfig[Cybernet Hostname],ROW()-1),"")</f>
      </c>
      <c r="F205">
        <f>IFERROR(INDEX(tblDeviceConfig[Neuron Hostname],ROW()-1),"")</f>
      </c>
      <c r="G205">
        <f>IFERROR(INDEX(tblDeviceConfig[Software List],ROW()-1),"")</f>
      </c>
      <c r="H205">
        <f>IFERROR(INDEX(tblDeviceConfig[PI_Use_Case],ROW()-1),"")</f>
      </c>
      <c r="I205">
        <f>IFERROR(INDEX(tblDeviceConfig[PI_Result],ROW()-1),"")</f>
      </c>
      <c r="J205">
        <f>IFERROR(INDEX(tblDeviceConfig[PI_Validated_By],ROW()-1),"")</f>
      </c>
      <c r="K205">
        <f>IFERROR(INDEX(tblDeviceConfig[PI_Validated_Date],ROW()-1),"")</f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</c>
      <c r="C206">
        <f>IFERROR(INDEX(tblDeviceConfig[Deployed],ROW()-1),"")</f>
      </c>
      <c r="D206">
        <f>IFERROR(INDEX(tblDeviceConfig[Installed],ROW()-1),"")</f>
      </c>
      <c r="E206">
        <f>IFERROR(INDEX(tblDeviceConfig[Cybernet Hostname],ROW()-1),"")</f>
      </c>
      <c r="F206">
        <f>IFERROR(INDEX(tblDeviceConfig[Neuron Hostname],ROW()-1),"")</f>
      </c>
      <c r="G206">
        <f>IFERROR(INDEX(tblDeviceConfig[Software List],ROW()-1),"")</f>
      </c>
      <c r="H206">
        <f>IFERROR(INDEX(tblDeviceConfig[PI_Use_Case],ROW()-1),"")</f>
      </c>
      <c r="I206">
        <f>IFERROR(INDEX(tblDeviceConfig[PI_Result],ROW()-1),"")</f>
      </c>
      <c r="J206">
        <f>IFERROR(INDEX(tblDeviceConfig[PI_Validated_By],ROW()-1),"")</f>
      </c>
      <c r="K206">
        <f>IFERROR(INDEX(tblDeviceConfig[PI_Validated_Date],ROW()-1),"")</f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</c>
      <c r="C207">
        <f>IFERROR(INDEX(tblDeviceConfig[Deployed],ROW()-1),"")</f>
      </c>
      <c r="D207">
        <f>IFERROR(INDEX(tblDeviceConfig[Installed],ROW()-1),"")</f>
      </c>
      <c r="E207">
        <f>IFERROR(INDEX(tblDeviceConfig[Cybernet Hostname],ROW()-1),"")</f>
      </c>
      <c r="F207">
        <f>IFERROR(INDEX(tblDeviceConfig[Neuron Hostname],ROW()-1),"")</f>
      </c>
      <c r="G207">
        <f>IFERROR(INDEX(tblDeviceConfig[Software List],ROW()-1),"")</f>
      </c>
      <c r="H207">
        <f>IFERROR(INDEX(tblDeviceConfig[PI_Use_Case],ROW()-1),"")</f>
      </c>
      <c r="I207">
        <f>IFERROR(INDEX(tblDeviceConfig[PI_Result],ROW()-1),"")</f>
      </c>
      <c r="J207">
        <f>IFERROR(INDEX(tblDeviceConfig[PI_Validated_By],ROW()-1),"")</f>
      </c>
      <c r="K207">
        <f>IFERROR(INDEX(tblDeviceConfig[PI_Validated_Date],ROW()-1),"")</f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</c>
      <c r="C208">
        <f>IFERROR(INDEX(tblDeviceConfig[Deployed],ROW()-1),"")</f>
      </c>
      <c r="D208">
        <f>IFERROR(INDEX(tblDeviceConfig[Installed],ROW()-1),"")</f>
      </c>
      <c r="E208">
        <f>IFERROR(INDEX(tblDeviceConfig[Cybernet Hostname],ROW()-1),"")</f>
      </c>
      <c r="F208">
        <f>IFERROR(INDEX(tblDeviceConfig[Neuron Hostname],ROW()-1),"")</f>
      </c>
      <c r="G208">
        <f>IFERROR(INDEX(tblDeviceConfig[Software List],ROW()-1),"")</f>
      </c>
      <c r="H208">
        <f>IFERROR(INDEX(tblDeviceConfig[PI_Use_Case],ROW()-1),"")</f>
      </c>
      <c r="I208">
        <f>IFERROR(INDEX(tblDeviceConfig[PI_Result],ROW()-1),"")</f>
      </c>
      <c r="J208">
        <f>IFERROR(INDEX(tblDeviceConfig[PI_Validated_By],ROW()-1),"")</f>
      </c>
      <c r="K208">
        <f>IFERROR(INDEX(tblDeviceConfig[PI_Validated_Date],ROW()-1),"")</f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</c>
      <c r="C209">
        <f>IFERROR(INDEX(tblDeviceConfig[Deployed],ROW()-1),"")</f>
      </c>
      <c r="D209">
        <f>IFERROR(INDEX(tblDeviceConfig[Installed],ROW()-1),"")</f>
      </c>
      <c r="E209">
        <f>IFERROR(INDEX(tblDeviceConfig[Cybernet Hostname],ROW()-1),"")</f>
      </c>
      <c r="F209">
        <f>IFERROR(INDEX(tblDeviceConfig[Neuron Hostname],ROW()-1),"")</f>
      </c>
      <c r="G209">
        <f>IFERROR(INDEX(tblDeviceConfig[Software List],ROW()-1),"")</f>
      </c>
      <c r="H209">
        <f>IFERROR(INDEX(tblDeviceConfig[PI_Use_Case],ROW()-1),"")</f>
      </c>
      <c r="I209">
        <f>IFERROR(INDEX(tblDeviceConfig[PI_Result],ROW()-1),"")</f>
      </c>
      <c r="J209">
        <f>IFERROR(INDEX(tblDeviceConfig[PI_Validated_By],ROW()-1),"")</f>
      </c>
      <c r="K209">
        <f>IFERROR(INDEX(tblDeviceConfig[PI_Validated_Date],ROW()-1),"")</f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</c>
      <c r="C210">
        <f>IFERROR(INDEX(tblDeviceConfig[Deployed],ROW()-1),"")</f>
      </c>
      <c r="D210">
        <f>IFERROR(INDEX(tblDeviceConfig[Installed],ROW()-1),"")</f>
      </c>
      <c r="E210">
        <f>IFERROR(INDEX(tblDeviceConfig[Cybernet Hostname],ROW()-1),"")</f>
      </c>
      <c r="F210">
        <f>IFERROR(INDEX(tblDeviceConfig[Neuron Hostname],ROW()-1),"")</f>
      </c>
      <c r="G210">
        <f>IFERROR(INDEX(tblDeviceConfig[Software List],ROW()-1),"")</f>
      </c>
      <c r="H210">
        <f>IFERROR(INDEX(tblDeviceConfig[PI_Use_Case],ROW()-1),"")</f>
      </c>
      <c r="I210">
        <f>IFERROR(INDEX(tblDeviceConfig[PI_Result],ROW()-1),"")</f>
      </c>
      <c r="J210">
        <f>IFERROR(INDEX(tblDeviceConfig[PI_Validated_By],ROW()-1),"")</f>
      </c>
      <c r="K210">
        <f>IFERROR(INDEX(tblDeviceConfig[PI_Validated_Date],ROW()-1),"")</f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</c>
      <c r="C211">
        <f>IFERROR(INDEX(tblDeviceConfig[Deployed],ROW()-1),"")</f>
      </c>
      <c r="D211">
        <f>IFERROR(INDEX(tblDeviceConfig[Installed],ROW()-1),"")</f>
      </c>
      <c r="E211">
        <f>IFERROR(INDEX(tblDeviceConfig[Cybernet Hostname],ROW()-1),"")</f>
      </c>
      <c r="F211">
        <f>IFERROR(INDEX(tblDeviceConfig[Neuron Hostname],ROW()-1),"")</f>
      </c>
      <c r="G211">
        <f>IFERROR(INDEX(tblDeviceConfig[Software List],ROW()-1),"")</f>
      </c>
      <c r="H211">
        <f>IFERROR(INDEX(tblDeviceConfig[PI_Use_Case],ROW()-1),"")</f>
      </c>
      <c r="I211">
        <f>IFERROR(INDEX(tblDeviceConfig[PI_Result],ROW()-1),"")</f>
      </c>
      <c r="J211">
        <f>IFERROR(INDEX(tblDeviceConfig[PI_Validated_By],ROW()-1),"")</f>
      </c>
      <c r="K211">
        <f>IFERROR(INDEX(tblDeviceConfig[PI_Validated_Date],ROW()-1),"")</f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</c>
      <c r="C212">
        <f>IFERROR(INDEX(tblDeviceConfig[Deployed],ROW()-1),"")</f>
      </c>
      <c r="D212">
        <f>IFERROR(INDEX(tblDeviceConfig[Installed],ROW()-1),"")</f>
      </c>
      <c r="E212">
        <f>IFERROR(INDEX(tblDeviceConfig[Cybernet Hostname],ROW()-1),"")</f>
      </c>
      <c r="F212">
        <f>IFERROR(INDEX(tblDeviceConfig[Neuron Hostname],ROW()-1),"")</f>
      </c>
      <c r="G212">
        <f>IFERROR(INDEX(tblDeviceConfig[Software List],ROW()-1),"")</f>
      </c>
      <c r="H212">
        <f>IFERROR(INDEX(tblDeviceConfig[PI_Use_Case],ROW()-1),"")</f>
      </c>
      <c r="I212">
        <f>IFERROR(INDEX(tblDeviceConfig[PI_Result],ROW()-1),"")</f>
      </c>
      <c r="J212">
        <f>IFERROR(INDEX(tblDeviceConfig[PI_Validated_By],ROW()-1),"")</f>
      </c>
      <c r="K212">
        <f>IFERROR(INDEX(tblDeviceConfig[PI_Validated_Date],ROW()-1),"")</f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</c>
      <c r="C213">
        <f>IFERROR(INDEX(tblDeviceConfig[Deployed],ROW()-1),"")</f>
      </c>
      <c r="D213">
        <f>IFERROR(INDEX(tblDeviceConfig[Installed],ROW()-1),"")</f>
      </c>
      <c r="E213">
        <f>IFERROR(INDEX(tblDeviceConfig[Cybernet Hostname],ROW()-1),"")</f>
      </c>
      <c r="F213">
        <f>IFERROR(INDEX(tblDeviceConfig[Neuron Hostname],ROW()-1),"")</f>
      </c>
      <c r="G213">
        <f>IFERROR(INDEX(tblDeviceConfig[Software List],ROW()-1),"")</f>
      </c>
      <c r="H213">
        <f>IFERROR(INDEX(tblDeviceConfig[PI_Use_Case],ROW()-1),"")</f>
      </c>
      <c r="I213">
        <f>IFERROR(INDEX(tblDeviceConfig[PI_Result],ROW()-1),"")</f>
      </c>
      <c r="J213">
        <f>IFERROR(INDEX(tblDeviceConfig[PI_Validated_By],ROW()-1),"")</f>
      </c>
      <c r="K213">
        <f>IFERROR(INDEX(tblDeviceConfig[PI_Validated_Date],ROW()-1),"")</f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</c>
      <c r="C214">
        <f>IFERROR(INDEX(tblDeviceConfig[Deployed],ROW()-1),"")</f>
      </c>
      <c r="D214">
        <f>IFERROR(INDEX(tblDeviceConfig[Installed],ROW()-1),"")</f>
      </c>
      <c r="E214">
        <f>IFERROR(INDEX(tblDeviceConfig[Cybernet Hostname],ROW()-1),"")</f>
      </c>
      <c r="F214">
        <f>IFERROR(INDEX(tblDeviceConfig[Neuron Hostname],ROW()-1),"")</f>
      </c>
      <c r="G214">
        <f>IFERROR(INDEX(tblDeviceConfig[Software List],ROW()-1),"")</f>
      </c>
      <c r="H214">
        <f>IFERROR(INDEX(tblDeviceConfig[PI_Use_Case],ROW()-1),"")</f>
      </c>
      <c r="I214">
        <f>IFERROR(INDEX(tblDeviceConfig[PI_Result],ROW()-1),"")</f>
      </c>
      <c r="J214">
        <f>IFERROR(INDEX(tblDeviceConfig[PI_Validated_By],ROW()-1),"")</f>
      </c>
      <c r="K214">
        <f>IFERROR(INDEX(tblDeviceConfig[PI_Validated_Date],ROW()-1),"")</f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</c>
      <c r="C215">
        <f>IFERROR(INDEX(tblDeviceConfig[Deployed],ROW()-1),"")</f>
      </c>
      <c r="D215">
        <f>IFERROR(INDEX(tblDeviceConfig[Installed],ROW()-1),"")</f>
      </c>
      <c r="E215">
        <f>IFERROR(INDEX(tblDeviceConfig[Cybernet Hostname],ROW()-1),"")</f>
      </c>
      <c r="F215">
        <f>IFERROR(INDEX(tblDeviceConfig[Neuron Hostname],ROW()-1),"")</f>
      </c>
      <c r="G215">
        <f>IFERROR(INDEX(tblDeviceConfig[Software List],ROW()-1),"")</f>
      </c>
      <c r="H215">
        <f>IFERROR(INDEX(tblDeviceConfig[PI_Use_Case],ROW()-1),"")</f>
      </c>
      <c r="I215">
        <f>IFERROR(INDEX(tblDeviceConfig[PI_Result],ROW()-1),"")</f>
      </c>
      <c r="J215">
        <f>IFERROR(INDEX(tblDeviceConfig[PI_Validated_By],ROW()-1),"")</f>
      </c>
      <c r="K215">
        <f>IFERROR(INDEX(tblDeviceConfig[PI_Validated_Date],ROW()-1),"")</f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</c>
      <c r="C216">
        <f>IFERROR(INDEX(tblDeviceConfig[Deployed],ROW()-1),"")</f>
      </c>
      <c r="D216">
        <f>IFERROR(INDEX(tblDeviceConfig[Installed],ROW()-1),"")</f>
      </c>
      <c r="E216">
        <f>IFERROR(INDEX(tblDeviceConfig[Cybernet Hostname],ROW()-1),"")</f>
      </c>
      <c r="F216">
        <f>IFERROR(INDEX(tblDeviceConfig[Neuron Hostname],ROW()-1),"")</f>
      </c>
      <c r="G216">
        <f>IFERROR(INDEX(tblDeviceConfig[Software List],ROW()-1),"")</f>
      </c>
      <c r="H216">
        <f>IFERROR(INDEX(tblDeviceConfig[PI_Use_Case],ROW()-1),"")</f>
      </c>
      <c r="I216">
        <f>IFERROR(INDEX(tblDeviceConfig[PI_Result],ROW()-1),"")</f>
      </c>
      <c r="J216">
        <f>IFERROR(INDEX(tblDeviceConfig[PI_Validated_By],ROW()-1),"")</f>
      </c>
      <c r="K216">
        <f>IFERROR(INDEX(tblDeviceConfig[PI_Validated_Date],ROW()-1),"")</f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</c>
      <c r="C217">
        <f>IFERROR(INDEX(tblDeviceConfig[Deployed],ROW()-1),"")</f>
      </c>
      <c r="D217">
        <f>IFERROR(INDEX(tblDeviceConfig[Installed],ROW()-1),"")</f>
      </c>
      <c r="E217">
        <f>IFERROR(INDEX(tblDeviceConfig[Cybernet Hostname],ROW()-1),"")</f>
      </c>
      <c r="F217">
        <f>IFERROR(INDEX(tblDeviceConfig[Neuron Hostname],ROW()-1),"")</f>
      </c>
      <c r="G217">
        <f>IFERROR(INDEX(tblDeviceConfig[Software List],ROW()-1),"")</f>
      </c>
      <c r="H217">
        <f>IFERROR(INDEX(tblDeviceConfig[PI_Use_Case],ROW()-1),"")</f>
      </c>
      <c r="I217">
        <f>IFERROR(INDEX(tblDeviceConfig[PI_Result],ROW()-1),"")</f>
      </c>
      <c r="J217">
        <f>IFERROR(INDEX(tblDeviceConfig[PI_Validated_By],ROW()-1),"")</f>
      </c>
      <c r="K217">
        <f>IFERROR(INDEX(tblDeviceConfig[PI_Validated_Date],ROW()-1),"")</f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</c>
      <c r="C218">
        <f>IFERROR(INDEX(tblDeviceConfig[Deployed],ROW()-1),"")</f>
      </c>
      <c r="D218">
        <f>IFERROR(INDEX(tblDeviceConfig[Installed],ROW()-1),"")</f>
      </c>
      <c r="E218">
        <f>IFERROR(INDEX(tblDeviceConfig[Cybernet Hostname],ROW()-1),"")</f>
      </c>
      <c r="F218">
        <f>IFERROR(INDEX(tblDeviceConfig[Neuron Hostname],ROW()-1),"")</f>
      </c>
      <c r="G218">
        <f>IFERROR(INDEX(tblDeviceConfig[Software List],ROW()-1),"")</f>
      </c>
      <c r="H218">
        <f>IFERROR(INDEX(tblDeviceConfig[PI_Use_Case],ROW()-1),"")</f>
      </c>
      <c r="I218">
        <f>IFERROR(INDEX(tblDeviceConfig[PI_Result],ROW()-1),"")</f>
      </c>
      <c r="J218">
        <f>IFERROR(INDEX(tblDeviceConfig[PI_Validated_By],ROW()-1),"")</f>
      </c>
      <c r="K218">
        <f>IFERROR(INDEX(tblDeviceConfig[PI_Validated_Date],ROW()-1),"")</f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</c>
      <c r="C219">
        <f>IFERROR(INDEX(tblDeviceConfig[Deployed],ROW()-1),"")</f>
      </c>
      <c r="D219">
        <f>IFERROR(INDEX(tblDeviceConfig[Installed],ROW()-1),"")</f>
      </c>
      <c r="E219">
        <f>IFERROR(INDEX(tblDeviceConfig[Cybernet Hostname],ROW()-1),"")</f>
      </c>
      <c r="F219">
        <f>IFERROR(INDEX(tblDeviceConfig[Neuron Hostname],ROW()-1),"")</f>
      </c>
      <c r="G219">
        <f>IFERROR(INDEX(tblDeviceConfig[Software List],ROW()-1),"")</f>
      </c>
      <c r="H219">
        <f>IFERROR(INDEX(tblDeviceConfig[PI_Use_Case],ROW()-1),"")</f>
      </c>
      <c r="I219">
        <f>IFERROR(INDEX(tblDeviceConfig[PI_Result],ROW()-1),"")</f>
      </c>
      <c r="J219">
        <f>IFERROR(INDEX(tblDeviceConfig[PI_Validated_By],ROW()-1),"")</f>
      </c>
      <c r="K219">
        <f>IFERROR(INDEX(tblDeviceConfig[PI_Validated_Date],ROW()-1),"")</f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</c>
      <c r="C220">
        <f>IFERROR(INDEX(tblDeviceConfig[Deployed],ROW()-1),"")</f>
      </c>
      <c r="D220">
        <f>IFERROR(INDEX(tblDeviceConfig[Installed],ROW()-1),"")</f>
      </c>
      <c r="E220">
        <f>IFERROR(INDEX(tblDeviceConfig[Cybernet Hostname],ROW()-1),"")</f>
      </c>
      <c r="F220">
        <f>IFERROR(INDEX(tblDeviceConfig[Neuron Hostname],ROW()-1),"")</f>
      </c>
      <c r="G220">
        <f>IFERROR(INDEX(tblDeviceConfig[Software List],ROW()-1),"")</f>
      </c>
      <c r="H220">
        <f>IFERROR(INDEX(tblDeviceConfig[PI_Use_Case],ROW()-1),"")</f>
      </c>
      <c r="I220">
        <f>IFERROR(INDEX(tblDeviceConfig[PI_Result],ROW()-1),"")</f>
      </c>
      <c r="J220">
        <f>IFERROR(INDEX(tblDeviceConfig[PI_Validated_By],ROW()-1),"")</f>
      </c>
      <c r="K220">
        <f>IFERROR(INDEX(tblDeviceConfig[PI_Validated_Date],ROW()-1),"")</f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</c>
      <c r="C221">
        <f>IFERROR(INDEX(tblDeviceConfig[Deployed],ROW()-1),"")</f>
      </c>
      <c r="D221">
        <f>IFERROR(INDEX(tblDeviceConfig[Installed],ROW()-1),"")</f>
      </c>
      <c r="E221">
        <f>IFERROR(INDEX(tblDeviceConfig[Cybernet Hostname],ROW()-1),"")</f>
      </c>
      <c r="F221">
        <f>IFERROR(INDEX(tblDeviceConfig[Neuron Hostname],ROW()-1),"")</f>
      </c>
      <c r="G221">
        <f>IFERROR(INDEX(tblDeviceConfig[Software List],ROW()-1),"")</f>
      </c>
      <c r="H221">
        <f>IFERROR(INDEX(tblDeviceConfig[PI_Use_Case],ROW()-1),"")</f>
      </c>
      <c r="I221">
        <f>IFERROR(INDEX(tblDeviceConfig[PI_Result],ROW()-1),"")</f>
      </c>
      <c r="J221">
        <f>IFERROR(INDEX(tblDeviceConfig[PI_Validated_By],ROW()-1),"")</f>
      </c>
      <c r="K221">
        <f>IFERROR(INDEX(tblDeviceConfig[PI_Validated_Date],ROW()-1),"")</f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</c>
      <c r="C222">
        <f>IFERROR(INDEX(tblDeviceConfig[Deployed],ROW()-1),"")</f>
      </c>
      <c r="D222">
        <f>IFERROR(INDEX(tblDeviceConfig[Installed],ROW()-1),"")</f>
      </c>
      <c r="E222">
        <f>IFERROR(INDEX(tblDeviceConfig[Cybernet Hostname],ROW()-1),"")</f>
      </c>
      <c r="F222">
        <f>IFERROR(INDEX(tblDeviceConfig[Neuron Hostname],ROW()-1),"")</f>
      </c>
      <c r="G222">
        <f>IFERROR(INDEX(tblDeviceConfig[Software List],ROW()-1),"")</f>
      </c>
      <c r="H222">
        <f>IFERROR(INDEX(tblDeviceConfig[PI_Use_Case],ROW()-1),"")</f>
      </c>
      <c r="I222">
        <f>IFERROR(INDEX(tblDeviceConfig[PI_Result],ROW()-1),"")</f>
      </c>
      <c r="J222">
        <f>IFERROR(INDEX(tblDeviceConfig[PI_Validated_By],ROW()-1),"")</f>
      </c>
      <c r="K222">
        <f>IFERROR(INDEX(tblDeviceConfig[PI_Validated_Date],ROW()-1),"")</f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</c>
      <c r="C223">
        <f>IFERROR(INDEX(tblDeviceConfig[Deployed],ROW()-1),"")</f>
      </c>
      <c r="D223">
        <f>IFERROR(INDEX(tblDeviceConfig[Installed],ROW()-1),"")</f>
      </c>
      <c r="E223">
        <f>IFERROR(INDEX(tblDeviceConfig[Cybernet Hostname],ROW()-1),"")</f>
      </c>
      <c r="F223">
        <f>IFERROR(INDEX(tblDeviceConfig[Neuron Hostname],ROW()-1),"")</f>
      </c>
      <c r="G223">
        <f>IFERROR(INDEX(tblDeviceConfig[Software List],ROW()-1),"")</f>
      </c>
      <c r="H223">
        <f>IFERROR(INDEX(tblDeviceConfig[PI_Use_Case],ROW()-1),"")</f>
      </c>
      <c r="I223">
        <f>IFERROR(INDEX(tblDeviceConfig[PI_Result],ROW()-1),"")</f>
      </c>
      <c r="J223">
        <f>IFERROR(INDEX(tblDeviceConfig[PI_Validated_By],ROW()-1),"")</f>
      </c>
      <c r="K223">
        <f>IFERROR(INDEX(tblDeviceConfig[PI_Validated_Date],ROW()-1),"")</f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</c>
      <c r="C224">
        <f>IFERROR(INDEX(tblDeviceConfig[Deployed],ROW()-1),"")</f>
      </c>
      <c r="D224">
        <f>IFERROR(INDEX(tblDeviceConfig[Installed],ROW()-1),"")</f>
      </c>
      <c r="E224">
        <f>IFERROR(INDEX(tblDeviceConfig[Cybernet Hostname],ROW()-1),"")</f>
      </c>
      <c r="F224">
        <f>IFERROR(INDEX(tblDeviceConfig[Neuron Hostname],ROW()-1),"")</f>
      </c>
      <c r="G224">
        <f>IFERROR(INDEX(tblDeviceConfig[Software List],ROW()-1),"")</f>
      </c>
      <c r="H224">
        <f>IFERROR(INDEX(tblDeviceConfig[PI_Use_Case],ROW()-1),"")</f>
      </c>
      <c r="I224">
        <f>IFERROR(INDEX(tblDeviceConfig[PI_Result],ROW()-1),"")</f>
      </c>
      <c r="J224">
        <f>IFERROR(INDEX(tblDeviceConfig[PI_Validated_By],ROW()-1),"")</f>
      </c>
      <c r="K224">
        <f>IFERROR(INDEX(tblDeviceConfig[PI_Validated_Date],ROW()-1),"")</f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</c>
      <c r="C225">
        <f>IFERROR(INDEX(tblDeviceConfig[Deployed],ROW()-1),"")</f>
      </c>
      <c r="D225">
        <f>IFERROR(INDEX(tblDeviceConfig[Installed],ROW()-1),"")</f>
      </c>
      <c r="E225">
        <f>IFERROR(INDEX(tblDeviceConfig[Cybernet Hostname],ROW()-1),"")</f>
      </c>
      <c r="F225">
        <f>IFERROR(INDEX(tblDeviceConfig[Neuron Hostname],ROW()-1),"")</f>
      </c>
      <c r="G225">
        <f>IFERROR(INDEX(tblDeviceConfig[Software List],ROW()-1),"")</f>
      </c>
      <c r="H225">
        <f>IFERROR(INDEX(tblDeviceConfig[PI_Use_Case],ROW()-1),"")</f>
      </c>
      <c r="I225">
        <f>IFERROR(INDEX(tblDeviceConfig[PI_Result],ROW()-1),"")</f>
      </c>
      <c r="J225">
        <f>IFERROR(INDEX(tblDeviceConfig[PI_Validated_By],ROW()-1),"")</f>
      </c>
      <c r="K225">
        <f>IFERROR(INDEX(tblDeviceConfig[PI_Validated_Date],ROW()-1),"")</f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</c>
      <c r="C226">
        <f>IFERROR(INDEX(tblDeviceConfig[Deployed],ROW()-1),"")</f>
      </c>
      <c r="D226">
        <f>IFERROR(INDEX(tblDeviceConfig[Installed],ROW()-1),"")</f>
      </c>
      <c r="E226">
        <f>IFERROR(INDEX(tblDeviceConfig[Cybernet Hostname],ROW()-1),"")</f>
      </c>
      <c r="F226">
        <f>IFERROR(INDEX(tblDeviceConfig[Neuron Hostname],ROW()-1),"")</f>
      </c>
      <c r="G226">
        <f>IFERROR(INDEX(tblDeviceConfig[Software List],ROW()-1),"")</f>
      </c>
      <c r="H226">
        <f>IFERROR(INDEX(tblDeviceConfig[PI_Use_Case],ROW()-1),"")</f>
      </c>
      <c r="I226">
        <f>IFERROR(INDEX(tblDeviceConfig[PI_Result],ROW()-1),"")</f>
      </c>
      <c r="J226">
        <f>IFERROR(INDEX(tblDeviceConfig[PI_Validated_By],ROW()-1),"")</f>
      </c>
      <c r="K226">
        <f>IFERROR(INDEX(tblDeviceConfig[PI_Validated_Date],ROW()-1),"")</f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</c>
      <c r="C227">
        <f>IFERROR(INDEX(tblDeviceConfig[Deployed],ROW()-1),"")</f>
      </c>
      <c r="D227">
        <f>IFERROR(INDEX(tblDeviceConfig[Installed],ROW()-1),"")</f>
      </c>
      <c r="E227">
        <f>IFERROR(INDEX(tblDeviceConfig[Cybernet Hostname],ROW()-1),"")</f>
      </c>
      <c r="F227">
        <f>IFERROR(INDEX(tblDeviceConfig[Neuron Hostname],ROW()-1),"")</f>
      </c>
      <c r="G227">
        <f>IFERROR(INDEX(tblDeviceConfig[Software List],ROW()-1),"")</f>
      </c>
      <c r="H227">
        <f>IFERROR(INDEX(tblDeviceConfig[PI_Use_Case],ROW()-1),"")</f>
      </c>
      <c r="I227">
        <f>IFERROR(INDEX(tblDeviceConfig[PI_Result],ROW()-1),"")</f>
      </c>
      <c r="J227">
        <f>IFERROR(INDEX(tblDeviceConfig[PI_Validated_By],ROW()-1),"")</f>
      </c>
      <c r="K227">
        <f>IFERROR(INDEX(tblDeviceConfig[PI_Validated_Date],ROW()-1),"")</f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</c>
      <c r="C228">
        <f>IFERROR(INDEX(tblDeviceConfig[Deployed],ROW()-1),"")</f>
      </c>
      <c r="D228">
        <f>IFERROR(INDEX(tblDeviceConfig[Installed],ROW()-1),"")</f>
      </c>
      <c r="E228">
        <f>IFERROR(INDEX(tblDeviceConfig[Cybernet Hostname],ROW()-1),"")</f>
      </c>
      <c r="F228">
        <f>IFERROR(INDEX(tblDeviceConfig[Neuron Hostname],ROW()-1),"")</f>
      </c>
      <c r="G228">
        <f>IFERROR(INDEX(tblDeviceConfig[Software List],ROW()-1),"")</f>
      </c>
      <c r="H228">
        <f>IFERROR(INDEX(tblDeviceConfig[PI_Use_Case],ROW()-1),"")</f>
      </c>
      <c r="I228">
        <f>IFERROR(INDEX(tblDeviceConfig[PI_Result],ROW()-1),"")</f>
      </c>
      <c r="J228">
        <f>IFERROR(INDEX(tblDeviceConfig[PI_Validated_By],ROW()-1),"")</f>
      </c>
      <c r="K228">
        <f>IFERROR(INDEX(tblDeviceConfig[PI_Validated_Date],ROW()-1),"")</f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</c>
      <c r="C229">
        <f>IFERROR(INDEX(tblDeviceConfig[Deployed],ROW()-1),"")</f>
      </c>
      <c r="D229">
        <f>IFERROR(INDEX(tblDeviceConfig[Installed],ROW()-1),"")</f>
      </c>
      <c r="E229">
        <f>IFERROR(INDEX(tblDeviceConfig[Cybernet Hostname],ROW()-1),"")</f>
      </c>
      <c r="F229">
        <f>IFERROR(INDEX(tblDeviceConfig[Neuron Hostname],ROW()-1),"")</f>
      </c>
      <c r="G229">
        <f>IFERROR(INDEX(tblDeviceConfig[Software List],ROW()-1),"")</f>
      </c>
      <c r="H229">
        <f>IFERROR(INDEX(tblDeviceConfig[PI_Use_Case],ROW()-1),"")</f>
      </c>
      <c r="I229">
        <f>IFERROR(INDEX(tblDeviceConfig[PI_Result],ROW()-1),"")</f>
      </c>
      <c r="J229">
        <f>IFERROR(INDEX(tblDeviceConfig[PI_Validated_By],ROW()-1),"")</f>
      </c>
      <c r="K229">
        <f>IFERROR(INDEX(tblDeviceConfig[PI_Validated_Date],ROW()-1),"")</f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</c>
      <c r="C230">
        <f>IFERROR(INDEX(tblDeviceConfig[Deployed],ROW()-1),"")</f>
      </c>
      <c r="D230">
        <f>IFERROR(INDEX(tblDeviceConfig[Installed],ROW()-1),"")</f>
      </c>
      <c r="E230">
        <f>IFERROR(INDEX(tblDeviceConfig[Cybernet Hostname],ROW()-1),"")</f>
      </c>
      <c r="F230">
        <f>IFERROR(INDEX(tblDeviceConfig[Neuron Hostname],ROW()-1),"")</f>
      </c>
      <c r="G230">
        <f>IFERROR(INDEX(tblDeviceConfig[Software List],ROW()-1),"")</f>
      </c>
      <c r="H230">
        <f>IFERROR(INDEX(tblDeviceConfig[PI_Use_Case],ROW()-1),"")</f>
      </c>
      <c r="I230">
        <f>IFERROR(INDEX(tblDeviceConfig[PI_Result],ROW()-1),"")</f>
      </c>
      <c r="J230">
        <f>IFERROR(INDEX(tblDeviceConfig[PI_Validated_By],ROW()-1),"")</f>
      </c>
      <c r="K230">
        <f>IFERROR(INDEX(tblDeviceConfig[PI_Validated_Date],ROW()-1),"")</f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</c>
      <c r="C231">
        <f>IFERROR(INDEX(tblDeviceConfig[Deployed],ROW()-1),"")</f>
      </c>
      <c r="D231">
        <f>IFERROR(INDEX(tblDeviceConfig[Installed],ROW()-1),"")</f>
      </c>
      <c r="E231">
        <f>IFERROR(INDEX(tblDeviceConfig[Cybernet Hostname],ROW()-1),"")</f>
      </c>
      <c r="F231">
        <f>IFERROR(INDEX(tblDeviceConfig[Neuron Hostname],ROW()-1),"")</f>
      </c>
      <c r="G231">
        <f>IFERROR(INDEX(tblDeviceConfig[Software List],ROW()-1),"")</f>
      </c>
      <c r="H231">
        <f>IFERROR(INDEX(tblDeviceConfig[PI_Use_Case],ROW()-1),"")</f>
      </c>
      <c r="I231">
        <f>IFERROR(INDEX(tblDeviceConfig[PI_Result],ROW()-1),"")</f>
      </c>
      <c r="J231">
        <f>IFERROR(INDEX(tblDeviceConfig[PI_Validated_By],ROW()-1),"")</f>
      </c>
      <c r="K231">
        <f>IFERROR(INDEX(tblDeviceConfig[PI_Validated_Date],ROW()-1),"")</f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</c>
      <c r="C232">
        <f>IFERROR(INDEX(tblDeviceConfig[Deployed],ROW()-1),"")</f>
      </c>
      <c r="D232">
        <f>IFERROR(INDEX(tblDeviceConfig[Installed],ROW()-1),"")</f>
      </c>
      <c r="E232">
        <f>IFERROR(INDEX(tblDeviceConfig[Cybernet Hostname],ROW()-1),"")</f>
      </c>
      <c r="F232">
        <f>IFERROR(INDEX(tblDeviceConfig[Neuron Hostname],ROW()-1),"")</f>
      </c>
      <c r="G232">
        <f>IFERROR(INDEX(tblDeviceConfig[Software List],ROW()-1),"")</f>
      </c>
      <c r="H232">
        <f>IFERROR(INDEX(tblDeviceConfig[PI_Use_Case],ROW()-1),"")</f>
      </c>
      <c r="I232">
        <f>IFERROR(INDEX(tblDeviceConfig[PI_Result],ROW()-1),"")</f>
      </c>
      <c r="J232">
        <f>IFERROR(INDEX(tblDeviceConfig[PI_Validated_By],ROW()-1),"")</f>
      </c>
      <c r="K232">
        <f>IFERROR(INDEX(tblDeviceConfig[PI_Validated_Date],ROW()-1),"")</f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</c>
      <c r="C233">
        <f>IFERROR(INDEX(tblDeviceConfig[Deployed],ROW()-1),"")</f>
      </c>
      <c r="D233">
        <f>IFERROR(INDEX(tblDeviceConfig[Installed],ROW()-1),"")</f>
      </c>
      <c r="E233">
        <f>IFERROR(INDEX(tblDeviceConfig[Cybernet Hostname],ROW()-1),"")</f>
      </c>
      <c r="F233">
        <f>IFERROR(INDEX(tblDeviceConfig[Neuron Hostname],ROW()-1),"")</f>
      </c>
      <c r="G233">
        <f>IFERROR(INDEX(tblDeviceConfig[Software List],ROW()-1),"")</f>
      </c>
      <c r="H233">
        <f>IFERROR(INDEX(tblDeviceConfig[PI_Use_Case],ROW()-1),"")</f>
      </c>
      <c r="I233">
        <f>IFERROR(INDEX(tblDeviceConfig[PI_Result],ROW()-1),"")</f>
      </c>
      <c r="J233">
        <f>IFERROR(INDEX(tblDeviceConfig[PI_Validated_By],ROW()-1),"")</f>
      </c>
      <c r="K233">
        <f>IFERROR(INDEX(tblDeviceConfig[PI_Validated_Date],ROW()-1),"")</f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</c>
      <c r="C234">
        <f>IFERROR(INDEX(tblDeviceConfig[Deployed],ROW()-1),"")</f>
      </c>
      <c r="D234">
        <f>IFERROR(INDEX(tblDeviceConfig[Installed],ROW()-1),"")</f>
      </c>
      <c r="E234">
        <f>IFERROR(INDEX(tblDeviceConfig[Cybernet Hostname],ROW()-1),"")</f>
      </c>
      <c r="F234">
        <f>IFERROR(INDEX(tblDeviceConfig[Neuron Hostname],ROW()-1),"")</f>
      </c>
      <c r="G234">
        <f>IFERROR(INDEX(tblDeviceConfig[Software List],ROW()-1),"")</f>
      </c>
      <c r="H234">
        <f>IFERROR(INDEX(tblDeviceConfig[PI_Use_Case],ROW()-1),"")</f>
      </c>
      <c r="I234">
        <f>IFERROR(INDEX(tblDeviceConfig[PI_Result],ROW()-1),"")</f>
      </c>
      <c r="J234">
        <f>IFERROR(INDEX(tblDeviceConfig[PI_Validated_By],ROW()-1),"")</f>
      </c>
      <c r="K234">
        <f>IFERROR(INDEX(tblDeviceConfig[PI_Validated_Date],ROW()-1),"")</f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</c>
      <c r="C235">
        <f>IFERROR(INDEX(tblDeviceConfig[Deployed],ROW()-1),"")</f>
      </c>
      <c r="D235">
        <f>IFERROR(INDEX(tblDeviceConfig[Installed],ROW()-1),"")</f>
      </c>
      <c r="E235">
        <f>IFERROR(INDEX(tblDeviceConfig[Cybernet Hostname],ROW()-1),"")</f>
      </c>
      <c r="F235">
        <f>IFERROR(INDEX(tblDeviceConfig[Neuron Hostname],ROW()-1),"")</f>
      </c>
      <c r="G235">
        <f>IFERROR(INDEX(tblDeviceConfig[Software List],ROW()-1),"")</f>
      </c>
      <c r="H235">
        <f>IFERROR(INDEX(tblDeviceConfig[PI_Use_Case],ROW()-1),"")</f>
      </c>
      <c r="I235">
        <f>IFERROR(INDEX(tblDeviceConfig[PI_Result],ROW()-1),"")</f>
      </c>
      <c r="J235">
        <f>IFERROR(INDEX(tblDeviceConfig[PI_Validated_By],ROW()-1),"")</f>
      </c>
      <c r="K235">
        <f>IFERROR(INDEX(tblDeviceConfig[PI_Validated_Date],ROW()-1),"")</f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</c>
      <c r="C236">
        <f>IFERROR(INDEX(tblDeviceConfig[Deployed],ROW()-1),"")</f>
      </c>
      <c r="D236">
        <f>IFERROR(INDEX(tblDeviceConfig[Installed],ROW()-1),"")</f>
      </c>
      <c r="E236">
        <f>IFERROR(INDEX(tblDeviceConfig[Cybernet Hostname],ROW()-1),"")</f>
      </c>
      <c r="F236">
        <f>IFERROR(INDEX(tblDeviceConfig[Neuron Hostname],ROW()-1),"")</f>
      </c>
      <c r="G236">
        <f>IFERROR(INDEX(tblDeviceConfig[Software List],ROW()-1),"")</f>
      </c>
      <c r="H236">
        <f>IFERROR(INDEX(tblDeviceConfig[PI_Use_Case],ROW()-1),"")</f>
      </c>
      <c r="I236">
        <f>IFERROR(INDEX(tblDeviceConfig[PI_Result],ROW()-1),"")</f>
      </c>
      <c r="J236">
        <f>IFERROR(INDEX(tblDeviceConfig[PI_Validated_By],ROW()-1),"")</f>
      </c>
      <c r="K236">
        <f>IFERROR(INDEX(tblDeviceConfig[PI_Validated_Date],ROW()-1),"")</f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</c>
      <c r="C237">
        <f>IFERROR(INDEX(tblDeviceConfig[Deployed],ROW()-1),"")</f>
      </c>
      <c r="D237">
        <f>IFERROR(INDEX(tblDeviceConfig[Installed],ROW()-1),"")</f>
      </c>
      <c r="E237">
        <f>IFERROR(INDEX(tblDeviceConfig[Cybernet Hostname],ROW()-1),"")</f>
      </c>
      <c r="F237">
        <f>IFERROR(INDEX(tblDeviceConfig[Neuron Hostname],ROW()-1),"")</f>
      </c>
      <c r="G237">
        <f>IFERROR(INDEX(tblDeviceConfig[Software List],ROW()-1),"")</f>
      </c>
      <c r="H237">
        <f>IFERROR(INDEX(tblDeviceConfig[PI_Use_Case],ROW()-1),"")</f>
      </c>
      <c r="I237">
        <f>IFERROR(INDEX(tblDeviceConfig[PI_Result],ROW()-1),"")</f>
      </c>
      <c r="J237">
        <f>IFERROR(INDEX(tblDeviceConfig[PI_Validated_By],ROW()-1),"")</f>
      </c>
      <c r="K237">
        <f>IFERROR(INDEX(tblDeviceConfig[PI_Validated_Date],ROW()-1),"")</f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</c>
      <c r="C238">
        <f>IFERROR(INDEX(tblDeviceConfig[Deployed],ROW()-1),"")</f>
      </c>
      <c r="D238">
        <f>IFERROR(INDEX(tblDeviceConfig[Installed],ROW()-1),"")</f>
      </c>
      <c r="E238">
        <f>IFERROR(INDEX(tblDeviceConfig[Cybernet Hostname],ROW()-1),"")</f>
      </c>
      <c r="F238">
        <f>IFERROR(INDEX(tblDeviceConfig[Neuron Hostname],ROW()-1),"")</f>
      </c>
      <c r="G238">
        <f>IFERROR(INDEX(tblDeviceConfig[Software List],ROW()-1),"")</f>
      </c>
      <c r="H238">
        <f>IFERROR(INDEX(tblDeviceConfig[PI_Use_Case],ROW()-1),"")</f>
      </c>
      <c r="I238">
        <f>IFERROR(INDEX(tblDeviceConfig[PI_Result],ROW()-1),"")</f>
      </c>
      <c r="J238">
        <f>IFERROR(INDEX(tblDeviceConfig[PI_Validated_By],ROW()-1),"")</f>
      </c>
      <c r="K238">
        <f>IFERROR(INDEX(tblDeviceConfig[PI_Validated_Date],ROW()-1),"")</f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</c>
      <c r="C239">
        <f>IFERROR(INDEX(tblDeviceConfig[Deployed],ROW()-1),"")</f>
      </c>
      <c r="D239">
        <f>IFERROR(INDEX(tblDeviceConfig[Installed],ROW()-1),"")</f>
      </c>
      <c r="E239">
        <f>IFERROR(INDEX(tblDeviceConfig[Cybernet Hostname],ROW()-1),"")</f>
      </c>
      <c r="F239">
        <f>IFERROR(INDEX(tblDeviceConfig[Neuron Hostname],ROW()-1),"")</f>
      </c>
      <c r="G239">
        <f>IFERROR(INDEX(tblDeviceConfig[Software List],ROW()-1),"")</f>
      </c>
      <c r="H239">
        <f>IFERROR(INDEX(tblDeviceConfig[PI_Use_Case],ROW()-1),"")</f>
      </c>
      <c r="I239">
        <f>IFERROR(INDEX(tblDeviceConfig[PI_Result],ROW()-1),"")</f>
      </c>
      <c r="J239">
        <f>IFERROR(INDEX(tblDeviceConfig[PI_Validated_By],ROW()-1),"")</f>
      </c>
      <c r="K239">
        <f>IFERROR(INDEX(tblDeviceConfig[PI_Validated_Date],ROW()-1),"")</f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</c>
      <c r="C240">
        <f>IFERROR(INDEX(tblDeviceConfig[Deployed],ROW()-1),"")</f>
      </c>
      <c r="D240">
        <f>IFERROR(INDEX(tblDeviceConfig[Installed],ROW()-1),"")</f>
      </c>
      <c r="E240">
        <f>IFERROR(INDEX(tblDeviceConfig[Cybernet Hostname],ROW()-1),"")</f>
      </c>
      <c r="F240">
        <f>IFERROR(INDEX(tblDeviceConfig[Neuron Hostname],ROW()-1),"")</f>
      </c>
      <c r="G240">
        <f>IFERROR(INDEX(tblDeviceConfig[Software List],ROW()-1),"")</f>
      </c>
      <c r="H240">
        <f>IFERROR(INDEX(tblDeviceConfig[PI_Use_Case],ROW()-1),"")</f>
      </c>
      <c r="I240">
        <f>IFERROR(INDEX(tblDeviceConfig[PI_Result],ROW()-1),"")</f>
      </c>
      <c r="J240">
        <f>IFERROR(INDEX(tblDeviceConfig[PI_Validated_By],ROW()-1),"")</f>
      </c>
      <c r="K240">
        <f>IFERROR(INDEX(tblDeviceConfig[PI_Validated_Date],ROW()-1),"")</f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</c>
      <c r="C241">
        <f>IFERROR(INDEX(tblDeviceConfig[Deployed],ROW()-1),"")</f>
      </c>
      <c r="D241">
        <f>IFERROR(INDEX(tblDeviceConfig[Installed],ROW()-1),"")</f>
      </c>
      <c r="E241">
        <f>IFERROR(INDEX(tblDeviceConfig[Cybernet Hostname],ROW()-1),"")</f>
      </c>
      <c r="F241">
        <f>IFERROR(INDEX(tblDeviceConfig[Neuron Hostname],ROW()-1),"")</f>
      </c>
      <c r="G241">
        <f>IFERROR(INDEX(tblDeviceConfig[Software List],ROW()-1),"")</f>
      </c>
      <c r="H241">
        <f>IFERROR(INDEX(tblDeviceConfig[PI_Use_Case],ROW()-1),"")</f>
      </c>
      <c r="I241">
        <f>IFERROR(INDEX(tblDeviceConfig[PI_Result],ROW()-1),"")</f>
      </c>
      <c r="J241">
        <f>IFERROR(INDEX(tblDeviceConfig[PI_Validated_By],ROW()-1),"")</f>
      </c>
      <c r="K241">
        <f>IFERROR(INDEX(tblDeviceConfig[PI_Validated_Date],ROW()-1),"")</f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</c>
      <c r="C242">
        <f>IFERROR(INDEX(tblDeviceConfig[Deployed],ROW()-1),"")</f>
      </c>
      <c r="D242">
        <f>IFERROR(INDEX(tblDeviceConfig[Installed],ROW()-1),"")</f>
      </c>
      <c r="E242">
        <f>IFERROR(INDEX(tblDeviceConfig[Cybernet Hostname],ROW()-1),"")</f>
      </c>
      <c r="F242">
        <f>IFERROR(INDEX(tblDeviceConfig[Neuron Hostname],ROW()-1),"")</f>
      </c>
      <c r="G242">
        <f>IFERROR(INDEX(tblDeviceConfig[Software List],ROW()-1),"")</f>
      </c>
      <c r="H242">
        <f>IFERROR(INDEX(tblDeviceConfig[PI_Use_Case],ROW()-1),"")</f>
      </c>
      <c r="I242">
        <f>IFERROR(INDEX(tblDeviceConfig[PI_Result],ROW()-1),"")</f>
      </c>
      <c r="J242">
        <f>IFERROR(INDEX(tblDeviceConfig[PI_Validated_By],ROW()-1),"")</f>
      </c>
      <c r="K242">
        <f>IFERROR(INDEX(tblDeviceConfig[PI_Validated_Date],ROW()-1),"")</f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</c>
      <c r="C243">
        <f>IFERROR(INDEX(tblDeviceConfig[Deployed],ROW()-1),"")</f>
      </c>
      <c r="D243">
        <f>IFERROR(INDEX(tblDeviceConfig[Installed],ROW()-1),"")</f>
      </c>
      <c r="E243">
        <f>IFERROR(INDEX(tblDeviceConfig[Cybernet Hostname],ROW()-1),"")</f>
      </c>
      <c r="F243">
        <f>IFERROR(INDEX(tblDeviceConfig[Neuron Hostname],ROW()-1),"")</f>
      </c>
      <c r="G243">
        <f>IFERROR(INDEX(tblDeviceConfig[Software List],ROW()-1),"")</f>
      </c>
      <c r="H243">
        <f>IFERROR(INDEX(tblDeviceConfig[PI_Use_Case],ROW()-1),"")</f>
      </c>
      <c r="I243">
        <f>IFERROR(INDEX(tblDeviceConfig[PI_Result],ROW()-1),"")</f>
      </c>
      <c r="J243">
        <f>IFERROR(INDEX(tblDeviceConfig[PI_Validated_By],ROW()-1),"")</f>
      </c>
      <c r="K243">
        <f>IFERROR(INDEX(tblDeviceConfig[PI_Validated_Date],ROW()-1),"")</f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</c>
      <c r="C244">
        <f>IFERROR(INDEX(tblDeviceConfig[Deployed],ROW()-1),"")</f>
      </c>
      <c r="D244">
        <f>IFERROR(INDEX(tblDeviceConfig[Installed],ROW()-1),"")</f>
      </c>
      <c r="E244">
        <f>IFERROR(INDEX(tblDeviceConfig[Cybernet Hostname],ROW()-1),"")</f>
      </c>
      <c r="F244">
        <f>IFERROR(INDEX(tblDeviceConfig[Neuron Hostname],ROW()-1),"")</f>
      </c>
      <c r="G244">
        <f>IFERROR(INDEX(tblDeviceConfig[Software List],ROW()-1),"")</f>
      </c>
      <c r="H244">
        <f>IFERROR(INDEX(tblDeviceConfig[PI_Use_Case],ROW()-1),"")</f>
      </c>
      <c r="I244">
        <f>IFERROR(INDEX(tblDeviceConfig[PI_Result],ROW()-1),"")</f>
      </c>
      <c r="J244">
        <f>IFERROR(INDEX(tblDeviceConfig[PI_Validated_By],ROW()-1),"")</f>
      </c>
      <c r="K244">
        <f>IFERROR(INDEX(tblDeviceConfig[PI_Validated_Date],ROW()-1),"")</f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</c>
      <c r="C245">
        <f>IFERROR(INDEX(tblDeviceConfig[Deployed],ROW()-1),"")</f>
      </c>
      <c r="D245">
        <f>IFERROR(INDEX(tblDeviceConfig[Installed],ROW()-1),"")</f>
      </c>
      <c r="E245">
        <f>IFERROR(INDEX(tblDeviceConfig[Cybernet Hostname],ROW()-1),"")</f>
      </c>
      <c r="F245">
        <f>IFERROR(INDEX(tblDeviceConfig[Neuron Hostname],ROW()-1),"")</f>
      </c>
      <c r="G245">
        <f>IFERROR(INDEX(tblDeviceConfig[Software List],ROW()-1),"")</f>
      </c>
      <c r="H245">
        <f>IFERROR(INDEX(tblDeviceConfig[PI_Use_Case],ROW()-1),"")</f>
      </c>
      <c r="I245">
        <f>IFERROR(INDEX(tblDeviceConfig[PI_Result],ROW()-1),"")</f>
      </c>
      <c r="J245">
        <f>IFERROR(INDEX(tblDeviceConfig[PI_Validated_By],ROW()-1),"")</f>
      </c>
      <c r="K245">
        <f>IFERROR(INDEX(tblDeviceConfig[PI_Validated_Date],ROW()-1),"")</f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</c>
      <c r="C246">
        <f>IFERROR(INDEX(tblDeviceConfig[Deployed],ROW()-1),"")</f>
      </c>
      <c r="D246">
        <f>IFERROR(INDEX(tblDeviceConfig[Installed],ROW()-1),"")</f>
      </c>
      <c r="E246">
        <f>IFERROR(INDEX(tblDeviceConfig[Cybernet Hostname],ROW()-1),"")</f>
      </c>
      <c r="F246">
        <f>IFERROR(INDEX(tblDeviceConfig[Neuron Hostname],ROW()-1),"")</f>
      </c>
      <c r="G246">
        <f>IFERROR(INDEX(tblDeviceConfig[Software List],ROW()-1),"")</f>
      </c>
      <c r="H246">
        <f>IFERROR(INDEX(tblDeviceConfig[PI_Use_Case],ROW()-1),"")</f>
      </c>
      <c r="I246">
        <f>IFERROR(INDEX(tblDeviceConfig[PI_Result],ROW()-1),"")</f>
      </c>
      <c r="J246">
        <f>IFERROR(INDEX(tblDeviceConfig[PI_Validated_By],ROW()-1),"")</f>
      </c>
      <c r="K246">
        <f>IFERROR(INDEX(tblDeviceConfig[PI_Validated_Date],ROW()-1),"")</f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</c>
      <c r="C247">
        <f>IFERROR(INDEX(tblDeviceConfig[Deployed],ROW()-1),"")</f>
      </c>
      <c r="D247">
        <f>IFERROR(INDEX(tblDeviceConfig[Installed],ROW()-1),"")</f>
      </c>
      <c r="E247">
        <f>IFERROR(INDEX(tblDeviceConfig[Cybernet Hostname],ROW()-1),"")</f>
      </c>
      <c r="F247">
        <f>IFERROR(INDEX(tblDeviceConfig[Neuron Hostname],ROW()-1),"")</f>
      </c>
      <c r="G247">
        <f>IFERROR(INDEX(tblDeviceConfig[Software List],ROW()-1),"")</f>
      </c>
      <c r="H247">
        <f>IFERROR(INDEX(tblDeviceConfig[PI_Use_Case],ROW()-1),"")</f>
      </c>
      <c r="I247">
        <f>IFERROR(INDEX(tblDeviceConfig[PI_Result],ROW()-1),"")</f>
      </c>
      <c r="J247">
        <f>IFERROR(INDEX(tblDeviceConfig[PI_Validated_By],ROW()-1),"")</f>
      </c>
      <c r="K247">
        <f>IFERROR(INDEX(tblDeviceConfig[PI_Validated_Date],ROW()-1),"")</f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</c>
      <c r="C248">
        <f>IFERROR(INDEX(tblDeviceConfig[Deployed],ROW()-1),"")</f>
      </c>
      <c r="D248">
        <f>IFERROR(INDEX(tblDeviceConfig[Installed],ROW()-1),"")</f>
      </c>
      <c r="E248">
        <f>IFERROR(INDEX(tblDeviceConfig[Cybernet Hostname],ROW()-1),"")</f>
      </c>
      <c r="F248">
        <f>IFERROR(INDEX(tblDeviceConfig[Neuron Hostname],ROW()-1),"")</f>
      </c>
      <c r="G248">
        <f>IFERROR(INDEX(tblDeviceConfig[Software List],ROW()-1),"")</f>
      </c>
      <c r="H248">
        <f>IFERROR(INDEX(tblDeviceConfig[PI_Use_Case],ROW()-1),"")</f>
      </c>
      <c r="I248">
        <f>IFERROR(INDEX(tblDeviceConfig[PI_Result],ROW()-1),"")</f>
      </c>
      <c r="J248">
        <f>IFERROR(INDEX(tblDeviceConfig[PI_Validated_By],ROW()-1),"")</f>
      </c>
      <c r="K248">
        <f>IFERROR(INDEX(tblDeviceConfig[PI_Validated_Date],ROW()-1),"")</f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</c>
      <c r="C249">
        <f>IFERROR(INDEX(tblDeviceConfig[Deployed],ROW()-1),"")</f>
      </c>
      <c r="D249">
        <f>IFERROR(INDEX(tblDeviceConfig[Installed],ROW()-1),"")</f>
      </c>
      <c r="E249">
        <f>IFERROR(INDEX(tblDeviceConfig[Cybernet Hostname],ROW()-1),"")</f>
      </c>
      <c r="F249">
        <f>IFERROR(INDEX(tblDeviceConfig[Neuron Hostname],ROW()-1),"")</f>
      </c>
      <c r="G249">
        <f>IFERROR(INDEX(tblDeviceConfig[Software List],ROW()-1),"")</f>
      </c>
      <c r="H249">
        <f>IFERROR(INDEX(tblDeviceConfig[PI_Use_Case],ROW()-1),"")</f>
      </c>
      <c r="I249">
        <f>IFERROR(INDEX(tblDeviceConfig[PI_Result],ROW()-1),"")</f>
      </c>
      <c r="J249">
        <f>IFERROR(INDEX(tblDeviceConfig[PI_Validated_By],ROW()-1),"")</f>
      </c>
      <c r="K249">
        <f>IFERROR(INDEX(tblDeviceConfig[PI_Validated_Date],ROW()-1),"")</f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</c>
      <c r="C250">
        <f>IFERROR(INDEX(tblDeviceConfig[Deployed],ROW()-1),"")</f>
      </c>
      <c r="D250">
        <f>IFERROR(INDEX(tblDeviceConfig[Installed],ROW()-1),"")</f>
      </c>
      <c r="E250">
        <f>IFERROR(INDEX(tblDeviceConfig[Cybernet Hostname],ROW()-1),"")</f>
      </c>
      <c r="F250">
        <f>IFERROR(INDEX(tblDeviceConfig[Neuron Hostname],ROW()-1),"")</f>
      </c>
      <c r="G250">
        <f>IFERROR(INDEX(tblDeviceConfig[Software List],ROW()-1),"")</f>
      </c>
      <c r="H250">
        <f>IFERROR(INDEX(tblDeviceConfig[PI_Use_Case],ROW()-1),"")</f>
      </c>
      <c r="I250">
        <f>IFERROR(INDEX(tblDeviceConfig[PI_Result],ROW()-1),"")</f>
      </c>
      <c r="J250">
        <f>IFERROR(INDEX(tblDeviceConfig[PI_Validated_By],ROW()-1),"")</f>
      </c>
      <c r="K250">
        <f>IFERROR(INDEX(tblDeviceConfig[PI_Validated_Date],ROW()-1),"")</f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</c>
      <c r="C251">
        <f>IFERROR(INDEX(tblDeviceConfig[Deployed],ROW()-1),"")</f>
      </c>
      <c r="D251">
        <f>IFERROR(INDEX(tblDeviceConfig[Installed],ROW()-1),"")</f>
      </c>
      <c r="E251">
        <f>IFERROR(INDEX(tblDeviceConfig[Cybernet Hostname],ROW()-1),"")</f>
      </c>
      <c r="F251">
        <f>IFERROR(INDEX(tblDeviceConfig[Neuron Hostname],ROW()-1),"")</f>
      </c>
      <c r="G251">
        <f>IFERROR(INDEX(tblDeviceConfig[Software List],ROW()-1),"")</f>
      </c>
      <c r="H251">
        <f>IFERROR(INDEX(tblDeviceConfig[PI_Use_Case],ROW()-1),"")</f>
      </c>
      <c r="I251">
        <f>IFERROR(INDEX(tblDeviceConfig[PI_Result],ROW()-1),"")</f>
      </c>
      <c r="J251">
        <f>IFERROR(INDEX(tblDeviceConfig[PI_Validated_By],ROW()-1),"")</f>
      </c>
      <c r="K251">
        <f>IFERROR(INDEX(tblDeviceConfig[PI_Validated_Date],ROW()-1),"")</f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</c>
      <c r="C252">
        <f>IFERROR(INDEX(tblDeviceConfig[Deployed],ROW()-1),"")</f>
      </c>
      <c r="D252">
        <f>IFERROR(INDEX(tblDeviceConfig[Installed],ROW()-1),"")</f>
      </c>
      <c r="E252">
        <f>IFERROR(INDEX(tblDeviceConfig[Cybernet Hostname],ROW()-1),"")</f>
      </c>
      <c r="F252">
        <f>IFERROR(INDEX(tblDeviceConfig[Neuron Hostname],ROW()-1),"")</f>
      </c>
      <c r="G252">
        <f>IFERROR(INDEX(tblDeviceConfig[Software List],ROW()-1),"")</f>
      </c>
      <c r="H252">
        <f>IFERROR(INDEX(tblDeviceConfig[PI_Use_Case],ROW()-1),"")</f>
      </c>
      <c r="I252">
        <f>IFERROR(INDEX(tblDeviceConfig[PI_Result],ROW()-1),"")</f>
      </c>
      <c r="J252">
        <f>IFERROR(INDEX(tblDeviceConfig[PI_Validated_By],ROW()-1),"")</f>
      </c>
      <c r="K252">
        <f>IFERROR(INDEX(tblDeviceConfig[PI_Validated_Date],ROW()-1),"")</f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</c>
      <c r="C253">
        <f>IFERROR(INDEX(tblDeviceConfig[Deployed],ROW()-1),"")</f>
      </c>
      <c r="D253">
        <f>IFERROR(INDEX(tblDeviceConfig[Installed],ROW()-1),"")</f>
      </c>
      <c r="E253">
        <f>IFERROR(INDEX(tblDeviceConfig[Cybernet Hostname],ROW()-1),"")</f>
      </c>
      <c r="F253">
        <f>IFERROR(INDEX(tblDeviceConfig[Neuron Hostname],ROW()-1),"")</f>
      </c>
      <c r="G253">
        <f>IFERROR(INDEX(tblDeviceConfig[Software List],ROW()-1),"")</f>
      </c>
      <c r="H253">
        <f>IFERROR(INDEX(tblDeviceConfig[PI_Use_Case],ROW()-1),"")</f>
      </c>
      <c r="I253">
        <f>IFERROR(INDEX(tblDeviceConfig[PI_Result],ROW()-1),"")</f>
      </c>
      <c r="J253">
        <f>IFERROR(INDEX(tblDeviceConfig[PI_Validated_By],ROW()-1),"")</f>
      </c>
      <c r="K253">
        <f>IFERROR(INDEX(tblDeviceConfig[PI_Validated_Date],ROW()-1),"")</f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</c>
      <c r="C254">
        <f>IFERROR(INDEX(tblDeviceConfig[Deployed],ROW()-1),"")</f>
      </c>
      <c r="D254">
        <f>IFERROR(INDEX(tblDeviceConfig[Installed],ROW()-1),"")</f>
      </c>
      <c r="E254">
        <f>IFERROR(INDEX(tblDeviceConfig[Cybernet Hostname],ROW()-1),"")</f>
      </c>
      <c r="F254">
        <f>IFERROR(INDEX(tblDeviceConfig[Neuron Hostname],ROW()-1),"")</f>
      </c>
      <c r="G254">
        <f>IFERROR(INDEX(tblDeviceConfig[Software List],ROW()-1),"")</f>
      </c>
      <c r="H254">
        <f>IFERROR(INDEX(tblDeviceConfig[PI_Use_Case],ROW()-1),"")</f>
      </c>
      <c r="I254">
        <f>IFERROR(INDEX(tblDeviceConfig[PI_Result],ROW()-1),"")</f>
      </c>
      <c r="J254">
        <f>IFERROR(INDEX(tblDeviceConfig[PI_Validated_By],ROW()-1),"")</f>
      </c>
      <c r="K254">
        <f>IFERROR(INDEX(tblDeviceConfig[PI_Validated_Date],ROW()-1),"")</f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</c>
      <c r="C255">
        <f>IFERROR(INDEX(tblDeviceConfig[Deployed],ROW()-1),"")</f>
      </c>
      <c r="D255">
        <f>IFERROR(INDEX(tblDeviceConfig[Installed],ROW()-1),"")</f>
      </c>
      <c r="E255">
        <f>IFERROR(INDEX(tblDeviceConfig[Cybernet Hostname],ROW()-1),"")</f>
      </c>
      <c r="F255">
        <f>IFERROR(INDEX(tblDeviceConfig[Neuron Hostname],ROW()-1),"")</f>
      </c>
      <c r="G255">
        <f>IFERROR(INDEX(tblDeviceConfig[Software List],ROW()-1),"")</f>
      </c>
      <c r="H255">
        <f>IFERROR(INDEX(tblDeviceConfig[PI_Use_Case],ROW()-1),"")</f>
      </c>
      <c r="I255">
        <f>IFERROR(INDEX(tblDeviceConfig[PI_Result],ROW()-1),"")</f>
      </c>
      <c r="J255">
        <f>IFERROR(INDEX(tblDeviceConfig[PI_Validated_By],ROW()-1),"")</f>
      </c>
      <c r="K255">
        <f>IFERROR(INDEX(tblDeviceConfig[PI_Validated_Date],ROW()-1),"")</f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</c>
      <c r="C256">
        <f>IFERROR(INDEX(tblDeviceConfig[Deployed],ROW()-1),"")</f>
      </c>
      <c r="D256">
        <f>IFERROR(INDEX(tblDeviceConfig[Installed],ROW()-1),"")</f>
      </c>
      <c r="E256">
        <f>IFERROR(INDEX(tblDeviceConfig[Cybernet Hostname],ROW()-1),"")</f>
      </c>
      <c r="F256">
        <f>IFERROR(INDEX(tblDeviceConfig[Neuron Hostname],ROW()-1),"")</f>
      </c>
      <c r="G256">
        <f>IFERROR(INDEX(tblDeviceConfig[Software List],ROW()-1),"")</f>
      </c>
      <c r="H256">
        <f>IFERROR(INDEX(tblDeviceConfig[PI_Use_Case],ROW()-1),"")</f>
      </c>
      <c r="I256">
        <f>IFERROR(INDEX(tblDeviceConfig[PI_Result],ROW()-1),"")</f>
      </c>
      <c r="J256">
        <f>IFERROR(INDEX(tblDeviceConfig[PI_Validated_By],ROW()-1),"")</f>
      </c>
      <c r="K256">
        <f>IFERROR(INDEX(tblDeviceConfig[PI_Validated_Date],ROW()-1),"")</f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</c>
      <c r="C257">
        <f>IFERROR(INDEX(tblDeviceConfig[Deployed],ROW()-1),"")</f>
      </c>
      <c r="D257">
        <f>IFERROR(INDEX(tblDeviceConfig[Installed],ROW()-1),"")</f>
      </c>
      <c r="E257">
        <f>IFERROR(INDEX(tblDeviceConfig[Cybernet Hostname],ROW()-1),"")</f>
      </c>
      <c r="F257">
        <f>IFERROR(INDEX(tblDeviceConfig[Neuron Hostname],ROW()-1),"")</f>
      </c>
      <c r="G257">
        <f>IFERROR(INDEX(tblDeviceConfig[Software List],ROW()-1),"")</f>
      </c>
      <c r="H257">
        <f>IFERROR(INDEX(tblDeviceConfig[PI_Use_Case],ROW()-1),"")</f>
      </c>
      <c r="I257">
        <f>IFERROR(INDEX(tblDeviceConfig[PI_Result],ROW()-1),"")</f>
      </c>
      <c r="J257">
        <f>IFERROR(INDEX(tblDeviceConfig[PI_Validated_By],ROW()-1),"")</f>
      </c>
      <c r="K257">
        <f>IFERROR(INDEX(tblDeviceConfig[PI_Validated_Date],ROW()-1),"")</f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</c>
      <c r="C258">
        <f>IFERROR(INDEX(tblDeviceConfig[Deployed],ROW()-1),"")</f>
      </c>
      <c r="D258">
        <f>IFERROR(INDEX(tblDeviceConfig[Installed],ROW()-1),"")</f>
      </c>
      <c r="E258">
        <f>IFERROR(INDEX(tblDeviceConfig[Cybernet Hostname],ROW()-1),"")</f>
      </c>
      <c r="F258">
        <f>IFERROR(INDEX(tblDeviceConfig[Neuron Hostname],ROW()-1),"")</f>
      </c>
      <c r="G258">
        <f>IFERROR(INDEX(tblDeviceConfig[Software List],ROW()-1),"")</f>
      </c>
      <c r="H258">
        <f>IFERROR(INDEX(tblDeviceConfig[PI_Use_Case],ROW()-1),"")</f>
      </c>
      <c r="I258">
        <f>IFERROR(INDEX(tblDeviceConfig[PI_Result],ROW()-1),"")</f>
      </c>
      <c r="J258">
        <f>IFERROR(INDEX(tblDeviceConfig[PI_Validated_By],ROW()-1),"")</f>
      </c>
      <c r="K258">
        <f>IFERROR(INDEX(tblDeviceConfig[PI_Validated_Date],ROW()-1),"")</f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</c>
      <c r="C259">
        <f>IFERROR(INDEX(tblDeviceConfig[Deployed],ROW()-1),"")</f>
      </c>
      <c r="D259">
        <f>IFERROR(INDEX(tblDeviceConfig[Installed],ROW()-1),"")</f>
      </c>
      <c r="E259">
        <f>IFERROR(INDEX(tblDeviceConfig[Cybernet Hostname],ROW()-1),"")</f>
      </c>
      <c r="F259">
        <f>IFERROR(INDEX(tblDeviceConfig[Neuron Hostname],ROW()-1),"")</f>
      </c>
      <c r="G259">
        <f>IFERROR(INDEX(tblDeviceConfig[Software List],ROW()-1),"")</f>
      </c>
      <c r="H259">
        <f>IFERROR(INDEX(tblDeviceConfig[PI_Use_Case],ROW()-1),"")</f>
      </c>
      <c r="I259">
        <f>IFERROR(INDEX(tblDeviceConfig[PI_Result],ROW()-1),"")</f>
      </c>
      <c r="J259">
        <f>IFERROR(INDEX(tblDeviceConfig[PI_Validated_By],ROW()-1),"")</f>
      </c>
      <c r="K259">
        <f>IFERROR(INDEX(tblDeviceConfig[PI_Validated_Date],ROW()-1),"")</f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</c>
      <c r="C260">
        <f>IFERROR(INDEX(tblDeviceConfig[Deployed],ROW()-1),"")</f>
      </c>
      <c r="D260">
        <f>IFERROR(INDEX(tblDeviceConfig[Installed],ROW()-1),"")</f>
      </c>
      <c r="E260">
        <f>IFERROR(INDEX(tblDeviceConfig[Cybernet Hostname],ROW()-1),"")</f>
      </c>
      <c r="F260">
        <f>IFERROR(INDEX(tblDeviceConfig[Neuron Hostname],ROW()-1),"")</f>
      </c>
      <c r="G260">
        <f>IFERROR(INDEX(tblDeviceConfig[Software List],ROW()-1),"")</f>
      </c>
      <c r="H260">
        <f>IFERROR(INDEX(tblDeviceConfig[PI_Use_Case],ROW()-1),"")</f>
      </c>
      <c r="I260">
        <f>IFERROR(INDEX(tblDeviceConfig[PI_Result],ROW()-1),"")</f>
      </c>
      <c r="J260">
        <f>IFERROR(INDEX(tblDeviceConfig[PI_Validated_By],ROW()-1),"")</f>
      </c>
      <c r="K260">
        <f>IFERROR(INDEX(tblDeviceConfig[PI_Validated_Date],ROW()-1),"")</f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</c>
      <c r="C261">
        <f>IFERROR(INDEX(tblDeviceConfig[Deployed],ROW()-1),"")</f>
      </c>
      <c r="D261">
        <f>IFERROR(INDEX(tblDeviceConfig[Installed],ROW()-1),"")</f>
      </c>
      <c r="E261">
        <f>IFERROR(INDEX(tblDeviceConfig[Cybernet Hostname],ROW()-1),"")</f>
      </c>
      <c r="F261">
        <f>IFERROR(INDEX(tblDeviceConfig[Neuron Hostname],ROW()-1),"")</f>
      </c>
      <c r="G261">
        <f>IFERROR(INDEX(tblDeviceConfig[Software List],ROW()-1),"")</f>
      </c>
      <c r="H261">
        <f>IFERROR(INDEX(tblDeviceConfig[PI_Use_Case],ROW()-1),"")</f>
      </c>
      <c r="I261">
        <f>IFERROR(INDEX(tblDeviceConfig[PI_Result],ROW()-1),"")</f>
      </c>
      <c r="J261">
        <f>IFERROR(INDEX(tblDeviceConfig[PI_Validated_By],ROW()-1),"")</f>
      </c>
      <c r="K261">
        <f>IFERROR(INDEX(tblDeviceConfig[PI_Validated_Date],ROW()-1),"")</f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</c>
      <c r="C262">
        <f>IFERROR(INDEX(tblDeviceConfig[Deployed],ROW()-1),"")</f>
      </c>
      <c r="D262">
        <f>IFERROR(INDEX(tblDeviceConfig[Installed],ROW()-1),"")</f>
      </c>
      <c r="E262">
        <f>IFERROR(INDEX(tblDeviceConfig[Cybernet Hostname],ROW()-1),"")</f>
      </c>
      <c r="F262">
        <f>IFERROR(INDEX(tblDeviceConfig[Neuron Hostname],ROW()-1),"")</f>
      </c>
      <c r="G262">
        <f>IFERROR(INDEX(tblDeviceConfig[Software List],ROW()-1),"")</f>
      </c>
      <c r="H262">
        <f>IFERROR(INDEX(tblDeviceConfig[PI_Use_Case],ROW()-1),"")</f>
      </c>
      <c r="I262">
        <f>IFERROR(INDEX(tblDeviceConfig[PI_Result],ROW()-1),"")</f>
      </c>
      <c r="J262">
        <f>IFERROR(INDEX(tblDeviceConfig[PI_Validated_By],ROW()-1),"")</f>
      </c>
      <c r="K262">
        <f>IFERROR(INDEX(tblDeviceConfig[PI_Validated_Date],ROW()-1),"")</f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</c>
      <c r="C263">
        <f>IFERROR(INDEX(tblDeviceConfig[Deployed],ROW()-1),"")</f>
      </c>
      <c r="D263">
        <f>IFERROR(INDEX(tblDeviceConfig[Installed],ROW()-1),"")</f>
      </c>
      <c r="E263">
        <f>IFERROR(INDEX(tblDeviceConfig[Cybernet Hostname],ROW()-1),"")</f>
      </c>
      <c r="F263">
        <f>IFERROR(INDEX(tblDeviceConfig[Neuron Hostname],ROW()-1),"")</f>
      </c>
      <c r="G263">
        <f>IFERROR(INDEX(tblDeviceConfig[Software List],ROW()-1),"")</f>
      </c>
      <c r="H263">
        <f>IFERROR(INDEX(tblDeviceConfig[PI_Use_Case],ROW()-1),"")</f>
      </c>
      <c r="I263">
        <f>IFERROR(INDEX(tblDeviceConfig[PI_Result],ROW()-1),"")</f>
      </c>
      <c r="J263">
        <f>IFERROR(INDEX(tblDeviceConfig[PI_Validated_By],ROW()-1),"")</f>
      </c>
      <c r="K263">
        <f>IFERROR(INDEX(tblDeviceConfig[PI_Validated_Date],ROW()-1),"")</f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</c>
      <c r="C264">
        <f>IFERROR(INDEX(tblDeviceConfig[Deployed],ROW()-1),"")</f>
      </c>
      <c r="D264">
        <f>IFERROR(INDEX(tblDeviceConfig[Installed],ROW()-1),"")</f>
      </c>
      <c r="E264">
        <f>IFERROR(INDEX(tblDeviceConfig[Cybernet Hostname],ROW()-1),"")</f>
      </c>
      <c r="F264">
        <f>IFERROR(INDEX(tblDeviceConfig[Neuron Hostname],ROW()-1),"")</f>
      </c>
      <c r="G264">
        <f>IFERROR(INDEX(tblDeviceConfig[Software List],ROW()-1),"")</f>
      </c>
      <c r="H264">
        <f>IFERROR(INDEX(tblDeviceConfig[PI_Use_Case],ROW()-1),"")</f>
      </c>
      <c r="I264">
        <f>IFERROR(INDEX(tblDeviceConfig[PI_Result],ROW()-1),"")</f>
      </c>
      <c r="J264">
        <f>IFERROR(INDEX(tblDeviceConfig[PI_Validated_By],ROW()-1),"")</f>
      </c>
      <c r="K264">
        <f>IFERROR(INDEX(tblDeviceConfig[PI_Validated_Date],ROW()-1),"")</f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</c>
      <c r="C265">
        <f>IFERROR(INDEX(tblDeviceConfig[Deployed],ROW()-1),"")</f>
      </c>
      <c r="D265">
        <f>IFERROR(INDEX(tblDeviceConfig[Installed],ROW()-1),"")</f>
      </c>
      <c r="E265">
        <f>IFERROR(INDEX(tblDeviceConfig[Cybernet Hostname],ROW()-1),"")</f>
      </c>
      <c r="F265">
        <f>IFERROR(INDEX(tblDeviceConfig[Neuron Hostname],ROW()-1),"")</f>
      </c>
      <c r="G265">
        <f>IFERROR(INDEX(tblDeviceConfig[Software List],ROW()-1),"")</f>
      </c>
      <c r="H265">
        <f>IFERROR(INDEX(tblDeviceConfig[PI_Use_Case],ROW()-1),"")</f>
      </c>
      <c r="I265">
        <f>IFERROR(INDEX(tblDeviceConfig[PI_Result],ROW()-1),"")</f>
      </c>
      <c r="J265">
        <f>IFERROR(INDEX(tblDeviceConfig[PI_Validated_By],ROW()-1),"")</f>
      </c>
      <c r="K265">
        <f>IFERROR(INDEX(tblDeviceConfig[PI_Validated_Date],ROW()-1),"")</f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</c>
      <c r="C266">
        <f>IFERROR(INDEX(tblDeviceConfig[Deployed],ROW()-1),"")</f>
      </c>
      <c r="D266">
        <f>IFERROR(INDEX(tblDeviceConfig[Installed],ROW()-1),"")</f>
      </c>
      <c r="E266">
        <f>IFERROR(INDEX(tblDeviceConfig[Cybernet Hostname],ROW()-1),"")</f>
      </c>
      <c r="F266">
        <f>IFERROR(INDEX(tblDeviceConfig[Neuron Hostname],ROW()-1),"")</f>
      </c>
      <c r="G266">
        <f>IFERROR(INDEX(tblDeviceConfig[Software List],ROW()-1),"")</f>
      </c>
      <c r="H266">
        <f>IFERROR(INDEX(tblDeviceConfig[PI_Use_Case],ROW()-1),"")</f>
      </c>
      <c r="I266">
        <f>IFERROR(INDEX(tblDeviceConfig[PI_Result],ROW()-1),"")</f>
      </c>
      <c r="J266">
        <f>IFERROR(INDEX(tblDeviceConfig[PI_Validated_By],ROW()-1),"")</f>
      </c>
      <c r="K266">
        <f>IFERROR(INDEX(tblDeviceConfig[PI_Validated_Date],ROW()-1),"")</f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</c>
      <c r="C267">
        <f>IFERROR(INDEX(tblDeviceConfig[Deployed],ROW()-1),"")</f>
      </c>
      <c r="D267">
        <f>IFERROR(INDEX(tblDeviceConfig[Installed],ROW()-1),"")</f>
      </c>
      <c r="E267">
        <f>IFERROR(INDEX(tblDeviceConfig[Cybernet Hostname],ROW()-1),"")</f>
      </c>
      <c r="F267">
        <f>IFERROR(INDEX(tblDeviceConfig[Neuron Hostname],ROW()-1),"")</f>
      </c>
      <c r="G267">
        <f>IFERROR(INDEX(tblDeviceConfig[Software List],ROW()-1),"")</f>
      </c>
      <c r="H267">
        <f>IFERROR(INDEX(tblDeviceConfig[PI_Use_Case],ROW()-1),"")</f>
      </c>
      <c r="I267">
        <f>IFERROR(INDEX(tblDeviceConfig[PI_Result],ROW()-1),"")</f>
      </c>
      <c r="J267">
        <f>IFERROR(INDEX(tblDeviceConfig[PI_Validated_By],ROW()-1),"")</f>
      </c>
      <c r="K267">
        <f>IFERROR(INDEX(tblDeviceConfig[PI_Validated_Date],ROW()-1),"")</f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</c>
      <c r="C268">
        <f>IFERROR(INDEX(tblDeviceConfig[Deployed],ROW()-1),"")</f>
      </c>
      <c r="D268">
        <f>IFERROR(INDEX(tblDeviceConfig[Installed],ROW()-1),"")</f>
      </c>
      <c r="E268">
        <f>IFERROR(INDEX(tblDeviceConfig[Cybernet Hostname],ROW()-1),"")</f>
      </c>
      <c r="F268">
        <f>IFERROR(INDEX(tblDeviceConfig[Neuron Hostname],ROW()-1),"")</f>
      </c>
      <c r="G268">
        <f>IFERROR(INDEX(tblDeviceConfig[Software List],ROW()-1),"")</f>
      </c>
      <c r="H268">
        <f>IFERROR(INDEX(tblDeviceConfig[PI_Use_Case],ROW()-1),"")</f>
      </c>
      <c r="I268">
        <f>IFERROR(INDEX(tblDeviceConfig[PI_Result],ROW()-1),"")</f>
      </c>
      <c r="J268">
        <f>IFERROR(INDEX(tblDeviceConfig[PI_Validated_By],ROW()-1),"")</f>
      </c>
      <c r="K268">
        <f>IFERROR(INDEX(tblDeviceConfig[PI_Validated_Date],ROW()-1),"")</f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</c>
      <c r="C269">
        <f>IFERROR(INDEX(tblDeviceConfig[Deployed],ROW()-1),"")</f>
      </c>
      <c r="D269">
        <f>IFERROR(INDEX(tblDeviceConfig[Installed],ROW()-1),"")</f>
      </c>
      <c r="E269">
        <f>IFERROR(INDEX(tblDeviceConfig[Cybernet Hostname],ROW()-1),"")</f>
      </c>
      <c r="F269">
        <f>IFERROR(INDEX(tblDeviceConfig[Neuron Hostname],ROW()-1),"")</f>
      </c>
      <c r="G269">
        <f>IFERROR(INDEX(tblDeviceConfig[Software List],ROW()-1),"")</f>
      </c>
      <c r="H269">
        <f>IFERROR(INDEX(tblDeviceConfig[PI_Use_Case],ROW()-1),"")</f>
      </c>
      <c r="I269">
        <f>IFERROR(INDEX(tblDeviceConfig[PI_Result],ROW()-1),"")</f>
      </c>
      <c r="J269">
        <f>IFERROR(INDEX(tblDeviceConfig[PI_Validated_By],ROW()-1),"")</f>
      </c>
      <c r="K269">
        <f>IFERROR(INDEX(tblDeviceConfig[PI_Validated_Date],ROW()-1),"")</f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</c>
      <c r="C270">
        <f>IFERROR(INDEX(tblDeviceConfig[Deployed],ROW()-1),"")</f>
      </c>
      <c r="D270">
        <f>IFERROR(INDEX(tblDeviceConfig[Installed],ROW()-1),"")</f>
      </c>
      <c r="E270">
        <f>IFERROR(INDEX(tblDeviceConfig[Cybernet Hostname],ROW()-1),"")</f>
      </c>
      <c r="F270">
        <f>IFERROR(INDEX(tblDeviceConfig[Neuron Hostname],ROW()-1),"")</f>
      </c>
      <c r="G270">
        <f>IFERROR(INDEX(tblDeviceConfig[Software List],ROW()-1),"")</f>
      </c>
      <c r="H270">
        <f>IFERROR(INDEX(tblDeviceConfig[PI_Use_Case],ROW()-1),"")</f>
      </c>
      <c r="I270">
        <f>IFERROR(INDEX(tblDeviceConfig[PI_Result],ROW()-1),"")</f>
      </c>
      <c r="J270">
        <f>IFERROR(INDEX(tblDeviceConfig[PI_Validated_By],ROW()-1),"")</f>
      </c>
      <c r="K270">
        <f>IFERROR(INDEX(tblDeviceConfig[PI_Validated_Date],ROW()-1),"")</f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</c>
      <c r="C271">
        <f>IFERROR(INDEX(tblDeviceConfig[Deployed],ROW()-1),"")</f>
      </c>
      <c r="D271">
        <f>IFERROR(INDEX(tblDeviceConfig[Installed],ROW()-1),"")</f>
      </c>
      <c r="E271">
        <f>IFERROR(INDEX(tblDeviceConfig[Cybernet Hostname],ROW()-1),"")</f>
      </c>
      <c r="F271">
        <f>IFERROR(INDEX(tblDeviceConfig[Neuron Hostname],ROW()-1),"")</f>
      </c>
      <c r="G271">
        <f>IFERROR(INDEX(tblDeviceConfig[Software List],ROW()-1),"")</f>
      </c>
      <c r="H271">
        <f>IFERROR(INDEX(tblDeviceConfig[PI_Use_Case],ROW()-1),"")</f>
      </c>
      <c r="I271">
        <f>IFERROR(INDEX(tblDeviceConfig[PI_Result],ROW()-1),"")</f>
      </c>
      <c r="J271">
        <f>IFERROR(INDEX(tblDeviceConfig[PI_Validated_By],ROW()-1),"")</f>
      </c>
      <c r="K271">
        <f>IFERROR(INDEX(tblDeviceConfig[PI_Validated_Date],ROW()-1),"")</f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</c>
      <c r="C272">
        <f>IFERROR(INDEX(tblDeviceConfig[Deployed],ROW()-1),"")</f>
      </c>
      <c r="D272">
        <f>IFERROR(INDEX(tblDeviceConfig[Installed],ROW()-1),"")</f>
      </c>
      <c r="E272">
        <f>IFERROR(INDEX(tblDeviceConfig[Cybernet Hostname],ROW()-1),"")</f>
      </c>
      <c r="F272">
        <f>IFERROR(INDEX(tblDeviceConfig[Neuron Hostname],ROW()-1),"")</f>
      </c>
      <c r="G272">
        <f>IFERROR(INDEX(tblDeviceConfig[Software List],ROW()-1),"")</f>
      </c>
      <c r="H272">
        <f>IFERROR(INDEX(tblDeviceConfig[PI_Use_Case],ROW()-1),"")</f>
      </c>
      <c r="I272">
        <f>IFERROR(INDEX(tblDeviceConfig[PI_Result],ROW()-1),"")</f>
      </c>
      <c r="J272">
        <f>IFERROR(INDEX(tblDeviceConfig[PI_Validated_By],ROW()-1),"")</f>
      </c>
      <c r="K272">
        <f>IFERROR(INDEX(tblDeviceConfig[PI_Validated_Date],ROW()-1),"")</f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</c>
      <c r="C273">
        <f>IFERROR(INDEX(tblDeviceConfig[Deployed],ROW()-1),"")</f>
      </c>
      <c r="D273">
        <f>IFERROR(INDEX(tblDeviceConfig[Installed],ROW()-1),"")</f>
      </c>
      <c r="E273">
        <f>IFERROR(INDEX(tblDeviceConfig[Cybernet Hostname],ROW()-1),"")</f>
      </c>
      <c r="F273">
        <f>IFERROR(INDEX(tblDeviceConfig[Neuron Hostname],ROW()-1),"")</f>
      </c>
      <c r="G273">
        <f>IFERROR(INDEX(tblDeviceConfig[Software List],ROW()-1),"")</f>
      </c>
      <c r="H273">
        <f>IFERROR(INDEX(tblDeviceConfig[PI_Use_Case],ROW()-1),"")</f>
      </c>
      <c r="I273">
        <f>IFERROR(INDEX(tblDeviceConfig[PI_Result],ROW()-1),"")</f>
      </c>
      <c r="J273">
        <f>IFERROR(INDEX(tblDeviceConfig[PI_Validated_By],ROW()-1),"")</f>
      </c>
      <c r="K273">
        <f>IFERROR(INDEX(tblDeviceConfig[PI_Validated_Date],ROW()-1),"")</f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</c>
      <c r="C274">
        <f>IFERROR(INDEX(tblDeviceConfig[Deployed],ROW()-1),"")</f>
      </c>
      <c r="D274">
        <f>IFERROR(INDEX(tblDeviceConfig[Installed],ROW()-1),"")</f>
      </c>
      <c r="E274">
        <f>IFERROR(INDEX(tblDeviceConfig[Cybernet Hostname],ROW()-1),"")</f>
      </c>
      <c r="F274">
        <f>IFERROR(INDEX(tblDeviceConfig[Neuron Hostname],ROW()-1),"")</f>
      </c>
      <c r="G274">
        <f>IFERROR(INDEX(tblDeviceConfig[Software List],ROW()-1),"")</f>
      </c>
      <c r="H274">
        <f>IFERROR(INDEX(tblDeviceConfig[PI_Use_Case],ROW()-1),"")</f>
      </c>
      <c r="I274">
        <f>IFERROR(INDEX(tblDeviceConfig[PI_Result],ROW()-1),"")</f>
      </c>
      <c r="J274">
        <f>IFERROR(INDEX(tblDeviceConfig[PI_Validated_By],ROW()-1),"")</f>
      </c>
      <c r="K274">
        <f>IFERROR(INDEX(tblDeviceConfig[PI_Validated_Date],ROW()-1),"")</f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</c>
      <c r="C275">
        <f>IFERROR(INDEX(tblDeviceConfig[Deployed],ROW()-1),"")</f>
      </c>
      <c r="D275">
        <f>IFERROR(INDEX(tblDeviceConfig[Installed],ROW()-1),"")</f>
      </c>
      <c r="E275">
        <f>IFERROR(INDEX(tblDeviceConfig[Cybernet Hostname],ROW()-1),"")</f>
      </c>
      <c r="F275">
        <f>IFERROR(INDEX(tblDeviceConfig[Neuron Hostname],ROW()-1),"")</f>
      </c>
      <c r="G275">
        <f>IFERROR(INDEX(tblDeviceConfig[Software List],ROW()-1),"")</f>
      </c>
      <c r="H275">
        <f>IFERROR(INDEX(tblDeviceConfig[PI_Use_Case],ROW()-1),"")</f>
      </c>
      <c r="I275">
        <f>IFERROR(INDEX(tblDeviceConfig[PI_Result],ROW()-1),"")</f>
      </c>
      <c r="J275">
        <f>IFERROR(INDEX(tblDeviceConfig[PI_Validated_By],ROW()-1),"")</f>
      </c>
      <c r="K275">
        <f>IFERROR(INDEX(tblDeviceConfig[PI_Validated_Date],ROW()-1),"")</f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</c>
      <c r="C276">
        <f>IFERROR(INDEX(tblDeviceConfig[Deployed],ROW()-1),"")</f>
      </c>
      <c r="D276">
        <f>IFERROR(INDEX(tblDeviceConfig[Installed],ROW()-1),"")</f>
      </c>
      <c r="E276">
        <f>IFERROR(INDEX(tblDeviceConfig[Cybernet Hostname],ROW()-1),"")</f>
      </c>
      <c r="F276">
        <f>IFERROR(INDEX(tblDeviceConfig[Neuron Hostname],ROW()-1),"")</f>
      </c>
      <c r="G276">
        <f>IFERROR(INDEX(tblDeviceConfig[Software List],ROW()-1),"")</f>
      </c>
      <c r="H276">
        <f>IFERROR(INDEX(tblDeviceConfig[PI_Use_Case],ROW()-1),"")</f>
      </c>
      <c r="I276">
        <f>IFERROR(INDEX(tblDeviceConfig[PI_Result],ROW()-1),"")</f>
      </c>
      <c r="J276">
        <f>IFERROR(INDEX(tblDeviceConfig[PI_Validated_By],ROW()-1),"")</f>
      </c>
      <c r="K276">
        <f>IFERROR(INDEX(tblDeviceConfig[PI_Validated_Date],ROW()-1),"")</f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</c>
      <c r="C277">
        <f>IFERROR(INDEX(tblDeviceConfig[Deployed],ROW()-1),"")</f>
      </c>
      <c r="D277">
        <f>IFERROR(INDEX(tblDeviceConfig[Installed],ROW()-1),"")</f>
      </c>
      <c r="E277">
        <f>IFERROR(INDEX(tblDeviceConfig[Cybernet Hostname],ROW()-1),"")</f>
      </c>
      <c r="F277">
        <f>IFERROR(INDEX(tblDeviceConfig[Neuron Hostname],ROW()-1),"")</f>
      </c>
      <c r="G277">
        <f>IFERROR(INDEX(tblDeviceConfig[Software List],ROW()-1),"")</f>
      </c>
      <c r="H277">
        <f>IFERROR(INDEX(tblDeviceConfig[PI_Use_Case],ROW()-1),"")</f>
      </c>
      <c r="I277">
        <f>IFERROR(INDEX(tblDeviceConfig[PI_Result],ROW()-1),"")</f>
      </c>
      <c r="J277">
        <f>IFERROR(INDEX(tblDeviceConfig[PI_Validated_By],ROW()-1),"")</f>
      </c>
      <c r="K277">
        <f>IFERROR(INDEX(tblDeviceConfig[PI_Validated_Date],ROW()-1),"")</f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</c>
      <c r="C278">
        <f>IFERROR(INDEX(tblDeviceConfig[Deployed],ROW()-1),"")</f>
      </c>
      <c r="D278">
        <f>IFERROR(INDEX(tblDeviceConfig[Installed],ROW()-1),"")</f>
      </c>
      <c r="E278">
        <f>IFERROR(INDEX(tblDeviceConfig[Cybernet Hostname],ROW()-1),"")</f>
      </c>
      <c r="F278">
        <f>IFERROR(INDEX(tblDeviceConfig[Neuron Hostname],ROW()-1),"")</f>
      </c>
      <c r="G278">
        <f>IFERROR(INDEX(tblDeviceConfig[Software List],ROW()-1),"")</f>
      </c>
      <c r="H278">
        <f>IFERROR(INDEX(tblDeviceConfig[PI_Use_Case],ROW()-1),"")</f>
      </c>
      <c r="I278">
        <f>IFERROR(INDEX(tblDeviceConfig[PI_Result],ROW()-1),"")</f>
      </c>
      <c r="J278">
        <f>IFERROR(INDEX(tblDeviceConfig[PI_Validated_By],ROW()-1),"")</f>
      </c>
      <c r="K278">
        <f>IFERROR(INDEX(tblDeviceConfig[PI_Validated_Date],ROW()-1),"")</f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</c>
      <c r="C279">
        <f>IFERROR(INDEX(tblDeviceConfig[Deployed],ROW()-1),"")</f>
      </c>
      <c r="D279">
        <f>IFERROR(INDEX(tblDeviceConfig[Installed],ROW()-1),"")</f>
      </c>
      <c r="E279">
        <f>IFERROR(INDEX(tblDeviceConfig[Cybernet Hostname],ROW()-1),"")</f>
      </c>
      <c r="F279">
        <f>IFERROR(INDEX(tblDeviceConfig[Neuron Hostname],ROW()-1),"")</f>
      </c>
      <c r="G279">
        <f>IFERROR(INDEX(tblDeviceConfig[Software List],ROW()-1),"")</f>
      </c>
      <c r="H279">
        <f>IFERROR(INDEX(tblDeviceConfig[PI_Use_Case],ROW()-1),"")</f>
      </c>
      <c r="I279">
        <f>IFERROR(INDEX(tblDeviceConfig[PI_Result],ROW()-1),"")</f>
      </c>
      <c r="J279">
        <f>IFERROR(INDEX(tblDeviceConfig[PI_Validated_By],ROW()-1),"")</f>
      </c>
      <c r="K279">
        <f>IFERROR(INDEX(tblDeviceConfig[PI_Validated_Date],ROW()-1),"")</f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</c>
      <c r="C280">
        <f>IFERROR(INDEX(tblDeviceConfig[Deployed],ROW()-1),"")</f>
      </c>
      <c r="D280">
        <f>IFERROR(INDEX(tblDeviceConfig[Installed],ROW()-1),"")</f>
      </c>
      <c r="E280">
        <f>IFERROR(INDEX(tblDeviceConfig[Cybernet Hostname],ROW()-1),"")</f>
      </c>
      <c r="F280">
        <f>IFERROR(INDEX(tblDeviceConfig[Neuron Hostname],ROW()-1),"")</f>
      </c>
      <c r="G280">
        <f>IFERROR(INDEX(tblDeviceConfig[Software List],ROW()-1),"")</f>
      </c>
      <c r="H280">
        <f>IFERROR(INDEX(tblDeviceConfig[PI_Use_Case],ROW()-1),"")</f>
      </c>
      <c r="I280">
        <f>IFERROR(INDEX(tblDeviceConfig[PI_Result],ROW()-1),"")</f>
      </c>
      <c r="J280">
        <f>IFERROR(INDEX(tblDeviceConfig[PI_Validated_By],ROW()-1),"")</f>
      </c>
      <c r="K280">
        <f>IFERROR(INDEX(tblDeviceConfig[PI_Validated_Date],ROW()-1),"")</f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</c>
      <c r="C281">
        <f>IFERROR(INDEX(tblDeviceConfig[Deployed],ROW()-1),"")</f>
      </c>
      <c r="D281">
        <f>IFERROR(INDEX(tblDeviceConfig[Installed],ROW()-1),"")</f>
      </c>
      <c r="E281">
        <f>IFERROR(INDEX(tblDeviceConfig[Cybernet Hostname],ROW()-1),"")</f>
      </c>
      <c r="F281">
        <f>IFERROR(INDEX(tblDeviceConfig[Neuron Hostname],ROW()-1),"")</f>
      </c>
      <c r="G281">
        <f>IFERROR(INDEX(tblDeviceConfig[Software List],ROW()-1),"")</f>
      </c>
      <c r="H281">
        <f>IFERROR(INDEX(tblDeviceConfig[PI_Use_Case],ROW()-1),"")</f>
      </c>
      <c r="I281">
        <f>IFERROR(INDEX(tblDeviceConfig[PI_Result],ROW()-1),"")</f>
      </c>
      <c r="J281">
        <f>IFERROR(INDEX(tblDeviceConfig[PI_Validated_By],ROW()-1),"")</f>
      </c>
      <c r="K281">
        <f>IFERROR(INDEX(tblDeviceConfig[PI_Validated_Date],ROW()-1),"")</f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</c>
      <c r="C282">
        <f>IFERROR(INDEX(tblDeviceConfig[Deployed],ROW()-1),"")</f>
      </c>
      <c r="D282">
        <f>IFERROR(INDEX(tblDeviceConfig[Installed],ROW()-1),"")</f>
      </c>
      <c r="E282">
        <f>IFERROR(INDEX(tblDeviceConfig[Cybernet Hostname],ROW()-1),"")</f>
      </c>
      <c r="F282">
        <f>IFERROR(INDEX(tblDeviceConfig[Neuron Hostname],ROW()-1),"")</f>
      </c>
      <c r="G282">
        <f>IFERROR(INDEX(tblDeviceConfig[Software List],ROW()-1),"")</f>
      </c>
      <c r="H282">
        <f>IFERROR(INDEX(tblDeviceConfig[PI_Use_Case],ROW()-1),"")</f>
      </c>
      <c r="I282">
        <f>IFERROR(INDEX(tblDeviceConfig[PI_Result],ROW()-1),"")</f>
      </c>
      <c r="J282">
        <f>IFERROR(INDEX(tblDeviceConfig[PI_Validated_By],ROW()-1),"")</f>
      </c>
      <c r="K282">
        <f>IFERROR(INDEX(tblDeviceConfig[PI_Validated_Date],ROW()-1),"")</f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</c>
      <c r="C283">
        <f>IFERROR(INDEX(tblDeviceConfig[Deployed],ROW()-1),"")</f>
      </c>
      <c r="D283">
        <f>IFERROR(INDEX(tblDeviceConfig[Installed],ROW()-1),"")</f>
      </c>
      <c r="E283">
        <f>IFERROR(INDEX(tblDeviceConfig[Cybernet Hostname],ROW()-1),"")</f>
      </c>
      <c r="F283">
        <f>IFERROR(INDEX(tblDeviceConfig[Neuron Hostname],ROW()-1),"")</f>
      </c>
      <c r="G283">
        <f>IFERROR(INDEX(tblDeviceConfig[Software List],ROW()-1),"")</f>
      </c>
      <c r="H283">
        <f>IFERROR(INDEX(tblDeviceConfig[PI_Use_Case],ROW()-1),"")</f>
      </c>
      <c r="I283">
        <f>IFERROR(INDEX(tblDeviceConfig[PI_Result],ROW()-1),"")</f>
      </c>
      <c r="J283">
        <f>IFERROR(INDEX(tblDeviceConfig[PI_Validated_By],ROW()-1),"")</f>
      </c>
      <c r="K283">
        <f>IFERROR(INDEX(tblDeviceConfig[PI_Validated_Date],ROW()-1),"")</f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</c>
      <c r="C284">
        <f>IFERROR(INDEX(tblDeviceConfig[Deployed],ROW()-1),"")</f>
      </c>
      <c r="D284">
        <f>IFERROR(INDEX(tblDeviceConfig[Installed],ROW()-1),"")</f>
      </c>
      <c r="E284">
        <f>IFERROR(INDEX(tblDeviceConfig[Cybernet Hostname],ROW()-1),"")</f>
      </c>
      <c r="F284">
        <f>IFERROR(INDEX(tblDeviceConfig[Neuron Hostname],ROW()-1),"")</f>
      </c>
      <c r="G284">
        <f>IFERROR(INDEX(tblDeviceConfig[Software List],ROW()-1),"")</f>
      </c>
      <c r="H284">
        <f>IFERROR(INDEX(tblDeviceConfig[PI_Use_Case],ROW()-1),"")</f>
      </c>
      <c r="I284">
        <f>IFERROR(INDEX(tblDeviceConfig[PI_Result],ROW()-1),"")</f>
      </c>
      <c r="J284">
        <f>IFERROR(INDEX(tblDeviceConfig[PI_Validated_By],ROW()-1),"")</f>
      </c>
      <c r="K284">
        <f>IFERROR(INDEX(tblDeviceConfig[PI_Validated_Date],ROW()-1),"")</f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</c>
      <c r="C285">
        <f>IFERROR(INDEX(tblDeviceConfig[Deployed],ROW()-1),"")</f>
      </c>
      <c r="D285">
        <f>IFERROR(INDEX(tblDeviceConfig[Installed],ROW()-1),"")</f>
      </c>
      <c r="E285">
        <f>IFERROR(INDEX(tblDeviceConfig[Cybernet Hostname],ROW()-1),"")</f>
      </c>
      <c r="F285">
        <f>IFERROR(INDEX(tblDeviceConfig[Neuron Hostname],ROW()-1),"")</f>
      </c>
      <c r="G285">
        <f>IFERROR(INDEX(tblDeviceConfig[Software List],ROW()-1),"")</f>
      </c>
      <c r="H285">
        <f>IFERROR(INDEX(tblDeviceConfig[PI_Use_Case],ROW()-1),"")</f>
      </c>
      <c r="I285">
        <f>IFERROR(INDEX(tblDeviceConfig[PI_Result],ROW()-1),"")</f>
      </c>
      <c r="J285">
        <f>IFERROR(INDEX(tblDeviceConfig[PI_Validated_By],ROW()-1),"")</f>
      </c>
      <c r="K285">
        <f>IFERROR(INDEX(tblDeviceConfig[PI_Validated_Date],ROW()-1),"")</f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</c>
      <c r="C286">
        <f>IFERROR(INDEX(tblDeviceConfig[Deployed],ROW()-1),"")</f>
      </c>
      <c r="D286">
        <f>IFERROR(INDEX(tblDeviceConfig[Installed],ROW()-1),"")</f>
      </c>
      <c r="E286">
        <f>IFERROR(INDEX(tblDeviceConfig[Cybernet Hostname],ROW()-1),"")</f>
      </c>
      <c r="F286">
        <f>IFERROR(INDEX(tblDeviceConfig[Neuron Hostname],ROW()-1),"")</f>
      </c>
      <c r="G286">
        <f>IFERROR(INDEX(tblDeviceConfig[Software List],ROW()-1),"")</f>
      </c>
      <c r="H286">
        <f>IFERROR(INDEX(tblDeviceConfig[PI_Use_Case],ROW()-1),"")</f>
      </c>
      <c r="I286">
        <f>IFERROR(INDEX(tblDeviceConfig[PI_Result],ROW()-1),"")</f>
      </c>
      <c r="J286">
        <f>IFERROR(INDEX(tblDeviceConfig[PI_Validated_By],ROW()-1),"")</f>
      </c>
      <c r="K286">
        <f>IFERROR(INDEX(tblDeviceConfig[PI_Validated_Date],ROW()-1),"")</f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</c>
      <c r="C287">
        <f>IFERROR(INDEX(tblDeviceConfig[Deployed],ROW()-1),"")</f>
      </c>
      <c r="D287">
        <f>IFERROR(INDEX(tblDeviceConfig[Installed],ROW()-1),"")</f>
      </c>
      <c r="E287">
        <f>IFERROR(INDEX(tblDeviceConfig[Cybernet Hostname],ROW()-1),"")</f>
      </c>
      <c r="F287">
        <f>IFERROR(INDEX(tblDeviceConfig[Neuron Hostname],ROW()-1),"")</f>
      </c>
      <c r="G287">
        <f>IFERROR(INDEX(tblDeviceConfig[Software List],ROW()-1),"")</f>
      </c>
      <c r="H287">
        <f>IFERROR(INDEX(tblDeviceConfig[PI_Use_Case],ROW()-1),"")</f>
      </c>
      <c r="I287">
        <f>IFERROR(INDEX(tblDeviceConfig[PI_Result],ROW()-1),"")</f>
      </c>
      <c r="J287">
        <f>IFERROR(INDEX(tblDeviceConfig[PI_Validated_By],ROW()-1),"")</f>
      </c>
      <c r="K287">
        <f>IFERROR(INDEX(tblDeviceConfig[PI_Validated_Date],ROW()-1),"")</f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</c>
      <c r="C288">
        <f>IFERROR(INDEX(tblDeviceConfig[Deployed],ROW()-1),"")</f>
      </c>
      <c r="D288">
        <f>IFERROR(INDEX(tblDeviceConfig[Installed],ROW()-1),"")</f>
      </c>
      <c r="E288">
        <f>IFERROR(INDEX(tblDeviceConfig[Cybernet Hostname],ROW()-1),"")</f>
      </c>
      <c r="F288">
        <f>IFERROR(INDEX(tblDeviceConfig[Neuron Hostname],ROW()-1),"")</f>
      </c>
      <c r="G288">
        <f>IFERROR(INDEX(tblDeviceConfig[Software List],ROW()-1),"")</f>
      </c>
      <c r="H288">
        <f>IFERROR(INDEX(tblDeviceConfig[PI_Use_Case],ROW()-1),"")</f>
      </c>
      <c r="I288">
        <f>IFERROR(INDEX(tblDeviceConfig[PI_Result],ROW()-1),"")</f>
      </c>
      <c r="J288">
        <f>IFERROR(INDEX(tblDeviceConfig[PI_Validated_By],ROW()-1),"")</f>
      </c>
      <c r="K288">
        <f>IFERROR(INDEX(tblDeviceConfig[PI_Validated_Date],ROW()-1),"")</f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</c>
      <c r="C289">
        <f>IFERROR(INDEX(tblDeviceConfig[Deployed],ROW()-1),"")</f>
      </c>
      <c r="D289">
        <f>IFERROR(INDEX(tblDeviceConfig[Installed],ROW()-1),"")</f>
      </c>
      <c r="E289">
        <f>IFERROR(INDEX(tblDeviceConfig[Cybernet Hostname],ROW()-1),"")</f>
      </c>
      <c r="F289">
        <f>IFERROR(INDEX(tblDeviceConfig[Neuron Hostname],ROW()-1),"")</f>
      </c>
      <c r="G289">
        <f>IFERROR(INDEX(tblDeviceConfig[Software List],ROW()-1),"")</f>
      </c>
      <c r="H289">
        <f>IFERROR(INDEX(tblDeviceConfig[PI_Use_Case],ROW()-1),"")</f>
      </c>
      <c r="I289">
        <f>IFERROR(INDEX(tblDeviceConfig[PI_Result],ROW()-1),"")</f>
      </c>
      <c r="J289">
        <f>IFERROR(INDEX(tblDeviceConfig[PI_Validated_By],ROW()-1),"")</f>
      </c>
      <c r="K289">
        <f>IFERROR(INDEX(tblDeviceConfig[PI_Validated_Date],ROW()-1),"")</f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</c>
      <c r="C290">
        <f>IFERROR(INDEX(tblDeviceConfig[Deployed],ROW()-1),"")</f>
      </c>
      <c r="D290">
        <f>IFERROR(INDEX(tblDeviceConfig[Installed],ROW()-1),"")</f>
      </c>
      <c r="E290">
        <f>IFERROR(INDEX(tblDeviceConfig[Cybernet Hostname],ROW()-1),"")</f>
      </c>
      <c r="F290">
        <f>IFERROR(INDEX(tblDeviceConfig[Neuron Hostname],ROW()-1),"")</f>
      </c>
      <c r="G290">
        <f>IFERROR(INDEX(tblDeviceConfig[Software List],ROW()-1),"")</f>
      </c>
      <c r="H290">
        <f>IFERROR(INDEX(tblDeviceConfig[PI_Use_Case],ROW()-1),"")</f>
      </c>
      <c r="I290">
        <f>IFERROR(INDEX(tblDeviceConfig[PI_Result],ROW()-1),"")</f>
      </c>
      <c r="J290">
        <f>IFERROR(INDEX(tblDeviceConfig[PI_Validated_By],ROW()-1),"")</f>
      </c>
      <c r="K290">
        <f>IFERROR(INDEX(tblDeviceConfig[PI_Validated_Date],ROW()-1),"")</f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</c>
      <c r="C291">
        <f>IFERROR(INDEX(tblDeviceConfig[Deployed],ROW()-1),"")</f>
      </c>
      <c r="D291">
        <f>IFERROR(INDEX(tblDeviceConfig[Installed],ROW()-1),"")</f>
      </c>
      <c r="E291">
        <f>IFERROR(INDEX(tblDeviceConfig[Cybernet Hostname],ROW()-1),"")</f>
      </c>
      <c r="F291">
        <f>IFERROR(INDEX(tblDeviceConfig[Neuron Hostname],ROW()-1),"")</f>
      </c>
      <c r="G291">
        <f>IFERROR(INDEX(tblDeviceConfig[Software List],ROW()-1),"")</f>
      </c>
      <c r="H291">
        <f>IFERROR(INDEX(tblDeviceConfig[PI_Use_Case],ROW()-1),"")</f>
      </c>
      <c r="I291">
        <f>IFERROR(INDEX(tblDeviceConfig[PI_Result],ROW()-1),"")</f>
      </c>
      <c r="J291">
        <f>IFERROR(INDEX(tblDeviceConfig[PI_Validated_By],ROW()-1),"")</f>
      </c>
      <c r="K291">
        <f>IFERROR(INDEX(tblDeviceConfig[PI_Validated_Date],ROW()-1),"")</f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</c>
      <c r="C292">
        <f>IFERROR(INDEX(tblDeviceConfig[Deployed],ROW()-1),"")</f>
      </c>
      <c r="D292">
        <f>IFERROR(INDEX(tblDeviceConfig[Installed],ROW()-1),"")</f>
      </c>
      <c r="E292">
        <f>IFERROR(INDEX(tblDeviceConfig[Cybernet Hostname],ROW()-1),"")</f>
      </c>
      <c r="F292">
        <f>IFERROR(INDEX(tblDeviceConfig[Neuron Hostname],ROW()-1),"")</f>
      </c>
      <c r="G292">
        <f>IFERROR(INDEX(tblDeviceConfig[Software List],ROW()-1),"")</f>
      </c>
      <c r="H292">
        <f>IFERROR(INDEX(tblDeviceConfig[PI_Use_Case],ROW()-1),"")</f>
      </c>
      <c r="I292">
        <f>IFERROR(INDEX(tblDeviceConfig[PI_Result],ROW()-1),"")</f>
      </c>
      <c r="J292">
        <f>IFERROR(INDEX(tblDeviceConfig[PI_Validated_By],ROW()-1),"")</f>
      </c>
      <c r="K292">
        <f>IFERROR(INDEX(tblDeviceConfig[PI_Validated_Date],ROW()-1),"")</f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</c>
      <c r="C293">
        <f>IFERROR(INDEX(tblDeviceConfig[Deployed],ROW()-1),"")</f>
      </c>
      <c r="D293">
        <f>IFERROR(INDEX(tblDeviceConfig[Installed],ROW()-1),"")</f>
      </c>
      <c r="E293">
        <f>IFERROR(INDEX(tblDeviceConfig[Cybernet Hostname],ROW()-1),"")</f>
      </c>
      <c r="F293">
        <f>IFERROR(INDEX(tblDeviceConfig[Neuron Hostname],ROW()-1),"")</f>
      </c>
      <c r="G293">
        <f>IFERROR(INDEX(tblDeviceConfig[Software List],ROW()-1),"")</f>
      </c>
      <c r="H293">
        <f>IFERROR(INDEX(tblDeviceConfig[PI_Use_Case],ROW()-1),"")</f>
      </c>
      <c r="I293">
        <f>IFERROR(INDEX(tblDeviceConfig[PI_Result],ROW()-1),"")</f>
      </c>
      <c r="J293">
        <f>IFERROR(INDEX(tblDeviceConfig[PI_Validated_By],ROW()-1),"")</f>
      </c>
      <c r="K293">
        <f>IFERROR(INDEX(tblDeviceConfig[PI_Validated_Date],ROW()-1),"")</f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</c>
      <c r="C294">
        <f>IFERROR(INDEX(tblDeviceConfig[Deployed],ROW()-1),"")</f>
      </c>
      <c r="D294">
        <f>IFERROR(INDEX(tblDeviceConfig[Installed],ROW()-1),"")</f>
      </c>
      <c r="E294">
        <f>IFERROR(INDEX(tblDeviceConfig[Cybernet Hostname],ROW()-1),"")</f>
      </c>
      <c r="F294">
        <f>IFERROR(INDEX(tblDeviceConfig[Neuron Hostname],ROW()-1),"")</f>
      </c>
      <c r="G294">
        <f>IFERROR(INDEX(tblDeviceConfig[Software List],ROW()-1),"")</f>
      </c>
      <c r="H294">
        <f>IFERROR(INDEX(tblDeviceConfig[PI_Use_Case],ROW()-1),"")</f>
      </c>
      <c r="I294">
        <f>IFERROR(INDEX(tblDeviceConfig[PI_Result],ROW()-1),"")</f>
      </c>
      <c r="J294">
        <f>IFERROR(INDEX(tblDeviceConfig[PI_Validated_By],ROW()-1),"")</f>
      </c>
      <c r="K294">
        <f>IFERROR(INDEX(tblDeviceConfig[PI_Validated_Date],ROW()-1),"")</f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</c>
      <c r="C295">
        <f>IFERROR(INDEX(tblDeviceConfig[Deployed],ROW()-1),"")</f>
      </c>
      <c r="D295">
        <f>IFERROR(INDEX(tblDeviceConfig[Installed],ROW()-1),"")</f>
      </c>
      <c r="E295">
        <f>IFERROR(INDEX(tblDeviceConfig[Cybernet Hostname],ROW()-1),"")</f>
      </c>
      <c r="F295">
        <f>IFERROR(INDEX(tblDeviceConfig[Neuron Hostname],ROW()-1),"")</f>
      </c>
      <c r="G295">
        <f>IFERROR(INDEX(tblDeviceConfig[Software List],ROW()-1),"")</f>
      </c>
      <c r="H295">
        <f>IFERROR(INDEX(tblDeviceConfig[PI_Use_Case],ROW()-1),"")</f>
      </c>
      <c r="I295">
        <f>IFERROR(INDEX(tblDeviceConfig[PI_Result],ROW()-1),"")</f>
      </c>
      <c r="J295">
        <f>IFERROR(INDEX(tblDeviceConfig[PI_Validated_By],ROW()-1),"")</f>
      </c>
      <c r="K295">
        <f>IFERROR(INDEX(tblDeviceConfig[PI_Validated_Date],ROW()-1),"")</f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</c>
      <c r="C296">
        <f>IFERROR(INDEX(tblDeviceConfig[Deployed],ROW()-1),"")</f>
      </c>
      <c r="D296">
        <f>IFERROR(INDEX(tblDeviceConfig[Installed],ROW()-1),"")</f>
      </c>
      <c r="E296">
        <f>IFERROR(INDEX(tblDeviceConfig[Cybernet Hostname],ROW()-1),"")</f>
      </c>
      <c r="F296">
        <f>IFERROR(INDEX(tblDeviceConfig[Neuron Hostname],ROW()-1),"")</f>
      </c>
      <c r="G296">
        <f>IFERROR(INDEX(tblDeviceConfig[Software List],ROW()-1),"")</f>
      </c>
      <c r="H296">
        <f>IFERROR(INDEX(tblDeviceConfig[PI_Use_Case],ROW()-1),"")</f>
      </c>
      <c r="I296">
        <f>IFERROR(INDEX(tblDeviceConfig[PI_Result],ROW()-1),"")</f>
      </c>
      <c r="J296">
        <f>IFERROR(INDEX(tblDeviceConfig[PI_Validated_By],ROW()-1),"")</f>
      </c>
      <c r="K296">
        <f>IFERROR(INDEX(tblDeviceConfig[PI_Validated_Date],ROW()-1),"")</f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</c>
      <c r="C297">
        <f>IFERROR(INDEX(tblDeviceConfig[Deployed],ROW()-1),"")</f>
      </c>
      <c r="D297">
        <f>IFERROR(INDEX(tblDeviceConfig[Installed],ROW()-1),"")</f>
      </c>
      <c r="E297">
        <f>IFERROR(INDEX(tblDeviceConfig[Cybernet Hostname],ROW()-1),"")</f>
      </c>
      <c r="F297">
        <f>IFERROR(INDEX(tblDeviceConfig[Neuron Hostname],ROW()-1),"")</f>
      </c>
      <c r="G297">
        <f>IFERROR(INDEX(tblDeviceConfig[Software List],ROW()-1),"")</f>
      </c>
      <c r="H297">
        <f>IFERROR(INDEX(tblDeviceConfig[PI_Use_Case],ROW()-1),"")</f>
      </c>
      <c r="I297">
        <f>IFERROR(INDEX(tblDeviceConfig[PI_Result],ROW()-1),"")</f>
      </c>
      <c r="J297">
        <f>IFERROR(INDEX(tblDeviceConfig[PI_Validated_By],ROW()-1),"")</f>
      </c>
      <c r="K297">
        <f>IFERROR(INDEX(tblDeviceConfig[PI_Validated_Date],ROW()-1),"")</f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</c>
      <c r="C298">
        <f>IFERROR(INDEX(tblDeviceConfig[Deployed],ROW()-1),"")</f>
      </c>
      <c r="D298">
        <f>IFERROR(INDEX(tblDeviceConfig[Installed],ROW()-1),"")</f>
      </c>
      <c r="E298">
        <f>IFERROR(INDEX(tblDeviceConfig[Cybernet Hostname],ROW()-1),"")</f>
      </c>
      <c r="F298">
        <f>IFERROR(INDEX(tblDeviceConfig[Neuron Hostname],ROW()-1),"")</f>
      </c>
      <c r="G298">
        <f>IFERROR(INDEX(tblDeviceConfig[Software List],ROW()-1),"")</f>
      </c>
      <c r="H298">
        <f>IFERROR(INDEX(tblDeviceConfig[PI_Use_Case],ROW()-1),"")</f>
      </c>
      <c r="I298">
        <f>IFERROR(INDEX(tblDeviceConfig[PI_Result],ROW()-1),"")</f>
      </c>
      <c r="J298">
        <f>IFERROR(INDEX(tblDeviceConfig[PI_Validated_By],ROW()-1),"")</f>
      </c>
      <c r="K298">
        <f>IFERROR(INDEX(tblDeviceConfig[PI_Validated_Date],ROW()-1),"")</f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</c>
      <c r="C299">
        <f>IFERROR(INDEX(tblDeviceConfig[Deployed],ROW()-1),"")</f>
      </c>
      <c r="D299">
        <f>IFERROR(INDEX(tblDeviceConfig[Installed],ROW()-1),"")</f>
      </c>
      <c r="E299">
        <f>IFERROR(INDEX(tblDeviceConfig[Cybernet Hostname],ROW()-1),"")</f>
      </c>
      <c r="F299">
        <f>IFERROR(INDEX(tblDeviceConfig[Neuron Hostname],ROW()-1),"")</f>
      </c>
      <c r="G299">
        <f>IFERROR(INDEX(tblDeviceConfig[Software List],ROW()-1),"")</f>
      </c>
      <c r="H299">
        <f>IFERROR(INDEX(tblDeviceConfig[PI_Use_Case],ROW()-1),"")</f>
      </c>
      <c r="I299">
        <f>IFERROR(INDEX(tblDeviceConfig[PI_Result],ROW()-1),"")</f>
      </c>
      <c r="J299">
        <f>IFERROR(INDEX(tblDeviceConfig[PI_Validated_By],ROW()-1),"")</f>
      </c>
      <c r="K299">
        <f>IFERROR(INDEX(tblDeviceConfig[PI_Validated_Date],ROW()-1),"")</f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</c>
      <c r="C300">
        <f>IFERROR(INDEX(tblDeviceConfig[Deployed],ROW()-1),"")</f>
      </c>
      <c r="D300">
        <f>IFERROR(INDEX(tblDeviceConfig[Installed],ROW()-1),"")</f>
      </c>
      <c r="E300">
        <f>IFERROR(INDEX(tblDeviceConfig[Cybernet Hostname],ROW()-1),"")</f>
      </c>
      <c r="F300">
        <f>IFERROR(INDEX(tblDeviceConfig[Neuron Hostname],ROW()-1),"")</f>
      </c>
      <c r="G300">
        <f>IFERROR(INDEX(tblDeviceConfig[Software List],ROW()-1),"")</f>
      </c>
      <c r="H300">
        <f>IFERROR(INDEX(tblDeviceConfig[PI_Use_Case],ROW()-1),"")</f>
      </c>
      <c r="I300">
        <f>IFERROR(INDEX(tblDeviceConfig[PI_Result],ROW()-1),"")</f>
      </c>
      <c r="J300">
        <f>IFERROR(INDEX(tblDeviceConfig[PI_Validated_By],ROW()-1),"")</f>
      </c>
      <c r="K300">
        <f>IFERROR(INDEX(tblDeviceConfig[PI_Validated_Date],ROW()-1),"")</f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</c>
      <c r="C301">
        <f>IFERROR(INDEX(tblDeviceConfig[Deployed],ROW()-1),"")</f>
      </c>
      <c r="D301">
        <f>IFERROR(INDEX(tblDeviceConfig[Installed],ROW()-1),"")</f>
      </c>
      <c r="E301">
        <f>IFERROR(INDEX(tblDeviceConfig[Cybernet Hostname],ROW()-1),"")</f>
      </c>
      <c r="F301">
        <f>IFERROR(INDEX(tblDeviceConfig[Neuron Hostname],ROW()-1),"")</f>
      </c>
      <c r="G301">
        <f>IFERROR(INDEX(tblDeviceConfig[Software List],ROW()-1),"")</f>
      </c>
      <c r="H301">
        <f>IFERROR(INDEX(tblDeviceConfig[PI_Use_Case],ROW()-1),"")</f>
      </c>
      <c r="I301">
        <f>IFERROR(INDEX(tblDeviceConfig[PI_Result],ROW()-1),"")</f>
      </c>
      <c r="J301">
        <f>IFERROR(INDEX(tblDeviceConfig[PI_Validated_By],ROW()-1),"")</f>
      </c>
      <c r="K301">
        <f>IFERROR(INDEX(tblDeviceConfig[PI_Validated_Date],ROW()-1),"")</f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</c>
      <c r="C302">
        <f>IFERROR(INDEX(tblDeviceConfig[Deployed],ROW()-1),"")</f>
      </c>
      <c r="D302">
        <f>IFERROR(INDEX(tblDeviceConfig[Installed],ROW()-1),"")</f>
      </c>
      <c r="E302">
        <f>IFERROR(INDEX(tblDeviceConfig[Cybernet Hostname],ROW()-1),"")</f>
      </c>
      <c r="F302">
        <f>IFERROR(INDEX(tblDeviceConfig[Neuron Hostname],ROW()-1),"")</f>
      </c>
      <c r="G302">
        <f>IFERROR(INDEX(tblDeviceConfig[Software List],ROW()-1),"")</f>
      </c>
      <c r="H302">
        <f>IFERROR(INDEX(tblDeviceConfig[PI_Use_Case],ROW()-1),"")</f>
      </c>
      <c r="I302">
        <f>IFERROR(INDEX(tblDeviceConfig[PI_Result],ROW()-1),"")</f>
      </c>
      <c r="J302">
        <f>IFERROR(INDEX(tblDeviceConfig[PI_Validated_By],ROW()-1),"")</f>
      </c>
      <c r="K302">
        <f>IFERROR(INDEX(tblDeviceConfig[PI_Validated_Date],ROW()-1),"")</f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</c>
      <c r="C303">
        <f>IFERROR(INDEX(tblDeviceConfig[Deployed],ROW()-1),"")</f>
      </c>
      <c r="D303">
        <f>IFERROR(INDEX(tblDeviceConfig[Installed],ROW()-1),"")</f>
      </c>
      <c r="E303">
        <f>IFERROR(INDEX(tblDeviceConfig[Cybernet Hostname],ROW()-1),"")</f>
      </c>
      <c r="F303">
        <f>IFERROR(INDEX(tblDeviceConfig[Neuron Hostname],ROW()-1),"")</f>
      </c>
      <c r="G303">
        <f>IFERROR(INDEX(tblDeviceConfig[Software List],ROW()-1),"")</f>
      </c>
      <c r="H303">
        <f>IFERROR(INDEX(tblDeviceConfig[PI_Use_Case],ROW()-1),"")</f>
      </c>
      <c r="I303">
        <f>IFERROR(INDEX(tblDeviceConfig[PI_Result],ROW()-1),"")</f>
      </c>
      <c r="J303">
        <f>IFERROR(INDEX(tblDeviceConfig[PI_Validated_By],ROW()-1),"")</f>
      </c>
      <c r="K303">
        <f>IFERROR(INDEX(tblDeviceConfig[PI_Validated_Date],ROW()-1),"")</f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</c>
      <c r="C304">
        <f>IFERROR(INDEX(tblDeviceConfig[Deployed],ROW()-1),"")</f>
      </c>
      <c r="D304">
        <f>IFERROR(INDEX(tblDeviceConfig[Installed],ROW()-1),"")</f>
      </c>
      <c r="E304">
        <f>IFERROR(INDEX(tblDeviceConfig[Cybernet Hostname],ROW()-1),"")</f>
      </c>
      <c r="F304">
        <f>IFERROR(INDEX(tblDeviceConfig[Neuron Hostname],ROW()-1),"")</f>
      </c>
      <c r="G304">
        <f>IFERROR(INDEX(tblDeviceConfig[Software List],ROW()-1),"")</f>
      </c>
      <c r="H304">
        <f>IFERROR(INDEX(tblDeviceConfig[PI_Use_Case],ROW()-1),"")</f>
      </c>
      <c r="I304">
        <f>IFERROR(INDEX(tblDeviceConfig[PI_Result],ROW()-1),"")</f>
      </c>
      <c r="J304">
        <f>IFERROR(INDEX(tblDeviceConfig[PI_Validated_By],ROW()-1),"")</f>
      </c>
      <c r="K304">
        <f>IFERROR(INDEX(tblDeviceConfig[PI_Validated_Date],ROW()-1),"")</f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</c>
      <c r="C305">
        <f>IFERROR(INDEX(tblDeviceConfig[Deployed],ROW()-1),"")</f>
      </c>
      <c r="D305">
        <f>IFERROR(INDEX(tblDeviceConfig[Installed],ROW()-1),"")</f>
      </c>
      <c r="E305">
        <f>IFERROR(INDEX(tblDeviceConfig[Cybernet Hostname],ROW()-1),"")</f>
      </c>
      <c r="F305">
        <f>IFERROR(INDEX(tblDeviceConfig[Neuron Hostname],ROW()-1),"")</f>
      </c>
      <c r="G305">
        <f>IFERROR(INDEX(tblDeviceConfig[Software List],ROW()-1),"")</f>
      </c>
      <c r="H305">
        <f>IFERROR(INDEX(tblDeviceConfig[PI_Use_Case],ROW()-1),"")</f>
      </c>
      <c r="I305">
        <f>IFERROR(INDEX(tblDeviceConfig[PI_Result],ROW()-1),"")</f>
      </c>
      <c r="J305">
        <f>IFERROR(INDEX(tblDeviceConfig[PI_Validated_By],ROW()-1),"")</f>
      </c>
      <c r="K305">
        <f>IFERROR(INDEX(tblDeviceConfig[PI_Validated_Date],ROW()-1),"")</f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</c>
      <c r="C306">
        <f>IFERROR(INDEX(tblDeviceConfig[Deployed],ROW()-1),"")</f>
      </c>
      <c r="D306">
        <f>IFERROR(INDEX(tblDeviceConfig[Installed],ROW()-1),"")</f>
      </c>
      <c r="E306">
        <f>IFERROR(INDEX(tblDeviceConfig[Cybernet Hostname],ROW()-1),"")</f>
      </c>
      <c r="F306">
        <f>IFERROR(INDEX(tblDeviceConfig[Neuron Hostname],ROW()-1),"")</f>
      </c>
      <c r="G306">
        <f>IFERROR(INDEX(tblDeviceConfig[Software List],ROW()-1),"")</f>
      </c>
      <c r="H306">
        <f>IFERROR(INDEX(tblDeviceConfig[PI_Use_Case],ROW()-1),"")</f>
      </c>
      <c r="I306">
        <f>IFERROR(INDEX(tblDeviceConfig[PI_Result],ROW()-1),"")</f>
      </c>
      <c r="J306">
        <f>IFERROR(INDEX(tblDeviceConfig[PI_Validated_By],ROW()-1),"")</f>
      </c>
      <c r="K306">
        <f>IFERROR(INDEX(tblDeviceConfig[PI_Validated_Date],ROW()-1),"")</f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</c>
      <c r="C307">
        <f>IFERROR(INDEX(tblDeviceConfig[Deployed],ROW()-1),"")</f>
      </c>
      <c r="D307">
        <f>IFERROR(INDEX(tblDeviceConfig[Installed],ROW()-1),"")</f>
      </c>
      <c r="E307">
        <f>IFERROR(INDEX(tblDeviceConfig[Cybernet Hostname],ROW()-1),"")</f>
      </c>
      <c r="F307">
        <f>IFERROR(INDEX(tblDeviceConfig[Neuron Hostname],ROW()-1),"")</f>
      </c>
      <c r="G307">
        <f>IFERROR(INDEX(tblDeviceConfig[Software List],ROW()-1),"")</f>
      </c>
      <c r="H307">
        <f>IFERROR(INDEX(tblDeviceConfig[PI_Use_Case],ROW()-1),"")</f>
      </c>
      <c r="I307">
        <f>IFERROR(INDEX(tblDeviceConfig[PI_Result],ROW()-1),"")</f>
      </c>
      <c r="J307">
        <f>IFERROR(INDEX(tblDeviceConfig[PI_Validated_By],ROW()-1),"")</f>
      </c>
      <c r="K307">
        <f>IFERROR(INDEX(tblDeviceConfig[PI_Validated_Date],ROW()-1),"")</f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</c>
      <c r="C308">
        <f>IFERROR(INDEX(tblDeviceConfig[Deployed],ROW()-1),"")</f>
      </c>
      <c r="D308">
        <f>IFERROR(INDEX(tblDeviceConfig[Installed],ROW()-1),"")</f>
      </c>
      <c r="E308">
        <f>IFERROR(INDEX(tblDeviceConfig[Cybernet Hostname],ROW()-1),"")</f>
      </c>
      <c r="F308">
        <f>IFERROR(INDEX(tblDeviceConfig[Neuron Hostname],ROW()-1),"")</f>
      </c>
      <c r="G308">
        <f>IFERROR(INDEX(tblDeviceConfig[Software List],ROW()-1),"")</f>
      </c>
      <c r="H308">
        <f>IFERROR(INDEX(tblDeviceConfig[PI_Use_Case],ROW()-1),"")</f>
      </c>
      <c r="I308">
        <f>IFERROR(INDEX(tblDeviceConfig[PI_Result],ROW()-1),"")</f>
      </c>
      <c r="J308">
        <f>IFERROR(INDEX(tblDeviceConfig[PI_Validated_By],ROW()-1),"")</f>
      </c>
      <c r="K308">
        <f>IFERROR(INDEX(tblDeviceConfig[PI_Validated_Date],ROW()-1),"")</f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</c>
      <c r="C309">
        <f>IFERROR(INDEX(tblDeviceConfig[Deployed],ROW()-1),"")</f>
      </c>
      <c r="D309">
        <f>IFERROR(INDEX(tblDeviceConfig[Installed],ROW()-1),"")</f>
      </c>
      <c r="E309">
        <f>IFERROR(INDEX(tblDeviceConfig[Cybernet Hostname],ROW()-1),"")</f>
      </c>
      <c r="F309">
        <f>IFERROR(INDEX(tblDeviceConfig[Neuron Hostname],ROW()-1),"")</f>
      </c>
      <c r="G309">
        <f>IFERROR(INDEX(tblDeviceConfig[Software List],ROW()-1),"")</f>
      </c>
      <c r="H309">
        <f>IFERROR(INDEX(tblDeviceConfig[PI_Use_Case],ROW()-1),"")</f>
      </c>
      <c r="I309">
        <f>IFERROR(INDEX(tblDeviceConfig[PI_Result],ROW()-1),"")</f>
      </c>
      <c r="J309">
        <f>IFERROR(INDEX(tblDeviceConfig[PI_Validated_By],ROW()-1),"")</f>
      </c>
      <c r="K309">
        <f>IFERROR(INDEX(tblDeviceConfig[PI_Validated_Date],ROW()-1),"")</f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</c>
      <c r="C310">
        <f>IFERROR(INDEX(tblDeviceConfig[Deployed],ROW()-1),"")</f>
      </c>
      <c r="D310">
        <f>IFERROR(INDEX(tblDeviceConfig[Installed],ROW()-1),"")</f>
      </c>
      <c r="E310">
        <f>IFERROR(INDEX(tblDeviceConfig[Cybernet Hostname],ROW()-1),"")</f>
      </c>
      <c r="F310">
        <f>IFERROR(INDEX(tblDeviceConfig[Neuron Hostname],ROW()-1),"")</f>
      </c>
      <c r="G310">
        <f>IFERROR(INDEX(tblDeviceConfig[Software List],ROW()-1),"")</f>
      </c>
      <c r="H310">
        <f>IFERROR(INDEX(tblDeviceConfig[PI_Use_Case],ROW()-1),"")</f>
      </c>
      <c r="I310">
        <f>IFERROR(INDEX(tblDeviceConfig[PI_Result],ROW()-1),"")</f>
      </c>
      <c r="J310">
        <f>IFERROR(INDEX(tblDeviceConfig[PI_Validated_By],ROW()-1),"")</f>
      </c>
      <c r="K310">
        <f>IFERROR(INDEX(tblDeviceConfig[PI_Validated_Date],ROW()-1),"")</f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</c>
      <c r="C311">
        <f>IFERROR(INDEX(tblDeviceConfig[Deployed],ROW()-1),"")</f>
      </c>
      <c r="D311">
        <f>IFERROR(INDEX(tblDeviceConfig[Installed],ROW()-1),"")</f>
      </c>
      <c r="E311">
        <f>IFERROR(INDEX(tblDeviceConfig[Cybernet Hostname],ROW()-1),"")</f>
      </c>
      <c r="F311">
        <f>IFERROR(INDEX(tblDeviceConfig[Neuron Hostname],ROW()-1),"")</f>
      </c>
      <c r="G311">
        <f>IFERROR(INDEX(tblDeviceConfig[Software List],ROW()-1),"")</f>
      </c>
      <c r="H311">
        <f>IFERROR(INDEX(tblDeviceConfig[PI_Use_Case],ROW()-1),"")</f>
      </c>
      <c r="I311">
        <f>IFERROR(INDEX(tblDeviceConfig[PI_Result],ROW()-1),"")</f>
      </c>
      <c r="J311">
        <f>IFERROR(INDEX(tblDeviceConfig[PI_Validated_By],ROW()-1),"")</f>
      </c>
      <c r="K311">
        <f>IFERROR(INDEX(tblDeviceConfig[PI_Validated_Date],ROW()-1),"")</f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</c>
      <c r="C312">
        <f>IFERROR(INDEX(tblDeviceConfig[Deployed],ROW()-1),"")</f>
      </c>
      <c r="D312">
        <f>IFERROR(INDEX(tblDeviceConfig[Installed],ROW()-1),"")</f>
      </c>
      <c r="E312">
        <f>IFERROR(INDEX(tblDeviceConfig[Cybernet Hostname],ROW()-1),"")</f>
      </c>
      <c r="F312">
        <f>IFERROR(INDEX(tblDeviceConfig[Neuron Hostname],ROW()-1),"")</f>
      </c>
      <c r="G312">
        <f>IFERROR(INDEX(tblDeviceConfig[Software List],ROW()-1),"")</f>
      </c>
      <c r="H312">
        <f>IFERROR(INDEX(tblDeviceConfig[PI_Use_Case],ROW()-1),"")</f>
      </c>
      <c r="I312">
        <f>IFERROR(INDEX(tblDeviceConfig[PI_Result],ROW()-1),"")</f>
      </c>
      <c r="J312">
        <f>IFERROR(INDEX(tblDeviceConfig[PI_Validated_By],ROW()-1),"")</f>
      </c>
      <c r="K312">
        <f>IFERROR(INDEX(tblDeviceConfig[PI_Validated_Date],ROW()-1),"")</f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</c>
      <c r="C313">
        <f>IFERROR(INDEX(tblDeviceConfig[Deployed],ROW()-1),"")</f>
      </c>
      <c r="D313">
        <f>IFERROR(INDEX(tblDeviceConfig[Installed],ROW()-1),"")</f>
      </c>
      <c r="E313">
        <f>IFERROR(INDEX(tblDeviceConfig[Cybernet Hostname],ROW()-1),"")</f>
      </c>
      <c r="F313">
        <f>IFERROR(INDEX(tblDeviceConfig[Neuron Hostname],ROW()-1),"")</f>
      </c>
      <c r="G313">
        <f>IFERROR(INDEX(tblDeviceConfig[Software List],ROW()-1),"")</f>
      </c>
      <c r="H313">
        <f>IFERROR(INDEX(tblDeviceConfig[PI_Use_Case],ROW()-1),"")</f>
      </c>
      <c r="I313">
        <f>IFERROR(INDEX(tblDeviceConfig[PI_Result],ROW()-1),"")</f>
      </c>
      <c r="J313">
        <f>IFERROR(INDEX(tblDeviceConfig[PI_Validated_By],ROW()-1),"")</f>
      </c>
      <c r="K313">
        <f>IFERROR(INDEX(tblDeviceConfig[PI_Validated_Date],ROW()-1),"")</f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</c>
      <c r="C314">
        <f>IFERROR(INDEX(tblDeviceConfig[Deployed],ROW()-1),"")</f>
      </c>
      <c r="D314">
        <f>IFERROR(INDEX(tblDeviceConfig[Installed],ROW()-1),"")</f>
      </c>
      <c r="E314">
        <f>IFERROR(INDEX(tblDeviceConfig[Cybernet Hostname],ROW()-1),"")</f>
      </c>
      <c r="F314">
        <f>IFERROR(INDEX(tblDeviceConfig[Neuron Hostname],ROW()-1),"")</f>
      </c>
      <c r="G314">
        <f>IFERROR(INDEX(tblDeviceConfig[Software List],ROW()-1),"")</f>
      </c>
      <c r="H314">
        <f>IFERROR(INDEX(tblDeviceConfig[PI_Use_Case],ROW()-1),"")</f>
      </c>
      <c r="I314">
        <f>IFERROR(INDEX(tblDeviceConfig[PI_Result],ROW()-1),"")</f>
      </c>
      <c r="J314">
        <f>IFERROR(INDEX(tblDeviceConfig[PI_Validated_By],ROW()-1),"")</f>
      </c>
      <c r="K314">
        <f>IFERROR(INDEX(tblDeviceConfig[PI_Validated_Date],ROW()-1),"")</f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</c>
      <c r="C315">
        <f>IFERROR(INDEX(tblDeviceConfig[Deployed],ROW()-1),"")</f>
      </c>
      <c r="D315">
        <f>IFERROR(INDEX(tblDeviceConfig[Installed],ROW()-1),"")</f>
      </c>
      <c r="E315">
        <f>IFERROR(INDEX(tblDeviceConfig[Cybernet Hostname],ROW()-1),"")</f>
      </c>
      <c r="F315">
        <f>IFERROR(INDEX(tblDeviceConfig[Neuron Hostname],ROW()-1),"")</f>
      </c>
      <c r="G315">
        <f>IFERROR(INDEX(tblDeviceConfig[Software List],ROW()-1),"")</f>
      </c>
      <c r="H315">
        <f>IFERROR(INDEX(tblDeviceConfig[PI_Use_Case],ROW()-1),"")</f>
      </c>
      <c r="I315">
        <f>IFERROR(INDEX(tblDeviceConfig[PI_Result],ROW()-1),"")</f>
      </c>
      <c r="J315">
        <f>IFERROR(INDEX(tblDeviceConfig[PI_Validated_By],ROW()-1),"")</f>
      </c>
      <c r="K315">
        <f>IFERROR(INDEX(tblDeviceConfig[PI_Validated_Date],ROW()-1),"")</f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</c>
      <c r="C316">
        <f>IFERROR(INDEX(tblDeviceConfig[Deployed],ROW()-1),"")</f>
      </c>
      <c r="D316">
        <f>IFERROR(INDEX(tblDeviceConfig[Installed],ROW()-1),"")</f>
      </c>
      <c r="E316">
        <f>IFERROR(INDEX(tblDeviceConfig[Cybernet Hostname],ROW()-1),"")</f>
      </c>
      <c r="F316">
        <f>IFERROR(INDEX(tblDeviceConfig[Neuron Hostname],ROW()-1),"")</f>
      </c>
      <c r="G316">
        <f>IFERROR(INDEX(tblDeviceConfig[Software List],ROW()-1),"")</f>
      </c>
      <c r="H316">
        <f>IFERROR(INDEX(tblDeviceConfig[PI_Use_Case],ROW()-1),"")</f>
      </c>
      <c r="I316">
        <f>IFERROR(INDEX(tblDeviceConfig[PI_Result],ROW()-1),"")</f>
      </c>
      <c r="J316">
        <f>IFERROR(INDEX(tblDeviceConfig[PI_Validated_By],ROW()-1),"")</f>
      </c>
      <c r="K316">
        <f>IFERROR(INDEX(tblDeviceConfig[PI_Validated_Date],ROW()-1),"")</f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</c>
      <c r="C317">
        <f>IFERROR(INDEX(tblDeviceConfig[Deployed],ROW()-1),"")</f>
      </c>
      <c r="D317">
        <f>IFERROR(INDEX(tblDeviceConfig[Installed],ROW()-1),"")</f>
      </c>
      <c r="E317">
        <f>IFERROR(INDEX(tblDeviceConfig[Cybernet Hostname],ROW()-1),"")</f>
      </c>
      <c r="F317">
        <f>IFERROR(INDEX(tblDeviceConfig[Neuron Hostname],ROW()-1),"")</f>
      </c>
      <c r="G317">
        <f>IFERROR(INDEX(tblDeviceConfig[Software List],ROW()-1),"")</f>
      </c>
      <c r="H317">
        <f>IFERROR(INDEX(tblDeviceConfig[PI_Use_Case],ROW()-1),"")</f>
      </c>
      <c r="I317">
        <f>IFERROR(INDEX(tblDeviceConfig[PI_Result],ROW()-1),"")</f>
      </c>
      <c r="J317">
        <f>IFERROR(INDEX(tblDeviceConfig[PI_Validated_By],ROW()-1),"")</f>
      </c>
      <c r="K317">
        <f>IFERROR(INDEX(tblDeviceConfig[PI_Validated_Date],ROW()-1),"")</f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</c>
      <c r="C318">
        <f>IFERROR(INDEX(tblDeviceConfig[Deployed],ROW()-1),"")</f>
      </c>
      <c r="D318">
        <f>IFERROR(INDEX(tblDeviceConfig[Installed],ROW()-1),"")</f>
      </c>
      <c r="E318">
        <f>IFERROR(INDEX(tblDeviceConfig[Cybernet Hostname],ROW()-1),"")</f>
      </c>
      <c r="F318">
        <f>IFERROR(INDEX(tblDeviceConfig[Neuron Hostname],ROW()-1),"")</f>
      </c>
      <c r="G318">
        <f>IFERROR(INDEX(tblDeviceConfig[Software List],ROW()-1),"")</f>
      </c>
      <c r="H318">
        <f>IFERROR(INDEX(tblDeviceConfig[PI_Use_Case],ROW()-1),"")</f>
      </c>
      <c r="I318">
        <f>IFERROR(INDEX(tblDeviceConfig[PI_Result],ROW()-1),"")</f>
      </c>
      <c r="J318">
        <f>IFERROR(INDEX(tblDeviceConfig[PI_Validated_By],ROW()-1),"")</f>
      </c>
      <c r="K318">
        <f>IFERROR(INDEX(tblDeviceConfig[PI_Validated_Date],ROW()-1),"")</f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</c>
      <c r="C319">
        <f>IFERROR(INDEX(tblDeviceConfig[Deployed],ROW()-1),"")</f>
      </c>
      <c r="D319">
        <f>IFERROR(INDEX(tblDeviceConfig[Installed],ROW()-1),"")</f>
      </c>
      <c r="E319">
        <f>IFERROR(INDEX(tblDeviceConfig[Cybernet Hostname],ROW()-1),"")</f>
      </c>
      <c r="F319">
        <f>IFERROR(INDEX(tblDeviceConfig[Neuron Hostname],ROW()-1),"")</f>
      </c>
      <c r="G319">
        <f>IFERROR(INDEX(tblDeviceConfig[Software List],ROW()-1),"")</f>
      </c>
      <c r="H319">
        <f>IFERROR(INDEX(tblDeviceConfig[PI_Use_Case],ROW()-1),"")</f>
      </c>
      <c r="I319">
        <f>IFERROR(INDEX(tblDeviceConfig[PI_Result],ROW()-1),"")</f>
      </c>
      <c r="J319">
        <f>IFERROR(INDEX(tblDeviceConfig[PI_Validated_By],ROW()-1),"")</f>
      </c>
      <c r="K319">
        <f>IFERROR(INDEX(tblDeviceConfig[PI_Validated_Date],ROW()-1),"")</f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</c>
      <c r="C320">
        <f>IFERROR(INDEX(tblDeviceConfig[Deployed],ROW()-1),"")</f>
      </c>
      <c r="D320">
        <f>IFERROR(INDEX(tblDeviceConfig[Installed],ROW()-1),"")</f>
      </c>
      <c r="E320">
        <f>IFERROR(INDEX(tblDeviceConfig[Cybernet Hostname],ROW()-1),"")</f>
      </c>
      <c r="F320">
        <f>IFERROR(INDEX(tblDeviceConfig[Neuron Hostname],ROW()-1),"")</f>
      </c>
      <c r="G320">
        <f>IFERROR(INDEX(tblDeviceConfig[Software List],ROW()-1),"")</f>
      </c>
      <c r="H320">
        <f>IFERROR(INDEX(tblDeviceConfig[PI_Use_Case],ROW()-1),"")</f>
      </c>
      <c r="I320">
        <f>IFERROR(INDEX(tblDeviceConfig[PI_Result],ROW()-1),"")</f>
      </c>
      <c r="J320">
        <f>IFERROR(INDEX(tblDeviceConfig[PI_Validated_By],ROW()-1),"")</f>
      </c>
      <c r="K320">
        <f>IFERROR(INDEX(tblDeviceConfig[PI_Validated_Date],ROW()-1),"")</f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</c>
      <c r="C321">
        <f>IFERROR(INDEX(tblDeviceConfig[Deployed],ROW()-1),"")</f>
      </c>
      <c r="D321">
        <f>IFERROR(INDEX(tblDeviceConfig[Installed],ROW()-1),"")</f>
      </c>
      <c r="E321">
        <f>IFERROR(INDEX(tblDeviceConfig[Cybernet Hostname],ROW()-1),"")</f>
      </c>
      <c r="F321">
        <f>IFERROR(INDEX(tblDeviceConfig[Neuron Hostname],ROW()-1),"")</f>
      </c>
      <c r="G321">
        <f>IFERROR(INDEX(tblDeviceConfig[Software List],ROW()-1),"")</f>
      </c>
      <c r="H321">
        <f>IFERROR(INDEX(tblDeviceConfig[PI_Use_Case],ROW()-1),"")</f>
      </c>
      <c r="I321">
        <f>IFERROR(INDEX(tblDeviceConfig[PI_Result],ROW()-1),"")</f>
      </c>
      <c r="J321">
        <f>IFERROR(INDEX(tblDeviceConfig[PI_Validated_By],ROW()-1),"")</f>
      </c>
      <c r="K321">
        <f>IFERROR(INDEX(tblDeviceConfig[PI_Validated_Date],ROW()-1),"")</f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</c>
      <c r="C322">
        <f>IFERROR(INDEX(tblDeviceConfig[Deployed],ROW()-1),"")</f>
      </c>
      <c r="D322">
        <f>IFERROR(INDEX(tblDeviceConfig[Installed],ROW()-1),"")</f>
      </c>
      <c r="E322">
        <f>IFERROR(INDEX(tblDeviceConfig[Cybernet Hostname],ROW()-1),"")</f>
      </c>
      <c r="F322">
        <f>IFERROR(INDEX(tblDeviceConfig[Neuron Hostname],ROW()-1),"")</f>
      </c>
      <c r="G322">
        <f>IFERROR(INDEX(tblDeviceConfig[Software List],ROW()-1),"")</f>
      </c>
      <c r="H322">
        <f>IFERROR(INDEX(tblDeviceConfig[PI_Use_Case],ROW()-1),"")</f>
      </c>
      <c r="I322">
        <f>IFERROR(INDEX(tblDeviceConfig[PI_Result],ROW()-1),"")</f>
      </c>
      <c r="J322">
        <f>IFERROR(INDEX(tblDeviceConfig[PI_Validated_By],ROW()-1),"")</f>
      </c>
      <c r="K322">
        <f>IFERROR(INDEX(tblDeviceConfig[PI_Validated_Date],ROW()-1),"")</f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</c>
      <c r="C323">
        <f>IFERROR(INDEX(tblDeviceConfig[Deployed],ROW()-1),"")</f>
      </c>
      <c r="D323">
        <f>IFERROR(INDEX(tblDeviceConfig[Installed],ROW()-1),"")</f>
      </c>
      <c r="E323">
        <f>IFERROR(INDEX(tblDeviceConfig[Cybernet Hostname],ROW()-1),"")</f>
      </c>
      <c r="F323">
        <f>IFERROR(INDEX(tblDeviceConfig[Neuron Hostname],ROW()-1),"")</f>
      </c>
      <c r="G323">
        <f>IFERROR(INDEX(tblDeviceConfig[Software List],ROW()-1),"")</f>
      </c>
      <c r="H323">
        <f>IFERROR(INDEX(tblDeviceConfig[PI_Use_Case],ROW()-1),"")</f>
      </c>
      <c r="I323">
        <f>IFERROR(INDEX(tblDeviceConfig[PI_Result],ROW()-1),"")</f>
      </c>
      <c r="J323">
        <f>IFERROR(INDEX(tblDeviceConfig[PI_Validated_By],ROW()-1),"")</f>
      </c>
      <c r="K323">
        <f>IFERROR(INDEX(tblDeviceConfig[PI_Validated_Date],ROW()-1),"")</f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</c>
      <c r="C324">
        <f>IFERROR(INDEX(tblDeviceConfig[Deployed],ROW()-1),"")</f>
      </c>
      <c r="D324">
        <f>IFERROR(INDEX(tblDeviceConfig[Installed],ROW()-1),"")</f>
      </c>
      <c r="E324">
        <f>IFERROR(INDEX(tblDeviceConfig[Cybernet Hostname],ROW()-1),"")</f>
      </c>
      <c r="F324">
        <f>IFERROR(INDEX(tblDeviceConfig[Neuron Hostname],ROW()-1),"")</f>
      </c>
      <c r="G324">
        <f>IFERROR(INDEX(tblDeviceConfig[Software List],ROW()-1),"")</f>
      </c>
      <c r="H324">
        <f>IFERROR(INDEX(tblDeviceConfig[PI_Use_Case],ROW()-1),"")</f>
      </c>
      <c r="I324">
        <f>IFERROR(INDEX(tblDeviceConfig[PI_Result],ROW()-1),"")</f>
      </c>
      <c r="J324">
        <f>IFERROR(INDEX(tblDeviceConfig[PI_Validated_By],ROW()-1),"")</f>
      </c>
      <c r="K324">
        <f>IFERROR(INDEX(tblDeviceConfig[PI_Validated_Date],ROW()-1),"")</f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</c>
      <c r="C325">
        <f>IFERROR(INDEX(tblDeviceConfig[Deployed],ROW()-1),"")</f>
      </c>
      <c r="D325">
        <f>IFERROR(INDEX(tblDeviceConfig[Installed],ROW()-1),"")</f>
      </c>
      <c r="E325">
        <f>IFERROR(INDEX(tblDeviceConfig[Cybernet Hostname],ROW()-1),"")</f>
      </c>
      <c r="F325">
        <f>IFERROR(INDEX(tblDeviceConfig[Neuron Hostname],ROW()-1),"")</f>
      </c>
      <c r="G325">
        <f>IFERROR(INDEX(tblDeviceConfig[Software List],ROW()-1),"")</f>
      </c>
      <c r="H325">
        <f>IFERROR(INDEX(tblDeviceConfig[PI_Use_Case],ROW()-1),"")</f>
      </c>
      <c r="I325">
        <f>IFERROR(INDEX(tblDeviceConfig[PI_Result],ROW()-1),"")</f>
      </c>
      <c r="J325">
        <f>IFERROR(INDEX(tblDeviceConfig[PI_Validated_By],ROW()-1),"")</f>
      </c>
      <c r="K325">
        <f>IFERROR(INDEX(tblDeviceConfig[PI_Validated_Date],ROW()-1),"")</f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</c>
      <c r="C326">
        <f>IFERROR(INDEX(tblDeviceConfig[Deployed],ROW()-1),"")</f>
      </c>
      <c r="D326">
        <f>IFERROR(INDEX(tblDeviceConfig[Installed],ROW()-1),"")</f>
      </c>
      <c r="E326">
        <f>IFERROR(INDEX(tblDeviceConfig[Cybernet Hostname],ROW()-1),"")</f>
      </c>
      <c r="F326">
        <f>IFERROR(INDEX(tblDeviceConfig[Neuron Hostname],ROW()-1),"")</f>
      </c>
      <c r="G326">
        <f>IFERROR(INDEX(tblDeviceConfig[Software List],ROW()-1),"")</f>
      </c>
      <c r="H326">
        <f>IFERROR(INDEX(tblDeviceConfig[PI_Use_Case],ROW()-1),"")</f>
      </c>
      <c r="I326">
        <f>IFERROR(INDEX(tblDeviceConfig[PI_Result],ROW()-1),"")</f>
      </c>
      <c r="J326">
        <f>IFERROR(INDEX(tblDeviceConfig[PI_Validated_By],ROW()-1),"")</f>
      </c>
      <c r="K326">
        <f>IFERROR(INDEX(tblDeviceConfig[PI_Validated_Date],ROW()-1),"")</f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</c>
      <c r="C327">
        <f>IFERROR(INDEX(tblDeviceConfig[Deployed],ROW()-1),"")</f>
      </c>
      <c r="D327">
        <f>IFERROR(INDEX(tblDeviceConfig[Installed],ROW()-1),"")</f>
      </c>
      <c r="E327">
        <f>IFERROR(INDEX(tblDeviceConfig[Cybernet Hostname],ROW()-1),"")</f>
      </c>
      <c r="F327">
        <f>IFERROR(INDEX(tblDeviceConfig[Neuron Hostname],ROW()-1),"")</f>
      </c>
      <c r="G327">
        <f>IFERROR(INDEX(tblDeviceConfig[Software List],ROW()-1),"")</f>
      </c>
      <c r="H327">
        <f>IFERROR(INDEX(tblDeviceConfig[PI_Use_Case],ROW()-1),"")</f>
      </c>
      <c r="I327">
        <f>IFERROR(INDEX(tblDeviceConfig[PI_Result],ROW()-1),"")</f>
      </c>
      <c r="J327">
        <f>IFERROR(INDEX(tblDeviceConfig[PI_Validated_By],ROW()-1),"")</f>
      </c>
      <c r="K327">
        <f>IFERROR(INDEX(tblDeviceConfig[PI_Validated_Date],ROW()-1),"")</f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</c>
      <c r="C328">
        <f>IFERROR(INDEX(tblDeviceConfig[Deployed],ROW()-1),"")</f>
      </c>
      <c r="D328">
        <f>IFERROR(INDEX(tblDeviceConfig[Installed],ROW()-1),"")</f>
      </c>
      <c r="E328">
        <f>IFERROR(INDEX(tblDeviceConfig[Cybernet Hostname],ROW()-1),"")</f>
      </c>
      <c r="F328">
        <f>IFERROR(INDEX(tblDeviceConfig[Neuron Hostname],ROW()-1),"")</f>
      </c>
      <c r="G328">
        <f>IFERROR(INDEX(tblDeviceConfig[Software List],ROW()-1),"")</f>
      </c>
      <c r="H328">
        <f>IFERROR(INDEX(tblDeviceConfig[PI_Use_Case],ROW()-1),"")</f>
      </c>
      <c r="I328">
        <f>IFERROR(INDEX(tblDeviceConfig[PI_Result],ROW()-1),"")</f>
      </c>
      <c r="J328">
        <f>IFERROR(INDEX(tblDeviceConfig[PI_Validated_By],ROW()-1),"")</f>
      </c>
      <c r="K328">
        <f>IFERROR(INDEX(tblDeviceConfig[PI_Validated_Date],ROW()-1),"")</f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</c>
      <c r="C329">
        <f>IFERROR(INDEX(tblDeviceConfig[Deployed],ROW()-1),"")</f>
      </c>
      <c r="D329">
        <f>IFERROR(INDEX(tblDeviceConfig[Installed],ROW()-1),"")</f>
      </c>
      <c r="E329">
        <f>IFERROR(INDEX(tblDeviceConfig[Cybernet Hostname],ROW()-1),"")</f>
      </c>
      <c r="F329">
        <f>IFERROR(INDEX(tblDeviceConfig[Neuron Hostname],ROW()-1),"")</f>
      </c>
      <c r="G329">
        <f>IFERROR(INDEX(tblDeviceConfig[Software List],ROW()-1),"")</f>
      </c>
      <c r="H329">
        <f>IFERROR(INDEX(tblDeviceConfig[PI_Use_Case],ROW()-1),"")</f>
      </c>
      <c r="I329">
        <f>IFERROR(INDEX(tblDeviceConfig[PI_Result],ROW()-1),"")</f>
      </c>
      <c r="J329">
        <f>IFERROR(INDEX(tblDeviceConfig[PI_Validated_By],ROW()-1),"")</f>
      </c>
      <c r="K329">
        <f>IFERROR(INDEX(tblDeviceConfig[PI_Validated_Date],ROW()-1),"")</f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</c>
      <c r="C330">
        <f>IFERROR(INDEX(tblDeviceConfig[Deployed],ROW()-1),"")</f>
      </c>
      <c r="D330">
        <f>IFERROR(INDEX(tblDeviceConfig[Installed],ROW()-1),"")</f>
      </c>
      <c r="E330">
        <f>IFERROR(INDEX(tblDeviceConfig[Cybernet Hostname],ROW()-1),"")</f>
      </c>
      <c r="F330">
        <f>IFERROR(INDEX(tblDeviceConfig[Neuron Hostname],ROW()-1),"")</f>
      </c>
      <c r="G330">
        <f>IFERROR(INDEX(tblDeviceConfig[Software List],ROW()-1),"")</f>
      </c>
      <c r="H330">
        <f>IFERROR(INDEX(tblDeviceConfig[PI_Use_Case],ROW()-1),"")</f>
      </c>
      <c r="I330">
        <f>IFERROR(INDEX(tblDeviceConfig[PI_Result],ROW()-1),"")</f>
      </c>
      <c r="J330">
        <f>IFERROR(INDEX(tblDeviceConfig[PI_Validated_By],ROW()-1),"")</f>
      </c>
      <c r="K330">
        <f>IFERROR(INDEX(tblDeviceConfig[PI_Validated_Date],ROW()-1),"")</f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</c>
      <c r="C331">
        <f>IFERROR(INDEX(tblDeviceConfig[Deployed],ROW()-1),"")</f>
      </c>
      <c r="D331">
        <f>IFERROR(INDEX(tblDeviceConfig[Installed],ROW()-1),"")</f>
      </c>
      <c r="E331">
        <f>IFERROR(INDEX(tblDeviceConfig[Cybernet Hostname],ROW()-1),"")</f>
      </c>
      <c r="F331">
        <f>IFERROR(INDEX(tblDeviceConfig[Neuron Hostname],ROW()-1),"")</f>
      </c>
      <c r="G331">
        <f>IFERROR(INDEX(tblDeviceConfig[Software List],ROW()-1),"")</f>
      </c>
      <c r="H331">
        <f>IFERROR(INDEX(tblDeviceConfig[PI_Use_Case],ROW()-1),"")</f>
      </c>
      <c r="I331">
        <f>IFERROR(INDEX(tblDeviceConfig[PI_Result],ROW()-1),"")</f>
      </c>
      <c r="J331">
        <f>IFERROR(INDEX(tblDeviceConfig[PI_Validated_By],ROW()-1),"")</f>
      </c>
      <c r="K331">
        <f>IFERROR(INDEX(tblDeviceConfig[PI_Validated_Date],ROW()-1),"")</f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</c>
      <c r="C332">
        <f>IFERROR(INDEX(tblDeviceConfig[Deployed],ROW()-1),"")</f>
      </c>
      <c r="D332">
        <f>IFERROR(INDEX(tblDeviceConfig[Installed],ROW()-1),"")</f>
      </c>
      <c r="E332">
        <f>IFERROR(INDEX(tblDeviceConfig[Cybernet Hostname],ROW()-1),"")</f>
      </c>
      <c r="F332">
        <f>IFERROR(INDEX(tblDeviceConfig[Neuron Hostname],ROW()-1),"")</f>
      </c>
      <c r="G332">
        <f>IFERROR(INDEX(tblDeviceConfig[Software List],ROW()-1),"")</f>
      </c>
      <c r="H332">
        <f>IFERROR(INDEX(tblDeviceConfig[PI_Use_Case],ROW()-1),"")</f>
      </c>
      <c r="I332">
        <f>IFERROR(INDEX(tblDeviceConfig[PI_Result],ROW()-1),"")</f>
      </c>
      <c r="J332">
        <f>IFERROR(INDEX(tblDeviceConfig[PI_Validated_By],ROW()-1),"")</f>
      </c>
      <c r="K332">
        <f>IFERROR(INDEX(tblDeviceConfig[PI_Validated_Date],ROW()-1),"")</f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</c>
      <c r="C333">
        <f>IFERROR(INDEX(tblDeviceConfig[Deployed],ROW()-1),"")</f>
      </c>
      <c r="D333">
        <f>IFERROR(INDEX(tblDeviceConfig[Installed],ROW()-1),"")</f>
      </c>
      <c r="E333">
        <f>IFERROR(INDEX(tblDeviceConfig[Cybernet Hostname],ROW()-1),"")</f>
      </c>
      <c r="F333">
        <f>IFERROR(INDEX(tblDeviceConfig[Neuron Hostname],ROW()-1),"")</f>
      </c>
      <c r="G333">
        <f>IFERROR(INDEX(tblDeviceConfig[Software List],ROW()-1),"")</f>
      </c>
      <c r="H333">
        <f>IFERROR(INDEX(tblDeviceConfig[PI_Use_Case],ROW()-1),"")</f>
      </c>
      <c r="I333">
        <f>IFERROR(INDEX(tblDeviceConfig[PI_Result],ROW()-1),"")</f>
      </c>
      <c r="J333">
        <f>IFERROR(INDEX(tblDeviceConfig[PI_Validated_By],ROW()-1),"")</f>
      </c>
      <c r="K333">
        <f>IFERROR(INDEX(tblDeviceConfig[PI_Validated_Date],ROW()-1),"")</f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</c>
      <c r="C334">
        <f>IFERROR(INDEX(tblDeviceConfig[Deployed],ROW()-1),"")</f>
      </c>
      <c r="D334">
        <f>IFERROR(INDEX(tblDeviceConfig[Installed],ROW()-1),"")</f>
      </c>
      <c r="E334">
        <f>IFERROR(INDEX(tblDeviceConfig[Cybernet Hostname],ROW()-1),"")</f>
      </c>
      <c r="F334">
        <f>IFERROR(INDEX(tblDeviceConfig[Neuron Hostname],ROW()-1),"")</f>
      </c>
      <c r="G334">
        <f>IFERROR(INDEX(tblDeviceConfig[Software List],ROW()-1),"")</f>
      </c>
      <c r="H334">
        <f>IFERROR(INDEX(tblDeviceConfig[PI_Use_Case],ROW()-1),"")</f>
      </c>
      <c r="I334">
        <f>IFERROR(INDEX(tblDeviceConfig[PI_Result],ROW()-1),"")</f>
      </c>
      <c r="J334">
        <f>IFERROR(INDEX(tblDeviceConfig[PI_Validated_By],ROW()-1),"")</f>
      </c>
      <c r="K334">
        <f>IFERROR(INDEX(tblDeviceConfig[PI_Validated_Date],ROW()-1),"")</f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</c>
      <c r="C335">
        <f>IFERROR(INDEX(tblDeviceConfig[Deployed],ROW()-1),"")</f>
      </c>
      <c r="D335">
        <f>IFERROR(INDEX(tblDeviceConfig[Installed],ROW()-1),"")</f>
      </c>
      <c r="E335">
        <f>IFERROR(INDEX(tblDeviceConfig[Cybernet Hostname],ROW()-1),"")</f>
      </c>
      <c r="F335">
        <f>IFERROR(INDEX(tblDeviceConfig[Neuron Hostname],ROW()-1),"")</f>
      </c>
      <c r="G335">
        <f>IFERROR(INDEX(tblDeviceConfig[Software List],ROW()-1),"")</f>
      </c>
      <c r="H335">
        <f>IFERROR(INDEX(tblDeviceConfig[PI_Use_Case],ROW()-1),"")</f>
      </c>
      <c r="I335">
        <f>IFERROR(INDEX(tblDeviceConfig[PI_Result],ROW()-1),"")</f>
      </c>
      <c r="J335">
        <f>IFERROR(INDEX(tblDeviceConfig[PI_Validated_By],ROW()-1),"")</f>
      </c>
      <c r="K335">
        <f>IFERROR(INDEX(tblDeviceConfig[PI_Validated_Date],ROW()-1),"")</f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</c>
      <c r="C336">
        <f>IFERROR(INDEX(tblDeviceConfig[Deployed],ROW()-1),"")</f>
      </c>
      <c r="D336">
        <f>IFERROR(INDEX(tblDeviceConfig[Installed],ROW()-1),"")</f>
      </c>
      <c r="E336">
        <f>IFERROR(INDEX(tblDeviceConfig[Cybernet Hostname],ROW()-1),"")</f>
      </c>
      <c r="F336">
        <f>IFERROR(INDEX(tblDeviceConfig[Neuron Hostname],ROW()-1),"")</f>
      </c>
      <c r="G336">
        <f>IFERROR(INDEX(tblDeviceConfig[Software List],ROW()-1),"")</f>
      </c>
      <c r="H336">
        <f>IFERROR(INDEX(tblDeviceConfig[PI_Use_Case],ROW()-1),"")</f>
      </c>
      <c r="I336">
        <f>IFERROR(INDEX(tblDeviceConfig[PI_Result],ROW()-1),"")</f>
      </c>
      <c r="J336">
        <f>IFERROR(INDEX(tblDeviceConfig[PI_Validated_By],ROW()-1),"")</f>
      </c>
      <c r="K336">
        <f>IFERROR(INDEX(tblDeviceConfig[PI_Validated_Date],ROW()-1),"")</f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</c>
      <c r="C337">
        <f>IFERROR(INDEX(tblDeviceConfig[Deployed],ROW()-1),"")</f>
      </c>
      <c r="D337">
        <f>IFERROR(INDEX(tblDeviceConfig[Installed],ROW()-1),"")</f>
      </c>
      <c r="E337">
        <f>IFERROR(INDEX(tblDeviceConfig[Cybernet Hostname],ROW()-1),"")</f>
      </c>
      <c r="F337">
        <f>IFERROR(INDEX(tblDeviceConfig[Neuron Hostname],ROW()-1),"")</f>
      </c>
      <c r="G337">
        <f>IFERROR(INDEX(tblDeviceConfig[Software List],ROW()-1),"")</f>
      </c>
      <c r="H337">
        <f>IFERROR(INDEX(tblDeviceConfig[PI_Use_Case],ROW()-1),"")</f>
      </c>
      <c r="I337">
        <f>IFERROR(INDEX(tblDeviceConfig[PI_Result],ROW()-1),"")</f>
      </c>
      <c r="J337">
        <f>IFERROR(INDEX(tblDeviceConfig[PI_Validated_By],ROW()-1),"")</f>
      </c>
      <c r="K337">
        <f>IFERROR(INDEX(tblDeviceConfig[PI_Validated_Date],ROW()-1),"")</f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</c>
      <c r="C338">
        <f>IFERROR(INDEX(tblDeviceConfig[Deployed],ROW()-1),"")</f>
      </c>
      <c r="D338">
        <f>IFERROR(INDEX(tblDeviceConfig[Installed],ROW()-1),"")</f>
      </c>
      <c r="E338">
        <f>IFERROR(INDEX(tblDeviceConfig[Cybernet Hostname],ROW()-1),"")</f>
      </c>
      <c r="F338">
        <f>IFERROR(INDEX(tblDeviceConfig[Neuron Hostname],ROW()-1),"")</f>
      </c>
      <c r="G338">
        <f>IFERROR(INDEX(tblDeviceConfig[Software List],ROW()-1),"")</f>
      </c>
      <c r="H338">
        <f>IFERROR(INDEX(tblDeviceConfig[PI_Use_Case],ROW()-1),"")</f>
      </c>
      <c r="I338">
        <f>IFERROR(INDEX(tblDeviceConfig[PI_Result],ROW()-1),"")</f>
      </c>
      <c r="J338">
        <f>IFERROR(INDEX(tblDeviceConfig[PI_Validated_By],ROW()-1),"")</f>
      </c>
      <c r="K338">
        <f>IFERROR(INDEX(tblDeviceConfig[PI_Validated_Date],ROW()-1),"")</f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</c>
      <c r="C339">
        <f>IFERROR(INDEX(tblDeviceConfig[Deployed],ROW()-1),"")</f>
      </c>
      <c r="D339">
        <f>IFERROR(INDEX(tblDeviceConfig[Installed],ROW()-1),"")</f>
      </c>
      <c r="E339">
        <f>IFERROR(INDEX(tblDeviceConfig[Cybernet Hostname],ROW()-1),"")</f>
      </c>
      <c r="F339">
        <f>IFERROR(INDEX(tblDeviceConfig[Neuron Hostname],ROW()-1),"")</f>
      </c>
      <c r="G339">
        <f>IFERROR(INDEX(tblDeviceConfig[Software List],ROW()-1),"")</f>
      </c>
      <c r="H339">
        <f>IFERROR(INDEX(tblDeviceConfig[PI_Use_Case],ROW()-1),"")</f>
      </c>
      <c r="I339">
        <f>IFERROR(INDEX(tblDeviceConfig[PI_Result],ROW()-1),"")</f>
      </c>
      <c r="J339">
        <f>IFERROR(INDEX(tblDeviceConfig[PI_Validated_By],ROW()-1),"")</f>
      </c>
      <c r="K339">
        <f>IFERROR(INDEX(tblDeviceConfig[PI_Validated_Date],ROW()-1),"")</f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</c>
      <c r="C340">
        <f>IFERROR(INDEX(tblDeviceConfig[Deployed],ROW()-1),"")</f>
      </c>
      <c r="D340">
        <f>IFERROR(INDEX(tblDeviceConfig[Installed],ROW()-1),"")</f>
      </c>
      <c r="E340">
        <f>IFERROR(INDEX(tblDeviceConfig[Cybernet Hostname],ROW()-1),"")</f>
      </c>
      <c r="F340">
        <f>IFERROR(INDEX(tblDeviceConfig[Neuron Hostname],ROW()-1),"")</f>
      </c>
      <c r="G340">
        <f>IFERROR(INDEX(tblDeviceConfig[Software List],ROW()-1),"")</f>
      </c>
      <c r="H340">
        <f>IFERROR(INDEX(tblDeviceConfig[PI_Use_Case],ROW()-1),"")</f>
      </c>
      <c r="I340">
        <f>IFERROR(INDEX(tblDeviceConfig[PI_Result],ROW()-1),"")</f>
      </c>
      <c r="J340">
        <f>IFERROR(INDEX(tblDeviceConfig[PI_Validated_By],ROW()-1),"")</f>
      </c>
      <c r="K340">
        <f>IFERROR(INDEX(tblDeviceConfig[PI_Validated_Date],ROW()-1),"")</f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</c>
      <c r="C341">
        <f>IFERROR(INDEX(tblDeviceConfig[Deployed],ROW()-1),"")</f>
      </c>
      <c r="D341">
        <f>IFERROR(INDEX(tblDeviceConfig[Installed],ROW()-1),"")</f>
      </c>
      <c r="E341">
        <f>IFERROR(INDEX(tblDeviceConfig[Cybernet Hostname],ROW()-1),"")</f>
      </c>
      <c r="F341">
        <f>IFERROR(INDEX(tblDeviceConfig[Neuron Hostname],ROW()-1),"")</f>
      </c>
      <c r="G341">
        <f>IFERROR(INDEX(tblDeviceConfig[Software List],ROW()-1),"")</f>
      </c>
      <c r="H341">
        <f>IFERROR(INDEX(tblDeviceConfig[PI_Use_Case],ROW()-1),"")</f>
      </c>
      <c r="I341">
        <f>IFERROR(INDEX(tblDeviceConfig[PI_Result],ROW()-1),"")</f>
      </c>
      <c r="J341">
        <f>IFERROR(INDEX(tblDeviceConfig[PI_Validated_By],ROW()-1),"")</f>
      </c>
      <c r="K341">
        <f>IFERROR(INDEX(tblDeviceConfig[PI_Validated_Date],ROW()-1),"")</f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</c>
      <c r="C342">
        <f>IFERROR(INDEX(tblDeviceConfig[Deployed],ROW()-1),"")</f>
      </c>
      <c r="D342">
        <f>IFERROR(INDEX(tblDeviceConfig[Installed],ROW()-1),"")</f>
      </c>
      <c r="E342">
        <f>IFERROR(INDEX(tblDeviceConfig[Cybernet Hostname],ROW()-1),"")</f>
      </c>
      <c r="F342">
        <f>IFERROR(INDEX(tblDeviceConfig[Neuron Hostname],ROW()-1),"")</f>
      </c>
      <c r="G342">
        <f>IFERROR(INDEX(tblDeviceConfig[Software List],ROW()-1),"")</f>
      </c>
      <c r="H342">
        <f>IFERROR(INDEX(tblDeviceConfig[PI_Use_Case],ROW()-1),"")</f>
      </c>
      <c r="I342">
        <f>IFERROR(INDEX(tblDeviceConfig[PI_Result],ROW()-1),"")</f>
      </c>
      <c r="J342">
        <f>IFERROR(INDEX(tblDeviceConfig[PI_Validated_By],ROW()-1),"")</f>
      </c>
      <c r="K342">
        <f>IFERROR(INDEX(tblDeviceConfig[PI_Validated_Date],ROW()-1),"")</f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</c>
      <c r="C343">
        <f>IFERROR(INDEX(tblDeviceConfig[Deployed],ROW()-1),"")</f>
      </c>
      <c r="D343">
        <f>IFERROR(INDEX(tblDeviceConfig[Installed],ROW()-1),"")</f>
      </c>
      <c r="E343">
        <f>IFERROR(INDEX(tblDeviceConfig[Cybernet Hostname],ROW()-1),"")</f>
      </c>
      <c r="F343">
        <f>IFERROR(INDEX(tblDeviceConfig[Neuron Hostname],ROW()-1),"")</f>
      </c>
      <c r="G343">
        <f>IFERROR(INDEX(tblDeviceConfig[Software List],ROW()-1),"")</f>
      </c>
      <c r="H343">
        <f>IFERROR(INDEX(tblDeviceConfig[PI_Use_Case],ROW()-1),"")</f>
      </c>
      <c r="I343">
        <f>IFERROR(INDEX(tblDeviceConfig[PI_Result],ROW()-1),"")</f>
      </c>
      <c r="J343">
        <f>IFERROR(INDEX(tblDeviceConfig[PI_Validated_By],ROW()-1),"")</f>
      </c>
      <c r="K343">
        <f>IFERROR(INDEX(tblDeviceConfig[PI_Validated_Date],ROW()-1),"")</f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</c>
      <c r="C344">
        <f>IFERROR(INDEX(tblDeviceConfig[Deployed],ROW()-1),"")</f>
      </c>
      <c r="D344">
        <f>IFERROR(INDEX(tblDeviceConfig[Installed],ROW()-1),"")</f>
      </c>
      <c r="E344">
        <f>IFERROR(INDEX(tblDeviceConfig[Cybernet Hostname],ROW()-1),"")</f>
      </c>
      <c r="F344">
        <f>IFERROR(INDEX(tblDeviceConfig[Neuron Hostname],ROW()-1),"")</f>
      </c>
      <c r="G344">
        <f>IFERROR(INDEX(tblDeviceConfig[Software List],ROW()-1),"")</f>
      </c>
      <c r="H344">
        <f>IFERROR(INDEX(tblDeviceConfig[PI_Use_Case],ROW()-1),"")</f>
      </c>
      <c r="I344">
        <f>IFERROR(INDEX(tblDeviceConfig[PI_Result],ROW()-1),"")</f>
      </c>
      <c r="J344">
        <f>IFERROR(INDEX(tblDeviceConfig[PI_Validated_By],ROW()-1),"")</f>
      </c>
      <c r="K344">
        <f>IFERROR(INDEX(tblDeviceConfig[PI_Validated_Date],ROW()-1),"")</f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</c>
      <c r="C345">
        <f>IFERROR(INDEX(tblDeviceConfig[Deployed],ROW()-1),"")</f>
      </c>
      <c r="D345">
        <f>IFERROR(INDEX(tblDeviceConfig[Installed],ROW()-1),"")</f>
      </c>
      <c r="E345">
        <f>IFERROR(INDEX(tblDeviceConfig[Cybernet Hostname],ROW()-1),"")</f>
      </c>
      <c r="F345">
        <f>IFERROR(INDEX(tblDeviceConfig[Neuron Hostname],ROW()-1),"")</f>
      </c>
      <c r="G345">
        <f>IFERROR(INDEX(tblDeviceConfig[Software List],ROW()-1),"")</f>
      </c>
      <c r="H345">
        <f>IFERROR(INDEX(tblDeviceConfig[PI_Use_Case],ROW()-1),"")</f>
      </c>
      <c r="I345">
        <f>IFERROR(INDEX(tblDeviceConfig[PI_Result],ROW()-1),"")</f>
      </c>
      <c r="J345">
        <f>IFERROR(INDEX(tblDeviceConfig[PI_Validated_By],ROW()-1),"")</f>
      </c>
      <c r="K345">
        <f>IFERROR(INDEX(tblDeviceConfig[PI_Validated_Date],ROW()-1),"")</f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</c>
      <c r="C346">
        <f>IFERROR(INDEX(tblDeviceConfig[Deployed],ROW()-1),"")</f>
      </c>
      <c r="D346">
        <f>IFERROR(INDEX(tblDeviceConfig[Installed],ROW()-1),"")</f>
      </c>
      <c r="E346">
        <f>IFERROR(INDEX(tblDeviceConfig[Cybernet Hostname],ROW()-1),"")</f>
      </c>
      <c r="F346">
        <f>IFERROR(INDEX(tblDeviceConfig[Neuron Hostname],ROW()-1),"")</f>
      </c>
      <c r="G346">
        <f>IFERROR(INDEX(tblDeviceConfig[Software List],ROW()-1),"")</f>
      </c>
      <c r="H346">
        <f>IFERROR(INDEX(tblDeviceConfig[PI_Use_Case],ROW()-1),"")</f>
      </c>
      <c r="I346">
        <f>IFERROR(INDEX(tblDeviceConfig[PI_Result],ROW()-1),"")</f>
      </c>
      <c r="J346">
        <f>IFERROR(INDEX(tblDeviceConfig[PI_Validated_By],ROW()-1),"")</f>
      </c>
      <c r="K346">
        <f>IFERROR(INDEX(tblDeviceConfig[PI_Validated_Date],ROW()-1),"")</f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</c>
      <c r="C347">
        <f>IFERROR(INDEX(tblDeviceConfig[Deployed],ROW()-1),"")</f>
      </c>
      <c r="D347">
        <f>IFERROR(INDEX(tblDeviceConfig[Installed],ROW()-1),"")</f>
      </c>
      <c r="E347">
        <f>IFERROR(INDEX(tblDeviceConfig[Cybernet Hostname],ROW()-1),"")</f>
      </c>
      <c r="F347">
        <f>IFERROR(INDEX(tblDeviceConfig[Neuron Hostname],ROW()-1),"")</f>
      </c>
      <c r="G347">
        <f>IFERROR(INDEX(tblDeviceConfig[Software List],ROW()-1),"")</f>
      </c>
      <c r="H347">
        <f>IFERROR(INDEX(tblDeviceConfig[PI_Use_Case],ROW()-1),"")</f>
      </c>
      <c r="I347">
        <f>IFERROR(INDEX(tblDeviceConfig[PI_Result],ROW()-1),"")</f>
      </c>
      <c r="J347">
        <f>IFERROR(INDEX(tblDeviceConfig[PI_Validated_By],ROW()-1),"")</f>
      </c>
      <c r="K347">
        <f>IFERROR(INDEX(tblDeviceConfig[PI_Validated_Date],ROW()-1),"")</f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</c>
      <c r="C348">
        <f>IFERROR(INDEX(tblDeviceConfig[Deployed],ROW()-1),"")</f>
      </c>
      <c r="D348">
        <f>IFERROR(INDEX(tblDeviceConfig[Installed],ROW()-1),"")</f>
      </c>
      <c r="E348">
        <f>IFERROR(INDEX(tblDeviceConfig[Cybernet Hostname],ROW()-1),"")</f>
      </c>
      <c r="F348">
        <f>IFERROR(INDEX(tblDeviceConfig[Neuron Hostname],ROW()-1),"")</f>
      </c>
      <c r="G348">
        <f>IFERROR(INDEX(tblDeviceConfig[Software List],ROW()-1),"")</f>
      </c>
      <c r="H348">
        <f>IFERROR(INDEX(tblDeviceConfig[PI_Use_Case],ROW()-1),"")</f>
      </c>
      <c r="I348">
        <f>IFERROR(INDEX(tblDeviceConfig[PI_Result],ROW()-1),"")</f>
      </c>
      <c r="J348">
        <f>IFERROR(INDEX(tblDeviceConfig[PI_Validated_By],ROW()-1),"")</f>
      </c>
      <c r="K348">
        <f>IFERROR(INDEX(tblDeviceConfig[PI_Validated_Date],ROW()-1),"")</f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</c>
      <c r="C349">
        <f>IFERROR(INDEX(tblDeviceConfig[Deployed],ROW()-1),"")</f>
      </c>
      <c r="D349">
        <f>IFERROR(INDEX(tblDeviceConfig[Installed],ROW()-1),"")</f>
      </c>
      <c r="E349">
        <f>IFERROR(INDEX(tblDeviceConfig[Cybernet Hostname],ROW()-1),"")</f>
      </c>
      <c r="F349">
        <f>IFERROR(INDEX(tblDeviceConfig[Neuron Hostname],ROW()-1),"")</f>
      </c>
      <c r="G349">
        <f>IFERROR(INDEX(tblDeviceConfig[Software List],ROW()-1),"")</f>
      </c>
      <c r="H349">
        <f>IFERROR(INDEX(tblDeviceConfig[PI_Use_Case],ROW()-1),"")</f>
      </c>
      <c r="I349">
        <f>IFERROR(INDEX(tblDeviceConfig[PI_Result],ROW()-1),"")</f>
      </c>
      <c r="J349">
        <f>IFERROR(INDEX(tblDeviceConfig[PI_Validated_By],ROW()-1),"")</f>
      </c>
      <c r="K349">
        <f>IFERROR(INDEX(tblDeviceConfig[PI_Validated_Date],ROW()-1),"")</f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</c>
      <c r="C350">
        <f>IFERROR(INDEX(tblDeviceConfig[Deployed],ROW()-1),"")</f>
      </c>
      <c r="D350">
        <f>IFERROR(INDEX(tblDeviceConfig[Installed],ROW()-1),"")</f>
      </c>
      <c r="E350">
        <f>IFERROR(INDEX(tblDeviceConfig[Cybernet Hostname],ROW()-1),"")</f>
      </c>
      <c r="F350">
        <f>IFERROR(INDEX(tblDeviceConfig[Neuron Hostname],ROW()-1),"")</f>
      </c>
      <c r="G350">
        <f>IFERROR(INDEX(tblDeviceConfig[Software List],ROW()-1),"")</f>
      </c>
      <c r="H350">
        <f>IFERROR(INDEX(tblDeviceConfig[PI_Use_Case],ROW()-1),"")</f>
      </c>
      <c r="I350">
        <f>IFERROR(INDEX(tblDeviceConfig[PI_Result],ROW()-1),"")</f>
      </c>
      <c r="J350">
        <f>IFERROR(INDEX(tblDeviceConfig[PI_Validated_By],ROW()-1),"")</f>
      </c>
      <c r="K350">
        <f>IFERROR(INDEX(tblDeviceConfig[PI_Validated_Date],ROW()-1),"")</f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</c>
      <c r="C351">
        <f>IFERROR(INDEX(tblDeviceConfig[Deployed],ROW()-1),"")</f>
      </c>
      <c r="D351">
        <f>IFERROR(INDEX(tblDeviceConfig[Installed],ROW()-1),"")</f>
      </c>
      <c r="E351">
        <f>IFERROR(INDEX(tblDeviceConfig[Cybernet Hostname],ROW()-1),"")</f>
      </c>
      <c r="F351">
        <f>IFERROR(INDEX(tblDeviceConfig[Neuron Hostname],ROW()-1),"")</f>
      </c>
      <c r="G351">
        <f>IFERROR(INDEX(tblDeviceConfig[Software List],ROW()-1),"")</f>
      </c>
      <c r="H351">
        <f>IFERROR(INDEX(tblDeviceConfig[PI_Use_Case],ROW()-1),"")</f>
      </c>
      <c r="I351">
        <f>IFERROR(INDEX(tblDeviceConfig[PI_Result],ROW()-1),"")</f>
      </c>
      <c r="J351">
        <f>IFERROR(INDEX(tblDeviceConfig[PI_Validated_By],ROW()-1),"")</f>
      </c>
      <c r="K351">
        <f>IFERROR(INDEX(tblDeviceConfig[PI_Validated_Date],ROW()-1),"")</f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</c>
      <c r="C352">
        <f>IFERROR(INDEX(tblDeviceConfig[Deployed],ROW()-1),"")</f>
      </c>
      <c r="D352">
        <f>IFERROR(INDEX(tblDeviceConfig[Installed],ROW()-1),"")</f>
      </c>
      <c r="E352">
        <f>IFERROR(INDEX(tblDeviceConfig[Cybernet Hostname],ROW()-1),"")</f>
      </c>
      <c r="F352">
        <f>IFERROR(INDEX(tblDeviceConfig[Neuron Hostname],ROW()-1),"")</f>
      </c>
      <c r="G352">
        <f>IFERROR(INDEX(tblDeviceConfig[Software List],ROW()-1),"")</f>
      </c>
      <c r="H352">
        <f>IFERROR(INDEX(tblDeviceConfig[PI_Use_Case],ROW()-1),"")</f>
      </c>
      <c r="I352">
        <f>IFERROR(INDEX(tblDeviceConfig[PI_Result],ROW()-1),"")</f>
      </c>
      <c r="J352">
        <f>IFERROR(INDEX(tblDeviceConfig[PI_Validated_By],ROW()-1),"")</f>
      </c>
      <c r="K352">
        <f>IFERROR(INDEX(tblDeviceConfig[PI_Validated_Date],ROW()-1),"")</f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</c>
      <c r="C353">
        <f>IFERROR(INDEX(tblDeviceConfig[Deployed],ROW()-1),"")</f>
      </c>
      <c r="D353">
        <f>IFERROR(INDEX(tblDeviceConfig[Installed],ROW()-1),"")</f>
      </c>
      <c r="E353">
        <f>IFERROR(INDEX(tblDeviceConfig[Cybernet Hostname],ROW()-1),"")</f>
      </c>
      <c r="F353">
        <f>IFERROR(INDEX(tblDeviceConfig[Neuron Hostname],ROW()-1),"")</f>
      </c>
      <c r="G353">
        <f>IFERROR(INDEX(tblDeviceConfig[Software List],ROW()-1),"")</f>
      </c>
      <c r="H353">
        <f>IFERROR(INDEX(tblDeviceConfig[PI_Use_Case],ROW()-1),"")</f>
      </c>
      <c r="I353">
        <f>IFERROR(INDEX(tblDeviceConfig[PI_Result],ROW()-1),"")</f>
      </c>
      <c r="J353">
        <f>IFERROR(INDEX(tblDeviceConfig[PI_Validated_By],ROW()-1),"")</f>
      </c>
      <c r="K353">
        <f>IFERROR(INDEX(tblDeviceConfig[PI_Validated_Date],ROW()-1),"")</f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</c>
      <c r="C354">
        <f>IFERROR(INDEX(tblDeviceConfig[Deployed],ROW()-1),"")</f>
      </c>
      <c r="D354">
        <f>IFERROR(INDEX(tblDeviceConfig[Installed],ROW()-1),"")</f>
      </c>
      <c r="E354">
        <f>IFERROR(INDEX(tblDeviceConfig[Cybernet Hostname],ROW()-1),"")</f>
      </c>
      <c r="F354">
        <f>IFERROR(INDEX(tblDeviceConfig[Neuron Hostname],ROW()-1),"")</f>
      </c>
      <c r="G354">
        <f>IFERROR(INDEX(tblDeviceConfig[Software List],ROW()-1),"")</f>
      </c>
      <c r="H354">
        <f>IFERROR(INDEX(tblDeviceConfig[PI_Use_Case],ROW()-1),"")</f>
      </c>
      <c r="I354">
        <f>IFERROR(INDEX(tblDeviceConfig[PI_Result],ROW()-1),"")</f>
      </c>
      <c r="J354">
        <f>IFERROR(INDEX(tblDeviceConfig[PI_Validated_By],ROW()-1),"")</f>
      </c>
      <c r="K354">
        <f>IFERROR(INDEX(tblDeviceConfig[PI_Validated_Date],ROW()-1),"")</f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</c>
      <c r="C355">
        <f>IFERROR(INDEX(tblDeviceConfig[Deployed],ROW()-1),"")</f>
      </c>
      <c r="D355">
        <f>IFERROR(INDEX(tblDeviceConfig[Installed],ROW()-1),"")</f>
      </c>
      <c r="E355">
        <f>IFERROR(INDEX(tblDeviceConfig[Cybernet Hostname],ROW()-1),"")</f>
      </c>
      <c r="F355">
        <f>IFERROR(INDEX(tblDeviceConfig[Neuron Hostname],ROW()-1),"")</f>
      </c>
      <c r="G355">
        <f>IFERROR(INDEX(tblDeviceConfig[Software List],ROW()-1),"")</f>
      </c>
      <c r="H355">
        <f>IFERROR(INDEX(tblDeviceConfig[PI_Use_Case],ROW()-1),"")</f>
      </c>
      <c r="I355">
        <f>IFERROR(INDEX(tblDeviceConfig[PI_Result],ROW()-1),"")</f>
      </c>
      <c r="J355">
        <f>IFERROR(INDEX(tblDeviceConfig[PI_Validated_By],ROW()-1),"")</f>
      </c>
      <c r="K355">
        <f>IFERROR(INDEX(tblDeviceConfig[PI_Validated_Date],ROW()-1),"")</f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</c>
      <c r="C356">
        <f>IFERROR(INDEX(tblDeviceConfig[Deployed],ROW()-1),"")</f>
      </c>
      <c r="D356">
        <f>IFERROR(INDEX(tblDeviceConfig[Installed],ROW()-1),"")</f>
      </c>
      <c r="E356">
        <f>IFERROR(INDEX(tblDeviceConfig[Cybernet Hostname],ROW()-1),"")</f>
      </c>
      <c r="F356">
        <f>IFERROR(INDEX(tblDeviceConfig[Neuron Hostname],ROW()-1),"")</f>
      </c>
      <c r="G356">
        <f>IFERROR(INDEX(tblDeviceConfig[Software List],ROW()-1),"")</f>
      </c>
      <c r="H356">
        <f>IFERROR(INDEX(tblDeviceConfig[PI_Use_Case],ROW()-1),"")</f>
      </c>
      <c r="I356">
        <f>IFERROR(INDEX(tblDeviceConfig[PI_Result],ROW()-1),"")</f>
      </c>
      <c r="J356">
        <f>IFERROR(INDEX(tblDeviceConfig[PI_Validated_By],ROW()-1),"")</f>
      </c>
      <c r="K356">
        <f>IFERROR(INDEX(tblDeviceConfig[PI_Validated_Date],ROW()-1),"")</f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</c>
      <c r="C357">
        <f>IFERROR(INDEX(tblDeviceConfig[Deployed],ROW()-1),"")</f>
      </c>
      <c r="D357">
        <f>IFERROR(INDEX(tblDeviceConfig[Installed],ROW()-1),"")</f>
      </c>
      <c r="E357">
        <f>IFERROR(INDEX(tblDeviceConfig[Cybernet Hostname],ROW()-1),"")</f>
      </c>
      <c r="F357">
        <f>IFERROR(INDEX(tblDeviceConfig[Neuron Hostname],ROW()-1),"")</f>
      </c>
      <c r="G357">
        <f>IFERROR(INDEX(tblDeviceConfig[Software List],ROW()-1),"")</f>
      </c>
      <c r="H357">
        <f>IFERROR(INDEX(tblDeviceConfig[PI_Use_Case],ROW()-1),"")</f>
      </c>
      <c r="I357">
        <f>IFERROR(INDEX(tblDeviceConfig[PI_Result],ROW()-1),"")</f>
      </c>
      <c r="J357">
        <f>IFERROR(INDEX(tblDeviceConfig[PI_Validated_By],ROW()-1),"")</f>
      </c>
      <c r="K357">
        <f>IFERROR(INDEX(tblDeviceConfig[PI_Validated_Date],ROW()-1),"")</f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</c>
      <c r="C358">
        <f>IFERROR(INDEX(tblDeviceConfig[Deployed],ROW()-1),"")</f>
      </c>
      <c r="D358">
        <f>IFERROR(INDEX(tblDeviceConfig[Installed],ROW()-1),"")</f>
      </c>
      <c r="E358">
        <f>IFERROR(INDEX(tblDeviceConfig[Cybernet Hostname],ROW()-1),"")</f>
      </c>
      <c r="F358">
        <f>IFERROR(INDEX(tblDeviceConfig[Neuron Hostname],ROW()-1),"")</f>
      </c>
      <c r="G358">
        <f>IFERROR(INDEX(tblDeviceConfig[Software List],ROW()-1),"")</f>
      </c>
      <c r="H358">
        <f>IFERROR(INDEX(tblDeviceConfig[PI_Use_Case],ROW()-1),"")</f>
      </c>
      <c r="I358">
        <f>IFERROR(INDEX(tblDeviceConfig[PI_Result],ROW()-1),"")</f>
      </c>
      <c r="J358">
        <f>IFERROR(INDEX(tblDeviceConfig[PI_Validated_By],ROW()-1),"")</f>
      </c>
      <c r="K358">
        <f>IFERROR(INDEX(tblDeviceConfig[PI_Validated_Date],ROW()-1),"")</f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</c>
      <c r="C359">
        <f>IFERROR(INDEX(tblDeviceConfig[Deployed],ROW()-1),"")</f>
      </c>
      <c r="D359">
        <f>IFERROR(INDEX(tblDeviceConfig[Installed],ROW()-1),"")</f>
      </c>
      <c r="E359">
        <f>IFERROR(INDEX(tblDeviceConfig[Cybernet Hostname],ROW()-1),"")</f>
      </c>
      <c r="F359">
        <f>IFERROR(INDEX(tblDeviceConfig[Neuron Hostname],ROW()-1),"")</f>
      </c>
      <c r="G359">
        <f>IFERROR(INDEX(tblDeviceConfig[Software List],ROW()-1),"")</f>
      </c>
      <c r="H359">
        <f>IFERROR(INDEX(tblDeviceConfig[PI_Use_Case],ROW()-1),"")</f>
      </c>
      <c r="I359">
        <f>IFERROR(INDEX(tblDeviceConfig[PI_Result],ROW()-1),"")</f>
      </c>
      <c r="J359">
        <f>IFERROR(INDEX(tblDeviceConfig[PI_Validated_By],ROW()-1),"")</f>
      </c>
      <c r="K359">
        <f>IFERROR(INDEX(tblDeviceConfig[PI_Validated_Date],ROW()-1),"")</f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</c>
      <c r="C360">
        <f>IFERROR(INDEX(tblDeviceConfig[Deployed],ROW()-1),"")</f>
      </c>
      <c r="D360">
        <f>IFERROR(INDEX(tblDeviceConfig[Installed],ROW()-1),"")</f>
      </c>
      <c r="E360">
        <f>IFERROR(INDEX(tblDeviceConfig[Cybernet Hostname],ROW()-1),"")</f>
      </c>
      <c r="F360">
        <f>IFERROR(INDEX(tblDeviceConfig[Neuron Hostname],ROW()-1),"")</f>
      </c>
      <c r="G360">
        <f>IFERROR(INDEX(tblDeviceConfig[Software List],ROW()-1),"")</f>
      </c>
      <c r="H360">
        <f>IFERROR(INDEX(tblDeviceConfig[PI_Use_Case],ROW()-1),"")</f>
      </c>
      <c r="I360">
        <f>IFERROR(INDEX(tblDeviceConfig[PI_Result],ROW()-1),"")</f>
      </c>
      <c r="J360">
        <f>IFERROR(INDEX(tblDeviceConfig[PI_Validated_By],ROW()-1),"")</f>
      </c>
      <c r="K360">
        <f>IFERROR(INDEX(tblDeviceConfig[PI_Validated_Date],ROW()-1),"")</f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</c>
      <c r="C361">
        <f>IFERROR(INDEX(tblDeviceConfig[Deployed],ROW()-1),"")</f>
      </c>
      <c r="D361">
        <f>IFERROR(INDEX(tblDeviceConfig[Installed],ROW()-1),"")</f>
      </c>
      <c r="E361">
        <f>IFERROR(INDEX(tblDeviceConfig[Cybernet Hostname],ROW()-1),"")</f>
      </c>
      <c r="F361">
        <f>IFERROR(INDEX(tblDeviceConfig[Neuron Hostname],ROW()-1),"")</f>
      </c>
      <c r="G361">
        <f>IFERROR(INDEX(tblDeviceConfig[Software List],ROW()-1),"")</f>
      </c>
      <c r="H361">
        <f>IFERROR(INDEX(tblDeviceConfig[PI_Use_Case],ROW()-1),"")</f>
      </c>
      <c r="I361">
        <f>IFERROR(INDEX(tblDeviceConfig[PI_Result],ROW()-1),"")</f>
      </c>
      <c r="J361">
        <f>IFERROR(INDEX(tblDeviceConfig[PI_Validated_By],ROW()-1),"")</f>
      </c>
      <c r="K361">
        <f>IFERROR(INDEX(tblDeviceConfig[PI_Validated_Date],ROW()-1),"")</f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</c>
      <c r="C362">
        <f>IFERROR(INDEX(tblDeviceConfig[Deployed],ROW()-1),"")</f>
      </c>
      <c r="D362">
        <f>IFERROR(INDEX(tblDeviceConfig[Installed],ROW()-1),"")</f>
      </c>
      <c r="E362">
        <f>IFERROR(INDEX(tblDeviceConfig[Cybernet Hostname],ROW()-1),"")</f>
      </c>
      <c r="F362">
        <f>IFERROR(INDEX(tblDeviceConfig[Neuron Hostname],ROW()-1),"")</f>
      </c>
      <c r="G362">
        <f>IFERROR(INDEX(tblDeviceConfig[Software List],ROW()-1),"")</f>
      </c>
      <c r="H362">
        <f>IFERROR(INDEX(tblDeviceConfig[PI_Use_Case],ROW()-1),"")</f>
      </c>
      <c r="I362">
        <f>IFERROR(INDEX(tblDeviceConfig[PI_Result],ROW()-1),"")</f>
      </c>
      <c r="J362">
        <f>IFERROR(INDEX(tblDeviceConfig[PI_Validated_By],ROW()-1),"")</f>
      </c>
      <c r="K362">
        <f>IFERROR(INDEX(tblDeviceConfig[PI_Validated_Date],ROW()-1),"")</f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</c>
      <c r="C363">
        <f>IFERROR(INDEX(tblDeviceConfig[Deployed],ROW()-1),"")</f>
      </c>
      <c r="D363">
        <f>IFERROR(INDEX(tblDeviceConfig[Installed],ROW()-1),"")</f>
      </c>
      <c r="E363">
        <f>IFERROR(INDEX(tblDeviceConfig[Cybernet Hostname],ROW()-1),"")</f>
      </c>
      <c r="F363">
        <f>IFERROR(INDEX(tblDeviceConfig[Neuron Hostname],ROW()-1),"")</f>
      </c>
      <c r="G363">
        <f>IFERROR(INDEX(tblDeviceConfig[Software List],ROW()-1),"")</f>
      </c>
      <c r="H363">
        <f>IFERROR(INDEX(tblDeviceConfig[PI_Use_Case],ROW()-1),"")</f>
      </c>
      <c r="I363">
        <f>IFERROR(INDEX(tblDeviceConfig[PI_Result],ROW()-1),"")</f>
      </c>
      <c r="J363">
        <f>IFERROR(INDEX(tblDeviceConfig[PI_Validated_By],ROW()-1),"")</f>
      </c>
      <c r="K363">
        <f>IFERROR(INDEX(tblDeviceConfig[PI_Validated_Date],ROW()-1),"")</f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</c>
      <c r="C364">
        <f>IFERROR(INDEX(tblDeviceConfig[Deployed],ROW()-1),"")</f>
      </c>
      <c r="D364">
        <f>IFERROR(INDEX(tblDeviceConfig[Installed],ROW()-1),"")</f>
      </c>
      <c r="E364">
        <f>IFERROR(INDEX(tblDeviceConfig[Cybernet Hostname],ROW()-1),"")</f>
      </c>
      <c r="F364">
        <f>IFERROR(INDEX(tblDeviceConfig[Neuron Hostname],ROW()-1),"")</f>
      </c>
      <c r="G364">
        <f>IFERROR(INDEX(tblDeviceConfig[Software List],ROW()-1),"")</f>
      </c>
      <c r="H364">
        <f>IFERROR(INDEX(tblDeviceConfig[PI_Use_Case],ROW()-1),"")</f>
      </c>
      <c r="I364">
        <f>IFERROR(INDEX(tblDeviceConfig[PI_Result],ROW()-1),"")</f>
      </c>
      <c r="J364">
        <f>IFERROR(INDEX(tblDeviceConfig[PI_Validated_By],ROW()-1),"")</f>
      </c>
      <c r="K364">
        <f>IFERROR(INDEX(tblDeviceConfig[PI_Validated_Date],ROW()-1),"")</f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</c>
      <c r="C365">
        <f>IFERROR(INDEX(tblDeviceConfig[Deployed],ROW()-1),"")</f>
      </c>
      <c r="D365">
        <f>IFERROR(INDEX(tblDeviceConfig[Installed],ROW()-1),"")</f>
      </c>
      <c r="E365">
        <f>IFERROR(INDEX(tblDeviceConfig[Cybernet Hostname],ROW()-1),"")</f>
      </c>
      <c r="F365">
        <f>IFERROR(INDEX(tblDeviceConfig[Neuron Hostname],ROW()-1),"")</f>
      </c>
      <c r="G365">
        <f>IFERROR(INDEX(tblDeviceConfig[Software List],ROW()-1),"")</f>
      </c>
      <c r="H365">
        <f>IFERROR(INDEX(tblDeviceConfig[PI_Use_Case],ROW()-1),"")</f>
      </c>
      <c r="I365">
        <f>IFERROR(INDEX(tblDeviceConfig[PI_Result],ROW()-1),"")</f>
      </c>
      <c r="J365">
        <f>IFERROR(INDEX(tblDeviceConfig[PI_Validated_By],ROW()-1),"")</f>
      </c>
      <c r="K365">
        <f>IFERROR(INDEX(tblDeviceConfig[PI_Validated_Date],ROW()-1),"")</f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</c>
      <c r="C366">
        <f>IFERROR(INDEX(tblDeviceConfig[Deployed],ROW()-1),"")</f>
      </c>
      <c r="D366">
        <f>IFERROR(INDEX(tblDeviceConfig[Installed],ROW()-1),"")</f>
      </c>
      <c r="E366">
        <f>IFERROR(INDEX(tblDeviceConfig[Cybernet Hostname],ROW()-1),"")</f>
      </c>
      <c r="F366">
        <f>IFERROR(INDEX(tblDeviceConfig[Neuron Hostname],ROW()-1),"")</f>
      </c>
      <c r="G366">
        <f>IFERROR(INDEX(tblDeviceConfig[Software List],ROW()-1),"")</f>
      </c>
      <c r="H366">
        <f>IFERROR(INDEX(tblDeviceConfig[PI_Use_Case],ROW()-1),"")</f>
      </c>
      <c r="I366">
        <f>IFERROR(INDEX(tblDeviceConfig[PI_Result],ROW()-1),"")</f>
      </c>
      <c r="J366">
        <f>IFERROR(INDEX(tblDeviceConfig[PI_Validated_By],ROW()-1),"")</f>
      </c>
      <c r="K366">
        <f>IFERROR(INDEX(tblDeviceConfig[PI_Validated_Date],ROW()-1),"")</f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</c>
      <c r="C367">
        <f>IFERROR(INDEX(tblDeviceConfig[Deployed],ROW()-1),"")</f>
      </c>
      <c r="D367">
        <f>IFERROR(INDEX(tblDeviceConfig[Installed],ROW()-1),"")</f>
      </c>
      <c r="E367">
        <f>IFERROR(INDEX(tblDeviceConfig[Cybernet Hostname],ROW()-1),"")</f>
      </c>
      <c r="F367">
        <f>IFERROR(INDEX(tblDeviceConfig[Neuron Hostname],ROW()-1),"")</f>
      </c>
      <c r="G367">
        <f>IFERROR(INDEX(tblDeviceConfig[Software List],ROW()-1),"")</f>
      </c>
      <c r="H367">
        <f>IFERROR(INDEX(tblDeviceConfig[PI_Use_Case],ROW()-1),"")</f>
      </c>
      <c r="I367">
        <f>IFERROR(INDEX(tblDeviceConfig[PI_Result],ROW()-1),"")</f>
      </c>
      <c r="J367">
        <f>IFERROR(INDEX(tblDeviceConfig[PI_Validated_By],ROW()-1),"")</f>
      </c>
      <c r="K367">
        <f>IFERROR(INDEX(tblDeviceConfig[PI_Validated_Date],ROW()-1),"")</f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</c>
      <c r="C368">
        <f>IFERROR(INDEX(tblDeviceConfig[Deployed],ROW()-1),"")</f>
      </c>
      <c r="D368">
        <f>IFERROR(INDEX(tblDeviceConfig[Installed],ROW()-1),"")</f>
      </c>
      <c r="E368">
        <f>IFERROR(INDEX(tblDeviceConfig[Cybernet Hostname],ROW()-1),"")</f>
      </c>
      <c r="F368">
        <f>IFERROR(INDEX(tblDeviceConfig[Neuron Hostname],ROW()-1),"")</f>
      </c>
      <c r="G368">
        <f>IFERROR(INDEX(tblDeviceConfig[Software List],ROW()-1),"")</f>
      </c>
      <c r="H368">
        <f>IFERROR(INDEX(tblDeviceConfig[PI_Use_Case],ROW()-1),"")</f>
      </c>
      <c r="I368">
        <f>IFERROR(INDEX(tblDeviceConfig[PI_Result],ROW()-1),"")</f>
      </c>
      <c r="J368">
        <f>IFERROR(INDEX(tblDeviceConfig[PI_Validated_By],ROW()-1),"")</f>
      </c>
      <c r="K368">
        <f>IFERROR(INDEX(tblDeviceConfig[PI_Validated_Date],ROW()-1),"")</f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</c>
      <c r="C369">
        <f>IFERROR(INDEX(tblDeviceConfig[Deployed],ROW()-1),"")</f>
      </c>
      <c r="D369">
        <f>IFERROR(INDEX(tblDeviceConfig[Installed],ROW()-1),"")</f>
      </c>
      <c r="E369">
        <f>IFERROR(INDEX(tblDeviceConfig[Cybernet Hostname],ROW()-1),"")</f>
      </c>
      <c r="F369">
        <f>IFERROR(INDEX(tblDeviceConfig[Neuron Hostname],ROW()-1),"")</f>
      </c>
      <c r="G369">
        <f>IFERROR(INDEX(tblDeviceConfig[Software List],ROW()-1),"")</f>
      </c>
      <c r="H369">
        <f>IFERROR(INDEX(tblDeviceConfig[PI_Use_Case],ROW()-1),"")</f>
      </c>
      <c r="I369">
        <f>IFERROR(INDEX(tblDeviceConfig[PI_Result],ROW()-1),"")</f>
      </c>
      <c r="J369">
        <f>IFERROR(INDEX(tblDeviceConfig[PI_Validated_By],ROW()-1),"")</f>
      </c>
      <c r="K369">
        <f>IFERROR(INDEX(tblDeviceConfig[PI_Validated_Date],ROW()-1),"")</f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</c>
      <c r="C370">
        <f>IFERROR(INDEX(tblDeviceConfig[Deployed],ROW()-1),"")</f>
      </c>
      <c r="D370">
        <f>IFERROR(INDEX(tblDeviceConfig[Installed],ROW()-1),"")</f>
      </c>
      <c r="E370">
        <f>IFERROR(INDEX(tblDeviceConfig[Cybernet Hostname],ROW()-1),"")</f>
      </c>
      <c r="F370">
        <f>IFERROR(INDEX(tblDeviceConfig[Neuron Hostname],ROW()-1),"")</f>
      </c>
      <c r="G370">
        <f>IFERROR(INDEX(tblDeviceConfig[Software List],ROW()-1),"")</f>
      </c>
      <c r="H370">
        <f>IFERROR(INDEX(tblDeviceConfig[PI_Use_Case],ROW()-1),"")</f>
      </c>
      <c r="I370">
        <f>IFERROR(INDEX(tblDeviceConfig[PI_Result],ROW()-1),"")</f>
      </c>
      <c r="J370">
        <f>IFERROR(INDEX(tblDeviceConfig[PI_Validated_By],ROW()-1),"")</f>
      </c>
      <c r="K370">
        <f>IFERROR(INDEX(tblDeviceConfig[PI_Validated_Date],ROW()-1),"")</f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</c>
      <c r="C371">
        <f>IFERROR(INDEX(tblDeviceConfig[Deployed],ROW()-1),"")</f>
      </c>
      <c r="D371">
        <f>IFERROR(INDEX(tblDeviceConfig[Installed],ROW()-1),"")</f>
      </c>
      <c r="E371">
        <f>IFERROR(INDEX(tblDeviceConfig[Cybernet Hostname],ROW()-1),"")</f>
      </c>
      <c r="F371">
        <f>IFERROR(INDEX(tblDeviceConfig[Neuron Hostname],ROW()-1),"")</f>
      </c>
      <c r="G371">
        <f>IFERROR(INDEX(tblDeviceConfig[Software List],ROW()-1),"")</f>
      </c>
      <c r="H371">
        <f>IFERROR(INDEX(tblDeviceConfig[PI_Use_Case],ROW()-1),"")</f>
      </c>
      <c r="I371">
        <f>IFERROR(INDEX(tblDeviceConfig[PI_Result],ROW()-1),"")</f>
      </c>
      <c r="J371">
        <f>IFERROR(INDEX(tblDeviceConfig[PI_Validated_By],ROW()-1),"")</f>
      </c>
      <c r="K371">
        <f>IFERROR(INDEX(tblDeviceConfig[PI_Validated_Date],ROW()-1),"")</f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</c>
      <c r="C372">
        <f>IFERROR(INDEX(tblDeviceConfig[Deployed],ROW()-1),"")</f>
      </c>
      <c r="D372">
        <f>IFERROR(INDEX(tblDeviceConfig[Installed],ROW()-1),"")</f>
      </c>
      <c r="E372">
        <f>IFERROR(INDEX(tblDeviceConfig[Cybernet Hostname],ROW()-1),"")</f>
      </c>
      <c r="F372">
        <f>IFERROR(INDEX(tblDeviceConfig[Neuron Hostname],ROW()-1),"")</f>
      </c>
      <c r="G372">
        <f>IFERROR(INDEX(tblDeviceConfig[Software List],ROW()-1),"")</f>
      </c>
      <c r="H372">
        <f>IFERROR(INDEX(tblDeviceConfig[PI_Use_Case],ROW()-1),"")</f>
      </c>
      <c r="I372">
        <f>IFERROR(INDEX(tblDeviceConfig[PI_Result],ROW()-1),"")</f>
      </c>
      <c r="J372">
        <f>IFERROR(INDEX(tblDeviceConfig[PI_Validated_By],ROW()-1),"")</f>
      </c>
      <c r="K372">
        <f>IFERROR(INDEX(tblDeviceConfig[PI_Validated_Date],ROW()-1),"")</f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</c>
      <c r="C373">
        <f>IFERROR(INDEX(tblDeviceConfig[Deployed],ROW()-1),"")</f>
      </c>
      <c r="D373">
        <f>IFERROR(INDEX(tblDeviceConfig[Installed],ROW()-1),"")</f>
      </c>
      <c r="E373">
        <f>IFERROR(INDEX(tblDeviceConfig[Cybernet Hostname],ROW()-1),"")</f>
      </c>
      <c r="F373">
        <f>IFERROR(INDEX(tblDeviceConfig[Neuron Hostname],ROW()-1),"")</f>
      </c>
      <c r="G373">
        <f>IFERROR(INDEX(tblDeviceConfig[Software List],ROW()-1),"")</f>
      </c>
      <c r="H373">
        <f>IFERROR(INDEX(tblDeviceConfig[PI_Use_Case],ROW()-1),"")</f>
      </c>
      <c r="I373">
        <f>IFERROR(INDEX(tblDeviceConfig[PI_Result],ROW()-1),"")</f>
      </c>
      <c r="J373">
        <f>IFERROR(INDEX(tblDeviceConfig[PI_Validated_By],ROW()-1),"")</f>
      </c>
      <c r="K373">
        <f>IFERROR(INDEX(tblDeviceConfig[PI_Validated_Date],ROW()-1),"")</f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</c>
      <c r="C374">
        <f>IFERROR(INDEX(tblDeviceConfig[Deployed],ROW()-1),"")</f>
      </c>
      <c r="D374">
        <f>IFERROR(INDEX(tblDeviceConfig[Installed],ROW()-1),"")</f>
      </c>
      <c r="E374">
        <f>IFERROR(INDEX(tblDeviceConfig[Cybernet Hostname],ROW()-1),"")</f>
      </c>
      <c r="F374">
        <f>IFERROR(INDEX(tblDeviceConfig[Neuron Hostname],ROW()-1),"")</f>
      </c>
      <c r="G374">
        <f>IFERROR(INDEX(tblDeviceConfig[Software List],ROW()-1),"")</f>
      </c>
      <c r="H374">
        <f>IFERROR(INDEX(tblDeviceConfig[PI_Use_Case],ROW()-1),"")</f>
      </c>
      <c r="I374">
        <f>IFERROR(INDEX(tblDeviceConfig[PI_Result],ROW()-1),"")</f>
      </c>
      <c r="J374">
        <f>IFERROR(INDEX(tblDeviceConfig[PI_Validated_By],ROW()-1),"")</f>
      </c>
      <c r="K374">
        <f>IFERROR(INDEX(tblDeviceConfig[PI_Validated_Date],ROW()-1),"")</f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</c>
      <c r="C375">
        <f>IFERROR(INDEX(tblDeviceConfig[Deployed],ROW()-1),"")</f>
      </c>
      <c r="D375">
        <f>IFERROR(INDEX(tblDeviceConfig[Installed],ROW()-1),"")</f>
      </c>
      <c r="E375">
        <f>IFERROR(INDEX(tblDeviceConfig[Cybernet Hostname],ROW()-1),"")</f>
      </c>
      <c r="F375">
        <f>IFERROR(INDEX(tblDeviceConfig[Neuron Hostname],ROW()-1),"")</f>
      </c>
      <c r="G375">
        <f>IFERROR(INDEX(tblDeviceConfig[Software List],ROW()-1),"")</f>
      </c>
      <c r="H375">
        <f>IFERROR(INDEX(tblDeviceConfig[PI_Use_Case],ROW()-1),"")</f>
      </c>
      <c r="I375">
        <f>IFERROR(INDEX(tblDeviceConfig[PI_Result],ROW()-1),"")</f>
      </c>
      <c r="J375">
        <f>IFERROR(INDEX(tblDeviceConfig[PI_Validated_By],ROW()-1),"")</f>
      </c>
      <c r="K375">
        <f>IFERROR(INDEX(tblDeviceConfig[PI_Validated_Date],ROW()-1),"")</f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</c>
      <c r="C376">
        <f>IFERROR(INDEX(tblDeviceConfig[Deployed],ROW()-1),"")</f>
      </c>
      <c r="D376">
        <f>IFERROR(INDEX(tblDeviceConfig[Installed],ROW()-1),"")</f>
      </c>
      <c r="E376">
        <f>IFERROR(INDEX(tblDeviceConfig[Cybernet Hostname],ROW()-1),"")</f>
      </c>
      <c r="F376">
        <f>IFERROR(INDEX(tblDeviceConfig[Neuron Hostname],ROW()-1),"")</f>
      </c>
      <c r="G376">
        <f>IFERROR(INDEX(tblDeviceConfig[Software List],ROW()-1),"")</f>
      </c>
      <c r="H376">
        <f>IFERROR(INDEX(tblDeviceConfig[PI_Use_Case],ROW()-1),"")</f>
      </c>
      <c r="I376">
        <f>IFERROR(INDEX(tblDeviceConfig[PI_Result],ROW()-1),"")</f>
      </c>
      <c r="J376">
        <f>IFERROR(INDEX(tblDeviceConfig[PI_Validated_By],ROW()-1),"")</f>
      </c>
      <c r="K376">
        <f>IFERROR(INDEX(tblDeviceConfig[PI_Validated_Date],ROW()-1),"")</f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</c>
      <c r="C377">
        <f>IFERROR(INDEX(tblDeviceConfig[Deployed],ROW()-1),"")</f>
      </c>
      <c r="D377">
        <f>IFERROR(INDEX(tblDeviceConfig[Installed],ROW()-1),"")</f>
      </c>
      <c r="E377">
        <f>IFERROR(INDEX(tblDeviceConfig[Cybernet Hostname],ROW()-1),"")</f>
      </c>
      <c r="F377">
        <f>IFERROR(INDEX(tblDeviceConfig[Neuron Hostname],ROW()-1),"")</f>
      </c>
      <c r="G377">
        <f>IFERROR(INDEX(tblDeviceConfig[Software List],ROW()-1),"")</f>
      </c>
      <c r="H377">
        <f>IFERROR(INDEX(tblDeviceConfig[PI_Use_Case],ROW()-1),"")</f>
      </c>
      <c r="I377">
        <f>IFERROR(INDEX(tblDeviceConfig[PI_Result],ROW()-1),"")</f>
      </c>
      <c r="J377">
        <f>IFERROR(INDEX(tblDeviceConfig[PI_Validated_By],ROW()-1),"")</f>
      </c>
      <c r="K377">
        <f>IFERROR(INDEX(tblDeviceConfig[PI_Validated_Date],ROW()-1),"")</f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</c>
      <c r="C378">
        <f>IFERROR(INDEX(tblDeviceConfig[Deployed],ROW()-1),"")</f>
      </c>
      <c r="D378">
        <f>IFERROR(INDEX(tblDeviceConfig[Installed],ROW()-1),"")</f>
      </c>
      <c r="E378">
        <f>IFERROR(INDEX(tblDeviceConfig[Cybernet Hostname],ROW()-1),"")</f>
      </c>
      <c r="F378">
        <f>IFERROR(INDEX(tblDeviceConfig[Neuron Hostname],ROW()-1),"")</f>
      </c>
      <c r="G378">
        <f>IFERROR(INDEX(tblDeviceConfig[Software List],ROW()-1),"")</f>
      </c>
      <c r="H378">
        <f>IFERROR(INDEX(tblDeviceConfig[PI_Use_Case],ROW()-1),"")</f>
      </c>
      <c r="I378">
        <f>IFERROR(INDEX(tblDeviceConfig[PI_Result],ROW()-1),"")</f>
      </c>
      <c r="J378">
        <f>IFERROR(INDEX(tblDeviceConfig[PI_Validated_By],ROW()-1),"")</f>
      </c>
      <c r="K378">
        <f>IFERROR(INDEX(tblDeviceConfig[PI_Validated_Date],ROW()-1),"")</f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</c>
      <c r="C379">
        <f>IFERROR(INDEX(tblDeviceConfig[Deployed],ROW()-1),"")</f>
      </c>
      <c r="D379">
        <f>IFERROR(INDEX(tblDeviceConfig[Installed],ROW()-1),"")</f>
      </c>
      <c r="E379">
        <f>IFERROR(INDEX(tblDeviceConfig[Cybernet Hostname],ROW()-1),"")</f>
      </c>
      <c r="F379">
        <f>IFERROR(INDEX(tblDeviceConfig[Neuron Hostname],ROW()-1),"")</f>
      </c>
      <c r="G379">
        <f>IFERROR(INDEX(tblDeviceConfig[Software List],ROW()-1),"")</f>
      </c>
      <c r="H379">
        <f>IFERROR(INDEX(tblDeviceConfig[PI_Use_Case],ROW()-1),"")</f>
      </c>
      <c r="I379">
        <f>IFERROR(INDEX(tblDeviceConfig[PI_Result],ROW()-1),"")</f>
      </c>
      <c r="J379">
        <f>IFERROR(INDEX(tblDeviceConfig[PI_Validated_By],ROW()-1),"")</f>
      </c>
      <c r="K379">
        <f>IFERROR(INDEX(tblDeviceConfig[PI_Validated_Date],ROW()-1),"")</f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</c>
      <c r="C380">
        <f>IFERROR(INDEX(tblDeviceConfig[Deployed],ROW()-1),"")</f>
      </c>
      <c r="D380">
        <f>IFERROR(INDEX(tblDeviceConfig[Installed],ROW()-1),"")</f>
      </c>
      <c r="E380">
        <f>IFERROR(INDEX(tblDeviceConfig[Cybernet Hostname],ROW()-1),"")</f>
      </c>
      <c r="F380">
        <f>IFERROR(INDEX(tblDeviceConfig[Neuron Hostname],ROW()-1),"")</f>
      </c>
      <c r="G380">
        <f>IFERROR(INDEX(tblDeviceConfig[Software List],ROW()-1),"")</f>
      </c>
      <c r="H380">
        <f>IFERROR(INDEX(tblDeviceConfig[PI_Use_Case],ROW()-1),"")</f>
      </c>
      <c r="I380">
        <f>IFERROR(INDEX(tblDeviceConfig[PI_Result],ROW()-1),"")</f>
      </c>
      <c r="J380">
        <f>IFERROR(INDEX(tblDeviceConfig[PI_Validated_By],ROW()-1),"")</f>
      </c>
      <c r="K380">
        <f>IFERROR(INDEX(tblDeviceConfig[PI_Validated_Date],ROW()-1),"")</f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</c>
      <c r="C381">
        <f>IFERROR(INDEX(tblDeviceConfig[Deployed],ROW()-1),"")</f>
      </c>
      <c r="D381">
        <f>IFERROR(INDEX(tblDeviceConfig[Installed],ROW()-1),"")</f>
      </c>
      <c r="E381">
        <f>IFERROR(INDEX(tblDeviceConfig[Cybernet Hostname],ROW()-1),"")</f>
      </c>
      <c r="F381">
        <f>IFERROR(INDEX(tblDeviceConfig[Neuron Hostname],ROW()-1),"")</f>
      </c>
      <c r="G381">
        <f>IFERROR(INDEX(tblDeviceConfig[Software List],ROW()-1),"")</f>
      </c>
      <c r="H381">
        <f>IFERROR(INDEX(tblDeviceConfig[PI_Use_Case],ROW()-1),"")</f>
      </c>
      <c r="I381">
        <f>IFERROR(INDEX(tblDeviceConfig[PI_Result],ROW()-1),"")</f>
      </c>
      <c r="J381">
        <f>IFERROR(INDEX(tblDeviceConfig[PI_Validated_By],ROW()-1),"")</f>
      </c>
      <c r="K381">
        <f>IFERROR(INDEX(tblDeviceConfig[PI_Validated_Date],ROW()-1),"")</f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</c>
      <c r="C382">
        <f>IFERROR(INDEX(tblDeviceConfig[Deployed],ROW()-1),"")</f>
      </c>
      <c r="D382">
        <f>IFERROR(INDEX(tblDeviceConfig[Installed],ROW()-1),"")</f>
      </c>
      <c r="E382">
        <f>IFERROR(INDEX(tblDeviceConfig[Cybernet Hostname],ROW()-1),"")</f>
      </c>
      <c r="F382">
        <f>IFERROR(INDEX(tblDeviceConfig[Neuron Hostname],ROW()-1),"")</f>
      </c>
      <c r="G382">
        <f>IFERROR(INDEX(tblDeviceConfig[Software List],ROW()-1),"")</f>
      </c>
      <c r="H382">
        <f>IFERROR(INDEX(tblDeviceConfig[PI_Use_Case],ROW()-1),"")</f>
      </c>
      <c r="I382">
        <f>IFERROR(INDEX(tblDeviceConfig[PI_Result],ROW()-1),"")</f>
      </c>
      <c r="J382">
        <f>IFERROR(INDEX(tblDeviceConfig[PI_Validated_By],ROW()-1),"")</f>
      </c>
      <c r="K382">
        <f>IFERROR(INDEX(tblDeviceConfig[PI_Validated_Date],ROW()-1),"")</f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</c>
      <c r="C383">
        <f>IFERROR(INDEX(tblDeviceConfig[Deployed],ROW()-1),"")</f>
      </c>
      <c r="D383">
        <f>IFERROR(INDEX(tblDeviceConfig[Installed],ROW()-1),"")</f>
      </c>
      <c r="E383">
        <f>IFERROR(INDEX(tblDeviceConfig[Cybernet Hostname],ROW()-1),"")</f>
      </c>
      <c r="F383">
        <f>IFERROR(INDEX(tblDeviceConfig[Neuron Hostname],ROW()-1),"")</f>
      </c>
      <c r="G383">
        <f>IFERROR(INDEX(tblDeviceConfig[Software List],ROW()-1),"")</f>
      </c>
      <c r="H383">
        <f>IFERROR(INDEX(tblDeviceConfig[PI_Use_Case],ROW()-1),"")</f>
      </c>
      <c r="I383">
        <f>IFERROR(INDEX(tblDeviceConfig[PI_Result],ROW()-1),"")</f>
      </c>
      <c r="J383">
        <f>IFERROR(INDEX(tblDeviceConfig[PI_Validated_By],ROW()-1),"")</f>
      </c>
      <c r="K383">
        <f>IFERROR(INDEX(tblDeviceConfig[PI_Validated_Date],ROW()-1),"")</f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</c>
      <c r="C384">
        <f>IFERROR(INDEX(tblDeviceConfig[Deployed],ROW()-1),"")</f>
      </c>
      <c r="D384">
        <f>IFERROR(INDEX(tblDeviceConfig[Installed],ROW()-1),"")</f>
      </c>
      <c r="E384">
        <f>IFERROR(INDEX(tblDeviceConfig[Cybernet Hostname],ROW()-1),"")</f>
      </c>
      <c r="F384">
        <f>IFERROR(INDEX(tblDeviceConfig[Neuron Hostname],ROW()-1),"")</f>
      </c>
      <c r="G384">
        <f>IFERROR(INDEX(tblDeviceConfig[Software List],ROW()-1),"")</f>
      </c>
      <c r="H384">
        <f>IFERROR(INDEX(tblDeviceConfig[PI_Use_Case],ROW()-1),"")</f>
      </c>
      <c r="I384">
        <f>IFERROR(INDEX(tblDeviceConfig[PI_Result],ROW()-1),"")</f>
      </c>
      <c r="J384">
        <f>IFERROR(INDEX(tblDeviceConfig[PI_Validated_By],ROW()-1),"")</f>
      </c>
      <c r="K384">
        <f>IFERROR(INDEX(tblDeviceConfig[PI_Validated_Date],ROW()-1),"")</f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</c>
      <c r="C385">
        <f>IFERROR(INDEX(tblDeviceConfig[Deployed],ROW()-1),"")</f>
      </c>
      <c r="D385">
        <f>IFERROR(INDEX(tblDeviceConfig[Installed],ROW()-1),"")</f>
      </c>
      <c r="E385">
        <f>IFERROR(INDEX(tblDeviceConfig[Cybernet Hostname],ROW()-1),"")</f>
      </c>
      <c r="F385">
        <f>IFERROR(INDEX(tblDeviceConfig[Neuron Hostname],ROW()-1),"")</f>
      </c>
      <c r="G385">
        <f>IFERROR(INDEX(tblDeviceConfig[Software List],ROW()-1),"")</f>
      </c>
      <c r="H385">
        <f>IFERROR(INDEX(tblDeviceConfig[PI_Use_Case],ROW()-1),"")</f>
      </c>
      <c r="I385">
        <f>IFERROR(INDEX(tblDeviceConfig[PI_Result],ROW()-1),"")</f>
      </c>
      <c r="J385">
        <f>IFERROR(INDEX(tblDeviceConfig[PI_Validated_By],ROW()-1),"")</f>
      </c>
      <c r="K385">
        <f>IFERROR(INDEX(tblDeviceConfig[PI_Validated_Date],ROW()-1),"")</f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</c>
      <c r="C386">
        <f>IFERROR(INDEX(tblDeviceConfig[Deployed],ROW()-1),"")</f>
      </c>
      <c r="D386">
        <f>IFERROR(INDEX(tblDeviceConfig[Installed],ROW()-1),"")</f>
      </c>
      <c r="E386">
        <f>IFERROR(INDEX(tblDeviceConfig[Cybernet Hostname],ROW()-1),"")</f>
      </c>
      <c r="F386">
        <f>IFERROR(INDEX(tblDeviceConfig[Neuron Hostname],ROW()-1),"")</f>
      </c>
      <c r="G386">
        <f>IFERROR(INDEX(tblDeviceConfig[Software List],ROW()-1),"")</f>
      </c>
      <c r="H386">
        <f>IFERROR(INDEX(tblDeviceConfig[PI_Use_Case],ROW()-1),"")</f>
      </c>
      <c r="I386">
        <f>IFERROR(INDEX(tblDeviceConfig[PI_Result],ROW()-1),"")</f>
      </c>
      <c r="J386">
        <f>IFERROR(INDEX(tblDeviceConfig[PI_Validated_By],ROW()-1),"")</f>
      </c>
      <c r="K386">
        <f>IFERROR(INDEX(tblDeviceConfig[PI_Validated_Date],ROW()-1),"")</f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</c>
      <c r="C387">
        <f>IFERROR(INDEX(tblDeviceConfig[Deployed],ROW()-1),"")</f>
      </c>
      <c r="D387">
        <f>IFERROR(INDEX(tblDeviceConfig[Installed],ROW()-1),"")</f>
      </c>
      <c r="E387">
        <f>IFERROR(INDEX(tblDeviceConfig[Cybernet Hostname],ROW()-1),"")</f>
      </c>
      <c r="F387">
        <f>IFERROR(INDEX(tblDeviceConfig[Neuron Hostname],ROW()-1),"")</f>
      </c>
      <c r="G387">
        <f>IFERROR(INDEX(tblDeviceConfig[Software List],ROW()-1),"")</f>
      </c>
      <c r="H387">
        <f>IFERROR(INDEX(tblDeviceConfig[PI_Use_Case],ROW()-1),"")</f>
      </c>
      <c r="I387">
        <f>IFERROR(INDEX(tblDeviceConfig[PI_Result],ROW()-1),"")</f>
      </c>
      <c r="J387">
        <f>IFERROR(INDEX(tblDeviceConfig[PI_Validated_By],ROW()-1),"")</f>
      </c>
      <c r="K387">
        <f>IFERROR(INDEX(tblDeviceConfig[PI_Validated_Date],ROW()-1),"")</f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</c>
      <c r="C388">
        <f>IFERROR(INDEX(tblDeviceConfig[Deployed],ROW()-1),"")</f>
      </c>
      <c r="D388">
        <f>IFERROR(INDEX(tblDeviceConfig[Installed],ROW()-1),"")</f>
      </c>
      <c r="E388">
        <f>IFERROR(INDEX(tblDeviceConfig[Cybernet Hostname],ROW()-1),"")</f>
      </c>
      <c r="F388">
        <f>IFERROR(INDEX(tblDeviceConfig[Neuron Hostname],ROW()-1),"")</f>
      </c>
      <c r="G388">
        <f>IFERROR(INDEX(tblDeviceConfig[Software List],ROW()-1),"")</f>
      </c>
      <c r="H388">
        <f>IFERROR(INDEX(tblDeviceConfig[PI_Use_Case],ROW()-1),"")</f>
      </c>
      <c r="I388">
        <f>IFERROR(INDEX(tblDeviceConfig[PI_Result],ROW()-1),"")</f>
      </c>
      <c r="J388">
        <f>IFERROR(INDEX(tblDeviceConfig[PI_Validated_By],ROW()-1),"")</f>
      </c>
      <c r="K388">
        <f>IFERROR(INDEX(tblDeviceConfig[PI_Validated_Date],ROW()-1),"")</f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</c>
      <c r="C389">
        <f>IFERROR(INDEX(tblDeviceConfig[Deployed],ROW()-1),"")</f>
      </c>
      <c r="D389">
        <f>IFERROR(INDEX(tblDeviceConfig[Installed],ROW()-1),"")</f>
      </c>
      <c r="E389">
        <f>IFERROR(INDEX(tblDeviceConfig[Cybernet Hostname],ROW()-1),"")</f>
      </c>
      <c r="F389">
        <f>IFERROR(INDEX(tblDeviceConfig[Neuron Hostname],ROW()-1),"")</f>
      </c>
      <c r="G389">
        <f>IFERROR(INDEX(tblDeviceConfig[Software List],ROW()-1),"")</f>
      </c>
      <c r="H389">
        <f>IFERROR(INDEX(tblDeviceConfig[PI_Use_Case],ROW()-1),"")</f>
      </c>
      <c r="I389">
        <f>IFERROR(INDEX(tblDeviceConfig[PI_Result],ROW()-1),"")</f>
      </c>
      <c r="J389">
        <f>IFERROR(INDEX(tblDeviceConfig[PI_Validated_By],ROW()-1),"")</f>
      </c>
      <c r="K389">
        <f>IFERROR(INDEX(tblDeviceConfig[PI_Validated_Date],ROW()-1),"")</f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</c>
      <c r="C390">
        <f>IFERROR(INDEX(tblDeviceConfig[Deployed],ROW()-1),"")</f>
      </c>
      <c r="D390">
        <f>IFERROR(INDEX(tblDeviceConfig[Installed],ROW()-1),"")</f>
      </c>
      <c r="E390">
        <f>IFERROR(INDEX(tblDeviceConfig[Cybernet Hostname],ROW()-1),"")</f>
      </c>
      <c r="F390">
        <f>IFERROR(INDEX(tblDeviceConfig[Neuron Hostname],ROW()-1),"")</f>
      </c>
      <c r="G390">
        <f>IFERROR(INDEX(tblDeviceConfig[Software List],ROW()-1),"")</f>
      </c>
      <c r="H390">
        <f>IFERROR(INDEX(tblDeviceConfig[PI_Use_Case],ROW()-1),"")</f>
      </c>
      <c r="I390">
        <f>IFERROR(INDEX(tblDeviceConfig[PI_Result],ROW()-1),"")</f>
      </c>
      <c r="J390">
        <f>IFERROR(INDEX(tblDeviceConfig[PI_Validated_By],ROW()-1),"")</f>
      </c>
      <c r="K390">
        <f>IFERROR(INDEX(tblDeviceConfig[PI_Validated_Date],ROW()-1),"")</f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</c>
      <c r="C391">
        <f>IFERROR(INDEX(tblDeviceConfig[Deployed],ROW()-1),"")</f>
      </c>
      <c r="D391">
        <f>IFERROR(INDEX(tblDeviceConfig[Installed],ROW()-1),"")</f>
      </c>
      <c r="E391">
        <f>IFERROR(INDEX(tblDeviceConfig[Cybernet Hostname],ROW()-1),"")</f>
      </c>
      <c r="F391">
        <f>IFERROR(INDEX(tblDeviceConfig[Neuron Hostname],ROW()-1),"")</f>
      </c>
      <c r="G391">
        <f>IFERROR(INDEX(tblDeviceConfig[Software List],ROW()-1),"")</f>
      </c>
      <c r="H391">
        <f>IFERROR(INDEX(tblDeviceConfig[PI_Use_Case],ROW()-1),"")</f>
      </c>
      <c r="I391">
        <f>IFERROR(INDEX(tblDeviceConfig[PI_Result],ROW()-1),"")</f>
      </c>
      <c r="J391">
        <f>IFERROR(INDEX(tblDeviceConfig[PI_Validated_By],ROW()-1),"")</f>
      </c>
      <c r="K391">
        <f>IFERROR(INDEX(tblDeviceConfig[PI_Validated_Date],ROW()-1),"")</f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</c>
      <c r="C392">
        <f>IFERROR(INDEX(tblDeviceConfig[Deployed],ROW()-1),"")</f>
      </c>
      <c r="D392">
        <f>IFERROR(INDEX(tblDeviceConfig[Installed],ROW()-1),"")</f>
      </c>
      <c r="E392">
        <f>IFERROR(INDEX(tblDeviceConfig[Cybernet Hostname],ROW()-1),"")</f>
      </c>
      <c r="F392">
        <f>IFERROR(INDEX(tblDeviceConfig[Neuron Hostname],ROW()-1),"")</f>
      </c>
      <c r="G392">
        <f>IFERROR(INDEX(tblDeviceConfig[Software List],ROW()-1),"")</f>
      </c>
      <c r="H392">
        <f>IFERROR(INDEX(tblDeviceConfig[PI_Use_Case],ROW()-1),"")</f>
      </c>
      <c r="I392">
        <f>IFERROR(INDEX(tblDeviceConfig[PI_Result],ROW()-1),"")</f>
      </c>
      <c r="J392">
        <f>IFERROR(INDEX(tblDeviceConfig[PI_Validated_By],ROW()-1),"")</f>
      </c>
      <c r="K392">
        <f>IFERROR(INDEX(tblDeviceConfig[PI_Validated_Date],ROW()-1),"")</f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</c>
      <c r="C393">
        <f>IFERROR(INDEX(tblDeviceConfig[Deployed],ROW()-1),"")</f>
      </c>
      <c r="D393">
        <f>IFERROR(INDEX(tblDeviceConfig[Installed],ROW()-1),"")</f>
      </c>
      <c r="E393">
        <f>IFERROR(INDEX(tblDeviceConfig[Cybernet Hostname],ROW()-1),"")</f>
      </c>
      <c r="F393">
        <f>IFERROR(INDEX(tblDeviceConfig[Neuron Hostname],ROW()-1),"")</f>
      </c>
      <c r="G393">
        <f>IFERROR(INDEX(tblDeviceConfig[Software List],ROW()-1),"")</f>
      </c>
      <c r="H393">
        <f>IFERROR(INDEX(tblDeviceConfig[PI_Use_Case],ROW()-1),"")</f>
      </c>
      <c r="I393">
        <f>IFERROR(INDEX(tblDeviceConfig[PI_Result],ROW()-1),"")</f>
      </c>
      <c r="J393">
        <f>IFERROR(INDEX(tblDeviceConfig[PI_Validated_By],ROW()-1),"")</f>
      </c>
      <c r="K393">
        <f>IFERROR(INDEX(tblDeviceConfig[PI_Validated_Date],ROW()-1),"")</f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</c>
      <c r="C394">
        <f>IFERROR(INDEX(tblDeviceConfig[Deployed],ROW()-1),"")</f>
      </c>
      <c r="D394">
        <f>IFERROR(INDEX(tblDeviceConfig[Installed],ROW()-1),"")</f>
      </c>
      <c r="E394">
        <f>IFERROR(INDEX(tblDeviceConfig[Cybernet Hostname],ROW()-1),"")</f>
      </c>
      <c r="F394">
        <f>IFERROR(INDEX(tblDeviceConfig[Neuron Hostname],ROW()-1),"")</f>
      </c>
      <c r="G394">
        <f>IFERROR(INDEX(tblDeviceConfig[Software List],ROW()-1),"")</f>
      </c>
      <c r="H394">
        <f>IFERROR(INDEX(tblDeviceConfig[PI_Use_Case],ROW()-1),"")</f>
      </c>
      <c r="I394">
        <f>IFERROR(INDEX(tblDeviceConfig[PI_Result],ROW()-1),"")</f>
      </c>
      <c r="J394">
        <f>IFERROR(INDEX(tblDeviceConfig[PI_Validated_By],ROW()-1),"")</f>
      </c>
      <c r="K394">
        <f>IFERROR(INDEX(tblDeviceConfig[PI_Validated_Date],ROW()-1),"")</f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</c>
      <c r="C395">
        <f>IFERROR(INDEX(tblDeviceConfig[Deployed],ROW()-1),"")</f>
      </c>
      <c r="D395">
        <f>IFERROR(INDEX(tblDeviceConfig[Installed],ROW()-1),"")</f>
      </c>
      <c r="E395">
        <f>IFERROR(INDEX(tblDeviceConfig[Cybernet Hostname],ROW()-1),"")</f>
      </c>
      <c r="F395">
        <f>IFERROR(INDEX(tblDeviceConfig[Neuron Hostname],ROW()-1),"")</f>
      </c>
      <c r="G395">
        <f>IFERROR(INDEX(tblDeviceConfig[Software List],ROW()-1),"")</f>
      </c>
      <c r="H395">
        <f>IFERROR(INDEX(tblDeviceConfig[PI_Use_Case],ROW()-1),"")</f>
      </c>
      <c r="I395">
        <f>IFERROR(INDEX(tblDeviceConfig[PI_Result],ROW()-1),"")</f>
      </c>
      <c r="J395">
        <f>IFERROR(INDEX(tblDeviceConfig[PI_Validated_By],ROW()-1),"")</f>
      </c>
      <c r="K395">
        <f>IFERROR(INDEX(tblDeviceConfig[PI_Validated_Date],ROW()-1),"")</f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</c>
      <c r="C396">
        <f>IFERROR(INDEX(tblDeviceConfig[Deployed],ROW()-1),"")</f>
      </c>
      <c r="D396">
        <f>IFERROR(INDEX(tblDeviceConfig[Installed],ROW()-1),"")</f>
      </c>
      <c r="E396">
        <f>IFERROR(INDEX(tblDeviceConfig[Cybernet Hostname],ROW()-1),"")</f>
      </c>
      <c r="F396">
        <f>IFERROR(INDEX(tblDeviceConfig[Neuron Hostname],ROW()-1),"")</f>
      </c>
      <c r="G396">
        <f>IFERROR(INDEX(tblDeviceConfig[Software List],ROW()-1),"")</f>
      </c>
      <c r="H396">
        <f>IFERROR(INDEX(tblDeviceConfig[PI_Use_Case],ROW()-1),"")</f>
      </c>
      <c r="I396">
        <f>IFERROR(INDEX(tblDeviceConfig[PI_Result],ROW()-1),"")</f>
      </c>
      <c r="J396">
        <f>IFERROR(INDEX(tblDeviceConfig[PI_Validated_By],ROW()-1),"")</f>
      </c>
      <c r="K396">
        <f>IFERROR(INDEX(tblDeviceConfig[PI_Validated_Date],ROW()-1),"")</f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</c>
      <c r="C397">
        <f>IFERROR(INDEX(tblDeviceConfig[Deployed],ROW()-1),"")</f>
      </c>
      <c r="D397">
        <f>IFERROR(INDEX(tblDeviceConfig[Installed],ROW()-1),"")</f>
      </c>
      <c r="E397">
        <f>IFERROR(INDEX(tblDeviceConfig[Cybernet Hostname],ROW()-1),"")</f>
      </c>
      <c r="F397">
        <f>IFERROR(INDEX(tblDeviceConfig[Neuron Hostname],ROW()-1),"")</f>
      </c>
      <c r="G397">
        <f>IFERROR(INDEX(tblDeviceConfig[Software List],ROW()-1),"")</f>
      </c>
      <c r="H397">
        <f>IFERROR(INDEX(tblDeviceConfig[PI_Use_Case],ROW()-1),"")</f>
      </c>
      <c r="I397">
        <f>IFERROR(INDEX(tblDeviceConfig[PI_Result],ROW()-1),"")</f>
      </c>
      <c r="J397">
        <f>IFERROR(INDEX(tblDeviceConfig[PI_Validated_By],ROW()-1),"")</f>
      </c>
      <c r="K397">
        <f>IFERROR(INDEX(tblDeviceConfig[PI_Validated_Date],ROW()-1),"")</f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</c>
      <c r="C398">
        <f>IFERROR(INDEX(tblDeviceConfig[Deployed],ROW()-1),"")</f>
      </c>
      <c r="D398">
        <f>IFERROR(INDEX(tblDeviceConfig[Installed],ROW()-1),"")</f>
      </c>
      <c r="E398">
        <f>IFERROR(INDEX(tblDeviceConfig[Cybernet Hostname],ROW()-1),"")</f>
      </c>
      <c r="F398">
        <f>IFERROR(INDEX(tblDeviceConfig[Neuron Hostname],ROW()-1),"")</f>
      </c>
      <c r="G398">
        <f>IFERROR(INDEX(tblDeviceConfig[Software List],ROW()-1),"")</f>
      </c>
      <c r="H398">
        <f>IFERROR(INDEX(tblDeviceConfig[PI_Use_Case],ROW()-1),"")</f>
      </c>
      <c r="I398">
        <f>IFERROR(INDEX(tblDeviceConfig[PI_Result],ROW()-1),"")</f>
      </c>
      <c r="J398">
        <f>IFERROR(INDEX(tblDeviceConfig[PI_Validated_By],ROW()-1),"")</f>
      </c>
      <c r="K398">
        <f>IFERROR(INDEX(tblDeviceConfig[PI_Validated_Date],ROW()-1),"")</f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</c>
      <c r="C399">
        <f>IFERROR(INDEX(tblDeviceConfig[Deployed],ROW()-1),"")</f>
      </c>
      <c r="D399">
        <f>IFERROR(INDEX(tblDeviceConfig[Installed],ROW()-1),"")</f>
      </c>
      <c r="E399">
        <f>IFERROR(INDEX(tblDeviceConfig[Cybernet Hostname],ROW()-1),"")</f>
      </c>
      <c r="F399">
        <f>IFERROR(INDEX(tblDeviceConfig[Neuron Hostname],ROW()-1),"")</f>
      </c>
      <c r="G399">
        <f>IFERROR(INDEX(tblDeviceConfig[Software List],ROW()-1),"")</f>
      </c>
      <c r="H399">
        <f>IFERROR(INDEX(tblDeviceConfig[PI_Use_Case],ROW()-1),"")</f>
      </c>
      <c r="I399">
        <f>IFERROR(INDEX(tblDeviceConfig[PI_Result],ROW()-1),"")</f>
      </c>
      <c r="J399">
        <f>IFERROR(INDEX(tblDeviceConfig[PI_Validated_By],ROW()-1),"")</f>
      </c>
      <c r="K399">
        <f>IFERROR(INDEX(tblDeviceConfig[PI_Validated_Date],ROW()-1),"")</f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</c>
      <c r="C400">
        <f>IFERROR(INDEX(tblDeviceConfig[Deployed],ROW()-1),"")</f>
      </c>
      <c r="D400">
        <f>IFERROR(INDEX(tblDeviceConfig[Installed],ROW()-1),"")</f>
      </c>
      <c r="E400">
        <f>IFERROR(INDEX(tblDeviceConfig[Cybernet Hostname],ROW()-1),"")</f>
      </c>
      <c r="F400">
        <f>IFERROR(INDEX(tblDeviceConfig[Neuron Hostname],ROW()-1),"")</f>
      </c>
      <c r="G400">
        <f>IFERROR(INDEX(tblDeviceConfig[Software List],ROW()-1),"")</f>
      </c>
      <c r="H400">
        <f>IFERROR(INDEX(tblDeviceConfig[PI_Use_Case],ROW()-1),"")</f>
      </c>
      <c r="I400">
        <f>IFERROR(INDEX(tblDeviceConfig[PI_Result],ROW()-1),"")</f>
      </c>
      <c r="J400">
        <f>IFERROR(INDEX(tblDeviceConfig[PI_Validated_By],ROW()-1),"")</f>
      </c>
      <c r="K400">
        <f>IFERROR(INDEX(tblDeviceConfig[PI_Validated_Date],ROW()-1),"")</f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</c>
      <c r="C401">
        <f>IFERROR(INDEX(tblDeviceConfig[Deployed],ROW()-1),"")</f>
      </c>
      <c r="D401">
        <f>IFERROR(INDEX(tblDeviceConfig[Installed],ROW()-1),"")</f>
      </c>
      <c r="E401">
        <f>IFERROR(INDEX(tblDeviceConfig[Cybernet Hostname],ROW()-1),"")</f>
      </c>
      <c r="F401">
        <f>IFERROR(INDEX(tblDeviceConfig[Neuron Hostname],ROW()-1),"")</f>
      </c>
      <c r="G401">
        <f>IFERROR(INDEX(tblDeviceConfig[Software List],ROW()-1),"")</f>
      </c>
      <c r="H401">
        <f>IFERROR(INDEX(tblDeviceConfig[PI_Use_Case],ROW()-1),"")</f>
      </c>
      <c r="I401">
        <f>IFERROR(INDEX(tblDeviceConfig[PI_Result],ROW()-1),"")</f>
      </c>
      <c r="J401">
        <f>IFERROR(INDEX(tblDeviceConfig[PI_Validated_By],ROW()-1),"")</f>
      </c>
      <c r="K401">
        <f>IFERROR(INDEX(tblDeviceConfig[PI_Validated_Date],ROW()-1),"")</f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</c>
      <c r="C402">
        <f>IFERROR(INDEX(tblDeviceConfig[Deployed],ROW()-1),"")</f>
      </c>
      <c r="D402">
        <f>IFERROR(INDEX(tblDeviceConfig[Installed],ROW()-1),"")</f>
      </c>
      <c r="E402">
        <f>IFERROR(INDEX(tblDeviceConfig[Cybernet Hostname],ROW()-1),"")</f>
      </c>
      <c r="F402">
        <f>IFERROR(INDEX(tblDeviceConfig[Neuron Hostname],ROW()-1),"")</f>
      </c>
      <c r="G402">
        <f>IFERROR(INDEX(tblDeviceConfig[Software List],ROW()-1),"")</f>
      </c>
      <c r="H402">
        <f>IFERROR(INDEX(tblDeviceConfig[PI_Use_Case],ROW()-1),"")</f>
      </c>
      <c r="I402">
        <f>IFERROR(INDEX(tblDeviceConfig[PI_Result],ROW()-1),"")</f>
      </c>
      <c r="J402">
        <f>IFERROR(INDEX(tblDeviceConfig[PI_Validated_By],ROW()-1),"")</f>
      </c>
      <c r="K402">
        <f>IFERROR(INDEX(tblDeviceConfig[PI_Validated_Date],ROW()-1),"")</f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</c>
      <c r="C403">
        <f>IFERROR(INDEX(tblDeviceConfig[Deployed],ROW()-1),"")</f>
      </c>
      <c r="D403">
        <f>IFERROR(INDEX(tblDeviceConfig[Installed],ROW()-1),"")</f>
      </c>
      <c r="E403">
        <f>IFERROR(INDEX(tblDeviceConfig[Cybernet Hostname],ROW()-1),"")</f>
      </c>
      <c r="F403">
        <f>IFERROR(INDEX(tblDeviceConfig[Neuron Hostname],ROW()-1),"")</f>
      </c>
      <c r="G403">
        <f>IFERROR(INDEX(tblDeviceConfig[Software List],ROW()-1),"")</f>
      </c>
      <c r="H403">
        <f>IFERROR(INDEX(tblDeviceConfig[PI_Use_Case],ROW()-1),"")</f>
      </c>
      <c r="I403">
        <f>IFERROR(INDEX(tblDeviceConfig[PI_Result],ROW()-1),"")</f>
      </c>
      <c r="J403">
        <f>IFERROR(INDEX(tblDeviceConfig[PI_Validated_By],ROW()-1),"")</f>
      </c>
      <c r="K403">
        <f>IFERROR(INDEX(tblDeviceConfig[PI_Validated_Date],ROW()-1),"")</f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</c>
      <c r="C404">
        <f>IFERROR(INDEX(tblDeviceConfig[Deployed],ROW()-1),"")</f>
      </c>
      <c r="D404">
        <f>IFERROR(INDEX(tblDeviceConfig[Installed],ROW()-1),"")</f>
      </c>
      <c r="E404">
        <f>IFERROR(INDEX(tblDeviceConfig[Cybernet Hostname],ROW()-1),"")</f>
      </c>
      <c r="F404">
        <f>IFERROR(INDEX(tblDeviceConfig[Neuron Hostname],ROW()-1),"")</f>
      </c>
      <c r="G404">
        <f>IFERROR(INDEX(tblDeviceConfig[Software List],ROW()-1),"")</f>
      </c>
      <c r="H404">
        <f>IFERROR(INDEX(tblDeviceConfig[PI_Use_Case],ROW()-1),"")</f>
      </c>
      <c r="I404">
        <f>IFERROR(INDEX(tblDeviceConfig[PI_Result],ROW()-1),"")</f>
      </c>
      <c r="J404">
        <f>IFERROR(INDEX(tblDeviceConfig[PI_Validated_By],ROW()-1),"")</f>
      </c>
      <c r="K404">
        <f>IFERROR(INDEX(tblDeviceConfig[PI_Validated_Date],ROW()-1),"")</f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</c>
      <c r="C405">
        <f>IFERROR(INDEX(tblDeviceConfig[Deployed],ROW()-1),"")</f>
      </c>
      <c r="D405">
        <f>IFERROR(INDEX(tblDeviceConfig[Installed],ROW()-1),"")</f>
      </c>
      <c r="E405">
        <f>IFERROR(INDEX(tblDeviceConfig[Cybernet Hostname],ROW()-1),"")</f>
      </c>
      <c r="F405">
        <f>IFERROR(INDEX(tblDeviceConfig[Neuron Hostname],ROW()-1),"")</f>
      </c>
      <c r="G405">
        <f>IFERROR(INDEX(tblDeviceConfig[Software List],ROW()-1),"")</f>
      </c>
      <c r="H405">
        <f>IFERROR(INDEX(tblDeviceConfig[PI_Use_Case],ROW()-1),"")</f>
      </c>
      <c r="I405">
        <f>IFERROR(INDEX(tblDeviceConfig[PI_Result],ROW()-1),"")</f>
      </c>
      <c r="J405">
        <f>IFERROR(INDEX(tblDeviceConfig[PI_Validated_By],ROW()-1),"")</f>
      </c>
      <c r="K405">
        <f>IFERROR(INDEX(tblDeviceConfig[PI_Validated_Date],ROW()-1),"")</f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</c>
      <c r="C406">
        <f>IFERROR(INDEX(tblDeviceConfig[Deployed],ROW()-1),"")</f>
      </c>
      <c r="D406">
        <f>IFERROR(INDEX(tblDeviceConfig[Installed],ROW()-1),"")</f>
      </c>
      <c r="E406">
        <f>IFERROR(INDEX(tblDeviceConfig[Cybernet Hostname],ROW()-1),"")</f>
      </c>
      <c r="F406">
        <f>IFERROR(INDEX(tblDeviceConfig[Neuron Hostname],ROW()-1),"")</f>
      </c>
      <c r="G406">
        <f>IFERROR(INDEX(tblDeviceConfig[Software List],ROW()-1),"")</f>
      </c>
      <c r="H406">
        <f>IFERROR(INDEX(tblDeviceConfig[PI_Use_Case],ROW()-1),"")</f>
      </c>
      <c r="I406">
        <f>IFERROR(INDEX(tblDeviceConfig[PI_Result],ROW()-1),"")</f>
      </c>
      <c r="J406">
        <f>IFERROR(INDEX(tblDeviceConfig[PI_Validated_By],ROW()-1),"")</f>
      </c>
      <c r="K406">
        <f>IFERROR(INDEX(tblDeviceConfig[PI_Validated_Date],ROW()-1),"")</f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</c>
      <c r="C407">
        <f>IFERROR(INDEX(tblDeviceConfig[Deployed],ROW()-1),"")</f>
      </c>
      <c r="D407">
        <f>IFERROR(INDEX(tblDeviceConfig[Installed],ROW()-1),"")</f>
      </c>
      <c r="E407">
        <f>IFERROR(INDEX(tblDeviceConfig[Cybernet Hostname],ROW()-1),"")</f>
      </c>
      <c r="F407">
        <f>IFERROR(INDEX(tblDeviceConfig[Neuron Hostname],ROW()-1),"")</f>
      </c>
      <c r="G407">
        <f>IFERROR(INDEX(tblDeviceConfig[Software List],ROW()-1),"")</f>
      </c>
      <c r="H407">
        <f>IFERROR(INDEX(tblDeviceConfig[PI_Use_Case],ROW()-1),"")</f>
      </c>
      <c r="I407">
        <f>IFERROR(INDEX(tblDeviceConfig[PI_Result],ROW()-1),"")</f>
      </c>
      <c r="J407">
        <f>IFERROR(INDEX(tblDeviceConfig[PI_Validated_By],ROW()-1),"")</f>
      </c>
      <c r="K407">
        <f>IFERROR(INDEX(tblDeviceConfig[PI_Validated_Date],ROW()-1),"")</f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</c>
      <c r="C408">
        <f>IFERROR(INDEX(tblDeviceConfig[Deployed],ROW()-1),"")</f>
      </c>
      <c r="D408">
        <f>IFERROR(INDEX(tblDeviceConfig[Installed],ROW()-1),"")</f>
      </c>
      <c r="E408">
        <f>IFERROR(INDEX(tblDeviceConfig[Cybernet Hostname],ROW()-1),"")</f>
      </c>
      <c r="F408">
        <f>IFERROR(INDEX(tblDeviceConfig[Neuron Hostname],ROW()-1),"")</f>
      </c>
      <c r="G408">
        <f>IFERROR(INDEX(tblDeviceConfig[Software List],ROW()-1),"")</f>
      </c>
      <c r="H408">
        <f>IFERROR(INDEX(tblDeviceConfig[PI_Use_Case],ROW()-1),"")</f>
      </c>
      <c r="I408">
        <f>IFERROR(INDEX(tblDeviceConfig[PI_Result],ROW()-1),"")</f>
      </c>
      <c r="J408">
        <f>IFERROR(INDEX(tblDeviceConfig[PI_Validated_By],ROW()-1),"")</f>
      </c>
      <c r="K408">
        <f>IFERROR(INDEX(tblDeviceConfig[PI_Validated_Date],ROW()-1),"")</f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</c>
      <c r="C409">
        <f>IFERROR(INDEX(tblDeviceConfig[Deployed],ROW()-1),"")</f>
      </c>
      <c r="D409">
        <f>IFERROR(INDEX(tblDeviceConfig[Installed],ROW()-1),"")</f>
      </c>
      <c r="E409">
        <f>IFERROR(INDEX(tblDeviceConfig[Cybernet Hostname],ROW()-1),"")</f>
      </c>
      <c r="F409">
        <f>IFERROR(INDEX(tblDeviceConfig[Neuron Hostname],ROW()-1),"")</f>
      </c>
      <c r="G409">
        <f>IFERROR(INDEX(tblDeviceConfig[Software List],ROW()-1),"")</f>
      </c>
      <c r="H409">
        <f>IFERROR(INDEX(tblDeviceConfig[PI_Use_Case],ROW()-1),"")</f>
      </c>
      <c r="I409">
        <f>IFERROR(INDEX(tblDeviceConfig[PI_Result],ROW()-1),"")</f>
      </c>
      <c r="J409">
        <f>IFERROR(INDEX(tblDeviceConfig[PI_Validated_By],ROW()-1),"")</f>
      </c>
      <c r="K409">
        <f>IFERROR(INDEX(tblDeviceConfig[PI_Validated_Date],ROW()-1),"")</f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</c>
      <c r="C410">
        <f>IFERROR(INDEX(tblDeviceConfig[Deployed],ROW()-1),"")</f>
      </c>
      <c r="D410">
        <f>IFERROR(INDEX(tblDeviceConfig[Installed],ROW()-1),"")</f>
      </c>
      <c r="E410">
        <f>IFERROR(INDEX(tblDeviceConfig[Cybernet Hostname],ROW()-1),"")</f>
      </c>
      <c r="F410">
        <f>IFERROR(INDEX(tblDeviceConfig[Neuron Hostname],ROW()-1),"")</f>
      </c>
      <c r="G410">
        <f>IFERROR(INDEX(tblDeviceConfig[Software List],ROW()-1),"")</f>
      </c>
      <c r="H410">
        <f>IFERROR(INDEX(tblDeviceConfig[PI_Use_Case],ROW()-1),"")</f>
      </c>
      <c r="I410">
        <f>IFERROR(INDEX(tblDeviceConfig[PI_Result],ROW()-1),"")</f>
      </c>
      <c r="J410">
        <f>IFERROR(INDEX(tblDeviceConfig[PI_Validated_By],ROW()-1),"")</f>
      </c>
      <c r="K410">
        <f>IFERROR(INDEX(tblDeviceConfig[PI_Validated_Date],ROW()-1),"")</f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</c>
      <c r="C411">
        <f>IFERROR(INDEX(tblDeviceConfig[Deployed],ROW()-1),"")</f>
      </c>
      <c r="D411">
        <f>IFERROR(INDEX(tblDeviceConfig[Installed],ROW()-1),"")</f>
      </c>
      <c r="E411">
        <f>IFERROR(INDEX(tblDeviceConfig[Cybernet Hostname],ROW()-1),"")</f>
      </c>
      <c r="F411">
        <f>IFERROR(INDEX(tblDeviceConfig[Neuron Hostname],ROW()-1),"")</f>
      </c>
      <c r="G411">
        <f>IFERROR(INDEX(tblDeviceConfig[Software List],ROW()-1),"")</f>
      </c>
      <c r="H411">
        <f>IFERROR(INDEX(tblDeviceConfig[PI_Use_Case],ROW()-1),"")</f>
      </c>
      <c r="I411">
        <f>IFERROR(INDEX(tblDeviceConfig[PI_Result],ROW()-1),"")</f>
      </c>
      <c r="J411">
        <f>IFERROR(INDEX(tblDeviceConfig[PI_Validated_By],ROW()-1),"")</f>
      </c>
      <c r="K411">
        <f>IFERROR(INDEX(tblDeviceConfig[PI_Validated_Date],ROW()-1),"")</f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</c>
      <c r="C412">
        <f>IFERROR(INDEX(tblDeviceConfig[Deployed],ROW()-1),"")</f>
      </c>
      <c r="D412">
        <f>IFERROR(INDEX(tblDeviceConfig[Installed],ROW()-1),"")</f>
      </c>
      <c r="E412">
        <f>IFERROR(INDEX(tblDeviceConfig[Cybernet Hostname],ROW()-1),"")</f>
      </c>
      <c r="F412">
        <f>IFERROR(INDEX(tblDeviceConfig[Neuron Hostname],ROW()-1),"")</f>
      </c>
      <c r="G412">
        <f>IFERROR(INDEX(tblDeviceConfig[Software List],ROW()-1),"")</f>
      </c>
      <c r="H412">
        <f>IFERROR(INDEX(tblDeviceConfig[PI_Use_Case],ROW()-1),"")</f>
      </c>
      <c r="I412">
        <f>IFERROR(INDEX(tblDeviceConfig[PI_Result],ROW()-1),"")</f>
      </c>
      <c r="J412">
        <f>IFERROR(INDEX(tblDeviceConfig[PI_Validated_By],ROW()-1),"")</f>
      </c>
      <c r="K412">
        <f>IFERROR(INDEX(tblDeviceConfig[PI_Validated_Date],ROW()-1),"")</f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</c>
      <c r="C413">
        <f>IFERROR(INDEX(tblDeviceConfig[Deployed],ROW()-1),"")</f>
      </c>
      <c r="D413">
        <f>IFERROR(INDEX(tblDeviceConfig[Installed],ROW()-1),"")</f>
      </c>
      <c r="E413">
        <f>IFERROR(INDEX(tblDeviceConfig[Cybernet Hostname],ROW()-1),"")</f>
      </c>
      <c r="F413">
        <f>IFERROR(INDEX(tblDeviceConfig[Neuron Hostname],ROW()-1),"")</f>
      </c>
      <c r="G413">
        <f>IFERROR(INDEX(tblDeviceConfig[Software List],ROW()-1),"")</f>
      </c>
      <c r="H413">
        <f>IFERROR(INDEX(tblDeviceConfig[PI_Use_Case],ROW()-1),"")</f>
      </c>
      <c r="I413">
        <f>IFERROR(INDEX(tblDeviceConfig[PI_Result],ROW()-1),"")</f>
      </c>
      <c r="J413">
        <f>IFERROR(INDEX(tblDeviceConfig[PI_Validated_By],ROW()-1),"")</f>
      </c>
      <c r="K413">
        <f>IFERROR(INDEX(tblDeviceConfig[PI_Validated_Date],ROW()-1),"")</f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</c>
      <c r="C414">
        <f>IFERROR(INDEX(tblDeviceConfig[Deployed],ROW()-1),"")</f>
      </c>
      <c r="D414">
        <f>IFERROR(INDEX(tblDeviceConfig[Installed],ROW()-1),"")</f>
      </c>
      <c r="E414">
        <f>IFERROR(INDEX(tblDeviceConfig[Cybernet Hostname],ROW()-1),"")</f>
      </c>
      <c r="F414">
        <f>IFERROR(INDEX(tblDeviceConfig[Neuron Hostname],ROW()-1),"")</f>
      </c>
      <c r="G414">
        <f>IFERROR(INDEX(tblDeviceConfig[Software List],ROW()-1),"")</f>
      </c>
      <c r="H414">
        <f>IFERROR(INDEX(tblDeviceConfig[PI_Use_Case],ROW()-1),"")</f>
      </c>
      <c r="I414">
        <f>IFERROR(INDEX(tblDeviceConfig[PI_Result],ROW()-1),"")</f>
      </c>
      <c r="J414">
        <f>IFERROR(INDEX(tblDeviceConfig[PI_Validated_By],ROW()-1),"")</f>
      </c>
      <c r="K414">
        <f>IFERROR(INDEX(tblDeviceConfig[PI_Validated_Date],ROW()-1),"")</f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</c>
      <c r="C415">
        <f>IFERROR(INDEX(tblDeviceConfig[Deployed],ROW()-1),"")</f>
      </c>
      <c r="D415">
        <f>IFERROR(INDEX(tblDeviceConfig[Installed],ROW()-1),"")</f>
      </c>
      <c r="E415">
        <f>IFERROR(INDEX(tblDeviceConfig[Cybernet Hostname],ROW()-1),"")</f>
      </c>
      <c r="F415">
        <f>IFERROR(INDEX(tblDeviceConfig[Neuron Hostname],ROW()-1),"")</f>
      </c>
      <c r="G415">
        <f>IFERROR(INDEX(tblDeviceConfig[Software List],ROW()-1),"")</f>
      </c>
      <c r="H415">
        <f>IFERROR(INDEX(tblDeviceConfig[PI_Use_Case],ROW()-1),"")</f>
      </c>
      <c r="I415">
        <f>IFERROR(INDEX(tblDeviceConfig[PI_Result],ROW()-1),"")</f>
      </c>
      <c r="J415">
        <f>IFERROR(INDEX(tblDeviceConfig[PI_Validated_By],ROW()-1),"")</f>
      </c>
      <c r="K415">
        <f>IFERROR(INDEX(tblDeviceConfig[PI_Validated_Date],ROW()-1),"")</f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</c>
      <c r="C416">
        <f>IFERROR(INDEX(tblDeviceConfig[Deployed],ROW()-1),"")</f>
      </c>
      <c r="D416">
        <f>IFERROR(INDEX(tblDeviceConfig[Installed],ROW()-1),"")</f>
      </c>
      <c r="E416">
        <f>IFERROR(INDEX(tblDeviceConfig[Cybernet Hostname],ROW()-1),"")</f>
      </c>
      <c r="F416">
        <f>IFERROR(INDEX(tblDeviceConfig[Neuron Hostname],ROW()-1),"")</f>
      </c>
      <c r="G416">
        <f>IFERROR(INDEX(tblDeviceConfig[Software List],ROW()-1),"")</f>
      </c>
      <c r="H416">
        <f>IFERROR(INDEX(tblDeviceConfig[PI_Use_Case],ROW()-1),"")</f>
      </c>
      <c r="I416">
        <f>IFERROR(INDEX(tblDeviceConfig[PI_Result],ROW()-1),"")</f>
      </c>
      <c r="J416">
        <f>IFERROR(INDEX(tblDeviceConfig[PI_Validated_By],ROW()-1),"")</f>
      </c>
      <c r="K416">
        <f>IFERROR(INDEX(tblDeviceConfig[PI_Validated_Date],ROW()-1),"")</f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</c>
      <c r="C417">
        <f>IFERROR(INDEX(tblDeviceConfig[Deployed],ROW()-1),"")</f>
      </c>
      <c r="D417">
        <f>IFERROR(INDEX(tblDeviceConfig[Installed],ROW()-1),"")</f>
      </c>
      <c r="E417">
        <f>IFERROR(INDEX(tblDeviceConfig[Cybernet Hostname],ROW()-1),"")</f>
      </c>
      <c r="F417">
        <f>IFERROR(INDEX(tblDeviceConfig[Neuron Hostname],ROW()-1),"")</f>
      </c>
      <c r="G417">
        <f>IFERROR(INDEX(tblDeviceConfig[Software List],ROW()-1),"")</f>
      </c>
      <c r="H417">
        <f>IFERROR(INDEX(tblDeviceConfig[PI_Use_Case],ROW()-1),"")</f>
      </c>
      <c r="I417">
        <f>IFERROR(INDEX(tblDeviceConfig[PI_Result],ROW()-1),"")</f>
      </c>
      <c r="J417">
        <f>IFERROR(INDEX(tblDeviceConfig[PI_Validated_By],ROW()-1),"")</f>
      </c>
      <c r="K417">
        <f>IFERROR(INDEX(tblDeviceConfig[PI_Validated_Date],ROW()-1),"")</f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</c>
      <c r="C418">
        <f>IFERROR(INDEX(tblDeviceConfig[Deployed],ROW()-1),"")</f>
      </c>
      <c r="D418">
        <f>IFERROR(INDEX(tblDeviceConfig[Installed],ROW()-1),"")</f>
      </c>
      <c r="E418">
        <f>IFERROR(INDEX(tblDeviceConfig[Cybernet Hostname],ROW()-1),"")</f>
      </c>
      <c r="F418">
        <f>IFERROR(INDEX(tblDeviceConfig[Neuron Hostname],ROW()-1),"")</f>
      </c>
      <c r="G418">
        <f>IFERROR(INDEX(tblDeviceConfig[Software List],ROW()-1),"")</f>
      </c>
      <c r="H418">
        <f>IFERROR(INDEX(tblDeviceConfig[PI_Use_Case],ROW()-1),"")</f>
      </c>
      <c r="I418">
        <f>IFERROR(INDEX(tblDeviceConfig[PI_Result],ROW()-1),"")</f>
      </c>
      <c r="J418">
        <f>IFERROR(INDEX(tblDeviceConfig[PI_Validated_By],ROW()-1),"")</f>
      </c>
      <c r="K418">
        <f>IFERROR(INDEX(tblDeviceConfig[PI_Validated_Date],ROW()-1),"")</f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</c>
      <c r="C419">
        <f>IFERROR(INDEX(tblDeviceConfig[Deployed],ROW()-1),"")</f>
      </c>
      <c r="D419">
        <f>IFERROR(INDEX(tblDeviceConfig[Installed],ROW()-1),"")</f>
      </c>
      <c r="E419">
        <f>IFERROR(INDEX(tblDeviceConfig[Cybernet Hostname],ROW()-1),"")</f>
      </c>
      <c r="F419">
        <f>IFERROR(INDEX(tblDeviceConfig[Neuron Hostname],ROW()-1),"")</f>
      </c>
      <c r="G419">
        <f>IFERROR(INDEX(tblDeviceConfig[Software List],ROW()-1),"")</f>
      </c>
      <c r="H419">
        <f>IFERROR(INDEX(tblDeviceConfig[PI_Use_Case],ROW()-1),"")</f>
      </c>
      <c r="I419">
        <f>IFERROR(INDEX(tblDeviceConfig[PI_Result],ROW()-1),"")</f>
      </c>
      <c r="J419">
        <f>IFERROR(INDEX(tblDeviceConfig[PI_Validated_By],ROW()-1),"")</f>
      </c>
      <c r="K419">
        <f>IFERROR(INDEX(tblDeviceConfig[PI_Validated_Date],ROW()-1),"")</f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</c>
      <c r="C420">
        <f>IFERROR(INDEX(tblDeviceConfig[Deployed],ROW()-1),"")</f>
      </c>
      <c r="D420">
        <f>IFERROR(INDEX(tblDeviceConfig[Installed],ROW()-1),"")</f>
      </c>
      <c r="E420">
        <f>IFERROR(INDEX(tblDeviceConfig[Cybernet Hostname],ROW()-1),"")</f>
      </c>
      <c r="F420">
        <f>IFERROR(INDEX(tblDeviceConfig[Neuron Hostname],ROW()-1),"")</f>
      </c>
      <c r="G420">
        <f>IFERROR(INDEX(tblDeviceConfig[Software List],ROW()-1),"")</f>
      </c>
      <c r="H420">
        <f>IFERROR(INDEX(tblDeviceConfig[PI_Use_Case],ROW()-1),"")</f>
      </c>
      <c r="I420">
        <f>IFERROR(INDEX(tblDeviceConfig[PI_Result],ROW()-1),"")</f>
      </c>
      <c r="J420">
        <f>IFERROR(INDEX(tblDeviceConfig[PI_Validated_By],ROW()-1),"")</f>
      </c>
      <c r="K420">
        <f>IFERROR(INDEX(tblDeviceConfig[PI_Validated_Date],ROW()-1),"")</f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</c>
      <c r="C421">
        <f>IFERROR(INDEX(tblDeviceConfig[Deployed],ROW()-1),"")</f>
      </c>
      <c r="D421">
        <f>IFERROR(INDEX(tblDeviceConfig[Installed],ROW()-1),"")</f>
      </c>
      <c r="E421">
        <f>IFERROR(INDEX(tblDeviceConfig[Cybernet Hostname],ROW()-1),"")</f>
      </c>
      <c r="F421">
        <f>IFERROR(INDEX(tblDeviceConfig[Neuron Hostname],ROW()-1),"")</f>
      </c>
      <c r="G421">
        <f>IFERROR(INDEX(tblDeviceConfig[Software List],ROW()-1),"")</f>
      </c>
      <c r="H421">
        <f>IFERROR(INDEX(tblDeviceConfig[PI_Use_Case],ROW()-1),"")</f>
      </c>
      <c r="I421">
        <f>IFERROR(INDEX(tblDeviceConfig[PI_Result],ROW()-1),"")</f>
      </c>
      <c r="J421">
        <f>IFERROR(INDEX(tblDeviceConfig[PI_Validated_By],ROW()-1),"")</f>
      </c>
      <c r="K421">
        <f>IFERROR(INDEX(tblDeviceConfig[PI_Validated_Date],ROW()-1),"")</f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</c>
      <c r="C422">
        <f>IFERROR(INDEX(tblDeviceConfig[Deployed],ROW()-1),"")</f>
      </c>
      <c r="D422">
        <f>IFERROR(INDEX(tblDeviceConfig[Installed],ROW()-1),"")</f>
      </c>
      <c r="E422">
        <f>IFERROR(INDEX(tblDeviceConfig[Cybernet Hostname],ROW()-1),"")</f>
      </c>
      <c r="F422">
        <f>IFERROR(INDEX(tblDeviceConfig[Neuron Hostname],ROW()-1),"")</f>
      </c>
      <c r="G422">
        <f>IFERROR(INDEX(tblDeviceConfig[Software List],ROW()-1),"")</f>
      </c>
      <c r="H422">
        <f>IFERROR(INDEX(tblDeviceConfig[PI_Use_Case],ROW()-1),"")</f>
      </c>
      <c r="I422">
        <f>IFERROR(INDEX(tblDeviceConfig[PI_Result],ROW()-1),"")</f>
      </c>
      <c r="J422">
        <f>IFERROR(INDEX(tblDeviceConfig[PI_Validated_By],ROW()-1),"")</f>
      </c>
      <c r="K422">
        <f>IFERROR(INDEX(tblDeviceConfig[PI_Validated_Date],ROW()-1),"")</f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</c>
      <c r="C423">
        <f>IFERROR(INDEX(tblDeviceConfig[Deployed],ROW()-1),"")</f>
      </c>
      <c r="D423">
        <f>IFERROR(INDEX(tblDeviceConfig[Installed],ROW()-1),"")</f>
      </c>
      <c r="E423">
        <f>IFERROR(INDEX(tblDeviceConfig[Cybernet Hostname],ROW()-1),"")</f>
      </c>
      <c r="F423">
        <f>IFERROR(INDEX(tblDeviceConfig[Neuron Hostname],ROW()-1),"")</f>
      </c>
      <c r="G423">
        <f>IFERROR(INDEX(tblDeviceConfig[Software List],ROW()-1),"")</f>
      </c>
      <c r="H423">
        <f>IFERROR(INDEX(tblDeviceConfig[PI_Use_Case],ROW()-1),"")</f>
      </c>
      <c r="I423">
        <f>IFERROR(INDEX(tblDeviceConfig[PI_Result],ROW()-1),"")</f>
      </c>
      <c r="J423">
        <f>IFERROR(INDEX(tblDeviceConfig[PI_Validated_By],ROW()-1),"")</f>
      </c>
      <c r="K423">
        <f>IFERROR(INDEX(tblDeviceConfig[PI_Validated_Date],ROW()-1),"")</f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</c>
      <c r="C424">
        <f>IFERROR(INDEX(tblDeviceConfig[Deployed],ROW()-1),"")</f>
      </c>
      <c r="D424">
        <f>IFERROR(INDEX(tblDeviceConfig[Installed],ROW()-1),"")</f>
      </c>
      <c r="E424">
        <f>IFERROR(INDEX(tblDeviceConfig[Cybernet Hostname],ROW()-1),"")</f>
      </c>
      <c r="F424">
        <f>IFERROR(INDEX(tblDeviceConfig[Neuron Hostname],ROW()-1),"")</f>
      </c>
      <c r="G424">
        <f>IFERROR(INDEX(tblDeviceConfig[Software List],ROW()-1),"")</f>
      </c>
      <c r="H424">
        <f>IFERROR(INDEX(tblDeviceConfig[PI_Use_Case],ROW()-1),"")</f>
      </c>
      <c r="I424">
        <f>IFERROR(INDEX(tblDeviceConfig[PI_Result],ROW()-1),"")</f>
      </c>
      <c r="J424">
        <f>IFERROR(INDEX(tblDeviceConfig[PI_Validated_By],ROW()-1),"")</f>
      </c>
      <c r="K424">
        <f>IFERROR(INDEX(tblDeviceConfig[PI_Validated_Date],ROW()-1),"")</f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</c>
      <c r="C425">
        <f>IFERROR(INDEX(tblDeviceConfig[Deployed],ROW()-1),"")</f>
      </c>
      <c r="D425">
        <f>IFERROR(INDEX(tblDeviceConfig[Installed],ROW()-1),"")</f>
      </c>
      <c r="E425">
        <f>IFERROR(INDEX(tblDeviceConfig[Cybernet Hostname],ROW()-1),"")</f>
      </c>
      <c r="F425">
        <f>IFERROR(INDEX(tblDeviceConfig[Neuron Hostname],ROW()-1),"")</f>
      </c>
      <c r="G425">
        <f>IFERROR(INDEX(tblDeviceConfig[Software List],ROW()-1),"")</f>
      </c>
      <c r="H425">
        <f>IFERROR(INDEX(tblDeviceConfig[PI_Use_Case],ROW()-1),"")</f>
      </c>
      <c r="I425">
        <f>IFERROR(INDEX(tblDeviceConfig[PI_Result],ROW()-1),"")</f>
      </c>
      <c r="J425">
        <f>IFERROR(INDEX(tblDeviceConfig[PI_Validated_By],ROW()-1),"")</f>
      </c>
      <c r="K425">
        <f>IFERROR(INDEX(tblDeviceConfig[PI_Validated_Date],ROW()-1),"")</f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</c>
      <c r="C426">
        <f>IFERROR(INDEX(tblDeviceConfig[Deployed],ROW()-1),"")</f>
      </c>
      <c r="D426">
        <f>IFERROR(INDEX(tblDeviceConfig[Installed],ROW()-1),"")</f>
      </c>
      <c r="E426">
        <f>IFERROR(INDEX(tblDeviceConfig[Cybernet Hostname],ROW()-1),"")</f>
      </c>
      <c r="F426">
        <f>IFERROR(INDEX(tblDeviceConfig[Neuron Hostname],ROW()-1),"")</f>
      </c>
      <c r="G426">
        <f>IFERROR(INDEX(tblDeviceConfig[Software List],ROW()-1),"")</f>
      </c>
      <c r="H426">
        <f>IFERROR(INDEX(tblDeviceConfig[PI_Use_Case],ROW()-1),"")</f>
      </c>
      <c r="I426">
        <f>IFERROR(INDEX(tblDeviceConfig[PI_Result],ROW()-1),"")</f>
      </c>
      <c r="J426">
        <f>IFERROR(INDEX(tblDeviceConfig[PI_Validated_By],ROW()-1),"")</f>
      </c>
      <c r="K426">
        <f>IFERROR(INDEX(tblDeviceConfig[PI_Validated_Date],ROW()-1),"")</f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</c>
      <c r="C427">
        <f>IFERROR(INDEX(tblDeviceConfig[Deployed],ROW()-1),"")</f>
      </c>
      <c r="D427">
        <f>IFERROR(INDEX(tblDeviceConfig[Installed],ROW()-1),"")</f>
      </c>
      <c r="E427">
        <f>IFERROR(INDEX(tblDeviceConfig[Cybernet Hostname],ROW()-1),"")</f>
      </c>
      <c r="F427">
        <f>IFERROR(INDEX(tblDeviceConfig[Neuron Hostname],ROW()-1),"")</f>
      </c>
      <c r="G427">
        <f>IFERROR(INDEX(tblDeviceConfig[Software List],ROW()-1),"")</f>
      </c>
      <c r="H427">
        <f>IFERROR(INDEX(tblDeviceConfig[PI_Use_Case],ROW()-1),"")</f>
      </c>
      <c r="I427">
        <f>IFERROR(INDEX(tblDeviceConfig[PI_Result],ROW()-1),"")</f>
      </c>
      <c r="J427">
        <f>IFERROR(INDEX(tblDeviceConfig[PI_Validated_By],ROW()-1),"")</f>
      </c>
      <c r="K427">
        <f>IFERROR(INDEX(tblDeviceConfig[PI_Validated_Date],ROW()-1),"")</f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</c>
      <c r="C428">
        <f>IFERROR(INDEX(tblDeviceConfig[Deployed],ROW()-1),"")</f>
      </c>
      <c r="D428">
        <f>IFERROR(INDEX(tblDeviceConfig[Installed],ROW()-1),"")</f>
      </c>
      <c r="E428">
        <f>IFERROR(INDEX(tblDeviceConfig[Cybernet Hostname],ROW()-1),"")</f>
      </c>
      <c r="F428">
        <f>IFERROR(INDEX(tblDeviceConfig[Neuron Hostname],ROW()-1),"")</f>
      </c>
      <c r="G428">
        <f>IFERROR(INDEX(tblDeviceConfig[Software List],ROW()-1),"")</f>
      </c>
      <c r="H428">
        <f>IFERROR(INDEX(tblDeviceConfig[PI_Use_Case],ROW()-1),"")</f>
      </c>
      <c r="I428">
        <f>IFERROR(INDEX(tblDeviceConfig[PI_Result],ROW()-1),"")</f>
      </c>
      <c r="J428">
        <f>IFERROR(INDEX(tblDeviceConfig[PI_Validated_By],ROW()-1),"")</f>
      </c>
      <c r="K428">
        <f>IFERROR(INDEX(tblDeviceConfig[PI_Validated_Date],ROW()-1),"")</f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</c>
      <c r="C429">
        <f>IFERROR(INDEX(tblDeviceConfig[Deployed],ROW()-1),"")</f>
      </c>
      <c r="D429">
        <f>IFERROR(INDEX(tblDeviceConfig[Installed],ROW()-1),"")</f>
      </c>
      <c r="E429">
        <f>IFERROR(INDEX(tblDeviceConfig[Cybernet Hostname],ROW()-1),"")</f>
      </c>
      <c r="F429">
        <f>IFERROR(INDEX(tblDeviceConfig[Neuron Hostname],ROW()-1),"")</f>
      </c>
      <c r="G429">
        <f>IFERROR(INDEX(tblDeviceConfig[Software List],ROW()-1),"")</f>
      </c>
      <c r="H429">
        <f>IFERROR(INDEX(tblDeviceConfig[PI_Use_Case],ROW()-1),"")</f>
      </c>
      <c r="I429">
        <f>IFERROR(INDEX(tblDeviceConfig[PI_Result],ROW()-1),"")</f>
      </c>
      <c r="J429">
        <f>IFERROR(INDEX(tblDeviceConfig[PI_Validated_By],ROW()-1),"")</f>
      </c>
      <c r="K429">
        <f>IFERROR(INDEX(tblDeviceConfig[PI_Validated_Date],ROW()-1),"")</f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</c>
      <c r="C430">
        <f>IFERROR(INDEX(tblDeviceConfig[Deployed],ROW()-1),"")</f>
      </c>
      <c r="D430">
        <f>IFERROR(INDEX(tblDeviceConfig[Installed],ROW()-1),"")</f>
      </c>
      <c r="E430">
        <f>IFERROR(INDEX(tblDeviceConfig[Cybernet Hostname],ROW()-1),"")</f>
      </c>
      <c r="F430">
        <f>IFERROR(INDEX(tblDeviceConfig[Neuron Hostname],ROW()-1),"")</f>
      </c>
      <c r="G430">
        <f>IFERROR(INDEX(tblDeviceConfig[Software List],ROW()-1),"")</f>
      </c>
      <c r="H430">
        <f>IFERROR(INDEX(tblDeviceConfig[PI_Use_Case],ROW()-1),"")</f>
      </c>
      <c r="I430">
        <f>IFERROR(INDEX(tblDeviceConfig[PI_Result],ROW()-1),"")</f>
      </c>
      <c r="J430">
        <f>IFERROR(INDEX(tblDeviceConfig[PI_Validated_By],ROW()-1),"")</f>
      </c>
      <c r="K430">
        <f>IFERROR(INDEX(tblDeviceConfig[PI_Validated_Date],ROW()-1),"")</f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</c>
      <c r="C431">
        <f>IFERROR(INDEX(tblDeviceConfig[Deployed],ROW()-1),"")</f>
      </c>
      <c r="D431">
        <f>IFERROR(INDEX(tblDeviceConfig[Installed],ROW()-1),"")</f>
      </c>
      <c r="E431">
        <f>IFERROR(INDEX(tblDeviceConfig[Cybernet Hostname],ROW()-1),"")</f>
      </c>
      <c r="F431">
        <f>IFERROR(INDEX(tblDeviceConfig[Neuron Hostname],ROW()-1),"")</f>
      </c>
      <c r="G431">
        <f>IFERROR(INDEX(tblDeviceConfig[Software List],ROW()-1),"")</f>
      </c>
      <c r="H431">
        <f>IFERROR(INDEX(tblDeviceConfig[PI_Use_Case],ROW()-1),"")</f>
      </c>
      <c r="I431">
        <f>IFERROR(INDEX(tblDeviceConfig[PI_Result],ROW()-1),"")</f>
      </c>
      <c r="J431">
        <f>IFERROR(INDEX(tblDeviceConfig[PI_Validated_By],ROW()-1),"")</f>
      </c>
      <c r="K431">
        <f>IFERROR(INDEX(tblDeviceConfig[PI_Validated_Date],ROW()-1),"")</f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</c>
      <c r="C432">
        <f>IFERROR(INDEX(tblDeviceConfig[Deployed],ROW()-1),"")</f>
      </c>
      <c r="D432">
        <f>IFERROR(INDEX(tblDeviceConfig[Installed],ROW()-1),"")</f>
      </c>
      <c r="E432">
        <f>IFERROR(INDEX(tblDeviceConfig[Cybernet Hostname],ROW()-1),"")</f>
      </c>
      <c r="F432">
        <f>IFERROR(INDEX(tblDeviceConfig[Neuron Hostname],ROW()-1),"")</f>
      </c>
      <c r="G432">
        <f>IFERROR(INDEX(tblDeviceConfig[Software List],ROW()-1),"")</f>
      </c>
      <c r="H432">
        <f>IFERROR(INDEX(tblDeviceConfig[PI_Use_Case],ROW()-1),"")</f>
      </c>
      <c r="I432">
        <f>IFERROR(INDEX(tblDeviceConfig[PI_Result],ROW()-1),"")</f>
      </c>
      <c r="J432">
        <f>IFERROR(INDEX(tblDeviceConfig[PI_Validated_By],ROW()-1),"")</f>
      </c>
      <c r="K432">
        <f>IFERROR(INDEX(tblDeviceConfig[PI_Validated_Date],ROW()-1),"")</f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</c>
      <c r="C433">
        <f>IFERROR(INDEX(tblDeviceConfig[Deployed],ROW()-1),"")</f>
      </c>
      <c r="D433">
        <f>IFERROR(INDEX(tblDeviceConfig[Installed],ROW()-1),"")</f>
      </c>
      <c r="E433">
        <f>IFERROR(INDEX(tblDeviceConfig[Cybernet Hostname],ROW()-1),"")</f>
      </c>
      <c r="F433">
        <f>IFERROR(INDEX(tblDeviceConfig[Neuron Hostname],ROW()-1),"")</f>
      </c>
      <c r="G433">
        <f>IFERROR(INDEX(tblDeviceConfig[Software List],ROW()-1),"")</f>
      </c>
      <c r="H433">
        <f>IFERROR(INDEX(tblDeviceConfig[PI_Use_Case],ROW()-1),"")</f>
      </c>
      <c r="I433">
        <f>IFERROR(INDEX(tblDeviceConfig[PI_Result],ROW()-1),"")</f>
      </c>
      <c r="J433">
        <f>IFERROR(INDEX(tblDeviceConfig[PI_Validated_By],ROW()-1),"")</f>
      </c>
      <c r="K433">
        <f>IFERROR(INDEX(tblDeviceConfig[PI_Validated_Date],ROW()-1),"")</f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</c>
      <c r="C434">
        <f>IFERROR(INDEX(tblDeviceConfig[Deployed],ROW()-1),"")</f>
      </c>
      <c r="D434">
        <f>IFERROR(INDEX(tblDeviceConfig[Installed],ROW()-1),"")</f>
      </c>
      <c r="E434">
        <f>IFERROR(INDEX(tblDeviceConfig[Cybernet Hostname],ROW()-1),"")</f>
      </c>
      <c r="F434">
        <f>IFERROR(INDEX(tblDeviceConfig[Neuron Hostname],ROW()-1),"")</f>
      </c>
      <c r="G434">
        <f>IFERROR(INDEX(tblDeviceConfig[Software List],ROW()-1),"")</f>
      </c>
      <c r="H434">
        <f>IFERROR(INDEX(tblDeviceConfig[PI_Use_Case],ROW()-1),"")</f>
      </c>
      <c r="I434">
        <f>IFERROR(INDEX(tblDeviceConfig[PI_Result],ROW()-1),"")</f>
      </c>
      <c r="J434">
        <f>IFERROR(INDEX(tblDeviceConfig[PI_Validated_By],ROW()-1),"")</f>
      </c>
      <c r="K434">
        <f>IFERROR(INDEX(tblDeviceConfig[PI_Validated_Date],ROW()-1),"")</f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</c>
      <c r="C435">
        <f>IFERROR(INDEX(tblDeviceConfig[Deployed],ROW()-1),"")</f>
      </c>
      <c r="D435">
        <f>IFERROR(INDEX(tblDeviceConfig[Installed],ROW()-1),"")</f>
      </c>
      <c r="E435">
        <f>IFERROR(INDEX(tblDeviceConfig[Cybernet Hostname],ROW()-1),"")</f>
      </c>
      <c r="F435">
        <f>IFERROR(INDEX(tblDeviceConfig[Neuron Hostname],ROW()-1),"")</f>
      </c>
      <c r="G435">
        <f>IFERROR(INDEX(tblDeviceConfig[Software List],ROW()-1),"")</f>
      </c>
      <c r="H435">
        <f>IFERROR(INDEX(tblDeviceConfig[PI_Use_Case],ROW()-1),"")</f>
      </c>
      <c r="I435">
        <f>IFERROR(INDEX(tblDeviceConfig[PI_Result],ROW()-1),"")</f>
      </c>
      <c r="J435">
        <f>IFERROR(INDEX(tblDeviceConfig[PI_Validated_By],ROW()-1),"")</f>
      </c>
      <c r="K435">
        <f>IFERROR(INDEX(tblDeviceConfig[PI_Validated_Date],ROW()-1),"")</f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</c>
      <c r="C436">
        <f>IFERROR(INDEX(tblDeviceConfig[Deployed],ROW()-1),"")</f>
      </c>
      <c r="D436">
        <f>IFERROR(INDEX(tblDeviceConfig[Installed],ROW()-1),"")</f>
      </c>
      <c r="E436">
        <f>IFERROR(INDEX(tblDeviceConfig[Cybernet Hostname],ROW()-1),"")</f>
      </c>
      <c r="F436">
        <f>IFERROR(INDEX(tblDeviceConfig[Neuron Hostname],ROW()-1),"")</f>
      </c>
      <c r="G436">
        <f>IFERROR(INDEX(tblDeviceConfig[Software List],ROW()-1),"")</f>
      </c>
      <c r="H436">
        <f>IFERROR(INDEX(tblDeviceConfig[PI_Use_Case],ROW()-1),"")</f>
      </c>
      <c r="I436">
        <f>IFERROR(INDEX(tblDeviceConfig[PI_Result],ROW()-1),"")</f>
      </c>
      <c r="J436">
        <f>IFERROR(INDEX(tblDeviceConfig[PI_Validated_By],ROW()-1),"")</f>
      </c>
      <c r="K436">
        <f>IFERROR(INDEX(tblDeviceConfig[PI_Validated_Date],ROW()-1),"")</f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</c>
      <c r="C437">
        <f>IFERROR(INDEX(tblDeviceConfig[Deployed],ROW()-1),"")</f>
      </c>
      <c r="D437">
        <f>IFERROR(INDEX(tblDeviceConfig[Installed],ROW()-1),"")</f>
      </c>
      <c r="E437">
        <f>IFERROR(INDEX(tblDeviceConfig[Cybernet Hostname],ROW()-1),"")</f>
      </c>
      <c r="F437">
        <f>IFERROR(INDEX(tblDeviceConfig[Neuron Hostname],ROW()-1),"")</f>
      </c>
      <c r="G437">
        <f>IFERROR(INDEX(tblDeviceConfig[Software List],ROW()-1),"")</f>
      </c>
      <c r="H437">
        <f>IFERROR(INDEX(tblDeviceConfig[PI_Use_Case],ROW()-1),"")</f>
      </c>
      <c r="I437">
        <f>IFERROR(INDEX(tblDeviceConfig[PI_Result],ROW()-1),"")</f>
      </c>
      <c r="J437">
        <f>IFERROR(INDEX(tblDeviceConfig[PI_Validated_By],ROW()-1),"")</f>
      </c>
      <c r="K437">
        <f>IFERROR(INDEX(tblDeviceConfig[PI_Validated_Date],ROW()-1),"")</f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</c>
      <c r="C438">
        <f>IFERROR(INDEX(tblDeviceConfig[Deployed],ROW()-1),"")</f>
      </c>
      <c r="D438">
        <f>IFERROR(INDEX(tblDeviceConfig[Installed],ROW()-1),"")</f>
      </c>
      <c r="E438">
        <f>IFERROR(INDEX(tblDeviceConfig[Cybernet Hostname],ROW()-1),"")</f>
      </c>
      <c r="F438">
        <f>IFERROR(INDEX(tblDeviceConfig[Neuron Hostname],ROW()-1),"")</f>
      </c>
      <c r="G438">
        <f>IFERROR(INDEX(tblDeviceConfig[Software List],ROW()-1),"")</f>
      </c>
      <c r="H438">
        <f>IFERROR(INDEX(tblDeviceConfig[PI_Use_Case],ROW()-1),"")</f>
      </c>
      <c r="I438">
        <f>IFERROR(INDEX(tblDeviceConfig[PI_Result],ROW()-1),"")</f>
      </c>
      <c r="J438">
        <f>IFERROR(INDEX(tblDeviceConfig[PI_Validated_By],ROW()-1),"")</f>
      </c>
      <c r="K438">
        <f>IFERROR(INDEX(tblDeviceConfig[PI_Validated_Date],ROW()-1),"")</f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</c>
      <c r="C439">
        <f>IFERROR(INDEX(tblDeviceConfig[Deployed],ROW()-1),"")</f>
      </c>
      <c r="D439">
        <f>IFERROR(INDEX(tblDeviceConfig[Installed],ROW()-1),"")</f>
      </c>
      <c r="E439">
        <f>IFERROR(INDEX(tblDeviceConfig[Cybernet Hostname],ROW()-1),"")</f>
      </c>
      <c r="F439">
        <f>IFERROR(INDEX(tblDeviceConfig[Neuron Hostname],ROW()-1),"")</f>
      </c>
      <c r="G439">
        <f>IFERROR(INDEX(tblDeviceConfig[Software List],ROW()-1),"")</f>
      </c>
      <c r="H439">
        <f>IFERROR(INDEX(tblDeviceConfig[PI_Use_Case],ROW()-1),"")</f>
      </c>
      <c r="I439">
        <f>IFERROR(INDEX(tblDeviceConfig[PI_Result],ROW()-1),"")</f>
      </c>
      <c r="J439">
        <f>IFERROR(INDEX(tblDeviceConfig[PI_Validated_By],ROW()-1),"")</f>
      </c>
      <c r="K439">
        <f>IFERROR(INDEX(tblDeviceConfig[PI_Validated_Date],ROW()-1),"")</f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</c>
      <c r="C440">
        <f>IFERROR(INDEX(tblDeviceConfig[Deployed],ROW()-1),"")</f>
      </c>
      <c r="D440">
        <f>IFERROR(INDEX(tblDeviceConfig[Installed],ROW()-1),"")</f>
      </c>
      <c r="E440">
        <f>IFERROR(INDEX(tblDeviceConfig[Cybernet Hostname],ROW()-1),"")</f>
      </c>
      <c r="F440">
        <f>IFERROR(INDEX(tblDeviceConfig[Neuron Hostname],ROW()-1),"")</f>
      </c>
      <c r="G440">
        <f>IFERROR(INDEX(tblDeviceConfig[Software List],ROW()-1),"")</f>
      </c>
      <c r="H440">
        <f>IFERROR(INDEX(tblDeviceConfig[PI_Use_Case],ROW()-1),"")</f>
      </c>
      <c r="I440">
        <f>IFERROR(INDEX(tblDeviceConfig[PI_Result],ROW()-1),"")</f>
      </c>
      <c r="J440">
        <f>IFERROR(INDEX(tblDeviceConfig[PI_Validated_By],ROW()-1),"")</f>
      </c>
      <c r="K440">
        <f>IFERROR(INDEX(tblDeviceConfig[PI_Validated_Date],ROW()-1),"")</f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</c>
      <c r="C441">
        <f>IFERROR(INDEX(tblDeviceConfig[Deployed],ROW()-1),"")</f>
      </c>
      <c r="D441">
        <f>IFERROR(INDEX(tblDeviceConfig[Installed],ROW()-1),"")</f>
      </c>
      <c r="E441">
        <f>IFERROR(INDEX(tblDeviceConfig[Cybernet Hostname],ROW()-1),"")</f>
      </c>
      <c r="F441">
        <f>IFERROR(INDEX(tblDeviceConfig[Neuron Hostname],ROW()-1),"")</f>
      </c>
      <c r="G441">
        <f>IFERROR(INDEX(tblDeviceConfig[Software List],ROW()-1),"")</f>
      </c>
      <c r="H441">
        <f>IFERROR(INDEX(tblDeviceConfig[PI_Use_Case],ROW()-1),"")</f>
      </c>
      <c r="I441">
        <f>IFERROR(INDEX(tblDeviceConfig[PI_Result],ROW()-1),"")</f>
      </c>
      <c r="J441">
        <f>IFERROR(INDEX(tblDeviceConfig[PI_Validated_By],ROW()-1),"")</f>
      </c>
      <c r="K441">
        <f>IFERROR(INDEX(tblDeviceConfig[PI_Validated_Date],ROW()-1),"")</f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</c>
      <c r="C442">
        <f>IFERROR(INDEX(tblDeviceConfig[Deployed],ROW()-1),"")</f>
      </c>
      <c r="D442">
        <f>IFERROR(INDEX(tblDeviceConfig[Installed],ROW()-1),"")</f>
      </c>
      <c r="E442">
        <f>IFERROR(INDEX(tblDeviceConfig[Cybernet Hostname],ROW()-1),"")</f>
      </c>
      <c r="F442">
        <f>IFERROR(INDEX(tblDeviceConfig[Neuron Hostname],ROW()-1),"")</f>
      </c>
      <c r="G442">
        <f>IFERROR(INDEX(tblDeviceConfig[Software List],ROW()-1),"")</f>
      </c>
      <c r="H442">
        <f>IFERROR(INDEX(tblDeviceConfig[PI_Use_Case],ROW()-1),"")</f>
      </c>
      <c r="I442">
        <f>IFERROR(INDEX(tblDeviceConfig[PI_Result],ROW()-1),"")</f>
      </c>
      <c r="J442">
        <f>IFERROR(INDEX(tblDeviceConfig[PI_Validated_By],ROW()-1),"")</f>
      </c>
      <c r="K442">
        <f>IFERROR(INDEX(tblDeviceConfig[PI_Validated_Date],ROW()-1),"")</f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</c>
      <c r="C443">
        <f>IFERROR(INDEX(tblDeviceConfig[Deployed],ROW()-1),"")</f>
      </c>
      <c r="D443">
        <f>IFERROR(INDEX(tblDeviceConfig[Installed],ROW()-1),"")</f>
      </c>
      <c r="E443">
        <f>IFERROR(INDEX(tblDeviceConfig[Cybernet Hostname],ROW()-1),"")</f>
      </c>
      <c r="F443">
        <f>IFERROR(INDEX(tblDeviceConfig[Neuron Hostname],ROW()-1),"")</f>
      </c>
      <c r="G443">
        <f>IFERROR(INDEX(tblDeviceConfig[Software List],ROW()-1),"")</f>
      </c>
      <c r="H443">
        <f>IFERROR(INDEX(tblDeviceConfig[PI_Use_Case],ROW()-1),"")</f>
      </c>
      <c r="I443">
        <f>IFERROR(INDEX(tblDeviceConfig[PI_Result],ROW()-1),"")</f>
      </c>
      <c r="J443">
        <f>IFERROR(INDEX(tblDeviceConfig[PI_Validated_By],ROW()-1),"")</f>
      </c>
      <c r="K443">
        <f>IFERROR(INDEX(tblDeviceConfig[PI_Validated_Date],ROW()-1),"")</f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</c>
      <c r="C444">
        <f>IFERROR(INDEX(tblDeviceConfig[Deployed],ROW()-1),"")</f>
      </c>
      <c r="D444">
        <f>IFERROR(INDEX(tblDeviceConfig[Installed],ROW()-1),"")</f>
      </c>
      <c r="E444">
        <f>IFERROR(INDEX(tblDeviceConfig[Cybernet Hostname],ROW()-1),"")</f>
      </c>
      <c r="F444">
        <f>IFERROR(INDEX(tblDeviceConfig[Neuron Hostname],ROW()-1),"")</f>
      </c>
      <c r="G444">
        <f>IFERROR(INDEX(tblDeviceConfig[Software List],ROW()-1),"")</f>
      </c>
      <c r="H444">
        <f>IFERROR(INDEX(tblDeviceConfig[PI_Use_Case],ROW()-1),"")</f>
      </c>
      <c r="I444">
        <f>IFERROR(INDEX(tblDeviceConfig[PI_Result],ROW()-1),"")</f>
      </c>
      <c r="J444">
        <f>IFERROR(INDEX(tblDeviceConfig[PI_Validated_By],ROW()-1),"")</f>
      </c>
      <c r="K444">
        <f>IFERROR(INDEX(tblDeviceConfig[PI_Validated_Date],ROW()-1),"")</f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</c>
      <c r="C445">
        <f>IFERROR(INDEX(tblDeviceConfig[Deployed],ROW()-1),"")</f>
      </c>
      <c r="D445">
        <f>IFERROR(INDEX(tblDeviceConfig[Installed],ROW()-1),"")</f>
      </c>
      <c r="E445">
        <f>IFERROR(INDEX(tblDeviceConfig[Cybernet Hostname],ROW()-1),"")</f>
      </c>
      <c r="F445">
        <f>IFERROR(INDEX(tblDeviceConfig[Neuron Hostname],ROW()-1),"")</f>
      </c>
      <c r="G445">
        <f>IFERROR(INDEX(tblDeviceConfig[Software List],ROW()-1),"")</f>
      </c>
      <c r="H445">
        <f>IFERROR(INDEX(tblDeviceConfig[PI_Use_Case],ROW()-1),"")</f>
      </c>
      <c r="I445">
        <f>IFERROR(INDEX(tblDeviceConfig[PI_Result],ROW()-1),"")</f>
      </c>
      <c r="J445">
        <f>IFERROR(INDEX(tblDeviceConfig[PI_Validated_By],ROW()-1),"")</f>
      </c>
      <c r="K445">
        <f>IFERROR(INDEX(tblDeviceConfig[PI_Validated_Date],ROW()-1),"")</f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</c>
      <c r="C446">
        <f>IFERROR(INDEX(tblDeviceConfig[Deployed],ROW()-1),"")</f>
      </c>
      <c r="D446">
        <f>IFERROR(INDEX(tblDeviceConfig[Installed],ROW()-1),"")</f>
      </c>
      <c r="E446">
        <f>IFERROR(INDEX(tblDeviceConfig[Cybernet Hostname],ROW()-1),"")</f>
      </c>
      <c r="F446">
        <f>IFERROR(INDEX(tblDeviceConfig[Neuron Hostname],ROW()-1),"")</f>
      </c>
      <c r="G446">
        <f>IFERROR(INDEX(tblDeviceConfig[Software List],ROW()-1),"")</f>
      </c>
      <c r="H446">
        <f>IFERROR(INDEX(tblDeviceConfig[PI_Use_Case],ROW()-1),"")</f>
      </c>
      <c r="I446">
        <f>IFERROR(INDEX(tblDeviceConfig[PI_Result],ROW()-1),"")</f>
      </c>
      <c r="J446">
        <f>IFERROR(INDEX(tblDeviceConfig[PI_Validated_By],ROW()-1),"")</f>
      </c>
      <c r="K446">
        <f>IFERROR(INDEX(tblDeviceConfig[PI_Validated_Date],ROW()-1),"")</f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</c>
      <c r="C447">
        <f>IFERROR(INDEX(tblDeviceConfig[Deployed],ROW()-1),"")</f>
      </c>
      <c r="D447">
        <f>IFERROR(INDEX(tblDeviceConfig[Installed],ROW()-1),"")</f>
      </c>
      <c r="E447">
        <f>IFERROR(INDEX(tblDeviceConfig[Cybernet Hostname],ROW()-1),"")</f>
      </c>
      <c r="F447">
        <f>IFERROR(INDEX(tblDeviceConfig[Neuron Hostname],ROW()-1),"")</f>
      </c>
      <c r="G447">
        <f>IFERROR(INDEX(tblDeviceConfig[Software List],ROW()-1),"")</f>
      </c>
      <c r="H447">
        <f>IFERROR(INDEX(tblDeviceConfig[PI_Use_Case],ROW()-1),"")</f>
      </c>
      <c r="I447">
        <f>IFERROR(INDEX(tblDeviceConfig[PI_Result],ROW()-1),"")</f>
      </c>
      <c r="J447">
        <f>IFERROR(INDEX(tblDeviceConfig[PI_Validated_By],ROW()-1),"")</f>
      </c>
      <c r="K447">
        <f>IFERROR(INDEX(tblDeviceConfig[PI_Validated_Date],ROW()-1),"")</f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</c>
      <c r="C448">
        <f>IFERROR(INDEX(tblDeviceConfig[Deployed],ROW()-1),"")</f>
      </c>
      <c r="D448">
        <f>IFERROR(INDEX(tblDeviceConfig[Installed],ROW()-1),"")</f>
      </c>
      <c r="E448">
        <f>IFERROR(INDEX(tblDeviceConfig[Cybernet Hostname],ROW()-1),"")</f>
      </c>
      <c r="F448">
        <f>IFERROR(INDEX(tblDeviceConfig[Neuron Hostname],ROW()-1),"")</f>
      </c>
      <c r="G448">
        <f>IFERROR(INDEX(tblDeviceConfig[Software List],ROW()-1),"")</f>
      </c>
      <c r="H448">
        <f>IFERROR(INDEX(tblDeviceConfig[PI_Use_Case],ROW()-1),"")</f>
      </c>
      <c r="I448">
        <f>IFERROR(INDEX(tblDeviceConfig[PI_Result],ROW()-1),"")</f>
      </c>
      <c r="J448">
        <f>IFERROR(INDEX(tblDeviceConfig[PI_Validated_By],ROW()-1),"")</f>
      </c>
      <c r="K448">
        <f>IFERROR(INDEX(tblDeviceConfig[PI_Validated_Date],ROW()-1),"")</f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</c>
      <c r="C449">
        <f>IFERROR(INDEX(tblDeviceConfig[Deployed],ROW()-1),"")</f>
      </c>
      <c r="D449">
        <f>IFERROR(INDEX(tblDeviceConfig[Installed],ROW()-1),"")</f>
      </c>
      <c r="E449">
        <f>IFERROR(INDEX(tblDeviceConfig[Cybernet Hostname],ROW()-1),"")</f>
      </c>
      <c r="F449">
        <f>IFERROR(INDEX(tblDeviceConfig[Neuron Hostname],ROW()-1),"")</f>
      </c>
      <c r="G449">
        <f>IFERROR(INDEX(tblDeviceConfig[Software List],ROW()-1),"")</f>
      </c>
      <c r="H449">
        <f>IFERROR(INDEX(tblDeviceConfig[PI_Use_Case],ROW()-1),"")</f>
      </c>
      <c r="I449">
        <f>IFERROR(INDEX(tblDeviceConfig[PI_Result],ROW()-1),"")</f>
      </c>
      <c r="J449">
        <f>IFERROR(INDEX(tblDeviceConfig[PI_Validated_By],ROW()-1),"")</f>
      </c>
      <c r="K449">
        <f>IFERROR(INDEX(tblDeviceConfig[PI_Validated_Date],ROW()-1),"")</f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</c>
      <c r="C450">
        <f>IFERROR(INDEX(tblDeviceConfig[Deployed],ROW()-1),"")</f>
      </c>
      <c r="D450">
        <f>IFERROR(INDEX(tblDeviceConfig[Installed],ROW()-1),"")</f>
      </c>
      <c r="E450">
        <f>IFERROR(INDEX(tblDeviceConfig[Cybernet Hostname],ROW()-1),"")</f>
      </c>
      <c r="F450">
        <f>IFERROR(INDEX(tblDeviceConfig[Neuron Hostname],ROW()-1),"")</f>
      </c>
      <c r="G450">
        <f>IFERROR(INDEX(tblDeviceConfig[Software List],ROW()-1),"")</f>
      </c>
      <c r="H450">
        <f>IFERROR(INDEX(tblDeviceConfig[PI_Use_Case],ROW()-1),"")</f>
      </c>
      <c r="I450">
        <f>IFERROR(INDEX(tblDeviceConfig[PI_Result],ROW()-1),"")</f>
      </c>
      <c r="J450">
        <f>IFERROR(INDEX(tblDeviceConfig[PI_Validated_By],ROW()-1),"")</f>
      </c>
      <c r="K450">
        <f>IFERROR(INDEX(tblDeviceConfig[PI_Validated_Date],ROW()-1),"")</f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</c>
      <c r="C451">
        <f>IFERROR(INDEX(tblDeviceConfig[Deployed],ROW()-1),"")</f>
      </c>
      <c r="D451">
        <f>IFERROR(INDEX(tblDeviceConfig[Installed],ROW()-1),"")</f>
      </c>
      <c r="E451">
        <f>IFERROR(INDEX(tblDeviceConfig[Cybernet Hostname],ROW()-1),"")</f>
      </c>
      <c r="F451">
        <f>IFERROR(INDEX(tblDeviceConfig[Neuron Hostname],ROW()-1),"")</f>
      </c>
      <c r="G451">
        <f>IFERROR(INDEX(tblDeviceConfig[Software List],ROW()-1),"")</f>
      </c>
      <c r="H451">
        <f>IFERROR(INDEX(tblDeviceConfig[PI_Use_Case],ROW()-1),"")</f>
      </c>
      <c r="I451">
        <f>IFERROR(INDEX(tblDeviceConfig[PI_Result],ROW()-1),"")</f>
      </c>
      <c r="J451">
        <f>IFERROR(INDEX(tblDeviceConfig[PI_Validated_By],ROW()-1),"")</f>
      </c>
      <c r="K451">
        <f>IFERROR(INDEX(tblDeviceConfig[PI_Validated_Date],ROW()-1),"")</f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</c>
      <c r="C452">
        <f>IFERROR(INDEX(tblDeviceConfig[Deployed],ROW()-1),"")</f>
      </c>
      <c r="D452">
        <f>IFERROR(INDEX(tblDeviceConfig[Installed],ROW()-1),"")</f>
      </c>
      <c r="E452">
        <f>IFERROR(INDEX(tblDeviceConfig[Cybernet Hostname],ROW()-1),"")</f>
      </c>
      <c r="F452">
        <f>IFERROR(INDEX(tblDeviceConfig[Neuron Hostname],ROW()-1),"")</f>
      </c>
      <c r="G452">
        <f>IFERROR(INDEX(tblDeviceConfig[Software List],ROW()-1),"")</f>
      </c>
      <c r="H452">
        <f>IFERROR(INDEX(tblDeviceConfig[PI_Use_Case],ROW()-1),"")</f>
      </c>
      <c r="I452">
        <f>IFERROR(INDEX(tblDeviceConfig[PI_Result],ROW()-1),"")</f>
      </c>
      <c r="J452">
        <f>IFERROR(INDEX(tblDeviceConfig[PI_Validated_By],ROW()-1),"")</f>
      </c>
      <c r="K452">
        <f>IFERROR(INDEX(tblDeviceConfig[PI_Validated_Date],ROW()-1),"")</f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</c>
      <c r="C453">
        <f>IFERROR(INDEX(tblDeviceConfig[Deployed],ROW()-1),"")</f>
      </c>
      <c r="D453">
        <f>IFERROR(INDEX(tblDeviceConfig[Installed],ROW()-1),"")</f>
      </c>
      <c r="E453">
        <f>IFERROR(INDEX(tblDeviceConfig[Cybernet Hostname],ROW()-1),"")</f>
      </c>
      <c r="F453">
        <f>IFERROR(INDEX(tblDeviceConfig[Neuron Hostname],ROW()-1),"")</f>
      </c>
      <c r="G453">
        <f>IFERROR(INDEX(tblDeviceConfig[Software List],ROW()-1),"")</f>
      </c>
      <c r="H453">
        <f>IFERROR(INDEX(tblDeviceConfig[PI_Use_Case],ROW()-1),"")</f>
      </c>
      <c r="I453">
        <f>IFERROR(INDEX(tblDeviceConfig[PI_Result],ROW()-1),"")</f>
      </c>
      <c r="J453">
        <f>IFERROR(INDEX(tblDeviceConfig[PI_Validated_By],ROW()-1),"")</f>
      </c>
      <c r="K453">
        <f>IFERROR(INDEX(tblDeviceConfig[PI_Validated_Date],ROW()-1),"")</f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</c>
      <c r="C454">
        <f>IFERROR(INDEX(tblDeviceConfig[Deployed],ROW()-1),"")</f>
      </c>
      <c r="D454">
        <f>IFERROR(INDEX(tblDeviceConfig[Installed],ROW()-1),"")</f>
      </c>
      <c r="E454">
        <f>IFERROR(INDEX(tblDeviceConfig[Cybernet Hostname],ROW()-1),"")</f>
      </c>
      <c r="F454">
        <f>IFERROR(INDEX(tblDeviceConfig[Neuron Hostname],ROW()-1),"")</f>
      </c>
      <c r="G454">
        <f>IFERROR(INDEX(tblDeviceConfig[Software List],ROW()-1),"")</f>
      </c>
      <c r="H454">
        <f>IFERROR(INDEX(tblDeviceConfig[PI_Use_Case],ROW()-1),"")</f>
      </c>
      <c r="I454">
        <f>IFERROR(INDEX(tblDeviceConfig[PI_Result],ROW()-1),"")</f>
      </c>
      <c r="J454">
        <f>IFERROR(INDEX(tblDeviceConfig[PI_Validated_By],ROW()-1),"")</f>
      </c>
      <c r="K454">
        <f>IFERROR(INDEX(tblDeviceConfig[PI_Validated_Date],ROW()-1),"")</f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</c>
      <c r="C455">
        <f>IFERROR(INDEX(tblDeviceConfig[Deployed],ROW()-1),"")</f>
      </c>
      <c r="D455">
        <f>IFERROR(INDEX(tblDeviceConfig[Installed],ROW()-1),"")</f>
      </c>
      <c r="E455">
        <f>IFERROR(INDEX(tblDeviceConfig[Cybernet Hostname],ROW()-1),"")</f>
      </c>
      <c r="F455">
        <f>IFERROR(INDEX(tblDeviceConfig[Neuron Hostname],ROW()-1),"")</f>
      </c>
      <c r="G455">
        <f>IFERROR(INDEX(tblDeviceConfig[Software List],ROW()-1),"")</f>
      </c>
      <c r="H455">
        <f>IFERROR(INDEX(tblDeviceConfig[PI_Use_Case],ROW()-1),"")</f>
      </c>
      <c r="I455">
        <f>IFERROR(INDEX(tblDeviceConfig[PI_Result],ROW()-1),"")</f>
      </c>
      <c r="J455">
        <f>IFERROR(INDEX(tblDeviceConfig[PI_Validated_By],ROW()-1),"")</f>
      </c>
      <c r="K455">
        <f>IFERROR(INDEX(tblDeviceConfig[PI_Validated_Date],ROW()-1),"")</f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</c>
      <c r="C456">
        <f>IFERROR(INDEX(tblDeviceConfig[Deployed],ROW()-1),"")</f>
      </c>
      <c r="D456">
        <f>IFERROR(INDEX(tblDeviceConfig[Installed],ROW()-1),"")</f>
      </c>
      <c r="E456">
        <f>IFERROR(INDEX(tblDeviceConfig[Cybernet Hostname],ROW()-1),"")</f>
      </c>
      <c r="F456">
        <f>IFERROR(INDEX(tblDeviceConfig[Neuron Hostname],ROW()-1),"")</f>
      </c>
      <c r="G456">
        <f>IFERROR(INDEX(tblDeviceConfig[Software List],ROW()-1),"")</f>
      </c>
      <c r="H456">
        <f>IFERROR(INDEX(tblDeviceConfig[PI_Use_Case],ROW()-1),"")</f>
      </c>
      <c r="I456">
        <f>IFERROR(INDEX(tblDeviceConfig[PI_Result],ROW()-1),"")</f>
      </c>
      <c r="J456">
        <f>IFERROR(INDEX(tblDeviceConfig[PI_Validated_By],ROW()-1),"")</f>
      </c>
      <c r="K456">
        <f>IFERROR(INDEX(tblDeviceConfig[PI_Validated_Date],ROW()-1),"")</f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</c>
      <c r="C457">
        <f>IFERROR(INDEX(tblDeviceConfig[Deployed],ROW()-1),"")</f>
      </c>
      <c r="D457">
        <f>IFERROR(INDEX(tblDeviceConfig[Installed],ROW()-1),"")</f>
      </c>
      <c r="E457">
        <f>IFERROR(INDEX(tblDeviceConfig[Cybernet Hostname],ROW()-1),"")</f>
      </c>
      <c r="F457">
        <f>IFERROR(INDEX(tblDeviceConfig[Neuron Hostname],ROW()-1),"")</f>
      </c>
      <c r="G457">
        <f>IFERROR(INDEX(tblDeviceConfig[Software List],ROW()-1),"")</f>
      </c>
      <c r="H457">
        <f>IFERROR(INDEX(tblDeviceConfig[PI_Use_Case],ROW()-1),"")</f>
      </c>
      <c r="I457">
        <f>IFERROR(INDEX(tblDeviceConfig[PI_Result],ROW()-1),"")</f>
      </c>
      <c r="J457">
        <f>IFERROR(INDEX(tblDeviceConfig[PI_Validated_By],ROW()-1),"")</f>
      </c>
      <c r="K457">
        <f>IFERROR(INDEX(tblDeviceConfig[PI_Validated_Date],ROW()-1),"")</f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</c>
      <c r="C458">
        <f>IFERROR(INDEX(tblDeviceConfig[Deployed],ROW()-1),"")</f>
      </c>
      <c r="D458">
        <f>IFERROR(INDEX(tblDeviceConfig[Installed],ROW()-1),"")</f>
      </c>
      <c r="E458">
        <f>IFERROR(INDEX(tblDeviceConfig[Cybernet Hostname],ROW()-1),"")</f>
      </c>
      <c r="F458">
        <f>IFERROR(INDEX(tblDeviceConfig[Neuron Hostname],ROW()-1),"")</f>
      </c>
      <c r="G458">
        <f>IFERROR(INDEX(tblDeviceConfig[Software List],ROW()-1),"")</f>
      </c>
      <c r="H458">
        <f>IFERROR(INDEX(tblDeviceConfig[PI_Use_Case],ROW()-1),"")</f>
      </c>
      <c r="I458">
        <f>IFERROR(INDEX(tblDeviceConfig[PI_Result],ROW()-1),"")</f>
      </c>
      <c r="J458">
        <f>IFERROR(INDEX(tblDeviceConfig[PI_Validated_By],ROW()-1),"")</f>
      </c>
      <c r="K458">
        <f>IFERROR(INDEX(tblDeviceConfig[PI_Validated_Date],ROW()-1),"")</f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</c>
      <c r="C459">
        <f>IFERROR(INDEX(tblDeviceConfig[Deployed],ROW()-1),"")</f>
      </c>
      <c r="D459">
        <f>IFERROR(INDEX(tblDeviceConfig[Installed],ROW()-1),"")</f>
      </c>
      <c r="E459">
        <f>IFERROR(INDEX(tblDeviceConfig[Cybernet Hostname],ROW()-1),"")</f>
      </c>
      <c r="F459">
        <f>IFERROR(INDEX(tblDeviceConfig[Neuron Hostname],ROW()-1),"")</f>
      </c>
      <c r="G459">
        <f>IFERROR(INDEX(tblDeviceConfig[Software List],ROW()-1),"")</f>
      </c>
      <c r="H459">
        <f>IFERROR(INDEX(tblDeviceConfig[PI_Use_Case],ROW()-1),"")</f>
      </c>
      <c r="I459">
        <f>IFERROR(INDEX(tblDeviceConfig[PI_Result],ROW()-1),"")</f>
      </c>
      <c r="J459">
        <f>IFERROR(INDEX(tblDeviceConfig[PI_Validated_By],ROW()-1),"")</f>
      </c>
      <c r="K459">
        <f>IFERROR(INDEX(tblDeviceConfig[PI_Validated_Date],ROW()-1),"")</f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</c>
      <c r="C460">
        <f>IFERROR(INDEX(tblDeviceConfig[Deployed],ROW()-1),"")</f>
      </c>
      <c r="D460">
        <f>IFERROR(INDEX(tblDeviceConfig[Installed],ROW()-1),"")</f>
      </c>
      <c r="E460">
        <f>IFERROR(INDEX(tblDeviceConfig[Cybernet Hostname],ROW()-1),"")</f>
      </c>
      <c r="F460">
        <f>IFERROR(INDEX(tblDeviceConfig[Neuron Hostname],ROW()-1),"")</f>
      </c>
      <c r="G460">
        <f>IFERROR(INDEX(tblDeviceConfig[Software List],ROW()-1),"")</f>
      </c>
      <c r="H460">
        <f>IFERROR(INDEX(tblDeviceConfig[PI_Use_Case],ROW()-1),"")</f>
      </c>
      <c r="I460">
        <f>IFERROR(INDEX(tblDeviceConfig[PI_Result],ROW()-1),"")</f>
      </c>
      <c r="J460">
        <f>IFERROR(INDEX(tblDeviceConfig[PI_Validated_By],ROW()-1),"")</f>
      </c>
      <c r="K460">
        <f>IFERROR(INDEX(tblDeviceConfig[PI_Validated_Date],ROW()-1),"")</f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</c>
      <c r="C461">
        <f>IFERROR(INDEX(tblDeviceConfig[Deployed],ROW()-1),"")</f>
      </c>
      <c r="D461">
        <f>IFERROR(INDEX(tblDeviceConfig[Installed],ROW()-1),"")</f>
      </c>
      <c r="E461">
        <f>IFERROR(INDEX(tblDeviceConfig[Cybernet Hostname],ROW()-1),"")</f>
      </c>
      <c r="F461">
        <f>IFERROR(INDEX(tblDeviceConfig[Neuron Hostname],ROW()-1),"")</f>
      </c>
      <c r="G461">
        <f>IFERROR(INDEX(tblDeviceConfig[Software List],ROW()-1),"")</f>
      </c>
      <c r="H461">
        <f>IFERROR(INDEX(tblDeviceConfig[PI_Use_Case],ROW()-1),"")</f>
      </c>
      <c r="I461">
        <f>IFERROR(INDEX(tblDeviceConfig[PI_Result],ROW()-1),"")</f>
      </c>
      <c r="J461">
        <f>IFERROR(INDEX(tblDeviceConfig[PI_Validated_By],ROW()-1),"")</f>
      </c>
      <c r="K461">
        <f>IFERROR(INDEX(tblDeviceConfig[PI_Validated_Date],ROW()-1),"")</f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</c>
      <c r="C462">
        <f>IFERROR(INDEX(tblDeviceConfig[Deployed],ROW()-1),"")</f>
      </c>
      <c r="D462">
        <f>IFERROR(INDEX(tblDeviceConfig[Installed],ROW()-1),"")</f>
      </c>
      <c r="E462">
        <f>IFERROR(INDEX(tblDeviceConfig[Cybernet Hostname],ROW()-1),"")</f>
      </c>
      <c r="F462">
        <f>IFERROR(INDEX(tblDeviceConfig[Neuron Hostname],ROW()-1),"")</f>
      </c>
      <c r="G462">
        <f>IFERROR(INDEX(tblDeviceConfig[Software List],ROW()-1),"")</f>
      </c>
      <c r="H462">
        <f>IFERROR(INDEX(tblDeviceConfig[PI_Use_Case],ROW()-1),"")</f>
      </c>
      <c r="I462">
        <f>IFERROR(INDEX(tblDeviceConfig[PI_Result],ROW()-1),"")</f>
      </c>
      <c r="J462">
        <f>IFERROR(INDEX(tblDeviceConfig[PI_Validated_By],ROW()-1),"")</f>
      </c>
      <c r="K462">
        <f>IFERROR(INDEX(tblDeviceConfig[PI_Validated_Date],ROW()-1),"")</f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</c>
      <c r="C463">
        <f>IFERROR(INDEX(tblDeviceConfig[Deployed],ROW()-1),"")</f>
      </c>
      <c r="D463">
        <f>IFERROR(INDEX(tblDeviceConfig[Installed],ROW()-1),"")</f>
      </c>
      <c r="E463">
        <f>IFERROR(INDEX(tblDeviceConfig[Cybernet Hostname],ROW()-1),"")</f>
      </c>
      <c r="F463">
        <f>IFERROR(INDEX(tblDeviceConfig[Neuron Hostname],ROW()-1),"")</f>
      </c>
      <c r="G463">
        <f>IFERROR(INDEX(tblDeviceConfig[Software List],ROW()-1),"")</f>
      </c>
      <c r="H463">
        <f>IFERROR(INDEX(tblDeviceConfig[PI_Use_Case],ROW()-1),"")</f>
      </c>
      <c r="I463">
        <f>IFERROR(INDEX(tblDeviceConfig[PI_Result],ROW()-1),"")</f>
      </c>
      <c r="J463">
        <f>IFERROR(INDEX(tblDeviceConfig[PI_Validated_By],ROW()-1),"")</f>
      </c>
      <c r="K463">
        <f>IFERROR(INDEX(tblDeviceConfig[PI_Validated_Date],ROW()-1),"")</f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</c>
      <c r="C464">
        <f>IFERROR(INDEX(tblDeviceConfig[Deployed],ROW()-1),"")</f>
      </c>
      <c r="D464">
        <f>IFERROR(INDEX(tblDeviceConfig[Installed],ROW()-1),"")</f>
      </c>
      <c r="E464">
        <f>IFERROR(INDEX(tblDeviceConfig[Cybernet Hostname],ROW()-1),"")</f>
      </c>
      <c r="F464">
        <f>IFERROR(INDEX(tblDeviceConfig[Neuron Hostname],ROW()-1),"")</f>
      </c>
      <c r="G464">
        <f>IFERROR(INDEX(tblDeviceConfig[Software List],ROW()-1),"")</f>
      </c>
      <c r="H464">
        <f>IFERROR(INDEX(tblDeviceConfig[PI_Use_Case],ROW()-1),"")</f>
      </c>
      <c r="I464">
        <f>IFERROR(INDEX(tblDeviceConfig[PI_Result],ROW()-1),"")</f>
      </c>
      <c r="J464">
        <f>IFERROR(INDEX(tblDeviceConfig[PI_Validated_By],ROW()-1),"")</f>
      </c>
      <c r="K464">
        <f>IFERROR(INDEX(tblDeviceConfig[PI_Validated_Date],ROW()-1),"")</f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</c>
      <c r="C465">
        <f>IFERROR(INDEX(tblDeviceConfig[Deployed],ROW()-1),"")</f>
      </c>
      <c r="D465">
        <f>IFERROR(INDEX(tblDeviceConfig[Installed],ROW()-1),"")</f>
      </c>
      <c r="E465">
        <f>IFERROR(INDEX(tblDeviceConfig[Cybernet Hostname],ROW()-1),"")</f>
      </c>
      <c r="F465">
        <f>IFERROR(INDEX(tblDeviceConfig[Neuron Hostname],ROW()-1),"")</f>
      </c>
      <c r="G465">
        <f>IFERROR(INDEX(tblDeviceConfig[Software List],ROW()-1),"")</f>
      </c>
      <c r="H465">
        <f>IFERROR(INDEX(tblDeviceConfig[PI_Use_Case],ROW()-1),"")</f>
      </c>
      <c r="I465">
        <f>IFERROR(INDEX(tblDeviceConfig[PI_Result],ROW()-1),"")</f>
      </c>
      <c r="J465">
        <f>IFERROR(INDEX(tblDeviceConfig[PI_Validated_By],ROW()-1),"")</f>
      </c>
      <c r="K465">
        <f>IFERROR(INDEX(tblDeviceConfig[PI_Validated_Date],ROW()-1),"")</f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</c>
      <c r="C466">
        <f>IFERROR(INDEX(tblDeviceConfig[Deployed],ROW()-1),"")</f>
      </c>
      <c r="D466">
        <f>IFERROR(INDEX(tblDeviceConfig[Installed],ROW()-1),"")</f>
      </c>
      <c r="E466">
        <f>IFERROR(INDEX(tblDeviceConfig[Cybernet Hostname],ROW()-1),"")</f>
      </c>
      <c r="F466">
        <f>IFERROR(INDEX(tblDeviceConfig[Neuron Hostname],ROW()-1),"")</f>
      </c>
      <c r="G466">
        <f>IFERROR(INDEX(tblDeviceConfig[Software List],ROW()-1),"")</f>
      </c>
      <c r="H466">
        <f>IFERROR(INDEX(tblDeviceConfig[PI_Use_Case],ROW()-1),"")</f>
      </c>
      <c r="I466">
        <f>IFERROR(INDEX(tblDeviceConfig[PI_Result],ROW()-1),"")</f>
      </c>
      <c r="J466">
        <f>IFERROR(INDEX(tblDeviceConfig[PI_Validated_By],ROW()-1),"")</f>
      </c>
      <c r="K466">
        <f>IFERROR(INDEX(tblDeviceConfig[PI_Validated_Date],ROW()-1),"")</f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</c>
      <c r="C467">
        <f>IFERROR(INDEX(tblDeviceConfig[Deployed],ROW()-1),"")</f>
      </c>
      <c r="D467">
        <f>IFERROR(INDEX(tblDeviceConfig[Installed],ROW()-1),"")</f>
      </c>
      <c r="E467">
        <f>IFERROR(INDEX(tblDeviceConfig[Cybernet Hostname],ROW()-1),"")</f>
      </c>
      <c r="F467">
        <f>IFERROR(INDEX(tblDeviceConfig[Neuron Hostname],ROW()-1),"")</f>
      </c>
      <c r="G467">
        <f>IFERROR(INDEX(tblDeviceConfig[Software List],ROW()-1),"")</f>
      </c>
      <c r="H467">
        <f>IFERROR(INDEX(tblDeviceConfig[PI_Use_Case],ROW()-1),"")</f>
      </c>
      <c r="I467">
        <f>IFERROR(INDEX(tblDeviceConfig[PI_Result],ROW()-1),"")</f>
      </c>
      <c r="J467">
        <f>IFERROR(INDEX(tblDeviceConfig[PI_Validated_By],ROW()-1),"")</f>
      </c>
      <c r="K467">
        <f>IFERROR(INDEX(tblDeviceConfig[PI_Validated_Date],ROW()-1),"")</f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</c>
      <c r="C468">
        <f>IFERROR(INDEX(tblDeviceConfig[Deployed],ROW()-1),"")</f>
      </c>
      <c r="D468">
        <f>IFERROR(INDEX(tblDeviceConfig[Installed],ROW()-1),"")</f>
      </c>
      <c r="E468">
        <f>IFERROR(INDEX(tblDeviceConfig[Cybernet Hostname],ROW()-1),"")</f>
      </c>
      <c r="F468">
        <f>IFERROR(INDEX(tblDeviceConfig[Neuron Hostname],ROW()-1),"")</f>
      </c>
      <c r="G468">
        <f>IFERROR(INDEX(tblDeviceConfig[Software List],ROW()-1),"")</f>
      </c>
      <c r="H468">
        <f>IFERROR(INDEX(tblDeviceConfig[PI_Use_Case],ROW()-1),"")</f>
      </c>
      <c r="I468">
        <f>IFERROR(INDEX(tblDeviceConfig[PI_Result],ROW()-1),"")</f>
      </c>
      <c r="J468">
        <f>IFERROR(INDEX(tblDeviceConfig[PI_Validated_By],ROW()-1),"")</f>
      </c>
      <c r="K468">
        <f>IFERROR(INDEX(tblDeviceConfig[PI_Validated_Date],ROW()-1),"")</f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</c>
      <c r="C469">
        <f>IFERROR(INDEX(tblDeviceConfig[Deployed],ROW()-1),"")</f>
      </c>
      <c r="D469">
        <f>IFERROR(INDEX(tblDeviceConfig[Installed],ROW()-1),"")</f>
      </c>
      <c r="E469">
        <f>IFERROR(INDEX(tblDeviceConfig[Cybernet Hostname],ROW()-1),"")</f>
      </c>
      <c r="F469">
        <f>IFERROR(INDEX(tblDeviceConfig[Neuron Hostname],ROW()-1),"")</f>
      </c>
      <c r="G469">
        <f>IFERROR(INDEX(tblDeviceConfig[Software List],ROW()-1),"")</f>
      </c>
      <c r="H469">
        <f>IFERROR(INDEX(tblDeviceConfig[PI_Use_Case],ROW()-1),"")</f>
      </c>
      <c r="I469">
        <f>IFERROR(INDEX(tblDeviceConfig[PI_Result],ROW()-1),"")</f>
      </c>
      <c r="J469">
        <f>IFERROR(INDEX(tblDeviceConfig[PI_Validated_By],ROW()-1),"")</f>
      </c>
      <c r="K469">
        <f>IFERROR(INDEX(tblDeviceConfig[PI_Validated_Date],ROW()-1),"")</f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</c>
      <c r="C470">
        <f>IFERROR(INDEX(tblDeviceConfig[Deployed],ROW()-1),"")</f>
      </c>
      <c r="D470">
        <f>IFERROR(INDEX(tblDeviceConfig[Installed],ROW()-1),"")</f>
      </c>
      <c r="E470">
        <f>IFERROR(INDEX(tblDeviceConfig[Cybernet Hostname],ROW()-1),"")</f>
      </c>
      <c r="F470">
        <f>IFERROR(INDEX(tblDeviceConfig[Neuron Hostname],ROW()-1),"")</f>
      </c>
      <c r="G470">
        <f>IFERROR(INDEX(tblDeviceConfig[Software List],ROW()-1),"")</f>
      </c>
      <c r="H470">
        <f>IFERROR(INDEX(tblDeviceConfig[PI_Use_Case],ROW()-1),"")</f>
      </c>
      <c r="I470">
        <f>IFERROR(INDEX(tblDeviceConfig[PI_Result],ROW()-1),"")</f>
      </c>
      <c r="J470">
        <f>IFERROR(INDEX(tblDeviceConfig[PI_Validated_By],ROW()-1),"")</f>
      </c>
      <c r="K470">
        <f>IFERROR(INDEX(tblDeviceConfig[PI_Validated_Date],ROW()-1),"")</f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</c>
      <c r="C471">
        <f>IFERROR(INDEX(tblDeviceConfig[Deployed],ROW()-1),"")</f>
      </c>
      <c r="D471">
        <f>IFERROR(INDEX(tblDeviceConfig[Installed],ROW()-1),"")</f>
      </c>
      <c r="E471">
        <f>IFERROR(INDEX(tblDeviceConfig[Cybernet Hostname],ROW()-1),"")</f>
      </c>
      <c r="F471">
        <f>IFERROR(INDEX(tblDeviceConfig[Neuron Hostname],ROW()-1),"")</f>
      </c>
      <c r="G471">
        <f>IFERROR(INDEX(tblDeviceConfig[Software List],ROW()-1),"")</f>
      </c>
      <c r="H471">
        <f>IFERROR(INDEX(tblDeviceConfig[PI_Use_Case],ROW()-1),"")</f>
      </c>
      <c r="I471">
        <f>IFERROR(INDEX(tblDeviceConfig[PI_Result],ROW()-1),"")</f>
      </c>
      <c r="J471">
        <f>IFERROR(INDEX(tblDeviceConfig[PI_Validated_By],ROW()-1),"")</f>
      </c>
      <c r="K471">
        <f>IFERROR(INDEX(tblDeviceConfig[PI_Validated_Date],ROW()-1),"")</f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</c>
      <c r="C472">
        <f>IFERROR(INDEX(tblDeviceConfig[Deployed],ROW()-1),"")</f>
      </c>
      <c r="D472">
        <f>IFERROR(INDEX(tblDeviceConfig[Installed],ROW()-1),"")</f>
      </c>
      <c r="E472">
        <f>IFERROR(INDEX(tblDeviceConfig[Cybernet Hostname],ROW()-1),"")</f>
      </c>
      <c r="F472">
        <f>IFERROR(INDEX(tblDeviceConfig[Neuron Hostname],ROW()-1),"")</f>
      </c>
      <c r="G472">
        <f>IFERROR(INDEX(tblDeviceConfig[Software List],ROW()-1),"")</f>
      </c>
      <c r="H472">
        <f>IFERROR(INDEX(tblDeviceConfig[PI_Use_Case],ROW()-1),"")</f>
      </c>
      <c r="I472">
        <f>IFERROR(INDEX(tblDeviceConfig[PI_Result],ROW()-1),"")</f>
      </c>
      <c r="J472">
        <f>IFERROR(INDEX(tblDeviceConfig[PI_Validated_By],ROW()-1),"")</f>
      </c>
      <c r="K472">
        <f>IFERROR(INDEX(tblDeviceConfig[PI_Validated_Date],ROW()-1),"")</f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</c>
      <c r="C473">
        <f>IFERROR(INDEX(tblDeviceConfig[Deployed],ROW()-1),"")</f>
      </c>
      <c r="D473">
        <f>IFERROR(INDEX(tblDeviceConfig[Installed],ROW()-1),"")</f>
      </c>
      <c r="E473">
        <f>IFERROR(INDEX(tblDeviceConfig[Cybernet Hostname],ROW()-1),"")</f>
      </c>
      <c r="F473">
        <f>IFERROR(INDEX(tblDeviceConfig[Neuron Hostname],ROW()-1),"")</f>
      </c>
      <c r="G473">
        <f>IFERROR(INDEX(tblDeviceConfig[Software List],ROW()-1),"")</f>
      </c>
      <c r="H473">
        <f>IFERROR(INDEX(tblDeviceConfig[PI_Use_Case],ROW()-1),"")</f>
      </c>
      <c r="I473">
        <f>IFERROR(INDEX(tblDeviceConfig[PI_Result],ROW()-1),"")</f>
      </c>
      <c r="J473">
        <f>IFERROR(INDEX(tblDeviceConfig[PI_Validated_By],ROW()-1),"")</f>
      </c>
      <c r="K473">
        <f>IFERROR(INDEX(tblDeviceConfig[PI_Validated_Date],ROW()-1),"")</f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</c>
      <c r="C474">
        <f>IFERROR(INDEX(tblDeviceConfig[Deployed],ROW()-1),"")</f>
      </c>
      <c r="D474">
        <f>IFERROR(INDEX(tblDeviceConfig[Installed],ROW()-1),"")</f>
      </c>
      <c r="E474">
        <f>IFERROR(INDEX(tblDeviceConfig[Cybernet Hostname],ROW()-1),"")</f>
      </c>
      <c r="F474">
        <f>IFERROR(INDEX(tblDeviceConfig[Neuron Hostname],ROW()-1),"")</f>
      </c>
      <c r="G474">
        <f>IFERROR(INDEX(tblDeviceConfig[Software List],ROW()-1),"")</f>
      </c>
      <c r="H474">
        <f>IFERROR(INDEX(tblDeviceConfig[PI_Use_Case],ROW()-1),"")</f>
      </c>
      <c r="I474">
        <f>IFERROR(INDEX(tblDeviceConfig[PI_Result],ROW()-1),"")</f>
      </c>
      <c r="J474">
        <f>IFERROR(INDEX(tblDeviceConfig[PI_Validated_By],ROW()-1),"")</f>
      </c>
      <c r="K474">
        <f>IFERROR(INDEX(tblDeviceConfig[PI_Validated_Date],ROW()-1),"")</f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</c>
      <c r="C475">
        <f>IFERROR(INDEX(tblDeviceConfig[Deployed],ROW()-1),"")</f>
      </c>
      <c r="D475">
        <f>IFERROR(INDEX(tblDeviceConfig[Installed],ROW()-1),"")</f>
      </c>
      <c r="E475">
        <f>IFERROR(INDEX(tblDeviceConfig[Cybernet Hostname],ROW()-1),"")</f>
      </c>
      <c r="F475">
        <f>IFERROR(INDEX(tblDeviceConfig[Neuron Hostname],ROW()-1),"")</f>
      </c>
      <c r="G475">
        <f>IFERROR(INDEX(tblDeviceConfig[Software List],ROW()-1),"")</f>
      </c>
      <c r="H475">
        <f>IFERROR(INDEX(tblDeviceConfig[PI_Use_Case],ROW()-1),"")</f>
      </c>
      <c r="I475">
        <f>IFERROR(INDEX(tblDeviceConfig[PI_Result],ROW()-1),"")</f>
      </c>
      <c r="J475">
        <f>IFERROR(INDEX(tblDeviceConfig[PI_Validated_By],ROW()-1),"")</f>
      </c>
      <c r="K475">
        <f>IFERROR(INDEX(tblDeviceConfig[PI_Validated_Date],ROW()-1),"")</f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</c>
      <c r="C476">
        <f>IFERROR(INDEX(tblDeviceConfig[Deployed],ROW()-1),"")</f>
      </c>
      <c r="D476">
        <f>IFERROR(INDEX(tblDeviceConfig[Installed],ROW()-1),"")</f>
      </c>
      <c r="E476">
        <f>IFERROR(INDEX(tblDeviceConfig[Cybernet Hostname],ROW()-1),"")</f>
      </c>
      <c r="F476">
        <f>IFERROR(INDEX(tblDeviceConfig[Neuron Hostname],ROW()-1),"")</f>
      </c>
      <c r="G476">
        <f>IFERROR(INDEX(tblDeviceConfig[Software List],ROW()-1),"")</f>
      </c>
      <c r="H476">
        <f>IFERROR(INDEX(tblDeviceConfig[PI_Use_Case],ROW()-1),"")</f>
      </c>
      <c r="I476">
        <f>IFERROR(INDEX(tblDeviceConfig[PI_Result],ROW()-1),"")</f>
      </c>
      <c r="J476">
        <f>IFERROR(INDEX(tblDeviceConfig[PI_Validated_By],ROW()-1),"")</f>
      </c>
      <c r="K476">
        <f>IFERROR(INDEX(tblDeviceConfig[PI_Validated_Date],ROW()-1),"")</f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</c>
      <c r="C477">
        <f>IFERROR(INDEX(tblDeviceConfig[Deployed],ROW()-1),"")</f>
      </c>
      <c r="D477">
        <f>IFERROR(INDEX(tblDeviceConfig[Installed],ROW()-1),"")</f>
      </c>
      <c r="E477">
        <f>IFERROR(INDEX(tblDeviceConfig[Cybernet Hostname],ROW()-1),"")</f>
      </c>
      <c r="F477">
        <f>IFERROR(INDEX(tblDeviceConfig[Neuron Hostname],ROW()-1),"")</f>
      </c>
      <c r="G477">
        <f>IFERROR(INDEX(tblDeviceConfig[Software List],ROW()-1),"")</f>
      </c>
      <c r="H477">
        <f>IFERROR(INDEX(tblDeviceConfig[PI_Use_Case],ROW()-1),"")</f>
      </c>
      <c r="I477">
        <f>IFERROR(INDEX(tblDeviceConfig[PI_Result],ROW()-1),"")</f>
      </c>
      <c r="J477">
        <f>IFERROR(INDEX(tblDeviceConfig[PI_Validated_By],ROW()-1),"")</f>
      </c>
      <c r="K477">
        <f>IFERROR(INDEX(tblDeviceConfig[PI_Validated_Date],ROW()-1),"")</f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</c>
      <c r="C478">
        <f>IFERROR(INDEX(tblDeviceConfig[Deployed],ROW()-1),"")</f>
      </c>
      <c r="D478">
        <f>IFERROR(INDEX(tblDeviceConfig[Installed],ROW()-1),"")</f>
      </c>
      <c r="E478">
        <f>IFERROR(INDEX(tblDeviceConfig[Cybernet Hostname],ROW()-1),"")</f>
      </c>
      <c r="F478">
        <f>IFERROR(INDEX(tblDeviceConfig[Neuron Hostname],ROW()-1),"")</f>
      </c>
      <c r="G478">
        <f>IFERROR(INDEX(tblDeviceConfig[Software List],ROW()-1),"")</f>
      </c>
      <c r="H478">
        <f>IFERROR(INDEX(tblDeviceConfig[PI_Use_Case],ROW()-1),"")</f>
      </c>
      <c r="I478">
        <f>IFERROR(INDEX(tblDeviceConfig[PI_Result],ROW()-1),"")</f>
      </c>
      <c r="J478">
        <f>IFERROR(INDEX(tblDeviceConfig[PI_Validated_By],ROW()-1),"")</f>
      </c>
      <c r="K478">
        <f>IFERROR(INDEX(tblDeviceConfig[PI_Validated_Date],ROW()-1),"")</f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</c>
      <c r="C479">
        <f>IFERROR(INDEX(tblDeviceConfig[Deployed],ROW()-1),"")</f>
      </c>
      <c r="D479">
        <f>IFERROR(INDEX(tblDeviceConfig[Installed],ROW()-1),"")</f>
      </c>
      <c r="E479">
        <f>IFERROR(INDEX(tblDeviceConfig[Cybernet Hostname],ROW()-1),"")</f>
      </c>
      <c r="F479">
        <f>IFERROR(INDEX(tblDeviceConfig[Neuron Hostname],ROW()-1),"")</f>
      </c>
      <c r="G479">
        <f>IFERROR(INDEX(tblDeviceConfig[Software List],ROW()-1),"")</f>
      </c>
      <c r="H479">
        <f>IFERROR(INDEX(tblDeviceConfig[PI_Use_Case],ROW()-1),"")</f>
      </c>
      <c r="I479">
        <f>IFERROR(INDEX(tblDeviceConfig[PI_Result],ROW()-1),"")</f>
      </c>
      <c r="J479">
        <f>IFERROR(INDEX(tblDeviceConfig[PI_Validated_By],ROW()-1),"")</f>
      </c>
      <c r="K479">
        <f>IFERROR(INDEX(tblDeviceConfig[PI_Validated_Date],ROW()-1),"")</f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</c>
      <c r="C480">
        <f>IFERROR(INDEX(tblDeviceConfig[Deployed],ROW()-1),"")</f>
      </c>
      <c r="D480">
        <f>IFERROR(INDEX(tblDeviceConfig[Installed],ROW()-1),"")</f>
      </c>
      <c r="E480">
        <f>IFERROR(INDEX(tblDeviceConfig[Cybernet Hostname],ROW()-1),"")</f>
      </c>
      <c r="F480">
        <f>IFERROR(INDEX(tblDeviceConfig[Neuron Hostname],ROW()-1),"")</f>
      </c>
      <c r="G480">
        <f>IFERROR(INDEX(tblDeviceConfig[Software List],ROW()-1),"")</f>
      </c>
      <c r="H480">
        <f>IFERROR(INDEX(tblDeviceConfig[PI_Use_Case],ROW()-1),"")</f>
      </c>
      <c r="I480">
        <f>IFERROR(INDEX(tblDeviceConfig[PI_Result],ROW()-1),"")</f>
      </c>
      <c r="J480">
        <f>IFERROR(INDEX(tblDeviceConfig[PI_Validated_By],ROW()-1),"")</f>
      </c>
      <c r="K480">
        <f>IFERROR(INDEX(tblDeviceConfig[PI_Validated_Date],ROW()-1),"")</f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</c>
      <c r="C481">
        <f>IFERROR(INDEX(tblDeviceConfig[Deployed],ROW()-1),"")</f>
      </c>
      <c r="D481">
        <f>IFERROR(INDEX(tblDeviceConfig[Installed],ROW()-1),"")</f>
      </c>
      <c r="E481">
        <f>IFERROR(INDEX(tblDeviceConfig[Cybernet Hostname],ROW()-1),"")</f>
      </c>
      <c r="F481">
        <f>IFERROR(INDEX(tblDeviceConfig[Neuron Hostname],ROW()-1),"")</f>
      </c>
      <c r="G481">
        <f>IFERROR(INDEX(tblDeviceConfig[Software List],ROW()-1),"")</f>
      </c>
      <c r="H481">
        <f>IFERROR(INDEX(tblDeviceConfig[PI_Use_Case],ROW()-1),"")</f>
      </c>
      <c r="I481">
        <f>IFERROR(INDEX(tblDeviceConfig[PI_Result],ROW()-1),"")</f>
      </c>
      <c r="J481">
        <f>IFERROR(INDEX(tblDeviceConfig[PI_Validated_By],ROW()-1),"")</f>
      </c>
      <c r="K481">
        <f>IFERROR(INDEX(tblDeviceConfig[PI_Validated_Date],ROW()-1),"")</f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</c>
      <c r="C482">
        <f>IFERROR(INDEX(tblDeviceConfig[Deployed],ROW()-1),"")</f>
      </c>
      <c r="D482">
        <f>IFERROR(INDEX(tblDeviceConfig[Installed],ROW()-1),"")</f>
      </c>
      <c r="E482">
        <f>IFERROR(INDEX(tblDeviceConfig[Cybernet Hostname],ROW()-1),"")</f>
      </c>
      <c r="F482">
        <f>IFERROR(INDEX(tblDeviceConfig[Neuron Hostname],ROW()-1),"")</f>
      </c>
      <c r="G482">
        <f>IFERROR(INDEX(tblDeviceConfig[Software List],ROW()-1),"")</f>
      </c>
      <c r="H482">
        <f>IFERROR(INDEX(tblDeviceConfig[PI_Use_Case],ROW()-1),"")</f>
      </c>
      <c r="I482">
        <f>IFERROR(INDEX(tblDeviceConfig[PI_Result],ROW()-1),"")</f>
      </c>
      <c r="J482">
        <f>IFERROR(INDEX(tblDeviceConfig[PI_Validated_By],ROW()-1),"")</f>
      </c>
      <c r="K482">
        <f>IFERROR(INDEX(tblDeviceConfig[PI_Validated_Date],ROW()-1),"")</f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</c>
      <c r="C483">
        <f>IFERROR(INDEX(tblDeviceConfig[Deployed],ROW()-1),"")</f>
      </c>
      <c r="D483">
        <f>IFERROR(INDEX(tblDeviceConfig[Installed],ROW()-1),"")</f>
      </c>
      <c r="E483">
        <f>IFERROR(INDEX(tblDeviceConfig[Cybernet Hostname],ROW()-1),"")</f>
      </c>
      <c r="F483">
        <f>IFERROR(INDEX(tblDeviceConfig[Neuron Hostname],ROW()-1),"")</f>
      </c>
      <c r="G483">
        <f>IFERROR(INDEX(tblDeviceConfig[Software List],ROW()-1),"")</f>
      </c>
      <c r="H483">
        <f>IFERROR(INDEX(tblDeviceConfig[PI_Use_Case],ROW()-1),"")</f>
      </c>
      <c r="I483">
        <f>IFERROR(INDEX(tblDeviceConfig[PI_Result],ROW()-1),"")</f>
      </c>
      <c r="J483">
        <f>IFERROR(INDEX(tblDeviceConfig[PI_Validated_By],ROW()-1),"")</f>
      </c>
      <c r="K483">
        <f>IFERROR(INDEX(tblDeviceConfig[PI_Validated_Date],ROW()-1),"")</f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</c>
      <c r="C484">
        <f>IFERROR(INDEX(tblDeviceConfig[Deployed],ROW()-1),"")</f>
      </c>
      <c r="D484">
        <f>IFERROR(INDEX(tblDeviceConfig[Installed],ROW()-1),"")</f>
      </c>
      <c r="E484">
        <f>IFERROR(INDEX(tblDeviceConfig[Cybernet Hostname],ROW()-1),"")</f>
      </c>
      <c r="F484">
        <f>IFERROR(INDEX(tblDeviceConfig[Neuron Hostname],ROW()-1),"")</f>
      </c>
      <c r="G484">
        <f>IFERROR(INDEX(tblDeviceConfig[Software List],ROW()-1),"")</f>
      </c>
      <c r="H484">
        <f>IFERROR(INDEX(tblDeviceConfig[PI_Use_Case],ROW()-1),"")</f>
      </c>
      <c r="I484">
        <f>IFERROR(INDEX(tblDeviceConfig[PI_Result],ROW()-1),"")</f>
      </c>
      <c r="J484">
        <f>IFERROR(INDEX(tblDeviceConfig[PI_Validated_By],ROW()-1),"")</f>
      </c>
      <c r="K484">
        <f>IFERROR(INDEX(tblDeviceConfig[PI_Validated_Date],ROW()-1),"")</f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</c>
      <c r="C485">
        <f>IFERROR(INDEX(tblDeviceConfig[Deployed],ROW()-1),"")</f>
      </c>
      <c r="D485">
        <f>IFERROR(INDEX(tblDeviceConfig[Installed],ROW()-1),"")</f>
      </c>
      <c r="E485">
        <f>IFERROR(INDEX(tblDeviceConfig[Cybernet Hostname],ROW()-1),"")</f>
      </c>
      <c r="F485">
        <f>IFERROR(INDEX(tblDeviceConfig[Neuron Hostname],ROW()-1),"")</f>
      </c>
      <c r="G485">
        <f>IFERROR(INDEX(tblDeviceConfig[Software List],ROW()-1),"")</f>
      </c>
      <c r="H485">
        <f>IFERROR(INDEX(tblDeviceConfig[PI_Use_Case],ROW()-1),"")</f>
      </c>
      <c r="I485">
        <f>IFERROR(INDEX(tblDeviceConfig[PI_Result],ROW()-1),"")</f>
      </c>
      <c r="J485">
        <f>IFERROR(INDEX(tblDeviceConfig[PI_Validated_By],ROW()-1),"")</f>
      </c>
      <c r="K485">
        <f>IFERROR(INDEX(tblDeviceConfig[PI_Validated_Date],ROW()-1),"")</f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</c>
      <c r="C486">
        <f>IFERROR(INDEX(tblDeviceConfig[Deployed],ROW()-1),"")</f>
      </c>
      <c r="D486">
        <f>IFERROR(INDEX(tblDeviceConfig[Installed],ROW()-1),"")</f>
      </c>
      <c r="E486">
        <f>IFERROR(INDEX(tblDeviceConfig[Cybernet Hostname],ROW()-1),"")</f>
      </c>
      <c r="F486">
        <f>IFERROR(INDEX(tblDeviceConfig[Neuron Hostname],ROW()-1),"")</f>
      </c>
      <c r="G486">
        <f>IFERROR(INDEX(tblDeviceConfig[Software List],ROW()-1),"")</f>
      </c>
      <c r="H486">
        <f>IFERROR(INDEX(tblDeviceConfig[PI_Use_Case],ROW()-1),"")</f>
      </c>
      <c r="I486">
        <f>IFERROR(INDEX(tblDeviceConfig[PI_Result],ROW()-1),"")</f>
      </c>
      <c r="J486">
        <f>IFERROR(INDEX(tblDeviceConfig[PI_Validated_By],ROW()-1),"")</f>
      </c>
      <c r="K486">
        <f>IFERROR(INDEX(tblDeviceConfig[PI_Validated_Date],ROW()-1),"")</f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</c>
      <c r="C487">
        <f>IFERROR(INDEX(tblDeviceConfig[Deployed],ROW()-1),"")</f>
      </c>
      <c r="D487">
        <f>IFERROR(INDEX(tblDeviceConfig[Installed],ROW()-1),"")</f>
      </c>
      <c r="E487">
        <f>IFERROR(INDEX(tblDeviceConfig[Cybernet Hostname],ROW()-1),"")</f>
      </c>
      <c r="F487">
        <f>IFERROR(INDEX(tblDeviceConfig[Neuron Hostname],ROW()-1),"")</f>
      </c>
      <c r="G487">
        <f>IFERROR(INDEX(tblDeviceConfig[Software List],ROW()-1),"")</f>
      </c>
      <c r="H487">
        <f>IFERROR(INDEX(tblDeviceConfig[PI_Use_Case],ROW()-1),"")</f>
      </c>
      <c r="I487">
        <f>IFERROR(INDEX(tblDeviceConfig[PI_Result],ROW()-1),"")</f>
      </c>
      <c r="J487">
        <f>IFERROR(INDEX(tblDeviceConfig[PI_Validated_By],ROW()-1),"")</f>
      </c>
      <c r="K487">
        <f>IFERROR(INDEX(tblDeviceConfig[PI_Validated_Date],ROW()-1),"")</f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</c>
      <c r="C488">
        <f>IFERROR(INDEX(tblDeviceConfig[Deployed],ROW()-1),"")</f>
      </c>
      <c r="D488">
        <f>IFERROR(INDEX(tblDeviceConfig[Installed],ROW()-1),"")</f>
      </c>
      <c r="E488">
        <f>IFERROR(INDEX(tblDeviceConfig[Cybernet Hostname],ROW()-1),"")</f>
      </c>
      <c r="F488">
        <f>IFERROR(INDEX(tblDeviceConfig[Neuron Hostname],ROW()-1),"")</f>
      </c>
      <c r="G488">
        <f>IFERROR(INDEX(tblDeviceConfig[Software List],ROW()-1),"")</f>
      </c>
      <c r="H488">
        <f>IFERROR(INDEX(tblDeviceConfig[PI_Use_Case],ROW()-1),"")</f>
      </c>
      <c r="I488">
        <f>IFERROR(INDEX(tblDeviceConfig[PI_Result],ROW()-1),"")</f>
      </c>
      <c r="J488">
        <f>IFERROR(INDEX(tblDeviceConfig[PI_Validated_By],ROW()-1),"")</f>
      </c>
      <c r="K488">
        <f>IFERROR(INDEX(tblDeviceConfig[PI_Validated_Date],ROW()-1),"")</f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</c>
      <c r="C489">
        <f>IFERROR(INDEX(tblDeviceConfig[Deployed],ROW()-1),"")</f>
      </c>
      <c r="D489">
        <f>IFERROR(INDEX(tblDeviceConfig[Installed],ROW()-1),"")</f>
      </c>
      <c r="E489">
        <f>IFERROR(INDEX(tblDeviceConfig[Cybernet Hostname],ROW()-1),"")</f>
      </c>
      <c r="F489">
        <f>IFERROR(INDEX(tblDeviceConfig[Neuron Hostname],ROW()-1),"")</f>
      </c>
      <c r="G489">
        <f>IFERROR(INDEX(tblDeviceConfig[Software List],ROW()-1),"")</f>
      </c>
      <c r="H489">
        <f>IFERROR(INDEX(tblDeviceConfig[PI_Use_Case],ROW()-1),"")</f>
      </c>
      <c r="I489">
        <f>IFERROR(INDEX(tblDeviceConfig[PI_Result],ROW()-1),"")</f>
      </c>
      <c r="J489">
        <f>IFERROR(INDEX(tblDeviceConfig[PI_Validated_By],ROW()-1),"")</f>
      </c>
      <c r="K489">
        <f>IFERROR(INDEX(tblDeviceConfig[PI_Validated_Date],ROW()-1),"")</f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</c>
      <c r="C490">
        <f>IFERROR(INDEX(tblDeviceConfig[Deployed],ROW()-1),"")</f>
      </c>
      <c r="D490">
        <f>IFERROR(INDEX(tblDeviceConfig[Installed],ROW()-1),"")</f>
      </c>
      <c r="E490">
        <f>IFERROR(INDEX(tblDeviceConfig[Cybernet Hostname],ROW()-1),"")</f>
      </c>
      <c r="F490">
        <f>IFERROR(INDEX(tblDeviceConfig[Neuron Hostname],ROW()-1),"")</f>
      </c>
      <c r="G490">
        <f>IFERROR(INDEX(tblDeviceConfig[Software List],ROW()-1),"")</f>
      </c>
      <c r="H490">
        <f>IFERROR(INDEX(tblDeviceConfig[PI_Use_Case],ROW()-1),"")</f>
      </c>
      <c r="I490">
        <f>IFERROR(INDEX(tblDeviceConfig[PI_Result],ROW()-1),"")</f>
      </c>
      <c r="J490">
        <f>IFERROR(INDEX(tblDeviceConfig[PI_Validated_By],ROW()-1),"")</f>
      </c>
      <c r="K490">
        <f>IFERROR(INDEX(tblDeviceConfig[PI_Validated_Date],ROW()-1),"")</f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</c>
      <c r="C491">
        <f>IFERROR(INDEX(tblDeviceConfig[Deployed],ROW()-1),"")</f>
      </c>
      <c r="D491">
        <f>IFERROR(INDEX(tblDeviceConfig[Installed],ROW()-1),"")</f>
      </c>
      <c r="E491">
        <f>IFERROR(INDEX(tblDeviceConfig[Cybernet Hostname],ROW()-1),"")</f>
      </c>
      <c r="F491">
        <f>IFERROR(INDEX(tblDeviceConfig[Neuron Hostname],ROW()-1),"")</f>
      </c>
      <c r="G491">
        <f>IFERROR(INDEX(tblDeviceConfig[Software List],ROW()-1),"")</f>
      </c>
      <c r="H491">
        <f>IFERROR(INDEX(tblDeviceConfig[PI_Use_Case],ROW()-1),"")</f>
      </c>
      <c r="I491">
        <f>IFERROR(INDEX(tblDeviceConfig[PI_Result],ROW()-1),"")</f>
      </c>
      <c r="J491">
        <f>IFERROR(INDEX(tblDeviceConfig[PI_Validated_By],ROW()-1),"")</f>
      </c>
      <c r="K491">
        <f>IFERROR(INDEX(tblDeviceConfig[PI_Validated_Date],ROW()-1),"")</f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</c>
      <c r="C492">
        <f>IFERROR(INDEX(tblDeviceConfig[Deployed],ROW()-1),"")</f>
      </c>
      <c r="D492">
        <f>IFERROR(INDEX(tblDeviceConfig[Installed],ROW()-1),"")</f>
      </c>
      <c r="E492">
        <f>IFERROR(INDEX(tblDeviceConfig[Cybernet Hostname],ROW()-1),"")</f>
      </c>
      <c r="F492">
        <f>IFERROR(INDEX(tblDeviceConfig[Neuron Hostname],ROW()-1),"")</f>
      </c>
      <c r="G492">
        <f>IFERROR(INDEX(tblDeviceConfig[Software List],ROW()-1),"")</f>
      </c>
      <c r="H492">
        <f>IFERROR(INDEX(tblDeviceConfig[PI_Use_Case],ROW()-1),"")</f>
      </c>
      <c r="I492">
        <f>IFERROR(INDEX(tblDeviceConfig[PI_Result],ROW()-1),"")</f>
      </c>
      <c r="J492">
        <f>IFERROR(INDEX(tblDeviceConfig[PI_Validated_By],ROW()-1),"")</f>
      </c>
      <c r="K492">
        <f>IFERROR(INDEX(tblDeviceConfig[PI_Validated_Date],ROW()-1),"")</f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</c>
      <c r="C493">
        <f>IFERROR(INDEX(tblDeviceConfig[Deployed],ROW()-1),"")</f>
      </c>
      <c r="D493">
        <f>IFERROR(INDEX(tblDeviceConfig[Installed],ROW()-1),"")</f>
      </c>
      <c r="E493">
        <f>IFERROR(INDEX(tblDeviceConfig[Cybernet Hostname],ROW()-1),"")</f>
      </c>
      <c r="F493">
        <f>IFERROR(INDEX(tblDeviceConfig[Neuron Hostname],ROW()-1),"")</f>
      </c>
      <c r="G493">
        <f>IFERROR(INDEX(tblDeviceConfig[Software List],ROW()-1),"")</f>
      </c>
      <c r="H493">
        <f>IFERROR(INDEX(tblDeviceConfig[PI_Use_Case],ROW()-1),"")</f>
      </c>
      <c r="I493">
        <f>IFERROR(INDEX(tblDeviceConfig[PI_Result],ROW()-1),"")</f>
      </c>
      <c r="J493">
        <f>IFERROR(INDEX(tblDeviceConfig[PI_Validated_By],ROW()-1),"")</f>
      </c>
      <c r="K493">
        <f>IFERROR(INDEX(tblDeviceConfig[PI_Validated_Date],ROW()-1),"")</f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</c>
      <c r="C494">
        <f>IFERROR(INDEX(tblDeviceConfig[Deployed],ROW()-1),"")</f>
      </c>
      <c r="D494">
        <f>IFERROR(INDEX(tblDeviceConfig[Installed],ROW()-1),"")</f>
      </c>
      <c r="E494">
        <f>IFERROR(INDEX(tblDeviceConfig[Cybernet Hostname],ROW()-1),"")</f>
      </c>
      <c r="F494">
        <f>IFERROR(INDEX(tblDeviceConfig[Neuron Hostname],ROW()-1),"")</f>
      </c>
      <c r="G494">
        <f>IFERROR(INDEX(tblDeviceConfig[Software List],ROW()-1),"")</f>
      </c>
      <c r="H494">
        <f>IFERROR(INDEX(tblDeviceConfig[PI_Use_Case],ROW()-1),"")</f>
      </c>
      <c r="I494">
        <f>IFERROR(INDEX(tblDeviceConfig[PI_Result],ROW()-1),"")</f>
      </c>
      <c r="J494">
        <f>IFERROR(INDEX(tblDeviceConfig[PI_Validated_By],ROW()-1),"")</f>
      </c>
      <c r="K494">
        <f>IFERROR(INDEX(tblDeviceConfig[PI_Validated_Date],ROW()-1),"")</f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</c>
      <c r="C495">
        <f>IFERROR(INDEX(tblDeviceConfig[Deployed],ROW()-1),"")</f>
      </c>
      <c r="D495">
        <f>IFERROR(INDEX(tblDeviceConfig[Installed],ROW()-1),"")</f>
      </c>
      <c r="E495">
        <f>IFERROR(INDEX(tblDeviceConfig[Cybernet Hostname],ROW()-1),"")</f>
      </c>
      <c r="F495">
        <f>IFERROR(INDEX(tblDeviceConfig[Neuron Hostname],ROW()-1),"")</f>
      </c>
      <c r="G495">
        <f>IFERROR(INDEX(tblDeviceConfig[Software List],ROW()-1),"")</f>
      </c>
      <c r="H495">
        <f>IFERROR(INDEX(tblDeviceConfig[PI_Use_Case],ROW()-1),"")</f>
      </c>
      <c r="I495">
        <f>IFERROR(INDEX(tblDeviceConfig[PI_Result],ROW()-1),"")</f>
      </c>
      <c r="J495">
        <f>IFERROR(INDEX(tblDeviceConfig[PI_Validated_By],ROW()-1),"")</f>
      </c>
      <c r="K495">
        <f>IFERROR(INDEX(tblDeviceConfig[PI_Validated_Date],ROW()-1),"")</f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</c>
      <c r="C496">
        <f>IFERROR(INDEX(tblDeviceConfig[Deployed],ROW()-1),"")</f>
      </c>
      <c r="D496">
        <f>IFERROR(INDEX(tblDeviceConfig[Installed],ROW()-1),"")</f>
      </c>
      <c r="E496">
        <f>IFERROR(INDEX(tblDeviceConfig[Cybernet Hostname],ROW()-1),"")</f>
      </c>
      <c r="F496">
        <f>IFERROR(INDEX(tblDeviceConfig[Neuron Hostname],ROW()-1),"")</f>
      </c>
      <c r="G496">
        <f>IFERROR(INDEX(tblDeviceConfig[Software List],ROW()-1),"")</f>
      </c>
      <c r="H496">
        <f>IFERROR(INDEX(tblDeviceConfig[PI_Use_Case],ROW()-1),"")</f>
      </c>
      <c r="I496">
        <f>IFERROR(INDEX(tblDeviceConfig[PI_Result],ROW()-1),"")</f>
      </c>
      <c r="J496">
        <f>IFERROR(INDEX(tblDeviceConfig[PI_Validated_By],ROW()-1),"")</f>
      </c>
      <c r="K496">
        <f>IFERROR(INDEX(tblDeviceConfig[PI_Validated_Date],ROW()-1),"")</f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</c>
      <c r="C497">
        <f>IFERROR(INDEX(tblDeviceConfig[Deployed],ROW()-1),"")</f>
      </c>
      <c r="D497">
        <f>IFERROR(INDEX(tblDeviceConfig[Installed],ROW()-1),"")</f>
      </c>
      <c r="E497">
        <f>IFERROR(INDEX(tblDeviceConfig[Cybernet Hostname],ROW()-1),"")</f>
      </c>
      <c r="F497">
        <f>IFERROR(INDEX(tblDeviceConfig[Neuron Hostname],ROW()-1),"")</f>
      </c>
      <c r="G497">
        <f>IFERROR(INDEX(tblDeviceConfig[Software List],ROW()-1),"")</f>
      </c>
      <c r="H497">
        <f>IFERROR(INDEX(tblDeviceConfig[PI_Use_Case],ROW()-1),"")</f>
      </c>
      <c r="I497">
        <f>IFERROR(INDEX(tblDeviceConfig[PI_Result],ROW()-1),"")</f>
      </c>
      <c r="J497">
        <f>IFERROR(INDEX(tblDeviceConfig[PI_Validated_By],ROW()-1),"")</f>
      </c>
      <c r="K497">
        <f>IFERROR(INDEX(tblDeviceConfig[PI_Validated_Date],ROW()-1),"")</f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</c>
      <c r="C498">
        <f>IFERROR(INDEX(tblDeviceConfig[Deployed],ROW()-1),"")</f>
      </c>
      <c r="D498">
        <f>IFERROR(INDEX(tblDeviceConfig[Installed],ROW()-1),"")</f>
      </c>
      <c r="E498">
        <f>IFERROR(INDEX(tblDeviceConfig[Cybernet Hostname],ROW()-1),"")</f>
      </c>
      <c r="F498">
        <f>IFERROR(INDEX(tblDeviceConfig[Neuron Hostname],ROW()-1),"")</f>
      </c>
      <c r="G498">
        <f>IFERROR(INDEX(tblDeviceConfig[Software List],ROW()-1),"")</f>
      </c>
      <c r="H498">
        <f>IFERROR(INDEX(tblDeviceConfig[PI_Use_Case],ROW()-1),"")</f>
      </c>
      <c r="I498">
        <f>IFERROR(INDEX(tblDeviceConfig[PI_Result],ROW()-1),"")</f>
      </c>
      <c r="J498">
        <f>IFERROR(INDEX(tblDeviceConfig[PI_Validated_By],ROW()-1),"")</f>
      </c>
      <c r="K498">
        <f>IFERROR(INDEX(tblDeviceConfig[PI_Validated_Date],ROW()-1),"")</f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</c>
      <c r="C499">
        <f>IFERROR(INDEX(tblDeviceConfig[Deployed],ROW()-1),"")</f>
      </c>
      <c r="D499">
        <f>IFERROR(INDEX(tblDeviceConfig[Installed],ROW()-1),"")</f>
      </c>
      <c r="E499">
        <f>IFERROR(INDEX(tblDeviceConfig[Cybernet Hostname],ROW()-1),"")</f>
      </c>
      <c r="F499">
        <f>IFERROR(INDEX(tblDeviceConfig[Neuron Hostname],ROW()-1),"")</f>
      </c>
      <c r="G499">
        <f>IFERROR(INDEX(tblDeviceConfig[Software List],ROW()-1),"")</f>
      </c>
      <c r="H499">
        <f>IFERROR(INDEX(tblDeviceConfig[PI_Use_Case],ROW()-1),"")</f>
      </c>
      <c r="I499">
        <f>IFERROR(INDEX(tblDeviceConfig[PI_Result],ROW()-1),"")</f>
      </c>
      <c r="J499">
        <f>IFERROR(INDEX(tblDeviceConfig[PI_Validated_By],ROW()-1),"")</f>
      </c>
      <c r="K499">
        <f>IFERROR(INDEX(tblDeviceConfig[PI_Validated_Date],ROW()-1),"")</f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</c>
      <c r="C500">
        <f>IFERROR(INDEX(tblDeviceConfig[Deployed],ROW()-1),"")</f>
      </c>
      <c r="D500">
        <f>IFERROR(INDEX(tblDeviceConfig[Installed],ROW()-1),"")</f>
      </c>
      <c r="E500">
        <f>IFERROR(INDEX(tblDeviceConfig[Cybernet Hostname],ROW()-1),"")</f>
      </c>
      <c r="F500">
        <f>IFERROR(INDEX(tblDeviceConfig[Neuron Hostname],ROW()-1),"")</f>
      </c>
      <c r="G500">
        <f>IFERROR(INDEX(tblDeviceConfig[Software List],ROW()-1),"")</f>
      </c>
      <c r="H500">
        <f>IFERROR(INDEX(tblDeviceConfig[PI_Use_Case],ROW()-1),"")</f>
      </c>
      <c r="I500">
        <f>IFERROR(INDEX(tblDeviceConfig[PI_Result],ROW()-1),"")</f>
      </c>
      <c r="J500">
        <f>IFERROR(INDEX(tblDeviceConfig[PI_Validated_By],ROW()-1),"")</f>
      </c>
      <c r="K500">
        <f>IFERROR(INDEX(tblDeviceConfig[PI_Validated_Date],ROW()-1),"")</f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</c>
      <c r="C501">
        <f>IFERROR(INDEX(tblDeviceConfig[Deployed],ROW()-1),"")</f>
      </c>
      <c r="D501">
        <f>IFERROR(INDEX(tblDeviceConfig[Installed],ROW()-1),"")</f>
      </c>
      <c r="E501">
        <f>IFERROR(INDEX(tblDeviceConfig[Cybernet Hostname],ROW()-1),"")</f>
      </c>
      <c r="F501">
        <f>IFERROR(INDEX(tblDeviceConfig[Neuron Hostname],ROW()-1),"")</f>
      </c>
      <c r="G501">
        <f>IFERROR(INDEX(tblDeviceConfig[Software List],ROW()-1),"")</f>
      </c>
      <c r="H501">
        <f>IFERROR(INDEX(tblDeviceConfig[PI_Use_Case],ROW()-1),"")</f>
      </c>
      <c r="I501">
        <f>IFERROR(INDEX(tblDeviceConfig[PI_Result],ROW()-1),"")</f>
      </c>
      <c r="J501">
        <f>IFERROR(INDEX(tblDeviceConfig[PI_Validated_By],ROW()-1),"")</f>
      </c>
      <c r="K501">
        <f>IFERROR(INDEX(tblDeviceConfig[PI_Validated_Date],ROW()-1),"")</f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</c>
      <c r="C502">
        <f>IFERROR(INDEX(tblDeviceConfig[Deployed],ROW()-1),"")</f>
      </c>
      <c r="D502">
        <f>IFERROR(INDEX(tblDeviceConfig[Installed],ROW()-1),"")</f>
      </c>
      <c r="E502">
        <f>IFERROR(INDEX(tblDeviceConfig[Cybernet Hostname],ROW()-1),"")</f>
      </c>
      <c r="F502">
        <f>IFERROR(INDEX(tblDeviceConfig[Neuron Hostname],ROW()-1),"")</f>
      </c>
      <c r="G502">
        <f>IFERROR(INDEX(tblDeviceConfig[Software List],ROW()-1),"")</f>
      </c>
      <c r="H502">
        <f>IFERROR(INDEX(tblDeviceConfig[PI_Use_Case],ROW()-1),"")</f>
      </c>
      <c r="I502">
        <f>IFERROR(INDEX(tblDeviceConfig[PI_Result],ROW()-1),"")</f>
      </c>
      <c r="J502">
        <f>IFERROR(INDEX(tblDeviceConfig[PI_Validated_By],ROW()-1),"")</f>
      </c>
      <c r="K502">
        <f>IFERROR(INDEX(tblDeviceConfig[PI_Validated_Date],ROW()-1),"")</f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</c>
      <c r="C503">
        <f>IFERROR(INDEX(tblDeviceConfig[Deployed],ROW()-1),"")</f>
      </c>
      <c r="D503">
        <f>IFERROR(INDEX(tblDeviceConfig[Installed],ROW()-1),"")</f>
      </c>
      <c r="E503">
        <f>IFERROR(INDEX(tblDeviceConfig[Cybernet Hostname],ROW()-1),"")</f>
      </c>
      <c r="F503">
        <f>IFERROR(INDEX(tblDeviceConfig[Neuron Hostname],ROW()-1),"")</f>
      </c>
      <c r="G503">
        <f>IFERROR(INDEX(tblDeviceConfig[Software List],ROW()-1),"")</f>
      </c>
      <c r="H503">
        <f>IFERROR(INDEX(tblDeviceConfig[PI_Use_Case],ROW()-1),"")</f>
      </c>
      <c r="I503">
        <f>IFERROR(INDEX(tblDeviceConfig[PI_Result],ROW()-1),"")</f>
      </c>
      <c r="J503">
        <f>IFERROR(INDEX(tblDeviceConfig[PI_Validated_By],ROW()-1),"")</f>
      </c>
      <c r="K503">
        <f>IFERROR(INDEX(tblDeviceConfig[PI_Validated_Date],ROW()-1),"")</f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</c>
      <c r="C504">
        <f>IFERROR(INDEX(tblDeviceConfig[Deployed],ROW()-1),"")</f>
      </c>
      <c r="D504">
        <f>IFERROR(INDEX(tblDeviceConfig[Installed],ROW()-1),"")</f>
      </c>
      <c r="E504">
        <f>IFERROR(INDEX(tblDeviceConfig[Cybernet Hostname],ROW()-1),"")</f>
      </c>
      <c r="F504">
        <f>IFERROR(INDEX(tblDeviceConfig[Neuron Hostname],ROW()-1),"")</f>
      </c>
      <c r="G504">
        <f>IFERROR(INDEX(tblDeviceConfig[Software List],ROW()-1),"")</f>
      </c>
      <c r="H504">
        <f>IFERROR(INDEX(tblDeviceConfig[PI_Use_Case],ROW()-1),"")</f>
      </c>
      <c r="I504">
        <f>IFERROR(INDEX(tblDeviceConfig[PI_Result],ROW()-1),"")</f>
      </c>
      <c r="J504">
        <f>IFERROR(INDEX(tblDeviceConfig[PI_Validated_By],ROW()-1),"")</f>
      </c>
      <c r="K504">
        <f>IFERROR(INDEX(tblDeviceConfig[PI_Validated_Date],ROW()-1),"")</f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</c>
      <c r="C505">
        <f>IFERROR(INDEX(tblDeviceConfig[Deployed],ROW()-1),"")</f>
      </c>
      <c r="D505">
        <f>IFERROR(INDEX(tblDeviceConfig[Installed],ROW()-1),"")</f>
      </c>
      <c r="E505">
        <f>IFERROR(INDEX(tblDeviceConfig[Cybernet Hostname],ROW()-1),"")</f>
      </c>
      <c r="F505">
        <f>IFERROR(INDEX(tblDeviceConfig[Neuron Hostname],ROW()-1),"")</f>
      </c>
      <c r="G505">
        <f>IFERROR(INDEX(tblDeviceConfig[Software List],ROW()-1),"")</f>
      </c>
      <c r="H505">
        <f>IFERROR(INDEX(tblDeviceConfig[PI_Use_Case],ROW()-1),"")</f>
      </c>
      <c r="I505">
        <f>IFERROR(INDEX(tblDeviceConfig[PI_Result],ROW()-1),"")</f>
      </c>
      <c r="J505">
        <f>IFERROR(INDEX(tblDeviceConfig[PI_Validated_By],ROW()-1),"")</f>
      </c>
      <c r="K505">
        <f>IFERROR(INDEX(tblDeviceConfig[PI_Validated_Date],ROW()-1),"")</f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</c>
      <c r="C506">
        <f>IFERROR(INDEX(tblDeviceConfig[Deployed],ROW()-1),"")</f>
      </c>
      <c r="D506">
        <f>IFERROR(INDEX(tblDeviceConfig[Installed],ROW()-1),"")</f>
      </c>
      <c r="E506">
        <f>IFERROR(INDEX(tblDeviceConfig[Cybernet Hostname],ROW()-1),"")</f>
      </c>
      <c r="F506">
        <f>IFERROR(INDEX(tblDeviceConfig[Neuron Hostname],ROW()-1),"")</f>
      </c>
      <c r="G506">
        <f>IFERROR(INDEX(tblDeviceConfig[Software List],ROW()-1),"")</f>
      </c>
      <c r="H506">
        <f>IFERROR(INDEX(tblDeviceConfig[PI_Use_Case],ROW()-1),"")</f>
      </c>
      <c r="I506">
        <f>IFERROR(INDEX(tblDeviceConfig[PI_Result],ROW()-1),"")</f>
      </c>
      <c r="J506">
        <f>IFERROR(INDEX(tblDeviceConfig[PI_Validated_By],ROW()-1),"")</f>
      </c>
      <c r="K506">
        <f>IFERROR(INDEX(tblDeviceConfig[PI_Validated_Date],ROW()-1),"")</f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</c>
      <c r="C507">
        <f>IFERROR(INDEX(tblDeviceConfig[Deployed],ROW()-1),"")</f>
      </c>
      <c r="D507">
        <f>IFERROR(INDEX(tblDeviceConfig[Installed],ROW()-1),"")</f>
      </c>
      <c r="E507">
        <f>IFERROR(INDEX(tblDeviceConfig[Cybernet Hostname],ROW()-1),"")</f>
      </c>
      <c r="F507">
        <f>IFERROR(INDEX(tblDeviceConfig[Neuron Hostname],ROW()-1),"")</f>
      </c>
      <c r="G507">
        <f>IFERROR(INDEX(tblDeviceConfig[Software List],ROW()-1),"")</f>
      </c>
      <c r="H507">
        <f>IFERROR(INDEX(tblDeviceConfig[PI_Use_Case],ROW()-1),"")</f>
      </c>
      <c r="I507">
        <f>IFERROR(INDEX(tblDeviceConfig[PI_Result],ROW()-1),"")</f>
      </c>
      <c r="J507">
        <f>IFERROR(INDEX(tblDeviceConfig[PI_Validated_By],ROW()-1),"")</f>
      </c>
      <c r="K507">
        <f>IFERROR(INDEX(tblDeviceConfig[PI_Validated_Date],ROW()-1),"")</f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</c>
      <c r="C508">
        <f>IFERROR(INDEX(tblDeviceConfig[Deployed],ROW()-1),"")</f>
      </c>
      <c r="D508">
        <f>IFERROR(INDEX(tblDeviceConfig[Installed],ROW()-1),"")</f>
      </c>
      <c r="E508">
        <f>IFERROR(INDEX(tblDeviceConfig[Cybernet Hostname],ROW()-1),"")</f>
      </c>
      <c r="F508">
        <f>IFERROR(INDEX(tblDeviceConfig[Neuron Hostname],ROW()-1),"")</f>
      </c>
      <c r="G508">
        <f>IFERROR(INDEX(tblDeviceConfig[Software List],ROW()-1),"")</f>
      </c>
      <c r="H508">
        <f>IFERROR(INDEX(tblDeviceConfig[PI_Use_Case],ROW()-1),"")</f>
      </c>
      <c r="I508">
        <f>IFERROR(INDEX(tblDeviceConfig[PI_Result],ROW()-1),"")</f>
      </c>
      <c r="J508">
        <f>IFERROR(INDEX(tblDeviceConfig[PI_Validated_By],ROW()-1),"")</f>
      </c>
      <c r="K508">
        <f>IFERROR(INDEX(tblDeviceConfig[PI_Validated_Date],ROW()-1),"")</f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</c>
      <c r="C509">
        <f>IFERROR(INDEX(tblDeviceConfig[Deployed],ROW()-1),"")</f>
      </c>
      <c r="D509">
        <f>IFERROR(INDEX(tblDeviceConfig[Installed],ROW()-1),"")</f>
      </c>
      <c r="E509">
        <f>IFERROR(INDEX(tblDeviceConfig[Cybernet Hostname],ROW()-1),"")</f>
      </c>
      <c r="F509">
        <f>IFERROR(INDEX(tblDeviceConfig[Neuron Hostname],ROW()-1),"")</f>
      </c>
      <c r="G509">
        <f>IFERROR(INDEX(tblDeviceConfig[Software List],ROW()-1),"")</f>
      </c>
      <c r="H509">
        <f>IFERROR(INDEX(tblDeviceConfig[PI_Use_Case],ROW()-1),"")</f>
      </c>
      <c r="I509">
        <f>IFERROR(INDEX(tblDeviceConfig[PI_Result],ROW()-1),"")</f>
      </c>
      <c r="J509">
        <f>IFERROR(INDEX(tblDeviceConfig[PI_Validated_By],ROW()-1),"")</f>
      </c>
      <c r="K509">
        <f>IFERROR(INDEX(tblDeviceConfig[PI_Validated_Date],ROW()-1),"")</f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</c>
      <c r="C510">
        <f>IFERROR(INDEX(tblDeviceConfig[Deployed],ROW()-1),"")</f>
      </c>
      <c r="D510">
        <f>IFERROR(INDEX(tblDeviceConfig[Installed],ROW()-1),"")</f>
      </c>
      <c r="E510">
        <f>IFERROR(INDEX(tblDeviceConfig[Cybernet Hostname],ROW()-1),"")</f>
      </c>
      <c r="F510">
        <f>IFERROR(INDEX(tblDeviceConfig[Neuron Hostname],ROW()-1),"")</f>
      </c>
      <c r="G510">
        <f>IFERROR(INDEX(tblDeviceConfig[Software List],ROW()-1),"")</f>
      </c>
      <c r="H510">
        <f>IFERROR(INDEX(tblDeviceConfig[PI_Use_Case],ROW()-1),"")</f>
      </c>
      <c r="I510">
        <f>IFERROR(INDEX(tblDeviceConfig[PI_Result],ROW()-1),"")</f>
      </c>
      <c r="J510">
        <f>IFERROR(INDEX(tblDeviceConfig[PI_Validated_By],ROW()-1),"")</f>
      </c>
      <c r="K510">
        <f>IFERROR(INDEX(tblDeviceConfig[PI_Validated_Date],ROW()-1),"")</f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</c>
      <c r="C511">
        <f>IFERROR(INDEX(tblDeviceConfig[Deployed],ROW()-1),"")</f>
      </c>
      <c r="D511">
        <f>IFERROR(INDEX(tblDeviceConfig[Installed],ROW()-1),"")</f>
      </c>
      <c r="E511">
        <f>IFERROR(INDEX(tblDeviceConfig[Cybernet Hostname],ROW()-1),"")</f>
      </c>
      <c r="F511">
        <f>IFERROR(INDEX(tblDeviceConfig[Neuron Hostname],ROW()-1),"")</f>
      </c>
      <c r="G511">
        <f>IFERROR(INDEX(tblDeviceConfig[Software List],ROW()-1),"")</f>
      </c>
      <c r="H511">
        <f>IFERROR(INDEX(tblDeviceConfig[PI_Use_Case],ROW()-1),"")</f>
      </c>
      <c r="I511">
        <f>IFERROR(INDEX(tblDeviceConfig[PI_Result],ROW()-1),"")</f>
      </c>
      <c r="J511">
        <f>IFERROR(INDEX(tblDeviceConfig[PI_Validated_By],ROW()-1),"")</f>
      </c>
      <c r="K511">
        <f>IFERROR(INDEX(tblDeviceConfig[PI_Validated_Date],ROW()-1),"")</f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</c>
      <c r="C512">
        <f>IFERROR(INDEX(tblDeviceConfig[Deployed],ROW()-1),"")</f>
      </c>
      <c r="D512">
        <f>IFERROR(INDEX(tblDeviceConfig[Installed],ROW()-1),"")</f>
      </c>
      <c r="E512">
        <f>IFERROR(INDEX(tblDeviceConfig[Cybernet Hostname],ROW()-1),"")</f>
      </c>
      <c r="F512">
        <f>IFERROR(INDEX(tblDeviceConfig[Neuron Hostname],ROW()-1),"")</f>
      </c>
      <c r="G512">
        <f>IFERROR(INDEX(tblDeviceConfig[Software List],ROW()-1),"")</f>
      </c>
      <c r="H512">
        <f>IFERROR(INDEX(tblDeviceConfig[PI_Use_Case],ROW()-1),"")</f>
      </c>
      <c r="I512">
        <f>IFERROR(INDEX(tblDeviceConfig[PI_Result],ROW()-1),"")</f>
      </c>
      <c r="J512">
        <f>IFERROR(INDEX(tblDeviceConfig[PI_Validated_By],ROW()-1),"")</f>
      </c>
      <c r="K512">
        <f>IFERROR(INDEX(tblDeviceConfig[PI_Validated_Date],ROW()-1),"")</f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</c>
      <c r="C513">
        <f>IFERROR(INDEX(tblDeviceConfig[Deployed],ROW()-1),"")</f>
      </c>
      <c r="D513">
        <f>IFERROR(INDEX(tblDeviceConfig[Installed],ROW()-1),"")</f>
      </c>
      <c r="E513">
        <f>IFERROR(INDEX(tblDeviceConfig[Cybernet Hostname],ROW()-1),"")</f>
      </c>
      <c r="F513">
        <f>IFERROR(INDEX(tblDeviceConfig[Neuron Hostname],ROW()-1),"")</f>
      </c>
      <c r="G513">
        <f>IFERROR(INDEX(tblDeviceConfig[Software List],ROW()-1),"")</f>
      </c>
      <c r="H513">
        <f>IFERROR(INDEX(tblDeviceConfig[PI_Use_Case],ROW()-1),"")</f>
      </c>
      <c r="I513">
        <f>IFERROR(INDEX(tblDeviceConfig[PI_Result],ROW()-1),"")</f>
      </c>
      <c r="J513">
        <f>IFERROR(INDEX(tblDeviceConfig[PI_Validated_By],ROW()-1),"")</f>
      </c>
      <c r="K513">
        <f>IFERROR(INDEX(tblDeviceConfig[PI_Validated_Date],ROW()-1),"")</f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</c>
      <c r="C514">
        <f>IFERROR(INDEX(tblDeviceConfig[Deployed],ROW()-1),"")</f>
      </c>
      <c r="D514">
        <f>IFERROR(INDEX(tblDeviceConfig[Installed],ROW()-1),"")</f>
      </c>
      <c r="E514">
        <f>IFERROR(INDEX(tblDeviceConfig[Cybernet Hostname],ROW()-1),"")</f>
      </c>
      <c r="F514">
        <f>IFERROR(INDEX(tblDeviceConfig[Neuron Hostname],ROW()-1),"")</f>
      </c>
      <c r="G514">
        <f>IFERROR(INDEX(tblDeviceConfig[Software List],ROW()-1),"")</f>
      </c>
      <c r="H514">
        <f>IFERROR(INDEX(tblDeviceConfig[PI_Use_Case],ROW()-1),"")</f>
      </c>
      <c r="I514">
        <f>IFERROR(INDEX(tblDeviceConfig[PI_Result],ROW()-1),"")</f>
      </c>
      <c r="J514">
        <f>IFERROR(INDEX(tblDeviceConfig[PI_Validated_By],ROW()-1),"")</f>
      </c>
      <c r="K514">
        <f>IFERROR(INDEX(tblDeviceConfig[PI_Validated_Date],ROW()-1),"")</f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</c>
      <c r="C515">
        <f>IFERROR(INDEX(tblDeviceConfig[Deployed],ROW()-1),"")</f>
      </c>
      <c r="D515">
        <f>IFERROR(INDEX(tblDeviceConfig[Installed],ROW()-1),"")</f>
      </c>
      <c r="E515">
        <f>IFERROR(INDEX(tblDeviceConfig[Cybernet Hostname],ROW()-1),"")</f>
      </c>
      <c r="F515">
        <f>IFERROR(INDEX(tblDeviceConfig[Neuron Hostname],ROW()-1),"")</f>
      </c>
      <c r="G515">
        <f>IFERROR(INDEX(tblDeviceConfig[Software List],ROW()-1),"")</f>
      </c>
      <c r="H515">
        <f>IFERROR(INDEX(tblDeviceConfig[PI_Use_Case],ROW()-1),"")</f>
      </c>
      <c r="I515">
        <f>IFERROR(INDEX(tblDeviceConfig[PI_Result],ROW()-1),"")</f>
      </c>
      <c r="J515">
        <f>IFERROR(INDEX(tblDeviceConfig[PI_Validated_By],ROW()-1),"")</f>
      </c>
      <c r="K515">
        <f>IFERROR(INDEX(tblDeviceConfig[PI_Validated_Date],ROW()-1),"")</f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</c>
      <c r="C516">
        <f>IFERROR(INDEX(tblDeviceConfig[Deployed],ROW()-1),"")</f>
      </c>
      <c r="D516">
        <f>IFERROR(INDEX(tblDeviceConfig[Installed],ROW()-1),"")</f>
      </c>
      <c r="E516">
        <f>IFERROR(INDEX(tblDeviceConfig[Cybernet Hostname],ROW()-1),"")</f>
      </c>
      <c r="F516">
        <f>IFERROR(INDEX(tblDeviceConfig[Neuron Hostname],ROW()-1),"")</f>
      </c>
      <c r="G516">
        <f>IFERROR(INDEX(tblDeviceConfig[Software List],ROW()-1),"")</f>
      </c>
      <c r="H516">
        <f>IFERROR(INDEX(tblDeviceConfig[PI_Use_Case],ROW()-1),"")</f>
      </c>
      <c r="I516">
        <f>IFERROR(INDEX(tblDeviceConfig[PI_Result],ROW()-1),"")</f>
      </c>
      <c r="J516">
        <f>IFERROR(INDEX(tblDeviceConfig[PI_Validated_By],ROW()-1),"")</f>
      </c>
      <c r="K516">
        <f>IFERROR(INDEX(tblDeviceConfig[PI_Validated_Date],ROW()-1),"")</f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</c>
      <c r="C517">
        <f>IFERROR(INDEX(tblDeviceConfig[Deployed],ROW()-1),"")</f>
      </c>
      <c r="D517">
        <f>IFERROR(INDEX(tblDeviceConfig[Installed],ROW()-1),"")</f>
      </c>
      <c r="E517">
        <f>IFERROR(INDEX(tblDeviceConfig[Cybernet Hostname],ROW()-1),"")</f>
      </c>
      <c r="F517">
        <f>IFERROR(INDEX(tblDeviceConfig[Neuron Hostname],ROW()-1),"")</f>
      </c>
      <c r="G517">
        <f>IFERROR(INDEX(tblDeviceConfig[Software List],ROW()-1),"")</f>
      </c>
      <c r="H517">
        <f>IFERROR(INDEX(tblDeviceConfig[PI_Use_Case],ROW()-1),"")</f>
      </c>
      <c r="I517">
        <f>IFERROR(INDEX(tblDeviceConfig[PI_Result],ROW()-1),"")</f>
      </c>
      <c r="J517">
        <f>IFERROR(INDEX(tblDeviceConfig[PI_Validated_By],ROW()-1),"")</f>
      </c>
      <c r="K517">
        <f>IFERROR(INDEX(tblDeviceConfig[PI_Validated_Date],ROW()-1),"")</f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</c>
      <c r="C518">
        <f>IFERROR(INDEX(tblDeviceConfig[Deployed],ROW()-1),"")</f>
      </c>
      <c r="D518">
        <f>IFERROR(INDEX(tblDeviceConfig[Installed],ROW()-1),"")</f>
      </c>
      <c r="E518">
        <f>IFERROR(INDEX(tblDeviceConfig[Cybernet Hostname],ROW()-1),"")</f>
      </c>
      <c r="F518">
        <f>IFERROR(INDEX(tblDeviceConfig[Neuron Hostname],ROW()-1),"")</f>
      </c>
      <c r="G518">
        <f>IFERROR(INDEX(tblDeviceConfig[Software List],ROW()-1),"")</f>
      </c>
      <c r="H518">
        <f>IFERROR(INDEX(tblDeviceConfig[PI_Use_Case],ROW()-1),"")</f>
      </c>
      <c r="I518">
        <f>IFERROR(INDEX(tblDeviceConfig[PI_Result],ROW()-1),"")</f>
      </c>
      <c r="J518">
        <f>IFERROR(INDEX(tblDeviceConfig[PI_Validated_By],ROW()-1),"")</f>
      </c>
      <c r="K518">
        <f>IFERROR(INDEX(tblDeviceConfig[PI_Validated_Date],ROW()-1),"")</f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</c>
      <c r="C519">
        <f>IFERROR(INDEX(tblDeviceConfig[Deployed],ROW()-1),"")</f>
      </c>
      <c r="D519">
        <f>IFERROR(INDEX(tblDeviceConfig[Installed],ROW()-1),"")</f>
      </c>
      <c r="E519">
        <f>IFERROR(INDEX(tblDeviceConfig[Cybernet Hostname],ROW()-1),"")</f>
      </c>
      <c r="F519">
        <f>IFERROR(INDEX(tblDeviceConfig[Neuron Hostname],ROW()-1),"")</f>
      </c>
      <c r="G519">
        <f>IFERROR(INDEX(tblDeviceConfig[Software List],ROW()-1),"")</f>
      </c>
      <c r="H519">
        <f>IFERROR(INDEX(tblDeviceConfig[PI_Use_Case],ROW()-1),"")</f>
      </c>
      <c r="I519">
        <f>IFERROR(INDEX(tblDeviceConfig[PI_Result],ROW()-1),"")</f>
      </c>
      <c r="J519">
        <f>IFERROR(INDEX(tblDeviceConfig[PI_Validated_By],ROW()-1),"")</f>
      </c>
      <c r="K519">
        <f>IFERROR(INDEX(tblDeviceConfig[PI_Validated_Date],ROW()-1),"")</f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</c>
      <c r="C520">
        <f>IFERROR(INDEX(tblDeviceConfig[Deployed],ROW()-1),"")</f>
      </c>
      <c r="D520">
        <f>IFERROR(INDEX(tblDeviceConfig[Installed],ROW()-1),"")</f>
      </c>
      <c r="E520">
        <f>IFERROR(INDEX(tblDeviceConfig[Cybernet Hostname],ROW()-1),"")</f>
      </c>
      <c r="F520">
        <f>IFERROR(INDEX(tblDeviceConfig[Neuron Hostname],ROW()-1),"")</f>
      </c>
      <c r="G520">
        <f>IFERROR(INDEX(tblDeviceConfig[Software List],ROW()-1),"")</f>
      </c>
      <c r="H520">
        <f>IFERROR(INDEX(tblDeviceConfig[PI_Use_Case],ROW()-1),"")</f>
      </c>
      <c r="I520">
        <f>IFERROR(INDEX(tblDeviceConfig[PI_Result],ROW()-1),"")</f>
      </c>
      <c r="J520">
        <f>IFERROR(INDEX(tblDeviceConfig[PI_Validated_By],ROW()-1),"")</f>
      </c>
      <c r="K520">
        <f>IFERROR(INDEX(tblDeviceConfig[PI_Validated_Date],ROW()-1),"")</f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</c>
      <c r="C521">
        <f>IFERROR(INDEX(tblDeviceConfig[Deployed],ROW()-1),"")</f>
      </c>
      <c r="D521">
        <f>IFERROR(INDEX(tblDeviceConfig[Installed],ROW()-1),"")</f>
      </c>
      <c r="E521">
        <f>IFERROR(INDEX(tblDeviceConfig[Cybernet Hostname],ROW()-1),"")</f>
      </c>
      <c r="F521">
        <f>IFERROR(INDEX(tblDeviceConfig[Neuron Hostname],ROW()-1),"")</f>
      </c>
      <c r="G521">
        <f>IFERROR(INDEX(tblDeviceConfig[Software List],ROW()-1),"")</f>
      </c>
      <c r="H521">
        <f>IFERROR(INDEX(tblDeviceConfig[PI_Use_Case],ROW()-1),"")</f>
      </c>
      <c r="I521">
        <f>IFERROR(INDEX(tblDeviceConfig[PI_Result],ROW()-1),"")</f>
      </c>
      <c r="J521">
        <f>IFERROR(INDEX(tblDeviceConfig[PI_Validated_By],ROW()-1),"")</f>
      </c>
      <c r="K521">
        <f>IFERROR(INDEX(tblDeviceConfig[PI_Validated_Date],ROW()-1),"")</f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</c>
      <c r="C522">
        <f>IFERROR(INDEX(tblDeviceConfig[Deployed],ROW()-1),"")</f>
      </c>
      <c r="D522">
        <f>IFERROR(INDEX(tblDeviceConfig[Installed],ROW()-1),"")</f>
      </c>
      <c r="E522">
        <f>IFERROR(INDEX(tblDeviceConfig[Cybernet Hostname],ROW()-1),"")</f>
      </c>
      <c r="F522">
        <f>IFERROR(INDEX(tblDeviceConfig[Neuron Hostname],ROW()-1),"")</f>
      </c>
      <c r="G522">
        <f>IFERROR(INDEX(tblDeviceConfig[Software List],ROW()-1),"")</f>
      </c>
      <c r="H522">
        <f>IFERROR(INDEX(tblDeviceConfig[PI_Use_Case],ROW()-1),"")</f>
      </c>
      <c r="I522">
        <f>IFERROR(INDEX(tblDeviceConfig[PI_Result],ROW()-1),"")</f>
      </c>
      <c r="J522">
        <f>IFERROR(INDEX(tblDeviceConfig[PI_Validated_By],ROW()-1),"")</f>
      </c>
      <c r="K522">
        <f>IFERROR(INDEX(tblDeviceConfig[PI_Validated_Date],ROW()-1),"")</f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</c>
      <c r="C523">
        <f>IFERROR(INDEX(tblDeviceConfig[Deployed],ROW()-1),"")</f>
      </c>
      <c r="D523">
        <f>IFERROR(INDEX(tblDeviceConfig[Installed],ROW()-1),"")</f>
      </c>
      <c r="E523">
        <f>IFERROR(INDEX(tblDeviceConfig[Cybernet Hostname],ROW()-1),"")</f>
      </c>
      <c r="F523">
        <f>IFERROR(INDEX(tblDeviceConfig[Neuron Hostname],ROW()-1),"")</f>
      </c>
      <c r="G523">
        <f>IFERROR(INDEX(tblDeviceConfig[Software List],ROW()-1),"")</f>
      </c>
      <c r="H523">
        <f>IFERROR(INDEX(tblDeviceConfig[PI_Use_Case],ROW()-1),"")</f>
      </c>
      <c r="I523">
        <f>IFERROR(INDEX(tblDeviceConfig[PI_Result],ROW()-1),"")</f>
      </c>
      <c r="J523">
        <f>IFERROR(INDEX(tblDeviceConfig[PI_Validated_By],ROW()-1),"")</f>
      </c>
      <c r="K523">
        <f>IFERROR(INDEX(tblDeviceConfig[PI_Validated_Date],ROW()-1),"")</f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</c>
      <c r="C524">
        <f>IFERROR(INDEX(tblDeviceConfig[Deployed],ROW()-1),"")</f>
      </c>
      <c r="D524">
        <f>IFERROR(INDEX(tblDeviceConfig[Installed],ROW()-1),"")</f>
      </c>
      <c r="E524">
        <f>IFERROR(INDEX(tblDeviceConfig[Cybernet Hostname],ROW()-1),"")</f>
      </c>
      <c r="F524">
        <f>IFERROR(INDEX(tblDeviceConfig[Neuron Hostname],ROW()-1),"")</f>
      </c>
      <c r="G524">
        <f>IFERROR(INDEX(tblDeviceConfig[Software List],ROW()-1),"")</f>
      </c>
      <c r="H524">
        <f>IFERROR(INDEX(tblDeviceConfig[PI_Use_Case],ROW()-1),"")</f>
      </c>
      <c r="I524">
        <f>IFERROR(INDEX(tblDeviceConfig[PI_Result],ROW()-1),"")</f>
      </c>
      <c r="J524">
        <f>IFERROR(INDEX(tblDeviceConfig[PI_Validated_By],ROW()-1),"")</f>
      </c>
      <c r="K524">
        <f>IFERROR(INDEX(tblDeviceConfig[PI_Validated_Date],ROW()-1),"")</f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</c>
      <c r="C525">
        <f>IFERROR(INDEX(tblDeviceConfig[Deployed],ROW()-1),"")</f>
      </c>
      <c r="D525">
        <f>IFERROR(INDEX(tblDeviceConfig[Installed],ROW()-1),"")</f>
      </c>
      <c r="E525">
        <f>IFERROR(INDEX(tblDeviceConfig[Cybernet Hostname],ROW()-1),"")</f>
      </c>
      <c r="F525">
        <f>IFERROR(INDEX(tblDeviceConfig[Neuron Hostname],ROW()-1),"")</f>
      </c>
      <c r="G525">
        <f>IFERROR(INDEX(tblDeviceConfig[Software List],ROW()-1),"")</f>
      </c>
      <c r="H525">
        <f>IFERROR(INDEX(tblDeviceConfig[PI_Use_Case],ROW()-1),"")</f>
      </c>
      <c r="I525">
        <f>IFERROR(INDEX(tblDeviceConfig[PI_Result],ROW()-1),"")</f>
      </c>
      <c r="J525">
        <f>IFERROR(INDEX(tblDeviceConfig[PI_Validated_By],ROW()-1),"")</f>
      </c>
      <c r="K525">
        <f>IFERROR(INDEX(tblDeviceConfig[PI_Validated_Date],ROW()-1),"")</f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</c>
      <c r="C526">
        <f>IFERROR(INDEX(tblDeviceConfig[Deployed],ROW()-1),"")</f>
      </c>
      <c r="D526">
        <f>IFERROR(INDEX(tblDeviceConfig[Installed],ROW()-1),"")</f>
      </c>
      <c r="E526">
        <f>IFERROR(INDEX(tblDeviceConfig[Cybernet Hostname],ROW()-1),"")</f>
      </c>
      <c r="F526">
        <f>IFERROR(INDEX(tblDeviceConfig[Neuron Hostname],ROW()-1),"")</f>
      </c>
      <c r="G526">
        <f>IFERROR(INDEX(tblDeviceConfig[Software List],ROW()-1),"")</f>
      </c>
      <c r="H526">
        <f>IFERROR(INDEX(tblDeviceConfig[PI_Use_Case],ROW()-1),"")</f>
      </c>
      <c r="I526">
        <f>IFERROR(INDEX(tblDeviceConfig[PI_Result],ROW()-1),"")</f>
      </c>
      <c r="J526">
        <f>IFERROR(INDEX(tblDeviceConfig[PI_Validated_By],ROW()-1),"")</f>
      </c>
      <c r="K526">
        <f>IFERROR(INDEX(tblDeviceConfig[PI_Validated_Date],ROW()-1),"")</f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</c>
      <c r="C527">
        <f>IFERROR(INDEX(tblDeviceConfig[Deployed],ROW()-1),"")</f>
      </c>
      <c r="D527">
        <f>IFERROR(INDEX(tblDeviceConfig[Installed],ROW()-1),"")</f>
      </c>
      <c r="E527">
        <f>IFERROR(INDEX(tblDeviceConfig[Cybernet Hostname],ROW()-1),"")</f>
      </c>
      <c r="F527">
        <f>IFERROR(INDEX(tblDeviceConfig[Neuron Hostname],ROW()-1),"")</f>
      </c>
      <c r="G527">
        <f>IFERROR(INDEX(tblDeviceConfig[Software List],ROW()-1),"")</f>
      </c>
      <c r="H527">
        <f>IFERROR(INDEX(tblDeviceConfig[PI_Use_Case],ROW()-1),"")</f>
      </c>
      <c r="I527">
        <f>IFERROR(INDEX(tblDeviceConfig[PI_Result],ROW()-1),"")</f>
      </c>
      <c r="J527">
        <f>IFERROR(INDEX(tblDeviceConfig[PI_Validated_By],ROW()-1),"")</f>
      </c>
      <c r="K527">
        <f>IFERROR(INDEX(tblDeviceConfig[PI_Validated_Date],ROW()-1),"")</f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</c>
      <c r="C528">
        <f>IFERROR(INDEX(tblDeviceConfig[Deployed],ROW()-1),"")</f>
      </c>
      <c r="D528">
        <f>IFERROR(INDEX(tblDeviceConfig[Installed],ROW()-1),"")</f>
      </c>
      <c r="E528">
        <f>IFERROR(INDEX(tblDeviceConfig[Cybernet Hostname],ROW()-1),"")</f>
      </c>
      <c r="F528">
        <f>IFERROR(INDEX(tblDeviceConfig[Neuron Hostname],ROW()-1),"")</f>
      </c>
      <c r="G528">
        <f>IFERROR(INDEX(tblDeviceConfig[Software List],ROW()-1),"")</f>
      </c>
      <c r="H528">
        <f>IFERROR(INDEX(tblDeviceConfig[PI_Use_Case],ROW()-1),"")</f>
      </c>
      <c r="I528">
        <f>IFERROR(INDEX(tblDeviceConfig[PI_Result],ROW()-1),"")</f>
      </c>
      <c r="J528">
        <f>IFERROR(INDEX(tblDeviceConfig[PI_Validated_By],ROW()-1),"")</f>
      </c>
      <c r="K528">
        <f>IFERROR(INDEX(tblDeviceConfig[PI_Validated_Date],ROW()-1),"")</f>
      </c>
      <c r="L528">
        <f t="shared" si="16"/>
        <v>0</v>
      </c>
      <c r="M528" t="str">
        <f t="shared" si="17"/>
        <v/>
      </c>
    </row>
    <row r="529">
      <c r="A529">
        <f>ROW()</f>
      </c>
      <c r="B529">
        <f>IFERROR(INDEX(tblDeviceConfig[Device Type],ROW()-1),"")</f>
      </c>
      <c r="C529">
        <f>IFERROR(INDEX(tblDeviceConfig[Deployed],ROW()-1),"")</f>
      </c>
      <c r="D529">
        <f>IFERROR(INDEX(tblDeviceConfig[Installed],ROW()-1),"")</f>
      </c>
      <c r="E529">
        <f>IFERROR(INDEX(tblDeviceConfig[Cybernet Hostname],ROW()-1),"")</f>
      </c>
      <c r="F529">
        <f>IFERROR(INDEX(tblDeviceConfig[Neuron Hostname],ROW()-1),"")</f>
      </c>
      <c r="G529">
        <f>IFERROR(INDEX(tblDeviceConfig[Software List],ROW()-1),"")</f>
      </c>
      <c r="H529">
        <f>IFERROR(INDEX(tblDeviceConfig[PI_Use_Case],ROW()-1),"")</f>
      </c>
      <c r="I529">
        <f>IFERROR(INDEX(tblDeviceConfig[PI_Result],ROW()-1),"")</f>
      </c>
      <c r="J529">
        <f>IFERROR(INDEX(tblDeviceConfig[PI_Validated_By],ROW()-1),"")</f>
      </c>
      <c r="K529">
        <f>IFERROR(INDEX(tblDeviceConfig[PI_Validated_Date],ROW()-1),"")</f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</c>
      <c r="M529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</c>
    </row>
    <row r="530">
      <c r="A530">
        <f>ROW()</f>
      </c>
      <c r="B530">
        <f>IFERROR(INDEX(tblDeviceConfig[Device Type],ROW()-1),"")</f>
      </c>
      <c r="C530">
        <f>IFERROR(INDEX(tblDeviceConfig[Deployed],ROW()-1),"")</f>
      </c>
      <c r="D530">
        <f>IFERROR(INDEX(tblDeviceConfig[Installed],ROW()-1),"")</f>
      </c>
      <c r="E530">
        <f>IFERROR(INDEX(tblDeviceConfig[Cybernet Hostname],ROW()-1),"")</f>
      </c>
      <c r="F530">
        <f>IFERROR(INDEX(tblDeviceConfig[Neuron Hostname],ROW()-1),"")</f>
      </c>
      <c r="G530">
        <f>IFERROR(INDEX(tblDeviceConfig[Software List],ROW()-1),"")</f>
      </c>
      <c r="H530">
        <f>IFERROR(INDEX(tblDeviceConfig[PI_Use_Case],ROW()-1),"")</f>
      </c>
      <c r="I530">
        <f>IFERROR(INDEX(tblDeviceConfig[PI_Result],ROW()-1),"")</f>
      </c>
      <c r="J530">
        <f>IFERROR(INDEX(tblDeviceConfig[PI_Validated_By],ROW()-1),"")</f>
      </c>
      <c r="K530">
        <f>IFERROR(INDEX(tblDeviceConfig[PI_Validated_Date],ROW()-1),"")</f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</c>
      <c r="M530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</c>
    </row>
    <row r="531">
      <c r="A531">
        <f>ROW()</f>
      </c>
      <c r="B531">
        <f>IFERROR(INDEX(tblDeviceConfig[Device Type],ROW()-1),"")</f>
      </c>
      <c r="C531">
        <f>IFERROR(INDEX(tblDeviceConfig[Deployed],ROW()-1),"")</f>
      </c>
      <c r="D531">
        <f>IFERROR(INDEX(tblDeviceConfig[Installed],ROW()-1),"")</f>
      </c>
      <c r="E531">
        <f>IFERROR(INDEX(tblDeviceConfig[Cybernet Hostname],ROW()-1),"")</f>
      </c>
      <c r="F531">
        <f>IFERROR(INDEX(tblDeviceConfig[Neuron Hostname],ROW()-1),"")</f>
      </c>
      <c r="G531">
        <f>IFERROR(INDEX(tblDeviceConfig[Software List],ROW()-1),"")</f>
      </c>
      <c r="H531">
        <f>IFERROR(INDEX(tblDeviceConfig[PI_Use_Case],ROW()-1),"")</f>
      </c>
      <c r="I531">
        <f>IFERROR(INDEX(tblDeviceConfig[PI_Result],ROW()-1),"")</f>
      </c>
      <c r="J531">
        <f>IFERROR(INDEX(tblDeviceConfig[PI_Validated_By],ROW()-1),"")</f>
      </c>
      <c r="K531">
        <f>IFERROR(INDEX(tblDeviceConfig[PI_Validated_Date],ROW()-1),"")</f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</c>
      <c r="M531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</c>
    </row>
    <row r="532">
      <c r="A532">
        <f>ROW()</f>
      </c>
      <c r="B532">
        <f>IFERROR(INDEX(tblDeviceConfig[Device Type],ROW()-1),"")</f>
      </c>
      <c r="C532">
        <f>IFERROR(INDEX(tblDeviceConfig[Deployed],ROW()-1),"")</f>
      </c>
      <c r="D532">
        <f>IFERROR(INDEX(tblDeviceConfig[Installed],ROW()-1),"")</f>
      </c>
      <c r="E532">
        <f>IFERROR(INDEX(tblDeviceConfig[Cybernet Hostname],ROW()-1),"")</f>
      </c>
      <c r="F532">
        <f>IFERROR(INDEX(tblDeviceConfig[Neuron Hostname],ROW()-1),"")</f>
      </c>
      <c r="G532">
        <f>IFERROR(INDEX(tblDeviceConfig[Software List],ROW()-1),"")</f>
      </c>
      <c r="H532">
        <f>IFERROR(INDEX(tblDeviceConfig[PI_Use_Case],ROW()-1),"")</f>
      </c>
      <c r="I532">
        <f>IFERROR(INDEX(tblDeviceConfig[PI_Result],ROW()-1),"")</f>
      </c>
      <c r="J532">
        <f>IFERROR(INDEX(tblDeviceConfig[PI_Validated_By],ROW()-1),"")</f>
      </c>
      <c r="K532">
        <f>IFERROR(INDEX(tblDeviceConfig[PI_Validated_Date],ROW()-1),"")</f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</c>
      <c r="M532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</c>
    </row>
  </sheetData>
  <conditionalFormatting sqref="L2:L528">
    <cfRule type="expression" dxfId="39" priority="2">
      <formula>$L2&gt;0</formula>
    </cfRule>
    <cfRule type="expression" dxfId="38" priority="3">
      <formula>$L2=0</formula>
    </cfRule>
  </conditionalFormatting>
  <conditionalFormatting sqref="M2:M528">
    <cfRule type="expression" dxfId="37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14ac xr xr2 xr3" xr:uid="{00000000-0001-0000-01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>
      <c r="A2" t="s">
        <v>22</v>
      </c>
      <c r="B2" t="s">
        <v>23</v>
      </c>
      <c r="C2" t="s">
        <v>1627</v>
      </c>
      <c r="D2" t="s">
        <v>25</v>
      </c>
      <c r="E2">
        <v>2</v>
      </c>
      <c r="F2" t="s">
        <v>26</v>
      </c>
      <c r="G2">
        <v>44</v>
      </c>
      <c r="H2" t="s">
        <v>27</v>
      </c>
      <c r="I2" t="s">
        <v>28</v>
      </c>
    </row>
    <row r="3" spans="1:9">
      <c r="A3" t="s">
        <v>22</v>
      </c>
      <c r="B3" t="s">
        <v>23</v>
      </c>
      <c r="C3" t="s">
        <v>1818</v>
      </c>
      <c r="D3" t="s">
        <v>25</v>
      </c>
      <c r="E3">
        <v>3</v>
      </c>
      <c r="F3" t="s">
        <v>29</v>
      </c>
      <c r="G3">
        <v>43</v>
      </c>
      <c r="H3" t="s">
        <v>30</v>
      </c>
      <c r="I3" t="s">
        <v>31</v>
      </c>
    </row>
    <row r="4" spans="1:9">
      <c r="A4" t="s">
        <v>22</v>
      </c>
      <c r="B4" t="s">
        <v>23</v>
      </c>
      <c r="C4" t="s">
        <v>2051</v>
      </c>
      <c r="D4" t="s">
        <v>25</v>
      </c>
      <c r="E4">
        <v>4</v>
      </c>
      <c r="F4" t="s">
        <v>26</v>
      </c>
      <c r="G4">
        <v>42</v>
      </c>
      <c r="H4" t="s">
        <v>33</v>
      </c>
      <c r="I4" t="s">
        <v>34</v>
      </c>
    </row>
    <row r="5" spans="1:9">
      <c r="A5" t="s">
        <v>35</v>
      </c>
      <c r="C5" t="s">
        <v>36</v>
      </c>
      <c r="D5" t="s">
        <v>25</v>
      </c>
      <c r="E5">
        <v>1</v>
      </c>
      <c r="F5" t="s">
        <v>37</v>
      </c>
      <c r="G5">
        <v>37</v>
      </c>
      <c r="I5" t="s">
        <v>38</v>
      </c>
    </row>
    <row r="6" spans="1:9">
      <c r="A6" t="s">
        <v>35</v>
      </c>
      <c r="C6" t="s">
        <v>36</v>
      </c>
      <c r="D6" t="s">
        <v>25</v>
      </c>
      <c r="E6">
        <v>2</v>
      </c>
      <c r="F6" t="s">
        <v>39</v>
      </c>
      <c r="G6">
        <v>36</v>
      </c>
      <c r="I6" t="s">
        <v>38</v>
      </c>
    </row>
    <row r="7" spans="1:9">
      <c r="A7" t="s">
        <v>35</v>
      </c>
      <c r="C7" t="s">
        <v>40</v>
      </c>
      <c r="D7" t="s">
        <v>25</v>
      </c>
      <c r="E7">
        <v>3</v>
      </c>
      <c r="F7" t="s">
        <v>41</v>
      </c>
      <c r="G7">
        <v>41</v>
      </c>
      <c r="I7" t="s">
        <v>38</v>
      </c>
    </row>
    <row r="8" spans="1:9">
      <c r="A8" t="s">
        <v>35</v>
      </c>
      <c r="C8" t="s">
        <v>40</v>
      </c>
      <c r="D8" t="s">
        <v>25</v>
      </c>
      <c r="E8">
        <v>4</v>
      </c>
      <c r="F8" t="s">
        <v>42</v>
      </c>
      <c r="G8">
        <v>40</v>
      </c>
      <c r="I8" t="s">
        <v>38</v>
      </c>
    </row>
    <row r="9" spans="1:9">
      <c r="A9" t="s">
        <v>35</v>
      </c>
      <c r="C9" t="s">
        <v>40</v>
      </c>
      <c r="D9" t="s">
        <v>25</v>
      </c>
      <c r="E9">
        <v>5</v>
      </c>
      <c r="F9" t="s">
        <v>43</v>
      </c>
      <c r="G9">
        <v>39</v>
      </c>
      <c r="I9" t="s">
        <v>38</v>
      </c>
    </row>
    <row r="10" spans="1:9">
      <c r="A10" t="s">
        <v>35</v>
      </c>
      <c r="C10" t="s">
        <v>40</v>
      </c>
      <c r="D10" t="s">
        <v>25</v>
      </c>
      <c r="E10">
        <v>6</v>
      </c>
      <c r="F10" t="s">
        <v>44</v>
      </c>
      <c r="G10">
        <v>38</v>
      </c>
      <c r="I10" t="s">
        <v>45</v>
      </c>
    </row>
    <row r="11" spans="1:9">
      <c r="A11" t="s">
        <v>46</v>
      </c>
      <c r="C11" t="s">
        <v>47</v>
      </c>
      <c r="D11" t="s">
        <v>25</v>
      </c>
      <c r="E11">
        <v>1</v>
      </c>
      <c r="F11" t="s">
        <v>48</v>
      </c>
      <c r="G11">
        <v>35</v>
      </c>
      <c r="I11" t="s">
        <v>38</v>
      </c>
    </row>
    <row r="12" spans="1:9">
      <c r="A12" t="s">
        <v>46</v>
      </c>
      <c r="C12" t="s">
        <v>47</v>
      </c>
      <c r="D12" t="s">
        <v>25</v>
      </c>
      <c r="E12">
        <v>2</v>
      </c>
      <c r="F12" t="s">
        <v>49</v>
      </c>
      <c r="G12">
        <v>34</v>
      </c>
      <c r="I12" t="s">
        <v>38</v>
      </c>
    </row>
    <row r="13" spans="1:9">
      <c r="A13" t="s">
        <v>46</v>
      </c>
      <c r="C13" t="s">
        <v>50</v>
      </c>
      <c r="D13" t="s">
        <v>25</v>
      </c>
      <c r="E13">
        <v>3</v>
      </c>
      <c r="F13" t="s">
        <v>51</v>
      </c>
      <c r="G13">
        <v>33</v>
      </c>
      <c r="I13" t="s">
        <v>38</v>
      </c>
    </row>
    <row r="14" spans="1:9">
      <c r="A14" t="s">
        <v>46</v>
      </c>
      <c r="C14" t="s">
        <v>50</v>
      </c>
      <c r="D14" t="s">
        <v>25</v>
      </c>
      <c r="E14">
        <v>4</v>
      </c>
      <c r="F14" t="s">
        <v>43</v>
      </c>
      <c r="G14">
        <v>32</v>
      </c>
      <c r="I14" t="s">
        <v>38</v>
      </c>
    </row>
    <row r="15" spans="1:9">
      <c r="A15" t="s">
        <v>46</v>
      </c>
      <c r="C15" t="s">
        <v>52</v>
      </c>
      <c r="D15" t="s">
        <v>25</v>
      </c>
      <c r="E15">
        <v>116</v>
      </c>
      <c r="F15" t="s">
        <v>53</v>
      </c>
      <c r="G15">
        <v>31</v>
      </c>
      <c r="I15" t="s">
        <v>38</v>
      </c>
    </row>
    <row r="16" spans="1:9">
      <c r="A16" t="s">
        <v>46</v>
      </c>
      <c r="C16" t="s">
        <v>52</v>
      </c>
      <c r="D16" t="s">
        <v>25</v>
      </c>
      <c r="E16">
        <v>117</v>
      </c>
      <c r="F16" t="s">
        <v>54</v>
      </c>
      <c r="G16">
        <v>30</v>
      </c>
      <c r="I16" t="s">
        <v>38</v>
      </c>
    </row>
    <row r="17" spans="1:9">
      <c r="A17" t="s">
        <v>55</v>
      </c>
      <c r="C17" t="s">
        <v>56</v>
      </c>
      <c r="D17" t="s">
        <v>25</v>
      </c>
      <c r="E17">
        <v>1</v>
      </c>
      <c r="F17" t="s">
        <v>57</v>
      </c>
      <c r="G17">
        <v>29</v>
      </c>
      <c r="I17" t="s">
        <v>38</v>
      </c>
    </row>
    <row r="18" spans="1:9">
      <c r="A18" t="s">
        <v>55</v>
      </c>
      <c r="C18" t="s">
        <v>56</v>
      </c>
      <c r="D18" t="s">
        <v>25</v>
      </c>
      <c r="E18">
        <v>4</v>
      </c>
      <c r="F18" t="s">
        <v>58</v>
      </c>
      <c r="G18">
        <v>28</v>
      </c>
      <c r="I18" t="s">
        <v>45</v>
      </c>
    </row>
    <row r="19" spans="1:9">
      <c r="A19" t="s">
        <v>59</v>
      </c>
      <c r="C19" t="s">
        <v>60</v>
      </c>
      <c r="D19" t="s">
        <v>25</v>
      </c>
      <c r="E19">
        <v>3</v>
      </c>
      <c r="F19" t="s">
        <v>61</v>
      </c>
      <c r="G19">
        <v>27</v>
      </c>
      <c r="I19" t="s">
        <v>45</v>
      </c>
    </row>
    <row r="20" spans="1:9">
      <c r="A20" t="s">
        <v>62</v>
      </c>
      <c r="C20" t="s">
        <v>63</v>
      </c>
      <c r="D20" t="s">
        <v>25</v>
      </c>
      <c r="E20">
        <v>1</v>
      </c>
      <c r="F20" t="s">
        <v>64</v>
      </c>
      <c r="G20">
        <v>26</v>
      </c>
      <c r="I20" t="s">
        <v>38</v>
      </c>
    </row>
    <row r="21" spans="1:9">
      <c r="A21" t="s">
        <v>62</v>
      </c>
      <c r="C21" t="s">
        <v>63</v>
      </c>
      <c r="D21" t="s">
        <v>25</v>
      </c>
      <c r="E21">
        <v>2</v>
      </c>
      <c r="F21" t="s">
        <v>65</v>
      </c>
      <c r="G21">
        <v>25</v>
      </c>
      <c r="I21" t="s">
        <v>38</v>
      </c>
    </row>
    <row r="22" spans="1:9">
      <c r="A22" t="s">
        <v>62</v>
      </c>
      <c r="C22" t="s">
        <v>63</v>
      </c>
      <c r="D22" t="s">
        <v>25</v>
      </c>
      <c r="E22">
        <v>3</v>
      </c>
      <c r="F22" t="s">
        <v>66</v>
      </c>
      <c r="G22">
        <v>24</v>
      </c>
      <c r="I22" t="s">
        <v>38</v>
      </c>
    </row>
    <row r="23" spans="1:9">
      <c r="A23" t="s">
        <v>62</v>
      </c>
      <c r="C23" t="s">
        <v>63</v>
      </c>
      <c r="D23" t="s">
        <v>25</v>
      </c>
      <c r="E23">
        <v>4</v>
      </c>
      <c r="F23" t="s">
        <v>67</v>
      </c>
      <c r="G23">
        <v>23</v>
      </c>
      <c r="I23" t="s">
        <v>45</v>
      </c>
    </row>
    <row r="24" spans="1:9">
      <c r="A24" t="s">
        <v>68</v>
      </c>
      <c r="B24" t="s">
        <v>69</v>
      </c>
      <c r="C24" t="s">
        <v>2104</v>
      </c>
      <c r="D24" t="s">
        <v>25</v>
      </c>
      <c r="E24">
        <v>1</v>
      </c>
      <c r="F24" t="s">
        <v>71</v>
      </c>
      <c r="G24">
        <v>0</v>
      </c>
      <c r="H24" t="s">
        <v>72</v>
      </c>
      <c r="I24" t="s">
        <v>28</v>
      </c>
    </row>
    <row r="25" spans="1:9">
      <c r="A25" t="s">
        <v>68</v>
      </c>
      <c r="B25" t="s">
        <v>69</v>
      </c>
      <c r="C25" t="s">
        <v>2189</v>
      </c>
      <c r="D25" t="s">
        <v>25</v>
      </c>
      <c r="E25">
        <v>2</v>
      </c>
      <c r="F25" t="s">
        <v>74</v>
      </c>
      <c r="G25">
        <v>5</v>
      </c>
      <c r="H25" t="s">
        <v>75</v>
      </c>
      <c r="I25" t="s">
        <v>34</v>
      </c>
    </row>
    <row r="26" spans="1:9">
      <c r="A26" t="s">
        <v>68</v>
      </c>
      <c r="B26" t="s">
        <v>69</v>
      </c>
      <c r="C26" t="s">
        <v>2340</v>
      </c>
      <c r="D26" t="s">
        <v>25</v>
      </c>
      <c r="E26">
        <v>3</v>
      </c>
      <c r="F26" t="s">
        <v>77</v>
      </c>
      <c r="G26">
        <v>5</v>
      </c>
      <c r="H26" t="s">
        <v>78</v>
      </c>
      <c r="I26" t="s">
        <v>34</v>
      </c>
    </row>
    <row r="27" spans="1:9">
      <c r="A27" t="s">
        <v>68</v>
      </c>
      <c r="B27" t="s">
        <v>69</v>
      </c>
      <c r="C27" t="s">
        <v>1807</v>
      </c>
      <c r="D27" t="s">
        <v>25</v>
      </c>
      <c r="E27">
        <v>4</v>
      </c>
      <c r="F27" t="s">
        <v>80</v>
      </c>
      <c r="G27">
        <v>5</v>
      </c>
      <c r="H27" t="s">
        <v>81</v>
      </c>
      <c r="I27" t="s">
        <v>34</v>
      </c>
    </row>
    <row r="28" spans="1:9">
      <c r="A28" t="s">
        <v>68</v>
      </c>
      <c r="B28" t="s">
        <v>69</v>
      </c>
      <c r="C28" t="s">
        <v>2105</v>
      </c>
      <c r="D28" t="s">
        <v>25</v>
      </c>
      <c r="E28">
        <v>5</v>
      </c>
      <c r="F28" t="s">
        <v>83</v>
      </c>
      <c r="G28">
        <v>45</v>
      </c>
      <c r="H28" t="s">
        <v>84</v>
      </c>
      <c r="I28" t="s">
        <v>85</v>
      </c>
    </row>
    <row r="29" spans="1:9">
      <c r="A29" t="s">
        <v>86</v>
      </c>
      <c r="B29" t="s">
        <v>87</v>
      </c>
      <c r="C29" t="s">
        <v>88</v>
      </c>
      <c r="D29" t="s">
        <v>25</v>
      </c>
      <c r="E29">
        <v>8</v>
      </c>
      <c r="F29" t="s">
        <v>89</v>
      </c>
      <c r="G29">
        <v>6</v>
      </c>
      <c r="I29" t="s">
        <v>31</v>
      </c>
    </row>
    <row r="30" spans="1:9">
      <c r="A30" t="s">
        <v>86</v>
      </c>
      <c r="B30" t="s">
        <v>87</v>
      </c>
      <c r="C30" t="s">
        <v>88</v>
      </c>
      <c r="D30" t="s">
        <v>25</v>
      </c>
      <c r="E30">
        <v>9</v>
      </c>
      <c r="F30" t="s">
        <v>90</v>
      </c>
      <c r="G30">
        <v>5</v>
      </c>
      <c r="I30" t="s">
        <v>34</v>
      </c>
    </row>
    <row r="31" spans="1:9">
      <c r="A31" t="s">
        <v>86</v>
      </c>
      <c r="B31" t="s">
        <v>87</v>
      </c>
      <c r="C31" t="s">
        <v>91</v>
      </c>
      <c r="D31" t="s">
        <v>25</v>
      </c>
      <c r="E31">
        <v>10</v>
      </c>
      <c r="F31" t="s">
        <v>92</v>
      </c>
      <c r="G31">
        <v>4</v>
      </c>
      <c r="I31" t="s">
        <v>28</v>
      </c>
    </row>
    <row r="32" spans="1:9">
      <c r="A32" t="s">
        <v>86</v>
      </c>
      <c r="B32" t="s">
        <v>87</v>
      </c>
      <c r="C32" t="s">
        <v>93</v>
      </c>
      <c r="D32" t="s">
        <v>25</v>
      </c>
      <c r="E32">
        <v>11</v>
      </c>
      <c r="F32" t="s">
        <v>94</v>
      </c>
      <c r="G32">
        <v>3</v>
      </c>
      <c r="I32" t="s">
        <v>95</v>
      </c>
    </row>
    <row r="33" spans="1:9">
      <c r="A33" t="s">
        <v>86</v>
      </c>
      <c r="B33" t="s">
        <v>87</v>
      </c>
      <c r="C33" t="s">
        <v>96</v>
      </c>
      <c r="D33" t="s">
        <v>25</v>
      </c>
      <c r="E33">
        <v>12</v>
      </c>
      <c r="F33" t="s">
        <v>97</v>
      </c>
      <c r="G33">
        <v>2</v>
      </c>
      <c r="I33" t="s">
        <v>95</v>
      </c>
    </row>
    <row r="34" spans="1:9">
      <c r="A34" t="s">
        <v>86</v>
      </c>
      <c r="B34" t="s">
        <v>87</v>
      </c>
      <c r="C34" t="s">
        <v>98</v>
      </c>
      <c r="D34" t="s">
        <v>25</v>
      </c>
      <c r="E34">
        <v>13</v>
      </c>
      <c r="F34" t="s">
        <v>99</v>
      </c>
      <c r="G34">
        <v>1</v>
      </c>
      <c r="I34" t="s">
        <v>31</v>
      </c>
    </row>
    <row r="35" spans="1:9">
      <c r="A35" t="s">
        <v>86</v>
      </c>
      <c r="B35" t="s">
        <v>87</v>
      </c>
      <c r="C35" t="s">
        <v>98</v>
      </c>
      <c r="D35" t="s">
        <v>25</v>
      </c>
      <c r="E35">
        <v>14</v>
      </c>
      <c r="F35" t="s">
        <v>100</v>
      </c>
      <c r="G35">
        <v>0</v>
      </c>
      <c r="I35" t="s">
        <v>28</v>
      </c>
    </row>
    <row r="36" spans="1:9">
      <c r="A36" t="s">
        <v>101</v>
      </c>
      <c r="C36" t="s">
        <v>102</v>
      </c>
      <c r="D36" t="s">
        <v>103</v>
      </c>
      <c r="E36">
        <v>1</v>
      </c>
      <c r="F36" t="s">
        <v>104</v>
      </c>
      <c r="G36">
        <v>12</v>
      </c>
    </row>
    <row r="37" spans="1:9">
      <c r="A37" t="s">
        <v>101</v>
      </c>
      <c r="C37" t="s">
        <v>105</v>
      </c>
      <c r="D37" t="s">
        <v>103</v>
      </c>
      <c r="E37">
        <v>2</v>
      </c>
      <c r="F37" t="s">
        <v>106</v>
      </c>
      <c r="G37">
        <v>11</v>
      </c>
    </row>
    <row r="38" spans="1:9">
      <c r="A38" t="s">
        <v>101</v>
      </c>
      <c r="C38" t="s">
        <v>105</v>
      </c>
      <c r="D38" t="s">
        <v>103</v>
      </c>
      <c r="E38">
        <v>3</v>
      </c>
      <c r="F38" t="s">
        <v>107</v>
      </c>
      <c r="G38">
        <v>10</v>
      </c>
    </row>
    <row r="39" spans="1:9">
      <c r="A39" t="s">
        <v>101</v>
      </c>
      <c r="C39" t="s">
        <v>105</v>
      </c>
      <c r="D39" t="s">
        <v>103</v>
      </c>
      <c r="E39">
        <v>4</v>
      </c>
      <c r="F39" t="s">
        <v>108</v>
      </c>
      <c r="G39">
        <v>9</v>
      </c>
    </row>
    <row r="40" spans="1:9">
      <c r="A40" t="s">
        <v>101</v>
      </c>
      <c r="C40" t="s">
        <v>105</v>
      </c>
      <c r="D40" t="s">
        <v>103</v>
      </c>
      <c r="E40">
        <v>5</v>
      </c>
      <c r="F40" t="s">
        <v>109</v>
      </c>
      <c r="G40">
        <v>8</v>
      </c>
    </row>
    <row r="41" spans="1:9">
      <c r="A41" t="s">
        <v>101</v>
      </c>
      <c r="C41" t="s">
        <v>110</v>
      </c>
      <c r="D41" t="s">
        <v>103</v>
      </c>
      <c r="E41">
        <v>6</v>
      </c>
      <c r="F41" t="s">
        <v>111</v>
      </c>
      <c r="G41">
        <v>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14ac xr xr2 xr3" xr:uid="{00000000-0001-0000-0200-000000000000}">
  <dimension ref="A1:D80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7" t="s">
        <v>112</v>
      </c>
      <c r="B1" s="62"/>
      <c r="C1" s="62"/>
      <c r="D1" s="62"/>
    </row>
    <row r="2" spans="1:4" ht="15" customHeight="1">
      <c r="A2" s="60" t="s">
        <v>113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114</v>
      </c>
      <c r="B4" s="43" t="s">
        <v>115</v>
      </c>
      <c r="C4" s="43" t="s">
        <v>116</v>
      </c>
      <c r="D4" s="43" t="s">
        <v>117</v>
      </c>
    </row>
    <row r="5" spans="1:4" ht="15" customHeight="1">
      <c r="A5" s="44" t="s">
        <v>35</v>
      </c>
      <c r="B5" s="44" t="s">
        <v>118</v>
      </c>
      <c r="C5" s="44" t="s">
        <v>119</v>
      </c>
      <c r="D5" s="44" t="s">
        <v>120</v>
      </c>
    </row>
    <row r="6" spans="1:4" ht="15" customHeight="1">
      <c r="A6" s="44" t="s">
        <v>55</v>
      </c>
      <c r="B6" s="44" t="s">
        <v>121</v>
      </c>
      <c r="C6" s="44" t="s">
        <v>122</v>
      </c>
      <c r="D6" s="44" t="s">
        <v>123</v>
      </c>
    </row>
    <row r="7" spans="1:4" ht="15" customHeight="1">
      <c r="A7" s="44" t="s">
        <v>46</v>
      </c>
      <c r="B7" s="44" t="s">
        <v>124</v>
      </c>
      <c r="C7" s="44" t="s">
        <v>125</v>
      </c>
      <c r="D7" s="44" t="s">
        <v>126</v>
      </c>
    </row>
    <row r="8" spans="1:4" ht="15" customHeight="1">
      <c r="A8" s="44" t="s">
        <v>59</v>
      </c>
      <c r="B8" s="44" t="s">
        <v>127</v>
      </c>
      <c r="C8" s="44" t="s">
        <v>128</v>
      </c>
      <c r="D8" s="44" t="s">
        <v>129</v>
      </c>
    </row>
    <row r="9" spans="1:4" ht="15" customHeight="1">
      <c r="A9" s="44" t="s">
        <v>62</v>
      </c>
      <c r="B9" s="44" t="s">
        <v>130</v>
      </c>
      <c r="C9" s="44" t="s">
        <v>131</v>
      </c>
      <c r="D9" s="44" t="s">
        <v>132</v>
      </c>
    </row>
    <row r="10" spans="1:4" ht="15" customHeight="1">
      <c r="A10" s="44" t="s">
        <v>133</v>
      </c>
      <c r="B10" s="44" t="s">
        <v>68</v>
      </c>
      <c r="C10" s="44" t="s">
        <v>134</v>
      </c>
      <c r="D10" s="44" t="s">
        <v>135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9" t="s">
        <v>136</v>
      </c>
      <c r="B13" s="62"/>
      <c r="C13" s="62"/>
      <c r="D13" s="62"/>
    </row>
    <row r="14" spans="1:4" ht="15" customHeight="1">
      <c r="A14" s="49" t="s">
        <v>137</v>
      </c>
      <c r="B14" s="58" t="s">
        <v>138</v>
      </c>
      <c r="C14" s="62"/>
      <c r="D14" s="62"/>
    </row>
    <row r="15" spans="1:4" ht="15" customHeight="1">
      <c r="A15" s="49" t="s">
        <v>139</v>
      </c>
      <c r="B15" s="58" t="s">
        <v>140</v>
      </c>
      <c r="C15" s="62"/>
      <c r="D15" s="62"/>
    </row>
    <row r="16" spans="1:4" ht="15" customHeight="1">
      <c r="A16" s="49" t="s">
        <v>141</v>
      </c>
      <c r="B16" s="58" t="s">
        <v>142</v>
      </c>
      <c r="C16" s="62"/>
      <c r="D16" s="62"/>
    </row>
    <row r="17" spans="1:4" ht="15" customHeight="1">
      <c r="A17" s="49" t="s">
        <v>143</v>
      </c>
      <c r="B17" s="58" t="s">
        <v>144</v>
      </c>
      <c r="C17" s="62"/>
      <c r="D17" s="62"/>
    </row>
    <row r="18" spans="1:4" ht="15" customHeight="1">
      <c r="A18" s="49" t="s">
        <v>145</v>
      </c>
      <c r="B18" s="58" t="s">
        <v>146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9" t="s">
        <v>147</v>
      </c>
      <c r="B20" s="62"/>
      <c r="C20" s="62"/>
      <c r="D20" s="62"/>
    </row>
    <row r="21" spans="1:4" ht="15" customHeight="1">
      <c r="A21" s="58" t="s">
        <v>148</v>
      </c>
      <c r="B21" s="62"/>
      <c r="C21" s="62"/>
      <c r="D21" s="62"/>
    </row>
    <row r="22" spans="1:4" ht="15" customHeight="1">
      <c r="A22" s="58" t="s">
        <v>149</v>
      </c>
      <c r="B22" s="62"/>
      <c r="C22" s="62"/>
      <c r="D22" s="62"/>
    </row>
    <row r="23" spans="1:4" ht="15" customHeight="1">
      <c r="A23" s="58" t="s">
        <v>150</v>
      </c>
      <c r="B23" s="62"/>
      <c r="C23" s="62"/>
      <c r="D23" s="62"/>
    </row>
    <row r="24" spans="1:4" ht="15" customHeight="1">
      <c r="A24" s="58" t="s">
        <v>151</v>
      </c>
      <c r="B24" s="62"/>
      <c r="C24" s="62"/>
      <c r="D24" s="62"/>
    </row>
    <row r="25" spans="1:4" ht="15" customHeight="1">
      <c r="A25" s="58" t="s">
        <v>152</v>
      </c>
      <c r="B25" s="62"/>
      <c r="C25" s="62"/>
      <c r="D25" s="62"/>
    </row>
    <row r="26" spans="1:4" ht="41.25" customHeight="1">
      <c r="A26" s="49" t="s">
        <v>153</v>
      </c>
      <c r="B26" s="49"/>
      <c r="C26" s="49"/>
      <c r="D26" s="49"/>
    </row>
    <row r="27" spans="1:4" ht="15.75" customHeight="1">
      <c r="A27" s="59" t="s">
        <v>154</v>
      </c>
      <c r="B27" s="62"/>
      <c r="C27" s="62"/>
      <c r="D27" s="62"/>
    </row>
    <row r="28" spans="1:4" ht="15" customHeight="1">
      <c r="A28" s="58"/>
      <c r="B28" s="62"/>
      <c r="C28" s="62"/>
      <c r="D28" s="62"/>
    </row>
    <row r="29" spans="1:4" ht="15" customHeight="1">
      <c r="A29" s="58" t="s">
        <v>155</v>
      </c>
      <c r="B29" s="62"/>
      <c r="C29" s="62"/>
      <c r="D29" s="62"/>
    </row>
    <row r="30" spans="1:4" ht="15" customHeight="1">
      <c r="A30" s="58" t="s">
        <v>156</v>
      </c>
      <c r="B30" s="62"/>
      <c r="C30" s="62"/>
      <c r="D30" s="62"/>
    </row>
    <row r="31" spans="1:4" ht="15" customHeight="1">
      <c r="A31" s="58" t="s">
        <v>157</v>
      </c>
      <c r="B31" s="62"/>
      <c r="C31" s="62"/>
      <c r="D31" s="62"/>
    </row>
    <row r="32" spans="1:4" ht="94.5" customHeight="1">
      <c r="A32" s="49" t="s">
        <v>158</v>
      </c>
      <c r="B32" s="49"/>
      <c r="C32" s="49"/>
      <c r="D32" s="49"/>
    </row>
    <row r="33" spans="1:4" ht="94.5" customHeight="1">
      <c r="A33" s="49" t="s">
        <v>159</v>
      </c>
      <c r="B33" s="49"/>
      <c r="C33" s="49"/>
      <c r="D33" s="49"/>
    </row>
    <row r="34" spans="1:4" ht="68.25" customHeight="1">
      <c r="A34" s="49" t="s">
        <v>160</v>
      </c>
      <c r="B34" s="49"/>
      <c r="C34" s="49"/>
      <c r="D34" s="49"/>
    </row>
    <row r="35" spans="1:4" ht="68.25" customHeight="1">
      <c r="A35" s="49" t="s">
        <v>161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162</v>
      </c>
      <c r="B37" s="49"/>
      <c r="C37" s="49"/>
      <c r="D37" s="49"/>
    </row>
    <row r="38" spans="1:4" ht="54.75" customHeight="1">
      <c r="A38" s="49" t="s">
        <v>163</v>
      </c>
      <c r="B38" s="49"/>
      <c r="C38" s="49"/>
      <c r="D38" s="49"/>
    </row>
    <row r="39" spans="1:4" ht="54.75" customHeight="1">
      <c r="A39" s="49" t="s">
        <v>164</v>
      </c>
      <c r="B39" s="49"/>
      <c r="C39" s="49"/>
      <c r="D39" s="49"/>
    </row>
    <row r="40" spans="1:4" ht="68.25" customHeight="1">
      <c r="A40" s="49" t="s">
        <v>165</v>
      </c>
      <c r="B40" s="49"/>
      <c r="C40" s="49"/>
      <c r="D40" s="49"/>
    </row>
    <row r="41" spans="1:4" ht="68.25" customHeight="1">
      <c r="A41" s="49" t="s">
        <v>166</v>
      </c>
      <c r="B41" s="49"/>
      <c r="C41" s="49"/>
      <c r="D41" s="49"/>
    </row>
    <row r="42" spans="1:4" ht="54.75" customHeight="1">
      <c r="A42" s="49" t="s">
        <v>167</v>
      </c>
      <c r="B42" s="49"/>
      <c r="C42" s="49"/>
      <c r="D42" s="49"/>
    </row>
    <row r="43" spans="1:4" ht="54.75" customHeight="1">
      <c r="A43" s="49" t="s">
        <v>168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75">
      <c r="A45" s="56" t="s">
        <v>169</v>
      </c>
      <c r="B45" s="49"/>
      <c r="C45" s="49"/>
      <c r="D45" s="49"/>
    </row>
    <row r="46" spans="1:4" ht="45">
      <c r="A46" s="49" t="s">
        <v>170</v>
      </c>
      <c r="B46" s="49"/>
      <c r="C46" s="49"/>
      <c r="D46" s="49"/>
    </row>
    <row r="47" spans="1:4" ht="60">
      <c r="A47" s="49" t="s">
        <v>171</v>
      </c>
      <c r="B47" s="49"/>
      <c r="C47" s="49"/>
      <c r="D47" s="49"/>
    </row>
    <row r="48" spans="1:4" ht="60">
      <c r="A48" s="49" t="s">
        <v>172</v>
      </c>
      <c r="B48" s="49"/>
      <c r="C48" s="49"/>
      <c r="D48" s="49"/>
    </row>
    <row r="49" spans="1:4" ht="75">
      <c r="A49" s="49" t="s">
        <v>173</v>
      </c>
      <c r="B49" s="49"/>
      <c r="C49" s="49"/>
      <c r="D49" s="49"/>
    </row>
    <row r="50" spans="1:4" ht="75">
      <c r="A50" s="49" t="s">
        <v>174</v>
      </c>
      <c r="B50" s="49"/>
      <c r="C50" s="49"/>
      <c r="D50" s="49"/>
    </row>
    <row r="51" spans="1:4">
      <c r="A51" s="49" t="s">
        <v>175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176</v>
      </c>
      <c r="B53" s="49"/>
      <c r="C53" s="49"/>
      <c r="D53" s="49"/>
    </row>
    <row r="54" spans="1:4" ht="60">
      <c r="A54" s="49" t="s">
        <v>177</v>
      </c>
      <c r="B54" s="49"/>
      <c r="C54" s="49"/>
      <c r="D54" s="49"/>
    </row>
    <row r="55" spans="1:4" ht="60">
      <c r="A55" s="49" t="s">
        <v>178</v>
      </c>
      <c r="B55" s="49"/>
      <c r="C55" s="49"/>
      <c r="D55" s="49"/>
    </row>
    <row r="56" spans="1:4">
      <c r="A56" s="49" t="s">
        <v>179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>
      <c r="A82" t="s">
        <v>2154</v>
      </c>
    </row>
    <row r="83">
      <c r="A83" t="s">
        <v>2165</v>
      </c>
    </row>
    <row r="84">
      <c r="A84" t="s">
        <v>2005</v>
      </c>
    </row>
    <row r="85">
      <c r="A85" t="s">
        <v>1821</v>
      </c>
    </row>
    <row r="86">
      <c r="A86" t="s">
        <v>1977</v>
      </c>
    </row>
    <row r="87">
      <c r="A87" t="s">
        <v>2031</v>
      </c>
    </row>
    <row r="88">
      <c r="A88" t="s">
        <v>2428</v>
      </c>
    </row>
    <row r="89">
      <c r="A89" t="s">
        <v>2359</v>
      </c>
    </row>
    <row r="92">
      <c r="A92" t="s">
        <v>2429</v>
      </c>
    </row>
    <row r="94">
      <c r="A94" t="s">
        <v>2430</v>
      </c>
      <c r="B94" t="s">
        <v>2431</v>
      </c>
      <c r="C94" t="s">
        <v>2432</v>
      </c>
      <c r="D94" t="s">
        <v>2433</v>
      </c>
      <c r="E94" t="s">
        <v>2434</v>
      </c>
      <c r="F94" t="s">
        <v>2435</v>
      </c>
      <c r="G94" t="s">
        <v>2436</v>
      </c>
      <c r="H94" t="s">
        <v>2437</v>
      </c>
    </row>
    <row r="95">
      <c r="A95" t="s">
        <v>2438</v>
      </c>
      <c r="B95" t="s">
        <v>2439</v>
      </c>
      <c r="C95" t="s">
        <v>2440</v>
      </c>
      <c r="D95" t="s">
        <v>2441</v>
      </c>
      <c r="E95" t="s">
        <v>2442</v>
      </c>
      <c r="F95" t="s">
        <v>2443</v>
      </c>
      <c r="G95" t="s">
        <v>2444</v>
      </c>
      <c r="H95" t="s">
        <v>2445</v>
      </c>
    </row>
    <row r="96">
      <c r="A96" t="s">
        <v>2446</v>
      </c>
      <c r="B96" t="s">
        <v>2447</v>
      </c>
      <c r="C96" t="s">
        <v>2448</v>
      </c>
      <c r="D96" t="s">
        <v>2449</v>
      </c>
      <c r="E96" t="s">
        <v>2450</v>
      </c>
      <c r="F96" t="s">
        <v>2451</v>
      </c>
      <c r="G96" t="s">
        <v>2452</v>
      </c>
      <c r="H96" t="s">
        <v>2453</v>
      </c>
    </row>
    <row r="97">
      <c r="A97" t="s">
        <v>2454</v>
      </c>
      <c r="B97" t="s">
        <v>2455</v>
      </c>
      <c r="C97" t="s">
        <v>2456</v>
      </c>
      <c r="D97" t="s">
        <v>2457</v>
      </c>
      <c r="E97" t="s">
        <v>2458</v>
      </c>
      <c r="F97" t="s">
        <v>2459</v>
      </c>
      <c r="G97" t="s">
        <v>2460</v>
      </c>
      <c r="H97" t="s">
        <v>2461</v>
      </c>
    </row>
  </sheetData>
  <mergeCells count="19"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  <mergeCell ref="A1:D1"/>
    <mergeCell ref="A25:D25"/>
    <mergeCell ref="B16:D16"/>
    <mergeCell ref="A27:D27"/>
    <mergeCell ref="A21:D21"/>
    <mergeCell ref="B18:D1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180</v>
      </c>
      <c r="B1" s="50" t="s">
        <v>181</v>
      </c>
      <c r="C1" s="50" t="s">
        <v>182</v>
      </c>
      <c r="D1" s="50" t="s">
        <v>183</v>
      </c>
      <c r="E1" s="50" t="s">
        <v>184</v>
      </c>
      <c r="F1" s="50" t="s">
        <v>185</v>
      </c>
      <c r="G1" s="50" t="s">
        <v>186</v>
      </c>
      <c r="H1" s="50" t="s">
        <v>187</v>
      </c>
      <c r="I1" s="50" t="s">
        <v>188</v>
      </c>
      <c r="J1" s="50" t="s">
        <v>189</v>
      </c>
      <c r="K1" s="50" t="s">
        <v>190</v>
      </c>
      <c r="L1" s="50" t="s">
        <v>191</v>
      </c>
      <c r="M1" s="50" t="s">
        <v>192</v>
      </c>
      <c r="N1" s="50" t="s">
        <v>193</v>
      </c>
      <c r="O1" s="50" t="s">
        <v>194</v>
      </c>
      <c r="P1" s="50" t="s">
        <v>195</v>
      </c>
      <c r="Q1" s="50" t="s">
        <v>196</v>
      </c>
      <c r="R1" s="50" t="s">
        <v>197</v>
      </c>
      <c r="S1" s="50" t="s">
        <v>198</v>
      </c>
      <c r="T1" s="50" t="s">
        <v>199</v>
      </c>
      <c r="U1" s="50" t="s">
        <v>200</v>
      </c>
      <c r="V1" s="50" t="s">
        <v>201</v>
      </c>
      <c r="W1" s="50" t="s">
        <v>202</v>
      </c>
      <c r="X1" s="50" t="s">
        <v>203</v>
      </c>
      <c r="Y1" s="50" t="s">
        <v>204</v>
      </c>
      <c r="Z1" s="50" t="s">
        <v>205</v>
      </c>
    </row>
    <row r="2" spans="1:26" ht="45.75" customHeight="1">
      <c r="A2" s="4" t="s">
        <v>206</v>
      </c>
      <c r="B2" s="24" t="s">
        <v>207</v>
      </c>
      <c r="C2" t="s">
        <v>208</v>
      </c>
      <c r="D2" t="str">
        <f>IF($C2="","",IFERROR(LOOKUP(2,1/('03_Warehouse_Movements'!$C$2:$C$500=$A2),'03_Warehouse_Movements'!$E$2:$E$500),$C2))</f>
        <v>ACTIVE</v>
      </c>
      <c r="E2" t="s">
        <v>209</v>
      </c>
      <c r="F2" t="s">
        <v>210</v>
      </c>
      <c r="G2" s="25">
        <v>7</v>
      </c>
      <c r="H2" s="3" t="str">
        <f t="shared" ref="H2:H65" si="0">IF(AND($F2="TEMP",$G2&gt;0,$M2&lt;&gt;""),$M2+$G2,"")</f>
        <v/>
      </c>
      <c r="I2" s="3" t="s">
        <v>211</v>
      </c>
      <c r="J2" s="4" t="s">
        <v>212</v>
      </c>
      <c r="K2" s="3">
        <v>46053</v>
      </c>
      <c r="L2" s="4" t="s">
        <v>213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214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215</v>
      </c>
      <c r="B3" s="24"/>
      <c r="C3" t="s">
        <v>216</v>
      </c>
      <c r="D3" t="str">
        <f>IF($C3="","",IFERROR(LOOKUP(2,1/('03_Warehouse_Movements'!$C$2:$C$500=$A3),'03_Warehouse_Movements'!$E$2:$E$500),$C3))</f>
        <v>STAGED</v>
      </c>
      <c r="E3" t="s">
        <v>217</v>
      </c>
      <c r="F3" t="s">
        <v>218</v>
      </c>
      <c r="G3" s="25"/>
      <c r="H3" s="3" t="str">
        <f t="shared" si="0"/>
        <v/>
      </c>
      <c r="I3" s="3" t="s">
        <v>219</v>
      </c>
      <c r="J3" s="4" t="s">
        <v>220</v>
      </c>
      <c r="K3" s="3">
        <v>46052</v>
      </c>
      <c r="L3" s="4" t="s">
        <v>221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222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223</v>
      </c>
      <c r="B4" s="4" t="s">
        <v>224</v>
      </c>
      <c r="C4" t="s">
        <v>225</v>
      </c>
      <c r="D4" t="str">
        <f>IF($C4="","",IFERROR(LOOKUP(2,1/('03_Warehouse_Movements'!$C$2:$C$500=$A4),'03_Warehouse_Movements'!$E$2:$E$500),$C4))</f>
        <v>UNSAFE</v>
      </c>
      <c r="E4" t="s">
        <v>209</v>
      </c>
      <c r="F4" t="s">
        <v>226</v>
      </c>
      <c r="G4" s="25"/>
      <c r="H4" s="3" t="str">
        <f t="shared" si="0"/>
        <v/>
      </c>
      <c r="I4" s="3" t="s">
        <v>227</v>
      </c>
      <c r="J4" s="4" t="s">
        <v>228</v>
      </c>
      <c r="K4" s="3">
        <v>46046</v>
      </c>
      <c r="L4" s="4" t="s">
        <v>213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229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230</v>
      </c>
      <c r="B5" s="4" t="s">
        <v>231</v>
      </c>
      <c r="C5" t="s">
        <v>231</v>
      </c>
      <c r="D5" t="str">
        <f>IF($C5="","",IFERROR(LOOKUP(2,1/('03_Warehouse_Movements'!$C$2:$C$500=$A5),'03_Warehouse_Movements'!$E$2:$E$500),$C5))</f>
        <v>48x T24i-30</v>
      </c>
      <c r="E5" t="s">
        <v>209</v>
      </c>
      <c r="F5" t="s">
        <v>218</v>
      </c>
      <c r="G5" s="25"/>
      <c r="H5" s="3" t="str">
        <f t="shared" si="0"/>
        <v/>
      </c>
      <c r="I5" s="3" t="s">
        <v>232</v>
      </c>
      <c r="J5" s="4" t="s">
        <v>220</v>
      </c>
      <c r="K5" s="3">
        <v>46051</v>
      </c>
      <c r="L5" s="4" t="s">
        <v>233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234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235</v>
      </c>
      <c r="B6" s="4" t="s">
        <v>236</v>
      </c>
      <c r="C6" t="s">
        <v>237</v>
      </c>
      <c r="D6" t="str">
        <f>IF($C6="","",IFERROR(LOOKUP(2,1/('03_Warehouse_Movements'!$C$2:$C$500=$A6),'03_Warehouse_Movements'!$E$2:$E$500),$C6))</f>
        <v>capsule &amp; GCX</v>
      </c>
      <c r="E6" t="s">
        <v>209</v>
      </c>
      <c r="F6" t="s">
        <v>218</v>
      </c>
      <c r="G6" s="25"/>
      <c r="H6" s="3" t="str">
        <f t="shared" si="0"/>
        <v/>
      </c>
      <c r="I6" s="3" t="s">
        <v>238</v>
      </c>
      <c r="J6" s="4" t="s">
        <v>239</v>
      </c>
      <c r="K6" s="3">
        <v>46059</v>
      </c>
      <c r="L6" s="4" t="s">
        <v>240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241</v>
      </c>
      <c r="B7" s="4"/>
      <c r="C7" t="s">
        <v>242</v>
      </c>
      <c r="D7" t="str">
        <f>IF($C7="","",IFERROR(LOOKUP(2,1/('03_Warehouse_Movements'!$C$2:$C$500=$A7),'03_Warehouse_Movements'!$E$2:$E$500),$C7))</f>
        <v>19x T24 Thinkvision Monitor 63CFMAR1US</v>
      </c>
      <c r="E7" t="s">
        <v>217</v>
      </c>
      <c r="F7" t="s">
        <v>218</v>
      </c>
      <c r="G7" s="25"/>
      <c r="H7" s="3" t="str">
        <f t="shared" si="0"/>
        <v/>
      </c>
      <c r="I7" s="4" t="s">
        <v>243</v>
      </c>
      <c r="K7" s="3">
        <v>46052</v>
      </c>
      <c r="L7" s="4" t="s">
        <v>233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244</v>
      </c>
      <c r="B8" s="4"/>
      <c r="C8" t="s">
        <v>245</v>
      </c>
      <c r="D8" t="str">
        <f>IF($C8="","",IFERROR(LOOKUP(2,1/('03_Warehouse_Movements'!$C$2:$C$500=$A8),'03_Warehouse_Movements'!$E$2:$E$500),$C8))</f>
        <v>TEMP</v>
      </c>
      <c r="E8" t="s">
        <v>217</v>
      </c>
      <c r="F8" t="s">
        <v>246</v>
      </c>
      <c r="G8" s="25">
        <v>14</v>
      </c>
      <c r="H8" s="3" t="str">
        <f t="shared" si="0"/>
        <v/>
      </c>
      <c r="I8" s="3" t="s">
        <v>232</v>
      </c>
      <c r="J8" s="4" t="s">
        <v>220</v>
      </c>
      <c r="K8" s="3">
        <v>46052</v>
      </c>
      <c r="L8" s="4" t="s">
        <v>233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247</v>
      </c>
      <c r="B9" s="4" t="s">
        <v>248</v>
      </c>
      <c r="C9" t="s">
        <v>249</v>
      </c>
      <c r="D9" t="str">
        <f>IF($C9="","",IFERROR(LOOKUP(2,1/('03_Warehouse_Movements'!$C$2:$C$500=$A9),'03_Warehouse_Movements'!$E$2:$E$500),$C9))</f>
        <v>SAMPLE: Power Supplies</v>
      </c>
      <c r="E9" t="s">
        <v>209</v>
      </c>
      <c r="F9" t="s">
        <v>218</v>
      </c>
      <c r="G9" s="25"/>
      <c r="H9" s="3" t="str">
        <f t="shared" si="0"/>
        <v/>
      </c>
      <c r="I9" s="3" t="s">
        <v>250</v>
      </c>
      <c r="J9" s="4" t="s">
        <v>220</v>
      </c>
      <c r="K9" s="3">
        <v>46052</v>
      </c>
      <c r="L9" s="4" t="s">
        <v>221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251</v>
      </c>
      <c r="B10" s="4"/>
      <c r="C10" t="s">
        <v>252</v>
      </c>
      <c r="D10" t="str">
        <f>IF($C10="","",IFERROR(LOOKUP(2,1/('03_Warehouse_Movements'!$C$2:$C$500=$A10),'03_Warehouse_Movements'!$E$2:$E$500),$C10))</f>
        <v>SAMPLE: Imaging Equipment</v>
      </c>
      <c r="E10" t="s">
        <v>209</v>
      </c>
      <c r="F10" t="s">
        <v>218</v>
      </c>
      <c r="G10" s="25"/>
      <c r="H10" s="3" t="str">
        <f t="shared" si="0"/>
        <v/>
      </c>
      <c r="I10" s="3" t="s">
        <v>253</v>
      </c>
      <c r="J10" s="4" t="s">
        <v>220</v>
      </c>
      <c r="K10" s="3">
        <v>46052</v>
      </c>
      <c r="L10" s="4" t="s">
        <v>221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254</v>
      </c>
      <c r="B11" s="4"/>
      <c r="C11" t="s">
        <v>255</v>
      </c>
      <c r="D11" t="str">
        <f>IF($C11="","",IFERROR(LOOKUP(2,1/('03_Warehouse_Movements'!$C$2:$C$500=$A11),'03_Warehouse_Movements'!$E$2:$E$500),$C11))</f>
        <v>SAMPLE: Misc Hardware</v>
      </c>
      <c r="E11" t="s">
        <v>209</v>
      </c>
      <c r="F11" t="s">
        <v>218</v>
      </c>
      <c r="G11" s="25"/>
      <c r="H11" s="3" t="str">
        <f t="shared" si="0"/>
        <v/>
      </c>
      <c r="I11" s="3" t="s">
        <v>256</v>
      </c>
      <c r="J11" s="4" t="s">
        <v>220</v>
      </c>
      <c r="K11" s="3">
        <v>46052</v>
      </c>
      <c r="L11" s="4" t="s">
        <v>221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257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258</v>
      </c>
      <c r="B12" s="4"/>
      <c r="C12" t="s">
        <v>259</v>
      </c>
      <c r="D12" t="str">
        <f>IF($C12="","",IFERROR(LOOKUP(2,1/('03_Warehouse_Movements'!$C$2:$C$500=$A12),'03_Warehouse_Movements'!$E$2:$E$500),$C12))</f>
        <v>SAMPLE: Dell Devices</v>
      </c>
      <c r="E12" t="s">
        <v>209</v>
      </c>
      <c r="F12" t="s">
        <v>218</v>
      </c>
      <c r="G12" s="25"/>
      <c r="H12" s="3" t="str">
        <f t="shared" si="0"/>
        <v/>
      </c>
      <c r="I12" s="3" t="s">
        <v>260</v>
      </c>
      <c r="J12" s="4" t="s">
        <v>220</v>
      </c>
      <c r="K12" s="3">
        <v>46052</v>
      </c>
      <c r="L12" s="4" t="s">
        <v>221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261</v>
      </c>
      <c r="B13" s="4"/>
      <c r="C13" t="s">
        <v>262</v>
      </c>
      <c r="D13" t="str">
        <f>IF($C13="","",IFERROR(LOOKUP(2,1/('03_Warehouse_Movements'!$C$2:$C$500=$A13),'03_Warehouse_Movements'!$E$2:$E$500),$C13))</f>
        <v>PAL-0000013</v>
      </c>
      <c r="E13" t="s">
        <v>209</v>
      </c>
      <c r="F13" t="s">
        <v>218</v>
      </c>
      <c r="G13" s="25"/>
      <c r="H13" s="3" t="str">
        <f t="shared" si="0"/>
        <v/>
      </c>
      <c r="I13" s="3" t="s">
        <v>219</v>
      </c>
      <c r="J13" s="4" t="s">
        <v>220</v>
      </c>
      <c r="K13" s="3">
        <v>46052</v>
      </c>
      <c r="L13" s="4" t="s">
        <v>221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263</v>
      </c>
      <c r="B14" s="4"/>
      <c r="C14" t="s">
        <v>264</v>
      </c>
      <c r="D14" t="str">
        <f>IF($C14="","",IFERROR(LOOKUP(2,1/('03_Warehouse_Movements'!$C$2:$C$500=$A14),'03_Warehouse_Movements'!$E$2:$E$500),$C14))</f>
        <v>SAMPLE: Cables &amp; Adapters</v>
      </c>
      <c r="E14" t="s">
        <v>209</v>
      </c>
      <c r="F14" t="s">
        <v>246</v>
      </c>
      <c r="G14" s="25">
        <v>14</v>
      </c>
      <c r="H14" s="3" t="str">
        <f t="shared" si="0"/>
        <v/>
      </c>
      <c r="I14" s="3" t="s">
        <v>265</v>
      </c>
      <c r="J14" s="4" t="s">
        <v>220</v>
      </c>
      <c r="K14" s="3">
        <v>46052</v>
      </c>
      <c r="L14" s="4" t="s">
        <v>221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266</v>
      </c>
      <c r="B15" s="4"/>
      <c r="C15" t="s">
        <v>267</v>
      </c>
      <c r="D15" t="str">
        <f>IF($C15="","",IFERROR(LOOKUP(2,1/('03_Warehouse_Movements'!$C$2:$C$500=$A15),'03_Warehouse_Movements'!$E$2:$E$500),$C15))</f>
        <v>SAMPLE: Racks &amp; Rails</v>
      </c>
      <c r="E15" t="s">
        <v>209</v>
      </c>
      <c r="F15" t="s">
        <v>218</v>
      </c>
      <c r="G15" s="25"/>
      <c r="H15" s="3" t="str">
        <f t="shared" si="0"/>
        <v/>
      </c>
      <c r="I15" s="3" t="s">
        <v>268</v>
      </c>
      <c r="J15" s="4" t="s">
        <v>220</v>
      </c>
      <c r="K15" s="3">
        <v>46052</v>
      </c>
      <c r="L15" s="4" t="s">
        <v>221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269</v>
      </c>
      <c r="B16" s="4" t="s">
        <v>270</v>
      </c>
      <c r="C16" t="s">
        <v>271</v>
      </c>
      <c r="D16" t="str">
        <f>IF($C16="","",IFERROR(LOOKUP(2,1/('03_Warehouse_Movements'!$C$2:$C$500=$A16),'03_Warehouse_Movements'!$E$2:$E$500),$C16))</f>
        <v>SAMPLE: Networking Gear</v>
      </c>
      <c r="E16" t="s">
        <v>209</v>
      </c>
      <c r="F16" t="s">
        <v>218</v>
      </c>
      <c r="G16" s="25"/>
      <c r="H16" s="3" t="str">
        <f t="shared" si="0"/>
        <v/>
      </c>
      <c r="I16" s="3" t="s">
        <v>272</v>
      </c>
      <c r="J16" s="4" t="s">
        <v>220</v>
      </c>
      <c r="K16" s="3">
        <v>46052</v>
      </c>
      <c r="L16" s="4" t="s">
        <v>221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273</v>
      </c>
      <c r="B17" s="4"/>
      <c r="C17" t="s">
        <v>274</v>
      </c>
      <c r="D17" t="str">
        <f>IF($C17="","",IFERROR(LOOKUP(2,1/('03_Warehouse_Movements'!$C$2:$C$500=$A17),'03_Warehouse_Movements'!$E$2:$E$500),$C17))</f>
        <v>SAMPLE: Keyboards &amp; Mice</v>
      </c>
      <c r="E17" t="s">
        <v>209</v>
      </c>
      <c r="F17" t="s">
        <v>218</v>
      </c>
      <c r="G17" s="25"/>
      <c r="H17" s="3" t="str">
        <f t="shared" si="0"/>
        <v/>
      </c>
      <c r="I17" s="3" t="s">
        <v>275</v>
      </c>
      <c r="J17" s="4" t="s">
        <v>220</v>
      </c>
      <c r="K17" s="3">
        <v>46052</v>
      </c>
      <c r="L17" s="4" t="s">
        <v>221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276</v>
      </c>
      <c r="B18" s="4"/>
      <c r="C18" t="s">
        <v>277</v>
      </c>
      <c r="D18" t="str">
        <f>IF($C18="","",IFERROR(LOOKUP(2,1/('03_Warehouse_Movements'!$C$2:$C$500=$A18),'03_Warehouse_Movements'!$E$2:$E$500),$C18))</f>
        <v>SAMPLE: Spare Parts</v>
      </c>
      <c r="E18" t="s">
        <v>209</v>
      </c>
      <c r="F18" t="s">
        <v>218</v>
      </c>
      <c r="G18" s="25"/>
      <c r="H18" s="3" t="str">
        <f t="shared" si="0"/>
        <v/>
      </c>
      <c r="I18" s="3" t="s">
        <v>278</v>
      </c>
      <c r="J18" s="4" t="s">
        <v>220</v>
      </c>
      <c r="K18" s="3">
        <v>46052</v>
      </c>
      <c r="L18" s="4" t="s">
        <v>221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279</v>
      </c>
      <c r="B19" s="4"/>
      <c r="C19" t="s">
        <v>280</v>
      </c>
      <c r="D19" t="str">
        <f>IF($C19="","",IFERROR(LOOKUP(2,1/('03_Warehouse_Movements'!$C$2:$C$500=$A19),'03_Warehouse_Movements'!$E$2:$E$500),$C19))</f>
        <v>PAL-0000019</v>
      </c>
      <c r="E19" t="s">
        <v>209</v>
      </c>
      <c r="F19" t="s">
        <v>218</v>
      </c>
      <c r="G19" s="25"/>
      <c r="H19" s="3" t="str">
        <f t="shared" si="0"/>
        <v/>
      </c>
      <c r="I19" s="3" t="s">
        <v>250</v>
      </c>
      <c r="J19" s="4" t="s">
        <v>220</v>
      </c>
      <c r="K19" s="3">
        <v>46052</v>
      </c>
      <c r="L19" s="4" t="s">
        <v>221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281</v>
      </c>
      <c r="B20" s="4"/>
      <c r="C20" t="s">
        <v>282</v>
      </c>
      <c r="D20" t="str">
        <f>IF($C20="","",IFERROR(LOOKUP(2,1/('03_Warehouse_Movements'!$C$2:$C$500=$A20),'03_Warehouse_Movements'!$E$2:$E$500),$C20))</f>
        <v>PAL-0000020</v>
      </c>
      <c r="E20" t="s">
        <v>209</v>
      </c>
      <c r="F20" t="s">
        <v>246</v>
      </c>
      <c r="G20" s="25">
        <v>14</v>
      </c>
      <c r="H20" s="3" t="str">
        <f t="shared" si="0"/>
        <v/>
      </c>
      <c r="I20" s="3" t="s">
        <v>253</v>
      </c>
      <c r="J20" s="4" t="s">
        <v>220</v>
      </c>
      <c r="K20" s="3">
        <v>46052</v>
      </c>
      <c r="L20" s="4" t="s">
        <v>221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283</v>
      </c>
      <c r="B21" s="4"/>
      <c r="C21" t="s">
        <v>284</v>
      </c>
      <c r="D21" t="str">
        <f>IF($C21="","",IFERROR(LOOKUP(2,1/('03_Warehouse_Movements'!$C$2:$C$500=$A21),'03_Warehouse_Movements'!$E$2:$E$500),$C21))</f>
        <v>PAL-0000021</v>
      </c>
      <c r="E21" t="s">
        <v>209</v>
      </c>
      <c r="F21" t="s">
        <v>218</v>
      </c>
      <c r="G21" s="25"/>
      <c r="H21" s="3" t="str">
        <f t="shared" si="0"/>
        <v/>
      </c>
      <c r="I21" s="3" t="s">
        <v>256</v>
      </c>
      <c r="J21" s="4" t="s">
        <v>220</v>
      </c>
      <c r="K21" s="3">
        <v>46052</v>
      </c>
      <c r="L21" s="4" t="s">
        <v>221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285</v>
      </c>
      <c r="B22" s="4"/>
      <c r="C22" t="s">
        <v>286</v>
      </c>
      <c r="D22" t="str">
        <f>IF($C22="","",IFERROR(LOOKUP(2,1/('03_Warehouse_Movements'!$C$2:$C$500=$A22),'03_Warehouse_Movements'!$E$2:$E$500),$C22))</f>
        <v>PAL-0000022</v>
      </c>
      <c r="E22" t="s">
        <v>209</v>
      </c>
      <c r="F22" t="s">
        <v>218</v>
      </c>
      <c r="G22" s="25"/>
      <c r="H22" s="3" t="str">
        <f t="shared" si="0"/>
        <v/>
      </c>
      <c r="I22" s="3" t="s">
        <v>260</v>
      </c>
      <c r="J22" s="4" t="s">
        <v>220</v>
      </c>
      <c r="K22" s="3">
        <v>46052</v>
      </c>
      <c r="L22" s="4" t="s">
        <v>221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287</v>
      </c>
      <c r="B23" s="4" t="s">
        <v>288</v>
      </c>
      <c r="C23" t="s">
        <v>289</v>
      </c>
      <c r="D23" t="str">
        <f>IF($C23="","",IFERROR(LOOKUP(2,1/('03_Warehouse_Movements'!$C$2:$C$500=$A23),'03_Warehouse_Movements'!$E$2:$E$500),$C23))</f>
        <v>PAL-0000023</v>
      </c>
      <c r="E23" t="s">
        <v>209</v>
      </c>
      <c r="F23" t="s">
        <v>218</v>
      </c>
      <c r="G23" s="25"/>
      <c r="H23" s="3" t="str">
        <f t="shared" si="0"/>
        <v/>
      </c>
      <c r="I23" s="3" t="s">
        <v>219</v>
      </c>
      <c r="J23" s="4" t="s">
        <v>220</v>
      </c>
      <c r="K23" s="3">
        <v>46052</v>
      </c>
      <c r="L23" s="4" t="s">
        <v>221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290</v>
      </c>
      <c r="B24" s="4"/>
      <c r="C24" t="s">
        <v>291</v>
      </c>
      <c r="D24" t="str">
        <f>IF($C24="","",IFERROR(LOOKUP(2,1/('03_Warehouse_Movements'!$C$2:$C$500=$A24),'03_Warehouse_Movements'!$E$2:$E$500),$C24))</f>
        <v>PAL-0000024</v>
      </c>
      <c r="E24" t="s">
        <v>209</v>
      </c>
      <c r="F24" t="s">
        <v>218</v>
      </c>
      <c r="G24" s="25"/>
      <c r="H24" s="3" t="str">
        <f t="shared" si="0"/>
        <v/>
      </c>
      <c r="I24" s="3" t="s">
        <v>265</v>
      </c>
      <c r="J24" s="4" t="s">
        <v>220</v>
      </c>
      <c r="K24" s="3">
        <v>46052</v>
      </c>
      <c r="L24" s="4" t="s">
        <v>221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292</v>
      </c>
      <c r="B25" s="4"/>
      <c r="C25" t="s">
        <v>293</v>
      </c>
      <c r="D25" t="str">
        <f>IF($C25="","",IFERROR(LOOKUP(2,1/('03_Warehouse_Movements'!$C$2:$C$500=$A25),'03_Warehouse_Movements'!$E$2:$E$500),$C25))</f>
        <v>PAL-0000025</v>
      </c>
      <c r="E25" t="s">
        <v>209</v>
      </c>
      <c r="F25" t="s">
        <v>218</v>
      </c>
      <c r="G25" s="25"/>
      <c r="H25" s="3" t="str">
        <f t="shared" si="0"/>
        <v/>
      </c>
      <c r="I25" s="3" t="s">
        <v>268</v>
      </c>
      <c r="J25" s="4" t="s">
        <v>220</v>
      </c>
      <c r="K25" s="3">
        <v>46052</v>
      </c>
      <c r="L25" s="4" t="s">
        <v>221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294</v>
      </c>
      <c r="B26" s="4"/>
      <c r="C26" t="s">
        <v>295</v>
      </c>
      <c r="D26" t="str">
        <f>IF($C26="","",IFERROR(LOOKUP(2,1/('03_Warehouse_Movements'!$C$2:$C$500=$A26),'03_Warehouse_Movements'!$E$2:$E$500),$C26))</f>
        <v>PAL-0000026</v>
      </c>
      <c r="E26" t="s">
        <v>209</v>
      </c>
      <c r="F26" t="s">
        <v>246</v>
      </c>
      <c r="G26" s="25">
        <v>14</v>
      </c>
      <c r="H26" s="3" t="str">
        <f t="shared" si="0"/>
        <v/>
      </c>
      <c r="I26" s="3" t="s">
        <v>272</v>
      </c>
      <c r="J26" s="4" t="s">
        <v>220</v>
      </c>
      <c r="K26" s="3">
        <v>46052</v>
      </c>
      <c r="L26" s="4" t="s">
        <v>221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296</v>
      </c>
      <c r="B27" s="4"/>
      <c r="C27" t="s">
        <v>297</v>
      </c>
      <c r="D27" t="str">
        <f>IF($C27="","",IFERROR(LOOKUP(2,1/('03_Warehouse_Movements'!$C$2:$C$500=$A27),'03_Warehouse_Movements'!$E$2:$E$500),$C27))</f>
        <v>PAL-0000027</v>
      </c>
      <c r="E27" t="s">
        <v>209</v>
      </c>
      <c r="F27" t="s">
        <v>218</v>
      </c>
      <c r="G27" s="25"/>
      <c r="H27" s="3" t="str">
        <f t="shared" si="0"/>
        <v/>
      </c>
      <c r="I27" s="3" t="s">
        <v>275</v>
      </c>
      <c r="J27" s="4" t="s">
        <v>220</v>
      </c>
      <c r="K27" s="3">
        <v>46052</v>
      </c>
      <c r="L27" s="4" t="s">
        <v>221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298</v>
      </c>
      <c r="B28" s="4"/>
      <c r="C28" t="s">
        <v>299</v>
      </c>
      <c r="D28" t="str">
        <f>IF($C28="","",IFERROR(LOOKUP(2,1/('03_Warehouse_Movements'!$C$2:$C$500=$A28),'03_Warehouse_Movements'!$E$2:$E$500),$C28))</f>
        <v>PAL-0000028</v>
      </c>
      <c r="E28" t="s">
        <v>209</v>
      </c>
      <c r="F28" t="s">
        <v>218</v>
      </c>
      <c r="G28" s="25"/>
      <c r="H28" s="3" t="str">
        <f t="shared" si="0"/>
        <v/>
      </c>
      <c r="I28" s="3" t="s">
        <v>278</v>
      </c>
      <c r="J28" s="4" t="s">
        <v>220</v>
      </c>
      <c r="K28" s="3">
        <v>46052</v>
      </c>
      <c r="L28" s="4" t="s">
        <v>221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300</v>
      </c>
      <c r="B29" s="4"/>
      <c r="C29" t="s">
        <v>301</v>
      </c>
      <c r="D29" t="str">
        <f>IF($C29="","",IFERROR(LOOKUP(2,1/('03_Warehouse_Movements'!$C$2:$C$500=$A29),'03_Warehouse_Movements'!$E$2:$E$500),$C29))</f>
        <v>PAL-0000029</v>
      </c>
      <c r="E29" t="s">
        <v>209</v>
      </c>
      <c r="F29" t="s">
        <v>218</v>
      </c>
      <c r="G29" s="25"/>
      <c r="H29" s="3" t="str">
        <f t="shared" si="0"/>
        <v/>
      </c>
      <c r="I29" s="3" t="s">
        <v>250</v>
      </c>
      <c r="J29" s="4" t="s">
        <v>220</v>
      </c>
      <c r="K29" s="3">
        <v>46052</v>
      </c>
      <c r="L29" s="4" t="s">
        <v>221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302</v>
      </c>
      <c r="B30" s="4" t="s">
        <v>303</v>
      </c>
      <c r="C30" t="s">
        <v>304</v>
      </c>
      <c r="D30" t="str">
        <f>IF($C30="","",IFERROR(LOOKUP(2,1/('03_Warehouse_Movements'!$C$2:$C$500=$A30),'03_Warehouse_Movements'!$E$2:$E$500),$C30))</f>
        <v>PAL-0000030</v>
      </c>
      <c r="E30" t="s">
        <v>209</v>
      </c>
      <c r="F30" t="s">
        <v>218</v>
      </c>
      <c r="G30" s="25"/>
      <c r="H30" s="3" t="str">
        <f t="shared" si="0"/>
        <v/>
      </c>
      <c r="I30" s="3" t="s">
        <v>253</v>
      </c>
      <c r="J30" s="4" t="s">
        <v>220</v>
      </c>
      <c r="K30" s="3">
        <v>46052</v>
      </c>
      <c r="L30" s="4" t="s">
        <v>221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305</v>
      </c>
      <c r="B31" s="4"/>
      <c r="C31" t="s">
        <v>306</v>
      </c>
      <c r="D31" t="str">
        <f>IF($C31="","",IFERROR(LOOKUP(2,1/('03_Warehouse_Movements'!$C$2:$C$500=$A31),'03_Warehouse_Movements'!$E$2:$E$500),$C31))</f>
        <v>PAL-0000031</v>
      </c>
      <c r="E31" t="s">
        <v>209</v>
      </c>
      <c r="F31" t="s">
        <v>218</v>
      </c>
      <c r="G31" s="25"/>
      <c r="H31" s="3" t="str">
        <f t="shared" si="0"/>
        <v/>
      </c>
      <c r="I31" s="3" t="s">
        <v>256</v>
      </c>
      <c r="J31" s="4" t="s">
        <v>220</v>
      </c>
      <c r="K31" s="3">
        <v>46052</v>
      </c>
      <c r="L31" s="4" t="s">
        <v>221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307</v>
      </c>
      <c r="B32" s="4"/>
      <c r="C32" t="s">
        <v>308</v>
      </c>
      <c r="D32" t="str">
        <f>IF($C32="","",IFERROR(LOOKUP(2,1/('03_Warehouse_Movements'!$C$2:$C$500=$A32),'03_Warehouse_Movements'!$E$2:$E$500),$C32))</f>
        <v>PAL-0000032</v>
      </c>
      <c r="E32" t="s">
        <v>209</v>
      </c>
      <c r="F32" t="s">
        <v>246</v>
      </c>
      <c r="G32" s="25">
        <v>14</v>
      </c>
      <c r="H32" s="3" t="str">
        <f t="shared" si="0"/>
        <v/>
      </c>
      <c r="I32" s="3" t="s">
        <v>260</v>
      </c>
      <c r="J32" s="4" t="s">
        <v>220</v>
      </c>
      <c r="K32" s="3">
        <v>46052</v>
      </c>
      <c r="L32" s="4" t="s">
        <v>221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309</v>
      </c>
      <c r="B33" s="4"/>
      <c r="C33" t="s">
        <v>310</v>
      </c>
      <c r="D33" t="str">
        <f>IF($C33="","",IFERROR(LOOKUP(2,1/('03_Warehouse_Movements'!$C$2:$C$500=$A33),'03_Warehouse_Movements'!$E$2:$E$500),$C33))</f>
        <v>PAL-0000033</v>
      </c>
      <c r="E33" t="s">
        <v>209</v>
      </c>
      <c r="F33" t="s">
        <v>218</v>
      </c>
      <c r="G33" s="25"/>
      <c r="H33" s="3" t="str">
        <f t="shared" si="0"/>
        <v/>
      </c>
      <c r="I33" s="3" t="s">
        <v>219</v>
      </c>
      <c r="J33" s="4" t="s">
        <v>220</v>
      </c>
      <c r="K33" s="3">
        <v>46052</v>
      </c>
      <c r="L33" s="4" t="s">
        <v>221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311</v>
      </c>
      <c r="B34" s="4"/>
      <c r="C34" t="s">
        <v>312</v>
      </c>
      <c r="D34" t="str">
        <f>IF($C34="","",IFERROR(LOOKUP(2,1/('03_Warehouse_Movements'!$C$2:$C$500=$A34),'03_Warehouse_Movements'!$E$2:$E$500),$C34))</f>
        <v>PAL-0000034</v>
      </c>
      <c r="E34" t="s">
        <v>209</v>
      </c>
      <c r="F34" t="s">
        <v>218</v>
      </c>
      <c r="G34" s="25"/>
      <c r="H34" s="3" t="str">
        <f t="shared" si="0"/>
        <v/>
      </c>
      <c r="I34" s="3" t="s">
        <v>265</v>
      </c>
      <c r="J34" s="4" t="s">
        <v>220</v>
      </c>
      <c r="K34" s="3">
        <v>46052</v>
      </c>
      <c r="L34" s="4" t="s">
        <v>221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313</v>
      </c>
      <c r="B35" s="4"/>
      <c r="C35" t="s">
        <v>314</v>
      </c>
      <c r="D35" t="str">
        <f>IF($C35="","",IFERROR(LOOKUP(2,1/('03_Warehouse_Movements'!$C$2:$C$500=$A35),'03_Warehouse_Movements'!$E$2:$E$500),$C35))</f>
        <v>PAL-0000035</v>
      </c>
      <c r="E35" t="s">
        <v>209</v>
      </c>
      <c r="F35" t="s">
        <v>218</v>
      </c>
      <c r="G35" s="25"/>
      <c r="H35" s="3" t="str">
        <f t="shared" si="0"/>
        <v/>
      </c>
      <c r="I35" s="3" t="s">
        <v>268</v>
      </c>
      <c r="J35" s="4" t="s">
        <v>220</v>
      </c>
      <c r="K35" s="3">
        <v>46052</v>
      </c>
      <c r="L35" s="4" t="s">
        <v>221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315</v>
      </c>
      <c r="B36" s="4"/>
      <c r="C36" t="s">
        <v>316</v>
      </c>
      <c r="D36" t="str">
        <f>IF($C36="","",IFERROR(LOOKUP(2,1/('03_Warehouse_Movements'!$C$2:$C$500=$A36),'03_Warehouse_Movements'!$E$2:$E$500),$C36))</f>
        <v>PAL-0000036</v>
      </c>
      <c r="E36" t="s">
        <v>209</v>
      </c>
      <c r="F36" t="s">
        <v>218</v>
      </c>
      <c r="G36" s="25"/>
      <c r="H36" s="3" t="str">
        <f t="shared" si="0"/>
        <v/>
      </c>
      <c r="I36" s="3" t="s">
        <v>272</v>
      </c>
      <c r="J36" s="4" t="s">
        <v>220</v>
      </c>
      <c r="K36" s="3">
        <v>46052</v>
      </c>
      <c r="L36" s="4" t="s">
        <v>221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317</v>
      </c>
      <c r="B37" s="4" t="s">
        <v>318</v>
      </c>
      <c r="C37" t="s">
        <v>319</v>
      </c>
      <c r="D37" t="str">
        <f>IF($C37="","",IFERROR(LOOKUP(2,1/('03_Warehouse_Movements'!$C$2:$C$500=$A37),'03_Warehouse_Movements'!$E$2:$E$500),$C37))</f>
        <v>PAL-0000037</v>
      </c>
      <c r="E37" t="s">
        <v>209</v>
      </c>
      <c r="F37" t="s">
        <v>218</v>
      </c>
      <c r="G37" s="25"/>
      <c r="H37" s="3" t="str">
        <f t="shared" si="0"/>
        <v/>
      </c>
      <c r="I37" s="3" t="s">
        <v>275</v>
      </c>
      <c r="J37" s="4" t="s">
        <v>220</v>
      </c>
      <c r="K37" s="3">
        <v>46052</v>
      </c>
      <c r="L37" s="4" t="s">
        <v>221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320</v>
      </c>
      <c r="B38" s="4"/>
      <c r="C38" t="s">
        <v>321</v>
      </c>
      <c r="D38" t="str">
        <f>IF($C38="","",IFERROR(LOOKUP(2,1/('03_Warehouse_Movements'!$C$2:$C$500=$A38),'03_Warehouse_Movements'!$E$2:$E$500),$C38))</f>
        <v>PAL-0000038</v>
      </c>
      <c r="E38" t="s">
        <v>209</v>
      </c>
      <c r="F38" t="s">
        <v>246</v>
      </c>
      <c r="G38" s="25">
        <v>14</v>
      </c>
      <c r="H38" s="3" t="str">
        <f t="shared" si="0"/>
        <v/>
      </c>
      <c r="I38" s="3" t="s">
        <v>278</v>
      </c>
      <c r="J38" s="4" t="s">
        <v>220</v>
      </c>
      <c r="K38" s="3">
        <v>46052</v>
      </c>
      <c r="L38" s="4" t="s">
        <v>221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322</v>
      </c>
      <c r="B39" s="4"/>
      <c r="C39" t="s">
        <v>323</v>
      </c>
      <c r="D39" t="str">
        <f>IF($C39="","",IFERROR(LOOKUP(2,1/('03_Warehouse_Movements'!$C$2:$C$500=$A39),'03_Warehouse_Movements'!$E$2:$E$500),$C39))</f>
        <v>PAL-0000039</v>
      </c>
      <c r="E39" t="s">
        <v>209</v>
      </c>
      <c r="F39" t="s">
        <v>218</v>
      </c>
      <c r="G39" s="25"/>
      <c r="H39" s="3" t="str">
        <f t="shared" si="0"/>
        <v/>
      </c>
      <c r="I39" s="3" t="s">
        <v>250</v>
      </c>
      <c r="J39" s="4" t="s">
        <v>220</v>
      </c>
      <c r="K39" s="3">
        <v>46052</v>
      </c>
      <c r="L39" s="4" t="s">
        <v>221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324</v>
      </c>
      <c r="B40" s="4"/>
      <c r="C40" t="s">
        <v>325</v>
      </c>
      <c r="D40" t="str">
        <f>IF($C40="","",IFERROR(LOOKUP(2,1/('03_Warehouse_Movements'!$C$2:$C$500=$A40),'03_Warehouse_Movements'!$E$2:$E$500),$C40))</f>
        <v>PAL-0000040</v>
      </c>
      <c r="E40" t="s">
        <v>209</v>
      </c>
      <c r="F40" t="s">
        <v>218</v>
      </c>
      <c r="G40" s="25"/>
      <c r="H40" s="3" t="str">
        <f t="shared" si="0"/>
        <v/>
      </c>
      <c r="I40" s="3" t="s">
        <v>253</v>
      </c>
      <c r="J40" s="4" t="s">
        <v>220</v>
      </c>
      <c r="K40" s="3">
        <v>46052</v>
      </c>
      <c r="L40" s="4" t="s">
        <v>221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326</v>
      </c>
      <c r="B41" s="4"/>
      <c r="C41" t="s">
        <v>327</v>
      </c>
      <c r="D41" t="str">
        <f>IF($C41="","",IFERROR(LOOKUP(2,1/('03_Warehouse_Movements'!$C$2:$C$500=$A41),'03_Warehouse_Movements'!$E$2:$E$500),$C41))</f>
        <v>PAL-0000041</v>
      </c>
      <c r="E41" t="s">
        <v>209</v>
      </c>
      <c r="F41" t="s">
        <v>218</v>
      </c>
      <c r="G41" s="25"/>
      <c r="H41" s="3" t="str">
        <f t="shared" si="0"/>
        <v/>
      </c>
      <c r="I41" s="3" t="s">
        <v>256</v>
      </c>
      <c r="J41" s="4" t="s">
        <v>220</v>
      </c>
      <c r="K41" s="3">
        <v>46052</v>
      </c>
      <c r="L41" s="4" t="s">
        <v>221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328</v>
      </c>
      <c r="B42" s="4"/>
      <c r="C42" t="s">
        <v>329</v>
      </c>
      <c r="D42" t="str">
        <f>IF($C42="","",IFERROR(LOOKUP(2,1/('03_Warehouse_Movements'!$C$2:$C$500=$A42),'03_Warehouse_Movements'!$E$2:$E$500),$C42))</f>
        <v>PAL-0000042</v>
      </c>
      <c r="E42" t="s">
        <v>209</v>
      </c>
      <c r="F42" t="s">
        <v>218</v>
      </c>
      <c r="G42" s="25"/>
      <c r="H42" s="3" t="str">
        <f t="shared" si="0"/>
        <v/>
      </c>
      <c r="I42" s="3" t="s">
        <v>260</v>
      </c>
      <c r="J42" s="4" t="s">
        <v>220</v>
      </c>
      <c r="K42" s="3">
        <v>46052</v>
      </c>
      <c r="L42" s="4" t="s">
        <v>221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330</v>
      </c>
      <c r="B43" s="4"/>
      <c r="C43" t="s">
        <v>331</v>
      </c>
      <c r="D43" t="str">
        <f>IF($C43="","",IFERROR(LOOKUP(2,1/('03_Warehouse_Movements'!$C$2:$C$500=$A43),'03_Warehouse_Movements'!$E$2:$E$500),$C43))</f>
        <v>PAL-0000043</v>
      </c>
      <c r="E43" t="s">
        <v>209</v>
      </c>
      <c r="F43" t="s">
        <v>218</v>
      </c>
      <c r="G43" s="25"/>
      <c r="H43" s="3" t="str">
        <f t="shared" si="0"/>
        <v/>
      </c>
      <c r="I43" s="3" t="s">
        <v>219</v>
      </c>
      <c r="J43" s="4" t="s">
        <v>220</v>
      </c>
      <c r="K43" s="3">
        <v>46052</v>
      </c>
      <c r="L43" s="4" t="s">
        <v>221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332</v>
      </c>
      <c r="B44" s="4" t="s">
        <v>333</v>
      </c>
      <c r="C44" t="s">
        <v>334</v>
      </c>
      <c r="D44" t="str">
        <f>IF($C44="","",IFERROR(LOOKUP(2,1/('03_Warehouse_Movements'!$C$2:$C$500=$A44),'03_Warehouse_Movements'!$E$2:$E$500),$C44))</f>
        <v>PAL-0000044</v>
      </c>
      <c r="E44" t="s">
        <v>209</v>
      </c>
      <c r="F44" t="s">
        <v>246</v>
      </c>
      <c r="G44" s="25">
        <v>14</v>
      </c>
      <c r="H44" s="3" t="str">
        <f t="shared" si="0"/>
        <v/>
      </c>
      <c r="I44" s="3" t="s">
        <v>265</v>
      </c>
      <c r="J44" s="4" t="s">
        <v>220</v>
      </c>
      <c r="K44" s="3">
        <v>46052</v>
      </c>
      <c r="L44" s="4" t="s">
        <v>221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335</v>
      </c>
      <c r="B45" s="4"/>
      <c r="C45" t="s">
        <v>336</v>
      </c>
      <c r="D45" t="str">
        <f>IF($C45="","",IFERROR(LOOKUP(2,1/('03_Warehouse_Movements'!$C$2:$C$500=$A45),'03_Warehouse_Movements'!$E$2:$E$500),$C45))</f>
        <v>PAL-0000045</v>
      </c>
      <c r="E45" t="s">
        <v>209</v>
      </c>
      <c r="F45" t="s">
        <v>218</v>
      </c>
      <c r="G45" s="25"/>
      <c r="H45" s="3" t="str">
        <f t="shared" si="0"/>
        <v/>
      </c>
      <c r="I45" s="3" t="s">
        <v>268</v>
      </c>
      <c r="J45" s="4" t="s">
        <v>220</v>
      </c>
      <c r="K45" s="3">
        <v>46052</v>
      </c>
      <c r="L45" s="4" t="s">
        <v>221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337</v>
      </c>
      <c r="B46" s="4"/>
      <c r="C46" t="s">
        <v>338</v>
      </c>
      <c r="D46" t="str">
        <f>IF($C46="","",IFERROR(LOOKUP(2,1/('03_Warehouse_Movements'!$C$2:$C$500=$A46),'03_Warehouse_Movements'!$E$2:$E$500),$C46))</f>
        <v>PAL-0000046</v>
      </c>
      <c r="E46" t="s">
        <v>209</v>
      </c>
      <c r="F46" t="s">
        <v>218</v>
      </c>
      <c r="G46" s="25"/>
      <c r="H46" s="3" t="str">
        <f t="shared" si="0"/>
        <v/>
      </c>
      <c r="I46" s="3" t="s">
        <v>272</v>
      </c>
      <c r="J46" s="4" t="s">
        <v>220</v>
      </c>
      <c r="K46" s="3">
        <v>46052</v>
      </c>
      <c r="L46" s="4" t="s">
        <v>221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339</v>
      </c>
      <c r="B47" s="4"/>
      <c r="C47" t="s">
        <v>340</v>
      </c>
      <c r="D47" t="str">
        <f>IF($C47="","",IFERROR(LOOKUP(2,1/('03_Warehouse_Movements'!$C$2:$C$500=$A47),'03_Warehouse_Movements'!$E$2:$E$500),$C47))</f>
        <v>PAL-0000047</v>
      </c>
      <c r="E47" t="s">
        <v>209</v>
      </c>
      <c r="F47" t="s">
        <v>218</v>
      </c>
      <c r="G47" s="25"/>
      <c r="H47" s="3" t="str">
        <f t="shared" si="0"/>
        <v/>
      </c>
      <c r="I47" s="3" t="s">
        <v>275</v>
      </c>
      <c r="J47" s="4" t="s">
        <v>220</v>
      </c>
      <c r="K47" s="3">
        <v>46052</v>
      </c>
      <c r="L47" s="4" t="s">
        <v>221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341</v>
      </c>
      <c r="B48" s="4"/>
      <c r="C48" t="s">
        <v>342</v>
      </c>
      <c r="D48" t="str">
        <f>IF($C48="","",IFERROR(LOOKUP(2,1/('03_Warehouse_Movements'!$C$2:$C$500=$A48),'03_Warehouse_Movements'!$E$2:$E$500),$C48))</f>
        <v>PAL-0000048</v>
      </c>
      <c r="E48" t="s">
        <v>209</v>
      </c>
      <c r="F48" t="s">
        <v>218</v>
      </c>
      <c r="G48" s="25"/>
      <c r="H48" s="3" t="str">
        <f t="shared" si="0"/>
        <v/>
      </c>
      <c r="I48" s="3" t="s">
        <v>278</v>
      </c>
      <c r="J48" s="4" t="s">
        <v>220</v>
      </c>
      <c r="K48" s="3">
        <v>46052</v>
      </c>
      <c r="L48" s="4" t="s">
        <v>221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343</v>
      </c>
      <c r="B49" s="4"/>
      <c r="C49" t="s">
        <v>344</v>
      </c>
      <c r="D49" t="str">
        <f>IF($C49="","",IFERROR(LOOKUP(2,1/('03_Warehouse_Movements'!$C$2:$C$500=$A49),'03_Warehouse_Movements'!$E$2:$E$500),$C49))</f>
        <v>PAL-0000049</v>
      </c>
      <c r="E49" t="s">
        <v>209</v>
      </c>
      <c r="F49" t="s">
        <v>218</v>
      </c>
      <c r="G49" s="25"/>
      <c r="H49" s="3" t="str">
        <f t="shared" si="0"/>
        <v/>
      </c>
      <c r="I49" s="3" t="s">
        <v>250</v>
      </c>
      <c r="J49" s="4" t="s">
        <v>220</v>
      </c>
      <c r="K49" s="3">
        <v>46052</v>
      </c>
      <c r="L49" s="4" t="s">
        <v>221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345</v>
      </c>
      <c r="B50" s="4"/>
      <c r="C50" t="s">
        <v>346</v>
      </c>
      <c r="D50" t="str">
        <f>IF($C50="","",IFERROR(LOOKUP(2,1/('03_Warehouse_Movements'!$C$2:$C$500=$A50),'03_Warehouse_Movements'!$E$2:$E$500),$C50))</f>
        <v>PAL-0000050</v>
      </c>
      <c r="E50" t="s">
        <v>209</v>
      </c>
      <c r="F50" t="s">
        <v>246</v>
      </c>
      <c r="G50" s="25">
        <v>14</v>
      </c>
      <c r="H50" s="3" t="str">
        <f t="shared" si="0"/>
        <v/>
      </c>
      <c r="I50" s="3" t="s">
        <v>253</v>
      </c>
      <c r="J50" s="4" t="s">
        <v>220</v>
      </c>
      <c r="K50" s="3">
        <v>46052</v>
      </c>
      <c r="L50" s="4" t="s">
        <v>221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347</v>
      </c>
      <c r="B51" s="4" t="s">
        <v>348</v>
      </c>
      <c r="C51" t="s">
        <v>349</v>
      </c>
      <c r="D51" t="str">
        <f>IF($C51="","",IFERROR(LOOKUP(2,1/('03_Warehouse_Movements'!$C$2:$C$500=$A51),'03_Warehouse_Movements'!$E$2:$E$500),$C51))</f>
        <v>RETIRED</v>
      </c>
      <c r="E51" t="s">
        <v>350</v>
      </c>
      <c r="F51" t="s">
        <v>218</v>
      </c>
      <c r="G51" s="25"/>
      <c r="H51" s="3" t="str">
        <f t="shared" si="0"/>
        <v/>
      </c>
      <c r="I51" s="3" t="s">
        <v>256</v>
      </c>
      <c r="J51" s="4" t="s">
        <v>220</v>
      </c>
      <c r="K51" s="3">
        <v>46052</v>
      </c>
      <c r="L51" s="4" t="s">
        <v>221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351</v>
      </c>
      <c r="B52" s="4"/>
      <c r="C52" t="s">
        <v>352</v>
      </c>
      <c r="D52" t="str">
        <f>IF($C52="","",IFERROR(LOOKUP(2,1/('03_Warehouse_Movements'!$C$2:$C$500=$A52),'03_Warehouse_Movements'!$E$2:$E$500),$C52))</f>
        <v>PAL-0000052</v>
      </c>
      <c r="E52" t="s">
        <v>350</v>
      </c>
      <c r="F52" t="s">
        <v>218</v>
      </c>
      <c r="G52" s="25"/>
      <c r="H52" s="3" t="str">
        <f t="shared" si="0"/>
        <v/>
      </c>
      <c r="I52" s="3" t="s">
        <v>260</v>
      </c>
      <c r="J52" s="4" t="s">
        <v>220</v>
      </c>
      <c r="K52" s="3">
        <v>46052</v>
      </c>
      <c r="L52" s="4" t="s">
        <v>221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353</v>
      </c>
      <c r="B53" s="4"/>
      <c r="C53" t="s">
        <v>354</v>
      </c>
      <c r="D53" t="str">
        <f>IF($C53="","",IFERROR(LOOKUP(2,1/('03_Warehouse_Movements'!$C$2:$C$500=$A53),'03_Warehouse_Movements'!$E$2:$E$500),$C53))</f>
        <v>PAL-0000053</v>
      </c>
      <c r="E53" t="s">
        <v>209</v>
      </c>
      <c r="F53" t="s">
        <v>218</v>
      </c>
      <c r="G53" s="25"/>
      <c r="H53" s="3" t="str">
        <f t="shared" si="0"/>
        <v/>
      </c>
      <c r="I53" s="3" t="s">
        <v>219</v>
      </c>
      <c r="J53" s="4" t="s">
        <v>220</v>
      </c>
      <c r="K53" s="3">
        <v>46052</v>
      </c>
      <c r="L53" s="4" t="s">
        <v>221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355</v>
      </c>
      <c r="B54" s="4"/>
      <c r="C54" t="s">
        <v>356</v>
      </c>
      <c r="D54" t="str">
        <f>IF($C54="","",IFERROR(LOOKUP(2,1/('03_Warehouse_Movements'!$C$2:$C$500=$A54),'03_Warehouse_Movements'!$E$2:$E$500),$C54))</f>
        <v>PAL-0000054</v>
      </c>
      <c r="E54" t="s">
        <v>209</v>
      </c>
      <c r="F54" t="s">
        <v>218</v>
      </c>
      <c r="G54" s="25"/>
      <c r="H54" s="3" t="str">
        <f t="shared" si="0"/>
        <v/>
      </c>
      <c r="I54" s="3" t="s">
        <v>265</v>
      </c>
      <c r="J54" s="4" t="s">
        <v>220</v>
      </c>
      <c r="K54" s="3">
        <v>46052</v>
      </c>
      <c r="L54" s="4" t="s">
        <v>221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357</v>
      </c>
      <c r="B55" s="4"/>
      <c r="C55" t="s">
        <v>358</v>
      </c>
      <c r="D55" t="str">
        <f>IF($C55="","",IFERROR(LOOKUP(2,1/('03_Warehouse_Movements'!$C$2:$C$500=$A55),'03_Warehouse_Movements'!$E$2:$E$500),$C55))</f>
        <v>PAL-0000055</v>
      </c>
      <c r="E55" t="s">
        <v>209</v>
      </c>
      <c r="F55" t="s">
        <v>218</v>
      </c>
      <c r="G55" s="25"/>
      <c r="H55" s="3" t="str">
        <f t="shared" si="0"/>
        <v/>
      </c>
      <c r="I55" s="3" t="s">
        <v>268</v>
      </c>
      <c r="J55" s="4" t="s">
        <v>220</v>
      </c>
      <c r="K55" s="3">
        <v>46052</v>
      </c>
      <c r="L55" s="4" t="s">
        <v>221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359</v>
      </c>
      <c r="B56" s="4"/>
      <c r="C56" t="s">
        <v>360</v>
      </c>
      <c r="D56" t="str">
        <f>IF($C56="","",IFERROR(LOOKUP(2,1/('03_Warehouse_Movements'!$C$2:$C$500=$A56),'03_Warehouse_Movements'!$E$2:$E$500),$C56))</f>
        <v>PAL-0000056</v>
      </c>
      <c r="E56" t="s">
        <v>209</v>
      </c>
      <c r="F56" t="s">
        <v>246</v>
      </c>
      <c r="G56" s="25">
        <v>14</v>
      </c>
      <c r="H56" s="3" t="str">
        <f t="shared" si="0"/>
        <v/>
      </c>
      <c r="I56" s="3" t="s">
        <v>272</v>
      </c>
      <c r="J56" s="4" t="s">
        <v>220</v>
      </c>
      <c r="K56" s="3">
        <v>46052</v>
      </c>
      <c r="L56" s="4" t="s">
        <v>221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361</v>
      </c>
      <c r="B57" s="4"/>
      <c r="C57" t="s">
        <v>362</v>
      </c>
      <c r="D57" t="str">
        <f>IF($C57="","",IFERROR(LOOKUP(2,1/('03_Warehouse_Movements'!$C$2:$C$500=$A57),'03_Warehouse_Movements'!$E$2:$E$500),$C57))</f>
        <v>PAL-0000057</v>
      </c>
      <c r="E57" t="s">
        <v>209</v>
      </c>
      <c r="F57" t="s">
        <v>218</v>
      </c>
      <c r="G57" s="25"/>
      <c r="H57" s="3" t="str">
        <f t="shared" si="0"/>
        <v/>
      </c>
      <c r="I57" s="3" t="s">
        <v>275</v>
      </c>
      <c r="J57" s="4" t="s">
        <v>220</v>
      </c>
      <c r="K57" s="3">
        <v>46052</v>
      </c>
      <c r="L57" s="4" t="s">
        <v>221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363</v>
      </c>
      <c r="B58" s="4" t="s">
        <v>364</v>
      </c>
      <c r="C58" t="s">
        <v>365</v>
      </c>
      <c r="D58" t="str">
        <f>IF($C58="","",IFERROR(LOOKUP(2,1/('03_Warehouse_Movements'!$C$2:$C$500=$A58),'03_Warehouse_Movements'!$E$2:$E$500),$C58))</f>
        <v>PAL-0000058</v>
      </c>
      <c r="E58" t="s">
        <v>209</v>
      </c>
      <c r="F58" t="s">
        <v>218</v>
      </c>
      <c r="G58" s="25"/>
      <c r="H58" s="3" t="str">
        <f t="shared" si="0"/>
        <v/>
      </c>
      <c r="I58" s="3" t="s">
        <v>278</v>
      </c>
      <c r="J58" s="4" t="s">
        <v>220</v>
      </c>
      <c r="K58" s="3">
        <v>46052</v>
      </c>
      <c r="L58" s="4" t="s">
        <v>221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366</v>
      </c>
      <c r="B59" s="4"/>
      <c r="C59" t="s">
        <v>367</v>
      </c>
      <c r="D59" t="str">
        <f>IF($C59="","",IFERROR(LOOKUP(2,1/('03_Warehouse_Movements'!$C$2:$C$500=$A59),'03_Warehouse_Movements'!$E$2:$E$500),$C59))</f>
        <v>PAL-0000059</v>
      </c>
      <c r="E59" t="s">
        <v>209</v>
      </c>
      <c r="F59" t="s">
        <v>218</v>
      </c>
      <c r="G59" s="25"/>
      <c r="H59" s="3" t="str">
        <f t="shared" si="0"/>
        <v/>
      </c>
      <c r="I59" s="3" t="s">
        <v>250</v>
      </c>
      <c r="J59" s="4" t="s">
        <v>220</v>
      </c>
      <c r="K59" s="3">
        <v>46052</v>
      </c>
      <c r="L59" s="4" t="s">
        <v>221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368</v>
      </c>
      <c r="B60" s="4"/>
      <c r="C60" t="s">
        <v>369</v>
      </c>
      <c r="D60" t="str">
        <f>IF($C60="","",IFERROR(LOOKUP(2,1/('03_Warehouse_Movements'!$C$2:$C$500=$A60),'03_Warehouse_Movements'!$E$2:$E$500),$C60))</f>
        <v>PAL-0000060</v>
      </c>
      <c r="E60" t="s">
        <v>209</v>
      </c>
      <c r="F60" t="s">
        <v>218</v>
      </c>
      <c r="G60" s="25"/>
      <c r="H60" s="3" t="str">
        <f t="shared" si="0"/>
        <v/>
      </c>
      <c r="I60" s="3" t="s">
        <v>253</v>
      </c>
      <c r="J60" s="4" t="s">
        <v>220</v>
      </c>
      <c r="K60" s="3">
        <v>46052</v>
      </c>
      <c r="L60" s="4" t="s">
        <v>221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370</v>
      </c>
      <c r="B61" s="4"/>
      <c r="C61" t="s">
        <v>371</v>
      </c>
      <c r="D61" t="str">
        <f>IF($C61="","",IFERROR(LOOKUP(2,1/('03_Warehouse_Movements'!$C$2:$C$500=$A61),'03_Warehouse_Movements'!$E$2:$E$500),$C61))</f>
        <v>PAL-0000061</v>
      </c>
      <c r="E61" t="s">
        <v>209</v>
      </c>
      <c r="F61" t="s">
        <v>218</v>
      </c>
      <c r="G61" s="25"/>
      <c r="H61" s="3" t="str">
        <f t="shared" si="0"/>
        <v/>
      </c>
      <c r="I61" s="3" t="s">
        <v>256</v>
      </c>
      <c r="J61" s="4" t="s">
        <v>220</v>
      </c>
      <c r="K61" s="3">
        <v>46052</v>
      </c>
      <c r="L61" s="4" t="s">
        <v>221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372</v>
      </c>
      <c r="B62" s="4"/>
      <c r="D62" t="str">
        <f>IF($C62="","",IFERROR(LOOKUP(2,1/('03_Warehouse_Movements'!$C$2:$C$500=$A62),'03_Warehouse_Movements'!$E$2:$E$500),$C62))</f>
        <v/>
      </c>
      <c r="E62" t="s">
        <v>209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373</v>
      </c>
      <c r="B63" s="4"/>
      <c r="D63" t="str">
        <f>IF($C63="","",IFERROR(LOOKUP(2,1/('03_Warehouse_Movements'!$C$2:$C$500=$A63),'03_Warehouse_Movements'!$E$2:$E$500),$C63))</f>
        <v/>
      </c>
      <c r="E63" t="s">
        <v>209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374</v>
      </c>
      <c r="B64" s="4"/>
      <c r="D64" t="str">
        <f>IF($C64="","",IFERROR(LOOKUP(2,1/('03_Warehouse_Movements'!$C$2:$C$500=$A64),'03_Warehouse_Movements'!$E$2:$E$500),$C64))</f>
        <v/>
      </c>
      <c r="E64" t="s">
        <v>209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375</v>
      </c>
      <c r="B65" s="4"/>
      <c r="D65" t="str">
        <f>IF($C65="","",IFERROR(LOOKUP(2,1/('03_Warehouse_Movements'!$C$2:$C$500=$A65),'03_Warehouse_Movements'!$E$2:$E$500),$C65))</f>
        <v/>
      </c>
      <c r="E65" t="s">
        <v>209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376</v>
      </c>
      <c r="B66" s="4"/>
      <c r="D66" t="str">
        <f>IF($C66="","",IFERROR(LOOKUP(2,1/('03_Warehouse_Movements'!$C$2:$C$500=$A66),'03_Warehouse_Movements'!$E$2:$E$500),$C66))</f>
        <v/>
      </c>
      <c r="E66" t="s">
        <v>209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377</v>
      </c>
      <c r="B67" s="4"/>
      <c r="D67" t="str">
        <f>IF($C67="","",IFERROR(LOOKUP(2,1/('03_Warehouse_Movements'!$C$2:$C$500=$A67),'03_Warehouse_Movements'!$E$2:$E$500),$C67))</f>
        <v/>
      </c>
      <c r="E67" t="s">
        <v>209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378</v>
      </c>
      <c r="B68" s="4"/>
      <c r="D68" t="str">
        <f>IF($C68="","",IFERROR(LOOKUP(2,1/('03_Warehouse_Movements'!$C$2:$C$500=$A68),'03_Warehouse_Movements'!$E$2:$E$500),$C68))</f>
        <v/>
      </c>
      <c r="E68" t="s">
        <v>209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379</v>
      </c>
      <c r="B69" s="4"/>
      <c r="D69" t="str">
        <f>IF($C69="","",IFERROR(LOOKUP(2,1/('03_Warehouse_Movements'!$C$2:$C$500=$A69),'03_Warehouse_Movements'!$E$2:$E$500),$C69))</f>
        <v/>
      </c>
      <c r="E69" t="s">
        <v>209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380</v>
      </c>
      <c r="B70" s="4"/>
      <c r="D70" t="str">
        <f>IF($C70="","",IFERROR(LOOKUP(2,1/('03_Warehouse_Movements'!$C$2:$C$500=$A70),'03_Warehouse_Movements'!$E$2:$E$500),$C70))</f>
        <v/>
      </c>
      <c r="E70" t="s">
        <v>209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381</v>
      </c>
      <c r="B71" s="4"/>
      <c r="D71" t="str">
        <f>IF($C71="","",IFERROR(LOOKUP(2,1/('03_Warehouse_Movements'!$C$2:$C$500=$A71),'03_Warehouse_Movements'!$E$2:$E$500),$C71))</f>
        <v/>
      </c>
      <c r="E71" t="s">
        <v>209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382</v>
      </c>
      <c r="B72" s="4"/>
      <c r="D72" t="str">
        <f>IF($C72="","",IFERROR(LOOKUP(2,1/('03_Warehouse_Movements'!$C$2:$C$500=$A72),'03_Warehouse_Movements'!$E$2:$E$500),$C72))</f>
        <v/>
      </c>
      <c r="E72" t="s">
        <v>209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383</v>
      </c>
      <c r="B73" s="4"/>
      <c r="D73" t="str">
        <f>IF($C73="","",IFERROR(LOOKUP(2,1/('03_Warehouse_Movements'!$C$2:$C$500=$A73),'03_Warehouse_Movements'!$E$2:$E$500),$C73))</f>
        <v/>
      </c>
      <c r="E73" t="s">
        <v>209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384</v>
      </c>
      <c r="B74" s="4"/>
      <c r="D74" t="str">
        <f>IF($C74="","",IFERROR(LOOKUP(2,1/('03_Warehouse_Movements'!$C$2:$C$500=$A74),'03_Warehouse_Movements'!$E$2:$E$500),$C74))</f>
        <v/>
      </c>
      <c r="E74" t="s">
        <v>209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385</v>
      </c>
      <c r="B75" s="4"/>
      <c r="D75" t="str">
        <f>IF($C75="","",IFERROR(LOOKUP(2,1/('03_Warehouse_Movements'!$C$2:$C$500=$A75),'03_Warehouse_Movements'!$E$2:$E$500),$C75))</f>
        <v/>
      </c>
      <c r="E75" t="s">
        <v>209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386</v>
      </c>
      <c r="B76" s="4"/>
      <c r="D76" t="str">
        <f>IF($C76="","",IFERROR(LOOKUP(2,1/('03_Warehouse_Movements'!$C$2:$C$500=$A76),'03_Warehouse_Movements'!$E$2:$E$500),$C76))</f>
        <v/>
      </c>
      <c r="E76" t="s">
        <v>209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387</v>
      </c>
      <c r="B77" s="4"/>
      <c r="D77" t="str">
        <f>IF($C77="","",IFERROR(LOOKUP(2,1/('03_Warehouse_Movements'!$C$2:$C$500=$A77),'03_Warehouse_Movements'!$E$2:$E$500),$C77))</f>
        <v/>
      </c>
      <c r="E77" t="s">
        <v>209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388</v>
      </c>
      <c r="B78" s="4"/>
      <c r="D78" t="str">
        <f>IF($C78="","",IFERROR(LOOKUP(2,1/('03_Warehouse_Movements'!$C$2:$C$500=$A78),'03_Warehouse_Movements'!$E$2:$E$500),$C78))</f>
        <v/>
      </c>
      <c r="E78" t="s">
        <v>209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389</v>
      </c>
      <c r="B79" s="4"/>
      <c r="D79" t="str">
        <f>IF($C79="","",IFERROR(LOOKUP(2,1/('03_Warehouse_Movements'!$C$2:$C$500=$A79),'03_Warehouse_Movements'!$E$2:$E$500),$C79))</f>
        <v/>
      </c>
      <c r="E79" t="s">
        <v>209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390</v>
      </c>
      <c r="B80" s="4"/>
      <c r="D80" t="str">
        <f>IF($C80="","",IFERROR(LOOKUP(2,1/('03_Warehouse_Movements'!$C$2:$C$500=$A80),'03_Warehouse_Movements'!$E$2:$E$500),$C80))</f>
        <v/>
      </c>
      <c r="E80" t="s">
        <v>209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391</v>
      </c>
      <c r="B81" s="4"/>
      <c r="D81" t="str">
        <f>IF($C81="","",IFERROR(LOOKUP(2,1/('03_Warehouse_Movements'!$C$2:$C$500=$A81),'03_Warehouse_Movements'!$E$2:$E$500),$C81))</f>
        <v/>
      </c>
      <c r="E81" t="s">
        <v>209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392</v>
      </c>
      <c r="B82" s="4"/>
      <c r="D82" t="str">
        <f>IF($C82="","",IFERROR(LOOKUP(2,1/('03_Warehouse_Movements'!$C$2:$C$500=$A82),'03_Warehouse_Movements'!$E$2:$E$500),$C82))</f>
        <v/>
      </c>
      <c r="E82" t="s">
        <v>209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393</v>
      </c>
      <c r="B83" s="4"/>
      <c r="D83" t="str">
        <f>IF($C83="","",IFERROR(LOOKUP(2,1/('03_Warehouse_Movements'!$C$2:$C$500=$A83),'03_Warehouse_Movements'!$E$2:$E$500),$C83))</f>
        <v/>
      </c>
      <c r="E83" t="s">
        <v>209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394</v>
      </c>
      <c r="B84" s="4"/>
      <c r="D84" t="str">
        <f>IF($C84="","",IFERROR(LOOKUP(2,1/('03_Warehouse_Movements'!$C$2:$C$500=$A84),'03_Warehouse_Movements'!$E$2:$E$500),$C84))</f>
        <v/>
      </c>
      <c r="E84" t="s">
        <v>209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395</v>
      </c>
      <c r="B85" s="4"/>
      <c r="D85" t="str">
        <f>IF($C85="","",IFERROR(LOOKUP(2,1/('03_Warehouse_Movements'!$C$2:$C$500=$A85),'03_Warehouse_Movements'!$E$2:$E$500),$C85))</f>
        <v/>
      </c>
      <c r="E85" t="s">
        <v>209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396</v>
      </c>
      <c r="B86" s="4"/>
      <c r="D86" t="str">
        <f>IF($C86="","",IFERROR(LOOKUP(2,1/('03_Warehouse_Movements'!$C$2:$C$500=$A86),'03_Warehouse_Movements'!$E$2:$E$500),$C86))</f>
        <v/>
      </c>
      <c r="E86" t="s">
        <v>209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397</v>
      </c>
      <c r="B87" s="4"/>
      <c r="D87" t="str">
        <f>IF($C87="","",IFERROR(LOOKUP(2,1/('03_Warehouse_Movements'!$C$2:$C$500=$A87),'03_Warehouse_Movements'!$E$2:$E$500),$C87))</f>
        <v/>
      </c>
      <c r="E87" t="s">
        <v>209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398</v>
      </c>
      <c r="B88" s="4"/>
      <c r="D88" t="str">
        <f>IF($C88="","",IFERROR(LOOKUP(2,1/('03_Warehouse_Movements'!$C$2:$C$500=$A88),'03_Warehouse_Movements'!$E$2:$E$500),$C88))</f>
        <v/>
      </c>
      <c r="E88" t="s">
        <v>209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399</v>
      </c>
      <c r="B89" s="4"/>
      <c r="D89" t="str">
        <f>IF($C89="","",IFERROR(LOOKUP(2,1/('03_Warehouse_Movements'!$C$2:$C$500=$A89),'03_Warehouse_Movements'!$E$2:$E$500),$C89))</f>
        <v/>
      </c>
      <c r="E89" t="s">
        <v>209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400</v>
      </c>
      <c r="B90" s="4"/>
      <c r="D90" t="str">
        <f>IF($C90="","",IFERROR(LOOKUP(2,1/('03_Warehouse_Movements'!$C$2:$C$500=$A90),'03_Warehouse_Movements'!$E$2:$E$500),$C90))</f>
        <v/>
      </c>
      <c r="E90" t="s">
        <v>209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401</v>
      </c>
      <c r="B91" s="4"/>
      <c r="D91" t="str">
        <f>IF($C91="","",IFERROR(LOOKUP(2,1/('03_Warehouse_Movements'!$C$2:$C$500=$A91),'03_Warehouse_Movements'!$E$2:$E$500),$C91))</f>
        <v/>
      </c>
      <c r="E91" t="s">
        <v>209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402</v>
      </c>
      <c r="B92" s="4"/>
      <c r="D92" t="str">
        <f>IF($C92="","",IFERROR(LOOKUP(2,1/('03_Warehouse_Movements'!$C$2:$C$500=$A92),'03_Warehouse_Movements'!$E$2:$E$500),$C92))</f>
        <v/>
      </c>
      <c r="E92" t="s">
        <v>209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403</v>
      </c>
      <c r="B93" s="4"/>
      <c r="D93" t="str">
        <f>IF($C93="","",IFERROR(LOOKUP(2,1/('03_Warehouse_Movements'!$C$2:$C$500=$A93),'03_Warehouse_Movements'!$E$2:$E$500),$C93))</f>
        <v/>
      </c>
      <c r="E93" t="s">
        <v>209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404</v>
      </c>
      <c r="B94" s="4"/>
      <c r="D94" t="str">
        <f>IF($C94="","",IFERROR(LOOKUP(2,1/('03_Warehouse_Movements'!$C$2:$C$500=$A94),'03_Warehouse_Movements'!$E$2:$E$500),$C94))</f>
        <v/>
      </c>
      <c r="E94" t="s">
        <v>209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405</v>
      </c>
      <c r="B95" s="4"/>
      <c r="D95" t="str">
        <f>IF($C95="","",IFERROR(LOOKUP(2,1/('03_Warehouse_Movements'!$C$2:$C$500=$A95),'03_Warehouse_Movements'!$E$2:$E$500),$C95))</f>
        <v/>
      </c>
      <c r="E95" t="s">
        <v>209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406</v>
      </c>
      <c r="B96" s="4"/>
      <c r="D96" t="str">
        <f>IF($C96="","",IFERROR(LOOKUP(2,1/('03_Warehouse_Movements'!$C$2:$C$500=$A96),'03_Warehouse_Movements'!$E$2:$E$500),$C96))</f>
        <v/>
      </c>
      <c r="E96" t="s">
        <v>209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407</v>
      </c>
      <c r="B97" s="4"/>
      <c r="D97" t="str">
        <f>IF($C97="","",IFERROR(LOOKUP(2,1/('03_Warehouse_Movements'!$C$2:$C$500=$A97),'03_Warehouse_Movements'!$E$2:$E$500),$C97))</f>
        <v/>
      </c>
      <c r="E97" t="s">
        <v>209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408</v>
      </c>
      <c r="B98" s="4"/>
      <c r="D98" t="str">
        <f>IF($C98="","",IFERROR(LOOKUP(2,1/('03_Warehouse_Movements'!$C$2:$C$500=$A98),'03_Warehouse_Movements'!$E$2:$E$500),$C98))</f>
        <v/>
      </c>
      <c r="E98" t="s">
        <v>209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409</v>
      </c>
      <c r="B99" s="4"/>
      <c r="D99" t="str">
        <f>IF($C99="","",IFERROR(LOOKUP(2,1/('03_Warehouse_Movements'!$C$2:$C$500=$A99),'03_Warehouse_Movements'!$E$2:$E$500),$C99))</f>
        <v/>
      </c>
      <c r="E99" t="s">
        <v>209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410</v>
      </c>
      <c r="B100" s="4"/>
      <c r="D100" t="str">
        <f>IF($C100="","",IFERROR(LOOKUP(2,1/('03_Warehouse_Movements'!$C$2:$C$500=$A100),'03_Warehouse_Movements'!$E$2:$E$500),$C100))</f>
        <v/>
      </c>
      <c r="E100" t="s">
        <v>209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411</v>
      </c>
      <c r="B101" s="4"/>
      <c r="D101" t="str">
        <f>IF($C101="","",IFERROR(LOOKUP(2,1/('03_Warehouse_Movements'!$C$2:$C$500=$A101),'03_Warehouse_Movements'!$E$2:$E$500),$C101))</f>
        <v/>
      </c>
      <c r="E101" t="s">
        <v>209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412</v>
      </c>
      <c r="B102" s="4"/>
      <c r="D102" t="str">
        <f>IF($C102="","",IFERROR(LOOKUP(2,1/('03_Warehouse_Movements'!$C$2:$C$500=$A102),'03_Warehouse_Movements'!$E$2:$E$500),$C102))</f>
        <v/>
      </c>
      <c r="E102" t="s">
        <v>209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413</v>
      </c>
      <c r="B103" s="4"/>
      <c r="D103" t="str">
        <f>IF($C103="","",IFERROR(LOOKUP(2,1/('03_Warehouse_Movements'!$C$2:$C$500=$A103),'03_Warehouse_Movements'!$E$2:$E$500),$C103))</f>
        <v/>
      </c>
      <c r="E103" t="s">
        <v>209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414</v>
      </c>
      <c r="B104" s="4"/>
      <c r="D104" t="str">
        <f>IF($C104="","",IFERROR(LOOKUP(2,1/('03_Warehouse_Movements'!$C$2:$C$500=$A104),'03_Warehouse_Movements'!$E$2:$E$500),$C104))</f>
        <v/>
      </c>
      <c r="E104" t="s">
        <v>209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415</v>
      </c>
      <c r="B105" s="4"/>
      <c r="D105" t="str">
        <f>IF($C105="","",IFERROR(LOOKUP(2,1/('03_Warehouse_Movements'!$C$2:$C$500=$A105),'03_Warehouse_Movements'!$E$2:$E$500),$C105))</f>
        <v/>
      </c>
      <c r="E105" t="s">
        <v>209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416</v>
      </c>
      <c r="B106" s="4"/>
      <c r="D106" t="str">
        <f>IF($C106="","",IFERROR(LOOKUP(2,1/('03_Warehouse_Movements'!$C$2:$C$500=$A106),'03_Warehouse_Movements'!$E$2:$E$500),$C106))</f>
        <v/>
      </c>
      <c r="E106" t="s">
        <v>209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417</v>
      </c>
      <c r="B107" s="4"/>
      <c r="D107" t="str">
        <f>IF($C107="","",IFERROR(LOOKUP(2,1/('03_Warehouse_Movements'!$C$2:$C$500=$A107),'03_Warehouse_Movements'!$E$2:$E$500),$C107))</f>
        <v/>
      </c>
      <c r="E107" t="s">
        <v>209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418</v>
      </c>
      <c r="B108" s="4"/>
      <c r="D108" t="str">
        <f>IF($C108="","",IFERROR(LOOKUP(2,1/('03_Warehouse_Movements'!$C$2:$C$500=$A108),'03_Warehouse_Movements'!$E$2:$E$500),$C108))</f>
        <v/>
      </c>
      <c r="E108" t="s">
        <v>209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419</v>
      </c>
      <c r="B109" s="4"/>
      <c r="D109" t="str">
        <f>IF($C109="","",IFERROR(LOOKUP(2,1/('03_Warehouse_Movements'!$C$2:$C$500=$A109),'03_Warehouse_Movements'!$E$2:$E$500),$C109))</f>
        <v/>
      </c>
      <c r="E109" t="s">
        <v>209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420</v>
      </c>
      <c r="B110" s="4"/>
      <c r="D110" t="str">
        <f>IF($C110="","",IFERROR(LOOKUP(2,1/('03_Warehouse_Movements'!$C$2:$C$500=$A110),'03_Warehouse_Movements'!$E$2:$E$500),$C110))</f>
        <v/>
      </c>
      <c r="E110" t="s">
        <v>209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421</v>
      </c>
      <c r="B111" s="4"/>
      <c r="D111" t="str">
        <f>IF($C111="","",IFERROR(LOOKUP(2,1/('03_Warehouse_Movements'!$C$2:$C$500=$A111),'03_Warehouse_Movements'!$E$2:$E$500),$C111))</f>
        <v/>
      </c>
      <c r="E111" t="s">
        <v>209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422</v>
      </c>
      <c r="B112" s="4"/>
      <c r="D112" t="str">
        <f>IF($C112="","",IFERROR(LOOKUP(2,1/('03_Warehouse_Movements'!$C$2:$C$500=$A112),'03_Warehouse_Movements'!$E$2:$E$500),$C112))</f>
        <v/>
      </c>
      <c r="E112" t="s">
        <v>209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423</v>
      </c>
      <c r="B113" s="4"/>
      <c r="D113" t="str">
        <f>IF($C113="","",IFERROR(LOOKUP(2,1/('03_Warehouse_Movements'!$C$2:$C$500=$A113),'03_Warehouse_Movements'!$E$2:$E$500),$C113))</f>
        <v/>
      </c>
      <c r="E113" t="s">
        <v>209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424</v>
      </c>
      <c r="B114" s="4"/>
      <c r="D114" t="str">
        <f>IF($C114="","",IFERROR(LOOKUP(2,1/('03_Warehouse_Movements'!$C$2:$C$500=$A114),'03_Warehouse_Movements'!$E$2:$E$500),$C114))</f>
        <v/>
      </c>
      <c r="E114" t="s">
        <v>209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425</v>
      </c>
      <c r="B115" s="4"/>
      <c r="D115" t="str">
        <f>IF($C115="","",IFERROR(LOOKUP(2,1/('03_Warehouse_Movements'!$C$2:$C$500=$A115),'03_Warehouse_Movements'!$E$2:$E$500),$C115))</f>
        <v/>
      </c>
      <c r="E115" t="s">
        <v>209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426</v>
      </c>
      <c r="B116" s="4"/>
      <c r="D116" t="str">
        <f>IF($C116="","",IFERROR(LOOKUP(2,1/('03_Warehouse_Movements'!$C$2:$C$500=$A116),'03_Warehouse_Movements'!$E$2:$E$500),$C116))</f>
        <v/>
      </c>
      <c r="E116" t="s">
        <v>209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427</v>
      </c>
      <c r="B117" s="4"/>
      <c r="D117" t="str">
        <f>IF($C117="","",IFERROR(LOOKUP(2,1/('03_Warehouse_Movements'!$C$2:$C$500=$A117),'03_Warehouse_Movements'!$E$2:$E$500),$C117))</f>
        <v/>
      </c>
      <c r="E117" t="s">
        <v>209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428</v>
      </c>
      <c r="B118" s="4"/>
      <c r="D118" t="str">
        <f>IF($C118="","",IFERROR(LOOKUP(2,1/('03_Warehouse_Movements'!$C$2:$C$500=$A118),'03_Warehouse_Movements'!$E$2:$E$500),$C118))</f>
        <v/>
      </c>
      <c r="E118" t="s">
        <v>209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429</v>
      </c>
      <c r="B119" s="4"/>
      <c r="D119" t="str">
        <f>IF($C119="","",IFERROR(LOOKUP(2,1/('03_Warehouse_Movements'!$C$2:$C$500=$A119),'03_Warehouse_Movements'!$E$2:$E$500),$C119))</f>
        <v/>
      </c>
      <c r="E119" t="s">
        <v>209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430</v>
      </c>
      <c r="B120" s="4"/>
      <c r="D120" t="str">
        <f>IF($C120="","",IFERROR(LOOKUP(2,1/('03_Warehouse_Movements'!$C$2:$C$500=$A120),'03_Warehouse_Movements'!$E$2:$E$500),$C120))</f>
        <v/>
      </c>
      <c r="E120" t="s">
        <v>209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431</v>
      </c>
      <c r="B121" s="4"/>
      <c r="D121" t="str">
        <f>IF($C121="","",IFERROR(LOOKUP(2,1/('03_Warehouse_Movements'!$C$2:$C$500=$A121),'03_Warehouse_Movements'!$E$2:$E$500),$C121))</f>
        <v/>
      </c>
      <c r="E121" t="s">
        <v>209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432</v>
      </c>
      <c r="B122" s="4"/>
      <c r="D122" t="str">
        <f>IF($C122="","",IFERROR(LOOKUP(2,1/('03_Warehouse_Movements'!$C$2:$C$500=$A122),'03_Warehouse_Movements'!$E$2:$E$500),$C122))</f>
        <v/>
      </c>
      <c r="E122" t="s">
        <v>209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433</v>
      </c>
      <c r="B123" s="4"/>
      <c r="D123" t="str">
        <f>IF($C123="","",IFERROR(LOOKUP(2,1/('03_Warehouse_Movements'!$C$2:$C$500=$A123),'03_Warehouse_Movements'!$E$2:$E$500),$C123))</f>
        <v/>
      </c>
      <c r="E123" t="s">
        <v>209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434</v>
      </c>
      <c r="B124" s="4"/>
      <c r="D124" t="str">
        <f>IF($C124="","",IFERROR(LOOKUP(2,1/('03_Warehouse_Movements'!$C$2:$C$500=$A124),'03_Warehouse_Movements'!$E$2:$E$500),$C124))</f>
        <v/>
      </c>
      <c r="E124" t="s">
        <v>209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435</v>
      </c>
      <c r="B125" s="4"/>
      <c r="D125" t="str">
        <f>IF($C125="","",IFERROR(LOOKUP(2,1/('03_Warehouse_Movements'!$C$2:$C$500=$A125),'03_Warehouse_Movements'!$E$2:$E$500),$C125))</f>
        <v/>
      </c>
      <c r="E125" t="s">
        <v>209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436</v>
      </c>
      <c r="B126" s="4"/>
      <c r="D126" t="str">
        <f>IF($C126="","",IFERROR(LOOKUP(2,1/('03_Warehouse_Movements'!$C$2:$C$500=$A126),'03_Warehouse_Movements'!$E$2:$E$500),$C126))</f>
        <v/>
      </c>
      <c r="E126" t="s">
        <v>209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437</v>
      </c>
      <c r="B127" s="4"/>
      <c r="D127" t="str">
        <f>IF($C127="","",IFERROR(LOOKUP(2,1/('03_Warehouse_Movements'!$C$2:$C$500=$A127),'03_Warehouse_Movements'!$E$2:$E$500),$C127))</f>
        <v/>
      </c>
      <c r="E127" t="s">
        <v>209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438</v>
      </c>
      <c r="B128" s="4"/>
      <c r="D128" t="str">
        <f>IF($C128="","",IFERROR(LOOKUP(2,1/('03_Warehouse_Movements'!$C$2:$C$500=$A128),'03_Warehouse_Movements'!$E$2:$E$500),$C128))</f>
        <v/>
      </c>
      <c r="E128" t="s">
        <v>209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439</v>
      </c>
      <c r="B129" s="4"/>
      <c r="D129" t="str">
        <f>IF($C129="","",IFERROR(LOOKUP(2,1/('03_Warehouse_Movements'!$C$2:$C$500=$A129),'03_Warehouse_Movements'!$E$2:$E$500),$C129))</f>
        <v/>
      </c>
      <c r="E129" t="s">
        <v>209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440</v>
      </c>
      <c r="B130" s="4"/>
      <c r="D130" t="str">
        <f>IF($C130="","",IFERROR(LOOKUP(2,1/('03_Warehouse_Movements'!$C$2:$C$500=$A130),'03_Warehouse_Movements'!$E$2:$E$500),$C130))</f>
        <v/>
      </c>
      <c r="E130" t="s">
        <v>209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441</v>
      </c>
      <c r="B131" s="4"/>
      <c r="D131" t="str">
        <f>IF($C131="","",IFERROR(LOOKUP(2,1/('03_Warehouse_Movements'!$C$2:$C$500=$A131),'03_Warehouse_Movements'!$E$2:$E$500),$C131))</f>
        <v/>
      </c>
      <c r="E131" t="s">
        <v>209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442</v>
      </c>
      <c r="B132" s="4"/>
      <c r="D132" t="str">
        <f>IF($C132="","",IFERROR(LOOKUP(2,1/('03_Warehouse_Movements'!$C$2:$C$500=$A132),'03_Warehouse_Movements'!$E$2:$E$500),$C132))</f>
        <v/>
      </c>
      <c r="E132" t="s">
        <v>209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443</v>
      </c>
      <c r="B133" s="4"/>
      <c r="D133" t="str">
        <f>IF($C133="","",IFERROR(LOOKUP(2,1/('03_Warehouse_Movements'!$C$2:$C$500=$A133),'03_Warehouse_Movements'!$E$2:$E$500),$C133))</f>
        <v/>
      </c>
      <c r="E133" t="s">
        <v>209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444</v>
      </c>
      <c r="B134" s="4"/>
      <c r="D134" t="str">
        <f>IF($C134="","",IFERROR(LOOKUP(2,1/('03_Warehouse_Movements'!$C$2:$C$500=$A134),'03_Warehouse_Movements'!$E$2:$E$500),$C134))</f>
        <v/>
      </c>
      <c r="E134" t="s">
        <v>209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445</v>
      </c>
      <c r="B135" s="4"/>
      <c r="D135" t="str">
        <f>IF($C135="","",IFERROR(LOOKUP(2,1/('03_Warehouse_Movements'!$C$2:$C$500=$A135),'03_Warehouse_Movements'!$E$2:$E$500),$C135))</f>
        <v/>
      </c>
      <c r="E135" t="s">
        <v>209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446</v>
      </c>
      <c r="B136" s="4"/>
      <c r="D136" t="str">
        <f>IF($C136="","",IFERROR(LOOKUP(2,1/('03_Warehouse_Movements'!$C$2:$C$500=$A136),'03_Warehouse_Movements'!$E$2:$E$500),$C136))</f>
        <v/>
      </c>
      <c r="E136" t="s">
        <v>209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447</v>
      </c>
      <c r="B137" s="4"/>
      <c r="D137" t="str">
        <f>IF($C137="","",IFERROR(LOOKUP(2,1/('03_Warehouse_Movements'!$C$2:$C$500=$A137),'03_Warehouse_Movements'!$E$2:$E$500),$C137))</f>
        <v/>
      </c>
      <c r="E137" t="s">
        <v>209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448</v>
      </c>
      <c r="B138" s="4"/>
      <c r="D138" t="str">
        <f>IF($C138="","",IFERROR(LOOKUP(2,1/('03_Warehouse_Movements'!$C$2:$C$500=$A138),'03_Warehouse_Movements'!$E$2:$E$500),$C138))</f>
        <v/>
      </c>
      <c r="E138" t="s">
        <v>209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449</v>
      </c>
      <c r="B139" s="4"/>
      <c r="D139" t="str">
        <f>IF($C139="","",IFERROR(LOOKUP(2,1/('03_Warehouse_Movements'!$C$2:$C$500=$A139),'03_Warehouse_Movements'!$E$2:$E$500),$C139))</f>
        <v/>
      </c>
      <c r="E139" t="s">
        <v>209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450</v>
      </c>
      <c r="B140" s="4"/>
      <c r="D140" t="str">
        <f>IF($C140="","",IFERROR(LOOKUP(2,1/('03_Warehouse_Movements'!$C$2:$C$500=$A140),'03_Warehouse_Movements'!$E$2:$E$500),$C140))</f>
        <v/>
      </c>
      <c r="E140" t="s">
        <v>209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451</v>
      </c>
      <c r="B141" s="4"/>
      <c r="D141" t="str">
        <f>IF($C141="","",IFERROR(LOOKUP(2,1/('03_Warehouse_Movements'!$C$2:$C$500=$A141),'03_Warehouse_Movements'!$E$2:$E$500),$C141))</f>
        <v/>
      </c>
      <c r="E141" t="s">
        <v>209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452</v>
      </c>
      <c r="B142" s="4"/>
      <c r="D142" t="str">
        <f>IF($C142="","",IFERROR(LOOKUP(2,1/('03_Warehouse_Movements'!$C$2:$C$500=$A142),'03_Warehouse_Movements'!$E$2:$E$500),$C142))</f>
        <v/>
      </c>
      <c r="E142" t="s">
        <v>209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453</v>
      </c>
      <c r="B143" s="4"/>
      <c r="D143" t="str">
        <f>IF($C143="","",IFERROR(LOOKUP(2,1/('03_Warehouse_Movements'!$C$2:$C$500=$A143),'03_Warehouse_Movements'!$E$2:$E$500),$C143))</f>
        <v/>
      </c>
      <c r="E143" t="s">
        <v>209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454</v>
      </c>
      <c r="B144" s="4"/>
      <c r="D144" t="str">
        <f>IF($C144="","",IFERROR(LOOKUP(2,1/('03_Warehouse_Movements'!$C$2:$C$500=$A144),'03_Warehouse_Movements'!$E$2:$E$500),$C144))</f>
        <v/>
      </c>
      <c r="E144" t="s">
        <v>209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455</v>
      </c>
      <c r="B145" s="4"/>
      <c r="D145" t="str">
        <f>IF($C145="","",IFERROR(LOOKUP(2,1/('03_Warehouse_Movements'!$C$2:$C$500=$A145),'03_Warehouse_Movements'!$E$2:$E$500),$C145))</f>
        <v/>
      </c>
      <c r="E145" t="s">
        <v>209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456</v>
      </c>
      <c r="B146" s="4"/>
      <c r="D146" t="str">
        <f>IF($C146="","",IFERROR(LOOKUP(2,1/('03_Warehouse_Movements'!$C$2:$C$500=$A146),'03_Warehouse_Movements'!$E$2:$E$500),$C146))</f>
        <v/>
      </c>
      <c r="E146" t="s">
        <v>209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457</v>
      </c>
      <c r="B147" s="4"/>
      <c r="D147" t="str">
        <f>IF($C147="","",IFERROR(LOOKUP(2,1/('03_Warehouse_Movements'!$C$2:$C$500=$A147),'03_Warehouse_Movements'!$E$2:$E$500),$C147))</f>
        <v/>
      </c>
      <c r="E147" t="s">
        <v>209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458</v>
      </c>
      <c r="B148" s="4"/>
      <c r="D148" t="str">
        <f>IF($C148="","",IFERROR(LOOKUP(2,1/('03_Warehouse_Movements'!$C$2:$C$500=$A148),'03_Warehouse_Movements'!$E$2:$E$500),$C148))</f>
        <v/>
      </c>
      <c r="E148" t="s">
        <v>209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459</v>
      </c>
      <c r="B149" s="4"/>
      <c r="D149" t="str">
        <f>IF($C149="","",IFERROR(LOOKUP(2,1/('03_Warehouse_Movements'!$C$2:$C$500=$A149),'03_Warehouse_Movements'!$E$2:$E$500),$C149))</f>
        <v/>
      </c>
      <c r="E149" t="s">
        <v>209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460</v>
      </c>
      <c r="B150" s="4"/>
      <c r="D150" t="str">
        <f>IF($C150="","",IFERROR(LOOKUP(2,1/('03_Warehouse_Movements'!$C$2:$C$500=$A150),'03_Warehouse_Movements'!$E$2:$E$500),$C150))</f>
        <v/>
      </c>
      <c r="E150" t="s">
        <v>209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461</v>
      </c>
      <c r="B151" s="4"/>
      <c r="D151" t="str">
        <f>IF($C151="","",IFERROR(LOOKUP(2,1/('03_Warehouse_Movements'!$C$2:$C$500=$A151),'03_Warehouse_Movements'!$E$2:$E$500),$C151))</f>
        <v/>
      </c>
      <c r="E151" t="s">
        <v>209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462</v>
      </c>
      <c r="B152" s="4"/>
      <c r="D152" t="str">
        <f>IF($C152="","",IFERROR(LOOKUP(2,1/('03_Warehouse_Movements'!$C$2:$C$500=$A152),'03_Warehouse_Movements'!$E$2:$E$500),$C152))</f>
        <v/>
      </c>
      <c r="E152" t="s">
        <v>209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463</v>
      </c>
      <c r="B153" s="4"/>
      <c r="D153" t="str">
        <f>IF($C153="","",IFERROR(LOOKUP(2,1/('03_Warehouse_Movements'!$C$2:$C$500=$A153),'03_Warehouse_Movements'!$E$2:$E$500),$C153))</f>
        <v/>
      </c>
      <c r="E153" t="s">
        <v>209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464</v>
      </c>
      <c r="B154" s="4"/>
      <c r="D154" t="str">
        <f>IF($C154="","",IFERROR(LOOKUP(2,1/('03_Warehouse_Movements'!$C$2:$C$500=$A154),'03_Warehouse_Movements'!$E$2:$E$500),$C154))</f>
        <v/>
      </c>
      <c r="E154" t="s">
        <v>209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465</v>
      </c>
      <c r="B155" s="4"/>
      <c r="D155" t="str">
        <f>IF($C155="","",IFERROR(LOOKUP(2,1/('03_Warehouse_Movements'!$C$2:$C$500=$A155),'03_Warehouse_Movements'!$E$2:$E$500),$C155))</f>
        <v/>
      </c>
      <c r="E155" t="s">
        <v>209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466</v>
      </c>
      <c r="B156" s="4"/>
      <c r="D156" t="str">
        <f>IF($C156="","",IFERROR(LOOKUP(2,1/('03_Warehouse_Movements'!$C$2:$C$500=$A156),'03_Warehouse_Movements'!$E$2:$E$500),$C156))</f>
        <v/>
      </c>
      <c r="E156" t="s">
        <v>209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467</v>
      </c>
      <c r="B157" s="4"/>
      <c r="D157" t="str">
        <f>IF($C157="","",IFERROR(LOOKUP(2,1/('03_Warehouse_Movements'!$C$2:$C$500=$A157),'03_Warehouse_Movements'!$E$2:$E$500),$C157))</f>
        <v/>
      </c>
      <c r="E157" t="s">
        <v>209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468</v>
      </c>
      <c r="B158" s="4"/>
      <c r="D158" t="str">
        <f>IF($C158="","",IFERROR(LOOKUP(2,1/('03_Warehouse_Movements'!$C$2:$C$500=$A158),'03_Warehouse_Movements'!$E$2:$E$500),$C158))</f>
        <v/>
      </c>
      <c r="E158" t="s">
        <v>209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469</v>
      </c>
      <c r="B159" s="4"/>
      <c r="D159" t="str">
        <f>IF($C159="","",IFERROR(LOOKUP(2,1/('03_Warehouse_Movements'!$C$2:$C$500=$A159),'03_Warehouse_Movements'!$E$2:$E$500),$C159))</f>
        <v/>
      </c>
      <c r="E159" t="s">
        <v>209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470</v>
      </c>
      <c r="B160" s="4"/>
      <c r="D160" t="str">
        <f>IF($C160="","",IFERROR(LOOKUP(2,1/('03_Warehouse_Movements'!$C$2:$C$500=$A160),'03_Warehouse_Movements'!$E$2:$E$500),$C160))</f>
        <v/>
      </c>
      <c r="E160" t="s">
        <v>209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471</v>
      </c>
      <c r="B161" s="4"/>
      <c r="D161" t="str">
        <f>IF($C161="","",IFERROR(LOOKUP(2,1/('03_Warehouse_Movements'!$C$2:$C$500=$A161),'03_Warehouse_Movements'!$E$2:$E$500),$C161))</f>
        <v/>
      </c>
      <c r="E161" t="s">
        <v>209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472</v>
      </c>
      <c r="B162" s="4"/>
      <c r="D162" t="str">
        <f>IF($C162="","",IFERROR(LOOKUP(2,1/('03_Warehouse_Movements'!$C$2:$C$500=$A162),'03_Warehouse_Movements'!$E$2:$E$500),$C162))</f>
        <v/>
      </c>
      <c r="E162" t="s">
        <v>209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473</v>
      </c>
      <c r="B163" s="4"/>
      <c r="D163" t="str">
        <f>IF($C163="","",IFERROR(LOOKUP(2,1/('03_Warehouse_Movements'!$C$2:$C$500=$A163),'03_Warehouse_Movements'!$E$2:$E$500),$C163))</f>
        <v/>
      </c>
      <c r="E163" t="s">
        <v>209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474</v>
      </c>
      <c r="B164" s="4"/>
      <c r="D164" t="str">
        <f>IF($C164="","",IFERROR(LOOKUP(2,1/('03_Warehouse_Movements'!$C$2:$C$500=$A164),'03_Warehouse_Movements'!$E$2:$E$500),$C164))</f>
        <v/>
      </c>
      <c r="E164" t="s">
        <v>209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475</v>
      </c>
      <c r="B165" s="4"/>
      <c r="D165" t="str">
        <f>IF($C165="","",IFERROR(LOOKUP(2,1/('03_Warehouse_Movements'!$C$2:$C$500=$A165),'03_Warehouse_Movements'!$E$2:$E$500),$C165))</f>
        <v/>
      </c>
      <c r="E165" t="s">
        <v>209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476</v>
      </c>
      <c r="B166" s="4"/>
      <c r="D166" t="str">
        <f>IF($C166="","",IFERROR(LOOKUP(2,1/('03_Warehouse_Movements'!$C$2:$C$500=$A166),'03_Warehouse_Movements'!$E$2:$E$500),$C166))</f>
        <v/>
      </c>
      <c r="E166" t="s">
        <v>209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477</v>
      </c>
      <c r="B167" s="4"/>
      <c r="D167" t="str">
        <f>IF($C167="","",IFERROR(LOOKUP(2,1/('03_Warehouse_Movements'!$C$2:$C$500=$A167),'03_Warehouse_Movements'!$E$2:$E$500),$C167))</f>
        <v/>
      </c>
      <c r="E167" t="s">
        <v>209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478</v>
      </c>
      <c r="B168" s="4"/>
      <c r="D168" t="str">
        <f>IF($C168="","",IFERROR(LOOKUP(2,1/('03_Warehouse_Movements'!$C$2:$C$500=$A168),'03_Warehouse_Movements'!$E$2:$E$500),$C168))</f>
        <v/>
      </c>
      <c r="E168" t="s">
        <v>209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479</v>
      </c>
      <c r="B169" s="4"/>
      <c r="D169" t="str">
        <f>IF($C169="","",IFERROR(LOOKUP(2,1/('03_Warehouse_Movements'!$C$2:$C$500=$A169),'03_Warehouse_Movements'!$E$2:$E$500),$C169))</f>
        <v/>
      </c>
      <c r="E169" t="s">
        <v>209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480</v>
      </c>
      <c r="B170" s="4"/>
      <c r="D170" t="str">
        <f>IF($C170="","",IFERROR(LOOKUP(2,1/('03_Warehouse_Movements'!$C$2:$C$500=$A170),'03_Warehouse_Movements'!$E$2:$E$500),$C170))</f>
        <v/>
      </c>
      <c r="E170" t="s">
        <v>209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481</v>
      </c>
      <c r="B171" s="4"/>
      <c r="D171" t="str">
        <f>IF($C171="","",IFERROR(LOOKUP(2,1/('03_Warehouse_Movements'!$C$2:$C$500=$A171),'03_Warehouse_Movements'!$E$2:$E$500),$C171))</f>
        <v/>
      </c>
      <c r="E171" t="s">
        <v>209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482</v>
      </c>
      <c r="B172" s="4"/>
      <c r="D172" t="str">
        <f>IF($C172="","",IFERROR(LOOKUP(2,1/('03_Warehouse_Movements'!$C$2:$C$500=$A172),'03_Warehouse_Movements'!$E$2:$E$500),$C172))</f>
        <v/>
      </c>
      <c r="E172" t="s">
        <v>209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483</v>
      </c>
      <c r="B173" s="4"/>
      <c r="D173" t="str">
        <f>IF($C173="","",IFERROR(LOOKUP(2,1/('03_Warehouse_Movements'!$C$2:$C$500=$A173),'03_Warehouse_Movements'!$E$2:$E$500),$C173))</f>
        <v/>
      </c>
      <c r="E173" t="s">
        <v>209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484</v>
      </c>
      <c r="B174" s="4"/>
      <c r="D174" t="str">
        <f>IF($C174="","",IFERROR(LOOKUP(2,1/('03_Warehouse_Movements'!$C$2:$C$500=$A174),'03_Warehouse_Movements'!$E$2:$E$500),$C174))</f>
        <v/>
      </c>
      <c r="E174" t="s">
        <v>209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485</v>
      </c>
      <c r="B175" s="4"/>
      <c r="D175" t="str">
        <f>IF($C175="","",IFERROR(LOOKUP(2,1/('03_Warehouse_Movements'!$C$2:$C$500=$A175),'03_Warehouse_Movements'!$E$2:$E$500),$C175))</f>
        <v/>
      </c>
      <c r="E175" t="s">
        <v>209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486</v>
      </c>
      <c r="B176" s="4"/>
      <c r="D176" t="str">
        <f>IF($C176="","",IFERROR(LOOKUP(2,1/('03_Warehouse_Movements'!$C$2:$C$500=$A176),'03_Warehouse_Movements'!$E$2:$E$500),$C176))</f>
        <v/>
      </c>
      <c r="E176" t="s">
        <v>209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487</v>
      </c>
      <c r="B177" s="4"/>
      <c r="D177" t="str">
        <f>IF($C177="","",IFERROR(LOOKUP(2,1/('03_Warehouse_Movements'!$C$2:$C$500=$A177),'03_Warehouse_Movements'!$E$2:$E$500),$C177))</f>
        <v/>
      </c>
      <c r="E177" t="s">
        <v>209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488</v>
      </c>
      <c r="B178" s="4"/>
      <c r="D178" t="str">
        <f>IF($C178="","",IFERROR(LOOKUP(2,1/('03_Warehouse_Movements'!$C$2:$C$500=$A178),'03_Warehouse_Movements'!$E$2:$E$500),$C178))</f>
        <v/>
      </c>
      <c r="E178" t="s">
        <v>209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489</v>
      </c>
      <c r="B179" s="4"/>
      <c r="D179" t="str">
        <f>IF($C179="","",IFERROR(LOOKUP(2,1/('03_Warehouse_Movements'!$C$2:$C$500=$A179),'03_Warehouse_Movements'!$E$2:$E$500),$C179))</f>
        <v/>
      </c>
      <c r="E179" t="s">
        <v>209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490</v>
      </c>
      <c r="B180" s="4"/>
      <c r="D180" t="str">
        <f>IF($C180="","",IFERROR(LOOKUP(2,1/('03_Warehouse_Movements'!$C$2:$C$500=$A180),'03_Warehouse_Movements'!$E$2:$E$500),$C180))</f>
        <v/>
      </c>
      <c r="E180" t="s">
        <v>209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491</v>
      </c>
      <c r="B181" s="4"/>
      <c r="D181" t="str">
        <f>IF($C181="","",IFERROR(LOOKUP(2,1/('03_Warehouse_Movements'!$C$2:$C$500=$A181),'03_Warehouse_Movements'!$E$2:$E$500),$C181))</f>
        <v/>
      </c>
      <c r="E181" t="s">
        <v>209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492</v>
      </c>
      <c r="B182" s="4"/>
      <c r="D182" t="str">
        <f>IF($C182="","",IFERROR(LOOKUP(2,1/('03_Warehouse_Movements'!$C$2:$C$500=$A182),'03_Warehouse_Movements'!$E$2:$E$500),$C182))</f>
        <v/>
      </c>
      <c r="E182" t="s">
        <v>209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493</v>
      </c>
      <c r="B183" s="4"/>
      <c r="D183" t="str">
        <f>IF($C183="","",IFERROR(LOOKUP(2,1/('03_Warehouse_Movements'!$C$2:$C$500=$A183),'03_Warehouse_Movements'!$E$2:$E$500),$C183))</f>
        <v/>
      </c>
      <c r="E183" t="s">
        <v>209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494</v>
      </c>
      <c r="B184" s="4"/>
      <c r="D184" t="str">
        <f>IF($C184="","",IFERROR(LOOKUP(2,1/('03_Warehouse_Movements'!$C$2:$C$500=$A184),'03_Warehouse_Movements'!$E$2:$E$500),$C184))</f>
        <v/>
      </c>
      <c r="E184" t="s">
        <v>209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495</v>
      </c>
      <c r="B185" s="4"/>
      <c r="D185" t="str">
        <f>IF($C185="","",IFERROR(LOOKUP(2,1/('03_Warehouse_Movements'!$C$2:$C$500=$A185),'03_Warehouse_Movements'!$E$2:$E$500),$C185))</f>
        <v/>
      </c>
      <c r="E185" t="s">
        <v>209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496</v>
      </c>
      <c r="B186" s="4"/>
      <c r="D186" t="str">
        <f>IF($C186="","",IFERROR(LOOKUP(2,1/('03_Warehouse_Movements'!$C$2:$C$500=$A186),'03_Warehouse_Movements'!$E$2:$E$500),$C186))</f>
        <v/>
      </c>
      <c r="E186" t="s">
        <v>209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497</v>
      </c>
      <c r="B187" s="4"/>
      <c r="D187" t="str">
        <f>IF($C187="","",IFERROR(LOOKUP(2,1/('03_Warehouse_Movements'!$C$2:$C$500=$A187),'03_Warehouse_Movements'!$E$2:$E$500),$C187))</f>
        <v/>
      </c>
      <c r="E187" t="s">
        <v>209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498</v>
      </c>
      <c r="B188" s="4"/>
      <c r="D188" t="str">
        <f>IF($C188="","",IFERROR(LOOKUP(2,1/('03_Warehouse_Movements'!$C$2:$C$500=$A188),'03_Warehouse_Movements'!$E$2:$E$500),$C188))</f>
        <v/>
      </c>
      <c r="E188" t="s">
        <v>209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499</v>
      </c>
      <c r="B189" s="4"/>
      <c r="D189" t="str">
        <f>IF($C189="","",IFERROR(LOOKUP(2,1/('03_Warehouse_Movements'!$C$2:$C$500=$A189),'03_Warehouse_Movements'!$E$2:$E$500),$C189))</f>
        <v/>
      </c>
      <c r="E189" t="s">
        <v>209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500</v>
      </c>
      <c r="B190" s="4"/>
      <c r="D190" t="str">
        <f>IF($C190="","",IFERROR(LOOKUP(2,1/('03_Warehouse_Movements'!$C$2:$C$500=$A190),'03_Warehouse_Movements'!$E$2:$E$500),$C190))</f>
        <v/>
      </c>
      <c r="E190" t="s">
        <v>209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501</v>
      </c>
      <c r="B191" s="4"/>
      <c r="D191" t="str">
        <f>IF($C191="","",IFERROR(LOOKUP(2,1/('03_Warehouse_Movements'!$C$2:$C$500=$A191),'03_Warehouse_Movements'!$E$2:$E$500),$C191))</f>
        <v/>
      </c>
      <c r="E191" t="s">
        <v>209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502</v>
      </c>
      <c r="B192" s="4"/>
      <c r="D192" t="str">
        <f>IF($C192="","",IFERROR(LOOKUP(2,1/('03_Warehouse_Movements'!$C$2:$C$500=$A192),'03_Warehouse_Movements'!$E$2:$E$500),$C192))</f>
        <v/>
      </c>
      <c r="E192" t="s">
        <v>209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503</v>
      </c>
      <c r="B193" s="4"/>
      <c r="D193" t="str">
        <f>IF($C193="","",IFERROR(LOOKUP(2,1/('03_Warehouse_Movements'!$C$2:$C$500=$A193),'03_Warehouse_Movements'!$E$2:$E$500),$C193))</f>
        <v/>
      </c>
      <c r="E193" t="s">
        <v>209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504</v>
      </c>
      <c r="B194" s="4"/>
      <c r="D194" t="str">
        <f>IF($C194="","",IFERROR(LOOKUP(2,1/('03_Warehouse_Movements'!$C$2:$C$500=$A194),'03_Warehouse_Movements'!$E$2:$E$500),$C194))</f>
        <v/>
      </c>
      <c r="E194" t="s">
        <v>209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505</v>
      </c>
      <c r="B195" s="4"/>
      <c r="D195" t="str">
        <f>IF($C195="","",IFERROR(LOOKUP(2,1/('03_Warehouse_Movements'!$C$2:$C$500=$A195),'03_Warehouse_Movements'!$E$2:$E$500),$C195))</f>
        <v/>
      </c>
      <c r="E195" t="s">
        <v>209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506</v>
      </c>
      <c r="B196" s="4"/>
      <c r="D196" t="str">
        <f>IF($C196="","",IFERROR(LOOKUP(2,1/('03_Warehouse_Movements'!$C$2:$C$500=$A196),'03_Warehouse_Movements'!$E$2:$E$500),$C196))</f>
        <v/>
      </c>
      <c r="E196" t="s">
        <v>209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507</v>
      </c>
      <c r="B197" s="4"/>
      <c r="D197" t="str">
        <f>IF($C197="","",IFERROR(LOOKUP(2,1/('03_Warehouse_Movements'!$C$2:$C$500=$A197),'03_Warehouse_Movements'!$E$2:$E$500),$C197))</f>
        <v/>
      </c>
      <c r="E197" t="s">
        <v>209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508</v>
      </c>
      <c r="B198" s="4"/>
      <c r="D198" t="str">
        <f>IF($C198="","",IFERROR(LOOKUP(2,1/('03_Warehouse_Movements'!$C$2:$C$500=$A198),'03_Warehouse_Movements'!$E$2:$E$500),$C198))</f>
        <v/>
      </c>
      <c r="E198" t="s">
        <v>209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509</v>
      </c>
      <c r="B199" s="4"/>
      <c r="D199" t="str">
        <f>IF($C199="","",IFERROR(LOOKUP(2,1/('03_Warehouse_Movements'!$C$2:$C$500=$A199),'03_Warehouse_Movements'!$E$2:$E$500),$C199))</f>
        <v/>
      </c>
      <c r="E199" t="s">
        <v>209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510</v>
      </c>
      <c r="B200" s="24"/>
      <c r="D200" t="str">
        <f>IF($C200="","",IFERROR(LOOKUP(2,1/('03_Warehouse_Movements'!$C$2:$C$500=$A200),'03_Warehouse_Movements'!$E$2:$E$500),$C200))</f>
        <v/>
      </c>
      <c r="E200" t="s">
        <v>209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511</v>
      </c>
      <c r="B201" s="24"/>
      <c r="D201" t="str">
        <f>IF($C201="","",IFERROR(LOOKUP(2,1/('03_Warehouse_Movements'!$C$2:$C$500=$A201),'03_Warehouse_Movements'!$E$2:$E$500),$C201))</f>
        <v/>
      </c>
      <c r="E201" t="s">
        <v>209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512</v>
      </c>
      <c r="B202" s="24"/>
      <c r="D202" t="str">
        <f>IF($C202="","",IFERROR(LOOKUP(2,1/('03_Warehouse_Movements'!$C$2:$C$500=$A202),'03_Warehouse_Movements'!$E$2:$E$500),$C202))</f>
        <v/>
      </c>
      <c r="E202" t="s">
        <v>209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513</v>
      </c>
      <c r="B203" s="24"/>
      <c r="D203" t="str">
        <f>IF($C203="","",IFERROR(LOOKUP(2,1/('03_Warehouse_Movements'!$C$2:$C$500=$A203),'03_Warehouse_Movements'!$E$2:$E$500),$C203))</f>
        <v/>
      </c>
      <c r="E203" t="s">
        <v>209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514</v>
      </c>
      <c r="B204" s="24"/>
      <c r="D204" t="str">
        <f>IF($C204="","",IFERROR(LOOKUP(2,1/('03_Warehouse_Movements'!$C$2:$C$500=$A204),'03_Warehouse_Movements'!$E$2:$E$500),$C204))</f>
        <v/>
      </c>
      <c r="E204" t="s">
        <v>209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515</v>
      </c>
      <c r="B205" s="24"/>
      <c r="D205" t="str">
        <f>IF($C205="","",IFERROR(LOOKUP(2,1/('03_Warehouse_Movements'!$C$2:$C$500=$A205),'03_Warehouse_Movements'!$E$2:$E$500),$C205))</f>
        <v/>
      </c>
      <c r="E205" t="s">
        <v>209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516</v>
      </c>
      <c r="B206" s="24"/>
      <c r="D206" t="str">
        <f>IF($C206="","",IFERROR(LOOKUP(2,1/('03_Warehouse_Movements'!$C$2:$C$500=$A206),'03_Warehouse_Movements'!$E$2:$E$500),$C206))</f>
        <v/>
      </c>
      <c r="E206" t="s">
        <v>209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517</v>
      </c>
      <c r="B207" s="24"/>
      <c r="D207" t="str">
        <f>IF($C207="","",IFERROR(LOOKUP(2,1/('03_Warehouse_Movements'!$C$2:$C$500=$A207),'03_Warehouse_Movements'!$E$2:$E$500),$C207))</f>
        <v/>
      </c>
      <c r="E207" t="s">
        <v>209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518</v>
      </c>
      <c r="B208" s="24"/>
      <c r="D208" t="str">
        <f>IF($C208="","",IFERROR(LOOKUP(2,1/('03_Warehouse_Movements'!$C$2:$C$500=$A208),'03_Warehouse_Movements'!$E$2:$E$500),$C208))</f>
        <v/>
      </c>
      <c r="E208" t="s">
        <v>209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519</v>
      </c>
      <c r="B209" s="24"/>
      <c r="D209" t="str">
        <f>IF($C209="","",IFERROR(LOOKUP(2,1/('03_Warehouse_Movements'!$C$2:$C$500=$A209),'03_Warehouse_Movements'!$E$2:$E$500),$C209))</f>
        <v/>
      </c>
      <c r="E209" t="s">
        <v>209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520</v>
      </c>
      <c r="B210" s="24"/>
      <c r="D210" t="str">
        <f>IF($C210="","",IFERROR(LOOKUP(2,1/('03_Warehouse_Movements'!$C$2:$C$500=$A210),'03_Warehouse_Movements'!$E$2:$E$500),$C210))</f>
        <v/>
      </c>
      <c r="E210" t="s">
        <v>209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521</v>
      </c>
      <c r="B211" s="24"/>
      <c r="D211" t="str">
        <f>IF($C211="","",IFERROR(LOOKUP(2,1/('03_Warehouse_Movements'!$C$2:$C$500=$A211),'03_Warehouse_Movements'!$E$2:$E$500),$C211))</f>
        <v/>
      </c>
      <c r="E211" t="s">
        <v>209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522</v>
      </c>
      <c r="B212" s="24"/>
      <c r="D212" t="str">
        <f>IF($C212="","",IFERROR(LOOKUP(2,1/('03_Warehouse_Movements'!$C$2:$C$500=$A212),'03_Warehouse_Movements'!$E$2:$E$500),$C212))</f>
        <v/>
      </c>
      <c r="E212" t="s">
        <v>209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523</v>
      </c>
      <c r="B213" s="24"/>
      <c r="D213" t="str">
        <f>IF($C213="","",IFERROR(LOOKUP(2,1/('03_Warehouse_Movements'!$C$2:$C$500=$A213),'03_Warehouse_Movements'!$E$2:$E$500),$C213))</f>
        <v/>
      </c>
      <c r="E213" t="s">
        <v>209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524</v>
      </c>
      <c r="B214" s="24"/>
      <c r="D214" t="str">
        <f>IF($C214="","",IFERROR(LOOKUP(2,1/('03_Warehouse_Movements'!$C$2:$C$500=$A214),'03_Warehouse_Movements'!$E$2:$E$500),$C214))</f>
        <v/>
      </c>
      <c r="E214" t="s">
        <v>209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525</v>
      </c>
      <c r="B215" s="24"/>
      <c r="D215" t="str">
        <f>IF($C215="","",IFERROR(LOOKUP(2,1/('03_Warehouse_Movements'!$C$2:$C$500=$A215),'03_Warehouse_Movements'!$E$2:$E$500),$C215))</f>
        <v/>
      </c>
      <c r="E215" t="s">
        <v>209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526</v>
      </c>
      <c r="B216" s="24"/>
      <c r="D216" t="str">
        <f>IF($C216="","",IFERROR(LOOKUP(2,1/('03_Warehouse_Movements'!$C$2:$C$500=$A216),'03_Warehouse_Movements'!$E$2:$E$500),$C216))</f>
        <v/>
      </c>
      <c r="E216" t="s">
        <v>209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527</v>
      </c>
      <c r="B217" s="24"/>
      <c r="D217" t="str">
        <f>IF($C217="","",IFERROR(LOOKUP(2,1/('03_Warehouse_Movements'!$C$2:$C$500=$A217),'03_Warehouse_Movements'!$E$2:$E$500),$C217))</f>
        <v/>
      </c>
      <c r="E217" t="s">
        <v>209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528</v>
      </c>
      <c r="B218" s="24"/>
      <c r="D218" t="str">
        <f>IF($C218="","",IFERROR(LOOKUP(2,1/('03_Warehouse_Movements'!$C$2:$C$500=$A218),'03_Warehouse_Movements'!$E$2:$E$500),$C218))</f>
        <v/>
      </c>
      <c r="E218" t="s">
        <v>209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529</v>
      </c>
      <c r="B219" s="24"/>
      <c r="D219" t="str">
        <f>IF($C219="","",IFERROR(LOOKUP(2,1/('03_Warehouse_Movements'!$C$2:$C$500=$A219),'03_Warehouse_Movements'!$E$2:$E$500),$C219))</f>
        <v/>
      </c>
      <c r="E219" t="s">
        <v>209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530</v>
      </c>
      <c r="B220" s="24"/>
      <c r="D220" t="str">
        <f>IF($C220="","",IFERROR(LOOKUP(2,1/('03_Warehouse_Movements'!$C$2:$C$500=$A220),'03_Warehouse_Movements'!$E$2:$E$500),$C220))</f>
        <v/>
      </c>
      <c r="E220" t="s">
        <v>209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531</v>
      </c>
      <c r="B221" s="24"/>
      <c r="D221" t="str">
        <f>IF($C221="","",IFERROR(LOOKUP(2,1/('03_Warehouse_Movements'!$C$2:$C$500=$A221),'03_Warehouse_Movements'!$E$2:$E$500),$C221))</f>
        <v/>
      </c>
      <c r="E221" t="s">
        <v>209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532</v>
      </c>
      <c r="B222" s="24"/>
      <c r="D222" t="str">
        <f>IF($C222="","",IFERROR(LOOKUP(2,1/('03_Warehouse_Movements'!$C$2:$C$500=$A222),'03_Warehouse_Movements'!$E$2:$E$500),$C222))</f>
        <v/>
      </c>
      <c r="E222" t="s">
        <v>209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533</v>
      </c>
      <c r="B223" s="24"/>
      <c r="D223" t="str">
        <f>IF($C223="","",IFERROR(LOOKUP(2,1/('03_Warehouse_Movements'!$C$2:$C$500=$A223),'03_Warehouse_Movements'!$E$2:$E$500),$C223))</f>
        <v/>
      </c>
      <c r="E223" t="s">
        <v>209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534</v>
      </c>
      <c r="B224" s="24"/>
      <c r="D224" t="str">
        <f>IF($C224="","",IFERROR(LOOKUP(2,1/('03_Warehouse_Movements'!$C$2:$C$500=$A224),'03_Warehouse_Movements'!$E$2:$E$500),$C224))</f>
        <v/>
      </c>
      <c r="E224" t="s">
        <v>209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535</v>
      </c>
      <c r="B225" s="24"/>
      <c r="D225" t="str">
        <f>IF($C225="","",IFERROR(LOOKUP(2,1/('03_Warehouse_Movements'!$C$2:$C$500=$A225),'03_Warehouse_Movements'!$E$2:$E$500),$C225))</f>
        <v/>
      </c>
      <c r="E225" t="s">
        <v>209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536</v>
      </c>
      <c r="B226" s="24"/>
      <c r="D226" t="str">
        <f>IF($C226="","",IFERROR(LOOKUP(2,1/('03_Warehouse_Movements'!$C$2:$C$500=$A226),'03_Warehouse_Movements'!$E$2:$E$500),$C226))</f>
        <v/>
      </c>
      <c r="E226" t="s">
        <v>209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537</v>
      </c>
      <c r="B227" s="24"/>
      <c r="D227" t="str">
        <f>IF($C227="","",IFERROR(LOOKUP(2,1/('03_Warehouse_Movements'!$C$2:$C$500=$A227),'03_Warehouse_Movements'!$E$2:$E$500),$C227))</f>
        <v/>
      </c>
      <c r="E227" t="s">
        <v>209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538</v>
      </c>
      <c r="B228" s="24"/>
      <c r="D228" t="str">
        <f>IF($C228="","",IFERROR(LOOKUP(2,1/('03_Warehouse_Movements'!$C$2:$C$500=$A228),'03_Warehouse_Movements'!$E$2:$E$500),$C228))</f>
        <v/>
      </c>
      <c r="E228" t="s">
        <v>209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539</v>
      </c>
      <c r="B229" s="24"/>
      <c r="D229" t="str">
        <f>IF($C229="","",IFERROR(LOOKUP(2,1/('03_Warehouse_Movements'!$C$2:$C$500=$A229),'03_Warehouse_Movements'!$E$2:$E$500),$C229))</f>
        <v/>
      </c>
      <c r="E229" t="s">
        <v>209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540</v>
      </c>
      <c r="B230" s="24"/>
      <c r="D230" t="str">
        <f>IF($C230="","",IFERROR(LOOKUP(2,1/('03_Warehouse_Movements'!$C$2:$C$500=$A230),'03_Warehouse_Movements'!$E$2:$E$500),$C230))</f>
        <v/>
      </c>
      <c r="E230" t="s">
        <v>209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541</v>
      </c>
      <c r="B231" s="24"/>
      <c r="D231" t="str">
        <f>IF($C231="","",IFERROR(LOOKUP(2,1/('03_Warehouse_Movements'!$C$2:$C$500=$A231),'03_Warehouse_Movements'!$E$2:$E$500),$C231))</f>
        <v/>
      </c>
      <c r="E231" t="s">
        <v>209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542</v>
      </c>
      <c r="B232" s="24"/>
      <c r="D232" t="str">
        <f>IF($C232="","",IFERROR(LOOKUP(2,1/('03_Warehouse_Movements'!$C$2:$C$500=$A232),'03_Warehouse_Movements'!$E$2:$E$500),$C232))</f>
        <v/>
      </c>
      <c r="E232" t="s">
        <v>209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543</v>
      </c>
      <c r="B233" s="24"/>
      <c r="D233" t="str">
        <f>IF($C233="","",IFERROR(LOOKUP(2,1/('03_Warehouse_Movements'!$C$2:$C$500=$A233),'03_Warehouse_Movements'!$E$2:$E$500),$C233))</f>
        <v/>
      </c>
      <c r="E233" t="s">
        <v>209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544</v>
      </c>
      <c r="B234" s="24"/>
      <c r="D234" t="str">
        <f>IF($C234="","",IFERROR(LOOKUP(2,1/('03_Warehouse_Movements'!$C$2:$C$500=$A234),'03_Warehouse_Movements'!$E$2:$E$500),$C234))</f>
        <v/>
      </c>
      <c r="E234" t="s">
        <v>209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545</v>
      </c>
      <c r="B235" s="24"/>
      <c r="D235" t="str">
        <f>IF($C235="","",IFERROR(LOOKUP(2,1/('03_Warehouse_Movements'!$C$2:$C$500=$A235),'03_Warehouse_Movements'!$E$2:$E$500),$C235))</f>
        <v/>
      </c>
      <c r="E235" t="s">
        <v>209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546</v>
      </c>
      <c r="B236" s="24"/>
      <c r="D236" t="str">
        <f>IF($C236="","",IFERROR(LOOKUP(2,1/('03_Warehouse_Movements'!$C$2:$C$500=$A236),'03_Warehouse_Movements'!$E$2:$E$500),$C236))</f>
        <v/>
      </c>
      <c r="E236" t="s">
        <v>209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547</v>
      </c>
      <c r="B237" s="24"/>
      <c r="D237" t="str">
        <f>IF($C237="","",IFERROR(LOOKUP(2,1/('03_Warehouse_Movements'!$C$2:$C$500=$A237),'03_Warehouse_Movements'!$E$2:$E$500),$C237))</f>
        <v/>
      </c>
      <c r="E237" t="s">
        <v>209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548</v>
      </c>
      <c r="B238" s="24"/>
      <c r="D238" t="str">
        <f>IF($C238="","",IFERROR(LOOKUP(2,1/('03_Warehouse_Movements'!$C$2:$C$500=$A238),'03_Warehouse_Movements'!$E$2:$E$500),$C238))</f>
        <v/>
      </c>
      <c r="E238" t="s">
        <v>209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549</v>
      </c>
      <c r="B239" s="24"/>
      <c r="D239" t="str">
        <f>IF($C239="","",IFERROR(LOOKUP(2,1/('03_Warehouse_Movements'!$C$2:$C$500=$A239),'03_Warehouse_Movements'!$E$2:$E$500),$C239))</f>
        <v/>
      </c>
      <c r="E239" t="s">
        <v>209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550</v>
      </c>
      <c r="B240" s="24"/>
      <c r="D240" t="str">
        <f>IF($C240="","",IFERROR(LOOKUP(2,1/('03_Warehouse_Movements'!$C$2:$C$500=$A240),'03_Warehouse_Movements'!$E$2:$E$500),$C240))</f>
        <v/>
      </c>
      <c r="E240" t="s">
        <v>209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551</v>
      </c>
      <c r="B241" s="24"/>
      <c r="D241" t="str">
        <f>IF($C241="","",IFERROR(LOOKUP(2,1/('03_Warehouse_Movements'!$C$2:$C$500=$A241),'03_Warehouse_Movements'!$E$2:$E$500),$C241))</f>
        <v/>
      </c>
      <c r="E241" t="s">
        <v>209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552</v>
      </c>
      <c r="B242" s="24"/>
      <c r="D242" t="str">
        <f>IF($C242="","",IFERROR(LOOKUP(2,1/('03_Warehouse_Movements'!$C$2:$C$500=$A242),'03_Warehouse_Movements'!$E$2:$E$500),$C242))</f>
        <v/>
      </c>
      <c r="E242" t="s">
        <v>209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553</v>
      </c>
      <c r="B243" s="24"/>
      <c r="D243" t="str">
        <f>IF($C243="","",IFERROR(LOOKUP(2,1/('03_Warehouse_Movements'!$C$2:$C$500=$A243),'03_Warehouse_Movements'!$E$2:$E$500),$C243))</f>
        <v/>
      </c>
      <c r="E243" t="s">
        <v>209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554</v>
      </c>
      <c r="B244" s="24"/>
      <c r="D244" t="str">
        <f>IF($C244="","",IFERROR(LOOKUP(2,1/('03_Warehouse_Movements'!$C$2:$C$500=$A244),'03_Warehouse_Movements'!$E$2:$E$500),$C244))</f>
        <v/>
      </c>
      <c r="E244" t="s">
        <v>209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555</v>
      </c>
      <c r="B245" s="24"/>
      <c r="D245" t="str">
        <f>IF($C245="","",IFERROR(LOOKUP(2,1/('03_Warehouse_Movements'!$C$2:$C$500=$A245),'03_Warehouse_Movements'!$E$2:$E$500),$C245))</f>
        <v/>
      </c>
      <c r="E245" t="s">
        <v>209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556</v>
      </c>
      <c r="B246" s="24"/>
      <c r="D246" t="str">
        <f>IF($C246="","",IFERROR(LOOKUP(2,1/('03_Warehouse_Movements'!$C$2:$C$500=$A246),'03_Warehouse_Movements'!$E$2:$E$500),$C246))</f>
        <v/>
      </c>
      <c r="E246" t="s">
        <v>209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557</v>
      </c>
      <c r="B247" s="24"/>
      <c r="D247" t="str">
        <f>IF($C247="","",IFERROR(LOOKUP(2,1/('03_Warehouse_Movements'!$C$2:$C$500=$A247),'03_Warehouse_Movements'!$E$2:$E$500),$C247))</f>
        <v/>
      </c>
      <c r="E247" t="s">
        <v>209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558</v>
      </c>
      <c r="B248" s="24"/>
      <c r="D248" t="str">
        <f>IF($C248="","",IFERROR(LOOKUP(2,1/('03_Warehouse_Movements'!$C$2:$C$500=$A248),'03_Warehouse_Movements'!$E$2:$E$500),$C248))</f>
        <v/>
      </c>
      <c r="E248" t="s">
        <v>209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559</v>
      </c>
      <c r="B249" s="24"/>
      <c r="D249" t="str">
        <f>IF($C249="","",IFERROR(LOOKUP(2,1/('03_Warehouse_Movements'!$C$2:$C$500=$A249),'03_Warehouse_Movements'!$E$2:$E$500),$C249))</f>
        <v/>
      </c>
      <c r="E249" t="s">
        <v>209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560</v>
      </c>
      <c r="B250" s="24"/>
      <c r="D250" t="str">
        <f>IF($C250="","",IFERROR(LOOKUP(2,1/('03_Warehouse_Movements'!$C$2:$C$500=$A250),'03_Warehouse_Movements'!$E$2:$E$500),$C250))</f>
        <v/>
      </c>
      <c r="E250" t="s">
        <v>209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561</v>
      </c>
      <c r="B251" s="24"/>
      <c r="D251" t="str">
        <f>IF($C251="","",IFERROR(LOOKUP(2,1/('03_Warehouse_Movements'!$C$2:$C$500=$A251),'03_Warehouse_Movements'!$E$2:$E$500),$C251))</f>
        <v/>
      </c>
      <c r="E251" t="s">
        <v>209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562</v>
      </c>
      <c r="B252" s="24"/>
      <c r="D252" t="str">
        <f>IF($C252="","",IFERROR(LOOKUP(2,1/('03_Warehouse_Movements'!$C$2:$C$500=$A252),'03_Warehouse_Movements'!$E$2:$E$500),$C252))</f>
        <v/>
      </c>
      <c r="E252" t="s">
        <v>209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563</v>
      </c>
      <c r="B253" s="24"/>
      <c r="D253" t="str">
        <f>IF($C253="","",IFERROR(LOOKUP(2,1/('03_Warehouse_Movements'!$C$2:$C$500=$A253),'03_Warehouse_Movements'!$E$2:$E$500),$C253))</f>
        <v/>
      </c>
      <c r="E253" t="s">
        <v>209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564</v>
      </c>
      <c r="B254" s="24"/>
      <c r="D254" t="str">
        <f>IF($C254="","",IFERROR(LOOKUP(2,1/('03_Warehouse_Movements'!$C$2:$C$500=$A254),'03_Warehouse_Movements'!$E$2:$E$500),$C254))</f>
        <v/>
      </c>
      <c r="E254" t="s">
        <v>209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565</v>
      </c>
      <c r="B255" s="24"/>
      <c r="D255" t="str">
        <f>IF($C255="","",IFERROR(LOOKUP(2,1/('03_Warehouse_Movements'!$C$2:$C$500=$A255),'03_Warehouse_Movements'!$E$2:$E$500),$C255))</f>
        <v/>
      </c>
      <c r="E255" t="s">
        <v>209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566</v>
      </c>
      <c r="B256" s="24"/>
      <c r="D256" t="str">
        <f>IF($C256="","",IFERROR(LOOKUP(2,1/('03_Warehouse_Movements'!$C$2:$C$500=$A256),'03_Warehouse_Movements'!$E$2:$E$500),$C256))</f>
        <v/>
      </c>
      <c r="E256" t="s">
        <v>209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567</v>
      </c>
      <c r="B257" s="24"/>
      <c r="D257" t="str">
        <f>IF($C257="","",IFERROR(LOOKUP(2,1/('03_Warehouse_Movements'!$C$2:$C$500=$A257),'03_Warehouse_Movements'!$E$2:$E$500),$C257))</f>
        <v/>
      </c>
      <c r="E257" t="s">
        <v>209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568</v>
      </c>
      <c r="B258" s="24"/>
      <c r="D258" t="str">
        <f>IF($C258="","",IFERROR(LOOKUP(2,1/('03_Warehouse_Movements'!$C$2:$C$500=$A258),'03_Warehouse_Movements'!$E$2:$E$500),$C258))</f>
        <v/>
      </c>
      <c r="E258" t="s">
        <v>209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569</v>
      </c>
      <c r="B259" s="24"/>
      <c r="D259" t="str">
        <f>IF($C259="","",IFERROR(LOOKUP(2,1/('03_Warehouse_Movements'!$C$2:$C$500=$A259),'03_Warehouse_Movements'!$E$2:$E$500),$C259))</f>
        <v/>
      </c>
      <c r="E259" t="s">
        <v>209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570</v>
      </c>
      <c r="B260" s="24"/>
      <c r="D260" t="str">
        <f>IF($C260="","",IFERROR(LOOKUP(2,1/('03_Warehouse_Movements'!$C$2:$C$500=$A260),'03_Warehouse_Movements'!$E$2:$E$500),$C260))</f>
        <v/>
      </c>
      <c r="E260" t="s">
        <v>209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571</v>
      </c>
      <c r="B261" s="24"/>
      <c r="D261" t="str">
        <f>IF($C261="","",IFERROR(LOOKUP(2,1/('03_Warehouse_Movements'!$C$2:$C$500=$A261),'03_Warehouse_Movements'!$E$2:$E$500),$C261))</f>
        <v/>
      </c>
      <c r="E261" t="s">
        <v>209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572</v>
      </c>
      <c r="B262" s="24"/>
      <c r="D262" t="str">
        <f>IF($C262="","",IFERROR(LOOKUP(2,1/('03_Warehouse_Movements'!$C$2:$C$500=$A262),'03_Warehouse_Movements'!$E$2:$E$500),$C262))</f>
        <v/>
      </c>
      <c r="E262" t="s">
        <v>209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573</v>
      </c>
      <c r="B263" s="24"/>
      <c r="D263" t="str">
        <f>IF($C263="","",IFERROR(LOOKUP(2,1/('03_Warehouse_Movements'!$C$2:$C$500=$A263),'03_Warehouse_Movements'!$E$2:$E$500),$C263))</f>
        <v/>
      </c>
      <c r="E263" t="s">
        <v>209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574</v>
      </c>
      <c r="B264" s="24"/>
      <c r="D264" t="str">
        <f>IF($C264="","",IFERROR(LOOKUP(2,1/('03_Warehouse_Movements'!$C$2:$C$500=$A264),'03_Warehouse_Movements'!$E$2:$E$500),$C264))</f>
        <v/>
      </c>
      <c r="E264" t="s">
        <v>209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575</v>
      </c>
      <c r="B265" s="24"/>
      <c r="D265" t="str">
        <f>IF($C265="","",IFERROR(LOOKUP(2,1/('03_Warehouse_Movements'!$C$2:$C$500=$A265),'03_Warehouse_Movements'!$E$2:$E$500),$C265))</f>
        <v/>
      </c>
      <c r="E265" t="s">
        <v>209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576</v>
      </c>
      <c r="B266" s="24"/>
      <c r="D266" t="str">
        <f>IF($C266="","",IFERROR(LOOKUP(2,1/('03_Warehouse_Movements'!$C$2:$C$500=$A266),'03_Warehouse_Movements'!$E$2:$E$500),$C266))</f>
        <v/>
      </c>
      <c r="E266" t="s">
        <v>209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577</v>
      </c>
      <c r="B267" s="24"/>
      <c r="D267" t="str">
        <f>IF($C267="","",IFERROR(LOOKUP(2,1/('03_Warehouse_Movements'!$C$2:$C$500=$A267),'03_Warehouse_Movements'!$E$2:$E$500),$C267))</f>
        <v/>
      </c>
      <c r="E267" t="s">
        <v>209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578</v>
      </c>
      <c r="B268" s="24"/>
      <c r="D268" t="str">
        <f>IF($C268="","",IFERROR(LOOKUP(2,1/('03_Warehouse_Movements'!$C$2:$C$500=$A268),'03_Warehouse_Movements'!$E$2:$E$500),$C268))</f>
        <v/>
      </c>
      <c r="E268" t="s">
        <v>209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579</v>
      </c>
      <c r="B269" s="24"/>
      <c r="D269" t="str">
        <f>IF($C269="","",IFERROR(LOOKUP(2,1/('03_Warehouse_Movements'!$C$2:$C$500=$A269),'03_Warehouse_Movements'!$E$2:$E$500),$C269))</f>
        <v/>
      </c>
      <c r="E269" t="s">
        <v>209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580</v>
      </c>
      <c r="B270" s="24"/>
      <c r="D270" t="str">
        <f>IF($C270="","",IFERROR(LOOKUP(2,1/('03_Warehouse_Movements'!$C$2:$C$500=$A270),'03_Warehouse_Movements'!$E$2:$E$500),$C270))</f>
        <v/>
      </c>
      <c r="E270" t="s">
        <v>209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581</v>
      </c>
      <c r="B271" s="24"/>
      <c r="D271" t="str">
        <f>IF($C271="","",IFERROR(LOOKUP(2,1/('03_Warehouse_Movements'!$C$2:$C$500=$A271),'03_Warehouse_Movements'!$E$2:$E$500),$C271))</f>
        <v/>
      </c>
      <c r="E271" t="s">
        <v>209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582</v>
      </c>
      <c r="B272" s="24"/>
      <c r="D272" t="str">
        <f>IF($C272="","",IFERROR(LOOKUP(2,1/('03_Warehouse_Movements'!$C$2:$C$500=$A272),'03_Warehouse_Movements'!$E$2:$E$500),$C272))</f>
        <v/>
      </c>
      <c r="E272" t="s">
        <v>209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583</v>
      </c>
      <c r="B273" s="24"/>
      <c r="D273" t="str">
        <f>IF($C273="","",IFERROR(LOOKUP(2,1/('03_Warehouse_Movements'!$C$2:$C$500=$A273),'03_Warehouse_Movements'!$E$2:$E$500),$C273))</f>
        <v/>
      </c>
      <c r="E273" t="s">
        <v>209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584</v>
      </c>
      <c r="B274" s="24"/>
      <c r="D274" t="str">
        <f>IF($C274="","",IFERROR(LOOKUP(2,1/('03_Warehouse_Movements'!$C$2:$C$500=$A274),'03_Warehouse_Movements'!$E$2:$E$500),$C274))</f>
        <v/>
      </c>
      <c r="E274" t="s">
        <v>209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585</v>
      </c>
      <c r="B275" s="24"/>
      <c r="D275" t="str">
        <f>IF($C275="","",IFERROR(LOOKUP(2,1/('03_Warehouse_Movements'!$C$2:$C$500=$A275),'03_Warehouse_Movements'!$E$2:$E$500),$C275))</f>
        <v/>
      </c>
      <c r="E275" t="s">
        <v>209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586</v>
      </c>
      <c r="B276" s="24"/>
      <c r="D276" t="str">
        <f>IF($C276="","",IFERROR(LOOKUP(2,1/('03_Warehouse_Movements'!$C$2:$C$500=$A276),'03_Warehouse_Movements'!$E$2:$E$500),$C276))</f>
        <v/>
      </c>
      <c r="E276" t="s">
        <v>209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587</v>
      </c>
      <c r="B277" s="24"/>
      <c r="D277" t="str">
        <f>IF($C277="","",IFERROR(LOOKUP(2,1/('03_Warehouse_Movements'!$C$2:$C$500=$A277),'03_Warehouse_Movements'!$E$2:$E$500),$C277))</f>
        <v/>
      </c>
      <c r="E277" t="s">
        <v>209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588</v>
      </c>
      <c r="B278" s="24"/>
      <c r="D278" t="str">
        <f>IF($C278="","",IFERROR(LOOKUP(2,1/('03_Warehouse_Movements'!$C$2:$C$500=$A278),'03_Warehouse_Movements'!$E$2:$E$500),$C278))</f>
        <v/>
      </c>
      <c r="E278" t="s">
        <v>209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589</v>
      </c>
      <c r="B279" s="24"/>
      <c r="D279" t="str">
        <f>IF($C279="","",IFERROR(LOOKUP(2,1/('03_Warehouse_Movements'!$C$2:$C$500=$A279),'03_Warehouse_Movements'!$E$2:$E$500),$C279))</f>
        <v/>
      </c>
      <c r="E279" t="s">
        <v>209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590</v>
      </c>
      <c r="B280" s="24"/>
      <c r="D280" t="str">
        <f>IF($C280="","",IFERROR(LOOKUP(2,1/('03_Warehouse_Movements'!$C$2:$C$500=$A280),'03_Warehouse_Movements'!$E$2:$E$500),$C280))</f>
        <v/>
      </c>
      <c r="E280" t="s">
        <v>209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591</v>
      </c>
      <c r="B281" s="24"/>
      <c r="D281" t="str">
        <f>IF($C281="","",IFERROR(LOOKUP(2,1/('03_Warehouse_Movements'!$C$2:$C$500=$A281),'03_Warehouse_Movements'!$E$2:$E$500),$C281))</f>
        <v/>
      </c>
      <c r="E281" t="s">
        <v>209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592</v>
      </c>
      <c r="B282" s="24"/>
      <c r="D282" t="str">
        <f>IF($C282="","",IFERROR(LOOKUP(2,1/('03_Warehouse_Movements'!$C$2:$C$500=$A282),'03_Warehouse_Movements'!$E$2:$E$500),$C282))</f>
        <v/>
      </c>
      <c r="E282" t="s">
        <v>209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593</v>
      </c>
      <c r="B283" s="24"/>
      <c r="D283" t="str">
        <f>IF($C283="","",IFERROR(LOOKUP(2,1/('03_Warehouse_Movements'!$C$2:$C$500=$A283),'03_Warehouse_Movements'!$E$2:$E$500),$C283))</f>
        <v/>
      </c>
      <c r="E283" t="s">
        <v>209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594</v>
      </c>
      <c r="B284" s="24"/>
      <c r="D284" t="str">
        <f>IF($C284="","",IFERROR(LOOKUP(2,1/('03_Warehouse_Movements'!$C$2:$C$500=$A284),'03_Warehouse_Movements'!$E$2:$E$500),$C284))</f>
        <v/>
      </c>
      <c r="E284" t="s">
        <v>209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595</v>
      </c>
      <c r="B285" s="24"/>
      <c r="D285" t="str">
        <f>IF($C285="","",IFERROR(LOOKUP(2,1/('03_Warehouse_Movements'!$C$2:$C$500=$A285),'03_Warehouse_Movements'!$E$2:$E$500),$C285))</f>
        <v/>
      </c>
      <c r="E285" t="s">
        <v>209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596</v>
      </c>
      <c r="B286" s="24"/>
      <c r="D286" t="str">
        <f>IF($C286="","",IFERROR(LOOKUP(2,1/('03_Warehouse_Movements'!$C$2:$C$500=$A286),'03_Warehouse_Movements'!$E$2:$E$500),$C286))</f>
        <v/>
      </c>
      <c r="E286" t="s">
        <v>209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597</v>
      </c>
      <c r="B287" s="24"/>
      <c r="D287" t="str">
        <f>IF($C287="","",IFERROR(LOOKUP(2,1/('03_Warehouse_Movements'!$C$2:$C$500=$A287),'03_Warehouse_Movements'!$E$2:$E$500),$C287))</f>
        <v/>
      </c>
      <c r="E287" t="s">
        <v>209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598</v>
      </c>
      <c r="B288" s="24"/>
      <c r="D288" t="str">
        <f>IF($C288="","",IFERROR(LOOKUP(2,1/('03_Warehouse_Movements'!$C$2:$C$500=$A288),'03_Warehouse_Movements'!$E$2:$E$500),$C288))</f>
        <v/>
      </c>
      <c r="E288" t="s">
        <v>209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599</v>
      </c>
      <c r="B289" s="24"/>
      <c r="D289" t="str">
        <f>IF($C289="","",IFERROR(LOOKUP(2,1/('03_Warehouse_Movements'!$C$2:$C$500=$A289),'03_Warehouse_Movements'!$E$2:$E$500),$C289))</f>
        <v/>
      </c>
      <c r="E289" t="s">
        <v>209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600</v>
      </c>
      <c r="B290" s="24"/>
      <c r="D290" t="str">
        <f>IF($C290="","",IFERROR(LOOKUP(2,1/('03_Warehouse_Movements'!$C$2:$C$500=$A290),'03_Warehouse_Movements'!$E$2:$E$500),$C290))</f>
        <v/>
      </c>
      <c r="E290" t="s">
        <v>209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601</v>
      </c>
      <c r="B291" s="24"/>
      <c r="D291" t="str">
        <f>IF($C291="","",IFERROR(LOOKUP(2,1/('03_Warehouse_Movements'!$C$2:$C$500=$A291),'03_Warehouse_Movements'!$E$2:$E$500),$C291))</f>
        <v/>
      </c>
      <c r="E291" t="s">
        <v>209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602</v>
      </c>
      <c r="B292" s="24"/>
      <c r="D292" t="str">
        <f>IF($C292="","",IFERROR(LOOKUP(2,1/('03_Warehouse_Movements'!$C$2:$C$500=$A292),'03_Warehouse_Movements'!$E$2:$E$500),$C292))</f>
        <v/>
      </c>
      <c r="E292" t="s">
        <v>209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603</v>
      </c>
      <c r="B293" s="24"/>
      <c r="D293" t="str">
        <f>IF($C293="","",IFERROR(LOOKUP(2,1/('03_Warehouse_Movements'!$C$2:$C$500=$A293),'03_Warehouse_Movements'!$E$2:$E$500),$C293))</f>
        <v/>
      </c>
      <c r="E293" t="s">
        <v>209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604</v>
      </c>
      <c r="B294" s="24"/>
      <c r="D294" t="str">
        <f>IF($C294="","",IFERROR(LOOKUP(2,1/('03_Warehouse_Movements'!$C$2:$C$500=$A294),'03_Warehouse_Movements'!$E$2:$E$500),$C294))</f>
        <v/>
      </c>
      <c r="E294" t="s">
        <v>209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605</v>
      </c>
      <c r="B295" s="24"/>
      <c r="D295" t="str">
        <f>IF($C295="","",IFERROR(LOOKUP(2,1/('03_Warehouse_Movements'!$C$2:$C$500=$A295),'03_Warehouse_Movements'!$E$2:$E$500),$C295))</f>
        <v/>
      </c>
      <c r="E295" t="s">
        <v>209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606</v>
      </c>
      <c r="B296" s="24"/>
      <c r="D296" t="str">
        <f>IF($C296="","",IFERROR(LOOKUP(2,1/('03_Warehouse_Movements'!$C$2:$C$500=$A296),'03_Warehouse_Movements'!$E$2:$E$500),$C296))</f>
        <v/>
      </c>
      <c r="E296" t="s">
        <v>209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607</v>
      </c>
      <c r="B297" s="24"/>
      <c r="D297" t="str">
        <f>IF($C297="","",IFERROR(LOOKUP(2,1/('03_Warehouse_Movements'!$C$2:$C$500=$A297),'03_Warehouse_Movements'!$E$2:$E$500),$C297))</f>
        <v/>
      </c>
      <c r="E297" t="s">
        <v>209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608</v>
      </c>
      <c r="B298" s="24"/>
      <c r="D298" t="str">
        <f>IF($C298="","",IFERROR(LOOKUP(2,1/('03_Warehouse_Movements'!$C$2:$C$500=$A298),'03_Warehouse_Movements'!$E$2:$E$500),$C298))</f>
        <v/>
      </c>
      <c r="E298" t="s">
        <v>209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609</v>
      </c>
      <c r="B299" s="24"/>
      <c r="D299" t="str">
        <f>IF($C299="","",IFERROR(LOOKUP(2,1/('03_Warehouse_Movements'!$C$2:$C$500=$A299),'03_Warehouse_Movements'!$E$2:$E$500),$C299))</f>
        <v/>
      </c>
      <c r="E299" t="s">
        <v>209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610</v>
      </c>
      <c r="B300" s="24"/>
      <c r="D300" t="str">
        <f>IF($C300="","",IFERROR(LOOKUP(2,1/('03_Warehouse_Movements'!$C$2:$C$500=$A300),'03_Warehouse_Movements'!$E$2:$E$500),$C300))</f>
        <v/>
      </c>
      <c r="E300" t="s">
        <v>209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611</v>
      </c>
      <c r="B301" s="24"/>
      <c r="D301" t="str">
        <f>IF($C301="","",IFERROR(LOOKUP(2,1/('03_Warehouse_Movements'!$C$2:$C$500=$A301),'03_Warehouse_Movements'!$E$2:$E$500),$C301))</f>
        <v/>
      </c>
      <c r="E301" t="s">
        <v>209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612</v>
      </c>
      <c r="B302" s="24"/>
      <c r="D302" t="str">
        <f>IF($C302="","",IFERROR(LOOKUP(2,1/('03_Warehouse_Movements'!$C$2:$C$500=$A302),'03_Warehouse_Movements'!$E$2:$E$500),$C302))</f>
        <v/>
      </c>
      <c r="E302" t="s">
        <v>209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613</v>
      </c>
      <c r="B303" s="24"/>
      <c r="D303" t="str">
        <f>IF($C303="","",IFERROR(LOOKUP(2,1/('03_Warehouse_Movements'!$C$2:$C$500=$A303),'03_Warehouse_Movements'!$E$2:$E$500),$C303))</f>
        <v/>
      </c>
      <c r="E303" t="s">
        <v>209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614</v>
      </c>
      <c r="B304" s="24"/>
      <c r="D304" t="str">
        <f>IF($C304="","",IFERROR(LOOKUP(2,1/('03_Warehouse_Movements'!$C$2:$C$500=$A304),'03_Warehouse_Movements'!$E$2:$E$500),$C304))</f>
        <v/>
      </c>
      <c r="E304" t="s">
        <v>209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615</v>
      </c>
      <c r="B305" s="24"/>
      <c r="D305" t="str">
        <f>IF($C305="","",IFERROR(LOOKUP(2,1/('03_Warehouse_Movements'!$C$2:$C$500=$A305),'03_Warehouse_Movements'!$E$2:$E$500),$C305))</f>
        <v/>
      </c>
      <c r="E305" t="s">
        <v>209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616</v>
      </c>
      <c r="B306" s="24"/>
      <c r="D306" t="str">
        <f>IF($C306="","",IFERROR(LOOKUP(2,1/('03_Warehouse_Movements'!$C$2:$C$500=$A306),'03_Warehouse_Movements'!$E$2:$E$500),$C306))</f>
        <v/>
      </c>
      <c r="E306" t="s">
        <v>209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617</v>
      </c>
      <c r="B307" s="24"/>
      <c r="D307" t="str">
        <f>IF($C307="","",IFERROR(LOOKUP(2,1/('03_Warehouse_Movements'!$C$2:$C$500=$A307),'03_Warehouse_Movements'!$E$2:$E$500),$C307))</f>
        <v/>
      </c>
      <c r="E307" t="s">
        <v>209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618</v>
      </c>
      <c r="B308" s="24"/>
      <c r="D308" t="str">
        <f>IF($C308="","",IFERROR(LOOKUP(2,1/('03_Warehouse_Movements'!$C$2:$C$500=$A308),'03_Warehouse_Movements'!$E$2:$E$500),$C308))</f>
        <v/>
      </c>
      <c r="E308" t="s">
        <v>209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619</v>
      </c>
      <c r="B309" s="24"/>
      <c r="D309" t="str">
        <f>IF($C309="","",IFERROR(LOOKUP(2,1/('03_Warehouse_Movements'!$C$2:$C$500=$A309),'03_Warehouse_Movements'!$E$2:$E$500),$C309))</f>
        <v/>
      </c>
      <c r="E309" t="s">
        <v>209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620</v>
      </c>
      <c r="B310" s="24"/>
      <c r="D310" t="str">
        <f>IF($C310="","",IFERROR(LOOKUP(2,1/('03_Warehouse_Movements'!$C$2:$C$500=$A310),'03_Warehouse_Movements'!$E$2:$E$500),$C310))</f>
        <v/>
      </c>
      <c r="E310" t="s">
        <v>209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621</v>
      </c>
      <c r="B311" s="24"/>
      <c r="D311" t="str">
        <f>IF($C311="","",IFERROR(LOOKUP(2,1/('03_Warehouse_Movements'!$C$2:$C$500=$A311),'03_Warehouse_Movements'!$E$2:$E$500),$C311))</f>
        <v/>
      </c>
      <c r="E311" t="s">
        <v>209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622</v>
      </c>
      <c r="B312" s="24"/>
      <c r="D312" t="str">
        <f>IF($C312="","",IFERROR(LOOKUP(2,1/('03_Warehouse_Movements'!$C$2:$C$500=$A312),'03_Warehouse_Movements'!$E$2:$E$500),$C312))</f>
        <v/>
      </c>
      <c r="E312" t="s">
        <v>209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623</v>
      </c>
      <c r="B313" s="24"/>
      <c r="D313" t="str">
        <f>IF($C313="","",IFERROR(LOOKUP(2,1/('03_Warehouse_Movements'!$C$2:$C$500=$A313),'03_Warehouse_Movements'!$E$2:$E$500),$C313))</f>
        <v/>
      </c>
      <c r="E313" t="s">
        <v>209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624</v>
      </c>
      <c r="B314" s="24"/>
      <c r="D314" t="str">
        <f>IF($C314="","",IFERROR(LOOKUP(2,1/('03_Warehouse_Movements'!$C$2:$C$500=$A314),'03_Warehouse_Movements'!$E$2:$E$500),$C314))</f>
        <v/>
      </c>
      <c r="E314" t="s">
        <v>209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625</v>
      </c>
      <c r="B315" s="24"/>
      <c r="D315" t="str">
        <f>IF($C315="","",IFERROR(LOOKUP(2,1/('03_Warehouse_Movements'!$C$2:$C$500=$A315),'03_Warehouse_Movements'!$E$2:$E$500),$C315))</f>
        <v/>
      </c>
      <c r="E315" t="s">
        <v>209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626</v>
      </c>
      <c r="B316" s="24"/>
      <c r="D316" t="str">
        <f>IF($C316="","",IFERROR(LOOKUP(2,1/('03_Warehouse_Movements'!$C$2:$C$500=$A316),'03_Warehouse_Movements'!$E$2:$E$500),$C316))</f>
        <v/>
      </c>
      <c r="E316" t="s">
        <v>209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627</v>
      </c>
      <c r="B317" s="24"/>
      <c r="D317" t="str">
        <f>IF($C317="","",IFERROR(LOOKUP(2,1/('03_Warehouse_Movements'!$C$2:$C$500=$A317),'03_Warehouse_Movements'!$E$2:$E$500),$C317))</f>
        <v/>
      </c>
      <c r="E317" t="s">
        <v>209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628</v>
      </c>
      <c r="B318" s="24"/>
      <c r="D318" t="str">
        <f>IF($C318="","",IFERROR(LOOKUP(2,1/('03_Warehouse_Movements'!$C$2:$C$500=$A318),'03_Warehouse_Movements'!$E$2:$E$500),$C318))</f>
        <v/>
      </c>
      <c r="E318" t="s">
        <v>209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629</v>
      </c>
      <c r="B319" s="24"/>
      <c r="D319" t="str">
        <f>IF($C319="","",IFERROR(LOOKUP(2,1/('03_Warehouse_Movements'!$C$2:$C$500=$A319),'03_Warehouse_Movements'!$E$2:$E$500),$C319))</f>
        <v/>
      </c>
      <c r="E319" t="s">
        <v>209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630</v>
      </c>
      <c r="B320" s="24"/>
      <c r="D320" t="str">
        <f>IF($C320="","",IFERROR(LOOKUP(2,1/('03_Warehouse_Movements'!$C$2:$C$500=$A320),'03_Warehouse_Movements'!$E$2:$E$500),$C320))</f>
        <v/>
      </c>
      <c r="E320" t="s">
        <v>209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631</v>
      </c>
      <c r="B321" s="24"/>
      <c r="D321" t="str">
        <f>IF($C321="","",IFERROR(LOOKUP(2,1/('03_Warehouse_Movements'!$C$2:$C$500=$A321),'03_Warehouse_Movements'!$E$2:$E$500),$C321))</f>
        <v/>
      </c>
      <c r="E321" t="s">
        <v>209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632</v>
      </c>
      <c r="B322" s="24"/>
      <c r="D322" t="str">
        <f>IF($C322="","",IFERROR(LOOKUP(2,1/('03_Warehouse_Movements'!$C$2:$C$500=$A322),'03_Warehouse_Movements'!$E$2:$E$500),$C322))</f>
        <v/>
      </c>
      <c r="E322" t="s">
        <v>209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633</v>
      </c>
      <c r="B323" s="24"/>
      <c r="D323" t="str">
        <f>IF($C323="","",IFERROR(LOOKUP(2,1/('03_Warehouse_Movements'!$C$2:$C$500=$A323),'03_Warehouse_Movements'!$E$2:$E$500),$C323))</f>
        <v/>
      </c>
      <c r="E323" t="s">
        <v>209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634</v>
      </c>
      <c r="B324" s="24"/>
      <c r="D324" t="str">
        <f>IF($C324="","",IFERROR(LOOKUP(2,1/('03_Warehouse_Movements'!$C$2:$C$500=$A324),'03_Warehouse_Movements'!$E$2:$E$500),$C324))</f>
        <v/>
      </c>
      <c r="E324" t="s">
        <v>209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635</v>
      </c>
      <c r="B325" s="24"/>
      <c r="D325" t="str">
        <f>IF($C325="","",IFERROR(LOOKUP(2,1/('03_Warehouse_Movements'!$C$2:$C$500=$A325),'03_Warehouse_Movements'!$E$2:$E$500),$C325))</f>
        <v/>
      </c>
      <c r="E325" t="s">
        <v>209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636</v>
      </c>
      <c r="B326" s="24"/>
      <c r="D326" t="str">
        <f>IF($C326="","",IFERROR(LOOKUP(2,1/('03_Warehouse_Movements'!$C$2:$C$500=$A326),'03_Warehouse_Movements'!$E$2:$E$500),$C326))</f>
        <v/>
      </c>
      <c r="E326" t="s">
        <v>209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637</v>
      </c>
      <c r="B327" s="24"/>
      <c r="D327" t="str">
        <f>IF($C327="","",IFERROR(LOOKUP(2,1/('03_Warehouse_Movements'!$C$2:$C$500=$A327),'03_Warehouse_Movements'!$E$2:$E$500),$C327))</f>
        <v/>
      </c>
      <c r="E327" t="s">
        <v>209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638</v>
      </c>
      <c r="B328" s="24"/>
      <c r="D328" t="str">
        <f>IF($C328="","",IFERROR(LOOKUP(2,1/('03_Warehouse_Movements'!$C$2:$C$500=$A328),'03_Warehouse_Movements'!$E$2:$E$500),$C328))</f>
        <v/>
      </c>
      <c r="E328" t="s">
        <v>209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639</v>
      </c>
      <c r="B329" s="24"/>
      <c r="D329" t="str">
        <f>IF($C329="","",IFERROR(LOOKUP(2,1/('03_Warehouse_Movements'!$C$2:$C$500=$A329),'03_Warehouse_Movements'!$E$2:$E$500),$C329))</f>
        <v/>
      </c>
      <c r="E329" t="s">
        <v>209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640</v>
      </c>
      <c r="B330" s="24"/>
      <c r="D330" t="str">
        <f>IF($C330="","",IFERROR(LOOKUP(2,1/('03_Warehouse_Movements'!$C$2:$C$500=$A330),'03_Warehouse_Movements'!$E$2:$E$500),$C330))</f>
        <v/>
      </c>
      <c r="E330" t="s">
        <v>209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641</v>
      </c>
      <c r="B331" s="24"/>
      <c r="D331" t="str">
        <f>IF($C331="","",IFERROR(LOOKUP(2,1/('03_Warehouse_Movements'!$C$2:$C$500=$A331),'03_Warehouse_Movements'!$E$2:$E$500),$C331))</f>
        <v/>
      </c>
      <c r="E331" t="s">
        <v>209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642</v>
      </c>
      <c r="B332" s="24"/>
      <c r="D332" t="str">
        <f>IF($C332="","",IFERROR(LOOKUP(2,1/('03_Warehouse_Movements'!$C$2:$C$500=$A332),'03_Warehouse_Movements'!$E$2:$E$500),$C332))</f>
        <v/>
      </c>
      <c r="E332" t="s">
        <v>209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643</v>
      </c>
      <c r="B333" s="24"/>
      <c r="D333" t="str">
        <f>IF($C333="","",IFERROR(LOOKUP(2,1/('03_Warehouse_Movements'!$C$2:$C$500=$A333),'03_Warehouse_Movements'!$E$2:$E$500),$C333))</f>
        <v/>
      </c>
      <c r="E333" t="s">
        <v>209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644</v>
      </c>
      <c r="B334" s="24"/>
      <c r="D334" t="str">
        <f>IF($C334="","",IFERROR(LOOKUP(2,1/('03_Warehouse_Movements'!$C$2:$C$500=$A334),'03_Warehouse_Movements'!$E$2:$E$500),$C334))</f>
        <v/>
      </c>
      <c r="E334" t="s">
        <v>209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645</v>
      </c>
      <c r="B335" s="24"/>
      <c r="D335" t="str">
        <f>IF($C335="","",IFERROR(LOOKUP(2,1/('03_Warehouse_Movements'!$C$2:$C$500=$A335),'03_Warehouse_Movements'!$E$2:$E$500),$C335))</f>
        <v/>
      </c>
      <c r="E335" t="s">
        <v>209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646</v>
      </c>
      <c r="B336" s="24"/>
      <c r="D336" t="str">
        <f>IF($C336="","",IFERROR(LOOKUP(2,1/('03_Warehouse_Movements'!$C$2:$C$500=$A336),'03_Warehouse_Movements'!$E$2:$E$500),$C336))</f>
        <v/>
      </c>
      <c r="E336" t="s">
        <v>209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647</v>
      </c>
      <c r="B337" s="24"/>
      <c r="D337" t="str">
        <f>IF($C337="","",IFERROR(LOOKUP(2,1/('03_Warehouse_Movements'!$C$2:$C$500=$A337),'03_Warehouse_Movements'!$E$2:$E$500),$C337))</f>
        <v/>
      </c>
      <c r="E337" t="s">
        <v>209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648</v>
      </c>
      <c r="B338" s="24"/>
      <c r="D338" t="str">
        <f>IF($C338="","",IFERROR(LOOKUP(2,1/('03_Warehouse_Movements'!$C$2:$C$500=$A338),'03_Warehouse_Movements'!$E$2:$E$500),$C338))</f>
        <v/>
      </c>
      <c r="E338" t="s">
        <v>209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649</v>
      </c>
      <c r="B339" s="24"/>
      <c r="D339" t="str">
        <f>IF($C339="","",IFERROR(LOOKUP(2,1/('03_Warehouse_Movements'!$C$2:$C$500=$A339),'03_Warehouse_Movements'!$E$2:$E$500),$C339))</f>
        <v/>
      </c>
      <c r="E339" t="s">
        <v>209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650</v>
      </c>
      <c r="B340" s="24"/>
      <c r="D340" t="str">
        <f>IF($C340="","",IFERROR(LOOKUP(2,1/('03_Warehouse_Movements'!$C$2:$C$500=$A340),'03_Warehouse_Movements'!$E$2:$E$500),$C340))</f>
        <v/>
      </c>
      <c r="E340" t="s">
        <v>209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651</v>
      </c>
      <c r="B341" s="24"/>
      <c r="D341" t="str">
        <f>IF($C341="","",IFERROR(LOOKUP(2,1/('03_Warehouse_Movements'!$C$2:$C$500=$A341),'03_Warehouse_Movements'!$E$2:$E$500),$C341))</f>
        <v/>
      </c>
      <c r="E341" t="s">
        <v>209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652</v>
      </c>
      <c r="B342" s="24"/>
      <c r="D342" t="str">
        <f>IF($C342="","",IFERROR(LOOKUP(2,1/('03_Warehouse_Movements'!$C$2:$C$500=$A342),'03_Warehouse_Movements'!$E$2:$E$500),$C342))</f>
        <v/>
      </c>
      <c r="E342" t="s">
        <v>209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653</v>
      </c>
      <c r="B343" s="24"/>
      <c r="D343" t="str">
        <f>IF($C343="","",IFERROR(LOOKUP(2,1/('03_Warehouse_Movements'!$C$2:$C$500=$A343),'03_Warehouse_Movements'!$E$2:$E$500),$C343))</f>
        <v/>
      </c>
      <c r="E343" t="s">
        <v>209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654</v>
      </c>
      <c r="B344" s="24"/>
      <c r="D344" t="str">
        <f>IF($C344="","",IFERROR(LOOKUP(2,1/('03_Warehouse_Movements'!$C$2:$C$500=$A344),'03_Warehouse_Movements'!$E$2:$E$500),$C344))</f>
        <v/>
      </c>
      <c r="E344" t="s">
        <v>209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655</v>
      </c>
      <c r="B345" s="24"/>
      <c r="D345" t="str">
        <f>IF($C345="","",IFERROR(LOOKUP(2,1/('03_Warehouse_Movements'!$C$2:$C$500=$A345),'03_Warehouse_Movements'!$E$2:$E$500),$C345))</f>
        <v/>
      </c>
      <c r="E345" t="s">
        <v>209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656</v>
      </c>
      <c r="B346" s="24"/>
      <c r="D346" t="str">
        <f>IF($C346="","",IFERROR(LOOKUP(2,1/('03_Warehouse_Movements'!$C$2:$C$500=$A346),'03_Warehouse_Movements'!$E$2:$E$500),$C346))</f>
        <v/>
      </c>
      <c r="E346" t="s">
        <v>209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657</v>
      </c>
      <c r="B347" s="24"/>
      <c r="D347" t="str">
        <f>IF($C347="","",IFERROR(LOOKUP(2,1/('03_Warehouse_Movements'!$C$2:$C$500=$A347),'03_Warehouse_Movements'!$E$2:$E$500),$C347))</f>
        <v/>
      </c>
      <c r="E347" t="s">
        <v>209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658</v>
      </c>
      <c r="B348" s="24"/>
      <c r="D348" t="str">
        <f>IF($C348="","",IFERROR(LOOKUP(2,1/('03_Warehouse_Movements'!$C$2:$C$500=$A348),'03_Warehouse_Movements'!$E$2:$E$500),$C348))</f>
        <v/>
      </c>
      <c r="E348" t="s">
        <v>209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659</v>
      </c>
      <c r="B349" s="24"/>
      <c r="D349" t="str">
        <f>IF($C349="","",IFERROR(LOOKUP(2,1/('03_Warehouse_Movements'!$C$2:$C$500=$A349),'03_Warehouse_Movements'!$E$2:$E$500),$C349))</f>
        <v/>
      </c>
      <c r="E349" t="s">
        <v>209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660</v>
      </c>
      <c r="B350" s="24"/>
      <c r="D350" t="str">
        <f>IF($C350="","",IFERROR(LOOKUP(2,1/('03_Warehouse_Movements'!$C$2:$C$500=$A350),'03_Warehouse_Movements'!$E$2:$E$500),$C350))</f>
        <v/>
      </c>
      <c r="E350" t="s">
        <v>209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661</v>
      </c>
      <c r="B351" s="24"/>
      <c r="D351" t="str">
        <f>IF($C351="","",IFERROR(LOOKUP(2,1/('03_Warehouse_Movements'!$C$2:$C$500=$A351),'03_Warehouse_Movements'!$E$2:$E$500),$C351))</f>
        <v/>
      </c>
      <c r="E351" t="s">
        <v>209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662</v>
      </c>
      <c r="B352" s="24"/>
      <c r="D352" t="str">
        <f>IF($C352="","",IFERROR(LOOKUP(2,1/('03_Warehouse_Movements'!$C$2:$C$500=$A352),'03_Warehouse_Movements'!$E$2:$E$500),$C352))</f>
        <v/>
      </c>
      <c r="E352" t="s">
        <v>209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663</v>
      </c>
      <c r="B353" s="24"/>
      <c r="D353" t="str">
        <f>IF($C353="","",IFERROR(LOOKUP(2,1/('03_Warehouse_Movements'!$C$2:$C$500=$A353),'03_Warehouse_Movements'!$E$2:$E$500),$C353))</f>
        <v/>
      </c>
      <c r="E353" t="s">
        <v>209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664</v>
      </c>
      <c r="B354" s="24"/>
      <c r="D354" t="str">
        <f>IF($C354="","",IFERROR(LOOKUP(2,1/('03_Warehouse_Movements'!$C$2:$C$500=$A354),'03_Warehouse_Movements'!$E$2:$E$500),$C354))</f>
        <v/>
      </c>
      <c r="E354" t="s">
        <v>209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665</v>
      </c>
      <c r="B355" s="24"/>
      <c r="D355" t="str">
        <f>IF($C355="","",IFERROR(LOOKUP(2,1/('03_Warehouse_Movements'!$C$2:$C$500=$A355),'03_Warehouse_Movements'!$E$2:$E$500),$C355))</f>
        <v/>
      </c>
      <c r="E355" t="s">
        <v>209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666</v>
      </c>
      <c r="B356" s="24"/>
      <c r="D356" t="str">
        <f>IF($C356="","",IFERROR(LOOKUP(2,1/('03_Warehouse_Movements'!$C$2:$C$500=$A356),'03_Warehouse_Movements'!$E$2:$E$500),$C356))</f>
        <v/>
      </c>
      <c r="E356" t="s">
        <v>209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667</v>
      </c>
      <c r="B357" s="24"/>
      <c r="D357" t="str">
        <f>IF($C357="","",IFERROR(LOOKUP(2,1/('03_Warehouse_Movements'!$C$2:$C$500=$A357),'03_Warehouse_Movements'!$E$2:$E$500),$C357))</f>
        <v/>
      </c>
      <c r="E357" t="s">
        <v>209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668</v>
      </c>
      <c r="B358" s="24"/>
      <c r="D358" t="str">
        <f>IF($C358="","",IFERROR(LOOKUP(2,1/('03_Warehouse_Movements'!$C$2:$C$500=$A358),'03_Warehouse_Movements'!$E$2:$E$500),$C358))</f>
        <v/>
      </c>
      <c r="E358" t="s">
        <v>209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669</v>
      </c>
      <c r="B359" s="24"/>
      <c r="D359" t="str">
        <f>IF($C359="","",IFERROR(LOOKUP(2,1/('03_Warehouse_Movements'!$C$2:$C$500=$A359),'03_Warehouse_Movements'!$E$2:$E$500),$C359))</f>
        <v/>
      </c>
      <c r="E359" t="s">
        <v>209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670</v>
      </c>
      <c r="B360" s="24"/>
      <c r="D360" t="str">
        <f>IF($C360="","",IFERROR(LOOKUP(2,1/('03_Warehouse_Movements'!$C$2:$C$500=$A360),'03_Warehouse_Movements'!$E$2:$E$500),$C360))</f>
        <v/>
      </c>
      <c r="E360" t="s">
        <v>209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671</v>
      </c>
      <c r="B361" s="24"/>
      <c r="D361" t="str">
        <f>IF($C361="","",IFERROR(LOOKUP(2,1/('03_Warehouse_Movements'!$C$2:$C$500=$A361),'03_Warehouse_Movements'!$E$2:$E$500),$C361))</f>
        <v/>
      </c>
      <c r="E361" t="s">
        <v>209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672</v>
      </c>
      <c r="B362" s="24"/>
      <c r="D362" t="str">
        <f>IF($C362="","",IFERROR(LOOKUP(2,1/('03_Warehouse_Movements'!$C$2:$C$500=$A362),'03_Warehouse_Movements'!$E$2:$E$500),$C362))</f>
        <v/>
      </c>
      <c r="E362" t="s">
        <v>209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673</v>
      </c>
      <c r="B363" s="24"/>
      <c r="D363" t="str">
        <f>IF($C363="","",IFERROR(LOOKUP(2,1/('03_Warehouse_Movements'!$C$2:$C$500=$A363),'03_Warehouse_Movements'!$E$2:$E$500),$C363))</f>
        <v/>
      </c>
      <c r="E363" t="s">
        <v>209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674</v>
      </c>
      <c r="B364" s="24"/>
      <c r="D364" t="str">
        <f>IF($C364="","",IFERROR(LOOKUP(2,1/('03_Warehouse_Movements'!$C$2:$C$500=$A364),'03_Warehouse_Movements'!$E$2:$E$500),$C364))</f>
        <v/>
      </c>
      <c r="E364" t="s">
        <v>209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675</v>
      </c>
      <c r="B365" s="24"/>
      <c r="D365" t="str">
        <f>IF($C365="","",IFERROR(LOOKUP(2,1/('03_Warehouse_Movements'!$C$2:$C$500=$A365),'03_Warehouse_Movements'!$E$2:$E$500),$C365))</f>
        <v/>
      </c>
      <c r="E365" t="s">
        <v>209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676</v>
      </c>
      <c r="B366" s="24"/>
      <c r="D366" t="str">
        <f>IF($C366="","",IFERROR(LOOKUP(2,1/('03_Warehouse_Movements'!$C$2:$C$500=$A366),'03_Warehouse_Movements'!$E$2:$E$500),$C366))</f>
        <v/>
      </c>
      <c r="E366" t="s">
        <v>209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677</v>
      </c>
      <c r="B367" s="24"/>
      <c r="D367" t="str">
        <f>IF($C367="","",IFERROR(LOOKUP(2,1/('03_Warehouse_Movements'!$C$2:$C$500=$A367),'03_Warehouse_Movements'!$E$2:$E$500),$C367))</f>
        <v/>
      </c>
      <c r="E367" t="s">
        <v>209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678</v>
      </c>
      <c r="B368" s="24"/>
      <c r="D368" t="str">
        <f>IF($C368="","",IFERROR(LOOKUP(2,1/('03_Warehouse_Movements'!$C$2:$C$500=$A368),'03_Warehouse_Movements'!$E$2:$E$500),$C368))</f>
        <v/>
      </c>
      <c r="E368" t="s">
        <v>209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679</v>
      </c>
      <c r="B369" s="24"/>
      <c r="D369" t="str">
        <f>IF($C369="","",IFERROR(LOOKUP(2,1/('03_Warehouse_Movements'!$C$2:$C$500=$A369),'03_Warehouse_Movements'!$E$2:$E$500),$C369))</f>
        <v/>
      </c>
      <c r="E369" t="s">
        <v>209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680</v>
      </c>
      <c r="B370" s="24"/>
      <c r="D370" t="str">
        <f>IF($C370="","",IFERROR(LOOKUP(2,1/('03_Warehouse_Movements'!$C$2:$C$500=$A370),'03_Warehouse_Movements'!$E$2:$E$500),$C370))</f>
        <v/>
      </c>
      <c r="E370" t="s">
        <v>209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681</v>
      </c>
      <c r="B371" s="24"/>
      <c r="D371" t="str">
        <f>IF($C371="","",IFERROR(LOOKUP(2,1/('03_Warehouse_Movements'!$C$2:$C$500=$A371),'03_Warehouse_Movements'!$E$2:$E$500),$C371))</f>
        <v/>
      </c>
      <c r="E371" t="s">
        <v>209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682</v>
      </c>
      <c r="B372" s="24"/>
      <c r="D372" t="str">
        <f>IF($C372="","",IFERROR(LOOKUP(2,1/('03_Warehouse_Movements'!$C$2:$C$500=$A372),'03_Warehouse_Movements'!$E$2:$E$500),$C372))</f>
        <v/>
      </c>
      <c r="E372" t="s">
        <v>209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683</v>
      </c>
      <c r="B373" s="24"/>
      <c r="D373" t="str">
        <f>IF($C373="","",IFERROR(LOOKUP(2,1/('03_Warehouse_Movements'!$C$2:$C$500=$A373),'03_Warehouse_Movements'!$E$2:$E$500),$C373))</f>
        <v/>
      </c>
      <c r="E373" t="s">
        <v>209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684</v>
      </c>
      <c r="B374" s="24"/>
      <c r="D374" t="str">
        <f>IF($C374="","",IFERROR(LOOKUP(2,1/('03_Warehouse_Movements'!$C$2:$C$500=$A374),'03_Warehouse_Movements'!$E$2:$E$500),$C374))</f>
        <v/>
      </c>
      <c r="E374" t="s">
        <v>209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685</v>
      </c>
      <c r="B375" s="24"/>
      <c r="D375" t="str">
        <f>IF($C375="","",IFERROR(LOOKUP(2,1/('03_Warehouse_Movements'!$C$2:$C$500=$A375),'03_Warehouse_Movements'!$E$2:$E$500),$C375))</f>
        <v/>
      </c>
      <c r="E375" t="s">
        <v>209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686</v>
      </c>
      <c r="B376" s="24"/>
      <c r="D376" t="str">
        <f>IF($C376="","",IFERROR(LOOKUP(2,1/('03_Warehouse_Movements'!$C$2:$C$500=$A376),'03_Warehouse_Movements'!$E$2:$E$500),$C376))</f>
        <v/>
      </c>
      <c r="E376" t="s">
        <v>209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687</v>
      </c>
      <c r="B377" s="24"/>
      <c r="D377" t="str">
        <f>IF($C377="","",IFERROR(LOOKUP(2,1/('03_Warehouse_Movements'!$C$2:$C$500=$A377),'03_Warehouse_Movements'!$E$2:$E$500),$C377))</f>
        <v/>
      </c>
      <c r="E377" t="s">
        <v>209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688</v>
      </c>
      <c r="B378" s="24"/>
      <c r="D378" t="str">
        <f>IF($C378="","",IFERROR(LOOKUP(2,1/('03_Warehouse_Movements'!$C$2:$C$500=$A378),'03_Warehouse_Movements'!$E$2:$E$500),$C378))</f>
        <v/>
      </c>
      <c r="E378" t="s">
        <v>209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689</v>
      </c>
      <c r="B379" s="24"/>
      <c r="D379" t="str">
        <f>IF($C379="","",IFERROR(LOOKUP(2,1/('03_Warehouse_Movements'!$C$2:$C$500=$A379),'03_Warehouse_Movements'!$E$2:$E$500),$C379))</f>
        <v/>
      </c>
      <c r="E379" t="s">
        <v>209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690</v>
      </c>
      <c r="B380" s="24"/>
      <c r="D380" t="str">
        <f>IF($C380="","",IFERROR(LOOKUP(2,1/('03_Warehouse_Movements'!$C$2:$C$500=$A380),'03_Warehouse_Movements'!$E$2:$E$500),$C380))</f>
        <v/>
      </c>
      <c r="E380" t="s">
        <v>209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691</v>
      </c>
      <c r="B381" s="24"/>
      <c r="D381" t="str">
        <f>IF($C381="","",IFERROR(LOOKUP(2,1/('03_Warehouse_Movements'!$C$2:$C$500=$A381),'03_Warehouse_Movements'!$E$2:$E$500),$C381))</f>
        <v/>
      </c>
      <c r="E381" t="s">
        <v>209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692</v>
      </c>
      <c r="B382" s="24"/>
      <c r="D382" t="str">
        <f>IF($C382="","",IFERROR(LOOKUP(2,1/('03_Warehouse_Movements'!$C$2:$C$500=$A382),'03_Warehouse_Movements'!$E$2:$E$500),$C382))</f>
        <v/>
      </c>
      <c r="E382" t="s">
        <v>209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693</v>
      </c>
      <c r="B383" s="24"/>
      <c r="D383" t="str">
        <f>IF($C383="","",IFERROR(LOOKUP(2,1/('03_Warehouse_Movements'!$C$2:$C$500=$A383),'03_Warehouse_Movements'!$E$2:$E$500),$C383))</f>
        <v/>
      </c>
      <c r="E383" t="s">
        <v>209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694</v>
      </c>
      <c r="B384" s="24"/>
      <c r="D384" t="str">
        <f>IF($C384="","",IFERROR(LOOKUP(2,1/('03_Warehouse_Movements'!$C$2:$C$500=$A384),'03_Warehouse_Movements'!$E$2:$E$500),$C384))</f>
        <v/>
      </c>
      <c r="E384" t="s">
        <v>209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695</v>
      </c>
      <c r="B385" s="24"/>
      <c r="D385" t="str">
        <f>IF($C385="","",IFERROR(LOOKUP(2,1/('03_Warehouse_Movements'!$C$2:$C$500=$A385),'03_Warehouse_Movements'!$E$2:$E$500),$C385))</f>
        <v/>
      </c>
      <c r="E385" t="s">
        <v>209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696</v>
      </c>
      <c r="B386" s="24"/>
      <c r="D386" t="str">
        <f>IF($C386="","",IFERROR(LOOKUP(2,1/('03_Warehouse_Movements'!$C$2:$C$500=$A386),'03_Warehouse_Movements'!$E$2:$E$500),$C386))</f>
        <v/>
      </c>
      <c r="E386" t="s">
        <v>209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697</v>
      </c>
      <c r="B387" s="24"/>
      <c r="D387" t="str">
        <f>IF($C387="","",IFERROR(LOOKUP(2,1/('03_Warehouse_Movements'!$C$2:$C$500=$A387),'03_Warehouse_Movements'!$E$2:$E$500),$C387))</f>
        <v/>
      </c>
      <c r="E387" t="s">
        <v>209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698</v>
      </c>
      <c r="B388" s="24"/>
      <c r="D388" t="str">
        <f>IF($C388="","",IFERROR(LOOKUP(2,1/('03_Warehouse_Movements'!$C$2:$C$500=$A388),'03_Warehouse_Movements'!$E$2:$E$500),$C388))</f>
        <v/>
      </c>
      <c r="E388" t="s">
        <v>209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699</v>
      </c>
      <c r="B389" s="24"/>
      <c r="D389" t="str">
        <f>IF($C389="","",IFERROR(LOOKUP(2,1/('03_Warehouse_Movements'!$C$2:$C$500=$A389),'03_Warehouse_Movements'!$E$2:$E$500),$C389))</f>
        <v/>
      </c>
      <c r="E389" t="s">
        <v>209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700</v>
      </c>
      <c r="B390" s="24"/>
      <c r="D390" t="str">
        <f>IF($C390="","",IFERROR(LOOKUP(2,1/('03_Warehouse_Movements'!$C$2:$C$500=$A390),'03_Warehouse_Movements'!$E$2:$E$500),$C390))</f>
        <v/>
      </c>
      <c r="E390" t="s">
        <v>209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701</v>
      </c>
      <c r="B391" s="24"/>
      <c r="D391" t="str">
        <f>IF($C391="","",IFERROR(LOOKUP(2,1/('03_Warehouse_Movements'!$C$2:$C$500=$A391),'03_Warehouse_Movements'!$E$2:$E$500),$C391))</f>
        <v/>
      </c>
      <c r="E391" t="s">
        <v>209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702</v>
      </c>
      <c r="B392" s="24"/>
      <c r="D392" t="str">
        <f>IF($C392="","",IFERROR(LOOKUP(2,1/('03_Warehouse_Movements'!$C$2:$C$500=$A392),'03_Warehouse_Movements'!$E$2:$E$500),$C392))</f>
        <v/>
      </c>
      <c r="E392" t="s">
        <v>209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703</v>
      </c>
      <c r="B393" s="24"/>
      <c r="D393" t="str">
        <f>IF($C393="","",IFERROR(LOOKUP(2,1/('03_Warehouse_Movements'!$C$2:$C$500=$A393),'03_Warehouse_Movements'!$E$2:$E$500),$C393))</f>
        <v/>
      </c>
      <c r="E393" t="s">
        <v>209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704</v>
      </c>
      <c r="B394" s="24"/>
      <c r="D394" t="str">
        <f>IF($C394="","",IFERROR(LOOKUP(2,1/('03_Warehouse_Movements'!$C$2:$C$500=$A394),'03_Warehouse_Movements'!$E$2:$E$500),$C394))</f>
        <v/>
      </c>
      <c r="E394" t="s">
        <v>209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705</v>
      </c>
      <c r="B395" s="24"/>
      <c r="D395" t="str">
        <f>IF($C395="","",IFERROR(LOOKUP(2,1/('03_Warehouse_Movements'!$C$2:$C$500=$A395),'03_Warehouse_Movements'!$E$2:$E$500),$C395))</f>
        <v/>
      </c>
      <c r="E395" t="s">
        <v>209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706</v>
      </c>
      <c r="B396" s="24"/>
      <c r="D396" t="str">
        <f>IF($C396="","",IFERROR(LOOKUP(2,1/('03_Warehouse_Movements'!$C$2:$C$500=$A396),'03_Warehouse_Movements'!$E$2:$E$500),$C396))</f>
        <v/>
      </c>
      <c r="E396" t="s">
        <v>209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707</v>
      </c>
      <c r="B397" s="24"/>
      <c r="D397" t="str">
        <f>IF($C397="","",IFERROR(LOOKUP(2,1/('03_Warehouse_Movements'!$C$2:$C$500=$A397),'03_Warehouse_Movements'!$E$2:$E$500),$C397))</f>
        <v/>
      </c>
      <c r="E397" t="s">
        <v>209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708</v>
      </c>
      <c r="B398" s="24"/>
      <c r="D398" t="str">
        <f>IF($C398="","",IFERROR(LOOKUP(2,1/('03_Warehouse_Movements'!$C$2:$C$500=$A398),'03_Warehouse_Movements'!$E$2:$E$500),$C398))</f>
        <v/>
      </c>
      <c r="E398" t="s">
        <v>209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709</v>
      </c>
      <c r="B399" s="24"/>
      <c r="D399" t="str">
        <f>IF($C399="","",IFERROR(LOOKUP(2,1/('03_Warehouse_Movements'!$C$2:$C$500=$A399),'03_Warehouse_Movements'!$E$2:$E$500),$C399))</f>
        <v/>
      </c>
      <c r="E399" t="s">
        <v>209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710</v>
      </c>
      <c r="B400" s="24"/>
      <c r="D400" t="str">
        <f>IF($C400="","",IFERROR(LOOKUP(2,1/('03_Warehouse_Movements'!$C$2:$C$500=$A400),'03_Warehouse_Movements'!$E$2:$E$500),$C400))</f>
        <v/>
      </c>
      <c r="E400" t="s">
        <v>209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711</v>
      </c>
      <c r="B401" s="24"/>
      <c r="D401" t="str">
        <f>IF($C401="","",IFERROR(LOOKUP(2,1/('03_Warehouse_Movements'!$C$2:$C$500=$A401),'03_Warehouse_Movements'!$E$2:$E$500),$C401))</f>
        <v/>
      </c>
      <c r="E401" t="s">
        <v>209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712</v>
      </c>
      <c r="B402" s="24"/>
      <c r="D402" t="str">
        <f>IF($C402="","",IFERROR(LOOKUP(2,1/('03_Warehouse_Movements'!$C$2:$C$500=$A402),'03_Warehouse_Movements'!$E$2:$E$500),$C402))</f>
        <v/>
      </c>
      <c r="E402" t="s">
        <v>209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713</v>
      </c>
      <c r="B403" s="24"/>
      <c r="D403" t="str">
        <f>IF($C403="","",IFERROR(LOOKUP(2,1/('03_Warehouse_Movements'!$C$2:$C$500=$A403),'03_Warehouse_Movements'!$E$2:$E$500),$C403))</f>
        <v/>
      </c>
      <c r="E403" t="s">
        <v>209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714</v>
      </c>
      <c r="B404" s="24"/>
      <c r="D404" t="str">
        <f>IF($C404="","",IFERROR(LOOKUP(2,1/('03_Warehouse_Movements'!$C$2:$C$500=$A404),'03_Warehouse_Movements'!$E$2:$E$500),$C404))</f>
        <v/>
      </c>
      <c r="E404" t="s">
        <v>209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715</v>
      </c>
      <c r="B405" s="24"/>
      <c r="D405" t="str">
        <f>IF($C405="","",IFERROR(LOOKUP(2,1/('03_Warehouse_Movements'!$C$2:$C$500=$A405),'03_Warehouse_Movements'!$E$2:$E$500),$C405))</f>
        <v/>
      </c>
      <c r="E405" t="s">
        <v>209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716</v>
      </c>
      <c r="B406" s="24"/>
      <c r="D406" t="str">
        <f>IF($C406="","",IFERROR(LOOKUP(2,1/('03_Warehouse_Movements'!$C$2:$C$500=$A406),'03_Warehouse_Movements'!$E$2:$E$500),$C406))</f>
        <v/>
      </c>
      <c r="E406" t="s">
        <v>209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717</v>
      </c>
      <c r="B407" s="24"/>
      <c r="D407" t="str">
        <f>IF($C407="","",IFERROR(LOOKUP(2,1/('03_Warehouse_Movements'!$C$2:$C$500=$A407),'03_Warehouse_Movements'!$E$2:$E$500),$C407))</f>
        <v/>
      </c>
      <c r="E407" t="s">
        <v>209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718</v>
      </c>
      <c r="B408" s="24"/>
      <c r="D408" t="str">
        <f>IF($C408="","",IFERROR(LOOKUP(2,1/('03_Warehouse_Movements'!$C$2:$C$500=$A408),'03_Warehouse_Movements'!$E$2:$E$500),$C408))</f>
        <v/>
      </c>
      <c r="E408" t="s">
        <v>209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719</v>
      </c>
      <c r="B409" s="24"/>
      <c r="D409" t="str">
        <f>IF($C409="","",IFERROR(LOOKUP(2,1/('03_Warehouse_Movements'!$C$2:$C$500=$A409),'03_Warehouse_Movements'!$E$2:$E$500),$C409))</f>
        <v/>
      </c>
      <c r="E409" t="s">
        <v>209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720</v>
      </c>
      <c r="B410" s="24"/>
      <c r="D410" t="str">
        <f>IF($C410="","",IFERROR(LOOKUP(2,1/('03_Warehouse_Movements'!$C$2:$C$500=$A410),'03_Warehouse_Movements'!$E$2:$E$500),$C410))</f>
        <v/>
      </c>
      <c r="E410" t="s">
        <v>209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721</v>
      </c>
      <c r="B411" s="24"/>
      <c r="D411" t="str">
        <f>IF($C411="","",IFERROR(LOOKUP(2,1/('03_Warehouse_Movements'!$C$2:$C$500=$A411),'03_Warehouse_Movements'!$E$2:$E$500),$C411))</f>
        <v/>
      </c>
      <c r="E411" t="s">
        <v>209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722</v>
      </c>
      <c r="B412" s="24"/>
      <c r="D412" t="str">
        <f>IF($C412="","",IFERROR(LOOKUP(2,1/('03_Warehouse_Movements'!$C$2:$C$500=$A412),'03_Warehouse_Movements'!$E$2:$E$500),$C412))</f>
        <v/>
      </c>
      <c r="E412" t="s">
        <v>209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723</v>
      </c>
      <c r="B413" s="24"/>
      <c r="D413" t="str">
        <f>IF($C413="","",IFERROR(LOOKUP(2,1/('03_Warehouse_Movements'!$C$2:$C$500=$A413),'03_Warehouse_Movements'!$E$2:$E$500),$C413))</f>
        <v/>
      </c>
      <c r="E413" t="s">
        <v>209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724</v>
      </c>
      <c r="B414" s="24"/>
      <c r="D414" t="str">
        <f>IF($C414="","",IFERROR(LOOKUP(2,1/('03_Warehouse_Movements'!$C$2:$C$500=$A414),'03_Warehouse_Movements'!$E$2:$E$500),$C414))</f>
        <v/>
      </c>
      <c r="E414" t="s">
        <v>209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725</v>
      </c>
      <c r="B415" s="24"/>
      <c r="D415" t="str">
        <f>IF($C415="","",IFERROR(LOOKUP(2,1/('03_Warehouse_Movements'!$C$2:$C$500=$A415),'03_Warehouse_Movements'!$E$2:$E$500),$C415))</f>
        <v/>
      </c>
      <c r="E415" t="s">
        <v>209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726</v>
      </c>
      <c r="B416" s="24"/>
      <c r="D416" t="str">
        <f>IF($C416="","",IFERROR(LOOKUP(2,1/('03_Warehouse_Movements'!$C$2:$C$500=$A416),'03_Warehouse_Movements'!$E$2:$E$500),$C416))</f>
        <v/>
      </c>
      <c r="E416" t="s">
        <v>209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727</v>
      </c>
      <c r="B417" s="24"/>
      <c r="D417" t="str">
        <f>IF($C417="","",IFERROR(LOOKUP(2,1/('03_Warehouse_Movements'!$C$2:$C$500=$A417),'03_Warehouse_Movements'!$E$2:$E$500),$C417))</f>
        <v/>
      </c>
      <c r="E417" t="s">
        <v>209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728</v>
      </c>
      <c r="B418" s="24"/>
      <c r="D418" t="str">
        <f>IF($C418="","",IFERROR(LOOKUP(2,1/('03_Warehouse_Movements'!$C$2:$C$500=$A418),'03_Warehouse_Movements'!$E$2:$E$500),$C418))</f>
        <v/>
      </c>
      <c r="E418" t="s">
        <v>209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729</v>
      </c>
      <c r="B419" s="24"/>
      <c r="D419" t="str">
        <f>IF($C419="","",IFERROR(LOOKUP(2,1/('03_Warehouse_Movements'!$C$2:$C$500=$A419),'03_Warehouse_Movements'!$E$2:$E$500),$C419))</f>
        <v/>
      </c>
      <c r="E419" t="s">
        <v>209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730</v>
      </c>
      <c r="B420" s="24"/>
      <c r="D420" t="str">
        <f>IF($C420="","",IFERROR(LOOKUP(2,1/('03_Warehouse_Movements'!$C$2:$C$500=$A420),'03_Warehouse_Movements'!$E$2:$E$500),$C420))</f>
        <v/>
      </c>
      <c r="E420" t="s">
        <v>209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731</v>
      </c>
      <c r="B421" s="24"/>
      <c r="D421" t="str">
        <f>IF($C421="","",IFERROR(LOOKUP(2,1/('03_Warehouse_Movements'!$C$2:$C$500=$A421),'03_Warehouse_Movements'!$E$2:$E$500),$C421))</f>
        <v/>
      </c>
      <c r="E421" t="s">
        <v>209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732</v>
      </c>
      <c r="B422" s="24"/>
      <c r="D422" t="str">
        <f>IF($C422="","",IFERROR(LOOKUP(2,1/('03_Warehouse_Movements'!$C$2:$C$500=$A422),'03_Warehouse_Movements'!$E$2:$E$500),$C422))</f>
        <v/>
      </c>
      <c r="E422" t="s">
        <v>209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733</v>
      </c>
      <c r="B423" s="24"/>
      <c r="D423" t="str">
        <f>IF($C423="","",IFERROR(LOOKUP(2,1/('03_Warehouse_Movements'!$C$2:$C$500=$A423),'03_Warehouse_Movements'!$E$2:$E$500),$C423))</f>
        <v/>
      </c>
      <c r="E423" t="s">
        <v>209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734</v>
      </c>
      <c r="B424" s="24"/>
      <c r="D424" t="str">
        <f>IF($C424="","",IFERROR(LOOKUP(2,1/('03_Warehouse_Movements'!$C$2:$C$500=$A424),'03_Warehouse_Movements'!$E$2:$E$500),$C424))</f>
        <v/>
      </c>
      <c r="E424" t="s">
        <v>209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735</v>
      </c>
      <c r="B425" s="24"/>
      <c r="D425" t="str">
        <f>IF($C425="","",IFERROR(LOOKUP(2,1/('03_Warehouse_Movements'!$C$2:$C$500=$A425),'03_Warehouse_Movements'!$E$2:$E$500),$C425))</f>
        <v/>
      </c>
      <c r="E425" t="s">
        <v>209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736</v>
      </c>
      <c r="B426" s="24"/>
      <c r="D426" t="str">
        <f>IF($C426="","",IFERROR(LOOKUP(2,1/('03_Warehouse_Movements'!$C$2:$C$500=$A426),'03_Warehouse_Movements'!$E$2:$E$500),$C426))</f>
        <v/>
      </c>
      <c r="E426" t="s">
        <v>209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737</v>
      </c>
      <c r="B427" s="24"/>
      <c r="D427" t="str">
        <f>IF($C427="","",IFERROR(LOOKUP(2,1/('03_Warehouse_Movements'!$C$2:$C$500=$A427),'03_Warehouse_Movements'!$E$2:$E$500),$C427))</f>
        <v/>
      </c>
      <c r="E427" t="s">
        <v>209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738</v>
      </c>
      <c r="B428" s="24"/>
      <c r="D428" t="str">
        <f>IF($C428="","",IFERROR(LOOKUP(2,1/('03_Warehouse_Movements'!$C$2:$C$500=$A428),'03_Warehouse_Movements'!$E$2:$E$500),$C428))</f>
        <v/>
      </c>
      <c r="E428" t="s">
        <v>209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739</v>
      </c>
      <c r="B429" s="24"/>
      <c r="D429" t="str">
        <f>IF($C429="","",IFERROR(LOOKUP(2,1/('03_Warehouse_Movements'!$C$2:$C$500=$A429),'03_Warehouse_Movements'!$E$2:$E$500),$C429))</f>
        <v/>
      </c>
      <c r="E429" t="s">
        <v>209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740</v>
      </c>
      <c r="B430" s="24"/>
      <c r="D430" t="str">
        <f>IF($C430="","",IFERROR(LOOKUP(2,1/('03_Warehouse_Movements'!$C$2:$C$500=$A430),'03_Warehouse_Movements'!$E$2:$E$500),$C430))</f>
        <v/>
      </c>
      <c r="E430" t="s">
        <v>209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741</v>
      </c>
      <c r="B431" s="24"/>
      <c r="D431" t="str">
        <f>IF($C431="","",IFERROR(LOOKUP(2,1/('03_Warehouse_Movements'!$C$2:$C$500=$A431),'03_Warehouse_Movements'!$E$2:$E$500),$C431))</f>
        <v/>
      </c>
      <c r="E431" t="s">
        <v>209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742</v>
      </c>
      <c r="B432" s="24"/>
      <c r="D432" t="str">
        <f>IF($C432="","",IFERROR(LOOKUP(2,1/('03_Warehouse_Movements'!$C$2:$C$500=$A432),'03_Warehouse_Movements'!$E$2:$E$500),$C432))</f>
        <v/>
      </c>
      <c r="E432" t="s">
        <v>209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743</v>
      </c>
      <c r="B433" s="24"/>
      <c r="D433" t="str">
        <f>IF($C433="","",IFERROR(LOOKUP(2,1/('03_Warehouse_Movements'!$C$2:$C$500=$A433),'03_Warehouse_Movements'!$E$2:$E$500),$C433))</f>
        <v/>
      </c>
      <c r="E433" t="s">
        <v>209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744</v>
      </c>
      <c r="B434" s="24"/>
      <c r="D434" t="str">
        <f>IF($C434="","",IFERROR(LOOKUP(2,1/('03_Warehouse_Movements'!$C$2:$C$500=$A434),'03_Warehouse_Movements'!$E$2:$E$500),$C434))</f>
        <v/>
      </c>
      <c r="E434" t="s">
        <v>209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745</v>
      </c>
      <c r="B435" s="24"/>
      <c r="D435" t="str">
        <f>IF($C435="","",IFERROR(LOOKUP(2,1/('03_Warehouse_Movements'!$C$2:$C$500=$A435),'03_Warehouse_Movements'!$E$2:$E$500),$C435))</f>
        <v/>
      </c>
      <c r="E435" t="s">
        <v>209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746</v>
      </c>
      <c r="B436" s="24"/>
      <c r="D436" t="str">
        <f>IF($C436="","",IFERROR(LOOKUP(2,1/('03_Warehouse_Movements'!$C$2:$C$500=$A436),'03_Warehouse_Movements'!$E$2:$E$500),$C436))</f>
        <v/>
      </c>
      <c r="E436" t="s">
        <v>209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747</v>
      </c>
      <c r="B437" s="24"/>
      <c r="D437" t="str">
        <f>IF($C437="","",IFERROR(LOOKUP(2,1/('03_Warehouse_Movements'!$C$2:$C$500=$A437),'03_Warehouse_Movements'!$E$2:$E$500),$C437))</f>
        <v/>
      </c>
      <c r="E437" t="s">
        <v>209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748</v>
      </c>
      <c r="B438" s="24"/>
      <c r="D438" t="str">
        <f>IF($C438="","",IFERROR(LOOKUP(2,1/('03_Warehouse_Movements'!$C$2:$C$500=$A438),'03_Warehouse_Movements'!$E$2:$E$500),$C438))</f>
        <v/>
      </c>
      <c r="E438" t="s">
        <v>209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749</v>
      </c>
      <c r="B439" s="24"/>
      <c r="D439" t="str">
        <f>IF($C439="","",IFERROR(LOOKUP(2,1/('03_Warehouse_Movements'!$C$2:$C$500=$A439),'03_Warehouse_Movements'!$E$2:$E$500),$C439))</f>
        <v/>
      </c>
      <c r="E439" t="s">
        <v>209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750</v>
      </c>
      <c r="B440" s="24"/>
      <c r="D440" t="str">
        <f>IF($C440="","",IFERROR(LOOKUP(2,1/('03_Warehouse_Movements'!$C$2:$C$500=$A440),'03_Warehouse_Movements'!$E$2:$E$500),$C440))</f>
        <v/>
      </c>
      <c r="E440" t="s">
        <v>209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751</v>
      </c>
      <c r="B441" s="24"/>
      <c r="D441" t="str">
        <f>IF($C441="","",IFERROR(LOOKUP(2,1/('03_Warehouse_Movements'!$C$2:$C$500=$A441),'03_Warehouse_Movements'!$E$2:$E$500),$C441))</f>
        <v/>
      </c>
      <c r="E441" t="s">
        <v>209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752</v>
      </c>
      <c r="B442" s="24"/>
      <c r="D442" t="str">
        <f>IF($C442="","",IFERROR(LOOKUP(2,1/('03_Warehouse_Movements'!$C$2:$C$500=$A442),'03_Warehouse_Movements'!$E$2:$E$500),$C442))</f>
        <v/>
      </c>
      <c r="E442" t="s">
        <v>209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753</v>
      </c>
      <c r="B443" s="24"/>
      <c r="D443" t="str">
        <f>IF($C443="","",IFERROR(LOOKUP(2,1/('03_Warehouse_Movements'!$C$2:$C$500=$A443),'03_Warehouse_Movements'!$E$2:$E$500),$C443))</f>
        <v/>
      </c>
      <c r="E443" t="s">
        <v>209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754</v>
      </c>
      <c r="B444" s="24"/>
      <c r="D444" t="str">
        <f>IF($C444="","",IFERROR(LOOKUP(2,1/('03_Warehouse_Movements'!$C$2:$C$500=$A444),'03_Warehouse_Movements'!$E$2:$E$500),$C444))</f>
        <v/>
      </c>
      <c r="E444" t="s">
        <v>209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755</v>
      </c>
      <c r="B445" s="24"/>
      <c r="D445" t="str">
        <f>IF($C445="","",IFERROR(LOOKUP(2,1/('03_Warehouse_Movements'!$C$2:$C$500=$A445),'03_Warehouse_Movements'!$E$2:$E$500),$C445))</f>
        <v/>
      </c>
      <c r="E445" t="s">
        <v>209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756</v>
      </c>
      <c r="B446" s="24"/>
      <c r="D446" t="str">
        <f>IF($C446="","",IFERROR(LOOKUP(2,1/('03_Warehouse_Movements'!$C$2:$C$500=$A446),'03_Warehouse_Movements'!$E$2:$E$500),$C446))</f>
        <v/>
      </c>
      <c r="E446" t="s">
        <v>209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757</v>
      </c>
      <c r="B447" s="24"/>
      <c r="D447" t="str">
        <f>IF($C447="","",IFERROR(LOOKUP(2,1/('03_Warehouse_Movements'!$C$2:$C$500=$A447),'03_Warehouse_Movements'!$E$2:$E$500),$C447))</f>
        <v/>
      </c>
      <c r="E447" t="s">
        <v>209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758</v>
      </c>
      <c r="B448" s="24"/>
      <c r="D448" t="str">
        <f>IF($C448="","",IFERROR(LOOKUP(2,1/('03_Warehouse_Movements'!$C$2:$C$500=$A448),'03_Warehouse_Movements'!$E$2:$E$500),$C448))</f>
        <v/>
      </c>
      <c r="E448" t="s">
        <v>209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759</v>
      </c>
      <c r="B449" s="24"/>
      <c r="D449" t="str">
        <f>IF($C449="","",IFERROR(LOOKUP(2,1/('03_Warehouse_Movements'!$C$2:$C$500=$A449),'03_Warehouse_Movements'!$E$2:$E$500),$C449))</f>
        <v/>
      </c>
      <c r="E449" t="s">
        <v>209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760</v>
      </c>
      <c r="B450" s="24"/>
      <c r="D450" t="str">
        <f>IF($C450="","",IFERROR(LOOKUP(2,1/('03_Warehouse_Movements'!$C$2:$C$500=$A450),'03_Warehouse_Movements'!$E$2:$E$500),$C450))</f>
        <v/>
      </c>
      <c r="E450" t="s">
        <v>209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761</v>
      </c>
      <c r="B451" s="24"/>
      <c r="D451" t="str">
        <f>IF($C451="","",IFERROR(LOOKUP(2,1/('03_Warehouse_Movements'!$C$2:$C$500=$A451),'03_Warehouse_Movements'!$E$2:$E$500),$C451))</f>
        <v/>
      </c>
      <c r="E451" t="s">
        <v>209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762</v>
      </c>
      <c r="B452" s="24"/>
      <c r="D452" t="str">
        <f>IF($C452="","",IFERROR(LOOKUP(2,1/('03_Warehouse_Movements'!$C$2:$C$500=$A452),'03_Warehouse_Movements'!$E$2:$E$500),$C452))</f>
        <v/>
      </c>
      <c r="E452" t="s">
        <v>209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763</v>
      </c>
      <c r="B453" s="24"/>
      <c r="D453" t="str">
        <f>IF($C453="","",IFERROR(LOOKUP(2,1/('03_Warehouse_Movements'!$C$2:$C$500=$A453),'03_Warehouse_Movements'!$E$2:$E$500),$C453))</f>
        <v/>
      </c>
      <c r="E453" t="s">
        <v>209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764</v>
      </c>
      <c r="B454" s="24"/>
      <c r="D454" t="str">
        <f>IF($C454="","",IFERROR(LOOKUP(2,1/('03_Warehouse_Movements'!$C$2:$C$500=$A454),'03_Warehouse_Movements'!$E$2:$E$500),$C454))</f>
        <v/>
      </c>
      <c r="E454" t="s">
        <v>209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765</v>
      </c>
      <c r="B455" s="24"/>
      <c r="D455" t="str">
        <f>IF($C455="","",IFERROR(LOOKUP(2,1/('03_Warehouse_Movements'!$C$2:$C$500=$A455),'03_Warehouse_Movements'!$E$2:$E$500),$C455))</f>
        <v/>
      </c>
      <c r="E455" t="s">
        <v>209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766</v>
      </c>
      <c r="B456" s="24"/>
      <c r="D456" t="str">
        <f>IF($C456="","",IFERROR(LOOKUP(2,1/('03_Warehouse_Movements'!$C$2:$C$500=$A456),'03_Warehouse_Movements'!$E$2:$E$500),$C456))</f>
        <v/>
      </c>
      <c r="E456" t="s">
        <v>209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767</v>
      </c>
      <c r="B457" s="24"/>
      <c r="D457" t="str">
        <f>IF($C457="","",IFERROR(LOOKUP(2,1/('03_Warehouse_Movements'!$C$2:$C$500=$A457),'03_Warehouse_Movements'!$E$2:$E$500),$C457))</f>
        <v/>
      </c>
      <c r="E457" t="s">
        <v>209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768</v>
      </c>
      <c r="B458" s="24"/>
      <c r="D458" t="str">
        <f>IF($C458="","",IFERROR(LOOKUP(2,1/('03_Warehouse_Movements'!$C$2:$C$500=$A458),'03_Warehouse_Movements'!$E$2:$E$500),$C458))</f>
        <v/>
      </c>
      <c r="E458" t="s">
        <v>209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769</v>
      </c>
      <c r="B459" s="24"/>
      <c r="D459" t="str">
        <f>IF($C459="","",IFERROR(LOOKUP(2,1/('03_Warehouse_Movements'!$C$2:$C$500=$A459),'03_Warehouse_Movements'!$E$2:$E$500),$C459))</f>
        <v/>
      </c>
      <c r="E459" t="s">
        <v>209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770</v>
      </c>
      <c r="B460" s="24"/>
      <c r="D460" t="str">
        <f>IF($C460="","",IFERROR(LOOKUP(2,1/('03_Warehouse_Movements'!$C$2:$C$500=$A460),'03_Warehouse_Movements'!$E$2:$E$500),$C460))</f>
        <v/>
      </c>
      <c r="E460" t="s">
        <v>209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771</v>
      </c>
      <c r="B461" s="24"/>
      <c r="D461" t="str">
        <f>IF($C461="","",IFERROR(LOOKUP(2,1/('03_Warehouse_Movements'!$C$2:$C$500=$A461),'03_Warehouse_Movements'!$E$2:$E$500),$C461))</f>
        <v/>
      </c>
      <c r="E461" t="s">
        <v>209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772</v>
      </c>
      <c r="B462" s="24"/>
      <c r="D462" t="str">
        <f>IF($C462="","",IFERROR(LOOKUP(2,1/('03_Warehouse_Movements'!$C$2:$C$500=$A462),'03_Warehouse_Movements'!$E$2:$E$500),$C462))</f>
        <v/>
      </c>
      <c r="E462" t="s">
        <v>209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773</v>
      </c>
      <c r="B463" s="24"/>
      <c r="D463" t="str">
        <f>IF($C463="","",IFERROR(LOOKUP(2,1/('03_Warehouse_Movements'!$C$2:$C$500=$A463),'03_Warehouse_Movements'!$E$2:$E$500),$C463))</f>
        <v/>
      </c>
      <c r="E463" t="s">
        <v>209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774</v>
      </c>
      <c r="B464" s="24"/>
      <c r="D464" t="str">
        <f>IF($C464="","",IFERROR(LOOKUP(2,1/('03_Warehouse_Movements'!$C$2:$C$500=$A464),'03_Warehouse_Movements'!$E$2:$E$500),$C464))</f>
        <v/>
      </c>
      <c r="E464" t="s">
        <v>209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775</v>
      </c>
      <c r="B465" s="24"/>
      <c r="D465" t="str">
        <f>IF($C465="","",IFERROR(LOOKUP(2,1/('03_Warehouse_Movements'!$C$2:$C$500=$A465),'03_Warehouse_Movements'!$E$2:$E$500),$C465))</f>
        <v/>
      </c>
      <c r="E465" t="s">
        <v>209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776</v>
      </c>
      <c r="B466" s="24"/>
      <c r="D466" t="str">
        <f>IF($C466="","",IFERROR(LOOKUP(2,1/('03_Warehouse_Movements'!$C$2:$C$500=$A466),'03_Warehouse_Movements'!$E$2:$E$500),$C466))</f>
        <v/>
      </c>
      <c r="E466" t="s">
        <v>209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777</v>
      </c>
      <c r="B467" s="24"/>
      <c r="D467" t="str">
        <f>IF($C467="","",IFERROR(LOOKUP(2,1/('03_Warehouse_Movements'!$C$2:$C$500=$A467),'03_Warehouse_Movements'!$E$2:$E$500),$C467))</f>
        <v/>
      </c>
      <c r="E467" t="s">
        <v>209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778</v>
      </c>
      <c r="B468" s="24"/>
      <c r="D468" t="str">
        <f>IF($C468="","",IFERROR(LOOKUP(2,1/('03_Warehouse_Movements'!$C$2:$C$500=$A468),'03_Warehouse_Movements'!$E$2:$E$500),$C468))</f>
        <v/>
      </c>
      <c r="E468" t="s">
        <v>209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779</v>
      </c>
      <c r="B469" s="24"/>
      <c r="D469" t="str">
        <f>IF($C469="","",IFERROR(LOOKUP(2,1/('03_Warehouse_Movements'!$C$2:$C$500=$A469),'03_Warehouse_Movements'!$E$2:$E$500),$C469))</f>
        <v/>
      </c>
      <c r="E469" t="s">
        <v>209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780</v>
      </c>
      <c r="B470" s="24"/>
      <c r="D470" t="str">
        <f>IF($C470="","",IFERROR(LOOKUP(2,1/('03_Warehouse_Movements'!$C$2:$C$500=$A470),'03_Warehouse_Movements'!$E$2:$E$500),$C470))</f>
        <v/>
      </c>
      <c r="E470" t="s">
        <v>209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781</v>
      </c>
      <c r="B471" s="24"/>
      <c r="D471" t="str">
        <f>IF($C471="","",IFERROR(LOOKUP(2,1/('03_Warehouse_Movements'!$C$2:$C$500=$A471),'03_Warehouse_Movements'!$E$2:$E$500),$C471))</f>
        <v/>
      </c>
      <c r="E471" t="s">
        <v>209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782</v>
      </c>
      <c r="B472" s="24"/>
      <c r="D472" t="str">
        <f>IF($C472="","",IFERROR(LOOKUP(2,1/('03_Warehouse_Movements'!$C$2:$C$500=$A472),'03_Warehouse_Movements'!$E$2:$E$500),$C472))</f>
        <v/>
      </c>
      <c r="E472" t="s">
        <v>209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783</v>
      </c>
      <c r="B473" s="24"/>
      <c r="D473" t="str">
        <f>IF($C473="","",IFERROR(LOOKUP(2,1/('03_Warehouse_Movements'!$C$2:$C$500=$A473),'03_Warehouse_Movements'!$E$2:$E$500),$C473))</f>
        <v/>
      </c>
      <c r="E473" t="s">
        <v>209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784</v>
      </c>
      <c r="B474" s="24"/>
      <c r="D474" t="str">
        <f>IF($C474="","",IFERROR(LOOKUP(2,1/('03_Warehouse_Movements'!$C$2:$C$500=$A474),'03_Warehouse_Movements'!$E$2:$E$500),$C474))</f>
        <v/>
      </c>
      <c r="E474" t="s">
        <v>209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785</v>
      </c>
      <c r="B475" s="24"/>
      <c r="D475" t="str">
        <f>IF($C475="","",IFERROR(LOOKUP(2,1/('03_Warehouse_Movements'!$C$2:$C$500=$A475),'03_Warehouse_Movements'!$E$2:$E$500),$C475))</f>
        <v/>
      </c>
      <c r="E475" t="s">
        <v>209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786</v>
      </c>
      <c r="B476" s="24"/>
      <c r="D476" t="str">
        <f>IF($C476="","",IFERROR(LOOKUP(2,1/('03_Warehouse_Movements'!$C$2:$C$500=$A476),'03_Warehouse_Movements'!$E$2:$E$500),$C476))</f>
        <v/>
      </c>
      <c r="E476" t="s">
        <v>209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787</v>
      </c>
      <c r="B477" s="24"/>
      <c r="D477" t="str">
        <f>IF($C477="","",IFERROR(LOOKUP(2,1/('03_Warehouse_Movements'!$C$2:$C$500=$A477),'03_Warehouse_Movements'!$E$2:$E$500),$C477))</f>
        <v/>
      </c>
      <c r="E477" t="s">
        <v>209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788</v>
      </c>
      <c r="B478" s="24"/>
      <c r="D478" t="str">
        <f>IF($C478="","",IFERROR(LOOKUP(2,1/('03_Warehouse_Movements'!$C$2:$C$500=$A478),'03_Warehouse_Movements'!$E$2:$E$500),$C478))</f>
        <v/>
      </c>
      <c r="E478" t="s">
        <v>209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789</v>
      </c>
      <c r="B479" s="24"/>
      <c r="D479" t="str">
        <f>IF($C479="","",IFERROR(LOOKUP(2,1/('03_Warehouse_Movements'!$C$2:$C$500=$A479),'03_Warehouse_Movements'!$E$2:$E$500),$C479))</f>
        <v/>
      </c>
      <c r="E479" t="s">
        <v>209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790</v>
      </c>
      <c r="B480" s="24"/>
      <c r="D480" t="str">
        <f>IF($C480="","",IFERROR(LOOKUP(2,1/('03_Warehouse_Movements'!$C$2:$C$500=$A480),'03_Warehouse_Movements'!$E$2:$E$500),$C480))</f>
        <v/>
      </c>
      <c r="E480" t="s">
        <v>209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791</v>
      </c>
      <c r="B481" s="24"/>
      <c r="D481" t="str">
        <f>IF($C481="","",IFERROR(LOOKUP(2,1/('03_Warehouse_Movements'!$C$2:$C$500=$A481),'03_Warehouse_Movements'!$E$2:$E$500),$C481))</f>
        <v/>
      </c>
      <c r="E481" t="s">
        <v>209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792</v>
      </c>
      <c r="B482" s="24"/>
      <c r="D482" t="str">
        <f>IF($C482="","",IFERROR(LOOKUP(2,1/('03_Warehouse_Movements'!$C$2:$C$500=$A482),'03_Warehouse_Movements'!$E$2:$E$500),$C482))</f>
        <v/>
      </c>
      <c r="E482" t="s">
        <v>209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793</v>
      </c>
      <c r="B483" s="24"/>
      <c r="D483" t="str">
        <f>IF($C483="","",IFERROR(LOOKUP(2,1/('03_Warehouse_Movements'!$C$2:$C$500=$A483),'03_Warehouse_Movements'!$E$2:$E$500),$C483))</f>
        <v/>
      </c>
      <c r="E483" t="s">
        <v>209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794</v>
      </c>
      <c r="B484" s="24"/>
      <c r="D484" t="str">
        <f>IF($C484="","",IFERROR(LOOKUP(2,1/('03_Warehouse_Movements'!$C$2:$C$500=$A484),'03_Warehouse_Movements'!$E$2:$E$500),$C484))</f>
        <v/>
      </c>
      <c r="E484" t="s">
        <v>209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795</v>
      </c>
      <c r="B485" s="24"/>
      <c r="D485" t="str">
        <f>IF($C485="","",IFERROR(LOOKUP(2,1/('03_Warehouse_Movements'!$C$2:$C$500=$A485),'03_Warehouse_Movements'!$E$2:$E$500),$C485))</f>
        <v/>
      </c>
      <c r="E485" t="s">
        <v>209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796</v>
      </c>
      <c r="B486" s="24"/>
      <c r="D486" t="str">
        <f>IF($C486="","",IFERROR(LOOKUP(2,1/('03_Warehouse_Movements'!$C$2:$C$500=$A486),'03_Warehouse_Movements'!$E$2:$E$500),$C486))</f>
        <v/>
      </c>
      <c r="E486" t="s">
        <v>209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797</v>
      </c>
      <c r="B487" s="24"/>
      <c r="D487" t="str">
        <f>IF($C487="","",IFERROR(LOOKUP(2,1/('03_Warehouse_Movements'!$C$2:$C$500=$A487),'03_Warehouse_Movements'!$E$2:$E$500),$C487))</f>
        <v/>
      </c>
      <c r="E487" t="s">
        <v>209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798</v>
      </c>
      <c r="B488" s="24"/>
      <c r="D488" t="str">
        <f>IF($C488="","",IFERROR(LOOKUP(2,1/('03_Warehouse_Movements'!$C$2:$C$500=$A488),'03_Warehouse_Movements'!$E$2:$E$500),$C488))</f>
        <v/>
      </c>
      <c r="E488" t="s">
        <v>209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799</v>
      </c>
      <c r="B489" s="24"/>
      <c r="D489" t="str">
        <f>IF($C489="","",IFERROR(LOOKUP(2,1/('03_Warehouse_Movements'!$C$2:$C$500=$A489),'03_Warehouse_Movements'!$E$2:$E$500),$C489))</f>
        <v/>
      </c>
      <c r="E489" t="s">
        <v>209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800</v>
      </c>
      <c r="B490" s="24"/>
      <c r="D490" t="str">
        <f>IF($C490="","",IFERROR(LOOKUP(2,1/('03_Warehouse_Movements'!$C$2:$C$500=$A490),'03_Warehouse_Movements'!$E$2:$E$500),$C490))</f>
        <v/>
      </c>
      <c r="E490" t="s">
        <v>209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801</v>
      </c>
      <c r="B491" s="24"/>
      <c r="D491" t="str">
        <f>IF($C491="","",IFERROR(LOOKUP(2,1/('03_Warehouse_Movements'!$C$2:$C$500=$A491),'03_Warehouse_Movements'!$E$2:$E$500),$C491))</f>
        <v/>
      </c>
      <c r="E491" t="s">
        <v>209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802</v>
      </c>
      <c r="B492" s="24"/>
      <c r="D492" t="str">
        <f>IF($C492="","",IFERROR(LOOKUP(2,1/('03_Warehouse_Movements'!$C$2:$C$500=$A492),'03_Warehouse_Movements'!$E$2:$E$500),$C492))</f>
        <v/>
      </c>
      <c r="E492" t="s">
        <v>209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803</v>
      </c>
      <c r="B493" s="24"/>
      <c r="D493" t="str">
        <f>IF($C493="","",IFERROR(LOOKUP(2,1/('03_Warehouse_Movements'!$C$2:$C$500=$A493),'03_Warehouse_Movements'!$E$2:$E$500),$C493))</f>
        <v/>
      </c>
      <c r="E493" t="s">
        <v>209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804</v>
      </c>
      <c r="B494" s="24"/>
      <c r="D494" t="str">
        <f>IF($C494="","",IFERROR(LOOKUP(2,1/('03_Warehouse_Movements'!$C$2:$C$500=$A494),'03_Warehouse_Movements'!$E$2:$E$500),$C494))</f>
        <v/>
      </c>
      <c r="E494" t="s">
        <v>209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805</v>
      </c>
      <c r="B495" s="24"/>
      <c r="D495" t="str">
        <f>IF($C495="","",IFERROR(LOOKUP(2,1/('03_Warehouse_Movements'!$C$2:$C$500=$A495),'03_Warehouse_Movements'!$E$2:$E$500),$C495))</f>
        <v/>
      </c>
      <c r="E495" t="s">
        <v>209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806</v>
      </c>
      <c r="B496" s="24"/>
      <c r="D496" t="str">
        <f>IF($C496="","",IFERROR(LOOKUP(2,1/('03_Warehouse_Movements'!$C$2:$C$500=$A496),'03_Warehouse_Movements'!$E$2:$E$500),$C496))</f>
        <v/>
      </c>
      <c r="E496" t="s">
        <v>209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807</v>
      </c>
      <c r="B497" s="24"/>
      <c r="D497" t="str">
        <f>IF($C497="","",IFERROR(LOOKUP(2,1/('03_Warehouse_Movements'!$C$2:$C$500=$A497),'03_Warehouse_Movements'!$E$2:$E$500),$C497))</f>
        <v/>
      </c>
      <c r="E497" t="s">
        <v>209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808</v>
      </c>
      <c r="B498" s="24"/>
      <c r="D498" t="str">
        <f>IF($C498="","",IFERROR(LOOKUP(2,1/('03_Warehouse_Movements'!$C$2:$C$500=$A498),'03_Warehouse_Movements'!$E$2:$E$500),$C498))</f>
        <v/>
      </c>
      <c r="E498" t="s">
        <v>209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809</v>
      </c>
      <c r="B499" s="24"/>
      <c r="D499" t="str">
        <f>IF($C499="","",IFERROR(LOOKUP(2,1/('03_Warehouse_Movements'!$C$2:$C$500=$A499),'03_Warehouse_Movements'!$E$2:$E$500),$C499))</f>
        <v/>
      </c>
      <c r="E499" t="s">
        <v>209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810</v>
      </c>
      <c r="B500" s="24"/>
      <c r="D500" t="str">
        <f>IF($C500="","",IFERROR(LOOKUP(2,1/('03_Warehouse_Movements'!$C$2:$C$500=$A500),'03_Warehouse_Movements'!$E$2:$E$500),$C500))</f>
        <v/>
      </c>
      <c r="E500" t="s">
        <v>209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811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812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813</v>
      </c>
      <c r="B2002" s="24"/>
      <c r="D2002" t="str">
        <f>IF($C2002="","",IFERROR(LOOKUP(2,1/('03_Warehouse_Movements'!$C$2:$C$500=$A2002),'03_Warehouse_Movements'!$E$2:$E$500),$C2002))</f>
        <v/>
      </c>
      <c r="E2002" t="s">
        <v>209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36" priority="3" stopIfTrue="1">
      <formula>AND(TRIM($A2)="",OR($B2&lt;&gt;"",$C2&lt;&gt;"",$D2&lt;&gt;"",$E2&lt;&gt;"",$I2&lt;&gt;"",$J2&lt;&gt;""))</formula>
    </cfRule>
    <cfRule type="expression" dxfId="35" priority="4">
      <formula>AND(TRIM($A2)&lt;&gt;"",NOT(AND(LEFT($A2,4)="PAL-",LEN($A2)=11,ISNUMBER(--MID($A2,5,7)))))</formula>
    </cfRule>
    <cfRule type="expression" dxfId="34" priority="5">
      <formula>AND(TRIM($A2)&lt;&gt;"",COUNTIF($A$2:$A$2002,$A2)&gt;1)</formula>
    </cfRule>
    <cfRule type="expression" dxfId="33" priority="6">
      <formula>AND(TRIM($A2)&lt;&gt;"",$C2&lt;&gt;"",$D2&lt;&gt;"",$D2&lt;&gt;"0",$C2&lt;&gt;$D2)</formula>
    </cfRule>
  </conditionalFormatting>
  <conditionalFormatting sqref="C8">
    <cfRule type="expression" dxfId="32" priority="1" stopIfTrue="1">
      <formula>AND(TRIM($A8)="",OR($B8&lt;&gt;"",$C8&lt;&gt;"",$D8&lt;&gt;"",$E8&lt;&gt;"",$F8&lt;&gt;"",$I8&lt;&gt;""))</formula>
    </cfRule>
    <cfRule type="expression" dxfId="31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814</v>
      </c>
      <c r="B1" s="50" t="s">
        <v>815</v>
      </c>
      <c r="C1" s="50" t="s">
        <v>816</v>
      </c>
      <c r="D1" s="50" t="s">
        <v>817</v>
      </c>
      <c r="E1" s="50" t="s">
        <v>818</v>
      </c>
      <c r="F1" s="50" t="s">
        <v>819</v>
      </c>
      <c r="G1" s="50" t="s">
        <v>186</v>
      </c>
      <c r="H1" s="50" t="s">
        <v>820</v>
      </c>
      <c r="I1" s="50" t="s">
        <v>189</v>
      </c>
      <c r="J1" s="40" t="s">
        <v>821</v>
      </c>
      <c r="K1" s="40" t="s">
        <v>822</v>
      </c>
      <c r="L1" s="40" t="s">
        <v>823</v>
      </c>
      <c r="M1" s="40" t="s">
        <v>824</v>
      </c>
      <c r="N1" s="40" t="s">
        <v>825</v>
      </c>
      <c r="O1" t="s">
        <v>826</v>
      </c>
      <c r="P1" t="s">
        <v>827</v>
      </c>
      <c r="Q1" t="s">
        <v>828</v>
      </c>
    </row>
    <row r="2" spans="1:17">
      <c r="A2" t="s">
        <v>216</v>
      </c>
      <c r="B2" t="s">
        <v>829</v>
      </c>
      <c r="E2" t="s">
        <v>830</v>
      </c>
      <c r="F2">
        <v>1</v>
      </c>
      <c r="G2">
        <v>0</v>
      </c>
      <c r="H2" t="str">
        <f t="shared" ref="H2:H33" si="0">A2</f>
        <v>STAGED</v>
      </c>
      <c r="I2" t="s">
        <v>831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832</v>
      </c>
      <c r="B3" t="s">
        <v>829</v>
      </c>
      <c r="E3" t="s">
        <v>833</v>
      </c>
      <c r="F3">
        <v>1</v>
      </c>
      <c r="G3">
        <v>0</v>
      </c>
      <c r="H3" t="str">
        <f t="shared" si="0"/>
        <v>STAGE_OUT</v>
      </c>
      <c r="I3" t="s">
        <v>834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835</v>
      </c>
      <c r="B4" t="s">
        <v>829</v>
      </c>
      <c r="E4" t="s">
        <v>836</v>
      </c>
      <c r="F4">
        <v>2</v>
      </c>
      <c r="G4">
        <v>0</v>
      </c>
      <c r="H4" t="str">
        <f t="shared" si="0"/>
        <v>QUARANTINE</v>
      </c>
      <c r="I4" t="s">
        <v>837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838</v>
      </c>
      <c r="B5" t="s">
        <v>839</v>
      </c>
      <c r="C5" t="s">
        <v>840</v>
      </c>
      <c r="D5" t="s">
        <v>841</v>
      </c>
      <c r="E5" t="s">
        <v>842</v>
      </c>
      <c r="F5">
        <v>1</v>
      </c>
      <c r="G5">
        <v>2</v>
      </c>
      <c r="H5" t="str">
        <f t="shared" si="0"/>
        <v>Z1</v>
      </c>
      <c r="I5" t="s">
        <v>843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844</v>
      </c>
      <c r="B6" t="s">
        <v>839</v>
      </c>
      <c r="C6" t="s">
        <v>845</v>
      </c>
      <c r="D6">
        <v>1</v>
      </c>
      <c r="E6" t="s">
        <v>846</v>
      </c>
      <c r="F6">
        <v>4</v>
      </c>
      <c r="G6">
        <v>2</v>
      </c>
      <c r="H6" t="str">
        <f t="shared" si="0"/>
        <v>A</v>
      </c>
      <c r="I6" t="s">
        <v>847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848</v>
      </c>
      <c r="B7" t="s">
        <v>839</v>
      </c>
      <c r="C7" t="s">
        <v>845</v>
      </c>
      <c r="D7">
        <v>1</v>
      </c>
      <c r="E7" t="s">
        <v>846</v>
      </c>
      <c r="F7">
        <v>4</v>
      </c>
      <c r="G7">
        <v>2</v>
      </c>
      <c r="H7" t="str">
        <f t="shared" si="0"/>
        <v>Between rows segment 02</v>
      </c>
      <c r="I7" t="s">
        <v>849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850</v>
      </c>
      <c r="B8" t="s">
        <v>839</v>
      </c>
      <c r="C8" t="s">
        <v>840</v>
      </c>
      <c r="D8" t="s">
        <v>851</v>
      </c>
      <c r="E8" t="s">
        <v>852</v>
      </c>
      <c r="F8">
        <v>3</v>
      </c>
      <c r="G8">
        <v>7</v>
      </c>
      <c r="H8" t="str">
        <f t="shared" si="0"/>
        <v>01</v>
      </c>
      <c r="I8" t="s">
        <v>853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225</v>
      </c>
      <c r="B9" t="s">
        <v>854</v>
      </c>
      <c r="E9" t="s">
        <v>852</v>
      </c>
      <c r="F9">
        <v>3</v>
      </c>
      <c r="G9">
        <v>0</v>
      </c>
      <c r="H9" t="str">
        <f t="shared" si="0"/>
        <v>UNSAFE</v>
      </c>
      <c r="I9" t="s">
        <v>855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856</v>
      </c>
      <c r="B10" t="s">
        <v>839</v>
      </c>
      <c r="C10" t="s">
        <v>845</v>
      </c>
      <c r="D10">
        <v>1</v>
      </c>
      <c r="E10" t="s">
        <v>846</v>
      </c>
      <c r="F10">
        <v>4</v>
      </c>
      <c r="G10">
        <v>2</v>
      </c>
      <c r="H10" t="str">
        <f t="shared" si="0"/>
        <v>SAMPLE: Grid A03</v>
      </c>
      <c r="I10" t="s">
        <v>857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858</v>
      </c>
      <c r="B11" t="s">
        <v>839</v>
      </c>
      <c r="C11" t="s">
        <v>845</v>
      </c>
      <c r="D11">
        <v>1</v>
      </c>
      <c r="E11" t="s">
        <v>846</v>
      </c>
      <c r="F11">
        <v>4</v>
      </c>
      <c r="G11">
        <v>2</v>
      </c>
      <c r="H11" t="str">
        <f t="shared" si="0"/>
        <v>SAMPLE: Grid A04</v>
      </c>
      <c r="I11" t="s">
        <v>859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249</v>
      </c>
      <c r="B12" t="s">
        <v>839</v>
      </c>
      <c r="C12" t="s">
        <v>845</v>
      </c>
      <c r="D12">
        <v>1</v>
      </c>
      <c r="E12" t="s">
        <v>846</v>
      </c>
      <c r="F12">
        <v>4</v>
      </c>
      <c r="G12">
        <v>2</v>
      </c>
      <c r="H12" t="str">
        <f t="shared" si="0"/>
        <v>SAMPLE: Power Supplies</v>
      </c>
      <c r="I12" t="s">
        <v>860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252</v>
      </c>
      <c r="B13" t="s">
        <v>839</v>
      </c>
      <c r="C13" t="s">
        <v>845</v>
      </c>
      <c r="D13">
        <v>1</v>
      </c>
      <c r="E13" t="s">
        <v>846</v>
      </c>
      <c r="F13">
        <v>4</v>
      </c>
      <c r="G13">
        <v>2</v>
      </c>
      <c r="H13" t="str">
        <f t="shared" si="0"/>
        <v>SAMPLE: Imaging Equipment</v>
      </c>
      <c r="I13" t="s">
        <v>861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255</v>
      </c>
      <c r="B14" t="s">
        <v>839</v>
      </c>
      <c r="C14" t="s">
        <v>845</v>
      </c>
      <c r="D14">
        <v>1</v>
      </c>
      <c r="E14" t="s">
        <v>846</v>
      </c>
      <c r="F14">
        <v>4</v>
      </c>
      <c r="G14">
        <v>2</v>
      </c>
      <c r="H14" t="str">
        <f t="shared" si="0"/>
        <v>SAMPLE: Misc Hardware</v>
      </c>
      <c r="I14" t="s">
        <v>862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259</v>
      </c>
      <c r="B15" t="s">
        <v>839</v>
      </c>
      <c r="C15" t="s">
        <v>845</v>
      </c>
      <c r="D15">
        <v>1</v>
      </c>
      <c r="E15" t="s">
        <v>846</v>
      </c>
      <c r="F15">
        <v>4</v>
      </c>
      <c r="G15">
        <v>2</v>
      </c>
      <c r="H15" t="str">
        <f t="shared" si="0"/>
        <v>SAMPLE: Dell Devices</v>
      </c>
      <c r="I15" t="s">
        <v>863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262</v>
      </c>
      <c r="B16" t="s">
        <v>839</v>
      </c>
      <c r="C16" t="s">
        <v>845</v>
      </c>
      <c r="D16">
        <v>1</v>
      </c>
      <c r="E16" t="s">
        <v>846</v>
      </c>
      <c r="F16">
        <v>4</v>
      </c>
      <c r="G16">
        <v>2</v>
      </c>
      <c r="H16" t="str">
        <f t="shared" si="0"/>
        <v>PAL-0000013</v>
      </c>
      <c r="I16" t="s">
        <v>864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264</v>
      </c>
      <c r="B17" t="s">
        <v>839</v>
      </c>
      <c r="C17" t="s">
        <v>845</v>
      </c>
      <c r="D17">
        <v>1</v>
      </c>
      <c r="E17" t="s">
        <v>846</v>
      </c>
      <c r="F17">
        <v>4</v>
      </c>
      <c r="G17">
        <v>2</v>
      </c>
      <c r="H17" t="str">
        <f t="shared" si="0"/>
        <v>SAMPLE: Cables &amp; Adapters</v>
      </c>
      <c r="I17" t="s">
        <v>865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267</v>
      </c>
      <c r="B18" t="s">
        <v>839</v>
      </c>
      <c r="C18" t="s">
        <v>845</v>
      </c>
      <c r="D18">
        <v>1</v>
      </c>
      <c r="E18" t="s">
        <v>846</v>
      </c>
      <c r="F18">
        <v>4</v>
      </c>
      <c r="G18">
        <v>2</v>
      </c>
      <c r="H18" t="str">
        <f t="shared" si="0"/>
        <v>SAMPLE: Racks &amp; Rails</v>
      </c>
      <c r="I18" t="s">
        <v>866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271</v>
      </c>
      <c r="B19" t="s">
        <v>839</v>
      </c>
      <c r="C19" t="s">
        <v>845</v>
      </c>
      <c r="D19">
        <v>1</v>
      </c>
      <c r="E19" t="s">
        <v>846</v>
      </c>
      <c r="F19">
        <v>4</v>
      </c>
      <c r="G19">
        <v>2</v>
      </c>
      <c r="H19" t="str">
        <f t="shared" si="0"/>
        <v>SAMPLE: Networking Gear</v>
      </c>
      <c r="I19" t="s">
        <v>867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274</v>
      </c>
      <c r="B20" t="s">
        <v>839</v>
      </c>
      <c r="C20" t="s">
        <v>845</v>
      </c>
      <c r="D20">
        <v>1</v>
      </c>
      <c r="E20" t="s">
        <v>846</v>
      </c>
      <c r="F20">
        <v>4</v>
      </c>
      <c r="G20">
        <v>2</v>
      </c>
      <c r="H20" t="str">
        <f t="shared" si="0"/>
        <v>SAMPLE: Keyboards &amp; Mice</v>
      </c>
      <c r="I20" t="s">
        <v>868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277</v>
      </c>
      <c r="B21" t="s">
        <v>839</v>
      </c>
      <c r="C21" t="s">
        <v>845</v>
      </c>
      <c r="D21">
        <v>1</v>
      </c>
      <c r="E21" t="s">
        <v>846</v>
      </c>
      <c r="F21">
        <v>4</v>
      </c>
      <c r="G21">
        <v>2</v>
      </c>
      <c r="H21" t="str">
        <f t="shared" si="0"/>
        <v>SAMPLE: Spare Parts</v>
      </c>
      <c r="I21" t="s">
        <v>869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280</v>
      </c>
      <c r="B22" t="s">
        <v>839</v>
      </c>
      <c r="C22" t="s">
        <v>845</v>
      </c>
      <c r="D22">
        <v>1</v>
      </c>
      <c r="E22" t="s">
        <v>846</v>
      </c>
      <c r="F22">
        <v>4</v>
      </c>
      <c r="G22">
        <v>2</v>
      </c>
      <c r="H22" t="str">
        <f t="shared" si="0"/>
        <v>PAL-0000019</v>
      </c>
      <c r="I22" t="s">
        <v>870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282</v>
      </c>
      <c r="B23" t="s">
        <v>839</v>
      </c>
      <c r="C23" t="s">
        <v>845</v>
      </c>
      <c r="D23">
        <v>1</v>
      </c>
      <c r="E23" t="s">
        <v>846</v>
      </c>
      <c r="F23">
        <v>4</v>
      </c>
      <c r="G23">
        <v>2</v>
      </c>
      <c r="H23" t="str">
        <f t="shared" si="0"/>
        <v>PAL-0000020</v>
      </c>
      <c r="I23" t="s">
        <v>871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284</v>
      </c>
      <c r="B24" t="s">
        <v>839</v>
      </c>
      <c r="C24" t="s">
        <v>845</v>
      </c>
      <c r="D24">
        <v>1</v>
      </c>
      <c r="E24" t="s">
        <v>846</v>
      </c>
      <c r="F24">
        <v>4</v>
      </c>
      <c r="G24">
        <v>2</v>
      </c>
      <c r="H24" t="str">
        <f t="shared" si="0"/>
        <v>PAL-0000021</v>
      </c>
      <c r="I24" t="s">
        <v>872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286</v>
      </c>
      <c r="B25" t="s">
        <v>839</v>
      </c>
      <c r="C25" t="s">
        <v>845</v>
      </c>
      <c r="D25">
        <v>1</v>
      </c>
      <c r="E25" t="s">
        <v>846</v>
      </c>
      <c r="F25">
        <v>4</v>
      </c>
      <c r="G25">
        <v>2</v>
      </c>
      <c r="H25" t="str">
        <f t="shared" si="0"/>
        <v>PAL-0000022</v>
      </c>
      <c r="I25" t="s">
        <v>873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289</v>
      </c>
      <c r="B26" t="s">
        <v>839</v>
      </c>
      <c r="C26" t="s">
        <v>845</v>
      </c>
      <c r="D26">
        <v>1</v>
      </c>
      <c r="E26" t="s">
        <v>846</v>
      </c>
      <c r="F26">
        <v>4</v>
      </c>
      <c r="G26">
        <v>2</v>
      </c>
      <c r="H26" t="str">
        <f t="shared" si="0"/>
        <v>PAL-0000023</v>
      </c>
      <c r="I26" t="s">
        <v>874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291</v>
      </c>
      <c r="B27" t="s">
        <v>839</v>
      </c>
      <c r="C27" t="s">
        <v>845</v>
      </c>
      <c r="D27">
        <v>1</v>
      </c>
      <c r="E27" t="s">
        <v>846</v>
      </c>
      <c r="F27">
        <v>4</v>
      </c>
      <c r="G27">
        <v>2</v>
      </c>
      <c r="H27" t="str">
        <f t="shared" si="0"/>
        <v>PAL-0000024</v>
      </c>
      <c r="I27" t="s">
        <v>875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293</v>
      </c>
      <c r="B28" t="s">
        <v>839</v>
      </c>
      <c r="C28" t="s">
        <v>257</v>
      </c>
      <c r="D28">
        <v>1</v>
      </c>
      <c r="E28" t="s">
        <v>846</v>
      </c>
      <c r="F28">
        <v>4</v>
      </c>
      <c r="G28">
        <v>2</v>
      </c>
      <c r="H28" t="str">
        <f t="shared" si="0"/>
        <v>PAL-0000025</v>
      </c>
      <c r="I28" t="s">
        <v>876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295</v>
      </c>
      <c r="B29" t="s">
        <v>839</v>
      </c>
      <c r="C29" t="s">
        <v>257</v>
      </c>
      <c r="D29">
        <v>1</v>
      </c>
      <c r="E29" t="s">
        <v>846</v>
      </c>
      <c r="F29">
        <v>4</v>
      </c>
      <c r="G29">
        <v>2</v>
      </c>
      <c r="H29" t="str">
        <f t="shared" si="0"/>
        <v>PAL-0000026</v>
      </c>
      <c r="I29" t="s">
        <v>877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297</v>
      </c>
      <c r="B30" t="s">
        <v>839</v>
      </c>
      <c r="C30" t="s">
        <v>257</v>
      </c>
      <c r="D30">
        <v>1</v>
      </c>
      <c r="E30" t="s">
        <v>846</v>
      </c>
      <c r="F30">
        <v>4</v>
      </c>
      <c r="G30">
        <v>2</v>
      </c>
      <c r="H30" t="str">
        <f t="shared" si="0"/>
        <v>PAL-0000027</v>
      </c>
      <c r="I30" t="s">
        <v>878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299</v>
      </c>
      <c r="B31" t="s">
        <v>839</v>
      </c>
      <c r="C31" t="s">
        <v>257</v>
      </c>
      <c r="D31">
        <v>1</v>
      </c>
      <c r="E31" t="s">
        <v>846</v>
      </c>
      <c r="F31">
        <v>4</v>
      </c>
      <c r="G31">
        <v>2</v>
      </c>
      <c r="H31" t="str">
        <f t="shared" si="0"/>
        <v>PAL-0000028</v>
      </c>
      <c r="I31" t="s">
        <v>879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301</v>
      </c>
      <c r="B32" t="s">
        <v>839</v>
      </c>
      <c r="C32" t="s">
        <v>257</v>
      </c>
      <c r="D32">
        <v>1</v>
      </c>
      <c r="E32" t="s">
        <v>846</v>
      </c>
      <c r="F32">
        <v>4</v>
      </c>
      <c r="G32">
        <v>2</v>
      </c>
      <c r="H32" t="str">
        <f t="shared" si="0"/>
        <v>PAL-0000029</v>
      </c>
      <c r="I32" t="s">
        <v>880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304</v>
      </c>
      <c r="B33" t="s">
        <v>839</v>
      </c>
      <c r="C33" t="s">
        <v>257</v>
      </c>
      <c r="D33">
        <v>1</v>
      </c>
      <c r="E33" t="s">
        <v>846</v>
      </c>
      <c r="F33">
        <v>4</v>
      </c>
      <c r="G33">
        <v>2</v>
      </c>
      <c r="H33" t="str">
        <f t="shared" si="0"/>
        <v>PAL-0000030</v>
      </c>
      <c r="I33" t="s">
        <v>881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306</v>
      </c>
      <c r="B34" t="s">
        <v>839</v>
      </c>
      <c r="C34" t="s">
        <v>257</v>
      </c>
      <c r="D34">
        <v>1</v>
      </c>
      <c r="E34" t="s">
        <v>846</v>
      </c>
      <c r="F34">
        <v>4</v>
      </c>
      <c r="G34">
        <v>2</v>
      </c>
      <c r="H34" t="str">
        <f t="shared" ref="H34:H65" si="9">A34</f>
        <v>PAL-0000031</v>
      </c>
      <c r="I34" t="s">
        <v>882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308</v>
      </c>
      <c r="B35" t="s">
        <v>839</v>
      </c>
      <c r="C35" t="s">
        <v>257</v>
      </c>
      <c r="D35">
        <v>1</v>
      </c>
      <c r="E35" t="s">
        <v>846</v>
      </c>
      <c r="F35">
        <v>4</v>
      </c>
      <c r="G35">
        <v>2</v>
      </c>
      <c r="H35" t="str">
        <f t="shared" si="9"/>
        <v>PAL-0000032</v>
      </c>
      <c r="I35" t="s">
        <v>883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310</v>
      </c>
      <c r="B36" t="s">
        <v>839</v>
      </c>
      <c r="C36" t="s">
        <v>257</v>
      </c>
      <c r="D36">
        <v>1</v>
      </c>
      <c r="E36" t="s">
        <v>846</v>
      </c>
      <c r="F36">
        <v>4</v>
      </c>
      <c r="G36">
        <v>2</v>
      </c>
      <c r="H36" t="str">
        <f t="shared" si="9"/>
        <v>PAL-0000033</v>
      </c>
      <c r="I36" t="s">
        <v>884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312</v>
      </c>
      <c r="B37" t="s">
        <v>839</v>
      </c>
      <c r="C37" t="s">
        <v>257</v>
      </c>
      <c r="D37">
        <v>1</v>
      </c>
      <c r="E37" t="s">
        <v>846</v>
      </c>
      <c r="F37">
        <v>4</v>
      </c>
      <c r="G37">
        <v>2</v>
      </c>
      <c r="H37" t="str">
        <f t="shared" si="9"/>
        <v>PAL-0000034</v>
      </c>
      <c r="I37" t="s">
        <v>885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314</v>
      </c>
      <c r="B38" t="s">
        <v>839</v>
      </c>
      <c r="C38" t="s">
        <v>257</v>
      </c>
      <c r="D38">
        <v>1</v>
      </c>
      <c r="E38" t="s">
        <v>846</v>
      </c>
      <c r="F38">
        <v>4</v>
      </c>
      <c r="G38">
        <v>2</v>
      </c>
      <c r="H38" t="str">
        <f t="shared" si="9"/>
        <v>PAL-0000035</v>
      </c>
      <c r="I38" t="s">
        <v>886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316</v>
      </c>
      <c r="B39" t="s">
        <v>839</v>
      </c>
      <c r="C39" t="s">
        <v>257</v>
      </c>
      <c r="D39">
        <v>1</v>
      </c>
      <c r="E39" t="s">
        <v>846</v>
      </c>
      <c r="F39">
        <v>4</v>
      </c>
      <c r="G39">
        <v>2</v>
      </c>
      <c r="H39" t="str">
        <f t="shared" si="9"/>
        <v>PAL-0000036</v>
      </c>
      <c r="I39" t="s">
        <v>887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319</v>
      </c>
      <c r="B40" t="s">
        <v>839</v>
      </c>
      <c r="C40" t="s">
        <v>257</v>
      </c>
      <c r="D40">
        <v>1</v>
      </c>
      <c r="E40" t="s">
        <v>846</v>
      </c>
      <c r="F40">
        <v>4</v>
      </c>
      <c r="G40">
        <v>2</v>
      </c>
      <c r="H40" t="str">
        <f t="shared" si="9"/>
        <v>PAL-0000037</v>
      </c>
      <c r="I40" t="s">
        <v>888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321</v>
      </c>
      <c r="B41" t="s">
        <v>839</v>
      </c>
      <c r="C41" t="s">
        <v>257</v>
      </c>
      <c r="D41">
        <v>1</v>
      </c>
      <c r="E41" t="s">
        <v>846</v>
      </c>
      <c r="F41">
        <v>4</v>
      </c>
      <c r="G41">
        <v>2</v>
      </c>
      <c r="H41" t="str">
        <f t="shared" si="9"/>
        <v>PAL-0000038</v>
      </c>
      <c r="I41" t="s">
        <v>889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323</v>
      </c>
      <c r="B42" t="s">
        <v>839</v>
      </c>
      <c r="C42" t="s">
        <v>257</v>
      </c>
      <c r="D42">
        <v>1</v>
      </c>
      <c r="E42" t="s">
        <v>846</v>
      </c>
      <c r="F42">
        <v>4</v>
      </c>
      <c r="G42">
        <v>2</v>
      </c>
      <c r="H42" t="str">
        <f t="shared" si="9"/>
        <v>PAL-0000039</v>
      </c>
      <c r="I42" t="s">
        <v>890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325</v>
      </c>
      <c r="B43" t="s">
        <v>839</v>
      </c>
      <c r="C43" t="s">
        <v>257</v>
      </c>
      <c r="D43">
        <v>1</v>
      </c>
      <c r="E43" t="s">
        <v>846</v>
      </c>
      <c r="F43">
        <v>4</v>
      </c>
      <c r="G43">
        <v>2</v>
      </c>
      <c r="H43" t="str">
        <f t="shared" si="9"/>
        <v>PAL-0000040</v>
      </c>
      <c r="I43" t="s">
        <v>891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327</v>
      </c>
      <c r="B44" t="s">
        <v>839</v>
      </c>
      <c r="C44" t="s">
        <v>257</v>
      </c>
      <c r="D44">
        <v>1</v>
      </c>
      <c r="E44" t="s">
        <v>846</v>
      </c>
      <c r="F44">
        <v>4</v>
      </c>
      <c r="G44">
        <v>2</v>
      </c>
      <c r="H44" t="str">
        <f t="shared" si="9"/>
        <v>PAL-0000041</v>
      </c>
      <c r="I44" t="s">
        <v>892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329</v>
      </c>
      <c r="B45" t="s">
        <v>839</v>
      </c>
      <c r="C45" t="s">
        <v>257</v>
      </c>
      <c r="D45">
        <v>1</v>
      </c>
      <c r="E45" t="s">
        <v>846</v>
      </c>
      <c r="F45">
        <v>4</v>
      </c>
      <c r="G45">
        <v>2</v>
      </c>
      <c r="H45" t="str">
        <f t="shared" si="9"/>
        <v>PAL-0000042</v>
      </c>
      <c r="I45" t="s">
        <v>893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331</v>
      </c>
      <c r="B46" t="s">
        <v>839</v>
      </c>
      <c r="C46" t="s">
        <v>257</v>
      </c>
      <c r="D46">
        <v>1</v>
      </c>
      <c r="E46" t="s">
        <v>846</v>
      </c>
      <c r="F46">
        <v>4</v>
      </c>
      <c r="G46">
        <v>2</v>
      </c>
      <c r="H46" t="str">
        <f t="shared" si="9"/>
        <v>PAL-0000043</v>
      </c>
      <c r="I46" t="s">
        <v>894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334</v>
      </c>
      <c r="B47" t="s">
        <v>839</v>
      </c>
      <c r="C47" t="s">
        <v>257</v>
      </c>
      <c r="D47">
        <v>1</v>
      </c>
      <c r="E47" t="s">
        <v>846</v>
      </c>
      <c r="F47">
        <v>4</v>
      </c>
      <c r="G47">
        <v>2</v>
      </c>
      <c r="H47" t="str">
        <f t="shared" si="9"/>
        <v>PAL-0000044</v>
      </c>
      <c r="I47" t="s">
        <v>895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336</v>
      </c>
      <c r="B48" t="s">
        <v>839</v>
      </c>
      <c r="C48" t="s">
        <v>896</v>
      </c>
      <c r="D48">
        <v>1</v>
      </c>
      <c r="E48" t="s">
        <v>846</v>
      </c>
      <c r="F48">
        <v>4</v>
      </c>
      <c r="G48">
        <v>2</v>
      </c>
      <c r="H48" t="str">
        <f t="shared" si="9"/>
        <v>PAL-0000045</v>
      </c>
      <c r="I48" t="s">
        <v>897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338</v>
      </c>
      <c r="B49" t="s">
        <v>839</v>
      </c>
      <c r="C49" t="s">
        <v>896</v>
      </c>
      <c r="D49">
        <v>1</v>
      </c>
      <c r="E49" t="s">
        <v>846</v>
      </c>
      <c r="F49">
        <v>4</v>
      </c>
      <c r="G49">
        <v>2</v>
      </c>
      <c r="H49" t="str">
        <f t="shared" si="9"/>
        <v>PAL-0000046</v>
      </c>
      <c r="I49" t="s">
        <v>898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340</v>
      </c>
      <c r="B50" t="s">
        <v>839</v>
      </c>
      <c r="C50" t="s">
        <v>896</v>
      </c>
      <c r="D50">
        <v>1</v>
      </c>
      <c r="E50" t="s">
        <v>846</v>
      </c>
      <c r="F50">
        <v>4</v>
      </c>
      <c r="G50">
        <v>2</v>
      </c>
      <c r="H50" t="str">
        <f t="shared" si="9"/>
        <v>PAL-0000047</v>
      </c>
      <c r="I50" t="s">
        <v>899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342</v>
      </c>
      <c r="B51" t="s">
        <v>839</v>
      </c>
      <c r="C51" t="s">
        <v>896</v>
      </c>
      <c r="D51">
        <v>1</v>
      </c>
      <c r="E51" t="s">
        <v>846</v>
      </c>
      <c r="F51">
        <v>4</v>
      </c>
      <c r="G51">
        <v>2</v>
      </c>
      <c r="H51" t="str">
        <f t="shared" si="9"/>
        <v>PAL-0000048</v>
      </c>
      <c r="I51" t="s">
        <v>900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344</v>
      </c>
      <c r="B52" t="s">
        <v>839</v>
      </c>
      <c r="C52" t="s">
        <v>896</v>
      </c>
      <c r="D52">
        <v>1</v>
      </c>
      <c r="E52" t="s">
        <v>846</v>
      </c>
      <c r="F52">
        <v>4</v>
      </c>
      <c r="G52">
        <v>2</v>
      </c>
      <c r="H52" t="str">
        <f t="shared" si="9"/>
        <v>PAL-0000049</v>
      </c>
      <c r="I52" t="s">
        <v>901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346</v>
      </c>
      <c r="B53" t="s">
        <v>839</v>
      </c>
      <c r="C53" t="s">
        <v>896</v>
      </c>
      <c r="D53">
        <v>1</v>
      </c>
      <c r="E53" t="s">
        <v>846</v>
      </c>
      <c r="F53">
        <v>4</v>
      </c>
      <c r="G53">
        <v>2</v>
      </c>
      <c r="H53" t="str">
        <f t="shared" si="9"/>
        <v>PAL-0000050</v>
      </c>
      <c r="I53" t="s">
        <v>902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349</v>
      </c>
      <c r="B54" t="s">
        <v>839</v>
      </c>
      <c r="C54" t="s">
        <v>896</v>
      </c>
      <c r="D54">
        <v>1</v>
      </c>
      <c r="E54" t="s">
        <v>846</v>
      </c>
      <c r="F54">
        <v>4</v>
      </c>
      <c r="G54">
        <v>2</v>
      </c>
      <c r="H54" t="str">
        <f t="shared" si="9"/>
        <v>RETIRED</v>
      </c>
      <c r="I54" t="s">
        <v>903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352</v>
      </c>
      <c r="B55" t="s">
        <v>839</v>
      </c>
      <c r="C55" t="s">
        <v>896</v>
      </c>
      <c r="D55">
        <v>1</v>
      </c>
      <c r="E55" t="s">
        <v>846</v>
      </c>
      <c r="F55">
        <v>4</v>
      </c>
      <c r="G55">
        <v>2</v>
      </c>
      <c r="H55" t="str">
        <f t="shared" si="9"/>
        <v>PAL-0000052</v>
      </c>
      <c r="I55" t="s">
        <v>904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354</v>
      </c>
      <c r="B56" t="s">
        <v>839</v>
      </c>
      <c r="C56" t="s">
        <v>896</v>
      </c>
      <c r="D56">
        <v>1</v>
      </c>
      <c r="E56" t="s">
        <v>846</v>
      </c>
      <c r="F56">
        <v>4</v>
      </c>
      <c r="G56">
        <v>2</v>
      </c>
      <c r="H56" t="str">
        <f t="shared" si="9"/>
        <v>PAL-0000053</v>
      </c>
      <c r="I56" t="s">
        <v>905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356</v>
      </c>
      <c r="B57" t="s">
        <v>839</v>
      </c>
      <c r="C57" t="s">
        <v>896</v>
      </c>
      <c r="D57">
        <v>1</v>
      </c>
      <c r="E57" t="s">
        <v>846</v>
      </c>
      <c r="F57">
        <v>4</v>
      </c>
      <c r="G57">
        <v>2</v>
      </c>
      <c r="H57" t="str">
        <f t="shared" si="9"/>
        <v>PAL-0000054</v>
      </c>
      <c r="I57" t="s">
        <v>906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358</v>
      </c>
      <c r="B58" t="s">
        <v>839</v>
      </c>
      <c r="C58" t="s">
        <v>896</v>
      </c>
      <c r="D58">
        <v>1</v>
      </c>
      <c r="E58" t="s">
        <v>846</v>
      </c>
      <c r="F58">
        <v>4</v>
      </c>
      <c r="G58">
        <v>2</v>
      </c>
      <c r="H58" t="str">
        <f t="shared" si="9"/>
        <v>PAL-0000055</v>
      </c>
      <c r="I58" t="s">
        <v>907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360</v>
      </c>
      <c r="B59" t="s">
        <v>839</v>
      </c>
      <c r="C59" t="s">
        <v>896</v>
      </c>
      <c r="D59">
        <v>1</v>
      </c>
      <c r="E59" t="s">
        <v>846</v>
      </c>
      <c r="F59">
        <v>4</v>
      </c>
      <c r="G59">
        <v>2</v>
      </c>
      <c r="H59" t="str">
        <f t="shared" si="9"/>
        <v>PAL-0000056</v>
      </c>
      <c r="I59" t="s">
        <v>908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362</v>
      </c>
      <c r="B60" t="s">
        <v>839</v>
      </c>
      <c r="C60" t="s">
        <v>896</v>
      </c>
      <c r="D60">
        <v>1</v>
      </c>
      <c r="E60" t="s">
        <v>846</v>
      </c>
      <c r="F60">
        <v>4</v>
      </c>
      <c r="G60">
        <v>2</v>
      </c>
      <c r="H60" t="str">
        <f t="shared" si="9"/>
        <v>PAL-0000057</v>
      </c>
      <c r="I60" t="s">
        <v>909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365</v>
      </c>
      <c r="B61" t="s">
        <v>839</v>
      </c>
      <c r="C61" t="s">
        <v>896</v>
      </c>
      <c r="D61">
        <v>1</v>
      </c>
      <c r="E61" t="s">
        <v>846</v>
      </c>
      <c r="F61">
        <v>4</v>
      </c>
      <c r="G61">
        <v>2</v>
      </c>
      <c r="H61" t="str">
        <f t="shared" si="9"/>
        <v>PAL-0000058</v>
      </c>
      <c r="I61" t="s">
        <v>910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367</v>
      </c>
      <c r="B62" t="s">
        <v>839</v>
      </c>
      <c r="C62" t="s">
        <v>896</v>
      </c>
      <c r="D62">
        <v>1</v>
      </c>
      <c r="E62" t="s">
        <v>846</v>
      </c>
      <c r="F62">
        <v>4</v>
      </c>
      <c r="G62">
        <v>2</v>
      </c>
      <c r="H62" t="str">
        <f t="shared" si="9"/>
        <v>PAL-0000059</v>
      </c>
      <c r="I62" t="s">
        <v>911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369</v>
      </c>
      <c r="B63" t="s">
        <v>839</v>
      </c>
      <c r="C63" t="s">
        <v>896</v>
      </c>
      <c r="D63">
        <v>1</v>
      </c>
      <c r="E63" t="s">
        <v>846</v>
      </c>
      <c r="F63">
        <v>4</v>
      </c>
      <c r="G63">
        <v>2</v>
      </c>
      <c r="H63" t="str">
        <f t="shared" si="9"/>
        <v>PAL-0000060</v>
      </c>
      <c r="I63" t="s">
        <v>912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371</v>
      </c>
      <c r="B64" t="s">
        <v>839</v>
      </c>
      <c r="C64" t="s">
        <v>896</v>
      </c>
      <c r="D64">
        <v>1</v>
      </c>
      <c r="E64" t="s">
        <v>846</v>
      </c>
      <c r="F64">
        <v>4</v>
      </c>
      <c r="G64">
        <v>2</v>
      </c>
      <c r="H64" t="str">
        <f t="shared" si="9"/>
        <v>PAL-0000061</v>
      </c>
      <c r="I64" t="s">
        <v>913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914</v>
      </c>
      <c r="B65" t="s">
        <v>839</v>
      </c>
      <c r="C65" t="s">
        <v>896</v>
      </c>
      <c r="D65">
        <v>1</v>
      </c>
      <c r="E65" t="s">
        <v>846</v>
      </c>
      <c r="F65">
        <v>4</v>
      </c>
      <c r="G65">
        <v>2</v>
      </c>
      <c r="H65" t="str">
        <f t="shared" si="9"/>
        <v>SAMPLE: Grid C18</v>
      </c>
      <c r="I65" t="s">
        <v>915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916</v>
      </c>
      <c r="B66" t="s">
        <v>839</v>
      </c>
      <c r="C66" t="s">
        <v>896</v>
      </c>
      <c r="D66">
        <v>1</v>
      </c>
      <c r="E66" t="s">
        <v>846</v>
      </c>
      <c r="F66">
        <v>4</v>
      </c>
      <c r="G66">
        <v>2</v>
      </c>
      <c r="H66" t="str">
        <f t="shared" ref="H66:H97" si="13">A66</f>
        <v>SAMPLE: Grid C19</v>
      </c>
      <c r="I66" t="s">
        <v>917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918</v>
      </c>
      <c r="B67" t="s">
        <v>839</v>
      </c>
      <c r="C67" t="s">
        <v>896</v>
      </c>
      <c r="D67">
        <v>1</v>
      </c>
      <c r="E67" t="s">
        <v>846</v>
      </c>
      <c r="F67">
        <v>4</v>
      </c>
      <c r="G67">
        <v>2</v>
      </c>
      <c r="H67" t="str">
        <f t="shared" si="13"/>
        <v>SAMPLE: Grid C20</v>
      </c>
      <c r="I67" t="s">
        <v>919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920</v>
      </c>
      <c r="B68" t="s">
        <v>839</v>
      </c>
      <c r="C68" t="s">
        <v>921</v>
      </c>
      <c r="D68">
        <v>1</v>
      </c>
      <c r="E68" t="s">
        <v>846</v>
      </c>
      <c r="F68">
        <v>4</v>
      </c>
      <c r="G68">
        <v>2</v>
      </c>
      <c r="H68" t="str">
        <f t="shared" si="13"/>
        <v>D</v>
      </c>
      <c r="I68" t="s">
        <v>922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923</v>
      </c>
      <c r="B69" t="s">
        <v>839</v>
      </c>
      <c r="C69" t="s">
        <v>921</v>
      </c>
      <c r="D69">
        <v>1</v>
      </c>
      <c r="E69" t="s">
        <v>846</v>
      </c>
      <c r="F69">
        <v>4</v>
      </c>
      <c r="G69">
        <v>2</v>
      </c>
      <c r="H69" t="str">
        <f t="shared" si="13"/>
        <v>SAMPLE: Grid D02</v>
      </c>
      <c r="I69" t="s">
        <v>924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925</v>
      </c>
      <c r="B70" t="s">
        <v>839</v>
      </c>
      <c r="C70" t="s">
        <v>921</v>
      </c>
      <c r="D70">
        <v>1</v>
      </c>
      <c r="E70" t="s">
        <v>846</v>
      </c>
      <c r="F70">
        <v>4</v>
      </c>
      <c r="G70">
        <v>2</v>
      </c>
      <c r="H70" t="str">
        <f t="shared" si="13"/>
        <v>SAMPLE: Grid D03</v>
      </c>
      <c r="I70" t="s">
        <v>926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927</v>
      </c>
      <c r="B71" t="s">
        <v>839</v>
      </c>
      <c r="C71" t="s">
        <v>921</v>
      </c>
      <c r="D71">
        <v>1</v>
      </c>
      <c r="E71" t="s">
        <v>846</v>
      </c>
      <c r="F71">
        <v>4</v>
      </c>
      <c r="G71">
        <v>2</v>
      </c>
      <c r="H71" t="str">
        <f t="shared" si="13"/>
        <v>SAMPLE: Grid D04</v>
      </c>
      <c r="I71" t="s">
        <v>928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929</v>
      </c>
      <c r="B72" t="s">
        <v>839</v>
      </c>
      <c r="C72" t="s">
        <v>921</v>
      </c>
      <c r="D72">
        <v>1</v>
      </c>
      <c r="E72" t="s">
        <v>846</v>
      </c>
      <c r="F72">
        <v>4</v>
      </c>
      <c r="G72">
        <v>2</v>
      </c>
      <c r="H72" t="str">
        <f t="shared" si="13"/>
        <v>SAMPLE: Grid D05</v>
      </c>
      <c r="I72" t="s">
        <v>930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931</v>
      </c>
      <c r="B73" t="s">
        <v>839</v>
      </c>
      <c r="C73" t="s">
        <v>921</v>
      </c>
      <c r="D73">
        <v>1</v>
      </c>
      <c r="E73" t="s">
        <v>846</v>
      </c>
      <c r="F73">
        <v>4</v>
      </c>
      <c r="G73">
        <v>2</v>
      </c>
      <c r="H73" t="str">
        <f t="shared" si="13"/>
        <v>SAMPLE: Grid D06</v>
      </c>
      <c r="I73" t="s">
        <v>932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933</v>
      </c>
      <c r="B74" t="s">
        <v>839</v>
      </c>
      <c r="C74" t="s">
        <v>921</v>
      </c>
      <c r="D74">
        <v>1</v>
      </c>
      <c r="E74" t="s">
        <v>846</v>
      </c>
      <c r="F74">
        <v>4</v>
      </c>
      <c r="G74">
        <v>2</v>
      </c>
      <c r="H74" t="str">
        <f t="shared" si="13"/>
        <v>SAMPLE: Grid D07</v>
      </c>
      <c r="I74" t="s">
        <v>934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935</v>
      </c>
      <c r="B75" t="s">
        <v>839</v>
      </c>
      <c r="C75" t="s">
        <v>921</v>
      </c>
      <c r="D75">
        <v>1</v>
      </c>
      <c r="E75" t="s">
        <v>846</v>
      </c>
      <c r="F75">
        <v>4</v>
      </c>
      <c r="G75">
        <v>2</v>
      </c>
      <c r="H75" t="str">
        <f t="shared" si="13"/>
        <v>SAMPLE: Grid D08</v>
      </c>
      <c r="I75" t="s">
        <v>936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937</v>
      </c>
      <c r="B76" t="s">
        <v>839</v>
      </c>
      <c r="C76" t="s">
        <v>921</v>
      </c>
      <c r="D76">
        <v>1</v>
      </c>
      <c r="E76" t="s">
        <v>846</v>
      </c>
      <c r="F76">
        <v>4</v>
      </c>
      <c r="G76">
        <v>2</v>
      </c>
      <c r="H76" t="str">
        <f t="shared" si="13"/>
        <v>SAMPLE: Grid D09</v>
      </c>
      <c r="I76" t="s">
        <v>938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939</v>
      </c>
      <c r="B77" t="s">
        <v>839</v>
      </c>
      <c r="C77" t="s">
        <v>921</v>
      </c>
      <c r="D77">
        <v>1</v>
      </c>
      <c r="E77" t="s">
        <v>846</v>
      </c>
      <c r="F77">
        <v>4</v>
      </c>
      <c r="G77">
        <v>2</v>
      </c>
      <c r="H77" t="str">
        <f t="shared" si="13"/>
        <v>SAMPLE: Grid D10</v>
      </c>
      <c r="I77" t="s">
        <v>940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941</v>
      </c>
      <c r="B78" t="s">
        <v>839</v>
      </c>
      <c r="C78" t="s">
        <v>921</v>
      </c>
      <c r="D78">
        <v>1</v>
      </c>
      <c r="E78" t="s">
        <v>846</v>
      </c>
      <c r="F78">
        <v>4</v>
      </c>
      <c r="G78">
        <v>2</v>
      </c>
      <c r="H78" t="str">
        <f t="shared" si="13"/>
        <v>SAMPLE: Grid D11</v>
      </c>
      <c r="I78" t="s">
        <v>942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943</v>
      </c>
      <c r="B79" t="s">
        <v>839</v>
      </c>
      <c r="C79" t="s">
        <v>921</v>
      </c>
      <c r="D79">
        <v>1</v>
      </c>
      <c r="E79" t="s">
        <v>846</v>
      </c>
      <c r="F79">
        <v>4</v>
      </c>
      <c r="G79">
        <v>2</v>
      </c>
      <c r="H79" t="str">
        <f t="shared" si="13"/>
        <v>SAMPLE: Grid D12</v>
      </c>
      <c r="I79" t="s">
        <v>944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945</v>
      </c>
      <c r="B80" t="s">
        <v>839</v>
      </c>
      <c r="C80" t="s">
        <v>921</v>
      </c>
      <c r="D80">
        <v>1</v>
      </c>
      <c r="E80" t="s">
        <v>846</v>
      </c>
      <c r="F80">
        <v>4</v>
      </c>
      <c r="G80">
        <v>2</v>
      </c>
      <c r="H80" t="str">
        <f t="shared" si="13"/>
        <v>SAMPLE: Grid D13</v>
      </c>
      <c r="I80" t="s">
        <v>946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947</v>
      </c>
      <c r="B81" t="s">
        <v>839</v>
      </c>
      <c r="C81" t="s">
        <v>921</v>
      </c>
      <c r="D81">
        <v>1</v>
      </c>
      <c r="E81" t="s">
        <v>846</v>
      </c>
      <c r="F81">
        <v>4</v>
      </c>
      <c r="G81">
        <v>2</v>
      </c>
      <c r="H81" t="str">
        <f t="shared" si="13"/>
        <v>SAMPLE: Grid D14</v>
      </c>
      <c r="I81" t="s">
        <v>948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949</v>
      </c>
      <c r="B82" t="s">
        <v>839</v>
      </c>
      <c r="C82" t="s">
        <v>921</v>
      </c>
      <c r="D82">
        <v>1</v>
      </c>
      <c r="E82" t="s">
        <v>846</v>
      </c>
      <c r="F82">
        <v>4</v>
      </c>
      <c r="G82">
        <v>2</v>
      </c>
      <c r="H82" t="str">
        <f t="shared" si="13"/>
        <v>SAMPLE: Grid D15</v>
      </c>
      <c r="I82" t="s">
        <v>950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951</v>
      </c>
      <c r="B83" t="s">
        <v>839</v>
      </c>
      <c r="C83" t="s">
        <v>921</v>
      </c>
      <c r="D83">
        <v>1</v>
      </c>
      <c r="E83" t="s">
        <v>846</v>
      </c>
      <c r="F83">
        <v>4</v>
      </c>
      <c r="G83">
        <v>2</v>
      </c>
      <c r="H83" t="str">
        <f t="shared" si="13"/>
        <v>SAMPLE: Grid D16</v>
      </c>
      <c r="I83" t="s">
        <v>952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953</v>
      </c>
      <c r="B84" t="s">
        <v>839</v>
      </c>
      <c r="C84" t="s">
        <v>921</v>
      </c>
      <c r="D84">
        <v>1</v>
      </c>
      <c r="E84" t="s">
        <v>846</v>
      </c>
      <c r="F84">
        <v>4</v>
      </c>
      <c r="G84">
        <v>2</v>
      </c>
      <c r="H84" t="str">
        <f t="shared" si="13"/>
        <v>SAMPLE: Grid D17</v>
      </c>
      <c r="I84" t="s">
        <v>954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955</v>
      </c>
      <c r="B85" t="s">
        <v>839</v>
      </c>
      <c r="C85" t="s">
        <v>921</v>
      </c>
      <c r="D85">
        <v>1</v>
      </c>
      <c r="E85" t="s">
        <v>846</v>
      </c>
      <c r="F85">
        <v>4</v>
      </c>
      <c r="G85">
        <v>2</v>
      </c>
      <c r="H85" t="str">
        <f t="shared" si="13"/>
        <v>SAMPLE: Grid D18</v>
      </c>
      <c r="I85" t="s">
        <v>956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957</v>
      </c>
      <c r="B86" t="s">
        <v>839</v>
      </c>
      <c r="C86" t="s">
        <v>921</v>
      </c>
      <c r="D86">
        <v>1</v>
      </c>
      <c r="E86" t="s">
        <v>846</v>
      </c>
      <c r="F86">
        <v>4</v>
      </c>
      <c r="G86">
        <v>2</v>
      </c>
      <c r="H86" t="str">
        <f t="shared" si="13"/>
        <v>SAMPLE: Grid D19</v>
      </c>
      <c r="I86" t="s">
        <v>958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959</v>
      </c>
      <c r="B87" t="s">
        <v>839</v>
      </c>
      <c r="C87" t="s">
        <v>921</v>
      </c>
      <c r="D87">
        <v>1</v>
      </c>
      <c r="E87" t="s">
        <v>846</v>
      </c>
      <c r="F87">
        <v>4</v>
      </c>
      <c r="G87">
        <v>2</v>
      </c>
      <c r="H87" t="str">
        <f t="shared" si="13"/>
        <v>SAMPLE: Grid D20</v>
      </c>
      <c r="I87" t="s">
        <v>960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961</v>
      </c>
      <c r="B88" t="s">
        <v>839</v>
      </c>
      <c r="C88" t="s">
        <v>962</v>
      </c>
      <c r="D88">
        <v>1</v>
      </c>
      <c r="E88" t="s">
        <v>846</v>
      </c>
      <c r="F88">
        <v>4</v>
      </c>
      <c r="G88">
        <v>2</v>
      </c>
      <c r="H88" t="str">
        <f t="shared" si="13"/>
        <v>E</v>
      </c>
      <c r="I88" t="s">
        <v>963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964</v>
      </c>
      <c r="B89" t="s">
        <v>839</v>
      </c>
      <c r="C89" t="s">
        <v>962</v>
      </c>
      <c r="D89">
        <v>1</v>
      </c>
      <c r="E89" t="s">
        <v>846</v>
      </c>
      <c r="F89">
        <v>4</v>
      </c>
      <c r="G89">
        <v>2</v>
      </c>
      <c r="H89" t="str">
        <f t="shared" si="13"/>
        <v>SAMPLE: Grid E02</v>
      </c>
      <c r="I89" t="s">
        <v>965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966</v>
      </c>
      <c r="B90" t="s">
        <v>839</v>
      </c>
      <c r="C90" t="s">
        <v>962</v>
      </c>
      <c r="D90">
        <v>1</v>
      </c>
      <c r="E90" t="s">
        <v>846</v>
      </c>
      <c r="F90">
        <v>4</v>
      </c>
      <c r="G90">
        <v>2</v>
      </c>
      <c r="H90" t="str">
        <f t="shared" si="13"/>
        <v>SAMPLE: Grid E03</v>
      </c>
      <c r="I90" t="s">
        <v>967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968</v>
      </c>
      <c r="B91" t="s">
        <v>839</v>
      </c>
      <c r="C91" t="s">
        <v>962</v>
      </c>
      <c r="D91">
        <v>1</v>
      </c>
      <c r="E91" t="s">
        <v>846</v>
      </c>
      <c r="F91">
        <v>4</v>
      </c>
      <c r="G91">
        <v>2</v>
      </c>
      <c r="H91" t="str">
        <f t="shared" si="13"/>
        <v>SAMPLE: Grid E04</v>
      </c>
      <c r="I91" t="s">
        <v>969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970</v>
      </c>
      <c r="B92" t="s">
        <v>839</v>
      </c>
      <c r="C92" t="s">
        <v>962</v>
      </c>
      <c r="D92">
        <v>1</v>
      </c>
      <c r="E92" t="s">
        <v>846</v>
      </c>
      <c r="F92">
        <v>4</v>
      </c>
      <c r="G92">
        <v>2</v>
      </c>
      <c r="H92" t="str">
        <f t="shared" si="13"/>
        <v>SAMPLE: Grid E05</v>
      </c>
      <c r="I92" t="s">
        <v>971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972</v>
      </c>
      <c r="B93" t="s">
        <v>839</v>
      </c>
      <c r="C93" t="s">
        <v>962</v>
      </c>
      <c r="D93">
        <v>1</v>
      </c>
      <c r="E93" t="s">
        <v>846</v>
      </c>
      <c r="F93">
        <v>4</v>
      </c>
      <c r="G93">
        <v>2</v>
      </c>
      <c r="H93" t="str">
        <f t="shared" si="13"/>
        <v>SAMPLE: Grid E06</v>
      </c>
      <c r="I93" t="s">
        <v>973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974</v>
      </c>
      <c r="B94" t="s">
        <v>839</v>
      </c>
      <c r="C94" t="s">
        <v>962</v>
      </c>
      <c r="D94">
        <v>1</v>
      </c>
      <c r="E94" t="s">
        <v>846</v>
      </c>
      <c r="F94">
        <v>4</v>
      </c>
      <c r="G94">
        <v>2</v>
      </c>
      <c r="H94" t="str">
        <f t="shared" si="13"/>
        <v>SAMPLE: Grid E07</v>
      </c>
      <c r="I94" t="s">
        <v>975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976</v>
      </c>
      <c r="B95" t="s">
        <v>839</v>
      </c>
      <c r="C95" t="s">
        <v>962</v>
      </c>
      <c r="D95">
        <v>1</v>
      </c>
      <c r="E95" t="s">
        <v>846</v>
      </c>
      <c r="F95">
        <v>4</v>
      </c>
      <c r="G95">
        <v>2</v>
      </c>
      <c r="H95" t="str">
        <f t="shared" si="13"/>
        <v>SAMPLE: Grid E08</v>
      </c>
      <c r="I95" t="s">
        <v>977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978</v>
      </c>
      <c r="B96" t="s">
        <v>839</v>
      </c>
      <c r="C96" t="s">
        <v>962</v>
      </c>
      <c r="D96">
        <v>1</v>
      </c>
      <c r="E96" t="s">
        <v>846</v>
      </c>
      <c r="F96">
        <v>4</v>
      </c>
      <c r="G96">
        <v>2</v>
      </c>
      <c r="H96" t="str">
        <f t="shared" si="13"/>
        <v>SAMPLE: Grid E09</v>
      </c>
      <c r="I96" t="s">
        <v>979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980</v>
      </c>
      <c r="B97" t="s">
        <v>839</v>
      </c>
      <c r="C97" t="s">
        <v>962</v>
      </c>
      <c r="D97">
        <v>1</v>
      </c>
      <c r="E97" t="s">
        <v>846</v>
      </c>
      <c r="F97">
        <v>4</v>
      </c>
      <c r="G97">
        <v>2</v>
      </c>
      <c r="H97" t="str">
        <f t="shared" si="13"/>
        <v>SAMPLE: Grid E10</v>
      </c>
      <c r="I97" t="s">
        <v>981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982</v>
      </c>
      <c r="B98" t="s">
        <v>839</v>
      </c>
      <c r="C98" t="s">
        <v>962</v>
      </c>
      <c r="D98">
        <v>1</v>
      </c>
      <c r="E98" t="s">
        <v>846</v>
      </c>
      <c r="F98">
        <v>4</v>
      </c>
      <c r="G98">
        <v>2</v>
      </c>
      <c r="H98" t="str">
        <f t="shared" ref="H98:H133" si="22">A98</f>
        <v>SAMPLE: Grid E11</v>
      </c>
      <c r="I98" t="s">
        <v>983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984</v>
      </c>
      <c r="B99" t="s">
        <v>839</v>
      </c>
      <c r="C99" t="s">
        <v>962</v>
      </c>
      <c r="D99">
        <v>1</v>
      </c>
      <c r="E99" t="s">
        <v>846</v>
      </c>
      <c r="F99">
        <v>4</v>
      </c>
      <c r="G99">
        <v>2</v>
      </c>
      <c r="H99" t="str">
        <f t="shared" si="22"/>
        <v>SAMPLE: Grid E12</v>
      </c>
      <c r="I99" t="s">
        <v>985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986</v>
      </c>
      <c r="B100" t="s">
        <v>839</v>
      </c>
      <c r="C100" t="s">
        <v>962</v>
      </c>
      <c r="D100">
        <v>1</v>
      </c>
      <c r="E100" t="s">
        <v>846</v>
      </c>
      <c r="F100">
        <v>4</v>
      </c>
      <c r="G100">
        <v>2</v>
      </c>
      <c r="H100" t="str">
        <f t="shared" si="22"/>
        <v>SAMPLE: Grid E13</v>
      </c>
      <c r="I100" t="s">
        <v>987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988</v>
      </c>
      <c r="B101" t="s">
        <v>839</v>
      </c>
      <c r="C101" t="s">
        <v>962</v>
      </c>
      <c r="D101">
        <v>1</v>
      </c>
      <c r="E101" t="s">
        <v>846</v>
      </c>
      <c r="F101">
        <v>4</v>
      </c>
      <c r="G101">
        <v>2</v>
      </c>
      <c r="H101" t="str">
        <f t="shared" si="22"/>
        <v>SAMPLE: Grid E14</v>
      </c>
      <c r="I101" t="s">
        <v>989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990</v>
      </c>
      <c r="B102" t="s">
        <v>839</v>
      </c>
      <c r="C102" t="s">
        <v>962</v>
      </c>
      <c r="D102">
        <v>1</v>
      </c>
      <c r="E102" t="s">
        <v>846</v>
      </c>
      <c r="F102">
        <v>4</v>
      </c>
      <c r="G102">
        <v>2</v>
      </c>
      <c r="H102" t="str">
        <f t="shared" si="22"/>
        <v>SAMPLE: Grid E15</v>
      </c>
      <c r="I102" t="s">
        <v>991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992</v>
      </c>
      <c r="B103" t="s">
        <v>839</v>
      </c>
      <c r="C103" t="s">
        <v>962</v>
      </c>
      <c r="D103">
        <v>1</v>
      </c>
      <c r="E103" t="s">
        <v>846</v>
      </c>
      <c r="F103">
        <v>4</v>
      </c>
      <c r="G103">
        <v>2</v>
      </c>
      <c r="H103" t="str">
        <f t="shared" si="22"/>
        <v>SAMPLE: Grid E16</v>
      </c>
      <c r="I103" t="s">
        <v>993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994</v>
      </c>
      <c r="B104" t="s">
        <v>839</v>
      </c>
      <c r="C104" t="s">
        <v>962</v>
      </c>
      <c r="D104">
        <v>1</v>
      </c>
      <c r="E104" t="s">
        <v>846</v>
      </c>
      <c r="F104">
        <v>4</v>
      </c>
      <c r="G104">
        <v>2</v>
      </c>
      <c r="H104" t="str">
        <f t="shared" si="22"/>
        <v>SAMPLE: Grid E17</v>
      </c>
      <c r="I104" t="s">
        <v>995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996</v>
      </c>
      <c r="B105" t="s">
        <v>839</v>
      </c>
      <c r="C105" t="s">
        <v>962</v>
      </c>
      <c r="D105">
        <v>1</v>
      </c>
      <c r="E105" t="s">
        <v>846</v>
      </c>
      <c r="F105">
        <v>4</v>
      </c>
      <c r="G105">
        <v>2</v>
      </c>
      <c r="H105" t="str">
        <f t="shared" si="22"/>
        <v>SAMPLE: Grid E18</v>
      </c>
      <c r="I105" t="s">
        <v>997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998</v>
      </c>
      <c r="B106" t="s">
        <v>839</v>
      </c>
      <c r="C106" t="s">
        <v>962</v>
      </c>
      <c r="D106">
        <v>1</v>
      </c>
      <c r="E106" t="s">
        <v>846</v>
      </c>
      <c r="F106">
        <v>4</v>
      </c>
      <c r="G106">
        <v>2</v>
      </c>
      <c r="H106" t="str">
        <f t="shared" si="22"/>
        <v>SAMPLE: Grid E19</v>
      </c>
      <c r="I106" t="s">
        <v>999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1000</v>
      </c>
      <c r="B107" t="s">
        <v>839</v>
      </c>
      <c r="C107" t="s">
        <v>962</v>
      </c>
      <c r="D107">
        <v>1</v>
      </c>
      <c r="E107" t="s">
        <v>846</v>
      </c>
      <c r="F107">
        <v>4</v>
      </c>
      <c r="G107">
        <v>2</v>
      </c>
      <c r="H107" t="str">
        <f t="shared" si="22"/>
        <v>SAMPLE: Grid E20</v>
      </c>
      <c r="I107" t="s">
        <v>1001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1002</v>
      </c>
      <c r="B108" t="s">
        <v>839</v>
      </c>
      <c r="C108" t="s">
        <v>1003</v>
      </c>
      <c r="D108">
        <v>1</v>
      </c>
      <c r="E108" t="s">
        <v>846</v>
      </c>
      <c r="F108">
        <v>4</v>
      </c>
      <c r="G108">
        <v>2</v>
      </c>
      <c r="H108" t="str">
        <f t="shared" si="22"/>
        <v>F</v>
      </c>
      <c r="I108" t="s">
        <v>1004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1005</v>
      </c>
      <c r="B109" t="s">
        <v>839</v>
      </c>
      <c r="C109" t="s">
        <v>1003</v>
      </c>
      <c r="D109">
        <v>1</v>
      </c>
      <c r="E109" t="s">
        <v>846</v>
      </c>
      <c r="F109">
        <v>4</v>
      </c>
      <c r="G109">
        <v>2</v>
      </c>
      <c r="H109" t="str">
        <f t="shared" si="22"/>
        <v>SAMPLE: Grid F02</v>
      </c>
      <c r="I109" t="s">
        <v>1006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1007</v>
      </c>
      <c r="B110" t="s">
        <v>839</v>
      </c>
      <c r="C110" t="s">
        <v>1003</v>
      </c>
      <c r="D110">
        <v>1</v>
      </c>
      <c r="E110" t="s">
        <v>846</v>
      </c>
      <c r="F110">
        <v>4</v>
      </c>
      <c r="G110">
        <v>2</v>
      </c>
      <c r="H110" t="str">
        <f t="shared" si="22"/>
        <v>SAMPLE: Grid F03</v>
      </c>
      <c r="I110" t="s">
        <v>1008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1009</v>
      </c>
      <c r="B111" t="s">
        <v>839</v>
      </c>
      <c r="C111" t="s">
        <v>1003</v>
      </c>
      <c r="D111">
        <v>1</v>
      </c>
      <c r="E111" t="s">
        <v>846</v>
      </c>
      <c r="F111">
        <v>4</v>
      </c>
      <c r="G111">
        <v>2</v>
      </c>
      <c r="H111" t="str">
        <f t="shared" si="22"/>
        <v>SAMPLE: Grid F04</v>
      </c>
      <c r="I111" t="s">
        <v>1010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1011</v>
      </c>
      <c r="B112" t="s">
        <v>839</v>
      </c>
      <c r="C112" t="s">
        <v>1003</v>
      </c>
      <c r="D112">
        <v>1</v>
      </c>
      <c r="E112" t="s">
        <v>846</v>
      </c>
      <c r="F112">
        <v>4</v>
      </c>
      <c r="G112">
        <v>2</v>
      </c>
      <c r="H112" t="str">
        <f t="shared" si="22"/>
        <v>SAMPLE: Grid F05</v>
      </c>
      <c r="I112" t="s">
        <v>1012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1013</v>
      </c>
      <c r="B113" t="s">
        <v>839</v>
      </c>
      <c r="C113" t="s">
        <v>1003</v>
      </c>
      <c r="D113">
        <v>1</v>
      </c>
      <c r="E113" t="s">
        <v>846</v>
      </c>
      <c r="F113">
        <v>4</v>
      </c>
      <c r="G113">
        <v>2</v>
      </c>
      <c r="H113" t="str">
        <f t="shared" si="22"/>
        <v>SAMPLE: Grid F06</v>
      </c>
      <c r="I113" t="s">
        <v>1014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1015</v>
      </c>
      <c r="B114" t="s">
        <v>839</v>
      </c>
      <c r="C114" t="s">
        <v>1003</v>
      </c>
      <c r="D114">
        <v>1</v>
      </c>
      <c r="E114" t="s">
        <v>846</v>
      </c>
      <c r="F114">
        <v>4</v>
      </c>
      <c r="G114">
        <v>2</v>
      </c>
      <c r="H114" t="str">
        <f t="shared" si="22"/>
        <v>SAMPLE: Grid F07</v>
      </c>
      <c r="I114" t="s">
        <v>1016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1017</v>
      </c>
      <c r="B115" t="s">
        <v>839</v>
      </c>
      <c r="C115" t="s">
        <v>1003</v>
      </c>
      <c r="D115">
        <v>1</v>
      </c>
      <c r="E115" t="s">
        <v>846</v>
      </c>
      <c r="F115">
        <v>4</v>
      </c>
      <c r="G115">
        <v>2</v>
      </c>
      <c r="H115" t="str">
        <f t="shared" si="22"/>
        <v>SAMPLE: Grid F08</v>
      </c>
      <c r="I115" t="s">
        <v>1018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1019</v>
      </c>
      <c r="B116" t="s">
        <v>839</v>
      </c>
      <c r="C116" t="s">
        <v>1003</v>
      </c>
      <c r="D116">
        <v>1</v>
      </c>
      <c r="E116" t="s">
        <v>846</v>
      </c>
      <c r="F116">
        <v>4</v>
      </c>
      <c r="G116">
        <v>2</v>
      </c>
      <c r="H116" t="str">
        <f t="shared" si="22"/>
        <v>SAMPLE: Grid F09</v>
      </c>
      <c r="I116" t="s">
        <v>1020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1021</v>
      </c>
      <c r="B117" t="s">
        <v>839</v>
      </c>
      <c r="C117" t="s">
        <v>1003</v>
      </c>
      <c r="D117">
        <v>1</v>
      </c>
      <c r="E117" t="s">
        <v>846</v>
      </c>
      <c r="F117">
        <v>4</v>
      </c>
      <c r="G117">
        <v>2</v>
      </c>
      <c r="H117" t="str">
        <f t="shared" si="22"/>
        <v>SAMPLE: Grid F10</v>
      </c>
      <c r="I117" t="s">
        <v>1022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1023</v>
      </c>
      <c r="B118" t="s">
        <v>839</v>
      </c>
      <c r="C118" t="s">
        <v>1003</v>
      </c>
      <c r="D118">
        <v>1</v>
      </c>
      <c r="E118" t="s">
        <v>846</v>
      </c>
      <c r="F118">
        <v>4</v>
      </c>
      <c r="G118">
        <v>2</v>
      </c>
      <c r="H118" t="str">
        <f t="shared" si="22"/>
        <v>SAMPLE: Grid F11</v>
      </c>
      <c r="I118" t="s">
        <v>1024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1025</v>
      </c>
      <c r="B119" t="s">
        <v>839</v>
      </c>
      <c r="C119" t="s">
        <v>1003</v>
      </c>
      <c r="D119">
        <v>1</v>
      </c>
      <c r="E119" t="s">
        <v>846</v>
      </c>
      <c r="F119">
        <v>4</v>
      </c>
      <c r="G119">
        <v>2</v>
      </c>
      <c r="H119" t="str">
        <f t="shared" si="22"/>
        <v>SAMPLE: Grid F12</v>
      </c>
      <c r="I119" t="s">
        <v>1026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1027</v>
      </c>
      <c r="B120" t="s">
        <v>839</v>
      </c>
      <c r="C120" t="s">
        <v>1003</v>
      </c>
      <c r="D120">
        <v>1</v>
      </c>
      <c r="E120" t="s">
        <v>846</v>
      </c>
      <c r="F120">
        <v>4</v>
      </c>
      <c r="G120">
        <v>2</v>
      </c>
      <c r="H120" t="str">
        <f t="shared" si="22"/>
        <v>SAMPLE: Grid F13</v>
      </c>
      <c r="I120" t="s">
        <v>1028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1029</v>
      </c>
      <c r="B121" t="s">
        <v>839</v>
      </c>
      <c r="C121" t="s">
        <v>1003</v>
      </c>
      <c r="D121">
        <v>1</v>
      </c>
      <c r="E121" t="s">
        <v>846</v>
      </c>
      <c r="F121">
        <v>4</v>
      </c>
      <c r="G121">
        <v>2</v>
      </c>
      <c r="H121" t="str">
        <f t="shared" si="22"/>
        <v>SAMPLE: Grid F14</v>
      </c>
      <c r="I121" t="s">
        <v>1030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1031</v>
      </c>
      <c r="B122" t="s">
        <v>839</v>
      </c>
      <c r="C122" t="s">
        <v>1003</v>
      </c>
      <c r="D122">
        <v>1</v>
      </c>
      <c r="E122" t="s">
        <v>846</v>
      </c>
      <c r="F122">
        <v>4</v>
      </c>
      <c r="G122">
        <v>2</v>
      </c>
      <c r="H122" t="str">
        <f t="shared" si="22"/>
        <v>SAMPLE: Grid F15</v>
      </c>
      <c r="I122" t="s">
        <v>1032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1033</v>
      </c>
      <c r="B123" t="s">
        <v>839</v>
      </c>
      <c r="C123" t="s">
        <v>1003</v>
      </c>
      <c r="D123">
        <v>1</v>
      </c>
      <c r="E123" t="s">
        <v>846</v>
      </c>
      <c r="F123">
        <v>4</v>
      </c>
      <c r="G123">
        <v>2</v>
      </c>
      <c r="H123" t="str">
        <f t="shared" si="22"/>
        <v>SAMPLE: Grid F16</v>
      </c>
      <c r="I123" t="s">
        <v>1034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1035</v>
      </c>
      <c r="B124" t="s">
        <v>839</v>
      </c>
      <c r="C124" t="s">
        <v>1003</v>
      </c>
      <c r="D124">
        <v>1</v>
      </c>
      <c r="E124" t="s">
        <v>846</v>
      </c>
      <c r="F124">
        <v>4</v>
      </c>
      <c r="G124">
        <v>2</v>
      </c>
      <c r="H124" t="str">
        <f t="shared" si="22"/>
        <v>SAMPLE: Grid F17</v>
      </c>
      <c r="I124" t="s">
        <v>1036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1037</v>
      </c>
      <c r="B125" t="s">
        <v>839</v>
      </c>
      <c r="C125" t="s">
        <v>1003</v>
      </c>
      <c r="D125">
        <v>1</v>
      </c>
      <c r="E125" t="s">
        <v>846</v>
      </c>
      <c r="F125">
        <v>4</v>
      </c>
      <c r="G125">
        <v>2</v>
      </c>
      <c r="H125" t="str">
        <f t="shared" si="22"/>
        <v>SAMPLE: Grid F18</v>
      </c>
      <c r="I125" t="s">
        <v>1038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1039</v>
      </c>
      <c r="B126" t="s">
        <v>839</v>
      </c>
      <c r="C126" t="s">
        <v>1003</v>
      </c>
      <c r="D126">
        <v>1</v>
      </c>
      <c r="E126" t="s">
        <v>846</v>
      </c>
      <c r="F126">
        <v>4</v>
      </c>
      <c r="G126">
        <v>2</v>
      </c>
      <c r="H126" t="str">
        <f t="shared" si="22"/>
        <v>SAMPLE: Grid F19</v>
      </c>
      <c r="I126" t="s">
        <v>1040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1041</v>
      </c>
      <c r="B127" t="s">
        <v>839</v>
      </c>
      <c r="C127" t="s">
        <v>1003</v>
      </c>
      <c r="D127">
        <v>1</v>
      </c>
      <c r="E127" t="s">
        <v>846</v>
      </c>
      <c r="F127">
        <v>4</v>
      </c>
      <c r="G127">
        <v>2</v>
      </c>
      <c r="H127" t="str">
        <f t="shared" si="22"/>
        <v>SAMPLE: Grid F20</v>
      </c>
      <c r="I127" t="s">
        <v>1042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1043</v>
      </c>
      <c r="B128" t="s">
        <v>829</v>
      </c>
      <c r="E128" t="s">
        <v>1044</v>
      </c>
      <c r="F128">
        <v>3</v>
      </c>
      <c r="H128" t="str">
        <f t="shared" si="22"/>
        <v>DISPOSAL</v>
      </c>
      <c r="I128" t="s">
        <v>1045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1046</v>
      </c>
      <c r="B129" t="s">
        <v>829</v>
      </c>
      <c r="E129" t="s">
        <v>1047</v>
      </c>
      <c r="F129">
        <v>3</v>
      </c>
      <c r="H129" t="str">
        <f t="shared" si="22"/>
        <v>OUTBOUND</v>
      </c>
      <c r="I129" t="s">
        <v>1048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208</v>
      </c>
      <c r="B130" t="s">
        <v>854</v>
      </c>
      <c r="E130" t="s">
        <v>852</v>
      </c>
      <c r="F130">
        <v>3</v>
      </c>
      <c r="G130">
        <v>7</v>
      </c>
      <c r="H130" t="str">
        <f t="shared" si="22"/>
        <v>ACTIVE</v>
      </c>
      <c r="I130" t="s">
        <v>855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1049</v>
      </c>
      <c r="B131" t="s">
        <v>839</v>
      </c>
      <c r="C131" t="s">
        <v>1050</v>
      </c>
      <c r="D131">
        <v>3</v>
      </c>
      <c r="E131" t="s">
        <v>846</v>
      </c>
      <c r="F131">
        <v>4</v>
      </c>
      <c r="G131">
        <v>2</v>
      </c>
      <c r="H131" t="str">
        <f t="shared" si="22"/>
        <v>O</v>
      </c>
      <c r="I131" t="s">
        <v>1051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231</v>
      </c>
      <c r="B132" t="s">
        <v>839</v>
      </c>
      <c r="E132" t="s">
        <v>852</v>
      </c>
      <c r="F132">
        <v>3</v>
      </c>
      <c r="G132">
        <v>7</v>
      </c>
      <c r="H132" t="str">
        <f t="shared" si="22"/>
        <v>48x T24i-30</v>
      </c>
      <c r="I132" t="s">
        <v>1052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245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30" priority="1" stopIfTrue="1">
      <formula>AND(TRIM($A133)="",OR($B133&lt;&gt;"",$C133&lt;&gt;"",$D133&lt;&gt;"",$E133&lt;&gt;"",$F133&lt;&gt;"",$I133&lt;&gt;""))</formula>
    </cfRule>
    <cfRule type="expression" dxfId="29" priority="2">
      <formula>AND(TRIM($A133)&lt;&gt;"",COUNTIF($A$2:$A$2002,$A133)&gt;1)</formula>
    </cfRule>
  </conditionalFormatting>
  <conditionalFormatting sqref="A2:I132 A134:I2002">
    <cfRule type="expression" dxfId="28" priority="3" stopIfTrue="1">
      <formula>AND(TRIM($A2)="",OR($B2&lt;&gt;"",$C2&lt;&gt;"",$D2&lt;&gt;"",$E2&lt;&gt;"",$F2&lt;&gt;"",$I2&lt;&gt;""))</formula>
    </cfRule>
    <cfRule type="expression" dxfId="27" priority="4">
      <formula>AND(TRIM($A2)&lt;&gt;"",COUNTIF($A$2:$A$2002,$A2)&gt;1)</formula>
    </cfRule>
  </conditionalFormatting>
  <conditionalFormatting sqref="B133:I133">
    <cfRule type="expression" dxfId="26" priority="116" stopIfTrue="1">
      <formula>AND(TRIM($A133)="",OR($B133&lt;&gt;"",$C133&lt;&gt;"",$D133&lt;&gt;"",$E133&lt;&gt;"",$F133&lt;&gt;"",$I133&lt;&gt;""))</formula>
    </cfRule>
    <cfRule type="expression" dxfId="25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1053</v>
      </c>
      <c r="B1" s="50" t="s">
        <v>1054</v>
      </c>
      <c r="C1" s="50" t="s">
        <v>180</v>
      </c>
      <c r="D1" s="50" t="s">
        <v>1055</v>
      </c>
      <c r="E1" s="50" t="s">
        <v>1056</v>
      </c>
      <c r="F1" s="50" t="s">
        <v>1057</v>
      </c>
      <c r="G1" s="50" t="s">
        <v>1058</v>
      </c>
      <c r="H1" s="50" t="s">
        <v>1059</v>
      </c>
      <c r="I1" s="50" t="s">
        <v>1060</v>
      </c>
      <c r="J1" s="50" t="s">
        <v>189</v>
      </c>
    </row>
    <row r="2" spans="1:10">
      <c r="A2" s="52">
        <v>46052.375</v>
      </c>
      <c r="B2" t="s">
        <v>1061</v>
      </c>
      <c r="C2" t="s">
        <v>1062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1063</v>
      </c>
      <c r="G2" s="27"/>
      <c r="H2" t="s">
        <v>221</v>
      </c>
      <c r="I2" t="s">
        <v>1064</v>
      </c>
      <c r="J2" t="s">
        <v>1065</v>
      </c>
    </row>
    <row r="3" spans="1:10">
      <c r="A3" s="52">
        <v>46052.379861111112</v>
      </c>
      <c r="B3" t="s">
        <v>1061</v>
      </c>
      <c r="C3" t="s">
        <v>1066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216</v>
      </c>
      <c r="G3" s="27"/>
      <c r="H3" t="s">
        <v>221</v>
      </c>
      <c r="I3" t="s">
        <v>1067</v>
      </c>
      <c r="J3" t="s">
        <v>1065</v>
      </c>
    </row>
    <row r="4" spans="1:10">
      <c r="A4" s="52">
        <v>46052.384722222218</v>
      </c>
      <c r="B4" t="s">
        <v>1061</v>
      </c>
      <c r="C4" t="s">
        <v>1068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225</v>
      </c>
      <c r="G4" s="27"/>
      <c r="H4" t="s">
        <v>221</v>
      </c>
      <c r="I4" t="s">
        <v>1069</v>
      </c>
      <c r="J4" t="s">
        <v>1065</v>
      </c>
    </row>
    <row r="5" spans="1:10">
      <c r="A5" s="52">
        <v>46052.38958333333</v>
      </c>
      <c r="B5" t="s">
        <v>1061</v>
      </c>
      <c r="C5" t="s">
        <v>1070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225</v>
      </c>
      <c r="G5" s="27"/>
      <c r="H5" t="s">
        <v>221</v>
      </c>
      <c r="I5" t="s">
        <v>1071</v>
      </c>
      <c r="J5" t="s">
        <v>1065</v>
      </c>
    </row>
    <row r="6" spans="1:10">
      <c r="A6" s="52">
        <v>46052.394444444442</v>
      </c>
      <c r="B6" t="s">
        <v>1061</v>
      </c>
      <c r="C6" t="s">
        <v>1072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1073</v>
      </c>
      <c r="G6" s="27"/>
      <c r="H6" t="s">
        <v>221</v>
      </c>
      <c r="I6" t="s">
        <v>1074</v>
      </c>
      <c r="J6" t="s">
        <v>1065</v>
      </c>
    </row>
    <row r="7" spans="1:10">
      <c r="A7" s="52">
        <v>46052.399305555547</v>
      </c>
      <c r="B7" t="s">
        <v>1061</v>
      </c>
      <c r="C7" t="s">
        <v>1075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1076</v>
      </c>
      <c r="G7" s="27"/>
      <c r="H7" t="s">
        <v>221</v>
      </c>
      <c r="I7" t="s">
        <v>1077</v>
      </c>
      <c r="J7" t="s">
        <v>1065</v>
      </c>
    </row>
    <row r="8" spans="1:10">
      <c r="A8" s="52">
        <v>46052.404166666667</v>
      </c>
      <c r="B8" t="s">
        <v>1061</v>
      </c>
      <c r="C8" t="s">
        <v>1078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1079</v>
      </c>
      <c r="G8" s="27"/>
      <c r="H8" t="s">
        <v>221</v>
      </c>
      <c r="I8" t="s">
        <v>1080</v>
      </c>
      <c r="J8" t="s">
        <v>1065</v>
      </c>
    </row>
    <row r="9" spans="1:10">
      <c r="A9" s="52">
        <v>46052.40902777778</v>
      </c>
      <c r="B9" t="s">
        <v>1061</v>
      </c>
      <c r="C9" t="s">
        <v>1081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1082</v>
      </c>
      <c r="G9" s="27"/>
      <c r="H9" t="s">
        <v>221</v>
      </c>
      <c r="I9" t="s">
        <v>1083</v>
      </c>
      <c r="J9" t="s">
        <v>1065</v>
      </c>
    </row>
    <row r="10" spans="1:10">
      <c r="A10" s="52">
        <v>46052.413888888892</v>
      </c>
      <c r="B10" t="s">
        <v>1061</v>
      </c>
      <c r="C10" t="s">
        <v>1084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1085</v>
      </c>
      <c r="G10" s="27"/>
      <c r="H10" t="s">
        <v>221</v>
      </c>
      <c r="I10" t="s">
        <v>1086</v>
      </c>
      <c r="J10" t="s">
        <v>1065</v>
      </c>
    </row>
    <row r="11" spans="1:10">
      <c r="A11" s="52">
        <v>46052.418749999997</v>
      </c>
      <c r="B11" t="s">
        <v>1061</v>
      </c>
      <c r="C11" t="s">
        <v>1087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1088</v>
      </c>
      <c r="G11" s="27"/>
      <c r="H11" t="s">
        <v>221</v>
      </c>
      <c r="I11" t="s">
        <v>1089</v>
      </c>
      <c r="J11" t="s">
        <v>1065</v>
      </c>
    </row>
    <row r="12" spans="1:10">
      <c r="A12" s="52">
        <v>46052.423611111109</v>
      </c>
      <c r="B12" t="s">
        <v>1061</v>
      </c>
      <c r="C12" t="s">
        <v>1090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1091</v>
      </c>
      <c r="G12" s="27"/>
      <c r="H12" t="s">
        <v>221</v>
      </c>
      <c r="I12" t="s">
        <v>1092</v>
      </c>
      <c r="J12" t="s">
        <v>1065</v>
      </c>
    </row>
    <row r="13" spans="1:10">
      <c r="A13" s="52">
        <v>46052.428472222222</v>
      </c>
      <c r="B13" t="s">
        <v>1061</v>
      </c>
      <c r="C13" t="s">
        <v>1093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1094</v>
      </c>
      <c r="G13" s="27"/>
      <c r="H13" t="s">
        <v>221</v>
      </c>
      <c r="I13" t="s">
        <v>1095</v>
      </c>
      <c r="J13" t="s">
        <v>1065</v>
      </c>
    </row>
    <row r="14" spans="1:10">
      <c r="A14" s="52">
        <v>46052.433333333327</v>
      </c>
      <c r="B14" t="s">
        <v>1061</v>
      </c>
      <c r="C14" t="s">
        <v>1096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1097</v>
      </c>
      <c r="G14" s="27"/>
      <c r="H14" t="s">
        <v>221</v>
      </c>
      <c r="I14" t="s">
        <v>1098</v>
      </c>
      <c r="J14" t="s">
        <v>1065</v>
      </c>
    </row>
    <row r="15" spans="1:10">
      <c r="A15" s="52">
        <v>46052.438194444447</v>
      </c>
      <c r="B15" t="s">
        <v>1061</v>
      </c>
      <c r="C15" t="s">
        <v>1099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1100</v>
      </c>
      <c r="G15" s="27"/>
      <c r="H15" t="s">
        <v>221</v>
      </c>
      <c r="I15" t="s">
        <v>1101</v>
      </c>
      <c r="J15" t="s">
        <v>1065</v>
      </c>
    </row>
    <row r="16" spans="1:10">
      <c r="A16" s="52">
        <v>46052.443055555559</v>
      </c>
      <c r="B16" t="s">
        <v>1061</v>
      </c>
      <c r="C16" t="s">
        <v>1102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1103</v>
      </c>
      <c r="G16" s="27"/>
      <c r="H16" t="s">
        <v>221</v>
      </c>
      <c r="I16" t="s">
        <v>1104</v>
      </c>
      <c r="J16" t="s">
        <v>1065</v>
      </c>
    </row>
    <row r="17" spans="1:10">
      <c r="A17" s="52">
        <v>46052.447916666657</v>
      </c>
      <c r="B17" t="s">
        <v>1061</v>
      </c>
      <c r="C17" t="s">
        <v>1105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1106</v>
      </c>
      <c r="G17" s="27"/>
      <c r="H17" t="s">
        <v>221</v>
      </c>
      <c r="I17" t="s">
        <v>1107</v>
      </c>
      <c r="J17" t="s">
        <v>1065</v>
      </c>
    </row>
    <row r="18" spans="1:10">
      <c r="A18" s="52">
        <v>46052.452777777777</v>
      </c>
      <c r="B18" t="s">
        <v>1061</v>
      </c>
      <c r="C18" t="s">
        <v>1108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1109</v>
      </c>
      <c r="G18" s="27"/>
      <c r="H18" t="s">
        <v>221</v>
      </c>
      <c r="I18" t="s">
        <v>1110</v>
      </c>
      <c r="J18" t="s">
        <v>1065</v>
      </c>
    </row>
    <row r="19" spans="1:10">
      <c r="A19" s="52">
        <v>46052.457638888889</v>
      </c>
      <c r="B19" t="s">
        <v>1061</v>
      </c>
      <c r="C19" t="s">
        <v>1111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1112</v>
      </c>
      <c r="G19" s="27"/>
      <c r="H19" t="s">
        <v>221</v>
      </c>
      <c r="I19" t="s">
        <v>1113</v>
      </c>
      <c r="J19" t="s">
        <v>1065</v>
      </c>
    </row>
    <row r="20" spans="1:10">
      <c r="A20" s="52">
        <v>46052.462500000001</v>
      </c>
      <c r="B20" t="s">
        <v>1061</v>
      </c>
      <c r="C20" t="s">
        <v>1114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1115</v>
      </c>
      <c r="G20" s="27"/>
      <c r="H20" t="s">
        <v>221</v>
      </c>
      <c r="I20" t="s">
        <v>1116</v>
      </c>
      <c r="J20" t="s">
        <v>1065</v>
      </c>
    </row>
    <row r="21" spans="1:10">
      <c r="A21" s="52">
        <v>46052.467361111107</v>
      </c>
      <c r="B21" t="s">
        <v>1061</v>
      </c>
      <c r="C21" t="s">
        <v>1117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1118</v>
      </c>
      <c r="G21" s="27"/>
      <c r="H21" t="s">
        <v>221</v>
      </c>
      <c r="I21" t="s">
        <v>1119</v>
      </c>
      <c r="J21" t="s">
        <v>1065</v>
      </c>
    </row>
    <row r="22" spans="1:10">
      <c r="A22" s="52">
        <v>46052.472222222219</v>
      </c>
      <c r="B22" t="s">
        <v>1061</v>
      </c>
      <c r="C22" t="s">
        <v>1120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1121</v>
      </c>
      <c r="G22" s="27"/>
      <c r="H22" t="s">
        <v>221</v>
      </c>
      <c r="I22" t="s">
        <v>1122</v>
      </c>
      <c r="J22" t="s">
        <v>1065</v>
      </c>
    </row>
    <row r="23" spans="1:10">
      <c r="A23" s="52">
        <v>46052.477083333331</v>
      </c>
      <c r="B23" t="s">
        <v>1061</v>
      </c>
      <c r="C23" t="s">
        <v>1123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1124</v>
      </c>
      <c r="G23" s="27"/>
      <c r="H23" t="s">
        <v>221</v>
      </c>
      <c r="I23" t="s">
        <v>1125</v>
      </c>
      <c r="J23" t="s">
        <v>1065</v>
      </c>
    </row>
    <row r="24" spans="1:10">
      <c r="A24" s="52">
        <v>46052.481944444437</v>
      </c>
      <c r="B24" t="s">
        <v>1061</v>
      </c>
      <c r="C24" t="s">
        <v>1126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1127</v>
      </c>
      <c r="G24" s="27"/>
      <c r="H24" t="s">
        <v>221</v>
      </c>
      <c r="I24" t="s">
        <v>1128</v>
      </c>
      <c r="J24" t="s">
        <v>1065</v>
      </c>
    </row>
    <row r="25" spans="1:10">
      <c r="A25" s="52">
        <v>46052.486805555563</v>
      </c>
      <c r="B25" t="s">
        <v>1061</v>
      </c>
      <c r="C25" t="s">
        <v>1129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1130</v>
      </c>
      <c r="G25" s="27"/>
      <c r="H25" t="s">
        <v>221</v>
      </c>
      <c r="I25" t="s">
        <v>1131</v>
      </c>
      <c r="J25" t="s">
        <v>1065</v>
      </c>
    </row>
    <row r="26" spans="1:10">
      <c r="A26" s="52">
        <v>46052.491666666669</v>
      </c>
      <c r="B26" t="s">
        <v>1061</v>
      </c>
      <c r="C26" t="s">
        <v>1132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1133</v>
      </c>
      <c r="G26" s="27"/>
      <c r="H26" t="s">
        <v>221</v>
      </c>
      <c r="I26" t="s">
        <v>1134</v>
      </c>
      <c r="J26" t="s">
        <v>1065</v>
      </c>
    </row>
    <row r="27" spans="1:10">
      <c r="A27" s="52">
        <v>46052.496527777781</v>
      </c>
      <c r="B27" t="s">
        <v>1061</v>
      </c>
      <c r="C27" t="s">
        <v>1135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1136</v>
      </c>
      <c r="G27" s="27"/>
      <c r="H27" t="s">
        <v>221</v>
      </c>
      <c r="I27" t="s">
        <v>1137</v>
      </c>
      <c r="J27" t="s">
        <v>1065</v>
      </c>
    </row>
    <row r="28" spans="1:10">
      <c r="A28" s="52">
        <v>46052.501388888893</v>
      </c>
      <c r="B28" t="s">
        <v>1061</v>
      </c>
      <c r="C28" t="s">
        <v>1138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1139</v>
      </c>
      <c r="G28" s="27"/>
      <c r="H28" t="s">
        <v>221</v>
      </c>
      <c r="I28" t="s">
        <v>1140</v>
      </c>
      <c r="J28" t="s">
        <v>1065</v>
      </c>
    </row>
    <row r="29" spans="1:10">
      <c r="A29" s="52">
        <v>46052.506249999999</v>
      </c>
      <c r="B29" t="s">
        <v>1061</v>
      </c>
      <c r="C29" t="s">
        <v>1141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1142</v>
      </c>
      <c r="G29" s="27"/>
      <c r="H29" t="s">
        <v>221</v>
      </c>
      <c r="I29" t="s">
        <v>1143</v>
      </c>
      <c r="J29" t="s">
        <v>1065</v>
      </c>
    </row>
    <row r="30" spans="1:10">
      <c r="A30" s="52">
        <v>46052.511111111111</v>
      </c>
      <c r="B30" t="s">
        <v>1061</v>
      </c>
      <c r="C30" t="s">
        <v>1144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1145</v>
      </c>
      <c r="G30" s="27"/>
      <c r="H30" t="s">
        <v>221</v>
      </c>
      <c r="I30" t="s">
        <v>1146</v>
      </c>
      <c r="J30" t="s">
        <v>1065</v>
      </c>
    </row>
    <row r="31" spans="1:10">
      <c r="A31" s="52">
        <v>46052.515972222223</v>
      </c>
      <c r="B31" t="s">
        <v>1061</v>
      </c>
      <c r="C31" t="s">
        <v>1147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1148</v>
      </c>
      <c r="G31" s="27"/>
      <c r="H31" t="s">
        <v>221</v>
      </c>
      <c r="I31" t="s">
        <v>1149</v>
      </c>
      <c r="J31" t="s">
        <v>1065</v>
      </c>
    </row>
    <row r="32" spans="1:10">
      <c r="A32" s="52">
        <v>46052.520833333343</v>
      </c>
      <c r="B32" t="s">
        <v>1061</v>
      </c>
      <c r="C32" t="s">
        <v>1150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1151</v>
      </c>
      <c r="G32" s="27"/>
      <c r="H32" t="s">
        <v>221</v>
      </c>
      <c r="I32" t="s">
        <v>1152</v>
      </c>
      <c r="J32" t="s">
        <v>1065</v>
      </c>
    </row>
    <row r="33" spans="1:10">
      <c r="A33" s="52">
        <v>46052.525694444441</v>
      </c>
      <c r="B33" t="s">
        <v>1061</v>
      </c>
      <c r="C33" t="s">
        <v>1153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1154</v>
      </c>
      <c r="G33" s="27"/>
      <c r="H33" t="s">
        <v>221</v>
      </c>
      <c r="I33" t="s">
        <v>1155</v>
      </c>
      <c r="J33" t="s">
        <v>1065</v>
      </c>
    </row>
    <row r="34" spans="1:10">
      <c r="A34" s="52">
        <v>46052.530555555553</v>
      </c>
      <c r="B34" t="s">
        <v>1061</v>
      </c>
      <c r="C34" t="s">
        <v>1156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1157</v>
      </c>
      <c r="G34" s="27"/>
      <c r="H34" t="s">
        <v>221</v>
      </c>
      <c r="I34" t="s">
        <v>1158</v>
      </c>
      <c r="J34" t="s">
        <v>1065</v>
      </c>
    </row>
    <row r="35" spans="1:10">
      <c r="A35" s="52">
        <v>46052.535416666673</v>
      </c>
      <c r="B35" t="s">
        <v>1061</v>
      </c>
      <c r="C35" t="s">
        <v>1159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1160</v>
      </c>
      <c r="G35" s="27"/>
      <c r="H35" t="s">
        <v>221</v>
      </c>
      <c r="I35" t="s">
        <v>1161</v>
      </c>
      <c r="J35" t="s">
        <v>1065</v>
      </c>
    </row>
    <row r="36" spans="1:10">
      <c r="A36" s="52">
        <v>46052.540277777778</v>
      </c>
      <c r="B36" t="s">
        <v>1061</v>
      </c>
      <c r="C36" t="s">
        <v>1162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1163</v>
      </c>
      <c r="G36" s="27"/>
      <c r="H36" t="s">
        <v>221</v>
      </c>
      <c r="I36" t="s">
        <v>1164</v>
      </c>
      <c r="J36" t="s">
        <v>1065</v>
      </c>
    </row>
    <row r="37" spans="1:10">
      <c r="A37" s="52">
        <v>46052.541666666657</v>
      </c>
      <c r="B37" t="s">
        <v>1165</v>
      </c>
      <c r="C37" t="s">
        <v>1081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1073</v>
      </c>
      <c r="G37" s="27"/>
      <c r="H37" t="s">
        <v>221</v>
      </c>
      <c r="I37" t="s">
        <v>1166</v>
      </c>
      <c r="J37" t="s">
        <v>1167</v>
      </c>
    </row>
    <row r="38" spans="1:10">
      <c r="A38" s="52">
        <v>46052.545138888891</v>
      </c>
      <c r="B38" t="s">
        <v>1061</v>
      </c>
      <c r="C38" t="s">
        <v>1168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1169</v>
      </c>
      <c r="G38" s="27"/>
      <c r="H38" t="s">
        <v>221</v>
      </c>
      <c r="I38" t="s">
        <v>1170</v>
      </c>
      <c r="J38" t="s">
        <v>1065</v>
      </c>
    </row>
    <row r="39" spans="1:10">
      <c r="A39" s="52">
        <v>46052.54791666667</v>
      </c>
      <c r="B39" t="s">
        <v>1165</v>
      </c>
      <c r="C39" t="s">
        <v>1084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1076</v>
      </c>
      <c r="G39" s="27"/>
      <c r="H39" t="s">
        <v>221</v>
      </c>
      <c r="I39" t="s">
        <v>1171</v>
      </c>
      <c r="J39" t="s">
        <v>1167</v>
      </c>
    </row>
    <row r="40" spans="1:10">
      <c r="A40" s="52">
        <v>46052.55</v>
      </c>
      <c r="B40" t="s">
        <v>1061</v>
      </c>
      <c r="C40" t="s">
        <v>1172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1173</v>
      </c>
      <c r="G40" s="27"/>
      <c r="H40" t="s">
        <v>221</v>
      </c>
      <c r="I40" t="s">
        <v>1174</v>
      </c>
      <c r="J40" t="s">
        <v>1065</v>
      </c>
    </row>
    <row r="41" spans="1:10">
      <c r="A41" s="52">
        <v>46052.554166666669</v>
      </c>
      <c r="B41" t="s">
        <v>1165</v>
      </c>
      <c r="C41" t="s">
        <v>1087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1079</v>
      </c>
      <c r="G41" s="27"/>
      <c r="H41" t="s">
        <v>221</v>
      </c>
      <c r="I41" t="s">
        <v>1175</v>
      </c>
      <c r="J41" t="s">
        <v>1167</v>
      </c>
    </row>
    <row r="42" spans="1:10">
      <c r="A42" s="52">
        <v>46052.554861111108</v>
      </c>
      <c r="B42" t="s">
        <v>1061</v>
      </c>
      <c r="C42" t="s">
        <v>1176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1177</v>
      </c>
      <c r="G42" s="27"/>
      <c r="H42" t="s">
        <v>221</v>
      </c>
      <c r="I42" t="s">
        <v>1178</v>
      </c>
      <c r="J42" t="s">
        <v>1065</v>
      </c>
    </row>
    <row r="43" spans="1:10">
      <c r="A43" s="52">
        <v>46052.55972222222</v>
      </c>
      <c r="B43" t="s">
        <v>1061</v>
      </c>
      <c r="C43" t="s">
        <v>1179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1180</v>
      </c>
      <c r="G43" s="27"/>
      <c r="H43" t="s">
        <v>221</v>
      </c>
      <c r="I43" t="s">
        <v>1181</v>
      </c>
      <c r="J43" t="s">
        <v>1065</v>
      </c>
    </row>
    <row r="44" spans="1:10">
      <c r="A44" s="52">
        <v>46052.560416666667</v>
      </c>
      <c r="B44" t="s">
        <v>1165</v>
      </c>
      <c r="C44" t="s">
        <v>1090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1082</v>
      </c>
      <c r="G44" s="27"/>
      <c r="H44" t="s">
        <v>221</v>
      </c>
      <c r="I44" t="s">
        <v>1182</v>
      </c>
      <c r="J44" t="s">
        <v>1167</v>
      </c>
    </row>
    <row r="45" spans="1:10">
      <c r="A45" s="52">
        <v>46052.564583333333</v>
      </c>
      <c r="B45" t="s">
        <v>1061</v>
      </c>
      <c r="C45" t="s">
        <v>1183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1184</v>
      </c>
      <c r="G45" s="27"/>
      <c r="H45" t="s">
        <v>221</v>
      </c>
      <c r="I45" t="s">
        <v>1185</v>
      </c>
      <c r="J45" t="s">
        <v>1065</v>
      </c>
    </row>
    <row r="46" spans="1:10">
      <c r="A46" s="52">
        <v>46052.566666666673</v>
      </c>
      <c r="B46" t="s">
        <v>1165</v>
      </c>
      <c r="C46" t="s">
        <v>1093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1085</v>
      </c>
      <c r="G46" s="27"/>
      <c r="H46" t="s">
        <v>221</v>
      </c>
      <c r="I46" t="s">
        <v>1186</v>
      </c>
      <c r="J46" t="s">
        <v>1167</v>
      </c>
    </row>
    <row r="47" spans="1:10">
      <c r="A47" s="52">
        <v>46052.569444444453</v>
      </c>
      <c r="B47" t="s">
        <v>1061</v>
      </c>
      <c r="C47" t="s">
        <v>1187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1188</v>
      </c>
      <c r="G47" s="27"/>
      <c r="H47" t="s">
        <v>221</v>
      </c>
      <c r="I47" t="s">
        <v>1189</v>
      </c>
      <c r="J47" t="s">
        <v>1065</v>
      </c>
    </row>
    <row r="48" spans="1:10">
      <c r="A48" s="52">
        <v>46052.572916666657</v>
      </c>
      <c r="B48" t="s">
        <v>1165</v>
      </c>
      <c r="C48" t="s">
        <v>1096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1088</v>
      </c>
      <c r="G48" s="27"/>
      <c r="H48" t="s">
        <v>221</v>
      </c>
      <c r="I48" t="s">
        <v>1190</v>
      </c>
      <c r="J48" t="s">
        <v>1167</v>
      </c>
    </row>
    <row r="49" spans="1:10">
      <c r="A49" s="52">
        <v>46052.574305555558</v>
      </c>
      <c r="B49" t="s">
        <v>1061</v>
      </c>
      <c r="C49" t="s">
        <v>1191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1192</v>
      </c>
      <c r="G49" s="27"/>
      <c r="H49" t="s">
        <v>221</v>
      </c>
      <c r="I49" t="s">
        <v>1193</v>
      </c>
      <c r="J49" t="s">
        <v>1065</v>
      </c>
    </row>
    <row r="50" spans="1:10">
      <c r="A50" s="52">
        <v>46052.57916666667</v>
      </c>
      <c r="B50" t="s">
        <v>1061</v>
      </c>
      <c r="C50" t="s">
        <v>1194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1195</v>
      </c>
      <c r="G50" s="27"/>
      <c r="H50" t="s">
        <v>221</v>
      </c>
      <c r="I50" t="s">
        <v>1196</v>
      </c>
      <c r="J50" t="s">
        <v>1065</v>
      </c>
    </row>
    <row r="51" spans="1:10">
      <c r="A51" s="52">
        <v>46052.57916666667</v>
      </c>
      <c r="B51" t="s">
        <v>1165</v>
      </c>
      <c r="C51" t="s">
        <v>1099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1091</v>
      </c>
      <c r="G51" s="27"/>
      <c r="H51" t="s">
        <v>221</v>
      </c>
      <c r="I51" t="s">
        <v>1197</v>
      </c>
      <c r="J51" t="s">
        <v>1167</v>
      </c>
    </row>
    <row r="52" spans="1:10">
      <c r="A52" s="52">
        <v>46052.584027777782</v>
      </c>
      <c r="B52" t="s">
        <v>1061</v>
      </c>
      <c r="C52" t="s">
        <v>1198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1199</v>
      </c>
      <c r="G52" s="27"/>
      <c r="H52" t="s">
        <v>221</v>
      </c>
      <c r="I52" t="s">
        <v>1200</v>
      </c>
      <c r="J52" t="s">
        <v>1065</v>
      </c>
    </row>
    <row r="53" spans="1:10">
      <c r="A53" s="52">
        <v>46052.585416666669</v>
      </c>
      <c r="B53" t="s">
        <v>1165</v>
      </c>
      <c r="C53" t="s">
        <v>1102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1094</v>
      </c>
      <c r="G53" s="27"/>
      <c r="H53" t="s">
        <v>221</v>
      </c>
      <c r="I53" t="s">
        <v>1201</v>
      </c>
      <c r="J53" t="s">
        <v>1167</v>
      </c>
    </row>
    <row r="54" spans="1:10">
      <c r="A54" s="52">
        <v>46052.588888888888</v>
      </c>
      <c r="B54" t="s">
        <v>1061</v>
      </c>
      <c r="C54" t="s">
        <v>1202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1203</v>
      </c>
      <c r="G54" s="27"/>
      <c r="H54" t="s">
        <v>221</v>
      </c>
      <c r="I54" t="s">
        <v>1204</v>
      </c>
      <c r="J54" t="s">
        <v>1065</v>
      </c>
    </row>
    <row r="55" spans="1:10">
      <c r="A55" s="52">
        <v>46052.59375</v>
      </c>
      <c r="B55" t="s">
        <v>1061</v>
      </c>
      <c r="C55" t="s">
        <v>1205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1206</v>
      </c>
      <c r="G55" s="27"/>
      <c r="H55" t="s">
        <v>221</v>
      </c>
      <c r="I55" t="s">
        <v>1207</v>
      </c>
      <c r="J55" t="s">
        <v>1065</v>
      </c>
    </row>
    <row r="56" spans="1:10">
      <c r="A56" s="52">
        <v>46052.598611111112</v>
      </c>
      <c r="B56" t="s">
        <v>1061</v>
      </c>
      <c r="C56" t="s">
        <v>1208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1209</v>
      </c>
      <c r="G56" s="27"/>
      <c r="H56" t="s">
        <v>221</v>
      </c>
      <c r="I56" t="s">
        <v>1210</v>
      </c>
      <c r="J56" t="s">
        <v>1065</v>
      </c>
    </row>
    <row r="57" spans="1:10">
      <c r="A57" s="52">
        <v>46052.603472222218</v>
      </c>
      <c r="B57" t="s">
        <v>1061</v>
      </c>
      <c r="C57" t="s">
        <v>1211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1212</v>
      </c>
      <c r="G57" s="27"/>
      <c r="H57" t="s">
        <v>221</v>
      </c>
      <c r="I57" t="s">
        <v>1213</v>
      </c>
      <c r="J57" t="s">
        <v>1065</v>
      </c>
    </row>
    <row r="58" spans="1:10">
      <c r="A58" s="52">
        <v>46052.60833333333</v>
      </c>
      <c r="B58" t="s">
        <v>1061</v>
      </c>
      <c r="C58" t="s">
        <v>1214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1215</v>
      </c>
      <c r="G58" s="27"/>
      <c r="H58" t="s">
        <v>221</v>
      </c>
      <c r="I58" t="s">
        <v>1216</v>
      </c>
      <c r="J58" t="s">
        <v>1065</v>
      </c>
    </row>
    <row r="59" spans="1:10">
      <c r="A59" s="52">
        <v>46052.613194444442</v>
      </c>
      <c r="B59" t="s">
        <v>1217</v>
      </c>
      <c r="C59" t="s">
        <v>1218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1043</v>
      </c>
      <c r="G59" s="27"/>
      <c r="H59" t="s">
        <v>221</v>
      </c>
      <c r="I59" t="s">
        <v>1219</v>
      </c>
      <c r="J59" t="s">
        <v>1220</v>
      </c>
    </row>
    <row r="60" spans="1:10">
      <c r="A60" s="52">
        <v>46052.618055555547</v>
      </c>
      <c r="B60" t="s">
        <v>1217</v>
      </c>
      <c r="C60" t="s">
        <v>1221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1043</v>
      </c>
      <c r="G60" s="27"/>
      <c r="H60" t="s">
        <v>221</v>
      </c>
      <c r="I60" t="s">
        <v>1222</v>
      </c>
      <c r="J60" t="s">
        <v>1220</v>
      </c>
    </row>
    <row r="61" spans="1:10">
      <c r="A61" s="52">
        <v>46052.622916666667</v>
      </c>
      <c r="B61" t="s">
        <v>1061</v>
      </c>
      <c r="C61" t="s">
        <v>1223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1224</v>
      </c>
      <c r="G61" s="27"/>
      <c r="H61" t="s">
        <v>221</v>
      </c>
      <c r="I61" t="s">
        <v>1225</v>
      </c>
      <c r="J61" t="s">
        <v>1065</v>
      </c>
    </row>
    <row r="62" spans="1:10">
      <c r="A62" s="52">
        <v>46052.62777777778</v>
      </c>
      <c r="B62" t="s">
        <v>1061</v>
      </c>
      <c r="C62" t="s">
        <v>1226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1227</v>
      </c>
      <c r="G62" s="27"/>
      <c r="H62" t="s">
        <v>221</v>
      </c>
      <c r="I62" t="s">
        <v>1228</v>
      </c>
      <c r="J62" t="s">
        <v>1065</v>
      </c>
    </row>
    <row r="63" spans="1:10">
      <c r="A63" s="52">
        <v>46052.632638888892</v>
      </c>
      <c r="B63" t="s">
        <v>1061</v>
      </c>
      <c r="C63" t="s">
        <v>1229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1230</v>
      </c>
      <c r="G63" s="27"/>
      <c r="H63" t="s">
        <v>221</v>
      </c>
      <c r="I63" t="s">
        <v>1231</v>
      </c>
      <c r="J63" t="s">
        <v>1065</v>
      </c>
    </row>
    <row r="64" spans="1:10">
      <c r="A64" s="52">
        <v>46052.637499999997</v>
      </c>
      <c r="B64" t="s">
        <v>1061</v>
      </c>
      <c r="C64" t="s">
        <v>1232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1233</v>
      </c>
      <c r="G64" s="27"/>
      <c r="H64" t="s">
        <v>221</v>
      </c>
      <c r="I64" t="s">
        <v>1234</v>
      </c>
      <c r="J64" t="s">
        <v>1065</v>
      </c>
    </row>
    <row r="65" spans="1:10">
      <c r="A65" s="52">
        <v>46052.642361111109</v>
      </c>
      <c r="B65" t="s">
        <v>1061</v>
      </c>
      <c r="C65" t="s">
        <v>1235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1236</v>
      </c>
      <c r="G65" s="27"/>
      <c r="H65" t="s">
        <v>221</v>
      </c>
      <c r="I65" t="s">
        <v>1237</v>
      </c>
      <c r="J65" t="s">
        <v>1065</v>
      </c>
    </row>
    <row r="66" spans="1:10">
      <c r="A66" s="52">
        <v>46052.647222222222</v>
      </c>
      <c r="B66" t="s">
        <v>1061</v>
      </c>
      <c r="C66" t="s">
        <v>1238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1239</v>
      </c>
      <c r="G66" s="27"/>
      <c r="H66" t="s">
        <v>221</v>
      </c>
      <c r="I66" t="s">
        <v>1240</v>
      </c>
      <c r="J66" t="s">
        <v>1065</v>
      </c>
    </row>
    <row r="67" spans="1:10">
      <c r="A67" s="52">
        <v>46052.652083333327</v>
      </c>
      <c r="B67" t="s">
        <v>1061</v>
      </c>
      <c r="C67" t="s">
        <v>1241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1242</v>
      </c>
      <c r="G67" s="27"/>
      <c r="H67" t="s">
        <v>221</v>
      </c>
      <c r="I67" t="s">
        <v>1243</v>
      </c>
      <c r="J67" t="s">
        <v>1065</v>
      </c>
    </row>
    <row r="68" spans="1:10">
      <c r="A68" s="52">
        <v>46052.656944444447</v>
      </c>
      <c r="B68" t="s">
        <v>1061</v>
      </c>
      <c r="C68" t="s">
        <v>1244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1245</v>
      </c>
      <c r="G68" s="27"/>
      <c r="H68" t="s">
        <v>221</v>
      </c>
      <c r="I68" t="s">
        <v>1246</v>
      </c>
      <c r="J68" t="s">
        <v>1065</v>
      </c>
    </row>
    <row r="69" spans="1:10">
      <c r="A69" s="52">
        <v>46052.661805555559</v>
      </c>
      <c r="B69" t="s">
        <v>1061</v>
      </c>
      <c r="C69" t="s">
        <v>1247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1248</v>
      </c>
      <c r="G69" s="27"/>
      <c r="H69" t="s">
        <v>221</v>
      </c>
      <c r="I69" t="s">
        <v>1249</v>
      </c>
      <c r="J69" t="s">
        <v>1065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24" priority="1" stopIfTrue="1">
      <formula>AND($B2&lt;&gt;"",OR($A2="",TRIM($C2)="",TRIM($E2)=""))</formula>
    </cfRule>
    <cfRule type="expression" dxfId="23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1250</v>
      </c>
      <c r="B1" s="50" t="s">
        <v>1251</v>
      </c>
      <c r="C1" s="50" t="s">
        <v>1252</v>
      </c>
      <c r="D1" s="50" t="s">
        <v>189</v>
      </c>
    </row>
    <row r="2" spans="1:4">
      <c r="A2" s="29" t="s">
        <v>1253</v>
      </c>
    </row>
    <row r="3" spans="1:4">
      <c r="A3" t="s">
        <v>1254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1255</v>
      </c>
    </row>
    <row r="4" spans="1:4">
      <c r="A4" t="s">
        <v>1254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1255</v>
      </c>
    </row>
    <row r="5" spans="1:4">
      <c r="A5" t="s">
        <v>1254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1255</v>
      </c>
    </row>
    <row r="6" spans="1:4">
      <c r="A6" t="s">
        <v>1254</v>
      </c>
      <c r="B6" t="str">
        <f>IF('02_Warehouse_Locations'!A5="","",'02_Warehouse_Locations'!A5)</f>
        <v>Z1</v>
      </c>
      <c r="C6" t="str">
        <f t="shared" si="0"/>
        <v>Z1</v>
      </c>
      <c r="D6" t="s">
        <v>1255</v>
      </c>
    </row>
    <row r="7" spans="1:4">
      <c r="A7" t="s">
        <v>1254</v>
      </c>
      <c r="B7" t="str">
        <f>IF('02_Warehouse_Locations'!A6="","",'02_Warehouse_Locations'!A6)</f>
        <v>A</v>
      </c>
      <c r="C7" t="str">
        <f t="shared" si="0"/>
        <v>A</v>
      </c>
      <c r="D7" t="s">
        <v>1255</v>
      </c>
    </row>
    <row r="8" spans="1:4">
      <c r="A8" t="s">
        <v>1254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1255</v>
      </c>
    </row>
    <row r="9" spans="1:4">
      <c r="A9" t="s">
        <v>1254</v>
      </c>
      <c r="B9" t="str">
        <f>IF('02_Warehouse_Locations'!A8="","",'02_Warehouse_Locations'!A8)</f>
        <v>01</v>
      </c>
      <c r="C9" t="str">
        <f t="shared" si="0"/>
        <v>01</v>
      </c>
      <c r="D9" t="s">
        <v>1255</v>
      </c>
    </row>
    <row r="10" spans="1:4">
      <c r="A10" t="s">
        <v>1254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1255</v>
      </c>
    </row>
    <row r="11" spans="1:4">
      <c r="A11" t="s">
        <v>1254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1255</v>
      </c>
    </row>
    <row r="12" spans="1:4">
      <c r="A12" t="s">
        <v>1254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1255</v>
      </c>
    </row>
    <row r="13" spans="1:4">
      <c r="A13" t="s">
        <v>1254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1255</v>
      </c>
    </row>
    <row r="14" spans="1:4">
      <c r="A14" t="s">
        <v>1254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1255</v>
      </c>
    </row>
    <row r="15" spans="1:4">
      <c r="A15" t="s">
        <v>1254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1255</v>
      </c>
    </row>
    <row r="16" spans="1:4">
      <c r="A16" t="s">
        <v>1254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1255</v>
      </c>
    </row>
    <row r="17" spans="1:4">
      <c r="A17" t="s">
        <v>1254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1255</v>
      </c>
    </row>
    <row r="18" spans="1:4">
      <c r="A18" t="s">
        <v>1254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1255</v>
      </c>
    </row>
    <row r="19" spans="1:4">
      <c r="A19" t="s">
        <v>1254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1255</v>
      </c>
    </row>
    <row r="20" spans="1:4">
      <c r="A20" t="s">
        <v>1254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1255</v>
      </c>
    </row>
    <row r="21" spans="1:4">
      <c r="A21" t="s">
        <v>1254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1255</v>
      </c>
    </row>
    <row r="22" spans="1:4">
      <c r="A22" t="s">
        <v>1254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1255</v>
      </c>
    </row>
    <row r="23" spans="1:4">
      <c r="A23" t="s">
        <v>1254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1255</v>
      </c>
    </row>
    <row r="24" spans="1:4">
      <c r="A24" t="s">
        <v>1254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1255</v>
      </c>
    </row>
    <row r="25" spans="1:4">
      <c r="A25" t="s">
        <v>1254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1255</v>
      </c>
    </row>
    <row r="26" spans="1:4">
      <c r="A26" t="s">
        <v>1254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1255</v>
      </c>
    </row>
    <row r="27" spans="1:4">
      <c r="A27" t="s">
        <v>1254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1255</v>
      </c>
    </row>
    <row r="28" spans="1:4">
      <c r="A28" t="s">
        <v>1254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1255</v>
      </c>
    </row>
    <row r="29" spans="1:4">
      <c r="A29" t="s">
        <v>1254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1255</v>
      </c>
    </row>
    <row r="30" spans="1:4">
      <c r="A30" t="s">
        <v>1254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1255</v>
      </c>
    </row>
    <row r="31" spans="1:4">
      <c r="A31" t="s">
        <v>1254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1255</v>
      </c>
    </row>
    <row r="32" spans="1:4">
      <c r="A32" t="s">
        <v>1254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1255</v>
      </c>
    </row>
    <row r="33" spans="1:4">
      <c r="A33" t="s">
        <v>1254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1255</v>
      </c>
    </row>
    <row r="34" spans="1:4">
      <c r="A34" t="s">
        <v>1254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1255</v>
      </c>
    </row>
    <row r="35" spans="1:4">
      <c r="A35" t="s">
        <v>1254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1255</v>
      </c>
    </row>
    <row r="36" spans="1:4">
      <c r="A36" t="s">
        <v>1254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1255</v>
      </c>
    </row>
    <row r="37" spans="1:4">
      <c r="A37" t="s">
        <v>1254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1255</v>
      </c>
    </row>
    <row r="38" spans="1:4">
      <c r="A38" t="s">
        <v>1254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1255</v>
      </c>
    </row>
    <row r="39" spans="1:4">
      <c r="A39" t="s">
        <v>1254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1255</v>
      </c>
    </row>
    <row r="40" spans="1:4">
      <c r="A40" t="s">
        <v>1254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1255</v>
      </c>
    </row>
    <row r="41" spans="1:4">
      <c r="A41" t="s">
        <v>1254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1255</v>
      </c>
    </row>
    <row r="42" spans="1:4">
      <c r="A42" t="s">
        <v>1254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1255</v>
      </c>
    </row>
    <row r="43" spans="1:4">
      <c r="A43" t="s">
        <v>1254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1255</v>
      </c>
    </row>
    <row r="44" spans="1:4">
      <c r="A44" t="s">
        <v>1254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1255</v>
      </c>
    </row>
    <row r="45" spans="1:4">
      <c r="A45" t="s">
        <v>1254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1255</v>
      </c>
    </row>
    <row r="46" spans="1:4">
      <c r="A46" t="s">
        <v>1254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1255</v>
      </c>
    </row>
    <row r="47" spans="1:4">
      <c r="A47" t="s">
        <v>1254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1255</v>
      </c>
    </row>
    <row r="48" spans="1:4">
      <c r="A48" t="s">
        <v>1254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1255</v>
      </c>
    </row>
    <row r="49" spans="1:4">
      <c r="A49" t="s">
        <v>1254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1255</v>
      </c>
    </row>
    <row r="50" spans="1:4">
      <c r="A50" t="s">
        <v>1254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1255</v>
      </c>
    </row>
    <row r="51" spans="1:4">
      <c r="A51" t="s">
        <v>1254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1255</v>
      </c>
    </row>
    <row r="52" spans="1:4">
      <c r="A52" t="s">
        <v>1254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1255</v>
      </c>
    </row>
    <row r="53" spans="1:4">
      <c r="A53" t="s">
        <v>1254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1255</v>
      </c>
    </row>
    <row r="54" spans="1:4">
      <c r="A54" t="s">
        <v>1254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1255</v>
      </c>
    </row>
    <row r="55" spans="1:4">
      <c r="A55" t="s">
        <v>1254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1255</v>
      </c>
    </row>
    <row r="56" spans="1:4">
      <c r="A56" t="s">
        <v>1254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1255</v>
      </c>
    </row>
    <row r="57" spans="1:4">
      <c r="A57" t="s">
        <v>1254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1255</v>
      </c>
    </row>
    <row r="58" spans="1:4">
      <c r="A58" t="s">
        <v>1254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1255</v>
      </c>
    </row>
    <row r="59" spans="1:4">
      <c r="A59" t="s">
        <v>1254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1255</v>
      </c>
    </row>
    <row r="60" spans="1:4">
      <c r="A60" t="s">
        <v>1254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1255</v>
      </c>
    </row>
    <row r="61" spans="1:4">
      <c r="A61" t="s">
        <v>1254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1255</v>
      </c>
    </row>
    <row r="62" spans="1:4">
      <c r="A62" t="s">
        <v>1254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1255</v>
      </c>
    </row>
    <row r="63" spans="1:4">
      <c r="A63" t="s">
        <v>1254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1255</v>
      </c>
    </row>
    <row r="64" spans="1:4">
      <c r="A64" t="s">
        <v>1254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1255</v>
      </c>
    </row>
    <row r="65" spans="1:4">
      <c r="A65" t="s">
        <v>1254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1255</v>
      </c>
    </row>
    <row r="66" spans="1:4">
      <c r="A66" t="s">
        <v>1254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1255</v>
      </c>
    </row>
    <row r="67" spans="1:4">
      <c r="A67" t="s">
        <v>1254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1255</v>
      </c>
    </row>
    <row r="68" spans="1:4">
      <c r="A68" t="s">
        <v>1254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1255</v>
      </c>
    </row>
    <row r="69" spans="1:4">
      <c r="A69" t="s">
        <v>1254</v>
      </c>
      <c r="B69" t="str">
        <f>IF('02_Warehouse_Locations'!A68="","",'02_Warehouse_Locations'!A68)</f>
        <v>D</v>
      </c>
      <c r="C69" t="str">
        <f t="shared" si="1"/>
        <v>D</v>
      </c>
      <c r="D69" t="s">
        <v>1255</v>
      </c>
    </row>
    <row r="70" spans="1:4">
      <c r="A70" t="s">
        <v>1254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1255</v>
      </c>
    </row>
    <row r="71" spans="1:4">
      <c r="A71" t="s">
        <v>1254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1255</v>
      </c>
    </row>
    <row r="72" spans="1:4">
      <c r="A72" t="s">
        <v>1254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1255</v>
      </c>
    </row>
    <row r="73" spans="1:4">
      <c r="A73" t="s">
        <v>1254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1255</v>
      </c>
    </row>
    <row r="74" spans="1:4">
      <c r="A74" t="s">
        <v>1254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1255</v>
      </c>
    </row>
    <row r="75" spans="1:4">
      <c r="A75" t="s">
        <v>1254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1255</v>
      </c>
    </row>
    <row r="76" spans="1:4">
      <c r="A76" t="s">
        <v>1254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1255</v>
      </c>
    </row>
    <row r="77" spans="1:4">
      <c r="A77" t="s">
        <v>1254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1255</v>
      </c>
    </row>
    <row r="78" spans="1:4">
      <c r="A78" t="s">
        <v>1254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1255</v>
      </c>
    </row>
    <row r="79" spans="1:4">
      <c r="A79" t="s">
        <v>1254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1255</v>
      </c>
    </row>
    <row r="80" spans="1:4">
      <c r="A80" t="s">
        <v>1254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1255</v>
      </c>
    </row>
    <row r="81" spans="1:4">
      <c r="A81" t="s">
        <v>1254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1255</v>
      </c>
    </row>
    <row r="82" spans="1:4">
      <c r="A82" t="s">
        <v>1254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1255</v>
      </c>
    </row>
    <row r="83" spans="1:4">
      <c r="A83" t="s">
        <v>1254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1255</v>
      </c>
    </row>
    <row r="84" spans="1:4">
      <c r="A84" t="s">
        <v>1254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1255</v>
      </c>
    </row>
    <row r="85" spans="1:4">
      <c r="A85" t="s">
        <v>1254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1255</v>
      </c>
    </row>
    <row r="86" spans="1:4">
      <c r="A86" t="s">
        <v>1254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1255</v>
      </c>
    </row>
    <row r="87" spans="1:4">
      <c r="A87" t="s">
        <v>1254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1255</v>
      </c>
    </row>
    <row r="88" spans="1:4">
      <c r="A88" t="s">
        <v>1254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1255</v>
      </c>
    </row>
    <row r="89" spans="1:4">
      <c r="A89" t="s">
        <v>1254</v>
      </c>
      <c r="B89" t="str">
        <f>IF('02_Warehouse_Locations'!A88="","",'02_Warehouse_Locations'!A88)</f>
        <v>E</v>
      </c>
      <c r="C89" t="str">
        <f t="shared" si="1"/>
        <v>E</v>
      </c>
      <c r="D89" t="s">
        <v>1255</v>
      </c>
    </row>
    <row r="90" spans="1:4">
      <c r="A90" t="s">
        <v>1254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1255</v>
      </c>
    </row>
    <row r="91" spans="1:4">
      <c r="A91" t="s">
        <v>1254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1255</v>
      </c>
    </row>
    <row r="92" spans="1:4">
      <c r="A92" t="s">
        <v>1254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1255</v>
      </c>
    </row>
    <row r="93" spans="1:4">
      <c r="A93" t="s">
        <v>1254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1255</v>
      </c>
    </row>
    <row r="94" spans="1:4">
      <c r="A94" t="s">
        <v>1254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1255</v>
      </c>
    </row>
    <row r="95" spans="1:4">
      <c r="A95" t="s">
        <v>1254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1255</v>
      </c>
    </row>
    <row r="96" spans="1:4">
      <c r="A96" t="s">
        <v>1254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1255</v>
      </c>
    </row>
    <row r="97" spans="1:4">
      <c r="A97" t="s">
        <v>1254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1255</v>
      </c>
    </row>
    <row r="98" spans="1:4">
      <c r="A98" t="s">
        <v>1254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1255</v>
      </c>
    </row>
    <row r="99" spans="1:4">
      <c r="A99" t="s">
        <v>1254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1255</v>
      </c>
    </row>
    <row r="100" spans="1:4">
      <c r="A100" t="s">
        <v>1254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1255</v>
      </c>
    </row>
    <row r="101" spans="1:4">
      <c r="A101" t="s">
        <v>1254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1255</v>
      </c>
    </row>
    <row r="102" spans="1:4">
      <c r="A102" t="s">
        <v>1254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1255</v>
      </c>
    </row>
    <row r="103" spans="1:4">
      <c r="A103" t="s">
        <v>1254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1255</v>
      </c>
    </row>
    <row r="104" spans="1:4">
      <c r="A104" t="s">
        <v>1254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1255</v>
      </c>
    </row>
    <row r="105" spans="1:4">
      <c r="A105" t="s">
        <v>1254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1255</v>
      </c>
    </row>
    <row r="106" spans="1:4">
      <c r="A106" t="s">
        <v>1254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1255</v>
      </c>
    </row>
    <row r="107" spans="1:4">
      <c r="A107" t="s">
        <v>1254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1255</v>
      </c>
    </row>
    <row r="108" spans="1:4">
      <c r="A108" t="s">
        <v>1254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1255</v>
      </c>
    </row>
    <row r="109" spans="1:4">
      <c r="A109" t="s">
        <v>1254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1255</v>
      </c>
    </row>
    <row r="110" spans="1:4">
      <c r="A110" t="s">
        <v>1254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1255</v>
      </c>
    </row>
    <row r="111" spans="1:4">
      <c r="A111" t="s">
        <v>1254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1255</v>
      </c>
    </row>
    <row r="112" spans="1:4">
      <c r="A112" t="s">
        <v>1254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1255</v>
      </c>
    </row>
    <row r="113" spans="1:4">
      <c r="A113" t="s">
        <v>1254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1255</v>
      </c>
    </row>
    <row r="114" spans="1:4">
      <c r="A114" t="s">
        <v>1254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1255</v>
      </c>
    </row>
    <row r="115" spans="1:4">
      <c r="A115" t="s">
        <v>1254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1255</v>
      </c>
    </row>
    <row r="116" spans="1:4">
      <c r="A116" t="s">
        <v>1254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1255</v>
      </c>
    </row>
    <row r="117" spans="1:4">
      <c r="A117" t="s">
        <v>1254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1255</v>
      </c>
    </row>
    <row r="118" spans="1:4">
      <c r="A118" t="s">
        <v>1254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1255</v>
      </c>
    </row>
    <row r="119" spans="1:4">
      <c r="A119" t="s">
        <v>1254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1255</v>
      </c>
    </row>
    <row r="120" spans="1:4">
      <c r="A120" t="s">
        <v>1254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1255</v>
      </c>
    </row>
    <row r="121" spans="1:4">
      <c r="A121" t="s">
        <v>1254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1255</v>
      </c>
    </row>
    <row r="122" spans="1:4">
      <c r="A122" t="s">
        <v>1254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1255</v>
      </c>
    </row>
    <row r="123" spans="1:4">
      <c r="A123" t="s">
        <v>1254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1255</v>
      </c>
    </row>
    <row r="124" spans="1:4">
      <c r="A124" t="s">
        <v>1254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1255</v>
      </c>
    </row>
    <row r="125" spans="1:4">
      <c r="A125" t="s">
        <v>1254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1255</v>
      </c>
    </row>
    <row r="126" spans="1:4">
      <c r="A126" t="s">
        <v>1254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1255</v>
      </c>
    </row>
    <row r="127" spans="1:4">
      <c r="A127" t="s">
        <v>1254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1255</v>
      </c>
    </row>
    <row r="128" spans="1:4">
      <c r="A128" t="s">
        <v>1254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1255</v>
      </c>
    </row>
    <row r="129" spans="1:4">
      <c r="A129" t="s">
        <v>1254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1255</v>
      </c>
    </row>
    <row r="130" spans="1:4">
      <c r="A130" t="s">
        <v>1254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1255</v>
      </c>
    </row>
    <row r="131" spans="1:4">
      <c r="A131" t="s">
        <v>1254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1255</v>
      </c>
    </row>
    <row r="132" spans="1:4">
      <c r="A132" t="s">
        <v>1254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1255</v>
      </c>
    </row>
    <row r="133" spans="1:4">
      <c r="A133" t="s">
        <v>1254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1255</v>
      </c>
    </row>
    <row r="134" spans="1:4">
      <c r="A134" t="s">
        <v>1254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1255</v>
      </c>
    </row>
    <row r="135" spans="1:4">
      <c r="A135" t="s">
        <v>1254</v>
      </c>
      <c r="B135" t="str">
        <f>IF('02_Warehouse_Locations'!A134="","",'02_Warehouse_Locations'!A134)</f>
        <v/>
      </c>
      <c r="C135" t="str">
        <f t="shared" si="2"/>
        <v/>
      </c>
      <c r="D135" t="s">
        <v>1255</v>
      </c>
    </row>
    <row r="136" spans="1:4">
      <c r="A136" t="s">
        <v>1254</v>
      </c>
      <c r="B136" t="str">
        <f>IF('02_Warehouse_Locations'!A135="","",'02_Warehouse_Locations'!A135)</f>
        <v/>
      </c>
      <c r="C136" t="str">
        <f t="shared" si="2"/>
        <v/>
      </c>
      <c r="D136" t="s">
        <v>1255</v>
      </c>
    </row>
    <row r="137" spans="1:4">
      <c r="A137" t="s">
        <v>1254</v>
      </c>
      <c r="B137" t="str">
        <f>IF('02_Warehouse_Locations'!A136="","",'02_Warehouse_Locations'!A136)</f>
        <v/>
      </c>
      <c r="C137" t="str">
        <f t="shared" si="2"/>
        <v/>
      </c>
      <c r="D137" t="s">
        <v>1255</v>
      </c>
    </row>
    <row r="138" spans="1:4">
      <c r="A138" t="s">
        <v>1254</v>
      </c>
      <c r="B138" t="str">
        <f>IF('02_Warehouse_Locations'!A137="","",'02_Warehouse_Locations'!A137)</f>
        <v/>
      </c>
      <c r="C138" t="str">
        <f t="shared" si="2"/>
        <v/>
      </c>
      <c r="D138" t="s">
        <v>1255</v>
      </c>
    </row>
    <row r="139" spans="1:4">
      <c r="A139" t="s">
        <v>1254</v>
      </c>
      <c r="B139" t="str">
        <f>IF('02_Warehouse_Locations'!A138="","",'02_Warehouse_Locations'!A138)</f>
        <v/>
      </c>
      <c r="C139" t="str">
        <f t="shared" si="2"/>
        <v/>
      </c>
      <c r="D139" t="s">
        <v>1255</v>
      </c>
    </row>
    <row r="140" spans="1:4">
      <c r="A140" t="s">
        <v>1254</v>
      </c>
      <c r="B140" t="str">
        <f>IF('02_Warehouse_Locations'!A139="","",'02_Warehouse_Locations'!A139)</f>
        <v/>
      </c>
      <c r="C140" t="str">
        <f t="shared" si="2"/>
        <v/>
      </c>
      <c r="D140" t="s">
        <v>1255</v>
      </c>
    </row>
    <row r="141" spans="1:4">
      <c r="A141" t="s">
        <v>1254</v>
      </c>
      <c r="B141" t="str">
        <f>IF('02_Warehouse_Locations'!A140="","",'02_Warehouse_Locations'!A140)</f>
        <v/>
      </c>
      <c r="C141" t="str">
        <f t="shared" si="2"/>
        <v/>
      </c>
      <c r="D141" t="s">
        <v>1255</v>
      </c>
    </row>
    <row r="142" spans="1:4">
      <c r="A142" t="s">
        <v>1254</v>
      </c>
      <c r="B142" t="str">
        <f>IF('02_Warehouse_Locations'!A141="","",'02_Warehouse_Locations'!A141)</f>
        <v/>
      </c>
      <c r="C142" t="str">
        <f t="shared" si="2"/>
        <v/>
      </c>
      <c r="D142" t="s">
        <v>1255</v>
      </c>
    </row>
    <row r="143" spans="1:4">
      <c r="A143" t="s">
        <v>1254</v>
      </c>
      <c r="B143" t="str">
        <f>IF('02_Warehouse_Locations'!A142="","",'02_Warehouse_Locations'!A142)</f>
        <v/>
      </c>
      <c r="C143" t="str">
        <f t="shared" si="2"/>
        <v/>
      </c>
      <c r="D143" t="s">
        <v>1255</v>
      </c>
    </row>
    <row r="144" spans="1:4">
      <c r="A144" t="s">
        <v>1254</v>
      </c>
      <c r="B144" t="str">
        <f>IF('02_Warehouse_Locations'!A143="","",'02_Warehouse_Locations'!A143)</f>
        <v/>
      </c>
      <c r="C144" t="str">
        <f t="shared" si="2"/>
        <v/>
      </c>
      <c r="D144" t="s">
        <v>1255</v>
      </c>
    </row>
    <row r="145" spans="1:4">
      <c r="A145" t="s">
        <v>1254</v>
      </c>
      <c r="B145" t="str">
        <f>IF('02_Warehouse_Locations'!A144="","",'02_Warehouse_Locations'!A144)</f>
        <v/>
      </c>
      <c r="C145" t="str">
        <f t="shared" si="2"/>
        <v/>
      </c>
      <c r="D145" t="s">
        <v>1255</v>
      </c>
    </row>
    <row r="146" spans="1:4">
      <c r="A146" t="s">
        <v>1254</v>
      </c>
      <c r="B146" t="str">
        <f>IF('02_Warehouse_Locations'!A145="","",'02_Warehouse_Locations'!A145)</f>
        <v/>
      </c>
      <c r="C146" t="str">
        <f t="shared" si="2"/>
        <v/>
      </c>
      <c r="D146" t="s">
        <v>1255</v>
      </c>
    </row>
    <row r="147" spans="1:4">
      <c r="A147" t="s">
        <v>1254</v>
      </c>
      <c r="B147" t="str">
        <f>IF('02_Warehouse_Locations'!A146="","",'02_Warehouse_Locations'!A146)</f>
        <v/>
      </c>
      <c r="C147" t="str">
        <f t="shared" si="2"/>
        <v/>
      </c>
      <c r="D147" t="s">
        <v>1255</v>
      </c>
    </row>
    <row r="148" spans="1:4">
      <c r="A148" t="s">
        <v>1254</v>
      </c>
      <c r="B148" t="str">
        <f>IF('02_Warehouse_Locations'!A147="","",'02_Warehouse_Locations'!A147)</f>
        <v/>
      </c>
      <c r="C148" t="str">
        <f t="shared" si="2"/>
        <v/>
      </c>
      <c r="D148" t="s">
        <v>1255</v>
      </c>
    </row>
    <row r="149" spans="1:4">
      <c r="A149" t="s">
        <v>1254</v>
      </c>
      <c r="B149" t="str">
        <f>IF('02_Warehouse_Locations'!A148="","",'02_Warehouse_Locations'!A148)</f>
        <v/>
      </c>
      <c r="C149" t="str">
        <f t="shared" si="2"/>
        <v/>
      </c>
      <c r="D149" t="s">
        <v>1255</v>
      </c>
    </row>
    <row r="150" spans="1:4">
      <c r="A150" t="s">
        <v>1254</v>
      </c>
      <c r="B150" t="str">
        <f>IF('02_Warehouse_Locations'!A149="","",'02_Warehouse_Locations'!A149)</f>
        <v/>
      </c>
      <c r="C150" t="str">
        <f t="shared" si="2"/>
        <v/>
      </c>
      <c r="D150" t="s">
        <v>1255</v>
      </c>
    </row>
    <row r="151" spans="1:4">
      <c r="A151" t="s">
        <v>1254</v>
      </c>
      <c r="B151" t="str">
        <f>IF('02_Warehouse_Locations'!A150="","",'02_Warehouse_Locations'!A150)</f>
        <v/>
      </c>
      <c r="C151" t="str">
        <f t="shared" si="2"/>
        <v/>
      </c>
      <c r="D151" t="s">
        <v>1255</v>
      </c>
    </row>
    <row r="152" spans="1:4">
      <c r="A152" t="s">
        <v>1254</v>
      </c>
      <c r="B152" t="str">
        <f>IF('02_Warehouse_Locations'!A151="","",'02_Warehouse_Locations'!A151)</f>
        <v/>
      </c>
      <c r="C152" t="str">
        <f t="shared" si="2"/>
        <v/>
      </c>
      <c r="D152" t="s">
        <v>1255</v>
      </c>
    </row>
    <row r="153" spans="1:4">
      <c r="A153" t="s">
        <v>1254</v>
      </c>
      <c r="B153" t="str">
        <f>IF('02_Warehouse_Locations'!A152="","",'02_Warehouse_Locations'!A152)</f>
        <v/>
      </c>
      <c r="C153" t="str">
        <f t="shared" si="2"/>
        <v/>
      </c>
      <c r="D153" t="s">
        <v>1255</v>
      </c>
    </row>
    <row r="154" spans="1:4">
      <c r="A154" t="s">
        <v>1254</v>
      </c>
      <c r="B154" t="str">
        <f>IF('02_Warehouse_Locations'!A153="","",'02_Warehouse_Locations'!A153)</f>
        <v/>
      </c>
      <c r="C154" t="str">
        <f t="shared" si="2"/>
        <v/>
      </c>
      <c r="D154" t="s">
        <v>1255</v>
      </c>
    </row>
    <row r="155" spans="1:4">
      <c r="A155" t="s">
        <v>1254</v>
      </c>
      <c r="B155" t="str">
        <f>IF('02_Warehouse_Locations'!A154="","",'02_Warehouse_Locations'!A154)</f>
        <v/>
      </c>
      <c r="C155" t="str">
        <f t="shared" si="2"/>
        <v/>
      </c>
      <c r="D155" t="s">
        <v>1255</v>
      </c>
    </row>
    <row r="156" spans="1:4">
      <c r="A156" t="s">
        <v>1254</v>
      </c>
      <c r="B156" t="str">
        <f>IF('02_Warehouse_Locations'!A155="","",'02_Warehouse_Locations'!A155)</f>
        <v/>
      </c>
      <c r="C156" t="str">
        <f t="shared" si="2"/>
        <v/>
      </c>
      <c r="D156" t="s">
        <v>1255</v>
      </c>
    </row>
    <row r="157" spans="1:4">
      <c r="A157" t="s">
        <v>1254</v>
      </c>
      <c r="B157" t="str">
        <f>IF('02_Warehouse_Locations'!A156="","",'02_Warehouse_Locations'!A156)</f>
        <v/>
      </c>
      <c r="C157" t="str">
        <f t="shared" si="2"/>
        <v/>
      </c>
      <c r="D157" t="s">
        <v>1255</v>
      </c>
    </row>
    <row r="158" spans="1:4">
      <c r="A158" t="s">
        <v>1254</v>
      </c>
      <c r="B158" t="str">
        <f>IF('02_Warehouse_Locations'!A157="","",'02_Warehouse_Locations'!A157)</f>
        <v/>
      </c>
      <c r="C158" t="str">
        <f t="shared" si="2"/>
        <v/>
      </c>
      <c r="D158" t="s">
        <v>1255</v>
      </c>
    </row>
    <row r="159" spans="1:4">
      <c r="A159" t="s">
        <v>1254</v>
      </c>
      <c r="B159" t="str">
        <f>IF('02_Warehouse_Locations'!A158="","",'02_Warehouse_Locations'!A158)</f>
        <v/>
      </c>
      <c r="C159" t="str">
        <f t="shared" si="2"/>
        <v/>
      </c>
      <c r="D159" t="s">
        <v>1255</v>
      </c>
    </row>
    <row r="160" spans="1:4">
      <c r="A160" t="s">
        <v>1254</v>
      </c>
      <c r="B160" t="str">
        <f>IF('02_Warehouse_Locations'!A159="","",'02_Warehouse_Locations'!A159)</f>
        <v/>
      </c>
      <c r="C160" t="str">
        <f t="shared" si="2"/>
        <v/>
      </c>
      <c r="D160" t="s">
        <v>1255</v>
      </c>
    </row>
    <row r="161" spans="1:4">
      <c r="A161" t="s">
        <v>1254</v>
      </c>
      <c r="B161" t="str">
        <f>IF('02_Warehouse_Locations'!A160="","",'02_Warehouse_Locations'!A160)</f>
        <v/>
      </c>
      <c r="C161" t="str">
        <f t="shared" si="2"/>
        <v/>
      </c>
      <c r="D161" t="s">
        <v>1255</v>
      </c>
    </row>
    <row r="162" spans="1:4">
      <c r="A162" t="s">
        <v>1254</v>
      </c>
      <c r="B162" t="str">
        <f>IF('02_Warehouse_Locations'!A161="","",'02_Warehouse_Locations'!A161)</f>
        <v/>
      </c>
      <c r="C162" t="str">
        <f t="shared" si="2"/>
        <v/>
      </c>
      <c r="D162" t="s">
        <v>1255</v>
      </c>
    </row>
    <row r="163" spans="1:4">
      <c r="A163" t="s">
        <v>1254</v>
      </c>
      <c r="B163" t="str">
        <f>IF('02_Warehouse_Locations'!A162="","",'02_Warehouse_Locations'!A162)</f>
        <v/>
      </c>
      <c r="C163" t="str">
        <f t="shared" si="2"/>
        <v/>
      </c>
      <c r="D163" t="s">
        <v>1255</v>
      </c>
    </row>
    <row r="164" spans="1:4">
      <c r="A164" t="s">
        <v>1254</v>
      </c>
      <c r="B164" t="str">
        <f>IF('02_Warehouse_Locations'!A163="","",'02_Warehouse_Locations'!A163)</f>
        <v/>
      </c>
      <c r="C164" t="str">
        <f t="shared" si="2"/>
        <v/>
      </c>
      <c r="D164" t="s">
        <v>1255</v>
      </c>
    </row>
    <row r="165" spans="1:4">
      <c r="A165" t="s">
        <v>1254</v>
      </c>
      <c r="B165" t="str">
        <f>IF('02_Warehouse_Locations'!A164="","",'02_Warehouse_Locations'!A164)</f>
        <v/>
      </c>
      <c r="C165" t="str">
        <f t="shared" si="2"/>
        <v/>
      </c>
      <c r="D165" t="s">
        <v>1255</v>
      </c>
    </row>
    <row r="166" spans="1:4">
      <c r="A166" t="s">
        <v>1254</v>
      </c>
      <c r="B166" t="str">
        <f>IF('02_Warehouse_Locations'!A165="","",'02_Warehouse_Locations'!A165)</f>
        <v/>
      </c>
      <c r="C166" t="str">
        <f t="shared" si="2"/>
        <v/>
      </c>
      <c r="D166" t="s">
        <v>1255</v>
      </c>
    </row>
    <row r="167" spans="1:4">
      <c r="A167" t="s">
        <v>1254</v>
      </c>
      <c r="B167" t="str">
        <f>IF('02_Warehouse_Locations'!A166="","",'02_Warehouse_Locations'!A166)</f>
        <v/>
      </c>
      <c r="C167" t="str">
        <f t="shared" si="2"/>
        <v/>
      </c>
      <c r="D167" t="s">
        <v>1255</v>
      </c>
    </row>
    <row r="168" spans="1:4">
      <c r="A168" t="s">
        <v>1254</v>
      </c>
      <c r="B168" t="str">
        <f>IF('02_Warehouse_Locations'!A167="","",'02_Warehouse_Locations'!A167)</f>
        <v/>
      </c>
      <c r="C168" t="str">
        <f t="shared" si="2"/>
        <v/>
      </c>
      <c r="D168" t="s">
        <v>1255</v>
      </c>
    </row>
    <row r="169" spans="1:4">
      <c r="A169" t="s">
        <v>1254</v>
      </c>
      <c r="B169" t="str">
        <f>IF('02_Warehouse_Locations'!A168="","",'02_Warehouse_Locations'!A168)</f>
        <v/>
      </c>
      <c r="C169" t="str">
        <f t="shared" si="2"/>
        <v/>
      </c>
      <c r="D169" t="s">
        <v>1255</v>
      </c>
    </row>
    <row r="170" spans="1:4">
      <c r="A170" t="s">
        <v>1254</v>
      </c>
      <c r="B170" t="str">
        <f>IF('02_Warehouse_Locations'!A169="","",'02_Warehouse_Locations'!A169)</f>
        <v/>
      </c>
      <c r="C170" t="str">
        <f t="shared" si="2"/>
        <v/>
      </c>
      <c r="D170" t="s">
        <v>1255</v>
      </c>
    </row>
    <row r="171" spans="1:4">
      <c r="A171" t="s">
        <v>1254</v>
      </c>
      <c r="B171" t="str">
        <f>IF('02_Warehouse_Locations'!A170="","",'02_Warehouse_Locations'!A170)</f>
        <v/>
      </c>
      <c r="C171" t="str">
        <f t="shared" si="2"/>
        <v/>
      </c>
      <c r="D171" t="s">
        <v>1255</v>
      </c>
    </row>
    <row r="172" spans="1:4">
      <c r="A172" t="s">
        <v>1254</v>
      </c>
      <c r="B172" t="str">
        <f>IF('02_Warehouse_Locations'!A171="","",'02_Warehouse_Locations'!A171)</f>
        <v/>
      </c>
      <c r="C172" t="str">
        <f t="shared" si="2"/>
        <v/>
      </c>
      <c r="D172" t="s">
        <v>1255</v>
      </c>
    </row>
    <row r="173" spans="1:4">
      <c r="A173" t="s">
        <v>1254</v>
      </c>
      <c r="B173" t="str">
        <f>IF('02_Warehouse_Locations'!A172="","",'02_Warehouse_Locations'!A172)</f>
        <v/>
      </c>
      <c r="C173" t="str">
        <f t="shared" si="2"/>
        <v/>
      </c>
      <c r="D173" t="s">
        <v>1255</v>
      </c>
    </row>
    <row r="174" spans="1:4">
      <c r="A174" t="s">
        <v>1254</v>
      </c>
      <c r="B174" t="str">
        <f>IF('02_Warehouse_Locations'!A173="","",'02_Warehouse_Locations'!A173)</f>
        <v/>
      </c>
      <c r="C174" t="str">
        <f t="shared" si="2"/>
        <v/>
      </c>
      <c r="D174" t="s">
        <v>1255</v>
      </c>
    </row>
    <row r="175" spans="1:4">
      <c r="A175" t="s">
        <v>1254</v>
      </c>
      <c r="B175" t="str">
        <f>IF('02_Warehouse_Locations'!A174="","",'02_Warehouse_Locations'!A174)</f>
        <v/>
      </c>
      <c r="C175" t="str">
        <f t="shared" si="2"/>
        <v/>
      </c>
      <c r="D175" t="s">
        <v>1255</v>
      </c>
    </row>
    <row r="176" spans="1:4">
      <c r="A176" t="s">
        <v>1254</v>
      </c>
      <c r="B176" t="str">
        <f>IF('02_Warehouse_Locations'!A175="","",'02_Warehouse_Locations'!A175)</f>
        <v/>
      </c>
      <c r="C176" t="str">
        <f t="shared" si="2"/>
        <v/>
      </c>
      <c r="D176" t="s">
        <v>1255</v>
      </c>
    </row>
    <row r="177" spans="1:4">
      <c r="A177" t="s">
        <v>1254</v>
      </c>
      <c r="B177" t="str">
        <f>IF('02_Warehouse_Locations'!A176="","",'02_Warehouse_Locations'!A176)</f>
        <v/>
      </c>
      <c r="C177" t="str">
        <f t="shared" si="2"/>
        <v/>
      </c>
      <c r="D177" t="s">
        <v>1255</v>
      </c>
    </row>
    <row r="178" spans="1:4">
      <c r="A178" t="s">
        <v>1254</v>
      </c>
      <c r="B178" t="str">
        <f>IF('02_Warehouse_Locations'!A177="","",'02_Warehouse_Locations'!A177)</f>
        <v/>
      </c>
      <c r="C178" t="str">
        <f t="shared" si="2"/>
        <v/>
      </c>
      <c r="D178" t="s">
        <v>1255</v>
      </c>
    </row>
    <row r="179" spans="1:4">
      <c r="A179" t="s">
        <v>1254</v>
      </c>
      <c r="B179" t="str">
        <f>IF('02_Warehouse_Locations'!A178="","",'02_Warehouse_Locations'!A178)</f>
        <v/>
      </c>
      <c r="C179" t="str">
        <f t="shared" si="2"/>
        <v/>
      </c>
      <c r="D179" t="s">
        <v>1255</v>
      </c>
    </row>
    <row r="180" spans="1:4">
      <c r="A180" t="s">
        <v>1254</v>
      </c>
      <c r="B180" t="str">
        <f>IF('02_Warehouse_Locations'!A179="","",'02_Warehouse_Locations'!A179)</f>
        <v/>
      </c>
      <c r="C180" t="str">
        <f t="shared" si="2"/>
        <v/>
      </c>
      <c r="D180" t="s">
        <v>1255</v>
      </c>
    </row>
    <row r="181" spans="1:4">
      <c r="A181" t="s">
        <v>1254</v>
      </c>
      <c r="B181" t="str">
        <f>IF('02_Warehouse_Locations'!A180="","",'02_Warehouse_Locations'!A180)</f>
        <v/>
      </c>
      <c r="C181" t="str">
        <f t="shared" si="2"/>
        <v/>
      </c>
      <c r="D181" t="s">
        <v>1255</v>
      </c>
    </row>
    <row r="182" spans="1:4">
      <c r="A182" t="s">
        <v>1254</v>
      </c>
      <c r="B182" t="str">
        <f>IF('02_Warehouse_Locations'!A181="","",'02_Warehouse_Locations'!A181)</f>
        <v/>
      </c>
      <c r="C182" t="str">
        <f t="shared" si="2"/>
        <v/>
      </c>
      <c r="D182" t="s">
        <v>1255</v>
      </c>
    </row>
    <row r="183" spans="1:4">
      <c r="A183" t="s">
        <v>1254</v>
      </c>
      <c r="B183" t="str">
        <f>IF('02_Warehouse_Locations'!A182="","",'02_Warehouse_Locations'!A182)</f>
        <v/>
      </c>
      <c r="C183" t="str">
        <f t="shared" si="2"/>
        <v/>
      </c>
      <c r="D183" t="s">
        <v>1255</v>
      </c>
    </row>
    <row r="184" spans="1:4">
      <c r="A184" t="s">
        <v>1254</v>
      </c>
      <c r="B184" t="str">
        <f>IF('02_Warehouse_Locations'!A183="","",'02_Warehouse_Locations'!A183)</f>
        <v/>
      </c>
      <c r="C184" t="str">
        <f t="shared" si="2"/>
        <v/>
      </c>
      <c r="D184" t="s">
        <v>1255</v>
      </c>
    </row>
    <row r="185" spans="1:4">
      <c r="A185" t="s">
        <v>1254</v>
      </c>
      <c r="B185" t="str">
        <f>IF('02_Warehouse_Locations'!A184="","",'02_Warehouse_Locations'!A184)</f>
        <v/>
      </c>
      <c r="C185" t="str">
        <f t="shared" si="2"/>
        <v/>
      </c>
      <c r="D185" t="s">
        <v>1255</v>
      </c>
    </row>
    <row r="186" spans="1:4">
      <c r="A186" t="s">
        <v>1254</v>
      </c>
      <c r="B186" t="str">
        <f>IF('02_Warehouse_Locations'!A185="","",'02_Warehouse_Locations'!A185)</f>
        <v/>
      </c>
      <c r="C186" t="str">
        <f t="shared" si="2"/>
        <v/>
      </c>
      <c r="D186" t="s">
        <v>1255</v>
      </c>
    </row>
    <row r="187" spans="1:4">
      <c r="A187" t="s">
        <v>1254</v>
      </c>
      <c r="B187" t="str">
        <f>IF('02_Warehouse_Locations'!A186="","",'02_Warehouse_Locations'!A186)</f>
        <v/>
      </c>
      <c r="C187" t="str">
        <f t="shared" si="2"/>
        <v/>
      </c>
      <c r="D187" t="s">
        <v>1255</v>
      </c>
    </row>
    <row r="188" spans="1:4">
      <c r="A188" t="s">
        <v>1254</v>
      </c>
      <c r="B188" t="str">
        <f>IF('02_Warehouse_Locations'!A187="","",'02_Warehouse_Locations'!A187)</f>
        <v/>
      </c>
      <c r="C188" t="str">
        <f t="shared" si="2"/>
        <v/>
      </c>
      <c r="D188" t="s">
        <v>1255</v>
      </c>
    </row>
    <row r="189" spans="1:4">
      <c r="A189" t="s">
        <v>1254</v>
      </c>
      <c r="B189" t="str">
        <f>IF('02_Warehouse_Locations'!A188="","",'02_Warehouse_Locations'!A188)</f>
        <v/>
      </c>
      <c r="C189" t="str">
        <f t="shared" si="2"/>
        <v/>
      </c>
      <c r="D189" t="s">
        <v>1255</v>
      </c>
    </row>
    <row r="190" spans="1:4">
      <c r="A190" t="s">
        <v>1254</v>
      </c>
      <c r="B190" t="str">
        <f>IF('02_Warehouse_Locations'!A189="","",'02_Warehouse_Locations'!A189)</f>
        <v/>
      </c>
      <c r="C190" t="str">
        <f t="shared" si="2"/>
        <v/>
      </c>
      <c r="D190" t="s">
        <v>1255</v>
      </c>
    </row>
    <row r="191" spans="1:4">
      <c r="A191" t="s">
        <v>1254</v>
      </c>
      <c r="B191" t="str">
        <f>IF('02_Warehouse_Locations'!A190="","",'02_Warehouse_Locations'!A190)</f>
        <v/>
      </c>
      <c r="C191" t="str">
        <f t="shared" si="2"/>
        <v/>
      </c>
      <c r="D191" t="s">
        <v>1255</v>
      </c>
    </row>
    <row r="192" spans="1:4">
      <c r="A192" t="s">
        <v>1254</v>
      </c>
      <c r="B192" t="str">
        <f>IF('02_Warehouse_Locations'!A191="","",'02_Warehouse_Locations'!A191)</f>
        <v/>
      </c>
      <c r="C192" t="str">
        <f t="shared" si="2"/>
        <v/>
      </c>
      <c r="D192" t="s">
        <v>1255</v>
      </c>
    </row>
    <row r="193" spans="1:4">
      <c r="A193" t="s">
        <v>1254</v>
      </c>
      <c r="B193" t="str">
        <f>IF('02_Warehouse_Locations'!A192="","",'02_Warehouse_Locations'!A192)</f>
        <v/>
      </c>
      <c r="C193" t="str">
        <f t="shared" si="2"/>
        <v/>
      </c>
      <c r="D193" t="s">
        <v>1255</v>
      </c>
    </row>
    <row r="194" spans="1:4">
      <c r="A194" t="s">
        <v>1254</v>
      </c>
      <c r="B194" t="str">
        <f>IF('02_Warehouse_Locations'!A193="","",'02_Warehouse_Locations'!A193)</f>
        <v/>
      </c>
      <c r="C194" t="str">
        <f t="shared" si="2"/>
        <v/>
      </c>
      <c r="D194" t="s">
        <v>1255</v>
      </c>
    </row>
    <row r="195" spans="1:4">
      <c r="A195" t="s">
        <v>1254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1255</v>
      </c>
    </row>
    <row r="196" spans="1:4">
      <c r="A196" t="s">
        <v>1254</v>
      </c>
      <c r="B196" t="str">
        <f>IF('02_Warehouse_Locations'!A195="","",'02_Warehouse_Locations'!A195)</f>
        <v/>
      </c>
      <c r="C196" t="str">
        <f t="shared" si="3"/>
        <v/>
      </c>
      <c r="D196" t="s">
        <v>1255</v>
      </c>
    </row>
    <row r="197" spans="1:4">
      <c r="A197" t="s">
        <v>1254</v>
      </c>
      <c r="B197" t="str">
        <f>IF('02_Warehouse_Locations'!A196="","",'02_Warehouse_Locations'!A196)</f>
        <v/>
      </c>
      <c r="C197" t="str">
        <f t="shared" si="3"/>
        <v/>
      </c>
      <c r="D197" t="s">
        <v>1255</v>
      </c>
    </row>
    <row r="198" spans="1:4">
      <c r="A198" t="s">
        <v>1254</v>
      </c>
      <c r="B198" t="str">
        <f>IF('02_Warehouse_Locations'!A197="","",'02_Warehouse_Locations'!A197)</f>
        <v/>
      </c>
      <c r="C198" t="str">
        <f t="shared" si="3"/>
        <v/>
      </c>
      <c r="D198" t="s">
        <v>1255</v>
      </c>
    </row>
    <row r="199" spans="1:4">
      <c r="A199" t="s">
        <v>1254</v>
      </c>
      <c r="B199" t="str">
        <f>IF('02_Warehouse_Locations'!A198="","",'02_Warehouse_Locations'!A198)</f>
        <v/>
      </c>
      <c r="C199" t="str">
        <f t="shared" si="3"/>
        <v/>
      </c>
      <c r="D199" t="s">
        <v>1255</v>
      </c>
    </row>
    <row r="200" spans="1:4">
      <c r="A200" t="s">
        <v>1254</v>
      </c>
      <c r="B200" t="str">
        <f>IF('02_Warehouse_Locations'!A199="","",'02_Warehouse_Locations'!A199)</f>
        <v/>
      </c>
      <c r="C200" t="str">
        <f t="shared" si="3"/>
        <v/>
      </c>
      <c r="D200" t="s">
        <v>1255</v>
      </c>
    </row>
    <row r="201" spans="1:4">
      <c r="A201" t="s">
        <v>1254</v>
      </c>
      <c r="B201" t="str">
        <f>IF('02_Warehouse_Locations'!A200="","",'02_Warehouse_Locations'!A200)</f>
        <v/>
      </c>
      <c r="C201" t="str">
        <f t="shared" si="3"/>
        <v/>
      </c>
      <c r="D201" t="s">
        <v>1255</v>
      </c>
    </row>
    <row r="202" spans="1:4">
      <c r="A202" t="s">
        <v>1254</v>
      </c>
      <c r="B202" t="str">
        <f>IF('02_Warehouse_Locations'!A201="","",'02_Warehouse_Locations'!A201)</f>
        <v/>
      </c>
      <c r="C202" t="str">
        <f t="shared" si="3"/>
        <v/>
      </c>
      <c r="D202" t="s">
        <v>1255</v>
      </c>
    </row>
    <row r="203" spans="1:4">
      <c r="A203" t="s">
        <v>1254</v>
      </c>
      <c r="B203" t="str">
        <f>IF('02_Warehouse_Locations'!A202="","",'02_Warehouse_Locations'!A202)</f>
        <v/>
      </c>
      <c r="C203" t="str">
        <f t="shared" si="3"/>
        <v/>
      </c>
      <c r="D203" t="s">
        <v>1255</v>
      </c>
    </row>
    <row r="204" spans="1:4">
      <c r="A204" t="s">
        <v>1254</v>
      </c>
      <c r="B204" t="str">
        <f>IF('02_Warehouse_Locations'!A203="","",'02_Warehouse_Locations'!A203)</f>
        <v/>
      </c>
      <c r="C204" t="str">
        <f t="shared" si="3"/>
        <v/>
      </c>
      <c r="D204" t="s">
        <v>1255</v>
      </c>
    </row>
    <row r="205" spans="1:4">
      <c r="A205" t="s">
        <v>1254</v>
      </c>
      <c r="B205" t="str">
        <f>IF('02_Warehouse_Locations'!A204="","",'02_Warehouse_Locations'!A204)</f>
        <v/>
      </c>
      <c r="C205" t="str">
        <f t="shared" si="3"/>
        <v/>
      </c>
      <c r="D205" t="s">
        <v>1255</v>
      </c>
    </row>
    <row r="206" spans="1:4">
      <c r="A206" t="s">
        <v>1254</v>
      </c>
      <c r="B206" t="str">
        <f>IF('02_Warehouse_Locations'!A205="","",'02_Warehouse_Locations'!A205)</f>
        <v/>
      </c>
      <c r="C206" t="str">
        <f t="shared" si="3"/>
        <v/>
      </c>
      <c r="D206" t="s">
        <v>1255</v>
      </c>
    </row>
    <row r="207" spans="1:4">
      <c r="A207" t="s">
        <v>1254</v>
      </c>
      <c r="B207" t="str">
        <f>IF('02_Warehouse_Locations'!A206="","",'02_Warehouse_Locations'!A206)</f>
        <v/>
      </c>
      <c r="C207" t="str">
        <f t="shared" si="3"/>
        <v/>
      </c>
      <c r="D207" t="s">
        <v>1255</v>
      </c>
    </row>
    <row r="208" spans="1:4">
      <c r="A208" t="s">
        <v>1254</v>
      </c>
      <c r="B208" t="str">
        <f>IF('02_Warehouse_Locations'!A207="","",'02_Warehouse_Locations'!A207)</f>
        <v/>
      </c>
      <c r="C208" t="str">
        <f t="shared" si="3"/>
        <v/>
      </c>
      <c r="D208" t="s">
        <v>1255</v>
      </c>
    </row>
    <row r="209" spans="1:4">
      <c r="A209" t="s">
        <v>1254</v>
      </c>
      <c r="B209" t="str">
        <f>IF('02_Warehouse_Locations'!A208="","",'02_Warehouse_Locations'!A208)</f>
        <v/>
      </c>
      <c r="C209" t="str">
        <f t="shared" si="3"/>
        <v/>
      </c>
      <c r="D209" t="s">
        <v>1255</v>
      </c>
    </row>
    <row r="210" spans="1:4">
      <c r="A210" t="s">
        <v>1254</v>
      </c>
      <c r="B210" t="str">
        <f>IF('02_Warehouse_Locations'!A209="","",'02_Warehouse_Locations'!A209)</f>
        <v/>
      </c>
      <c r="C210" t="str">
        <f t="shared" si="3"/>
        <v/>
      </c>
      <c r="D210" t="s">
        <v>1255</v>
      </c>
    </row>
    <row r="211" spans="1:4">
      <c r="A211" t="s">
        <v>1254</v>
      </c>
      <c r="B211" t="str">
        <f>IF('02_Warehouse_Locations'!A210="","",'02_Warehouse_Locations'!A210)</f>
        <v/>
      </c>
      <c r="C211" t="str">
        <f t="shared" si="3"/>
        <v/>
      </c>
      <c r="D211" t="s">
        <v>1255</v>
      </c>
    </row>
    <row r="212" spans="1:4">
      <c r="A212" t="s">
        <v>1254</v>
      </c>
      <c r="B212" t="str">
        <f>IF('02_Warehouse_Locations'!A211="","",'02_Warehouse_Locations'!A211)</f>
        <v/>
      </c>
      <c r="C212" t="str">
        <f t="shared" si="3"/>
        <v/>
      </c>
      <c r="D212" t="s">
        <v>1255</v>
      </c>
    </row>
    <row r="213" spans="1:4">
      <c r="A213" t="s">
        <v>1254</v>
      </c>
      <c r="B213" t="str">
        <f>IF('02_Warehouse_Locations'!A212="","",'02_Warehouse_Locations'!A212)</f>
        <v/>
      </c>
      <c r="C213" t="str">
        <f t="shared" si="3"/>
        <v/>
      </c>
      <c r="D213" t="s">
        <v>1255</v>
      </c>
    </row>
    <row r="214" spans="1:4">
      <c r="A214" t="s">
        <v>1254</v>
      </c>
      <c r="B214" t="str">
        <f>IF('02_Warehouse_Locations'!A213="","",'02_Warehouse_Locations'!A213)</f>
        <v/>
      </c>
      <c r="C214" t="str">
        <f t="shared" si="3"/>
        <v/>
      </c>
      <c r="D214" t="s">
        <v>1255</v>
      </c>
    </row>
    <row r="215" spans="1:4">
      <c r="A215" t="s">
        <v>1254</v>
      </c>
      <c r="B215" t="str">
        <f>IF('02_Warehouse_Locations'!A214="","",'02_Warehouse_Locations'!A214)</f>
        <v/>
      </c>
      <c r="C215" t="str">
        <f t="shared" si="3"/>
        <v/>
      </c>
      <c r="D215" t="s">
        <v>1255</v>
      </c>
    </row>
    <row r="216" spans="1:4">
      <c r="A216" t="s">
        <v>1254</v>
      </c>
      <c r="B216" t="str">
        <f>IF('02_Warehouse_Locations'!A215="","",'02_Warehouse_Locations'!A215)</f>
        <v/>
      </c>
      <c r="C216" t="str">
        <f t="shared" si="3"/>
        <v/>
      </c>
      <c r="D216" t="s">
        <v>1255</v>
      </c>
    </row>
    <row r="217" spans="1:4">
      <c r="A217" t="s">
        <v>1254</v>
      </c>
      <c r="B217" t="str">
        <f>IF('02_Warehouse_Locations'!A216="","",'02_Warehouse_Locations'!A216)</f>
        <v/>
      </c>
      <c r="C217" t="str">
        <f t="shared" si="3"/>
        <v/>
      </c>
      <c r="D217" t="s">
        <v>1255</v>
      </c>
    </row>
    <row r="218" spans="1:4">
      <c r="A218" t="s">
        <v>1254</v>
      </c>
      <c r="B218" t="str">
        <f>IF('02_Warehouse_Locations'!A217="","",'02_Warehouse_Locations'!A217)</f>
        <v/>
      </c>
      <c r="C218" t="str">
        <f t="shared" si="3"/>
        <v/>
      </c>
      <c r="D218" t="s">
        <v>1255</v>
      </c>
    </row>
    <row r="219" spans="1:4">
      <c r="A219" t="s">
        <v>1254</v>
      </c>
      <c r="B219" t="str">
        <f>IF('02_Warehouse_Locations'!A218="","",'02_Warehouse_Locations'!A218)</f>
        <v/>
      </c>
      <c r="C219" t="str">
        <f t="shared" si="3"/>
        <v/>
      </c>
      <c r="D219" t="s">
        <v>1255</v>
      </c>
    </row>
    <row r="220" spans="1:4">
      <c r="A220" t="s">
        <v>1254</v>
      </c>
      <c r="B220" t="str">
        <f>IF('02_Warehouse_Locations'!A219="","",'02_Warehouse_Locations'!A219)</f>
        <v/>
      </c>
      <c r="C220" t="str">
        <f t="shared" si="3"/>
        <v/>
      </c>
      <c r="D220" t="s">
        <v>1255</v>
      </c>
    </row>
    <row r="221" spans="1:4">
      <c r="A221" t="s">
        <v>1254</v>
      </c>
      <c r="B221" t="str">
        <f>IF('02_Warehouse_Locations'!A220="","",'02_Warehouse_Locations'!A220)</f>
        <v/>
      </c>
      <c r="C221" t="str">
        <f t="shared" si="3"/>
        <v/>
      </c>
      <c r="D221" t="s">
        <v>1255</v>
      </c>
    </row>
    <row r="222" spans="1:4">
      <c r="A222" t="s">
        <v>1254</v>
      </c>
      <c r="B222" t="str">
        <f>IF('02_Warehouse_Locations'!A221="","",'02_Warehouse_Locations'!A221)</f>
        <v/>
      </c>
      <c r="C222" t="str">
        <f t="shared" si="3"/>
        <v/>
      </c>
      <c r="D222" t="s">
        <v>1255</v>
      </c>
    </row>
    <row r="223" spans="1:4">
      <c r="A223" t="s">
        <v>1254</v>
      </c>
      <c r="B223" t="str">
        <f>IF('02_Warehouse_Locations'!A222="","",'02_Warehouse_Locations'!A222)</f>
        <v/>
      </c>
      <c r="C223" t="str">
        <f t="shared" si="3"/>
        <v/>
      </c>
      <c r="D223" t="s">
        <v>1255</v>
      </c>
    </row>
    <row r="224" spans="1:4">
      <c r="A224" t="s">
        <v>1254</v>
      </c>
      <c r="B224" t="str">
        <f>IF('02_Warehouse_Locations'!A223="","",'02_Warehouse_Locations'!A223)</f>
        <v/>
      </c>
      <c r="C224" t="str">
        <f t="shared" si="3"/>
        <v/>
      </c>
      <c r="D224" t="s">
        <v>1255</v>
      </c>
    </row>
    <row r="225" spans="1:4">
      <c r="A225" t="s">
        <v>1254</v>
      </c>
      <c r="B225" t="str">
        <f>IF('02_Warehouse_Locations'!A224="","",'02_Warehouse_Locations'!A224)</f>
        <v/>
      </c>
      <c r="C225" t="str">
        <f t="shared" si="3"/>
        <v/>
      </c>
      <c r="D225" t="s">
        <v>1255</v>
      </c>
    </row>
    <row r="226" spans="1:4">
      <c r="A226" t="s">
        <v>1254</v>
      </c>
      <c r="B226" t="str">
        <f>IF('02_Warehouse_Locations'!A225="","",'02_Warehouse_Locations'!A225)</f>
        <v/>
      </c>
      <c r="C226" t="str">
        <f t="shared" si="3"/>
        <v/>
      </c>
      <c r="D226" t="s">
        <v>1255</v>
      </c>
    </row>
    <row r="227" spans="1:4">
      <c r="A227" t="s">
        <v>1254</v>
      </c>
      <c r="B227" t="str">
        <f>IF('02_Warehouse_Locations'!A226="","",'02_Warehouse_Locations'!A226)</f>
        <v/>
      </c>
      <c r="C227" t="str">
        <f t="shared" si="3"/>
        <v/>
      </c>
      <c r="D227" t="s">
        <v>1255</v>
      </c>
    </row>
    <row r="228" spans="1:4">
      <c r="A228" t="s">
        <v>1254</v>
      </c>
      <c r="B228" t="str">
        <f>IF('02_Warehouse_Locations'!A227="","",'02_Warehouse_Locations'!A227)</f>
        <v/>
      </c>
      <c r="C228" t="str">
        <f t="shared" si="3"/>
        <v/>
      </c>
      <c r="D228" t="s">
        <v>1255</v>
      </c>
    </row>
    <row r="229" spans="1:4">
      <c r="A229" t="s">
        <v>1254</v>
      </c>
      <c r="B229" t="str">
        <f>IF('02_Warehouse_Locations'!A228="","",'02_Warehouse_Locations'!A228)</f>
        <v/>
      </c>
      <c r="C229" t="str">
        <f t="shared" si="3"/>
        <v/>
      </c>
      <c r="D229" t="s">
        <v>1255</v>
      </c>
    </row>
    <row r="230" spans="1:4">
      <c r="A230" t="s">
        <v>1254</v>
      </c>
      <c r="B230" t="str">
        <f>IF('02_Warehouse_Locations'!A229="","",'02_Warehouse_Locations'!A229)</f>
        <v/>
      </c>
      <c r="C230" t="str">
        <f t="shared" si="3"/>
        <v/>
      </c>
      <c r="D230" t="s">
        <v>1255</v>
      </c>
    </row>
    <row r="231" spans="1:4">
      <c r="A231" t="s">
        <v>1254</v>
      </c>
      <c r="B231" t="str">
        <f>IF('02_Warehouse_Locations'!A230="","",'02_Warehouse_Locations'!A230)</f>
        <v/>
      </c>
      <c r="C231" t="str">
        <f t="shared" si="3"/>
        <v/>
      </c>
      <c r="D231" t="s">
        <v>1255</v>
      </c>
    </row>
    <row r="232" spans="1:4">
      <c r="A232" t="s">
        <v>1254</v>
      </c>
      <c r="B232" t="str">
        <f>IF('02_Warehouse_Locations'!A231="","",'02_Warehouse_Locations'!A231)</f>
        <v/>
      </c>
      <c r="C232" t="str">
        <f t="shared" si="3"/>
        <v/>
      </c>
      <c r="D232" t="s">
        <v>1255</v>
      </c>
    </row>
    <row r="233" spans="1:4">
      <c r="A233" t="s">
        <v>1254</v>
      </c>
      <c r="B233" t="str">
        <f>IF('02_Warehouse_Locations'!A232="","",'02_Warehouse_Locations'!A232)</f>
        <v/>
      </c>
      <c r="C233" t="str">
        <f t="shared" si="3"/>
        <v/>
      </c>
      <c r="D233" t="s">
        <v>1255</v>
      </c>
    </row>
    <row r="234" spans="1:4">
      <c r="A234" t="s">
        <v>1254</v>
      </c>
      <c r="B234" t="str">
        <f>IF('02_Warehouse_Locations'!A233="","",'02_Warehouse_Locations'!A233)</f>
        <v/>
      </c>
      <c r="C234" t="str">
        <f t="shared" si="3"/>
        <v/>
      </c>
      <c r="D234" t="s">
        <v>1255</v>
      </c>
    </row>
    <row r="235" spans="1:4">
      <c r="A235" t="s">
        <v>1254</v>
      </c>
      <c r="B235" t="str">
        <f>IF('02_Warehouse_Locations'!A234="","",'02_Warehouse_Locations'!A234)</f>
        <v/>
      </c>
      <c r="C235" t="str">
        <f t="shared" si="3"/>
        <v/>
      </c>
      <c r="D235" t="s">
        <v>1255</v>
      </c>
    </row>
    <row r="236" spans="1:4">
      <c r="A236" t="s">
        <v>1254</v>
      </c>
      <c r="B236" t="str">
        <f>IF('02_Warehouse_Locations'!A235="","",'02_Warehouse_Locations'!A235)</f>
        <v/>
      </c>
      <c r="C236" t="str">
        <f t="shared" si="3"/>
        <v/>
      </c>
      <c r="D236" t="s">
        <v>1255</v>
      </c>
    </row>
    <row r="237" spans="1:4">
      <c r="A237" t="s">
        <v>1254</v>
      </c>
      <c r="B237" t="str">
        <f>IF('02_Warehouse_Locations'!A236="","",'02_Warehouse_Locations'!A236)</f>
        <v/>
      </c>
      <c r="C237" t="str">
        <f t="shared" si="3"/>
        <v/>
      </c>
      <c r="D237" t="s">
        <v>1255</v>
      </c>
    </row>
    <row r="238" spans="1:4">
      <c r="A238" t="s">
        <v>1254</v>
      </c>
      <c r="B238" t="str">
        <f>IF('02_Warehouse_Locations'!A237="","",'02_Warehouse_Locations'!A237)</f>
        <v/>
      </c>
      <c r="C238" t="str">
        <f t="shared" si="3"/>
        <v/>
      </c>
      <c r="D238" t="s">
        <v>1255</v>
      </c>
    </row>
    <row r="239" spans="1:4">
      <c r="A239" t="s">
        <v>1254</v>
      </c>
      <c r="B239" t="str">
        <f>IF('02_Warehouse_Locations'!A238="","",'02_Warehouse_Locations'!A238)</f>
        <v/>
      </c>
      <c r="C239" t="str">
        <f t="shared" si="3"/>
        <v/>
      </c>
      <c r="D239" t="s">
        <v>1255</v>
      </c>
    </row>
    <row r="240" spans="1:4">
      <c r="A240" t="s">
        <v>1254</v>
      </c>
      <c r="B240" t="str">
        <f>IF('02_Warehouse_Locations'!A239="","",'02_Warehouse_Locations'!A239)</f>
        <v/>
      </c>
      <c r="C240" t="str">
        <f t="shared" si="3"/>
        <v/>
      </c>
      <c r="D240" t="s">
        <v>1255</v>
      </c>
    </row>
    <row r="241" spans="1:4">
      <c r="A241" t="s">
        <v>1254</v>
      </c>
      <c r="B241" t="str">
        <f>IF('02_Warehouse_Locations'!A240="","",'02_Warehouse_Locations'!A240)</f>
        <v/>
      </c>
      <c r="C241" t="str">
        <f t="shared" si="3"/>
        <v/>
      </c>
      <c r="D241" t="s">
        <v>1255</v>
      </c>
    </row>
    <row r="242" spans="1:4">
      <c r="A242" t="s">
        <v>1254</v>
      </c>
      <c r="B242" t="str">
        <f>IF('02_Warehouse_Locations'!A241="","",'02_Warehouse_Locations'!A241)</f>
        <v/>
      </c>
      <c r="C242" t="str">
        <f t="shared" si="3"/>
        <v/>
      </c>
      <c r="D242" t="s">
        <v>1255</v>
      </c>
    </row>
    <row r="243" spans="1:4">
      <c r="A243" t="s">
        <v>1254</v>
      </c>
      <c r="B243" t="str">
        <f>IF('02_Warehouse_Locations'!A242="","",'02_Warehouse_Locations'!A242)</f>
        <v/>
      </c>
      <c r="C243" t="str">
        <f t="shared" si="3"/>
        <v/>
      </c>
      <c r="D243" t="s">
        <v>1255</v>
      </c>
    </row>
    <row r="244" spans="1:4">
      <c r="A244" t="s">
        <v>1254</v>
      </c>
      <c r="B244" t="str">
        <f>IF('02_Warehouse_Locations'!A243="","",'02_Warehouse_Locations'!A243)</f>
        <v/>
      </c>
      <c r="C244" t="str">
        <f t="shared" si="3"/>
        <v/>
      </c>
      <c r="D244" t="s">
        <v>1255</v>
      </c>
    </row>
    <row r="245" spans="1:4">
      <c r="A245" t="s">
        <v>1254</v>
      </c>
      <c r="B245" t="str">
        <f>IF('02_Warehouse_Locations'!A244="","",'02_Warehouse_Locations'!A244)</f>
        <v/>
      </c>
      <c r="C245" t="str">
        <f t="shared" si="3"/>
        <v/>
      </c>
      <c r="D245" t="s">
        <v>1255</v>
      </c>
    </row>
    <row r="246" spans="1:4">
      <c r="A246" t="s">
        <v>1254</v>
      </c>
      <c r="B246" t="str">
        <f>IF('02_Warehouse_Locations'!A245="","",'02_Warehouse_Locations'!A245)</f>
        <v/>
      </c>
      <c r="C246" t="str">
        <f t="shared" si="3"/>
        <v/>
      </c>
      <c r="D246" t="s">
        <v>1255</v>
      </c>
    </row>
    <row r="247" spans="1:4">
      <c r="A247" t="s">
        <v>1254</v>
      </c>
      <c r="B247" t="str">
        <f>IF('02_Warehouse_Locations'!A246="","",'02_Warehouse_Locations'!A246)</f>
        <v/>
      </c>
      <c r="C247" t="str">
        <f t="shared" si="3"/>
        <v/>
      </c>
      <c r="D247" t="s">
        <v>1255</v>
      </c>
    </row>
    <row r="248" spans="1:4">
      <c r="A248" t="s">
        <v>1254</v>
      </c>
      <c r="B248" t="str">
        <f>IF('02_Warehouse_Locations'!A247="","",'02_Warehouse_Locations'!A247)</f>
        <v/>
      </c>
      <c r="C248" t="str">
        <f t="shared" si="3"/>
        <v/>
      </c>
      <c r="D248" t="s">
        <v>1255</v>
      </c>
    </row>
    <row r="249" spans="1:4">
      <c r="A249" t="s">
        <v>1254</v>
      </c>
      <c r="B249" t="str">
        <f>IF('02_Warehouse_Locations'!A248="","",'02_Warehouse_Locations'!A248)</f>
        <v/>
      </c>
      <c r="C249" t="str">
        <f t="shared" si="3"/>
        <v/>
      </c>
      <c r="D249" t="s">
        <v>1255</v>
      </c>
    </row>
    <row r="250" spans="1:4">
      <c r="A250" t="s">
        <v>1254</v>
      </c>
      <c r="B250" t="str">
        <f>IF('02_Warehouse_Locations'!A249="","",'02_Warehouse_Locations'!A249)</f>
        <v/>
      </c>
      <c r="C250" t="str">
        <f t="shared" si="3"/>
        <v/>
      </c>
      <c r="D250" t="s">
        <v>1255</v>
      </c>
    </row>
    <row r="251" spans="1:4">
      <c r="A251" t="s">
        <v>1254</v>
      </c>
      <c r="B251" t="str">
        <f>IF('02_Warehouse_Locations'!A250="","",'02_Warehouse_Locations'!A250)</f>
        <v/>
      </c>
      <c r="C251" t="str">
        <f t="shared" si="3"/>
        <v/>
      </c>
      <c r="D251" t="s">
        <v>1255</v>
      </c>
    </row>
    <row r="252" spans="1:4">
      <c r="A252" t="s">
        <v>1254</v>
      </c>
      <c r="B252" t="str">
        <f>IF('02_Warehouse_Locations'!A251="","",'02_Warehouse_Locations'!A251)</f>
        <v/>
      </c>
      <c r="C252" t="str">
        <f t="shared" si="3"/>
        <v/>
      </c>
      <c r="D252" t="s">
        <v>1255</v>
      </c>
    </row>
    <row r="253" spans="1:4">
      <c r="A253" t="s">
        <v>1254</v>
      </c>
      <c r="B253" t="str">
        <f>IF('02_Warehouse_Locations'!A252="","",'02_Warehouse_Locations'!A252)</f>
        <v/>
      </c>
      <c r="C253" t="str">
        <f t="shared" si="3"/>
        <v/>
      </c>
      <c r="D253" t="s">
        <v>1255</v>
      </c>
    </row>
    <row r="254" spans="1:4">
      <c r="A254" t="s">
        <v>1254</v>
      </c>
      <c r="B254" t="str">
        <f>IF('02_Warehouse_Locations'!A253="","",'02_Warehouse_Locations'!A253)</f>
        <v/>
      </c>
      <c r="C254" t="str">
        <f t="shared" si="3"/>
        <v/>
      </c>
      <c r="D254" t="s">
        <v>1255</v>
      </c>
    </row>
    <row r="255" spans="1:4">
      <c r="A255" t="s">
        <v>1254</v>
      </c>
      <c r="B255" t="str">
        <f>IF('02_Warehouse_Locations'!A254="","",'02_Warehouse_Locations'!A254)</f>
        <v/>
      </c>
      <c r="C255" t="str">
        <f t="shared" si="3"/>
        <v/>
      </c>
      <c r="D255" t="s">
        <v>1255</v>
      </c>
    </row>
    <row r="256" spans="1:4">
      <c r="A256" t="s">
        <v>1254</v>
      </c>
      <c r="B256" t="str">
        <f>IF('02_Warehouse_Locations'!A255="","",'02_Warehouse_Locations'!A255)</f>
        <v/>
      </c>
      <c r="C256" t="str">
        <f t="shared" si="3"/>
        <v/>
      </c>
      <c r="D256" t="s">
        <v>1255</v>
      </c>
    </row>
    <row r="257" spans="1:4">
      <c r="A257" t="s">
        <v>1254</v>
      </c>
      <c r="B257" t="str">
        <f>IF('02_Warehouse_Locations'!A256="","",'02_Warehouse_Locations'!A256)</f>
        <v/>
      </c>
      <c r="C257" t="str">
        <f t="shared" si="3"/>
        <v/>
      </c>
      <c r="D257" t="s">
        <v>1255</v>
      </c>
    </row>
    <row r="258" spans="1:4">
      <c r="A258" t="s">
        <v>1254</v>
      </c>
      <c r="B258" t="str">
        <f>IF('02_Warehouse_Locations'!A257="","",'02_Warehouse_Locations'!A257)</f>
        <v/>
      </c>
      <c r="C258" t="str">
        <f t="shared" si="3"/>
        <v/>
      </c>
      <c r="D258" t="s">
        <v>1255</v>
      </c>
    </row>
    <row r="259" spans="1:4">
      <c r="A259" t="s">
        <v>1254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1255</v>
      </c>
    </row>
    <row r="260" spans="1:4">
      <c r="A260" t="s">
        <v>1254</v>
      </c>
      <c r="B260" t="str">
        <f>IF('02_Warehouse_Locations'!A259="","",'02_Warehouse_Locations'!A259)</f>
        <v/>
      </c>
      <c r="C260" t="str">
        <f t="shared" si="4"/>
        <v/>
      </c>
      <c r="D260" t="s">
        <v>1255</v>
      </c>
    </row>
    <row r="261" spans="1:4">
      <c r="A261" t="s">
        <v>1254</v>
      </c>
      <c r="B261" t="str">
        <f>IF('02_Warehouse_Locations'!A260="","",'02_Warehouse_Locations'!A260)</f>
        <v/>
      </c>
      <c r="C261" t="str">
        <f t="shared" si="4"/>
        <v/>
      </c>
      <c r="D261" t="s">
        <v>1255</v>
      </c>
    </row>
    <row r="262" spans="1:4">
      <c r="A262" t="s">
        <v>1254</v>
      </c>
      <c r="B262" t="str">
        <f>IF('02_Warehouse_Locations'!A261="","",'02_Warehouse_Locations'!A261)</f>
        <v/>
      </c>
      <c r="C262" t="str">
        <f t="shared" si="4"/>
        <v/>
      </c>
      <c r="D262" t="s">
        <v>1255</v>
      </c>
    </row>
    <row r="263" spans="1:4">
      <c r="A263" t="s">
        <v>1254</v>
      </c>
      <c r="B263" t="str">
        <f>IF('02_Warehouse_Locations'!A262="","",'02_Warehouse_Locations'!A262)</f>
        <v/>
      </c>
      <c r="C263" t="str">
        <f t="shared" si="4"/>
        <v/>
      </c>
      <c r="D263" t="s">
        <v>1255</v>
      </c>
    </row>
    <row r="264" spans="1:4">
      <c r="A264" t="s">
        <v>1254</v>
      </c>
      <c r="B264" t="str">
        <f>IF('02_Warehouse_Locations'!A263="","",'02_Warehouse_Locations'!A263)</f>
        <v/>
      </c>
      <c r="C264" t="str">
        <f t="shared" si="4"/>
        <v/>
      </c>
      <c r="D264" t="s">
        <v>1255</v>
      </c>
    </row>
    <row r="265" spans="1:4">
      <c r="A265" t="s">
        <v>1254</v>
      </c>
      <c r="B265" t="str">
        <f>IF('02_Warehouse_Locations'!A264="","",'02_Warehouse_Locations'!A264)</f>
        <v/>
      </c>
      <c r="C265" t="str">
        <f t="shared" si="4"/>
        <v/>
      </c>
      <c r="D265" t="s">
        <v>1255</v>
      </c>
    </row>
    <row r="266" spans="1:4">
      <c r="A266" t="s">
        <v>1254</v>
      </c>
      <c r="B266" t="str">
        <f>IF('02_Warehouse_Locations'!A265="","",'02_Warehouse_Locations'!A265)</f>
        <v/>
      </c>
      <c r="C266" t="str">
        <f t="shared" si="4"/>
        <v/>
      </c>
      <c r="D266" t="s">
        <v>1255</v>
      </c>
    </row>
    <row r="267" spans="1:4">
      <c r="A267" t="s">
        <v>1254</v>
      </c>
      <c r="B267" t="str">
        <f>IF('02_Warehouse_Locations'!A266="","",'02_Warehouse_Locations'!A266)</f>
        <v/>
      </c>
      <c r="C267" t="str">
        <f t="shared" si="4"/>
        <v/>
      </c>
      <c r="D267" t="s">
        <v>1255</v>
      </c>
    </row>
    <row r="268" spans="1:4">
      <c r="A268" t="s">
        <v>1254</v>
      </c>
      <c r="B268" t="str">
        <f>IF('02_Warehouse_Locations'!A267="","",'02_Warehouse_Locations'!A267)</f>
        <v/>
      </c>
      <c r="C268" t="str">
        <f t="shared" si="4"/>
        <v/>
      </c>
      <c r="D268" t="s">
        <v>1255</v>
      </c>
    </row>
    <row r="269" spans="1:4">
      <c r="A269" t="s">
        <v>1254</v>
      </c>
      <c r="B269" t="str">
        <f>IF('02_Warehouse_Locations'!A268="","",'02_Warehouse_Locations'!A268)</f>
        <v/>
      </c>
      <c r="C269" t="str">
        <f t="shared" si="4"/>
        <v/>
      </c>
      <c r="D269" t="s">
        <v>1255</v>
      </c>
    </row>
    <row r="270" spans="1:4">
      <c r="A270" t="s">
        <v>1254</v>
      </c>
      <c r="B270" t="str">
        <f>IF('02_Warehouse_Locations'!A269="","",'02_Warehouse_Locations'!A269)</f>
        <v/>
      </c>
      <c r="C270" t="str">
        <f t="shared" si="4"/>
        <v/>
      </c>
      <c r="D270" t="s">
        <v>1255</v>
      </c>
    </row>
    <row r="271" spans="1:4">
      <c r="A271" t="s">
        <v>1254</v>
      </c>
      <c r="B271" t="str">
        <f>IF('02_Warehouse_Locations'!A270="","",'02_Warehouse_Locations'!A270)</f>
        <v/>
      </c>
      <c r="C271" t="str">
        <f t="shared" si="4"/>
        <v/>
      </c>
      <c r="D271" t="s">
        <v>1255</v>
      </c>
    </row>
    <row r="272" spans="1:4">
      <c r="A272" t="s">
        <v>1254</v>
      </c>
      <c r="B272" t="str">
        <f>IF('02_Warehouse_Locations'!A271="","",'02_Warehouse_Locations'!A271)</f>
        <v/>
      </c>
      <c r="C272" t="str">
        <f t="shared" si="4"/>
        <v/>
      </c>
      <c r="D272" t="s">
        <v>1255</v>
      </c>
    </row>
    <row r="273" spans="1:4">
      <c r="A273" t="s">
        <v>1254</v>
      </c>
      <c r="B273" t="str">
        <f>IF('02_Warehouse_Locations'!A272="","",'02_Warehouse_Locations'!A272)</f>
        <v/>
      </c>
      <c r="C273" t="str">
        <f t="shared" si="4"/>
        <v/>
      </c>
      <c r="D273" t="s">
        <v>1255</v>
      </c>
    </row>
    <row r="274" spans="1:4">
      <c r="A274" t="s">
        <v>1254</v>
      </c>
      <c r="B274" t="str">
        <f>IF('02_Warehouse_Locations'!A273="","",'02_Warehouse_Locations'!A273)</f>
        <v/>
      </c>
      <c r="C274" t="str">
        <f t="shared" si="4"/>
        <v/>
      </c>
      <c r="D274" t="s">
        <v>1255</v>
      </c>
    </row>
    <row r="275" spans="1:4">
      <c r="A275" t="s">
        <v>1254</v>
      </c>
      <c r="B275" t="str">
        <f>IF('02_Warehouse_Locations'!A274="","",'02_Warehouse_Locations'!A274)</f>
        <v/>
      </c>
      <c r="C275" t="str">
        <f t="shared" si="4"/>
        <v/>
      </c>
      <c r="D275" t="s">
        <v>1255</v>
      </c>
    </row>
    <row r="276" spans="1:4">
      <c r="A276" t="s">
        <v>1254</v>
      </c>
      <c r="B276" t="str">
        <f>IF('02_Warehouse_Locations'!A275="","",'02_Warehouse_Locations'!A275)</f>
        <v/>
      </c>
      <c r="C276" t="str">
        <f t="shared" si="4"/>
        <v/>
      </c>
      <c r="D276" t="s">
        <v>1255</v>
      </c>
    </row>
    <row r="277" spans="1:4">
      <c r="A277" t="s">
        <v>1254</v>
      </c>
      <c r="B277" t="str">
        <f>IF('02_Warehouse_Locations'!A276="","",'02_Warehouse_Locations'!A276)</f>
        <v/>
      </c>
      <c r="C277" t="str">
        <f t="shared" si="4"/>
        <v/>
      </c>
      <c r="D277" t="s">
        <v>1255</v>
      </c>
    </row>
    <row r="278" spans="1:4">
      <c r="A278" t="s">
        <v>1254</v>
      </c>
      <c r="B278" t="str">
        <f>IF('02_Warehouse_Locations'!A277="","",'02_Warehouse_Locations'!A277)</f>
        <v/>
      </c>
      <c r="C278" t="str">
        <f t="shared" si="4"/>
        <v/>
      </c>
      <c r="D278" t="s">
        <v>1255</v>
      </c>
    </row>
    <row r="279" spans="1:4">
      <c r="A279" t="s">
        <v>1254</v>
      </c>
      <c r="B279" t="str">
        <f>IF('02_Warehouse_Locations'!A278="","",'02_Warehouse_Locations'!A278)</f>
        <v/>
      </c>
      <c r="C279" t="str">
        <f t="shared" si="4"/>
        <v/>
      </c>
      <c r="D279" t="s">
        <v>1255</v>
      </c>
    </row>
    <row r="280" spans="1:4">
      <c r="A280" t="s">
        <v>1254</v>
      </c>
      <c r="B280" t="str">
        <f>IF('02_Warehouse_Locations'!A279="","",'02_Warehouse_Locations'!A279)</f>
        <v/>
      </c>
      <c r="C280" t="str">
        <f t="shared" si="4"/>
        <v/>
      </c>
      <c r="D280" t="s">
        <v>1255</v>
      </c>
    </row>
    <row r="281" spans="1:4">
      <c r="A281" t="s">
        <v>1254</v>
      </c>
      <c r="B281" t="str">
        <f>IF('02_Warehouse_Locations'!A280="","",'02_Warehouse_Locations'!A280)</f>
        <v/>
      </c>
      <c r="C281" t="str">
        <f t="shared" si="4"/>
        <v/>
      </c>
      <c r="D281" t="s">
        <v>1255</v>
      </c>
    </row>
    <row r="282" spans="1:4">
      <c r="A282" t="s">
        <v>1254</v>
      </c>
      <c r="B282" t="str">
        <f>IF('02_Warehouse_Locations'!A281="","",'02_Warehouse_Locations'!A281)</f>
        <v/>
      </c>
      <c r="C282" t="str">
        <f t="shared" si="4"/>
        <v/>
      </c>
      <c r="D282" t="s">
        <v>1255</v>
      </c>
    </row>
    <row r="283" spans="1:4">
      <c r="A283" t="s">
        <v>1254</v>
      </c>
      <c r="B283" t="str">
        <f>IF('02_Warehouse_Locations'!A282="","",'02_Warehouse_Locations'!A282)</f>
        <v/>
      </c>
      <c r="C283" t="str">
        <f t="shared" si="4"/>
        <v/>
      </c>
      <c r="D283" t="s">
        <v>1255</v>
      </c>
    </row>
    <row r="284" spans="1:4">
      <c r="A284" t="s">
        <v>1254</v>
      </c>
      <c r="B284" t="str">
        <f>IF('02_Warehouse_Locations'!A283="","",'02_Warehouse_Locations'!A283)</f>
        <v/>
      </c>
      <c r="C284" t="str">
        <f t="shared" si="4"/>
        <v/>
      </c>
      <c r="D284" t="s">
        <v>1255</v>
      </c>
    </row>
    <row r="285" spans="1:4">
      <c r="A285" t="s">
        <v>1254</v>
      </c>
      <c r="B285" t="str">
        <f>IF('02_Warehouse_Locations'!A284="","",'02_Warehouse_Locations'!A284)</f>
        <v/>
      </c>
      <c r="C285" t="str">
        <f t="shared" si="4"/>
        <v/>
      </c>
      <c r="D285" t="s">
        <v>1255</v>
      </c>
    </row>
    <row r="286" spans="1:4">
      <c r="A286" t="s">
        <v>1254</v>
      </c>
      <c r="B286" t="str">
        <f>IF('02_Warehouse_Locations'!A285="","",'02_Warehouse_Locations'!A285)</f>
        <v/>
      </c>
      <c r="C286" t="str">
        <f t="shared" si="4"/>
        <v/>
      </c>
      <c r="D286" t="s">
        <v>1255</v>
      </c>
    </row>
    <row r="287" spans="1:4">
      <c r="A287" t="s">
        <v>1254</v>
      </c>
      <c r="B287" t="str">
        <f>IF('02_Warehouse_Locations'!A286="","",'02_Warehouse_Locations'!A286)</f>
        <v/>
      </c>
      <c r="C287" t="str">
        <f t="shared" si="4"/>
        <v/>
      </c>
      <c r="D287" t="s">
        <v>1255</v>
      </c>
    </row>
    <row r="288" spans="1:4">
      <c r="A288" t="s">
        <v>1254</v>
      </c>
      <c r="B288" t="str">
        <f>IF('02_Warehouse_Locations'!A287="","",'02_Warehouse_Locations'!A287)</f>
        <v/>
      </c>
      <c r="C288" t="str">
        <f t="shared" si="4"/>
        <v/>
      </c>
      <c r="D288" t="s">
        <v>1255</v>
      </c>
    </row>
    <row r="289" spans="1:4">
      <c r="A289" t="s">
        <v>1254</v>
      </c>
      <c r="B289" t="str">
        <f>IF('02_Warehouse_Locations'!A288="","",'02_Warehouse_Locations'!A288)</f>
        <v/>
      </c>
      <c r="C289" t="str">
        <f t="shared" si="4"/>
        <v/>
      </c>
      <c r="D289" t="s">
        <v>1255</v>
      </c>
    </row>
    <row r="290" spans="1:4">
      <c r="A290" t="s">
        <v>1254</v>
      </c>
      <c r="B290" t="str">
        <f>IF('02_Warehouse_Locations'!A289="","",'02_Warehouse_Locations'!A289)</f>
        <v/>
      </c>
      <c r="C290" t="str">
        <f t="shared" si="4"/>
        <v/>
      </c>
      <c r="D290" t="s">
        <v>1255</v>
      </c>
    </row>
    <row r="291" spans="1:4">
      <c r="A291" t="s">
        <v>1254</v>
      </c>
      <c r="B291" t="str">
        <f>IF('02_Warehouse_Locations'!A290="","",'02_Warehouse_Locations'!A290)</f>
        <v/>
      </c>
      <c r="C291" t="str">
        <f t="shared" si="4"/>
        <v/>
      </c>
      <c r="D291" t="s">
        <v>1255</v>
      </c>
    </row>
    <row r="292" spans="1:4">
      <c r="A292" t="s">
        <v>1254</v>
      </c>
      <c r="B292" t="str">
        <f>IF('02_Warehouse_Locations'!A291="","",'02_Warehouse_Locations'!A291)</f>
        <v/>
      </c>
      <c r="C292" t="str">
        <f t="shared" si="4"/>
        <v/>
      </c>
      <c r="D292" t="s">
        <v>1255</v>
      </c>
    </row>
    <row r="293" spans="1:4">
      <c r="A293" t="s">
        <v>1254</v>
      </c>
      <c r="B293" t="str">
        <f>IF('02_Warehouse_Locations'!A292="","",'02_Warehouse_Locations'!A292)</f>
        <v/>
      </c>
      <c r="C293" t="str">
        <f t="shared" si="4"/>
        <v/>
      </c>
      <c r="D293" t="s">
        <v>1255</v>
      </c>
    </row>
    <row r="294" spans="1:4">
      <c r="A294" t="s">
        <v>1254</v>
      </c>
      <c r="B294" t="str">
        <f>IF('02_Warehouse_Locations'!A293="","",'02_Warehouse_Locations'!A293)</f>
        <v/>
      </c>
      <c r="C294" t="str">
        <f t="shared" si="4"/>
        <v/>
      </c>
      <c r="D294" t="s">
        <v>1255</v>
      </c>
    </row>
    <row r="295" spans="1:4">
      <c r="A295" t="s">
        <v>1254</v>
      </c>
      <c r="B295" t="str">
        <f>IF('02_Warehouse_Locations'!A294="","",'02_Warehouse_Locations'!A294)</f>
        <v/>
      </c>
      <c r="C295" t="str">
        <f t="shared" si="4"/>
        <v/>
      </c>
      <c r="D295" t="s">
        <v>1255</v>
      </c>
    </row>
    <row r="296" spans="1:4">
      <c r="A296" t="s">
        <v>1254</v>
      </c>
      <c r="B296" t="str">
        <f>IF('02_Warehouse_Locations'!A295="","",'02_Warehouse_Locations'!A295)</f>
        <v/>
      </c>
      <c r="C296" t="str">
        <f t="shared" si="4"/>
        <v/>
      </c>
      <c r="D296" t="s">
        <v>1255</v>
      </c>
    </row>
    <row r="297" spans="1:4">
      <c r="A297" t="s">
        <v>1254</v>
      </c>
      <c r="B297" t="str">
        <f>IF('02_Warehouse_Locations'!A296="","",'02_Warehouse_Locations'!A296)</f>
        <v/>
      </c>
      <c r="C297" t="str">
        <f t="shared" si="4"/>
        <v/>
      </c>
      <c r="D297" t="s">
        <v>1255</v>
      </c>
    </row>
    <row r="298" spans="1:4">
      <c r="A298" t="s">
        <v>1254</v>
      </c>
      <c r="B298" t="str">
        <f>IF('02_Warehouse_Locations'!A297="","",'02_Warehouse_Locations'!A297)</f>
        <v/>
      </c>
      <c r="C298" t="str">
        <f t="shared" si="4"/>
        <v/>
      </c>
      <c r="D298" t="s">
        <v>1255</v>
      </c>
    </row>
    <row r="299" spans="1:4">
      <c r="A299" t="s">
        <v>1254</v>
      </c>
      <c r="B299" t="str">
        <f>IF('02_Warehouse_Locations'!A298="","",'02_Warehouse_Locations'!A298)</f>
        <v/>
      </c>
      <c r="C299" t="str">
        <f t="shared" si="4"/>
        <v/>
      </c>
      <c r="D299" t="s">
        <v>1255</v>
      </c>
    </row>
    <row r="300" spans="1:4">
      <c r="A300" t="s">
        <v>1254</v>
      </c>
      <c r="B300" t="str">
        <f>IF('02_Warehouse_Locations'!A299="","",'02_Warehouse_Locations'!A299)</f>
        <v/>
      </c>
      <c r="C300" t="str">
        <f t="shared" si="4"/>
        <v/>
      </c>
      <c r="D300" t="s">
        <v>1255</v>
      </c>
    </row>
    <row r="301" spans="1:4">
      <c r="A301" t="s">
        <v>1254</v>
      </c>
      <c r="B301" t="str">
        <f>IF('02_Warehouse_Locations'!A300="","",'02_Warehouse_Locations'!A300)</f>
        <v/>
      </c>
      <c r="C301" t="str">
        <f t="shared" si="4"/>
        <v/>
      </c>
      <c r="D301" t="s">
        <v>1255</v>
      </c>
    </row>
    <row r="302" spans="1:4">
      <c r="A302" t="s">
        <v>1254</v>
      </c>
      <c r="B302" t="str">
        <f>IF('02_Warehouse_Locations'!A301="","",'02_Warehouse_Locations'!A301)</f>
        <v/>
      </c>
      <c r="C302" t="str">
        <f t="shared" si="4"/>
        <v/>
      </c>
      <c r="D302" t="s">
        <v>1255</v>
      </c>
    </row>
    <row r="303" spans="1:4">
      <c r="A303" t="s">
        <v>1254</v>
      </c>
      <c r="B303" t="str">
        <f>IF('02_Warehouse_Locations'!A302="","",'02_Warehouse_Locations'!A302)</f>
        <v/>
      </c>
      <c r="C303" t="str">
        <f t="shared" si="4"/>
        <v/>
      </c>
      <c r="D303" t="s">
        <v>1255</v>
      </c>
    </row>
    <row r="304" spans="1:4">
      <c r="A304" t="s">
        <v>1254</v>
      </c>
      <c r="B304" t="str">
        <f>IF('02_Warehouse_Locations'!A303="","",'02_Warehouse_Locations'!A303)</f>
        <v/>
      </c>
      <c r="C304" t="str">
        <f t="shared" si="4"/>
        <v/>
      </c>
      <c r="D304" t="s">
        <v>1255</v>
      </c>
    </row>
    <row r="305" spans="1:4">
      <c r="A305" t="s">
        <v>1254</v>
      </c>
      <c r="B305" t="str">
        <f>IF('02_Warehouse_Locations'!A304="","",'02_Warehouse_Locations'!A304)</f>
        <v/>
      </c>
      <c r="C305" t="str">
        <f t="shared" si="4"/>
        <v/>
      </c>
      <c r="D305" t="s">
        <v>1255</v>
      </c>
    </row>
    <row r="306" spans="1:4">
      <c r="A306" t="s">
        <v>1254</v>
      </c>
      <c r="B306" t="str">
        <f>IF('02_Warehouse_Locations'!A305="","",'02_Warehouse_Locations'!A305)</f>
        <v/>
      </c>
      <c r="C306" t="str">
        <f t="shared" si="4"/>
        <v/>
      </c>
      <c r="D306" t="s">
        <v>1255</v>
      </c>
    </row>
    <row r="307" spans="1:4">
      <c r="A307" t="s">
        <v>1254</v>
      </c>
      <c r="B307" t="str">
        <f>IF('02_Warehouse_Locations'!A306="","",'02_Warehouse_Locations'!A306)</f>
        <v/>
      </c>
      <c r="C307" t="str">
        <f t="shared" si="4"/>
        <v/>
      </c>
      <c r="D307" t="s">
        <v>1255</v>
      </c>
    </row>
    <row r="308" spans="1:4">
      <c r="A308" t="s">
        <v>1254</v>
      </c>
      <c r="B308" t="str">
        <f>IF('02_Warehouse_Locations'!A307="","",'02_Warehouse_Locations'!A307)</f>
        <v/>
      </c>
      <c r="C308" t="str">
        <f t="shared" si="4"/>
        <v/>
      </c>
      <c r="D308" t="s">
        <v>1255</v>
      </c>
    </row>
    <row r="309" spans="1:4">
      <c r="A309" t="s">
        <v>1254</v>
      </c>
      <c r="B309" t="str">
        <f>IF('02_Warehouse_Locations'!A308="","",'02_Warehouse_Locations'!A308)</f>
        <v/>
      </c>
      <c r="C309" t="str">
        <f t="shared" si="4"/>
        <v/>
      </c>
      <c r="D309" t="s">
        <v>1255</v>
      </c>
    </row>
    <row r="310" spans="1:4">
      <c r="A310" t="s">
        <v>1254</v>
      </c>
      <c r="B310" t="str">
        <f>IF('02_Warehouse_Locations'!A309="","",'02_Warehouse_Locations'!A309)</f>
        <v/>
      </c>
      <c r="C310" t="str">
        <f t="shared" si="4"/>
        <v/>
      </c>
      <c r="D310" t="s">
        <v>1255</v>
      </c>
    </row>
    <row r="311" spans="1:4">
      <c r="A311" t="s">
        <v>1254</v>
      </c>
      <c r="B311" t="str">
        <f>IF('02_Warehouse_Locations'!A310="","",'02_Warehouse_Locations'!A310)</f>
        <v/>
      </c>
      <c r="C311" t="str">
        <f t="shared" si="4"/>
        <v/>
      </c>
      <c r="D311" t="s">
        <v>1255</v>
      </c>
    </row>
    <row r="312" spans="1:4">
      <c r="A312" t="s">
        <v>1254</v>
      </c>
      <c r="B312" t="str">
        <f>IF('02_Warehouse_Locations'!A311="","",'02_Warehouse_Locations'!A311)</f>
        <v/>
      </c>
      <c r="C312" t="str">
        <f t="shared" si="4"/>
        <v/>
      </c>
      <c r="D312" t="s">
        <v>1255</v>
      </c>
    </row>
    <row r="313" spans="1:4">
      <c r="A313" t="s">
        <v>1254</v>
      </c>
      <c r="B313" t="str">
        <f>IF('02_Warehouse_Locations'!A312="","",'02_Warehouse_Locations'!A312)</f>
        <v/>
      </c>
      <c r="C313" t="str">
        <f t="shared" si="4"/>
        <v/>
      </c>
      <c r="D313" t="s">
        <v>1255</v>
      </c>
    </row>
    <row r="314" spans="1:4">
      <c r="A314" t="s">
        <v>1254</v>
      </c>
      <c r="B314" t="str">
        <f>IF('02_Warehouse_Locations'!A313="","",'02_Warehouse_Locations'!A313)</f>
        <v/>
      </c>
      <c r="C314" t="str">
        <f t="shared" si="4"/>
        <v/>
      </c>
      <c r="D314" t="s">
        <v>1255</v>
      </c>
    </row>
    <row r="315" spans="1:4">
      <c r="A315" t="s">
        <v>1254</v>
      </c>
      <c r="B315" t="str">
        <f>IF('02_Warehouse_Locations'!A314="","",'02_Warehouse_Locations'!A314)</f>
        <v/>
      </c>
      <c r="C315" t="str">
        <f t="shared" si="4"/>
        <v/>
      </c>
      <c r="D315" t="s">
        <v>1255</v>
      </c>
    </row>
    <row r="316" spans="1:4">
      <c r="A316" t="s">
        <v>1254</v>
      </c>
      <c r="B316" t="str">
        <f>IF('02_Warehouse_Locations'!A315="","",'02_Warehouse_Locations'!A315)</f>
        <v/>
      </c>
      <c r="C316" t="str">
        <f t="shared" si="4"/>
        <v/>
      </c>
      <c r="D316" t="s">
        <v>1255</v>
      </c>
    </row>
    <row r="317" spans="1:4">
      <c r="A317" t="s">
        <v>1254</v>
      </c>
      <c r="B317" t="str">
        <f>IF('02_Warehouse_Locations'!A316="","",'02_Warehouse_Locations'!A316)</f>
        <v/>
      </c>
      <c r="C317" t="str">
        <f t="shared" si="4"/>
        <v/>
      </c>
      <c r="D317" t="s">
        <v>1255</v>
      </c>
    </row>
    <row r="318" spans="1:4">
      <c r="A318" t="s">
        <v>1254</v>
      </c>
      <c r="B318" t="str">
        <f>IF('02_Warehouse_Locations'!A317="","",'02_Warehouse_Locations'!A317)</f>
        <v/>
      </c>
      <c r="C318" t="str">
        <f t="shared" si="4"/>
        <v/>
      </c>
      <c r="D318" t="s">
        <v>1255</v>
      </c>
    </row>
    <row r="319" spans="1:4">
      <c r="A319" t="s">
        <v>1254</v>
      </c>
      <c r="B319" t="str">
        <f>IF('02_Warehouse_Locations'!A318="","",'02_Warehouse_Locations'!A318)</f>
        <v/>
      </c>
      <c r="C319" t="str">
        <f t="shared" si="4"/>
        <v/>
      </c>
      <c r="D319" t="s">
        <v>1255</v>
      </c>
    </row>
    <row r="320" spans="1:4">
      <c r="A320" t="s">
        <v>1254</v>
      </c>
      <c r="B320" t="str">
        <f>IF('02_Warehouse_Locations'!A319="","",'02_Warehouse_Locations'!A319)</f>
        <v/>
      </c>
      <c r="C320" t="str">
        <f t="shared" si="4"/>
        <v/>
      </c>
      <c r="D320" t="s">
        <v>1255</v>
      </c>
    </row>
    <row r="321" spans="1:4">
      <c r="A321" t="s">
        <v>1254</v>
      </c>
      <c r="B321" t="str">
        <f>IF('02_Warehouse_Locations'!A320="","",'02_Warehouse_Locations'!A320)</f>
        <v/>
      </c>
      <c r="C321" t="str">
        <f t="shared" si="4"/>
        <v/>
      </c>
      <c r="D321" t="s">
        <v>1255</v>
      </c>
    </row>
    <row r="322" spans="1:4">
      <c r="A322" t="s">
        <v>1254</v>
      </c>
      <c r="B322" t="str">
        <f>IF('02_Warehouse_Locations'!A321="","",'02_Warehouse_Locations'!A321)</f>
        <v/>
      </c>
      <c r="C322" t="str">
        <f t="shared" si="4"/>
        <v/>
      </c>
      <c r="D322" t="s">
        <v>1255</v>
      </c>
    </row>
    <row r="323" spans="1:4">
      <c r="A323" t="s">
        <v>1254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1255</v>
      </c>
    </row>
    <row r="324" spans="1:4">
      <c r="A324" t="s">
        <v>1254</v>
      </c>
      <c r="B324" t="str">
        <f>IF('02_Warehouse_Locations'!A323="","",'02_Warehouse_Locations'!A323)</f>
        <v/>
      </c>
      <c r="C324" t="str">
        <f t="shared" si="5"/>
        <v/>
      </c>
      <c r="D324" t="s">
        <v>1255</v>
      </c>
    </row>
    <row r="325" spans="1:4">
      <c r="A325" t="s">
        <v>1254</v>
      </c>
      <c r="B325" t="str">
        <f>IF('02_Warehouse_Locations'!A324="","",'02_Warehouse_Locations'!A324)</f>
        <v/>
      </c>
      <c r="C325" t="str">
        <f t="shared" si="5"/>
        <v/>
      </c>
      <c r="D325" t="s">
        <v>1255</v>
      </c>
    </row>
    <row r="326" spans="1:4">
      <c r="A326" t="s">
        <v>1254</v>
      </c>
      <c r="B326" t="str">
        <f>IF('02_Warehouse_Locations'!A325="","",'02_Warehouse_Locations'!A325)</f>
        <v/>
      </c>
      <c r="C326" t="str">
        <f t="shared" si="5"/>
        <v/>
      </c>
      <c r="D326" t="s">
        <v>1255</v>
      </c>
    </row>
    <row r="327" spans="1:4">
      <c r="A327" t="s">
        <v>1254</v>
      </c>
      <c r="B327" t="str">
        <f>IF('02_Warehouse_Locations'!A326="","",'02_Warehouse_Locations'!A326)</f>
        <v/>
      </c>
      <c r="C327" t="str">
        <f t="shared" si="5"/>
        <v/>
      </c>
      <c r="D327" t="s">
        <v>1255</v>
      </c>
    </row>
    <row r="328" spans="1:4">
      <c r="A328" t="s">
        <v>1254</v>
      </c>
      <c r="B328" t="str">
        <f>IF('02_Warehouse_Locations'!A327="","",'02_Warehouse_Locations'!A327)</f>
        <v/>
      </c>
      <c r="C328" t="str">
        <f t="shared" si="5"/>
        <v/>
      </c>
      <c r="D328" t="s">
        <v>1255</v>
      </c>
    </row>
    <row r="329" spans="1:4">
      <c r="A329" t="s">
        <v>1254</v>
      </c>
      <c r="B329" t="str">
        <f>IF('02_Warehouse_Locations'!A328="","",'02_Warehouse_Locations'!A328)</f>
        <v/>
      </c>
      <c r="C329" t="str">
        <f t="shared" si="5"/>
        <v/>
      </c>
      <c r="D329" t="s">
        <v>1255</v>
      </c>
    </row>
    <row r="330" spans="1:4">
      <c r="A330" t="s">
        <v>1254</v>
      </c>
      <c r="B330" t="str">
        <f>IF('02_Warehouse_Locations'!A329="","",'02_Warehouse_Locations'!A329)</f>
        <v/>
      </c>
      <c r="C330" t="str">
        <f t="shared" si="5"/>
        <v/>
      </c>
      <c r="D330" t="s">
        <v>1255</v>
      </c>
    </row>
    <row r="331" spans="1:4">
      <c r="A331" t="s">
        <v>1254</v>
      </c>
      <c r="B331" t="str">
        <f>IF('02_Warehouse_Locations'!A330="","",'02_Warehouse_Locations'!A330)</f>
        <v/>
      </c>
      <c r="C331" t="str">
        <f t="shared" si="5"/>
        <v/>
      </c>
      <c r="D331" t="s">
        <v>1255</v>
      </c>
    </row>
    <row r="332" spans="1:4">
      <c r="A332" t="s">
        <v>1254</v>
      </c>
      <c r="B332" t="str">
        <f>IF('02_Warehouse_Locations'!A331="","",'02_Warehouse_Locations'!A331)</f>
        <v/>
      </c>
      <c r="C332" t="str">
        <f t="shared" si="5"/>
        <v/>
      </c>
      <c r="D332" t="s">
        <v>1255</v>
      </c>
    </row>
    <row r="333" spans="1:4">
      <c r="A333" t="s">
        <v>1254</v>
      </c>
      <c r="B333" t="str">
        <f>IF('02_Warehouse_Locations'!A332="","",'02_Warehouse_Locations'!A332)</f>
        <v/>
      </c>
      <c r="C333" t="str">
        <f t="shared" si="5"/>
        <v/>
      </c>
      <c r="D333" t="s">
        <v>1255</v>
      </c>
    </row>
    <row r="334" spans="1:4">
      <c r="A334" t="s">
        <v>1254</v>
      </c>
      <c r="B334" t="str">
        <f>IF('02_Warehouse_Locations'!A333="","",'02_Warehouse_Locations'!A333)</f>
        <v/>
      </c>
      <c r="C334" t="str">
        <f t="shared" si="5"/>
        <v/>
      </c>
      <c r="D334" t="s">
        <v>1255</v>
      </c>
    </row>
    <row r="335" spans="1:4">
      <c r="A335" t="s">
        <v>1254</v>
      </c>
      <c r="B335" t="str">
        <f>IF('02_Warehouse_Locations'!A334="","",'02_Warehouse_Locations'!A334)</f>
        <v/>
      </c>
      <c r="C335" t="str">
        <f t="shared" si="5"/>
        <v/>
      </c>
      <c r="D335" t="s">
        <v>1255</v>
      </c>
    </row>
    <row r="336" spans="1:4">
      <c r="A336" t="s">
        <v>1254</v>
      </c>
      <c r="B336" t="str">
        <f>IF('02_Warehouse_Locations'!A335="","",'02_Warehouse_Locations'!A335)</f>
        <v/>
      </c>
      <c r="C336" t="str">
        <f t="shared" si="5"/>
        <v/>
      </c>
      <c r="D336" t="s">
        <v>1255</v>
      </c>
    </row>
    <row r="337" spans="1:4">
      <c r="A337" t="s">
        <v>1254</v>
      </c>
      <c r="B337" t="str">
        <f>IF('02_Warehouse_Locations'!A336="","",'02_Warehouse_Locations'!A336)</f>
        <v/>
      </c>
      <c r="C337" t="str">
        <f t="shared" si="5"/>
        <v/>
      </c>
      <c r="D337" t="s">
        <v>1255</v>
      </c>
    </row>
    <row r="338" spans="1:4">
      <c r="A338" t="s">
        <v>1254</v>
      </c>
      <c r="B338" t="str">
        <f>IF('02_Warehouse_Locations'!A337="","",'02_Warehouse_Locations'!A337)</f>
        <v/>
      </c>
      <c r="C338" t="str">
        <f t="shared" si="5"/>
        <v/>
      </c>
      <c r="D338" t="s">
        <v>1255</v>
      </c>
    </row>
    <row r="339" spans="1:4">
      <c r="A339" t="s">
        <v>1254</v>
      </c>
      <c r="B339" t="str">
        <f>IF('02_Warehouse_Locations'!A338="","",'02_Warehouse_Locations'!A338)</f>
        <v/>
      </c>
      <c r="C339" t="str">
        <f t="shared" si="5"/>
        <v/>
      </c>
      <c r="D339" t="s">
        <v>1255</v>
      </c>
    </row>
    <row r="340" spans="1:4">
      <c r="A340" t="s">
        <v>1254</v>
      </c>
      <c r="B340" t="str">
        <f>IF('02_Warehouse_Locations'!A339="","",'02_Warehouse_Locations'!A339)</f>
        <v/>
      </c>
      <c r="C340" t="str">
        <f t="shared" si="5"/>
        <v/>
      </c>
      <c r="D340" t="s">
        <v>1255</v>
      </c>
    </row>
    <row r="341" spans="1:4">
      <c r="A341" t="s">
        <v>1254</v>
      </c>
      <c r="B341" t="str">
        <f>IF('02_Warehouse_Locations'!A340="","",'02_Warehouse_Locations'!A340)</f>
        <v/>
      </c>
      <c r="C341" t="str">
        <f t="shared" si="5"/>
        <v/>
      </c>
      <c r="D341" t="s">
        <v>1255</v>
      </c>
    </row>
    <row r="342" spans="1:4">
      <c r="A342" t="s">
        <v>1254</v>
      </c>
      <c r="B342" t="str">
        <f>IF('02_Warehouse_Locations'!A341="","",'02_Warehouse_Locations'!A341)</f>
        <v/>
      </c>
      <c r="C342" t="str">
        <f t="shared" si="5"/>
        <v/>
      </c>
      <c r="D342" t="s">
        <v>1255</v>
      </c>
    </row>
    <row r="343" spans="1:4">
      <c r="A343" t="s">
        <v>1254</v>
      </c>
      <c r="B343" t="str">
        <f>IF('02_Warehouse_Locations'!A342="","",'02_Warehouse_Locations'!A342)</f>
        <v/>
      </c>
      <c r="C343" t="str">
        <f t="shared" si="5"/>
        <v/>
      </c>
      <c r="D343" t="s">
        <v>1255</v>
      </c>
    </row>
    <row r="344" spans="1:4">
      <c r="A344" t="s">
        <v>1254</v>
      </c>
      <c r="B344" t="str">
        <f>IF('02_Warehouse_Locations'!A343="","",'02_Warehouse_Locations'!A343)</f>
        <v/>
      </c>
      <c r="C344" t="str">
        <f t="shared" si="5"/>
        <v/>
      </c>
      <c r="D344" t="s">
        <v>1255</v>
      </c>
    </row>
    <row r="345" spans="1:4">
      <c r="A345" t="s">
        <v>1254</v>
      </c>
      <c r="B345" t="str">
        <f>IF('02_Warehouse_Locations'!A344="","",'02_Warehouse_Locations'!A344)</f>
        <v/>
      </c>
      <c r="C345" t="str">
        <f t="shared" si="5"/>
        <v/>
      </c>
      <c r="D345" t="s">
        <v>1255</v>
      </c>
    </row>
    <row r="346" spans="1:4">
      <c r="A346" t="s">
        <v>1254</v>
      </c>
      <c r="B346" t="str">
        <f>IF('02_Warehouse_Locations'!A345="","",'02_Warehouse_Locations'!A345)</f>
        <v/>
      </c>
      <c r="C346" t="str">
        <f t="shared" si="5"/>
        <v/>
      </c>
      <c r="D346" t="s">
        <v>1255</v>
      </c>
    </row>
    <row r="347" spans="1:4">
      <c r="A347" t="s">
        <v>1254</v>
      </c>
      <c r="B347" t="str">
        <f>IF('02_Warehouse_Locations'!A346="","",'02_Warehouse_Locations'!A346)</f>
        <v/>
      </c>
      <c r="C347" t="str">
        <f t="shared" si="5"/>
        <v/>
      </c>
      <c r="D347" t="s">
        <v>1255</v>
      </c>
    </row>
    <row r="348" spans="1:4">
      <c r="A348" t="s">
        <v>1254</v>
      </c>
      <c r="B348" t="str">
        <f>IF('02_Warehouse_Locations'!A347="","",'02_Warehouse_Locations'!A347)</f>
        <v/>
      </c>
      <c r="C348" t="str">
        <f t="shared" si="5"/>
        <v/>
      </c>
      <c r="D348" t="s">
        <v>1255</v>
      </c>
    </row>
    <row r="349" spans="1:4">
      <c r="A349" t="s">
        <v>1254</v>
      </c>
      <c r="B349" t="str">
        <f>IF('02_Warehouse_Locations'!A348="","",'02_Warehouse_Locations'!A348)</f>
        <v/>
      </c>
      <c r="C349" t="str">
        <f t="shared" si="5"/>
        <v/>
      </c>
      <c r="D349" t="s">
        <v>1255</v>
      </c>
    </row>
    <row r="350" spans="1:4">
      <c r="A350" t="s">
        <v>1254</v>
      </c>
      <c r="B350" t="str">
        <f>IF('02_Warehouse_Locations'!A349="","",'02_Warehouse_Locations'!A349)</f>
        <v/>
      </c>
      <c r="C350" t="str">
        <f t="shared" si="5"/>
        <v/>
      </c>
      <c r="D350" t="s">
        <v>1255</v>
      </c>
    </row>
    <row r="351" spans="1:4">
      <c r="A351" t="s">
        <v>1254</v>
      </c>
      <c r="B351" t="str">
        <f>IF('02_Warehouse_Locations'!A350="","",'02_Warehouse_Locations'!A350)</f>
        <v/>
      </c>
      <c r="C351" t="str">
        <f t="shared" si="5"/>
        <v/>
      </c>
      <c r="D351" t="s">
        <v>1255</v>
      </c>
    </row>
    <row r="352" spans="1:4">
      <c r="A352" t="s">
        <v>1254</v>
      </c>
      <c r="B352" t="str">
        <f>IF('02_Warehouse_Locations'!A351="","",'02_Warehouse_Locations'!A351)</f>
        <v/>
      </c>
      <c r="C352" t="str">
        <f t="shared" si="5"/>
        <v/>
      </c>
      <c r="D352" t="s">
        <v>1255</v>
      </c>
    </row>
    <row r="353" spans="1:4">
      <c r="A353" t="s">
        <v>1254</v>
      </c>
      <c r="B353" t="str">
        <f>IF('02_Warehouse_Locations'!A352="","",'02_Warehouse_Locations'!A352)</f>
        <v/>
      </c>
      <c r="C353" t="str">
        <f t="shared" si="5"/>
        <v/>
      </c>
      <c r="D353" t="s">
        <v>1255</v>
      </c>
    </row>
    <row r="354" spans="1:4">
      <c r="A354" t="s">
        <v>1254</v>
      </c>
      <c r="B354" t="str">
        <f>IF('02_Warehouse_Locations'!A353="","",'02_Warehouse_Locations'!A353)</f>
        <v/>
      </c>
      <c r="C354" t="str">
        <f t="shared" si="5"/>
        <v/>
      </c>
      <c r="D354" t="s">
        <v>1255</v>
      </c>
    </row>
    <row r="355" spans="1:4">
      <c r="A355" t="s">
        <v>1254</v>
      </c>
      <c r="B355" t="str">
        <f>IF('02_Warehouse_Locations'!A354="","",'02_Warehouse_Locations'!A354)</f>
        <v/>
      </c>
      <c r="C355" t="str">
        <f t="shared" si="5"/>
        <v/>
      </c>
      <c r="D355" t="s">
        <v>1255</v>
      </c>
    </row>
    <row r="356" spans="1:4">
      <c r="A356" t="s">
        <v>1254</v>
      </c>
      <c r="B356" t="str">
        <f>IF('02_Warehouse_Locations'!A355="","",'02_Warehouse_Locations'!A355)</f>
        <v/>
      </c>
      <c r="C356" t="str">
        <f t="shared" si="5"/>
        <v/>
      </c>
      <c r="D356" t="s">
        <v>1255</v>
      </c>
    </row>
    <row r="357" spans="1:4">
      <c r="A357" t="s">
        <v>1254</v>
      </c>
      <c r="B357" t="str">
        <f>IF('02_Warehouse_Locations'!A356="","",'02_Warehouse_Locations'!A356)</f>
        <v/>
      </c>
      <c r="C357" t="str">
        <f t="shared" si="5"/>
        <v/>
      </c>
      <c r="D357" t="s">
        <v>1255</v>
      </c>
    </row>
    <row r="358" spans="1:4">
      <c r="A358" t="s">
        <v>1254</v>
      </c>
      <c r="B358" t="str">
        <f>IF('02_Warehouse_Locations'!A357="","",'02_Warehouse_Locations'!A357)</f>
        <v/>
      </c>
      <c r="C358" t="str">
        <f t="shared" si="5"/>
        <v/>
      </c>
      <c r="D358" t="s">
        <v>1255</v>
      </c>
    </row>
    <row r="359" spans="1:4">
      <c r="A359" t="s">
        <v>1254</v>
      </c>
      <c r="B359" t="str">
        <f>IF('02_Warehouse_Locations'!A358="","",'02_Warehouse_Locations'!A358)</f>
        <v/>
      </c>
      <c r="C359" t="str">
        <f t="shared" si="5"/>
        <v/>
      </c>
      <c r="D359" t="s">
        <v>1255</v>
      </c>
    </row>
    <row r="360" spans="1:4">
      <c r="A360" t="s">
        <v>1254</v>
      </c>
      <c r="B360" t="str">
        <f>IF('02_Warehouse_Locations'!A359="","",'02_Warehouse_Locations'!A359)</f>
        <v/>
      </c>
      <c r="C360" t="str">
        <f t="shared" si="5"/>
        <v/>
      </c>
      <c r="D360" t="s">
        <v>1255</v>
      </c>
    </row>
    <row r="361" spans="1:4">
      <c r="A361" t="s">
        <v>1254</v>
      </c>
      <c r="B361" t="str">
        <f>IF('02_Warehouse_Locations'!A360="","",'02_Warehouse_Locations'!A360)</f>
        <v/>
      </c>
      <c r="C361" t="str">
        <f t="shared" si="5"/>
        <v/>
      </c>
      <c r="D361" t="s">
        <v>1255</v>
      </c>
    </row>
    <row r="362" spans="1:4">
      <c r="A362" t="s">
        <v>1254</v>
      </c>
      <c r="B362" t="str">
        <f>IF('02_Warehouse_Locations'!A361="","",'02_Warehouse_Locations'!A361)</f>
        <v/>
      </c>
      <c r="C362" t="str">
        <f t="shared" si="5"/>
        <v/>
      </c>
      <c r="D362" t="s">
        <v>1255</v>
      </c>
    </row>
    <row r="363" spans="1:4">
      <c r="A363" t="s">
        <v>1254</v>
      </c>
      <c r="B363" t="str">
        <f>IF('02_Warehouse_Locations'!A362="","",'02_Warehouse_Locations'!A362)</f>
        <v/>
      </c>
      <c r="C363" t="str">
        <f t="shared" si="5"/>
        <v/>
      </c>
      <c r="D363" t="s">
        <v>1255</v>
      </c>
    </row>
    <row r="364" spans="1:4">
      <c r="A364" t="s">
        <v>1254</v>
      </c>
      <c r="B364" t="str">
        <f>IF('02_Warehouse_Locations'!A363="","",'02_Warehouse_Locations'!A363)</f>
        <v/>
      </c>
      <c r="C364" t="str">
        <f t="shared" si="5"/>
        <v/>
      </c>
      <c r="D364" t="s">
        <v>1255</v>
      </c>
    </row>
    <row r="365" spans="1:4">
      <c r="A365" t="s">
        <v>1254</v>
      </c>
      <c r="B365" t="str">
        <f>IF('02_Warehouse_Locations'!A364="","",'02_Warehouse_Locations'!A364)</f>
        <v/>
      </c>
      <c r="C365" t="str">
        <f t="shared" si="5"/>
        <v/>
      </c>
      <c r="D365" t="s">
        <v>1255</v>
      </c>
    </row>
    <row r="366" spans="1:4">
      <c r="A366" t="s">
        <v>1254</v>
      </c>
      <c r="B366" t="str">
        <f>IF('02_Warehouse_Locations'!A365="","",'02_Warehouse_Locations'!A365)</f>
        <v/>
      </c>
      <c r="C366" t="str">
        <f t="shared" si="5"/>
        <v/>
      </c>
      <c r="D366" t="s">
        <v>1255</v>
      </c>
    </row>
    <row r="367" spans="1:4">
      <c r="A367" t="s">
        <v>1254</v>
      </c>
      <c r="B367" t="str">
        <f>IF('02_Warehouse_Locations'!A366="","",'02_Warehouse_Locations'!A366)</f>
        <v/>
      </c>
      <c r="C367" t="str">
        <f t="shared" si="5"/>
        <v/>
      </c>
      <c r="D367" t="s">
        <v>1255</v>
      </c>
    </row>
    <row r="368" spans="1:4">
      <c r="A368" t="s">
        <v>1254</v>
      </c>
      <c r="B368" t="str">
        <f>IF('02_Warehouse_Locations'!A367="","",'02_Warehouse_Locations'!A367)</f>
        <v/>
      </c>
      <c r="C368" t="str">
        <f t="shared" si="5"/>
        <v/>
      </c>
      <c r="D368" t="s">
        <v>1255</v>
      </c>
    </row>
    <row r="369" spans="1:4">
      <c r="A369" t="s">
        <v>1254</v>
      </c>
      <c r="B369" t="str">
        <f>IF('02_Warehouse_Locations'!A368="","",'02_Warehouse_Locations'!A368)</f>
        <v/>
      </c>
      <c r="C369" t="str">
        <f t="shared" si="5"/>
        <v/>
      </c>
      <c r="D369" t="s">
        <v>1255</v>
      </c>
    </row>
    <row r="370" spans="1:4">
      <c r="A370" t="s">
        <v>1254</v>
      </c>
      <c r="B370" t="str">
        <f>IF('02_Warehouse_Locations'!A369="","",'02_Warehouse_Locations'!A369)</f>
        <v/>
      </c>
      <c r="C370" t="str">
        <f t="shared" si="5"/>
        <v/>
      </c>
      <c r="D370" t="s">
        <v>1255</v>
      </c>
    </row>
    <row r="371" spans="1:4">
      <c r="A371" t="s">
        <v>1254</v>
      </c>
      <c r="B371" t="str">
        <f>IF('02_Warehouse_Locations'!A370="","",'02_Warehouse_Locations'!A370)</f>
        <v/>
      </c>
      <c r="C371" t="str">
        <f t="shared" si="5"/>
        <v/>
      </c>
      <c r="D371" t="s">
        <v>1255</v>
      </c>
    </row>
    <row r="372" spans="1:4">
      <c r="A372" t="s">
        <v>1254</v>
      </c>
      <c r="B372" t="str">
        <f>IF('02_Warehouse_Locations'!A371="","",'02_Warehouse_Locations'!A371)</f>
        <v/>
      </c>
      <c r="C372" t="str">
        <f t="shared" si="5"/>
        <v/>
      </c>
      <c r="D372" t="s">
        <v>1255</v>
      </c>
    </row>
    <row r="373" spans="1:4">
      <c r="A373" t="s">
        <v>1254</v>
      </c>
      <c r="B373" t="str">
        <f>IF('02_Warehouse_Locations'!A372="","",'02_Warehouse_Locations'!A372)</f>
        <v/>
      </c>
      <c r="C373" t="str">
        <f t="shared" si="5"/>
        <v/>
      </c>
      <c r="D373" t="s">
        <v>1255</v>
      </c>
    </row>
    <row r="374" spans="1:4">
      <c r="A374" t="s">
        <v>1254</v>
      </c>
      <c r="B374" t="str">
        <f>IF('02_Warehouse_Locations'!A373="","",'02_Warehouse_Locations'!A373)</f>
        <v/>
      </c>
      <c r="C374" t="str">
        <f t="shared" si="5"/>
        <v/>
      </c>
      <c r="D374" t="s">
        <v>1255</v>
      </c>
    </row>
    <row r="375" spans="1:4">
      <c r="A375" t="s">
        <v>1254</v>
      </c>
      <c r="B375" t="str">
        <f>IF('02_Warehouse_Locations'!A374="","",'02_Warehouse_Locations'!A374)</f>
        <v/>
      </c>
      <c r="C375" t="str">
        <f t="shared" si="5"/>
        <v/>
      </c>
      <c r="D375" t="s">
        <v>1255</v>
      </c>
    </row>
    <row r="376" spans="1:4">
      <c r="A376" t="s">
        <v>1254</v>
      </c>
      <c r="B376" t="str">
        <f>IF('02_Warehouse_Locations'!A375="","",'02_Warehouse_Locations'!A375)</f>
        <v/>
      </c>
      <c r="C376" t="str">
        <f t="shared" si="5"/>
        <v/>
      </c>
      <c r="D376" t="s">
        <v>1255</v>
      </c>
    </row>
    <row r="377" spans="1:4">
      <c r="A377" t="s">
        <v>1254</v>
      </c>
      <c r="B377" t="str">
        <f>IF('02_Warehouse_Locations'!A376="","",'02_Warehouse_Locations'!A376)</f>
        <v/>
      </c>
      <c r="C377" t="str">
        <f t="shared" si="5"/>
        <v/>
      </c>
      <c r="D377" t="s">
        <v>1255</v>
      </c>
    </row>
    <row r="378" spans="1:4">
      <c r="A378" t="s">
        <v>1254</v>
      </c>
      <c r="B378" t="str">
        <f>IF('02_Warehouse_Locations'!A377="","",'02_Warehouse_Locations'!A377)</f>
        <v/>
      </c>
      <c r="C378" t="str">
        <f t="shared" si="5"/>
        <v/>
      </c>
      <c r="D378" t="s">
        <v>1255</v>
      </c>
    </row>
    <row r="379" spans="1:4">
      <c r="A379" t="s">
        <v>1254</v>
      </c>
      <c r="B379" t="str">
        <f>IF('02_Warehouse_Locations'!A378="","",'02_Warehouse_Locations'!A378)</f>
        <v/>
      </c>
      <c r="C379" t="str">
        <f t="shared" si="5"/>
        <v/>
      </c>
      <c r="D379" t="s">
        <v>1255</v>
      </c>
    </row>
    <row r="380" spans="1:4">
      <c r="A380" t="s">
        <v>1254</v>
      </c>
      <c r="B380" t="str">
        <f>IF('02_Warehouse_Locations'!A379="","",'02_Warehouse_Locations'!A379)</f>
        <v/>
      </c>
      <c r="C380" t="str">
        <f t="shared" si="5"/>
        <v/>
      </c>
      <c r="D380" t="s">
        <v>1255</v>
      </c>
    </row>
    <row r="381" spans="1:4">
      <c r="A381" t="s">
        <v>1254</v>
      </c>
      <c r="B381" t="str">
        <f>IF('02_Warehouse_Locations'!A380="","",'02_Warehouse_Locations'!A380)</f>
        <v/>
      </c>
      <c r="C381" t="str">
        <f t="shared" si="5"/>
        <v/>
      </c>
      <c r="D381" t="s">
        <v>1255</v>
      </c>
    </row>
    <row r="382" spans="1:4">
      <c r="A382" t="s">
        <v>1254</v>
      </c>
      <c r="B382" t="str">
        <f>IF('02_Warehouse_Locations'!A381="","",'02_Warehouse_Locations'!A381)</f>
        <v/>
      </c>
      <c r="C382" t="str">
        <f t="shared" si="5"/>
        <v/>
      </c>
      <c r="D382" t="s">
        <v>1255</v>
      </c>
    </row>
    <row r="383" spans="1:4">
      <c r="A383" t="s">
        <v>1254</v>
      </c>
      <c r="B383" t="str">
        <f>IF('02_Warehouse_Locations'!A382="","",'02_Warehouse_Locations'!A382)</f>
        <v/>
      </c>
      <c r="C383" t="str">
        <f t="shared" si="5"/>
        <v/>
      </c>
      <c r="D383" t="s">
        <v>1255</v>
      </c>
    </row>
    <row r="384" spans="1:4">
      <c r="A384" t="s">
        <v>1254</v>
      </c>
      <c r="B384" t="str">
        <f>IF('02_Warehouse_Locations'!A383="","",'02_Warehouse_Locations'!A383)</f>
        <v/>
      </c>
      <c r="C384" t="str">
        <f t="shared" si="5"/>
        <v/>
      </c>
      <c r="D384" t="s">
        <v>1255</v>
      </c>
    </row>
    <row r="385" spans="1:4">
      <c r="A385" t="s">
        <v>1254</v>
      </c>
      <c r="B385" t="str">
        <f>IF('02_Warehouse_Locations'!A384="","",'02_Warehouse_Locations'!A384)</f>
        <v/>
      </c>
      <c r="C385" t="str">
        <f t="shared" si="5"/>
        <v/>
      </c>
      <c r="D385" t="s">
        <v>1255</v>
      </c>
    </row>
    <row r="386" spans="1:4">
      <c r="A386" t="s">
        <v>1254</v>
      </c>
      <c r="B386" t="str">
        <f>IF('02_Warehouse_Locations'!A385="","",'02_Warehouse_Locations'!A385)</f>
        <v/>
      </c>
      <c r="C386" t="str">
        <f t="shared" si="5"/>
        <v/>
      </c>
      <c r="D386" t="s">
        <v>1255</v>
      </c>
    </row>
    <row r="387" spans="1:4">
      <c r="A387" t="s">
        <v>1254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1255</v>
      </c>
    </row>
    <row r="388" spans="1:4">
      <c r="A388" t="s">
        <v>1254</v>
      </c>
      <c r="B388" t="str">
        <f>IF('02_Warehouse_Locations'!A387="","",'02_Warehouse_Locations'!A387)</f>
        <v/>
      </c>
      <c r="C388" t="str">
        <f t="shared" si="6"/>
        <v/>
      </c>
      <c r="D388" t="s">
        <v>1255</v>
      </c>
    </row>
    <row r="389" spans="1:4">
      <c r="A389" t="s">
        <v>1254</v>
      </c>
      <c r="B389" t="str">
        <f>IF('02_Warehouse_Locations'!A388="","",'02_Warehouse_Locations'!A388)</f>
        <v/>
      </c>
      <c r="C389" t="str">
        <f t="shared" si="6"/>
        <v/>
      </c>
      <c r="D389" t="s">
        <v>1255</v>
      </c>
    </row>
    <row r="390" spans="1:4">
      <c r="A390" t="s">
        <v>1254</v>
      </c>
      <c r="B390" t="str">
        <f>IF('02_Warehouse_Locations'!A389="","",'02_Warehouse_Locations'!A389)</f>
        <v/>
      </c>
      <c r="C390" t="str">
        <f t="shared" si="6"/>
        <v/>
      </c>
      <c r="D390" t="s">
        <v>1255</v>
      </c>
    </row>
    <row r="391" spans="1:4">
      <c r="A391" t="s">
        <v>1254</v>
      </c>
      <c r="B391" t="str">
        <f>IF('02_Warehouse_Locations'!A390="","",'02_Warehouse_Locations'!A390)</f>
        <v/>
      </c>
      <c r="C391" t="str">
        <f t="shared" si="6"/>
        <v/>
      </c>
      <c r="D391" t="s">
        <v>1255</v>
      </c>
    </row>
    <row r="392" spans="1:4">
      <c r="A392" t="s">
        <v>1254</v>
      </c>
      <c r="B392" t="str">
        <f>IF('02_Warehouse_Locations'!A391="","",'02_Warehouse_Locations'!A391)</f>
        <v/>
      </c>
      <c r="C392" t="str">
        <f t="shared" si="6"/>
        <v/>
      </c>
      <c r="D392" t="s">
        <v>1255</v>
      </c>
    </row>
    <row r="393" spans="1:4">
      <c r="A393" t="s">
        <v>1254</v>
      </c>
      <c r="B393" t="str">
        <f>IF('02_Warehouse_Locations'!A392="","",'02_Warehouse_Locations'!A392)</f>
        <v/>
      </c>
      <c r="C393" t="str">
        <f t="shared" si="6"/>
        <v/>
      </c>
      <c r="D393" t="s">
        <v>1255</v>
      </c>
    </row>
    <row r="394" spans="1:4">
      <c r="A394" t="s">
        <v>1254</v>
      </c>
      <c r="B394" t="str">
        <f>IF('02_Warehouse_Locations'!A393="","",'02_Warehouse_Locations'!A393)</f>
        <v/>
      </c>
      <c r="C394" t="str">
        <f t="shared" si="6"/>
        <v/>
      </c>
      <c r="D394" t="s">
        <v>1255</v>
      </c>
    </row>
    <row r="395" spans="1:4">
      <c r="A395" t="s">
        <v>1254</v>
      </c>
      <c r="B395" t="str">
        <f>IF('02_Warehouse_Locations'!A394="","",'02_Warehouse_Locations'!A394)</f>
        <v/>
      </c>
      <c r="C395" t="str">
        <f t="shared" si="6"/>
        <v/>
      </c>
      <c r="D395" t="s">
        <v>1255</v>
      </c>
    </row>
    <row r="396" spans="1:4">
      <c r="A396" t="s">
        <v>1254</v>
      </c>
      <c r="B396" t="str">
        <f>IF('02_Warehouse_Locations'!A395="","",'02_Warehouse_Locations'!A395)</f>
        <v/>
      </c>
      <c r="C396" t="str">
        <f t="shared" si="6"/>
        <v/>
      </c>
      <c r="D396" t="s">
        <v>1255</v>
      </c>
    </row>
    <row r="397" spans="1:4">
      <c r="A397" t="s">
        <v>1254</v>
      </c>
      <c r="B397" t="str">
        <f>IF('02_Warehouse_Locations'!A396="","",'02_Warehouse_Locations'!A396)</f>
        <v/>
      </c>
      <c r="C397" t="str">
        <f t="shared" si="6"/>
        <v/>
      </c>
      <c r="D397" t="s">
        <v>1255</v>
      </c>
    </row>
    <row r="398" spans="1:4">
      <c r="A398" t="s">
        <v>1254</v>
      </c>
      <c r="B398" t="str">
        <f>IF('02_Warehouse_Locations'!A397="","",'02_Warehouse_Locations'!A397)</f>
        <v/>
      </c>
      <c r="C398" t="str">
        <f t="shared" si="6"/>
        <v/>
      </c>
      <c r="D398" t="s">
        <v>1255</v>
      </c>
    </row>
    <row r="399" spans="1:4">
      <c r="A399" t="s">
        <v>1254</v>
      </c>
      <c r="B399" t="str">
        <f>IF('02_Warehouse_Locations'!A398="","",'02_Warehouse_Locations'!A398)</f>
        <v/>
      </c>
      <c r="C399" t="str">
        <f t="shared" si="6"/>
        <v/>
      </c>
      <c r="D399" t="s">
        <v>1255</v>
      </c>
    </row>
    <row r="400" spans="1:4">
      <c r="A400" t="s">
        <v>1254</v>
      </c>
      <c r="B400" t="str">
        <f>IF('02_Warehouse_Locations'!A399="","",'02_Warehouse_Locations'!A399)</f>
        <v/>
      </c>
      <c r="C400" t="str">
        <f t="shared" si="6"/>
        <v/>
      </c>
      <c r="D400" t="s">
        <v>1255</v>
      </c>
    </row>
    <row r="401" spans="1:4">
      <c r="A401" t="s">
        <v>1254</v>
      </c>
      <c r="B401" t="str">
        <f>IF('02_Warehouse_Locations'!A400="","",'02_Warehouse_Locations'!A400)</f>
        <v/>
      </c>
      <c r="C401" t="str">
        <f t="shared" si="6"/>
        <v/>
      </c>
      <c r="D401" t="s">
        <v>1255</v>
      </c>
    </row>
    <row r="402" spans="1:4">
      <c r="A402" t="s">
        <v>1254</v>
      </c>
      <c r="B402" t="str">
        <f>IF('02_Warehouse_Locations'!A401="","",'02_Warehouse_Locations'!A401)</f>
        <v/>
      </c>
      <c r="C402" t="str">
        <f t="shared" si="6"/>
        <v/>
      </c>
      <c r="D402" t="s">
        <v>1255</v>
      </c>
    </row>
    <row r="403" spans="1:4">
      <c r="A403" t="s">
        <v>1254</v>
      </c>
      <c r="B403" t="str">
        <f>IF('02_Warehouse_Locations'!A402="","",'02_Warehouse_Locations'!A402)</f>
        <v/>
      </c>
      <c r="C403" t="str">
        <f t="shared" si="6"/>
        <v/>
      </c>
      <c r="D403" t="s">
        <v>1255</v>
      </c>
    </row>
    <row r="404" spans="1:4">
      <c r="A404" t="s">
        <v>1254</v>
      </c>
      <c r="B404" t="str">
        <f>IF('02_Warehouse_Locations'!A403="","",'02_Warehouse_Locations'!A403)</f>
        <v/>
      </c>
      <c r="C404" t="str">
        <f t="shared" si="6"/>
        <v/>
      </c>
      <c r="D404" t="s">
        <v>1255</v>
      </c>
    </row>
    <row r="405" spans="1:4">
      <c r="A405" t="s">
        <v>1254</v>
      </c>
      <c r="B405" t="str">
        <f>IF('02_Warehouse_Locations'!A404="","",'02_Warehouse_Locations'!A404)</f>
        <v/>
      </c>
      <c r="C405" t="str">
        <f t="shared" si="6"/>
        <v/>
      </c>
      <c r="D405" t="s">
        <v>1255</v>
      </c>
    </row>
    <row r="406" spans="1:4">
      <c r="A406" t="s">
        <v>1254</v>
      </c>
      <c r="B406" t="str">
        <f>IF('02_Warehouse_Locations'!A405="","",'02_Warehouse_Locations'!A405)</f>
        <v/>
      </c>
      <c r="C406" t="str">
        <f t="shared" si="6"/>
        <v/>
      </c>
      <c r="D406" t="s">
        <v>1255</v>
      </c>
    </row>
    <row r="407" spans="1:4">
      <c r="A407" t="s">
        <v>1254</v>
      </c>
      <c r="B407" t="str">
        <f>IF('02_Warehouse_Locations'!A406="","",'02_Warehouse_Locations'!A406)</f>
        <v/>
      </c>
      <c r="C407" t="str">
        <f t="shared" si="6"/>
        <v/>
      </c>
      <c r="D407" t="s">
        <v>1255</v>
      </c>
    </row>
    <row r="408" spans="1:4">
      <c r="A408" t="s">
        <v>1254</v>
      </c>
      <c r="B408" t="str">
        <f>IF('02_Warehouse_Locations'!A407="","",'02_Warehouse_Locations'!A407)</f>
        <v/>
      </c>
      <c r="C408" t="str">
        <f t="shared" si="6"/>
        <v/>
      </c>
      <c r="D408" t="s">
        <v>1255</v>
      </c>
    </row>
    <row r="409" spans="1:4">
      <c r="A409" t="s">
        <v>1254</v>
      </c>
      <c r="B409" t="str">
        <f>IF('02_Warehouse_Locations'!A408="","",'02_Warehouse_Locations'!A408)</f>
        <v/>
      </c>
      <c r="C409" t="str">
        <f t="shared" si="6"/>
        <v/>
      </c>
      <c r="D409" t="s">
        <v>1255</v>
      </c>
    </row>
    <row r="410" spans="1:4">
      <c r="A410" t="s">
        <v>1254</v>
      </c>
      <c r="B410" t="str">
        <f>IF('02_Warehouse_Locations'!A409="","",'02_Warehouse_Locations'!A409)</f>
        <v/>
      </c>
      <c r="C410" t="str">
        <f t="shared" si="6"/>
        <v/>
      </c>
      <c r="D410" t="s">
        <v>1255</v>
      </c>
    </row>
    <row r="411" spans="1:4">
      <c r="A411" t="s">
        <v>1254</v>
      </c>
      <c r="B411" t="str">
        <f>IF('02_Warehouse_Locations'!A410="","",'02_Warehouse_Locations'!A410)</f>
        <v/>
      </c>
      <c r="C411" t="str">
        <f t="shared" si="6"/>
        <v/>
      </c>
      <c r="D411" t="s">
        <v>1255</v>
      </c>
    </row>
    <row r="412" spans="1:4">
      <c r="A412" t="s">
        <v>1254</v>
      </c>
      <c r="B412" t="str">
        <f>IF('02_Warehouse_Locations'!A411="","",'02_Warehouse_Locations'!A411)</f>
        <v/>
      </c>
      <c r="C412" t="str">
        <f t="shared" si="6"/>
        <v/>
      </c>
      <c r="D412" t="s">
        <v>1255</v>
      </c>
    </row>
    <row r="413" spans="1:4">
      <c r="A413" t="s">
        <v>1254</v>
      </c>
      <c r="B413" t="str">
        <f>IF('02_Warehouse_Locations'!A412="","",'02_Warehouse_Locations'!A412)</f>
        <v/>
      </c>
      <c r="C413" t="str">
        <f t="shared" si="6"/>
        <v/>
      </c>
      <c r="D413" t="s">
        <v>1255</v>
      </c>
    </row>
    <row r="414" spans="1:4">
      <c r="A414" t="s">
        <v>1254</v>
      </c>
      <c r="B414" t="str">
        <f>IF('02_Warehouse_Locations'!A413="","",'02_Warehouse_Locations'!A413)</f>
        <v/>
      </c>
      <c r="C414" t="str">
        <f t="shared" si="6"/>
        <v/>
      </c>
      <c r="D414" t="s">
        <v>1255</v>
      </c>
    </row>
    <row r="415" spans="1:4">
      <c r="A415" t="s">
        <v>1254</v>
      </c>
      <c r="B415" t="str">
        <f>IF('02_Warehouse_Locations'!A414="","",'02_Warehouse_Locations'!A414)</f>
        <v/>
      </c>
      <c r="C415" t="str">
        <f t="shared" si="6"/>
        <v/>
      </c>
      <c r="D415" t="s">
        <v>1255</v>
      </c>
    </row>
    <row r="416" spans="1:4">
      <c r="A416" t="s">
        <v>1254</v>
      </c>
      <c r="B416" t="str">
        <f>IF('02_Warehouse_Locations'!A415="","",'02_Warehouse_Locations'!A415)</f>
        <v/>
      </c>
      <c r="C416" t="str">
        <f t="shared" si="6"/>
        <v/>
      </c>
      <c r="D416" t="s">
        <v>1255</v>
      </c>
    </row>
    <row r="417" spans="1:4">
      <c r="A417" t="s">
        <v>1254</v>
      </c>
      <c r="B417" t="str">
        <f>IF('02_Warehouse_Locations'!A416="","",'02_Warehouse_Locations'!A416)</f>
        <v/>
      </c>
      <c r="C417" t="str">
        <f t="shared" si="6"/>
        <v/>
      </c>
      <c r="D417" t="s">
        <v>1255</v>
      </c>
    </row>
    <row r="418" spans="1:4">
      <c r="A418" t="s">
        <v>1254</v>
      </c>
      <c r="B418" t="str">
        <f>IF('02_Warehouse_Locations'!A417="","",'02_Warehouse_Locations'!A417)</f>
        <v/>
      </c>
      <c r="C418" t="str">
        <f t="shared" si="6"/>
        <v/>
      </c>
      <c r="D418" t="s">
        <v>1255</v>
      </c>
    </row>
    <row r="419" spans="1:4">
      <c r="A419" t="s">
        <v>1254</v>
      </c>
      <c r="B419" t="str">
        <f>IF('02_Warehouse_Locations'!A418="","",'02_Warehouse_Locations'!A418)</f>
        <v/>
      </c>
      <c r="C419" t="str">
        <f t="shared" si="6"/>
        <v/>
      </c>
      <c r="D419" t="s">
        <v>1255</v>
      </c>
    </row>
    <row r="420" spans="1:4">
      <c r="A420" t="s">
        <v>1254</v>
      </c>
      <c r="B420" t="str">
        <f>IF('02_Warehouse_Locations'!A419="","",'02_Warehouse_Locations'!A419)</f>
        <v/>
      </c>
      <c r="C420" t="str">
        <f t="shared" si="6"/>
        <v/>
      </c>
      <c r="D420" t="s">
        <v>1255</v>
      </c>
    </row>
    <row r="421" spans="1:4">
      <c r="A421" t="s">
        <v>1254</v>
      </c>
      <c r="B421" t="str">
        <f>IF('02_Warehouse_Locations'!A420="","",'02_Warehouse_Locations'!A420)</f>
        <v/>
      </c>
      <c r="C421" t="str">
        <f t="shared" si="6"/>
        <v/>
      </c>
      <c r="D421" t="s">
        <v>1255</v>
      </c>
    </row>
    <row r="422" spans="1:4">
      <c r="A422" t="s">
        <v>1254</v>
      </c>
      <c r="B422" t="str">
        <f>IF('02_Warehouse_Locations'!A421="","",'02_Warehouse_Locations'!A421)</f>
        <v/>
      </c>
      <c r="C422" t="str">
        <f t="shared" si="6"/>
        <v/>
      </c>
      <c r="D422" t="s">
        <v>1255</v>
      </c>
    </row>
    <row r="423" spans="1:4">
      <c r="A423" t="s">
        <v>1254</v>
      </c>
      <c r="B423" t="str">
        <f>IF('02_Warehouse_Locations'!A422="","",'02_Warehouse_Locations'!A422)</f>
        <v/>
      </c>
      <c r="C423" t="str">
        <f t="shared" si="6"/>
        <v/>
      </c>
      <c r="D423" t="s">
        <v>1255</v>
      </c>
    </row>
    <row r="424" spans="1:4">
      <c r="A424" t="s">
        <v>1254</v>
      </c>
      <c r="B424" t="str">
        <f>IF('02_Warehouse_Locations'!A423="","",'02_Warehouse_Locations'!A423)</f>
        <v/>
      </c>
      <c r="C424" t="str">
        <f t="shared" si="6"/>
        <v/>
      </c>
      <c r="D424" t="s">
        <v>1255</v>
      </c>
    </row>
    <row r="425" spans="1:4">
      <c r="A425" t="s">
        <v>1254</v>
      </c>
      <c r="B425" t="str">
        <f>IF('02_Warehouse_Locations'!A424="","",'02_Warehouse_Locations'!A424)</f>
        <v/>
      </c>
      <c r="C425" t="str">
        <f t="shared" si="6"/>
        <v/>
      </c>
      <c r="D425" t="s">
        <v>1255</v>
      </c>
    </row>
    <row r="426" spans="1:4">
      <c r="A426" t="s">
        <v>1254</v>
      </c>
      <c r="B426" t="str">
        <f>IF('02_Warehouse_Locations'!A425="","",'02_Warehouse_Locations'!A425)</f>
        <v/>
      </c>
      <c r="C426" t="str">
        <f t="shared" si="6"/>
        <v/>
      </c>
      <c r="D426" t="s">
        <v>1255</v>
      </c>
    </row>
    <row r="427" spans="1:4">
      <c r="A427" t="s">
        <v>1254</v>
      </c>
      <c r="B427" t="str">
        <f>IF('02_Warehouse_Locations'!A426="","",'02_Warehouse_Locations'!A426)</f>
        <v/>
      </c>
      <c r="C427" t="str">
        <f t="shared" si="6"/>
        <v/>
      </c>
      <c r="D427" t="s">
        <v>1255</v>
      </c>
    </row>
    <row r="428" spans="1:4">
      <c r="A428" t="s">
        <v>1254</v>
      </c>
      <c r="B428" t="str">
        <f>IF('02_Warehouse_Locations'!A427="","",'02_Warehouse_Locations'!A427)</f>
        <v/>
      </c>
      <c r="C428" t="str">
        <f t="shared" si="6"/>
        <v/>
      </c>
      <c r="D428" t="s">
        <v>1255</v>
      </c>
    </row>
    <row r="429" spans="1:4">
      <c r="A429" t="s">
        <v>1254</v>
      </c>
      <c r="B429" t="str">
        <f>IF('02_Warehouse_Locations'!A428="","",'02_Warehouse_Locations'!A428)</f>
        <v/>
      </c>
      <c r="C429" t="str">
        <f t="shared" si="6"/>
        <v/>
      </c>
      <c r="D429" t="s">
        <v>1255</v>
      </c>
    </row>
    <row r="430" spans="1:4">
      <c r="A430" t="s">
        <v>1254</v>
      </c>
      <c r="B430" t="str">
        <f>IF('02_Warehouse_Locations'!A429="","",'02_Warehouse_Locations'!A429)</f>
        <v/>
      </c>
      <c r="C430" t="str">
        <f t="shared" si="6"/>
        <v/>
      </c>
      <c r="D430" t="s">
        <v>1255</v>
      </c>
    </row>
    <row r="431" spans="1:4">
      <c r="A431" t="s">
        <v>1254</v>
      </c>
      <c r="B431" t="str">
        <f>IF('02_Warehouse_Locations'!A430="","",'02_Warehouse_Locations'!A430)</f>
        <v/>
      </c>
      <c r="C431" t="str">
        <f t="shared" si="6"/>
        <v/>
      </c>
      <c r="D431" t="s">
        <v>1255</v>
      </c>
    </row>
    <row r="432" spans="1:4">
      <c r="A432" t="s">
        <v>1254</v>
      </c>
      <c r="B432" t="str">
        <f>IF('02_Warehouse_Locations'!A431="","",'02_Warehouse_Locations'!A431)</f>
        <v/>
      </c>
      <c r="C432" t="str">
        <f t="shared" si="6"/>
        <v/>
      </c>
      <c r="D432" t="s">
        <v>1255</v>
      </c>
    </row>
    <row r="433" spans="1:4">
      <c r="A433" t="s">
        <v>1254</v>
      </c>
      <c r="B433" t="str">
        <f>IF('02_Warehouse_Locations'!A432="","",'02_Warehouse_Locations'!A432)</f>
        <v/>
      </c>
      <c r="C433" t="str">
        <f t="shared" si="6"/>
        <v/>
      </c>
      <c r="D433" t="s">
        <v>1255</v>
      </c>
    </row>
    <row r="434" spans="1:4">
      <c r="A434" t="s">
        <v>1254</v>
      </c>
      <c r="B434" t="str">
        <f>IF('02_Warehouse_Locations'!A433="","",'02_Warehouse_Locations'!A433)</f>
        <v/>
      </c>
      <c r="C434" t="str">
        <f t="shared" si="6"/>
        <v/>
      </c>
      <c r="D434" t="s">
        <v>1255</v>
      </c>
    </row>
    <row r="435" spans="1:4">
      <c r="A435" t="s">
        <v>1254</v>
      </c>
      <c r="B435" t="str">
        <f>IF('02_Warehouse_Locations'!A434="","",'02_Warehouse_Locations'!A434)</f>
        <v/>
      </c>
      <c r="C435" t="str">
        <f t="shared" si="6"/>
        <v/>
      </c>
      <c r="D435" t="s">
        <v>1255</v>
      </c>
    </row>
    <row r="436" spans="1:4">
      <c r="A436" t="s">
        <v>1254</v>
      </c>
      <c r="B436" t="str">
        <f>IF('02_Warehouse_Locations'!A435="","",'02_Warehouse_Locations'!A435)</f>
        <v/>
      </c>
      <c r="C436" t="str">
        <f t="shared" si="6"/>
        <v/>
      </c>
      <c r="D436" t="s">
        <v>1255</v>
      </c>
    </row>
    <row r="437" spans="1:4">
      <c r="A437" t="s">
        <v>1254</v>
      </c>
      <c r="B437" t="str">
        <f>IF('02_Warehouse_Locations'!A436="","",'02_Warehouse_Locations'!A436)</f>
        <v/>
      </c>
      <c r="C437" t="str">
        <f t="shared" si="6"/>
        <v/>
      </c>
      <c r="D437" t="s">
        <v>1255</v>
      </c>
    </row>
    <row r="438" spans="1:4">
      <c r="A438" t="s">
        <v>1254</v>
      </c>
      <c r="B438" t="str">
        <f>IF('02_Warehouse_Locations'!A437="","",'02_Warehouse_Locations'!A437)</f>
        <v/>
      </c>
      <c r="C438" t="str">
        <f t="shared" si="6"/>
        <v/>
      </c>
      <c r="D438" t="s">
        <v>1255</v>
      </c>
    </row>
    <row r="439" spans="1:4">
      <c r="A439" t="s">
        <v>1254</v>
      </c>
      <c r="B439" t="str">
        <f>IF('02_Warehouse_Locations'!A438="","",'02_Warehouse_Locations'!A438)</f>
        <v/>
      </c>
      <c r="C439" t="str">
        <f t="shared" si="6"/>
        <v/>
      </c>
      <c r="D439" t="s">
        <v>1255</v>
      </c>
    </row>
    <row r="440" spans="1:4">
      <c r="A440" t="s">
        <v>1254</v>
      </c>
      <c r="B440" t="str">
        <f>IF('02_Warehouse_Locations'!A439="","",'02_Warehouse_Locations'!A439)</f>
        <v/>
      </c>
      <c r="C440" t="str">
        <f t="shared" si="6"/>
        <v/>
      </c>
      <c r="D440" t="s">
        <v>1255</v>
      </c>
    </row>
    <row r="441" spans="1:4">
      <c r="A441" t="s">
        <v>1254</v>
      </c>
      <c r="B441" t="str">
        <f>IF('02_Warehouse_Locations'!A440="","",'02_Warehouse_Locations'!A440)</f>
        <v/>
      </c>
      <c r="C441" t="str">
        <f t="shared" si="6"/>
        <v/>
      </c>
      <c r="D441" t="s">
        <v>1255</v>
      </c>
    </row>
    <row r="442" spans="1:4">
      <c r="A442" t="s">
        <v>1254</v>
      </c>
      <c r="B442" t="str">
        <f>IF('02_Warehouse_Locations'!A441="","",'02_Warehouse_Locations'!A441)</f>
        <v/>
      </c>
      <c r="C442" t="str">
        <f t="shared" si="6"/>
        <v/>
      </c>
      <c r="D442" t="s">
        <v>1255</v>
      </c>
    </row>
    <row r="443" spans="1:4">
      <c r="A443" t="s">
        <v>1254</v>
      </c>
      <c r="B443" t="str">
        <f>IF('02_Warehouse_Locations'!A442="","",'02_Warehouse_Locations'!A442)</f>
        <v/>
      </c>
      <c r="C443" t="str">
        <f t="shared" si="6"/>
        <v/>
      </c>
      <c r="D443" t="s">
        <v>1255</v>
      </c>
    </row>
    <row r="444" spans="1:4">
      <c r="A444" t="s">
        <v>1254</v>
      </c>
      <c r="B444" t="str">
        <f>IF('02_Warehouse_Locations'!A443="","",'02_Warehouse_Locations'!A443)</f>
        <v/>
      </c>
      <c r="C444" t="str">
        <f t="shared" si="6"/>
        <v/>
      </c>
      <c r="D444" t="s">
        <v>1255</v>
      </c>
    </row>
    <row r="445" spans="1:4">
      <c r="A445" t="s">
        <v>1254</v>
      </c>
      <c r="B445" t="str">
        <f>IF('02_Warehouse_Locations'!A444="","",'02_Warehouse_Locations'!A444)</f>
        <v/>
      </c>
      <c r="C445" t="str">
        <f t="shared" si="6"/>
        <v/>
      </c>
      <c r="D445" t="s">
        <v>1255</v>
      </c>
    </row>
    <row r="446" spans="1:4">
      <c r="A446" t="s">
        <v>1254</v>
      </c>
      <c r="B446" t="str">
        <f>IF('02_Warehouse_Locations'!A445="","",'02_Warehouse_Locations'!A445)</f>
        <v/>
      </c>
      <c r="C446" t="str">
        <f t="shared" si="6"/>
        <v/>
      </c>
      <c r="D446" t="s">
        <v>1255</v>
      </c>
    </row>
    <row r="447" spans="1:4">
      <c r="A447" t="s">
        <v>1254</v>
      </c>
      <c r="B447" t="str">
        <f>IF('02_Warehouse_Locations'!A446="","",'02_Warehouse_Locations'!A446)</f>
        <v/>
      </c>
      <c r="C447" t="str">
        <f t="shared" si="6"/>
        <v/>
      </c>
      <c r="D447" t="s">
        <v>1255</v>
      </c>
    </row>
    <row r="448" spans="1:4">
      <c r="A448" t="s">
        <v>1254</v>
      </c>
      <c r="B448" t="str">
        <f>IF('02_Warehouse_Locations'!A447="","",'02_Warehouse_Locations'!A447)</f>
        <v/>
      </c>
      <c r="C448" t="str">
        <f t="shared" si="6"/>
        <v/>
      </c>
      <c r="D448" t="s">
        <v>1255</v>
      </c>
    </row>
    <row r="449" spans="1:4">
      <c r="A449" t="s">
        <v>1254</v>
      </c>
      <c r="B449" t="str">
        <f>IF('02_Warehouse_Locations'!A448="","",'02_Warehouse_Locations'!A448)</f>
        <v/>
      </c>
      <c r="C449" t="str">
        <f t="shared" si="6"/>
        <v/>
      </c>
      <c r="D449" t="s">
        <v>1255</v>
      </c>
    </row>
    <row r="450" spans="1:4">
      <c r="A450" t="s">
        <v>1254</v>
      </c>
      <c r="B450" t="str">
        <f>IF('02_Warehouse_Locations'!A449="","",'02_Warehouse_Locations'!A449)</f>
        <v/>
      </c>
      <c r="C450" t="str">
        <f t="shared" si="6"/>
        <v/>
      </c>
      <c r="D450" t="s">
        <v>1255</v>
      </c>
    </row>
    <row r="451" spans="1:4">
      <c r="A451" t="s">
        <v>1254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1255</v>
      </c>
    </row>
    <row r="452" spans="1:4">
      <c r="A452" t="s">
        <v>1254</v>
      </c>
      <c r="B452" t="str">
        <f>IF('02_Warehouse_Locations'!A451="","",'02_Warehouse_Locations'!A451)</f>
        <v/>
      </c>
      <c r="C452" t="str">
        <f t="shared" si="7"/>
        <v/>
      </c>
      <c r="D452" t="s">
        <v>1255</v>
      </c>
    </row>
    <row r="453" spans="1:4">
      <c r="A453" t="s">
        <v>1254</v>
      </c>
      <c r="B453" t="str">
        <f>IF('02_Warehouse_Locations'!A452="","",'02_Warehouse_Locations'!A452)</f>
        <v/>
      </c>
      <c r="C453" t="str">
        <f t="shared" si="7"/>
        <v/>
      </c>
      <c r="D453" t="s">
        <v>1255</v>
      </c>
    </row>
    <row r="454" spans="1:4">
      <c r="A454" t="s">
        <v>1254</v>
      </c>
      <c r="B454" t="str">
        <f>IF('02_Warehouse_Locations'!A453="","",'02_Warehouse_Locations'!A453)</f>
        <v/>
      </c>
      <c r="C454" t="str">
        <f t="shared" si="7"/>
        <v/>
      </c>
      <c r="D454" t="s">
        <v>1255</v>
      </c>
    </row>
    <row r="455" spans="1:4">
      <c r="A455" t="s">
        <v>1254</v>
      </c>
      <c r="B455" t="str">
        <f>IF('02_Warehouse_Locations'!A454="","",'02_Warehouse_Locations'!A454)</f>
        <v/>
      </c>
      <c r="C455" t="str">
        <f t="shared" si="7"/>
        <v/>
      </c>
      <c r="D455" t="s">
        <v>1255</v>
      </c>
    </row>
    <row r="456" spans="1:4">
      <c r="A456" t="s">
        <v>1254</v>
      </c>
      <c r="B456" t="str">
        <f>IF('02_Warehouse_Locations'!A455="","",'02_Warehouse_Locations'!A455)</f>
        <v/>
      </c>
      <c r="C456" t="str">
        <f t="shared" si="7"/>
        <v/>
      </c>
      <c r="D456" t="s">
        <v>1255</v>
      </c>
    </row>
    <row r="457" spans="1:4">
      <c r="A457" t="s">
        <v>1254</v>
      </c>
      <c r="B457" t="str">
        <f>IF('02_Warehouse_Locations'!A456="","",'02_Warehouse_Locations'!A456)</f>
        <v/>
      </c>
      <c r="C457" t="str">
        <f t="shared" si="7"/>
        <v/>
      </c>
      <c r="D457" t="s">
        <v>1255</v>
      </c>
    </row>
    <row r="458" spans="1:4">
      <c r="A458" t="s">
        <v>1254</v>
      </c>
      <c r="B458" t="str">
        <f>IF('02_Warehouse_Locations'!A457="","",'02_Warehouse_Locations'!A457)</f>
        <v/>
      </c>
      <c r="C458" t="str">
        <f t="shared" si="7"/>
        <v/>
      </c>
      <c r="D458" t="s">
        <v>1255</v>
      </c>
    </row>
    <row r="459" spans="1:4">
      <c r="A459" t="s">
        <v>1254</v>
      </c>
      <c r="B459" t="str">
        <f>IF('02_Warehouse_Locations'!A458="","",'02_Warehouse_Locations'!A458)</f>
        <v/>
      </c>
      <c r="C459" t="str">
        <f t="shared" si="7"/>
        <v/>
      </c>
      <c r="D459" t="s">
        <v>1255</v>
      </c>
    </row>
    <row r="460" spans="1:4">
      <c r="A460" t="s">
        <v>1254</v>
      </c>
      <c r="B460" t="str">
        <f>IF('02_Warehouse_Locations'!A459="","",'02_Warehouse_Locations'!A459)</f>
        <v/>
      </c>
      <c r="C460" t="str">
        <f t="shared" si="7"/>
        <v/>
      </c>
      <c r="D460" t="s">
        <v>1255</v>
      </c>
    </row>
    <row r="461" spans="1:4">
      <c r="A461" t="s">
        <v>1254</v>
      </c>
      <c r="B461" t="str">
        <f>IF('02_Warehouse_Locations'!A460="","",'02_Warehouse_Locations'!A460)</f>
        <v/>
      </c>
      <c r="C461" t="str">
        <f t="shared" si="7"/>
        <v/>
      </c>
      <c r="D461" t="s">
        <v>1255</v>
      </c>
    </row>
    <row r="462" spans="1:4">
      <c r="A462" t="s">
        <v>1254</v>
      </c>
      <c r="B462" t="str">
        <f>IF('02_Warehouse_Locations'!A461="","",'02_Warehouse_Locations'!A461)</f>
        <v/>
      </c>
      <c r="C462" t="str">
        <f t="shared" si="7"/>
        <v/>
      </c>
      <c r="D462" t="s">
        <v>1255</v>
      </c>
    </row>
    <row r="463" spans="1:4">
      <c r="A463" t="s">
        <v>1254</v>
      </c>
      <c r="B463" t="str">
        <f>IF('02_Warehouse_Locations'!A462="","",'02_Warehouse_Locations'!A462)</f>
        <v/>
      </c>
      <c r="C463" t="str">
        <f t="shared" si="7"/>
        <v/>
      </c>
      <c r="D463" t="s">
        <v>1255</v>
      </c>
    </row>
    <row r="464" spans="1:4">
      <c r="A464" t="s">
        <v>1254</v>
      </c>
      <c r="B464" t="str">
        <f>IF('02_Warehouse_Locations'!A463="","",'02_Warehouse_Locations'!A463)</f>
        <v/>
      </c>
      <c r="C464" t="str">
        <f t="shared" si="7"/>
        <v/>
      </c>
      <c r="D464" t="s">
        <v>1255</v>
      </c>
    </row>
    <row r="465" spans="1:4">
      <c r="A465" t="s">
        <v>1254</v>
      </c>
      <c r="B465" t="str">
        <f>IF('02_Warehouse_Locations'!A464="","",'02_Warehouse_Locations'!A464)</f>
        <v/>
      </c>
      <c r="C465" t="str">
        <f t="shared" si="7"/>
        <v/>
      </c>
      <c r="D465" t="s">
        <v>1255</v>
      </c>
    </row>
    <row r="466" spans="1:4">
      <c r="A466" t="s">
        <v>1254</v>
      </c>
      <c r="B466" t="str">
        <f>IF('02_Warehouse_Locations'!A465="","",'02_Warehouse_Locations'!A465)</f>
        <v/>
      </c>
      <c r="C466" t="str">
        <f t="shared" si="7"/>
        <v/>
      </c>
      <c r="D466" t="s">
        <v>1255</v>
      </c>
    </row>
    <row r="467" spans="1:4">
      <c r="A467" t="s">
        <v>1254</v>
      </c>
      <c r="B467" t="str">
        <f>IF('02_Warehouse_Locations'!A466="","",'02_Warehouse_Locations'!A466)</f>
        <v/>
      </c>
      <c r="C467" t="str">
        <f t="shared" si="7"/>
        <v/>
      </c>
      <c r="D467" t="s">
        <v>1255</v>
      </c>
    </row>
    <row r="468" spans="1:4">
      <c r="A468" t="s">
        <v>1254</v>
      </c>
      <c r="B468" t="str">
        <f>IF('02_Warehouse_Locations'!A467="","",'02_Warehouse_Locations'!A467)</f>
        <v/>
      </c>
      <c r="C468" t="str">
        <f t="shared" si="7"/>
        <v/>
      </c>
      <c r="D468" t="s">
        <v>1255</v>
      </c>
    </row>
    <row r="469" spans="1:4">
      <c r="A469" t="s">
        <v>1254</v>
      </c>
      <c r="B469" t="str">
        <f>IF('02_Warehouse_Locations'!A468="","",'02_Warehouse_Locations'!A468)</f>
        <v/>
      </c>
      <c r="C469" t="str">
        <f t="shared" si="7"/>
        <v/>
      </c>
      <c r="D469" t="s">
        <v>1255</v>
      </c>
    </row>
    <row r="470" spans="1:4">
      <c r="A470" t="s">
        <v>1254</v>
      </c>
      <c r="B470" t="str">
        <f>IF('02_Warehouse_Locations'!A469="","",'02_Warehouse_Locations'!A469)</f>
        <v/>
      </c>
      <c r="C470" t="str">
        <f t="shared" si="7"/>
        <v/>
      </c>
      <c r="D470" t="s">
        <v>1255</v>
      </c>
    </row>
    <row r="471" spans="1:4">
      <c r="A471" t="s">
        <v>1254</v>
      </c>
      <c r="B471" t="str">
        <f>IF('02_Warehouse_Locations'!A470="","",'02_Warehouse_Locations'!A470)</f>
        <v/>
      </c>
      <c r="C471" t="str">
        <f t="shared" si="7"/>
        <v/>
      </c>
      <c r="D471" t="s">
        <v>1255</v>
      </c>
    </row>
    <row r="472" spans="1:4">
      <c r="A472" t="s">
        <v>1254</v>
      </c>
      <c r="B472" t="str">
        <f>IF('02_Warehouse_Locations'!A471="","",'02_Warehouse_Locations'!A471)</f>
        <v/>
      </c>
      <c r="C472" t="str">
        <f t="shared" si="7"/>
        <v/>
      </c>
      <c r="D472" t="s">
        <v>1255</v>
      </c>
    </row>
    <row r="473" spans="1:4">
      <c r="A473" t="s">
        <v>1254</v>
      </c>
      <c r="B473" t="str">
        <f>IF('02_Warehouse_Locations'!A472="","",'02_Warehouse_Locations'!A472)</f>
        <v/>
      </c>
      <c r="C473" t="str">
        <f t="shared" si="7"/>
        <v/>
      </c>
      <c r="D473" t="s">
        <v>1255</v>
      </c>
    </row>
    <row r="474" spans="1:4">
      <c r="A474" t="s">
        <v>1254</v>
      </c>
      <c r="B474" t="str">
        <f>IF('02_Warehouse_Locations'!A473="","",'02_Warehouse_Locations'!A473)</f>
        <v/>
      </c>
      <c r="C474" t="str">
        <f t="shared" si="7"/>
        <v/>
      </c>
      <c r="D474" t="s">
        <v>1255</v>
      </c>
    </row>
    <row r="475" spans="1:4">
      <c r="A475" t="s">
        <v>1254</v>
      </c>
      <c r="B475" t="str">
        <f>IF('02_Warehouse_Locations'!A474="","",'02_Warehouse_Locations'!A474)</f>
        <v/>
      </c>
      <c r="C475" t="str">
        <f t="shared" si="7"/>
        <v/>
      </c>
      <c r="D475" t="s">
        <v>1255</v>
      </c>
    </row>
    <row r="476" spans="1:4">
      <c r="A476" t="s">
        <v>1254</v>
      </c>
      <c r="B476" t="str">
        <f>IF('02_Warehouse_Locations'!A475="","",'02_Warehouse_Locations'!A475)</f>
        <v/>
      </c>
      <c r="C476" t="str">
        <f t="shared" si="7"/>
        <v/>
      </c>
      <c r="D476" t="s">
        <v>1255</v>
      </c>
    </row>
    <row r="477" spans="1:4">
      <c r="A477" t="s">
        <v>1254</v>
      </c>
      <c r="B477" t="str">
        <f>IF('02_Warehouse_Locations'!A476="","",'02_Warehouse_Locations'!A476)</f>
        <v/>
      </c>
      <c r="C477" t="str">
        <f t="shared" si="7"/>
        <v/>
      </c>
      <c r="D477" t="s">
        <v>1255</v>
      </c>
    </row>
    <row r="478" spans="1:4">
      <c r="A478" t="s">
        <v>1254</v>
      </c>
      <c r="B478" t="str">
        <f>IF('02_Warehouse_Locations'!A477="","",'02_Warehouse_Locations'!A477)</f>
        <v/>
      </c>
      <c r="C478" t="str">
        <f t="shared" si="7"/>
        <v/>
      </c>
      <c r="D478" t="s">
        <v>1255</v>
      </c>
    </row>
    <row r="479" spans="1:4">
      <c r="A479" t="s">
        <v>1254</v>
      </c>
      <c r="B479" t="str">
        <f>IF('02_Warehouse_Locations'!A478="","",'02_Warehouse_Locations'!A478)</f>
        <v/>
      </c>
      <c r="C479" t="str">
        <f t="shared" si="7"/>
        <v/>
      </c>
      <c r="D479" t="s">
        <v>1255</v>
      </c>
    </row>
    <row r="480" spans="1:4">
      <c r="A480" t="s">
        <v>1254</v>
      </c>
      <c r="B480" t="str">
        <f>IF('02_Warehouse_Locations'!A479="","",'02_Warehouse_Locations'!A479)</f>
        <v/>
      </c>
      <c r="C480" t="str">
        <f t="shared" si="7"/>
        <v/>
      </c>
      <c r="D480" t="s">
        <v>1255</v>
      </c>
    </row>
    <row r="481" spans="1:4">
      <c r="A481" t="s">
        <v>1254</v>
      </c>
      <c r="B481" t="str">
        <f>IF('02_Warehouse_Locations'!A480="","",'02_Warehouse_Locations'!A480)</f>
        <v/>
      </c>
      <c r="C481" t="str">
        <f t="shared" si="7"/>
        <v/>
      </c>
      <c r="D481" t="s">
        <v>1255</v>
      </c>
    </row>
    <row r="482" spans="1:4">
      <c r="A482" t="s">
        <v>1254</v>
      </c>
      <c r="B482" t="str">
        <f>IF('02_Warehouse_Locations'!A481="","",'02_Warehouse_Locations'!A481)</f>
        <v/>
      </c>
      <c r="C482" t="str">
        <f t="shared" si="7"/>
        <v/>
      </c>
      <c r="D482" t="s">
        <v>1255</v>
      </c>
    </row>
    <row r="483" spans="1:4">
      <c r="A483" t="s">
        <v>1254</v>
      </c>
      <c r="B483" t="str">
        <f>IF('02_Warehouse_Locations'!A482="","",'02_Warehouse_Locations'!A482)</f>
        <v/>
      </c>
      <c r="C483" t="str">
        <f t="shared" si="7"/>
        <v/>
      </c>
      <c r="D483" t="s">
        <v>1255</v>
      </c>
    </row>
    <row r="484" spans="1:4">
      <c r="A484" t="s">
        <v>1254</v>
      </c>
      <c r="B484" t="str">
        <f>IF('02_Warehouse_Locations'!A483="","",'02_Warehouse_Locations'!A483)</f>
        <v/>
      </c>
      <c r="C484" t="str">
        <f t="shared" si="7"/>
        <v/>
      </c>
      <c r="D484" t="s">
        <v>1255</v>
      </c>
    </row>
    <row r="485" spans="1:4">
      <c r="A485" t="s">
        <v>1254</v>
      </c>
      <c r="B485" t="str">
        <f>IF('02_Warehouse_Locations'!A484="","",'02_Warehouse_Locations'!A484)</f>
        <v/>
      </c>
      <c r="C485" t="str">
        <f t="shared" si="7"/>
        <v/>
      </c>
      <c r="D485" t="s">
        <v>1255</v>
      </c>
    </row>
    <row r="486" spans="1:4">
      <c r="A486" t="s">
        <v>1254</v>
      </c>
      <c r="B486" t="str">
        <f>IF('02_Warehouse_Locations'!A485="","",'02_Warehouse_Locations'!A485)</f>
        <v/>
      </c>
      <c r="C486" t="str">
        <f t="shared" si="7"/>
        <v/>
      </c>
      <c r="D486" t="s">
        <v>1255</v>
      </c>
    </row>
    <row r="487" spans="1:4">
      <c r="A487" t="s">
        <v>1254</v>
      </c>
      <c r="B487" t="str">
        <f>IF('02_Warehouse_Locations'!A486="","",'02_Warehouse_Locations'!A486)</f>
        <v/>
      </c>
      <c r="C487" t="str">
        <f t="shared" si="7"/>
        <v/>
      </c>
      <c r="D487" t="s">
        <v>1255</v>
      </c>
    </row>
    <row r="488" spans="1:4">
      <c r="A488" t="s">
        <v>1254</v>
      </c>
      <c r="B488" t="str">
        <f>IF('02_Warehouse_Locations'!A487="","",'02_Warehouse_Locations'!A487)</f>
        <v/>
      </c>
      <c r="C488" t="str">
        <f t="shared" si="7"/>
        <v/>
      </c>
      <c r="D488" t="s">
        <v>1255</v>
      </c>
    </row>
    <row r="489" spans="1:4">
      <c r="A489" t="s">
        <v>1254</v>
      </c>
      <c r="B489" t="str">
        <f>IF('02_Warehouse_Locations'!A488="","",'02_Warehouse_Locations'!A488)</f>
        <v/>
      </c>
      <c r="C489" t="str">
        <f t="shared" si="7"/>
        <v/>
      </c>
      <c r="D489" t="s">
        <v>1255</v>
      </c>
    </row>
    <row r="490" spans="1:4">
      <c r="A490" t="s">
        <v>1254</v>
      </c>
      <c r="B490" t="str">
        <f>IF('02_Warehouse_Locations'!A489="","",'02_Warehouse_Locations'!A489)</f>
        <v/>
      </c>
      <c r="C490" t="str">
        <f t="shared" si="7"/>
        <v/>
      </c>
      <c r="D490" t="s">
        <v>1255</v>
      </c>
    </row>
    <row r="491" spans="1:4">
      <c r="A491" t="s">
        <v>1254</v>
      </c>
      <c r="B491" t="str">
        <f>IF('02_Warehouse_Locations'!A490="","",'02_Warehouse_Locations'!A490)</f>
        <v/>
      </c>
      <c r="C491" t="str">
        <f t="shared" si="7"/>
        <v/>
      </c>
      <c r="D491" t="s">
        <v>1255</v>
      </c>
    </row>
    <row r="492" spans="1:4">
      <c r="A492" t="s">
        <v>1254</v>
      </c>
      <c r="B492" t="str">
        <f>IF('02_Warehouse_Locations'!A491="","",'02_Warehouse_Locations'!A491)</f>
        <v/>
      </c>
      <c r="C492" t="str">
        <f t="shared" si="7"/>
        <v/>
      </c>
      <c r="D492" t="s">
        <v>1255</v>
      </c>
    </row>
    <row r="493" spans="1:4">
      <c r="A493" t="s">
        <v>1254</v>
      </c>
      <c r="B493" t="str">
        <f>IF('02_Warehouse_Locations'!A492="","",'02_Warehouse_Locations'!A492)</f>
        <v/>
      </c>
      <c r="C493" t="str">
        <f t="shared" si="7"/>
        <v/>
      </c>
      <c r="D493" t="s">
        <v>1255</v>
      </c>
    </row>
    <row r="494" spans="1:4">
      <c r="A494" t="s">
        <v>1254</v>
      </c>
      <c r="B494" t="str">
        <f>IF('02_Warehouse_Locations'!A493="","",'02_Warehouse_Locations'!A493)</f>
        <v/>
      </c>
      <c r="C494" t="str">
        <f t="shared" si="7"/>
        <v/>
      </c>
      <c r="D494" t="s">
        <v>1255</v>
      </c>
    </row>
    <row r="495" spans="1:4">
      <c r="A495" t="s">
        <v>1254</v>
      </c>
      <c r="B495" t="str">
        <f>IF('02_Warehouse_Locations'!A494="","",'02_Warehouse_Locations'!A494)</f>
        <v/>
      </c>
      <c r="C495" t="str">
        <f t="shared" si="7"/>
        <v/>
      </c>
      <c r="D495" t="s">
        <v>1255</v>
      </c>
    </row>
    <row r="496" spans="1:4">
      <c r="A496" t="s">
        <v>1254</v>
      </c>
      <c r="B496" t="str">
        <f>IF('02_Warehouse_Locations'!A495="","",'02_Warehouse_Locations'!A495)</f>
        <v/>
      </c>
      <c r="C496" t="str">
        <f t="shared" si="7"/>
        <v/>
      </c>
      <c r="D496" t="s">
        <v>1255</v>
      </c>
    </row>
    <row r="497" spans="1:4">
      <c r="A497" t="s">
        <v>1254</v>
      </c>
      <c r="B497" t="str">
        <f>IF('02_Warehouse_Locations'!A496="","",'02_Warehouse_Locations'!A496)</f>
        <v/>
      </c>
      <c r="C497" t="str">
        <f t="shared" si="7"/>
        <v/>
      </c>
      <c r="D497" t="s">
        <v>1255</v>
      </c>
    </row>
    <row r="498" spans="1:4">
      <c r="A498" t="s">
        <v>1254</v>
      </c>
      <c r="B498" t="str">
        <f>IF('02_Warehouse_Locations'!A497="","",'02_Warehouse_Locations'!A497)</f>
        <v/>
      </c>
      <c r="C498" t="str">
        <f t="shared" si="7"/>
        <v/>
      </c>
      <c r="D498" t="s">
        <v>1255</v>
      </c>
    </row>
    <row r="499" spans="1:4">
      <c r="A499" t="s">
        <v>1254</v>
      </c>
      <c r="B499" t="str">
        <f>IF('02_Warehouse_Locations'!A498="","",'02_Warehouse_Locations'!A498)</f>
        <v/>
      </c>
      <c r="C499" t="str">
        <f t="shared" si="7"/>
        <v/>
      </c>
      <c r="D499" t="s">
        <v>1255</v>
      </c>
    </row>
    <row r="500" spans="1:4">
      <c r="A500" t="s">
        <v>1254</v>
      </c>
      <c r="B500" t="str">
        <f>IF('02_Warehouse_Locations'!A499="","",'02_Warehouse_Locations'!A499)</f>
        <v/>
      </c>
      <c r="C500" t="str">
        <f t="shared" si="7"/>
        <v/>
      </c>
      <c r="D500" t="s">
        <v>1255</v>
      </c>
    </row>
    <row r="501" spans="1:4">
      <c r="A501" t="s">
        <v>1254</v>
      </c>
      <c r="B501" t="str">
        <f>IF('02_Warehouse_Locations'!A500="","",'02_Warehouse_Locations'!A500)</f>
        <v/>
      </c>
      <c r="C501" t="str">
        <f t="shared" si="7"/>
        <v/>
      </c>
      <c r="D501" t="s">
        <v>1255</v>
      </c>
    </row>
    <row r="502" spans="1:4">
      <c r="A502" t="s">
        <v>1254</v>
      </c>
      <c r="B502" t="str">
        <f>IF('02_Warehouse_Locations'!A501="","",'02_Warehouse_Locations'!A501)</f>
        <v/>
      </c>
      <c r="C502" t="str">
        <f t="shared" si="7"/>
        <v/>
      </c>
      <c r="D502" t="s">
        <v>1255</v>
      </c>
    </row>
    <row r="505" spans="1:4">
      <c r="A505" s="29" t="s">
        <v>1256</v>
      </c>
    </row>
    <row r="506" spans="1:4">
      <c r="A506" t="s">
        <v>1257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1258</v>
      </c>
    </row>
    <row r="507" spans="1:4">
      <c r="A507" t="s">
        <v>1257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1258</v>
      </c>
    </row>
    <row r="508" spans="1:4">
      <c r="A508" t="s">
        <v>1257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1258</v>
      </c>
    </row>
    <row r="509" spans="1:4">
      <c r="A509" t="s">
        <v>1257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1258</v>
      </c>
    </row>
    <row r="510" spans="1:4">
      <c r="A510" t="s">
        <v>1257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1258</v>
      </c>
    </row>
    <row r="511" spans="1:4">
      <c r="A511" t="s">
        <v>1257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1258</v>
      </c>
    </row>
    <row r="512" spans="1:4">
      <c r="A512" t="s">
        <v>1257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1258</v>
      </c>
    </row>
    <row r="513" spans="1:4">
      <c r="A513" t="s">
        <v>1257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1258</v>
      </c>
    </row>
    <row r="514" spans="1:4">
      <c r="A514" t="s">
        <v>1257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1258</v>
      </c>
    </row>
    <row r="515" spans="1:4">
      <c r="A515" t="s">
        <v>1257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1258</v>
      </c>
    </row>
    <row r="516" spans="1:4">
      <c r="A516" t="s">
        <v>1257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1258</v>
      </c>
    </row>
    <row r="517" spans="1:4">
      <c r="A517" t="s">
        <v>1257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1258</v>
      </c>
    </row>
    <row r="518" spans="1:4">
      <c r="A518" t="s">
        <v>1257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1258</v>
      </c>
    </row>
    <row r="519" spans="1:4">
      <c r="A519" t="s">
        <v>1257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1258</v>
      </c>
    </row>
    <row r="520" spans="1:4">
      <c r="A520" t="s">
        <v>1257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1258</v>
      </c>
    </row>
    <row r="521" spans="1:4">
      <c r="A521" t="s">
        <v>1257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1258</v>
      </c>
    </row>
    <row r="522" spans="1:4">
      <c r="A522" t="s">
        <v>1257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1258</v>
      </c>
    </row>
    <row r="523" spans="1:4">
      <c r="A523" t="s">
        <v>1257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1258</v>
      </c>
    </row>
    <row r="524" spans="1:4">
      <c r="A524" t="s">
        <v>1257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1258</v>
      </c>
    </row>
    <row r="525" spans="1:4">
      <c r="A525" t="s">
        <v>1257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1258</v>
      </c>
    </row>
    <row r="526" spans="1:4">
      <c r="A526" t="s">
        <v>1257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1258</v>
      </c>
    </row>
    <row r="527" spans="1:4">
      <c r="A527" t="s">
        <v>1257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1258</v>
      </c>
    </row>
    <row r="528" spans="1:4">
      <c r="A528" t="s">
        <v>1257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1258</v>
      </c>
    </row>
    <row r="529" spans="1:4">
      <c r="A529" t="s">
        <v>1257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1258</v>
      </c>
    </row>
    <row r="530" spans="1:4">
      <c r="A530" t="s">
        <v>1257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1258</v>
      </c>
    </row>
    <row r="531" spans="1:4">
      <c r="A531" t="s">
        <v>1257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1258</v>
      </c>
    </row>
    <row r="532" spans="1:4">
      <c r="A532" t="s">
        <v>1257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1258</v>
      </c>
    </row>
    <row r="533" spans="1:4">
      <c r="A533" t="s">
        <v>1257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1258</v>
      </c>
    </row>
    <row r="534" spans="1:4">
      <c r="A534" t="s">
        <v>1257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1258</v>
      </c>
    </row>
    <row r="535" spans="1:4">
      <c r="A535" t="s">
        <v>1257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1258</v>
      </c>
    </row>
    <row r="536" spans="1:4">
      <c r="A536" t="s">
        <v>1257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1258</v>
      </c>
    </row>
    <row r="537" spans="1:4">
      <c r="A537" t="s">
        <v>1257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1258</v>
      </c>
    </row>
    <row r="538" spans="1:4">
      <c r="A538" t="s">
        <v>1257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1258</v>
      </c>
    </row>
    <row r="539" spans="1:4">
      <c r="A539" t="s">
        <v>1257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1258</v>
      </c>
    </row>
    <row r="540" spans="1:4">
      <c r="A540" t="s">
        <v>1257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1258</v>
      </c>
    </row>
    <row r="541" spans="1:4">
      <c r="A541" t="s">
        <v>1257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1258</v>
      </c>
    </row>
    <row r="542" spans="1:4">
      <c r="A542" t="s">
        <v>1257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1258</v>
      </c>
    </row>
    <row r="543" spans="1:4">
      <c r="A543" t="s">
        <v>1257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1258</v>
      </c>
    </row>
    <row r="544" spans="1:4">
      <c r="A544" t="s">
        <v>1257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1258</v>
      </c>
    </row>
    <row r="545" spans="1:4">
      <c r="A545" t="s">
        <v>1257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1258</v>
      </c>
    </row>
    <row r="546" spans="1:4">
      <c r="A546" t="s">
        <v>1257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1258</v>
      </c>
    </row>
    <row r="547" spans="1:4">
      <c r="A547" t="s">
        <v>1257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1258</v>
      </c>
    </row>
    <row r="548" spans="1:4">
      <c r="A548" t="s">
        <v>1257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1258</v>
      </c>
    </row>
    <row r="549" spans="1:4">
      <c r="A549" t="s">
        <v>1257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1258</v>
      </c>
    </row>
    <row r="550" spans="1:4">
      <c r="A550" t="s">
        <v>1257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1258</v>
      </c>
    </row>
    <row r="551" spans="1:4">
      <c r="A551" t="s">
        <v>1257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1258</v>
      </c>
    </row>
    <row r="552" spans="1:4">
      <c r="A552" t="s">
        <v>1257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1258</v>
      </c>
    </row>
    <row r="553" spans="1:4">
      <c r="A553" t="s">
        <v>1257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1258</v>
      </c>
    </row>
    <row r="554" spans="1:4">
      <c r="A554" t="s">
        <v>1257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1258</v>
      </c>
    </row>
    <row r="555" spans="1:4">
      <c r="A555" t="s">
        <v>1257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1258</v>
      </c>
    </row>
    <row r="556" spans="1:4">
      <c r="A556" t="s">
        <v>1257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1258</v>
      </c>
    </row>
    <row r="557" spans="1:4">
      <c r="A557" t="s">
        <v>1257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1258</v>
      </c>
    </row>
    <row r="558" spans="1:4">
      <c r="A558" t="s">
        <v>1257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1258</v>
      </c>
    </row>
    <row r="559" spans="1:4">
      <c r="A559" t="s">
        <v>1257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1258</v>
      </c>
    </row>
    <row r="560" spans="1:4">
      <c r="A560" t="s">
        <v>1257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1258</v>
      </c>
    </row>
    <row r="561" spans="1:4">
      <c r="A561" t="s">
        <v>1257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1258</v>
      </c>
    </row>
    <row r="562" spans="1:4">
      <c r="A562" t="s">
        <v>1257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1258</v>
      </c>
    </row>
    <row r="563" spans="1:4">
      <c r="A563" t="s">
        <v>1257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1258</v>
      </c>
    </row>
    <row r="564" spans="1:4">
      <c r="A564" t="s">
        <v>1257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1258</v>
      </c>
    </row>
    <row r="565" spans="1:4">
      <c r="A565" t="s">
        <v>1257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1258</v>
      </c>
    </row>
    <row r="566" spans="1:4">
      <c r="A566" t="s">
        <v>1257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1258</v>
      </c>
    </row>
    <row r="567" spans="1:4">
      <c r="A567" t="s">
        <v>1257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1258</v>
      </c>
    </row>
    <row r="568" spans="1:4">
      <c r="A568" t="s">
        <v>1257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1258</v>
      </c>
    </row>
    <row r="569" spans="1:4">
      <c r="A569" t="s">
        <v>1257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1258</v>
      </c>
    </row>
    <row r="570" spans="1:4">
      <c r="A570" t="s">
        <v>1257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1258</v>
      </c>
    </row>
    <row r="571" spans="1:4">
      <c r="A571" t="s">
        <v>1257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1258</v>
      </c>
    </row>
    <row r="572" spans="1:4">
      <c r="A572" t="s">
        <v>1257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1258</v>
      </c>
    </row>
    <row r="573" spans="1:4">
      <c r="A573" t="s">
        <v>1257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1258</v>
      </c>
    </row>
    <row r="574" spans="1:4">
      <c r="A574" t="s">
        <v>1257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1258</v>
      </c>
    </row>
    <row r="575" spans="1:4">
      <c r="A575" t="s">
        <v>1257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1258</v>
      </c>
    </row>
    <row r="576" spans="1:4">
      <c r="A576" t="s">
        <v>1257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1258</v>
      </c>
    </row>
    <row r="577" spans="1:4">
      <c r="A577" t="s">
        <v>1257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1258</v>
      </c>
    </row>
    <row r="578" spans="1:4">
      <c r="A578" t="s">
        <v>1257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1258</v>
      </c>
    </row>
    <row r="579" spans="1:4">
      <c r="A579" t="s">
        <v>1257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1258</v>
      </c>
    </row>
    <row r="580" spans="1:4">
      <c r="A580" t="s">
        <v>1257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1258</v>
      </c>
    </row>
    <row r="581" spans="1:4">
      <c r="A581" t="s">
        <v>1257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1258</v>
      </c>
    </row>
    <row r="582" spans="1:4">
      <c r="A582" t="s">
        <v>1257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1258</v>
      </c>
    </row>
    <row r="583" spans="1:4">
      <c r="A583" t="s">
        <v>1257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1258</v>
      </c>
    </row>
    <row r="584" spans="1:4">
      <c r="A584" t="s">
        <v>1257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1258</v>
      </c>
    </row>
    <row r="585" spans="1:4">
      <c r="A585" t="s">
        <v>1257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1258</v>
      </c>
    </row>
    <row r="586" spans="1:4">
      <c r="A586" t="s">
        <v>1257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1258</v>
      </c>
    </row>
    <row r="587" spans="1:4">
      <c r="A587" t="s">
        <v>1257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1258</v>
      </c>
    </row>
    <row r="588" spans="1:4">
      <c r="A588" t="s">
        <v>1257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1258</v>
      </c>
    </row>
    <row r="589" spans="1:4">
      <c r="A589" t="s">
        <v>1257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1258</v>
      </c>
    </row>
    <row r="590" spans="1:4">
      <c r="A590" t="s">
        <v>1257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1258</v>
      </c>
    </row>
    <row r="591" spans="1:4">
      <c r="A591" t="s">
        <v>1257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1258</v>
      </c>
    </row>
    <row r="592" spans="1:4">
      <c r="A592" t="s">
        <v>1257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1258</v>
      </c>
    </row>
    <row r="593" spans="1:4">
      <c r="A593" t="s">
        <v>1257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1258</v>
      </c>
    </row>
    <row r="594" spans="1:4">
      <c r="A594" t="s">
        <v>1257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1258</v>
      </c>
    </row>
    <row r="595" spans="1:4">
      <c r="A595" t="s">
        <v>1257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1258</v>
      </c>
    </row>
    <row r="596" spans="1:4">
      <c r="A596" t="s">
        <v>1257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1258</v>
      </c>
    </row>
    <row r="597" spans="1:4">
      <c r="A597" t="s">
        <v>1257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1258</v>
      </c>
    </row>
    <row r="598" spans="1:4">
      <c r="A598" t="s">
        <v>1257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1258</v>
      </c>
    </row>
    <row r="599" spans="1:4">
      <c r="A599" t="s">
        <v>1257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1258</v>
      </c>
    </row>
    <row r="600" spans="1:4">
      <c r="A600" t="s">
        <v>1257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1258</v>
      </c>
    </row>
    <row r="601" spans="1:4">
      <c r="A601" t="s">
        <v>1257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1258</v>
      </c>
    </row>
    <row r="602" spans="1:4">
      <c r="A602" t="s">
        <v>1257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1258</v>
      </c>
    </row>
    <row r="603" spans="1:4">
      <c r="A603" t="s">
        <v>1257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1258</v>
      </c>
    </row>
    <row r="604" spans="1:4">
      <c r="A604" t="s">
        <v>1257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1258</v>
      </c>
    </row>
    <row r="605" spans="1:4">
      <c r="A605" t="s">
        <v>1257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1258</v>
      </c>
    </row>
    <row r="606" spans="1:4">
      <c r="A606" t="s">
        <v>1257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1258</v>
      </c>
    </row>
    <row r="607" spans="1:4">
      <c r="A607" t="s">
        <v>1257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1258</v>
      </c>
    </row>
    <row r="608" spans="1:4">
      <c r="A608" t="s">
        <v>1257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1258</v>
      </c>
    </row>
    <row r="609" spans="1:4">
      <c r="A609" t="s">
        <v>1257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1258</v>
      </c>
    </row>
    <row r="610" spans="1:4">
      <c r="A610" t="s">
        <v>1257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1258</v>
      </c>
    </row>
    <row r="611" spans="1:4">
      <c r="A611" t="s">
        <v>1257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1258</v>
      </c>
    </row>
    <row r="612" spans="1:4">
      <c r="A612" t="s">
        <v>1257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1258</v>
      </c>
    </row>
    <row r="613" spans="1:4">
      <c r="A613" t="s">
        <v>1257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1258</v>
      </c>
    </row>
    <row r="614" spans="1:4">
      <c r="A614" t="s">
        <v>1257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1258</v>
      </c>
    </row>
    <row r="615" spans="1:4">
      <c r="A615" t="s">
        <v>1257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1258</v>
      </c>
    </row>
    <row r="616" spans="1:4">
      <c r="A616" t="s">
        <v>1257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1258</v>
      </c>
    </row>
    <row r="617" spans="1:4">
      <c r="A617" t="s">
        <v>1257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1258</v>
      </c>
    </row>
    <row r="618" spans="1:4">
      <c r="A618" t="s">
        <v>1257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1258</v>
      </c>
    </row>
    <row r="619" spans="1:4">
      <c r="A619" t="s">
        <v>1257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1258</v>
      </c>
    </row>
    <row r="620" spans="1:4">
      <c r="A620" t="s">
        <v>1257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1258</v>
      </c>
    </row>
    <row r="621" spans="1:4">
      <c r="A621" t="s">
        <v>1257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1258</v>
      </c>
    </row>
    <row r="622" spans="1:4">
      <c r="A622" t="s">
        <v>1257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1258</v>
      </c>
    </row>
    <row r="623" spans="1:4">
      <c r="A623" t="s">
        <v>1257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1258</v>
      </c>
    </row>
    <row r="624" spans="1:4">
      <c r="A624" t="s">
        <v>1257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1258</v>
      </c>
    </row>
    <row r="625" spans="1:4">
      <c r="A625" t="s">
        <v>1257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1258</v>
      </c>
    </row>
    <row r="626" spans="1:4">
      <c r="A626" t="s">
        <v>1257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1258</v>
      </c>
    </row>
    <row r="627" spans="1:4">
      <c r="A627" t="s">
        <v>1257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1258</v>
      </c>
    </row>
    <row r="628" spans="1:4">
      <c r="A628" t="s">
        <v>1257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1258</v>
      </c>
    </row>
    <row r="629" spans="1:4">
      <c r="A629" t="s">
        <v>1257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1258</v>
      </c>
    </row>
    <row r="630" spans="1:4">
      <c r="A630" t="s">
        <v>1257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1258</v>
      </c>
    </row>
    <row r="631" spans="1:4">
      <c r="A631" t="s">
        <v>1257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1258</v>
      </c>
    </row>
    <row r="632" spans="1:4">
      <c r="A632" t="s">
        <v>1257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1258</v>
      </c>
    </row>
    <row r="633" spans="1:4">
      <c r="A633" t="s">
        <v>1257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1258</v>
      </c>
    </row>
    <row r="634" spans="1:4">
      <c r="A634" t="s">
        <v>1257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1258</v>
      </c>
    </row>
    <row r="635" spans="1:4">
      <c r="A635" t="s">
        <v>1257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1258</v>
      </c>
    </row>
    <row r="636" spans="1:4">
      <c r="A636" t="s">
        <v>1257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1258</v>
      </c>
    </row>
    <row r="637" spans="1:4">
      <c r="A637" t="s">
        <v>1257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1258</v>
      </c>
    </row>
    <row r="638" spans="1:4">
      <c r="A638" t="s">
        <v>1257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1258</v>
      </c>
    </row>
    <row r="639" spans="1:4">
      <c r="A639" t="s">
        <v>1257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1258</v>
      </c>
    </row>
    <row r="640" spans="1:4">
      <c r="A640" t="s">
        <v>1257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1258</v>
      </c>
    </row>
    <row r="641" spans="1:4">
      <c r="A641" t="s">
        <v>1257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1258</v>
      </c>
    </row>
    <row r="642" spans="1:4">
      <c r="A642" t="s">
        <v>1257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1258</v>
      </c>
    </row>
    <row r="643" spans="1:4">
      <c r="A643" t="s">
        <v>1257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1258</v>
      </c>
    </row>
    <row r="644" spans="1:4">
      <c r="A644" t="s">
        <v>1257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1258</v>
      </c>
    </row>
    <row r="645" spans="1:4">
      <c r="A645" t="s">
        <v>1257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1258</v>
      </c>
    </row>
    <row r="646" spans="1:4">
      <c r="A646" t="s">
        <v>1257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1258</v>
      </c>
    </row>
    <row r="647" spans="1:4">
      <c r="A647" t="s">
        <v>1257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1258</v>
      </c>
    </row>
    <row r="648" spans="1:4">
      <c r="A648" t="s">
        <v>1257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1258</v>
      </c>
    </row>
    <row r="649" spans="1:4">
      <c r="A649" t="s">
        <v>1257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1258</v>
      </c>
    </row>
    <row r="650" spans="1:4">
      <c r="A650" t="s">
        <v>1257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1258</v>
      </c>
    </row>
    <row r="651" spans="1:4">
      <c r="A651" t="s">
        <v>1257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1258</v>
      </c>
    </row>
    <row r="652" spans="1:4">
      <c r="A652" t="s">
        <v>1257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1258</v>
      </c>
    </row>
    <row r="653" spans="1:4">
      <c r="A653" t="s">
        <v>1257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1258</v>
      </c>
    </row>
    <row r="654" spans="1:4">
      <c r="A654" t="s">
        <v>1257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1258</v>
      </c>
    </row>
    <row r="655" spans="1:4">
      <c r="A655" t="s">
        <v>1257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1258</v>
      </c>
    </row>
    <row r="656" spans="1:4">
      <c r="A656" t="s">
        <v>1257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1258</v>
      </c>
    </row>
    <row r="657" spans="1:4">
      <c r="A657" t="s">
        <v>1257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1258</v>
      </c>
    </row>
    <row r="658" spans="1:4">
      <c r="A658" t="s">
        <v>1257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1258</v>
      </c>
    </row>
    <row r="659" spans="1:4">
      <c r="A659" t="s">
        <v>1257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1258</v>
      </c>
    </row>
    <row r="660" spans="1:4">
      <c r="A660" t="s">
        <v>1257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1258</v>
      </c>
    </row>
    <row r="661" spans="1:4">
      <c r="A661" t="s">
        <v>1257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1258</v>
      </c>
    </row>
    <row r="662" spans="1:4">
      <c r="A662" t="s">
        <v>1257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1258</v>
      </c>
    </row>
    <row r="663" spans="1:4">
      <c r="A663" t="s">
        <v>1257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1258</v>
      </c>
    </row>
    <row r="664" spans="1:4">
      <c r="A664" t="s">
        <v>1257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1258</v>
      </c>
    </row>
    <row r="665" spans="1:4">
      <c r="A665" t="s">
        <v>1257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1258</v>
      </c>
    </row>
    <row r="666" spans="1:4">
      <c r="A666" t="s">
        <v>1257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1258</v>
      </c>
    </row>
    <row r="667" spans="1:4">
      <c r="A667" t="s">
        <v>1257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1258</v>
      </c>
    </row>
    <row r="668" spans="1:4">
      <c r="A668" t="s">
        <v>1257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1258</v>
      </c>
    </row>
    <row r="669" spans="1:4">
      <c r="A669" t="s">
        <v>1257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1258</v>
      </c>
    </row>
    <row r="670" spans="1:4">
      <c r="A670" t="s">
        <v>1257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1258</v>
      </c>
    </row>
    <row r="671" spans="1:4">
      <c r="A671" t="s">
        <v>1257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1258</v>
      </c>
    </row>
    <row r="672" spans="1:4">
      <c r="A672" t="s">
        <v>1257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1258</v>
      </c>
    </row>
    <row r="673" spans="1:4">
      <c r="A673" t="s">
        <v>1257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1258</v>
      </c>
    </row>
    <row r="674" spans="1:4">
      <c r="A674" t="s">
        <v>1257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1258</v>
      </c>
    </row>
    <row r="675" spans="1:4">
      <c r="A675" t="s">
        <v>1257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1258</v>
      </c>
    </row>
    <row r="676" spans="1:4">
      <c r="A676" t="s">
        <v>1257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1258</v>
      </c>
    </row>
    <row r="677" spans="1:4">
      <c r="A677" t="s">
        <v>1257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1258</v>
      </c>
    </row>
    <row r="678" spans="1:4">
      <c r="A678" t="s">
        <v>1257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1258</v>
      </c>
    </row>
    <row r="679" spans="1:4">
      <c r="A679" t="s">
        <v>1257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1258</v>
      </c>
    </row>
    <row r="680" spans="1:4">
      <c r="A680" t="s">
        <v>1257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1258</v>
      </c>
    </row>
    <row r="681" spans="1:4">
      <c r="A681" t="s">
        <v>1257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1258</v>
      </c>
    </row>
    <row r="682" spans="1:4">
      <c r="A682" t="s">
        <v>1257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1258</v>
      </c>
    </row>
    <row r="683" spans="1:4">
      <c r="A683" t="s">
        <v>1257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1258</v>
      </c>
    </row>
    <row r="684" spans="1:4">
      <c r="A684" t="s">
        <v>1257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1258</v>
      </c>
    </row>
    <row r="685" spans="1:4">
      <c r="A685" t="s">
        <v>1257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1258</v>
      </c>
    </row>
    <row r="686" spans="1:4">
      <c r="A686" t="s">
        <v>1257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1258</v>
      </c>
    </row>
    <row r="687" spans="1:4">
      <c r="A687" t="s">
        <v>1257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1258</v>
      </c>
    </row>
    <row r="688" spans="1:4">
      <c r="A688" t="s">
        <v>1257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1258</v>
      </c>
    </row>
    <row r="689" spans="1:4">
      <c r="A689" t="s">
        <v>1257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1258</v>
      </c>
    </row>
    <row r="690" spans="1:4">
      <c r="A690" t="s">
        <v>1257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1258</v>
      </c>
    </row>
    <row r="691" spans="1:4">
      <c r="A691" t="s">
        <v>1257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1258</v>
      </c>
    </row>
    <row r="692" spans="1:4">
      <c r="A692" t="s">
        <v>1257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1258</v>
      </c>
    </row>
    <row r="693" spans="1:4">
      <c r="A693" t="s">
        <v>1257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1258</v>
      </c>
    </row>
    <row r="694" spans="1:4">
      <c r="A694" t="s">
        <v>1257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1258</v>
      </c>
    </row>
    <row r="695" spans="1:4">
      <c r="A695" t="s">
        <v>1257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1258</v>
      </c>
    </row>
    <row r="696" spans="1:4">
      <c r="A696" t="s">
        <v>1257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1258</v>
      </c>
    </row>
    <row r="697" spans="1:4">
      <c r="A697" t="s">
        <v>1257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1258</v>
      </c>
    </row>
    <row r="698" spans="1:4">
      <c r="A698" t="s">
        <v>1257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1258</v>
      </c>
    </row>
    <row r="699" spans="1:4">
      <c r="A699" t="s">
        <v>1257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1258</v>
      </c>
    </row>
    <row r="700" spans="1:4">
      <c r="A700" t="s">
        <v>1257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1258</v>
      </c>
    </row>
    <row r="701" spans="1:4">
      <c r="A701" t="s">
        <v>1257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1258</v>
      </c>
    </row>
    <row r="702" spans="1:4">
      <c r="A702" t="s">
        <v>1257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1258</v>
      </c>
    </row>
    <row r="703" spans="1:4">
      <c r="A703" t="s">
        <v>1257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1258</v>
      </c>
    </row>
    <row r="704" spans="1:4">
      <c r="A704" t="s">
        <v>1257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1258</v>
      </c>
    </row>
    <row r="705" spans="1:4">
      <c r="A705" t="s">
        <v>1257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1258</v>
      </c>
    </row>
    <row r="706" spans="1:4">
      <c r="A706" t="s">
        <v>1257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1258</v>
      </c>
    </row>
    <row r="707" spans="1:4">
      <c r="A707" t="s">
        <v>1257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1258</v>
      </c>
    </row>
    <row r="708" spans="1:4">
      <c r="A708" t="s">
        <v>1257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1258</v>
      </c>
    </row>
    <row r="709" spans="1:4">
      <c r="A709" t="s">
        <v>1257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1258</v>
      </c>
    </row>
    <row r="710" spans="1:4">
      <c r="A710" t="s">
        <v>1257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1258</v>
      </c>
    </row>
    <row r="711" spans="1:4">
      <c r="A711" t="s">
        <v>1257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1258</v>
      </c>
    </row>
    <row r="712" spans="1:4">
      <c r="A712" t="s">
        <v>1257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1258</v>
      </c>
    </row>
    <row r="713" spans="1:4">
      <c r="A713" t="s">
        <v>1257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1258</v>
      </c>
    </row>
    <row r="714" spans="1:4">
      <c r="A714" t="s">
        <v>1257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1258</v>
      </c>
    </row>
    <row r="715" spans="1:4">
      <c r="A715" t="s">
        <v>1257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1258</v>
      </c>
    </row>
    <row r="716" spans="1:4">
      <c r="A716" t="s">
        <v>1257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1258</v>
      </c>
    </row>
    <row r="717" spans="1:4">
      <c r="A717" t="s">
        <v>1257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1258</v>
      </c>
    </row>
    <row r="718" spans="1:4">
      <c r="A718" t="s">
        <v>1257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1258</v>
      </c>
    </row>
    <row r="719" spans="1:4">
      <c r="A719" t="s">
        <v>1257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1258</v>
      </c>
    </row>
    <row r="720" spans="1:4">
      <c r="A720" t="s">
        <v>1257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1258</v>
      </c>
    </row>
    <row r="721" spans="1:4">
      <c r="A721" t="s">
        <v>1257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1258</v>
      </c>
    </row>
    <row r="722" spans="1:4">
      <c r="A722" t="s">
        <v>1257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1258</v>
      </c>
    </row>
    <row r="723" spans="1:4">
      <c r="A723" t="s">
        <v>1257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1258</v>
      </c>
    </row>
    <row r="724" spans="1:4">
      <c r="A724" t="s">
        <v>1257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1258</v>
      </c>
    </row>
    <row r="725" spans="1:4">
      <c r="A725" t="s">
        <v>1257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1258</v>
      </c>
    </row>
    <row r="726" spans="1:4">
      <c r="A726" t="s">
        <v>1257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1258</v>
      </c>
    </row>
    <row r="727" spans="1:4">
      <c r="A727" t="s">
        <v>1257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1258</v>
      </c>
    </row>
    <row r="728" spans="1:4">
      <c r="A728" t="s">
        <v>1257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1258</v>
      </c>
    </row>
    <row r="729" spans="1:4">
      <c r="A729" t="s">
        <v>1257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1258</v>
      </c>
    </row>
    <row r="730" spans="1:4">
      <c r="A730" t="s">
        <v>1257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1258</v>
      </c>
    </row>
    <row r="731" spans="1:4">
      <c r="A731" t="s">
        <v>1257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1258</v>
      </c>
    </row>
    <row r="732" spans="1:4">
      <c r="A732" t="s">
        <v>1257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1258</v>
      </c>
    </row>
    <row r="733" spans="1:4">
      <c r="A733" t="s">
        <v>1257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1258</v>
      </c>
    </row>
    <row r="734" spans="1:4">
      <c r="A734" t="s">
        <v>1257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1258</v>
      </c>
    </row>
    <row r="735" spans="1:4">
      <c r="A735" t="s">
        <v>1257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1258</v>
      </c>
    </row>
    <row r="736" spans="1:4">
      <c r="A736" t="s">
        <v>1257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1258</v>
      </c>
    </row>
    <row r="737" spans="1:4">
      <c r="A737" t="s">
        <v>1257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1258</v>
      </c>
    </row>
    <row r="738" spans="1:4">
      <c r="A738" t="s">
        <v>1257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1258</v>
      </c>
    </row>
    <row r="739" spans="1:4">
      <c r="A739" t="s">
        <v>1257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1258</v>
      </c>
    </row>
    <row r="740" spans="1:4">
      <c r="A740" t="s">
        <v>1257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1258</v>
      </c>
    </row>
    <row r="741" spans="1:4">
      <c r="A741" t="s">
        <v>1257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1258</v>
      </c>
    </row>
    <row r="742" spans="1:4">
      <c r="A742" t="s">
        <v>1257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1258</v>
      </c>
    </row>
    <row r="743" spans="1:4">
      <c r="A743" t="s">
        <v>1257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1258</v>
      </c>
    </row>
    <row r="744" spans="1:4">
      <c r="A744" t="s">
        <v>1257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1258</v>
      </c>
    </row>
    <row r="745" spans="1:4">
      <c r="A745" t="s">
        <v>1257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1258</v>
      </c>
    </row>
    <row r="746" spans="1:4">
      <c r="A746" t="s">
        <v>1257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1258</v>
      </c>
    </row>
    <row r="747" spans="1:4">
      <c r="A747" t="s">
        <v>1257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1258</v>
      </c>
    </row>
    <row r="748" spans="1:4">
      <c r="A748" t="s">
        <v>1257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1258</v>
      </c>
    </row>
    <row r="749" spans="1:4">
      <c r="A749" t="s">
        <v>1257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1258</v>
      </c>
    </row>
    <row r="750" spans="1:4">
      <c r="A750" t="s">
        <v>1257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1258</v>
      </c>
    </row>
    <row r="751" spans="1:4">
      <c r="A751" t="s">
        <v>1257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1258</v>
      </c>
    </row>
    <row r="752" spans="1:4">
      <c r="A752" t="s">
        <v>1257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1258</v>
      </c>
    </row>
    <row r="753" spans="1:4">
      <c r="A753" t="s">
        <v>1257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1258</v>
      </c>
    </row>
    <row r="754" spans="1:4">
      <c r="A754" t="s">
        <v>1257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1258</v>
      </c>
    </row>
    <row r="755" spans="1:4">
      <c r="A755" t="s">
        <v>1257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1258</v>
      </c>
    </row>
    <row r="756" spans="1:4">
      <c r="A756" t="s">
        <v>1257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1258</v>
      </c>
    </row>
    <row r="757" spans="1:4">
      <c r="A757" t="s">
        <v>1257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1258</v>
      </c>
    </row>
    <row r="758" spans="1:4">
      <c r="A758" t="s">
        <v>1257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1258</v>
      </c>
    </row>
    <row r="759" spans="1:4">
      <c r="A759" t="s">
        <v>1257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1258</v>
      </c>
    </row>
    <row r="760" spans="1:4">
      <c r="A760" t="s">
        <v>1257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1258</v>
      </c>
    </row>
    <row r="761" spans="1:4">
      <c r="A761" t="s">
        <v>1257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1258</v>
      </c>
    </row>
    <row r="762" spans="1:4">
      <c r="A762" t="s">
        <v>1257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1258</v>
      </c>
    </row>
    <row r="763" spans="1:4">
      <c r="A763" t="s">
        <v>1257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1258</v>
      </c>
    </row>
    <row r="764" spans="1:4">
      <c r="A764" t="s">
        <v>1257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1258</v>
      </c>
    </row>
    <row r="765" spans="1:4">
      <c r="A765" t="s">
        <v>1257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1258</v>
      </c>
    </row>
    <row r="766" spans="1:4">
      <c r="A766" t="s">
        <v>1257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1258</v>
      </c>
    </row>
    <row r="767" spans="1:4">
      <c r="A767" t="s">
        <v>1257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1258</v>
      </c>
    </row>
    <row r="768" spans="1:4">
      <c r="A768" t="s">
        <v>1257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1258</v>
      </c>
    </row>
    <row r="769" spans="1:4">
      <c r="A769" t="s">
        <v>1257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1258</v>
      </c>
    </row>
    <row r="770" spans="1:4">
      <c r="A770" t="s">
        <v>1257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1258</v>
      </c>
    </row>
    <row r="771" spans="1:4">
      <c r="A771" t="s">
        <v>1257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1258</v>
      </c>
    </row>
    <row r="772" spans="1:4">
      <c r="A772" t="s">
        <v>1257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1258</v>
      </c>
    </row>
    <row r="773" spans="1:4">
      <c r="A773" t="s">
        <v>1257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1258</v>
      </c>
    </row>
    <row r="774" spans="1:4">
      <c r="A774" t="s">
        <v>1257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1258</v>
      </c>
    </row>
    <row r="775" spans="1:4">
      <c r="A775" t="s">
        <v>1257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1258</v>
      </c>
    </row>
    <row r="776" spans="1:4">
      <c r="A776" t="s">
        <v>1257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1258</v>
      </c>
    </row>
    <row r="777" spans="1:4">
      <c r="A777" t="s">
        <v>1257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1258</v>
      </c>
    </row>
    <row r="778" spans="1:4">
      <c r="A778" t="s">
        <v>1257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1258</v>
      </c>
    </row>
    <row r="779" spans="1:4">
      <c r="A779" t="s">
        <v>1257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1258</v>
      </c>
    </row>
    <row r="780" spans="1:4">
      <c r="A780" t="s">
        <v>1257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1258</v>
      </c>
    </row>
    <row r="781" spans="1:4">
      <c r="A781" t="s">
        <v>1257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1258</v>
      </c>
    </row>
    <row r="782" spans="1:4">
      <c r="A782" t="s">
        <v>1257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1258</v>
      </c>
    </row>
    <row r="783" spans="1:4">
      <c r="A783" t="s">
        <v>1257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1258</v>
      </c>
    </row>
    <row r="784" spans="1:4">
      <c r="A784" t="s">
        <v>1257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1258</v>
      </c>
    </row>
    <row r="785" spans="1:4">
      <c r="A785" t="s">
        <v>1257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1258</v>
      </c>
    </row>
    <row r="786" spans="1:4">
      <c r="A786" t="s">
        <v>1257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1258</v>
      </c>
    </row>
    <row r="787" spans="1:4">
      <c r="A787" t="s">
        <v>1257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1258</v>
      </c>
    </row>
    <row r="788" spans="1:4">
      <c r="A788" t="s">
        <v>1257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1258</v>
      </c>
    </row>
    <row r="789" spans="1:4">
      <c r="A789" t="s">
        <v>1257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1258</v>
      </c>
    </row>
    <row r="790" spans="1:4">
      <c r="A790" t="s">
        <v>1257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1258</v>
      </c>
    </row>
    <row r="791" spans="1:4">
      <c r="A791" t="s">
        <v>1257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1258</v>
      </c>
    </row>
    <row r="792" spans="1:4">
      <c r="A792" t="s">
        <v>1257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1258</v>
      </c>
    </row>
    <row r="793" spans="1:4">
      <c r="A793" t="s">
        <v>1257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1258</v>
      </c>
    </row>
    <row r="794" spans="1:4">
      <c r="A794" t="s">
        <v>1257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1258</v>
      </c>
    </row>
    <row r="795" spans="1:4">
      <c r="A795" t="s">
        <v>1257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1258</v>
      </c>
    </row>
    <row r="796" spans="1:4">
      <c r="A796" t="s">
        <v>1257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1258</v>
      </c>
    </row>
    <row r="797" spans="1:4">
      <c r="A797" t="s">
        <v>1257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1258</v>
      </c>
    </row>
    <row r="798" spans="1:4">
      <c r="A798" t="s">
        <v>1257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1258</v>
      </c>
    </row>
    <row r="799" spans="1:4">
      <c r="A799" t="s">
        <v>1257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1258</v>
      </c>
    </row>
    <row r="800" spans="1:4">
      <c r="A800" t="s">
        <v>1257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1258</v>
      </c>
    </row>
    <row r="801" spans="1:4">
      <c r="A801" t="s">
        <v>1257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1258</v>
      </c>
    </row>
    <row r="802" spans="1:4">
      <c r="A802" t="s">
        <v>1257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1258</v>
      </c>
    </row>
    <row r="803" spans="1:4">
      <c r="A803" t="s">
        <v>1257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1258</v>
      </c>
    </row>
    <row r="804" spans="1:4">
      <c r="A804" t="s">
        <v>1257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1258</v>
      </c>
    </row>
    <row r="805" spans="1:4">
      <c r="A805" t="s">
        <v>1257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1258</v>
      </c>
    </row>
    <row r="806" spans="1:4">
      <c r="A806" t="s">
        <v>1257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1258</v>
      </c>
    </row>
    <row r="807" spans="1:4">
      <c r="A807" t="s">
        <v>1257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1258</v>
      </c>
    </row>
    <row r="808" spans="1:4">
      <c r="A808" t="s">
        <v>1257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1258</v>
      </c>
    </row>
    <row r="809" spans="1:4">
      <c r="A809" t="s">
        <v>1257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1258</v>
      </c>
    </row>
    <row r="810" spans="1:4">
      <c r="A810" t="s">
        <v>1257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1258</v>
      </c>
    </row>
    <row r="811" spans="1:4">
      <c r="A811" t="s">
        <v>1257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1258</v>
      </c>
    </row>
    <row r="812" spans="1:4">
      <c r="A812" t="s">
        <v>1257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1258</v>
      </c>
    </row>
    <row r="813" spans="1:4">
      <c r="A813" t="s">
        <v>1257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1258</v>
      </c>
    </row>
    <row r="814" spans="1:4">
      <c r="A814" t="s">
        <v>1257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1258</v>
      </c>
    </row>
    <row r="815" spans="1:4">
      <c r="A815" t="s">
        <v>1257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1258</v>
      </c>
    </row>
    <row r="816" spans="1:4">
      <c r="A816" t="s">
        <v>1257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1258</v>
      </c>
    </row>
    <row r="817" spans="1:4">
      <c r="A817" t="s">
        <v>1257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1258</v>
      </c>
    </row>
    <row r="818" spans="1:4">
      <c r="A818" t="s">
        <v>1257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1258</v>
      </c>
    </row>
    <row r="819" spans="1:4">
      <c r="A819" t="s">
        <v>1257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1258</v>
      </c>
    </row>
    <row r="820" spans="1:4">
      <c r="A820" t="s">
        <v>1257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1258</v>
      </c>
    </row>
    <row r="821" spans="1:4">
      <c r="A821" t="s">
        <v>1257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1258</v>
      </c>
    </row>
    <row r="822" spans="1:4">
      <c r="A822" t="s">
        <v>1257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1258</v>
      </c>
    </row>
    <row r="823" spans="1:4">
      <c r="A823" t="s">
        <v>1257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1258</v>
      </c>
    </row>
    <row r="824" spans="1:4">
      <c r="A824" t="s">
        <v>1257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1258</v>
      </c>
    </row>
    <row r="825" spans="1:4">
      <c r="A825" t="s">
        <v>1257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1258</v>
      </c>
    </row>
    <row r="826" spans="1:4">
      <c r="A826" t="s">
        <v>1257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1258</v>
      </c>
    </row>
    <row r="827" spans="1:4">
      <c r="A827" t="s">
        <v>1257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1258</v>
      </c>
    </row>
    <row r="828" spans="1:4">
      <c r="A828" t="s">
        <v>1257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1258</v>
      </c>
    </row>
    <row r="829" spans="1:4">
      <c r="A829" t="s">
        <v>1257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1258</v>
      </c>
    </row>
    <row r="830" spans="1:4">
      <c r="A830" t="s">
        <v>1257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1258</v>
      </c>
    </row>
    <row r="831" spans="1:4">
      <c r="A831" t="s">
        <v>1257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1258</v>
      </c>
    </row>
    <row r="832" spans="1:4">
      <c r="A832" t="s">
        <v>1257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1258</v>
      </c>
    </row>
    <row r="833" spans="1:4">
      <c r="A833" t="s">
        <v>1257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1258</v>
      </c>
    </row>
    <row r="834" spans="1:4">
      <c r="A834" t="s">
        <v>1257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1258</v>
      </c>
    </row>
    <row r="835" spans="1:4">
      <c r="A835" t="s">
        <v>1257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1258</v>
      </c>
    </row>
    <row r="836" spans="1:4">
      <c r="A836" t="s">
        <v>1257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1258</v>
      </c>
    </row>
    <row r="837" spans="1:4">
      <c r="A837" t="s">
        <v>1257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1258</v>
      </c>
    </row>
    <row r="838" spans="1:4">
      <c r="A838" t="s">
        <v>1257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1258</v>
      </c>
    </row>
    <row r="839" spans="1:4">
      <c r="A839" t="s">
        <v>1257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1258</v>
      </c>
    </row>
    <row r="840" spans="1:4">
      <c r="A840" t="s">
        <v>1257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1258</v>
      </c>
    </row>
    <row r="841" spans="1:4">
      <c r="A841" t="s">
        <v>1257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1258</v>
      </c>
    </row>
    <row r="842" spans="1:4">
      <c r="A842" t="s">
        <v>1257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1258</v>
      </c>
    </row>
    <row r="843" spans="1:4">
      <c r="A843" t="s">
        <v>1257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1258</v>
      </c>
    </row>
    <row r="844" spans="1:4">
      <c r="A844" t="s">
        <v>1257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1258</v>
      </c>
    </row>
    <row r="845" spans="1:4">
      <c r="A845" t="s">
        <v>1257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1258</v>
      </c>
    </row>
    <row r="846" spans="1:4">
      <c r="A846" t="s">
        <v>1257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1258</v>
      </c>
    </row>
    <row r="847" spans="1:4">
      <c r="A847" t="s">
        <v>1257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1258</v>
      </c>
    </row>
    <row r="848" spans="1:4">
      <c r="A848" t="s">
        <v>1257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1258</v>
      </c>
    </row>
    <row r="849" spans="1:4">
      <c r="A849" t="s">
        <v>1257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1258</v>
      </c>
    </row>
    <row r="850" spans="1:4">
      <c r="A850" t="s">
        <v>1257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1258</v>
      </c>
    </row>
    <row r="851" spans="1:4">
      <c r="A851" t="s">
        <v>1257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1258</v>
      </c>
    </row>
    <row r="852" spans="1:4">
      <c r="A852" t="s">
        <v>1257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1258</v>
      </c>
    </row>
    <row r="853" spans="1:4">
      <c r="A853" t="s">
        <v>1257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1258</v>
      </c>
    </row>
    <row r="854" spans="1:4">
      <c r="A854" t="s">
        <v>1257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1258</v>
      </c>
    </row>
    <row r="855" spans="1:4">
      <c r="A855" t="s">
        <v>1257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1258</v>
      </c>
    </row>
    <row r="856" spans="1:4">
      <c r="A856" t="s">
        <v>1257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1258</v>
      </c>
    </row>
    <row r="857" spans="1:4">
      <c r="A857" t="s">
        <v>1257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1258</v>
      </c>
    </row>
    <row r="858" spans="1:4">
      <c r="A858" t="s">
        <v>1257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1258</v>
      </c>
    </row>
    <row r="859" spans="1:4">
      <c r="A859" t="s">
        <v>1257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1258</v>
      </c>
    </row>
    <row r="860" spans="1:4">
      <c r="A860" t="s">
        <v>1257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1258</v>
      </c>
    </row>
    <row r="861" spans="1:4">
      <c r="A861" t="s">
        <v>1257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1258</v>
      </c>
    </row>
    <row r="862" spans="1:4">
      <c r="A862" t="s">
        <v>1257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1258</v>
      </c>
    </row>
    <row r="863" spans="1:4">
      <c r="A863" t="s">
        <v>1257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1258</v>
      </c>
    </row>
    <row r="864" spans="1:4">
      <c r="A864" t="s">
        <v>1257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1258</v>
      </c>
    </row>
    <row r="865" spans="1:4">
      <c r="A865" t="s">
        <v>1257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1258</v>
      </c>
    </row>
    <row r="866" spans="1:4">
      <c r="A866" t="s">
        <v>1257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1258</v>
      </c>
    </row>
    <row r="867" spans="1:4">
      <c r="A867" t="s">
        <v>1257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1258</v>
      </c>
    </row>
    <row r="868" spans="1:4">
      <c r="A868" t="s">
        <v>1257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1258</v>
      </c>
    </row>
    <row r="869" spans="1:4">
      <c r="A869" t="s">
        <v>1257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1258</v>
      </c>
    </row>
    <row r="870" spans="1:4">
      <c r="A870" t="s">
        <v>1257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1258</v>
      </c>
    </row>
    <row r="871" spans="1:4">
      <c r="A871" t="s">
        <v>1257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1258</v>
      </c>
    </row>
    <row r="872" spans="1:4">
      <c r="A872" t="s">
        <v>1257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1258</v>
      </c>
    </row>
    <row r="873" spans="1:4">
      <c r="A873" t="s">
        <v>1257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1258</v>
      </c>
    </row>
    <row r="874" spans="1:4">
      <c r="A874" t="s">
        <v>1257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1258</v>
      </c>
    </row>
    <row r="875" spans="1:4">
      <c r="A875" t="s">
        <v>1257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1258</v>
      </c>
    </row>
    <row r="876" spans="1:4">
      <c r="A876" t="s">
        <v>1257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1258</v>
      </c>
    </row>
    <row r="877" spans="1:4">
      <c r="A877" t="s">
        <v>1257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1258</v>
      </c>
    </row>
    <row r="878" spans="1:4">
      <c r="A878" t="s">
        <v>1257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1258</v>
      </c>
    </row>
    <row r="879" spans="1:4">
      <c r="A879" t="s">
        <v>1257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1258</v>
      </c>
    </row>
    <row r="880" spans="1:4">
      <c r="A880" t="s">
        <v>1257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1258</v>
      </c>
    </row>
    <row r="881" spans="1:4">
      <c r="A881" t="s">
        <v>1257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1258</v>
      </c>
    </row>
    <row r="882" spans="1:4">
      <c r="A882" t="s">
        <v>1257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1258</v>
      </c>
    </row>
    <row r="883" spans="1:4">
      <c r="A883" t="s">
        <v>1257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1258</v>
      </c>
    </row>
    <row r="884" spans="1:4">
      <c r="A884" t="s">
        <v>1257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1258</v>
      </c>
    </row>
    <row r="885" spans="1:4">
      <c r="A885" t="s">
        <v>1257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1258</v>
      </c>
    </row>
    <row r="886" spans="1:4">
      <c r="A886" t="s">
        <v>1257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1258</v>
      </c>
    </row>
    <row r="887" spans="1:4">
      <c r="A887" t="s">
        <v>1257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1258</v>
      </c>
    </row>
    <row r="888" spans="1:4">
      <c r="A888" t="s">
        <v>1257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1258</v>
      </c>
    </row>
    <row r="889" spans="1:4">
      <c r="A889" t="s">
        <v>1257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1258</v>
      </c>
    </row>
    <row r="890" spans="1:4">
      <c r="A890" t="s">
        <v>1257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1258</v>
      </c>
    </row>
    <row r="891" spans="1:4">
      <c r="A891" t="s">
        <v>1257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1258</v>
      </c>
    </row>
    <row r="892" spans="1:4">
      <c r="A892" t="s">
        <v>1257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1258</v>
      </c>
    </row>
    <row r="893" spans="1:4">
      <c r="A893" t="s">
        <v>1257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1258</v>
      </c>
    </row>
    <row r="894" spans="1:4">
      <c r="A894" t="s">
        <v>1257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1258</v>
      </c>
    </row>
    <row r="895" spans="1:4">
      <c r="A895" t="s">
        <v>1257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1258</v>
      </c>
    </row>
    <row r="896" spans="1:4">
      <c r="A896" t="s">
        <v>1257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1258</v>
      </c>
    </row>
    <row r="897" spans="1:4">
      <c r="A897" t="s">
        <v>1257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1258</v>
      </c>
    </row>
    <row r="898" spans="1:4">
      <c r="A898" t="s">
        <v>1257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1258</v>
      </c>
    </row>
    <row r="899" spans="1:4">
      <c r="A899" t="s">
        <v>1257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1258</v>
      </c>
    </row>
    <row r="900" spans="1:4">
      <c r="A900" t="s">
        <v>1257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1258</v>
      </c>
    </row>
    <row r="901" spans="1:4">
      <c r="A901" t="s">
        <v>1257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1258</v>
      </c>
    </row>
    <row r="902" spans="1:4">
      <c r="A902" t="s">
        <v>1257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1258</v>
      </c>
    </row>
    <row r="903" spans="1:4">
      <c r="A903" t="s">
        <v>1257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1258</v>
      </c>
    </row>
    <row r="904" spans="1:4">
      <c r="A904" t="s">
        <v>1257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1258</v>
      </c>
    </row>
    <row r="905" spans="1:4">
      <c r="A905" t="s">
        <v>1257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1258</v>
      </c>
    </row>
    <row r="906" spans="1:4">
      <c r="A906" t="s">
        <v>1257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1258</v>
      </c>
    </row>
    <row r="907" spans="1:4">
      <c r="A907" t="s">
        <v>1257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1258</v>
      </c>
    </row>
    <row r="908" spans="1:4">
      <c r="A908" t="s">
        <v>1257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1258</v>
      </c>
    </row>
    <row r="909" spans="1:4">
      <c r="A909" t="s">
        <v>1257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1258</v>
      </c>
    </row>
    <row r="910" spans="1:4">
      <c r="A910" t="s">
        <v>1257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1258</v>
      </c>
    </row>
    <row r="911" spans="1:4">
      <c r="A911" t="s">
        <v>1257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1258</v>
      </c>
    </row>
    <row r="912" spans="1:4">
      <c r="A912" t="s">
        <v>1257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1258</v>
      </c>
    </row>
    <row r="913" spans="1:4">
      <c r="A913" t="s">
        <v>1257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1258</v>
      </c>
    </row>
    <row r="914" spans="1:4">
      <c r="A914" t="s">
        <v>1257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1258</v>
      </c>
    </row>
    <row r="915" spans="1:4">
      <c r="A915" t="s">
        <v>1257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1258</v>
      </c>
    </row>
    <row r="916" spans="1:4">
      <c r="A916" t="s">
        <v>1257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1258</v>
      </c>
    </row>
    <row r="917" spans="1:4">
      <c r="A917" t="s">
        <v>1257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1258</v>
      </c>
    </row>
    <row r="918" spans="1:4">
      <c r="A918" t="s">
        <v>1257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1258</v>
      </c>
    </row>
    <row r="919" spans="1:4">
      <c r="A919" t="s">
        <v>1257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1258</v>
      </c>
    </row>
    <row r="920" spans="1:4">
      <c r="A920" t="s">
        <v>1257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1258</v>
      </c>
    </row>
    <row r="921" spans="1:4">
      <c r="A921" t="s">
        <v>1257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1258</v>
      </c>
    </row>
    <row r="922" spans="1:4">
      <c r="A922" t="s">
        <v>1257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1258</v>
      </c>
    </row>
    <row r="923" spans="1:4">
      <c r="A923" t="s">
        <v>1257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1258</v>
      </c>
    </row>
    <row r="924" spans="1:4">
      <c r="A924" t="s">
        <v>1257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1258</v>
      </c>
    </row>
    <row r="925" spans="1:4">
      <c r="A925" t="s">
        <v>1257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1258</v>
      </c>
    </row>
    <row r="926" spans="1:4">
      <c r="A926" t="s">
        <v>1257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1258</v>
      </c>
    </row>
    <row r="927" spans="1:4">
      <c r="A927" t="s">
        <v>1257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1258</v>
      </c>
    </row>
    <row r="928" spans="1:4">
      <c r="A928" t="s">
        <v>1257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1258</v>
      </c>
    </row>
    <row r="929" spans="1:4">
      <c r="A929" t="s">
        <v>1257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1258</v>
      </c>
    </row>
    <row r="930" spans="1:4">
      <c r="A930" t="s">
        <v>1257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1258</v>
      </c>
    </row>
    <row r="931" spans="1:4">
      <c r="A931" t="s">
        <v>1257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1258</v>
      </c>
    </row>
    <row r="932" spans="1:4">
      <c r="A932" t="s">
        <v>1257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1258</v>
      </c>
    </row>
    <row r="933" spans="1:4">
      <c r="A933" t="s">
        <v>1257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1258</v>
      </c>
    </row>
    <row r="934" spans="1:4">
      <c r="A934" t="s">
        <v>1257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1258</v>
      </c>
    </row>
    <row r="935" spans="1:4">
      <c r="A935" t="s">
        <v>1257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1258</v>
      </c>
    </row>
    <row r="936" spans="1:4">
      <c r="A936" t="s">
        <v>1257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1258</v>
      </c>
    </row>
    <row r="937" spans="1:4">
      <c r="A937" t="s">
        <v>1257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1258</v>
      </c>
    </row>
    <row r="938" spans="1:4">
      <c r="A938" t="s">
        <v>1257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1258</v>
      </c>
    </row>
    <row r="939" spans="1:4">
      <c r="A939" t="s">
        <v>1257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1258</v>
      </c>
    </row>
    <row r="940" spans="1:4">
      <c r="A940" t="s">
        <v>1257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1258</v>
      </c>
    </row>
    <row r="941" spans="1:4">
      <c r="A941" t="s">
        <v>1257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1258</v>
      </c>
    </row>
    <row r="942" spans="1:4">
      <c r="A942" t="s">
        <v>1257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1258</v>
      </c>
    </row>
    <row r="943" spans="1:4">
      <c r="A943" t="s">
        <v>1257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1258</v>
      </c>
    </row>
    <row r="944" spans="1:4">
      <c r="A944" t="s">
        <v>1257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1258</v>
      </c>
    </row>
    <row r="945" spans="1:4">
      <c r="A945" t="s">
        <v>1257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1258</v>
      </c>
    </row>
    <row r="946" spans="1:4">
      <c r="A946" t="s">
        <v>1257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1258</v>
      </c>
    </row>
    <row r="947" spans="1:4">
      <c r="A947" t="s">
        <v>1257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1258</v>
      </c>
    </row>
    <row r="948" spans="1:4">
      <c r="A948" t="s">
        <v>1257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1258</v>
      </c>
    </row>
    <row r="949" spans="1:4">
      <c r="A949" t="s">
        <v>1257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1258</v>
      </c>
    </row>
    <row r="950" spans="1:4">
      <c r="A950" t="s">
        <v>1257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1258</v>
      </c>
    </row>
    <row r="951" spans="1:4">
      <c r="A951" t="s">
        <v>1257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1258</v>
      </c>
    </row>
    <row r="952" spans="1:4">
      <c r="A952" t="s">
        <v>1257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1258</v>
      </c>
    </row>
    <row r="953" spans="1:4">
      <c r="A953" t="s">
        <v>1257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1258</v>
      </c>
    </row>
    <row r="954" spans="1:4">
      <c r="A954" t="s">
        <v>1257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1258</v>
      </c>
    </row>
    <row r="955" spans="1:4">
      <c r="A955" t="s">
        <v>1257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1258</v>
      </c>
    </row>
    <row r="956" spans="1:4">
      <c r="A956" t="s">
        <v>1257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1258</v>
      </c>
    </row>
    <row r="957" spans="1:4">
      <c r="A957" t="s">
        <v>1257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1258</v>
      </c>
    </row>
    <row r="958" spans="1:4">
      <c r="A958" t="s">
        <v>1257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1258</v>
      </c>
    </row>
    <row r="959" spans="1:4">
      <c r="A959" t="s">
        <v>1257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1258</v>
      </c>
    </row>
    <row r="960" spans="1:4">
      <c r="A960" t="s">
        <v>1257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1258</v>
      </c>
    </row>
    <row r="961" spans="1:4">
      <c r="A961" t="s">
        <v>1257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1258</v>
      </c>
    </row>
    <row r="962" spans="1:4">
      <c r="A962" t="s">
        <v>1257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1258</v>
      </c>
    </row>
    <row r="963" spans="1:4">
      <c r="A963" t="s">
        <v>1257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1258</v>
      </c>
    </row>
    <row r="964" spans="1:4">
      <c r="A964" t="s">
        <v>1257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1258</v>
      </c>
    </row>
    <row r="965" spans="1:4">
      <c r="A965" t="s">
        <v>1257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1258</v>
      </c>
    </row>
    <row r="966" spans="1:4">
      <c r="A966" t="s">
        <v>1257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1258</v>
      </c>
    </row>
    <row r="967" spans="1:4">
      <c r="A967" t="s">
        <v>1257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1258</v>
      </c>
    </row>
    <row r="968" spans="1:4">
      <c r="A968" t="s">
        <v>1257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1258</v>
      </c>
    </row>
    <row r="969" spans="1:4">
      <c r="A969" t="s">
        <v>1257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1258</v>
      </c>
    </row>
    <row r="970" spans="1:4">
      <c r="A970" t="s">
        <v>1257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1258</v>
      </c>
    </row>
    <row r="971" spans="1:4">
      <c r="A971" t="s">
        <v>1257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1258</v>
      </c>
    </row>
    <row r="972" spans="1:4">
      <c r="A972" t="s">
        <v>1257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1258</v>
      </c>
    </row>
    <row r="973" spans="1:4">
      <c r="A973" t="s">
        <v>1257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1258</v>
      </c>
    </row>
    <row r="974" spans="1:4">
      <c r="A974" t="s">
        <v>1257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1258</v>
      </c>
    </row>
    <row r="975" spans="1:4">
      <c r="A975" t="s">
        <v>1257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1258</v>
      </c>
    </row>
    <row r="976" spans="1:4">
      <c r="A976" t="s">
        <v>1257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1258</v>
      </c>
    </row>
    <row r="977" spans="1:4">
      <c r="A977" t="s">
        <v>1257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1258</v>
      </c>
    </row>
    <row r="978" spans="1:4">
      <c r="A978" t="s">
        <v>1257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1258</v>
      </c>
    </row>
    <row r="979" spans="1:4">
      <c r="A979" t="s">
        <v>1257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1258</v>
      </c>
    </row>
    <row r="980" spans="1:4">
      <c r="A980" t="s">
        <v>1257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1258</v>
      </c>
    </row>
    <row r="981" spans="1:4">
      <c r="A981" t="s">
        <v>1257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1258</v>
      </c>
    </row>
    <row r="982" spans="1:4">
      <c r="A982" t="s">
        <v>1257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1258</v>
      </c>
    </row>
    <row r="983" spans="1:4">
      <c r="A983" t="s">
        <v>1257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1258</v>
      </c>
    </row>
    <row r="984" spans="1:4">
      <c r="A984" t="s">
        <v>1257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1258</v>
      </c>
    </row>
    <row r="985" spans="1:4">
      <c r="A985" t="s">
        <v>1257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1258</v>
      </c>
    </row>
    <row r="986" spans="1:4">
      <c r="A986" t="s">
        <v>1257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1258</v>
      </c>
    </row>
    <row r="987" spans="1:4">
      <c r="A987" t="s">
        <v>1257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1258</v>
      </c>
    </row>
    <row r="988" spans="1:4">
      <c r="A988" t="s">
        <v>1257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1258</v>
      </c>
    </row>
    <row r="989" spans="1:4">
      <c r="A989" t="s">
        <v>1257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1258</v>
      </c>
    </row>
    <row r="990" spans="1:4">
      <c r="A990" t="s">
        <v>1257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1258</v>
      </c>
    </row>
    <row r="991" spans="1:4">
      <c r="A991" t="s">
        <v>1257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1258</v>
      </c>
    </row>
    <row r="992" spans="1:4">
      <c r="A992" t="s">
        <v>1257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1258</v>
      </c>
    </row>
    <row r="993" spans="1:4">
      <c r="A993" t="s">
        <v>1257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1258</v>
      </c>
    </row>
    <row r="994" spans="1:4">
      <c r="A994" t="s">
        <v>1257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1258</v>
      </c>
    </row>
    <row r="995" spans="1:4">
      <c r="A995" t="s">
        <v>1257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1258</v>
      </c>
    </row>
    <row r="996" spans="1:4">
      <c r="A996" t="s">
        <v>1257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1258</v>
      </c>
    </row>
    <row r="997" spans="1:4">
      <c r="A997" t="s">
        <v>1257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1258</v>
      </c>
    </row>
    <row r="998" spans="1:4">
      <c r="A998" t="s">
        <v>1257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1258</v>
      </c>
    </row>
    <row r="999" spans="1:4">
      <c r="A999" t="s">
        <v>1257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1258</v>
      </c>
    </row>
    <row r="1000" spans="1:4">
      <c r="A1000" t="s">
        <v>1257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1258</v>
      </c>
    </row>
    <row r="1001" spans="1:4">
      <c r="A1001" t="s">
        <v>1257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1258</v>
      </c>
    </row>
    <row r="1002" spans="1:4">
      <c r="A1002" t="s">
        <v>1257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1258</v>
      </c>
    </row>
    <row r="1003" spans="1:4">
      <c r="A1003" t="s">
        <v>1257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1258</v>
      </c>
    </row>
    <row r="1004" spans="1:4">
      <c r="A1004" t="s">
        <v>1257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1258</v>
      </c>
    </row>
    <row r="1005" spans="1:4">
      <c r="A1005" t="s">
        <v>1257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1258</v>
      </c>
    </row>
  </sheetData>
  <conditionalFormatting sqref="A3:D1005">
    <cfRule type="expression" dxfId="22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1259</v>
      </c>
    </row>
    <row r="3" spans="1:4">
      <c r="A3" s="31" t="s">
        <v>1260</v>
      </c>
      <c r="B3" s="4"/>
      <c r="D3" s="32" t="s">
        <v>1261</v>
      </c>
    </row>
    <row r="4" spans="1:4">
      <c r="A4" s="5"/>
      <c r="B4" s="5"/>
    </row>
    <row r="5" spans="1:4">
      <c r="A5" s="33" t="s">
        <v>181</v>
      </c>
      <c r="B5" s="34" t="str">
        <f>IFERROR(INDEX('01_Warehouse_Ledger'!$B$2:$B$2002,MATCH($B$3,'01_Warehouse_Ledger'!$A$2:$A$2002,0)),"")</f>
        <v/>
      </c>
    </row>
    <row r="6" spans="1:4">
      <c r="A6" s="33" t="s">
        <v>1262</v>
      </c>
      <c r="B6" s="34" t="str">
        <f>IFERROR(INDEX('01_Warehouse_Ledger'!$D$2:$D$2002,MATCH($B$3,'01_Warehouse_Ledger'!$A$2:$A$2002,0)),"")</f>
        <v/>
      </c>
    </row>
    <row r="7" spans="1:4">
      <c r="A7" s="33" t="s">
        <v>1263</v>
      </c>
      <c r="B7" s="34" t="str">
        <f>IFERROR(INDEX('02_Warehouse_Locations'!$J$2:$J$501,MATCH($B$6,'02_Warehouse_Locations'!$A$2:$A$501,0)),"")</f>
        <v/>
      </c>
    </row>
    <row r="8" spans="1:4">
      <c r="A8" s="33" t="s">
        <v>815</v>
      </c>
      <c r="B8" s="34" t="str">
        <f>IFERROR(INDEX('02_Warehouse_Locations'!$B$2:$B$501,MATCH($B$6,'02_Warehouse_Locations'!$A$2:$A$501,0)),"")</f>
        <v/>
      </c>
    </row>
    <row r="9" spans="1:4">
      <c r="A9" s="33" t="s">
        <v>816</v>
      </c>
      <c r="B9" s="34" t="str">
        <f>IFERROR(INDEX('02_Warehouse_Locations'!$C$2:$C$501,MATCH($B$6,'02_Warehouse_Locations'!$A$2:$A$501,0)),"")</f>
        <v/>
      </c>
    </row>
    <row r="10" spans="1:4">
      <c r="A10" s="33" t="s">
        <v>1264</v>
      </c>
      <c r="B10" s="34" t="str">
        <f>IFERROR(INDEX('02_Warehouse_Locations'!$D$2:$D$501,MATCH($B$6,'02_Warehouse_Locations'!$A$2:$A$501,0)),"")</f>
        <v/>
      </c>
    </row>
    <row r="11" spans="1:4">
      <c r="A11" s="33" t="s">
        <v>818</v>
      </c>
      <c r="B11" s="34" t="str">
        <f>IFERROR(INDEX('02_Warehouse_Locations'!$E$2:$E$501,MATCH($B$6,'02_Warehouse_Locations'!$A$2:$A$501,0)),"")</f>
        <v/>
      </c>
    </row>
    <row r="12" spans="1:4">
      <c r="A12" s="33" t="s">
        <v>1265</v>
      </c>
      <c r="B12" s="34" t="str">
        <f>IFERROR(INDEX('02_Warehouse_Locations'!$N$2:$N$501,MATCH($B$6,'02_Warehouse_Locations'!$A$2:$A$501,0)),"")</f>
        <v/>
      </c>
    </row>
    <row r="13" spans="1:4">
      <c r="A13" s="33" t="s">
        <v>826</v>
      </c>
      <c r="B13" s="34" t="str">
        <f>IFERROR(INDEX('02_Warehouse_Locations'!$O$2:$O$501,MATCH($B$6,'02_Warehouse_Locations'!$A$2:$A$501,0)),"")</f>
        <v/>
      </c>
    </row>
    <row r="14" spans="1:4">
      <c r="A14" s="33" t="s">
        <v>827</v>
      </c>
      <c r="B14" s="34" t="str">
        <f>IFERROR(INDEX('02_Warehouse_Locations'!$P$2:$P$501,MATCH($B$6,'02_Warehouse_Locations'!$A$2:$A$501,0)),"")</f>
        <v/>
      </c>
    </row>
    <row r="15" spans="1:4">
      <c r="A15" t="s">
        <v>828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21" priority="1" stopIfTrue="1">
      <formula>AND(TRIM($A3)="",OR($B3&lt;&gt;"",$C3&lt;&gt;"",$D3&lt;&gt;"",$E3&lt;&gt;"",$I3&lt;&gt;"",$J3&lt;&gt;""))</formula>
    </cfRule>
    <cfRule type="expression" dxfId="20" priority="2">
      <formula>AND(TRIM($A3)&lt;&gt;"",NOT(AND(LEFT($A3,4)="PAL-",LEN($A3)=11,ISNUMBER(--MID($A3,5,7)))))</formula>
    </cfRule>
    <cfRule type="expression" dxfId="19" priority="3">
      <formula>AND(TRIM($A3)&lt;&gt;"",COUNTIF($A$2:$A$2002,$A3)&gt;1)</formula>
    </cfRule>
    <cfRule type="expression" dxfId="18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1266</v>
      </c>
    </row>
    <row r="2" spans="1:21">
      <c r="A2" s="36" t="s">
        <v>1267</v>
      </c>
      <c r="B2" s="37" t="str">
        <f>IFERROR('05_Scan_Lookup'!$B$13,"")</f>
        <v/>
      </c>
    </row>
    <row r="3" spans="1:21">
      <c r="A3" s="36" t="s">
        <v>1268</v>
      </c>
      <c r="B3" s="37" t="str">
        <f>IFERROR('05_Scan_Lookup'!$B$14,"")</f>
        <v/>
      </c>
    </row>
    <row r="4" spans="1:21">
      <c r="A4" s="36" t="s">
        <v>1269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1270</v>
      </c>
      <c r="B5" s="37" t="s">
        <v>1271</v>
      </c>
    </row>
    <row r="6" spans="1:21" ht="20.100000000000001" customHeight="1">
      <c r="A6" s="40" t="s">
        <v>1272</v>
      </c>
      <c r="B6" s="40" t="s">
        <v>845</v>
      </c>
      <c r="C6" s="40" t="s">
        <v>257</v>
      </c>
      <c r="D6" s="40" t="s">
        <v>896</v>
      </c>
      <c r="E6" s="40" t="s">
        <v>921</v>
      </c>
      <c r="F6" s="40" t="s">
        <v>962</v>
      </c>
      <c r="G6" s="40" t="s">
        <v>1003</v>
      </c>
      <c r="H6" s="40" t="s">
        <v>1273</v>
      </c>
      <c r="I6" s="40" t="s">
        <v>1274</v>
      </c>
      <c r="J6" s="40" t="s">
        <v>1275</v>
      </c>
      <c r="K6" s="40" t="s">
        <v>1276</v>
      </c>
      <c r="L6" s="40" t="s">
        <v>1277</v>
      </c>
      <c r="M6" s="40" t="s">
        <v>841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1278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1279</v>
      </c>
    </row>
    <row r="39" spans="1:21">
      <c r="A39" s="32" t="s">
        <v>1280</v>
      </c>
    </row>
    <row r="40" spans="1:21">
      <c r="A40" s="32" t="s">
        <v>1280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180</v>
      </c>
      <c r="B1" s="50" t="s">
        <v>1281</v>
      </c>
      <c r="C1" s="50" t="s">
        <v>1282</v>
      </c>
      <c r="D1" s="50" t="s">
        <v>1058</v>
      </c>
      <c r="E1" s="50" t="s">
        <v>1283</v>
      </c>
      <c r="F1" s="50" t="s">
        <v>1284</v>
      </c>
      <c r="G1" s="50" t="s">
        <v>1285</v>
      </c>
      <c r="H1" s="50" t="s">
        <v>189</v>
      </c>
      <c r="I1" s="50" t="s">
        <v>1286</v>
      </c>
      <c r="J1" s="50" t="s">
        <v>1287</v>
      </c>
      <c r="L1" s="50" t="s">
        <v>1288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1289</v>
      </c>
      <c r="B1" s="15" t="s">
        <v>1290</v>
      </c>
      <c r="C1" s="15" t="s">
        <v>1291</v>
      </c>
      <c r="D1" s="15" t="s">
        <v>1292</v>
      </c>
      <c r="E1" s="15" t="s">
        <v>1293</v>
      </c>
      <c r="F1" s="15" t="s">
        <v>1294</v>
      </c>
      <c r="G1" s="15" t="s">
        <v>1295</v>
      </c>
      <c r="H1" s="15" t="s">
        <v>189</v>
      </c>
    </row>
    <row r="2" spans="1:8" ht="20.25" customHeight="1">
      <c r="B2" t="s">
        <v>1296</v>
      </c>
      <c r="C2" t="s">
        <v>1297</v>
      </c>
      <c r="D2" s="14">
        <v>56</v>
      </c>
      <c r="E2" s="14" t="s">
        <v>1298</v>
      </c>
      <c r="F2" s="14" t="s">
        <v>1299</v>
      </c>
      <c r="G2" s="14" t="s">
        <v>1300</v>
      </c>
    </row>
    <row r="3" spans="1:8" ht="20.25" customHeight="1">
      <c r="B3" t="s">
        <v>1296</v>
      </c>
      <c r="C3" t="s">
        <v>1301</v>
      </c>
      <c r="D3" s="14">
        <v>35</v>
      </c>
      <c r="E3" s="14" t="s">
        <v>1298</v>
      </c>
      <c r="F3" s="14" t="s">
        <v>1299</v>
      </c>
      <c r="G3" s="14" t="s">
        <v>1300</v>
      </c>
    </row>
    <row r="4" spans="1:8" s="45" customFormat="1" ht="20.25" customHeight="1">
      <c r="B4" s="45" t="s">
        <v>1296</v>
      </c>
      <c r="C4" s="45" t="s">
        <v>1302</v>
      </c>
      <c r="D4" s="46">
        <v>28</v>
      </c>
      <c r="E4" s="46" t="s">
        <v>1298</v>
      </c>
      <c r="F4" s="46" t="s">
        <v>1299</v>
      </c>
      <c r="G4" s="46" t="s">
        <v>1300</v>
      </c>
    </row>
    <row r="5" spans="1:8" s="45" customFormat="1" ht="20.25" customHeight="1">
      <c r="B5" s="45" t="s">
        <v>1296</v>
      </c>
      <c r="C5" s="45" t="s">
        <v>1303</v>
      </c>
      <c r="D5" s="46">
        <v>52</v>
      </c>
      <c r="E5" s="46" t="s">
        <v>1298</v>
      </c>
      <c r="F5" s="46" t="s">
        <v>1299</v>
      </c>
      <c r="G5" s="46" t="s">
        <v>1300</v>
      </c>
    </row>
    <row r="6" spans="1:8" s="45" customFormat="1" ht="20.25" customHeight="1">
      <c r="B6" s="45" t="s">
        <v>1296</v>
      </c>
      <c r="C6" s="45" t="s">
        <v>1304</v>
      </c>
      <c r="D6" s="46">
        <v>50</v>
      </c>
      <c r="E6" s="46" t="s">
        <v>1298</v>
      </c>
      <c r="F6" s="46" t="s">
        <v>1299</v>
      </c>
      <c r="G6" s="46" t="s">
        <v>1300</v>
      </c>
    </row>
    <row r="7" spans="1:8" ht="20.25" customHeight="1">
      <c r="B7" t="s">
        <v>1296</v>
      </c>
      <c r="C7" t="s">
        <v>1305</v>
      </c>
      <c r="D7" s="14">
        <v>29</v>
      </c>
      <c r="E7" s="14" t="s">
        <v>1298</v>
      </c>
      <c r="F7" s="14" t="s">
        <v>1299</v>
      </c>
      <c r="G7" s="14" t="s">
        <v>1300</v>
      </c>
    </row>
    <row r="8" spans="1:8" s="45" customFormat="1" ht="20.25" customHeight="1">
      <c r="B8" s="45" t="s">
        <v>1296</v>
      </c>
      <c r="C8" s="45" t="s">
        <v>1306</v>
      </c>
      <c r="D8" s="46">
        <v>13</v>
      </c>
      <c r="E8" s="46" t="s">
        <v>1298</v>
      </c>
      <c r="F8" s="46" t="s">
        <v>1299</v>
      </c>
      <c r="G8" s="46" t="s">
        <v>1300</v>
      </c>
    </row>
    <row r="9" spans="1:8" s="47" customFormat="1" ht="20.25" customHeight="1">
      <c r="B9" s="47" t="s">
        <v>1296</v>
      </c>
      <c r="C9" s="47" t="s">
        <v>1307</v>
      </c>
      <c r="D9" s="48">
        <v>4</v>
      </c>
      <c r="E9" s="48" t="s">
        <v>1298</v>
      </c>
      <c r="F9" s="48" t="s">
        <v>1299</v>
      </c>
      <c r="G9" s="48" t="s">
        <v>1300</v>
      </c>
    </row>
    <row r="10" spans="1:8" ht="20.25" customHeight="1">
      <c r="B10" t="s">
        <v>1296</v>
      </c>
      <c r="C10" t="s">
        <v>1308</v>
      </c>
      <c r="D10" s="14">
        <v>2</v>
      </c>
      <c r="E10" s="14" t="s">
        <v>1298</v>
      </c>
      <c r="F10" s="14" t="s">
        <v>1299</v>
      </c>
      <c r="G10" s="14" t="s">
        <v>1300</v>
      </c>
    </row>
    <row r="11" spans="1:8" s="45" customFormat="1" ht="20.25" customHeight="1">
      <c r="B11" s="45" t="s">
        <v>1296</v>
      </c>
      <c r="C11" s="45" t="s">
        <v>1309</v>
      </c>
      <c r="D11" s="46">
        <v>2</v>
      </c>
      <c r="E11" s="46" t="s">
        <v>1298</v>
      </c>
      <c r="F11" s="46" t="s">
        <v>1299</v>
      </c>
      <c r="G11" s="46" t="s">
        <v>1300</v>
      </c>
    </row>
    <row r="12" spans="1:8" ht="20.25" customHeight="1">
      <c r="B12" t="s">
        <v>1296</v>
      </c>
      <c r="C12" t="s">
        <v>1310</v>
      </c>
      <c r="D12" s="14">
        <v>117</v>
      </c>
      <c r="E12" s="14" t="s">
        <v>1298</v>
      </c>
      <c r="F12" s="14" t="s">
        <v>1299</v>
      </c>
      <c r="G12" s="14" t="s">
        <v>1300</v>
      </c>
    </row>
    <row r="13" spans="1:8" s="45" customFormat="1" ht="20.25" customHeight="1">
      <c r="B13" s="45" t="s">
        <v>1296</v>
      </c>
      <c r="C13" s="45" t="s">
        <v>1311</v>
      </c>
      <c r="D13" s="46">
        <v>73</v>
      </c>
      <c r="E13" s="46" t="s">
        <v>1298</v>
      </c>
      <c r="F13" s="46" t="s">
        <v>1299</v>
      </c>
      <c r="G13" s="46" t="s">
        <v>1300</v>
      </c>
    </row>
    <row r="14" spans="1:8" ht="20.25" customHeight="1">
      <c r="B14" t="s">
        <v>1296</v>
      </c>
      <c r="C14" t="s">
        <v>1312</v>
      </c>
      <c r="D14" s="14">
        <v>35</v>
      </c>
      <c r="E14" s="14" t="s">
        <v>1298</v>
      </c>
      <c r="F14" s="14" t="s">
        <v>1299</v>
      </c>
      <c r="G14" s="14" t="s">
        <v>1300</v>
      </c>
    </row>
    <row r="15" spans="1:8" ht="20.25" customHeight="1">
      <c r="B15" t="s">
        <v>1296</v>
      </c>
      <c r="C15" t="s">
        <v>1313</v>
      </c>
      <c r="D15" s="14">
        <v>16</v>
      </c>
      <c r="E15" s="14" t="s">
        <v>1298</v>
      </c>
      <c r="F15" s="14" t="s">
        <v>1299</v>
      </c>
      <c r="G15" s="14" t="s">
        <v>1300</v>
      </c>
    </row>
    <row r="16" spans="1:8" ht="20.25" customHeight="1">
      <c r="B16" t="s">
        <v>1296</v>
      </c>
      <c r="C16" t="s">
        <v>1314</v>
      </c>
      <c r="D16" s="14">
        <v>122</v>
      </c>
      <c r="E16" s="14" t="s">
        <v>1298</v>
      </c>
      <c r="F16" s="14" t="s">
        <v>1315</v>
      </c>
      <c r="G16" s="14" t="s">
        <v>1315</v>
      </c>
    </row>
    <row r="17" spans="2:8" ht="20.25" customHeight="1">
      <c r="B17" t="s">
        <v>1296</v>
      </c>
      <c r="C17" t="s">
        <v>1316</v>
      </c>
      <c r="D17" s="14">
        <v>26</v>
      </c>
      <c r="E17" s="14" t="s">
        <v>1317</v>
      </c>
      <c r="F17" s="14" t="s">
        <v>1318</v>
      </c>
      <c r="G17" s="14" t="s">
        <v>1319</v>
      </c>
      <c r="H17" t="s">
        <v>1320</v>
      </c>
    </row>
    <row r="18" spans="2:8" ht="20.25" customHeight="1">
      <c r="B18" t="s">
        <v>1321</v>
      </c>
      <c r="C18" t="s">
        <v>1322</v>
      </c>
      <c r="D18" s="14">
        <v>55</v>
      </c>
      <c r="E18" s="14" t="s">
        <v>1317</v>
      </c>
      <c r="F18" s="14" t="s">
        <v>1318</v>
      </c>
      <c r="G18" s="14" t="s">
        <v>1319</v>
      </c>
      <c r="H18" t="s">
        <v>1320</v>
      </c>
    </row>
    <row r="19" spans="2:8" ht="20.25" customHeight="1">
      <c r="B19" t="s">
        <v>1321</v>
      </c>
      <c r="C19" t="s">
        <v>1323</v>
      </c>
      <c r="D19" s="14">
        <v>98</v>
      </c>
      <c r="E19" s="14" t="s">
        <v>1317</v>
      </c>
      <c r="F19" s="14" t="s">
        <v>1318</v>
      </c>
      <c r="G19" s="14" t="s">
        <v>1319</v>
      </c>
      <c r="H19" t="s">
        <v>1320</v>
      </c>
    </row>
    <row r="20" spans="2:8" ht="20.25" customHeight="1">
      <c r="B20" t="s">
        <v>1321</v>
      </c>
      <c r="C20" t="s">
        <v>1324</v>
      </c>
      <c r="D20" s="14">
        <v>45</v>
      </c>
      <c r="E20" s="14" t="s">
        <v>1317</v>
      </c>
      <c r="F20" s="14" t="s">
        <v>1318</v>
      </c>
      <c r="G20" s="14" t="s">
        <v>1325</v>
      </c>
      <c r="H20" t="s">
        <v>1326</v>
      </c>
    </row>
    <row r="21" spans="2:8" ht="20.25" customHeight="1">
      <c r="B21" t="s">
        <v>1327</v>
      </c>
      <c r="C21" t="s">
        <v>1327</v>
      </c>
      <c r="D21" s="14">
        <v>53</v>
      </c>
      <c r="E21" s="14" t="s">
        <v>1317</v>
      </c>
      <c r="F21" s="14" t="s">
        <v>1318</v>
      </c>
      <c r="G21" s="14" t="s">
        <v>1319</v>
      </c>
      <c r="H21" t="s">
        <v>1320</v>
      </c>
    </row>
    <row r="22" spans="2:8" ht="20.25" customHeight="1">
      <c r="B22" t="s">
        <v>1328</v>
      </c>
      <c r="C22" t="s">
        <v>1329</v>
      </c>
      <c r="D22" s="14">
        <v>25</v>
      </c>
      <c r="E22" s="14" t="s">
        <v>1317</v>
      </c>
      <c r="F22" s="14" t="s">
        <v>1318</v>
      </c>
      <c r="G22" s="14" t="s">
        <v>1319</v>
      </c>
      <c r="H22" t="s">
        <v>1320</v>
      </c>
    </row>
    <row r="23" spans="2:8" ht="20.25" customHeight="1">
      <c r="B23" t="s">
        <v>1330</v>
      </c>
      <c r="C23" t="s">
        <v>1330</v>
      </c>
      <c r="D23" s="14">
        <v>25</v>
      </c>
      <c r="E23" s="14" t="s">
        <v>1317</v>
      </c>
      <c r="F23" s="14" t="s">
        <v>1318</v>
      </c>
      <c r="G23" s="14" t="s">
        <v>1319</v>
      </c>
      <c r="H23" t="s">
        <v>1320</v>
      </c>
    </row>
    <row r="24" spans="2:8" ht="20.25" customHeight="1">
      <c r="B24" t="s">
        <v>1331</v>
      </c>
      <c r="C24" t="s">
        <v>1332</v>
      </c>
      <c r="D24" s="14">
        <v>45</v>
      </c>
      <c r="E24" s="14" t="s">
        <v>1317</v>
      </c>
      <c r="F24" s="14" t="s">
        <v>1318</v>
      </c>
      <c r="G24" s="14" t="s">
        <v>1333</v>
      </c>
      <c r="H24" t="s">
        <v>1326</v>
      </c>
    </row>
    <row r="25" spans="2:8" ht="20.25" customHeight="1">
      <c r="B25" t="s">
        <v>1334</v>
      </c>
      <c r="C25" t="s">
        <v>1335</v>
      </c>
      <c r="D25" s="14">
        <v>28</v>
      </c>
      <c r="E25" s="14" t="s">
        <v>1317</v>
      </c>
      <c r="F25" s="14" t="s">
        <v>1318</v>
      </c>
      <c r="G25" s="14" t="s">
        <v>1319</v>
      </c>
    </row>
    <row r="26" spans="2:8" ht="20.25" customHeight="1">
      <c r="B26" t="s">
        <v>1336</v>
      </c>
      <c r="C26" t="s">
        <v>1337</v>
      </c>
      <c r="D26" s="14">
        <v>25</v>
      </c>
      <c r="E26" s="14" t="s">
        <v>1298</v>
      </c>
      <c r="F26" s="14" t="s">
        <v>1299</v>
      </c>
      <c r="G26" s="14" t="s">
        <v>1338</v>
      </c>
    </row>
    <row r="27" spans="2:8" ht="20.25" customHeight="1">
      <c r="B27" t="s">
        <v>1321</v>
      </c>
      <c r="C27" t="s">
        <v>1339</v>
      </c>
      <c r="D27" s="14">
        <v>25</v>
      </c>
      <c r="E27" s="14" t="s">
        <v>1298</v>
      </c>
      <c r="F27" s="14" t="s">
        <v>1299</v>
      </c>
      <c r="G27" s="14" t="s">
        <v>1338</v>
      </c>
      <c r="H27" t="s">
        <v>1340</v>
      </c>
    </row>
    <row r="28" spans="2:8" ht="20.25" customHeight="1">
      <c r="B28" t="s">
        <v>1321</v>
      </c>
      <c r="C28" t="s">
        <v>1341</v>
      </c>
      <c r="D28" s="14">
        <v>4</v>
      </c>
      <c r="E28" s="14" t="s">
        <v>1298</v>
      </c>
      <c r="F28" s="14" t="s">
        <v>1299</v>
      </c>
      <c r="G28" s="14" t="s">
        <v>1319</v>
      </c>
    </row>
    <row r="29" spans="2:8" ht="20.25" customHeight="1">
      <c r="B29" t="s">
        <v>1334</v>
      </c>
      <c r="C29" s="16" t="s">
        <v>1342</v>
      </c>
      <c r="D29" s="14">
        <v>0</v>
      </c>
      <c r="E29" s="14" t="s">
        <v>1343</v>
      </c>
    </row>
    <row r="30" spans="2:8" ht="20.25" customHeight="1">
      <c r="C30" t="s">
        <v>1344</v>
      </c>
      <c r="D30" s="14">
        <v>1</v>
      </c>
    </row>
    <row r="31" spans="2:8" s="45" customFormat="1" ht="20.25" customHeight="1">
      <c r="B31" s="45" t="s">
        <v>1330</v>
      </c>
      <c r="C31" s="45" t="s">
        <v>1345</v>
      </c>
      <c r="D31" s="46">
        <v>69</v>
      </c>
      <c r="E31" s="46" t="s">
        <v>1298</v>
      </c>
      <c r="F31" s="46" t="s">
        <v>1346</v>
      </c>
      <c r="G31" s="46" t="s">
        <v>1347</v>
      </c>
      <c r="H31" s="45" t="s">
        <v>1348</v>
      </c>
    </row>
    <row r="32" spans="2:8" s="45" customFormat="1" ht="20.25" customHeight="1">
      <c r="B32" s="45" t="s">
        <v>1328</v>
      </c>
      <c r="C32" s="45" t="s">
        <v>1349</v>
      </c>
      <c r="D32" s="46">
        <v>60</v>
      </c>
      <c r="E32" s="46" t="s">
        <v>1298</v>
      </c>
      <c r="F32" s="46" t="s">
        <v>1346</v>
      </c>
      <c r="G32" s="46" t="s">
        <v>1347</v>
      </c>
      <c r="H32" s="45" t="s">
        <v>1348</v>
      </c>
    </row>
    <row r="33" spans="2:8" ht="20.25" customHeight="1">
      <c r="B33" t="s">
        <v>1321</v>
      </c>
      <c r="C33" s="45" t="s">
        <v>1350</v>
      </c>
      <c r="D33" s="14">
        <v>211</v>
      </c>
      <c r="E33" s="14" t="s">
        <v>1298</v>
      </c>
      <c r="F33" s="14" t="s">
        <v>1351</v>
      </c>
      <c r="G33" s="14" t="s">
        <v>1347</v>
      </c>
      <c r="H33" t="s">
        <v>1352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532"/>
  <sheetViews>
    <sheetView workbookViewId="0"/>
  </sheetViews>
  <sheetFormatPr defaultRowHeight="15"/>
  <sheetData>
    <row r="1">
      <c r="A1" t="s">
        <v>1</v>
      </c>
      <c r="B1" t="s">
        <v>2</v>
      </c>
      <c r="C1" t="s">
        <v>3</v>
      </c>
      <c r="D1" t="s">
        <v>1758</v>
      </c>
      <c r="E1" t="s">
        <v>2223</v>
      </c>
      <c r="F1" t="s">
        <v>2082</v>
      </c>
      <c r="G1" t="s">
        <v>1877</v>
      </c>
      <c r="H1" t="s">
        <v>1392</v>
      </c>
      <c r="I1" t="s">
        <v>1400</v>
      </c>
      <c r="J1" t="s">
        <v>1402</v>
      </c>
      <c r="K1" t="s">
        <v>1403</v>
      </c>
      <c r="L1" t="s">
        <v>1404</v>
      </c>
      <c r="M1" t="s">
        <v>2121</v>
      </c>
      <c r="N1" t="s">
        <v>2076</v>
      </c>
      <c r="O1" t="s">
        <v>1709</v>
      </c>
      <c r="P1" t="s">
        <v>1413</v>
      </c>
      <c r="Q1" t="s">
        <v>1414</v>
      </c>
      <c r="R1" t="s">
        <v>4</v>
      </c>
      <c r="S1" t="s">
        <v>5</v>
      </c>
      <c r="T1" t="s">
        <v>1417</v>
      </c>
      <c r="U1" t="s">
        <v>1651</v>
      </c>
      <c r="V1" t="s">
        <v>2394</v>
      </c>
      <c r="W1" t="s">
        <v>1897</v>
      </c>
      <c r="X1" t="s">
        <v>1964</v>
      </c>
      <c r="Y1" t="s">
        <v>2411</v>
      </c>
      <c r="Z1" t="s">
        <v>1913</v>
      </c>
      <c r="AA1" t="s">
        <v>2349</v>
      </c>
      <c r="AB1" t="s">
        <v>1895</v>
      </c>
      <c r="AC1" t="s">
        <v>1808</v>
      </c>
      <c r="AD1" t="s">
        <v>2343</v>
      </c>
      <c r="AE1" t="s">
        <v>1458</v>
      </c>
      <c r="AF1" t="s">
        <v>1393</v>
      </c>
      <c r="AG1" t="s">
        <v>1394</v>
      </c>
      <c r="AH1" t="s">
        <v>1395</v>
      </c>
      <c r="AI1" t="s">
        <v>1396</v>
      </c>
      <c r="AJ1" t="s">
        <v>1397</v>
      </c>
      <c r="AK1" t="s">
        <v>2208</v>
      </c>
      <c r="AL1" t="s">
        <v>2216</v>
      </c>
      <c r="AM1" t="s">
        <v>1845</v>
      </c>
      <c r="AN1" t="s">
        <v>1945</v>
      </c>
      <c r="AO1" t="s">
        <v>2405</v>
      </c>
      <c r="AP1" t="s">
        <v>2285</v>
      </c>
      <c r="AQ1" t="s">
        <v>1746</v>
      </c>
      <c r="AR1" t="s">
        <v>1706</v>
      </c>
      <c r="AS1" t="s">
        <v>2066</v>
      </c>
      <c r="AT1" t="s">
        <v>1648</v>
      </c>
      <c r="AU1" t="s">
        <v>1998</v>
      </c>
      <c r="AV1" t="s">
        <v>2386</v>
      </c>
      <c r="AW1" t="s">
        <v>2039</v>
      </c>
      <c r="AX1" t="s">
        <v>1409</v>
      </c>
      <c r="AY1" t="s">
        <v>1407</v>
      </c>
      <c r="AZ1" t="s">
        <v>1406</v>
      </c>
      <c r="BA1" t="s">
        <v>2326</v>
      </c>
      <c r="BB1" t="s">
        <v>1410</v>
      </c>
      <c r="BC1" t="s">
        <v>189</v>
      </c>
      <c r="BD1" t="s">
        <v>1411</v>
      </c>
      <c r="BE1" t="s">
        <v>1893</v>
      </c>
      <c r="BF1" t="s">
        <v>2162</v>
      </c>
      <c r="BG1" t="s">
        <v>2296</v>
      </c>
      <c r="BH1" t="s">
        <v>1420</v>
      </c>
      <c r="BI1" t="s">
        <v>6</v>
      </c>
      <c r="BJ1" t="s">
        <v>1789</v>
      </c>
      <c r="BK1" t="s">
        <v>1721</v>
      </c>
      <c r="BL1" t="s">
        <v>1412</v>
      </c>
      <c r="BM1" t="s">
        <v>1421</v>
      </c>
      <c r="BN1" t="s">
        <v>1361</v>
      </c>
      <c r="BO1" t="s">
        <v>2380</v>
      </c>
      <c r="BP1" t="s">
        <v>2239</v>
      </c>
      <c r="BQ1" t="s">
        <v>1862</v>
      </c>
      <c r="BR1" t="s">
        <v>1616</v>
      </c>
      <c r="BS1" t="s">
        <v>1786</v>
      </c>
      <c r="BT1" t="s">
        <v>2287</v>
      </c>
      <c r="BU1" t="s">
        <v>2345</v>
      </c>
      <c r="BV1" t="s">
        <v>1674</v>
      </c>
      <c r="BW1" t="s">
        <v>2282</v>
      </c>
      <c r="BX1" t="s">
        <v>1615</v>
      </c>
      <c r="BY1" t="s">
        <v>1936</v>
      </c>
      <c r="BZ1" t="s">
        <v>1989</v>
      </c>
      <c r="CA1" t="s">
        <v>1682</v>
      </c>
      <c r="CB1" t="s">
        <v>2333</v>
      </c>
      <c r="CC1" t="s">
        <v>2151</v>
      </c>
    </row>
    <row r="2">
      <c r="A2" t="s">
        <v>1331</v>
      </c>
      <c r="B2" t="s">
        <v>1727</v>
      </c>
      <c r="C2" t="s">
        <v>1727</v>
      </c>
      <c r="D2">
        <f>IF($B2&lt;&gt;"Yes","",IF($C2="No","Yes",IF($C2="Yes","No","")))</f>
      </c>
      <c r="E2">
        <f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f>
      </c>
      <c r="F2">
        <f>IF($B2&lt;&gt;"Yes","",
IF($A2="Neuron",
IF(OR(
AND($S2&lt;&gt;"",LOWER(TRIM($S2))&lt;&gt;"n/a",COUNTIFS($B$2:$B$532,"Yes",$A$2:$A$532,"Neuron",$S$2:$S$532,$S2)&gt;1),
AND($T2&lt;&gt;"",LOWER(TRIM($T2))&lt;&gt;"n/a",COUNTIFS($B$2:$B$532,"Yes",$A$2:$A$532,"Neuron",$T$2:$T$532,$T2)&gt;1),
AND($W2&lt;&gt;"",LOWER(TRIM($W2))&lt;&gt;"n/a",COUNTIFS($B$2:$B$532,"Yes",$A$2:$A$532,"Neuron",$W$2:$W$532,$W2)&gt;1)
),"Yes","No"),
IF($A2="Cybernet",
IF(OR(
AND($Y2&lt;&gt;"",LOWER(TRIM($Y2))&lt;&gt;"n/a",COUNTIFS($B$2:$B$532,"Yes",$A$2:$A$532,"Cybernet",$Y$2:$Y$532,$Y2)&gt;1),
AND($Z2&lt;&gt;"",LOWER(TRIM($Z2))&lt;&gt;"n/a",COUNTIFS($B$2:$B$532,"Yes",$A$2:$A$532,"Cybernet",$Z$2:$Z$532,$Z2)&gt;1)
),"Yes","No"),
IF(AND($AL2&lt;&gt;"",LOWER(TRIM($AL2))&lt;&gt;"n/a"),
IF(COUNTIFS($B$2:$B$532,"Yes",$A$2:$A$532,$A2,$AL$2:$AL$532,$AL2)&gt;1,"Yes","No"),
"No")
)
)
)</f>
      </c>
      <c r="G2" t="s">
        <v>2089</v>
      </c>
      <c r="H2" t="s">
        <v>2089</v>
      </c>
      <c r="J2" t="s">
        <v>2115</v>
      </c>
      <c r="K2" t="s">
        <v>2115</v>
      </c>
      <c r="L2" t="s">
        <v>2115</v>
      </c>
      <c r="S2" t="s">
        <v>2222</v>
      </c>
      <c r="T2" t="s">
        <v>2218</v>
      </c>
      <c r="U2" t="s">
        <v>1777</v>
      </c>
      <c r="V2" t="s">
        <v>1727</v>
      </c>
      <c r="W2" t="s">
        <v>2109</v>
      </c>
      <c r="X2" t="s">
        <v>1707</v>
      </c>
      <c r="Y2" t="s">
        <v>1380</v>
      </c>
      <c r="AA2" t="s">
        <v>1867</v>
      </c>
      <c r="AC2" t="s">
        <v>1690</v>
      </c>
      <c r="AD2" t="s">
        <v>1380</v>
      </c>
      <c r="AF2" t="s">
        <v>2257</v>
      </c>
      <c r="AG2" t="s">
        <v>1999</v>
      </c>
      <c r="AH2">
        <v>1</v>
      </c>
      <c r="AI2" t="s">
        <v>1898</v>
      </c>
      <c r="AJ2" t="s">
        <v>2131</v>
      </c>
      <c r="AK2" t="s">
        <v>2361</v>
      </c>
      <c r="AL2" t="s">
        <v>1690</v>
      </c>
      <c r="AM2" t="s">
        <v>1335</v>
      </c>
      <c r="AR2" t="s">
        <v>1380</v>
      </c>
      <c r="AS2" t="s">
        <v>1991</v>
      </c>
      <c r="AT2" t="s">
        <v>1380</v>
      </c>
      <c r="AU2" t="s">
        <v>1380</v>
      </c>
      <c r="AV2" t="s">
        <v>1380</v>
      </c>
      <c r="AW2" t="s">
        <v>1727</v>
      </c>
      <c r="AX2" t="s">
        <v>1727</v>
      </c>
      <c r="BA2">
        <v>46027.0</v>
      </c>
      <c r="BB2" t="s">
        <v>1727</v>
      </c>
      <c r="BD2" t="s">
        <v>2151</v>
      </c>
      <c r="BE2" t="s">
        <v>1727</v>
      </c>
      <c r="BF2" t="s">
        <v>1727</v>
      </c>
      <c r="BG2" t="s">
        <v>1727</v>
      </c>
      <c r="BH2" t="s">
        <v>1727</v>
      </c>
      <c r="BI2" t="s">
        <v>1630</v>
      </c>
      <c r="BJ2" t="s">
        <v>1727</v>
      </c>
      <c r="BK2" t="s">
        <v>1657</v>
      </c>
      <c r="BL2">
        <f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</c>
      <c r="BM2">
        <f>IF($T2="","",IF($BL2="","Yes","Blocked"))</f>
      </c>
      <c r="BP2">
        <f>IF($BO2="","",IFERROR(VLOOKUP($BO2,'01_Warehouse_Ledger'!$A:$N,4,FALSE),""))</f>
      </c>
      <c r="BQ2">
        <f>IF($BO2="","",IFERROR(VLOOKUP($BO2,'01_Warehouse_Ledger'!$A:$N,5,FALSE),""))</f>
      </c>
      <c r="BR2">
        <f>IF($BO2="","",IFERROR(VLOOKUP($BO2,'01_Warehouse_Ledger'!$A:$N,13,FALSE),""))</f>
      </c>
    </row>
    <row r="3">
      <c r="A3" t="s">
        <v>1331</v>
      </c>
      <c r="B3" t="s">
        <v>1727</v>
      </c>
      <c r="C3" t="s">
        <v>1727</v>
      </c>
      <c r="D3">
        <f>IF($B3&lt;&gt;"Yes","",IF($C3="No","Yes",IF($C3="Yes","No","")))</f>
      </c>
      <c r="E3">
        <f>IF($A3="","",IF($A3="Neuron",IF(OR(AND($S3&lt;&gt;"",LOWER(TRIM($S3))&lt;&gt;"n/a",COUNTIF($S$2:$S$532,$S3)&gt;1),AND($T3&lt;&gt;"",LOWER(TRIM($T3))&lt;&gt;"n/a",COUNTIF($T$2:$T$532,$T3)&gt;1),AND($W3&lt;&gt;"",LOWER(TRIM($W3))&lt;&gt;"n/a",COUNTIF($W$2:$W$532,$W3)&gt;1)),"Yes","No"),IF($A3="Cybernet",IF(OR(AND($Y3&lt;&gt;"",LOWER(TRIM($Y3))&lt;&gt;"n/a",COUNTIF($Y$2:$Y$532,$Y3)&gt;1),AND($Z3&lt;&gt;"",LOWER(TRIM($Z3))&lt;&gt;"n/a",COUNTIF($Z$2:$Z$532,$Z3)&gt;1)),"Yes","No"),IF(AND($AL3&lt;&gt;"",LOWER(TRIM($AL3))&lt;&gt;"n/a",COUNTIF($AL$2:$AL$532,$AL3)&gt;1),"Yes","No"))))</f>
      </c>
      <c r="F3">
        <f>IF($B3&lt;&gt;"Yes","",
IF($A3="Neuron",
IF(OR(
AND($S3&lt;&gt;"",LOWER(TRIM($S3))&lt;&gt;"n/a",COUNTIFS($B$2:$B$532,"Yes",$A$2:$A$532,"Neuron",$S$2:$S$532,$S3)&gt;1),
AND($T3&lt;&gt;"",LOWER(TRIM($T3))&lt;&gt;"n/a",COUNTIFS($B$2:$B$532,"Yes",$A$2:$A$532,"Neuron",$T$2:$T$532,$T3)&gt;1),
AND($W3&lt;&gt;"",LOWER(TRIM($W3))&lt;&gt;"n/a",COUNTIFS($B$2:$B$532,"Yes",$A$2:$A$532,"Neuron",$W$2:$W$532,$W3)&gt;1)
),"Yes","No"),
IF($A3="Cybernet",
IF(OR(
AND($Y3&lt;&gt;"",LOWER(TRIM($Y3))&lt;&gt;"n/a",COUNTIFS($B$2:$B$532,"Yes",$A$2:$A$532,"Cybernet",$Y$2:$Y$532,$Y3)&gt;1),
AND($Z3&lt;&gt;"",LOWER(TRIM($Z3))&lt;&gt;"n/a",COUNTIFS($B$2:$B$532,"Yes",$A$2:$A$532,"Cybernet",$Z$2:$Z$532,$Z3)&gt;1)
),"Yes","No"),
IF(AND($AL3&lt;&gt;"",LOWER(TRIM($AL3))&lt;&gt;"n/a"),
IF(COUNTIFS($B$2:$B$532,"Yes",$A$2:$A$532,$A3,$AL$2:$AL$532,$AL3)&gt;1,"Yes","No"),
"No")
)
)
)</f>
      </c>
      <c r="G3" t="s">
        <v>2089</v>
      </c>
      <c r="H3" t="s">
        <v>2089</v>
      </c>
      <c r="J3" t="s">
        <v>2115</v>
      </c>
      <c r="K3" t="s">
        <v>2115</v>
      </c>
      <c r="L3" t="s">
        <v>2115</v>
      </c>
      <c r="S3" t="s">
        <v>2075</v>
      </c>
      <c r="T3" t="s">
        <v>1847</v>
      </c>
      <c r="U3" t="s">
        <v>2182</v>
      </c>
      <c r="V3" t="s">
        <v>1727</v>
      </c>
      <c r="W3" t="s">
        <v>1732</v>
      </c>
      <c r="X3" t="s">
        <v>1707</v>
      </c>
      <c r="Y3" t="s">
        <v>1380</v>
      </c>
      <c r="AA3" t="s">
        <v>1867</v>
      </c>
      <c r="AC3" t="s">
        <v>2402</v>
      </c>
      <c r="AD3" t="s">
        <v>1380</v>
      </c>
      <c r="AF3" t="s">
        <v>2257</v>
      </c>
      <c r="AG3" t="s">
        <v>1999</v>
      </c>
      <c r="AH3">
        <v>2</v>
      </c>
      <c r="AI3" t="s">
        <v>1734</v>
      </c>
      <c r="AJ3" t="s">
        <v>2131</v>
      </c>
      <c r="AK3" t="s">
        <v>2361</v>
      </c>
      <c r="AL3" t="s">
        <v>2402</v>
      </c>
      <c r="AM3" t="s">
        <v>1335</v>
      </c>
      <c r="AR3" t="s">
        <v>1380</v>
      </c>
      <c r="AS3" t="s">
        <v>1991</v>
      </c>
      <c r="AT3" t="s">
        <v>1380</v>
      </c>
      <c r="AU3" t="s">
        <v>1380</v>
      </c>
      <c r="AV3" t="s">
        <v>1380</v>
      </c>
      <c r="AW3" t="s">
        <v>1727</v>
      </c>
      <c r="AX3" t="s">
        <v>1727</v>
      </c>
      <c r="BA3">
        <v>46027.0</v>
      </c>
      <c r="BB3" t="s">
        <v>1727</v>
      </c>
      <c r="BD3" t="s">
        <v>2151</v>
      </c>
      <c r="BE3" t="s">
        <v>1727</v>
      </c>
      <c r="BF3" t="s">
        <v>1727</v>
      </c>
      <c r="BG3" t="s">
        <v>1727</v>
      </c>
      <c r="BH3" t="s">
        <v>1727</v>
      </c>
      <c r="BJ3" t="s">
        <v>1727</v>
      </c>
      <c r="BK3" t="s">
        <v>1657</v>
      </c>
      <c r="BL3">
        <f>IF($T3="","",IF((IF(AND($AW3&lt;&gt;"Yes",$AW3&lt;&gt;"N/A"),"Power Cable, ","")&amp;IF(AND($AX3&lt;&gt;"Yes",$AX3&lt;&gt;"N/A"),"Battery, ","")&amp;IF(AND($BE3&lt;&gt;"Yes",$BE3&lt;&gt;"N/A"),"Firmware Download, ","")&amp;IF(AND(OR($BE3="Yes",$BE3="N/A"),$BF3&lt;&gt;"Yes",$BF3&lt;&gt;"N/A"),"Firmware Install, ","")&amp;IF(AND($BJ3&lt;&gt;"Yes",$BJ3&lt;&gt;"N/A"),"Device ID, ","")&amp;IF(AND($BK3&lt;&gt;"Yes",$BK3&lt;&gt;"N/A"),"Epic Beans Relay, ",""))="","",LEFT(IF(AND($AW3&lt;&gt;"Yes",$AW3&lt;&gt;"N/A"),"Power Cable, ","")&amp;IF(AND($AX3&lt;&gt;"Yes",$AX3&lt;&gt;"N/A"),"Battery, ","")&amp;IF(AND($BE3&lt;&gt;"Yes",$BE3&lt;&gt;"N/A"),"Firmware Download, ","")&amp;IF(AND(OR($BE3="Yes",$BE3="N/A"),$BF3&lt;&gt;"Yes",$BF3&lt;&gt;"N/A"),"Firmware Install, ","")&amp;IF(AND($BJ3&lt;&gt;"Yes",$BJ3&lt;&gt;"N/A"),"Device ID, ","")&amp;IF(AND($BK3&lt;&gt;"Yes",$BK3&lt;&gt;"N/A"),"Epic Beans Relay, ",""),LEN(IF(AND($AW3&lt;&gt;"Yes",$AW3&lt;&gt;"N/A"),"Power Cable, ","")&amp;IF(AND($AX3&lt;&gt;"Yes",$AX3&lt;&gt;"N/A"),"Battery, ","")&amp;IF(AND($BE3&lt;&gt;"Yes",$BE3&lt;&gt;"N/A"),"Firmware Download, ","")&amp;IF(AND(OR($BE3="Yes",$BE3="N/A"),$BF3&lt;&gt;"Yes",$BF3&lt;&gt;"N/A"),"Firmware Install, ","")&amp;IF(AND($BJ3&lt;&gt;"Yes",$BJ3&lt;&gt;"N/A"),"Device ID, ","")&amp;IF(AND($BK3&lt;&gt;"Yes",$BK3&lt;&gt;"N/A"),"Epic Beans Relay, ",""))-2)))</f>
      </c>
      <c r="BM3">
        <f>IF($T3="","",IF($BL3="","Yes","Blocked"))</f>
      </c>
      <c r="BP3">
        <f>IF($BO3="","",IFERROR(VLOOKUP($BO3,'01_Warehouse_Ledger'!$A:$N,4,FALSE),""))</f>
      </c>
      <c r="BQ3">
        <f>IF($BO3="","",IFERROR(VLOOKUP($BO3,'01_Warehouse_Ledger'!$A:$N,5,FALSE),""))</f>
      </c>
      <c r="BR3">
        <f>IF($BO3="","",IFERROR(VLOOKUP($BO3,'01_Warehouse_Ledger'!$A:$N,13,FALSE),""))</f>
      </c>
    </row>
    <row r="4">
      <c r="A4" t="s">
        <v>1331</v>
      </c>
      <c r="B4" t="s">
        <v>1727</v>
      </c>
      <c r="C4" t="s">
        <v>1727</v>
      </c>
      <c r="D4">
        <f>IF($B4&lt;&gt;"Yes","",IF($C4="No","Yes",IF($C4="Yes","No","")))</f>
      </c>
      <c r="E4">
        <f>IF($A4="","",IF($A4="Neuron",IF(OR(AND($S4&lt;&gt;"",LOWER(TRIM($S4))&lt;&gt;"n/a",COUNTIF($S$2:$S$532,$S4)&gt;1),AND($T4&lt;&gt;"",LOWER(TRIM($T4))&lt;&gt;"n/a",COUNTIF($T$2:$T$532,$T4)&gt;1),AND($W4&lt;&gt;"",LOWER(TRIM($W4))&lt;&gt;"n/a",COUNTIF($W$2:$W$532,$W4)&gt;1)),"Yes","No"),IF($A4="Cybernet",IF(OR(AND($Y4&lt;&gt;"",LOWER(TRIM($Y4))&lt;&gt;"n/a",COUNTIF($Y$2:$Y$532,$Y4)&gt;1),AND($Z4&lt;&gt;"",LOWER(TRIM($Z4))&lt;&gt;"n/a",COUNTIF($Z$2:$Z$532,$Z4)&gt;1)),"Yes","No"),IF(AND($AL4&lt;&gt;"",LOWER(TRIM($AL4))&lt;&gt;"n/a",COUNTIF($AL$2:$AL$532,$AL4)&gt;1),"Yes","No"))))</f>
      </c>
      <c r="F4">
        <f>IF($B4&lt;&gt;"Yes","",
IF($A4="Neuron",
IF(OR(
AND($S4&lt;&gt;"",LOWER(TRIM($S4))&lt;&gt;"n/a",COUNTIFS($B$2:$B$532,"Yes",$A$2:$A$532,"Neuron",$S$2:$S$532,$S4)&gt;1),
AND($T4&lt;&gt;"",LOWER(TRIM($T4))&lt;&gt;"n/a",COUNTIFS($B$2:$B$532,"Yes",$A$2:$A$532,"Neuron",$T$2:$T$532,$T4)&gt;1),
AND($W4&lt;&gt;"",LOWER(TRIM($W4))&lt;&gt;"n/a",COUNTIFS($B$2:$B$532,"Yes",$A$2:$A$532,"Neuron",$W$2:$W$532,$W4)&gt;1)
),"Yes","No"),
IF($A4="Cybernet",
IF(OR(
AND($Y4&lt;&gt;"",LOWER(TRIM($Y4))&lt;&gt;"n/a",COUNTIFS($B$2:$B$532,"Yes",$A$2:$A$532,"Cybernet",$Y$2:$Y$532,$Y4)&gt;1),
AND($Z4&lt;&gt;"",LOWER(TRIM($Z4))&lt;&gt;"n/a",COUNTIFS($B$2:$B$532,"Yes",$A$2:$A$532,"Cybernet",$Z$2:$Z$532,$Z4)&gt;1)
),"Yes","No"),
IF(AND($AL4&lt;&gt;"",LOWER(TRIM($AL4))&lt;&gt;"n/a"),
IF(COUNTIFS($B$2:$B$532,"Yes",$A$2:$A$532,$A4,$AL$2:$AL$532,$AL4)&gt;1,"Yes","No"),
"No")
)
)
)</f>
      </c>
      <c r="G4" t="s">
        <v>2089</v>
      </c>
      <c r="H4" t="s">
        <v>2089</v>
      </c>
      <c r="J4" t="s">
        <v>2115</v>
      </c>
      <c r="K4" t="s">
        <v>2115</v>
      </c>
      <c r="L4" t="s">
        <v>2115</v>
      </c>
      <c r="S4" t="s">
        <v>1913</v>
      </c>
      <c r="T4" t="s">
        <v>1892</v>
      </c>
      <c r="U4" t="s">
        <v>1816</v>
      </c>
      <c r="V4" t="s">
        <v>1727</v>
      </c>
      <c r="W4" t="s">
        <v>1823</v>
      </c>
      <c r="X4" t="s">
        <v>1707</v>
      </c>
      <c r="Y4" t="s">
        <v>1380</v>
      </c>
      <c r="AA4" t="s">
        <v>1867</v>
      </c>
      <c r="AC4" t="s">
        <v>1782</v>
      </c>
      <c r="AD4" t="s">
        <v>1380</v>
      </c>
      <c r="AF4" t="s">
        <v>2257</v>
      </c>
      <c r="AG4" t="s">
        <v>1999</v>
      </c>
      <c r="AH4">
        <v>3</v>
      </c>
      <c r="AI4" t="s">
        <v>2019</v>
      </c>
      <c r="AJ4" t="s">
        <v>2131</v>
      </c>
      <c r="AK4" t="s">
        <v>2361</v>
      </c>
      <c r="AL4" t="s">
        <v>1782</v>
      </c>
      <c r="AM4" t="s">
        <v>1335</v>
      </c>
      <c r="AR4" t="s">
        <v>1380</v>
      </c>
      <c r="AS4" t="s">
        <v>1991</v>
      </c>
      <c r="AT4" t="s">
        <v>1380</v>
      </c>
      <c r="AU4" t="s">
        <v>1380</v>
      </c>
      <c r="AV4" t="s">
        <v>1380</v>
      </c>
      <c r="AW4" t="s">
        <v>1727</v>
      </c>
      <c r="AX4" t="s">
        <v>1727</v>
      </c>
      <c r="BA4">
        <v>46027.0</v>
      </c>
      <c r="BB4" t="s">
        <v>1727</v>
      </c>
      <c r="BD4" t="s">
        <v>2151</v>
      </c>
      <c r="BE4" t="s">
        <v>1727</v>
      </c>
      <c r="BF4" t="s">
        <v>1727</v>
      </c>
      <c r="BG4" t="s">
        <v>1727</v>
      </c>
      <c r="BH4" t="s">
        <v>1727</v>
      </c>
      <c r="BJ4" t="s">
        <v>1727</v>
      </c>
      <c r="BK4" t="s">
        <v>1657</v>
      </c>
      <c r="BL4">
        <f>IF($T4="","",IF((IF(AND($AW4&lt;&gt;"Yes",$AW4&lt;&gt;"N/A"),"Power Cable, ","")&amp;IF(AND($AX4&lt;&gt;"Yes",$AX4&lt;&gt;"N/A"),"Battery, ","")&amp;IF(AND($BE4&lt;&gt;"Yes",$BE4&lt;&gt;"N/A"),"Firmware Download, ","")&amp;IF(AND(OR($BE4="Yes",$BE4="N/A"),$BF4&lt;&gt;"Yes",$BF4&lt;&gt;"N/A"),"Firmware Install, ","")&amp;IF(AND($BJ4&lt;&gt;"Yes",$BJ4&lt;&gt;"N/A"),"Device ID, ","")&amp;IF(AND($BK4&lt;&gt;"Yes",$BK4&lt;&gt;"N/A"),"Epic Beans Relay, ",""))="","",LEFT(IF(AND($AW4&lt;&gt;"Yes",$AW4&lt;&gt;"N/A"),"Power Cable, ","")&amp;IF(AND($AX4&lt;&gt;"Yes",$AX4&lt;&gt;"N/A"),"Battery, ","")&amp;IF(AND($BE4&lt;&gt;"Yes",$BE4&lt;&gt;"N/A"),"Firmware Download, ","")&amp;IF(AND(OR($BE4="Yes",$BE4="N/A"),$BF4&lt;&gt;"Yes",$BF4&lt;&gt;"N/A"),"Firmware Install, ","")&amp;IF(AND($BJ4&lt;&gt;"Yes",$BJ4&lt;&gt;"N/A"),"Device ID, ","")&amp;IF(AND($BK4&lt;&gt;"Yes",$BK4&lt;&gt;"N/A"),"Epic Beans Relay, ",""),LEN(IF(AND($AW4&lt;&gt;"Yes",$AW4&lt;&gt;"N/A"),"Power Cable, ","")&amp;IF(AND($AX4&lt;&gt;"Yes",$AX4&lt;&gt;"N/A"),"Battery, ","")&amp;IF(AND($BE4&lt;&gt;"Yes",$BE4&lt;&gt;"N/A"),"Firmware Download, ","")&amp;IF(AND(OR($BE4="Yes",$BE4="N/A"),$BF4&lt;&gt;"Yes",$BF4&lt;&gt;"N/A"),"Firmware Install, ","")&amp;IF(AND($BJ4&lt;&gt;"Yes",$BJ4&lt;&gt;"N/A"),"Device ID, ","")&amp;IF(AND($BK4&lt;&gt;"Yes",$BK4&lt;&gt;"N/A"),"Epic Beans Relay, ",""))-2)))</f>
      </c>
      <c r="BM4">
        <f>IF($T4="","",IF($BL4="","Yes","Blocked"))</f>
      </c>
      <c r="BP4">
        <f>IF($BO4="","",IFERROR(VLOOKUP($BO4,'01_Warehouse_Ledger'!$A:$N,4,FALSE),""))</f>
      </c>
      <c r="BQ4">
        <f>IF($BO4="","",IFERROR(VLOOKUP($BO4,'01_Warehouse_Ledger'!$A:$N,5,FALSE),""))</f>
      </c>
      <c r="BR4">
        <f>IF($BO4="","",IFERROR(VLOOKUP($BO4,'01_Warehouse_Ledger'!$A:$N,13,FALSE),""))</f>
      </c>
    </row>
    <row r="5">
      <c r="A5" t="s">
        <v>1331</v>
      </c>
      <c r="B5" t="s">
        <v>1727</v>
      </c>
      <c r="C5" t="s">
        <v>1727</v>
      </c>
      <c r="D5">
        <f>IF($B5&lt;&gt;"Yes","",IF($C5="No","Yes",IF($C5="Yes","No","")))</f>
      </c>
      <c r="E5">
        <f>IF($A5="","",IF($A5="Neuron",IF(OR(AND($S5&lt;&gt;"",LOWER(TRIM($S5))&lt;&gt;"n/a",COUNTIF($S$2:$S$532,$S5)&gt;1),AND($T5&lt;&gt;"",LOWER(TRIM($T5))&lt;&gt;"n/a",COUNTIF($T$2:$T$532,$T5)&gt;1),AND($W5&lt;&gt;"",LOWER(TRIM($W5))&lt;&gt;"n/a",COUNTIF($W$2:$W$532,$W5)&gt;1)),"Yes","No"),IF($A5="Cybernet",IF(OR(AND($Y5&lt;&gt;"",LOWER(TRIM($Y5))&lt;&gt;"n/a",COUNTIF($Y$2:$Y$532,$Y5)&gt;1),AND($Z5&lt;&gt;"",LOWER(TRIM($Z5))&lt;&gt;"n/a",COUNTIF($Z$2:$Z$532,$Z5)&gt;1)),"Yes","No"),IF(AND($AL5&lt;&gt;"",LOWER(TRIM($AL5))&lt;&gt;"n/a",COUNTIF($AL$2:$AL$532,$AL5)&gt;1),"Yes","No"))))</f>
      </c>
      <c r="F5">
        <f>IF($B5&lt;&gt;"Yes","",
IF($A5="Neuron",
IF(OR(
AND($S5&lt;&gt;"",LOWER(TRIM($S5))&lt;&gt;"n/a",COUNTIFS($B$2:$B$532,"Yes",$A$2:$A$532,"Neuron",$S$2:$S$532,$S5)&gt;1),
AND($T5&lt;&gt;"",LOWER(TRIM($T5))&lt;&gt;"n/a",COUNTIFS($B$2:$B$532,"Yes",$A$2:$A$532,"Neuron",$T$2:$T$532,$T5)&gt;1),
AND($W5&lt;&gt;"",LOWER(TRIM($W5))&lt;&gt;"n/a",COUNTIFS($B$2:$B$532,"Yes",$A$2:$A$532,"Neuron",$W$2:$W$532,$W5)&gt;1)
),"Yes","No"),
IF($A5="Cybernet",
IF(OR(
AND($Y5&lt;&gt;"",LOWER(TRIM($Y5))&lt;&gt;"n/a",COUNTIFS($B$2:$B$532,"Yes",$A$2:$A$532,"Cybernet",$Y$2:$Y$532,$Y5)&gt;1),
AND($Z5&lt;&gt;"",LOWER(TRIM($Z5))&lt;&gt;"n/a",COUNTIFS($B$2:$B$532,"Yes",$A$2:$A$532,"Cybernet",$Z$2:$Z$532,$Z5)&gt;1)
),"Yes","No"),
IF(AND($AL5&lt;&gt;"",LOWER(TRIM($AL5))&lt;&gt;"n/a"),
IF(COUNTIFS($B$2:$B$532,"Yes",$A$2:$A$532,$A5,$AL$2:$AL$532,$AL5)&gt;1,"Yes","No"),
"No")
)
)
)</f>
      </c>
      <c r="G5" t="s">
        <v>2089</v>
      </c>
      <c r="H5" t="s">
        <v>2089</v>
      </c>
      <c r="J5" t="s">
        <v>2115</v>
      </c>
      <c r="K5" t="s">
        <v>2115</v>
      </c>
      <c r="L5" t="s">
        <v>2115</v>
      </c>
      <c r="S5" t="s">
        <v>1851</v>
      </c>
      <c r="T5" t="s">
        <v>2291</v>
      </c>
      <c r="U5" t="s">
        <v>1765</v>
      </c>
      <c r="V5" t="s">
        <v>1727</v>
      </c>
      <c r="W5" t="s">
        <v>2025</v>
      </c>
      <c r="X5" t="s">
        <v>1707</v>
      </c>
      <c r="Y5" t="s">
        <v>1380</v>
      </c>
      <c r="AA5" t="s">
        <v>1867</v>
      </c>
      <c r="AC5" t="s">
        <v>2211</v>
      </c>
      <c r="AD5" t="s">
        <v>1380</v>
      </c>
      <c r="AF5" t="s">
        <v>2257</v>
      </c>
      <c r="AG5" t="s">
        <v>1999</v>
      </c>
      <c r="AH5">
        <v>4</v>
      </c>
      <c r="AI5" t="s">
        <v>1778</v>
      </c>
      <c r="AJ5" t="s">
        <v>2131</v>
      </c>
      <c r="AK5" t="s">
        <v>2361</v>
      </c>
      <c r="AL5" t="s">
        <v>2211</v>
      </c>
      <c r="AM5" t="s">
        <v>1335</v>
      </c>
      <c r="AR5" t="s">
        <v>1380</v>
      </c>
      <c r="AS5" t="s">
        <v>1991</v>
      </c>
      <c r="AT5" t="s">
        <v>1380</v>
      </c>
      <c r="AU5" t="s">
        <v>1380</v>
      </c>
      <c r="AV5" t="s">
        <v>1380</v>
      </c>
      <c r="AW5" t="s">
        <v>1727</v>
      </c>
      <c r="AX5" t="s">
        <v>1727</v>
      </c>
      <c r="BA5">
        <v>46027.0</v>
      </c>
      <c r="BB5" t="s">
        <v>1727</v>
      </c>
      <c r="BD5" t="s">
        <v>2151</v>
      </c>
      <c r="BE5" t="s">
        <v>1727</v>
      </c>
      <c r="BF5" t="s">
        <v>1727</v>
      </c>
      <c r="BG5" t="s">
        <v>1727</v>
      </c>
      <c r="BH5" t="s">
        <v>1727</v>
      </c>
      <c r="BJ5" t="s">
        <v>1727</v>
      </c>
      <c r="BK5" t="s">
        <v>1657</v>
      </c>
      <c r="BL5">
        <f>IF($T5="","",IF((IF(AND($AW5&lt;&gt;"Yes",$AW5&lt;&gt;"N/A"),"Power Cable, ","")&amp;IF(AND($AX5&lt;&gt;"Yes",$AX5&lt;&gt;"N/A"),"Battery, ","")&amp;IF(AND($BE5&lt;&gt;"Yes",$BE5&lt;&gt;"N/A"),"Firmware Download, ","")&amp;IF(AND(OR($BE5="Yes",$BE5="N/A"),$BF5&lt;&gt;"Yes",$BF5&lt;&gt;"N/A"),"Firmware Install, ","")&amp;IF(AND($BJ5&lt;&gt;"Yes",$BJ5&lt;&gt;"N/A"),"Device ID, ","")&amp;IF(AND($BK5&lt;&gt;"Yes",$BK5&lt;&gt;"N/A"),"Epic Beans Relay, ",""))="","",LEFT(IF(AND($AW5&lt;&gt;"Yes",$AW5&lt;&gt;"N/A"),"Power Cable, ","")&amp;IF(AND($AX5&lt;&gt;"Yes",$AX5&lt;&gt;"N/A"),"Battery, ","")&amp;IF(AND($BE5&lt;&gt;"Yes",$BE5&lt;&gt;"N/A"),"Firmware Download, ","")&amp;IF(AND(OR($BE5="Yes",$BE5="N/A"),$BF5&lt;&gt;"Yes",$BF5&lt;&gt;"N/A"),"Firmware Install, ","")&amp;IF(AND($BJ5&lt;&gt;"Yes",$BJ5&lt;&gt;"N/A"),"Device ID, ","")&amp;IF(AND($BK5&lt;&gt;"Yes",$BK5&lt;&gt;"N/A"),"Epic Beans Relay, ",""),LEN(IF(AND($AW5&lt;&gt;"Yes",$AW5&lt;&gt;"N/A"),"Power Cable, ","")&amp;IF(AND($AX5&lt;&gt;"Yes",$AX5&lt;&gt;"N/A"),"Battery, ","")&amp;IF(AND($BE5&lt;&gt;"Yes",$BE5&lt;&gt;"N/A"),"Firmware Download, ","")&amp;IF(AND(OR($BE5="Yes",$BE5="N/A"),$BF5&lt;&gt;"Yes",$BF5&lt;&gt;"N/A"),"Firmware Install, ","")&amp;IF(AND($BJ5&lt;&gt;"Yes",$BJ5&lt;&gt;"N/A"),"Device ID, ","")&amp;IF(AND($BK5&lt;&gt;"Yes",$BK5&lt;&gt;"N/A"),"Epic Beans Relay, ",""))-2)))</f>
      </c>
      <c r="BM5">
        <f>IF($T5="","",IF($BL5="","Yes","Blocked"))</f>
      </c>
      <c r="BP5">
        <f>IF($BO5="","",IFERROR(VLOOKUP($BO5,'01_Warehouse_Ledger'!$A:$N,4,FALSE),""))</f>
      </c>
      <c r="BQ5">
        <f>IF($BO5="","",IFERROR(VLOOKUP($BO5,'01_Warehouse_Ledger'!$A:$N,5,FALSE),""))</f>
      </c>
      <c r="BR5">
        <f>IF($BO5="","",IFERROR(VLOOKUP($BO5,'01_Warehouse_Ledger'!$A:$N,13,FALSE),""))</f>
      </c>
    </row>
    <row r="6">
      <c r="A6" t="s">
        <v>1331</v>
      </c>
      <c r="B6" t="s">
        <v>1727</v>
      </c>
      <c r="C6" t="s">
        <v>1727</v>
      </c>
      <c r="D6">
        <f>IF($B6&lt;&gt;"Yes","",IF($C6="No","Yes",IF($C6="Yes","No","")))</f>
      </c>
      <c r="E6">
        <f>IF($A6="","",IF($A6="Neuron",IF(OR(AND($S6&lt;&gt;"",LOWER(TRIM($S6))&lt;&gt;"n/a",COUNTIF($S$2:$S$532,$S6)&gt;1),AND($T6&lt;&gt;"",LOWER(TRIM($T6))&lt;&gt;"n/a",COUNTIF($T$2:$T$532,$T6)&gt;1),AND($W6&lt;&gt;"",LOWER(TRIM($W6))&lt;&gt;"n/a",COUNTIF($W$2:$W$532,$W6)&gt;1)),"Yes","No"),IF($A6="Cybernet",IF(OR(AND($Y6&lt;&gt;"",LOWER(TRIM($Y6))&lt;&gt;"n/a",COUNTIF($Y$2:$Y$532,$Y6)&gt;1),AND($Z6&lt;&gt;"",LOWER(TRIM($Z6))&lt;&gt;"n/a",COUNTIF($Z$2:$Z$532,$Z6)&gt;1)),"Yes","No"),IF(AND($AL6&lt;&gt;"",LOWER(TRIM($AL6))&lt;&gt;"n/a",COUNTIF($AL$2:$AL$532,$AL6)&gt;1),"Yes","No"))))</f>
      </c>
      <c r="F6">
        <f>IF($B6&lt;&gt;"Yes","",
IF($A6="Neuron",
IF(OR(
AND($S6&lt;&gt;"",LOWER(TRIM($S6))&lt;&gt;"n/a",COUNTIFS($B$2:$B$532,"Yes",$A$2:$A$532,"Neuron",$S$2:$S$532,$S6)&gt;1),
AND($T6&lt;&gt;"",LOWER(TRIM($T6))&lt;&gt;"n/a",COUNTIFS($B$2:$B$532,"Yes",$A$2:$A$532,"Neuron",$T$2:$T$532,$T6)&gt;1),
AND($W6&lt;&gt;"",LOWER(TRIM($W6))&lt;&gt;"n/a",COUNTIFS($B$2:$B$532,"Yes",$A$2:$A$532,"Neuron",$W$2:$W$532,$W6)&gt;1)
),"Yes","No"),
IF($A6="Cybernet",
IF(OR(
AND($Y6&lt;&gt;"",LOWER(TRIM($Y6))&lt;&gt;"n/a",COUNTIFS($B$2:$B$532,"Yes",$A$2:$A$532,"Cybernet",$Y$2:$Y$532,$Y6)&gt;1),
AND($Z6&lt;&gt;"",LOWER(TRIM($Z6))&lt;&gt;"n/a",COUNTIFS($B$2:$B$532,"Yes",$A$2:$A$532,"Cybernet",$Z$2:$Z$532,$Z6)&gt;1)
),"Yes","No"),
IF(AND($AL6&lt;&gt;"",LOWER(TRIM($AL6))&lt;&gt;"n/a"),
IF(COUNTIFS($B$2:$B$532,"Yes",$A$2:$A$532,$A6,$AL$2:$AL$532,$AL6)&gt;1,"Yes","No"),
"No")
)
)
)</f>
      </c>
      <c r="G6" t="s">
        <v>2089</v>
      </c>
      <c r="H6" t="s">
        <v>2089</v>
      </c>
      <c r="J6" t="s">
        <v>2115</v>
      </c>
      <c r="K6" t="s">
        <v>2115</v>
      </c>
      <c r="L6" t="s">
        <v>2115</v>
      </c>
      <c r="S6" t="s">
        <v>2369</v>
      </c>
      <c r="T6" t="s">
        <v>1948</v>
      </c>
      <c r="U6" t="s">
        <v>1649</v>
      </c>
      <c r="V6" t="s">
        <v>1727</v>
      </c>
      <c r="W6" t="s">
        <v>2308</v>
      </c>
      <c r="X6" t="s">
        <v>1707</v>
      </c>
      <c r="Y6" t="s">
        <v>1380</v>
      </c>
      <c r="AA6" t="s">
        <v>1867</v>
      </c>
      <c r="AC6" t="s">
        <v>2209</v>
      </c>
      <c r="AD6" t="s">
        <v>1380</v>
      </c>
      <c r="AF6" t="s">
        <v>2257</v>
      </c>
      <c r="AG6" t="s">
        <v>1999</v>
      </c>
      <c r="AH6">
        <v>5</v>
      </c>
      <c r="AI6" t="s">
        <v>2070</v>
      </c>
      <c r="AJ6" t="s">
        <v>2131</v>
      </c>
      <c r="AK6" t="s">
        <v>2361</v>
      </c>
      <c r="AL6" t="s">
        <v>2209</v>
      </c>
      <c r="AM6" t="s">
        <v>1335</v>
      </c>
      <c r="AR6" t="s">
        <v>1380</v>
      </c>
      <c r="AS6" t="s">
        <v>1991</v>
      </c>
      <c r="AT6" t="s">
        <v>1380</v>
      </c>
      <c r="AU6" t="s">
        <v>1380</v>
      </c>
      <c r="AV6" t="s">
        <v>1380</v>
      </c>
      <c r="AW6" t="s">
        <v>1727</v>
      </c>
      <c r="AX6" t="s">
        <v>1727</v>
      </c>
      <c r="BA6">
        <v>46027.0</v>
      </c>
      <c r="BB6" t="s">
        <v>1727</v>
      </c>
      <c r="BD6" t="s">
        <v>2151</v>
      </c>
      <c r="BE6" t="s">
        <v>1727</v>
      </c>
      <c r="BF6" t="s">
        <v>1727</v>
      </c>
      <c r="BG6" t="s">
        <v>1727</v>
      </c>
      <c r="BH6" t="s">
        <v>1727</v>
      </c>
      <c r="BJ6" t="s">
        <v>1727</v>
      </c>
      <c r="BK6" t="s">
        <v>1657</v>
      </c>
      <c r="BL6">
        <f>IF($T6="","",IF((IF(AND($AW6&lt;&gt;"Yes",$AW6&lt;&gt;"N/A"),"Power Cable, ","")&amp;IF(AND($AX6&lt;&gt;"Yes",$AX6&lt;&gt;"N/A"),"Battery, ","")&amp;IF(AND($BE6&lt;&gt;"Yes",$BE6&lt;&gt;"N/A"),"Firmware Download, ","")&amp;IF(AND(OR($BE6="Yes",$BE6="N/A"),$BF6&lt;&gt;"Yes",$BF6&lt;&gt;"N/A"),"Firmware Install, ","")&amp;IF(AND($BJ6&lt;&gt;"Yes",$BJ6&lt;&gt;"N/A"),"Device ID, ","")&amp;IF(AND($BK6&lt;&gt;"Yes",$BK6&lt;&gt;"N/A"),"Epic Beans Relay, ",""))="","",LEFT(IF(AND($AW6&lt;&gt;"Yes",$AW6&lt;&gt;"N/A"),"Power Cable, ","")&amp;IF(AND($AX6&lt;&gt;"Yes",$AX6&lt;&gt;"N/A"),"Battery, ","")&amp;IF(AND($BE6&lt;&gt;"Yes",$BE6&lt;&gt;"N/A"),"Firmware Download, ","")&amp;IF(AND(OR($BE6="Yes",$BE6="N/A"),$BF6&lt;&gt;"Yes",$BF6&lt;&gt;"N/A"),"Firmware Install, ","")&amp;IF(AND($BJ6&lt;&gt;"Yes",$BJ6&lt;&gt;"N/A"),"Device ID, ","")&amp;IF(AND($BK6&lt;&gt;"Yes",$BK6&lt;&gt;"N/A"),"Epic Beans Relay, ",""),LEN(IF(AND($AW6&lt;&gt;"Yes",$AW6&lt;&gt;"N/A"),"Power Cable, ","")&amp;IF(AND($AX6&lt;&gt;"Yes",$AX6&lt;&gt;"N/A"),"Battery, ","")&amp;IF(AND($BE6&lt;&gt;"Yes",$BE6&lt;&gt;"N/A"),"Firmware Download, ","")&amp;IF(AND(OR($BE6="Yes",$BE6="N/A"),$BF6&lt;&gt;"Yes",$BF6&lt;&gt;"N/A"),"Firmware Install, ","")&amp;IF(AND($BJ6&lt;&gt;"Yes",$BJ6&lt;&gt;"N/A"),"Device ID, ","")&amp;IF(AND($BK6&lt;&gt;"Yes",$BK6&lt;&gt;"N/A"),"Epic Beans Relay, ",""))-2)))</f>
      </c>
      <c r="BM6">
        <f>IF($T6="","",IF($BL6="","Yes","Blocked"))</f>
      </c>
      <c r="BP6">
        <f>IF($BO6="","",IFERROR(VLOOKUP($BO6,'01_Warehouse_Ledger'!$A:$N,4,FALSE),""))</f>
      </c>
      <c r="BQ6">
        <f>IF($BO6="","",IFERROR(VLOOKUP($BO6,'01_Warehouse_Ledger'!$A:$N,5,FALSE),""))</f>
      </c>
      <c r="BR6">
        <f>IF($BO6="","",IFERROR(VLOOKUP($BO6,'01_Warehouse_Ledger'!$A:$N,13,FALSE),""))</f>
      </c>
    </row>
    <row r="7">
      <c r="A7" t="s">
        <v>1331</v>
      </c>
      <c r="B7" t="s">
        <v>1727</v>
      </c>
      <c r="C7" t="s">
        <v>1727</v>
      </c>
      <c r="D7">
        <f>IF($B7&lt;&gt;"Yes","",IF($C7="No","Yes",IF($C7="Yes","No","")))</f>
      </c>
      <c r="E7">
        <f>IF($A7="","",IF($A7="Neuron",IF(OR(AND($S7&lt;&gt;"",LOWER(TRIM($S7))&lt;&gt;"n/a",COUNTIF($S$2:$S$532,$S7)&gt;1),AND($T7&lt;&gt;"",LOWER(TRIM($T7))&lt;&gt;"n/a",COUNTIF($T$2:$T$532,$T7)&gt;1),AND($W7&lt;&gt;"",LOWER(TRIM($W7))&lt;&gt;"n/a",COUNTIF($W$2:$W$532,$W7)&gt;1)),"Yes","No"),IF($A7="Cybernet",IF(OR(AND($Y7&lt;&gt;"",LOWER(TRIM($Y7))&lt;&gt;"n/a",COUNTIF($Y$2:$Y$532,$Y7)&gt;1),AND($Z7&lt;&gt;"",LOWER(TRIM($Z7))&lt;&gt;"n/a",COUNTIF($Z$2:$Z$532,$Z7)&gt;1)),"Yes","No"),IF(AND($AL7&lt;&gt;"",LOWER(TRIM($AL7))&lt;&gt;"n/a",COUNTIF($AL$2:$AL$532,$AL7)&gt;1),"Yes","No"))))</f>
      </c>
      <c r="F7">
        <f>IF($B7&lt;&gt;"Yes","",
IF($A7="Neuron",
IF(OR(
AND($S7&lt;&gt;"",LOWER(TRIM($S7))&lt;&gt;"n/a",COUNTIFS($B$2:$B$532,"Yes",$A$2:$A$532,"Neuron",$S$2:$S$532,$S7)&gt;1),
AND($T7&lt;&gt;"",LOWER(TRIM($T7))&lt;&gt;"n/a",COUNTIFS($B$2:$B$532,"Yes",$A$2:$A$532,"Neuron",$T$2:$T$532,$T7)&gt;1),
AND($W7&lt;&gt;"",LOWER(TRIM($W7))&lt;&gt;"n/a",COUNTIFS($B$2:$B$532,"Yes",$A$2:$A$532,"Neuron",$W$2:$W$532,$W7)&gt;1)
),"Yes","No"),
IF($A7="Cybernet",
IF(OR(
AND($Y7&lt;&gt;"",LOWER(TRIM($Y7))&lt;&gt;"n/a",COUNTIFS($B$2:$B$532,"Yes",$A$2:$A$532,"Cybernet",$Y$2:$Y$532,$Y7)&gt;1),
AND($Z7&lt;&gt;"",LOWER(TRIM($Z7))&lt;&gt;"n/a",COUNTIFS($B$2:$B$532,"Yes",$A$2:$A$532,"Cybernet",$Z$2:$Z$532,$Z7)&gt;1)
),"Yes","No"),
IF(AND($AL7&lt;&gt;"",LOWER(TRIM($AL7))&lt;&gt;"n/a"),
IF(COUNTIFS($B$2:$B$532,"Yes",$A$2:$A$532,$A7,$AL$2:$AL$532,$AL7)&gt;1,"Yes","No"),
"No")
)
)
)</f>
      </c>
      <c r="G7" t="s">
        <v>2089</v>
      </c>
      <c r="H7" t="s">
        <v>2089</v>
      </c>
      <c r="J7" t="s">
        <v>2115</v>
      </c>
      <c r="K7" t="s">
        <v>2115</v>
      </c>
      <c r="L7" t="s">
        <v>2115</v>
      </c>
      <c r="S7" t="s">
        <v>2059</v>
      </c>
      <c r="T7" t="s">
        <v>1799</v>
      </c>
      <c r="U7" t="s">
        <v>1786</v>
      </c>
      <c r="V7" t="s">
        <v>1727</v>
      </c>
      <c r="W7" t="s">
        <v>1783</v>
      </c>
      <c r="X7" t="s">
        <v>1707</v>
      </c>
      <c r="Y7" t="s">
        <v>1380</v>
      </c>
      <c r="AA7" t="s">
        <v>1867</v>
      </c>
      <c r="AC7" t="s">
        <v>2246</v>
      </c>
      <c r="AD7" t="s">
        <v>1380</v>
      </c>
      <c r="AF7" t="s">
        <v>2257</v>
      </c>
      <c r="AG7" t="s">
        <v>1999</v>
      </c>
      <c r="AH7">
        <v>6</v>
      </c>
      <c r="AI7" t="s">
        <v>1850</v>
      </c>
      <c r="AJ7" t="s">
        <v>2131</v>
      </c>
      <c r="AK7" t="s">
        <v>2361</v>
      </c>
      <c r="AL7" t="s">
        <v>2246</v>
      </c>
      <c r="AM7" t="s">
        <v>1335</v>
      </c>
      <c r="AR7" t="s">
        <v>1380</v>
      </c>
      <c r="AS7" t="s">
        <v>1991</v>
      </c>
      <c r="AT7" t="s">
        <v>1380</v>
      </c>
      <c r="AU7" t="s">
        <v>1380</v>
      </c>
      <c r="AV7" t="s">
        <v>1380</v>
      </c>
      <c r="AW7" t="s">
        <v>1727</v>
      </c>
      <c r="AX7" t="s">
        <v>1727</v>
      </c>
      <c r="BA7">
        <v>46027.0</v>
      </c>
      <c r="BB7" t="s">
        <v>1727</v>
      </c>
      <c r="BD7" t="s">
        <v>2151</v>
      </c>
      <c r="BE7" t="s">
        <v>1727</v>
      </c>
      <c r="BF7" t="s">
        <v>1727</v>
      </c>
      <c r="BG7" t="s">
        <v>1727</v>
      </c>
      <c r="BH7" t="s">
        <v>1727</v>
      </c>
      <c r="BJ7" t="s">
        <v>1727</v>
      </c>
      <c r="BK7" t="s">
        <v>1657</v>
      </c>
      <c r="BL7">
        <f>IF($T7="","",IF((IF(AND($AW7&lt;&gt;"Yes",$AW7&lt;&gt;"N/A"),"Power Cable, ","")&amp;IF(AND($AX7&lt;&gt;"Yes",$AX7&lt;&gt;"N/A"),"Battery, ","")&amp;IF(AND($BE7&lt;&gt;"Yes",$BE7&lt;&gt;"N/A"),"Firmware Download, ","")&amp;IF(AND(OR($BE7="Yes",$BE7="N/A"),$BF7&lt;&gt;"Yes",$BF7&lt;&gt;"N/A"),"Firmware Install, ","")&amp;IF(AND($BJ7&lt;&gt;"Yes",$BJ7&lt;&gt;"N/A"),"Device ID, ","")&amp;IF(AND($BK7&lt;&gt;"Yes",$BK7&lt;&gt;"N/A"),"Epic Beans Relay, ",""))="","",LEFT(IF(AND($AW7&lt;&gt;"Yes",$AW7&lt;&gt;"N/A"),"Power Cable, ","")&amp;IF(AND($AX7&lt;&gt;"Yes",$AX7&lt;&gt;"N/A"),"Battery, ","")&amp;IF(AND($BE7&lt;&gt;"Yes",$BE7&lt;&gt;"N/A"),"Firmware Download, ","")&amp;IF(AND(OR($BE7="Yes",$BE7="N/A"),$BF7&lt;&gt;"Yes",$BF7&lt;&gt;"N/A"),"Firmware Install, ","")&amp;IF(AND($BJ7&lt;&gt;"Yes",$BJ7&lt;&gt;"N/A"),"Device ID, ","")&amp;IF(AND($BK7&lt;&gt;"Yes",$BK7&lt;&gt;"N/A"),"Epic Beans Relay, ",""),LEN(IF(AND($AW7&lt;&gt;"Yes",$AW7&lt;&gt;"N/A"),"Power Cable, ","")&amp;IF(AND($AX7&lt;&gt;"Yes",$AX7&lt;&gt;"N/A"),"Battery, ","")&amp;IF(AND($BE7&lt;&gt;"Yes",$BE7&lt;&gt;"N/A"),"Firmware Download, ","")&amp;IF(AND(OR($BE7="Yes",$BE7="N/A"),$BF7&lt;&gt;"Yes",$BF7&lt;&gt;"N/A"),"Firmware Install, ","")&amp;IF(AND($BJ7&lt;&gt;"Yes",$BJ7&lt;&gt;"N/A"),"Device ID, ","")&amp;IF(AND($BK7&lt;&gt;"Yes",$BK7&lt;&gt;"N/A"),"Epic Beans Relay, ",""))-2)))</f>
      </c>
      <c r="BM7">
        <f>IF($T7="","",IF($BL7="","Yes","Blocked"))</f>
      </c>
      <c r="BP7">
        <f>IF($BO7="","",IFERROR(VLOOKUP($BO7,'01_Warehouse_Ledger'!$A:$N,4,FALSE),""))</f>
      </c>
      <c r="BQ7">
        <f>IF($BO7="","",IFERROR(VLOOKUP($BO7,'01_Warehouse_Ledger'!$A:$N,5,FALSE),""))</f>
      </c>
      <c r="BR7">
        <f>IF($BO7="","",IFERROR(VLOOKUP($BO7,'01_Warehouse_Ledger'!$A:$N,13,FALSE),""))</f>
      </c>
    </row>
    <row r="8">
      <c r="A8" t="s">
        <v>1331</v>
      </c>
      <c r="B8" t="s">
        <v>1727</v>
      </c>
      <c r="C8" t="s">
        <v>1727</v>
      </c>
      <c r="D8">
        <f>IF($B8&lt;&gt;"Yes","",IF($C8="No","Yes",IF($C8="Yes","No","")))</f>
      </c>
      <c r="E8">
        <f>IF($A8="","",IF($A8="Neuron",IF(OR(AND($S8&lt;&gt;"",LOWER(TRIM($S8))&lt;&gt;"n/a",COUNTIF($S$2:$S$532,$S8)&gt;1),AND($T8&lt;&gt;"",LOWER(TRIM($T8))&lt;&gt;"n/a",COUNTIF($T$2:$T$532,$T8)&gt;1),AND($W8&lt;&gt;"",LOWER(TRIM($W8))&lt;&gt;"n/a",COUNTIF($W$2:$W$532,$W8)&gt;1)),"Yes","No"),IF($A8="Cybernet",IF(OR(AND($Y8&lt;&gt;"",LOWER(TRIM($Y8))&lt;&gt;"n/a",COUNTIF($Y$2:$Y$532,$Y8)&gt;1),AND($Z8&lt;&gt;"",LOWER(TRIM($Z8))&lt;&gt;"n/a",COUNTIF($Z$2:$Z$532,$Z8)&gt;1)),"Yes","No"),IF(AND($AL8&lt;&gt;"",LOWER(TRIM($AL8))&lt;&gt;"n/a",COUNTIF($AL$2:$AL$532,$AL8)&gt;1),"Yes","No"))))</f>
      </c>
      <c r="F8">
        <f>IF($B8&lt;&gt;"Yes","",
IF($A8="Neuron",
IF(OR(
AND($S8&lt;&gt;"",LOWER(TRIM($S8))&lt;&gt;"n/a",COUNTIFS($B$2:$B$532,"Yes",$A$2:$A$532,"Neuron",$S$2:$S$532,$S8)&gt;1),
AND($T8&lt;&gt;"",LOWER(TRIM($T8))&lt;&gt;"n/a",COUNTIFS($B$2:$B$532,"Yes",$A$2:$A$532,"Neuron",$T$2:$T$532,$T8)&gt;1),
AND($W8&lt;&gt;"",LOWER(TRIM($W8))&lt;&gt;"n/a",COUNTIFS($B$2:$B$532,"Yes",$A$2:$A$532,"Neuron",$W$2:$W$532,$W8)&gt;1)
),"Yes","No"),
IF($A8="Cybernet",
IF(OR(
AND($Y8&lt;&gt;"",LOWER(TRIM($Y8))&lt;&gt;"n/a",COUNTIFS($B$2:$B$532,"Yes",$A$2:$A$532,"Cybernet",$Y$2:$Y$532,$Y8)&gt;1),
AND($Z8&lt;&gt;"",LOWER(TRIM($Z8))&lt;&gt;"n/a",COUNTIFS($B$2:$B$532,"Yes",$A$2:$A$532,"Cybernet",$Z$2:$Z$532,$Z8)&gt;1)
),"Yes","No"),
IF(AND($AL8&lt;&gt;"",LOWER(TRIM($AL8))&lt;&gt;"n/a"),
IF(COUNTIFS($B$2:$B$532,"Yes",$A$2:$A$532,$A8,$AL$2:$AL$532,$AL8)&gt;1,"Yes","No"),
"No")
)
)
)</f>
      </c>
      <c r="G8" t="s">
        <v>2089</v>
      </c>
      <c r="H8" t="s">
        <v>2089</v>
      </c>
      <c r="J8" t="s">
        <v>2115</v>
      </c>
      <c r="K8" t="s">
        <v>2115</v>
      </c>
      <c r="L8" t="s">
        <v>2115</v>
      </c>
      <c r="S8" t="s">
        <v>1871</v>
      </c>
      <c r="T8" t="s">
        <v>1902</v>
      </c>
      <c r="U8" t="s">
        <v>2036</v>
      </c>
      <c r="V8" t="s">
        <v>1727</v>
      </c>
      <c r="W8" t="s">
        <v>2338</v>
      </c>
      <c r="X8" t="s">
        <v>1707</v>
      </c>
      <c r="Y8" t="s">
        <v>1380</v>
      </c>
      <c r="AA8" t="s">
        <v>1867</v>
      </c>
      <c r="AC8" t="s">
        <v>2047</v>
      </c>
      <c r="AD8" t="s">
        <v>1380</v>
      </c>
      <c r="AF8" t="s">
        <v>2257</v>
      </c>
      <c r="AG8" t="s">
        <v>1999</v>
      </c>
      <c r="AH8">
        <v>7</v>
      </c>
      <c r="AI8" t="s">
        <v>2057</v>
      </c>
      <c r="AJ8" t="s">
        <v>2131</v>
      </c>
      <c r="AK8" t="s">
        <v>2361</v>
      </c>
      <c r="AL8" t="s">
        <v>2047</v>
      </c>
      <c r="AM8" t="s">
        <v>1335</v>
      </c>
      <c r="AR8" t="s">
        <v>1380</v>
      </c>
      <c r="AS8" t="s">
        <v>1991</v>
      </c>
      <c r="AT8" t="s">
        <v>1380</v>
      </c>
      <c r="AU8" t="s">
        <v>1380</v>
      </c>
      <c r="AV8" t="s">
        <v>1380</v>
      </c>
      <c r="AW8" t="s">
        <v>1727</v>
      </c>
      <c r="AX8" t="s">
        <v>1727</v>
      </c>
      <c r="BA8">
        <v>46027.0</v>
      </c>
      <c r="BB8" t="s">
        <v>1727</v>
      </c>
      <c r="BD8" t="s">
        <v>2151</v>
      </c>
      <c r="BE8" t="s">
        <v>1727</v>
      </c>
      <c r="BF8" t="s">
        <v>1727</v>
      </c>
      <c r="BG8" t="s">
        <v>1727</v>
      </c>
      <c r="BH8" t="s">
        <v>1727</v>
      </c>
      <c r="BJ8" t="s">
        <v>1727</v>
      </c>
      <c r="BK8" t="s">
        <v>1657</v>
      </c>
      <c r="BL8">
        <f>IF($T8="","",IF((IF(AND($AW8&lt;&gt;"Yes",$AW8&lt;&gt;"N/A"),"Power Cable, ","")&amp;IF(AND($AX8&lt;&gt;"Yes",$AX8&lt;&gt;"N/A"),"Battery, ","")&amp;IF(AND($BE8&lt;&gt;"Yes",$BE8&lt;&gt;"N/A"),"Firmware Download, ","")&amp;IF(AND(OR($BE8="Yes",$BE8="N/A"),$BF8&lt;&gt;"Yes",$BF8&lt;&gt;"N/A"),"Firmware Install, ","")&amp;IF(AND($BJ8&lt;&gt;"Yes",$BJ8&lt;&gt;"N/A"),"Device ID, ","")&amp;IF(AND($BK8&lt;&gt;"Yes",$BK8&lt;&gt;"N/A"),"Epic Beans Relay, ",""))="","",LEFT(IF(AND($AW8&lt;&gt;"Yes",$AW8&lt;&gt;"N/A"),"Power Cable, ","")&amp;IF(AND($AX8&lt;&gt;"Yes",$AX8&lt;&gt;"N/A"),"Battery, ","")&amp;IF(AND($BE8&lt;&gt;"Yes",$BE8&lt;&gt;"N/A"),"Firmware Download, ","")&amp;IF(AND(OR($BE8="Yes",$BE8="N/A"),$BF8&lt;&gt;"Yes",$BF8&lt;&gt;"N/A"),"Firmware Install, ","")&amp;IF(AND($BJ8&lt;&gt;"Yes",$BJ8&lt;&gt;"N/A"),"Device ID, ","")&amp;IF(AND($BK8&lt;&gt;"Yes",$BK8&lt;&gt;"N/A"),"Epic Beans Relay, ",""),LEN(IF(AND($AW8&lt;&gt;"Yes",$AW8&lt;&gt;"N/A"),"Power Cable, ","")&amp;IF(AND($AX8&lt;&gt;"Yes",$AX8&lt;&gt;"N/A"),"Battery, ","")&amp;IF(AND($BE8&lt;&gt;"Yes",$BE8&lt;&gt;"N/A"),"Firmware Download, ","")&amp;IF(AND(OR($BE8="Yes",$BE8="N/A"),$BF8&lt;&gt;"Yes",$BF8&lt;&gt;"N/A"),"Firmware Install, ","")&amp;IF(AND($BJ8&lt;&gt;"Yes",$BJ8&lt;&gt;"N/A"),"Device ID, ","")&amp;IF(AND($BK8&lt;&gt;"Yes",$BK8&lt;&gt;"N/A"),"Epic Beans Relay, ",""))-2)))</f>
      </c>
      <c r="BM8">
        <f>IF($T8="","",IF($BL8="","Yes","Blocked"))</f>
      </c>
      <c r="BP8">
        <f>IF($BO8="","",IFERROR(VLOOKUP($BO8,'01_Warehouse_Ledger'!$A:$N,4,FALSE),""))</f>
      </c>
      <c r="BQ8">
        <f>IF($BO8="","",IFERROR(VLOOKUP($BO8,'01_Warehouse_Ledger'!$A:$N,5,FALSE),""))</f>
      </c>
      <c r="BR8">
        <f>IF($BO8="","",IFERROR(VLOOKUP($BO8,'01_Warehouse_Ledger'!$A:$N,13,FALSE),""))</f>
      </c>
    </row>
    <row r="9">
      <c r="A9" t="s">
        <v>1331</v>
      </c>
      <c r="B9" t="s">
        <v>1727</v>
      </c>
      <c r="C9" t="s">
        <v>1727</v>
      </c>
      <c r="D9">
        <f>IF($B9&lt;&gt;"Yes","",IF($C9="No","Yes",IF($C9="Yes","No","")))</f>
      </c>
      <c r="E9">
        <f>IF($A9="","",IF($A9="Neuron",IF(OR(AND($S9&lt;&gt;"",LOWER(TRIM($S9))&lt;&gt;"n/a",COUNTIF($S$2:$S$532,$S9)&gt;1),AND($T9&lt;&gt;"",LOWER(TRIM($T9))&lt;&gt;"n/a",COUNTIF($T$2:$T$532,$T9)&gt;1),AND($W9&lt;&gt;"",LOWER(TRIM($W9))&lt;&gt;"n/a",COUNTIF($W$2:$W$532,$W9)&gt;1)),"Yes","No"),IF($A9="Cybernet",IF(OR(AND($Y9&lt;&gt;"",LOWER(TRIM($Y9))&lt;&gt;"n/a",COUNTIF($Y$2:$Y$532,$Y9)&gt;1),AND($Z9&lt;&gt;"",LOWER(TRIM($Z9))&lt;&gt;"n/a",COUNTIF($Z$2:$Z$532,$Z9)&gt;1)),"Yes","No"),IF(AND($AL9&lt;&gt;"",LOWER(TRIM($AL9))&lt;&gt;"n/a",COUNTIF($AL$2:$AL$532,$AL9)&gt;1),"Yes","No"))))</f>
      </c>
      <c r="F9">
        <f>IF($B9&lt;&gt;"Yes","",
IF($A9="Neuron",
IF(OR(
AND($S9&lt;&gt;"",LOWER(TRIM($S9))&lt;&gt;"n/a",COUNTIFS($B$2:$B$532,"Yes",$A$2:$A$532,"Neuron",$S$2:$S$532,$S9)&gt;1),
AND($T9&lt;&gt;"",LOWER(TRIM($T9))&lt;&gt;"n/a",COUNTIFS($B$2:$B$532,"Yes",$A$2:$A$532,"Neuron",$T$2:$T$532,$T9)&gt;1),
AND($W9&lt;&gt;"",LOWER(TRIM($W9))&lt;&gt;"n/a",COUNTIFS($B$2:$B$532,"Yes",$A$2:$A$532,"Neuron",$W$2:$W$532,$W9)&gt;1)
),"Yes","No"),
IF($A9="Cybernet",
IF(OR(
AND($Y9&lt;&gt;"",LOWER(TRIM($Y9))&lt;&gt;"n/a",COUNTIFS($B$2:$B$532,"Yes",$A$2:$A$532,"Cybernet",$Y$2:$Y$532,$Y9)&gt;1),
AND($Z9&lt;&gt;"",LOWER(TRIM($Z9))&lt;&gt;"n/a",COUNTIFS($B$2:$B$532,"Yes",$A$2:$A$532,"Cybernet",$Z$2:$Z$532,$Z9)&gt;1)
),"Yes","No"),
IF(AND($AL9&lt;&gt;"",LOWER(TRIM($AL9))&lt;&gt;"n/a"),
IF(COUNTIFS($B$2:$B$532,"Yes",$A$2:$A$532,$A9,$AL$2:$AL$532,$AL9)&gt;1,"Yes","No"),
"No")
)
)
)</f>
      </c>
      <c r="G9" t="s">
        <v>2089</v>
      </c>
      <c r="H9" t="s">
        <v>2089</v>
      </c>
      <c r="J9" t="s">
        <v>2115</v>
      </c>
      <c r="K9" t="s">
        <v>2115</v>
      </c>
      <c r="L9" t="s">
        <v>2115</v>
      </c>
      <c r="S9" t="s">
        <v>2178</v>
      </c>
      <c r="T9" t="s">
        <v>1953</v>
      </c>
      <c r="U9" t="s">
        <v>2362</v>
      </c>
      <c r="V9" t="s">
        <v>1727</v>
      </c>
      <c r="W9" t="s">
        <v>2348</v>
      </c>
      <c r="X9" t="s">
        <v>1707</v>
      </c>
      <c r="Y9" t="s">
        <v>1380</v>
      </c>
      <c r="AA9" t="s">
        <v>1867</v>
      </c>
      <c r="AC9" t="s">
        <v>2140</v>
      </c>
      <c r="AD9" t="s">
        <v>1380</v>
      </c>
      <c r="AF9" t="s">
        <v>2257</v>
      </c>
      <c r="AG9" t="s">
        <v>1999</v>
      </c>
      <c r="AH9">
        <v>8</v>
      </c>
      <c r="AI9" t="s">
        <v>1986</v>
      </c>
      <c r="AJ9" t="s">
        <v>2131</v>
      </c>
      <c r="AK9" t="s">
        <v>2361</v>
      </c>
      <c r="AL9" t="s">
        <v>2140</v>
      </c>
      <c r="AM9" t="s">
        <v>1335</v>
      </c>
      <c r="AR9" t="s">
        <v>1380</v>
      </c>
      <c r="AS9" t="s">
        <v>1991</v>
      </c>
      <c r="AT9" t="s">
        <v>1380</v>
      </c>
      <c r="AU9" t="s">
        <v>1380</v>
      </c>
      <c r="AV9" t="s">
        <v>1380</v>
      </c>
      <c r="AW9" t="s">
        <v>1727</v>
      </c>
      <c r="AX9" t="s">
        <v>1727</v>
      </c>
      <c r="BA9">
        <v>46027.0</v>
      </c>
      <c r="BB9" t="s">
        <v>1727</v>
      </c>
      <c r="BD9" t="s">
        <v>2151</v>
      </c>
      <c r="BE9" t="s">
        <v>1727</v>
      </c>
      <c r="BF9" t="s">
        <v>1727</v>
      </c>
      <c r="BG9" t="s">
        <v>1727</v>
      </c>
      <c r="BH9" t="s">
        <v>1727</v>
      </c>
      <c r="BJ9" t="s">
        <v>1727</v>
      </c>
      <c r="BK9" t="s">
        <v>1657</v>
      </c>
      <c r="BL9">
        <f>IF($T9="","",IF((IF(AND($AW9&lt;&gt;"Yes",$AW9&lt;&gt;"N/A"),"Power Cable, ","")&amp;IF(AND($AX9&lt;&gt;"Yes",$AX9&lt;&gt;"N/A"),"Battery, ","")&amp;IF(AND($BE9&lt;&gt;"Yes",$BE9&lt;&gt;"N/A"),"Firmware Download, ","")&amp;IF(AND(OR($BE9="Yes",$BE9="N/A"),$BF9&lt;&gt;"Yes",$BF9&lt;&gt;"N/A"),"Firmware Install, ","")&amp;IF(AND($BJ9&lt;&gt;"Yes",$BJ9&lt;&gt;"N/A"),"Device ID, ","")&amp;IF(AND($BK9&lt;&gt;"Yes",$BK9&lt;&gt;"N/A"),"Epic Beans Relay, ",""))="","",LEFT(IF(AND($AW9&lt;&gt;"Yes",$AW9&lt;&gt;"N/A"),"Power Cable, ","")&amp;IF(AND($AX9&lt;&gt;"Yes",$AX9&lt;&gt;"N/A"),"Battery, ","")&amp;IF(AND($BE9&lt;&gt;"Yes",$BE9&lt;&gt;"N/A"),"Firmware Download, ","")&amp;IF(AND(OR($BE9="Yes",$BE9="N/A"),$BF9&lt;&gt;"Yes",$BF9&lt;&gt;"N/A"),"Firmware Install, ","")&amp;IF(AND($BJ9&lt;&gt;"Yes",$BJ9&lt;&gt;"N/A"),"Device ID, ","")&amp;IF(AND($BK9&lt;&gt;"Yes",$BK9&lt;&gt;"N/A"),"Epic Beans Relay, ",""),LEN(IF(AND($AW9&lt;&gt;"Yes",$AW9&lt;&gt;"N/A"),"Power Cable, ","")&amp;IF(AND($AX9&lt;&gt;"Yes",$AX9&lt;&gt;"N/A"),"Battery, ","")&amp;IF(AND($BE9&lt;&gt;"Yes",$BE9&lt;&gt;"N/A"),"Firmware Download, ","")&amp;IF(AND(OR($BE9="Yes",$BE9="N/A"),$BF9&lt;&gt;"Yes",$BF9&lt;&gt;"N/A"),"Firmware Install, ","")&amp;IF(AND($BJ9&lt;&gt;"Yes",$BJ9&lt;&gt;"N/A"),"Device ID, ","")&amp;IF(AND($BK9&lt;&gt;"Yes",$BK9&lt;&gt;"N/A"),"Epic Beans Relay, ",""))-2)))</f>
      </c>
      <c r="BM9">
        <f>IF($T9="","",IF($BL9="","Yes","Blocked"))</f>
      </c>
      <c r="BP9">
        <f>IF($BO9="","",IFERROR(VLOOKUP($BO9,'01_Warehouse_Ledger'!$A:$N,4,FALSE),""))</f>
      </c>
      <c r="BQ9">
        <f>IF($BO9="","",IFERROR(VLOOKUP($BO9,'01_Warehouse_Ledger'!$A:$N,5,FALSE),""))</f>
      </c>
      <c r="BR9">
        <f>IF($BO9="","",IFERROR(VLOOKUP($BO9,'01_Warehouse_Ledger'!$A:$N,13,FALSE),""))</f>
      </c>
    </row>
    <row r="10">
      <c r="A10" t="s">
        <v>1331</v>
      </c>
      <c r="B10" t="s">
        <v>1727</v>
      </c>
      <c r="C10" t="s">
        <v>1727</v>
      </c>
      <c r="D10">
        <f>IF($B10&lt;&gt;"Yes","",IF($C10="No","Yes",IF($C10="Yes","No","")))</f>
      </c>
      <c r="E10">
        <f>IF($A10="","",IF($A10="Neuron",IF(OR(AND($S10&lt;&gt;"",LOWER(TRIM($S10))&lt;&gt;"n/a",COUNTIF($S$2:$S$532,$S10)&gt;1),AND($T10&lt;&gt;"",LOWER(TRIM($T10))&lt;&gt;"n/a",COUNTIF($T$2:$T$532,$T10)&gt;1),AND($W10&lt;&gt;"",LOWER(TRIM($W10))&lt;&gt;"n/a",COUNTIF($W$2:$W$532,$W10)&gt;1)),"Yes","No"),IF($A10="Cybernet",IF(OR(AND($Y10&lt;&gt;"",LOWER(TRIM($Y10))&lt;&gt;"n/a",COUNTIF($Y$2:$Y$532,$Y10)&gt;1),AND($Z10&lt;&gt;"",LOWER(TRIM($Z10))&lt;&gt;"n/a",COUNTIF($Z$2:$Z$532,$Z10)&gt;1)),"Yes","No"),IF(AND($AL10&lt;&gt;"",LOWER(TRIM($AL10))&lt;&gt;"n/a",COUNTIF($AL$2:$AL$532,$AL10)&gt;1),"Yes","No"))))</f>
      </c>
      <c r="F10">
        <f>IF($B10&lt;&gt;"Yes","",
IF($A10="Neuron",
IF(OR(
AND($S10&lt;&gt;"",LOWER(TRIM($S10))&lt;&gt;"n/a",COUNTIFS($B$2:$B$532,"Yes",$A$2:$A$532,"Neuron",$S$2:$S$532,$S10)&gt;1),
AND($T10&lt;&gt;"",LOWER(TRIM($T10))&lt;&gt;"n/a",COUNTIFS($B$2:$B$532,"Yes",$A$2:$A$532,"Neuron",$T$2:$T$532,$T10)&gt;1),
AND($W10&lt;&gt;"",LOWER(TRIM($W10))&lt;&gt;"n/a",COUNTIFS($B$2:$B$532,"Yes",$A$2:$A$532,"Neuron",$W$2:$W$532,$W10)&gt;1)
),"Yes","No"),
IF($A10="Cybernet",
IF(OR(
AND($Y10&lt;&gt;"",LOWER(TRIM($Y10))&lt;&gt;"n/a",COUNTIFS($B$2:$B$532,"Yes",$A$2:$A$532,"Cybernet",$Y$2:$Y$532,$Y10)&gt;1),
AND($Z10&lt;&gt;"",LOWER(TRIM($Z10))&lt;&gt;"n/a",COUNTIFS($B$2:$B$532,"Yes",$A$2:$A$532,"Cybernet",$Z$2:$Z$532,$Z10)&gt;1)
),"Yes","No"),
IF(AND($AL10&lt;&gt;"",LOWER(TRIM($AL10))&lt;&gt;"n/a"),
IF(COUNTIFS($B$2:$B$532,"Yes",$A$2:$A$532,$A10,$AL$2:$AL$532,$AL10)&gt;1,"Yes","No"),
"No")
)
)
)</f>
      </c>
      <c r="G10" t="s">
        <v>2089</v>
      </c>
      <c r="H10" t="s">
        <v>2089</v>
      </c>
      <c r="J10" t="s">
        <v>2115</v>
      </c>
      <c r="K10" t="s">
        <v>2115</v>
      </c>
      <c r="L10" t="s">
        <v>2115</v>
      </c>
      <c r="S10" t="s">
        <v>1617</v>
      </c>
      <c r="T10" t="s">
        <v>1695</v>
      </c>
      <c r="U10" t="s">
        <v>1976</v>
      </c>
      <c r="V10" t="s">
        <v>1727</v>
      </c>
      <c r="W10" t="s">
        <v>2086</v>
      </c>
      <c r="X10" t="s">
        <v>1707</v>
      </c>
      <c r="Y10" t="s">
        <v>1380</v>
      </c>
      <c r="AA10" t="s">
        <v>1867</v>
      </c>
      <c r="AC10" t="s">
        <v>2188</v>
      </c>
      <c r="AD10" t="s">
        <v>1380</v>
      </c>
      <c r="AF10" t="s">
        <v>2257</v>
      </c>
      <c r="AG10" t="s">
        <v>1999</v>
      </c>
      <c r="AH10">
        <v>9</v>
      </c>
      <c r="AI10" t="s">
        <v>2208</v>
      </c>
      <c r="AJ10" t="s">
        <v>2131</v>
      </c>
      <c r="AK10" t="s">
        <v>2361</v>
      </c>
      <c r="AL10" t="s">
        <v>2188</v>
      </c>
      <c r="AM10" t="s">
        <v>1335</v>
      </c>
      <c r="AR10" t="s">
        <v>1380</v>
      </c>
      <c r="AS10" t="s">
        <v>1991</v>
      </c>
      <c r="AT10" t="s">
        <v>1380</v>
      </c>
      <c r="AU10" t="s">
        <v>1380</v>
      </c>
      <c r="AV10" t="s">
        <v>1380</v>
      </c>
      <c r="AW10" t="s">
        <v>1727</v>
      </c>
      <c r="AX10" t="s">
        <v>1727</v>
      </c>
      <c r="BA10">
        <v>46027.0</v>
      </c>
      <c r="BB10" t="s">
        <v>1727</v>
      </c>
      <c r="BD10" t="s">
        <v>2151</v>
      </c>
      <c r="BE10" t="s">
        <v>1727</v>
      </c>
      <c r="BF10" t="s">
        <v>1727</v>
      </c>
      <c r="BG10" t="s">
        <v>1727</v>
      </c>
      <c r="BH10" t="s">
        <v>1727</v>
      </c>
      <c r="BJ10" t="s">
        <v>1727</v>
      </c>
      <c r="BK10" t="s">
        <v>1657</v>
      </c>
      <c r="BL10">
        <f>IF($T10="","",IF((IF(AND($AW10&lt;&gt;"Yes",$AW10&lt;&gt;"N/A"),"Power Cable, ","")&amp;IF(AND($AX10&lt;&gt;"Yes",$AX10&lt;&gt;"N/A"),"Battery, ","")&amp;IF(AND($BE10&lt;&gt;"Yes",$BE10&lt;&gt;"N/A"),"Firmware Download, ","")&amp;IF(AND(OR($BE10="Yes",$BE10="N/A"),$BF10&lt;&gt;"Yes",$BF10&lt;&gt;"N/A"),"Firmware Install, ","")&amp;IF(AND($BJ10&lt;&gt;"Yes",$BJ10&lt;&gt;"N/A"),"Device ID, ","")&amp;IF(AND($BK10&lt;&gt;"Yes",$BK10&lt;&gt;"N/A"),"Epic Beans Relay, ",""))="","",LEFT(IF(AND($AW10&lt;&gt;"Yes",$AW10&lt;&gt;"N/A"),"Power Cable, ","")&amp;IF(AND($AX10&lt;&gt;"Yes",$AX10&lt;&gt;"N/A"),"Battery, ","")&amp;IF(AND($BE10&lt;&gt;"Yes",$BE10&lt;&gt;"N/A"),"Firmware Download, ","")&amp;IF(AND(OR($BE10="Yes",$BE10="N/A"),$BF10&lt;&gt;"Yes",$BF10&lt;&gt;"N/A"),"Firmware Install, ","")&amp;IF(AND($BJ10&lt;&gt;"Yes",$BJ10&lt;&gt;"N/A"),"Device ID, ","")&amp;IF(AND($BK10&lt;&gt;"Yes",$BK10&lt;&gt;"N/A"),"Epic Beans Relay, ",""),LEN(IF(AND($AW10&lt;&gt;"Yes",$AW10&lt;&gt;"N/A"),"Power Cable, ","")&amp;IF(AND($AX10&lt;&gt;"Yes",$AX10&lt;&gt;"N/A"),"Battery, ","")&amp;IF(AND($BE10&lt;&gt;"Yes",$BE10&lt;&gt;"N/A"),"Firmware Download, ","")&amp;IF(AND(OR($BE10="Yes",$BE10="N/A"),$BF10&lt;&gt;"Yes",$BF10&lt;&gt;"N/A"),"Firmware Install, ","")&amp;IF(AND($BJ10&lt;&gt;"Yes",$BJ10&lt;&gt;"N/A"),"Device ID, ","")&amp;IF(AND($BK10&lt;&gt;"Yes",$BK10&lt;&gt;"N/A"),"Epic Beans Relay, ",""))-2)))</f>
      </c>
      <c r="BM10">
        <f>IF($T10="","",IF($BL10="","Yes","Blocked"))</f>
      </c>
      <c r="BP10">
        <f>IF($BO10="","",IFERROR(VLOOKUP($BO10,'01_Warehouse_Ledger'!$A:$N,4,FALSE),""))</f>
      </c>
      <c r="BQ10">
        <f>IF($BO10="","",IFERROR(VLOOKUP($BO10,'01_Warehouse_Ledger'!$A:$N,5,FALSE),""))</f>
      </c>
      <c r="BR10">
        <f>IF($BO10="","",IFERROR(VLOOKUP($BO10,'01_Warehouse_Ledger'!$A:$N,13,FALSE),""))</f>
      </c>
    </row>
    <row r="11">
      <c r="A11" t="s">
        <v>1331</v>
      </c>
      <c r="B11" t="s">
        <v>1727</v>
      </c>
      <c r="C11" t="s">
        <v>1727</v>
      </c>
      <c r="D11">
        <f>IF($B11&lt;&gt;"Yes","",IF($C11="No","Yes",IF($C11="Yes","No","")))</f>
      </c>
      <c r="E11">
        <f>IF($A11="","",IF($A11="Neuron",IF(OR(AND($S11&lt;&gt;"",LOWER(TRIM($S11))&lt;&gt;"n/a",COUNTIF($S$2:$S$532,$S11)&gt;1),AND($T11&lt;&gt;"",LOWER(TRIM($T11))&lt;&gt;"n/a",COUNTIF($T$2:$T$532,$T11)&gt;1),AND($W11&lt;&gt;"",LOWER(TRIM($W11))&lt;&gt;"n/a",COUNTIF($W$2:$W$532,$W11)&gt;1)),"Yes","No"),IF($A11="Cybernet",IF(OR(AND($Y11&lt;&gt;"",LOWER(TRIM($Y11))&lt;&gt;"n/a",COUNTIF($Y$2:$Y$532,$Y11)&gt;1),AND($Z11&lt;&gt;"",LOWER(TRIM($Z11))&lt;&gt;"n/a",COUNTIF($Z$2:$Z$532,$Z11)&gt;1)),"Yes","No"),IF(AND($AL11&lt;&gt;"",LOWER(TRIM($AL11))&lt;&gt;"n/a",COUNTIF($AL$2:$AL$532,$AL11)&gt;1),"Yes","No"))))</f>
      </c>
      <c r="F11">
        <f>IF($B11&lt;&gt;"Yes","",
IF($A11="Neuron",
IF(OR(
AND($S11&lt;&gt;"",LOWER(TRIM($S11))&lt;&gt;"n/a",COUNTIFS($B$2:$B$532,"Yes",$A$2:$A$532,"Neuron",$S$2:$S$532,$S11)&gt;1),
AND($T11&lt;&gt;"",LOWER(TRIM($T11))&lt;&gt;"n/a",COUNTIFS($B$2:$B$532,"Yes",$A$2:$A$532,"Neuron",$T$2:$T$532,$T11)&gt;1),
AND($W11&lt;&gt;"",LOWER(TRIM($W11))&lt;&gt;"n/a",COUNTIFS($B$2:$B$532,"Yes",$A$2:$A$532,"Neuron",$W$2:$W$532,$W11)&gt;1)
),"Yes","No"),
IF($A11="Cybernet",
IF(OR(
AND($Y11&lt;&gt;"",LOWER(TRIM($Y11))&lt;&gt;"n/a",COUNTIFS($B$2:$B$532,"Yes",$A$2:$A$532,"Cybernet",$Y$2:$Y$532,$Y11)&gt;1),
AND($Z11&lt;&gt;"",LOWER(TRIM($Z11))&lt;&gt;"n/a",COUNTIFS($B$2:$B$532,"Yes",$A$2:$A$532,"Cybernet",$Z$2:$Z$532,$Z11)&gt;1)
),"Yes","No"),
IF(AND($AL11&lt;&gt;"",LOWER(TRIM($AL11))&lt;&gt;"n/a"),
IF(COUNTIFS($B$2:$B$532,"Yes",$A$2:$A$532,$A11,$AL$2:$AL$532,$AL11)&gt;1,"Yes","No"),
"No")
)
)
)</f>
      </c>
      <c r="G11" t="s">
        <v>2089</v>
      </c>
      <c r="H11" t="s">
        <v>2089</v>
      </c>
      <c r="J11" t="s">
        <v>2115</v>
      </c>
      <c r="K11" t="s">
        <v>2115</v>
      </c>
      <c r="L11" t="s">
        <v>2115</v>
      </c>
      <c r="S11" t="s">
        <v>1644</v>
      </c>
      <c r="T11" t="s">
        <v>2285</v>
      </c>
      <c r="U11" t="s">
        <v>2323</v>
      </c>
      <c r="V11" t="s">
        <v>1727</v>
      </c>
      <c r="W11" t="s">
        <v>2187</v>
      </c>
      <c r="X11" t="s">
        <v>1707</v>
      </c>
      <c r="Y11" t="s">
        <v>1380</v>
      </c>
      <c r="AA11" t="s">
        <v>1867</v>
      </c>
      <c r="AC11" t="s">
        <v>2148</v>
      </c>
      <c r="AD11" t="s">
        <v>1380</v>
      </c>
      <c r="AF11" t="s">
        <v>2257</v>
      </c>
      <c r="AG11" t="s">
        <v>1999</v>
      </c>
      <c r="AH11">
        <v>10</v>
      </c>
      <c r="AI11" t="s">
        <v>2253</v>
      </c>
      <c r="AJ11" t="s">
        <v>2131</v>
      </c>
      <c r="AK11" t="s">
        <v>2361</v>
      </c>
      <c r="AL11" t="s">
        <v>2148</v>
      </c>
      <c r="AM11" t="s">
        <v>1335</v>
      </c>
      <c r="AR11" t="s">
        <v>1380</v>
      </c>
      <c r="AS11" t="s">
        <v>1991</v>
      </c>
      <c r="AT11" t="s">
        <v>1380</v>
      </c>
      <c r="AU11" t="s">
        <v>1380</v>
      </c>
      <c r="AV11" t="s">
        <v>1380</v>
      </c>
      <c r="AW11" t="s">
        <v>1727</v>
      </c>
      <c r="AX11" t="s">
        <v>1727</v>
      </c>
      <c r="BA11">
        <v>46027.0</v>
      </c>
      <c r="BB11" t="s">
        <v>1727</v>
      </c>
      <c r="BD11" t="s">
        <v>2151</v>
      </c>
      <c r="BE11" t="s">
        <v>1727</v>
      </c>
      <c r="BF11" t="s">
        <v>1727</v>
      </c>
      <c r="BG11" t="s">
        <v>1727</v>
      </c>
      <c r="BH11" t="s">
        <v>1727</v>
      </c>
      <c r="BJ11" t="s">
        <v>1727</v>
      </c>
      <c r="BK11" t="s">
        <v>1657</v>
      </c>
      <c r="BL11">
        <f>IF($T11="","",IF((IF(AND($AW11&lt;&gt;"Yes",$AW11&lt;&gt;"N/A"),"Power Cable, ","")&amp;IF(AND($AX11&lt;&gt;"Yes",$AX11&lt;&gt;"N/A"),"Battery, ","")&amp;IF(AND($BE11&lt;&gt;"Yes",$BE11&lt;&gt;"N/A"),"Firmware Download, ","")&amp;IF(AND(OR($BE11="Yes",$BE11="N/A"),$BF11&lt;&gt;"Yes",$BF11&lt;&gt;"N/A"),"Firmware Install, ","")&amp;IF(AND($BJ11&lt;&gt;"Yes",$BJ11&lt;&gt;"N/A"),"Device ID, ","")&amp;IF(AND($BK11&lt;&gt;"Yes",$BK11&lt;&gt;"N/A"),"Epic Beans Relay, ",""))="","",LEFT(IF(AND($AW11&lt;&gt;"Yes",$AW11&lt;&gt;"N/A"),"Power Cable, ","")&amp;IF(AND($AX11&lt;&gt;"Yes",$AX11&lt;&gt;"N/A"),"Battery, ","")&amp;IF(AND($BE11&lt;&gt;"Yes",$BE11&lt;&gt;"N/A"),"Firmware Download, ","")&amp;IF(AND(OR($BE11="Yes",$BE11="N/A"),$BF11&lt;&gt;"Yes",$BF11&lt;&gt;"N/A"),"Firmware Install, ","")&amp;IF(AND($BJ11&lt;&gt;"Yes",$BJ11&lt;&gt;"N/A"),"Device ID, ","")&amp;IF(AND($BK11&lt;&gt;"Yes",$BK11&lt;&gt;"N/A"),"Epic Beans Relay, ",""),LEN(IF(AND($AW11&lt;&gt;"Yes",$AW11&lt;&gt;"N/A"),"Power Cable, ","")&amp;IF(AND($AX11&lt;&gt;"Yes",$AX11&lt;&gt;"N/A"),"Battery, ","")&amp;IF(AND($BE11&lt;&gt;"Yes",$BE11&lt;&gt;"N/A"),"Firmware Download, ","")&amp;IF(AND(OR($BE11="Yes",$BE11="N/A"),$BF11&lt;&gt;"Yes",$BF11&lt;&gt;"N/A"),"Firmware Install, ","")&amp;IF(AND($BJ11&lt;&gt;"Yes",$BJ11&lt;&gt;"N/A"),"Device ID, ","")&amp;IF(AND($BK11&lt;&gt;"Yes",$BK11&lt;&gt;"N/A"),"Epic Beans Relay, ",""))-2)))</f>
      </c>
      <c r="BM11">
        <f>IF($T11="","",IF($BL11="","Yes","Blocked"))</f>
      </c>
      <c r="BP11">
        <f>IF($BO11="","",IFERROR(VLOOKUP($BO11,'01_Warehouse_Ledger'!$A:$N,4,FALSE),""))</f>
      </c>
      <c r="BQ11">
        <f>IF($BO11="","",IFERROR(VLOOKUP($BO11,'01_Warehouse_Ledger'!$A:$N,5,FALSE),""))</f>
      </c>
      <c r="BR11">
        <f>IF($BO11="","",IFERROR(VLOOKUP($BO11,'01_Warehouse_Ledger'!$A:$N,13,FALSE),""))</f>
      </c>
    </row>
    <row r="12">
      <c r="A12" t="s">
        <v>1331</v>
      </c>
      <c r="B12" t="s">
        <v>1727</v>
      </c>
      <c r="C12" t="s">
        <v>1727</v>
      </c>
      <c r="D12">
        <f>IF($B12&lt;&gt;"Yes","",IF($C12="No","Yes",IF($C12="Yes","No","")))</f>
      </c>
      <c r="E12">
        <f>IF($A12="","",IF($A12="Neuron",IF(OR(AND($S12&lt;&gt;"",LOWER(TRIM($S12))&lt;&gt;"n/a",COUNTIF($S$2:$S$532,$S12)&gt;1),AND($T12&lt;&gt;"",LOWER(TRIM($T12))&lt;&gt;"n/a",COUNTIF($T$2:$T$532,$T12)&gt;1),AND($W12&lt;&gt;"",LOWER(TRIM($W12))&lt;&gt;"n/a",COUNTIF($W$2:$W$532,$W12)&gt;1)),"Yes","No"),IF($A12="Cybernet",IF(OR(AND($Y12&lt;&gt;"",LOWER(TRIM($Y12))&lt;&gt;"n/a",COUNTIF($Y$2:$Y$532,$Y12)&gt;1),AND($Z12&lt;&gt;"",LOWER(TRIM($Z12))&lt;&gt;"n/a",COUNTIF($Z$2:$Z$532,$Z12)&gt;1)),"Yes","No"),IF(AND($AL12&lt;&gt;"",LOWER(TRIM($AL12))&lt;&gt;"n/a",COUNTIF($AL$2:$AL$532,$AL12)&gt;1),"Yes","No"))))</f>
      </c>
      <c r="F12">
        <f>IF($B12&lt;&gt;"Yes","",
IF($A12="Neuron",
IF(OR(
AND($S12&lt;&gt;"",LOWER(TRIM($S12))&lt;&gt;"n/a",COUNTIFS($B$2:$B$532,"Yes",$A$2:$A$532,"Neuron",$S$2:$S$532,$S12)&gt;1),
AND($T12&lt;&gt;"",LOWER(TRIM($T12))&lt;&gt;"n/a",COUNTIFS($B$2:$B$532,"Yes",$A$2:$A$532,"Neuron",$T$2:$T$532,$T12)&gt;1),
AND($W12&lt;&gt;"",LOWER(TRIM($W12))&lt;&gt;"n/a",COUNTIFS($B$2:$B$532,"Yes",$A$2:$A$532,"Neuron",$W$2:$W$532,$W12)&gt;1)
),"Yes","No"),
IF($A12="Cybernet",
IF(OR(
AND($Y12&lt;&gt;"",LOWER(TRIM($Y12))&lt;&gt;"n/a",COUNTIFS($B$2:$B$532,"Yes",$A$2:$A$532,"Cybernet",$Y$2:$Y$532,$Y12)&gt;1),
AND($Z12&lt;&gt;"",LOWER(TRIM($Z12))&lt;&gt;"n/a",COUNTIFS($B$2:$B$532,"Yes",$A$2:$A$532,"Cybernet",$Z$2:$Z$532,$Z12)&gt;1)
),"Yes","No"),
IF(AND($AL12&lt;&gt;"",LOWER(TRIM($AL12))&lt;&gt;"n/a"),
IF(COUNTIFS($B$2:$B$532,"Yes",$A$2:$A$532,$A12,$AL$2:$AL$532,$AL12)&gt;1,"Yes","No"),
"No")
)
)
)</f>
      </c>
      <c r="G12" t="s">
        <v>2089</v>
      </c>
      <c r="H12" t="s">
        <v>2089</v>
      </c>
      <c r="J12" t="s">
        <v>2115</v>
      </c>
      <c r="K12" t="s">
        <v>2115</v>
      </c>
      <c r="L12" t="s">
        <v>2115</v>
      </c>
      <c r="S12" t="s">
        <v>1672</v>
      </c>
      <c r="T12" t="s">
        <v>2386</v>
      </c>
      <c r="U12" t="s">
        <v>1815</v>
      </c>
      <c r="V12" t="s">
        <v>1727</v>
      </c>
      <c r="W12" t="s">
        <v>2300</v>
      </c>
      <c r="X12" t="s">
        <v>1707</v>
      </c>
      <c r="Y12" t="s">
        <v>1380</v>
      </c>
      <c r="AA12" t="s">
        <v>1867</v>
      </c>
      <c r="AC12" t="s">
        <v>1968</v>
      </c>
      <c r="AD12" t="s">
        <v>1380</v>
      </c>
      <c r="AF12" t="s">
        <v>2257</v>
      </c>
      <c r="AG12" t="s">
        <v>1999</v>
      </c>
      <c r="AH12">
        <v>11</v>
      </c>
      <c r="AI12" t="s">
        <v>1817</v>
      </c>
      <c r="AJ12" t="s">
        <v>2131</v>
      </c>
      <c r="AK12" t="s">
        <v>2361</v>
      </c>
      <c r="AL12" t="s">
        <v>1968</v>
      </c>
      <c r="AM12" t="s">
        <v>1335</v>
      </c>
      <c r="AR12" t="s">
        <v>1380</v>
      </c>
      <c r="AS12" t="s">
        <v>1991</v>
      </c>
      <c r="AT12" t="s">
        <v>1380</v>
      </c>
      <c r="AU12" t="s">
        <v>1380</v>
      </c>
      <c r="AV12" t="s">
        <v>1380</v>
      </c>
      <c r="AW12" t="s">
        <v>1727</v>
      </c>
      <c r="AX12" t="s">
        <v>1727</v>
      </c>
      <c r="BA12">
        <v>46027.0</v>
      </c>
      <c r="BB12" t="s">
        <v>1727</v>
      </c>
      <c r="BC12" t="s">
        <v>1691</v>
      </c>
      <c r="BD12" t="s">
        <v>2151</v>
      </c>
      <c r="BE12" t="s">
        <v>1727</v>
      </c>
      <c r="BF12" t="s">
        <v>1727</v>
      </c>
      <c r="BG12" t="s">
        <v>1727</v>
      </c>
      <c r="BH12" t="s">
        <v>1727</v>
      </c>
      <c r="BJ12" t="s">
        <v>1727</v>
      </c>
      <c r="BK12" t="s">
        <v>1657</v>
      </c>
      <c r="BL12">
        <f>IF($T12="","",IF((IF(AND($AW12&lt;&gt;"Yes",$AW12&lt;&gt;"N/A"),"Power Cable, ","")&amp;IF(AND($AX12&lt;&gt;"Yes",$AX12&lt;&gt;"N/A"),"Battery, ","")&amp;IF(AND($BE12&lt;&gt;"Yes",$BE12&lt;&gt;"N/A"),"Firmware Download, ","")&amp;IF(AND(OR($BE12="Yes",$BE12="N/A"),$BF12&lt;&gt;"Yes",$BF12&lt;&gt;"N/A"),"Firmware Install, ","")&amp;IF(AND($BJ12&lt;&gt;"Yes",$BJ12&lt;&gt;"N/A"),"Device ID, ","")&amp;IF(AND($BK12&lt;&gt;"Yes",$BK12&lt;&gt;"N/A"),"Epic Beans Relay, ",""))="","",LEFT(IF(AND($AW12&lt;&gt;"Yes",$AW12&lt;&gt;"N/A"),"Power Cable, ","")&amp;IF(AND($AX12&lt;&gt;"Yes",$AX12&lt;&gt;"N/A"),"Battery, ","")&amp;IF(AND($BE12&lt;&gt;"Yes",$BE12&lt;&gt;"N/A"),"Firmware Download, ","")&amp;IF(AND(OR($BE12="Yes",$BE12="N/A"),$BF12&lt;&gt;"Yes",$BF12&lt;&gt;"N/A"),"Firmware Install, ","")&amp;IF(AND($BJ12&lt;&gt;"Yes",$BJ12&lt;&gt;"N/A"),"Device ID, ","")&amp;IF(AND($BK12&lt;&gt;"Yes",$BK12&lt;&gt;"N/A"),"Epic Beans Relay, ",""),LEN(IF(AND($AW12&lt;&gt;"Yes",$AW12&lt;&gt;"N/A"),"Power Cable, ","")&amp;IF(AND($AX12&lt;&gt;"Yes",$AX12&lt;&gt;"N/A"),"Battery, ","")&amp;IF(AND($BE12&lt;&gt;"Yes",$BE12&lt;&gt;"N/A"),"Firmware Download, ","")&amp;IF(AND(OR($BE12="Yes",$BE12="N/A"),$BF12&lt;&gt;"Yes",$BF12&lt;&gt;"N/A"),"Firmware Install, ","")&amp;IF(AND($BJ12&lt;&gt;"Yes",$BJ12&lt;&gt;"N/A"),"Device ID, ","")&amp;IF(AND($BK12&lt;&gt;"Yes",$BK12&lt;&gt;"N/A"),"Epic Beans Relay, ",""))-2)))</f>
      </c>
      <c r="BM12">
        <f>IF($T12="","",IF($BL12="","Yes","Blocked"))</f>
      </c>
      <c r="BP12">
        <f>IF($BO12="","",IFERROR(VLOOKUP($BO12,'01_Warehouse_Ledger'!$A:$N,4,FALSE),""))</f>
      </c>
      <c r="BQ12">
        <f>IF($BO12="","",IFERROR(VLOOKUP($BO12,'01_Warehouse_Ledger'!$A:$N,5,FALSE),""))</f>
      </c>
      <c r="BR12">
        <f>IF($BO12="","",IFERROR(VLOOKUP($BO12,'01_Warehouse_Ledger'!$A:$N,13,FALSE),""))</f>
      </c>
    </row>
    <row r="13">
      <c r="A13" t="s">
        <v>1331</v>
      </c>
      <c r="B13" t="s">
        <v>1727</v>
      </c>
      <c r="C13" t="s">
        <v>1727</v>
      </c>
      <c r="D13">
        <f>IF($B13&lt;&gt;"Yes","",IF($C13="No","Yes",IF($C13="Yes","No","")))</f>
      </c>
      <c r="E13">
        <f>IF($A13="","",IF($A13="Neuron",IF(OR(AND($S13&lt;&gt;"",LOWER(TRIM($S13))&lt;&gt;"n/a",COUNTIF($S$2:$S$532,$S13)&gt;1),AND($T13&lt;&gt;"",LOWER(TRIM($T13))&lt;&gt;"n/a",COUNTIF($T$2:$T$532,$T13)&gt;1),AND($W13&lt;&gt;"",LOWER(TRIM($W13))&lt;&gt;"n/a",COUNTIF($W$2:$W$532,$W13)&gt;1)),"Yes","No"),IF($A13="Cybernet",IF(OR(AND($Y13&lt;&gt;"",LOWER(TRIM($Y13))&lt;&gt;"n/a",COUNTIF($Y$2:$Y$532,$Y13)&gt;1),AND($Z13&lt;&gt;"",LOWER(TRIM($Z13))&lt;&gt;"n/a",COUNTIF($Z$2:$Z$532,$Z13)&gt;1)),"Yes","No"),IF(AND($AL13&lt;&gt;"",LOWER(TRIM($AL13))&lt;&gt;"n/a",COUNTIF($AL$2:$AL$532,$AL13)&gt;1),"Yes","No"))))</f>
      </c>
      <c r="F13">
        <f>IF($B13&lt;&gt;"Yes","",
IF($A13="Neuron",
IF(OR(
AND($S13&lt;&gt;"",LOWER(TRIM($S13))&lt;&gt;"n/a",COUNTIFS($B$2:$B$532,"Yes",$A$2:$A$532,"Neuron",$S$2:$S$532,$S13)&gt;1),
AND($T13&lt;&gt;"",LOWER(TRIM($T13))&lt;&gt;"n/a",COUNTIFS($B$2:$B$532,"Yes",$A$2:$A$532,"Neuron",$T$2:$T$532,$T13)&gt;1),
AND($W13&lt;&gt;"",LOWER(TRIM($W13))&lt;&gt;"n/a",COUNTIFS($B$2:$B$532,"Yes",$A$2:$A$532,"Neuron",$W$2:$W$532,$W13)&gt;1)
),"Yes","No"),
IF($A13="Cybernet",
IF(OR(
AND($Y13&lt;&gt;"",LOWER(TRIM($Y13))&lt;&gt;"n/a",COUNTIFS($B$2:$B$532,"Yes",$A$2:$A$532,"Cybernet",$Y$2:$Y$532,$Y13)&gt;1),
AND($Z13&lt;&gt;"",LOWER(TRIM($Z13))&lt;&gt;"n/a",COUNTIFS($B$2:$B$532,"Yes",$A$2:$A$532,"Cybernet",$Z$2:$Z$532,$Z13)&gt;1)
),"Yes","No"),
IF(AND($AL13&lt;&gt;"",LOWER(TRIM($AL13))&lt;&gt;"n/a"),
IF(COUNTIFS($B$2:$B$532,"Yes",$A$2:$A$532,$A13,$AL$2:$AL$532,$AL13)&gt;1,"Yes","No"),
"No")
)
)
)</f>
      </c>
      <c r="G13" t="s">
        <v>2089</v>
      </c>
      <c r="H13" t="s">
        <v>2089</v>
      </c>
      <c r="J13" t="s">
        <v>2115</v>
      </c>
      <c r="K13" t="s">
        <v>2115</v>
      </c>
      <c r="L13" t="s">
        <v>2115</v>
      </c>
      <c r="S13" t="s">
        <v>1835</v>
      </c>
      <c r="T13" t="s">
        <v>2030</v>
      </c>
      <c r="U13" t="s">
        <v>2385</v>
      </c>
      <c r="V13" t="s">
        <v>1727</v>
      </c>
      <c r="W13" t="s">
        <v>2133</v>
      </c>
      <c r="X13" t="s">
        <v>1707</v>
      </c>
      <c r="Y13" t="s">
        <v>1380</v>
      </c>
      <c r="AA13" t="s">
        <v>1867</v>
      </c>
      <c r="AC13" t="s">
        <v>1666</v>
      </c>
      <c r="AD13" t="s">
        <v>1380</v>
      </c>
      <c r="AF13" t="s">
        <v>2257</v>
      </c>
      <c r="AG13" t="s">
        <v>1999</v>
      </c>
      <c r="AH13">
        <v>12</v>
      </c>
      <c r="AI13" t="s">
        <v>2194</v>
      </c>
      <c r="AJ13" t="s">
        <v>2131</v>
      </c>
      <c r="AK13" t="s">
        <v>2361</v>
      </c>
      <c r="AL13" t="s">
        <v>1666</v>
      </c>
      <c r="AM13" t="s">
        <v>1335</v>
      </c>
      <c r="AR13" t="s">
        <v>1380</v>
      </c>
      <c r="AS13" t="s">
        <v>1991</v>
      </c>
      <c r="AT13" t="s">
        <v>1380</v>
      </c>
      <c r="AU13" t="s">
        <v>1380</v>
      </c>
      <c r="AV13" t="s">
        <v>1380</v>
      </c>
      <c r="AW13" t="s">
        <v>1727</v>
      </c>
      <c r="AX13" t="s">
        <v>1727</v>
      </c>
      <c r="BA13">
        <v>46027.0</v>
      </c>
      <c r="BB13" t="s">
        <v>1727</v>
      </c>
      <c r="BD13" t="s">
        <v>2151</v>
      </c>
      <c r="BE13" t="s">
        <v>1727</v>
      </c>
      <c r="BF13" t="s">
        <v>1727</v>
      </c>
      <c r="BG13" t="s">
        <v>1727</v>
      </c>
      <c r="BH13" t="s">
        <v>1727</v>
      </c>
      <c r="BJ13" t="s">
        <v>1727</v>
      </c>
      <c r="BK13" t="s">
        <v>1657</v>
      </c>
      <c r="BL13">
        <f>IF($T13="","",IF((IF(AND($AW13&lt;&gt;"Yes",$AW13&lt;&gt;"N/A"),"Power Cable, ","")&amp;IF(AND($AX13&lt;&gt;"Yes",$AX13&lt;&gt;"N/A"),"Battery, ","")&amp;IF(AND($BE13&lt;&gt;"Yes",$BE13&lt;&gt;"N/A"),"Firmware Download, ","")&amp;IF(AND(OR($BE13="Yes",$BE13="N/A"),$BF13&lt;&gt;"Yes",$BF13&lt;&gt;"N/A"),"Firmware Install, ","")&amp;IF(AND($BJ13&lt;&gt;"Yes",$BJ13&lt;&gt;"N/A"),"Device ID, ","")&amp;IF(AND($BK13&lt;&gt;"Yes",$BK13&lt;&gt;"N/A"),"Epic Beans Relay, ",""))="","",LEFT(IF(AND($AW13&lt;&gt;"Yes",$AW13&lt;&gt;"N/A"),"Power Cable, ","")&amp;IF(AND($AX13&lt;&gt;"Yes",$AX13&lt;&gt;"N/A"),"Battery, ","")&amp;IF(AND($BE13&lt;&gt;"Yes",$BE13&lt;&gt;"N/A"),"Firmware Download, ","")&amp;IF(AND(OR($BE13="Yes",$BE13="N/A"),$BF13&lt;&gt;"Yes",$BF13&lt;&gt;"N/A"),"Firmware Install, ","")&amp;IF(AND($BJ13&lt;&gt;"Yes",$BJ13&lt;&gt;"N/A"),"Device ID, ","")&amp;IF(AND($BK13&lt;&gt;"Yes",$BK13&lt;&gt;"N/A"),"Epic Beans Relay, ",""),LEN(IF(AND($AW13&lt;&gt;"Yes",$AW13&lt;&gt;"N/A"),"Power Cable, ","")&amp;IF(AND($AX13&lt;&gt;"Yes",$AX13&lt;&gt;"N/A"),"Battery, ","")&amp;IF(AND($BE13&lt;&gt;"Yes",$BE13&lt;&gt;"N/A"),"Firmware Download, ","")&amp;IF(AND(OR($BE13="Yes",$BE13="N/A"),$BF13&lt;&gt;"Yes",$BF13&lt;&gt;"N/A"),"Firmware Install, ","")&amp;IF(AND($BJ13&lt;&gt;"Yes",$BJ13&lt;&gt;"N/A"),"Device ID, ","")&amp;IF(AND($BK13&lt;&gt;"Yes",$BK13&lt;&gt;"N/A"),"Epic Beans Relay, ",""))-2)))</f>
      </c>
      <c r="BM13">
        <f>IF($T13="","",IF($BL13="","Yes","Blocked"))</f>
      </c>
      <c r="BP13">
        <f>IF($BO13="","",IFERROR(VLOOKUP($BO13,'01_Warehouse_Ledger'!$A:$N,4,FALSE),""))</f>
      </c>
      <c r="BQ13">
        <f>IF($BO13="","",IFERROR(VLOOKUP($BO13,'01_Warehouse_Ledger'!$A:$N,5,FALSE),""))</f>
      </c>
      <c r="BR13">
        <f>IF($BO13="","",IFERROR(VLOOKUP($BO13,'01_Warehouse_Ledger'!$A:$N,13,FALSE),""))</f>
      </c>
    </row>
    <row r="14">
      <c r="A14" t="s">
        <v>1331</v>
      </c>
      <c r="B14" t="s">
        <v>1727</v>
      </c>
      <c r="C14" t="s">
        <v>1727</v>
      </c>
      <c r="D14">
        <f>IF($B14&lt;&gt;"Yes","",IF($C14="No","Yes",IF($C14="Yes","No","")))</f>
      </c>
      <c r="E14">
        <f>IF($A14="","",IF($A14="Neuron",IF(OR(AND($S14&lt;&gt;"",LOWER(TRIM($S14))&lt;&gt;"n/a",COUNTIF($S$2:$S$532,$S14)&gt;1),AND($T14&lt;&gt;"",LOWER(TRIM($T14))&lt;&gt;"n/a",COUNTIF($T$2:$T$532,$T14)&gt;1),AND($W14&lt;&gt;"",LOWER(TRIM($W14))&lt;&gt;"n/a",COUNTIF($W$2:$W$532,$W14)&gt;1)),"Yes","No"),IF($A14="Cybernet",IF(OR(AND($Y14&lt;&gt;"",LOWER(TRIM($Y14))&lt;&gt;"n/a",COUNTIF($Y$2:$Y$532,$Y14)&gt;1),AND($Z14&lt;&gt;"",LOWER(TRIM($Z14))&lt;&gt;"n/a",COUNTIF($Z$2:$Z$532,$Z14)&gt;1)),"Yes","No"),IF(AND($AL14&lt;&gt;"",LOWER(TRIM($AL14))&lt;&gt;"n/a",COUNTIF($AL$2:$AL$532,$AL14)&gt;1),"Yes","No"))))</f>
      </c>
      <c r="F14">
        <f>IF($B14&lt;&gt;"Yes","",
IF($A14="Neuron",
IF(OR(
AND($S14&lt;&gt;"",LOWER(TRIM($S14))&lt;&gt;"n/a",COUNTIFS($B$2:$B$532,"Yes",$A$2:$A$532,"Neuron",$S$2:$S$532,$S14)&gt;1),
AND($T14&lt;&gt;"",LOWER(TRIM($T14))&lt;&gt;"n/a",COUNTIFS($B$2:$B$532,"Yes",$A$2:$A$532,"Neuron",$T$2:$T$532,$T14)&gt;1),
AND($W14&lt;&gt;"",LOWER(TRIM($W14))&lt;&gt;"n/a",COUNTIFS($B$2:$B$532,"Yes",$A$2:$A$532,"Neuron",$W$2:$W$532,$W14)&gt;1)
),"Yes","No"),
IF($A14="Cybernet",
IF(OR(
AND($Y14&lt;&gt;"",LOWER(TRIM($Y14))&lt;&gt;"n/a",COUNTIFS($B$2:$B$532,"Yes",$A$2:$A$532,"Cybernet",$Y$2:$Y$532,$Y14)&gt;1),
AND($Z14&lt;&gt;"",LOWER(TRIM($Z14))&lt;&gt;"n/a",COUNTIFS($B$2:$B$532,"Yes",$A$2:$A$532,"Cybernet",$Z$2:$Z$532,$Z14)&gt;1)
),"Yes","No"),
IF(AND($AL14&lt;&gt;"",LOWER(TRIM($AL14))&lt;&gt;"n/a"),
IF(COUNTIFS($B$2:$B$532,"Yes",$A$2:$A$532,$A14,$AL$2:$AL$532,$AL14)&gt;1,"Yes","No"),
"No")
)
)
)</f>
      </c>
      <c r="G14" t="s">
        <v>2089</v>
      </c>
      <c r="H14" t="s">
        <v>2089</v>
      </c>
      <c r="J14" t="s">
        <v>2115</v>
      </c>
      <c r="K14" t="s">
        <v>2115</v>
      </c>
      <c r="L14" t="s">
        <v>2115</v>
      </c>
      <c r="S14" t="s">
        <v>1843</v>
      </c>
      <c r="T14" t="s">
        <v>1635</v>
      </c>
      <c r="U14" t="s">
        <v>1882</v>
      </c>
      <c r="V14" t="s">
        <v>1727</v>
      </c>
      <c r="W14" t="s">
        <v>2256</v>
      </c>
      <c r="X14" t="s">
        <v>1707</v>
      </c>
      <c r="Y14" t="s">
        <v>1380</v>
      </c>
      <c r="AA14" t="s">
        <v>1867</v>
      </c>
      <c r="AC14" t="s">
        <v>2254</v>
      </c>
      <c r="AD14" t="s">
        <v>1380</v>
      </c>
      <c r="AF14" t="s">
        <v>2257</v>
      </c>
      <c r="AG14" t="s">
        <v>1999</v>
      </c>
      <c r="AH14">
        <v>13</v>
      </c>
      <c r="AI14" t="s">
        <v>2001</v>
      </c>
      <c r="AJ14" t="s">
        <v>2131</v>
      </c>
      <c r="AK14" t="s">
        <v>2361</v>
      </c>
      <c r="AL14" t="s">
        <v>2254</v>
      </c>
      <c r="AM14" t="s">
        <v>1335</v>
      </c>
      <c r="AR14" t="s">
        <v>1380</v>
      </c>
      <c r="AS14" t="s">
        <v>1991</v>
      </c>
      <c r="AT14" t="s">
        <v>1380</v>
      </c>
      <c r="AU14" t="s">
        <v>1380</v>
      </c>
      <c r="AV14" t="s">
        <v>1380</v>
      </c>
      <c r="AW14" t="s">
        <v>1727</v>
      </c>
      <c r="AX14" t="s">
        <v>1727</v>
      </c>
      <c r="BA14">
        <v>46027.0</v>
      </c>
      <c r="BB14" t="s">
        <v>1727</v>
      </c>
      <c r="BD14" t="s">
        <v>2151</v>
      </c>
      <c r="BE14" t="s">
        <v>1727</v>
      </c>
      <c r="BF14" t="s">
        <v>1727</v>
      </c>
      <c r="BG14" t="s">
        <v>1727</v>
      </c>
      <c r="BH14" t="s">
        <v>1727</v>
      </c>
      <c r="BJ14" t="s">
        <v>1727</v>
      </c>
      <c r="BK14" t="s">
        <v>1657</v>
      </c>
      <c r="BL14">
        <f>IF($T14="","",IF((IF(AND($AW14&lt;&gt;"Yes",$AW14&lt;&gt;"N/A"),"Power Cable, ","")&amp;IF(AND($AX14&lt;&gt;"Yes",$AX14&lt;&gt;"N/A"),"Battery, ","")&amp;IF(AND($BE14&lt;&gt;"Yes",$BE14&lt;&gt;"N/A"),"Firmware Download, ","")&amp;IF(AND(OR($BE14="Yes",$BE14="N/A"),$BF14&lt;&gt;"Yes",$BF14&lt;&gt;"N/A"),"Firmware Install, ","")&amp;IF(AND($BJ14&lt;&gt;"Yes",$BJ14&lt;&gt;"N/A"),"Device ID, ","")&amp;IF(AND($BK14&lt;&gt;"Yes",$BK14&lt;&gt;"N/A"),"Epic Beans Relay, ",""))="","",LEFT(IF(AND($AW14&lt;&gt;"Yes",$AW14&lt;&gt;"N/A"),"Power Cable, ","")&amp;IF(AND($AX14&lt;&gt;"Yes",$AX14&lt;&gt;"N/A"),"Battery, ","")&amp;IF(AND($BE14&lt;&gt;"Yes",$BE14&lt;&gt;"N/A"),"Firmware Download, ","")&amp;IF(AND(OR($BE14="Yes",$BE14="N/A"),$BF14&lt;&gt;"Yes",$BF14&lt;&gt;"N/A"),"Firmware Install, ","")&amp;IF(AND($BJ14&lt;&gt;"Yes",$BJ14&lt;&gt;"N/A"),"Device ID, ","")&amp;IF(AND($BK14&lt;&gt;"Yes",$BK14&lt;&gt;"N/A"),"Epic Beans Relay, ",""),LEN(IF(AND($AW14&lt;&gt;"Yes",$AW14&lt;&gt;"N/A"),"Power Cable, ","")&amp;IF(AND($AX14&lt;&gt;"Yes",$AX14&lt;&gt;"N/A"),"Battery, ","")&amp;IF(AND($BE14&lt;&gt;"Yes",$BE14&lt;&gt;"N/A"),"Firmware Download, ","")&amp;IF(AND(OR($BE14="Yes",$BE14="N/A"),$BF14&lt;&gt;"Yes",$BF14&lt;&gt;"N/A"),"Firmware Install, ","")&amp;IF(AND($BJ14&lt;&gt;"Yes",$BJ14&lt;&gt;"N/A"),"Device ID, ","")&amp;IF(AND($BK14&lt;&gt;"Yes",$BK14&lt;&gt;"N/A"),"Epic Beans Relay, ",""))-2)))</f>
      </c>
      <c r="BM14">
        <f>IF($T14="","",IF($BL14="","Yes","Blocked"))</f>
      </c>
      <c r="BP14">
        <f>IF($BO14="","",IFERROR(VLOOKUP($BO14,'01_Warehouse_Ledger'!$A:$N,4,FALSE),""))</f>
      </c>
      <c r="BQ14">
        <f>IF($BO14="","",IFERROR(VLOOKUP($BO14,'01_Warehouse_Ledger'!$A:$N,5,FALSE),""))</f>
      </c>
      <c r="BR14">
        <f>IF($BO14="","",IFERROR(VLOOKUP($BO14,'01_Warehouse_Ledger'!$A:$N,13,FALSE),""))</f>
      </c>
    </row>
    <row r="15">
      <c r="A15" t="s">
        <v>1331</v>
      </c>
      <c r="B15" t="s">
        <v>1727</v>
      </c>
      <c r="C15" t="s">
        <v>1727</v>
      </c>
      <c r="D15">
        <f>IF($B15&lt;&gt;"Yes","",IF($C15="No","Yes",IF($C15="Yes","No","")))</f>
      </c>
      <c r="E15">
        <f>IF($A15="","",IF($A15="Neuron",IF(OR(AND($S15&lt;&gt;"",LOWER(TRIM($S15))&lt;&gt;"n/a",COUNTIF($S$2:$S$532,$S15)&gt;1),AND($T15&lt;&gt;"",LOWER(TRIM($T15))&lt;&gt;"n/a",COUNTIF($T$2:$T$532,$T15)&gt;1),AND($W15&lt;&gt;"",LOWER(TRIM($W15))&lt;&gt;"n/a",COUNTIF($W$2:$W$532,$W15)&gt;1)),"Yes","No"),IF($A15="Cybernet",IF(OR(AND($Y15&lt;&gt;"",LOWER(TRIM($Y15))&lt;&gt;"n/a",COUNTIF($Y$2:$Y$532,$Y15)&gt;1),AND($Z15&lt;&gt;"",LOWER(TRIM($Z15))&lt;&gt;"n/a",COUNTIF($Z$2:$Z$532,$Z15)&gt;1)),"Yes","No"),IF(AND($AL15&lt;&gt;"",LOWER(TRIM($AL15))&lt;&gt;"n/a",COUNTIF($AL$2:$AL$532,$AL15)&gt;1),"Yes","No"))))</f>
      </c>
      <c r="F15">
        <f>IF($B15&lt;&gt;"Yes","",
IF($A15="Neuron",
IF(OR(
AND($S15&lt;&gt;"",LOWER(TRIM($S15))&lt;&gt;"n/a",COUNTIFS($B$2:$B$532,"Yes",$A$2:$A$532,"Neuron",$S$2:$S$532,$S15)&gt;1),
AND($T15&lt;&gt;"",LOWER(TRIM($T15))&lt;&gt;"n/a",COUNTIFS($B$2:$B$532,"Yes",$A$2:$A$532,"Neuron",$T$2:$T$532,$T15)&gt;1),
AND($W15&lt;&gt;"",LOWER(TRIM($W15))&lt;&gt;"n/a",COUNTIFS($B$2:$B$532,"Yes",$A$2:$A$532,"Neuron",$W$2:$W$532,$W15)&gt;1)
),"Yes","No"),
IF($A15="Cybernet",
IF(OR(
AND($Y15&lt;&gt;"",LOWER(TRIM($Y15))&lt;&gt;"n/a",COUNTIFS($B$2:$B$532,"Yes",$A$2:$A$532,"Cybernet",$Y$2:$Y$532,$Y15)&gt;1),
AND($Z15&lt;&gt;"",LOWER(TRIM($Z15))&lt;&gt;"n/a",COUNTIFS($B$2:$B$532,"Yes",$A$2:$A$532,"Cybernet",$Z$2:$Z$532,$Z15)&gt;1)
),"Yes","No"),
IF(AND($AL15&lt;&gt;"",LOWER(TRIM($AL15))&lt;&gt;"n/a"),
IF(COUNTIFS($B$2:$B$532,"Yes",$A$2:$A$532,$A15,$AL$2:$AL$532,$AL15)&gt;1,"Yes","No"),
"No")
)
)
)</f>
      </c>
      <c r="G15" t="s">
        <v>2089</v>
      </c>
      <c r="H15" t="s">
        <v>2089</v>
      </c>
      <c r="J15" t="s">
        <v>2115</v>
      </c>
      <c r="K15" t="s">
        <v>2115</v>
      </c>
      <c r="L15" t="s">
        <v>2115</v>
      </c>
      <c r="S15" t="s">
        <v>1686</v>
      </c>
      <c r="T15" t="s">
        <v>2234</v>
      </c>
      <c r="U15" t="s">
        <v>2341</v>
      </c>
      <c r="V15" t="s">
        <v>1727</v>
      </c>
      <c r="W15" t="s">
        <v>2280</v>
      </c>
      <c r="X15" t="s">
        <v>1707</v>
      </c>
      <c r="Y15" t="s">
        <v>1380</v>
      </c>
      <c r="AA15" t="s">
        <v>1867</v>
      </c>
      <c r="AC15" t="s">
        <v>2134</v>
      </c>
      <c r="AD15" t="s">
        <v>1380</v>
      </c>
      <c r="AF15" t="s">
        <v>2257</v>
      </c>
      <c r="AG15" t="s">
        <v>1999</v>
      </c>
      <c r="AH15">
        <v>14</v>
      </c>
      <c r="AI15" t="s">
        <v>1952</v>
      </c>
      <c r="AJ15" t="s">
        <v>2131</v>
      </c>
      <c r="AK15" t="s">
        <v>2361</v>
      </c>
      <c r="AL15" t="s">
        <v>2134</v>
      </c>
      <c r="AM15" t="s">
        <v>1335</v>
      </c>
      <c r="AR15" t="s">
        <v>1380</v>
      </c>
      <c r="AS15" t="s">
        <v>1991</v>
      </c>
      <c r="AT15" t="s">
        <v>1380</v>
      </c>
      <c r="AU15" t="s">
        <v>1380</v>
      </c>
      <c r="AV15" t="s">
        <v>1380</v>
      </c>
      <c r="AW15" t="s">
        <v>1727</v>
      </c>
      <c r="AX15" t="s">
        <v>1727</v>
      </c>
      <c r="BA15">
        <v>46027.0</v>
      </c>
      <c r="BB15" t="s">
        <v>1727</v>
      </c>
      <c r="BD15" t="s">
        <v>2151</v>
      </c>
      <c r="BE15" t="s">
        <v>1727</v>
      </c>
      <c r="BF15" t="s">
        <v>1727</v>
      </c>
      <c r="BG15" t="s">
        <v>1727</v>
      </c>
      <c r="BH15" t="s">
        <v>1727</v>
      </c>
      <c r="BJ15" t="s">
        <v>1727</v>
      </c>
      <c r="BK15" t="s">
        <v>1657</v>
      </c>
      <c r="BL15">
        <f>IF($T15="","",IF((IF(AND($AW15&lt;&gt;"Yes",$AW15&lt;&gt;"N/A"),"Power Cable, ","")&amp;IF(AND($AX15&lt;&gt;"Yes",$AX15&lt;&gt;"N/A"),"Battery, ","")&amp;IF(AND($BE15&lt;&gt;"Yes",$BE15&lt;&gt;"N/A"),"Firmware Download, ","")&amp;IF(AND(OR($BE15="Yes",$BE15="N/A"),$BF15&lt;&gt;"Yes",$BF15&lt;&gt;"N/A"),"Firmware Install, ","")&amp;IF(AND($BJ15&lt;&gt;"Yes",$BJ15&lt;&gt;"N/A"),"Device ID, ","")&amp;IF(AND($BK15&lt;&gt;"Yes",$BK15&lt;&gt;"N/A"),"Epic Beans Relay, ",""))="","",LEFT(IF(AND($AW15&lt;&gt;"Yes",$AW15&lt;&gt;"N/A"),"Power Cable, ","")&amp;IF(AND($AX15&lt;&gt;"Yes",$AX15&lt;&gt;"N/A"),"Battery, ","")&amp;IF(AND($BE15&lt;&gt;"Yes",$BE15&lt;&gt;"N/A"),"Firmware Download, ","")&amp;IF(AND(OR($BE15="Yes",$BE15="N/A"),$BF15&lt;&gt;"Yes",$BF15&lt;&gt;"N/A"),"Firmware Install, ","")&amp;IF(AND($BJ15&lt;&gt;"Yes",$BJ15&lt;&gt;"N/A"),"Device ID, ","")&amp;IF(AND($BK15&lt;&gt;"Yes",$BK15&lt;&gt;"N/A"),"Epic Beans Relay, ",""),LEN(IF(AND($AW15&lt;&gt;"Yes",$AW15&lt;&gt;"N/A"),"Power Cable, ","")&amp;IF(AND($AX15&lt;&gt;"Yes",$AX15&lt;&gt;"N/A"),"Battery, ","")&amp;IF(AND($BE15&lt;&gt;"Yes",$BE15&lt;&gt;"N/A"),"Firmware Download, ","")&amp;IF(AND(OR($BE15="Yes",$BE15="N/A"),$BF15&lt;&gt;"Yes",$BF15&lt;&gt;"N/A"),"Firmware Install, ","")&amp;IF(AND($BJ15&lt;&gt;"Yes",$BJ15&lt;&gt;"N/A"),"Device ID, ","")&amp;IF(AND($BK15&lt;&gt;"Yes",$BK15&lt;&gt;"N/A"),"Epic Beans Relay, ",""))-2)))</f>
      </c>
      <c r="BM15">
        <f>IF($T15="","",IF($BL15="","Yes","Blocked"))</f>
      </c>
      <c r="BP15">
        <f>IF($BO15="","",IFERROR(VLOOKUP($BO15,'01_Warehouse_Ledger'!$A:$N,4,FALSE),""))</f>
      </c>
      <c r="BQ15">
        <f>IF($BO15="","",IFERROR(VLOOKUP($BO15,'01_Warehouse_Ledger'!$A:$N,5,FALSE),""))</f>
      </c>
      <c r="BR15">
        <f>IF($BO15="","",IFERROR(VLOOKUP($BO15,'01_Warehouse_Ledger'!$A:$N,13,FALSE),""))</f>
      </c>
    </row>
    <row r="16">
      <c r="A16" t="s">
        <v>1331</v>
      </c>
      <c r="B16" t="s">
        <v>1727</v>
      </c>
      <c r="C16" t="s">
        <v>1727</v>
      </c>
      <c r="D16">
        <f>IF($B16&lt;&gt;"Yes","",IF($C16="No","Yes",IF($C16="Yes","No","")))</f>
      </c>
      <c r="E16">
        <f>IF($A16="","",IF($A16="Neuron",IF(OR(AND($S16&lt;&gt;"",LOWER(TRIM($S16))&lt;&gt;"n/a",COUNTIF($S$2:$S$532,$S16)&gt;1),AND($T16&lt;&gt;"",LOWER(TRIM($T16))&lt;&gt;"n/a",COUNTIF($T$2:$T$532,$T16)&gt;1),AND($W16&lt;&gt;"",LOWER(TRIM($W16))&lt;&gt;"n/a",COUNTIF($W$2:$W$532,$W16)&gt;1)),"Yes","No"),IF($A16="Cybernet",IF(OR(AND($Y16&lt;&gt;"",LOWER(TRIM($Y16))&lt;&gt;"n/a",COUNTIF($Y$2:$Y$532,$Y16)&gt;1),AND($Z16&lt;&gt;"",LOWER(TRIM($Z16))&lt;&gt;"n/a",COUNTIF($Z$2:$Z$532,$Z16)&gt;1)),"Yes","No"),IF(AND($AL16&lt;&gt;"",LOWER(TRIM($AL16))&lt;&gt;"n/a",COUNTIF($AL$2:$AL$532,$AL16)&gt;1),"Yes","No"))))</f>
      </c>
      <c r="F16">
        <f>IF($B16&lt;&gt;"Yes","",
IF($A16="Neuron",
IF(OR(
AND($S16&lt;&gt;"",LOWER(TRIM($S16))&lt;&gt;"n/a",COUNTIFS($B$2:$B$532,"Yes",$A$2:$A$532,"Neuron",$S$2:$S$532,$S16)&gt;1),
AND($T16&lt;&gt;"",LOWER(TRIM($T16))&lt;&gt;"n/a",COUNTIFS($B$2:$B$532,"Yes",$A$2:$A$532,"Neuron",$T$2:$T$532,$T16)&gt;1),
AND($W16&lt;&gt;"",LOWER(TRIM($W16))&lt;&gt;"n/a",COUNTIFS($B$2:$B$532,"Yes",$A$2:$A$532,"Neuron",$W$2:$W$532,$W16)&gt;1)
),"Yes","No"),
IF($A16="Cybernet",
IF(OR(
AND($Y16&lt;&gt;"",LOWER(TRIM($Y16))&lt;&gt;"n/a",COUNTIFS($B$2:$B$532,"Yes",$A$2:$A$532,"Cybernet",$Y$2:$Y$532,$Y16)&gt;1),
AND($Z16&lt;&gt;"",LOWER(TRIM($Z16))&lt;&gt;"n/a",COUNTIFS($B$2:$B$532,"Yes",$A$2:$A$532,"Cybernet",$Z$2:$Z$532,$Z16)&gt;1)
),"Yes","No"),
IF(AND($AL16&lt;&gt;"",LOWER(TRIM($AL16))&lt;&gt;"n/a"),
IF(COUNTIFS($B$2:$B$532,"Yes",$A$2:$A$532,$A16,$AL$2:$AL$532,$AL16)&gt;1,"Yes","No"),
"No")
)
)
)</f>
      </c>
      <c r="G16" t="s">
        <v>2089</v>
      </c>
      <c r="H16" t="s">
        <v>2089</v>
      </c>
      <c r="J16" t="s">
        <v>2115</v>
      </c>
      <c r="K16" t="s">
        <v>2115</v>
      </c>
      <c r="L16" t="s">
        <v>2115</v>
      </c>
      <c r="S16" t="s">
        <v>1862</v>
      </c>
      <c r="T16" t="s">
        <v>2127</v>
      </c>
      <c r="U16" t="s">
        <v>2314</v>
      </c>
      <c r="V16" t="s">
        <v>1727</v>
      </c>
      <c r="W16" t="s">
        <v>2342</v>
      </c>
      <c r="X16" t="s">
        <v>1707</v>
      </c>
      <c r="Y16" t="s">
        <v>1380</v>
      </c>
      <c r="AA16" t="s">
        <v>1867</v>
      </c>
      <c r="AC16" t="s">
        <v>2009</v>
      </c>
      <c r="AD16" t="s">
        <v>1380</v>
      </c>
      <c r="AF16" t="s">
        <v>2257</v>
      </c>
      <c r="AG16" t="s">
        <v>1999</v>
      </c>
      <c r="AH16">
        <v>15</v>
      </c>
      <c r="AI16" t="s">
        <v>1994</v>
      </c>
      <c r="AJ16" t="s">
        <v>2131</v>
      </c>
      <c r="AK16" t="s">
        <v>2361</v>
      </c>
      <c r="AL16" t="s">
        <v>2009</v>
      </c>
      <c r="AM16" t="s">
        <v>1335</v>
      </c>
      <c r="AR16" t="s">
        <v>1380</v>
      </c>
      <c r="AS16" t="s">
        <v>1991</v>
      </c>
      <c r="AT16" t="s">
        <v>1380</v>
      </c>
      <c r="AU16" t="s">
        <v>1380</v>
      </c>
      <c r="AV16" t="s">
        <v>1380</v>
      </c>
      <c r="AW16" t="s">
        <v>1727</v>
      </c>
      <c r="AX16" t="s">
        <v>1727</v>
      </c>
      <c r="BA16">
        <v>46027.0</v>
      </c>
      <c r="BB16" t="s">
        <v>1727</v>
      </c>
      <c r="BD16" t="s">
        <v>2151</v>
      </c>
      <c r="BE16" t="s">
        <v>1727</v>
      </c>
      <c r="BF16" t="s">
        <v>1727</v>
      </c>
      <c r="BG16" t="s">
        <v>1727</v>
      </c>
      <c r="BH16" t="s">
        <v>1727</v>
      </c>
      <c r="BJ16" t="s">
        <v>1727</v>
      </c>
      <c r="BK16" t="s">
        <v>1657</v>
      </c>
      <c r="BL16">
        <f>IF($T16="","",IF((IF(AND($AW16&lt;&gt;"Yes",$AW16&lt;&gt;"N/A"),"Power Cable, ","")&amp;IF(AND($AX16&lt;&gt;"Yes",$AX16&lt;&gt;"N/A"),"Battery, ","")&amp;IF(AND($BE16&lt;&gt;"Yes",$BE16&lt;&gt;"N/A"),"Firmware Download, ","")&amp;IF(AND(OR($BE16="Yes",$BE16="N/A"),$BF16&lt;&gt;"Yes",$BF16&lt;&gt;"N/A"),"Firmware Install, ","")&amp;IF(AND($BJ16&lt;&gt;"Yes",$BJ16&lt;&gt;"N/A"),"Device ID, ","")&amp;IF(AND($BK16&lt;&gt;"Yes",$BK16&lt;&gt;"N/A"),"Epic Beans Relay, ",""))="","",LEFT(IF(AND($AW16&lt;&gt;"Yes",$AW16&lt;&gt;"N/A"),"Power Cable, ","")&amp;IF(AND($AX16&lt;&gt;"Yes",$AX16&lt;&gt;"N/A"),"Battery, ","")&amp;IF(AND($BE16&lt;&gt;"Yes",$BE16&lt;&gt;"N/A"),"Firmware Download, ","")&amp;IF(AND(OR($BE16="Yes",$BE16="N/A"),$BF16&lt;&gt;"Yes",$BF16&lt;&gt;"N/A"),"Firmware Install, ","")&amp;IF(AND($BJ16&lt;&gt;"Yes",$BJ16&lt;&gt;"N/A"),"Device ID, ","")&amp;IF(AND($BK16&lt;&gt;"Yes",$BK16&lt;&gt;"N/A"),"Epic Beans Relay, ",""),LEN(IF(AND($AW16&lt;&gt;"Yes",$AW16&lt;&gt;"N/A"),"Power Cable, ","")&amp;IF(AND($AX16&lt;&gt;"Yes",$AX16&lt;&gt;"N/A"),"Battery, ","")&amp;IF(AND($BE16&lt;&gt;"Yes",$BE16&lt;&gt;"N/A"),"Firmware Download, ","")&amp;IF(AND(OR($BE16="Yes",$BE16="N/A"),$BF16&lt;&gt;"Yes",$BF16&lt;&gt;"N/A"),"Firmware Install, ","")&amp;IF(AND($BJ16&lt;&gt;"Yes",$BJ16&lt;&gt;"N/A"),"Device ID, ","")&amp;IF(AND($BK16&lt;&gt;"Yes",$BK16&lt;&gt;"N/A"),"Epic Beans Relay, ",""))-2)))</f>
      </c>
      <c r="BM16">
        <f>IF($T16="","",IF($BL16="","Yes","Blocked"))</f>
      </c>
      <c r="BP16">
        <f>IF($BO16="","",IFERROR(VLOOKUP($BO16,'01_Warehouse_Ledger'!$A:$N,4,FALSE),""))</f>
      </c>
      <c r="BQ16">
        <f>IF($BO16="","",IFERROR(VLOOKUP($BO16,'01_Warehouse_Ledger'!$A:$N,5,FALSE),""))</f>
      </c>
      <c r="BR16">
        <f>IF($BO16="","",IFERROR(VLOOKUP($BO16,'01_Warehouse_Ledger'!$A:$N,13,FALSE),""))</f>
      </c>
    </row>
    <row r="17">
      <c r="A17" t="s">
        <v>1331</v>
      </c>
      <c r="B17" t="s">
        <v>1727</v>
      </c>
      <c r="C17" t="s">
        <v>1727</v>
      </c>
      <c r="D17">
        <f>IF($B17&lt;&gt;"Yes","",IF($C17="No","Yes",IF($C17="Yes","No","")))</f>
      </c>
      <c r="E17">
        <f>IF($A17="","",IF($A17="Neuron",IF(OR(AND($S17&lt;&gt;"",LOWER(TRIM($S17))&lt;&gt;"n/a",COUNTIF($S$2:$S$532,$S17)&gt;1),AND($T17&lt;&gt;"",LOWER(TRIM($T17))&lt;&gt;"n/a",COUNTIF($T$2:$T$532,$T17)&gt;1),AND($W17&lt;&gt;"",LOWER(TRIM($W17))&lt;&gt;"n/a",COUNTIF($W$2:$W$532,$W17)&gt;1)),"Yes","No"),IF($A17="Cybernet",IF(OR(AND($Y17&lt;&gt;"",LOWER(TRIM($Y17))&lt;&gt;"n/a",COUNTIF($Y$2:$Y$532,$Y17)&gt;1),AND($Z17&lt;&gt;"",LOWER(TRIM($Z17))&lt;&gt;"n/a",COUNTIF($Z$2:$Z$532,$Z17)&gt;1)),"Yes","No"),IF(AND($AL17&lt;&gt;"",LOWER(TRIM($AL17))&lt;&gt;"n/a",COUNTIF($AL$2:$AL$532,$AL17)&gt;1),"Yes","No"))))</f>
      </c>
      <c r="F17">
        <f>IF($B17&lt;&gt;"Yes","",
IF($A17="Neuron",
IF(OR(
AND($S17&lt;&gt;"",LOWER(TRIM($S17))&lt;&gt;"n/a",COUNTIFS($B$2:$B$532,"Yes",$A$2:$A$532,"Neuron",$S$2:$S$532,$S17)&gt;1),
AND($T17&lt;&gt;"",LOWER(TRIM($T17))&lt;&gt;"n/a",COUNTIFS($B$2:$B$532,"Yes",$A$2:$A$532,"Neuron",$T$2:$T$532,$T17)&gt;1),
AND($W17&lt;&gt;"",LOWER(TRIM($W17))&lt;&gt;"n/a",COUNTIFS($B$2:$B$532,"Yes",$A$2:$A$532,"Neuron",$W$2:$W$532,$W17)&gt;1)
),"Yes","No"),
IF($A17="Cybernet",
IF(OR(
AND($Y17&lt;&gt;"",LOWER(TRIM($Y17))&lt;&gt;"n/a",COUNTIFS($B$2:$B$532,"Yes",$A$2:$A$532,"Cybernet",$Y$2:$Y$532,$Y17)&gt;1),
AND($Z17&lt;&gt;"",LOWER(TRIM($Z17))&lt;&gt;"n/a",COUNTIFS($B$2:$B$532,"Yes",$A$2:$A$532,"Cybernet",$Z$2:$Z$532,$Z17)&gt;1)
),"Yes","No"),
IF(AND($AL17&lt;&gt;"",LOWER(TRIM($AL17))&lt;&gt;"n/a"),
IF(COUNTIFS($B$2:$B$532,"Yes",$A$2:$A$532,$A17,$AL$2:$AL$532,$AL17)&gt;1,"Yes","No"),
"No")
)
)
)</f>
      </c>
      <c r="G17" t="s">
        <v>2089</v>
      </c>
      <c r="H17" t="s">
        <v>2089</v>
      </c>
      <c r="J17" t="s">
        <v>2115</v>
      </c>
      <c r="K17" t="s">
        <v>2115</v>
      </c>
      <c r="L17" t="s">
        <v>2115</v>
      </c>
      <c r="S17" t="s">
        <v>2258</v>
      </c>
      <c r="T17" t="s">
        <v>2261</v>
      </c>
      <c r="U17" t="s">
        <v>2359</v>
      </c>
      <c r="V17" t="s">
        <v>1727</v>
      </c>
      <c r="W17" t="s">
        <v>2177</v>
      </c>
      <c r="X17" t="s">
        <v>1707</v>
      </c>
      <c r="Y17" t="s">
        <v>1380</v>
      </c>
      <c r="AA17" t="s">
        <v>1867</v>
      </c>
      <c r="AC17" t="s">
        <v>1713</v>
      </c>
      <c r="AD17" t="s">
        <v>1380</v>
      </c>
      <c r="AF17" t="s">
        <v>2257</v>
      </c>
      <c r="AG17" t="s">
        <v>1999</v>
      </c>
      <c r="AH17">
        <v>16</v>
      </c>
      <c r="AI17" t="s">
        <v>1853</v>
      </c>
      <c r="AJ17" t="s">
        <v>2131</v>
      </c>
      <c r="AK17" t="s">
        <v>2361</v>
      </c>
      <c r="AL17" t="s">
        <v>1713</v>
      </c>
      <c r="AM17" t="s">
        <v>1335</v>
      </c>
      <c r="AR17" t="s">
        <v>1380</v>
      </c>
      <c r="AS17" t="s">
        <v>1991</v>
      </c>
      <c r="AT17" t="s">
        <v>1380</v>
      </c>
      <c r="AU17" t="s">
        <v>1380</v>
      </c>
      <c r="AV17" t="s">
        <v>1380</v>
      </c>
      <c r="AW17" t="s">
        <v>1727</v>
      </c>
      <c r="AX17" t="s">
        <v>1727</v>
      </c>
      <c r="BA17">
        <v>46027.0</v>
      </c>
      <c r="BB17" t="s">
        <v>1727</v>
      </c>
      <c r="BD17" t="s">
        <v>2151</v>
      </c>
      <c r="BE17" t="s">
        <v>1727</v>
      </c>
      <c r="BF17" t="s">
        <v>1727</v>
      </c>
      <c r="BG17" t="s">
        <v>1727</v>
      </c>
      <c r="BH17" t="s">
        <v>1727</v>
      </c>
      <c r="BJ17" t="s">
        <v>1727</v>
      </c>
      <c r="BK17" t="s">
        <v>1657</v>
      </c>
      <c r="BL17">
        <f>IF($T17="","",IF((IF(AND($AW17&lt;&gt;"Yes",$AW17&lt;&gt;"N/A"),"Power Cable, ","")&amp;IF(AND($AX17&lt;&gt;"Yes",$AX17&lt;&gt;"N/A"),"Battery, ","")&amp;IF(AND($BE17&lt;&gt;"Yes",$BE17&lt;&gt;"N/A"),"Firmware Download, ","")&amp;IF(AND(OR($BE17="Yes",$BE17="N/A"),$BF17&lt;&gt;"Yes",$BF17&lt;&gt;"N/A"),"Firmware Install, ","")&amp;IF(AND($BJ17&lt;&gt;"Yes",$BJ17&lt;&gt;"N/A"),"Device ID, ","")&amp;IF(AND($BK17&lt;&gt;"Yes",$BK17&lt;&gt;"N/A"),"Epic Beans Relay, ",""))="","",LEFT(IF(AND($AW17&lt;&gt;"Yes",$AW17&lt;&gt;"N/A"),"Power Cable, ","")&amp;IF(AND($AX17&lt;&gt;"Yes",$AX17&lt;&gt;"N/A"),"Battery, ","")&amp;IF(AND($BE17&lt;&gt;"Yes",$BE17&lt;&gt;"N/A"),"Firmware Download, ","")&amp;IF(AND(OR($BE17="Yes",$BE17="N/A"),$BF17&lt;&gt;"Yes",$BF17&lt;&gt;"N/A"),"Firmware Install, ","")&amp;IF(AND($BJ17&lt;&gt;"Yes",$BJ17&lt;&gt;"N/A"),"Device ID, ","")&amp;IF(AND($BK17&lt;&gt;"Yes",$BK17&lt;&gt;"N/A"),"Epic Beans Relay, ",""),LEN(IF(AND($AW17&lt;&gt;"Yes",$AW17&lt;&gt;"N/A"),"Power Cable, ","")&amp;IF(AND($AX17&lt;&gt;"Yes",$AX17&lt;&gt;"N/A"),"Battery, ","")&amp;IF(AND($BE17&lt;&gt;"Yes",$BE17&lt;&gt;"N/A"),"Firmware Download, ","")&amp;IF(AND(OR($BE17="Yes",$BE17="N/A"),$BF17&lt;&gt;"Yes",$BF17&lt;&gt;"N/A"),"Firmware Install, ","")&amp;IF(AND($BJ17&lt;&gt;"Yes",$BJ17&lt;&gt;"N/A"),"Device ID, ","")&amp;IF(AND($BK17&lt;&gt;"Yes",$BK17&lt;&gt;"N/A"),"Epic Beans Relay, ",""))-2)))</f>
      </c>
      <c r="BM17">
        <f>IF($T17="","",IF($BL17="","Yes","Blocked"))</f>
      </c>
      <c r="BP17">
        <f>IF($BO17="","",IFERROR(VLOOKUP($BO17,'01_Warehouse_Ledger'!$A:$N,4,FALSE),""))</f>
      </c>
      <c r="BQ17">
        <f>IF($BO17="","",IFERROR(VLOOKUP($BO17,'01_Warehouse_Ledger'!$A:$N,5,FALSE),""))</f>
      </c>
      <c r="BR17">
        <f>IF($BO17="","",IFERROR(VLOOKUP($BO17,'01_Warehouse_Ledger'!$A:$N,13,FALSE),""))</f>
      </c>
    </row>
    <row r="18">
      <c r="A18" t="s">
        <v>1331</v>
      </c>
      <c r="B18" t="s">
        <v>1727</v>
      </c>
      <c r="C18" t="s">
        <v>1727</v>
      </c>
      <c r="D18">
        <f>IF($B18&lt;&gt;"Yes","",IF($C18="No","Yes",IF($C18="Yes","No","")))</f>
      </c>
      <c r="E18">
        <f>IF($A18="","",IF($A18="Neuron",IF(OR(AND($S18&lt;&gt;"",LOWER(TRIM($S18))&lt;&gt;"n/a",COUNTIF($S$2:$S$532,$S18)&gt;1),AND($T18&lt;&gt;"",LOWER(TRIM($T18))&lt;&gt;"n/a",COUNTIF($T$2:$T$532,$T18)&gt;1),AND($W18&lt;&gt;"",LOWER(TRIM($W18))&lt;&gt;"n/a",COUNTIF($W$2:$W$532,$W18)&gt;1)),"Yes","No"),IF($A18="Cybernet",IF(OR(AND($Y18&lt;&gt;"",LOWER(TRIM($Y18))&lt;&gt;"n/a",COUNTIF($Y$2:$Y$532,$Y18)&gt;1),AND($Z18&lt;&gt;"",LOWER(TRIM($Z18))&lt;&gt;"n/a",COUNTIF($Z$2:$Z$532,$Z18)&gt;1)),"Yes","No"),IF(AND($AL18&lt;&gt;"",LOWER(TRIM($AL18))&lt;&gt;"n/a",COUNTIF($AL$2:$AL$532,$AL18)&gt;1),"Yes","No"))))</f>
      </c>
      <c r="F18">
        <f>IF($B18&lt;&gt;"Yes","",
IF($A18="Neuron",
IF(OR(
AND($S18&lt;&gt;"",LOWER(TRIM($S18))&lt;&gt;"n/a",COUNTIFS($B$2:$B$532,"Yes",$A$2:$A$532,"Neuron",$S$2:$S$532,$S18)&gt;1),
AND($T18&lt;&gt;"",LOWER(TRIM($T18))&lt;&gt;"n/a",COUNTIFS($B$2:$B$532,"Yes",$A$2:$A$532,"Neuron",$T$2:$T$532,$T18)&gt;1),
AND($W18&lt;&gt;"",LOWER(TRIM($W18))&lt;&gt;"n/a",COUNTIFS($B$2:$B$532,"Yes",$A$2:$A$532,"Neuron",$W$2:$W$532,$W18)&gt;1)
),"Yes","No"),
IF($A18="Cybernet",
IF(OR(
AND($Y18&lt;&gt;"",LOWER(TRIM($Y18))&lt;&gt;"n/a",COUNTIFS($B$2:$B$532,"Yes",$A$2:$A$532,"Cybernet",$Y$2:$Y$532,$Y18)&gt;1),
AND($Z18&lt;&gt;"",LOWER(TRIM($Z18))&lt;&gt;"n/a",COUNTIFS($B$2:$B$532,"Yes",$A$2:$A$532,"Cybernet",$Z$2:$Z$532,$Z18)&gt;1)
),"Yes","No"),
IF(AND($AL18&lt;&gt;"",LOWER(TRIM($AL18))&lt;&gt;"n/a"),
IF(COUNTIFS($B$2:$B$532,"Yes",$A$2:$A$532,$A18,$AL$2:$AL$532,$AL18)&gt;1,"Yes","No"),
"No")
)
)
)</f>
      </c>
      <c r="G18" t="s">
        <v>2089</v>
      </c>
      <c r="H18" t="s">
        <v>2089</v>
      </c>
      <c r="J18" t="s">
        <v>2115</v>
      </c>
      <c r="K18" t="s">
        <v>2115</v>
      </c>
      <c r="L18" t="s">
        <v>2115</v>
      </c>
      <c r="S18" t="s">
        <v>2242</v>
      </c>
      <c r="T18" t="s">
        <v>1784</v>
      </c>
      <c r="U18" t="s">
        <v>1849</v>
      </c>
      <c r="V18" t="s">
        <v>1727</v>
      </c>
      <c r="W18" t="s">
        <v>2096</v>
      </c>
      <c r="X18" t="s">
        <v>1707</v>
      </c>
      <c r="Y18" t="s">
        <v>1380</v>
      </c>
      <c r="AA18" t="s">
        <v>1867</v>
      </c>
      <c r="AC18" t="s">
        <v>1779</v>
      </c>
      <c r="AD18" t="s">
        <v>1380</v>
      </c>
      <c r="AF18" t="s">
        <v>2257</v>
      </c>
      <c r="AG18" t="s">
        <v>1999</v>
      </c>
      <c r="AH18">
        <v>17</v>
      </c>
      <c r="AI18" t="s">
        <v>1789</v>
      </c>
      <c r="AJ18" t="s">
        <v>2131</v>
      </c>
      <c r="AK18" t="s">
        <v>2361</v>
      </c>
      <c r="AL18" t="s">
        <v>1779</v>
      </c>
      <c r="AM18" t="s">
        <v>1335</v>
      </c>
      <c r="AR18" t="s">
        <v>1380</v>
      </c>
      <c r="AS18" t="s">
        <v>1991</v>
      </c>
      <c r="AT18" t="s">
        <v>1380</v>
      </c>
      <c r="AU18" t="s">
        <v>1380</v>
      </c>
      <c r="AV18" t="s">
        <v>1380</v>
      </c>
      <c r="AW18" t="s">
        <v>1727</v>
      </c>
      <c r="AX18" t="s">
        <v>1727</v>
      </c>
      <c r="BA18">
        <v>46027.0</v>
      </c>
      <c r="BB18" t="s">
        <v>1727</v>
      </c>
      <c r="BD18" t="s">
        <v>2151</v>
      </c>
      <c r="BE18" t="s">
        <v>1727</v>
      </c>
      <c r="BF18" t="s">
        <v>1727</v>
      </c>
      <c r="BG18" t="s">
        <v>1727</v>
      </c>
      <c r="BH18" t="s">
        <v>1727</v>
      </c>
      <c r="BJ18" t="s">
        <v>1727</v>
      </c>
      <c r="BK18" t="s">
        <v>1657</v>
      </c>
      <c r="BL18">
        <f>IF($T18="","",IF((IF(AND($AW18&lt;&gt;"Yes",$AW18&lt;&gt;"N/A"),"Power Cable, ","")&amp;IF(AND($AX18&lt;&gt;"Yes",$AX18&lt;&gt;"N/A"),"Battery, ","")&amp;IF(AND($BE18&lt;&gt;"Yes",$BE18&lt;&gt;"N/A"),"Firmware Download, ","")&amp;IF(AND(OR($BE18="Yes",$BE18="N/A"),$BF18&lt;&gt;"Yes",$BF18&lt;&gt;"N/A"),"Firmware Install, ","")&amp;IF(AND($BJ18&lt;&gt;"Yes",$BJ18&lt;&gt;"N/A"),"Device ID, ","")&amp;IF(AND($BK18&lt;&gt;"Yes",$BK18&lt;&gt;"N/A"),"Epic Beans Relay, ",""))="","",LEFT(IF(AND($AW18&lt;&gt;"Yes",$AW18&lt;&gt;"N/A"),"Power Cable, ","")&amp;IF(AND($AX18&lt;&gt;"Yes",$AX18&lt;&gt;"N/A"),"Battery, ","")&amp;IF(AND($BE18&lt;&gt;"Yes",$BE18&lt;&gt;"N/A"),"Firmware Download, ","")&amp;IF(AND(OR($BE18="Yes",$BE18="N/A"),$BF18&lt;&gt;"Yes",$BF18&lt;&gt;"N/A"),"Firmware Install, ","")&amp;IF(AND($BJ18&lt;&gt;"Yes",$BJ18&lt;&gt;"N/A"),"Device ID, ","")&amp;IF(AND($BK18&lt;&gt;"Yes",$BK18&lt;&gt;"N/A"),"Epic Beans Relay, ",""),LEN(IF(AND($AW18&lt;&gt;"Yes",$AW18&lt;&gt;"N/A"),"Power Cable, ","")&amp;IF(AND($AX18&lt;&gt;"Yes",$AX18&lt;&gt;"N/A"),"Battery, ","")&amp;IF(AND($BE18&lt;&gt;"Yes",$BE18&lt;&gt;"N/A"),"Firmware Download, ","")&amp;IF(AND(OR($BE18="Yes",$BE18="N/A"),$BF18&lt;&gt;"Yes",$BF18&lt;&gt;"N/A"),"Firmware Install, ","")&amp;IF(AND($BJ18&lt;&gt;"Yes",$BJ18&lt;&gt;"N/A"),"Device ID, ","")&amp;IF(AND($BK18&lt;&gt;"Yes",$BK18&lt;&gt;"N/A"),"Epic Beans Relay, ",""))-2)))</f>
      </c>
      <c r="BM18">
        <f>IF($T18="","",IF($BL18="","Yes","Blocked"))</f>
      </c>
      <c r="BP18">
        <f>IF($BO18="","",IFERROR(VLOOKUP($BO18,'01_Warehouse_Ledger'!$A:$N,4,FALSE),""))</f>
      </c>
      <c r="BQ18">
        <f>IF($BO18="","",IFERROR(VLOOKUP($BO18,'01_Warehouse_Ledger'!$A:$N,5,FALSE),""))</f>
      </c>
      <c r="BR18">
        <f>IF($BO18="","",IFERROR(VLOOKUP($BO18,'01_Warehouse_Ledger'!$A:$N,13,FALSE),""))</f>
      </c>
    </row>
    <row r="19">
      <c r="A19" t="s">
        <v>1331</v>
      </c>
      <c r="B19" t="s">
        <v>1727</v>
      </c>
      <c r="C19" t="s">
        <v>1727</v>
      </c>
      <c r="D19">
        <f>IF($B19&lt;&gt;"Yes","",IF($C19="No","Yes",IF($C19="Yes","No","")))</f>
      </c>
      <c r="E19">
        <f>IF($A19="","",IF($A19="Neuron",IF(OR(AND($S19&lt;&gt;"",LOWER(TRIM($S19))&lt;&gt;"n/a",COUNTIF($S$2:$S$532,$S19)&gt;1),AND($T19&lt;&gt;"",LOWER(TRIM($T19))&lt;&gt;"n/a",COUNTIF($T$2:$T$532,$T19)&gt;1),AND($W19&lt;&gt;"",LOWER(TRIM($W19))&lt;&gt;"n/a",COUNTIF($W$2:$W$532,$W19)&gt;1)),"Yes","No"),IF($A19="Cybernet",IF(OR(AND($Y19&lt;&gt;"",LOWER(TRIM($Y19))&lt;&gt;"n/a",COUNTIF($Y$2:$Y$532,$Y19)&gt;1),AND($Z19&lt;&gt;"",LOWER(TRIM($Z19))&lt;&gt;"n/a",COUNTIF($Z$2:$Z$532,$Z19)&gt;1)),"Yes","No"),IF(AND($AL19&lt;&gt;"",LOWER(TRIM($AL19))&lt;&gt;"n/a",COUNTIF($AL$2:$AL$532,$AL19)&gt;1),"Yes","No"))))</f>
      </c>
      <c r="F19">
        <f>IF($B19&lt;&gt;"Yes","",
IF($A19="Neuron",
IF(OR(
AND($S19&lt;&gt;"",LOWER(TRIM($S19))&lt;&gt;"n/a",COUNTIFS($B$2:$B$532,"Yes",$A$2:$A$532,"Neuron",$S$2:$S$532,$S19)&gt;1),
AND($T19&lt;&gt;"",LOWER(TRIM($T19))&lt;&gt;"n/a",COUNTIFS($B$2:$B$532,"Yes",$A$2:$A$532,"Neuron",$T$2:$T$532,$T19)&gt;1),
AND($W19&lt;&gt;"",LOWER(TRIM($W19))&lt;&gt;"n/a",COUNTIFS($B$2:$B$532,"Yes",$A$2:$A$532,"Neuron",$W$2:$W$532,$W19)&gt;1)
),"Yes","No"),
IF($A19="Cybernet",
IF(OR(
AND($Y19&lt;&gt;"",LOWER(TRIM($Y19))&lt;&gt;"n/a",COUNTIFS($B$2:$B$532,"Yes",$A$2:$A$532,"Cybernet",$Y$2:$Y$532,$Y19)&gt;1),
AND($Z19&lt;&gt;"",LOWER(TRIM($Z19))&lt;&gt;"n/a",COUNTIFS($B$2:$B$532,"Yes",$A$2:$A$532,"Cybernet",$Z$2:$Z$532,$Z19)&gt;1)
),"Yes","No"),
IF(AND($AL19&lt;&gt;"",LOWER(TRIM($AL19))&lt;&gt;"n/a"),
IF(COUNTIFS($B$2:$B$532,"Yes",$A$2:$A$532,$A19,$AL$2:$AL$532,$AL19)&gt;1,"Yes","No"),
"No")
)
)
)</f>
      </c>
      <c r="G19" t="s">
        <v>2089</v>
      </c>
      <c r="H19" t="s">
        <v>2089</v>
      </c>
      <c r="J19" t="s">
        <v>2115</v>
      </c>
      <c r="K19" t="s">
        <v>2115</v>
      </c>
      <c r="L19" t="s">
        <v>2115</v>
      </c>
      <c r="S19" t="s">
        <v>1861</v>
      </c>
      <c r="T19" t="s">
        <v>2212</v>
      </c>
      <c r="U19" t="s">
        <v>1652</v>
      </c>
      <c r="V19" t="s">
        <v>1727</v>
      </c>
      <c r="W19" t="s">
        <v>1735</v>
      </c>
      <c r="X19" t="s">
        <v>1707</v>
      </c>
      <c r="Y19" t="s">
        <v>1380</v>
      </c>
      <c r="AA19" t="s">
        <v>1867</v>
      </c>
      <c r="AC19" t="s">
        <v>1744</v>
      </c>
      <c r="AD19" t="s">
        <v>1380</v>
      </c>
      <c r="AF19" t="s">
        <v>2257</v>
      </c>
      <c r="AG19" t="s">
        <v>1999</v>
      </c>
      <c r="AH19">
        <v>18</v>
      </c>
      <c r="AI19" t="s">
        <v>2159</v>
      </c>
      <c r="AJ19" t="s">
        <v>2131</v>
      </c>
      <c r="AK19" t="s">
        <v>2361</v>
      </c>
      <c r="AL19" t="s">
        <v>1744</v>
      </c>
      <c r="AM19" t="s">
        <v>1335</v>
      </c>
      <c r="AR19" t="s">
        <v>1380</v>
      </c>
      <c r="AS19" t="s">
        <v>1991</v>
      </c>
      <c r="AT19" t="s">
        <v>1380</v>
      </c>
      <c r="AU19" t="s">
        <v>1380</v>
      </c>
      <c r="AV19" t="s">
        <v>1380</v>
      </c>
      <c r="AW19" t="s">
        <v>1727</v>
      </c>
      <c r="AX19" t="s">
        <v>1727</v>
      </c>
      <c r="BA19">
        <v>46027.0</v>
      </c>
      <c r="BB19" t="s">
        <v>1727</v>
      </c>
      <c r="BD19" t="s">
        <v>2151</v>
      </c>
      <c r="BE19" t="s">
        <v>1727</v>
      </c>
      <c r="BF19" t="s">
        <v>1727</v>
      </c>
      <c r="BG19" t="s">
        <v>1727</v>
      </c>
      <c r="BH19" t="s">
        <v>1727</v>
      </c>
      <c r="BJ19" t="s">
        <v>1727</v>
      </c>
      <c r="BK19" t="s">
        <v>1657</v>
      </c>
      <c r="BL19">
        <f>IF($T19="","",IF((IF(AND($AW19&lt;&gt;"Yes",$AW19&lt;&gt;"N/A"),"Power Cable, ","")&amp;IF(AND($AX19&lt;&gt;"Yes",$AX19&lt;&gt;"N/A"),"Battery, ","")&amp;IF(AND($BE19&lt;&gt;"Yes",$BE19&lt;&gt;"N/A"),"Firmware Download, ","")&amp;IF(AND(OR($BE19="Yes",$BE19="N/A"),$BF19&lt;&gt;"Yes",$BF19&lt;&gt;"N/A"),"Firmware Install, ","")&amp;IF(AND($BJ19&lt;&gt;"Yes",$BJ19&lt;&gt;"N/A"),"Device ID, ","")&amp;IF(AND($BK19&lt;&gt;"Yes",$BK19&lt;&gt;"N/A"),"Epic Beans Relay, ",""))="","",LEFT(IF(AND($AW19&lt;&gt;"Yes",$AW19&lt;&gt;"N/A"),"Power Cable, ","")&amp;IF(AND($AX19&lt;&gt;"Yes",$AX19&lt;&gt;"N/A"),"Battery, ","")&amp;IF(AND($BE19&lt;&gt;"Yes",$BE19&lt;&gt;"N/A"),"Firmware Download, ","")&amp;IF(AND(OR($BE19="Yes",$BE19="N/A"),$BF19&lt;&gt;"Yes",$BF19&lt;&gt;"N/A"),"Firmware Install, ","")&amp;IF(AND($BJ19&lt;&gt;"Yes",$BJ19&lt;&gt;"N/A"),"Device ID, ","")&amp;IF(AND($BK19&lt;&gt;"Yes",$BK19&lt;&gt;"N/A"),"Epic Beans Relay, ",""),LEN(IF(AND($AW19&lt;&gt;"Yes",$AW19&lt;&gt;"N/A"),"Power Cable, ","")&amp;IF(AND($AX19&lt;&gt;"Yes",$AX19&lt;&gt;"N/A"),"Battery, ","")&amp;IF(AND($BE19&lt;&gt;"Yes",$BE19&lt;&gt;"N/A"),"Firmware Download, ","")&amp;IF(AND(OR($BE19="Yes",$BE19="N/A"),$BF19&lt;&gt;"Yes",$BF19&lt;&gt;"N/A"),"Firmware Install, ","")&amp;IF(AND($BJ19&lt;&gt;"Yes",$BJ19&lt;&gt;"N/A"),"Device ID, ","")&amp;IF(AND($BK19&lt;&gt;"Yes",$BK19&lt;&gt;"N/A"),"Epic Beans Relay, ",""))-2)))</f>
      </c>
      <c r="BM19">
        <f>IF($T19="","",IF($BL19="","Yes","Blocked"))</f>
      </c>
      <c r="BP19">
        <f>IF($BO19="","",IFERROR(VLOOKUP($BO19,'01_Warehouse_Ledger'!$A:$N,4,FALSE),""))</f>
      </c>
      <c r="BQ19">
        <f>IF($BO19="","",IFERROR(VLOOKUP($BO19,'01_Warehouse_Ledger'!$A:$N,5,FALSE),""))</f>
      </c>
      <c r="BR19">
        <f>IF($BO19="","",IFERROR(VLOOKUP($BO19,'01_Warehouse_Ledger'!$A:$N,13,FALSE),""))</f>
      </c>
    </row>
    <row r="20">
      <c r="A20" t="s">
        <v>1331</v>
      </c>
      <c r="B20" t="s">
        <v>1727</v>
      </c>
      <c r="C20" t="s">
        <v>1727</v>
      </c>
      <c r="D20">
        <f>IF($B20&lt;&gt;"Yes","",IF($C20="No","Yes",IF($C20="Yes","No","")))</f>
      </c>
      <c r="E20">
        <f>IF($A20="","",IF($A20="Neuron",IF(OR(AND($S20&lt;&gt;"",LOWER(TRIM($S20))&lt;&gt;"n/a",COUNTIF($S$2:$S$532,$S20)&gt;1),AND($T20&lt;&gt;"",LOWER(TRIM($T20))&lt;&gt;"n/a",COUNTIF($T$2:$T$532,$T20)&gt;1),AND($W20&lt;&gt;"",LOWER(TRIM($W20))&lt;&gt;"n/a",COUNTIF($W$2:$W$532,$W20)&gt;1)),"Yes","No"),IF($A20="Cybernet",IF(OR(AND($Y20&lt;&gt;"",LOWER(TRIM($Y20))&lt;&gt;"n/a",COUNTIF($Y$2:$Y$532,$Y20)&gt;1),AND($Z20&lt;&gt;"",LOWER(TRIM($Z20))&lt;&gt;"n/a",COUNTIF($Z$2:$Z$532,$Z20)&gt;1)),"Yes","No"),IF(AND($AL20&lt;&gt;"",LOWER(TRIM($AL20))&lt;&gt;"n/a",COUNTIF($AL$2:$AL$532,$AL20)&gt;1),"Yes","No"))))</f>
      </c>
      <c r="F20">
        <f>IF($B20&lt;&gt;"Yes","",
IF($A20="Neuron",
IF(OR(
AND($S20&lt;&gt;"",LOWER(TRIM($S20))&lt;&gt;"n/a",COUNTIFS($B$2:$B$532,"Yes",$A$2:$A$532,"Neuron",$S$2:$S$532,$S20)&gt;1),
AND($T20&lt;&gt;"",LOWER(TRIM($T20))&lt;&gt;"n/a",COUNTIFS($B$2:$B$532,"Yes",$A$2:$A$532,"Neuron",$T$2:$T$532,$T20)&gt;1),
AND($W20&lt;&gt;"",LOWER(TRIM($W20))&lt;&gt;"n/a",COUNTIFS($B$2:$B$532,"Yes",$A$2:$A$532,"Neuron",$W$2:$W$532,$W20)&gt;1)
),"Yes","No"),
IF($A20="Cybernet",
IF(OR(
AND($Y20&lt;&gt;"",LOWER(TRIM($Y20))&lt;&gt;"n/a",COUNTIFS($B$2:$B$532,"Yes",$A$2:$A$532,"Cybernet",$Y$2:$Y$532,$Y20)&gt;1),
AND($Z20&lt;&gt;"",LOWER(TRIM($Z20))&lt;&gt;"n/a",COUNTIFS($B$2:$B$532,"Yes",$A$2:$A$532,"Cybernet",$Z$2:$Z$532,$Z20)&gt;1)
),"Yes","No"),
IF(AND($AL20&lt;&gt;"",LOWER(TRIM($AL20))&lt;&gt;"n/a"),
IF(COUNTIFS($B$2:$B$532,"Yes",$A$2:$A$532,$A20,$AL$2:$AL$532,$AL20)&gt;1,"Yes","No"),
"No")
)
)
)</f>
      </c>
      <c r="G20" t="s">
        <v>2089</v>
      </c>
      <c r="H20" t="s">
        <v>2089</v>
      </c>
      <c r="J20" t="s">
        <v>2115</v>
      </c>
      <c r="K20" t="s">
        <v>2115</v>
      </c>
      <c r="L20" t="s">
        <v>2115</v>
      </c>
      <c r="S20" t="s">
        <v>2132</v>
      </c>
      <c r="T20" t="s">
        <v>1962</v>
      </c>
      <c r="U20" t="s">
        <v>1633</v>
      </c>
      <c r="V20" t="s">
        <v>1727</v>
      </c>
      <c r="W20" t="s">
        <v>2392</v>
      </c>
      <c r="X20" t="s">
        <v>1707</v>
      </c>
      <c r="Y20" t="s">
        <v>1380</v>
      </c>
      <c r="AA20" t="s">
        <v>1867</v>
      </c>
      <c r="AC20" t="s">
        <v>1712</v>
      </c>
      <c r="AD20" t="s">
        <v>1380</v>
      </c>
      <c r="AF20" t="s">
        <v>2257</v>
      </c>
      <c r="AG20" t="s">
        <v>1999</v>
      </c>
      <c r="AH20">
        <v>19</v>
      </c>
      <c r="AI20" t="s">
        <v>2243</v>
      </c>
      <c r="AJ20" t="s">
        <v>2131</v>
      </c>
      <c r="AK20" t="s">
        <v>2361</v>
      </c>
      <c r="AL20" t="s">
        <v>1712</v>
      </c>
      <c r="AM20" t="s">
        <v>1335</v>
      </c>
      <c r="AR20" t="s">
        <v>1380</v>
      </c>
      <c r="AS20" t="s">
        <v>1991</v>
      </c>
      <c r="AT20" t="s">
        <v>1380</v>
      </c>
      <c r="AU20" t="s">
        <v>1380</v>
      </c>
      <c r="AV20" t="s">
        <v>1380</v>
      </c>
      <c r="AW20" t="s">
        <v>1727</v>
      </c>
      <c r="AX20" t="s">
        <v>1727</v>
      </c>
      <c r="BA20">
        <v>46027.0</v>
      </c>
      <c r="BB20" t="s">
        <v>1727</v>
      </c>
      <c r="BD20" t="s">
        <v>2151</v>
      </c>
      <c r="BE20" t="s">
        <v>1727</v>
      </c>
      <c r="BF20" t="s">
        <v>1727</v>
      </c>
      <c r="BG20" t="s">
        <v>1727</v>
      </c>
      <c r="BH20" t="s">
        <v>1727</v>
      </c>
      <c r="BJ20" t="s">
        <v>1727</v>
      </c>
      <c r="BK20" t="s">
        <v>1657</v>
      </c>
      <c r="BL20">
        <f>IF($T20="","",IF((IF(AND($AW20&lt;&gt;"Yes",$AW20&lt;&gt;"N/A"),"Power Cable, ","")&amp;IF(AND($AX20&lt;&gt;"Yes",$AX20&lt;&gt;"N/A"),"Battery, ","")&amp;IF(AND($BE20&lt;&gt;"Yes",$BE20&lt;&gt;"N/A"),"Firmware Download, ","")&amp;IF(AND(OR($BE20="Yes",$BE20="N/A"),$BF20&lt;&gt;"Yes",$BF20&lt;&gt;"N/A"),"Firmware Install, ","")&amp;IF(AND($BJ20&lt;&gt;"Yes",$BJ20&lt;&gt;"N/A"),"Device ID, ","")&amp;IF(AND($BK20&lt;&gt;"Yes",$BK20&lt;&gt;"N/A"),"Epic Beans Relay, ",""))="","",LEFT(IF(AND($AW20&lt;&gt;"Yes",$AW20&lt;&gt;"N/A"),"Power Cable, ","")&amp;IF(AND($AX20&lt;&gt;"Yes",$AX20&lt;&gt;"N/A"),"Battery, ","")&amp;IF(AND($BE20&lt;&gt;"Yes",$BE20&lt;&gt;"N/A"),"Firmware Download, ","")&amp;IF(AND(OR($BE20="Yes",$BE20="N/A"),$BF20&lt;&gt;"Yes",$BF20&lt;&gt;"N/A"),"Firmware Install, ","")&amp;IF(AND($BJ20&lt;&gt;"Yes",$BJ20&lt;&gt;"N/A"),"Device ID, ","")&amp;IF(AND($BK20&lt;&gt;"Yes",$BK20&lt;&gt;"N/A"),"Epic Beans Relay, ",""),LEN(IF(AND($AW20&lt;&gt;"Yes",$AW20&lt;&gt;"N/A"),"Power Cable, ","")&amp;IF(AND($AX20&lt;&gt;"Yes",$AX20&lt;&gt;"N/A"),"Battery, ","")&amp;IF(AND($BE20&lt;&gt;"Yes",$BE20&lt;&gt;"N/A"),"Firmware Download, ","")&amp;IF(AND(OR($BE20="Yes",$BE20="N/A"),$BF20&lt;&gt;"Yes",$BF20&lt;&gt;"N/A"),"Firmware Install, ","")&amp;IF(AND($BJ20&lt;&gt;"Yes",$BJ20&lt;&gt;"N/A"),"Device ID, ","")&amp;IF(AND($BK20&lt;&gt;"Yes",$BK20&lt;&gt;"N/A"),"Epic Beans Relay, ",""))-2)))</f>
      </c>
      <c r="BM20">
        <f>IF($T20="","",IF($BL20="","Yes","Blocked"))</f>
      </c>
      <c r="BP20">
        <f>IF($BO20="","",IFERROR(VLOOKUP($BO20,'01_Warehouse_Ledger'!$A:$N,4,FALSE),""))</f>
      </c>
      <c r="BQ20">
        <f>IF($BO20="","",IFERROR(VLOOKUP($BO20,'01_Warehouse_Ledger'!$A:$N,5,FALSE),""))</f>
      </c>
      <c r="BR20">
        <f>IF($BO20="","",IFERROR(VLOOKUP($BO20,'01_Warehouse_Ledger'!$A:$N,13,FALSE),""))</f>
      </c>
    </row>
    <row r="21">
      <c r="A21" t="s">
        <v>1331</v>
      </c>
      <c r="B21" t="s">
        <v>1727</v>
      </c>
      <c r="C21" t="s">
        <v>1727</v>
      </c>
      <c r="D21">
        <f>IF($B21&lt;&gt;"Yes","",IF($C21="No","Yes",IF($C21="Yes","No","")))</f>
      </c>
      <c r="E21">
        <f>IF($A21="","",IF($A21="Neuron",IF(OR(AND($S21&lt;&gt;"",LOWER(TRIM($S21))&lt;&gt;"n/a",COUNTIF($S$2:$S$532,$S21)&gt;1),AND($T21&lt;&gt;"",LOWER(TRIM($T21))&lt;&gt;"n/a",COUNTIF($T$2:$T$532,$T21)&gt;1),AND($W21&lt;&gt;"",LOWER(TRIM($W21))&lt;&gt;"n/a",COUNTIF($W$2:$W$532,$W21)&gt;1)),"Yes","No"),IF($A21="Cybernet",IF(OR(AND($Y21&lt;&gt;"",LOWER(TRIM($Y21))&lt;&gt;"n/a",COUNTIF($Y$2:$Y$532,$Y21)&gt;1),AND($Z21&lt;&gt;"",LOWER(TRIM($Z21))&lt;&gt;"n/a",COUNTIF($Z$2:$Z$532,$Z21)&gt;1)),"Yes","No"),IF(AND($AL21&lt;&gt;"",LOWER(TRIM($AL21))&lt;&gt;"n/a",COUNTIF($AL$2:$AL$532,$AL21)&gt;1),"Yes","No"))))</f>
      </c>
      <c r="F21">
        <f>IF($B21&lt;&gt;"Yes","",
IF($A21="Neuron",
IF(OR(
AND($S21&lt;&gt;"",LOWER(TRIM($S21))&lt;&gt;"n/a",COUNTIFS($B$2:$B$532,"Yes",$A$2:$A$532,"Neuron",$S$2:$S$532,$S21)&gt;1),
AND($T21&lt;&gt;"",LOWER(TRIM($T21))&lt;&gt;"n/a",COUNTIFS($B$2:$B$532,"Yes",$A$2:$A$532,"Neuron",$T$2:$T$532,$T21)&gt;1),
AND($W21&lt;&gt;"",LOWER(TRIM($W21))&lt;&gt;"n/a",COUNTIFS($B$2:$B$532,"Yes",$A$2:$A$532,"Neuron",$W$2:$W$532,$W21)&gt;1)
),"Yes","No"),
IF($A21="Cybernet",
IF(OR(
AND($Y21&lt;&gt;"",LOWER(TRIM($Y21))&lt;&gt;"n/a",COUNTIFS($B$2:$B$532,"Yes",$A$2:$A$532,"Cybernet",$Y$2:$Y$532,$Y21)&gt;1),
AND($Z21&lt;&gt;"",LOWER(TRIM($Z21))&lt;&gt;"n/a",COUNTIFS($B$2:$B$532,"Yes",$A$2:$A$532,"Cybernet",$Z$2:$Z$532,$Z21)&gt;1)
),"Yes","No"),
IF(AND($AL21&lt;&gt;"",LOWER(TRIM($AL21))&lt;&gt;"n/a"),
IF(COUNTIFS($B$2:$B$532,"Yes",$A$2:$A$532,$A21,$AL$2:$AL$532,$AL21)&gt;1,"Yes","No"),
"No")
)
)
)</f>
      </c>
      <c r="G21" t="s">
        <v>2089</v>
      </c>
      <c r="H21" t="s">
        <v>2089</v>
      </c>
      <c r="J21" t="s">
        <v>2115</v>
      </c>
      <c r="K21" t="s">
        <v>2115</v>
      </c>
      <c r="L21" t="s">
        <v>2115</v>
      </c>
      <c r="S21" t="s">
        <v>2171</v>
      </c>
      <c r="T21" t="s">
        <v>2190</v>
      </c>
      <c r="U21" t="s">
        <v>2039</v>
      </c>
      <c r="V21" t="s">
        <v>1727</v>
      </c>
      <c r="W21" t="s">
        <v>1622</v>
      </c>
      <c r="X21" t="s">
        <v>1707</v>
      </c>
      <c r="Y21" t="s">
        <v>1380</v>
      </c>
      <c r="AA21" t="s">
        <v>1867</v>
      </c>
      <c r="AC21" t="s">
        <v>1640</v>
      </c>
      <c r="AD21" t="s">
        <v>1380</v>
      </c>
      <c r="AF21" t="s">
        <v>2257</v>
      </c>
      <c r="AG21" t="s">
        <v>1999</v>
      </c>
      <c r="AH21">
        <v>20</v>
      </c>
      <c r="AI21" t="s">
        <v>2292</v>
      </c>
      <c r="AJ21" t="s">
        <v>2131</v>
      </c>
      <c r="AK21" t="s">
        <v>2361</v>
      </c>
      <c r="AL21" t="s">
        <v>1640</v>
      </c>
      <c r="AM21" t="s">
        <v>1335</v>
      </c>
      <c r="AR21" t="s">
        <v>1380</v>
      </c>
      <c r="AS21" t="s">
        <v>1991</v>
      </c>
      <c r="AT21" t="s">
        <v>1380</v>
      </c>
      <c r="AU21" t="s">
        <v>1380</v>
      </c>
      <c r="AV21" t="s">
        <v>1380</v>
      </c>
      <c r="AW21" t="s">
        <v>1727</v>
      </c>
      <c r="AX21" t="s">
        <v>1727</v>
      </c>
      <c r="BA21">
        <v>46027.0</v>
      </c>
      <c r="BB21" t="s">
        <v>1727</v>
      </c>
      <c r="BD21" t="s">
        <v>2151</v>
      </c>
      <c r="BE21" t="s">
        <v>1727</v>
      </c>
      <c r="BF21" t="s">
        <v>1727</v>
      </c>
      <c r="BG21" t="s">
        <v>1727</v>
      </c>
      <c r="BH21" t="s">
        <v>1727</v>
      </c>
      <c r="BJ21" t="s">
        <v>1727</v>
      </c>
      <c r="BK21" t="s">
        <v>1657</v>
      </c>
      <c r="BL21">
        <f>IF($T21="","",IF((IF(AND($AW21&lt;&gt;"Yes",$AW21&lt;&gt;"N/A"),"Power Cable, ","")&amp;IF(AND($AX21&lt;&gt;"Yes",$AX21&lt;&gt;"N/A"),"Battery, ","")&amp;IF(AND($BE21&lt;&gt;"Yes",$BE21&lt;&gt;"N/A"),"Firmware Download, ","")&amp;IF(AND(OR($BE21="Yes",$BE21="N/A"),$BF21&lt;&gt;"Yes",$BF21&lt;&gt;"N/A"),"Firmware Install, ","")&amp;IF(AND($BJ21&lt;&gt;"Yes",$BJ21&lt;&gt;"N/A"),"Device ID, ","")&amp;IF(AND($BK21&lt;&gt;"Yes",$BK21&lt;&gt;"N/A"),"Epic Beans Relay, ",""))="","",LEFT(IF(AND($AW21&lt;&gt;"Yes",$AW21&lt;&gt;"N/A"),"Power Cable, ","")&amp;IF(AND($AX21&lt;&gt;"Yes",$AX21&lt;&gt;"N/A"),"Battery, ","")&amp;IF(AND($BE21&lt;&gt;"Yes",$BE21&lt;&gt;"N/A"),"Firmware Download, ","")&amp;IF(AND(OR($BE21="Yes",$BE21="N/A"),$BF21&lt;&gt;"Yes",$BF21&lt;&gt;"N/A"),"Firmware Install, ","")&amp;IF(AND($BJ21&lt;&gt;"Yes",$BJ21&lt;&gt;"N/A"),"Device ID, ","")&amp;IF(AND($BK21&lt;&gt;"Yes",$BK21&lt;&gt;"N/A"),"Epic Beans Relay, ",""),LEN(IF(AND($AW21&lt;&gt;"Yes",$AW21&lt;&gt;"N/A"),"Power Cable, ","")&amp;IF(AND($AX21&lt;&gt;"Yes",$AX21&lt;&gt;"N/A"),"Battery, ","")&amp;IF(AND($BE21&lt;&gt;"Yes",$BE21&lt;&gt;"N/A"),"Firmware Download, ","")&amp;IF(AND(OR($BE21="Yes",$BE21="N/A"),$BF21&lt;&gt;"Yes",$BF21&lt;&gt;"N/A"),"Firmware Install, ","")&amp;IF(AND($BJ21&lt;&gt;"Yes",$BJ21&lt;&gt;"N/A"),"Device ID, ","")&amp;IF(AND($BK21&lt;&gt;"Yes",$BK21&lt;&gt;"N/A"),"Epic Beans Relay, ",""))-2)))</f>
      </c>
      <c r="BM21">
        <f>IF($T21="","",IF($BL21="","Yes","Blocked"))</f>
      </c>
      <c r="BP21">
        <f>IF($BO21="","",IFERROR(VLOOKUP($BO21,'01_Warehouse_Ledger'!$A:$N,4,FALSE),""))</f>
      </c>
      <c r="BQ21">
        <f>IF($BO21="","",IFERROR(VLOOKUP($BO21,'01_Warehouse_Ledger'!$A:$N,5,FALSE),""))</f>
      </c>
      <c r="BR21">
        <f>IF($BO21="","",IFERROR(VLOOKUP($BO21,'01_Warehouse_Ledger'!$A:$N,13,FALSE),""))</f>
      </c>
    </row>
    <row r="22">
      <c r="A22" t="s">
        <v>1331</v>
      </c>
      <c r="B22" t="s">
        <v>1727</v>
      </c>
      <c r="C22" t="s">
        <v>1727</v>
      </c>
      <c r="D22">
        <f>IF($B22&lt;&gt;"Yes","",IF($C22="No","Yes",IF($C22="Yes","No","")))</f>
      </c>
      <c r="E22">
        <f>IF($A22="","",IF($A22="Neuron",IF(OR(AND($S22&lt;&gt;"",LOWER(TRIM($S22))&lt;&gt;"n/a",COUNTIF($S$2:$S$532,$S22)&gt;1),AND($T22&lt;&gt;"",LOWER(TRIM($T22))&lt;&gt;"n/a",COUNTIF($T$2:$T$532,$T22)&gt;1),AND($W22&lt;&gt;"",LOWER(TRIM($W22))&lt;&gt;"n/a",COUNTIF($W$2:$W$532,$W22)&gt;1)),"Yes","No"),IF($A22="Cybernet",IF(OR(AND($Y22&lt;&gt;"",LOWER(TRIM($Y22))&lt;&gt;"n/a",COUNTIF($Y$2:$Y$532,$Y22)&gt;1),AND($Z22&lt;&gt;"",LOWER(TRIM($Z22))&lt;&gt;"n/a",COUNTIF($Z$2:$Z$532,$Z22)&gt;1)),"Yes","No"),IF(AND($AL22&lt;&gt;"",LOWER(TRIM($AL22))&lt;&gt;"n/a",COUNTIF($AL$2:$AL$532,$AL22)&gt;1),"Yes","No"))))</f>
      </c>
      <c r="F22">
        <f>IF($B22&lt;&gt;"Yes","",
IF($A22="Neuron",
IF(OR(
AND($S22&lt;&gt;"",LOWER(TRIM($S22))&lt;&gt;"n/a",COUNTIFS($B$2:$B$532,"Yes",$A$2:$A$532,"Neuron",$S$2:$S$532,$S22)&gt;1),
AND($T22&lt;&gt;"",LOWER(TRIM($T22))&lt;&gt;"n/a",COUNTIFS($B$2:$B$532,"Yes",$A$2:$A$532,"Neuron",$T$2:$T$532,$T22)&gt;1),
AND($W22&lt;&gt;"",LOWER(TRIM($W22))&lt;&gt;"n/a",COUNTIFS($B$2:$B$532,"Yes",$A$2:$A$532,"Neuron",$W$2:$W$532,$W22)&gt;1)
),"Yes","No"),
IF($A22="Cybernet",
IF(OR(
AND($Y22&lt;&gt;"",LOWER(TRIM($Y22))&lt;&gt;"n/a",COUNTIFS($B$2:$B$532,"Yes",$A$2:$A$532,"Cybernet",$Y$2:$Y$532,$Y22)&gt;1),
AND($Z22&lt;&gt;"",LOWER(TRIM($Z22))&lt;&gt;"n/a",COUNTIFS($B$2:$B$532,"Yes",$A$2:$A$532,"Cybernet",$Z$2:$Z$532,$Z22)&gt;1)
),"Yes","No"),
IF(AND($AL22&lt;&gt;"",LOWER(TRIM($AL22))&lt;&gt;"n/a"),
IF(COUNTIFS($B$2:$B$532,"Yes",$A$2:$A$532,$A22,$AL$2:$AL$532,$AL22)&gt;1,"Yes","No"),
"No")
)
)
)</f>
      </c>
      <c r="G22" t="s">
        <v>2089</v>
      </c>
      <c r="H22" t="s">
        <v>2089</v>
      </c>
      <c r="J22" t="s">
        <v>2115</v>
      </c>
      <c r="K22" t="s">
        <v>2115</v>
      </c>
      <c r="L22" t="s">
        <v>2115</v>
      </c>
      <c r="S22" t="s">
        <v>1925</v>
      </c>
      <c r="T22" t="s">
        <v>2340</v>
      </c>
      <c r="U22" t="s">
        <v>2006</v>
      </c>
      <c r="V22" t="s">
        <v>1727</v>
      </c>
      <c r="W22" t="s">
        <v>1970</v>
      </c>
      <c r="X22" t="s">
        <v>1707</v>
      </c>
      <c r="Y22" t="s">
        <v>1380</v>
      </c>
      <c r="AA22" t="s">
        <v>1867</v>
      </c>
      <c r="AC22" t="s">
        <v>2325</v>
      </c>
      <c r="AD22" t="s">
        <v>1380</v>
      </c>
      <c r="AF22" t="s">
        <v>2257</v>
      </c>
      <c r="AG22" t="s">
        <v>1999</v>
      </c>
      <c r="AH22">
        <v>21</v>
      </c>
      <c r="AI22" t="s">
        <v>2223</v>
      </c>
      <c r="AJ22" t="s">
        <v>2131</v>
      </c>
      <c r="AK22" t="s">
        <v>2361</v>
      </c>
      <c r="AL22" t="s">
        <v>2325</v>
      </c>
      <c r="AM22" t="s">
        <v>1335</v>
      </c>
      <c r="AR22" t="s">
        <v>1380</v>
      </c>
      <c r="AS22" t="s">
        <v>1991</v>
      </c>
      <c r="AT22" t="s">
        <v>1380</v>
      </c>
      <c r="AU22" t="s">
        <v>1380</v>
      </c>
      <c r="AV22" t="s">
        <v>1380</v>
      </c>
      <c r="AW22" t="s">
        <v>1727</v>
      </c>
      <c r="AX22" t="s">
        <v>1727</v>
      </c>
      <c r="BA22">
        <v>46027.0</v>
      </c>
      <c r="BB22" t="s">
        <v>1727</v>
      </c>
      <c r="BD22" t="s">
        <v>2151</v>
      </c>
      <c r="BE22" t="s">
        <v>1727</v>
      </c>
      <c r="BF22" t="s">
        <v>1727</v>
      </c>
      <c r="BG22" t="s">
        <v>1727</v>
      </c>
      <c r="BH22" t="s">
        <v>1727</v>
      </c>
      <c r="BJ22" t="s">
        <v>1727</v>
      </c>
      <c r="BK22" t="s">
        <v>1657</v>
      </c>
      <c r="BL22">
        <f>IF($T22="","",IF((IF(AND($AW22&lt;&gt;"Yes",$AW22&lt;&gt;"N/A"),"Power Cable, ","")&amp;IF(AND($AX22&lt;&gt;"Yes",$AX22&lt;&gt;"N/A"),"Battery, ","")&amp;IF(AND($BE22&lt;&gt;"Yes",$BE22&lt;&gt;"N/A"),"Firmware Download, ","")&amp;IF(AND(OR($BE22="Yes",$BE22="N/A"),$BF22&lt;&gt;"Yes",$BF22&lt;&gt;"N/A"),"Firmware Install, ","")&amp;IF(AND($BJ22&lt;&gt;"Yes",$BJ22&lt;&gt;"N/A"),"Device ID, ","")&amp;IF(AND($BK22&lt;&gt;"Yes",$BK22&lt;&gt;"N/A"),"Epic Beans Relay, ",""))="","",LEFT(IF(AND($AW22&lt;&gt;"Yes",$AW22&lt;&gt;"N/A"),"Power Cable, ","")&amp;IF(AND($AX22&lt;&gt;"Yes",$AX22&lt;&gt;"N/A"),"Battery, ","")&amp;IF(AND($BE22&lt;&gt;"Yes",$BE22&lt;&gt;"N/A"),"Firmware Download, ","")&amp;IF(AND(OR($BE22="Yes",$BE22="N/A"),$BF22&lt;&gt;"Yes",$BF22&lt;&gt;"N/A"),"Firmware Install, ","")&amp;IF(AND($BJ22&lt;&gt;"Yes",$BJ22&lt;&gt;"N/A"),"Device ID, ","")&amp;IF(AND($BK22&lt;&gt;"Yes",$BK22&lt;&gt;"N/A"),"Epic Beans Relay, ",""),LEN(IF(AND($AW22&lt;&gt;"Yes",$AW22&lt;&gt;"N/A"),"Power Cable, ","")&amp;IF(AND($AX22&lt;&gt;"Yes",$AX22&lt;&gt;"N/A"),"Battery, ","")&amp;IF(AND($BE22&lt;&gt;"Yes",$BE22&lt;&gt;"N/A"),"Firmware Download, ","")&amp;IF(AND(OR($BE22="Yes",$BE22="N/A"),$BF22&lt;&gt;"Yes",$BF22&lt;&gt;"N/A"),"Firmware Install, ","")&amp;IF(AND($BJ22&lt;&gt;"Yes",$BJ22&lt;&gt;"N/A"),"Device ID, ","")&amp;IF(AND($BK22&lt;&gt;"Yes",$BK22&lt;&gt;"N/A"),"Epic Beans Relay, ",""))-2)))</f>
      </c>
      <c r="BM22">
        <f>IF($T22="","",IF($BL22="","Yes","Blocked"))</f>
      </c>
      <c r="BP22">
        <f>IF($BO22="","",IFERROR(VLOOKUP($BO22,'01_Warehouse_Ledger'!$A:$N,4,FALSE),""))</f>
      </c>
      <c r="BQ22">
        <f>IF($BO22="","",IFERROR(VLOOKUP($BO22,'01_Warehouse_Ledger'!$A:$N,5,FALSE),""))</f>
      </c>
      <c r="BR22">
        <f>IF($BO22="","",IFERROR(VLOOKUP($BO22,'01_Warehouse_Ledger'!$A:$N,13,FALSE),""))</f>
      </c>
    </row>
    <row r="23">
      <c r="A23" t="s">
        <v>1331</v>
      </c>
      <c r="B23" t="s">
        <v>1727</v>
      </c>
      <c r="C23" t="s">
        <v>1727</v>
      </c>
      <c r="D23">
        <f>IF($B23&lt;&gt;"Yes","",IF($C23="No","Yes",IF($C23="Yes","No","")))</f>
      </c>
      <c r="E23">
        <f>IF($A23="","",IF($A23="Neuron",IF(OR(AND($S23&lt;&gt;"",LOWER(TRIM($S23))&lt;&gt;"n/a",COUNTIF($S$2:$S$532,$S23)&gt;1),AND($T23&lt;&gt;"",LOWER(TRIM($T23))&lt;&gt;"n/a",COUNTIF($T$2:$T$532,$T23)&gt;1),AND($W23&lt;&gt;"",LOWER(TRIM($W23))&lt;&gt;"n/a",COUNTIF($W$2:$W$532,$W23)&gt;1)),"Yes","No"),IF($A23="Cybernet",IF(OR(AND($Y23&lt;&gt;"",LOWER(TRIM($Y23))&lt;&gt;"n/a",COUNTIF($Y$2:$Y$532,$Y23)&gt;1),AND($Z23&lt;&gt;"",LOWER(TRIM($Z23))&lt;&gt;"n/a",COUNTIF($Z$2:$Z$532,$Z23)&gt;1)),"Yes","No"),IF(AND($AL23&lt;&gt;"",LOWER(TRIM($AL23))&lt;&gt;"n/a",COUNTIF($AL$2:$AL$532,$AL23)&gt;1),"Yes","No"))))</f>
      </c>
      <c r="F23">
        <f>IF($B23&lt;&gt;"Yes","",
IF($A23="Neuron",
IF(OR(
AND($S23&lt;&gt;"",LOWER(TRIM($S23))&lt;&gt;"n/a",COUNTIFS($B$2:$B$532,"Yes",$A$2:$A$532,"Neuron",$S$2:$S$532,$S23)&gt;1),
AND($T23&lt;&gt;"",LOWER(TRIM($T23))&lt;&gt;"n/a",COUNTIFS($B$2:$B$532,"Yes",$A$2:$A$532,"Neuron",$T$2:$T$532,$T23)&gt;1),
AND($W23&lt;&gt;"",LOWER(TRIM($W23))&lt;&gt;"n/a",COUNTIFS($B$2:$B$532,"Yes",$A$2:$A$532,"Neuron",$W$2:$W$532,$W23)&gt;1)
),"Yes","No"),
IF($A23="Cybernet",
IF(OR(
AND($Y23&lt;&gt;"",LOWER(TRIM($Y23))&lt;&gt;"n/a",COUNTIFS($B$2:$B$532,"Yes",$A$2:$A$532,"Cybernet",$Y$2:$Y$532,$Y23)&gt;1),
AND($Z23&lt;&gt;"",LOWER(TRIM($Z23))&lt;&gt;"n/a",COUNTIFS($B$2:$B$532,"Yes",$A$2:$A$532,"Cybernet",$Z$2:$Z$532,$Z23)&gt;1)
),"Yes","No"),
IF(AND($AL23&lt;&gt;"",LOWER(TRIM($AL23))&lt;&gt;"n/a"),
IF(COUNTIFS($B$2:$B$532,"Yes",$A$2:$A$532,$A23,$AL$2:$AL$532,$AL23)&gt;1,"Yes","No"),
"No")
)
)
)</f>
      </c>
      <c r="G23" t="s">
        <v>2089</v>
      </c>
      <c r="H23" t="s">
        <v>2089</v>
      </c>
      <c r="J23" t="s">
        <v>2115</v>
      </c>
      <c r="K23" t="s">
        <v>2115</v>
      </c>
      <c r="L23" t="s">
        <v>2115</v>
      </c>
      <c r="S23" t="s">
        <v>2044</v>
      </c>
      <c r="T23" t="s">
        <v>1936</v>
      </c>
      <c r="U23" t="s">
        <v>1665</v>
      </c>
      <c r="V23" t="s">
        <v>1727</v>
      </c>
      <c r="W23" t="s">
        <v>2029</v>
      </c>
      <c r="X23" t="s">
        <v>1707</v>
      </c>
      <c r="Y23" t="s">
        <v>1380</v>
      </c>
      <c r="AA23" t="s">
        <v>1867</v>
      </c>
      <c r="AC23" t="s">
        <v>2301</v>
      </c>
      <c r="AD23" t="s">
        <v>1380</v>
      </c>
      <c r="AF23" t="s">
        <v>2257</v>
      </c>
      <c r="AG23" t="s">
        <v>1999</v>
      </c>
      <c r="AH23">
        <v>22</v>
      </c>
      <c r="AI23" t="s">
        <v>2035</v>
      </c>
      <c r="AJ23" t="s">
        <v>2131</v>
      </c>
      <c r="AK23" t="s">
        <v>2361</v>
      </c>
      <c r="AL23" t="s">
        <v>2301</v>
      </c>
      <c r="AM23" t="s">
        <v>1335</v>
      </c>
      <c r="AR23" t="s">
        <v>1380</v>
      </c>
      <c r="AS23" t="s">
        <v>1991</v>
      </c>
      <c r="AT23" t="s">
        <v>1380</v>
      </c>
      <c r="AU23" t="s">
        <v>1380</v>
      </c>
      <c r="AV23" t="s">
        <v>1380</v>
      </c>
      <c r="AW23" t="s">
        <v>1727</v>
      </c>
      <c r="AX23" t="s">
        <v>1727</v>
      </c>
      <c r="BA23">
        <v>46027.0</v>
      </c>
      <c r="BB23" t="s">
        <v>1727</v>
      </c>
      <c r="BD23" t="s">
        <v>2151</v>
      </c>
      <c r="BE23" t="s">
        <v>1727</v>
      </c>
      <c r="BF23" t="s">
        <v>1727</v>
      </c>
      <c r="BG23" t="s">
        <v>1727</v>
      </c>
      <c r="BH23" t="s">
        <v>1727</v>
      </c>
      <c r="BJ23" t="s">
        <v>1727</v>
      </c>
      <c r="BK23" t="s">
        <v>1657</v>
      </c>
      <c r="BL23">
        <f>IF($T23="","",IF((IF(AND($AW23&lt;&gt;"Yes",$AW23&lt;&gt;"N/A"),"Power Cable, ","")&amp;IF(AND($AX23&lt;&gt;"Yes",$AX23&lt;&gt;"N/A"),"Battery, ","")&amp;IF(AND($BE23&lt;&gt;"Yes",$BE23&lt;&gt;"N/A"),"Firmware Download, ","")&amp;IF(AND(OR($BE23="Yes",$BE23="N/A"),$BF23&lt;&gt;"Yes",$BF23&lt;&gt;"N/A"),"Firmware Install, ","")&amp;IF(AND($BJ23&lt;&gt;"Yes",$BJ23&lt;&gt;"N/A"),"Device ID, ","")&amp;IF(AND($BK23&lt;&gt;"Yes",$BK23&lt;&gt;"N/A"),"Epic Beans Relay, ",""))="","",LEFT(IF(AND($AW23&lt;&gt;"Yes",$AW23&lt;&gt;"N/A"),"Power Cable, ","")&amp;IF(AND($AX23&lt;&gt;"Yes",$AX23&lt;&gt;"N/A"),"Battery, ","")&amp;IF(AND($BE23&lt;&gt;"Yes",$BE23&lt;&gt;"N/A"),"Firmware Download, ","")&amp;IF(AND(OR($BE23="Yes",$BE23="N/A"),$BF23&lt;&gt;"Yes",$BF23&lt;&gt;"N/A"),"Firmware Install, ","")&amp;IF(AND($BJ23&lt;&gt;"Yes",$BJ23&lt;&gt;"N/A"),"Device ID, ","")&amp;IF(AND($BK23&lt;&gt;"Yes",$BK23&lt;&gt;"N/A"),"Epic Beans Relay, ",""),LEN(IF(AND($AW23&lt;&gt;"Yes",$AW23&lt;&gt;"N/A"),"Power Cable, ","")&amp;IF(AND($AX23&lt;&gt;"Yes",$AX23&lt;&gt;"N/A"),"Battery, ","")&amp;IF(AND($BE23&lt;&gt;"Yes",$BE23&lt;&gt;"N/A"),"Firmware Download, ","")&amp;IF(AND(OR($BE23="Yes",$BE23="N/A"),$BF23&lt;&gt;"Yes",$BF23&lt;&gt;"N/A"),"Firmware Install, ","")&amp;IF(AND($BJ23&lt;&gt;"Yes",$BJ23&lt;&gt;"N/A"),"Device ID, ","")&amp;IF(AND($BK23&lt;&gt;"Yes",$BK23&lt;&gt;"N/A"),"Epic Beans Relay, ",""))-2)))</f>
      </c>
      <c r="BM23">
        <f>IF($T23="","",IF($BL23="","Yes","Blocked"))</f>
      </c>
      <c r="BP23">
        <f>IF($BO23="","",IFERROR(VLOOKUP($BO23,'01_Warehouse_Ledger'!$A:$N,4,FALSE),""))</f>
      </c>
      <c r="BQ23">
        <f>IF($BO23="","",IFERROR(VLOOKUP($BO23,'01_Warehouse_Ledger'!$A:$N,5,FALSE),""))</f>
      </c>
      <c r="BR23">
        <f>IF($BO23="","",IFERROR(VLOOKUP($BO23,'01_Warehouse_Ledger'!$A:$N,13,FALSE),""))</f>
      </c>
    </row>
    <row r="24">
      <c r="A24" t="s">
        <v>1331</v>
      </c>
      <c r="B24" t="s">
        <v>1727</v>
      </c>
      <c r="C24" t="s">
        <v>1727</v>
      </c>
      <c r="D24">
        <f>IF($B24&lt;&gt;"Yes","",IF($C24="No","Yes",IF($C24="Yes","No","")))</f>
      </c>
      <c r="E24">
        <f>IF($A24="","",IF($A24="Neuron",IF(OR(AND($S24&lt;&gt;"",LOWER(TRIM($S24))&lt;&gt;"n/a",COUNTIF($S$2:$S$532,$S24)&gt;1),AND($T24&lt;&gt;"",LOWER(TRIM($T24))&lt;&gt;"n/a",COUNTIF($T$2:$T$532,$T24)&gt;1),AND($W24&lt;&gt;"",LOWER(TRIM($W24))&lt;&gt;"n/a",COUNTIF($W$2:$W$532,$W24)&gt;1)),"Yes","No"),IF($A24="Cybernet",IF(OR(AND($Y24&lt;&gt;"",LOWER(TRIM($Y24))&lt;&gt;"n/a",COUNTIF($Y$2:$Y$532,$Y24)&gt;1),AND($Z24&lt;&gt;"",LOWER(TRIM($Z24))&lt;&gt;"n/a",COUNTIF($Z$2:$Z$532,$Z24)&gt;1)),"Yes","No"),IF(AND($AL24&lt;&gt;"",LOWER(TRIM($AL24))&lt;&gt;"n/a",COUNTIF($AL$2:$AL$532,$AL24)&gt;1),"Yes","No"))))</f>
      </c>
      <c r="F24">
        <f>IF($B24&lt;&gt;"Yes","",
IF($A24="Neuron",
IF(OR(
AND($S24&lt;&gt;"",LOWER(TRIM($S24))&lt;&gt;"n/a",COUNTIFS($B$2:$B$532,"Yes",$A$2:$A$532,"Neuron",$S$2:$S$532,$S24)&gt;1),
AND($T24&lt;&gt;"",LOWER(TRIM($T24))&lt;&gt;"n/a",COUNTIFS($B$2:$B$532,"Yes",$A$2:$A$532,"Neuron",$T$2:$T$532,$T24)&gt;1),
AND($W24&lt;&gt;"",LOWER(TRIM($W24))&lt;&gt;"n/a",COUNTIFS($B$2:$B$532,"Yes",$A$2:$A$532,"Neuron",$W$2:$W$532,$W24)&gt;1)
),"Yes","No"),
IF($A24="Cybernet",
IF(OR(
AND($Y24&lt;&gt;"",LOWER(TRIM($Y24))&lt;&gt;"n/a",COUNTIFS($B$2:$B$532,"Yes",$A$2:$A$532,"Cybernet",$Y$2:$Y$532,$Y24)&gt;1),
AND($Z24&lt;&gt;"",LOWER(TRIM($Z24))&lt;&gt;"n/a",COUNTIFS($B$2:$B$532,"Yes",$A$2:$A$532,"Cybernet",$Z$2:$Z$532,$Z24)&gt;1)
),"Yes","No"),
IF(AND($AL24&lt;&gt;"",LOWER(TRIM($AL24))&lt;&gt;"n/a"),
IF(COUNTIFS($B$2:$B$532,"Yes",$A$2:$A$532,$A24,$AL$2:$AL$532,$AL24)&gt;1,"Yes","No"),
"No")
)
)
)</f>
      </c>
      <c r="G24" t="s">
        <v>2089</v>
      </c>
      <c r="H24" t="s">
        <v>2089</v>
      </c>
      <c r="J24" t="s">
        <v>2115</v>
      </c>
      <c r="K24" t="s">
        <v>2115</v>
      </c>
      <c r="L24" t="s">
        <v>2115</v>
      </c>
      <c r="S24" t="s">
        <v>1944</v>
      </c>
      <c r="T24" t="s">
        <v>2360</v>
      </c>
      <c r="U24" t="s">
        <v>2240</v>
      </c>
      <c r="V24" t="s">
        <v>1727</v>
      </c>
      <c r="W24" t="s">
        <v>1959</v>
      </c>
      <c r="X24" t="s">
        <v>1707</v>
      </c>
      <c r="Y24" t="s">
        <v>1380</v>
      </c>
      <c r="AA24" t="s">
        <v>1867</v>
      </c>
      <c r="AC24" t="s">
        <v>2048</v>
      </c>
      <c r="AD24" t="s">
        <v>1380</v>
      </c>
      <c r="AF24" t="s">
        <v>2257</v>
      </c>
      <c r="AG24" t="s">
        <v>1999</v>
      </c>
      <c r="AH24">
        <v>23</v>
      </c>
      <c r="AI24" t="s">
        <v>1805</v>
      </c>
      <c r="AJ24" t="s">
        <v>2131</v>
      </c>
      <c r="AK24" t="s">
        <v>2361</v>
      </c>
      <c r="AL24" t="s">
        <v>2048</v>
      </c>
      <c r="AM24" t="s">
        <v>1335</v>
      </c>
      <c r="AR24" t="s">
        <v>1380</v>
      </c>
      <c r="AS24" t="s">
        <v>1991</v>
      </c>
      <c r="AT24" t="s">
        <v>1380</v>
      </c>
      <c r="AU24" t="s">
        <v>1380</v>
      </c>
      <c r="AV24" t="s">
        <v>1380</v>
      </c>
      <c r="AW24" t="s">
        <v>1727</v>
      </c>
      <c r="AX24" t="s">
        <v>1727</v>
      </c>
      <c r="BA24">
        <v>46027.0</v>
      </c>
      <c r="BB24" t="s">
        <v>1727</v>
      </c>
      <c r="BD24" t="s">
        <v>2151</v>
      </c>
      <c r="BE24" t="s">
        <v>1727</v>
      </c>
      <c r="BF24" t="s">
        <v>1727</v>
      </c>
      <c r="BG24" t="s">
        <v>1727</v>
      </c>
      <c r="BH24" t="s">
        <v>1727</v>
      </c>
      <c r="BJ24" t="s">
        <v>1727</v>
      </c>
      <c r="BK24" t="s">
        <v>1657</v>
      </c>
      <c r="BL24">
        <f>IF($T24="","",IF((IF(AND($AW24&lt;&gt;"Yes",$AW24&lt;&gt;"N/A"),"Power Cable, ","")&amp;IF(AND($AX24&lt;&gt;"Yes",$AX24&lt;&gt;"N/A"),"Battery, ","")&amp;IF(AND($BE24&lt;&gt;"Yes",$BE24&lt;&gt;"N/A"),"Firmware Download, ","")&amp;IF(AND(OR($BE24="Yes",$BE24="N/A"),$BF24&lt;&gt;"Yes",$BF24&lt;&gt;"N/A"),"Firmware Install, ","")&amp;IF(AND($BJ24&lt;&gt;"Yes",$BJ24&lt;&gt;"N/A"),"Device ID, ","")&amp;IF(AND($BK24&lt;&gt;"Yes",$BK24&lt;&gt;"N/A"),"Epic Beans Relay, ",""))="","",LEFT(IF(AND($AW24&lt;&gt;"Yes",$AW24&lt;&gt;"N/A"),"Power Cable, ","")&amp;IF(AND($AX24&lt;&gt;"Yes",$AX24&lt;&gt;"N/A"),"Battery, ","")&amp;IF(AND($BE24&lt;&gt;"Yes",$BE24&lt;&gt;"N/A"),"Firmware Download, ","")&amp;IF(AND(OR($BE24="Yes",$BE24="N/A"),$BF24&lt;&gt;"Yes",$BF24&lt;&gt;"N/A"),"Firmware Install, ","")&amp;IF(AND($BJ24&lt;&gt;"Yes",$BJ24&lt;&gt;"N/A"),"Device ID, ","")&amp;IF(AND($BK24&lt;&gt;"Yes",$BK24&lt;&gt;"N/A"),"Epic Beans Relay, ",""),LEN(IF(AND($AW24&lt;&gt;"Yes",$AW24&lt;&gt;"N/A"),"Power Cable, ","")&amp;IF(AND($AX24&lt;&gt;"Yes",$AX24&lt;&gt;"N/A"),"Battery, ","")&amp;IF(AND($BE24&lt;&gt;"Yes",$BE24&lt;&gt;"N/A"),"Firmware Download, ","")&amp;IF(AND(OR($BE24="Yes",$BE24="N/A"),$BF24&lt;&gt;"Yes",$BF24&lt;&gt;"N/A"),"Firmware Install, ","")&amp;IF(AND($BJ24&lt;&gt;"Yes",$BJ24&lt;&gt;"N/A"),"Device ID, ","")&amp;IF(AND($BK24&lt;&gt;"Yes",$BK24&lt;&gt;"N/A"),"Epic Beans Relay, ",""))-2)))</f>
      </c>
      <c r="BM24">
        <f>IF($T24="","",IF($BL24="","Yes","Blocked"))</f>
      </c>
      <c r="BP24">
        <f>IF($BO24="","",IFERROR(VLOOKUP($BO24,'01_Warehouse_Ledger'!$A:$N,4,FALSE),""))</f>
      </c>
      <c r="BQ24">
        <f>IF($BO24="","",IFERROR(VLOOKUP($BO24,'01_Warehouse_Ledger'!$A:$N,5,FALSE),""))</f>
      </c>
      <c r="BR24">
        <f>IF($BO24="","",IFERROR(VLOOKUP($BO24,'01_Warehouse_Ledger'!$A:$N,13,FALSE),""))</f>
      </c>
    </row>
    <row r="25">
      <c r="A25" t="s">
        <v>1331</v>
      </c>
      <c r="B25" t="s">
        <v>1727</v>
      </c>
      <c r="C25" t="s">
        <v>1727</v>
      </c>
      <c r="D25">
        <f>IF($B25&lt;&gt;"Yes","",IF($C25="No","Yes",IF($C25="Yes","No","")))</f>
      </c>
      <c r="E25">
        <f>IF($A25="","",IF($A25="Neuron",IF(OR(AND($S25&lt;&gt;"",LOWER(TRIM($S25))&lt;&gt;"n/a",COUNTIF($S$2:$S$532,$S25)&gt;1),AND($T25&lt;&gt;"",LOWER(TRIM($T25))&lt;&gt;"n/a",COUNTIF($T$2:$T$532,$T25)&gt;1),AND($W25&lt;&gt;"",LOWER(TRIM($W25))&lt;&gt;"n/a",COUNTIF($W$2:$W$532,$W25)&gt;1)),"Yes","No"),IF($A25="Cybernet",IF(OR(AND($Y25&lt;&gt;"",LOWER(TRIM($Y25))&lt;&gt;"n/a",COUNTIF($Y$2:$Y$532,$Y25)&gt;1),AND($Z25&lt;&gt;"",LOWER(TRIM($Z25))&lt;&gt;"n/a",COUNTIF($Z$2:$Z$532,$Z25)&gt;1)),"Yes","No"),IF(AND($AL25&lt;&gt;"",LOWER(TRIM($AL25))&lt;&gt;"n/a",COUNTIF($AL$2:$AL$532,$AL25)&gt;1),"Yes","No"))))</f>
      </c>
      <c r="F25">
        <f>IF($B25&lt;&gt;"Yes","",
IF($A25="Neuron",
IF(OR(
AND($S25&lt;&gt;"",LOWER(TRIM($S25))&lt;&gt;"n/a",COUNTIFS($B$2:$B$532,"Yes",$A$2:$A$532,"Neuron",$S$2:$S$532,$S25)&gt;1),
AND($T25&lt;&gt;"",LOWER(TRIM($T25))&lt;&gt;"n/a",COUNTIFS($B$2:$B$532,"Yes",$A$2:$A$532,"Neuron",$T$2:$T$532,$T25)&gt;1),
AND($W25&lt;&gt;"",LOWER(TRIM($W25))&lt;&gt;"n/a",COUNTIFS($B$2:$B$532,"Yes",$A$2:$A$532,"Neuron",$W$2:$W$532,$W25)&gt;1)
),"Yes","No"),
IF($A25="Cybernet",
IF(OR(
AND($Y25&lt;&gt;"",LOWER(TRIM($Y25))&lt;&gt;"n/a",COUNTIFS($B$2:$B$532,"Yes",$A$2:$A$532,"Cybernet",$Y$2:$Y$532,$Y25)&gt;1),
AND($Z25&lt;&gt;"",LOWER(TRIM($Z25))&lt;&gt;"n/a",COUNTIFS($B$2:$B$532,"Yes",$A$2:$A$532,"Cybernet",$Z$2:$Z$532,$Z25)&gt;1)
),"Yes","No"),
IF(AND($AL25&lt;&gt;"",LOWER(TRIM($AL25))&lt;&gt;"n/a"),
IF(COUNTIFS($B$2:$B$532,"Yes",$A$2:$A$532,$A25,$AL$2:$AL$532,$AL25)&gt;1,"Yes","No"),
"No")
)
)
)</f>
      </c>
      <c r="G25" t="s">
        <v>2089</v>
      </c>
      <c r="H25" t="s">
        <v>2089</v>
      </c>
      <c r="J25" t="s">
        <v>2115</v>
      </c>
      <c r="K25" t="s">
        <v>2115</v>
      </c>
      <c r="L25" t="s">
        <v>2115</v>
      </c>
      <c r="S25" t="s">
        <v>1801</v>
      </c>
      <c r="T25" t="s">
        <v>1917</v>
      </c>
      <c r="U25" t="s">
        <v>2309</v>
      </c>
      <c r="V25" t="s">
        <v>1727</v>
      </c>
      <c r="W25" t="s">
        <v>1703</v>
      </c>
      <c r="X25" t="s">
        <v>1707</v>
      </c>
      <c r="Y25" t="s">
        <v>1380</v>
      </c>
      <c r="AA25" t="s">
        <v>1867</v>
      </c>
      <c r="AC25" t="s">
        <v>2125</v>
      </c>
      <c r="AD25" t="s">
        <v>1380</v>
      </c>
      <c r="AF25" t="s">
        <v>2257</v>
      </c>
      <c r="AG25" t="s">
        <v>1999</v>
      </c>
      <c r="AH25">
        <v>24</v>
      </c>
      <c r="AI25" t="s">
        <v>1874</v>
      </c>
      <c r="AJ25" t="s">
        <v>2131</v>
      </c>
      <c r="AK25" t="s">
        <v>2361</v>
      </c>
      <c r="AL25" t="s">
        <v>2125</v>
      </c>
      <c r="AM25" t="s">
        <v>1335</v>
      </c>
      <c r="AR25" t="s">
        <v>1380</v>
      </c>
      <c r="AS25" t="s">
        <v>1991</v>
      </c>
      <c r="AT25" t="s">
        <v>1380</v>
      </c>
      <c r="AU25" t="s">
        <v>1380</v>
      </c>
      <c r="AV25" t="s">
        <v>1380</v>
      </c>
      <c r="AW25" t="s">
        <v>1727</v>
      </c>
      <c r="AX25" t="s">
        <v>1727</v>
      </c>
      <c r="BA25">
        <v>46027.0</v>
      </c>
      <c r="BB25" t="s">
        <v>1727</v>
      </c>
      <c r="BD25" t="s">
        <v>2151</v>
      </c>
      <c r="BE25" t="s">
        <v>1727</v>
      </c>
      <c r="BF25" t="s">
        <v>1727</v>
      </c>
      <c r="BG25" t="s">
        <v>1727</v>
      </c>
      <c r="BH25" t="s">
        <v>1727</v>
      </c>
      <c r="BJ25" t="s">
        <v>1727</v>
      </c>
      <c r="BK25" t="s">
        <v>1657</v>
      </c>
      <c r="BL25">
        <f>IF($T25="","",IF((IF(AND($AW25&lt;&gt;"Yes",$AW25&lt;&gt;"N/A"),"Power Cable, ","")&amp;IF(AND($AX25&lt;&gt;"Yes",$AX25&lt;&gt;"N/A"),"Battery, ","")&amp;IF(AND($BE25&lt;&gt;"Yes",$BE25&lt;&gt;"N/A"),"Firmware Download, ","")&amp;IF(AND(OR($BE25="Yes",$BE25="N/A"),$BF25&lt;&gt;"Yes",$BF25&lt;&gt;"N/A"),"Firmware Install, ","")&amp;IF(AND($BJ25&lt;&gt;"Yes",$BJ25&lt;&gt;"N/A"),"Device ID, ","")&amp;IF(AND($BK25&lt;&gt;"Yes",$BK25&lt;&gt;"N/A"),"Epic Beans Relay, ",""))="","",LEFT(IF(AND($AW25&lt;&gt;"Yes",$AW25&lt;&gt;"N/A"),"Power Cable, ","")&amp;IF(AND($AX25&lt;&gt;"Yes",$AX25&lt;&gt;"N/A"),"Battery, ","")&amp;IF(AND($BE25&lt;&gt;"Yes",$BE25&lt;&gt;"N/A"),"Firmware Download, ","")&amp;IF(AND(OR($BE25="Yes",$BE25="N/A"),$BF25&lt;&gt;"Yes",$BF25&lt;&gt;"N/A"),"Firmware Install, ","")&amp;IF(AND($BJ25&lt;&gt;"Yes",$BJ25&lt;&gt;"N/A"),"Device ID, ","")&amp;IF(AND($BK25&lt;&gt;"Yes",$BK25&lt;&gt;"N/A"),"Epic Beans Relay, ",""),LEN(IF(AND($AW25&lt;&gt;"Yes",$AW25&lt;&gt;"N/A"),"Power Cable, ","")&amp;IF(AND($AX25&lt;&gt;"Yes",$AX25&lt;&gt;"N/A"),"Battery, ","")&amp;IF(AND($BE25&lt;&gt;"Yes",$BE25&lt;&gt;"N/A"),"Firmware Download, ","")&amp;IF(AND(OR($BE25="Yes",$BE25="N/A"),$BF25&lt;&gt;"Yes",$BF25&lt;&gt;"N/A"),"Firmware Install, ","")&amp;IF(AND($BJ25&lt;&gt;"Yes",$BJ25&lt;&gt;"N/A"),"Device ID, ","")&amp;IF(AND($BK25&lt;&gt;"Yes",$BK25&lt;&gt;"N/A"),"Epic Beans Relay, ",""))-2)))</f>
      </c>
      <c r="BM25">
        <f>IF($T25="","",IF($BL25="","Yes","Blocked"))</f>
      </c>
      <c r="BP25">
        <f>IF($BO25="","",IFERROR(VLOOKUP($BO25,'01_Warehouse_Ledger'!$A:$N,4,FALSE),""))</f>
      </c>
      <c r="BQ25">
        <f>IF($BO25="","",IFERROR(VLOOKUP($BO25,'01_Warehouse_Ledger'!$A:$N,5,FALSE),""))</f>
      </c>
      <c r="BR25">
        <f>IF($BO25="","",IFERROR(VLOOKUP($BO25,'01_Warehouse_Ledger'!$A:$N,13,FALSE),""))</f>
      </c>
    </row>
    <row r="26">
      <c r="A26" t="s">
        <v>1331</v>
      </c>
      <c r="B26" t="s">
        <v>1727</v>
      </c>
      <c r="C26" t="s">
        <v>1727</v>
      </c>
      <c r="D26">
        <f>IF($B26&lt;&gt;"Yes","",IF($C26="No","Yes",IF($C26="Yes","No","")))</f>
      </c>
      <c r="E26">
        <f>IF($A26="","",IF($A26="Neuron",IF(OR(AND($S26&lt;&gt;"",LOWER(TRIM($S26))&lt;&gt;"n/a",COUNTIF($S$2:$S$532,$S26)&gt;1),AND($T26&lt;&gt;"",LOWER(TRIM($T26))&lt;&gt;"n/a",COUNTIF($T$2:$T$532,$T26)&gt;1),AND($W26&lt;&gt;"",LOWER(TRIM($W26))&lt;&gt;"n/a",COUNTIF($W$2:$W$532,$W26)&gt;1)),"Yes","No"),IF($A26="Cybernet",IF(OR(AND($Y26&lt;&gt;"",LOWER(TRIM($Y26))&lt;&gt;"n/a",COUNTIF($Y$2:$Y$532,$Y26)&gt;1),AND($Z26&lt;&gt;"",LOWER(TRIM($Z26))&lt;&gt;"n/a",COUNTIF($Z$2:$Z$532,$Z26)&gt;1)),"Yes","No"),IF(AND($AL26&lt;&gt;"",LOWER(TRIM($AL26))&lt;&gt;"n/a",COUNTIF($AL$2:$AL$532,$AL26)&gt;1),"Yes","No"))))</f>
      </c>
      <c r="F26">
        <f>IF($B26&lt;&gt;"Yes","",
IF($A26="Neuron",
IF(OR(
AND($S26&lt;&gt;"",LOWER(TRIM($S26))&lt;&gt;"n/a",COUNTIFS($B$2:$B$532,"Yes",$A$2:$A$532,"Neuron",$S$2:$S$532,$S26)&gt;1),
AND($T26&lt;&gt;"",LOWER(TRIM($T26))&lt;&gt;"n/a",COUNTIFS($B$2:$B$532,"Yes",$A$2:$A$532,"Neuron",$T$2:$T$532,$T26)&gt;1),
AND($W26&lt;&gt;"",LOWER(TRIM($W26))&lt;&gt;"n/a",COUNTIFS($B$2:$B$532,"Yes",$A$2:$A$532,"Neuron",$W$2:$W$532,$W26)&gt;1)
),"Yes","No"),
IF($A26="Cybernet",
IF(OR(
AND($Y26&lt;&gt;"",LOWER(TRIM($Y26))&lt;&gt;"n/a",COUNTIFS($B$2:$B$532,"Yes",$A$2:$A$532,"Cybernet",$Y$2:$Y$532,$Y26)&gt;1),
AND($Z26&lt;&gt;"",LOWER(TRIM($Z26))&lt;&gt;"n/a",COUNTIFS($B$2:$B$532,"Yes",$A$2:$A$532,"Cybernet",$Z$2:$Z$532,$Z26)&gt;1)
),"Yes","No"),
IF(AND($AL26&lt;&gt;"",LOWER(TRIM($AL26))&lt;&gt;"n/a"),
IF(COUNTIFS($B$2:$B$532,"Yes",$A$2:$A$532,$A26,$AL$2:$AL$532,$AL26)&gt;1,"Yes","No"),
"No")
)
)
)</f>
      </c>
      <c r="G26" t="s">
        <v>2089</v>
      </c>
      <c r="H26" t="s">
        <v>2089</v>
      </c>
      <c r="J26" t="s">
        <v>2115</v>
      </c>
      <c r="K26" t="s">
        <v>2115</v>
      </c>
      <c r="L26" t="s">
        <v>2115</v>
      </c>
      <c r="S26" t="s">
        <v>1992</v>
      </c>
      <c r="T26" t="s">
        <v>2276</v>
      </c>
      <c r="U26" t="s">
        <v>1844</v>
      </c>
      <c r="V26" t="s">
        <v>1727</v>
      </c>
      <c r="W26" t="s">
        <v>2266</v>
      </c>
      <c r="X26" t="s">
        <v>1707</v>
      </c>
      <c r="Y26" t="s">
        <v>1380</v>
      </c>
      <c r="AA26" t="s">
        <v>1867</v>
      </c>
      <c r="AC26" t="s">
        <v>1896</v>
      </c>
      <c r="AD26" t="s">
        <v>1380</v>
      </c>
      <c r="AF26" t="s">
        <v>2257</v>
      </c>
      <c r="AG26" t="s">
        <v>1999</v>
      </c>
      <c r="AH26">
        <v>25</v>
      </c>
      <c r="AI26" t="s">
        <v>1836</v>
      </c>
      <c r="AJ26" t="s">
        <v>2131</v>
      </c>
      <c r="AK26" t="s">
        <v>2361</v>
      </c>
      <c r="AL26" t="s">
        <v>1896</v>
      </c>
      <c r="AM26" t="s">
        <v>1335</v>
      </c>
      <c r="AR26" t="s">
        <v>1380</v>
      </c>
      <c r="AS26" t="s">
        <v>1991</v>
      </c>
      <c r="AT26" t="s">
        <v>1380</v>
      </c>
      <c r="AU26" t="s">
        <v>1380</v>
      </c>
      <c r="AV26" t="s">
        <v>1380</v>
      </c>
      <c r="AW26" t="s">
        <v>1727</v>
      </c>
      <c r="AX26" t="s">
        <v>1727</v>
      </c>
      <c r="BA26">
        <v>46027.0</v>
      </c>
      <c r="BB26" t="s">
        <v>1727</v>
      </c>
      <c r="BD26" t="s">
        <v>2151</v>
      </c>
      <c r="BE26" t="s">
        <v>1727</v>
      </c>
      <c r="BF26" t="s">
        <v>1727</v>
      </c>
      <c r="BG26" t="s">
        <v>1727</v>
      </c>
      <c r="BH26" t="s">
        <v>1727</v>
      </c>
      <c r="BJ26" t="s">
        <v>1727</v>
      </c>
      <c r="BK26" t="s">
        <v>1657</v>
      </c>
      <c r="BL26">
        <f>IF($T26="","",IF((IF(AND($AW26&lt;&gt;"Yes",$AW26&lt;&gt;"N/A"),"Power Cable, ","")&amp;IF(AND($AX26&lt;&gt;"Yes",$AX26&lt;&gt;"N/A"),"Battery, ","")&amp;IF(AND($BE26&lt;&gt;"Yes",$BE26&lt;&gt;"N/A"),"Firmware Download, ","")&amp;IF(AND(OR($BE26="Yes",$BE26="N/A"),$BF26&lt;&gt;"Yes",$BF26&lt;&gt;"N/A"),"Firmware Install, ","")&amp;IF(AND($BJ26&lt;&gt;"Yes",$BJ26&lt;&gt;"N/A"),"Device ID, ","")&amp;IF(AND($BK26&lt;&gt;"Yes",$BK26&lt;&gt;"N/A"),"Epic Beans Relay, ",""))="","",LEFT(IF(AND($AW26&lt;&gt;"Yes",$AW26&lt;&gt;"N/A"),"Power Cable, ","")&amp;IF(AND($AX26&lt;&gt;"Yes",$AX26&lt;&gt;"N/A"),"Battery, ","")&amp;IF(AND($BE26&lt;&gt;"Yes",$BE26&lt;&gt;"N/A"),"Firmware Download, ","")&amp;IF(AND(OR($BE26="Yes",$BE26="N/A"),$BF26&lt;&gt;"Yes",$BF26&lt;&gt;"N/A"),"Firmware Install, ","")&amp;IF(AND($BJ26&lt;&gt;"Yes",$BJ26&lt;&gt;"N/A"),"Device ID, ","")&amp;IF(AND($BK26&lt;&gt;"Yes",$BK26&lt;&gt;"N/A"),"Epic Beans Relay, ",""),LEN(IF(AND($AW26&lt;&gt;"Yes",$AW26&lt;&gt;"N/A"),"Power Cable, ","")&amp;IF(AND($AX26&lt;&gt;"Yes",$AX26&lt;&gt;"N/A"),"Battery, ","")&amp;IF(AND($BE26&lt;&gt;"Yes",$BE26&lt;&gt;"N/A"),"Firmware Download, ","")&amp;IF(AND(OR($BE26="Yes",$BE26="N/A"),$BF26&lt;&gt;"Yes",$BF26&lt;&gt;"N/A"),"Firmware Install, ","")&amp;IF(AND($BJ26&lt;&gt;"Yes",$BJ26&lt;&gt;"N/A"),"Device ID, ","")&amp;IF(AND($BK26&lt;&gt;"Yes",$BK26&lt;&gt;"N/A"),"Epic Beans Relay, ",""))-2)))</f>
      </c>
      <c r="BM26">
        <f>IF($T26="","",IF($BL26="","Yes","Blocked"))</f>
      </c>
      <c r="BP26">
        <f>IF($BO26="","",IFERROR(VLOOKUP($BO26,'01_Warehouse_Ledger'!$A:$N,4,FALSE),""))</f>
      </c>
      <c r="BQ26">
        <f>IF($BO26="","",IFERROR(VLOOKUP($BO26,'01_Warehouse_Ledger'!$A:$N,5,FALSE),""))</f>
      </c>
      <c r="BR26">
        <f>IF($BO26="","",IFERROR(VLOOKUP($BO26,'01_Warehouse_Ledger'!$A:$N,13,FALSE),""))</f>
      </c>
    </row>
    <row r="27">
      <c r="A27" t="s">
        <v>1331</v>
      </c>
      <c r="B27" t="s">
        <v>1727</v>
      </c>
      <c r="C27" t="s">
        <v>1657</v>
      </c>
      <c r="D27">
        <f>IF($B27&lt;&gt;"Yes","",IF($C27="No","Yes",IF($C27="Yes","No","")))</f>
      </c>
      <c r="E27">
        <f>IF($A27="","",IF($A27="Neuron",IF(OR(AND($S27&lt;&gt;"",LOWER(TRIM($S27))&lt;&gt;"n/a",COUNTIF($S$2:$S$532,$S27)&gt;1),AND($T27&lt;&gt;"",LOWER(TRIM($T27))&lt;&gt;"n/a",COUNTIF($T$2:$T$532,$T27)&gt;1),AND($W27&lt;&gt;"",LOWER(TRIM($W27))&lt;&gt;"n/a",COUNTIF($W$2:$W$532,$W27)&gt;1)),"Yes","No"),IF($A27="Cybernet",IF(OR(AND($Y27&lt;&gt;"",LOWER(TRIM($Y27))&lt;&gt;"n/a",COUNTIF($Y$2:$Y$532,$Y27)&gt;1),AND($Z27&lt;&gt;"",LOWER(TRIM($Z27))&lt;&gt;"n/a",COUNTIF($Z$2:$Z$532,$Z27)&gt;1)),"Yes","No"),IF(AND($AL27&lt;&gt;"",LOWER(TRIM($AL27))&lt;&gt;"n/a",COUNTIF($AL$2:$AL$532,$AL27)&gt;1),"Yes","No"))))</f>
      </c>
      <c r="F27">
        <f>IF($B27&lt;&gt;"Yes","",
IF($A27="Neuron",
IF(OR(
AND($S27&lt;&gt;"",LOWER(TRIM($S27))&lt;&gt;"n/a",COUNTIFS($B$2:$B$532,"Yes",$A$2:$A$532,"Neuron",$S$2:$S$532,$S27)&gt;1),
AND($T27&lt;&gt;"",LOWER(TRIM($T27))&lt;&gt;"n/a",COUNTIFS($B$2:$B$532,"Yes",$A$2:$A$532,"Neuron",$T$2:$T$532,$T27)&gt;1),
AND($W27&lt;&gt;"",LOWER(TRIM($W27))&lt;&gt;"n/a",COUNTIFS($B$2:$B$532,"Yes",$A$2:$A$532,"Neuron",$W$2:$W$532,$W27)&gt;1)
),"Yes","No"),
IF($A27="Cybernet",
IF(OR(
AND($Y27&lt;&gt;"",LOWER(TRIM($Y27))&lt;&gt;"n/a",COUNTIFS($B$2:$B$532,"Yes",$A$2:$A$532,"Cybernet",$Y$2:$Y$532,$Y27)&gt;1),
AND($Z27&lt;&gt;"",LOWER(TRIM($Z27))&lt;&gt;"n/a",COUNTIFS($B$2:$B$532,"Yes",$A$2:$A$532,"Cybernet",$Z$2:$Z$532,$Z27)&gt;1)
),"Yes","No"),
IF(AND($AL27&lt;&gt;"",LOWER(TRIM($AL27))&lt;&gt;"n/a"),
IF(COUNTIFS($B$2:$B$532,"Yes",$A$2:$A$532,$A27,$AL$2:$AL$532,$AL27)&gt;1,"Yes","No"),
"No")
)
)
)</f>
      </c>
      <c r="G27" t="s">
        <v>2089</v>
      </c>
      <c r="H27" t="s">
        <v>2089</v>
      </c>
      <c r="J27" t="s">
        <v>2115</v>
      </c>
      <c r="K27" t="s">
        <v>2115</v>
      </c>
      <c r="L27" t="s">
        <v>2115</v>
      </c>
      <c r="S27" t="s">
        <v>1642</v>
      </c>
      <c r="T27" t="s">
        <v>2399</v>
      </c>
      <c r="U27" t="s">
        <v>1997</v>
      </c>
      <c r="V27" t="s">
        <v>1727</v>
      </c>
      <c r="W27" t="s">
        <v>1890</v>
      </c>
      <c r="X27" t="s">
        <v>1707</v>
      </c>
      <c r="Y27" t="s">
        <v>1380</v>
      </c>
      <c r="AA27" t="s">
        <v>1867</v>
      </c>
      <c r="AD27" t="s">
        <v>1380</v>
      </c>
      <c r="AW27" t="s">
        <v>1727</v>
      </c>
      <c r="AX27" t="s">
        <v>1727</v>
      </c>
      <c r="BA27">
        <v>46027.0</v>
      </c>
      <c r="BB27" t="s">
        <v>1727</v>
      </c>
      <c r="BD27" t="s">
        <v>2151</v>
      </c>
      <c r="BE27" t="s">
        <v>1727</v>
      </c>
      <c r="BF27" t="s">
        <v>1727</v>
      </c>
      <c r="BG27" t="s">
        <v>1727</v>
      </c>
      <c r="BH27" t="s">
        <v>1727</v>
      </c>
      <c r="BJ27" t="s">
        <v>1727</v>
      </c>
      <c r="BK27" t="s">
        <v>1657</v>
      </c>
      <c r="BL27">
        <f>IF($T27="","",IF((IF(AND($AW27&lt;&gt;"Yes",$AW27&lt;&gt;"N/A"),"Power Cable, ","")&amp;IF(AND($AX27&lt;&gt;"Yes",$AX27&lt;&gt;"N/A"),"Battery, ","")&amp;IF(AND($BE27&lt;&gt;"Yes",$BE27&lt;&gt;"N/A"),"Firmware Download, ","")&amp;IF(AND(OR($BE27="Yes",$BE27="N/A"),$BF27&lt;&gt;"Yes",$BF27&lt;&gt;"N/A"),"Firmware Install, ","")&amp;IF(AND($BJ27&lt;&gt;"Yes",$BJ27&lt;&gt;"N/A"),"Device ID, ","")&amp;IF(AND($BK27&lt;&gt;"Yes",$BK27&lt;&gt;"N/A"),"Epic Beans Relay, ",""))="","",LEFT(IF(AND($AW27&lt;&gt;"Yes",$AW27&lt;&gt;"N/A"),"Power Cable, ","")&amp;IF(AND($AX27&lt;&gt;"Yes",$AX27&lt;&gt;"N/A"),"Battery, ","")&amp;IF(AND($BE27&lt;&gt;"Yes",$BE27&lt;&gt;"N/A"),"Firmware Download, ","")&amp;IF(AND(OR($BE27="Yes",$BE27="N/A"),$BF27&lt;&gt;"Yes",$BF27&lt;&gt;"N/A"),"Firmware Install, ","")&amp;IF(AND($BJ27&lt;&gt;"Yes",$BJ27&lt;&gt;"N/A"),"Device ID, ","")&amp;IF(AND($BK27&lt;&gt;"Yes",$BK27&lt;&gt;"N/A"),"Epic Beans Relay, ",""),LEN(IF(AND($AW27&lt;&gt;"Yes",$AW27&lt;&gt;"N/A"),"Power Cable, ","")&amp;IF(AND($AX27&lt;&gt;"Yes",$AX27&lt;&gt;"N/A"),"Battery, ","")&amp;IF(AND($BE27&lt;&gt;"Yes",$BE27&lt;&gt;"N/A"),"Firmware Download, ","")&amp;IF(AND(OR($BE27="Yes",$BE27="N/A"),$BF27&lt;&gt;"Yes",$BF27&lt;&gt;"N/A"),"Firmware Install, ","")&amp;IF(AND($BJ27&lt;&gt;"Yes",$BJ27&lt;&gt;"N/A"),"Device ID, ","")&amp;IF(AND($BK27&lt;&gt;"Yes",$BK27&lt;&gt;"N/A"),"Epic Beans Relay, ",""))-2)))</f>
      </c>
      <c r="BM27">
        <f>IF($T27="","",IF($BL27="","Yes","Blocked"))</f>
      </c>
      <c r="BP27">
        <f>IF($BO27="","",IFERROR(VLOOKUP($BO27,'01_Warehouse_Ledger'!$A:$N,4,FALSE),""))</f>
      </c>
      <c r="BQ27">
        <f>IF($BO27="","",IFERROR(VLOOKUP($BO27,'01_Warehouse_Ledger'!$A:$N,5,FALSE),""))</f>
      </c>
      <c r="BR27">
        <f>IF($BO27="","",IFERROR(VLOOKUP($BO27,'01_Warehouse_Ledger'!$A:$N,13,FALSE),""))</f>
      </c>
    </row>
    <row r="28">
      <c r="A28" t="s">
        <v>1331</v>
      </c>
      <c r="B28" t="s">
        <v>1727</v>
      </c>
      <c r="C28" t="s">
        <v>1657</v>
      </c>
      <c r="D28">
        <f>IF($B28&lt;&gt;"Yes","",IF($C28="No","Yes",IF($C28="Yes","No","")))</f>
      </c>
      <c r="E28">
        <f>IF($A28="","",IF($A28="Neuron",IF(OR(AND($S28&lt;&gt;"",LOWER(TRIM($S28))&lt;&gt;"n/a",COUNTIF($S$2:$S$532,$S28)&gt;1),AND($T28&lt;&gt;"",LOWER(TRIM($T28))&lt;&gt;"n/a",COUNTIF($T$2:$T$532,$T28)&gt;1),AND($W28&lt;&gt;"",LOWER(TRIM($W28))&lt;&gt;"n/a",COUNTIF($W$2:$W$532,$W28)&gt;1)),"Yes","No"),IF($A28="Cybernet",IF(OR(AND($Y28&lt;&gt;"",LOWER(TRIM($Y28))&lt;&gt;"n/a",COUNTIF($Y$2:$Y$532,$Y28)&gt;1),AND($Z28&lt;&gt;"",LOWER(TRIM($Z28))&lt;&gt;"n/a",COUNTIF($Z$2:$Z$532,$Z28)&gt;1)),"Yes","No"),IF(AND($AL28&lt;&gt;"",LOWER(TRIM($AL28))&lt;&gt;"n/a",COUNTIF($AL$2:$AL$532,$AL28)&gt;1),"Yes","No"))))</f>
      </c>
      <c r="F28">
        <f>IF($B28&lt;&gt;"Yes","",
IF($A28="Neuron",
IF(OR(
AND($S28&lt;&gt;"",LOWER(TRIM($S28))&lt;&gt;"n/a",COUNTIFS($B$2:$B$532,"Yes",$A$2:$A$532,"Neuron",$S$2:$S$532,$S28)&gt;1),
AND($T28&lt;&gt;"",LOWER(TRIM($T28))&lt;&gt;"n/a",COUNTIFS($B$2:$B$532,"Yes",$A$2:$A$532,"Neuron",$T$2:$T$532,$T28)&gt;1),
AND($W28&lt;&gt;"",LOWER(TRIM($W28))&lt;&gt;"n/a",COUNTIFS($B$2:$B$532,"Yes",$A$2:$A$532,"Neuron",$W$2:$W$532,$W28)&gt;1)
),"Yes","No"),
IF($A28="Cybernet",
IF(OR(
AND($Y28&lt;&gt;"",LOWER(TRIM($Y28))&lt;&gt;"n/a",COUNTIFS($B$2:$B$532,"Yes",$A$2:$A$532,"Cybernet",$Y$2:$Y$532,$Y28)&gt;1),
AND($Z28&lt;&gt;"",LOWER(TRIM($Z28))&lt;&gt;"n/a",COUNTIFS($B$2:$B$532,"Yes",$A$2:$A$532,"Cybernet",$Z$2:$Z$532,$Z28)&gt;1)
),"Yes","No"),
IF(AND($AL28&lt;&gt;"",LOWER(TRIM($AL28))&lt;&gt;"n/a"),
IF(COUNTIFS($B$2:$B$532,"Yes",$A$2:$A$532,$A28,$AL$2:$AL$532,$AL28)&gt;1,"Yes","No"),
"No")
)
)
)</f>
      </c>
      <c r="G28" t="s">
        <v>2089</v>
      </c>
      <c r="H28" t="s">
        <v>2089</v>
      </c>
      <c r="J28" t="s">
        <v>2115</v>
      </c>
      <c r="K28" t="s">
        <v>2115</v>
      </c>
      <c r="L28" t="s">
        <v>2115</v>
      </c>
      <c r="S28" t="s">
        <v>1758</v>
      </c>
      <c r="T28" t="s">
        <v>2164</v>
      </c>
      <c r="U28" t="s">
        <v>1977</v>
      </c>
      <c r="V28" t="s">
        <v>1727</v>
      </c>
      <c r="W28" t="s">
        <v>1759</v>
      </c>
      <c r="X28" t="s">
        <v>1707</v>
      </c>
      <c r="Y28" t="s">
        <v>1380</v>
      </c>
      <c r="AA28" t="s">
        <v>1867</v>
      </c>
      <c r="AD28" t="s">
        <v>1380</v>
      </c>
      <c r="AW28" t="s">
        <v>1727</v>
      </c>
      <c r="AX28" t="s">
        <v>1727</v>
      </c>
      <c r="BA28">
        <v>46027.0</v>
      </c>
      <c r="BB28" t="s">
        <v>1727</v>
      </c>
      <c r="BD28" t="s">
        <v>2151</v>
      </c>
      <c r="BE28" t="s">
        <v>1727</v>
      </c>
      <c r="BF28" t="s">
        <v>1727</v>
      </c>
      <c r="BG28" t="s">
        <v>1727</v>
      </c>
      <c r="BH28" t="s">
        <v>1727</v>
      </c>
      <c r="BJ28" t="s">
        <v>1727</v>
      </c>
      <c r="BK28" t="s">
        <v>1657</v>
      </c>
      <c r="BL28">
        <f>IF($T28="","",IF((IF(AND($AW28&lt;&gt;"Yes",$AW28&lt;&gt;"N/A"),"Power Cable, ","")&amp;IF(AND($AX28&lt;&gt;"Yes",$AX28&lt;&gt;"N/A"),"Battery, ","")&amp;IF(AND($BE28&lt;&gt;"Yes",$BE28&lt;&gt;"N/A"),"Firmware Download, ","")&amp;IF(AND(OR($BE28="Yes",$BE28="N/A"),$BF28&lt;&gt;"Yes",$BF28&lt;&gt;"N/A"),"Firmware Install, ","")&amp;IF(AND($BJ28&lt;&gt;"Yes",$BJ28&lt;&gt;"N/A"),"Device ID, ","")&amp;IF(AND($BK28&lt;&gt;"Yes",$BK28&lt;&gt;"N/A"),"Epic Beans Relay, ",""))="","",LEFT(IF(AND($AW28&lt;&gt;"Yes",$AW28&lt;&gt;"N/A"),"Power Cable, ","")&amp;IF(AND($AX28&lt;&gt;"Yes",$AX28&lt;&gt;"N/A"),"Battery, ","")&amp;IF(AND($BE28&lt;&gt;"Yes",$BE28&lt;&gt;"N/A"),"Firmware Download, ","")&amp;IF(AND(OR($BE28="Yes",$BE28="N/A"),$BF28&lt;&gt;"Yes",$BF28&lt;&gt;"N/A"),"Firmware Install, ","")&amp;IF(AND($BJ28&lt;&gt;"Yes",$BJ28&lt;&gt;"N/A"),"Device ID, ","")&amp;IF(AND($BK28&lt;&gt;"Yes",$BK28&lt;&gt;"N/A"),"Epic Beans Relay, ",""),LEN(IF(AND($AW28&lt;&gt;"Yes",$AW28&lt;&gt;"N/A"),"Power Cable, ","")&amp;IF(AND($AX28&lt;&gt;"Yes",$AX28&lt;&gt;"N/A"),"Battery, ","")&amp;IF(AND($BE28&lt;&gt;"Yes",$BE28&lt;&gt;"N/A"),"Firmware Download, ","")&amp;IF(AND(OR($BE28="Yes",$BE28="N/A"),$BF28&lt;&gt;"Yes",$BF28&lt;&gt;"N/A"),"Firmware Install, ","")&amp;IF(AND($BJ28&lt;&gt;"Yes",$BJ28&lt;&gt;"N/A"),"Device ID, ","")&amp;IF(AND($BK28&lt;&gt;"Yes",$BK28&lt;&gt;"N/A"),"Epic Beans Relay, ",""))-2)))</f>
      </c>
      <c r="BM28">
        <f>IF($T28="","",IF($BL28="","Yes","Blocked"))</f>
      </c>
      <c r="BP28">
        <f>IF($BO28="","",IFERROR(VLOOKUP($BO28,'01_Warehouse_Ledger'!$A:$N,4,FALSE),""))</f>
      </c>
      <c r="BQ28">
        <f>IF($BO28="","",IFERROR(VLOOKUP($BO28,'01_Warehouse_Ledger'!$A:$N,5,FALSE),""))</f>
      </c>
      <c r="BR28">
        <f>IF($BO28="","",IFERROR(VLOOKUP($BO28,'01_Warehouse_Ledger'!$A:$N,13,FALSE),""))</f>
      </c>
    </row>
    <row r="29">
      <c r="A29" t="s">
        <v>1331</v>
      </c>
      <c r="B29" t="s">
        <v>1727</v>
      </c>
      <c r="C29" t="s">
        <v>1657</v>
      </c>
      <c r="D29">
        <f>IF($B29&lt;&gt;"Yes","",IF($C29="No","Yes",IF($C29="Yes","No","")))</f>
      </c>
      <c r="E29">
        <f>IF($A29="","",IF($A29="Neuron",IF(OR(AND($S29&lt;&gt;"",LOWER(TRIM($S29))&lt;&gt;"n/a",COUNTIF($S$2:$S$532,$S29)&gt;1),AND($T29&lt;&gt;"",LOWER(TRIM($T29))&lt;&gt;"n/a",COUNTIF($T$2:$T$532,$T29)&gt;1),AND($W29&lt;&gt;"",LOWER(TRIM($W29))&lt;&gt;"n/a",COUNTIF($W$2:$W$532,$W29)&gt;1)),"Yes","No"),IF($A29="Cybernet",IF(OR(AND($Y29&lt;&gt;"",LOWER(TRIM($Y29))&lt;&gt;"n/a",COUNTIF($Y$2:$Y$532,$Y29)&gt;1),AND($Z29&lt;&gt;"",LOWER(TRIM($Z29))&lt;&gt;"n/a",COUNTIF($Z$2:$Z$532,$Z29)&gt;1)),"Yes","No"),IF(AND($AL29&lt;&gt;"",LOWER(TRIM($AL29))&lt;&gt;"n/a",COUNTIF($AL$2:$AL$532,$AL29)&gt;1),"Yes","No"))))</f>
      </c>
      <c r="F29">
        <f>IF($B29&lt;&gt;"Yes","",
IF($A29="Neuron",
IF(OR(
AND($S29&lt;&gt;"",LOWER(TRIM($S29))&lt;&gt;"n/a",COUNTIFS($B$2:$B$532,"Yes",$A$2:$A$532,"Neuron",$S$2:$S$532,$S29)&gt;1),
AND($T29&lt;&gt;"",LOWER(TRIM($T29))&lt;&gt;"n/a",COUNTIFS($B$2:$B$532,"Yes",$A$2:$A$532,"Neuron",$T$2:$T$532,$T29)&gt;1),
AND($W29&lt;&gt;"",LOWER(TRIM($W29))&lt;&gt;"n/a",COUNTIFS($B$2:$B$532,"Yes",$A$2:$A$532,"Neuron",$W$2:$W$532,$W29)&gt;1)
),"Yes","No"),
IF($A29="Cybernet",
IF(OR(
AND($Y29&lt;&gt;"",LOWER(TRIM($Y29))&lt;&gt;"n/a",COUNTIFS($B$2:$B$532,"Yes",$A$2:$A$532,"Cybernet",$Y$2:$Y$532,$Y29)&gt;1),
AND($Z29&lt;&gt;"",LOWER(TRIM($Z29))&lt;&gt;"n/a",COUNTIFS($B$2:$B$532,"Yes",$A$2:$A$532,"Cybernet",$Z$2:$Z$532,$Z29)&gt;1)
),"Yes","No"),
IF(AND($AL29&lt;&gt;"",LOWER(TRIM($AL29))&lt;&gt;"n/a"),
IF(COUNTIFS($B$2:$B$532,"Yes",$A$2:$A$532,$A29,$AL$2:$AL$532,$AL29)&gt;1,"Yes","No"),
"No")
)
)
)</f>
      </c>
      <c r="G29" t="s">
        <v>2089</v>
      </c>
      <c r="H29" t="s">
        <v>2089</v>
      </c>
      <c r="J29" t="s">
        <v>2115</v>
      </c>
      <c r="K29" t="s">
        <v>2115</v>
      </c>
      <c r="L29" t="s">
        <v>2115</v>
      </c>
      <c r="S29" t="s">
        <v>2273</v>
      </c>
      <c r="T29" t="s">
        <v>2069</v>
      </c>
      <c r="U29" t="s">
        <v>2052</v>
      </c>
      <c r="V29" t="s">
        <v>1727</v>
      </c>
      <c r="W29" t="s">
        <v>2220</v>
      </c>
      <c r="X29" t="s">
        <v>1707</v>
      </c>
      <c r="Y29" t="s">
        <v>1380</v>
      </c>
      <c r="AA29" t="s">
        <v>1867</v>
      </c>
      <c r="AD29" t="s">
        <v>1380</v>
      </c>
      <c r="AW29" t="s">
        <v>1727</v>
      </c>
      <c r="AX29" t="s">
        <v>1727</v>
      </c>
      <c r="BA29">
        <v>46027.0</v>
      </c>
      <c r="BB29" t="s">
        <v>1727</v>
      </c>
      <c r="BD29" t="s">
        <v>2151</v>
      </c>
      <c r="BE29" t="s">
        <v>1727</v>
      </c>
      <c r="BF29" t="s">
        <v>1727</v>
      </c>
      <c r="BG29" t="s">
        <v>1727</v>
      </c>
      <c r="BH29" t="s">
        <v>1727</v>
      </c>
      <c r="BJ29" t="s">
        <v>1727</v>
      </c>
      <c r="BK29" t="s">
        <v>1657</v>
      </c>
      <c r="BL29">
        <f>IF($T29="","",IF((IF(AND($AW29&lt;&gt;"Yes",$AW29&lt;&gt;"N/A"),"Power Cable, ","")&amp;IF(AND($AX29&lt;&gt;"Yes",$AX29&lt;&gt;"N/A"),"Battery, ","")&amp;IF(AND($BE29&lt;&gt;"Yes",$BE29&lt;&gt;"N/A"),"Firmware Download, ","")&amp;IF(AND(OR($BE29="Yes",$BE29="N/A"),$BF29&lt;&gt;"Yes",$BF29&lt;&gt;"N/A"),"Firmware Install, ","")&amp;IF(AND($BJ29&lt;&gt;"Yes",$BJ29&lt;&gt;"N/A"),"Device ID, ","")&amp;IF(AND($BK29&lt;&gt;"Yes",$BK29&lt;&gt;"N/A"),"Epic Beans Relay, ",""))="","",LEFT(IF(AND($AW29&lt;&gt;"Yes",$AW29&lt;&gt;"N/A"),"Power Cable, ","")&amp;IF(AND($AX29&lt;&gt;"Yes",$AX29&lt;&gt;"N/A"),"Battery, ","")&amp;IF(AND($BE29&lt;&gt;"Yes",$BE29&lt;&gt;"N/A"),"Firmware Download, ","")&amp;IF(AND(OR($BE29="Yes",$BE29="N/A"),$BF29&lt;&gt;"Yes",$BF29&lt;&gt;"N/A"),"Firmware Install, ","")&amp;IF(AND($BJ29&lt;&gt;"Yes",$BJ29&lt;&gt;"N/A"),"Device ID, ","")&amp;IF(AND($BK29&lt;&gt;"Yes",$BK29&lt;&gt;"N/A"),"Epic Beans Relay, ",""),LEN(IF(AND($AW29&lt;&gt;"Yes",$AW29&lt;&gt;"N/A"),"Power Cable, ","")&amp;IF(AND($AX29&lt;&gt;"Yes",$AX29&lt;&gt;"N/A"),"Battery, ","")&amp;IF(AND($BE29&lt;&gt;"Yes",$BE29&lt;&gt;"N/A"),"Firmware Download, ","")&amp;IF(AND(OR($BE29="Yes",$BE29="N/A"),$BF29&lt;&gt;"Yes",$BF29&lt;&gt;"N/A"),"Firmware Install, ","")&amp;IF(AND($BJ29&lt;&gt;"Yes",$BJ29&lt;&gt;"N/A"),"Device ID, ","")&amp;IF(AND($BK29&lt;&gt;"Yes",$BK29&lt;&gt;"N/A"),"Epic Beans Relay, ",""))-2)))</f>
      </c>
      <c r="BM29">
        <f>IF($T29="","",IF($BL29="","Yes","Blocked"))</f>
      </c>
      <c r="BP29">
        <f>IF($BO29="","",IFERROR(VLOOKUP($BO29,'01_Warehouse_Ledger'!$A:$N,4,FALSE),""))</f>
      </c>
      <c r="BQ29">
        <f>IF($BO29="","",IFERROR(VLOOKUP($BO29,'01_Warehouse_Ledger'!$A:$N,5,FALSE),""))</f>
      </c>
      <c r="BR29">
        <f>IF($BO29="","",IFERROR(VLOOKUP($BO29,'01_Warehouse_Ledger'!$A:$N,13,FALSE),""))</f>
      </c>
    </row>
    <row r="30">
      <c r="A30" t="s">
        <v>1331</v>
      </c>
      <c r="B30" t="s">
        <v>1657</v>
      </c>
      <c r="C30" t="s">
        <v>1657</v>
      </c>
      <c r="D30">
        <f>IF($B30&lt;&gt;"Yes","",IF($C30="No","Yes",IF($C30="Yes","No","")))</f>
      </c>
      <c r="E30">
        <f>IF($A30="","",IF($A30="Neuron",IF(OR(AND($S30&lt;&gt;"",LOWER(TRIM($S30))&lt;&gt;"n/a",COUNTIF($S$2:$S$532,$S30)&gt;1),AND($T30&lt;&gt;"",LOWER(TRIM($T30))&lt;&gt;"n/a",COUNTIF($T$2:$T$532,$T30)&gt;1),AND($W30&lt;&gt;"",LOWER(TRIM($W30))&lt;&gt;"n/a",COUNTIF($W$2:$W$532,$W30)&gt;1)),"Yes","No"),IF($A30="Cybernet",IF(OR(AND($Y30&lt;&gt;"",LOWER(TRIM($Y30))&lt;&gt;"n/a",COUNTIF($Y$2:$Y$532,$Y30)&gt;1),AND($Z30&lt;&gt;"",LOWER(TRIM($Z30))&lt;&gt;"n/a",COUNTIF($Z$2:$Z$532,$Z30)&gt;1)),"Yes","No"),IF(AND($AL30&lt;&gt;"",LOWER(TRIM($AL30))&lt;&gt;"n/a",COUNTIF($AL$2:$AL$532,$AL30)&gt;1),"Yes","No"))))</f>
      </c>
      <c r="F30">
        <f>IF($B30&lt;&gt;"Yes","",
IF($A30="Neuron",
IF(OR(
AND($S30&lt;&gt;"",LOWER(TRIM($S30))&lt;&gt;"n/a",COUNTIFS($B$2:$B$532,"Yes",$A$2:$A$532,"Neuron",$S$2:$S$532,$S30)&gt;1),
AND($T30&lt;&gt;"",LOWER(TRIM($T30))&lt;&gt;"n/a",COUNTIFS($B$2:$B$532,"Yes",$A$2:$A$532,"Neuron",$T$2:$T$532,$T30)&gt;1),
AND($W30&lt;&gt;"",LOWER(TRIM($W30))&lt;&gt;"n/a",COUNTIFS($B$2:$B$532,"Yes",$A$2:$A$532,"Neuron",$W$2:$W$532,$W30)&gt;1)
),"Yes","No"),
IF($A30="Cybernet",
IF(OR(
AND($Y30&lt;&gt;"",LOWER(TRIM($Y30))&lt;&gt;"n/a",COUNTIFS($B$2:$B$532,"Yes",$A$2:$A$532,"Cybernet",$Y$2:$Y$532,$Y30)&gt;1),
AND($Z30&lt;&gt;"",LOWER(TRIM($Z30))&lt;&gt;"n/a",COUNTIFS($B$2:$B$532,"Yes",$A$2:$A$532,"Cybernet",$Z$2:$Z$532,$Z30)&gt;1)
),"Yes","No"),
IF(AND($AL30&lt;&gt;"",LOWER(TRIM($AL30))&lt;&gt;"n/a"),
IF(COUNTIFS($B$2:$B$532,"Yes",$A$2:$A$532,$A30,$AL$2:$AL$532,$AL30)&gt;1,"Yes","No"),
"No")
)
)
)</f>
      </c>
      <c r="G30" t="s">
        <v>1317</v>
      </c>
      <c r="H30" t="s">
        <v>2089</v>
      </c>
      <c r="S30" t="s">
        <v>2056</v>
      </c>
      <c r="T30" t="s">
        <v>1920</v>
      </c>
      <c r="U30" t="s">
        <v>1737</v>
      </c>
      <c r="V30" t="s">
        <v>1727</v>
      </c>
      <c r="W30" t="s">
        <v>1722</v>
      </c>
      <c r="X30" t="s">
        <v>1707</v>
      </c>
      <c r="Y30" t="s">
        <v>1380</v>
      </c>
      <c r="AD30" t="s">
        <v>1380</v>
      </c>
      <c r="AW30" t="s">
        <v>1727</v>
      </c>
      <c r="AX30" t="s">
        <v>1727</v>
      </c>
      <c r="BA30">
        <v>46027.0</v>
      </c>
      <c r="BB30" t="s">
        <v>1727</v>
      </c>
      <c r="BC30" t="s">
        <v>2368</v>
      </c>
      <c r="BD30" t="s">
        <v>2151</v>
      </c>
      <c r="BE30" t="s">
        <v>1727</v>
      </c>
      <c r="BF30" t="s">
        <v>1727</v>
      </c>
      <c r="BG30" t="s">
        <v>1727</v>
      </c>
      <c r="BH30" t="s">
        <v>1727</v>
      </c>
      <c r="BJ30" t="s">
        <v>1727</v>
      </c>
      <c r="BK30" t="s">
        <v>1657</v>
      </c>
      <c r="BL30">
        <f>IF($T30="","",IF((IF(AND($AW30&lt;&gt;"Yes",$AW30&lt;&gt;"N/A"),"Power Cable, ","")&amp;IF(AND($AX30&lt;&gt;"Yes",$AX30&lt;&gt;"N/A"),"Battery, ","")&amp;IF(AND($BE30&lt;&gt;"Yes",$BE30&lt;&gt;"N/A"),"Firmware Download, ","")&amp;IF(AND(OR($BE30="Yes",$BE30="N/A"),$BF30&lt;&gt;"Yes",$BF30&lt;&gt;"N/A"),"Firmware Install, ","")&amp;IF(AND($BJ30&lt;&gt;"Yes",$BJ30&lt;&gt;"N/A"),"Device ID, ","")&amp;IF(AND($BK30&lt;&gt;"Yes",$BK30&lt;&gt;"N/A"),"Epic Beans Relay, ",""))="","",LEFT(IF(AND($AW30&lt;&gt;"Yes",$AW30&lt;&gt;"N/A"),"Power Cable, ","")&amp;IF(AND($AX30&lt;&gt;"Yes",$AX30&lt;&gt;"N/A"),"Battery, ","")&amp;IF(AND($BE30&lt;&gt;"Yes",$BE30&lt;&gt;"N/A"),"Firmware Download, ","")&amp;IF(AND(OR($BE30="Yes",$BE30="N/A"),$BF30&lt;&gt;"Yes",$BF30&lt;&gt;"N/A"),"Firmware Install, ","")&amp;IF(AND($BJ30&lt;&gt;"Yes",$BJ30&lt;&gt;"N/A"),"Device ID, ","")&amp;IF(AND($BK30&lt;&gt;"Yes",$BK30&lt;&gt;"N/A"),"Epic Beans Relay, ",""),LEN(IF(AND($AW30&lt;&gt;"Yes",$AW30&lt;&gt;"N/A"),"Power Cable, ","")&amp;IF(AND($AX30&lt;&gt;"Yes",$AX30&lt;&gt;"N/A"),"Battery, ","")&amp;IF(AND($BE30&lt;&gt;"Yes",$BE30&lt;&gt;"N/A"),"Firmware Download, ","")&amp;IF(AND(OR($BE30="Yes",$BE30="N/A"),$BF30&lt;&gt;"Yes",$BF30&lt;&gt;"N/A"),"Firmware Install, ","")&amp;IF(AND($BJ30&lt;&gt;"Yes",$BJ30&lt;&gt;"N/A"),"Device ID, ","")&amp;IF(AND($BK30&lt;&gt;"Yes",$BK30&lt;&gt;"N/A"),"Epic Beans Relay, ",""))-2)))</f>
      </c>
      <c r="BM30">
        <f>IF($T30="","",IF($BL30="","Yes","Blocked"))</f>
      </c>
      <c r="BN30" t="s">
        <v>2404</v>
      </c>
      <c r="BP30">
        <f>IF($BO30="","",IFERROR(VLOOKUP($BO30,'01_Warehouse_Ledger'!$A:$N,4,FALSE),""))</f>
      </c>
      <c r="BQ30">
        <f>IF($BO30="","",IFERROR(VLOOKUP($BO30,'01_Warehouse_Ledger'!$A:$N,5,FALSE),""))</f>
      </c>
      <c r="BR30">
        <f>IF($BO30="","",IFERROR(VLOOKUP($BO30,'01_Warehouse_Ledger'!$A:$N,13,FALSE),""))</f>
      </c>
    </row>
    <row r="31">
      <c r="A31" t="s">
        <v>1331</v>
      </c>
      <c r="B31" t="s">
        <v>1657</v>
      </c>
      <c r="C31" t="s">
        <v>1657</v>
      </c>
      <c r="D31">
        <f>IF($B31&lt;&gt;"Yes","",IF($C31="No","Yes",IF($C31="Yes","No","")))</f>
      </c>
      <c r="E31">
        <f>IF($A31="","",IF($A31="Neuron",IF(OR(AND($S31&lt;&gt;"",LOWER(TRIM($S31))&lt;&gt;"n/a",COUNTIF($S$2:$S$532,$S31)&gt;1),AND($T31&lt;&gt;"",LOWER(TRIM($T31))&lt;&gt;"n/a",COUNTIF($T$2:$T$532,$T31)&gt;1),AND($W31&lt;&gt;"",LOWER(TRIM($W31))&lt;&gt;"n/a",COUNTIF($W$2:$W$532,$W31)&gt;1)),"Yes","No"),IF($A31="Cybernet",IF(OR(AND($Y31&lt;&gt;"",LOWER(TRIM($Y31))&lt;&gt;"n/a",COUNTIF($Y$2:$Y$532,$Y31)&gt;1),AND($Z31&lt;&gt;"",LOWER(TRIM($Z31))&lt;&gt;"n/a",COUNTIF($Z$2:$Z$532,$Z31)&gt;1)),"Yes","No"),IF(AND($AL31&lt;&gt;"",LOWER(TRIM($AL31))&lt;&gt;"n/a",COUNTIF($AL$2:$AL$532,$AL31)&gt;1),"Yes","No"))))</f>
      </c>
      <c r="F31">
        <f>IF($B31&lt;&gt;"Yes","",
IF($A31="Neuron",
IF(OR(
AND($S31&lt;&gt;"",LOWER(TRIM($S31))&lt;&gt;"n/a",COUNTIFS($B$2:$B$532,"Yes",$A$2:$A$532,"Neuron",$S$2:$S$532,$S31)&gt;1),
AND($T31&lt;&gt;"",LOWER(TRIM($T31))&lt;&gt;"n/a",COUNTIFS($B$2:$B$532,"Yes",$A$2:$A$532,"Neuron",$T$2:$T$532,$T31)&gt;1),
AND($W31&lt;&gt;"",LOWER(TRIM($W31))&lt;&gt;"n/a",COUNTIFS($B$2:$B$532,"Yes",$A$2:$A$532,"Neuron",$W$2:$W$532,$W31)&gt;1)
),"Yes","No"),
IF($A31="Cybernet",
IF(OR(
AND($Y31&lt;&gt;"",LOWER(TRIM($Y31))&lt;&gt;"n/a",COUNTIFS($B$2:$B$532,"Yes",$A$2:$A$532,"Cybernet",$Y$2:$Y$532,$Y31)&gt;1),
AND($Z31&lt;&gt;"",LOWER(TRIM($Z31))&lt;&gt;"n/a",COUNTIFS($B$2:$B$532,"Yes",$A$2:$A$532,"Cybernet",$Z$2:$Z$532,$Z31)&gt;1)
),"Yes","No"),
IF(AND($AL31&lt;&gt;"",LOWER(TRIM($AL31))&lt;&gt;"n/a"),
IF(COUNTIFS($B$2:$B$532,"Yes",$A$2:$A$532,$A31,$AL$2:$AL$532,$AL31)&gt;1,"Yes","No"),
"No")
)
)
)</f>
      </c>
      <c r="G31" t="s">
        <v>1317</v>
      </c>
      <c r="H31" t="s">
        <v>2089</v>
      </c>
      <c r="S31" t="s">
        <v>2238</v>
      </c>
      <c r="T31" t="s">
        <v>2087</v>
      </c>
      <c r="U31" t="s">
        <v>1714</v>
      </c>
      <c r="V31" t="s">
        <v>1727</v>
      </c>
      <c r="W31" t="s">
        <v>2409</v>
      </c>
      <c r="X31" t="s">
        <v>1707</v>
      </c>
      <c r="Y31" t="s">
        <v>1380</v>
      </c>
      <c r="AD31" t="s">
        <v>1380</v>
      </c>
      <c r="AW31" t="s">
        <v>1727</v>
      </c>
      <c r="AX31" t="s">
        <v>1727</v>
      </c>
      <c r="BA31">
        <v>46027.0</v>
      </c>
      <c r="BB31" t="s">
        <v>1727</v>
      </c>
      <c r="BC31" t="s">
        <v>2368</v>
      </c>
      <c r="BD31" t="s">
        <v>2151</v>
      </c>
      <c r="BE31" t="s">
        <v>1727</v>
      </c>
      <c r="BF31" t="s">
        <v>1727</v>
      </c>
      <c r="BG31" t="s">
        <v>1727</v>
      </c>
      <c r="BH31" t="s">
        <v>1727</v>
      </c>
      <c r="BJ31" t="s">
        <v>1727</v>
      </c>
      <c r="BK31" t="s">
        <v>1657</v>
      </c>
      <c r="BL31">
        <f>IF($T31="","",IF((IF(AND($AW31&lt;&gt;"Yes",$AW31&lt;&gt;"N/A"),"Power Cable, ","")&amp;IF(AND($AX31&lt;&gt;"Yes",$AX31&lt;&gt;"N/A"),"Battery, ","")&amp;IF(AND($BE31&lt;&gt;"Yes",$BE31&lt;&gt;"N/A"),"Firmware Download, ","")&amp;IF(AND(OR($BE31="Yes",$BE31="N/A"),$BF31&lt;&gt;"Yes",$BF31&lt;&gt;"N/A"),"Firmware Install, ","")&amp;IF(AND($BJ31&lt;&gt;"Yes",$BJ31&lt;&gt;"N/A"),"Device ID, ","")&amp;IF(AND($BK31&lt;&gt;"Yes",$BK31&lt;&gt;"N/A"),"Epic Beans Relay, ",""))="","",LEFT(IF(AND($AW31&lt;&gt;"Yes",$AW31&lt;&gt;"N/A"),"Power Cable, ","")&amp;IF(AND($AX31&lt;&gt;"Yes",$AX31&lt;&gt;"N/A"),"Battery, ","")&amp;IF(AND($BE31&lt;&gt;"Yes",$BE31&lt;&gt;"N/A"),"Firmware Download, ","")&amp;IF(AND(OR($BE31="Yes",$BE31="N/A"),$BF31&lt;&gt;"Yes",$BF31&lt;&gt;"N/A"),"Firmware Install, ","")&amp;IF(AND($BJ31&lt;&gt;"Yes",$BJ31&lt;&gt;"N/A"),"Device ID, ","")&amp;IF(AND($BK31&lt;&gt;"Yes",$BK31&lt;&gt;"N/A"),"Epic Beans Relay, ",""),LEN(IF(AND($AW31&lt;&gt;"Yes",$AW31&lt;&gt;"N/A"),"Power Cable, ","")&amp;IF(AND($AX31&lt;&gt;"Yes",$AX31&lt;&gt;"N/A"),"Battery, ","")&amp;IF(AND($BE31&lt;&gt;"Yes",$BE31&lt;&gt;"N/A"),"Firmware Download, ","")&amp;IF(AND(OR($BE31="Yes",$BE31="N/A"),$BF31&lt;&gt;"Yes",$BF31&lt;&gt;"N/A"),"Firmware Install, ","")&amp;IF(AND($BJ31&lt;&gt;"Yes",$BJ31&lt;&gt;"N/A"),"Device ID, ","")&amp;IF(AND($BK31&lt;&gt;"Yes",$BK31&lt;&gt;"N/A"),"Epic Beans Relay, ",""))-2)))</f>
      </c>
      <c r="BM31">
        <f>IF($T31="","",IF($BL31="","Yes","Blocked"))</f>
      </c>
      <c r="BN31" t="s">
        <v>2017</v>
      </c>
      <c r="BP31">
        <f>IF($BO31="","",IFERROR(VLOOKUP($BO31,'01_Warehouse_Ledger'!$A:$N,4,FALSE),""))</f>
      </c>
      <c r="BQ31">
        <f>IF($BO31="","",IFERROR(VLOOKUP($BO31,'01_Warehouse_Ledger'!$A:$N,5,FALSE),""))</f>
      </c>
      <c r="BR31">
        <f>IF($BO31="","",IFERROR(VLOOKUP($BO31,'01_Warehouse_Ledger'!$A:$N,13,FALSE),""))</f>
      </c>
    </row>
    <row r="32">
      <c r="A32" t="s">
        <v>1331</v>
      </c>
      <c r="B32" t="s">
        <v>1657</v>
      </c>
      <c r="C32" t="s">
        <v>1657</v>
      </c>
      <c r="D32">
        <f>IF($B32&lt;&gt;"Yes","",IF($C32="No","Yes",IF($C32="Yes","No","")))</f>
      </c>
      <c r="E32">
        <f>IF($A32="","",IF($A32="Neuron",IF(OR(AND($S32&lt;&gt;"",LOWER(TRIM($S32))&lt;&gt;"n/a",COUNTIF($S$2:$S$532,$S32)&gt;1),AND($T32&lt;&gt;"",LOWER(TRIM($T32))&lt;&gt;"n/a",COUNTIF($T$2:$T$532,$T32)&gt;1),AND($W32&lt;&gt;"",LOWER(TRIM($W32))&lt;&gt;"n/a",COUNTIF($W$2:$W$532,$W32)&gt;1)),"Yes","No"),IF($A32="Cybernet",IF(OR(AND($Y32&lt;&gt;"",LOWER(TRIM($Y32))&lt;&gt;"n/a",COUNTIF($Y$2:$Y$532,$Y32)&gt;1),AND($Z32&lt;&gt;"",LOWER(TRIM($Z32))&lt;&gt;"n/a",COUNTIF($Z$2:$Z$532,$Z32)&gt;1)),"Yes","No"),IF(AND($AL32&lt;&gt;"",LOWER(TRIM($AL32))&lt;&gt;"n/a",COUNTIF($AL$2:$AL$532,$AL32)&gt;1),"Yes","No"))))</f>
      </c>
      <c r="F32">
        <f>IF($B32&lt;&gt;"Yes","",
IF($A32="Neuron",
IF(OR(
AND($S32&lt;&gt;"",LOWER(TRIM($S32))&lt;&gt;"n/a",COUNTIFS($B$2:$B$532,"Yes",$A$2:$A$532,"Neuron",$S$2:$S$532,$S32)&gt;1),
AND($T32&lt;&gt;"",LOWER(TRIM($T32))&lt;&gt;"n/a",COUNTIFS($B$2:$B$532,"Yes",$A$2:$A$532,"Neuron",$T$2:$T$532,$T32)&gt;1),
AND($W32&lt;&gt;"",LOWER(TRIM($W32))&lt;&gt;"n/a",COUNTIFS($B$2:$B$532,"Yes",$A$2:$A$532,"Neuron",$W$2:$W$532,$W32)&gt;1)
),"Yes","No"),
IF($A32="Cybernet",
IF(OR(
AND($Y32&lt;&gt;"",LOWER(TRIM($Y32))&lt;&gt;"n/a",COUNTIFS($B$2:$B$532,"Yes",$A$2:$A$532,"Cybernet",$Y$2:$Y$532,$Y32)&gt;1),
AND($Z32&lt;&gt;"",LOWER(TRIM($Z32))&lt;&gt;"n/a",COUNTIFS($B$2:$B$532,"Yes",$A$2:$A$532,"Cybernet",$Z$2:$Z$532,$Z32)&gt;1)
),"Yes","No"),
IF(AND($AL32&lt;&gt;"",LOWER(TRIM($AL32))&lt;&gt;"n/a"),
IF(COUNTIFS($B$2:$B$532,"Yes",$A$2:$A$532,$A32,$AL$2:$AL$532,$AL32)&gt;1,"Yes","No"),
"No")
)
)
)</f>
      </c>
      <c r="G32" t="s">
        <v>1317</v>
      </c>
      <c r="H32" t="s">
        <v>2089</v>
      </c>
      <c r="S32" t="s">
        <v>2332</v>
      </c>
      <c r="T32" t="s">
        <v>1826</v>
      </c>
      <c r="U32" t="s">
        <v>1914</v>
      </c>
      <c r="V32" t="s">
        <v>1727</v>
      </c>
      <c r="W32" t="s">
        <v>1922</v>
      </c>
      <c r="X32" t="s">
        <v>1707</v>
      </c>
      <c r="Y32" t="s">
        <v>1380</v>
      </c>
      <c r="AD32" t="s">
        <v>1380</v>
      </c>
      <c r="AW32" t="s">
        <v>1727</v>
      </c>
      <c r="AX32" t="s">
        <v>1727</v>
      </c>
      <c r="BA32">
        <v>46027.0</v>
      </c>
      <c r="BB32" t="s">
        <v>1727</v>
      </c>
      <c r="BC32" t="s">
        <v>2368</v>
      </c>
      <c r="BD32" t="s">
        <v>2151</v>
      </c>
      <c r="BE32" t="s">
        <v>1727</v>
      </c>
      <c r="BF32" t="s">
        <v>1727</v>
      </c>
      <c r="BG32" t="s">
        <v>1727</v>
      </c>
      <c r="BH32" t="s">
        <v>1727</v>
      </c>
      <c r="BJ32" t="s">
        <v>1727</v>
      </c>
      <c r="BK32" t="s">
        <v>1657</v>
      </c>
      <c r="BL32">
        <f>IF($T32="","",IF((IF(AND($AW32&lt;&gt;"Yes",$AW32&lt;&gt;"N/A"),"Power Cable, ","")&amp;IF(AND($AX32&lt;&gt;"Yes",$AX32&lt;&gt;"N/A"),"Battery, ","")&amp;IF(AND($BE32&lt;&gt;"Yes",$BE32&lt;&gt;"N/A"),"Firmware Download, ","")&amp;IF(AND(OR($BE32="Yes",$BE32="N/A"),$BF32&lt;&gt;"Yes",$BF32&lt;&gt;"N/A"),"Firmware Install, ","")&amp;IF(AND($BJ32&lt;&gt;"Yes",$BJ32&lt;&gt;"N/A"),"Device ID, ","")&amp;IF(AND($BK32&lt;&gt;"Yes",$BK32&lt;&gt;"N/A"),"Epic Beans Relay, ",""))="","",LEFT(IF(AND($AW32&lt;&gt;"Yes",$AW32&lt;&gt;"N/A"),"Power Cable, ","")&amp;IF(AND($AX32&lt;&gt;"Yes",$AX32&lt;&gt;"N/A"),"Battery, ","")&amp;IF(AND($BE32&lt;&gt;"Yes",$BE32&lt;&gt;"N/A"),"Firmware Download, ","")&amp;IF(AND(OR($BE32="Yes",$BE32="N/A"),$BF32&lt;&gt;"Yes",$BF32&lt;&gt;"N/A"),"Firmware Install, ","")&amp;IF(AND($BJ32&lt;&gt;"Yes",$BJ32&lt;&gt;"N/A"),"Device ID, ","")&amp;IF(AND($BK32&lt;&gt;"Yes",$BK32&lt;&gt;"N/A"),"Epic Beans Relay, ",""),LEN(IF(AND($AW32&lt;&gt;"Yes",$AW32&lt;&gt;"N/A"),"Power Cable, ","")&amp;IF(AND($AX32&lt;&gt;"Yes",$AX32&lt;&gt;"N/A"),"Battery, ","")&amp;IF(AND($BE32&lt;&gt;"Yes",$BE32&lt;&gt;"N/A"),"Firmware Download, ","")&amp;IF(AND(OR($BE32="Yes",$BE32="N/A"),$BF32&lt;&gt;"Yes",$BF32&lt;&gt;"N/A"),"Firmware Install, ","")&amp;IF(AND($BJ32&lt;&gt;"Yes",$BJ32&lt;&gt;"N/A"),"Device ID, ","")&amp;IF(AND($BK32&lt;&gt;"Yes",$BK32&lt;&gt;"N/A"),"Epic Beans Relay, ",""))-2)))</f>
      </c>
      <c r="BM32">
        <f>IF($T32="","",IF($BL32="","Yes","Blocked"))</f>
      </c>
      <c r="BP32">
        <f>IF($BO32="","",IFERROR(VLOOKUP($BO32,'01_Warehouse_Ledger'!$A:$N,4,FALSE),""))</f>
      </c>
      <c r="BQ32">
        <f>IF($BO32="","",IFERROR(VLOOKUP($BO32,'01_Warehouse_Ledger'!$A:$N,5,FALSE),""))</f>
      </c>
      <c r="BR32">
        <f>IF($BO32="","",IFERROR(VLOOKUP($BO32,'01_Warehouse_Ledger'!$A:$N,13,FALSE),""))</f>
      </c>
    </row>
    <row r="33">
      <c r="A33" t="s">
        <v>1331</v>
      </c>
      <c r="B33" t="s">
        <v>1657</v>
      </c>
      <c r="C33" t="s">
        <v>1657</v>
      </c>
      <c r="D33">
        <f>IF($B33&lt;&gt;"Yes","",IF($C33="No","Yes",IF($C33="Yes","No","")))</f>
      </c>
      <c r="E33">
        <f>IF($A33="","",IF($A33="Neuron",IF(OR(AND($S33&lt;&gt;"",LOWER(TRIM($S33))&lt;&gt;"n/a",COUNTIF($S$2:$S$532,$S33)&gt;1),AND($T33&lt;&gt;"",LOWER(TRIM($T33))&lt;&gt;"n/a",COUNTIF($T$2:$T$532,$T33)&gt;1),AND($W33&lt;&gt;"",LOWER(TRIM($W33))&lt;&gt;"n/a",COUNTIF($W$2:$W$532,$W33)&gt;1)),"Yes","No"),IF($A33="Cybernet",IF(OR(AND($Y33&lt;&gt;"",LOWER(TRIM($Y33))&lt;&gt;"n/a",COUNTIF($Y$2:$Y$532,$Y33)&gt;1),AND($Z33&lt;&gt;"",LOWER(TRIM($Z33))&lt;&gt;"n/a",COUNTIF($Z$2:$Z$532,$Z33)&gt;1)),"Yes","No"),IF(AND($AL33&lt;&gt;"",LOWER(TRIM($AL33))&lt;&gt;"n/a",COUNTIF($AL$2:$AL$532,$AL33)&gt;1),"Yes","No"))))</f>
      </c>
      <c r="F33">
        <f>IF($B33&lt;&gt;"Yes","",
IF($A33="Neuron",
IF(OR(
AND($S33&lt;&gt;"",LOWER(TRIM($S33))&lt;&gt;"n/a",COUNTIFS($B$2:$B$532,"Yes",$A$2:$A$532,"Neuron",$S$2:$S$532,$S33)&gt;1),
AND($T33&lt;&gt;"",LOWER(TRIM($T33))&lt;&gt;"n/a",COUNTIFS($B$2:$B$532,"Yes",$A$2:$A$532,"Neuron",$T$2:$T$532,$T33)&gt;1),
AND($W33&lt;&gt;"",LOWER(TRIM($W33))&lt;&gt;"n/a",COUNTIFS($B$2:$B$532,"Yes",$A$2:$A$532,"Neuron",$W$2:$W$532,$W33)&gt;1)
),"Yes","No"),
IF($A33="Cybernet",
IF(OR(
AND($Y33&lt;&gt;"",LOWER(TRIM($Y33))&lt;&gt;"n/a",COUNTIFS($B$2:$B$532,"Yes",$A$2:$A$532,"Cybernet",$Y$2:$Y$532,$Y33)&gt;1),
AND($Z33&lt;&gt;"",LOWER(TRIM($Z33))&lt;&gt;"n/a",COUNTIFS($B$2:$B$532,"Yes",$A$2:$A$532,"Cybernet",$Z$2:$Z$532,$Z33)&gt;1)
),"Yes","No"),
IF(AND($AL33&lt;&gt;"",LOWER(TRIM($AL33))&lt;&gt;"n/a"),
IF(COUNTIFS($B$2:$B$532,"Yes",$A$2:$A$532,$A33,$AL$2:$AL$532,$AL33)&gt;1,"Yes","No"),
"No")
)
)
)</f>
      </c>
      <c r="G33" t="s">
        <v>1317</v>
      </c>
      <c r="H33" t="s">
        <v>2089</v>
      </c>
      <c r="S33" t="s">
        <v>2145</v>
      </c>
      <c r="T33" t="s">
        <v>1878</v>
      </c>
      <c r="U33" t="s">
        <v>2072</v>
      </c>
      <c r="V33" t="s">
        <v>1727</v>
      </c>
      <c r="W33" t="s">
        <v>1776</v>
      </c>
      <c r="X33" t="s">
        <v>1707</v>
      </c>
      <c r="Y33" t="s">
        <v>1380</v>
      </c>
      <c r="AD33" t="s">
        <v>1380</v>
      </c>
      <c r="AW33" t="s">
        <v>1727</v>
      </c>
      <c r="AX33" t="s">
        <v>1727</v>
      </c>
      <c r="BA33">
        <v>46027.0</v>
      </c>
      <c r="BB33" t="s">
        <v>1727</v>
      </c>
      <c r="BC33" t="s">
        <v>2368</v>
      </c>
      <c r="BD33" t="s">
        <v>2151</v>
      </c>
      <c r="BE33" t="s">
        <v>1727</v>
      </c>
      <c r="BF33" t="s">
        <v>1727</v>
      </c>
      <c r="BG33" t="s">
        <v>1727</v>
      </c>
      <c r="BH33" t="s">
        <v>1727</v>
      </c>
      <c r="BJ33" t="s">
        <v>1727</v>
      </c>
      <c r="BK33" t="s">
        <v>1657</v>
      </c>
      <c r="BL33">
        <f>IF($T33="","",IF((IF(AND($AW33&lt;&gt;"Yes",$AW33&lt;&gt;"N/A"),"Power Cable, ","")&amp;IF(AND($AX33&lt;&gt;"Yes",$AX33&lt;&gt;"N/A"),"Battery, ","")&amp;IF(AND($BE33&lt;&gt;"Yes",$BE33&lt;&gt;"N/A"),"Firmware Download, ","")&amp;IF(AND(OR($BE33="Yes",$BE33="N/A"),$BF33&lt;&gt;"Yes",$BF33&lt;&gt;"N/A"),"Firmware Install, ","")&amp;IF(AND($BJ33&lt;&gt;"Yes",$BJ33&lt;&gt;"N/A"),"Device ID, ","")&amp;IF(AND($BK33&lt;&gt;"Yes",$BK33&lt;&gt;"N/A"),"Epic Beans Relay, ",""))="","",LEFT(IF(AND($AW33&lt;&gt;"Yes",$AW33&lt;&gt;"N/A"),"Power Cable, ","")&amp;IF(AND($AX33&lt;&gt;"Yes",$AX33&lt;&gt;"N/A"),"Battery, ","")&amp;IF(AND($BE33&lt;&gt;"Yes",$BE33&lt;&gt;"N/A"),"Firmware Download, ","")&amp;IF(AND(OR($BE33="Yes",$BE33="N/A"),$BF33&lt;&gt;"Yes",$BF33&lt;&gt;"N/A"),"Firmware Install, ","")&amp;IF(AND($BJ33&lt;&gt;"Yes",$BJ33&lt;&gt;"N/A"),"Device ID, ","")&amp;IF(AND($BK33&lt;&gt;"Yes",$BK33&lt;&gt;"N/A"),"Epic Beans Relay, ",""),LEN(IF(AND($AW33&lt;&gt;"Yes",$AW33&lt;&gt;"N/A"),"Power Cable, ","")&amp;IF(AND($AX33&lt;&gt;"Yes",$AX33&lt;&gt;"N/A"),"Battery, ","")&amp;IF(AND($BE33&lt;&gt;"Yes",$BE33&lt;&gt;"N/A"),"Firmware Download, ","")&amp;IF(AND(OR($BE33="Yes",$BE33="N/A"),$BF33&lt;&gt;"Yes",$BF33&lt;&gt;"N/A"),"Firmware Install, ","")&amp;IF(AND($BJ33&lt;&gt;"Yes",$BJ33&lt;&gt;"N/A"),"Device ID, ","")&amp;IF(AND($BK33&lt;&gt;"Yes",$BK33&lt;&gt;"N/A"),"Epic Beans Relay, ",""))-2)))</f>
      </c>
      <c r="BM33">
        <f>IF($T33="","",IF($BL33="","Yes","Blocked"))</f>
      </c>
      <c r="BP33">
        <f>IF($BO33="","",IFERROR(VLOOKUP($BO33,'01_Warehouse_Ledger'!$A:$N,4,FALSE),""))</f>
      </c>
      <c r="BQ33">
        <f>IF($BO33="","",IFERROR(VLOOKUP($BO33,'01_Warehouse_Ledger'!$A:$N,5,FALSE),""))</f>
      </c>
      <c r="BR33">
        <f>IF($BO33="","",IFERROR(VLOOKUP($BO33,'01_Warehouse_Ledger'!$A:$N,13,FALSE),""))</f>
      </c>
    </row>
    <row r="34">
      <c r="A34" t="s">
        <v>1331</v>
      </c>
      <c r="B34" t="s">
        <v>1727</v>
      </c>
      <c r="C34" t="s">
        <v>1657</v>
      </c>
      <c r="D34">
        <f>IF($B34&lt;&gt;"Yes","",IF($C34="No","Yes",IF($C34="Yes","No","")))</f>
      </c>
      <c r="E34">
        <f>IF($A34="","",IF($A34="Neuron",IF(OR(AND($S34&lt;&gt;"",LOWER(TRIM($S34))&lt;&gt;"n/a",COUNTIF($S$2:$S$532,$S34)&gt;1),AND($T34&lt;&gt;"",LOWER(TRIM($T34))&lt;&gt;"n/a",COUNTIF($T$2:$T$532,$T34)&gt;1),AND($W34&lt;&gt;"",LOWER(TRIM($W34))&lt;&gt;"n/a",COUNTIF($W$2:$W$532,$W34)&gt;1)),"Yes","No"),IF($A34="Cybernet",IF(OR(AND($Y34&lt;&gt;"",LOWER(TRIM($Y34))&lt;&gt;"n/a",COUNTIF($Y$2:$Y$532,$Y34)&gt;1),AND($Z34&lt;&gt;"",LOWER(TRIM($Z34))&lt;&gt;"n/a",COUNTIF($Z$2:$Z$532,$Z34)&gt;1)),"Yes","No"),IF(AND($AL34&lt;&gt;"",LOWER(TRIM($AL34))&lt;&gt;"n/a",COUNTIF($AL$2:$AL$532,$AL34)&gt;1),"Yes","No"))))</f>
      </c>
      <c r="F34">
        <f>IF($B34&lt;&gt;"Yes","",
IF($A34="Neuron",
IF(OR(
AND($S34&lt;&gt;"",LOWER(TRIM($S34))&lt;&gt;"n/a",COUNTIFS($B$2:$B$532,"Yes",$A$2:$A$532,"Neuron",$S$2:$S$532,$S34)&gt;1),
AND($T34&lt;&gt;"",LOWER(TRIM($T34))&lt;&gt;"n/a",COUNTIFS($B$2:$B$532,"Yes",$A$2:$A$532,"Neuron",$T$2:$T$532,$T34)&gt;1),
AND($W34&lt;&gt;"",LOWER(TRIM($W34))&lt;&gt;"n/a",COUNTIFS($B$2:$B$532,"Yes",$A$2:$A$532,"Neuron",$W$2:$W$532,$W34)&gt;1)
),"Yes","No"),
IF($A34="Cybernet",
IF(OR(
AND($Y34&lt;&gt;"",LOWER(TRIM($Y34))&lt;&gt;"n/a",COUNTIFS($B$2:$B$532,"Yes",$A$2:$A$532,"Cybernet",$Y$2:$Y$532,$Y34)&gt;1),
AND($Z34&lt;&gt;"",LOWER(TRIM($Z34))&lt;&gt;"n/a",COUNTIFS($B$2:$B$532,"Yes",$A$2:$A$532,"Cybernet",$Z$2:$Z$532,$Z34)&gt;1)
),"Yes","No"),
IF(AND($AL34&lt;&gt;"",LOWER(TRIM($AL34))&lt;&gt;"n/a"),
IF(COUNTIFS($B$2:$B$532,"Yes",$A$2:$A$532,$A34,$AL$2:$AL$532,$AL34)&gt;1,"Yes","No"),
"No")
)
)
)</f>
      </c>
      <c r="G34" t="s">
        <v>1439</v>
      </c>
      <c r="H34" t="s">
        <v>1439</v>
      </c>
      <c r="J34" t="s">
        <v>2115</v>
      </c>
      <c r="K34" t="s">
        <v>2115</v>
      </c>
      <c r="L34" t="s">
        <v>2115</v>
      </c>
      <c r="S34" t="s">
        <v>2112</v>
      </c>
      <c r="T34" t="s">
        <v>2113</v>
      </c>
      <c r="U34" t="s">
        <v>1800</v>
      </c>
      <c r="V34" t="s">
        <v>1727</v>
      </c>
      <c r="W34" t="s">
        <v>2165</v>
      </c>
      <c r="X34" t="s">
        <v>1707</v>
      </c>
      <c r="Y34" t="s">
        <v>1380</v>
      </c>
      <c r="Z34" t="s">
        <v>1380</v>
      </c>
      <c r="AA34" t="s">
        <v>2031</v>
      </c>
      <c r="AC34" t="s">
        <v>1380</v>
      </c>
      <c r="AD34" t="s">
        <v>1671</v>
      </c>
      <c r="AF34" t="s">
        <v>1863</v>
      </c>
      <c r="AG34" t="s">
        <v>2021</v>
      </c>
      <c r="AH34" t="s">
        <v>2010</v>
      </c>
      <c r="AJ34" t="s">
        <v>2124</v>
      </c>
      <c r="AK34" t="s">
        <v>1933</v>
      </c>
      <c r="AL34" t="s">
        <v>1671</v>
      </c>
      <c r="AM34" t="s">
        <v>1335</v>
      </c>
      <c r="AN34" t="s">
        <v>1307</v>
      </c>
      <c r="AR34" t="s">
        <v>1656</v>
      </c>
      <c r="AS34" t="s">
        <v>1636</v>
      </c>
      <c r="AW34" t="s">
        <v>1727</v>
      </c>
      <c r="AX34" t="s">
        <v>1727</v>
      </c>
      <c r="BA34">
        <v>46030.0</v>
      </c>
      <c r="BB34" t="s">
        <v>1727</v>
      </c>
      <c r="BC34" t="s">
        <v>1439</v>
      </c>
      <c r="BD34" t="s">
        <v>2151</v>
      </c>
      <c r="BE34" t="s">
        <v>1727</v>
      </c>
      <c r="BF34" t="s">
        <v>1727</v>
      </c>
      <c r="BG34" t="s">
        <v>1727</v>
      </c>
      <c r="BH34" t="s">
        <v>1727</v>
      </c>
      <c r="BJ34" t="s">
        <v>1727</v>
      </c>
      <c r="BK34" t="s">
        <v>1657</v>
      </c>
      <c r="BL34">
        <f>IF($T34="","",IF((IF(AND($AW34&lt;&gt;"Yes",$AW34&lt;&gt;"N/A"),"Power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</c>
      <c r="BM34">
        <f>IF($T34="","",IF($BL34="","Yes","Blocked"))</f>
      </c>
      <c r="BP34">
        <f>IF($BO34="","",IFERROR(VLOOKUP($BO34,'01_Warehouse_Ledger'!$A:$N,4,FALSE),""))</f>
      </c>
      <c r="BQ34">
        <f>IF($BO34="","",IFERROR(VLOOKUP($BO34,'01_Warehouse_Ledger'!$A:$N,5,FALSE),""))</f>
      </c>
      <c r="BR34">
        <f>IF($BO34="","",IFERROR(VLOOKUP($BO34,'01_Warehouse_Ledger'!$A:$N,13,FALSE),""))</f>
      </c>
      <c r="BX34">
        <v>125200</v>
      </c>
    </row>
    <row r="35">
      <c r="A35" t="s">
        <v>1415</v>
      </c>
      <c r="B35" t="s">
        <v>1727</v>
      </c>
      <c r="C35" t="s">
        <v>1657</v>
      </c>
      <c r="D35">
        <f>IF($B35&lt;&gt;"Yes","",IF($C35="No","Yes",IF($C35="Yes","No","")))</f>
      </c>
      <c r="E35">
        <f>IF($A35="","",IF($A35="Neuron",IF(OR(AND($S35&lt;&gt;"",LOWER(TRIM($S35))&lt;&gt;"n/a",COUNTIF($S$2:$S$532,$S35)&gt;1),AND($T35&lt;&gt;"",LOWER(TRIM($T35))&lt;&gt;"n/a",COUNTIF($T$2:$T$532,$T35)&gt;1),AND($W35&lt;&gt;"",LOWER(TRIM($W35))&lt;&gt;"n/a",COUNTIF($W$2:$W$532,$W35)&gt;1)),"Yes","No"),IF($A35="Cybernet",IF(OR(AND($Y35&lt;&gt;"",LOWER(TRIM($Y35))&lt;&gt;"n/a",COUNTIF($Y$2:$Y$532,$Y35)&gt;1),AND($Z35&lt;&gt;"",LOWER(TRIM($Z35))&lt;&gt;"n/a",COUNTIF($Z$2:$Z$532,$Z35)&gt;1)),"Yes","No"),IF(AND($AL35&lt;&gt;"",LOWER(TRIM($AL35))&lt;&gt;"n/a",COUNTIF($AL$2:$AL$532,$AL35)&gt;1),"Yes","No"))))</f>
      </c>
      <c r="F35">
        <f>IF($B35&lt;&gt;"Yes","",
IF($A35="Neuron",
IF(OR(
AND($S35&lt;&gt;"",LOWER(TRIM($S35))&lt;&gt;"n/a",COUNTIFS($B$2:$B$532,"Yes",$A$2:$A$532,"Neuron",$S$2:$S$532,$S35)&gt;1),
AND($T35&lt;&gt;"",LOWER(TRIM($T35))&lt;&gt;"n/a",COUNTIFS($B$2:$B$532,"Yes",$A$2:$A$532,"Neuron",$T$2:$T$532,$T35)&gt;1),
AND($W35&lt;&gt;"",LOWER(TRIM($W35))&lt;&gt;"n/a",COUNTIFS($B$2:$B$532,"Yes",$A$2:$A$532,"Neuron",$W$2:$W$532,$W35)&gt;1)
),"Yes","No"),
IF($A35="Cybernet",
IF(OR(
AND($Y35&lt;&gt;"",LOWER(TRIM($Y35))&lt;&gt;"n/a",COUNTIFS($B$2:$B$532,"Yes",$A$2:$A$532,"Cybernet",$Y$2:$Y$532,$Y35)&gt;1),
AND($Z35&lt;&gt;"",LOWER(TRIM($Z35))&lt;&gt;"n/a",COUNTIFS($B$2:$B$532,"Yes",$A$2:$A$532,"Cybernet",$Z$2:$Z$532,$Z35)&gt;1)
),"Yes","No"),
IF(AND($AL35&lt;&gt;"",LOWER(TRIM($AL35))&lt;&gt;"n/a"),
IF(COUNTIFS($B$2:$B$532,"Yes",$A$2:$A$532,$A35,$AL$2:$AL$532,$AL35)&gt;1,"Yes","No"),
"No")
)
)
)</f>
      </c>
      <c r="G35" t="s">
        <v>1439</v>
      </c>
      <c r="H35" t="s">
        <v>1439</v>
      </c>
      <c r="I35" t="s">
        <v>2286</v>
      </c>
      <c r="R35" t="s">
        <v>1820</v>
      </c>
      <c r="S35" t="s">
        <v>1380</v>
      </c>
      <c r="T35" t="s">
        <v>1380</v>
      </c>
      <c r="U35" t="s">
        <v>1380</v>
      </c>
      <c r="V35" t="s">
        <v>1380</v>
      </c>
      <c r="W35" t="s">
        <v>1380</v>
      </c>
      <c r="X35" t="s">
        <v>1380</v>
      </c>
      <c r="Y35" t="s">
        <v>2387</v>
      </c>
      <c r="Z35" t="s">
        <v>2339</v>
      </c>
      <c r="AA35" t="s">
        <v>2031</v>
      </c>
      <c r="AC35" t="s">
        <v>1380</v>
      </c>
      <c r="AD35" t="s">
        <v>2137</v>
      </c>
      <c r="AF35" t="s">
        <v>1863</v>
      </c>
      <c r="AG35" t="s">
        <v>2021</v>
      </c>
      <c r="AH35" t="s">
        <v>2010</v>
      </c>
      <c r="AJ35" t="s">
        <v>2124</v>
      </c>
      <c r="AK35" t="s">
        <v>1933</v>
      </c>
      <c r="AL35" t="s">
        <v>2137</v>
      </c>
      <c r="AW35" t="s">
        <v>1727</v>
      </c>
      <c r="AX35" t="s">
        <v>1727</v>
      </c>
      <c r="AY35" t="s">
        <v>1727</v>
      </c>
      <c r="BA35">
        <v>46030.0</v>
      </c>
      <c r="BB35" t="s">
        <v>1727</v>
      </c>
      <c r="BC35" t="s">
        <v>1439</v>
      </c>
      <c r="BD35" t="s">
        <v>2151</v>
      </c>
      <c r="BE35" t="s">
        <v>1727</v>
      </c>
      <c r="BF35" t="s">
        <v>1727</v>
      </c>
      <c r="BG35" t="s">
        <v>1727</v>
      </c>
      <c r="BH35" t="s">
        <v>1727</v>
      </c>
      <c r="BJ35" t="s">
        <v>1727</v>
      </c>
      <c r="BL35">
        <f>IF($T35="","",IF((IF(AND($AW35&lt;&gt;"Yes",$AW35&lt;&gt;"N/A"),"Power Cable, ","")&amp;IF(AND($AX35&lt;&gt;"Yes",$AX35&lt;&gt;"N/A"),"Battery, ","")&amp;IF(AND($BE35&lt;&gt;"Yes",$BE35&lt;&gt;"N/A"),"Firmware Download, ","")&amp;IF(AND(OR($BE35="Yes",$BE35="N/A"),$BF35&lt;&gt;"Yes",$BF35&lt;&gt;"N/A"),"Firmware Install, ","")&amp;IF(AND($BJ35&lt;&gt;"Yes",$BJ35&lt;&gt;"N/A"),"Device ID, ","")&amp;IF(AND($BK35&lt;&gt;"Yes",$BK35&lt;&gt;"N/A"),"Epic Beans Relay, ",""))="","",LEFT(IF(AND($AW35&lt;&gt;"Yes",$AW35&lt;&gt;"N/A"),"Power Cable, ","")&amp;IF(AND($AX35&lt;&gt;"Yes",$AX35&lt;&gt;"N/A"),"Battery, ","")&amp;IF(AND($BE35&lt;&gt;"Yes",$BE35&lt;&gt;"N/A"),"Firmware Download, ","")&amp;IF(AND(OR($BE35="Yes",$BE35="N/A"),$BF35&lt;&gt;"Yes",$BF35&lt;&gt;"N/A"),"Firmware Install, ","")&amp;IF(AND($BJ35&lt;&gt;"Yes",$BJ35&lt;&gt;"N/A"),"Device ID, ","")&amp;IF(AND($BK35&lt;&gt;"Yes",$BK35&lt;&gt;"N/A"),"Epic Beans Relay, ",""),LEN(IF(AND($AW35&lt;&gt;"Yes",$AW35&lt;&gt;"N/A"),"Power Cable, ","")&amp;IF(AND($AX35&lt;&gt;"Yes",$AX35&lt;&gt;"N/A"),"Battery, ","")&amp;IF(AND($BE35&lt;&gt;"Yes",$BE35&lt;&gt;"N/A"),"Firmware Download, ","")&amp;IF(AND(OR($BE35="Yes",$BE35="N/A"),$BF35&lt;&gt;"Yes",$BF35&lt;&gt;"N/A"),"Firmware Install, ","")&amp;IF(AND($BJ35&lt;&gt;"Yes",$BJ35&lt;&gt;"N/A"),"Device ID, ","")&amp;IF(AND($BK35&lt;&gt;"Yes",$BK35&lt;&gt;"N/A"),"Epic Beans Relay, ",""))-2)))</f>
      </c>
      <c r="BM35">
        <f>IF($T35="","",IF($BL35="","Yes","Blocked"))</f>
      </c>
      <c r="BP35">
        <f>IF($BO35="","",IFERROR(VLOOKUP($BO35,'01_Warehouse_Ledger'!$A:$N,4,FALSE),""))</f>
      </c>
      <c r="BQ35">
        <f>IF($BO35="","",IFERROR(VLOOKUP($BO35,'01_Warehouse_Ledger'!$A:$N,5,FALSE),""))</f>
      </c>
      <c r="BR35">
        <f>IF($BO35="","",IFERROR(VLOOKUP($BO35,'01_Warehouse_Ledger'!$A:$N,13,FALSE),""))</f>
      </c>
    </row>
    <row r="36">
      <c r="A36" t="s">
        <v>1331</v>
      </c>
      <c r="B36" t="s">
        <v>1657</v>
      </c>
      <c r="C36" t="s">
        <v>1657</v>
      </c>
      <c r="D36">
        <f>IF($B36&lt;&gt;"Yes","",IF($C36="No","Yes",IF($C36="Yes","No","")))</f>
      </c>
      <c r="E36">
        <f>IF($A36="","",IF($A36="Neuron",IF(OR(AND($S36&lt;&gt;"",LOWER(TRIM($S36))&lt;&gt;"n/a",COUNTIF($S$2:$S$532,$S36)&gt;1),AND($T36&lt;&gt;"",LOWER(TRIM($T36))&lt;&gt;"n/a",COUNTIF($T$2:$T$532,$T36)&gt;1),AND($W36&lt;&gt;"",LOWER(TRIM($W36))&lt;&gt;"n/a",COUNTIF($W$2:$W$532,$W36)&gt;1)),"Yes","No"),IF($A36="Cybernet",IF(OR(AND($Y36&lt;&gt;"",LOWER(TRIM($Y36))&lt;&gt;"n/a",COUNTIF($Y$2:$Y$532,$Y36)&gt;1),AND($Z36&lt;&gt;"",LOWER(TRIM($Z36))&lt;&gt;"n/a",COUNTIF($Z$2:$Z$532,$Z36)&gt;1)),"Yes","No"),IF(AND($AL36&lt;&gt;"",LOWER(TRIM($AL36))&lt;&gt;"n/a",COUNTIF($AL$2:$AL$532,$AL36)&gt;1),"Yes","No"))))</f>
      </c>
      <c r="F36">
        <f>IF($B36&lt;&gt;"Yes","",
IF($A36="Neuron",
IF(OR(
AND($S36&lt;&gt;"",LOWER(TRIM($S36))&lt;&gt;"n/a",COUNTIFS($B$2:$B$532,"Yes",$A$2:$A$532,"Neuron",$S$2:$S$532,$S36)&gt;1),
AND($T36&lt;&gt;"",LOWER(TRIM($T36))&lt;&gt;"n/a",COUNTIFS($B$2:$B$532,"Yes",$A$2:$A$532,"Neuron",$T$2:$T$532,$T36)&gt;1),
AND($W36&lt;&gt;"",LOWER(TRIM($W36))&lt;&gt;"n/a",COUNTIFS($B$2:$B$532,"Yes",$A$2:$A$532,"Neuron",$W$2:$W$532,$W36)&gt;1)
),"Yes","No"),
IF($A36="Cybernet",
IF(OR(
AND($Y36&lt;&gt;"",LOWER(TRIM($Y36))&lt;&gt;"n/a",COUNTIFS($B$2:$B$532,"Yes",$A$2:$A$532,"Cybernet",$Y$2:$Y$532,$Y36)&gt;1),
AND($Z36&lt;&gt;"",LOWER(TRIM($Z36))&lt;&gt;"n/a",COUNTIFS($B$2:$B$532,"Yes",$A$2:$A$532,"Cybernet",$Z$2:$Z$532,$Z36)&gt;1)
),"Yes","No"),
IF(AND($AL36&lt;&gt;"",LOWER(TRIM($AL36))&lt;&gt;"n/a"),
IF(COUNTIFS($B$2:$B$532,"Yes",$A$2:$A$532,$A36,$AL$2:$AL$532,$AL36)&gt;1,"Yes","No"),
"No")
)
)
)</f>
      </c>
      <c r="G36" t="s">
        <v>1317</v>
      </c>
      <c r="H36" t="s">
        <v>1437</v>
      </c>
      <c r="J36" t="s">
        <v>2115</v>
      </c>
      <c r="K36" t="s">
        <v>2115</v>
      </c>
      <c r="L36" t="s">
        <v>2115</v>
      </c>
      <c r="S36" t="s">
        <v>1715</v>
      </c>
      <c r="T36" t="s">
        <v>2087</v>
      </c>
      <c r="W36" t="s">
        <v>2409</v>
      </c>
      <c r="BD36" t="s">
        <v>1958</v>
      </c>
      <c r="BL36">
        <f>IF($T36="","",IF((IF(AND($AW36&lt;&gt;"Yes",$AW36&lt;&gt;"N/A"),"Power Cable, ","")&amp;IF(AND($AX36&lt;&gt;"Yes",$AX36&lt;&gt;"N/A"),"Battery, ","")&amp;IF(AND($BE36&lt;&gt;"Yes",$BE36&lt;&gt;"N/A"),"Firmware Download, ","")&amp;IF(AND(OR($BE36="Yes",$BE36="N/A"),$BF36&lt;&gt;"Yes",$BF36&lt;&gt;"N/A"),"Firmware Install, ","")&amp;IF(AND($BJ36&lt;&gt;"Yes",$BJ36&lt;&gt;"N/A"),"Device ID, ","")&amp;IF(AND($BK36&lt;&gt;"Yes",$BK36&lt;&gt;"N/A"),"Epic Beans Relay, ",""))="","",LEFT(IF(AND($AW36&lt;&gt;"Yes",$AW36&lt;&gt;"N/A"),"Power Cable, ","")&amp;IF(AND($AX36&lt;&gt;"Yes",$AX36&lt;&gt;"N/A"),"Battery, ","")&amp;IF(AND($BE36&lt;&gt;"Yes",$BE36&lt;&gt;"N/A"),"Firmware Download, ","")&amp;IF(AND(OR($BE36="Yes",$BE36="N/A"),$BF36&lt;&gt;"Yes",$BF36&lt;&gt;"N/A"),"Firmware Install, ","")&amp;IF(AND($BJ36&lt;&gt;"Yes",$BJ36&lt;&gt;"N/A"),"Device ID, ","")&amp;IF(AND($BK36&lt;&gt;"Yes",$BK36&lt;&gt;"N/A"),"Epic Beans Relay, ",""),LEN(IF(AND($AW36&lt;&gt;"Yes",$AW36&lt;&gt;"N/A"),"Power Cable, ","")&amp;IF(AND($AX36&lt;&gt;"Yes",$AX36&lt;&gt;"N/A"),"Battery, ","")&amp;IF(AND($BE36&lt;&gt;"Yes",$BE36&lt;&gt;"N/A"),"Firmware Download, ","")&amp;IF(AND(OR($BE36="Yes",$BE36="N/A"),$BF36&lt;&gt;"Yes",$BF36&lt;&gt;"N/A"),"Firmware Install, ","")&amp;IF(AND($BJ36&lt;&gt;"Yes",$BJ36&lt;&gt;"N/A"),"Device ID, ","")&amp;IF(AND($BK36&lt;&gt;"Yes",$BK36&lt;&gt;"N/A"),"Epic Beans Relay, ",""))-2)))</f>
      </c>
      <c r="BM36">
        <f>IF($T36="","",IF($BL36="","Yes","Blocked"))</f>
      </c>
      <c r="BP36">
        <f>IF($BO36="","",IFERROR(VLOOKUP($BO36,'01_Warehouse_Ledger'!$A:$N,4,FALSE),""))</f>
      </c>
      <c r="BQ36">
        <f>IF($BO36="","",IFERROR(VLOOKUP($BO36,'01_Warehouse_Ledger'!$A:$N,5,FALSE),""))</f>
      </c>
      <c r="BR36">
        <f>IF($BO36="","",IFERROR(VLOOKUP($BO36,'01_Warehouse_Ledger'!$A:$N,13,FALSE),""))</f>
      </c>
    </row>
    <row r="37">
      <c r="A37" t="s">
        <v>1331</v>
      </c>
      <c r="B37" t="s">
        <v>1657</v>
      </c>
      <c r="C37" t="s">
        <v>1657</v>
      </c>
      <c r="D37">
        <f>IF($B37&lt;&gt;"Yes","",IF($C37="No","Yes",IF($C37="Yes","No","")))</f>
      </c>
      <c r="E37">
        <f>IF($A37="","",IF($A37="Neuron",IF(OR(AND($S37&lt;&gt;"",LOWER(TRIM($S37))&lt;&gt;"n/a",COUNTIF($S$2:$S$532,$S37)&gt;1),AND($T37&lt;&gt;"",LOWER(TRIM($T37))&lt;&gt;"n/a",COUNTIF($T$2:$T$532,$T37)&gt;1),AND($W37&lt;&gt;"",LOWER(TRIM($W37))&lt;&gt;"n/a",COUNTIF($W$2:$W$532,$W37)&gt;1)),"Yes","No"),IF($A37="Cybernet",IF(OR(AND($Y37&lt;&gt;"",LOWER(TRIM($Y37))&lt;&gt;"n/a",COUNTIF($Y$2:$Y$532,$Y37)&gt;1),AND($Z37&lt;&gt;"",LOWER(TRIM($Z37))&lt;&gt;"n/a",COUNTIF($Z$2:$Z$532,$Z37)&gt;1)),"Yes","No"),IF(AND($AL37&lt;&gt;"",LOWER(TRIM($AL37))&lt;&gt;"n/a",COUNTIF($AL$2:$AL$532,$AL37)&gt;1),"Yes","No"))))</f>
      </c>
      <c r="F37">
        <f>IF($B37&lt;&gt;"Yes","",
IF($A37="Neuron",
IF(OR(
AND($S37&lt;&gt;"",LOWER(TRIM($S37))&lt;&gt;"n/a",COUNTIFS($B$2:$B$532,"Yes",$A$2:$A$532,"Neuron",$S$2:$S$532,$S37)&gt;1),
AND($T37&lt;&gt;"",LOWER(TRIM($T37))&lt;&gt;"n/a",COUNTIFS($B$2:$B$532,"Yes",$A$2:$A$532,"Neuron",$T$2:$T$532,$T37)&gt;1),
AND($W37&lt;&gt;"",LOWER(TRIM($W37))&lt;&gt;"n/a",COUNTIFS($B$2:$B$532,"Yes",$A$2:$A$532,"Neuron",$W$2:$W$532,$W37)&gt;1)
),"Yes","No"),
IF($A37="Cybernet",
IF(OR(
AND($Y37&lt;&gt;"",LOWER(TRIM($Y37))&lt;&gt;"n/a",COUNTIFS($B$2:$B$532,"Yes",$A$2:$A$532,"Cybernet",$Y$2:$Y$532,$Y37)&gt;1),
AND($Z37&lt;&gt;"",LOWER(TRIM($Z37))&lt;&gt;"n/a",COUNTIFS($B$2:$B$532,"Yes",$A$2:$A$532,"Cybernet",$Z$2:$Z$532,$Z37)&gt;1)
),"Yes","No"),
IF(AND($AL37&lt;&gt;"",LOWER(TRIM($AL37))&lt;&gt;"n/a"),
IF(COUNTIFS($B$2:$B$532,"Yes",$A$2:$A$532,$A37,$AL$2:$AL$532,$AL37)&gt;1,"Yes","No"),
"No")
)
)
)</f>
      </c>
      <c r="G37" t="s">
        <v>1317</v>
      </c>
      <c r="H37" t="s">
        <v>1437</v>
      </c>
      <c r="J37" t="s">
        <v>2115</v>
      </c>
      <c r="K37" t="s">
        <v>2115</v>
      </c>
      <c r="L37" t="s">
        <v>2115</v>
      </c>
      <c r="S37" t="s">
        <v>1980</v>
      </c>
      <c r="T37" t="s">
        <v>2180</v>
      </c>
      <c r="W37" t="s">
        <v>2265</v>
      </c>
      <c r="BD37" t="s">
        <v>1958</v>
      </c>
      <c r="BL37">
        <f>IF($T37="","",IF((IF(AND($AW37&lt;&gt;"Yes",$AW37&lt;&gt;"N/A"),"Power Cable, ","")&amp;IF(AND($AX37&lt;&gt;"Yes",$AX37&lt;&gt;"N/A"),"Battery, ","")&amp;IF(AND($BE37&lt;&gt;"Yes",$BE37&lt;&gt;"N/A"),"Firmware Download, ","")&amp;IF(AND(OR($BE37="Yes",$BE37="N/A"),$BF37&lt;&gt;"Yes",$BF37&lt;&gt;"N/A"),"Firmware Install, ","")&amp;IF(AND($BJ37&lt;&gt;"Yes",$BJ37&lt;&gt;"N/A"),"Device ID, ","")&amp;IF(AND($BK37&lt;&gt;"Yes",$BK37&lt;&gt;"N/A"),"Epic Beans Relay, ",""))="","",LEFT(IF(AND($AW37&lt;&gt;"Yes",$AW37&lt;&gt;"N/A"),"Power Cable, ","")&amp;IF(AND($AX37&lt;&gt;"Yes",$AX37&lt;&gt;"N/A"),"Battery, ","")&amp;IF(AND($BE37&lt;&gt;"Yes",$BE37&lt;&gt;"N/A"),"Firmware Download, ","")&amp;IF(AND(OR($BE37="Yes",$BE37="N/A"),$BF37&lt;&gt;"Yes",$BF37&lt;&gt;"N/A"),"Firmware Install, ","")&amp;IF(AND($BJ37&lt;&gt;"Yes",$BJ37&lt;&gt;"N/A"),"Device ID, ","")&amp;IF(AND($BK37&lt;&gt;"Yes",$BK37&lt;&gt;"N/A"),"Epic Beans Relay, ",""),LEN(IF(AND($AW37&lt;&gt;"Yes",$AW37&lt;&gt;"N/A"),"Power Cable, ","")&amp;IF(AND($AX37&lt;&gt;"Yes",$AX37&lt;&gt;"N/A"),"Battery, ","")&amp;IF(AND($BE37&lt;&gt;"Yes",$BE37&lt;&gt;"N/A"),"Firmware Download, ","")&amp;IF(AND(OR($BE37="Yes",$BE37="N/A"),$BF37&lt;&gt;"Yes",$BF37&lt;&gt;"N/A"),"Firmware Install, ","")&amp;IF(AND($BJ37&lt;&gt;"Yes",$BJ37&lt;&gt;"N/A"),"Device ID, ","")&amp;IF(AND($BK37&lt;&gt;"Yes",$BK37&lt;&gt;"N/A"),"Epic Beans Relay, ",""))-2)))</f>
      </c>
      <c r="BM37">
        <f>IF($T37="","",IF($BL37="","Yes","Blocked"))</f>
      </c>
      <c r="BP37">
        <f>IF($BO37="","",IFERROR(VLOOKUP($BO37,'01_Warehouse_Ledger'!$A:$N,4,FALSE),""))</f>
      </c>
      <c r="BQ37">
        <f>IF($BO37="","",IFERROR(VLOOKUP($BO37,'01_Warehouse_Ledger'!$A:$N,5,FALSE),""))</f>
      </c>
      <c r="BR37">
        <f>IF($BO37="","",IFERROR(VLOOKUP($BO37,'01_Warehouse_Ledger'!$A:$N,13,FALSE),""))</f>
      </c>
    </row>
    <row r="38">
      <c r="A38" t="s">
        <v>1331</v>
      </c>
      <c r="B38" t="s">
        <v>1657</v>
      </c>
      <c r="C38" t="s">
        <v>1657</v>
      </c>
      <c r="D38">
        <f>IF($B38&lt;&gt;"Yes","",IF($C38="No","Yes",IF($C38="Yes","No","")))</f>
      </c>
      <c r="E38">
        <f>IF($A38="","",IF($A38="Neuron",IF(OR(AND($S38&lt;&gt;"",LOWER(TRIM($S38))&lt;&gt;"n/a",COUNTIF($S$2:$S$532,$S38)&gt;1),AND($T38&lt;&gt;"",LOWER(TRIM($T38))&lt;&gt;"n/a",COUNTIF($T$2:$T$532,$T38)&gt;1),AND($W38&lt;&gt;"",LOWER(TRIM($W38))&lt;&gt;"n/a",COUNTIF($W$2:$W$532,$W38)&gt;1)),"Yes","No"),IF($A38="Cybernet",IF(OR(AND($Y38&lt;&gt;"",LOWER(TRIM($Y38))&lt;&gt;"n/a",COUNTIF($Y$2:$Y$532,$Y38)&gt;1),AND($Z38&lt;&gt;"",LOWER(TRIM($Z38))&lt;&gt;"n/a",COUNTIF($Z$2:$Z$532,$Z38)&gt;1)),"Yes","No"),IF(AND($AL38&lt;&gt;"",LOWER(TRIM($AL38))&lt;&gt;"n/a",COUNTIF($AL$2:$AL$532,$AL38)&gt;1),"Yes","No"))))</f>
      </c>
      <c r="F38">
        <f>IF($B38&lt;&gt;"Yes","",
IF($A38="Neuron",
IF(OR(
AND($S38&lt;&gt;"",LOWER(TRIM($S38))&lt;&gt;"n/a",COUNTIFS($B$2:$B$532,"Yes",$A$2:$A$532,"Neuron",$S$2:$S$532,$S38)&gt;1),
AND($T38&lt;&gt;"",LOWER(TRIM($T38))&lt;&gt;"n/a",COUNTIFS($B$2:$B$532,"Yes",$A$2:$A$532,"Neuron",$T$2:$T$532,$T38)&gt;1),
AND($W38&lt;&gt;"",LOWER(TRIM($W38))&lt;&gt;"n/a",COUNTIFS($B$2:$B$532,"Yes",$A$2:$A$532,"Neuron",$W$2:$W$532,$W38)&gt;1)
),"Yes","No"),
IF($A38="Cybernet",
IF(OR(
AND($Y38&lt;&gt;"",LOWER(TRIM($Y38))&lt;&gt;"n/a",COUNTIFS($B$2:$B$532,"Yes",$A$2:$A$532,"Cybernet",$Y$2:$Y$532,$Y38)&gt;1),
AND($Z38&lt;&gt;"",LOWER(TRIM($Z38))&lt;&gt;"n/a",COUNTIFS($B$2:$B$532,"Yes",$A$2:$A$532,"Cybernet",$Z$2:$Z$532,$Z38)&gt;1)
),"Yes","No"),
IF(AND($AL38&lt;&gt;"",LOWER(TRIM($AL38))&lt;&gt;"n/a"),
IF(COUNTIFS($B$2:$B$532,"Yes",$A$2:$A$532,$A38,$AL$2:$AL$532,$AL38)&gt;1,"Yes","No"),
"No")
)
)
)</f>
      </c>
      <c r="G38" t="s">
        <v>1317</v>
      </c>
      <c r="H38" t="s">
        <v>1437</v>
      </c>
      <c r="J38" t="s">
        <v>2115</v>
      </c>
      <c r="K38" t="s">
        <v>2115</v>
      </c>
      <c r="L38" t="s">
        <v>2115</v>
      </c>
      <c r="S38" t="s">
        <v>2250</v>
      </c>
      <c r="T38" t="s">
        <v>2311</v>
      </c>
      <c r="W38" t="s">
        <v>1721</v>
      </c>
      <c r="BD38" t="s">
        <v>1958</v>
      </c>
      <c r="BL38">
        <f>IF($T38="","",IF((IF(AND($AW38&lt;&gt;"Yes",$AW38&lt;&gt;"N/A"),"Power Cable, ","")&amp;IF(AND($AX38&lt;&gt;"Yes",$AX38&lt;&gt;"N/A"),"Battery, ","")&amp;IF(AND($BE38&lt;&gt;"Yes",$BE38&lt;&gt;"N/A"),"Firmware Download, ","")&amp;IF(AND(OR($BE38="Yes",$BE38="N/A"),$BF38&lt;&gt;"Yes",$BF38&lt;&gt;"N/A"),"Firmware Install, ","")&amp;IF(AND($BJ38&lt;&gt;"Yes",$BJ38&lt;&gt;"N/A"),"Device ID, ","")&amp;IF(AND($BK38&lt;&gt;"Yes",$BK38&lt;&gt;"N/A"),"Epic Beans Relay, ",""))="","",LEFT(IF(AND($AW38&lt;&gt;"Yes",$AW38&lt;&gt;"N/A"),"Power Cable, ","")&amp;IF(AND($AX38&lt;&gt;"Yes",$AX38&lt;&gt;"N/A"),"Battery, ","")&amp;IF(AND($BE38&lt;&gt;"Yes",$BE38&lt;&gt;"N/A"),"Firmware Download, ","")&amp;IF(AND(OR($BE38="Yes",$BE38="N/A"),$BF38&lt;&gt;"Yes",$BF38&lt;&gt;"N/A"),"Firmware Install, ","")&amp;IF(AND($BJ38&lt;&gt;"Yes",$BJ38&lt;&gt;"N/A"),"Device ID, ","")&amp;IF(AND($BK38&lt;&gt;"Yes",$BK38&lt;&gt;"N/A"),"Epic Beans Relay, ",""),LEN(IF(AND($AW38&lt;&gt;"Yes",$AW38&lt;&gt;"N/A"),"Power Cable, ","")&amp;IF(AND($AX38&lt;&gt;"Yes",$AX38&lt;&gt;"N/A"),"Battery, ","")&amp;IF(AND($BE38&lt;&gt;"Yes",$BE38&lt;&gt;"N/A"),"Firmware Download, ","")&amp;IF(AND(OR($BE38="Yes",$BE38="N/A"),$BF38&lt;&gt;"Yes",$BF38&lt;&gt;"N/A"),"Firmware Install, ","")&amp;IF(AND($BJ38&lt;&gt;"Yes",$BJ38&lt;&gt;"N/A"),"Device ID, ","")&amp;IF(AND($BK38&lt;&gt;"Yes",$BK38&lt;&gt;"N/A"),"Epic Beans Relay, ",""))-2)))</f>
      </c>
      <c r="BM38">
        <f>IF($T38="","",IF($BL38="","Yes","Blocked"))</f>
      </c>
      <c r="BP38">
        <f>IF($BO38="","",IFERROR(VLOOKUP($BO38,'01_Warehouse_Ledger'!$A:$N,4,FALSE),""))</f>
      </c>
      <c r="BQ38">
        <f>IF($BO38="","",IFERROR(VLOOKUP($BO38,'01_Warehouse_Ledger'!$A:$N,5,FALSE),""))</f>
      </c>
      <c r="BR38">
        <f>IF($BO38="","",IFERROR(VLOOKUP($BO38,'01_Warehouse_Ledger'!$A:$N,13,FALSE),""))</f>
      </c>
    </row>
    <row r="39">
      <c r="A39" t="s">
        <v>1331</v>
      </c>
      <c r="B39" t="s">
        <v>1657</v>
      </c>
      <c r="C39" t="s">
        <v>1657</v>
      </c>
      <c r="D39">
        <f>IF($B39&lt;&gt;"Yes","",IF($C39="No","Yes",IF($C39="Yes","No","")))</f>
      </c>
      <c r="E39">
        <f>IF($A39="","",IF($A39="Neuron",IF(OR(AND($S39&lt;&gt;"",LOWER(TRIM($S39))&lt;&gt;"n/a",COUNTIF($S$2:$S$532,$S39)&gt;1),AND($T39&lt;&gt;"",LOWER(TRIM($T39))&lt;&gt;"n/a",COUNTIF($T$2:$T$532,$T39)&gt;1),AND($W39&lt;&gt;"",LOWER(TRIM($W39))&lt;&gt;"n/a",COUNTIF($W$2:$W$532,$W39)&gt;1)),"Yes","No"),IF($A39="Cybernet",IF(OR(AND($Y39&lt;&gt;"",LOWER(TRIM($Y39))&lt;&gt;"n/a",COUNTIF($Y$2:$Y$532,$Y39)&gt;1),AND($Z39&lt;&gt;"",LOWER(TRIM($Z39))&lt;&gt;"n/a",COUNTIF($Z$2:$Z$532,$Z39)&gt;1)),"Yes","No"),IF(AND($AL39&lt;&gt;"",LOWER(TRIM($AL39))&lt;&gt;"n/a",COUNTIF($AL$2:$AL$532,$AL39)&gt;1),"Yes","No"))))</f>
      </c>
      <c r="F39">
        <f>IF($B39&lt;&gt;"Yes","",
IF($A39="Neuron",
IF(OR(
AND($S39&lt;&gt;"",LOWER(TRIM($S39))&lt;&gt;"n/a",COUNTIFS($B$2:$B$532,"Yes",$A$2:$A$532,"Neuron",$S$2:$S$532,$S39)&gt;1),
AND($T39&lt;&gt;"",LOWER(TRIM($T39))&lt;&gt;"n/a",COUNTIFS($B$2:$B$532,"Yes",$A$2:$A$532,"Neuron",$T$2:$T$532,$T39)&gt;1),
AND($W39&lt;&gt;"",LOWER(TRIM($W39))&lt;&gt;"n/a",COUNTIFS($B$2:$B$532,"Yes",$A$2:$A$532,"Neuron",$W$2:$W$532,$W39)&gt;1)
),"Yes","No"),
IF($A39="Cybernet",
IF(OR(
AND($Y39&lt;&gt;"",LOWER(TRIM($Y39))&lt;&gt;"n/a",COUNTIFS($B$2:$B$532,"Yes",$A$2:$A$532,"Cybernet",$Y$2:$Y$532,$Y39)&gt;1),
AND($Z39&lt;&gt;"",LOWER(TRIM($Z39))&lt;&gt;"n/a",COUNTIFS($B$2:$B$532,"Yes",$A$2:$A$532,"Cybernet",$Z$2:$Z$532,$Z39)&gt;1)
),"Yes","No"),
IF(AND($AL39&lt;&gt;"",LOWER(TRIM($AL39))&lt;&gt;"n/a"),
IF(COUNTIFS($B$2:$B$532,"Yes",$A$2:$A$532,$A39,$AL$2:$AL$532,$AL39)&gt;1,"Yes","No"),
"No")
)
)
)</f>
      </c>
      <c r="G39" t="s">
        <v>1317</v>
      </c>
      <c r="H39" t="s">
        <v>1731</v>
      </c>
      <c r="J39" t="s">
        <v>2115</v>
      </c>
      <c r="K39" t="s">
        <v>2115</v>
      </c>
      <c r="L39" t="s">
        <v>2115</v>
      </c>
      <c r="S39" t="s">
        <v>2284</v>
      </c>
      <c r="T39" t="s">
        <v>1915</v>
      </c>
      <c r="W39" t="s">
        <v>1667</v>
      </c>
      <c r="BD39" t="s">
        <v>1958</v>
      </c>
      <c r="BL39">
        <f>IF($T39="","",IF((IF(AND($AW39&lt;&gt;"Yes",$AW39&lt;&gt;"N/A"),"Power Cable, ","")&amp;IF(AND($AX39&lt;&gt;"Yes",$AX39&lt;&gt;"N/A"),"Battery, ","")&amp;IF(AND($BE39&lt;&gt;"Yes",$BE39&lt;&gt;"N/A"),"Firmware Download, ","")&amp;IF(AND(OR($BE39="Yes",$BE39="N/A"),$BF39&lt;&gt;"Yes",$BF39&lt;&gt;"N/A"),"Firmware Install, ","")&amp;IF(AND($BJ39&lt;&gt;"Yes",$BJ39&lt;&gt;"N/A"),"Device ID, ","")&amp;IF(AND($BK39&lt;&gt;"Yes",$BK39&lt;&gt;"N/A"),"Epic Beans Relay, ",""))="","",LEFT(IF(AND($AW39&lt;&gt;"Yes",$AW39&lt;&gt;"N/A"),"Power Cable, ","")&amp;IF(AND($AX39&lt;&gt;"Yes",$AX39&lt;&gt;"N/A"),"Battery, ","")&amp;IF(AND($BE39&lt;&gt;"Yes",$BE39&lt;&gt;"N/A"),"Firmware Download, ","")&amp;IF(AND(OR($BE39="Yes",$BE39="N/A"),$BF39&lt;&gt;"Yes",$BF39&lt;&gt;"N/A"),"Firmware Install, ","")&amp;IF(AND($BJ39&lt;&gt;"Yes",$BJ39&lt;&gt;"N/A"),"Device ID, ","")&amp;IF(AND($BK39&lt;&gt;"Yes",$BK39&lt;&gt;"N/A"),"Epic Beans Relay, ",""),LEN(IF(AND($AW39&lt;&gt;"Yes",$AW39&lt;&gt;"N/A"),"Power Cable, ","")&amp;IF(AND($AX39&lt;&gt;"Yes",$AX39&lt;&gt;"N/A"),"Battery, ","")&amp;IF(AND($BE39&lt;&gt;"Yes",$BE39&lt;&gt;"N/A"),"Firmware Download, ","")&amp;IF(AND(OR($BE39="Yes",$BE39="N/A"),$BF39&lt;&gt;"Yes",$BF39&lt;&gt;"N/A"),"Firmware Install, ","")&amp;IF(AND($BJ39&lt;&gt;"Yes",$BJ39&lt;&gt;"N/A"),"Device ID, ","")&amp;IF(AND($BK39&lt;&gt;"Yes",$BK39&lt;&gt;"N/A"),"Epic Beans Relay, ",""))-2)))</f>
      </c>
      <c r="BM39">
        <f>IF($T39="","",IF($BL39="","Yes","Blocked"))</f>
      </c>
      <c r="BP39">
        <f>IF($BO39="","",IFERROR(VLOOKUP($BO39,'01_Warehouse_Ledger'!$A:$N,4,FALSE),""))</f>
      </c>
      <c r="BQ39">
        <f>IF($BO39="","",IFERROR(VLOOKUP($BO39,'01_Warehouse_Ledger'!$A:$N,5,FALSE),""))</f>
      </c>
      <c r="BR39">
        <f>IF($BO39="","",IFERROR(VLOOKUP($BO39,'01_Warehouse_Ledger'!$A:$N,13,FALSE),""))</f>
      </c>
    </row>
    <row r="40">
      <c r="A40" t="s">
        <v>1331</v>
      </c>
      <c r="B40" t="s">
        <v>1657</v>
      </c>
      <c r="C40" t="s">
        <v>1657</v>
      </c>
      <c r="D40">
        <f>IF($B40&lt;&gt;"Yes","",IF($C40="No","Yes",IF($C40="Yes","No","")))</f>
      </c>
      <c r="E40">
        <f>IF($A40="","",IF($A40="Neuron",IF(OR(AND($S40&lt;&gt;"",LOWER(TRIM($S40))&lt;&gt;"n/a",COUNTIF($S$2:$S$532,$S40)&gt;1),AND($T40&lt;&gt;"",LOWER(TRIM($T40))&lt;&gt;"n/a",COUNTIF($T$2:$T$532,$T40)&gt;1),AND($W40&lt;&gt;"",LOWER(TRIM($W40))&lt;&gt;"n/a",COUNTIF($W$2:$W$532,$W40)&gt;1)),"Yes","No"),IF($A40="Cybernet",IF(OR(AND($Y40&lt;&gt;"",LOWER(TRIM($Y40))&lt;&gt;"n/a",COUNTIF($Y$2:$Y$532,$Y40)&gt;1),AND($Z40&lt;&gt;"",LOWER(TRIM($Z40))&lt;&gt;"n/a",COUNTIF($Z$2:$Z$532,$Z40)&gt;1)),"Yes","No"),IF(AND($AL40&lt;&gt;"",LOWER(TRIM($AL40))&lt;&gt;"n/a",COUNTIF($AL$2:$AL$532,$AL40)&gt;1),"Yes","No"))))</f>
      </c>
      <c r="F40">
        <f>IF($B40&lt;&gt;"Yes","",
IF($A40="Neuron",
IF(OR(
AND($S40&lt;&gt;"",LOWER(TRIM($S40))&lt;&gt;"n/a",COUNTIFS($B$2:$B$532,"Yes",$A$2:$A$532,"Neuron",$S$2:$S$532,$S40)&gt;1),
AND($T40&lt;&gt;"",LOWER(TRIM($T40))&lt;&gt;"n/a",COUNTIFS($B$2:$B$532,"Yes",$A$2:$A$532,"Neuron",$T$2:$T$532,$T40)&gt;1),
AND($W40&lt;&gt;"",LOWER(TRIM($W40))&lt;&gt;"n/a",COUNTIFS($B$2:$B$532,"Yes",$A$2:$A$532,"Neuron",$W$2:$W$532,$W40)&gt;1)
),"Yes","No"),
IF($A40="Cybernet",
IF(OR(
AND($Y40&lt;&gt;"",LOWER(TRIM($Y40))&lt;&gt;"n/a",COUNTIFS($B$2:$B$532,"Yes",$A$2:$A$532,"Cybernet",$Y$2:$Y$532,$Y40)&gt;1),
AND($Z40&lt;&gt;"",LOWER(TRIM($Z40))&lt;&gt;"n/a",COUNTIFS($B$2:$B$532,"Yes",$A$2:$A$532,"Cybernet",$Z$2:$Z$532,$Z40)&gt;1)
),"Yes","No"),
IF(AND($AL40&lt;&gt;"",LOWER(TRIM($AL40))&lt;&gt;"n/a"),
IF(COUNTIFS($B$2:$B$532,"Yes",$A$2:$A$532,$A40,$AL$2:$AL$532,$AL40)&gt;1,"Yes","No"),
"No")
)
)
)</f>
      </c>
      <c r="G40" t="s">
        <v>1317</v>
      </c>
      <c r="H40" t="s">
        <v>1731</v>
      </c>
      <c r="J40" t="s">
        <v>2115</v>
      </c>
      <c r="K40" t="s">
        <v>2115</v>
      </c>
      <c r="L40" t="s">
        <v>2115</v>
      </c>
      <c r="S40" t="s">
        <v>2321</v>
      </c>
      <c r="T40" t="s">
        <v>1694</v>
      </c>
      <c r="W40" t="s">
        <v>1989</v>
      </c>
      <c r="BD40" t="s">
        <v>1958</v>
      </c>
      <c r="BL40">
        <f>IF($T40="","",IF((IF(AND($AW40&lt;&gt;"Yes",$AW40&lt;&gt;"N/A"),"Power Cable, ","")&amp;IF(AND($AX40&lt;&gt;"Yes",$AX40&lt;&gt;"N/A"),"Battery, ","")&amp;IF(AND($BE40&lt;&gt;"Yes",$BE40&lt;&gt;"N/A"),"Firmware Download, ","")&amp;IF(AND(OR($BE40="Yes",$BE40="N/A"),$BF40&lt;&gt;"Yes",$BF40&lt;&gt;"N/A"),"Firmware Install, ","")&amp;IF(AND($BJ40&lt;&gt;"Yes",$BJ40&lt;&gt;"N/A"),"Device ID, ","")&amp;IF(AND($BK40&lt;&gt;"Yes",$BK40&lt;&gt;"N/A"),"Epic Beans Relay, ",""))="","",LEFT(IF(AND($AW40&lt;&gt;"Yes",$AW40&lt;&gt;"N/A"),"Power Cable, ","")&amp;IF(AND($AX40&lt;&gt;"Yes",$AX40&lt;&gt;"N/A"),"Battery, ","")&amp;IF(AND($BE40&lt;&gt;"Yes",$BE40&lt;&gt;"N/A"),"Firmware Download, ","")&amp;IF(AND(OR($BE40="Yes",$BE40="N/A"),$BF40&lt;&gt;"Yes",$BF40&lt;&gt;"N/A"),"Firmware Install, ","")&amp;IF(AND($BJ40&lt;&gt;"Yes",$BJ40&lt;&gt;"N/A"),"Device ID, ","")&amp;IF(AND($BK40&lt;&gt;"Yes",$BK40&lt;&gt;"N/A"),"Epic Beans Relay, ",""),LEN(IF(AND($AW40&lt;&gt;"Yes",$AW40&lt;&gt;"N/A"),"Power Cable, ","")&amp;IF(AND($AX40&lt;&gt;"Yes",$AX40&lt;&gt;"N/A"),"Battery, ","")&amp;IF(AND($BE40&lt;&gt;"Yes",$BE40&lt;&gt;"N/A"),"Firmware Download, ","")&amp;IF(AND(OR($BE40="Yes",$BE40="N/A"),$BF40&lt;&gt;"Yes",$BF40&lt;&gt;"N/A"),"Firmware Install, ","")&amp;IF(AND($BJ40&lt;&gt;"Yes",$BJ40&lt;&gt;"N/A"),"Device ID, ","")&amp;IF(AND($BK40&lt;&gt;"Yes",$BK40&lt;&gt;"N/A"),"Epic Beans Relay, ",""))-2)))</f>
      </c>
      <c r="BM40">
        <f>IF($T40="","",IF($BL40="","Yes","Blocked"))</f>
      </c>
      <c r="BP40">
        <f>IF($BO40="","",IFERROR(VLOOKUP($BO40,'01_Warehouse_Ledger'!$A:$N,4,FALSE),""))</f>
      </c>
      <c r="BQ40">
        <f>IF($BO40="","",IFERROR(VLOOKUP($BO40,'01_Warehouse_Ledger'!$A:$N,5,FALSE),""))</f>
      </c>
      <c r="BR40">
        <f>IF($BO40="","",IFERROR(VLOOKUP($BO40,'01_Warehouse_Ledger'!$A:$N,13,FALSE),""))</f>
      </c>
    </row>
    <row r="41">
      <c r="A41" t="s">
        <v>1331</v>
      </c>
      <c r="B41" t="s">
        <v>1657</v>
      </c>
      <c r="C41" t="s">
        <v>1657</v>
      </c>
      <c r="D41">
        <f>IF($B41&lt;&gt;"Yes","",IF($C41="No","Yes",IF($C41="Yes","No","")))</f>
      </c>
      <c r="E41">
        <f>IF($A41="","",IF($A41="Neuron",IF(OR(AND($S41&lt;&gt;"",LOWER(TRIM($S41))&lt;&gt;"n/a",COUNTIF($S$2:$S$532,$S41)&gt;1),AND($T41&lt;&gt;"",LOWER(TRIM($T41))&lt;&gt;"n/a",COUNTIF($T$2:$T$532,$T41)&gt;1),AND($W41&lt;&gt;"",LOWER(TRIM($W41))&lt;&gt;"n/a",COUNTIF($W$2:$W$532,$W41)&gt;1)),"Yes","No"),IF($A41="Cybernet",IF(OR(AND($Y41&lt;&gt;"",LOWER(TRIM($Y41))&lt;&gt;"n/a",COUNTIF($Y$2:$Y$532,$Y41)&gt;1),AND($Z41&lt;&gt;"",LOWER(TRIM($Z41))&lt;&gt;"n/a",COUNTIF($Z$2:$Z$532,$Z41)&gt;1)),"Yes","No"),IF(AND($AL41&lt;&gt;"",LOWER(TRIM($AL41))&lt;&gt;"n/a",COUNTIF($AL$2:$AL$532,$AL41)&gt;1),"Yes","No"))))</f>
      </c>
      <c r="F41">
        <f>IF($B41&lt;&gt;"Yes","",
IF($A41="Neuron",
IF(OR(
AND($S41&lt;&gt;"",LOWER(TRIM($S41))&lt;&gt;"n/a",COUNTIFS($B$2:$B$532,"Yes",$A$2:$A$532,"Neuron",$S$2:$S$532,$S41)&gt;1),
AND($T41&lt;&gt;"",LOWER(TRIM($T41))&lt;&gt;"n/a",COUNTIFS($B$2:$B$532,"Yes",$A$2:$A$532,"Neuron",$T$2:$T$532,$T41)&gt;1),
AND($W41&lt;&gt;"",LOWER(TRIM($W41))&lt;&gt;"n/a",COUNTIFS($B$2:$B$532,"Yes",$A$2:$A$532,"Neuron",$W$2:$W$532,$W41)&gt;1)
),"Yes","No"),
IF($A41="Cybernet",
IF(OR(
AND($Y41&lt;&gt;"",LOWER(TRIM($Y41))&lt;&gt;"n/a",COUNTIFS($B$2:$B$532,"Yes",$A$2:$A$532,"Cybernet",$Y$2:$Y$532,$Y41)&gt;1),
AND($Z41&lt;&gt;"",LOWER(TRIM($Z41))&lt;&gt;"n/a",COUNTIFS($B$2:$B$532,"Yes",$A$2:$A$532,"Cybernet",$Z$2:$Z$532,$Z41)&gt;1)
),"Yes","No"),
IF(AND($AL41&lt;&gt;"",LOWER(TRIM($AL41))&lt;&gt;"n/a"),
IF(COUNTIFS($B$2:$B$532,"Yes",$A$2:$A$532,$A41,$AL$2:$AL$532,$AL41)&gt;1,"Yes","No"),
"No")
)
)
)</f>
      </c>
      <c r="G41" t="s">
        <v>1317</v>
      </c>
      <c r="H41" t="s">
        <v>1731</v>
      </c>
      <c r="J41" t="s">
        <v>2115</v>
      </c>
      <c r="K41" t="s">
        <v>2115</v>
      </c>
      <c r="L41" t="s">
        <v>2115</v>
      </c>
      <c r="S41" t="s">
        <v>1795</v>
      </c>
      <c r="T41" t="s">
        <v>2293</v>
      </c>
      <c r="W41" t="s">
        <v>2146</v>
      </c>
      <c r="BD41" t="s">
        <v>1958</v>
      </c>
      <c r="BL41">
        <f>IF($T41="","",IF((IF(AND($AW41&lt;&gt;"Yes",$AW41&lt;&gt;"N/A"),"Power Cable, ","")&amp;IF(AND($AX41&lt;&gt;"Yes",$AX41&lt;&gt;"N/A"),"Battery, ","")&amp;IF(AND($BE41&lt;&gt;"Yes",$BE41&lt;&gt;"N/A"),"Firmware Download, ","")&amp;IF(AND(OR($BE41="Yes",$BE41="N/A"),$BF41&lt;&gt;"Yes",$BF41&lt;&gt;"N/A"),"Firmware Install, ","")&amp;IF(AND($BJ41&lt;&gt;"Yes",$BJ41&lt;&gt;"N/A"),"Device ID, ","")&amp;IF(AND($BK41&lt;&gt;"Yes",$BK41&lt;&gt;"N/A"),"Epic Beans Relay, ",""))="","",LEFT(IF(AND($AW41&lt;&gt;"Yes",$AW41&lt;&gt;"N/A"),"Power Cable, ","")&amp;IF(AND($AX41&lt;&gt;"Yes",$AX41&lt;&gt;"N/A"),"Battery, ","")&amp;IF(AND($BE41&lt;&gt;"Yes",$BE41&lt;&gt;"N/A"),"Firmware Download, ","")&amp;IF(AND(OR($BE41="Yes",$BE41="N/A"),$BF41&lt;&gt;"Yes",$BF41&lt;&gt;"N/A"),"Firmware Install, ","")&amp;IF(AND($BJ41&lt;&gt;"Yes",$BJ41&lt;&gt;"N/A"),"Device ID, ","")&amp;IF(AND($BK41&lt;&gt;"Yes",$BK41&lt;&gt;"N/A"),"Epic Beans Relay, ",""),LEN(IF(AND($AW41&lt;&gt;"Yes",$AW41&lt;&gt;"N/A"),"Power Cable, ","")&amp;IF(AND($AX41&lt;&gt;"Yes",$AX41&lt;&gt;"N/A"),"Battery, ","")&amp;IF(AND($BE41&lt;&gt;"Yes",$BE41&lt;&gt;"N/A"),"Firmware Download, ","")&amp;IF(AND(OR($BE41="Yes",$BE41="N/A"),$BF41&lt;&gt;"Yes",$BF41&lt;&gt;"N/A"),"Firmware Install, ","")&amp;IF(AND($BJ41&lt;&gt;"Yes",$BJ41&lt;&gt;"N/A"),"Device ID, ","")&amp;IF(AND($BK41&lt;&gt;"Yes",$BK41&lt;&gt;"N/A"),"Epic Beans Relay, ",""))-2)))</f>
      </c>
      <c r="BM41">
        <f>IF($T41="","",IF($BL41="","Yes","Blocked"))</f>
      </c>
      <c r="BP41">
        <f>IF($BO41="","",IFERROR(VLOOKUP($BO41,'01_Warehouse_Ledger'!$A:$N,4,FALSE),""))</f>
      </c>
      <c r="BQ41">
        <f>IF($BO41="","",IFERROR(VLOOKUP($BO41,'01_Warehouse_Ledger'!$A:$N,5,FALSE),""))</f>
      </c>
      <c r="BR41">
        <f>IF($BO41="","",IFERROR(VLOOKUP($BO41,'01_Warehouse_Ledger'!$A:$N,13,FALSE),""))</f>
      </c>
    </row>
    <row r="42">
      <c r="A42" t="s">
        <v>1331</v>
      </c>
      <c r="B42" t="s">
        <v>1657</v>
      </c>
      <c r="C42" t="s">
        <v>1657</v>
      </c>
      <c r="D42">
        <f>IF($B42&lt;&gt;"Yes","",IF($C42="No","Yes",IF($C42="Yes","No","")))</f>
      </c>
      <c r="E42">
        <f>IF($A42="","",IF($A42="Neuron",IF(OR(AND($S42&lt;&gt;"",LOWER(TRIM($S42))&lt;&gt;"n/a",COUNTIF($S$2:$S$532,$S42)&gt;1),AND($T42&lt;&gt;"",LOWER(TRIM($T42))&lt;&gt;"n/a",COUNTIF($T$2:$T$532,$T42)&gt;1),AND($W42&lt;&gt;"",LOWER(TRIM($W42))&lt;&gt;"n/a",COUNTIF($W$2:$W$532,$W42)&gt;1)),"Yes","No"),IF($A42="Cybernet",IF(OR(AND($Y42&lt;&gt;"",LOWER(TRIM($Y42))&lt;&gt;"n/a",COUNTIF($Y$2:$Y$532,$Y42)&gt;1),AND($Z42&lt;&gt;"",LOWER(TRIM($Z42))&lt;&gt;"n/a",COUNTIF($Z$2:$Z$532,$Z42)&gt;1)),"Yes","No"),IF(AND($AL42&lt;&gt;"",LOWER(TRIM($AL42))&lt;&gt;"n/a",COUNTIF($AL$2:$AL$532,$AL42)&gt;1),"Yes","No"))))</f>
      </c>
      <c r="F42">
        <f>IF($B42&lt;&gt;"Yes","",
IF($A42="Neuron",
IF(OR(
AND($S42&lt;&gt;"",LOWER(TRIM($S42))&lt;&gt;"n/a",COUNTIFS($B$2:$B$532,"Yes",$A$2:$A$532,"Neuron",$S$2:$S$532,$S42)&gt;1),
AND($T42&lt;&gt;"",LOWER(TRIM($T42))&lt;&gt;"n/a",COUNTIFS($B$2:$B$532,"Yes",$A$2:$A$532,"Neuron",$T$2:$T$532,$T42)&gt;1),
AND($W42&lt;&gt;"",LOWER(TRIM($W42))&lt;&gt;"n/a",COUNTIFS($B$2:$B$532,"Yes",$A$2:$A$532,"Neuron",$W$2:$W$532,$W42)&gt;1)
),"Yes","No"),
IF($A42="Cybernet",
IF(OR(
AND($Y42&lt;&gt;"",LOWER(TRIM($Y42))&lt;&gt;"n/a",COUNTIFS($B$2:$B$532,"Yes",$A$2:$A$532,"Cybernet",$Y$2:$Y$532,$Y42)&gt;1),
AND($Z42&lt;&gt;"",LOWER(TRIM($Z42))&lt;&gt;"n/a",COUNTIFS($B$2:$B$532,"Yes",$A$2:$A$532,"Cybernet",$Z$2:$Z$532,$Z42)&gt;1)
),"Yes","No"),
IF(AND($AL42&lt;&gt;"",LOWER(TRIM($AL42))&lt;&gt;"n/a"),
IF(COUNTIFS($B$2:$B$532,"Yes",$A$2:$A$532,$A42,$AL$2:$AL$532,$AL42)&gt;1,"Yes","No"),
"No")
)
)
)</f>
      </c>
      <c r="G42" t="s">
        <v>1317</v>
      </c>
      <c r="H42" t="s">
        <v>1365</v>
      </c>
      <c r="J42" t="s">
        <v>2115</v>
      </c>
      <c r="K42" t="s">
        <v>2115</v>
      </c>
      <c r="L42" t="s">
        <v>2115</v>
      </c>
      <c r="S42" t="s">
        <v>2152</v>
      </c>
      <c r="T42" t="s">
        <v>2117</v>
      </c>
      <c r="W42" t="s">
        <v>2002</v>
      </c>
      <c r="BD42" t="s">
        <v>1958</v>
      </c>
      <c r="BL42">
        <f>IF($T42="","",IF((IF(AND($AW42&lt;&gt;"Yes",$AW42&lt;&gt;"N/A"),"Power Cable, ","")&amp;IF(AND($AX42&lt;&gt;"Yes",$AX42&lt;&gt;"N/A"),"Battery, ","")&amp;IF(AND($BE42&lt;&gt;"Yes",$BE42&lt;&gt;"N/A"),"Firmware Download, ","")&amp;IF(AND(OR($BE42="Yes",$BE42="N/A"),$BF42&lt;&gt;"Yes",$BF42&lt;&gt;"N/A"),"Firmware Install, ","")&amp;IF(AND($BJ42&lt;&gt;"Yes",$BJ42&lt;&gt;"N/A"),"Device ID, ","")&amp;IF(AND($BK42&lt;&gt;"Yes",$BK42&lt;&gt;"N/A"),"Epic Beans Relay, ",""))="","",LEFT(IF(AND($AW42&lt;&gt;"Yes",$AW42&lt;&gt;"N/A"),"Power Cable, ","")&amp;IF(AND($AX42&lt;&gt;"Yes",$AX42&lt;&gt;"N/A"),"Battery, ","")&amp;IF(AND($BE42&lt;&gt;"Yes",$BE42&lt;&gt;"N/A"),"Firmware Download, ","")&amp;IF(AND(OR($BE42="Yes",$BE42="N/A"),$BF42&lt;&gt;"Yes",$BF42&lt;&gt;"N/A"),"Firmware Install, ","")&amp;IF(AND($BJ42&lt;&gt;"Yes",$BJ42&lt;&gt;"N/A"),"Device ID, ","")&amp;IF(AND($BK42&lt;&gt;"Yes",$BK42&lt;&gt;"N/A"),"Epic Beans Relay, ",""),LEN(IF(AND($AW42&lt;&gt;"Yes",$AW42&lt;&gt;"N/A"),"Power Cable, ","")&amp;IF(AND($AX42&lt;&gt;"Yes",$AX42&lt;&gt;"N/A"),"Battery, ","")&amp;IF(AND($BE42&lt;&gt;"Yes",$BE42&lt;&gt;"N/A"),"Firmware Download, ","")&amp;IF(AND(OR($BE42="Yes",$BE42="N/A"),$BF42&lt;&gt;"Yes",$BF42&lt;&gt;"N/A"),"Firmware Install, ","")&amp;IF(AND($BJ42&lt;&gt;"Yes",$BJ42&lt;&gt;"N/A"),"Device ID, ","")&amp;IF(AND($BK42&lt;&gt;"Yes",$BK42&lt;&gt;"N/A"),"Epic Beans Relay, ",""))-2)))</f>
      </c>
      <c r="BM42">
        <f>IF($T42="","",IF($BL42="","Yes","Blocked"))</f>
      </c>
      <c r="BP42">
        <f>IF($BO42="","",IFERROR(VLOOKUP($BO42,'01_Warehouse_Ledger'!$A:$N,4,FALSE),""))</f>
      </c>
      <c r="BQ42">
        <f>IF($BO42="","",IFERROR(VLOOKUP($BO42,'01_Warehouse_Ledger'!$A:$N,5,FALSE),""))</f>
      </c>
      <c r="BR42">
        <f>IF($BO42="","",IFERROR(VLOOKUP($BO42,'01_Warehouse_Ledger'!$A:$N,13,FALSE),""))</f>
      </c>
    </row>
    <row r="43">
      <c r="A43" t="s">
        <v>1331</v>
      </c>
      <c r="B43" t="s">
        <v>1657</v>
      </c>
      <c r="C43" t="s">
        <v>1657</v>
      </c>
      <c r="D43">
        <f>IF($B43&lt;&gt;"Yes","",IF($C43="No","Yes",IF($C43="Yes","No","")))</f>
      </c>
      <c r="E43">
        <f>IF($A43="","",IF($A43="Neuron",IF(OR(AND($S43&lt;&gt;"",LOWER(TRIM($S43))&lt;&gt;"n/a",COUNTIF($S$2:$S$532,$S43)&gt;1),AND($T43&lt;&gt;"",LOWER(TRIM($T43))&lt;&gt;"n/a",COUNTIF($T$2:$T$532,$T43)&gt;1),AND($W43&lt;&gt;"",LOWER(TRIM($W43))&lt;&gt;"n/a",COUNTIF($W$2:$W$532,$W43)&gt;1)),"Yes","No"),IF($A43="Cybernet",IF(OR(AND($Y43&lt;&gt;"",LOWER(TRIM($Y43))&lt;&gt;"n/a",COUNTIF($Y$2:$Y$532,$Y43)&gt;1),AND($Z43&lt;&gt;"",LOWER(TRIM($Z43))&lt;&gt;"n/a",COUNTIF($Z$2:$Z$532,$Z43)&gt;1)),"Yes","No"),IF(AND($AL43&lt;&gt;"",LOWER(TRIM($AL43))&lt;&gt;"n/a",COUNTIF($AL$2:$AL$532,$AL43)&gt;1),"Yes","No"))))</f>
      </c>
      <c r="F43">
        <f>IF($B43&lt;&gt;"Yes","",
IF($A43="Neuron",
IF(OR(
AND($S43&lt;&gt;"",LOWER(TRIM($S43))&lt;&gt;"n/a",COUNTIFS($B$2:$B$532,"Yes",$A$2:$A$532,"Neuron",$S$2:$S$532,$S43)&gt;1),
AND($T43&lt;&gt;"",LOWER(TRIM($T43))&lt;&gt;"n/a",COUNTIFS($B$2:$B$532,"Yes",$A$2:$A$532,"Neuron",$T$2:$T$532,$T43)&gt;1),
AND($W43&lt;&gt;"",LOWER(TRIM($W43))&lt;&gt;"n/a",COUNTIFS($B$2:$B$532,"Yes",$A$2:$A$532,"Neuron",$W$2:$W$532,$W43)&gt;1)
),"Yes","No"),
IF($A43="Cybernet",
IF(OR(
AND($Y43&lt;&gt;"",LOWER(TRIM($Y43))&lt;&gt;"n/a",COUNTIFS($B$2:$B$532,"Yes",$A$2:$A$532,"Cybernet",$Y$2:$Y$532,$Y43)&gt;1),
AND($Z43&lt;&gt;"",LOWER(TRIM($Z43))&lt;&gt;"n/a",COUNTIFS($B$2:$B$532,"Yes",$A$2:$A$532,"Cybernet",$Z$2:$Z$532,$Z43)&gt;1)
),"Yes","No"),
IF(AND($AL43&lt;&gt;"",LOWER(TRIM($AL43))&lt;&gt;"n/a"),
IF(COUNTIFS($B$2:$B$532,"Yes",$A$2:$A$532,$A43,$AL$2:$AL$532,$AL43)&gt;1,"Yes","No"),
"No")
)
)
)</f>
      </c>
      <c r="G43" t="s">
        <v>1317</v>
      </c>
      <c r="H43" t="s">
        <v>2106</v>
      </c>
      <c r="J43" t="s">
        <v>2115</v>
      </c>
      <c r="K43" t="s">
        <v>2115</v>
      </c>
      <c r="L43" t="s">
        <v>2115</v>
      </c>
      <c r="S43" t="s">
        <v>2405</v>
      </c>
      <c r="T43" t="s">
        <v>1797</v>
      </c>
      <c r="W43" t="s">
        <v>2149</v>
      </c>
      <c r="BD43" t="s">
        <v>1958</v>
      </c>
      <c r="BL43">
        <f>IF($T43="","",IF((IF(AND($AW43&lt;&gt;"Yes",$AW43&lt;&gt;"N/A"),"Power Cable, ","")&amp;IF(AND($AX43&lt;&gt;"Yes",$AX43&lt;&gt;"N/A"),"Battery, ","")&amp;IF(AND($BE43&lt;&gt;"Yes",$BE43&lt;&gt;"N/A"),"Firmware Download, ","")&amp;IF(AND(OR($BE43="Yes",$BE43="N/A"),$BF43&lt;&gt;"Yes",$BF43&lt;&gt;"N/A"),"Firmware Install, ","")&amp;IF(AND($BJ43&lt;&gt;"Yes",$BJ43&lt;&gt;"N/A"),"Device ID, ","")&amp;IF(AND($BK43&lt;&gt;"Yes",$BK43&lt;&gt;"N/A"),"Epic Beans Relay, ",""))="","",LEFT(IF(AND($AW43&lt;&gt;"Yes",$AW43&lt;&gt;"N/A"),"Power Cable, ","")&amp;IF(AND($AX43&lt;&gt;"Yes",$AX43&lt;&gt;"N/A"),"Battery, ","")&amp;IF(AND($BE43&lt;&gt;"Yes",$BE43&lt;&gt;"N/A"),"Firmware Download, ","")&amp;IF(AND(OR($BE43="Yes",$BE43="N/A"),$BF43&lt;&gt;"Yes",$BF43&lt;&gt;"N/A"),"Firmware Install, ","")&amp;IF(AND($BJ43&lt;&gt;"Yes",$BJ43&lt;&gt;"N/A"),"Device ID, ","")&amp;IF(AND($BK43&lt;&gt;"Yes",$BK43&lt;&gt;"N/A"),"Epic Beans Relay, ",""),LEN(IF(AND($AW43&lt;&gt;"Yes",$AW43&lt;&gt;"N/A"),"Power Cable, ","")&amp;IF(AND($AX43&lt;&gt;"Yes",$AX43&lt;&gt;"N/A"),"Battery, ","")&amp;IF(AND($BE43&lt;&gt;"Yes",$BE43&lt;&gt;"N/A"),"Firmware Download, ","")&amp;IF(AND(OR($BE43="Yes",$BE43="N/A"),$BF43&lt;&gt;"Yes",$BF43&lt;&gt;"N/A"),"Firmware Install, ","")&amp;IF(AND($BJ43&lt;&gt;"Yes",$BJ43&lt;&gt;"N/A"),"Device ID, ","")&amp;IF(AND($BK43&lt;&gt;"Yes",$BK43&lt;&gt;"N/A"),"Epic Beans Relay, ",""))-2)))</f>
      </c>
      <c r="BM43">
        <f>IF($T43="","",IF($BL43="","Yes","Blocked"))</f>
      </c>
      <c r="BP43">
        <f>IF($BO43="","",IFERROR(VLOOKUP($BO43,'01_Warehouse_Ledger'!$A:$N,4,FALSE),""))</f>
      </c>
      <c r="BQ43">
        <f>IF($BO43="","",IFERROR(VLOOKUP($BO43,'01_Warehouse_Ledger'!$A:$N,5,FALSE),""))</f>
      </c>
      <c r="BR43">
        <f>IF($BO43="","",IFERROR(VLOOKUP($BO43,'01_Warehouse_Ledger'!$A:$N,13,FALSE),""))</f>
      </c>
    </row>
    <row r="44">
      <c r="A44" t="s">
        <v>1331</v>
      </c>
      <c r="B44" t="s">
        <v>1657</v>
      </c>
      <c r="C44" t="s">
        <v>1657</v>
      </c>
      <c r="D44">
        <f>IF($B44&lt;&gt;"Yes","",IF($C44="No","Yes",IF($C44="Yes","No","")))</f>
      </c>
      <c r="E44">
        <f>IF($A44="","",IF($A44="Neuron",IF(OR(AND($S44&lt;&gt;"",LOWER(TRIM($S44))&lt;&gt;"n/a",COUNTIF($S$2:$S$532,$S44)&gt;1),AND($T44&lt;&gt;"",LOWER(TRIM($T44))&lt;&gt;"n/a",COUNTIF($T$2:$T$532,$T44)&gt;1),AND($W44&lt;&gt;"",LOWER(TRIM($W44))&lt;&gt;"n/a",COUNTIF($W$2:$W$532,$W44)&gt;1)),"Yes","No"),IF($A44="Cybernet",IF(OR(AND($Y44&lt;&gt;"",LOWER(TRIM($Y44))&lt;&gt;"n/a",COUNTIF($Y$2:$Y$532,$Y44)&gt;1),AND($Z44&lt;&gt;"",LOWER(TRIM($Z44))&lt;&gt;"n/a",COUNTIF($Z$2:$Z$532,$Z44)&gt;1)),"Yes","No"),IF(AND($AL44&lt;&gt;"",LOWER(TRIM($AL44))&lt;&gt;"n/a",COUNTIF($AL$2:$AL$532,$AL44)&gt;1),"Yes","No"))))</f>
      </c>
      <c r="F44">
        <f>IF($B44&lt;&gt;"Yes","",
IF($A44="Neuron",
IF(OR(
AND($S44&lt;&gt;"",LOWER(TRIM($S44))&lt;&gt;"n/a",COUNTIFS($B$2:$B$532,"Yes",$A$2:$A$532,"Neuron",$S$2:$S$532,$S44)&gt;1),
AND($T44&lt;&gt;"",LOWER(TRIM($T44))&lt;&gt;"n/a",COUNTIFS($B$2:$B$532,"Yes",$A$2:$A$532,"Neuron",$T$2:$T$532,$T44)&gt;1),
AND($W44&lt;&gt;"",LOWER(TRIM($W44))&lt;&gt;"n/a",COUNTIFS($B$2:$B$532,"Yes",$A$2:$A$532,"Neuron",$W$2:$W$532,$W44)&gt;1)
),"Yes","No"),
IF($A44="Cybernet",
IF(OR(
AND($Y44&lt;&gt;"",LOWER(TRIM($Y44))&lt;&gt;"n/a",COUNTIFS($B$2:$B$532,"Yes",$A$2:$A$532,"Cybernet",$Y$2:$Y$532,$Y44)&gt;1),
AND($Z44&lt;&gt;"",LOWER(TRIM($Z44))&lt;&gt;"n/a",COUNTIFS($B$2:$B$532,"Yes",$A$2:$A$532,"Cybernet",$Z$2:$Z$532,$Z44)&gt;1)
),"Yes","No"),
IF(AND($AL44&lt;&gt;"",LOWER(TRIM($AL44))&lt;&gt;"n/a"),
IF(COUNTIFS($B$2:$B$532,"Yes",$A$2:$A$532,$A44,$AL$2:$AL$532,$AL44)&gt;1,"Yes","No"),
"No")
)
)
)</f>
      </c>
      <c r="G44" t="s">
        <v>1317</v>
      </c>
      <c r="H44" t="s">
        <v>2106</v>
      </c>
      <c r="J44" t="s">
        <v>2115</v>
      </c>
      <c r="K44" t="s">
        <v>2115</v>
      </c>
      <c r="L44" t="s">
        <v>2115</v>
      </c>
      <c r="S44" t="s">
        <v>1886</v>
      </c>
      <c r="T44" t="s">
        <v>1749</v>
      </c>
      <c r="W44" t="s">
        <v>1943</v>
      </c>
      <c r="BD44" t="s">
        <v>1958</v>
      </c>
      <c r="BL44">
        <f>IF($T44="","",IF((IF(AND($AW44&lt;&gt;"Yes",$AW44&lt;&gt;"N/A"),"Power Cable, ","")&amp;IF(AND($AX44&lt;&gt;"Yes",$AX44&lt;&gt;"N/A"),"Battery, ","")&amp;IF(AND($BE44&lt;&gt;"Yes",$BE44&lt;&gt;"N/A"),"Firmware Download, ","")&amp;IF(AND(OR($BE44="Yes",$BE44="N/A"),$BF44&lt;&gt;"Yes",$BF44&lt;&gt;"N/A"),"Firmware Install, ","")&amp;IF(AND($BJ44&lt;&gt;"Yes",$BJ44&lt;&gt;"N/A"),"Device ID, ","")&amp;IF(AND($BK44&lt;&gt;"Yes",$BK44&lt;&gt;"N/A"),"Epic Beans Relay, ",""))="","",LEFT(IF(AND($AW44&lt;&gt;"Yes",$AW44&lt;&gt;"N/A"),"Power Cable, ","")&amp;IF(AND($AX44&lt;&gt;"Yes",$AX44&lt;&gt;"N/A"),"Battery, ","")&amp;IF(AND($BE44&lt;&gt;"Yes",$BE44&lt;&gt;"N/A"),"Firmware Download, ","")&amp;IF(AND(OR($BE44="Yes",$BE44="N/A"),$BF44&lt;&gt;"Yes",$BF44&lt;&gt;"N/A"),"Firmware Install, ","")&amp;IF(AND($BJ44&lt;&gt;"Yes",$BJ44&lt;&gt;"N/A"),"Device ID, ","")&amp;IF(AND($BK44&lt;&gt;"Yes",$BK44&lt;&gt;"N/A"),"Epic Beans Relay, ",""),LEN(IF(AND($AW44&lt;&gt;"Yes",$AW44&lt;&gt;"N/A"),"Power Cable, ","")&amp;IF(AND($AX44&lt;&gt;"Yes",$AX44&lt;&gt;"N/A"),"Battery, ","")&amp;IF(AND($BE44&lt;&gt;"Yes",$BE44&lt;&gt;"N/A"),"Firmware Download, ","")&amp;IF(AND(OR($BE44="Yes",$BE44="N/A"),$BF44&lt;&gt;"Yes",$BF44&lt;&gt;"N/A"),"Firmware Install, ","")&amp;IF(AND($BJ44&lt;&gt;"Yes",$BJ44&lt;&gt;"N/A"),"Device ID, ","")&amp;IF(AND($BK44&lt;&gt;"Yes",$BK44&lt;&gt;"N/A"),"Epic Beans Relay, ",""))-2)))</f>
      </c>
      <c r="BM44">
        <f>IF($T44="","",IF($BL44="","Yes","Blocked"))</f>
      </c>
      <c r="BP44">
        <f>IF($BO44="","",IFERROR(VLOOKUP($BO44,'01_Warehouse_Ledger'!$A:$N,4,FALSE),""))</f>
      </c>
      <c r="BQ44">
        <f>IF($BO44="","",IFERROR(VLOOKUP($BO44,'01_Warehouse_Ledger'!$A:$N,5,FALSE),""))</f>
      </c>
      <c r="BR44">
        <f>IF($BO44="","",IFERROR(VLOOKUP($BO44,'01_Warehouse_Ledger'!$A:$N,13,FALSE),""))</f>
      </c>
    </row>
    <row r="45">
      <c r="A45" t="s">
        <v>1331</v>
      </c>
      <c r="B45" t="s">
        <v>1657</v>
      </c>
      <c r="C45" t="s">
        <v>1657</v>
      </c>
      <c r="D45">
        <f>IF($B45&lt;&gt;"Yes","",IF($C45="No","Yes",IF($C45="Yes","No","")))</f>
      </c>
      <c r="E45">
        <f>IF($A45="","",IF($A45="Neuron",IF(OR(AND($S45&lt;&gt;"",LOWER(TRIM($S45))&lt;&gt;"n/a",COUNTIF($S$2:$S$532,$S45)&gt;1),AND($T45&lt;&gt;"",LOWER(TRIM($T45))&lt;&gt;"n/a",COUNTIF($T$2:$T$532,$T45)&gt;1),AND($W45&lt;&gt;"",LOWER(TRIM($W45))&lt;&gt;"n/a",COUNTIF($W$2:$W$532,$W45)&gt;1)),"Yes","No"),IF($A45="Cybernet",IF(OR(AND($Y45&lt;&gt;"",LOWER(TRIM($Y45))&lt;&gt;"n/a",COUNTIF($Y$2:$Y$532,$Y45)&gt;1),AND($Z45&lt;&gt;"",LOWER(TRIM($Z45))&lt;&gt;"n/a",COUNTIF($Z$2:$Z$532,$Z45)&gt;1)),"Yes","No"),IF(AND($AL45&lt;&gt;"",LOWER(TRIM($AL45))&lt;&gt;"n/a",COUNTIF($AL$2:$AL$532,$AL45)&gt;1),"Yes","No"))))</f>
      </c>
      <c r="F45">
        <f>IF($B45&lt;&gt;"Yes","",
IF($A45="Neuron",
IF(OR(
AND($S45&lt;&gt;"",LOWER(TRIM($S45))&lt;&gt;"n/a",COUNTIFS($B$2:$B$532,"Yes",$A$2:$A$532,"Neuron",$S$2:$S$532,$S45)&gt;1),
AND($T45&lt;&gt;"",LOWER(TRIM($T45))&lt;&gt;"n/a",COUNTIFS($B$2:$B$532,"Yes",$A$2:$A$532,"Neuron",$T$2:$T$532,$T45)&gt;1),
AND($W45&lt;&gt;"",LOWER(TRIM($W45))&lt;&gt;"n/a",COUNTIFS($B$2:$B$532,"Yes",$A$2:$A$532,"Neuron",$W$2:$W$532,$W45)&gt;1)
),"Yes","No"),
IF($A45="Cybernet",
IF(OR(
AND($Y45&lt;&gt;"",LOWER(TRIM($Y45))&lt;&gt;"n/a",COUNTIFS($B$2:$B$532,"Yes",$A$2:$A$532,"Cybernet",$Y$2:$Y$532,$Y45)&gt;1),
AND($Z45&lt;&gt;"",LOWER(TRIM($Z45))&lt;&gt;"n/a",COUNTIFS($B$2:$B$532,"Yes",$A$2:$A$532,"Cybernet",$Z$2:$Z$532,$Z45)&gt;1)
),"Yes","No"),
IF(AND($AL45&lt;&gt;"",LOWER(TRIM($AL45))&lt;&gt;"n/a"),
IF(COUNTIFS($B$2:$B$532,"Yes",$A$2:$A$532,$A45,$AL$2:$AL$532,$AL45)&gt;1,"Yes","No"),
"No")
)
)
)</f>
      </c>
      <c r="G45" t="s">
        <v>1317</v>
      </c>
      <c r="H45" t="s">
        <v>2106</v>
      </c>
      <c r="J45" t="s">
        <v>2115</v>
      </c>
      <c r="K45" t="s">
        <v>2115</v>
      </c>
      <c r="L45" t="s">
        <v>2115</v>
      </c>
      <c r="S45" t="s">
        <v>1762</v>
      </c>
      <c r="T45" t="s">
        <v>1793</v>
      </c>
      <c r="W45" t="s">
        <v>2410</v>
      </c>
      <c r="BD45" t="s">
        <v>1958</v>
      </c>
      <c r="BL45">
        <f>IF($T45="","",IF((IF(AND($AW45&lt;&gt;"Yes",$AW45&lt;&gt;"N/A"),"Power Cable, ","")&amp;IF(AND($AX45&lt;&gt;"Yes",$AX45&lt;&gt;"N/A"),"Battery, ","")&amp;IF(AND($BE45&lt;&gt;"Yes",$BE45&lt;&gt;"N/A"),"Firmware Download, ","")&amp;IF(AND(OR($BE45="Yes",$BE45="N/A"),$BF45&lt;&gt;"Yes",$BF45&lt;&gt;"N/A"),"Firmware Install, ","")&amp;IF(AND($BJ45&lt;&gt;"Yes",$BJ45&lt;&gt;"N/A"),"Device ID, ","")&amp;IF(AND($BK45&lt;&gt;"Yes",$BK45&lt;&gt;"N/A"),"Epic Beans Relay, ",""))="","",LEFT(IF(AND($AW45&lt;&gt;"Yes",$AW45&lt;&gt;"N/A"),"Power Cable, ","")&amp;IF(AND($AX45&lt;&gt;"Yes",$AX45&lt;&gt;"N/A"),"Battery, ","")&amp;IF(AND($BE45&lt;&gt;"Yes",$BE45&lt;&gt;"N/A"),"Firmware Download, ","")&amp;IF(AND(OR($BE45="Yes",$BE45="N/A"),$BF45&lt;&gt;"Yes",$BF45&lt;&gt;"N/A"),"Firmware Install, ","")&amp;IF(AND($BJ45&lt;&gt;"Yes",$BJ45&lt;&gt;"N/A"),"Device ID, ","")&amp;IF(AND($BK45&lt;&gt;"Yes",$BK45&lt;&gt;"N/A"),"Epic Beans Relay, ",""),LEN(IF(AND($AW45&lt;&gt;"Yes",$AW45&lt;&gt;"N/A"),"Power Cable, ","")&amp;IF(AND($AX45&lt;&gt;"Yes",$AX45&lt;&gt;"N/A"),"Battery, ","")&amp;IF(AND($BE45&lt;&gt;"Yes",$BE45&lt;&gt;"N/A"),"Firmware Download, ","")&amp;IF(AND(OR($BE45="Yes",$BE45="N/A"),$BF45&lt;&gt;"Yes",$BF45&lt;&gt;"N/A"),"Firmware Install, ","")&amp;IF(AND($BJ45&lt;&gt;"Yes",$BJ45&lt;&gt;"N/A"),"Device ID, ","")&amp;IF(AND($BK45&lt;&gt;"Yes",$BK45&lt;&gt;"N/A"),"Epic Beans Relay, ",""))-2)))</f>
      </c>
      <c r="BM45">
        <f>IF($T45="","",IF($BL45="","Yes","Blocked"))</f>
      </c>
      <c r="BP45">
        <f>IF($BO45="","",IFERROR(VLOOKUP($BO45,'01_Warehouse_Ledger'!$A:$N,4,FALSE),""))</f>
      </c>
      <c r="BQ45">
        <f>IF($BO45="","",IFERROR(VLOOKUP($BO45,'01_Warehouse_Ledger'!$A:$N,5,FALSE),""))</f>
      </c>
      <c r="BR45">
        <f>IF($BO45="","",IFERROR(VLOOKUP($BO45,'01_Warehouse_Ledger'!$A:$N,13,FALSE),""))</f>
      </c>
    </row>
    <row r="46">
      <c r="A46" t="s">
        <v>1331</v>
      </c>
      <c r="B46" t="s">
        <v>1657</v>
      </c>
      <c r="C46" t="s">
        <v>1657</v>
      </c>
      <c r="D46">
        <f>IF($B46&lt;&gt;"Yes","",IF($C46="No","Yes",IF($C46="Yes","No","")))</f>
      </c>
      <c r="E46">
        <f>IF($A46="","",IF($A46="Neuron",IF(OR(AND($S46&lt;&gt;"",LOWER(TRIM($S46))&lt;&gt;"n/a",COUNTIF($S$2:$S$532,$S46)&gt;1),AND($T46&lt;&gt;"",LOWER(TRIM($T46))&lt;&gt;"n/a",COUNTIF($T$2:$T$532,$T46)&gt;1),AND($W46&lt;&gt;"",LOWER(TRIM($W46))&lt;&gt;"n/a",COUNTIF($W$2:$W$532,$W46)&gt;1)),"Yes","No"),IF($A46="Cybernet",IF(OR(AND($Y46&lt;&gt;"",LOWER(TRIM($Y46))&lt;&gt;"n/a",COUNTIF($Y$2:$Y$532,$Y46)&gt;1),AND($Z46&lt;&gt;"",LOWER(TRIM($Z46))&lt;&gt;"n/a",COUNTIF($Z$2:$Z$532,$Z46)&gt;1)),"Yes","No"),IF(AND($AL46&lt;&gt;"",LOWER(TRIM($AL46))&lt;&gt;"n/a",COUNTIF($AL$2:$AL$532,$AL46)&gt;1),"Yes","No"))))</f>
      </c>
      <c r="F46">
        <f>IF($B46&lt;&gt;"Yes","",
IF($A46="Neuron",
IF(OR(
AND($S46&lt;&gt;"",LOWER(TRIM($S46))&lt;&gt;"n/a",COUNTIFS($B$2:$B$532,"Yes",$A$2:$A$532,"Neuron",$S$2:$S$532,$S46)&gt;1),
AND($T46&lt;&gt;"",LOWER(TRIM($T46))&lt;&gt;"n/a",COUNTIFS($B$2:$B$532,"Yes",$A$2:$A$532,"Neuron",$T$2:$T$532,$T46)&gt;1),
AND($W46&lt;&gt;"",LOWER(TRIM($W46))&lt;&gt;"n/a",COUNTIFS($B$2:$B$532,"Yes",$A$2:$A$532,"Neuron",$W$2:$W$532,$W46)&gt;1)
),"Yes","No"),
IF($A46="Cybernet",
IF(OR(
AND($Y46&lt;&gt;"",LOWER(TRIM($Y46))&lt;&gt;"n/a",COUNTIFS($B$2:$B$532,"Yes",$A$2:$A$532,"Cybernet",$Y$2:$Y$532,$Y46)&gt;1),
AND($Z46&lt;&gt;"",LOWER(TRIM($Z46))&lt;&gt;"n/a",COUNTIFS($B$2:$B$532,"Yes",$A$2:$A$532,"Cybernet",$Z$2:$Z$532,$Z46)&gt;1)
),"Yes","No"),
IF(AND($AL46&lt;&gt;"",LOWER(TRIM($AL46))&lt;&gt;"n/a"),
IF(COUNTIFS($B$2:$B$532,"Yes",$A$2:$A$532,$A46,$AL$2:$AL$532,$AL46)&gt;1,"Yes","No"),
"No")
)
)
)</f>
      </c>
      <c r="G46" t="s">
        <v>1317</v>
      </c>
      <c r="H46" t="s">
        <v>2106</v>
      </c>
      <c r="S46" t="s">
        <v>1923</v>
      </c>
      <c r="T46" t="s">
        <v>2147</v>
      </c>
      <c r="W46" t="s">
        <v>2336</v>
      </c>
      <c r="BL46">
        <f>IF($T46="","",IF((IF(AND($AW46&lt;&gt;"Yes",$AW46&lt;&gt;"N/A"),"Power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",""))="","",LEFT(IF(AND($AW46&lt;&gt;"Yes",$AW46&lt;&gt;"N/A"),"Power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",""),LEN(IF(AND($AW46&lt;&gt;"Yes",$AW46&lt;&gt;"N/A"),"Power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",""))-2)))</f>
      </c>
      <c r="BM46">
        <f>IF($T46="","",IF($BL46="","Yes","Blocked"))</f>
      </c>
      <c r="BP46">
        <f>IF($BO46="","",IFERROR(VLOOKUP($BO46,'01_Warehouse_Ledger'!$A:$N,4,FALSE),""))</f>
      </c>
      <c r="BQ46">
        <f>IF($BO46="","",IFERROR(VLOOKUP($BO46,'01_Warehouse_Ledger'!$A:$N,5,FALSE),""))</f>
      </c>
      <c r="BR46">
        <f>IF($BO46="","",IFERROR(VLOOKUP($BO46,'01_Warehouse_Ledger'!$A:$N,13,FALSE),""))</f>
      </c>
    </row>
    <row r="47">
      <c r="A47" t="s">
        <v>1331</v>
      </c>
      <c r="B47" t="s">
        <v>1657</v>
      </c>
      <c r="C47" t="s">
        <v>1657</v>
      </c>
      <c r="D47">
        <f>IF($B47&lt;&gt;"Yes","",IF($C47="No","Yes",IF($C47="Yes","No","")))</f>
      </c>
      <c r="E47">
        <f>IF($A47="","",IF($A47="Neuron",IF(OR(AND($S47&lt;&gt;"",LOWER(TRIM($S47))&lt;&gt;"n/a",COUNTIF($S$2:$S$532,$S47)&gt;1),AND($T47&lt;&gt;"",LOWER(TRIM($T47))&lt;&gt;"n/a",COUNTIF($T$2:$T$532,$T47)&gt;1),AND($W47&lt;&gt;"",LOWER(TRIM($W47))&lt;&gt;"n/a",COUNTIF($W$2:$W$532,$W47)&gt;1)),"Yes","No"),IF($A47="Cybernet",IF(OR(AND($Y47&lt;&gt;"",LOWER(TRIM($Y47))&lt;&gt;"n/a",COUNTIF($Y$2:$Y$532,$Y47)&gt;1),AND($Z47&lt;&gt;"",LOWER(TRIM($Z47))&lt;&gt;"n/a",COUNTIF($Z$2:$Z$532,$Z47)&gt;1)),"Yes","No"),IF(AND($AL47&lt;&gt;"",LOWER(TRIM($AL47))&lt;&gt;"n/a",COUNTIF($AL$2:$AL$532,$AL47)&gt;1),"Yes","No"))))</f>
      </c>
      <c r="F47">
        <f>IF($B47&lt;&gt;"Yes","",
IF($A47="Neuron",
IF(OR(
AND($S47&lt;&gt;"",LOWER(TRIM($S47))&lt;&gt;"n/a",COUNTIFS($B$2:$B$532,"Yes",$A$2:$A$532,"Neuron",$S$2:$S$532,$S47)&gt;1),
AND($T47&lt;&gt;"",LOWER(TRIM($T47))&lt;&gt;"n/a",COUNTIFS($B$2:$B$532,"Yes",$A$2:$A$532,"Neuron",$T$2:$T$532,$T47)&gt;1),
AND($W47&lt;&gt;"",LOWER(TRIM($W47))&lt;&gt;"n/a",COUNTIFS($B$2:$B$532,"Yes",$A$2:$A$532,"Neuron",$W$2:$W$532,$W47)&gt;1)
),"Yes","No"),
IF($A47="Cybernet",
IF(OR(
AND($Y47&lt;&gt;"",LOWER(TRIM($Y47))&lt;&gt;"n/a",COUNTIFS($B$2:$B$532,"Yes",$A$2:$A$532,"Cybernet",$Y$2:$Y$532,$Y47)&gt;1),
AND($Z47&lt;&gt;"",LOWER(TRIM($Z47))&lt;&gt;"n/a",COUNTIFS($B$2:$B$532,"Yes",$A$2:$A$532,"Cybernet",$Z$2:$Z$532,$Z47)&gt;1)
),"Yes","No"),
IF(AND($AL47&lt;&gt;"",LOWER(TRIM($AL47))&lt;&gt;"n/a"),
IF(COUNTIFS($B$2:$B$532,"Yes",$A$2:$A$532,$A47,$AL$2:$AL$532,$AL47)&gt;1,"Yes","No"),
"No")
)
)
)</f>
      </c>
      <c r="G47" t="s">
        <v>1317</v>
      </c>
      <c r="H47" t="s">
        <v>2106</v>
      </c>
      <c r="J47" t="s">
        <v>2115</v>
      </c>
      <c r="K47" t="s">
        <v>2115</v>
      </c>
      <c r="L47" t="s">
        <v>2115</v>
      </c>
      <c r="S47" t="s">
        <v>2129</v>
      </c>
      <c r="T47" t="s">
        <v>2071</v>
      </c>
      <c r="W47" t="s">
        <v>1748</v>
      </c>
      <c r="BD47" t="s">
        <v>1958</v>
      </c>
      <c r="BL47">
        <f>IF($T47="","",IF((IF(AND($AW47&lt;&gt;"Yes",$AW47&lt;&gt;"N/A"),"Power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",""))="","",LEFT(IF(AND($AW47&lt;&gt;"Yes",$AW47&lt;&gt;"N/A"),"Power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",""),LEN(IF(AND($AW47&lt;&gt;"Yes",$AW47&lt;&gt;"N/A"),"Power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",""))-2)))</f>
      </c>
      <c r="BM47">
        <f>IF($T47="","",IF($BL47="","Yes","Blocked"))</f>
      </c>
      <c r="BP47">
        <f>IF($BO47="","",IFERROR(VLOOKUP($BO47,'01_Warehouse_Ledger'!$A:$N,4,FALSE),""))</f>
      </c>
      <c r="BQ47">
        <f>IF($BO47="","",IFERROR(VLOOKUP($BO47,'01_Warehouse_Ledger'!$A:$N,5,FALSE),""))</f>
      </c>
      <c r="BR47">
        <f>IF($BO47="","",IFERROR(VLOOKUP($BO47,'01_Warehouse_Ledger'!$A:$N,13,FALSE),""))</f>
      </c>
    </row>
    <row r="48">
      <c r="A48" t="s">
        <v>1331</v>
      </c>
      <c r="B48" t="s">
        <v>1657</v>
      </c>
      <c r="C48" t="s">
        <v>1657</v>
      </c>
      <c r="D48">
        <f>IF($B48&lt;&gt;"Yes","",IF($C48="No","Yes",IF($C48="Yes","No","")))</f>
      </c>
      <c r="E48">
        <f>IF($A48="","",IF($A48="Neuron",IF(OR(AND($S48&lt;&gt;"",LOWER(TRIM($S48))&lt;&gt;"n/a",COUNTIF($S$2:$S$532,$S48)&gt;1),AND($T48&lt;&gt;"",LOWER(TRIM($T48))&lt;&gt;"n/a",COUNTIF($T$2:$T$532,$T48)&gt;1),AND($W48&lt;&gt;"",LOWER(TRIM($W48))&lt;&gt;"n/a",COUNTIF($W$2:$W$532,$W48)&gt;1)),"Yes","No"),IF($A48="Cybernet",IF(OR(AND($Y48&lt;&gt;"",LOWER(TRIM($Y48))&lt;&gt;"n/a",COUNTIF($Y$2:$Y$532,$Y48)&gt;1),AND($Z48&lt;&gt;"",LOWER(TRIM($Z48))&lt;&gt;"n/a",COUNTIF($Z$2:$Z$532,$Z48)&gt;1)),"Yes","No"),IF(AND($AL48&lt;&gt;"",LOWER(TRIM($AL48))&lt;&gt;"n/a",COUNTIF($AL$2:$AL$532,$AL48)&gt;1),"Yes","No"))))</f>
      </c>
      <c r="F48">
        <f>IF($B48&lt;&gt;"Yes","",
IF($A48="Neuron",
IF(OR(
AND($S48&lt;&gt;"",LOWER(TRIM($S48))&lt;&gt;"n/a",COUNTIFS($B$2:$B$532,"Yes",$A$2:$A$532,"Neuron",$S$2:$S$532,$S48)&gt;1),
AND($T48&lt;&gt;"",LOWER(TRIM($T48))&lt;&gt;"n/a",COUNTIFS($B$2:$B$532,"Yes",$A$2:$A$532,"Neuron",$T$2:$T$532,$T48)&gt;1),
AND($W48&lt;&gt;"",LOWER(TRIM($W48))&lt;&gt;"n/a",COUNTIFS($B$2:$B$532,"Yes",$A$2:$A$532,"Neuron",$W$2:$W$532,$W48)&gt;1)
),"Yes","No"),
IF($A48="Cybernet",
IF(OR(
AND($Y48&lt;&gt;"",LOWER(TRIM($Y48))&lt;&gt;"n/a",COUNTIFS($B$2:$B$532,"Yes",$A$2:$A$532,"Cybernet",$Y$2:$Y$532,$Y48)&gt;1),
AND($Z48&lt;&gt;"",LOWER(TRIM($Z48))&lt;&gt;"n/a",COUNTIFS($B$2:$B$532,"Yes",$A$2:$A$532,"Cybernet",$Z$2:$Z$532,$Z48)&gt;1)
),"Yes","No"),
IF(AND($AL48&lt;&gt;"",LOWER(TRIM($AL48))&lt;&gt;"n/a"),
IF(COUNTIFS($B$2:$B$532,"Yes",$A$2:$A$532,$A48,$AL$2:$AL$532,$AL48)&gt;1,"Yes","No"),
"No")
)
)
)</f>
      </c>
      <c r="G48" t="s">
        <v>1317</v>
      </c>
      <c r="H48" t="s">
        <v>2106</v>
      </c>
      <c r="J48" t="s">
        <v>2115</v>
      </c>
      <c r="K48" t="s">
        <v>2115</v>
      </c>
      <c r="L48" t="s">
        <v>2115</v>
      </c>
      <c r="S48" t="s">
        <v>1654</v>
      </c>
      <c r="T48" t="s">
        <v>1771</v>
      </c>
      <c r="W48" t="s">
        <v>2227</v>
      </c>
      <c r="BD48" t="s">
        <v>1958</v>
      </c>
      <c r="BL48">
        <f>IF($T48="","",IF((IF(AND($AW48&lt;&gt;"Yes",$AW48&lt;&gt;"N/A"),"Power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",""))="","",LEFT(IF(AND($AW48&lt;&gt;"Yes",$AW48&lt;&gt;"N/A"),"Power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",""),LEN(IF(AND($AW48&lt;&gt;"Yes",$AW48&lt;&gt;"N/A"),"Power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",""))-2)))</f>
      </c>
      <c r="BM48">
        <f>IF($T48="","",IF($BL48="","Yes","Blocked"))</f>
      </c>
      <c r="BP48">
        <f>IF($BO48="","",IFERROR(VLOOKUP($BO48,'01_Warehouse_Ledger'!$A:$N,4,FALSE),""))</f>
      </c>
      <c r="BQ48">
        <f>IF($BO48="","",IFERROR(VLOOKUP($BO48,'01_Warehouse_Ledger'!$A:$N,5,FALSE),""))</f>
      </c>
      <c r="BR48">
        <f>IF($BO48="","",IFERROR(VLOOKUP($BO48,'01_Warehouse_Ledger'!$A:$N,13,FALSE),""))</f>
      </c>
    </row>
    <row r="49">
      <c r="A49" t="s">
        <v>1331</v>
      </c>
      <c r="B49" t="s">
        <v>1657</v>
      </c>
      <c r="C49" t="s">
        <v>1657</v>
      </c>
      <c r="D49">
        <f>IF($B49&lt;&gt;"Yes","",IF($C49="No","Yes",IF($C49="Yes","No","")))</f>
      </c>
      <c r="E49">
        <f>IF($A49="","",IF($A49="Neuron",IF(OR(AND($S49&lt;&gt;"",LOWER(TRIM($S49))&lt;&gt;"n/a",COUNTIF($S$2:$S$532,$S49)&gt;1),AND($T49&lt;&gt;"",LOWER(TRIM($T49))&lt;&gt;"n/a",COUNTIF($T$2:$T$532,$T49)&gt;1),AND($W49&lt;&gt;"",LOWER(TRIM($W49))&lt;&gt;"n/a",COUNTIF($W$2:$W$532,$W49)&gt;1)),"Yes","No"),IF($A49="Cybernet",IF(OR(AND($Y49&lt;&gt;"",LOWER(TRIM($Y49))&lt;&gt;"n/a",COUNTIF($Y$2:$Y$532,$Y49)&gt;1),AND($Z49&lt;&gt;"",LOWER(TRIM($Z49))&lt;&gt;"n/a",COUNTIF($Z$2:$Z$532,$Z49)&gt;1)),"Yes","No"),IF(AND($AL49&lt;&gt;"",LOWER(TRIM($AL49))&lt;&gt;"n/a",COUNTIF($AL$2:$AL$532,$AL49)&gt;1),"Yes","No"))))</f>
      </c>
      <c r="F49">
        <f>IF($B49&lt;&gt;"Yes","",
IF($A49="Neuron",
IF(OR(
AND($S49&lt;&gt;"",LOWER(TRIM($S49))&lt;&gt;"n/a",COUNTIFS($B$2:$B$532,"Yes",$A$2:$A$532,"Neuron",$S$2:$S$532,$S49)&gt;1),
AND($T49&lt;&gt;"",LOWER(TRIM($T49))&lt;&gt;"n/a",COUNTIFS($B$2:$B$532,"Yes",$A$2:$A$532,"Neuron",$T$2:$T$532,$T49)&gt;1),
AND($W49&lt;&gt;"",LOWER(TRIM($W49))&lt;&gt;"n/a",COUNTIFS($B$2:$B$532,"Yes",$A$2:$A$532,"Neuron",$W$2:$W$532,$W49)&gt;1)
),"Yes","No"),
IF($A49="Cybernet",
IF(OR(
AND($Y49&lt;&gt;"",LOWER(TRIM($Y49))&lt;&gt;"n/a",COUNTIFS($B$2:$B$532,"Yes",$A$2:$A$532,"Cybernet",$Y$2:$Y$532,$Y49)&gt;1),
AND($Z49&lt;&gt;"",LOWER(TRIM($Z49))&lt;&gt;"n/a",COUNTIFS($B$2:$B$532,"Yes",$A$2:$A$532,"Cybernet",$Z$2:$Z$532,$Z49)&gt;1)
),"Yes","No"),
IF(AND($AL49&lt;&gt;"",LOWER(TRIM($AL49))&lt;&gt;"n/a"),
IF(COUNTIFS($B$2:$B$532,"Yes",$A$2:$A$532,$A49,$AL$2:$AL$532,$AL49)&gt;1,"Yes","No"),
"No")
)
)
)</f>
      </c>
      <c r="G49" t="s">
        <v>1317</v>
      </c>
      <c r="H49" t="s">
        <v>2106</v>
      </c>
      <c r="J49" t="s">
        <v>2115</v>
      </c>
      <c r="K49" t="s">
        <v>2115</v>
      </c>
      <c r="L49" t="s">
        <v>2115</v>
      </c>
      <c r="S49" t="s">
        <v>1619</v>
      </c>
      <c r="T49" t="s">
        <v>1920</v>
      </c>
      <c r="W49" t="s">
        <v>1722</v>
      </c>
      <c r="BD49" t="s">
        <v>1958</v>
      </c>
      <c r="BL49">
        <f>IF($T49="","",IF((IF(AND($AW49&lt;&gt;"Yes",$AW49&lt;&gt;"N/A"),"Power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",""))="","",LEFT(IF(AND($AW49&lt;&gt;"Yes",$AW49&lt;&gt;"N/A"),"Power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",""),LEN(IF(AND($AW49&lt;&gt;"Yes",$AW49&lt;&gt;"N/A"),"Power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",""))-2)))</f>
      </c>
      <c r="BM49">
        <f>IF($T49="","",IF($BL49="","Yes","Blocked"))</f>
      </c>
      <c r="BP49">
        <f>IF($BO49="","",IFERROR(VLOOKUP($BO49,'01_Warehouse_Ledger'!$A:$N,4,FALSE),""))</f>
      </c>
      <c r="BQ49">
        <f>IF($BO49="","",IFERROR(VLOOKUP($BO49,'01_Warehouse_Ledger'!$A:$N,5,FALSE),""))</f>
      </c>
      <c r="BR49">
        <f>IF($BO49="","",IFERROR(VLOOKUP($BO49,'01_Warehouse_Ledger'!$A:$N,13,FALSE),""))</f>
      </c>
    </row>
    <row r="50">
      <c r="A50" t="s">
        <v>1415</v>
      </c>
      <c r="B50" t="s">
        <v>1657</v>
      </c>
      <c r="C50" t="s">
        <v>1657</v>
      </c>
      <c r="D50">
        <f>IF($B50&lt;&gt;"Yes","",IF($C50="No","Yes",IF($C50="Yes","No","")))</f>
      </c>
      <c r="E50">
        <f>IF($A50="","",IF($A50="Neuron",IF(OR(AND($R50&lt;&gt;"",LOWER(TRIM($R50))&lt;&gt;"n/a",COUNTIF($S$2:$S$532,$R50)&gt;1),AND($T50&lt;&gt;"",LOWER(TRIM($T50))&lt;&gt;"n/a",COUNTIF($T$2:$T$532,$T50)&gt;1),AND($W50&lt;&gt;"",LOWER(TRIM($W50))&lt;&gt;"n/a",COUNTIF($W$2:$W$532,$W50)&gt;1)),"Yes","No"),IF($A50="Cybernet",IF(OR(AND($Y50&lt;&gt;"",LOWER(TRIM($Y50))&lt;&gt;"n/a",COUNTIF($Y$2:$Y$532,$Y50)&gt;1),AND($Z50&lt;&gt;"",LOWER(TRIM($Z50))&lt;&gt;"n/a",COUNTIF($Z$2:$Z$532,$Z50)&gt;1)),"Yes","No"),IF(AND($AL50&lt;&gt;"",LOWER(TRIM($AL50))&lt;&gt;"n/a",COUNTIF($AL$2:$AL$532,$AL50)&gt;1),"Yes","No"))))</f>
      </c>
      <c r="F50">
        <f>IF($B50&lt;&gt;"Yes","",
IF($A50="Neuron",
IF(OR(
AND($R50&lt;&gt;"",LOWER(TRIM($R50))&lt;&gt;"n/a",COUNTIFS($B$2:$B$532,"Yes",$A$2:$A$532,"Neuron",$S$2:$S$532,$R50)&gt;1),
AND($T50&lt;&gt;"",LOWER(TRIM($T50))&lt;&gt;"n/a",COUNTIFS($B$2:$B$532,"Yes",$A$2:$A$532,"Neuron",$T$2:$T$532,$T50)&gt;1),
AND($W50&lt;&gt;"",LOWER(TRIM($W50))&lt;&gt;"n/a",COUNTIFS($B$2:$B$532,"Yes",$A$2:$A$532,"Neuron",$W$2:$W$532,$W50)&gt;1)
),"Yes","No"),
IF($A50="Cybernet",
IF(OR(
AND($Y50&lt;&gt;"",LOWER(TRIM($Y50))&lt;&gt;"n/a",COUNTIFS($B$2:$B$532,"Yes",$A$2:$A$532,"Cybernet",$Y$2:$Y$532,$Y50)&gt;1),
AND($Z50&lt;&gt;"",LOWER(TRIM($Z50))&lt;&gt;"n/a",COUNTIFS($B$2:$B$532,"Yes",$A$2:$A$532,"Cybernet",$Z$2:$Z$532,$Z50)&gt;1)
),"Yes","No"),
IF(AND($AL50&lt;&gt;"",LOWER(TRIM($AL50))&lt;&gt;"n/a"),
IF(COUNTIFS($B$2:$B$532,"Yes",$A$2:$A$532,$A50,$AL$2:$AL$532,$AL50)&gt;1,"Yes","No"),
"No")
)
)
)</f>
      </c>
      <c r="G50" t="s">
        <v>1880</v>
      </c>
      <c r="H50" t="s">
        <v>1638</v>
      </c>
      <c r="I50" t="s">
        <v>1831</v>
      </c>
      <c r="J50" t="s">
        <v>1727</v>
      </c>
      <c r="K50" t="s">
        <v>1657</v>
      </c>
      <c r="L50" t="s">
        <v>1657</v>
      </c>
      <c r="R50" t="s">
        <v>1767</v>
      </c>
      <c r="Y50" t="s">
        <v>1627</v>
      </c>
      <c r="Z50" t="s">
        <v>1773</v>
      </c>
      <c r="AJ50" t="s">
        <v>1860</v>
      </c>
      <c r="AK50" t="s">
        <v>1629</v>
      </c>
      <c r="BC50" t="s">
        <v>2092</v>
      </c>
      <c r="BD50" t="s">
        <v>1958</v>
      </c>
      <c r="BI50" t="s">
        <v>1630</v>
      </c>
      <c r="BL50">
        <f>IF($T50="","",IF((IF(AND($AW50&lt;&gt;"Yes",$AW50&lt;&gt;"N/A"),"Power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",""))="","",LEFT(IF(AND($AW50&lt;&gt;"Yes",$AW50&lt;&gt;"N/A"),"Power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",""),LEN(IF(AND($AW50&lt;&gt;"Yes",$AW50&lt;&gt;"N/A"),"Power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",""))-2)))</f>
      </c>
      <c r="BM50">
        <f>IF($T50="","",IF($BL50="","Yes","Blocked"))</f>
      </c>
      <c r="BP50">
        <f>IF($BO50="","",IFERROR(VLOOKUP($BO50,'01_Warehouse_Ledger'!$A:$N,4,FALSE),""))</f>
      </c>
      <c r="BQ50">
        <f>IF($BO50="","",IFERROR(VLOOKUP($BO50,'01_Warehouse_Ledger'!$A:$N,5,FALSE),""))</f>
      </c>
      <c r="BR50">
        <f>IF($BO50="","",IFERROR(VLOOKUP($BO50,'01_Warehouse_Ledger'!$A:$N,13,FALSE),""))</f>
      </c>
    </row>
    <row r="51">
      <c r="A51" t="s">
        <v>1415</v>
      </c>
      <c r="B51" t="s">
        <v>1657</v>
      </c>
      <c r="C51" t="s">
        <v>1657</v>
      </c>
      <c r="D51">
        <f>IF($B51&lt;&gt;"Yes","",IF($C51="No","Yes",IF($C51="Yes","No","")))</f>
      </c>
      <c r="E51">
        <f>IF($A51="","",IF($A51="Neuron",IF(OR(AND($R51&lt;&gt;"",LOWER(TRIM($R51))&lt;&gt;"n/a",COUNTIF($S$2:$S$532,$R51)&gt;1),AND($T51&lt;&gt;"",LOWER(TRIM($T51))&lt;&gt;"n/a",COUNTIF($T$2:$T$532,$T51)&gt;1),AND($W51&lt;&gt;"",LOWER(TRIM($W51))&lt;&gt;"n/a",COUNTIF($W$2:$W$532,$W51)&gt;1)),"Yes","No"),IF($A51="Cybernet",IF(OR(AND($Y51&lt;&gt;"",LOWER(TRIM($Y51))&lt;&gt;"n/a",COUNTIF($Y$2:$Y$532,$Y51)&gt;1),AND($Z51&lt;&gt;"",LOWER(TRIM($Z51))&lt;&gt;"n/a",COUNTIF($Z$2:$Z$532,$Z51)&gt;1)),"Yes","No"),IF(AND($AL51&lt;&gt;"",LOWER(TRIM($AL51))&lt;&gt;"n/a",COUNTIF($AL$2:$AL$532,$AL51)&gt;1),"Yes","No"))))</f>
      </c>
      <c r="F51">
        <f>IF($B51&lt;&gt;"Yes","",
IF($A51="Neuron",
IF(OR(
AND($R51&lt;&gt;"",LOWER(TRIM($R51))&lt;&gt;"n/a",COUNTIFS($B$2:$B$532,"Yes",$A$2:$A$532,"Neuron",$S$2:$S$532,$R51)&gt;1),
AND($T51&lt;&gt;"",LOWER(TRIM($T51))&lt;&gt;"n/a",COUNTIFS($B$2:$B$532,"Yes",$A$2:$A$532,"Neuron",$T$2:$T$532,$T51)&gt;1),
AND($W51&lt;&gt;"",LOWER(TRIM($W51))&lt;&gt;"n/a",COUNTIFS($B$2:$B$532,"Yes",$A$2:$A$532,"Neuron",$W$2:$W$532,$W51)&gt;1)
),"Yes","No"),
IF($A51="Cybernet",
IF(OR(
AND($Y51&lt;&gt;"",LOWER(TRIM($Y51))&lt;&gt;"n/a",COUNTIFS($B$2:$B$532,"Yes",$A$2:$A$532,"Cybernet",$Y$2:$Y$532,$Y51)&gt;1),
AND($Z51&lt;&gt;"",LOWER(TRIM($Z51))&lt;&gt;"n/a",COUNTIFS($B$2:$B$532,"Yes",$A$2:$A$532,"Cybernet",$Z$2:$Z$532,$Z51)&gt;1)
),"Yes","No"),
IF(AND($AL51&lt;&gt;"",LOWER(TRIM($AL51))&lt;&gt;"n/a"),
IF(COUNTIFS($B$2:$B$532,"Yes",$A$2:$A$532,$A51,$AL$2:$AL$532,$AL51)&gt;1,"Yes","No"),
"No")
)
)
)</f>
      </c>
      <c r="G51" t="s">
        <v>1880</v>
      </c>
      <c r="H51" t="s">
        <v>1638</v>
      </c>
      <c r="I51" t="s">
        <v>1831</v>
      </c>
      <c r="J51" t="s">
        <v>1727</v>
      </c>
      <c r="K51" t="s">
        <v>1657</v>
      </c>
      <c r="L51" t="s">
        <v>1657</v>
      </c>
      <c r="R51" t="s">
        <v>2189</v>
      </c>
      <c r="Y51" t="s">
        <v>2099</v>
      </c>
      <c r="Z51" t="s">
        <v>1718</v>
      </c>
      <c r="AJ51" t="s">
        <v>1860</v>
      </c>
      <c r="AK51" t="s">
        <v>1629</v>
      </c>
      <c r="BC51" t="s">
        <v>2092</v>
      </c>
      <c r="BD51" t="s">
        <v>1958</v>
      </c>
      <c r="BI51" t="s">
        <v>1630</v>
      </c>
      <c r="BL51">
        <f>IF($T51="","",IF((IF(AND($AW51&lt;&gt;"Yes",$AW51&lt;&gt;"N/A"),"Power Cable, ","")&amp;IF(AND($AX51&lt;&gt;"Yes",$AX51&lt;&gt;"N/A"),"Battery, ","")&amp;IF(AND($BE51&lt;&gt;"Yes",$BE51&lt;&gt;"N/A"),"Firmware Download, ","")&amp;IF(AND(OR($BE51="Yes",$BE51="N/A"),$BF51&lt;&gt;"Yes",$BF51&lt;&gt;"N/A"),"Firmware Install, ","")&amp;IF(AND($BJ51&lt;&gt;"Yes",$BJ51&lt;&gt;"N/A"),"Device ID, ","")&amp;IF(AND($BK51&lt;&gt;"Yes",$BK51&lt;&gt;"N/A"),"Epic Beans Relay, ",""))="","",LEFT(IF(AND($AW51&lt;&gt;"Yes",$AW51&lt;&gt;"N/A"),"Power Cable, ","")&amp;IF(AND($AX51&lt;&gt;"Yes",$AX51&lt;&gt;"N/A"),"Battery, ","")&amp;IF(AND($BE51&lt;&gt;"Yes",$BE51&lt;&gt;"N/A"),"Firmware Download, ","")&amp;IF(AND(OR($BE51="Yes",$BE51="N/A"),$BF51&lt;&gt;"Yes",$BF51&lt;&gt;"N/A"),"Firmware Install, ","")&amp;IF(AND($BJ51&lt;&gt;"Yes",$BJ51&lt;&gt;"N/A"),"Device ID, ","")&amp;IF(AND($BK51&lt;&gt;"Yes",$BK51&lt;&gt;"N/A"),"Epic Beans Relay, ",""),LEN(IF(AND($AW51&lt;&gt;"Yes",$AW51&lt;&gt;"N/A"),"Power Cable, ","")&amp;IF(AND($AX51&lt;&gt;"Yes",$AX51&lt;&gt;"N/A"),"Battery, ","")&amp;IF(AND($BE51&lt;&gt;"Yes",$BE51&lt;&gt;"N/A"),"Firmware Download, ","")&amp;IF(AND(OR($BE51="Yes",$BE51="N/A"),$BF51&lt;&gt;"Yes",$BF51&lt;&gt;"N/A"),"Firmware Install, ","")&amp;IF(AND($BJ51&lt;&gt;"Yes",$BJ51&lt;&gt;"N/A"),"Device ID, ","")&amp;IF(AND($BK51&lt;&gt;"Yes",$BK51&lt;&gt;"N/A"),"Epic Beans Relay, ",""))-2)))</f>
      </c>
      <c r="BM51">
        <f>IF($T51="","",IF($BL51="","Yes","Blocked"))</f>
      </c>
      <c r="BP51">
        <f>IF($BO51="","",IFERROR(VLOOKUP($BO51,'01_Warehouse_Ledger'!$A:$N,4,FALSE),""))</f>
      </c>
      <c r="BQ51">
        <f>IF($BO51="","",IFERROR(VLOOKUP($BO51,'01_Warehouse_Ledger'!$A:$N,5,FALSE),""))</f>
      </c>
      <c r="BR51">
        <f>IF($BO51="","",IFERROR(VLOOKUP($BO51,'01_Warehouse_Ledger'!$A:$N,13,FALSE),""))</f>
      </c>
    </row>
    <row r="52">
      <c r="A52" t="s">
        <v>1415</v>
      </c>
      <c r="B52" t="s">
        <v>1657</v>
      </c>
      <c r="C52" t="s">
        <v>1657</v>
      </c>
      <c r="D52">
        <f>IF($B52&lt;&gt;"Yes","",IF($C52="No","Yes",IF($C52="Yes","No","")))</f>
      </c>
      <c r="E52">
        <f>IF($A52="","",IF($A52="Neuron",IF(OR(AND($R52&lt;&gt;"",LOWER(TRIM($R52))&lt;&gt;"n/a",COUNTIF($S$2:$S$532,$R52)&gt;1),AND($T52&lt;&gt;"",LOWER(TRIM($T52))&lt;&gt;"n/a",COUNTIF($T$2:$T$532,$T52)&gt;1),AND($W52&lt;&gt;"",LOWER(TRIM($W52))&lt;&gt;"n/a",COUNTIF($W$2:$W$532,$W52)&gt;1)),"Yes","No"),IF($A52="Cybernet",IF(OR(AND($Y52&lt;&gt;"",LOWER(TRIM($Y52))&lt;&gt;"n/a",COUNTIF($Y$2:$Y$532,$Y52)&gt;1),AND($Z52&lt;&gt;"",LOWER(TRIM($Z52))&lt;&gt;"n/a",COUNTIF($Z$2:$Z$532,$Z52)&gt;1)),"Yes","No"),IF(AND($AL52&lt;&gt;"",LOWER(TRIM($AL52))&lt;&gt;"n/a",COUNTIF($AL$2:$AL$532,$AL52)&gt;1),"Yes","No"))))</f>
      </c>
      <c r="F52">
        <f>IF($B52&lt;&gt;"Yes","",
IF($A52="Neuron",
IF(OR(
AND($R52&lt;&gt;"",LOWER(TRIM($R52))&lt;&gt;"n/a",COUNTIFS($B$2:$B$532,"Yes",$A$2:$A$532,"Neuron",$S$2:$S$532,$R52)&gt;1),
AND($T52&lt;&gt;"",LOWER(TRIM($T52))&lt;&gt;"n/a",COUNTIFS($B$2:$B$532,"Yes",$A$2:$A$532,"Neuron",$T$2:$T$532,$T52)&gt;1),
AND($W52&lt;&gt;"",LOWER(TRIM($W52))&lt;&gt;"n/a",COUNTIFS($B$2:$B$532,"Yes",$A$2:$A$532,"Neuron",$W$2:$W$532,$W52)&gt;1)
),"Yes","No"),
IF($A52="Cybernet",
IF(OR(
AND($Y52&lt;&gt;"",LOWER(TRIM($Y52))&lt;&gt;"n/a",COUNTIFS($B$2:$B$532,"Yes",$A$2:$A$532,"Cybernet",$Y$2:$Y$532,$Y52)&gt;1),
AND($Z52&lt;&gt;"",LOWER(TRIM($Z52))&lt;&gt;"n/a",COUNTIFS($B$2:$B$532,"Yes",$A$2:$A$532,"Cybernet",$Z$2:$Z$532,$Z52)&gt;1)
),"Yes","No"),
IF(AND($AL52&lt;&gt;"",LOWER(TRIM($AL52))&lt;&gt;"n/a"),
IF(COUNTIFS($B$2:$B$532,"Yes",$A$2:$A$532,$A52,$AL$2:$AL$532,$AL52)&gt;1,"Yes","No"),
"No")
)
)
)</f>
      </c>
      <c r="G52" t="s">
        <v>1880</v>
      </c>
      <c r="H52" t="s">
        <v>1437</v>
      </c>
      <c r="I52" t="s">
        <v>1831</v>
      </c>
      <c r="J52" t="s">
        <v>1727</v>
      </c>
      <c r="K52" t="s">
        <v>1657</v>
      </c>
      <c r="L52" t="s">
        <v>1657</v>
      </c>
      <c r="R52" t="s">
        <v>2196</v>
      </c>
      <c r="Y52" t="s">
        <v>2262</v>
      </c>
      <c r="Z52" t="s">
        <v>2088</v>
      </c>
      <c r="BC52" t="s">
        <v>1659</v>
      </c>
      <c r="BI52" t="s">
        <v>1630</v>
      </c>
      <c r="BL52">
        <f>IF($T52="","",IF((IF(AND($AW52&lt;&gt;"Yes",$AW52&lt;&gt;"N/A"),"Power Cable, ","")&amp;IF(AND($AX52&lt;&gt;"Yes",$AX52&lt;&gt;"N/A"),"Battery, ","")&amp;IF(AND($BE52&lt;&gt;"Yes",$BE52&lt;&gt;"N/A"),"Firmware Download, ","")&amp;IF(AND(OR($BE52="Yes",$BE52="N/A"),$BF52&lt;&gt;"Yes",$BF52&lt;&gt;"N/A"),"Firmware Install, ","")&amp;IF(AND($BJ52&lt;&gt;"Yes",$BJ52&lt;&gt;"N/A"),"Device ID, ","")&amp;IF(AND($BK52&lt;&gt;"Yes",$BK52&lt;&gt;"N/A"),"Epic Beans Relay, ",""))="","",LEFT(IF(AND($AW52&lt;&gt;"Yes",$AW52&lt;&gt;"N/A"),"Power Cable, ","")&amp;IF(AND($AX52&lt;&gt;"Yes",$AX52&lt;&gt;"N/A"),"Battery, ","")&amp;IF(AND($BE52&lt;&gt;"Yes",$BE52&lt;&gt;"N/A"),"Firmware Download, ","")&amp;IF(AND(OR($BE52="Yes",$BE52="N/A"),$BF52&lt;&gt;"Yes",$BF52&lt;&gt;"N/A"),"Firmware Install, ","")&amp;IF(AND($BJ52&lt;&gt;"Yes",$BJ52&lt;&gt;"N/A"),"Device ID, ","")&amp;IF(AND($BK52&lt;&gt;"Yes",$BK52&lt;&gt;"N/A"),"Epic Beans Relay, ",""),LEN(IF(AND($AW52&lt;&gt;"Yes",$AW52&lt;&gt;"N/A"),"Power Cable, ","")&amp;IF(AND($AX52&lt;&gt;"Yes",$AX52&lt;&gt;"N/A"),"Battery, ","")&amp;IF(AND($BE52&lt;&gt;"Yes",$BE52&lt;&gt;"N/A"),"Firmware Download, ","")&amp;IF(AND(OR($BE52="Yes",$BE52="N/A"),$BF52&lt;&gt;"Yes",$BF52&lt;&gt;"N/A"),"Firmware Install, ","")&amp;IF(AND($BJ52&lt;&gt;"Yes",$BJ52&lt;&gt;"N/A"),"Device ID, ","")&amp;IF(AND($BK52&lt;&gt;"Yes",$BK52&lt;&gt;"N/A"),"Epic Beans Relay, ",""))-2)))</f>
      </c>
      <c r="BM52">
        <f>IF($T52="","",IF($BL52="","Yes","Blocked"))</f>
      </c>
      <c r="BP52">
        <f>IF($BO52="","",IFERROR(VLOOKUP($BO52,'01_Warehouse_Ledger'!$A:$N,4,FALSE),""))</f>
      </c>
      <c r="BQ52">
        <f>IF($BO52="","",IFERROR(VLOOKUP($BO52,'01_Warehouse_Ledger'!$A:$N,5,FALSE),""))</f>
      </c>
      <c r="BR52">
        <f>IF($BO52="","",IFERROR(VLOOKUP($BO52,'01_Warehouse_Ledger'!$A:$N,13,FALSE),""))</f>
      </c>
    </row>
    <row r="53">
      <c r="A53" t="s">
        <v>1415</v>
      </c>
      <c r="B53" t="s">
        <v>1657</v>
      </c>
      <c r="C53" t="s">
        <v>1657</v>
      </c>
      <c r="D53">
        <f>IF($B53&lt;&gt;"Yes","",IF($C53="No","Yes",IF($C53="Yes","No","")))</f>
      </c>
      <c r="E53">
        <f>IF($A53="","",IF($A53="Neuron",IF(OR(AND($R53&lt;&gt;"",LOWER(TRIM($R53))&lt;&gt;"n/a",COUNTIF($S$2:$S$532,$R53)&gt;1),AND($T53&lt;&gt;"",LOWER(TRIM($T53))&lt;&gt;"n/a",COUNTIF($T$2:$T$532,$T53)&gt;1),AND($W53&lt;&gt;"",LOWER(TRIM($W53))&lt;&gt;"n/a",COUNTIF($W$2:$W$532,$W53)&gt;1)),"Yes","No"),IF($A53="Cybernet",IF(OR(AND($Y53&lt;&gt;"",LOWER(TRIM($Y53))&lt;&gt;"n/a",COUNTIF($Y$2:$Y$532,$Y53)&gt;1),AND($Z53&lt;&gt;"",LOWER(TRIM($Z53))&lt;&gt;"n/a",COUNTIF($Z$2:$Z$532,$Z53)&gt;1)),"Yes","No"),IF(AND($AL53&lt;&gt;"",LOWER(TRIM($AL53))&lt;&gt;"n/a",COUNTIF($AL$2:$AL$532,$AL53)&gt;1),"Yes","No"))))</f>
      </c>
      <c r="F53">
        <f>IF($B53&lt;&gt;"Yes","",
IF($A53="Neuron",
IF(OR(
AND($R53&lt;&gt;"",LOWER(TRIM($R53))&lt;&gt;"n/a",COUNTIFS($B$2:$B$532,"Yes",$A$2:$A$532,"Neuron",$S$2:$S$532,$R53)&gt;1),
AND($T53&lt;&gt;"",LOWER(TRIM($T53))&lt;&gt;"n/a",COUNTIFS($B$2:$B$532,"Yes",$A$2:$A$532,"Neuron",$T$2:$T$532,$T53)&gt;1),
AND($W53&lt;&gt;"",LOWER(TRIM($W53))&lt;&gt;"n/a",COUNTIFS($B$2:$B$532,"Yes",$A$2:$A$532,"Neuron",$W$2:$W$532,$W53)&gt;1)
),"Yes","No"),
IF($A53="Cybernet",
IF(OR(
AND($Y53&lt;&gt;"",LOWER(TRIM($Y53))&lt;&gt;"n/a",COUNTIFS($B$2:$B$532,"Yes",$A$2:$A$532,"Cybernet",$Y$2:$Y$532,$Y53)&gt;1),
AND($Z53&lt;&gt;"",LOWER(TRIM($Z53))&lt;&gt;"n/a",COUNTIFS($B$2:$B$532,"Yes",$A$2:$A$532,"Cybernet",$Z$2:$Z$532,$Z53)&gt;1)
),"Yes","No"),
IF(AND($AL53&lt;&gt;"",LOWER(TRIM($AL53))&lt;&gt;"n/a"),
IF(COUNTIFS($B$2:$B$532,"Yes",$A$2:$A$532,$A53,$AL$2:$AL$532,$AL53)&gt;1,"Yes","No"),
"No")
)
)
)</f>
      </c>
      <c r="G53" t="s">
        <v>1880</v>
      </c>
      <c r="H53" t="s">
        <v>1437</v>
      </c>
      <c r="I53" t="s">
        <v>1831</v>
      </c>
      <c r="J53" t="s">
        <v>1727</v>
      </c>
      <c r="K53" t="s">
        <v>1657</v>
      </c>
      <c r="L53" t="s">
        <v>1657</v>
      </c>
      <c r="R53" t="s">
        <v>2110</v>
      </c>
      <c r="Y53" t="s">
        <v>2042</v>
      </c>
      <c r="Z53" t="s">
        <v>1623</v>
      </c>
      <c r="BC53" t="s">
        <v>1938</v>
      </c>
      <c r="BI53" t="s">
        <v>1630</v>
      </c>
      <c r="BL53">
        <f>IF($T53="","",IF((IF(AND($AW53&lt;&gt;"Yes",$AW53&lt;&gt;"N/A"),"Power Cable, ","")&amp;IF(AND($AX53&lt;&gt;"Yes",$AX53&lt;&gt;"N/A"),"Battery, ","")&amp;IF(AND($BE53&lt;&gt;"Yes",$BE53&lt;&gt;"N/A"),"Firmware Download, ","")&amp;IF(AND(OR($BE53="Yes",$BE53="N/A"),$BF53&lt;&gt;"Yes",$BF53&lt;&gt;"N/A"),"Firmware Install, ","")&amp;IF(AND($BJ53&lt;&gt;"Yes",$BJ53&lt;&gt;"N/A"),"Device ID, ","")&amp;IF(AND($BK53&lt;&gt;"Yes",$BK53&lt;&gt;"N/A"),"Epic Beans Relay, ",""))="","",LEFT(IF(AND($AW53&lt;&gt;"Yes",$AW53&lt;&gt;"N/A"),"Power Cable, ","")&amp;IF(AND($AX53&lt;&gt;"Yes",$AX53&lt;&gt;"N/A"),"Battery, ","")&amp;IF(AND($BE53&lt;&gt;"Yes",$BE53&lt;&gt;"N/A"),"Firmware Download, ","")&amp;IF(AND(OR($BE53="Yes",$BE53="N/A"),$BF53&lt;&gt;"Yes",$BF53&lt;&gt;"N/A"),"Firmware Install, ","")&amp;IF(AND($BJ53&lt;&gt;"Yes",$BJ53&lt;&gt;"N/A"),"Device ID, ","")&amp;IF(AND($BK53&lt;&gt;"Yes",$BK53&lt;&gt;"N/A"),"Epic Beans Relay, ",""),LEN(IF(AND($AW53&lt;&gt;"Yes",$AW53&lt;&gt;"N/A"),"Power Cable, ","")&amp;IF(AND($AX53&lt;&gt;"Yes",$AX53&lt;&gt;"N/A"),"Battery, ","")&amp;IF(AND($BE53&lt;&gt;"Yes",$BE53&lt;&gt;"N/A"),"Firmware Download, ","")&amp;IF(AND(OR($BE53="Yes",$BE53="N/A"),$BF53&lt;&gt;"Yes",$BF53&lt;&gt;"N/A"),"Firmware Install, ","")&amp;IF(AND($BJ53&lt;&gt;"Yes",$BJ53&lt;&gt;"N/A"),"Device ID, ","")&amp;IF(AND($BK53&lt;&gt;"Yes",$BK53&lt;&gt;"N/A"),"Epic Beans Relay, ",""))-2)))</f>
      </c>
      <c r="BM53">
        <f>IF($T53="","",IF($BL53="","Yes","Blocked"))</f>
      </c>
      <c r="BP53">
        <f>IF($BO53="","",IFERROR(VLOOKUP($BO53,'01_Warehouse_Ledger'!$A:$N,4,FALSE),""))</f>
      </c>
      <c r="BQ53">
        <f>IF($BO53="","",IFERROR(VLOOKUP($BO53,'01_Warehouse_Ledger'!$A:$N,5,FALSE),""))</f>
      </c>
      <c r="BR53">
        <f>IF($BO53="","",IFERROR(VLOOKUP($BO53,'01_Warehouse_Ledger'!$A:$N,13,FALSE),""))</f>
      </c>
    </row>
    <row r="54">
      <c r="A54" t="s">
        <v>1415</v>
      </c>
      <c r="B54" t="s">
        <v>1657</v>
      </c>
      <c r="C54" t="s">
        <v>1657</v>
      </c>
      <c r="D54">
        <f>IF($B54&lt;&gt;"Yes","",IF($C54="No","Yes",IF($C54="Yes","No","")))</f>
      </c>
      <c r="E54">
        <f>IF($A54="","",IF($A54="Neuron",IF(OR(AND($R54&lt;&gt;"",LOWER(TRIM($R54))&lt;&gt;"n/a",COUNTIF($S$2:$S$532,$R54)&gt;1),AND($T54&lt;&gt;"",LOWER(TRIM($T54))&lt;&gt;"n/a",COUNTIF($T$2:$T$532,$T54)&gt;1),AND($W54&lt;&gt;"",LOWER(TRIM($W54))&lt;&gt;"n/a",COUNTIF($W$2:$W$532,$W54)&gt;1)),"Yes","No"),IF($A54="Cybernet",IF(OR(AND($Y54&lt;&gt;"",LOWER(TRIM($Y54))&lt;&gt;"n/a",COUNTIF($Y$2:$Y$532,$Y54)&gt;1),AND($Z54&lt;&gt;"",LOWER(TRIM($Z54))&lt;&gt;"n/a",COUNTIF($Z$2:$Z$532,$Z54)&gt;1)),"Yes","No"),IF(AND($AL54&lt;&gt;"",LOWER(TRIM($AL54))&lt;&gt;"n/a",COUNTIF($AL$2:$AL$532,$AL54)&gt;1),"Yes","No"))))</f>
      </c>
      <c r="F54">
        <f>IF($B54&lt;&gt;"Yes","",
IF($A54="Neuron",
IF(OR(
AND($R54&lt;&gt;"",LOWER(TRIM($R54))&lt;&gt;"n/a",COUNTIFS($B$2:$B$532,"Yes",$A$2:$A$532,"Neuron",$S$2:$S$532,$R54)&gt;1),
AND($T54&lt;&gt;"",LOWER(TRIM($T54))&lt;&gt;"n/a",COUNTIFS($B$2:$B$532,"Yes",$A$2:$A$532,"Neuron",$T$2:$T$532,$T54)&gt;1),
AND($W54&lt;&gt;"",LOWER(TRIM($W54))&lt;&gt;"n/a",COUNTIFS($B$2:$B$532,"Yes",$A$2:$A$532,"Neuron",$W$2:$W$532,$W54)&gt;1)
),"Yes","No"),
IF($A54="Cybernet",
IF(OR(
AND($Y54&lt;&gt;"",LOWER(TRIM($Y54))&lt;&gt;"n/a",COUNTIFS($B$2:$B$532,"Yes",$A$2:$A$532,"Cybernet",$Y$2:$Y$532,$Y54)&gt;1),
AND($Z54&lt;&gt;"",LOWER(TRIM($Z54))&lt;&gt;"n/a",COUNTIFS($B$2:$B$532,"Yes",$A$2:$A$532,"Cybernet",$Z$2:$Z$532,$Z54)&gt;1)
),"Yes","No"),
IF(AND($AL54&lt;&gt;"",LOWER(TRIM($AL54))&lt;&gt;"n/a"),
IF(COUNTIFS($B$2:$B$532,"Yes",$A$2:$A$532,$A54,$AL$2:$AL$532,$AL54)&gt;1,"Yes","No"),
"No")
)
)
)</f>
      </c>
      <c r="G54" t="s">
        <v>1880</v>
      </c>
      <c r="H54" t="s">
        <v>2197</v>
      </c>
      <c r="I54" t="s">
        <v>1831</v>
      </c>
      <c r="J54" t="s">
        <v>1727</v>
      </c>
      <c r="K54" t="s">
        <v>1657</v>
      </c>
      <c r="L54" t="s">
        <v>1657</v>
      </c>
      <c r="R54" t="s">
        <v>1770</v>
      </c>
      <c r="Y54" t="s">
        <v>2126</v>
      </c>
      <c r="Z54" t="s">
        <v>1769</v>
      </c>
      <c r="AJ54" t="s">
        <v>1860</v>
      </c>
      <c r="AK54" t="s">
        <v>1629</v>
      </c>
      <c r="BC54" t="s">
        <v>1726</v>
      </c>
      <c r="BD54" t="s">
        <v>1958</v>
      </c>
      <c r="BI54" t="s">
        <v>1630</v>
      </c>
      <c r="BL54">
        <f>IF($T54="","",IF((IF(AND($AW54&lt;&gt;"Yes",$AW54&lt;&gt;"N/A"),"Power Cable, ","")&amp;IF(AND($AX54&lt;&gt;"Yes",$AX54&lt;&gt;"N/A"),"Battery, ","")&amp;IF(AND($BE54&lt;&gt;"Yes",$BE54&lt;&gt;"N/A"),"Firmware Download, ","")&amp;IF(AND(OR($BE54="Yes",$BE54="N/A"),$BF54&lt;&gt;"Yes",$BF54&lt;&gt;"N/A"),"Firmware Install, ","")&amp;IF(AND($BJ54&lt;&gt;"Yes",$BJ54&lt;&gt;"N/A"),"Device ID, ","")&amp;IF(AND($BK54&lt;&gt;"Yes",$BK54&lt;&gt;"N/A"),"Epic Beans Relay, ",""))="","",LEFT(IF(AND($AW54&lt;&gt;"Yes",$AW54&lt;&gt;"N/A"),"Power Cable, ","")&amp;IF(AND($AX54&lt;&gt;"Yes",$AX54&lt;&gt;"N/A"),"Battery, ","")&amp;IF(AND($BE54&lt;&gt;"Yes",$BE54&lt;&gt;"N/A"),"Firmware Download, ","")&amp;IF(AND(OR($BE54="Yes",$BE54="N/A"),$BF54&lt;&gt;"Yes",$BF54&lt;&gt;"N/A"),"Firmware Install, ","")&amp;IF(AND($BJ54&lt;&gt;"Yes",$BJ54&lt;&gt;"N/A"),"Device ID, ","")&amp;IF(AND($BK54&lt;&gt;"Yes",$BK54&lt;&gt;"N/A"),"Epic Beans Relay, ",""),LEN(IF(AND($AW54&lt;&gt;"Yes",$AW54&lt;&gt;"N/A"),"Power Cable, ","")&amp;IF(AND($AX54&lt;&gt;"Yes",$AX54&lt;&gt;"N/A"),"Battery, ","")&amp;IF(AND($BE54&lt;&gt;"Yes",$BE54&lt;&gt;"N/A"),"Firmware Download, ","")&amp;IF(AND(OR($BE54="Yes",$BE54="N/A"),$BF54&lt;&gt;"Yes",$BF54&lt;&gt;"N/A"),"Firmware Install, ","")&amp;IF(AND($BJ54&lt;&gt;"Yes",$BJ54&lt;&gt;"N/A"),"Device ID, ","")&amp;IF(AND($BK54&lt;&gt;"Yes",$BK54&lt;&gt;"N/A"),"Epic Beans Relay, ",""))-2)))</f>
      </c>
      <c r="BM54">
        <f>IF($T54="","",IF($BL54="","Yes","Blocked"))</f>
      </c>
      <c r="BP54">
        <f>IF($BO54="","",IFERROR(VLOOKUP($BO54,'01_Warehouse_Ledger'!$A:$N,4,FALSE),""))</f>
      </c>
      <c r="BQ54">
        <f>IF($BO54="","",IFERROR(VLOOKUP($BO54,'01_Warehouse_Ledger'!$A:$N,5,FALSE),""))</f>
      </c>
      <c r="BR54">
        <f>IF($BO54="","",IFERROR(VLOOKUP($BO54,'01_Warehouse_Ledger'!$A:$N,13,FALSE),""))</f>
      </c>
    </row>
    <row r="55">
      <c r="A55" t="s">
        <v>1415</v>
      </c>
      <c r="B55" t="s">
        <v>1657</v>
      </c>
      <c r="C55" t="s">
        <v>1657</v>
      </c>
      <c r="D55">
        <f>IF($B55&lt;&gt;"Yes","",IF($C55="No","Yes",IF($C55="Yes","No","")))</f>
      </c>
      <c r="E55">
        <f>IF($A55="","",IF($A55="Neuron",IF(OR(AND($R55&lt;&gt;"",LOWER(TRIM($R55))&lt;&gt;"n/a",COUNTIF($S$2:$S$532,$R55)&gt;1),AND($T55&lt;&gt;"",LOWER(TRIM($T55))&lt;&gt;"n/a",COUNTIF($T$2:$T$532,$T55)&gt;1),AND($W55&lt;&gt;"",LOWER(TRIM($W55))&lt;&gt;"n/a",COUNTIF($W$2:$W$532,$W55)&gt;1)),"Yes","No"),IF($A55="Cybernet",IF(OR(AND($Y55&lt;&gt;"",LOWER(TRIM($Y55))&lt;&gt;"n/a",COUNTIF($Y$2:$Y$532,$Y55)&gt;1),AND($Z55&lt;&gt;"",LOWER(TRIM($Z55))&lt;&gt;"n/a",COUNTIF($Z$2:$Z$532,$Z55)&gt;1)),"Yes","No"),IF(AND($AL55&lt;&gt;"",LOWER(TRIM($AL55))&lt;&gt;"n/a",COUNTIF($AL$2:$AL$532,$AL55)&gt;1),"Yes","No"))))</f>
      </c>
      <c r="F55">
        <f>IF($B55&lt;&gt;"Yes","",
IF($A55="Neuron",
IF(OR(
AND($R55&lt;&gt;"",LOWER(TRIM($R55))&lt;&gt;"n/a",COUNTIFS($B$2:$B$532,"Yes",$A$2:$A$532,"Neuron",$S$2:$S$532,$R55)&gt;1),
AND($T55&lt;&gt;"",LOWER(TRIM($T55))&lt;&gt;"n/a",COUNTIFS($B$2:$B$532,"Yes",$A$2:$A$532,"Neuron",$T$2:$T$532,$T55)&gt;1),
AND($W55&lt;&gt;"",LOWER(TRIM($W55))&lt;&gt;"n/a",COUNTIFS($B$2:$B$532,"Yes",$A$2:$A$532,"Neuron",$W$2:$W$532,$W55)&gt;1)
),"Yes","No"),
IF($A55="Cybernet",
IF(OR(
AND($Y55&lt;&gt;"",LOWER(TRIM($Y55))&lt;&gt;"n/a",COUNTIFS($B$2:$B$532,"Yes",$A$2:$A$532,"Cybernet",$Y$2:$Y$532,$Y55)&gt;1),
AND($Z55&lt;&gt;"",LOWER(TRIM($Z55))&lt;&gt;"n/a",COUNTIFS($B$2:$B$532,"Yes",$A$2:$A$532,"Cybernet",$Z$2:$Z$532,$Z55)&gt;1)
),"Yes","No"),
IF(AND($AL55&lt;&gt;"",LOWER(TRIM($AL55))&lt;&gt;"n/a"),
IF(COUNTIFS($B$2:$B$532,"Yes",$A$2:$A$532,$A55,$AL$2:$AL$532,$AL55)&gt;1,"Yes","No"),
"No")
)
)
)</f>
      </c>
      <c r="G55" t="s">
        <v>1880</v>
      </c>
      <c r="H55" t="s">
        <v>2197</v>
      </c>
      <c r="I55" t="s">
        <v>1831</v>
      </c>
      <c r="J55" t="s">
        <v>1727</v>
      </c>
      <c r="K55" t="s">
        <v>1657</v>
      </c>
      <c r="L55" t="s">
        <v>1657</v>
      </c>
      <c r="R55" t="s">
        <v>1973</v>
      </c>
      <c r="Y55" t="s">
        <v>1877</v>
      </c>
      <c r="Z55" t="s">
        <v>2328</v>
      </c>
      <c r="AJ55" t="s">
        <v>1860</v>
      </c>
      <c r="AK55" t="s">
        <v>1629</v>
      </c>
      <c r="BC55" t="s">
        <v>1726</v>
      </c>
      <c r="BD55" t="s">
        <v>1958</v>
      </c>
      <c r="BI55" t="s">
        <v>1630</v>
      </c>
      <c r="BL55">
        <f>IF($T55="","",IF((IF(AND($AW55&lt;&gt;"Yes",$AW55&lt;&gt;"N/A"),"Power Cable, ","")&amp;IF(AND($AX55&lt;&gt;"Yes",$AX55&lt;&gt;"N/A"),"Battery, ","")&amp;IF(AND($BE55&lt;&gt;"Yes",$BE55&lt;&gt;"N/A"),"Firmware Download, ","")&amp;IF(AND(OR($BE55="Yes",$BE55="N/A"),$BF55&lt;&gt;"Yes",$BF55&lt;&gt;"N/A"),"Firmware Install, ","")&amp;IF(AND($BJ55&lt;&gt;"Yes",$BJ55&lt;&gt;"N/A"),"Device ID, ","")&amp;IF(AND($BK55&lt;&gt;"Yes",$BK55&lt;&gt;"N/A"),"Epic Beans Relay, ",""))="","",LEFT(IF(AND($AW55&lt;&gt;"Yes",$AW55&lt;&gt;"N/A"),"Power Cable, ","")&amp;IF(AND($AX55&lt;&gt;"Yes",$AX55&lt;&gt;"N/A"),"Battery, ","")&amp;IF(AND($BE55&lt;&gt;"Yes",$BE55&lt;&gt;"N/A"),"Firmware Download, ","")&amp;IF(AND(OR($BE55="Yes",$BE55="N/A"),$BF55&lt;&gt;"Yes",$BF55&lt;&gt;"N/A"),"Firmware Install, ","")&amp;IF(AND($BJ55&lt;&gt;"Yes",$BJ55&lt;&gt;"N/A"),"Device ID, ","")&amp;IF(AND($BK55&lt;&gt;"Yes",$BK55&lt;&gt;"N/A"),"Epic Beans Relay, ",""),LEN(IF(AND($AW55&lt;&gt;"Yes",$AW55&lt;&gt;"N/A"),"Power Cable, ","")&amp;IF(AND($AX55&lt;&gt;"Yes",$AX55&lt;&gt;"N/A"),"Battery, ","")&amp;IF(AND($BE55&lt;&gt;"Yes",$BE55&lt;&gt;"N/A"),"Firmware Download, ","")&amp;IF(AND(OR($BE55="Yes",$BE55="N/A"),$BF55&lt;&gt;"Yes",$BF55&lt;&gt;"N/A"),"Firmware Install, ","")&amp;IF(AND($BJ55&lt;&gt;"Yes",$BJ55&lt;&gt;"N/A"),"Device ID, ","")&amp;IF(AND($BK55&lt;&gt;"Yes",$BK55&lt;&gt;"N/A"),"Epic Beans Relay, ",""))-2)))</f>
      </c>
      <c r="BM55">
        <f>IF($T55="","",IF($BL55="","Yes","Blocked"))</f>
      </c>
      <c r="BP55">
        <f>IF($BO55="","",IFERROR(VLOOKUP($BO55,'01_Warehouse_Ledger'!$A:$N,4,FALSE),""))</f>
      </c>
      <c r="BQ55">
        <f>IF($BO55="","",IFERROR(VLOOKUP($BO55,'01_Warehouse_Ledger'!$A:$N,5,FALSE),""))</f>
      </c>
      <c r="BR55">
        <f>IF($BO55="","",IFERROR(VLOOKUP($BO55,'01_Warehouse_Ledger'!$A:$N,13,FALSE),""))</f>
      </c>
    </row>
    <row r="56">
      <c r="A56" t="s">
        <v>1415</v>
      </c>
      <c r="B56" t="s">
        <v>1657</v>
      </c>
      <c r="C56" t="s">
        <v>1657</v>
      </c>
      <c r="D56">
        <f>IF($B56&lt;&gt;"Yes","",IF($C56="No","Yes",IF($C56="Yes","No","")))</f>
      </c>
      <c r="E56">
        <f>IF($A56="","",IF($A56="Neuron",IF(OR(AND($R56&lt;&gt;"",LOWER(TRIM($R56))&lt;&gt;"n/a",COUNTIF($S$2:$S$532,$R56)&gt;1),AND($T56&lt;&gt;"",LOWER(TRIM($T56))&lt;&gt;"n/a",COUNTIF($T$2:$T$532,$T56)&gt;1),AND($W56&lt;&gt;"",LOWER(TRIM($W56))&lt;&gt;"n/a",COUNTIF($W$2:$W$532,$W56)&gt;1)),"Yes","No"),IF($A56="Cybernet",IF(OR(AND($Y56&lt;&gt;"",LOWER(TRIM($Y56))&lt;&gt;"n/a",COUNTIF($Y$2:$Y$532,$Y56)&gt;1),AND($Z56&lt;&gt;"",LOWER(TRIM($Z56))&lt;&gt;"n/a",COUNTIF($Z$2:$Z$532,$Z56)&gt;1)),"Yes","No"),IF(AND($AL56&lt;&gt;"",LOWER(TRIM($AL56))&lt;&gt;"n/a",COUNTIF($AL$2:$AL$532,$AL56)&gt;1),"Yes","No"))))</f>
      </c>
      <c r="F56">
        <f>IF($B56&lt;&gt;"Yes","",
IF($A56="Neuron",
IF(OR(
AND($R56&lt;&gt;"",LOWER(TRIM($R56))&lt;&gt;"n/a",COUNTIFS($B$2:$B$532,"Yes",$A$2:$A$532,"Neuron",$S$2:$S$532,$R56)&gt;1),
AND($T56&lt;&gt;"",LOWER(TRIM($T56))&lt;&gt;"n/a",COUNTIFS($B$2:$B$532,"Yes",$A$2:$A$532,"Neuron",$T$2:$T$532,$T56)&gt;1),
AND($W56&lt;&gt;"",LOWER(TRIM($W56))&lt;&gt;"n/a",COUNTIFS($B$2:$B$532,"Yes",$A$2:$A$532,"Neuron",$W$2:$W$532,$W56)&gt;1)
),"Yes","No"),
IF($A56="Cybernet",
IF(OR(
AND($Y56&lt;&gt;"",LOWER(TRIM($Y56))&lt;&gt;"n/a",COUNTIFS($B$2:$B$532,"Yes",$A$2:$A$532,"Cybernet",$Y$2:$Y$532,$Y56)&gt;1),
AND($Z56&lt;&gt;"",LOWER(TRIM($Z56))&lt;&gt;"n/a",COUNTIFS($B$2:$B$532,"Yes",$A$2:$A$532,"Cybernet",$Z$2:$Z$532,$Z56)&gt;1)
),"Yes","No"),
IF(AND($AL56&lt;&gt;"",LOWER(TRIM($AL56))&lt;&gt;"n/a"),
IF(COUNTIFS($B$2:$B$532,"Yes",$A$2:$A$532,$A56,$AL$2:$AL$532,$AL56)&gt;1,"Yes","No"),
"No")
)
)
)</f>
      </c>
      <c r="G56" t="s">
        <v>1880</v>
      </c>
      <c r="H56" t="s">
        <v>2197</v>
      </c>
      <c r="I56" t="s">
        <v>1831</v>
      </c>
      <c r="J56" t="s">
        <v>1727</v>
      </c>
      <c r="K56" t="s">
        <v>1657</v>
      </c>
      <c r="L56" t="s">
        <v>1657</v>
      </c>
      <c r="R56" t="s">
        <v>1870</v>
      </c>
      <c r="X56" t="s">
        <v>2013</v>
      </c>
      <c r="Y56" t="s">
        <v>1740</v>
      </c>
      <c r="Z56" t="s">
        <v>1683</v>
      </c>
      <c r="BD56" t="s">
        <v>1958</v>
      </c>
      <c r="BI56" t="s">
        <v>1630</v>
      </c>
      <c r="BL56">
        <f>IF($T56="","",IF((IF(AND($AW56&lt;&gt;"Yes",$AW56&lt;&gt;"N/A"),"Power Cable, ","")&amp;IF(AND($AX56&lt;&gt;"Yes",$AX56&lt;&gt;"N/A"),"Battery, ","")&amp;IF(AND($BE56&lt;&gt;"Yes",$BE56&lt;&gt;"N/A"),"Firmware Download, ","")&amp;IF(AND(OR($BE56="Yes",$BE56="N/A"),$BF56&lt;&gt;"Yes",$BF56&lt;&gt;"N/A"),"Firmware Install, ","")&amp;IF(AND($BJ56&lt;&gt;"Yes",$BJ56&lt;&gt;"N/A"),"Device ID, ","")&amp;IF(AND($BK56&lt;&gt;"Yes",$BK56&lt;&gt;"N/A"),"Epic Beans Relay, ",""))="","",LEFT(IF(AND($AW56&lt;&gt;"Yes",$AW56&lt;&gt;"N/A"),"Power Cable, ","")&amp;IF(AND($AX56&lt;&gt;"Yes",$AX56&lt;&gt;"N/A"),"Battery, ","")&amp;IF(AND($BE56&lt;&gt;"Yes",$BE56&lt;&gt;"N/A"),"Firmware Download, ","")&amp;IF(AND(OR($BE56="Yes",$BE56="N/A"),$BF56&lt;&gt;"Yes",$BF56&lt;&gt;"N/A"),"Firmware Install, ","")&amp;IF(AND($BJ56&lt;&gt;"Yes",$BJ56&lt;&gt;"N/A"),"Device ID, ","")&amp;IF(AND($BK56&lt;&gt;"Yes",$BK56&lt;&gt;"N/A"),"Epic Beans Relay, ",""),LEN(IF(AND($AW56&lt;&gt;"Yes",$AW56&lt;&gt;"N/A"),"Power Cable, ","")&amp;IF(AND($AX56&lt;&gt;"Yes",$AX56&lt;&gt;"N/A"),"Battery, ","")&amp;IF(AND($BE56&lt;&gt;"Yes",$BE56&lt;&gt;"N/A"),"Firmware Download, ","")&amp;IF(AND(OR($BE56="Yes",$BE56="N/A"),$BF56&lt;&gt;"Yes",$BF56&lt;&gt;"N/A"),"Firmware Install, ","")&amp;IF(AND($BJ56&lt;&gt;"Yes",$BJ56&lt;&gt;"N/A"),"Device ID, ","")&amp;IF(AND($BK56&lt;&gt;"Yes",$BK56&lt;&gt;"N/A"),"Epic Beans Relay, ",""))-2)))</f>
      </c>
      <c r="BM56">
        <f>IF($T56="","",IF($BL56="","Yes","Blocked"))</f>
      </c>
      <c r="BP56">
        <f>IF($BO56="","",IFERROR(VLOOKUP($BO56,'01_Warehouse_Ledger'!$A:$N,4,FALSE),""))</f>
      </c>
      <c r="BQ56">
        <f>IF($BO56="","",IFERROR(VLOOKUP($BO56,'01_Warehouse_Ledger'!$A:$N,5,FALSE),""))</f>
      </c>
      <c r="BR56">
        <f>IF($BO56="","",IFERROR(VLOOKUP($BO56,'01_Warehouse_Ledger'!$A:$N,13,FALSE),""))</f>
      </c>
    </row>
    <row r="57">
      <c r="A57" t="s">
        <v>1415</v>
      </c>
      <c r="B57" t="s">
        <v>1657</v>
      </c>
      <c r="C57" t="s">
        <v>1657</v>
      </c>
      <c r="D57">
        <f>IF($B57&lt;&gt;"Yes","",IF($C57="No","Yes",IF($C57="Yes","No","")))</f>
      </c>
      <c r="E57">
        <f>IF($A57="","",IF($A57="Neuron",IF(OR(AND($R57&lt;&gt;"",LOWER(TRIM($R57))&lt;&gt;"n/a",COUNTIF($S$2:$S$532,$R57)&gt;1),AND($T57&lt;&gt;"",LOWER(TRIM($T57))&lt;&gt;"n/a",COUNTIF($T$2:$T$532,$T57)&gt;1),AND($W57&lt;&gt;"",LOWER(TRIM($W57))&lt;&gt;"n/a",COUNTIF($W$2:$W$532,$W57)&gt;1)),"Yes","No"),IF($A57="Cybernet",IF(OR(AND($Y57&lt;&gt;"",LOWER(TRIM($Y57))&lt;&gt;"n/a",COUNTIF($Y$2:$Y$532,$Y57)&gt;1),AND($Z57&lt;&gt;"",LOWER(TRIM($Z57))&lt;&gt;"n/a",COUNTIF($Z$2:$Z$532,$Z57)&gt;1)),"Yes","No"),IF(AND($AL57&lt;&gt;"",LOWER(TRIM($AL57))&lt;&gt;"n/a",COUNTIF($AL$2:$AL$532,$AL57)&gt;1),"Yes","No"))))</f>
      </c>
      <c r="F57">
        <f>IF($B57&lt;&gt;"Yes","",
IF($A57="Neuron",
IF(OR(
AND($R57&lt;&gt;"",LOWER(TRIM($R57))&lt;&gt;"n/a",COUNTIFS($B$2:$B$532,"Yes",$A$2:$A$532,"Neuron",$S$2:$S$532,$R57)&gt;1),
AND($T57&lt;&gt;"",LOWER(TRIM($T57))&lt;&gt;"n/a",COUNTIFS($B$2:$B$532,"Yes",$A$2:$A$532,"Neuron",$T$2:$T$532,$T57)&gt;1),
AND($W57&lt;&gt;"",LOWER(TRIM($W57))&lt;&gt;"n/a",COUNTIFS($B$2:$B$532,"Yes",$A$2:$A$532,"Neuron",$W$2:$W$532,$W57)&gt;1)
),"Yes","No"),
IF($A57="Cybernet",
IF(OR(
AND($Y57&lt;&gt;"",LOWER(TRIM($Y57))&lt;&gt;"n/a",COUNTIFS($B$2:$B$532,"Yes",$A$2:$A$532,"Cybernet",$Y$2:$Y$532,$Y57)&gt;1),
AND($Z57&lt;&gt;"",LOWER(TRIM($Z57))&lt;&gt;"n/a",COUNTIFS($B$2:$B$532,"Yes",$A$2:$A$532,"Cybernet",$Z$2:$Z$532,$Z57)&gt;1)
),"Yes","No"),
IF(AND($AL57&lt;&gt;"",LOWER(TRIM($AL57))&lt;&gt;"n/a"),
IF(COUNTIFS($B$2:$B$532,"Yes",$A$2:$A$532,$A57,$AL$2:$AL$532,$AL57)&gt;1,"Yes","No"),
"No")
)
)
)</f>
      </c>
      <c r="G57" t="s">
        <v>1880</v>
      </c>
      <c r="H57" t="s">
        <v>2197</v>
      </c>
      <c r="I57" t="s">
        <v>1831</v>
      </c>
      <c r="J57" t="s">
        <v>1727</v>
      </c>
      <c r="K57" t="s">
        <v>1657</v>
      </c>
      <c r="L57" t="s">
        <v>1657</v>
      </c>
      <c r="R57" t="s">
        <v>1680</v>
      </c>
      <c r="Y57" t="s">
        <v>2161</v>
      </c>
      <c r="Z57" t="s">
        <v>2080</v>
      </c>
      <c r="BD57" t="s">
        <v>1958</v>
      </c>
      <c r="BI57" t="s">
        <v>1630</v>
      </c>
      <c r="BL57">
        <f>IF($T57="","",IF((IF(AND($AW57&lt;&gt;"Yes",$AW57&lt;&gt;"N/A"),"Power Cable, ","")&amp;IF(AND($AX57&lt;&gt;"Yes",$AX57&lt;&gt;"N/A"),"Battery, ","")&amp;IF(AND($BE57&lt;&gt;"Yes",$BE57&lt;&gt;"N/A"),"Firmware Download, ","")&amp;IF(AND(OR($BE57="Yes",$BE57="N/A"),$BF57&lt;&gt;"Yes",$BF57&lt;&gt;"N/A"),"Firmware Install, ","")&amp;IF(AND($BJ57&lt;&gt;"Yes",$BJ57&lt;&gt;"N/A"),"Device ID, ","")&amp;IF(AND($BK57&lt;&gt;"Yes",$BK57&lt;&gt;"N/A"),"Epic Beans Relay, ",""))="","",LEFT(IF(AND($AW57&lt;&gt;"Yes",$AW57&lt;&gt;"N/A"),"Power Cable, ","")&amp;IF(AND($AX57&lt;&gt;"Yes",$AX57&lt;&gt;"N/A"),"Battery, ","")&amp;IF(AND($BE57&lt;&gt;"Yes",$BE57&lt;&gt;"N/A"),"Firmware Download, ","")&amp;IF(AND(OR($BE57="Yes",$BE57="N/A"),$BF57&lt;&gt;"Yes",$BF57&lt;&gt;"N/A"),"Firmware Install, ","")&amp;IF(AND($BJ57&lt;&gt;"Yes",$BJ57&lt;&gt;"N/A"),"Device ID, ","")&amp;IF(AND($BK57&lt;&gt;"Yes",$BK57&lt;&gt;"N/A"),"Epic Beans Relay, ",""),LEN(IF(AND($AW57&lt;&gt;"Yes",$AW57&lt;&gt;"N/A"),"Power Cable, ","")&amp;IF(AND($AX57&lt;&gt;"Yes",$AX57&lt;&gt;"N/A"),"Battery, ","")&amp;IF(AND($BE57&lt;&gt;"Yes",$BE57&lt;&gt;"N/A"),"Firmware Download, ","")&amp;IF(AND(OR($BE57="Yes",$BE57="N/A"),$BF57&lt;&gt;"Yes",$BF57&lt;&gt;"N/A"),"Firmware Install, ","")&amp;IF(AND($BJ57&lt;&gt;"Yes",$BJ57&lt;&gt;"N/A"),"Device ID, ","")&amp;IF(AND($BK57&lt;&gt;"Yes",$BK57&lt;&gt;"N/A"),"Epic Beans Relay, ",""))-2)))</f>
      </c>
      <c r="BM57">
        <f>IF($T57="","",IF($BL57="","Yes","Blocked"))</f>
      </c>
      <c r="BP57">
        <f>IF($BO57="","",IFERROR(VLOOKUP($BO57,'01_Warehouse_Ledger'!$A:$N,4,FALSE),""))</f>
      </c>
      <c r="BQ57">
        <f>IF($BO57="","",IFERROR(VLOOKUP($BO57,'01_Warehouse_Ledger'!$A:$N,5,FALSE),""))</f>
      </c>
      <c r="BR57">
        <f>IF($BO57="","",IFERROR(VLOOKUP($BO57,'01_Warehouse_Ledger'!$A:$N,13,FALSE),""))</f>
      </c>
    </row>
    <row r="58">
      <c r="A58" t="s">
        <v>1415</v>
      </c>
      <c r="B58" t="s">
        <v>1657</v>
      </c>
      <c r="C58" t="s">
        <v>1657</v>
      </c>
      <c r="D58">
        <f>IF($B58&lt;&gt;"Yes","",IF($C58="No","Yes",IF($C58="Yes","No","")))</f>
      </c>
      <c r="E58">
        <f>IF($A58="","",IF($A58="Neuron",IF(OR(AND($R58&lt;&gt;"",LOWER(TRIM($R58))&lt;&gt;"n/a",COUNTIF($S$2:$S$532,$R58)&gt;1),AND($T58&lt;&gt;"",LOWER(TRIM($T58))&lt;&gt;"n/a",COUNTIF($T$2:$T$532,$T58)&gt;1),AND($W58&lt;&gt;"",LOWER(TRIM($W58))&lt;&gt;"n/a",COUNTIF($W$2:$W$532,$W58)&gt;1)),"Yes","No"),IF($A58="Cybernet",IF(OR(AND($Y58&lt;&gt;"",LOWER(TRIM($Y58))&lt;&gt;"n/a",COUNTIF($Y$2:$Y$532,$Y58)&gt;1),AND($Z58&lt;&gt;"",LOWER(TRIM($Z58))&lt;&gt;"n/a",COUNTIF($Z$2:$Z$532,$Z58)&gt;1)),"Yes","No"),IF(AND($AL58&lt;&gt;"",LOWER(TRIM($AL58))&lt;&gt;"n/a",COUNTIF($AL$2:$AL$532,$AL58)&gt;1),"Yes","No"))))</f>
      </c>
      <c r="F58">
        <f>IF($B58&lt;&gt;"Yes","",
IF($A58="Neuron",
IF(OR(
AND($R58&lt;&gt;"",LOWER(TRIM($R58))&lt;&gt;"n/a",COUNTIFS($B$2:$B$532,"Yes",$A$2:$A$532,"Neuron",$S$2:$S$532,$R58)&gt;1),
AND($T58&lt;&gt;"",LOWER(TRIM($T58))&lt;&gt;"n/a",COUNTIFS($B$2:$B$532,"Yes",$A$2:$A$532,"Neuron",$T$2:$T$532,$T58)&gt;1),
AND($W58&lt;&gt;"",LOWER(TRIM($W58))&lt;&gt;"n/a",COUNTIFS($B$2:$B$532,"Yes",$A$2:$A$532,"Neuron",$W$2:$W$532,$W58)&gt;1)
),"Yes","No"),
IF($A58="Cybernet",
IF(OR(
AND($Y58&lt;&gt;"",LOWER(TRIM($Y58))&lt;&gt;"n/a",COUNTIFS($B$2:$B$532,"Yes",$A$2:$A$532,"Cybernet",$Y$2:$Y$532,$Y58)&gt;1),
AND($Z58&lt;&gt;"",LOWER(TRIM($Z58))&lt;&gt;"n/a",COUNTIFS($B$2:$B$532,"Yes",$A$2:$A$532,"Cybernet",$Z$2:$Z$532,$Z58)&gt;1)
),"Yes","No"),
IF(AND($AL58&lt;&gt;"",LOWER(TRIM($AL58))&lt;&gt;"n/a"),
IF(COUNTIFS($B$2:$B$532,"Yes",$A$2:$A$532,$A58,$AL$2:$AL$532,$AL58)&gt;1,"Yes","No"),
"No")
)
)
)</f>
      </c>
      <c r="G58" t="s">
        <v>1880</v>
      </c>
      <c r="H58" t="s">
        <v>2197</v>
      </c>
      <c r="I58" t="s">
        <v>1831</v>
      </c>
      <c r="J58" t="s">
        <v>1727</v>
      </c>
      <c r="K58" t="s">
        <v>1657</v>
      </c>
      <c r="L58" t="s">
        <v>1657</v>
      </c>
      <c r="R58" t="s">
        <v>1910</v>
      </c>
      <c r="Y58" t="s">
        <v>2351</v>
      </c>
      <c r="Z58" t="s">
        <v>2043</v>
      </c>
      <c r="BD58" t="s">
        <v>1958</v>
      </c>
      <c r="BI58" t="s">
        <v>1630</v>
      </c>
      <c r="BL58">
        <f>IF($T58="","",IF((IF(AND($AW58&lt;&gt;"Yes",$AW58&lt;&gt;"N/A"),"Power Cable, ","")&amp;IF(AND($AX58&lt;&gt;"Yes",$AX58&lt;&gt;"N/A"),"Battery, ","")&amp;IF(AND($BE58&lt;&gt;"Yes",$BE58&lt;&gt;"N/A"),"Firmware Download, ","")&amp;IF(AND(OR($BE58="Yes",$BE58="N/A"),$BF58&lt;&gt;"Yes",$BF58&lt;&gt;"N/A"),"Firmware Install, ","")&amp;IF(AND($BJ58&lt;&gt;"Yes",$BJ58&lt;&gt;"N/A"),"Device ID, ","")&amp;IF(AND($BK58&lt;&gt;"Yes",$BK58&lt;&gt;"N/A"),"Epic Beans Relay, ",""))="","",LEFT(IF(AND($AW58&lt;&gt;"Yes",$AW58&lt;&gt;"N/A"),"Power Cable, ","")&amp;IF(AND($AX58&lt;&gt;"Yes",$AX58&lt;&gt;"N/A"),"Battery, ","")&amp;IF(AND($BE58&lt;&gt;"Yes",$BE58&lt;&gt;"N/A"),"Firmware Download, ","")&amp;IF(AND(OR($BE58="Yes",$BE58="N/A"),$BF58&lt;&gt;"Yes",$BF58&lt;&gt;"N/A"),"Firmware Install, ","")&amp;IF(AND($BJ58&lt;&gt;"Yes",$BJ58&lt;&gt;"N/A"),"Device ID, ","")&amp;IF(AND($BK58&lt;&gt;"Yes",$BK58&lt;&gt;"N/A"),"Epic Beans Relay, ",""),LEN(IF(AND($AW58&lt;&gt;"Yes",$AW58&lt;&gt;"N/A"),"Power Cable, ","")&amp;IF(AND($AX58&lt;&gt;"Yes",$AX58&lt;&gt;"N/A"),"Battery, ","")&amp;IF(AND($BE58&lt;&gt;"Yes",$BE58&lt;&gt;"N/A"),"Firmware Download, ","")&amp;IF(AND(OR($BE58="Yes",$BE58="N/A"),$BF58&lt;&gt;"Yes",$BF58&lt;&gt;"N/A"),"Firmware Install, ","")&amp;IF(AND($BJ58&lt;&gt;"Yes",$BJ58&lt;&gt;"N/A"),"Device ID, ","")&amp;IF(AND($BK58&lt;&gt;"Yes",$BK58&lt;&gt;"N/A"),"Epic Beans Relay, ",""))-2)))</f>
      </c>
      <c r="BM58">
        <f>IF($T58="","",IF($BL58="","Yes","Blocked"))</f>
      </c>
      <c r="BP58">
        <f>IF($BO58="","",IFERROR(VLOOKUP($BO58,'01_Warehouse_Ledger'!$A:$N,4,FALSE),""))</f>
      </c>
      <c r="BQ58">
        <f>IF($BO58="","",IFERROR(VLOOKUP($BO58,'01_Warehouse_Ledger'!$A:$N,5,FALSE),""))</f>
      </c>
      <c r="BR58">
        <f>IF($BO58="","",IFERROR(VLOOKUP($BO58,'01_Warehouse_Ledger'!$A:$N,13,FALSE),""))</f>
      </c>
    </row>
    <row r="59">
      <c r="A59" t="s">
        <v>1415</v>
      </c>
      <c r="B59" t="s">
        <v>1657</v>
      </c>
      <c r="C59" t="s">
        <v>1657</v>
      </c>
      <c r="D59">
        <f>IF($B59&lt;&gt;"Yes","",IF($C59="No","Yes",IF($C59="Yes","No","")))</f>
      </c>
      <c r="E59">
        <f>IF($A59="","",IF($A59="Neuron",IF(OR(AND($R59&lt;&gt;"",LOWER(TRIM($R59))&lt;&gt;"n/a",COUNTIF($S$2:$S$532,$R59)&gt;1),AND($T59&lt;&gt;"",LOWER(TRIM($T59))&lt;&gt;"n/a",COUNTIF($T$2:$T$532,$T59)&gt;1),AND($W59&lt;&gt;"",LOWER(TRIM($W59))&lt;&gt;"n/a",COUNTIF($W$2:$W$532,$W59)&gt;1)),"Yes","No"),IF($A59="Cybernet",IF(OR(AND($Y59&lt;&gt;"",LOWER(TRIM($Y59))&lt;&gt;"n/a",COUNTIF($Y$2:$Y$532,$Y59)&gt;1),AND($Z59&lt;&gt;"",LOWER(TRIM($Z59))&lt;&gt;"n/a",COUNTIF($Z$2:$Z$532,$Z59)&gt;1)),"Yes","No"),IF(AND($AL59&lt;&gt;"",LOWER(TRIM($AL59))&lt;&gt;"n/a",COUNTIF($AL$2:$AL$532,$AL59)&gt;1),"Yes","No"))))</f>
      </c>
      <c r="F59">
        <f>IF($B59&lt;&gt;"Yes","",
IF($A59="Neuron",
IF(OR(
AND($R59&lt;&gt;"",LOWER(TRIM($R59))&lt;&gt;"n/a",COUNTIFS($B$2:$B$532,"Yes",$A$2:$A$532,"Neuron",$S$2:$S$532,$R59)&gt;1),
AND($T59&lt;&gt;"",LOWER(TRIM($T59))&lt;&gt;"n/a",COUNTIFS($B$2:$B$532,"Yes",$A$2:$A$532,"Neuron",$T$2:$T$532,$T59)&gt;1),
AND($W59&lt;&gt;"",LOWER(TRIM($W59))&lt;&gt;"n/a",COUNTIFS($B$2:$B$532,"Yes",$A$2:$A$532,"Neuron",$W$2:$W$532,$W59)&gt;1)
),"Yes","No"),
IF($A59="Cybernet",
IF(OR(
AND($Y59&lt;&gt;"",LOWER(TRIM($Y59))&lt;&gt;"n/a",COUNTIFS($B$2:$B$532,"Yes",$A$2:$A$532,"Cybernet",$Y$2:$Y$532,$Y59)&gt;1),
AND($Z59&lt;&gt;"",LOWER(TRIM($Z59))&lt;&gt;"n/a",COUNTIFS($B$2:$B$532,"Yes",$A$2:$A$532,"Cybernet",$Z$2:$Z$532,$Z59)&gt;1)
),"Yes","No"),
IF(AND($AL59&lt;&gt;"",LOWER(TRIM($AL59))&lt;&gt;"n/a"),
IF(COUNTIFS($B$2:$B$532,"Yes",$A$2:$A$532,$A59,$AL$2:$AL$532,$AL59)&gt;1,"Yes","No"),
"No")
)
)
)</f>
      </c>
      <c r="G59" t="s">
        <v>1880</v>
      </c>
      <c r="H59" t="s">
        <v>2197</v>
      </c>
      <c r="I59" t="s">
        <v>1831</v>
      </c>
      <c r="J59" t="s">
        <v>1727</v>
      </c>
      <c r="K59" t="s">
        <v>1657</v>
      </c>
      <c r="L59" t="s">
        <v>1657</v>
      </c>
      <c r="R59" t="s">
        <v>2119</v>
      </c>
      <c r="Y59" t="s">
        <v>1885</v>
      </c>
      <c r="Z59" t="s">
        <v>2063</v>
      </c>
      <c r="BD59" t="s">
        <v>1958</v>
      </c>
      <c r="BI59" t="s">
        <v>1630</v>
      </c>
      <c r="BL59">
        <f>IF($T59="","",IF((IF(AND($AW59&lt;&gt;"Yes",$AW59&lt;&gt;"N/A"),"Power Cable, ","")&amp;IF(AND($AX59&lt;&gt;"Yes",$AX59&lt;&gt;"N/A"),"Battery, ","")&amp;IF(AND($BE59&lt;&gt;"Yes",$BE59&lt;&gt;"N/A"),"Firmware Download, ","")&amp;IF(AND(OR($BE59="Yes",$BE59="N/A"),$BF59&lt;&gt;"Yes",$BF59&lt;&gt;"N/A"),"Firmware Install, ","")&amp;IF(AND($BJ59&lt;&gt;"Yes",$BJ59&lt;&gt;"N/A"),"Device ID, ","")&amp;IF(AND($BK59&lt;&gt;"Yes",$BK59&lt;&gt;"N/A"),"Epic Beans Relay, ",""))="","",LEFT(IF(AND($AW59&lt;&gt;"Yes",$AW59&lt;&gt;"N/A"),"Power Cable, ","")&amp;IF(AND($AX59&lt;&gt;"Yes",$AX59&lt;&gt;"N/A"),"Battery, ","")&amp;IF(AND($BE59&lt;&gt;"Yes",$BE59&lt;&gt;"N/A"),"Firmware Download, ","")&amp;IF(AND(OR($BE59="Yes",$BE59="N/A"),$BF59&lt;&gt;"Yes",$BF59&lt;&gt;"N/A"),"Firmware Install, ","")&amp;IF(AND($BJ59&lt;&gt;"Yes",$BJ59&lt;&gt;"N/A"),"Device ID, ","")&amp;IF(AND($BK59&lt;&gt;"Yes",$BK59&lt;&gt;"N/A"),"Epic Beans Relay, ",""),LEN(IF(AND($AW59&lt;&gt;"Yes",$AW59&lt;&gt;"N/A"),"Power Cable, ","")&amp;IF(AND($AX59&lt;&gt;"Yes",$AX59&lt;&gt;"N/A"),"Battery, ","")&amp;IF(AND($BE59&lt;&gt;"Yes",$BE59&lt;&gt;"N/A"),"Firmware Download, ","")&amp;IF(AND(OR($BE59="Yes",$BE59="N/A"),$BF59&lt;&gt;"Yes",$BF59&lt;&gt;"N/A"),"Firmware Install, ","")&amp;IF(AND($BJ59&lt;&gt;"Yes",$BJ59&lt;&gt;"N/A"),"Device ID, ","")&amp;IF(AND($BK59&lt;&gt;"Yes",$BK59&lt;&gt;"N/A"),"Epic Beans Relay, ",""))-2)))</f>
      </c>
      <c r="BM59">
        <f>IF($T59="","",IF($BL59="","Yes","Blocked"))</f>
      </c>
      <c r="BP59">
        <f>IF($BO59="","",IFERROR(VLOOKUP($BO59,'01_Warehouse_Ledger'!$A:$N,4,FALSE),""))</f>
      </c>
      <c r="BQ59">
        <f>IF($BO59="","",IFERROR(VLOOKUP($BO59,'01_Warehouse_Ledger'!$A:$N,5,FALSE),""))</f>
      </c>
      <c r="BR59">
        <f>IF($BO59="","",IFERROR(VLOOKUP($BO59,'01_Warehouse_Ledger'!$A:$N,13,FALSE),""))</f>
      </c>
    </row>
    <row r="60">
      <c r="A60" t="s">
        <v>1415</v>
      </c>
      <c r="B60" t="s">
        <v>1657</v>
      </c>
      <c r="C60" t="s">
        <v>1657</v>
      </c>
      <c r="D60">
        <f>IF($B60&lt;&gt;"Yes","",IF($C60="No","Yes",IF($C60="Yes","No","")))</f>
      </c>
      <c r="E60">
        <f>IF($A60="","",IF($A60="Neuron",IF(OR(AND($R60&lt;&gt;"",LOWER(TRIM($R60))&lt;&gt;"n/a",COUNTIF($S$2:$S$532,$R60)&gt;1),AND($T60&lt;&gt;"",LOWER(TRIM($T60))&lt;&gt;"n/a",COUNTIF($T$2:$T$532,$T60)&gt;1),AND($W60&lt;&gt;"",LOWER(TRIM($W60))&lt;&gt;"n/a",COUNTIF($W$2:$W$532,$W60)&gt;1)),"Yes","No"),IF($A60="Cybernet",IF(OR(AND($Y60&lt;&gt;"",LOWER(TRIM($Y60))&lt;&gt;"n/a",COUNTIF($Y$2:$Y$532,$Y60)&gt;1),AND($Z60&lt;&gt;"",LOWER(TRIM($Z60))&lt;&gt;"n/a",COUNTIF($Z$2:$Z$532,$Z60)&gt;1)),"Yes","No"),IF(AND($AL60&lt;&gt;"",LOWER(TRIM($AL60))&lt;&gt;"n/a",COUNTIF($AL$2:$AL$532,$AL60)&gt;1),"Yes","No"))))</f>
      </c>
      <c r="F60">
        <f>IF($B60&lt;&gt;"Yes","",
IF($A60="Neuron",
IF(OR(
AND($R60&lt;&gt;"",LOWER(TRIM($R60))&lt;&gt;"n/a",COUNTIFS($B$2:$B$532,"Yes",$A$2:$A$532,"Neuron",$S$2:$S$532,$R60)&gt;1),
AND($T60&lt;&gt;"",LOWER(TRIM($T60))&lt;&gt;"n/a",COUNTIFS($B$2:$B$532,"Yes",$A$2:$A$532,"Neuron",$T$2:$T$532,$T60)&gt;1),
AND($W60&lt;&gt;"",LOWER(TRIM($W60))&lt;&gt;"n/a",COUNTIFS($B$2:$B$532,"Yes",$A$2:$A$532,"Neuron",$W$2:$W$532,$W60)&gt;1)
),"Yes","No"),
IF($A60="Cybernet",
IF(OR(
AND($Y60&lt;&gt;"",LOWER(TRIM($Y60))&lt;&gt;"n/a",COUNTIFS($B$2:$B$532,"Yes",$A$2:$A$532,"Cybernet",$Y$2:$Y$532,$Y60)&gt;1),
AND($Z60&lt;&gt;"",LOWER(TRIM($Z60))&lt;&gt;"n/a",COUNTIFS($B$2:$B$532,"Yes",$A$2:$A$532,"Cybernet",$Z$2:$Z$532,$Z60)&gt;1)
),"Yes","No"),
IF(AND($AL60&lt;&gt;"",LOWER(TRIM($AL60))&lt;&gt;"n/a"),
IF(COUNTIFS($B$2:$B$532,"Yes",$A$2:$A$532,$A60,$AL$2:$AL$532,$AL60)&gt;1,"Yes","No"),
"No")
)
)
)</f>
      </c>
      <c r="G60" t="s">
        <v>1880</v>
      </c>
      <c r="H60" t="s">
        <v>2197</v>
      </c>
      <c r="I60" t="s">
        <v>1831</v>
      </c>
      <c r="J60" t="s">
        <v>1727</v>
      </c>
      <c r="K60" t="s">
        <v>1657</v>
      </c>
      <c r="L60" t="s">
        <v>1657</v>
      </c>
      <c r="R60" t="s">
        <v>2076</v>
      </c>
      <c r="Y60" t="s">
        <v>2207</v>
      </c>
      <c r="Z60" t="s">
        <v>1787</v>
      </c>
      <c r="BD60" t="s">
        <v>1958</v>
      </c>
      <c r="BI60" t="s">
        <v>1630</v>
      </c>
      <c r="BL60">
        <f>IF($T60="","",IF((IF(AND($AW60&lt;&gt;"Yes",$AW60&lt;&gt;"N/A"),"Power Cable, ","")&amp;IF(AND($AX60&lt;&gt;"Yes",$AX60&lt;&gt;"N/A"),"Battery, ","")&amp;IF(AND($BE60&lt;&gt;"Yes",$BE60&lt;&gt;"N/A"),"Firmware Download, ","")&amp;IF(AND(OR($BE60="Yes",$BE60="N/A"),$BF60&lt;&gt;"Yes",$BF60&lt;&gt;"N/A"),"Firmware Install, ","")&amp;IF(AND($BJ60&lt;&gt;"Yes",$BJ60&lt;&gt;"N/A"),"Device ID, ","")&amp;IF(AND($BK60&lt;&gt;"Yes",$BK60&lt;&gt;"N/A"),"Epic Beans Relay, ",""))="","",LEFT(IF(AND($AW60&lt;&gt;"Yes",$AW60&lt;&gt;"N/A"),"Power Cable, ","")&amp;IF(AND($AX60&lt;&gt;"Yes",$AX60&lt;&gt;"N/A"),"Battery, ","")&amp;IF(AND($BE60&lt;&gt;"Yes",$BE60&lt;&gt;"N/A"),"Firmware Download, ","")&amp;IF(AND(OR($BE60="Yes",$BE60="N/A"),$BF60&lt;&gt;"Yes",$BF60&lt;&gt;"N/A"),"Firmware Install, ","")&amp;IF(AND($BJ60&lt;&gt;"Yes",$BJ60&lt;&gt;"N/A"),"Device ID, ","")&amp;IF(AND($BK60&lt;&gt;"Yes",$BK60&lt;&gt;"N/A"),"Epic Beans Relay, ",""),LEN(IF(AND($AW60&lt;&gt;"Yes",$AW60&lt;&gt;"N/A"),"Power Cable, ","")&amp;IF(AND($AX60&lt;&gt;"Yes",$AX60&lt;&gt;"N/A"),"Battery, ","")&amp;IF(AND($BE60&lt;&gt;"Yes",$BE60&lt;&gt;"N/A"),"Firmware Download, ","")&amp;IF(AND(OR($BE60="Yes",$BE60="N/A"),$BF60&lt;&gt;"Yes",$BF60&lt;&gt;"N/A"),"Firmware Install, ","")&amp;IF(AND($BJ60&lt;&gt;"Yes",$BJ60&lt;&gt;"N/A"),"Device ID, ","")&amp;IF(AND($BK60&lt;&gt;"Yes",$BK60&lt;&gt;"N/A"),"Epic Beans Relay, ",""))-2)))</f>
      </c>
      <c r="BM60">
        <f>IF($T60="","",IF($BL60="","Yes","Blocked"))</f>
      </c>
      <c r="BP60">
        <f>IF($BO60="","",IFERROR(VLOOKUP($BO60,'01_Warehouse_Ledger'!$A:$N,4,FALSE),""))</f>
      </c>
      <c r="BQ60">
        <f>IF($BO60="","",IFERROR(VLOOKUP($BO60,'01_Warehouse_Ledger'!$A:$N,5,FALSE),""))</f>
      </c>
      <c r="BR60">
        <f>IF($BO60="","",IFERROR(VLOOKUP($BO60,'01_Warehouse_Ledger'!$A:$N,13,FALSE),""))</f>
      </c>
    </row>
    <row r="61">
      <c r="A61" t="s">
        <v>1415</v>
      </c>
      <c r="B61" t="s">
        <v>1657</v>
      </c>
      <c r="C61" t="s">
        <v>1657</v>
      </c>
      <c r="D61">
        <f>IF($B61&lt;&gt;"Yes","",IF($C61="No","Yes",IF($C61="Yes","No","")))</f>
      </c>
      <c r="E61">
        <f>IF($A61="","",IF($A61="Neuron",IF(OR(AND($R61&lt;&gt;"",LOWER(TRIM($R61))&lt;&gt;"n/a",COUNTIF($S$2:$S$532,$R61)&gt;1),AND($T61&lt;&gt;"",LOWER(TRIM($T61))&lt;&gt;"n/a",COUNTIF($T$2:$T$532,$T61)&gt;1),AND($W61&lt;&gt;"",LOWER(TRIM($W61))&lt;&gt;"n/a",COUNTIF($W$2:$W$532,$W61)&gt;1)),"Yes","No"),IF($A61="Cybernet",IF(OR(AND($Y61&lt;&gt;"",LOWER(TRIM($Y61))&lt;&gt;"n/a",COUNTIF($Y$2:$Y$532,$Y61)&gt;1),AND($Z61&lt;&gt;"",LOWER(TRIM($Z61))&lt;&gt;"n/a",COUNTIF($Z$2:$Z$532,$Z61)&gt;1)),"Yes","No"),IF(AND($AL61&lt;&gt;"",LOWER(TRIM($AL61))&lt;&gt;"n/a",COUNTIF($AL$2:$AL$532,$AL61)&gt;1),"Yes","No"))))</f>
      </c>
      <c r="F61">
        <f>IF($B61&lt;&gt;"Yes","",
IF($A61="Neuron",
IF(OR(
AND($R61&lt;&gt;"",LOWER(TRIM($R61))&lt;&gt;"n/a",COUNTIFS($B$2:$B$532,"Yes",$A$2:$A$532,"Neuron",$S$2:$S$532,$R61)&gt;1),
AND($T61&lt;&gt;"",LOWER(TRIM($T61))&lt;&gt;"n/a",COUNTIFS($B$2:$B$532,"Yes",$A$2:$A$532,"Neuron",$T$2:$T$532,$T61)&gt;1),
AND($W61&lt;&gt;"",LOWER(TRIM($W61))&lt;&gt;"n/a",COUNTIFS($B$2:$B$532,"Yes",$A$2:$A$532,"Neuron",$W$2:$W$532,$W61)&gt;1)
),"Yes","No"),
IF($A61="Cybernet",
IF(OR(
AND($Y61&lt;&gt;"",LOWER(TRIM($Y61))&lt;&gt;"n/a",COUNTIFS($B$2:$B$532,"Yes",$A$2:$A$532,"Cybernet",$Y$2:$Y$532,$Y61)&gt;1),
AND($Z61&lt;&gt;"",LOWER(TRIM($Z61))&lt;&gt;"n/a",COUNTIFS($B$2:$B$532,"Yes",$A$2:$A$532,"Cybernet",$Z$2:$Z$532,$Z61)&gt;1)
),"Yes","No"),
IF(AND($AL61&lt;&gt;"",LOWER(TRIM($AL61))&lt;&gt;"n/a"),
IF(COUNTIFS($B$2:$B$532,"Yes",$A$2:$A$532,$A61,$AL$2:$AL$532,$AL61)&gt;1,"Yes","No"),
"No")
)
)
)</f>
      </c>
      <c r="G61" t="s">
        <v>1880</v>
      </c>
      <c r="H61" t="s">
        <v>2197</v>
      </c>
      <c r="I61" t="s">
        <v>1831</v>
      </c>
      <c r="J61" t="s">
        <v>1727</v>
      </c>
      <c r="K61" t="s">
        <v>1657</v>
      </c>
      <c r="L61" t="s">
        <v>1657</v>
      </c>
      <c r="R61" t="s">
        <v>1625</v>
      </c>
      <c r="Y61" t="s">
        <v>1934</v>
      </c>
      <c r="Z61" t="s">
        <v>1614</v>
      </c>
      <c r="BD61" t="s">
        <v>1958</v>
      </c>
      <c r="BI61" t="s">
        <v>1630</v>
      </c>
      <c r="BL61">
        <f>IF($T61="","",IF((IF(AND($AW61&lt;&gt;"Yes",$AW61&lt;&gt;"N/A"),"Power Cable, ","")&amp;IF(AND($AX61&lt;&gt;"Yes",$AX61&lt;&gt;"N/A"),"Battery, ","")&amp;IF(AND($BE61&lt;&gt;"Yes",$BE61&lt;&gt;"N/A"),"Firmware Download, ","")&amp;IF(AND(OR($BE61="Yes",$BE61="N/A"),$BF61&lt;&gt;"Yes",$BF61&lt;&gt;"N/A"),"Firmware Install, ","")&amp;IF(AND($BJ61&lt;&gt;"Yes",$BJ61&lt;&gt;"N/A"),"Device ID, ","")&amp;IF(AND($BK61&lt;&gt;"Yes",$BK61&lt;&gt;"N/A"),"Epic Beans Relay, ",""))="","",LEFT(IF(AND($AW61&lt;&gt;"Yes",$AW61&lt;&gt;"N/A"),"Power Cable, ","")&amp;IF(AND($AX61&lt;&gt;"Yes",$AX61&lt;&gt;"N/A"),"Battery, ","")&amp;IF(AND($BE61&lt;&gt;"Yes",$BE61&lt;&gt;"N/A"),"Firmware Download, ","")&amp;IF(AND(OR($BE61="Yes",$BE61="N/A"),$BF61&lt;&gt;"Yes",$BF61&lt;&gt;"N/A"),"Firmware Install, ","")&amp;IF(AND($BJ61&lt;&gt;"Yes",$BJ61&lt;&gt;"N/A"),"Device ID, ","")&amp;IF(AND($BK61&lt;&gt;"Yes",$BK61&lt;&gt;"N/A"),"Epic Beans Relay, ",""),LEN(IF(AND($AW61&lt;&gt;"Yes",$AW61&lt;&gt;"N/A"),"Power Cable, ","")&amp;IF(AND($AX61&lt;&gt;"Yes",$AX61&lt;&gt;"N/A"),"Battery, ","")&amp;IF(AND($BE61&lt;&gt;"Yes",$BE61&lt;&gt;"N/A"),"Firmware Download, ","")&amp;IF(AND(OR($BE61="Yes",$BE61="N/A"),$BF61&lt;&gt;"Yes",$BF61&lt;&gt;"N/A"),"Firmware Install, ","")&amp;IF(AND($BJ61&lt;&gt;"Yes",$BJ61&lt;&gt;"N/A"),"Device ID, ","")&amp;IF(AND($BK61&lt;&gt;"Yes",$BK61&lt;&gt;"N/A"),"Epic Beans Relay, ",""))-2)))</f>
      </c>
      <c r="BM61">
        <f>IF($T61="","",IF($BL61="","Yes","Blocked"))</f>
      </c>
      <c r="BP61">
        <f>IF($BO61="","",IFERROR(VLOOKUP($BO61,'01_Warehouse_Ledger'!$A:$N,4,FALSE),""))</f>
      </c>
      <c r="BQ61">
        <f>IF($BO61="","",IFERROR(VLOOKUP($BO61,'01_Warehouse_Ledger'!$A:$N,5,FALSE),""))</f>
      </c>
      <c r="BR61">
        <f>IF($BO61="","",IFERROR(VLOOKUP($BO61,'01_Warehouse_Ledger'!$A:$N,13,FALSE),""))</f>
      </c>
    </row>
    <row r="62">
      <c r="A62" t="s">
        <v>1415</v>
      </c>
      <c r="B62" t="s">
        <v>1657</v>
      </c>
      <c r="C62" t="s">
        <v>1657</v>
      </c>
      <c r="D62">
        <f>IF($B62&lt;&gt;"Yes","",IF($C62="No","Yes",IF($C62="Yes","No","")))</f>
      </c>
      <c r="E62">
        <f>IF($A62="","",IF($A62="Neuron",IF(OR(AND($R62&lt;&gt;"",LOWER(TRIM($R62))&lt;&gt;"n/a",COUNTIF($S$2:$S$532,$R62)&gt;1),AND($T62&lt;&gt;"",LOWER(TRIM($T62))&lt;&gt;"n/a",COUNTIF($T$2:$T$532,$T62)&gt;1),AND($W62&lt;&gt;"",LOWER(TRIM($W62))&lt;&gt;"n/a",COUNTIF($W$2:$W$532,$W62)&gt;1)),"Yes","No"),IF($A62="Cybernet",IF(OR(AND($Y62&lt;&gt;"",LOWER(TRIM($Y62))&lt;&gt;"n/a",COUNTIF($Y$2:$Y$532,$Y62)&gt;1),AND($Z62&lt;&gt;"",LOWER(TRIM($Z62))&lt;&gt;"n/a",COUNTIF($Z$2:$Z$532,$Z62)&gt;1)),"Yes","No"),IF(AND($AL62&lt;&gt;"",LOWER(TRIM($AL62))&lt;&gt;"n/a",COUNTIF($AL$2:$AL$532,$AL62)&gt;1),"Yes","No"))))</f>
      </c>
      <c r="F62">
        <f>IF($B62&lt;&gt;"Yes","",
IF($A62="Neuron",
IF(OR(
AND($R62&lt;&gt;"",LOWER(TRIM($R62))&lt;&gt;"n/a",COUNTIFS($B$2:$B$532,"Yes",$A$2:$A$532,"Neuron",$S$2:$S$532,$R62)&gt;1),
AND($T62&lt;&gt;"",LOWER(TRIM($T62))&lt;&gt;"n/a",COUNTIFS($B$2:$B$532,"Yes",$A$2:$A$532,"Neuron",$T$2:$T$532,$T62)&gt;1),
AND($W62&lt;&gt;"",LOWER(TRIM($W62))&lt;&gt;"n/a",COUNTIFS($B$2:$B$532,"Yes",$A$2:$A$532,"Neuron",$W$2:$W$532,$W62)&gt;1)
),"Yes","No"),
IF($A62="Cybernet",
IF(OR(
AND($Y62&lt;&gt;"",LOWER(TRIM($Y62))&lt;&gt;"n/a",COUNTIFS($B$2:$B$532,"Yes",$A$2:$A$532,"Cybernet",$Y$2:$Y$532,$Y62)&gt;1),
AND($Z62&lt;&gt;"",LOWER(TRIM($Z62))&lt;&gt;"n/a",COUNTIFS($B$2:$B$532,"Yes",$A$2:$A$532,"Cybernet",$Z$2:$Z$532,$Z62)&gt;1)
),"Yes","No"),
IF(AND($AL62&lt;&gt;"",LOWER(TRIM($AL62))&lt;&gt;"n/a"),
IF(COUNTIFS($B$2:$B$532,"Yes",$A$2:$A$532,$A62,$AL$2:$AL$532,$AL62)&gt;1,"Yes","No"),
"No")
)
)
)</f>
      </c>
      <c r="G62" t="s">
        <v>1880</v>
      </c>
      <c r="H62" t="s">
        <v>2197</v>
      </c>
      <c r="I62" t="s">
        <v>1831</v>
      </c>
      <c r="J62" t="s">
        <v>1727</v>
      </c>
      <c r="K62" t="s">
        <v>1657</v>
      </c>
      <c r="L62" t="s">
        <v>1657</v>
      </c>
      <c r="R62" t="s">
        <v>1852</v>
      </c>
      <c r="Y62" t="s">
        <v>1854</v>
      </c>
      <c r="Z62" t="s">
        <v>2370</v>
      </c>
      <c r="BD62" t="s">
        <v>1958</v>
      </c>
      <c r="BI62" t="s">
        <v>1630</v>
      </c>
      <c r="BL62">
        <f>IF($T62="","",IF((IF(AND($AW62&lt;&gt;"Yes",$AW62&lt;&gt;"N/A"),"Power Cable, ","")&amp;IF(AND($AX62&lt;&gt;"Yes",$AX62&lt;&gt;"N/A"),"Battery, ","")&amp;IF(AND($BE62&lt;&gt;"Yes",$BE62&lt;&gt;"N/A"),"Firmware Download, ","")&amp;IF(AND(OR($BE62="Yes",$BE62="N/A"),$BF62&lt;&gt;"Yes",$BF62&lt;&gt;"N/A"),"Firmware Install, ","")&amp;IF(AND($BJ62&lt;&gt;"Yes",$BJ62&lt;&gt;"N/A"),"Device ID, ","")&amp;IF(AND($BK62&lt;&gt;"Yes",$BK62&lt;&gt;"N/A"),"Epic Beans Relay, ",""))="","",LEFT(IF(AND($AW62&lt;&gt;"Yes",$AW62&lt;&gt;"N/A"),"Power Cable, ","")&amp;IF(AND($AX62&lt;&gt;"Yes",$AX62&lt;&gt;"N/A"),"Battery, ","")&amp;IF(AND($BE62&lt;&gt;"Yes",$BE62&lt;&gt;"N/A"),"Firmware Download, ","")&amp;IF(AND(OR($BE62="Yes",$BE62="N/A"),$BF62&lt;&gt;"Yes",$BF62&lt;&gt;"N/A"),"Firmware Install, ","")&amp;IF(AND($BJ62&lt;&gt;"Yes",$BJ62&lt;&gt;"N/A"),"Device ID, ","")&amp;IF(AND($BK62&lt;&gt;"Yes",$BK62&lt;&gt;"N/A"),"Epic Beans Relay, ",""),LEN(IF(AND($AW62&lt;&gt;"Yes",$AW62&lt;&gt;"N/A"),"Power Cable, ","")&amp;IF(AND($AX62&lt;&gt;"Yes",$AX62&lt;&gt;"N/A"),"Battery, ","")&amp;IF(AND($BE62&lt;&gt;"Yes",$BE62&lt;&gt;"N/A"),"Firmware Download, ","")&amp;IF(AND(OR($BE62="Yes",$BE62="N/A"),$BF62&lt;&gt;"Yes",$BF62&lt;&gt;"N/A"),"Firmware Install, ","")&amp;IF(AND($BJ62&lt;&gt;"Yes",$BJ62&lt;&gt;"N/A"),"Device ID, ","")&amp;IF(AND($BK62&lt;&gt;"Yes",$BK62&lt;&gt;"N/A"),"Epic Beans Relay, ",""))-2)))</f>
      </c>
      <c r="BM62">
        <f>IF($T62="","",IF($BL62="","Yes","Blocked"))</f>
      </c>
      <c r="BP62">
        <f>IF($BO62="","",IFERROR(VLOOKUP($BO62,'01_Warehouse_Ledger'!$A:$N,4,FALSE),""))</f>
      </c>
      <c r="BQ62">
        <f>IF($BO62="","",IFERROR(VLOOKUP($BO62,'01_Warehouse_Ledger'!$A:$N,5,FALSE),""))</f>
      </c>
      <c r="BR62">
        <f>IF($BO62="","",IFERROR(VLOOKUP($BO62,'01_Warehouse_Ledger'!$A:$N,13,FALSE),""))</f>
      </c>
    </row>
    <row r="63">
      <c r="A63" t="s">
        <v>1415</v>
      </c>
      <c r="B63" t="s">
        <v>1657</v>
      </c>
      <c r="C63" t="s">
        <v>1657</v>
      </c>
      <c r="D63">
        <f>IF($B63&lt;&gt;"Yes","",IF($C63="No","Yes",IF($C63="Yes","No","")))</f>
      </c>
      <c r="E63">
        <f>IF($A63="","",IF($A63="Neuron",IF(OR(AND($R63&lt;&gt;"",LOWER(TRIM($R63))&lt;&gt;"n/a",COUNTIF($S$2:$S$532,$R63)&gt;1),AND($T63&lt;&gt;"",LOWER(TRIM($T63))&lt;&gt;"n/a",COUNTIF($T$2:$T$532,$T63)&gt;1),AND($W63&lt;&gt;"",LOWER(TRIM($W63))&lt;&gt;"n/a",COUNTIF($W$2:$W$532,$W63)&gt;1)),"Yes","No"),IF($A63="Cybernet",IF(OR(AND($Y63&lt;&gt;"",LOWER(TRIM($Y63))&lt;&gt;"n/a",COUNTIF($Y$2:$Y$532,$Y63)&gt;1),AND($Z63&lt;&gt;"",LOWER(TRIM($Z63))&lt;&gt;"n/a",COUNTIF($Z$2:$Z$532,$Z63)&gt;1)),"Yes","No"),IF(AND($AL63&lt;&gt;"",LOWER(TRIM($AL63))&lt;&gt;"n/a",COUNTIF($AL$2:$AL$532,$AL63)&gt;1),"Yes","No"))))</f>
      </c>
      <c r="F63">
        <f>IF($B63&lt;&gt;"Yes","",
IF($A63="Neuron",
IF(OR(
AND($R63&lt;&gt;"",LOWER(TRIM($R63))&lt;&gt;"n/a",COUNTIFS($B$2:$B$532,"Yes",$A$2:$A$532,"Neuron",$S$2:$S$532,$R63)&gt;1),
AND($T63&lt;&gt;"",LOWER(TRIM($T63))&lt;&gt;"n/a",COUNTIFS($B$2:$B$532,"Yes",$A$2:$A$532,"Neuron",$T$2:$T$532,$T63)&gt;1),
AND($W63&lt;&gt;"",LOWER(TRIM($W63))&lt;&gt;"n/a",COUNTIFS($B$2:$B$532,"Yes",$A$2:$A$532,"Neuron",$W$2:$W$532,$W63)&gt;1)
),"Yes","No"),
IF($A63="Cybernet",
IF(OR(
AND($Y63&lt;&gt;"",LOWER(TRIM($Y63))&lt;&gt;"n/a",COUNTIFS($B$2:$B$532,"Yes",$A$2:$A$532,"Cybernet",$Y$2:$Y$532,$Y63)&gt;1),
AND($Z63&lt;&gt;"",LOWER(TRIM($Z63))&lt;&gt;"n/a",COUNTIFS($B$2:$B$532,"Yes",$A$2:$A$532,"Cybernet",$Z$2:$Z$532,$Z63)&gt;1)
),"Yes","No"),
IF(AND($AL63&lt;&gt;"",LOWER(TRIM($AL63))&lt;&gt;"n/a"),
IF(COUNTIFS($B$2:$B$532,"Yes",$A$2:$A$532,$A63,$AL$2:$AL$532,$AL63)&gt;1,"Yes","No"),
"No")
)
)
)</f>
      </c>
      <c r="G63" t="s">
        <v>1880</v>
      </c>
      <c r="H63" t="s">
        <v>2197</v>
      </c>
      <c r="I63" t="s">
        <v>1831</v>
      </c>
      <c r="J63" t="s">
        <v>1727</v>
      </c>
      <c r="K63" t="s">
        <v>1657</v>
      </c>
      <c r="L63" t="s">
        <v>1657</v>
      </c>
      <c r="R63" t="s">
        <v>2372</v>
      </c>
      <c r="Y63" t="s">
        <v>2060</v>
      </c>
      <c r="Z63" t="s">
        <v>2394</v>
      </c>
      <c r="BD63" t="s">
        <v>1958</v>
      </c>
      <c r="BI63" t="s">
        <v>1630</v>
      </c>
      <c r="BL63">
        <f>IF($T63="","",IF((IF(AND($AW63&lt;&gt;"Yes",$AW63&lt;&gt;"N/A"),"Power Cable, ","")&amp;IF(AND($AX63&lt;&gt;"Yes",$AX63&lt;&gt;"N/A"),"Battery, ","")&amp;IF(AND($BE63&lt;&gt;"Yes",$BE63&lt;&gt;"N/A"),"Firmware Download, ","")&amp;IF(AND(OR($BE63="Yes",$BE63="N/A"),$BF63&lt;&gt;"Yes",$BF63&lt;&gt;"N/A"),"Firmware Install, ","")&amp;IF(AND($BJ63&lt;&gt;"Yes",$BJ63&lt;&gt;"N/A"),"Device ID, ","")&amp;IF(AND($BK63&lt;&gt;"Yes",$BK63&lt;&gt;"N/A"),"Epic Beans Relay, ",""))="","",LEFT(IF(AND($AW63&lt;&gt;"Yes",$AW63&lt;&gt;"N/A"),"Power Cable, ","")&amp;IF(AND($AX63&lt;&gt;"Yes",$AX63&lt;&gt;"N/A"),"Battery, ","")&amp;IF(AND($BE63&lt;&gt;"Yes",$BE63&lt;&gt;"N/A"),"Firmware Download, ","")&amp;IF(AND(OR($BE63="Yes",$BE63="N/A"),$BF63&lt;&gt;"Yes",$BF63&lt;&gt;"N/A"),"Firmware Install, ","")&amp;IF(AND($BJ63&lt;&gt;"Yes",$BJ63&lt;&gt;"N/A"),"Device ID, ","")&amp;IF(AND($BK63&lt;&gt;"Yes",$BK63&lt;&gt;"N/A"),"Epic Beans Relay, ",""),LEN(IF(AND($AW63&lt;&gt;"Yes",$AW63&lt;&gt;"N/A"),"Power Cable, ","")&amp;IF(AND($AX63&lt;&gt;"Yes",$AX63&lt;&gt;"N/A"),"Battery, ","")&amp;IF(AND($BE63&lt;&gt;"Yes",$BE63&lt;&gt;"N/A"),"Firmware Download, ","")&amp;IF(AND(OR($BE63="Yes",$BE63="N/A"),$BF63&lt;&gt;"Yes",$BF63&lt;&gt;"N/A"),"Firmware Install, ","")&amp;IF(AND($BJ63&lt;&gt;"Yes",$BJ63&lt;&gt;"N/A"),"Device ID, ","")&amp;IF(AND($BK63&lt;&gt;"Yes",$BK63&lt;&gt;"N/A"),"Epic Beans Relay, ",""))-2)))</f>
      </c>
      <c r="BM63">
        <f>IF($T63="","",IF($BL63="","Yes","Blocked"))</f>
      </c>
      <c r="BP63">
        <f>IF($BO63="","",IFERROR(VLOOKUP($BO63,'01_Warehouse_Ledger'!$A:$N,4,FALSE),""))</f>
      </c>
      <c r="BQ63">
        <f>IF($BO63="","",IFERROR(VLOOKUP($BO63,'01_Warehouse_Ledger'!$A:$N,5,FALSE),""))</f>
      </c>
      <c r="BR63">
        <f>IF($BO63="","",IFERROR(VLOOKUP($BO63,'01_Warehouse_Ledger'!$A:$N,13,FALSE),""))</f>
      </c>
    </row>
    <row r="64">
      <c r="A64" t="s">
        <v>1415</v>
      </c>
      <c r="B64" t="s">
        <v>1657</v>
      </c>
      <c r="C64" t="s">
        <v>1657</v>
      </c>
      <c r="D64">
        <f>IF($B64&lt;&gt;"Yes","",IF($C64="No","Yes",IF($C64="Yes","No","")))</f>
      </c>
      <c r="E64">
        <f>IF($A64="","",IF($A64="Neuron",IF(OR(AND($R64&lt;&gt;"",LOWER(TRIM($R64))&lt;&gt;"n/a",COUNTIF($S$2:$S$532,$R64)&gt;1),AND($T64&lt;&gt;"",LOWER(TRIM($T64))&lt;&gt;"n/a",COUNTIF($T$2:$T$532,$T64)&gt;1),AND($W64&lt;&gt;"",LOWER(TRIM($W64))&lt;&gt;"n/a",COUNTIF($W$2:$W$532,$W64)&gt;1)),"Yes","No"),IF($A64="Cybernet",IF(OR(AND($Y64&lt;&gt;"",LOWER(TRIM($Y64))&lt;&gt;"n/a",COUNTIF($Y$2:$Y$532,$Y64)&gt;1),AND($Z64&lt;&gt;"",LOWER(TRIM($Z64))&lt;&gt;"n/a",COUNTIF($Z$2:$Z$532,$Z64)&gt;1)),"Yes","No"),IF(AND($AL64&lt;&gt;"",LOWER(TRIM($AL64))&lt;&gt;"n/a",COUNTIF($AL$2:$AL$532,$AL64)&gt;1),"Yes","No"))))</f>
      </c>
      <c r="F64">
        <f>IF($B64&lt;&gt;"Yes","",
IF($A64="Neuron",
IF(OR(
AND($R64&lt;&gt;"",LOWER(TRIM($R64))&lt;&gt;"n/a",COUNTIFS($B$2:$B$532,"Yes",$A$2:$A$532,"Neuron",$S$2:$S$532,$R64)&gt;1),
AND($T64&lt;&gt;"",LOWER(TRIM($T64))&lt;&gt;"n/a",COUNTIFS($B$2:$B$532,"Yes",$A$2:$A$532,"Neuron",$T$2:$T$532,$T64)&gt;1),
AND($W64&lt;&gt;"",LOWER(TRIM($W64))&lt;&gt;"n/a",COUNTIFS($B$2:$B$532,"Yes",$A$2:$A$532,"Neuron",$W$2:$W$532,$W64)&gt;1)
),"Yes","No"),
IF($A64="Cybernet",
IF(OR(
AND($Y64&lt;&gt;"",LOWER(TRIM($Y64))&lt;&gt;"n/a",COUNTIFS($B$2:$B$532,"Yes",$A$2:$A$532,"Cybernet",$Y$2:$Y$532,$Y64)&gt;1),
AND($Z64&lt;&gt;"",LOWER(TRIM($Z64))&lt;&gt;"n/a",COUNTIFS($B$2:$B$532,"Yes",$A$2:$A$532,"Cybernet",$Z$2:$Z$532,$Z64)&gt;1)
),"Yes","No"),
IF(AND($AL64&lt;&gt;"",LOWER(TRIM($AL64))&lt;&gt;"n/a"),
IF(COUNTIFS($B$2:$B$532,"Yes",$A$2:$A$532,$A64,$AL$2:$AL$532,$AL64)&gt;1,"Yes","No"),
"No")
)
)
)</f>
      </c>
      <c r="G64" t="s">
        <v>1880</v>
      </c>
      <c r="H64" t="s">
        <v>2197</v>
      </c>
      <c r="I64" t="s">
        <v>1831</v>
      </c>
      <c r="J64" t="s">
        <v>1727</v>
      </c>
      <c r="K64" t="s">
        <v>1657</v>
      </c>
      <c r="L64" t="s">
        <v>1657</v>
      </c>
      <c r="R64" t="s">
        <v>2007</v>
      </c>
      <c r="Y64" t="s">
        <v>2213</v>
      </c>
      <c r="Z64" t="s">
        <v>2049</v>
      </c>
      <c r="BD64" t="s">
        <v>1958</v>
      </c>
      <c r="BI64" t="s">
        <v>1630</v>
      </c>
      <c r="BL64">
        <f>IF($T64="","",IF((IF(AND($AW64&lt;&gt;"Yes",$AW64&lt;&gt;"N/A"),"Power Cable, ","")&amp;IF(AND($AX64&lt;&gt;"Yes",$AX64&lt;&gt;"N/A"),"Battery, ","")&amp;IF(AND($BE64&lt;&gt;"Yes",$BE64&lt;&gt;"N/A"),"Firmware Download, ","")&amp;IF(AND(OR($BE64="Yes",$BE64="N/A"),$BF64&lt;&gt;"Yes",$BF64&lt;&gt;"N/A"),"Firmware Install, ","")&amp;IF(AND($BJ64&lt;&gt;"Yes",$BJ64&lt;&gt;"N/A"),"Device ID, ","")&amp;IF(AND($BK64&lt;&gt;"Yes",$BK64&lt;&gt;"N/A"),"Epic Beans Relay, ",""))="","",LEFT(IF(AND($AW64&lt;&gt;"Yes",$AW64&lt;&gt;"N/A"),"Power Cable, ","")&amp;IF(AND($AX64&lt;&gt;"Yes",$AX64&lt;&gt;"N/A"),"Battery, ","")&amp;IF(AND($BE64&lt;&gt;"Yes",$BE64&lt;&gt;"N/A"),"Firmware Download, ","")&amp;IF(AND(OR($BE64="Yes",$BE64="N/A"),$BF64&lt;&gt;"Yes",$BF64&lt;&gt;"N/A"),"Firmware Install, ","")&amp;IF(AND($BJ64&lt;&gt;"Yes",$BJ64&lt;&gt;"N/A"),"Device ID, ","")&amp;IF(AND($BK64&lt;&gt;"Yes",$BK64&lt;&gt;"N/A"),"Epic Beans Relay, ",""),LEN(IF(AND($AW64&lt;&gt;"Yes",$AW64&lt;&gt;"N/A"),"Power Cable, ","")&amp;IF(AND($AX64&lt;&gt;"Yes",$AX64&lt;&gt;"N/A"),"Battery, ","")&amp;IF(AND($BE64&lt;&gt;"Yes",$BE64&lt;&gt;"N/A"),"Firmware Download, ","")&amp;IF(AND(OR($BE64="Yes",$BE64="N/A"),$BF64&lt;&gt;"Yes",$BF64&lt;&gt;"N/A"),"Firmware Install, ","")&amp;IF(AND($BJ64&lt;&gt;"Yes",$BJ64&lt;&gt;"N/A"),"Device ID, ","")&amp;IF(AND($BK64&lt;&gt;"Yes",$BK64&lt;&gt;"N/A"),"Epic Beans Relay, ",""))-2)))</f>
      </c>
      <c r="BM64">
        <f>IF($T64="","",IF($BL64="","Yes","Blocked"))</f>
      </c>
      <c r="BP64">
        <f>IF($BO64="","",IFERROR(VLOOKUP($BO64,'01_Warehouse_Ledger'!$A:$N,4,FALSE),""))</f>
      </c>
      <c r="BQ64">
        <f>IF($BO64="","",IFERROR(VLOOKUP($BO64,'01_Warehouse_Ledger'!$A:$N,5,FALSE),""))</f>
      </c>
      <c r="BR64">
        <f>IF($BO64="","",IFERROR(VLOOKUP($BO64,'01_Warehouse_Ledger'!$A:$N,13,FALSE),""))</f>
      </c>
    </row>
    <row r="65">
      <c r="A65" t="s">
        <v>1415</v>
      </c>
      <c r="B65" t="s">
        <v>1657</v>
      </c>
      <c r="C65" t="s">
        <v>1657</v>
      </c>
      <c r="D65">
        <f>IF($B65&lt;&gt;"Yes","",IF($C65="No","Yes",IF($C65="Yes","No","")))</f>
      </c>
      <c r="E65">
        <f>IF($A65="","",IF($A65="Neuron",IF(OR(AND($R65&lt;&gt;"",LOWER(TRIM($R65))&lt;&gt;"n/a",COUNTIF($S$2:$S$532,$R65)&gt;1),AND($T65&lt;&gt;"",LOWER(TRIM($T65))&lt;&gt;"n/a",COUNTIF($T$2:$T$532,$T65)&gt;1),AND($W65&lt;&gt;"",LOWER(TRIM($W65))&lt;&gt;"n/a",COUNTIF($W$2:$W$532,$W65)&gt;1)),"Yes","No"),IF($A65="Cybernet",IF(OR(AND($Y65&lt;&gt;"",LOWER(TRIM($Y65))&lt;&gt;"n/a",COUNTIF($Y$2:$Y$532,$Y65)&gt;1),AND($Z65&lt;&gt;"",LOWER(TRIM($Z65))&lt;&gt;"n/a",COUNTIF($Z$2:$Z$532,$Z65)&gt;1)),"Yes","No"),IF(AND($AL65&lt;&gt;"",LOWER(TRIM($AL65))&lt;&gt;"n/a",COUNTIF($AL$2:$AL$532,$AL65)&gt;1),"Yes","No"))))</f>
      </c>
      <c r="F65">
        <f>IF($B65&lt;&gt;"Yes","",
IF($A65="Neuron",
IF(OR(
AND($R65&lt;&gt;"",LOWER(TRIM($R65))&lt;&gt;"n/a",COUNTIFS($B$2:$B$532,"Yes",$A$2:$A$532,"Neuron",$S$2:$S$532,$R65)&gt;1),
AND($T65&lt;&gt;"",LOWER(TRIM($T65))&lt;&gt;"n/a",COUNTIFS($B$2:$B$532,"Yes",$A$2:$A$532,"Neuron",$T$2:$T$532,$T65)&gt;1),
AND($W65&lt;&gt;"",LOWER(TRIM($W65))&lt;&gt;"n/a",COUNTIFS($B$2:$B$532,"Yes",$A$2:$A$532,"Neuron",$W$2:$W$532,$W65)&gt;1)
),"Yes","No"),
IF($A65="Cybernet",
IF(OR(
AND($Y65&lt;&gt;"",LOWER(TRIM($Y65))&lt;&gt;"n/a",COUNTIFS($B$2:$B$532,"Yes",$A$2:$A$532,"Cybernet",$Y$2:$Y$532,$Y65)&gt;1),
AND($Z65&lt;&gt;"",LOWER(TRIM($Z65))&lt;&gt;"n/a",COUNTIFS($B$2:$B$532,"Yes",$A$2:$A$532,"Cybernet",$Z$2:$Z$532,$Z65)&gt;1)
),"Yes","No"),
IF(AND($AL65&lt;&gt;"",LOWER(TRIM($AL65))&lt;&gt;"n/a"),
IF(COUNTIFS($B$2:$B$532,"Yes",$A$2:$A$532,$A65,$AL$2:$AL$532,$AL65)&gt;1,"Yes","No"),
"No")
)
)
)</f>
      </c>
      <c r="G65" t="s">
        <v>1880</v>
      </c>
      <c r="H65" t="s">
        <v>2197</v>
      </c>
      <c r="I65" t="s">
        <v>1831</v>
      </c>
      <c r="J65" t="s">
        <v>1727</v>
      </c>
      <c r="K65" t="s">
        <v>1657</v>
      </c>
      <c r="L65" t="s">
        <v>1657</v>
      </c>
      <c r="R65" t="s">
        <v>1699</v>
      </c>
      <c r="Y65" t="s">
        <v>2353</v>
      </c>
      <c r="Z65" t="s">
        <v>2095</v>
      </c>
      <c r="BD65" t="s">
        <v>1958</v>
      </c>
      <c r="BI65" t="s">
        <v>1630</v>
      </c>
      <c r="BL65">
        <f>IF($T65="","",IF((IF(AND($AW65&lt;&gt;"Yes",$AW65&lt;&gt;"N/A"),"Power Cable, ","")&amp;IF(AND($AX65&lt;&gt;"Yes",$AX65&lt;&gt;"N/A"),"Battery, ","")&amp;IF(AND($BE65&lt;&gt;"Yes",$BE65&lt;&gt;"N/A"),"Firmware Download, ","")&amp;IF(AND(OR($BE65="Yes",$BE65="N/A"),$BF65&lt;&gt;"Yes",$BF65&lt;&gt;"N/A"),"Firmware Install, ","")&amp;IF(AND($BJ65&lt;&gt;"Yes",$BJ65&lt;&gt;"N/A"),"Device ID, ","")&amp;IF(AND($BK65&lt;&gt;"Yes",$BK65&lt;&gt;"N/A"),"Epic Beans Relay, ",""))="","",LEFT(IF(AND($AW65&lt;&gt;"Yes",$AW65&lt;&gt;"N/A"),"Power Cable, ","")&amp;IF(AND($AX65&lt;&gt;"Yes",$AX65&lt;&gt;"N/A"),"Battery, ","")&amp;IF(AND($BE65&lt;&gt;"Yes",$BE65&lt;&gt;"N/A"),"Firmware Download, ","")&amp;IF(AND(OR($BE65="Yes",$BE65="N/A"),$BF65&lt;&gt;"Yes",$BF65&lt;&gt;"N/A"),"Firmware Install, ","")&amp;IF(AND($BJ65&lt;&gt;"Yes",$BJ65&lt;&gt;"N/A"),"Device ID, ","")&amp;IF(AND($BK65&lt;&gt;"Yes",$BK65&lt;&gt;"N/A"),"Epic Beans Relay, ",""),LEN(IF(AND($AW65&lt;&gt;"Yes",$AW65&lt;&gt;"N/A"),"Power Cable, ","")&amp;IF(AND($AX65&lt;&gt;"Yes",$AX65&lt;&gt;"N/A"),"Battery, ","")&amp;IF(AND($BE65&lt;&gt;"Yes",$BE65&lt;&gt;"N/A"),"Firmware Download, ","")&amp;IF(AND(OR($BE65="Yes",$BE65="N/A"),$BF65&lt;&gt;"Yes",$BF65&lt;&gt;"N/A"),"Firmware Install, ","")&amp;IF(AND($BJ65&lt;&gt;"Yes",$BJ65&lt;&gt;"N/A"),"Device ID, ","")&amp;IF(AND($BK65&lt;&gt;"Yes",$BK65&lt;&gt;"N/A"),"Epic Beans Relay, ",""))-2)))</f>
      </c>
      <c r="BM65">
        <f>IF($T65="","",IF($BL65="","Yes","Blocked"))</f>
      </c>
      <c r="BP65">
        <f>IF($BO65="","",IFERROR(VLOOKUP($BO65,'01_Warehouse_Ledger'!$A:$N,4,FALSE),""))</f>
      </c>
      <c r="BQ65">
        <f>IF($BO65="","",IFERROR(VLOOKUP($BO65,'01_Warehouse_Ledger'!$A:$N,5,FALSE),""))</f>
      </c>
      <c r="BR65">
        <f>IF($BO65="","",IFERROR(VLOOKUP($BO65,'01_Warehouse_Ledger'!$A:$N,13,FALSE),""))</f>
      </c>
    </row>
    <row r="66">
      <c r="A66" t="s">
        <v>1415</v>
      </c>
      <c r="B66" t="s">
        <v>1657</v>
      </c>
      <c r="C66" t="s">
        <v>1657</v>
      </c>
      <c r="D66">
        <f>IF($B66&lt;&gt;"Yes","",IF($C66="No","Yes",IF($C66="Yes","No","")))</f>
      </c>
      <c r="E66">
        <f>IF($A66="","",IF($A66="Neuron",IF(OR(AND($R66&lt;&gt;"",LOWER(TRIM($R66))&lt;&gt;"n/a",COUNTIF($S$2:$S$532,$R66)&gt;1),AND($T66&lt;&gt;"",LOWER(TRIM($T66))&lt;&gt;"n/a",COUNTIF($T$2:$T$532,$T66)&gt;1),AND($W66&lt;&gt;"",LOWER(TRIM($W66))&lt;&gt;"n/a",COUNTIF($W$2:$W$532,$W66)&gt;1)),"Yes","No"),IF($A66="Cybernet",IF(OR(AND($Y66&lt;&gt;"",LOWER(TRIM($Y66))&lt;&gt;"n/a",COUNTIF($Y$2:$Y$532,$Y66)&gt;1),AND($Z66&lt;&gt;"",LOWER(TRIM($Z66))&lt;&gt;"n/a",COUNTIF($Z$2:$Z$532,$Z66)&gt;1)),"Yes","No"),IF(AND($AL66&lt;&gt;"",LOWER(TRIM($AL66))&lt;&gt;"n/a",COUNTIF($AL$2:$AL$532,$AL66)&gt;1),"Yes","No"))))</f>
      </c>
      <c r="F66">
        <f>IF($B66&lt;&gt;"Yes","",
IF($A66="Neuron",
IF(OR(
AND($R66&lt;&gt;"",LOWER(TRIM($R66))&lt;&gt;"n/a",COUNTIFS($B$2:$B$532,"Yes",$A$2:$A$532,"Neuron",$S$2:$S$532,$R66)&gt;1),
AND($T66&lt;&gt;"",LOWER(TRIM($T66))&lt;&gt;"n/a",COUNTIFS($B$2:$B$532,"Yes",$A$2:$A$532,"Neuron",$T$2:$T$532,$T66)&gt;1),
AND($W66&lt;&gt;"",LOWER(TRIM($W66))&lt;&gt;"n/a",COUNTIFS($B$2:$B$532,"Yes",$A$2:$A$532,"Neuron",$W$2:$W$532,$W66)&gt;1)
),"Yes","No"),
IF($A66="Cybernet",
IF(OR(
AND($Y66&lt;&gt;"",LOWER(TRIM($Y66))&lt;&gt;"n/a",COUNTIFS($B$2:$B$532,"Yes",$A$2:$A$532,"Cybernet",$Y$2:$Y$532,$Y66)&gt;1),
AND($Z66&lt;&gt;"",LOWER(TRIM($Z66))&lt;&gt;"n/a",COUNTIFS($B$2:$B$532,"Yes",$A$2:$A$532,"Cybernet",$Z$2:$Z$532,$Z66)&gt;1)
),"Yes","No"),
IF(AND($AL66&lt;&gt;"",LOWER(TRIM($AL66))&lt;&gt;"n/a"),
IF(COUNTIFS($B$2:$B$532,"Yes",$A$2:$A$532,$A66,$AL$2:$AL$532,$AL66)&gt;1,"Yes","No"),
"No")
)
)
)</f>
      </c>
      <c r="G66" t="s">
        <v>1880</v>
      </c>
      <c r="H66" t="s">
        <v>2197</v>
      </c>
      <c r="I66" t="s">
        <v>1831</v>
      </c>
      <c r="J66" t="s">
        <v>1727</v>
      </c>
      <c r="K66" t="s">
        <v>1657</v>
      </c>
      <c r="L66" t="s">
        <v>1657</v>
      </c>
      <c r="R66" t="s">
        <v>1645</v>
      </c>
      <c r="Y66" t="s">
        <v>1833</v>
      </c>
      <c r="Z66" t="s">
        <v>2349</v>
      </c>
      <c r="BI66" t="s">
        <v>1630</v>
      </c>
      <c r="BL66">
        <f>IF($T66="","",IF((IF(AND($AW66&lt;&gt;"Yes",$AW66&lt;&gt;"N/A"),"Power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</c>
      <c r="BM66">
        <f>IF($T66="","",IF($BL66="","Yes","Blocked"))</f>
      </c>
      <c r="BP66">
        <f>IF($BO66="","",IFERROR(VLOOKUP($BO66,'01_Warehouse_Ledger'!$A:$N,4,FALSE),""))</f>
      </c>
      <c r="BQ66">
        <f>IF($BO66="","",IFERROR(VLOOKUP($BO66,'01_Warehouse_Ledger'!$A:$N,5,FALSE),""))</f>
      </c>
      <c r="BR66">
        <f>IF($BO66="","",IFERROR(VLOOKUP($BO66,'01_Warehouse_Ledger'!$A:$N,13,FALSE),""))</f>
      </c>
    </row>
    <row r="67">
      <c r="A67" t="s">
        <v>1415</v>
      </c>
      <c r="B67" t="s">
        <v>1657</v>
      </c>
      <c r="C67" t="s">
        <v>1657</v>
      </c>
      <c r="D67">
        <f>IF($B67&lt;&gt;"Yes","",IF($C67="No","Yes",IF($C67="Yes","No","")))</f>
      </c>
      <c r="E67">
        <f>IF($A67="","",IF($A67="Neuron",IF(OR(AND($R67&lt;&gt;"",LOWER(TRIM($R67))&lt;&gt;"n/a",COUNTIF($S$2:$S$532,$R67)&gt;1),AND($T67&lt;&gt;"",LOWER(TRIM($T67))&lt;&gt;"n/a",COUNTIF($T$2:$T$532,$T67)&gt;1),AND($W67&lt;&gt;"",LOWER(TRIM($W67))&lt;&gt;"n/a",COUNTIF($W$2:$W$532,$W67)&gt;1)),"Yes","No"),IF($A67="Cybernet",IF(OR(AND($Y67&lt;&gt;"",LOWER(TRIM($Y67))&lt;&gt;"n/a",COUNTIF($Y$2:$Y$532,$Y67)&gt;1),AND($Z67&lt;&gt;"",LOWER(TRIM($Z67))&lt;&gt;"n/a",COUNTIF($Z$2:$Z$532,$Z67)&gt;1)),"Yes","No"),IF(AND($AL67&lt;&gt;"",LOWER(TRIM($AL67))&lt;&gt;"n/a",COUNTIF($AL$2:$AL$532,$AL67)&gt;1),"Yes","No"))))</f>
      </c>
      <c r="F67">
        <f>IF($B67&lt;&gt;"Yes","",
IF($A67="Neuron",
IF(OR(
AND($R67&lt;&gt;"",LOWER(TRIM($R67))&lt;&gt;"n/a",COUNTIFS($B$2:$B$532,"Yes",$A$2:$A$532,"Neuron",$S$2:$S$532,$R67)&gt;1),
AND($T67&lt;&gt;"",LOWER(TRIM($T67))&lt;&gt;"n/a",COUNTIFS($B$2:$B$532,"Yes",$A$2:$A$532,"Neuron",$T$2:$T$532,$T67)&gt;1),
AND($W67&lt;&gt;"",LOWER(TRIM($W67))&lt;&gt;"n/a",COUNTIFS($B$2:$B$532,"Yes",$A$2:$A$532,"Neuron",$W$2:$W$532,$W67)&gt;1)
),"Yes","No"),
IF($A67="Cybernet",
IF(OR(
AND($Y67&lt;&gt;"",LOWER(TRIM($Y67))&lt;&gt;"n/a",COUNTIFS($B$2:$B$532,"Yes",$A$2:$A$532,"Cybernet",$Y$2:$Y$532,$Y67)&gt;1),
AND($Z67&lt;&gt;"",LOWER(TRIM($Z67))&lt;&gt;"n/a",COUNTIFS($B$2:$B$532,"Yes",$A$2:$A$532,"Cybernet",$Z$2:$Z$532,$Z67)&gt;1)
),"Yes","No"),
IF(AND($AL67&lt;&gt;"",LOWER(TRIM($AL67))&lt;&gt;"n/a"),
IF(COUNTIFS($B$2:$B$532,"Yes",$A$2:$A$532,$A67,$AL$2:$AL$532,$AL67)&gt;1,"Yes","No"),
"No")
)
)
)</f>
      </c>
      <c r="G67" t="s">
        <v>1880</v>
      </c>
      <c r="H67" t="s">
        <v>2197</v>
      </c>
      <c r="I67" t="s">
        <v>1831</v>
      </c>
      <c r="J67" t="s">
        <v>1727</v>
      </c>
      <c r="K67" t="s">
        <v>1657</v>
      </c>
      <c r="L67" t="s">
        <v>1657</v>
      </c>
      <c r="R67" t="s">
        <v>2317</v>
      </c>
      <c r="Y67" t="s">
        <v>2079</v>
      </c>
      <c r="Z67" t="s">
        <v>2225</v>
      </c>
      <c r="BI67" t="s">
        <v>1630</v>
      </c>
      <c r="BL67">
        <f>IF($T67="","",IF((IF(AND($AW67&lt;&gt;"Yes",$AW67&lt;&gt;"N/A"),"Power Cable, ","")&amp;IF(AND($AX67&lt;&gt;"Yes",$AX67&lt;&gt;"N/A"),"Battery, ","")&amp;IF(AND($BE67&lt;&gt;"Yes",$BE67&lt;&gt;"N/A"),"Firmware Download, ","")&amp;IF(AND(OR($BE67="Yes",$BE67="N/A"),$BF67&lt;&gt;"Yes",$BF67&lt;&gt;"N/A"),"Firmware Install, ","")&amp;IF(AND($BJ67&lt;&gt;"Yes",$BJ67&lt;&gt;"N/A"),"Device ID, ","")&amp;IF(AND($BK67&lt;&gt;"Yes",$BK67&lt;&gt;"N/A"),"Epic Beans Relay, ",""))="","",LEFT(IF(AND($AW67&lt;&gt;"Yes",$AW67&lt;&gt;"N/A"),"Power Cable, ","")&amp;IF(AND($AX67&lt;&gt;"Yes",$AX67&lt;&gt;"N/A"),"Battery, ","")&amp;IF(AND($BE67&lt;&gt;"Yes",$BE67&lt;&gt;"N/A"),"Firmware Download, ","")&amp;IF(AND(OR($BE67="Yes",$BE67="N/A"),$BF67&lt;&gt;"Yes",$BF67&lt;&gt;"N/A"),"Firmware Install, ","")&amp;IF(AND($BJ67&lt;&gt;"Yes",$BJ67&lt;&gt;"N/A"),"Device ID, ","")&amp;IF(AND($BK67&lt;&gt;"Yes",$BK67&lt;&gt;"N/A"),"Epic Beans Relay, ",""),LEN(IF(AND($AW67&lt;&gt;"Yes",$AW67&lt;&gt;"N/A"),"Power Cable, ","")&amp;IF(AND($AX67&lt;&gt;"Yes",$AX67&lt;&gt;"N/A"),"Battery, ","")&amp;IF(AND($BE67&lt;&gt;"Yes",$BE67&lt;&gt;"N/A"),"Firmware Download, ","")&amp;IF(AND(OR($BE67="Yes",$BE67="N/A"),$BF67&lt;&gt;"Yes",$BF67&lt;&gt;"N/A"),"Firmware Install, ","")&amp;IF(AND($BJ67&lt;&gt;"Yes",$BJ67&lt;&gt;"N/A"),"Device ID, ","")&amp;IF(AND($BK67&lt;&gt;"Yes",$BK67&lt;&gt;"N/A"),"Epic Beans Relay, ",""))-2)))</f>
      </c>
      <c r="BM67">
        <f>IF($T67="","",IF($BL67="","Yes","Blocked"))</f>
      </c>
      <c r="BP67">
        <f>IF($BO67="","",IFERROR(VLOOKUP($BO67,'01_Warehouse_Ledger'!$A:$N,4,FALSE),""))</f>
      </c>
      <c r="BQ67">
        <f>IF($BO67="","",IFERROR(VLOOKUP($BO67,'01_Warehouse_Ledger'!$A:$N,5,FALSE),""))</f>
      </c>
      <c r="BR67">
        <f>IF($BO67="","",IFERROR(VLOOKUP($BO67,'01_Warehouse_Ledger'!$A:$N,13,FALSE),""))</f>
      </c>
    </row>
    <row r="68">
      <c r="A68" t="s">
        <v>1415</v>
      </c>
      <c r="B68" t="s">
        <v>1657</v>
      </c>
      <c r="C68" t="s">
        <v>1657</v>
      </c>
      <c r="D68">
        <f>IF($B68&lt;&gt;"Yes","",IF($C68="No","Yes",IF($C68="Yes","No","")))</f>
      </c>
      <c r="E68">
        <f>IF($A68="","",IF($A68="Neuron",IF(OR(AND($R68&lt;&gt;"",LOWER(TRIM($R68))&lt;&gt;"n/a",COUNTIF($S$2:$S$532,$R68)&gt;1),AND($T68&lt;&gt;"",LOWER(TRIM($T68))&lt;&gt;"n/a",COUNTIF($T$2:$T$532,$T68)&gt;1),AND($W68&lt;&gt;"",LOWER(TRIM($W68))&lt;&gt;"n/a",COUNTIF($W$2:$W$532,$W68)&gt;1)),"Yes","No"),IF($A68="Cybernet",IF(OR(AND($Y68&lt;&gt;"",LOWER(TRIM($Y68))&lt;&gt;"n/a",COUNTIF($Y$2:$Y$532,$Y68)&gt;1),AND($Z68&lt;&gt;"",LOWER(TRIM($Z68))&lt;&gt;"n/a",COUNTIF($Z$2:$Z$532,$Z68)&gt;1)),"Yes","No"),IF(AND($AL68&lt;&gt;"",LOWER(TRIM($AL68))&lt;&gt;"n/a",COUNTIF($AL$2:$AL$532,$AL68)&gt;1),"Yes","No"))))</f>
      </c>
      <c r="F68">
        <f>IF($B68&lt;&gt;"Yes","",
IF($A68="Neuron",
IF(OR(
AND($R68&lt;&gt;"",LOWER(TRIM($R68))&lt;&gt;"n/a",COUNTIFS($B$2:$B$532,"Yes",$A$2:$A$532,"Neuron",$S$2:$S$532,$R68)&gt;1),
AND($T68&lt;&gt;"",LOWER(TRIM($T68))&lt;&gt;"n/a",COUNTIFS($B$2:$B$532,"Yes",$A$2:$A$532,"Neuron",$T$2:$T$532,$T68)&gt;1),
AND($W68&lt;&gt;"",LOWER(TRIM($W68))&lt;&gt;"n/a",COUNTIFS($B$2:$B$532,"Yes",$A$2:$A$532,"Neuron",$W$2:$W$532,$W68)&gt;1)
),"Yes","No"),
IF($A68="Cybernet",
IF(OR(
AND($Y68&lt;&gt;"",LOWER(TRIM($Y68))&lt;&gt;"n/a",COUNTIFS($B$2:$B$532,"Yes",$A$2:$A$532,"Cybernet",$Y$2:$Y$532,$Y68)&gt;1),
AND($Z68&lt;&gt;"",LOWER(TRIM($Z68))&lt;&gt;"n/a",COUNTIFS($B$2:$B$532,"Yes",$A$2:$A$532,"Cybernet",$Z$2:$Z$532,$Z68)&gt;1)
),"Yes","No"),
IF(AND($AL68&lt;&gt;"",LOWER(TRIM($AL68))&lt;&gt;"n/a"),
IF(COUNTIFS($B$2:$B$532,"Yes",$A$2:$A$532,$A68,$AL$2:$AL$532,$AL68)&gt;1,"Yes","No"),
"No")
)
)
)</f>
      </c>
      <c r="G68" t="s">
        <v>1880</v>
      </c>
      <c r="H68" t="s">
        <v>2197</v>
      </c>
      <c r="I68" t="s">
        <v>1831</v>
      </c>
      <c r="J68" t="s">
        <v>1727</v>
      </c>
      <c r="K68" t="s">
        <v>1657</v>
      </c>
      <c r="L68" t="s">
        <v>1657</v>
      </c>
      <c r="R68" t="s">
        <v>2299</v>
      </c>
      <c r="Y68" t="s">
        <v>1698</v>
      </c>
      <c r="Z68" t="s">
        <v>1811</v>
      </c>
      <c r="BI68" t="s">
        <v>1630</v>
      </c>
      <c r="BL68">
        <f>IF($T68="","",IF((IF(AND($AW68&lt;&gt;"Yes",$AW68&lt;&gt;"N/A"),"Power Cable, ","")&amp;IF(AND($AX68&lt;&gt;"Yes",$AX68&lt;&gt;"N/A"),"Battery, ","")&amp;IF(AND($BE68&lt;&gt;"Yes",$BE68&lt;&gt;"N/A"),"Firmware Download, ","")&amp;IF(AND(OR($BE68="Yes",$BE68="N/A"),$BF68&lt;&gt;"Yes",$BF68&lt;&gt;"N/A"),"Firmware Install, ","")&amp;IF(AND($BJ68&lt;&gt;"Yes",$BJ68&lt;&gt;"N/A"),"Device ID, ","")&amp;IF(AND($BK68&lt;&gt;"Yes",$BK68&lt;&gt;"N/A"),"Epic Beans Relay, ",""))="","",LEFT(IF(AND($AW68&lt;&gt;"Yes",$AW68&lt;&gt;"N/A"),"Power Cable, ","")&amp;IF(AND($AX68&lt;&gt;"Yes",$AX68&lt;&gt;"N/A"),"Battery, ","")&amp;IF(AND($BE68&lt;&gt;"Yes",$BE68&lt;&gt;"N/A"),"Firmware Download, ","")&amp;IF(AND(OR($BE68="Yes",$BE68="N/A"),$BF68&lt;&gt;"Yes",$BF68&lt;&gt;"N/A"),"Firmware Install, ","")&amp;IF(AND($BJ68&lt;&gt;"Yes",$BJ68&lt;&gt;"N/A"),"Device ID, ","")&amp;IF(AND($BK68&lt;&gt;"Yes",$BK68&lt;&gt;"N/A"),"Epic Beans Relay, ",""),LEN(IF(AND($AW68&lt;&gt;"Yes",$AW68&lt;&gt;"N/A"),"Power Cable, ","")&amp;IF(AND($AX68&lt;&gt;"Yes",$AX68&lt;&gt;"N/A"),"Battery, ","")&amp;IF(AND($BE68&lt;&gt;"Yes",$BE68&lt;&gt;"N/A"),"Firmware Download, ","")&amp;IF(AND(OR($BE68="Yes",$BE68="N/A"),$BF68&lt;&gt;"Yes",$BF68&lt;&gt;"N/A"),"Firmware Install, ","")&amp;IF(AND($BJ68&lt;&gt;"Yes",$BJ68&lt;&gt;"N/A"),"Device ID, ","")&amp;IF(AND($BK68&lt;&gt;"Yes",$BK68&lt;&gt;"N/A"),"Epic Beans Relay, ",""))-2)))</f>
      </c>
      <c r="BM68">
        <f>IF($T68="","",IF($BL68="","Yes","Blocked"))</f>
      </c>
      <c r="BP68">
        <f>IF($BO68="","",IFERROR(VLOOKUP($BO68,'01_Warehouse_Ledger'!$A:$N,4,FALSE),""))</f>
      </c>
      <c r="BQ68">
        <f>IF($BO68="","",IFERROR(VLOOKUP($BO68,'01_Warehouse_Ledger'!$A:$N,5,FALSE),""))</f>
      </c>
      <c r="BR68">
        <f>IF($BO68="","",IFERROR(VLOOKUP($BO68,'01_Warehouse_Ledger'!$A:$N,13,FALSE),""))</f>
      </c>
    </row>
    <row r="69">
      <c r="A69" t="s">
        <v>1415</v>
      </c>
      <c r="B69" t="s">
        <v>1657</v>
      </c>
      <c r="C69" t="s">
        <v>1657</v>
      </c>
      <c r="D69">
        <f>IF($B69&lt;&gt;"Yes","",IF($C69="No","Yes",IF($C69="Yes","No","")))</f>
      </c>
      <c r="E69">
        <f>IF($A69="","",IF($A69="Neuron",IF(OR(AND($R69&lt;&gt;"",LOWER(TRIM($R69))&lt;&gt;"n/a",COUNTIF($S$2:$S$532,$R69)&gt;1),AND($T69&lt;&gt;"",LOWER(TRIM($T69))&lt;&gt;"n/a",COUNTIF($T$2:$T$532,$T69)&gt;1),AND($W69&lt;&gt;"",LOWER(TRIM($W69))&lt;&gt;"n/a",COUNTIF($W$2:$W$532,$W69)&gt;1)),"Yes","No"),IF($A69="Cybernet",IF(OR(AND($Y69&lt;&gt;"",LOWER(TRIM($Y69))&lt;&gt;"n/a",COUNTIF($Y$2:$Y$532,$Y69)&gt;1),AND($Z69&lt;&gt;"",LOWER(TRIM($Z69))&lt;&gt;"n/a",COUNTIF($Z$2:$Z$532,$Z69)&gt;1)),"Yes","No"),IF(AND($AL69&lt;&gt;"",LOWER(TRIM($AL69))&lt;&gt;"n/a",COUNTIF($AL$2:$AL$532,$AL69)&gt;1),"Yes","No"))))</f>
      </c>
      <c r="F69">
        <f>IF($B69&lt;&gt;"Yes","",
IF($A69="Neuron",
IF(OR(
AND($R69&lt;&gt;"",LOWER(TRIM($R69))&lt;&gt;"n/a",COUNTIFS($B$2:$B$532,"Yes",$A$2:$A$532,"Neuron",$S$2:$S$532,$R69)&gt;1),
AND($T69&lt;&gt;"",LOWER(TRIM($T69))&lt;&gt;"n/a",COUNTIFS($B$2:$B$532,"Yes",$A$2:$A$532,"Neuron",$T$2:$T$532,$T69)&gt;1),
AND($W69&lt;&gt;"",LOWER(TRIM($W69))&lt;&gt;"n/a",COUNTIFS($B$2:$B$532,"Yes",$A$2:$A$532,"Neuron",$W$2:$W$532,$W69)&gt;1)
),"Yes","No"),
IF($A69="Cybernet",
IF(OR(
AND($Y69&lt;&gt;"",LOWER(TRIM($Y69))&lt;&gt;"n/a",COUNTIFS($B$2:$B$532,"Yes",$A$2:$A$532,"Cybernet",$Y$2:$Y$532,$Y69)&gt;1),
AND($Z69&lt;&gt;"",LOWER(TRIM($Z69))&lt;&gt;"n/a",COUNTIFS($B$2:$B$532,"Yes",$A$2:$A$532,"Cybernet",$Z$2:$Z$532,$Z69)&gt;1)
),"Yes","No"),
IF(AND($AL69&lt;&gt;"",LOWER(TRIM($AL69))&lt;&gt;"n/a"),
IF(COUNTIFS($B$2:$B$532,"Yes",$A$2:$A$532,$A69,$AL$2:$AL$532,$AL69)&gt;1,"Yes","No"),
"No")
)
)
)</f>
      </c>
      <c r="G69" t="s">
        <v>1880</v>
      </c>
      <c r="H69" t="s">
        <v>2357</v>
      </c>
      <c r="I69" t="s">
        <v>1831</v>
      </c>
      <c r="J69" t="s">
        <v>1727</v>
      </c>
      <c r="K69" t="s">
        <v>1657</v>
      </c>
      <c r="L69" t="s">
        <v>1657</v>
      </c>
      <c r="R69" t="s">
        <v>2064</v>
      </c>
      <c r="Y69" t="s">
        <v>1828</v>
      </c>
      <c r="Z69" t="s">
        <v>2093</v>
      </c>
      <c r="BI69" t="s">
        <v>1630</v>
      </c>
      <c r="BL69">
        <f>IF($T69="","",IF((IF(AND($AW69&lt;&gt;"Yes",$AW69&lt;&gt;"N/A"),"Power Cable, ","")&amp;IF(AND($AX69&lt;&gt;"Yes",$AX69&lt;&gt;"N/A"),"Battery, ","")&amp;IF(AND($BE69&lt;&gt;"Yes",$BE69&lt;&gt;"N/A"),"Firmware Download, ","")&amp;IF(AND(OR($BE69="Yes",$BE69="N/A"),$BF69&lt;&gt;"Yes",$BF69&lt;&gt;"N/A"),"Firmware Install, ","")&amp;IF(AND($BJ69&lt;&gt;"Yes",$BJ69&lt;&gt;"N/A"),"Device ID, ","")&amp;IF(AND($BK69&lt;&gt;"Yes",$BK69&lt;&gt;"N/A"),"Epic Beans Relay, ",""))="","",LEFT(IF(AND($AW69&lt;&gt;"Yes",$AW69&lt;&gt;"N/A"),"Power Cable, ","")&amp;IF(AND($AX69&lt;&gt;"Yes",$AX69&lt;&gt;"N/A"),"Battery, ","")&amp;IF(AND($BE69&lt;&gt;"Yes",$BE69&lt;&gt;"N/A"),"Firmware Download, ","")&amp;IF(AND(OR($BE69="Yes",$BE69="N/A"),$BF69&lt;&gt;"Yes",$BF69&lt;&gt;"N/A"),"Firmware Install, ","")&amp;IF(AND($BJ69&lt;&gt;"Yes",$BJ69&lt;&gt;"N/A"),"Device ID, ","")&amp;IF(AND($BK69&lt;&gt;"Yes",$BK69&lt;&gt;"N/A"),"Epic Beans Relay, ",""),LEN(IF(AND($AW69&lt;&gt;"Yes",$AW69&lt;&gt;"N/A"),"Power Cable, ","")&amp;IF(AND($AX69&lt;&gt;"Yes",$AX69&lt;&gt;"N/A"),"Battery, ","")&amp;IF(AND($BE69&lt;&gt;"Yes",$BE69&lt;&gt;"N/A"),"Firmware Download, ","")&amp;IF(AND(OR($BE69="Yes",$BE69="N/A"),$BF69&lt;&gt;"Yes",$BF69&lt;&gt;"N/A"),"Firmware Install, ","")&amp;IF(AND($BJ69&lt;&gt;"Yes",$BJ69&lt;&gt;"N/A"),"Device ID, ","")&amp;IF(AND($BK69&lt;&gt;"Yes",$BK69&lt;&gt;"N/A"),"Epic Beans Relay, ",""))-2)))</f>
      </c>
      <c r="BM69">
        <f>IF($T69="","",IF($BL69="","Yes","Blocked"))</f>
      </c>
      <c r="BP69">
        <f>IF($BO69="","",IFERROR(VLOOKUP($BO69,'01_Warehouse_Ledger'!$A:$N,4,FALSE),""))</f>
      </c>
      <c r="BQ69">
        <f>IF($BO69="","",IFERROR(VLOOKUP($BO69,'01_Warehouse_Ledger'!$A:$N,5,FALSE),""))</f>
      </c>
      <c r="BR69">
        <f>IF($BO69="","",IFERROR(VLOOKUP($BO69,'01_Warehouse_Ledger'!$A:$N,13,FALSE),""))</f>
      </c>
    </row>
    <row r="70">
      <c r="A70" t="s">
        <v>1415</v>
      </c>
      <c r="B70" t="s">
        <v>1657</v>
      </c>
      <c r="C70" t="s">
        <v>1657</v>
      </c>
      <c r="D70">
        <f>IF($B70&lt;&gt;"Yes","",IF($C70="No","Yes",IF($C70="Yes","No","")))</f>
      </c>
      <c r="E70">
        <f>IF($A70="","",IF($A70="Neuron",IF(OR(AND($R70&lt;&gt;"",LOWER(TRIM($R70))&lt;&gt;"n/a",COUNTIF($S$2:$S$532,$R70)&gt;1),AND($T70&lt;&gt;"",LOWER(TRIM($T70))&lt;&gt;"n/a",COUNTIF($T$2:$T$532,$T70)&gt;1),AND($W70&lt;&gt;"",LOWER(TRIM($W70))&lt;&gt;"n/a",COUNTIF($W$2:$W$532,$W70)&gt;1)),"Yes","No"),IF($A70="Cybernet",IF(OR(AND($Y70&lt;&gt;"",LOWER(TRIM($Y70))&lt;&gt;"n/a",COUNTIF($Y$2:$Y$532,$Y70)&gt;1),AND($Z70&lt;&gt;"",LOWER(TRIM($Z70))&lt;&gt;"n/a",COUNTIF($Z$2:$Z$532,$Z70)&gt;1)),"Yes","No"),IF(AND($AL70&lt;&gt;"",LOWER(TRIM($AL70))&lt;&gt;"n/a",COUNTIF($AL$2:$AL$532,$AL70)&gt;1),"Yes","No"))))</f>
      </c>
      <c r="F70">
        <f>IF($B70&lt;&gt;"Yes","",
IF($A70="Neuron",
IF(OR(
AND($R70&lt;&gt;"",LOWER(TRIM($R70))&lt;&gt;"n/a",COUNTIFS($B$2:$B$532,"Yes",$A$2:$A$532,"Neuron",$S$2:$S$532,$R70)&gt;1),
AND($T70&lt;&gt;"",LOWER(TRIM($T70))&lt;&gt;"n/a",COUNTIFS($B$2:$B$532,"Yes",$A$2:$A$532,"Neuron",$T$2:$T$532,$T70)&gt;1),
AND($W70&lt;&gt;"",LOWER(TRIM($W70))&lt;&gt;"n/a",COUNTIFS($B$2:$B$532,"Yes",$A$2:$A$532,"Neuron",$W$2:$W$532,$W70)&gt;1)
),"Yes","No"),
IF($A70="Cybernet",
IF(OR(
AND($Y70&lt;&gt;"",LOWER(TRIM($Y70))&lt;&gt;"n/a",COUNTIFS($B$2:$B$532,"Yes",$A$2:$A$532,"Cybernet",$Y$2:$Y$532,$Y70)&gt;1),
AND($Z70&lt;&gt;"",LOWER(TRIM($Z70))&lt;&gt;"n/a",COUNTIFS($B$2:$B$532,"Yes",$A$2:$A$532,"Cybernet",$Z$2:$Z$532,$Z70)&gt;1)
),"Yes","No"),
IF(AND($AL70&lt;&gt;"",LOWER(TRIM($AL70))&lt;&gt;"n/a"),
IF(COUNTIFS($B$2:$B$532,"Yes",$A$2:$A$532,$A70,$AL$2:$AL$532,$AL70)&gt;1,"Yes","No"),
"No")
)
)
)</f>
      </c>
      <c r="G70" t="s">
        <v>1880</v>
      </c>
      <c r="H70" t="s">
        <v>2357</v>
      </c>
      <c r="I70" t="s">
        <v>1831</v>
      </c>
      <c r="J70" t="s">
        <v>1727</v>
      </c>
      <c r="K70" t="s">
        <v>1657</v>
      </c>
      <c r="L70" t="s">
        <v>1657</v>
      </c>
      <c r="R70" t="s">
        <v>2239</v>
      </c>
      <c r="Y70" t="s">
        <v>2073</v>
      </c>
      <c r="Z70" t="s">
        <v>2363</v>
      </c>
      <c r="BI70" t="s">
        <v>1630</v>
      </c>
      <c r="BL70">
        <f>IF($T70="","",IF((IF(AND($AW70&lt;&gt;"Yes",$AW70&lt;&gt;"N/A"),"Power Cable, ","")&amp;IF(AND($AX70&lt;&gt;"Yes",$AX70&lt;&gt;"N/A"),"Battery, ","")&amp;IF(AND($BE70&lt;&gt;"Yes",$BE70&lt;&gt;"N/A"),"Firmware Download, ","")&amp;IF(AND(OR($BE70="Yes",$BE70="N/A"),$BF70&lt;&gt;"Yes",$BF70&lt;&gt;"N/A"),"Firmware Install, ","")&amp;IF(AND($BJ70&lt;&gt;"Yes",$BJ70&lt;&gt;"N/A"),"Device ID, ","")&amp;IF(AND($BK70&lt;&gt;"Yes",$BK70&lt;&gt;"N/A"),"Epic Beans Relay, ",""))="","",LEFT(IF(AND($AW70&lt;&gt;"Yes",$AW70&lt;&gt;"N/A"),"Power Cable, ","")&amp;IF(AND($AX70&lt;&gt;"Yes",$AX70&lt;&gt;"N/A"),"Battery, ","")&amp;IF(AND($BE70&lt;&gt;"Yes",$BE70&lt;&gt;"N/A"),"Firmware Download, ","")&amp;IF(AND(OR($BE70="Yes",$BE70="N/A"),$BF70&lt;&gt;"Yes",$BF70&lt;&gt;"N/A"),"Firmware Install, ","")&amp;IF(AND($BJ70&lt;&gt;"Yes",$BJ70&lt;&gt;"N/A"),"Device ID, ","")&amp;IF(AND($BK70&lt;&gt;"Yes",$BK70&lt;&gt;"N/A"),"Epic Beans Relay, ",""),LEN(IF(AND($AW70&lt;&gt;"Yes",$AW70&lt;&gt;"N/A"),"Power Cable, ","")&amp;IF(AND($AX70&lt;&gt;"Yes",$AX70&lt;&gt;"N/A"),"Battery, ","")&amp;IF(AND($BE70&lt;&gt;"Yes",$BE70&lt;&gt;"N/A"),"Firmware Download, ","")&amp;IF(AND(OR($BE70="Yes",$BE70="N/A"),$BF70&lt;&gt;"Yes",$BF70&lt;&gt;"N/A"),"Firmware Install, ","")&amp;IF(AND($BJ70&lt;&gt;"Yes",$BJ70&lt;&gt;"N/A"),"Device ID, ","")&amp;IF(AND($BK70&lt;&gt;"Yes",$BK70&lt;&gt;"N/A"),"Epic Beans Relay, ",""))-2)))</f>
      </c>
      <c r="BM70">
        <f>IF($T70="","",IF($BL70="","Yes","Blocked"))</f>
      </c>
      <c r="BP70">
        <f>IF($BO70="","",IFERROR(VLOOKUP($BO70,'01_Warehouse_Ledger'!$A:$N,4,FALSE),""))</f>
      </c>
      <c r="BQ70">
        <f>IF($BO70="","",IFERROR(VLOOKUP($BO70,'01_Warehouse_Ledger'!$A:$N,5,FALSE),""))</f>
      </c>
      <c r="BR70">
        <f>IF($BO70="","",IFERROR(VLOOKUP($BO70,'01_Warehouse_Ledger'!$A:$N,13,FALSE),""))</f>
      </c>
    </row>
    <row r="71">
      <c r="A71" t="s">
        <v>1415</v>
      </c>
      <c r="B71" t="s">
        <v>1657</v>
      </c>
      <c r="C71" t="s">
        <v>1657</v>
      </c>
      <c r="D71">
        <f>IF($B71&lt;&gt;"Yes","",IF($C71="No","Yes",IF($C71="Yes","No","")))</f>
      </c>
      <c r="E71">
        <f>IF($A71="","",IF($A71="Neuron",IF(OR(AND($R71&lt;&gt;"",LOWER(TRIM($R71))&lt;&gt;"n/a",COUNTIF($S$2:$S$532,$R71)&gt;1),AND($T71&lt;&gt;"",LOWER(TRIM($T71))&lt;&gt;"n/a",COUNTIF($T$2:$T$532,$T71)&gt;1),AND($W71&lt;&gt;"",LOWER(TRIM($W71))&lt;&gt;"n/a",COUNTIF($W$2:$W$532,$W71)&gt;1)),"Yes","No"),IF($A71="Cybernet",IF(OR(AND($Y71&lt;&gt;"",LOWER(TRIM($Y71))&lt;&gt;"n/a",COUNTIF($Y$2:$Y$532,$Y71)&gt;1),AND($Z71&lt;&gt;"",LOWER(TRIM($Z71))&lt;&gt;"n/a",COUNTIF($Z$2:$Z$532,$Z71)&gt;1)),"Yes","No"),IF(AND($AL71&lt;&gt;"",LOWER(TRIM($AL71))&lt;&gt;"n/a",COUNTIF($AL$2:$AL$532,$AL71)&gt;1),"Yes","No"))))</f>
      </c>
      <c r="F71">
        <f>IF($B71&lt;&gt;"Yes","",
IF($A71="Neuron",
IF(OR(
AND($R71&lt;&gt;"",LOWER(TRIM($R71))&lt;&gt;"n/a",COUNTIFS($B$2:$B$532,"Yes",$A$2:$A$532,"Neuron",$S$2:$S$532,$R71)&gt;1),
AND($T71&lt;&gt;"",LOWER(TRIM($T71))&lt;&gt;"n/a",COUNTIFS($B$2:$B$532,"Yes",$A$2:$A$532,"Neuron",$T$2:$T$532,$T71)&gt;1),
AND($W71&lt;&gt;"",LOWER(TRIM($W71))&lt;&gt;"n/a",COUNTIFS($B$2:$B$532,"Yes",$A$2:$A$532,"Neuron",$W$2:$W$532,$W71)&gt;1)
),"Yes","No"),
IF($A71="Cybernet",
IF(OR(
AND($Y71&lt;&gt;"",LOWER(TRIM($Y71))&lt;&gt;"n/a",COUNTIFS($B$2:$B$532,"Yes",$A$2:$A$532,"Cybernet",$Y$2:$Y$532,$Y71)&gt;1),
AND($Z71&lt;&gt;"",LOWER(TRIM($Z71))&lt;&gt;"n/a",COUNTIFS($B$2:$B$532,"Yes",$A$2:$A$532,"Cybernet",$Z$2:$Z$532,$Z71)&gt;1)
),"Yes","No"),
IF(AND($AL71&lt;&gt;"",LOWER(TRIM($AL71))&lt;&gt;"n/a"),
IF(COUNTIFS($B$2:$B$532,"Yes",$A$2:$A$532,$A71,$AL$2:$AL$532,$AL71)&gt;1,"Yes","No"),
"No")
)
)
)</f>
      </c>
      <c r="G71" t="s">
        <v>1880</v>
      </c>
      <c r="H71" t="s">
        <v>2357</v>
      </c>
      <c r="I71" t="s">
        <v>1831</v>
      </c>
      <c r="J71" t="s">
        <v>1727</v>
      </c>
      <c r="K71" t="s">
        <v>1657</v>
      </c>
      <c r="L71" t="s">
        <v>1657</v>
      </c>
      <c r="R71" t="s">
        <v>1930</v>
      </c>
      <c r="Y71" t="s">
        <v>2167</v>
      </c>
      <c r="Z71" t="s">
        <v>1884</v>
      </c>
      <c r="BI71" t="s">
        <v>1630</v>
      </c>
      <c r="BL71">
        <f>IF($T71="","",IF((IF(AND($AW71&lt;&gt;"Yes",$AW71&lt;&gt;"N/A"),"Power Cable, ","")&amp;IF(AND($AX71&lt;&gt;"Yes",$AX71&lt;&gt;"N/A"),"Battery, ","")&amp;IF(AND($BE71&lt;&gt;"Yes",$BE71&lt;&gt;"N/A"),"Firmware Download, ","")&amp;IF(AND(OR($BE71="Yes",$BE71="N/A"),$BF71&lt;&gt;"Yes",$BF71&lt;&gt;"N/A"),"Firmware Install, ","")&amp;IF(AND($BJ71&lt;&gt;"Yes",$BJ71&lt;&gt;"N/A"),"Device ID, ","")&amp;IF(AND($BK71&lt;&gt;"Yes",$BK71&lt;&gt;"N/A"),"Epic Beans Relay, ",""))="","",LEFT(IF(AND($AW71&lt;&gt;"Yes",$AW71&lt;&gt;"N/A"),"Power Cable, ","")&amp;IF(AND($AX71&lt;&gt;"Yes",$AX71&lt;&gt;"N/A"),"Battery, ","")&amp;IF(AND($BE71&lt;&gt;"Yes",$BE71&lt;&gt;"N/A"),"Firmware Download, ","")&amp;IF(AND(OR($BE71="Yes",$BE71="N/A"),$BF71&lt;&gt;"Yes",$BF71&lt;&gt;"N/A"),"Firmware Install, ","")&amp;IF(AND($BJ71&lt;&gt;"Yes",$BJ71&lt;&gt;"N/A"),"Device ID, ","")&amp;IF(AND($BK71&lt;&gt;"Yes",$BK71&lt;&gt;"N/A"),"Epic Beans Relay, ",""),LEN(IF(AND($AW71&lt;&gt;"Yes",$AW71&lt;&gt;"N/A"),"Power Cable, ","")&amp;IF(AND($AX71&lt;&gt;"Yes",$AX71&lt;&gt;"N/A"),"Battery, ","")&amp;IF(AND($BE71&lt;&gt;"Yes",$BE71&lt;&gt;"N/A"),"Firmware Download, ","")&amp;IF(AND(OR($BE71="Yes",$BE71="N/A"),$BF71&lt;&gt;"Yes",$BF71&lt;&gt;"N/A"),"Firmware Install, ","")&amp;IF(AND($BJ71&lt;&gt;"Yes",$BJ71&lt;&gt;"N/A"),"Device ID, ","")&amp;IF(AND($BK71&lt;&gt;"Yes",$BK71&lt;&gt;"N/A"),"Epic Beans Relay, ",""))-2)))</f>
      </c>
      <c r="BM71">
        <f>IF($T71="","",IF($BL71="","Yes","Blocked"))</f>
      </c>
      <c r="BP71">
        <f>IF($BO71="","",IFERROR(VLOOKUP($BO71,'01_Warehouse_Ledger'!$A:$N,4,FALSE),""))</f>
      </c>
      <c r="BQ71">
        <f>IF($BO71="","",IFERROR(VLOOKUP($BO71,'01_Warehouse_Ledger'!$A:$N,5,FALSE),""))</f>
      </c>
      <c r="BR71">
        <f>IF($BO71="","",IFERROR(VLOOKUP($BO71,'01_Warehouse_Ledger'!$A:$N,13,FALSE),""))</f>
      </c>
    </row>
    <row r="72">
      <c r="A72" t="s">
        <v>1415</v>
      </c>
      <c r="B72" t="s">
        <v>1657</v>
      </c>
      <c r="C72" t="s">
        <v>1657</v>
      </c>
      <c r="D72">
        <f>IF($B72&lt;&gt;"Yes","",IF($C72="No","Yes",IF($C72="Yes","No","")))</f>
      </c>
      <c r="E72">
        <f>IF($A72="","",IF($A72="Neuron",IF(OR(AND($R72&lt;&gt;"",LOWER(TRIM($R72))&lt;&gt;"n/a",COUNTIF($S$2:$S$532,$R72)&gt;1),AND($T72&lt;&gt;"",LOWER(TRIM($T72))&lt;&gt;"n/a",COUNTIF($T$2:$T$532,$T72)&gt;1),AND($W72&lt;&gt;"",LOWER(TRIM($W72))&lt;&gt;"n/a",COUNTIF($W$2:$W$532,$W72)&gt;1)),"Yes","No"),IF($A72="Cybernet",IF(OR(AND($Y72&lt;&gt;"",LOWER(TRIM($Y72))&lt;&gt;"n/a",COUNTIF($Y$2:$Y$532,$Y72)&gt;1),AND($Z72&lt;&gt;"",LOWER(TRIM($Z72))&lt;&gt;"n/a",COUNTIF($Z$2:$Z$532,$Z72)&gt;1)),"Yes","No"),IF(AND($AL72&lt;&gt;"",LOWER(TRIM($AL72))&lt;&gt;"n/a",COUNTIF($AL$2:$AL$532,$AL72)&gt;1),"Yes","No"))))</f>
      </c>
      <c r="F72">
        <f>IF($B72&lt;&gt;"Yes","",
IF($A72="Neuron",
IF(OR(
AND($R72&lt;&gt;"",LOWER(TRIM($R72))&lt;&gt;"n/a",COUNTIFS($B$2:$B$532,"Yes",$A$2:$A$532,"Neuron",$S$2:$S$532,$R72)&gt;1),
AND($T72&lt;&gt;"",LOWER(TRIM($T72))&lt;&gt;"n/a",COUNTIFS($B$2:$B$532,"Yes",$A$2:$A$532,"Neuron",$T$2:$T$532,$T72)&gt;1),
AND($W72&lt;&gt;"",LOWER(TRIM($W72))&lt;&gt;"n/a",COUNTIFS($B$2:$B$532,"Yes",$A$2:$A$532,"Neuron",$W$2:$W$532,$W72)&gt;1)
),"Yes","No"),
IF($A72="Cybernet",
IF(OR(
AND($Y72&lt;&gt;"",LOWER(TRIM($Y72))&lt;&gt;"n/a",COUNTIFS($B$2:$B$532,"Yes",$A$2:$A$532,"Cybernet",$Y$2:$Y$532,$Y72)&gt;1),
AND($Z72&lt;&gt;"",LOWER(TRIM($Z72))&lt;&gt;"n/a",COUNTIFS($B$2:$B$532,"Yes",$A$2:$A$532,"Cybernet",$Z$2:$Z$532,$Z72)&gt;1)
),"Yes","No"),
IF(AND($AL72&lt;&gt;"",LOWER(TRIM($AL72))&lt;&gt;"n/a"),
IF(COUNTIFS($B$2:$B$532,"Yes",$A$2:$A$532,$A72,$AL$2:$AL$532,$AL72)&gt;1,"Yes","No"),
"No")
)
)
)</f>
      </c>
      <c r="G72" t="s">
        <v>1880</v>
      </c>
      <c r="H72" t="s">
        <v>2357</v>
      </c>
      <c r="I72" t="s">
        <v>1831</v>
      </c>
      <c r="J72" t="s">
        <v>1727</v>
      </c>
      <c r="K72" t="s">
        <v>1657</v>
      </c>
      <c r="L72" t="s">
        <v>1657</v>
      </c>
      <c r="R72" t="s">
        <v>1935</v>
      </c>
      <c r="Y72" t="s">
        <v>2138</v>
      </c>
      <c r="Z72" t="s">
        <v>2264</v>
      </c>
      <c r="BI72" t="s">
        <v>1630</v>
      </c>
      <c r="BL72">
        <f>IF($T72="","",IF((IF(AND($AW72&lt;&gt;"Yes",$AW72&lt;&gt;"N/A"),"Power Cable, ","")&amp;IF(AND($AX72&lt;&gt;"Yes",$AX72&lt;&gt;"N/A"),"Battery, ","")&amp;IF(AND($BE72&lt;&gt;"Yes",$BE72&lt;&gt;"N/A"),"Firmware Download, ","")&amp;IF(AND(OR($BE72="Yes",$BE72="N/A"),$BF72&lt;&gt;"Yes",$BF72&lt;&gt;"N/A"),"Firmware Install, ","")&amp;IF(AND($BJ72&lt;&gt;"Yes",$BJ72&lt;&gt;"N/A"),"Device ID, ","")&amp;IF(AND($BK72&lt;&gt;"Yes",$BK72&lt;&gt;"N/A"),"Epic Beans Relay, ",""))="","",LEFT(IF(AND($AW72&lt;&gt;"Yes",$AW72&lt;&gt;"N/A"),"Power Cable, ","")&amp;IF(AND($AX72&lt;&gt;"Yes",$AX72&lt;&gt;"N/A"),"Battery, ","")&amp;IF(AND($BE72&lt;&gt;"Yes",$BE72&lt;&gt;"N/A"),"Firmware Download, ","")&amp;IF(AND(OR($BE72="Yes",$BE72="N/A"),$BF72&lt;&gt;"Yes",$BF72&lt;&gt;"N/A"),"Firmware Install, ","")&amp;IF(AND($BJ72&lt;&gt;"Yes",$BJ72&lt;&gt;"N/A"),"Device ID, ","")&amp;IF(AND($BK72&lt;&gt;"Yes",$BK72&lt;&gt;"N/A"),"Epic Beans Relay, ",""),LEN(IF(AND($AW72&lt;&gt;"Yes",$AW72&lt;&gt;"N/A"),"Power Cable, ","")&amp;IF(AND($AX72&lt;&gt;"Yes",$AX72&lt;&gt;"N/A"),"Battery, ","")&amp;IF(AND($BE72&lt;&gt;"Yes",$BE72&lt;&gt;"N/A"),"Firmware Download, ","")&amp;IF(AND(OR($BE72="Yes",$BE72="N/A"),$BF72&lt;&gt;"Yes",$BF72&lt;&gt;"N/A"),"Firmware Install, ","")&amp;IF(AND($BJ72&lt;&gt;"Yes",$BJ72&lt;&gt;"N/A"),"Device ID, ","")&amp;IF(AND($BK72&lt;&gt;"Yes",$BK72&lt;&gt;"N/A"),"Epic Beans Relay, ",""))-2)))</f>
      </c>
      <c r="BM72">
        <f>IF($T72="","",IF($BL72="","Yes","Blocked"))</f>
      </c>
      <c r="BP72">
        <f>IF($BO72="","",IFERROR(VLOOKUP($BO72,'01_Warehouse_Ledger'!$A:$N,4,FALSE),""))</f>
      </c>
      <c r="BQ72">
        <f>IF($BO72="","",IFERROR(VLOOKUP($BO72,'01_Warehouse_Ledger'!$A:$N,5,FALSE),""))</f>
      </c>
      <c r="BR72">
        <f>IF($BO72="","",IFERROR(VLOOKUP($BO72,'01_Warehouse_Ledger'!$A:$N,13,FALSE),""))</f>
      </c>
    </row>
    <row r="73">
      <c r="A73" t="s">
        <v>1415</v>
      </c>
      <c r="B73" t="s">
        <v>1657</v>
      </c>
      <c r="C73" t="s">
        <v>1657</v>
      </c>
      <c r="D73">
        <f>IF($B73&lt;&gt;"Yes","",IF($C73="No","Yes",IF($C73="Yes","No","")))</f>
      </c>
      <c r="E73">
        <f>IF($A73="","",IF($A73="Neuron",IF(OR(AND($R73&lt;&gt;"",LOWER(TRIM($R73))&lt;&gt;"n/a",COUNTIF($S$2:$S$532,$R73)&gt;1),AND($T73&lt;&gt;"",LOWER(TRIM($T73))&lt;&gt;"n/a",COUNTIF($T$2:$T$532,$T73)&gt;1),AND($W73&lt;&gt;"",LOWER(TRIM($W73))&lt;&gt;"n/a",COUNTIF($W$2:$W$532,$W73)&gt;1)),"Yes","No"),IF($A73="Cybernet",IF(OR(AND($Y73&lt;&gt;"",LOWER(TRIM($Y73))&lt;&gt;"n/a",COUNTIF($Y$2:$Y$532,$Y73)&gt;1),AND($Z73&lt;&gt;"",LOWER(TRIM($Z73))&lt;&gt;"n/a",COUNTIF($Z$2:$Z$532,$Z73)&gt;1)),"Yes","No"),IF(AND($AL73&lt;&gt;"",LOWER(TRIM($AL73))&lt;&gt;"n/a",COUNTIF($AL$2:$AL$532,$AL73)&gt;1),"Yes","No"))))</f>
      </c>
      <c r="F73">
        <f>IF($B73&lt;&gt;"Yes","",
IF($A73="Neuron",
IF(OR(
AND($R73&lt;&gt;"",LOWER(TRIM($R73))&lt;&gt;"n/a",COUNTIFS($B$2:$B$532,"Yes",$A$2:$A$532,"Neuron",$S$2:$S$532,$R73)&gt;1),
AND($T73&lt;&gt;"",LOWER(TRIM($T73))&lt;&gt;"n/a",COUNTIFS($B$2:$B$532,"Yes",$A$2:$A$532,"Neuron",$T$2:$T$532,$T73)&gt;1),
AND($W73&lt;&gt;"",LOWER(TRIM($W73))&lt;&gt;"n/a",COUNTIFS($B$2:$B$532,"Yes",$A$2:$A$532,"Neuron",$W$2:$W$532,$W73)&gt;1)
),"Yes","No"),
IF($A73="Cybernet",
IF(OR(
AND($Y73&lt;&gt;"",LOWER(TRIM($Y73))&lt;&gt;"n/a",COUNTIFS($B$2:$B$532,"Yes",$A$2:$A$532,"Cybernet",$Y$2:$Y$532,$Y73)&gt;1),
AND($Z73&lt;&gt;"",LOWER(TRIM($Z73))&lt;&gt;"n/a",COUNTIFS($B$2:$B$532,"Yes",$A$2:$A$532,"Cybernet",$Z$2:$Z$532,$Z73)&gt;1)
),"Yes","No"),
IF(AND($AL73&lt;&gt;"",LOWER(TRIM($AL73))&lt;&gt;"n/a"),
IF(COUNTIFS($B$2:$B$532,"Yes",$A$2:$A$532,$A73,$AL$2:$AL$532,$AL73)&gt;1,"Yes","No"),
"No")
)
)
)</f>
      </c>
      <c r="G73" t="s">
        <v>1880</v>
      </c>
      <c r="H73" t="s">
        <v>2357</v>
      </c>
      <c r="I73" t="s">
        <v>1831</v>
      </c>
      <c r="J73" t="s">
        <v>1727</v>
      </c>
      <c r="K73" t="s">
        <v>1657</v>
      </c>
      <c r="L73" t="s">
        <v>1657</v>
      </c>
      <c r="R73" t="s">
        <v>2085</v>
      </c>
      <c r="Y73" t="s">
        <v>2395</v>
      </c>
      <c r="Z73" t="s">
        <v>1775</v>
      </c>
      <c r="BI73" t="s">
        <v>1630</v>
      </c>
      <c r="BL73">
        <f>IF($T73="","",IF((IF(AND($AW73&lt;&gt;"Yes",$AW73&lt;&gt;"N/A"),"Power Cable, ","")&amp;IF(AND($AX73&lt;&gt;"Yes",$AX73&lt;&gt;"N/A"),"Battery, ","")&amp;IF(AND($BE73&lt;&gt;"Yes",$BE73&lt;&gt;"N/A"),"Firmware Download, ","")&amp;IF(AND(OR($BE73="Yes",$BE73="N/A"),$BF73&lt;&gt;"Yes",$BF73&lt;&gt;"N/A"),"Firmware Install, ","")&amp;IF(AND($BJ73&lt;&gt;"Yes",$BJ73&lt;&gt;"N/A"),"Device ID, ","")&amp;IF(AND($BK73&lt;&gt;"Yes",$BK73&lt;&gt;"N/A"),"Epic Beans Relay, ",""))="","",LEFT(IF(AND($AW73&lt;&gt;"Yes",$AW73&lt;&gt;"N/A"),"Power Cable, ","")&amp;IF(AND($AX73&lt;&gt;"Yes",$AX73&lt;&gt;"N/A"),"Battery, ","")&amp;IF(AND($BE73&lt;&gt;"Yes",$BE73&lt;&gt;"N/A"),"Firmware Download, ","")&amp;IF(AND(OR($BE73="Yes",$BE73="N/A"),$BF73&lt;&gt;"Yes",$BF73&lt;&gt;"N/A"),"Firmware Install, ","")&amp;IF(AND($BJ73&lt;&gt;"Yes",$BJ73&lt;&gt;"N/A"),"Device ID, ","")&amp;IF(AND($BK73&lt;&gt;"Yes",$BK73&lt;&gt;"N/A"),"Epic Beans Relay, ",""),LEN(IF(AND($AW73&lt;&gt;"Yes",$AW73&lt;&gt;"N/A"),"Power Cable, ","")&amp;IF(AND($AX73&lt;&gt;"Yes",$AX73&lt;&gt;"N/A"),"Battery, ","")&amp;IF(AND($BE73&lt;&gt;"Yes",$BE73&lt;&gt;"N/A"),"Firmware Download, ","")&amp;IF(AND(OR($BE73="Yes",$BE73="N/A"),$BF73&lt;&gt;"Yes",$BF73&lt;&gt;"N/A"),"Firmware Install, ","")&amp;IF(AND($BJ73&lt;&gt;"Yes",$BJ73&lt;&gt;"N/A"),"Device ID, ","")&amp;IF(AND($BK73&lt;&gt;"Yes",$BK73&lt;&gt;"N/A"),"Epic Beans Relay, ",""))-2)))</f>
      </c>
      <c r="BM73">
        <f>IF($T73="","",IF($BL73="","Yes","Blocked"))</f>
      </c>
      <c r="BP73">
        <f>IF($BO73="","",IFERROR(VLOOKUP($BO73,'01_Warehouse_Ledger'!$A:$N,4,FALSE),""))</f>
      </c>
      <c r="BQ73">
        <f>IF($BO73="","",IFERROR(VLOOKUP($BO73,'01_Warehouse_Ledger'!$A:$N,5,FALSE),""))</f>
      </c>
      <c r="BR73">
        <f>IF($BO73="","",IFERROR(VLOOKUP($BO73,'01_Warehouse_Ledger'!$A:$N,13,FALSE),""))</f>
      </c>
    </row>
    <row r="74">
      <c r="A74" t="s">
        <v>1415</v>
      </c>
      <c r="B74" t="s">
        <v>1657</v>
      </c>
      <c r="C74" t="s">
        <v>1657</v>
      </c>
      <c r="D74">
        <f>IF($B74&lt;&gt;"Yes","",IF($C74="No","Yes",IF($C74="Yes","No","")))</f>
      </c>
      <c r="E74">
        <f>IF($A74="","",IF($A74="Neuron",IF(OR(AND($R74&lt;&gt;"",LOWER(TRIM($R74))&lt;&gt;"n/a",COUNTIF($S$2:$S$532,$R74)&gt;1),AND($T74&lt;&gt;"",LOWER(TRIM($T74))&lt;&gt;"n/a",COUNTIF($T$2:$T$532,$T74)&gt;1),AND($W74&lt;&gt;"",LOWER(TRIM($W74))&lt;&gt;"n/a",COUNTIF($W$2:$W$532,$W74)&gt;1)),"Yes","No"),IF($A74="Cybernet",IF(OR(AND($Y74&lt;&gt;"",LOWER(TRIM($Y74))&lt;&gt;"n/a",COUNTIF($Y$2:$Y$532,$Y74)&gt;1),AND($Z74&lt;&gt;"",LOWER(TRIM($Z74))&lt;&gt;"n/a",COUNTIF($Z$2:$Z$532,$Z74)&gt;1)),"Yes","No"),IF(AND($AL74&lt;&gt;"",LOWER(TRIM($AL74))&lt;&gt;"n/a",COUNTIF($AL$2:$AL$532,$AL74)&gt;1),"Yes","No"))))</f>
      </c>
      <c r="F74">
        <f>IF($B74&lt;&gt;"Yes","",
IF($A74="Neuron",
IF(OR(
AND($R74&lt;&gt;"",LOWER(TRIM($R74))&lt;&gt;"n/a",COUNTIFS($B$2:$B$532,"Yes",$A$2:$A$532,"Neuron",$S$2:$S$532,$R74)&gt;1),
AND($T74&lt;&gt;"",LOWER(TRIM($T74))&lt;&gt;"n/a",COUNTIFS($B$2:$B$532,"Yes",$A$2:$A$532,"Neuron",$T$2:$T$532,$T74)&gt;1),
AND($W74&lt;&gt;"",LOWER(TRIM($W74))&lt;&gt;"n/a",COUNTIFS($B$2:$B$532,"Yes",$A$2:$A$532,"Neuron",$W$2:$W$532,$W74)&gt;1)
),"Yes","No"),
IF($A74="Cybernet",
IF(OR(
AND($Y74&lt;&gt;"",LOWER(TRIM($Y74))&lt;&gt;"n/a",COUNTIFS($B$2:$B$532,"Yes",$A$2:$A$532,"Cybernet",$Y$2:$Y$532,$Y74)&gt;1),
AND($Z74&lt;&gt;"",LOWER(TRIM($Z74))&lt;&gt;"n/a",COUNTIFS($B$2:$B$532,"Yes",$A$2:$A$532,"Cybernet",$Z$2:$Z$532,$Z74)&gt;1)
),"Yes","No"),
IF(AND($AL74&lt;&gt;"",LOWER(TRIM($AL74))&lt;&gt;"n/a"),
IF(COUNTIFS($B$2:$B$532,"Yes",$A$2:$A$532,$A74,$AL$2:$AL$532,$AL74)&gt;1,"Yes","No"),
"No")
)
)
)</f>
      </c>
      <c r="G74" t="s">
        <v>1880</v>
      </c>
      <c r="H74" t="s">
        <v>2357</v>
      </c>
      <c r="I74" t="s">
        <v>1831</v>
      </c>
      <c r="J74" t="s">
        <v>1727</v>
      </c>
      <c r="K74" t="s">
        <v>1657</v>
      </c>
      <c r="L74" t="s">
        <v>1657</v>
      </c>
      <c r="R74" t="s">
        <v>1693</v>
      </c>
      <c r="Y74" t="s">
        <v>1897</v>
      </c>
      <c r="Z74" t="s">
        <v>2034</v>
      </c>
      <c r="BI74" t="s">
        <v>1630</v>
      </c>
      <c r="BL74">
        <f>IF($T74="","",IF((IF(AND($AW74&lt;&gt;"Yes",$AW74&lt;&gt;"N/A"),"Power Cable, ","")&amp;IF(AND($AX74&lt;&gt;"Yes",$AX74&lt;&gt;"N/A"),"Battery, ","")&amp;IF(AND($BE74&lt;&gt;"Yes",$BE74&lt;&gt;"N/A"),"Firmware Download, ","")&amp;IF(AND(OR($BE74="Yes",$BE74="N/A"),$BF74&lt;&gt;"Yes",$BF74&lt;&gt;"N/A"),"Firmware Install, ","")&amp;IF(AND($BJ74&lt;&gt;"Yes",$BJ74&lt;&gt;"N/A"),"Device ID, ","")&amp;IF(AND($BK74&lt;&gt;"Yes",$BK74&lt;&gt;"N/A"),"Epic Beans Relay, ",""))="","",LEFT(IF(AND($AW74&lt;&gt;"Yes",$AW74&lt;&gt;"N/A"),"Power Cable, ","")&amp;IF(AND($AX74&lt;&gt;"Yes",$AX74&lt;&gt;"N/A"),"Battery, ","")&amp;IF(AND($BE74&lt;&gt;"Yes",$BE74&lt;&gt;"N/A"),"Firmware Download, ","")&amp;IF(AND(OR($BE74="Yes",$BE74="N/A"),$BF74&lt;&gt;"Yes",$BF74&lt;&gt;"N/A"),"Firmware Install, ","")&amp;IF(AND($BJ74&lt;&gt;"Yes",$BJ74&lt;&gt;"N/A"),"Device ID, ","")&amp;IF(AND($BK74&lt;&gt;"Yes",$BK74&lt;&gt;"N/A"),"Epic Beans Relay, ",""),LEN(IF(AND($AW74&lt;&gt;"Yes",$AW74&lt;&gt;"N/A"),"Power Cable, ","")&amp;IF(AND($AX74&lt;&gt;"Yes",$AX74&lt;&gt;"N/A"),"Battery, ","")&amp;IF(AND($BE74&lt;&gt;"Yes",$BE74&lt;&gt;"N/A"),"Firmware Download, ","")&amp;IF(AND(OR($BE74="Yes",$BE74="N/A"),$BF74&lt;&gt;"Yes",$BF74&lt;&gt;"N/A"),"Firmware Install, ","")&amp;IF(AND($BJ74&lt;&gt;"Yes",$BJ74&lt;&gt;"N/A"),"Device ID, ","")&amp;IF(AND($BK74&lt;&gt;"Yes",$BK74&lt;&gt;"N/A"),"Epic Beans Relay, ",""))-2)))</f>
      </c>
      <c r="BM74">
        <f>IF($T74="","",IF($BL74="","Yes","Blocked"))</f>
      </c>
      <c r="BP74">
        <f>IF($BO74="","",IFERROR(VLOOKUP($BO74,'01_Warehouse_Ledger'!$A:$N,4,FALSE),""))</f>
      </c>
      <c r="BQ74">
        <f>IF($BO74="","",IFERROR(VLOOKUP($BO74,'01_Warehouse_Ledger'!$A:$N,5,FALSE),""))</f>
      </c>
      <c r="BR74">
        <f>IF($BO74="","",IFERROR(VLOOKUP($BO74,'01_Warehouse_Ledger'!$A:$N,13,FALSE),""))</f>
      </c>
    </row>
    <row r="75">
      <c r="A75" t="s">
        <v>1415</v>
      </c>
      <c r="B75" t="s">
        <v>1657</v>
      </c>
      <c r="C75" t="s">
        <v>1657</v>
      </c>
      <c r="D75">
        <f>IF($B75&lt;&gt;"Yes","",IF($C75="No","Yes",IF($C75="Yes","No","")))</f>
      </c>
      <c r="E75">
        <f>IF($A75="","",IF($A75="Neuron",IF(OR(AND($R75&lt;&gt;"",LOWER(TRIM($R75))&lt;&gt;"n/a",COUNTIF($S$2:$S$532,$R75)&gt;1),AND($T75&lt;&gt;"",LOWER(TRIM($T75))&lt;&gt;"n/a",COUNTIF($T$2:$T$532,$T75)&gt;1),AND($W75&lt;&gt;"",LOWER(TRIM($W75))&lt;&gt;"n/a",COUNTIF($W$2:$W$532,$W75)&gt;1)),"Yes","No"),IF($A75="Cybernet",IF(OR(AND($Y75&lt;&gt;"",LOWER(TRIM($Y75))&lt;&gt;"n/a",COUNTIF($Y$2:$Y$532,$Y75)&gt;1),AND($Z75&lt;&gt;"",LOWER(TRIM($Z75))&lt;&gt;"n/a",COUNTIF($Z$2:$Z$532,$Z75)&gt;1)),"Yes","No"),IF(AND($AL75&lt;&gt;"",LOWER(TRIM($AL75))&lt;&gt;"n/a",COUNTIF($AL$2:$AL$532,$AL75)&gt;1),"Yes","No"))))</f>
      </c>
      <c r="F75">
        <f>IF($B75&lt;&gt;"Yes","",
IF($A75="Neuron",
IF(OR(
AND($R75&lt;&gt;"",LOWER(TRIM($R75))&lt;&gt;"n/a",COUNTIFS($B$2:$B$532,"Yes",$A$2:$A$532,"Neuron",$S$2:$S$532,$R75)&gt;1),
AND($T75&lt;&gt;"",LOWER(TRIM($T75))&lt;&gt;"n/a",COUNTIFS($B$2:$B$532,"Yes",$A$2:$A$532,"Neuron",$T$2:$T$532,$T75)&gt;1),
AND($W75&lt;&gt;"",LOWER(TRIM($W75))&lt;&gt;"n/a",COUNTIFS($B$2:$B$532,"Yes",$A$2:$A$532,"Neuron",$W$2:$W$532,$W75)&gt;1)
),"Yes","No"),
IF($A75="Cybernet",
IF(OR(
AND($Y75&lt;&gt;"",LOWER(TRIM($Y75))&lt;&gt;"n/a",COUNTIFS($B$2:$B$532,"Yes",$A$2:$A$532,"Cybernet",$Y$2:$Y$532,$Y75)&gt;1),
AND($Z75&lt;&gt;"",LOWER(TRIM($Z75))&lt;&gt;"n/a",COUNTIFS($B$2:$B$532,"Yes",$A$2:$A$532,"Cybernet",$Z$2:$Z$532,$Z75)&gt;1)
),"Yes","No"),
IF(AND($AL75&lt;&gt;"",LOWER(TRIM($AL75))&lt;&gt;"n/a"),
IF(COUNTIFS($B$2:$B$532,"Yes",$A$2:$A$532,$A75,$AL$2:$AL$532,$AL75)&gt;1,"Yes","No"),
"No")
)
)
)</f>
      </c>
      <c r="G75" t="s">
        <v>1880</v>
      </c>
      <c r="H75" t="s">
        <v>2357</v>
      </c>
      <c r="I75" t="s">
        <v>1831</v>
      </c>
      <c r="J75" t="s">
        <v>1727</v>
      </c>
      <c r="K75" t="s">
        <v>1657</v>
      </c>
      <c r="L75" t="s">
        <v>1657</v>
      </c>
      <c r="R75" t="s">
        <v>2232</v>
      </c>
      <c r="Y75" t="s">
        <v>1951</v>
      </c>
      <c r="Z75" t="s">
        <v>1961</v>
      </c>
      <c r="BI75" t="s">
        <v>1630</v>
      </c>
      <c r="BL75">
        <f>IF($T75="","",IF((IF(AND($AW75&lt;&gt;"Yes",$AW75&lt;&gt;"N/A"),"Power Cable, ","")&amp;IF(AND($AX75&lt;&gt;"Yes",$AX75&lt;&gt;"N/A"),"Battery, ","")&amp;IF(AND($BE75&lt;&gt;"Yes",$BE75&lt;&gt;"N/A"),"Firmware Download, ","")&amp;IF(AND(OR($BE75="Yes",$BE75="N/A"),$BF75&lt;&gt;"Yes",$BF75&lt;&gt;"N/A"),"Firmware Install, ","")&amp;IF(AND($BJ75&lt;&gt;"Yes",$BJ75&lt;&gt;"N/A"),"Device ID, ","")&amp;IF(AND($BK75&lt;&gt;"Yes",$BK75&lt;&gt;"N/A"),"Epic Beans Relay, ",""))="","",LEFT(IF(AND($AW75&lt;&gt;"Yes",$AW75&lt;&gt;"N/A"),"Power Cable, ","")&amp;IF(AND($AX75&lt;&gt;"Yes",$AX75&lt;&gt;"N/A"),"Battery, ","")&amp;IF(AND($BE75&lt;&gt;"Yes",$BE75&lt;&gt;"N/A"),"Firmware Download, ","")&amp;IF(AND(OR($BE75="Yes",$BE75="N/A"),$BF75&lt;&gt;"Yes",$BF75&lt;&gt;"N/A"),"Firmware Install, ","")&amp;IF(AND($BJ75&lt;&gt;"Yes",$BJ75&lt;&gt;"N/A"),"Device ID, ","")&amp;IF(AND($BK75&lt;&gt;"Yes",$BK75&lt;&gt;"N/A"),"Epic Beans Relay, ",""),LEN(IF(AND($AW75&lt;&gt;"Yes",$AW75&lt;&gt;"N/A"),"Power Cable, ","")&amp;IF(AND($AX75&lt;&gt;"Yes",$AX75&lt;&gt;"N/A"),"Battery, ","")&amp;IF(AND($BE75&lt;&gt;"Yes",$BE75&lt;&gt;"N/A"),"Firmware Download, ","")&amp;IF(AND(OR($BE75="Yes",$BE75="N/A"),$BF75&lt;&gt;"Yes",$BF75&lt;&gt;"N/A"),"Firmware Install, ","")&amp;IF(AND($BJ75&lt;&gt;"Yes",$BJ75&lt;&gt;"N/A"),"Device ID, ","")&amp;IF(AND($BK75&lt;&gt;"Yes",$BK75&lt;&gt;"N/A"),"Epic Beans Relay, ",""))-2)))</f>
      </c>
      <c r="BM75">
        <f>IF($T75="","",IF($BL75="","Yes","Blocked"))</f>
      </c>
      <c r="BP75">
        <f>IF($BO75="","",IFERROR(VLOOKUP($BO75,'01_Warehouse_Ledger'!$A:$N,4,FALSE),""))</f>
      </c>
      <c r="BQ75">
        <f>IF($BO75="","",IFERROR(VLOOKUP($BO75,'01_Warehouse_Ledger'!$A:$N,5,FALSE),""))</f>
      </c>
      <c r="BR75">
        <f>IF($BO75="","",IFERROR(VLOOKUP($BO75,'01_Warehouse_Ledger'!$A:$N,13,FALSE),""))</f>
      </c>
    </row>
    <row r="76">
      <c r="A76" t="s">
        <v>1415</v>
      </c>
      <c r="B76" t="s">
        <v>1657</v>
      </c>
      <c r="C76" t="s">
        <v>1657</v>
      </c>
      <c r="D76">
        <f>IF($B76&lt;&gt;"Yes","",IF($C76="No","Yes",IF($C76="Yes","No","")))</f>
      </c>
      <c r="E76">
        <f>IF($A76="","",IF($A76="Neuron",IF(OR(AND($R76&lt;&gt;"",LOWER(TRIM($R76))&lt;&gt;"n/a",COUNTIF($S$2:$S$532,$R76)&gt;1),AND($T76&lt;&gt;"",LOWER(TRIM($T76))&lt;&gt;"n/a",COUNTIF($T$2:$T$532,$T76)&gt;1),AND($W76&lt;&gt;"",LOWER(TRIM($W76))&lt;&gt;"n/a",COUNTIF($W$2:$W$532,$W76)&gt;1)),"Yes","No"),IF($A76="Cybernet",IF(OR(AND($Y76&lt;&gt;"",LOWER(TRIM($Y76))&lt;&gt;"n/a",COUNTIF($Y$2:$Y$532,$Y76)&gt;1),AND($Z76&lt;&gt;"",LOWER(TRIM($Z76))&lt;&gt;"n/a",COUNTIF($Z$2:$Z$532,$Z76)&gt;1)),"Yes","No"),IF(AND($AL76&lt;&gt;"",LOWER(TRIM($AL76))&lt;&gt;"n/a",COUNTIF($AL$2:$AL$532,$AL76)&gt;1),"Yes","No"))))</f>
      </c>
      <c r="F76">
        <f>IF($B76&lt;&gt;"Yes","",
IF($A76="Neuron",
IF(OR(
AND($R76&lt;&gt;"",LOWER(TRIM($R76))&lt;&gt;"n/a",COUNTIFS($B$2:$B$532,"Yes",$A$2:$A$532,"Neuron",$S$2:$S$532,$R76)&gt;1),
AND($T76&lt;&gt;"",LOWER(TRIM($T76))&lt;&gt;"n/a",COUNTIFS($B$2:$B$532,"Yes",$A$2:$A$532,"Neuron",$T$2:$T$532,$T76)&gt;1),
AND($W76&lt;&gt;"",LOWER(TRIM($W76))&lt;&gt;"n/a",COUNTIFS($B$2:$B$532,"Yes",$A$2:$A$532,"Neuron",$W$2:$W$532,$W76)&gt;1)
),"Yes","No"),
IF($A76="Cybernet",
IF(OR(
AND($Y76&lt;&gt;"",LOWER(TRIM($Y76))&lt;&gt;"n/a",COUNTIFS($B$2:$B$532,"Yes",$A$2:$A$532,"Cybernet",$Y$2:$Y$532,$Y76)&gt;1),
AND($Z76&lt;&gt;"",LOWER(TRIM($Z76))&lt;&gt;"n/a",COUNTIFS($B$2:$B$532,"Yes",$A$2:$A$532,"Cybernet",$Z$2:$Z$532,$Z76)&gt;1)
),"Yes","No"),
IF(AND($AL76&lt;&gt;"",LOWER(TRIM($AL76))&lt;&gt;"n/a"),
IF(COUNTIFS($B$2:$B$532,"Yes",$A$2:$A$532,$A76,$AL$2:$AL$532,$AL76)&gt;1,"Yes","No"),
"No")
)
)
)</f>
      </c>
      <c r="G76" t="s">
        <v>1880</v>
      </c>
      <c r="H76" t="s">
        <v>2357</v>
      </c>
      <c r="I76" t="s">
        <v>1831</v>
      </c>
      <c r="J76" t="s">
        <v>1727</v>
      </c>
      <c r="K76" t="s">
        <v>1657</v>
      </c>
      <c r="L76" t="s">
        <v>1657</v>
      </c>
      <c r="R76" t="s">
        <v>2014</v>
      </c>
      <c r="Y76" t="s">
        <v>2298</v>
      </c>
      <c r="Z76" t="s">
        <v>2156</v>
      </c>
      <c r="BI76" t="s">
        <v>1630</v>
      </c>
      <c r="BL76">
        <f>IF($T76="","",IF((IF(AND($AW76&lt;&gt;"Yes",$AW76&lt;&gt;"N/A"),"Power Cable, ","")&amp;IF(AND($AX76&lt;&gt;"Yes",$AX76&lt;&gt;"N/A"),"Battery, ","")&amp;IF(AND($BE76&lt;&gt;"Yes",$BE76&lt;&gt;"N/A"),"Firmware Download, ","")&amp;IF(AND(OR($BE76="Yes",$BE76="N/A"),$BF76&lt;&gt;"Yes",$BF76&lt;&gt;"N/A"),"Firmware Install, ","")&amp;IF(AND($BJ76&lt;&gt;"Yes",$BJ76&lt;&gt;"N/A"),"Device ID, ","")&amp;IF(AND($BK76&lt;&gt;"Yes",$BK76&lt;&gt;"N/A"),"Epic Beans Relay, ",""))="","",LEFT(IF(AND($AW76&lt;&gt;"Yes",$AW76&lt;&gt;"N/A"),"Power Cable, ","")&amp;IF(AND($AX76&lt;&gt;"Yes",$AX76&lt;&gt;"N/A"),"Battery, ","")&amp;IF(AND($BE76&lt;&gt;"Yes",$BE76&lt;&gt;"N/A"),"Firmware Download, ","")&amp;IF(AND(OR($BE76="Yes",$BE76="N/A"),$BF76&lt;&gt;"Yes",$BF76&lt;&gt;"N/A"),"Firmware Install, ","")&amp;IF(AND($BJ76&lt;&gt;"Yes",$BJ76&lt;&gt;"N/A"),"Device ID, ","")&amp;IF(AND($BK76&lt;&gt;"Yes",$BK76&lt;&gt;"N/A"),"Epic Beans Relay, ",""),LEN(IF(AND($AW76&lt;&gt;"Yes",$AW76&lt;&gt;"N/A"),"Power Cable, ","")&amp;IF(AND($AX76&lt;&gt;"Yes",$AX76&lt;&gt;"N/A"),"Battery, ","")&amp;IF(AND($BE76&lt;&gt;"Yes",$BE76&lt;&gt;"N/A"),"Firmware Download, ","")&amp;IF(AND(OR($BE76="Yes",$BE76="N/A"),$BF76&lt;&gt;"Yes",$BF76&lt;&gt;"N/A"),"Firmware Install, ","")&amp;IF(AND($BJ76&lt;&gt;"Yes",$BJ76&lt;&gt;"N/A"),"Device ID, ","")&amp;IF(AND($BK76&lt;&gt;"Yes",$BK76&lt;&gt;"N/A"),"Epic Beans Relay, ",""))-2)))</f>
      </c>
      <c r="BM76">
        <f>IF($T76="","",IF($BL76="","Yes","Blocked"))</f>
      </c>
      <c r="BP76">
        <f>IF($BO76="","",IFERROR(VLOOKUP($BO76,'01_Warehouse_Ledger'!$A:$N,4,FALSE),""))</f>
      </c>
      <c r="BQ76">
        <f>IF($BO76="","",IFERROR(VLOOKUP($BO76,'01_Warehouse_Ledger'!$A:$N,5,FALSE),""))</f>
      </c>
      <c r="BR76">
        <f>IF($BO76="","",IFERROR(VLOOKUP($BO76,'01_Warehouse_Ledger'!$A:$N,13,FALSE),""))</f>
      </c>
    </row>
    <row r="77">
      <c r="A77" t="s">
        <v>1415</v>
      </c>
      <c r="B77" t="s">
        <v>1657</v>
      </c>
      <c r="C77" t="s">
        <v>1657</v>
      </c>
      <c r="D77">
        <f>IF($B77&lt;&gt;"Yes","",IF($C77="No","Yes",IF($C77="Yes","No","")))</f>
      </c>
      <c r="E77">
        <f>IF($A77="","",IF($A77="Neuron",IF(OR(AND($R77&lt;&gt;"",LOWER(TRIM($R77))&lt;&gt;"n/a",COUNTIF($S$2:$S$532,$R77)&gt;1),AND($T77&lt;&gt;"",LOWER(TRIM($T77))&lt;&gt;"n/a",COUNTIF($T$2:$T$532,$T77)&gt;1),AND($W77&lt;&gt;"",LOWER(TRIM($W77))&lt;&gt;"n/a",COUNTIF($W$2:$W$532,$W77)&gt;1)),"Yes","No"),IF($A77="Cybernet",IF(OR(AND($Y77&lt;&gt;"",LOWER(TRIM($Y77))&lt;&gt;"n/a",COUNTIF($Y$2:$Y$532,$Y77)&gt;1),AND($Z77&lt;&gt;"",LOWER(TRIM($Z77))&lt;&gt;"n/a",COUNTIF($Z$2:$Z$532,$Z77)&gt;1)),"Yes","No"),IF(AND($AL77&lt;&gt;"",LOWER(TRIM($AL77))&lt;&gt;"n/a",COUNTIF($AL$2:$AL$532,$AL77)&gt;1),"Yes","No"))))</f>
      </c>
      <c r="F77">
        <f>IF($B77&lt;&gt;"Yes","",
IF($A77="Neuron",
IF(OR(
AND($R77&lt;&gt;"",LOWER(TRIM($R77))&lt;&gt;"n/a",COUNTIFS($B$2:$B$532,"Yes",$A$2:$A$532,"Neuron",$S$2:$S$532,$R77)&gt;1),
AND($T77&lt;&gt;"",LOWER(TRIM($T77))&lt;&gt;"n/a",COUNTIFS($B$2:$B$532,"Yes",$A$2:$A$532,"Neuron",$T$2:$T$532,$T77)&gt;1),
AND($W77&lt;&gt;"",LOWER(TRIM($W77))&lt;&gt;"n/a",COUNTIFS($B$2:$B$532,"Yes",$A$2:$A$532,"Neuron",$W$2:$W$532,$W77)&gt;1)
),"Yes","No"),
IF($A77="Cybernet",
IF(OR(
AND($Y77&lt;&gt;"",LOWER(TRIM($Y77))&lt;&gt;"n/a",COUNTIFS($B$2:$B$532,"Yes",$A$2:$A$532,"Cybernet",$Y$2:$Y$532,$Y77)&gt;1),
AND($Z77&lt;&gt;"",LOWER(TRIM($Z77))&lt;&gt;"n/a",COUNTIFS($B$2:$B$532,"Yes",$A$2:$A$532,"Cybernet",$Z$2:$Z$532,$Z77)&gt;1)
),"Yes","No"),
IF(AND($AL77&lt;&gt;"",LOWER(TRIM($AL77))&lt;&gt;"n/a"),
IF(COUNTIFS($B$2:$B$532,"Yes",$A$2:$A$532,$A77,$AL$2:$AL$532,$AL77)&gt;1,"Yes","No"),
"No")
)
)
)</f>
      </c>
      <c r="G77" t="s">
        <v>1880</v>
      </c>
      <c r="H77" t="s">
        <v>2357</v>
      </c>
      <c r="I77" t="s">
        <v>1831</v>
      </c>
      <c r="J77" t="s">
        <v>1727</v>
      </c>
      <c r="K77" t="s">
        <v>1657</v>
      </c>
      <c r="L77" t="s">
        <v>1657</v>
      </c>
      <c r="R77" t="s">
        <v>1985</v>
      </c>
      <c r="Y77" t="s">
        <v>1643</v>
      </c>
      <c r="Z77" t="s">
        <v>2319</v>
      </c>
      <c r="BI77" t="s">
        <v>1630</v>
      </c>
      <c r="BL77">
        <f>IF($T77="","",IF((IF(AND($AW77&lt;&gt;"Yes",$AW77&lt;&gt;"N/A"),"Power Cable, ","")&amp;IF(AND($AX77&lt;&gt;"Yes",$AX77&lt;&gt;"N/A"),"Battery, ","")&amp;IF(AND($BE77&lt;&gt;"Yes",$BE77&lt;&gt;"N/A"),"Firmware Download, ","")&amp;IF(AND(OR($BE77="Yes",$BE77="N/A"),$BF77&lt;&gt;"Yes",$BF77&lt;&gt;"N/A"),"Firmware Install, ","")&amp;IF(AND($BJ77&lt;&gt;"Yes",$BJ77&lt;&gt;"N/A"),"Device ID, ","")&amp;IF(AND($BK77&lt;&gt;"Yes",$BK77&lt;&gt;"N/A"),"Epic Beans Relay, ",""))="","",LEFT(IF(AND($AW77&lt;&gt;"Yes",$AW77&lt;&gt;"N/A"),"Power Cable, ","")&amp;IF(AND($AX77&lt;&gt;"Yes",$AX77&lt;&gt;"N/A"),"Battery, ","")&amp;IF(AND($BE77&lt;&gt;"Yes",$BE77&lt;&gt;"N/A"),"Firmware Download, ","")&amp;IF(AND(OR($BE77="Yes",$BE77="N/A"),$BF77&lt;&gt;"Yes",$BF77&lt;&gt;"N/A"),"Firmware Install, ","")&amp;IF(AND($BJ77&lt;&gt;"Yes",$BJ77&lt;&gt;"N/A"),"Device ID, ","")&amp;IF(AND($BK77&lt;&gt;"Yes",$BK77&lt;&gt;"N/A"),"Epic Beans Relay, ",""),LEN(IF(AND($AW77&lt;&gt;"Yes",$AW77&lt;&gt;"N/A"),"Power Cable, ","")&amp;IF(AND($AX77&lt;&gt;"Yes",$AX77&lt;&gt;"N/A"),"Battery, ","")&amp;IF(AND($BE77&lt;&gt;"Yes",$BE77&lt;&gt;"N/A"),"Firmware Download, ","")&amp;IF(AND(OR($BE77="Yes",$BE77="N/A"),$BF77&lt;&gt;"Yes",$BF77&lt;&gt;"N/A"),"Firmware Install, ","")&amp;IF(AND($BJ77&lt;&gt;"Yes",$BJ77&lt;&gt;"N/A"),"Device ID, ","")&amp;IF(AND($BK77&lt;&gt;"Yes",$BK77&lt;&gt;"N/A"),"Epic Beans Relay, ",""))-2)))</f>
      </c>
      <c r="BM77">
        <f>IF($T77="","",IF($BL77="","Yes","Blocked"))</f>
      </c>
      <c r="BP77">
        <f>IF($BO77="","",IFERROR(VLOOKUP($BO77,'01_Warehouse_Ledger'!$A:$N,4,FALSE),""))</f>
      </c>
      <c r="BQ77">
        <f>IF($BO77="","",IFERROR(VLOOKUP($BO77,'01_Warehouse_Ledger'!$A:$N,5,FALSE),""))</f>
      </c>
      <c r="BR77">
        <f>IF($BO77="","",IFERROR(VLOOKUP($BO77,'01_Warehouse_Ledger'!$A:$N,13,FALSE),""))</f>
      </c>
    </row>
    <row r="78">
      <c r="A78" t="s">
        <v>1415</v>
      </c>
      <c r="C78" t="s">
        <v>1657</v>
      </c>
      <c r="D78">
        <f>IF($B78&lt;&gt;"Yes","",IF($C78="No","Yes",IF($C78="Yes","No","")))</f>
      </c>
      <c r="E78">
        <f>IF($A78="","",IF($A78="Neuron",IF(OR(AND($R78&lt;&gt;"",LOWER(TRIM($R78))&lt;&gt;"n/a",COUNTIF($S$2:$S$532,$R78)&gt;1),AND($T78&lt;&gt;"",LOWER(TRIM($T78))&lt;&gt;"n/a",COUNTIF($T$2:$T$532,$T78)&gt;1),AND($W78&lt;&gt;"",LOWER(TRIM($W78))&lt;&gt;"n/a",COUNTIF($W$2:$W$532,$W78)&gt;1)),"Yes","No"),IF($A78="Cybernet",IF(OR(AND($Y78&lt;&gt;"",LOWER(TRIM($Y78))&lt;&gt;"n/a",COUNTIF($Y$2:$Y$532,$Y78)&gt;1),AND($Z78&lt;&gt;"",LOWER(TRIM($Z78))&lt;&gt;"n/a",COUNTIF($Z$2:$Z$532,$Z78)&gt;1)),"Yes","No"),IF(AND($AL78&lt;&gt;"",LOWER(TRIM($AL78))&lt;&gt;"n/a",COUNTIF($AL$2:$AL$532,$AL78)&gt;1),"Yes","No"))))</f>
      </c>
      <c r="F78">
        <f>IF($B78&lt;&gt;"Yes","",
IF($A78="Neuron",
IF(OR(
AND($R78&lt;&gt;"",LOWER(TRIM($R78))&lt;&gt;"n/a",COUNTIFS($B$2:$B$532,"Yes",$A$2:$A$532,"Neuron",$S$2:$S$532,$R78)&gt;1),
AND($T78&lt;&gt;"",LOWER(TRIM($T78))&lt;&gt;"n/a",COUNTIFS($B$2:$B$532,"Yes",$A$2:$A$532,"Neuron",$T$2:$T$532,$T78)&gt;1),
AND($W78&lt;&gt;"",LOWER(TRIM($W78))&lt;&gt;"n/a",COUNTIFS($B$2:$B$532,"Yes",$A$2:$A$532,"Neuron",$W$2:$W$532,$W78)&gt;1)
),"Yes","No"),
IF($A78="Cybernet",
IF(OR(
AND($Y78&lt;&gt;"",LOWER(TRIM($Y78))&lt;&gt;"n/a",COUNTIFS($B$2:$B$532,"Yes",$A$2:$A$532,"Cybernet",$Y$2:$Y$532,$Y78)&gt;1),
AND($Z78&lt;&gt;"",LOWER(TRIM($Z78))&lt;&gt;"n/a",COUNTIFS($B$2:$B$532,"Yes",$A$2:$A$532,"Cybernet",$Z$2:$Z$532,$Z78)&gt;1)
),"Yes","No"),
IF(AND($AL78&lt;&gt;"",LOWER(TRIM($AL78))&lt;&gt;"n/a"),
IF(COUNTIFS($B$2:$B$532,"Yes",$A$2:$A$532,$A78,$AL$2:$AL$532,$AL78)&gt;1,"Yes","No"),
"No")
)
)
)</f>
      </c>
      <c r="G78" t="s">
        <v>1880</v>
      </c>
      <c r="H78" t="s">
        <v>1362</v>
      </c>
      <c r="I78" t="s">
        <v>1831</v>
      </c>
      <c r="J78" t="s">
        <v>1727</v>
      </c>
      <c r="K78" t="s">
        <v>1657</v>
      </c>
      <c r="L78" t="s">
        <v>1657</v>
      </c>
      <c r="R78" t="s">
        <v>1978</v>
      </c>
      <c r="Y78" t="s">
        <v>2288</v>
      </c>
      <c r="Z78" t="s">
        <v>1798</v>
      </c>
      <c r="BI78" t="s">
        <v>1630</v>
      </c>
      <c r="BL78">
        <f>IF($T78="","",IF((IF(AND($AW78&lt;&gt;"Yes",$AW78&lt;&gt;"N/A"),"Power Cable, ","")&amp;IF(AND($AX78&lt;&gt;"Yes",$AX78&lt;&gt;"N/A"),"Battery, ","")&amp;IF(AND($BE78&lt;&gt;"Yes",$BE78&lt;&gt;"N/A"),"Firmware Download, ","")&amp;IF(AND(OR($BE78="Yes",$BE78="N/A"),$BF78&lt;&gt;"Yes",$BF78&lt;&gt;"N/A"),"Firmware Install, ","")&amp;IF(AND($BJ78&lt;&gt;"Yes",$BJ78&lt;&gt;"N/A"),"Device ID, ","")&amp;IF(AND($BK78&lt;&gt;"Yes",$BK78&lt;&gt;"N/A"),"Epic Beans Relay, ",""))="","",LEFT(IF(AND($AW78&lt;&gt;"Yes",$AW78&lt;&gt;"N/A"),"Power Cable, ","")&amp;IF(AND($AX78&lt;&gt;"Yes",$AX78&lt;&gt;"N/A"),"Battery, ","")&amp;IF(AND($BE78&lt;&gt;"Yes",$BE78&lt;&gt;"N/A"),"Firmware Download, ","")&amp;IF(AND(OR($BE78="Yes",$BE78="N/A"),$BF78&lt;&gt;"Yes",$BF78&lt;&gt;"N/A"),"Firmware Install, ","")&amp;IF(AND($BJ78&lt;&gt;"Yes",$BJ78&lt;&gt;"N/A"),"Device ID, ","")&amp;IF(AND($BK78&lt;&gt;"Yes",$BK78&lt;&gt;"N/A"),"Epic Beans Relay, ",""),LEN(IF(AND($AW78&lt;&gt;"Yes",$AW78&lt;&gt;"N/A"),"Power Cable, ","")&amp;IF(AND($AX78&lt;&gt;"Yes",$AX78&lt;&gt;"N/A"),"Battery, ","")&amp;IF(AND($BE78&lt;&gt;"Yes",$BE78&lt;&gt;"N/A"),"Firmware Download, ","")&amp;IF(AND(OR($BE78="Yes",$BE78="N/A"),$BF78&lt;&gt;"Yes",$BF78&lt;&gt;"N/A"),"Firmware Install, ","")&amp;IF(AND($BJ78&lt;&gt;"Yes",$BJ78&lt;&gt;"N/A"),"Device ID, ","")&amp;IF(AND($BK78&lt;&gt;"Yes",$BK78&lt;&gt;"N/A"),"Epic Beans Relay, ",""))-2)))</f>
      </c>
      <c r="BM78">
        <f>IF($T78="","",IF($BL78="","Yes","Blocked"))</f>
      </c>
      <c r="BP78">
        <f>IF($BO78="","",IFERROR(VLOOKUP($BO78,'01_Warehouse_Ledger'!$A:$N,4,FALSE),""))</f>
      </c>
      <c r="BQ78">
        <f>IF($BO78="","",IFERROR(VLOOKUP($BO78,'01_Warehouse_Ledger'!$A:$N,5,FALSE),""))</f>
      </c>
      <c r="BR78">
        <f>IF($BO78="","",IFERROR(VLOOKUP($BO78,'01_Warehouse_Ledger'!$A:$N,13,FALSE),""))</f>
      </c>
    </row>
    <row r="79">
      <c r="A79" t="s">
        <v>1415</v>
      </c>
      <c r="C79" t="s">
        <v>1657</v>
      </c>
      <c r="D79">
        <f>IF($B79&lt;&gt;"Yes","",IF($C79="No","Yes",IF($C79="Yes","No","")))</f>
      </c>
      <c r="E79">
        <f>IF($A79="","",IF($A79="Neuron",IF(OR(AND($R79&lt;&gt;"",LOWER(TRIM($R79))&lt;&gt;"n/a",COUNTIF($S$2:$S$532,$R79)&gt;1),AND($T79&lt;&gt;"",LOWER(TRIM($T79))&lt;&gt;"n/a",COUNTIF($T$2:$T$532,$T79)&gt;1),AND($W79&lt;&gt;"",LOWER(TRIM($W79))&lt;&gt;"n/a",COUNTIF($W$2:$W$532,$W79)&gt;1)),"Yes","No"),IF($A79="Cybernet",IF(OR(AND($Y79&lt;&gt;"",LOWER(TRIM($Y79))&lt;&gt;"n/a",COUNTIF($Y$2:$Y$532,$Y79)&gt;1),AND($Z79&lt;&gt;"",LOWER(TRIM($Z79))&lt;&gt;"n/a",COUNTIF($Z$2:$Z$532,$Z79)&gt;1)),"Yes","No"),IF(AND($AL79&lt;&gt;"",LOWER(TRIM($AL79))&lt;&gt;"n/a",COUNTIF($AL$2:$AL$532,$AL79)&gt;1),"Yes","No"))))</f>
      </c>
      <c r="F79">
        <f>IF($B79&lt;&gt;"Yes","",
IF($A79="Neuron",
IF(OR(
AND($R79&lt;&gt;"",LOWER(TRIM($R79))&lt;&gt;"n/a",COUNTIFS($B$2:$B$532,"Yes",$A$2:$A$532,"Neuron",$S$2:$S$532,$R79)&gt;1),
AND($T79&lt;&gt;"",LOWER(TRIM($T79))&lt;&gt;"n/a",COUNTIFS($B$2:$B$532,"Yes",$A$2:$A$532,"Neuron",$T$2:$T$532,$T79)&gt;1),
AND($W79&lt;&gt;"",LOWER(TRIM($W79))&lt;&gt;"n/a",COUNTIFS($B$2:$B$532,"Yes",$A$2:$A$532,"Neuron",$W$2:$W$532,$W79)&gt;1)
),"Yes","No"),
IF($A79="Cybernet",
IF(OR(
AND($Y79&lt;&gt;"",LOWER(TRIM($Y79))&lt;&gt;"n/a",COUNTIFS($B$2:$B$532,"Yes",$A$2:$A$532,"Cybernet",$Y$2:$Y$532,$Y79)&gt;1),
AND($Z79&lt;&gt;"",LOWER(TRIM($Z79))&lt;&gt;"n/a",COUNTIFS($B$2:$B$532,"Yes",$A$2:$A$532,"Cybernet",$Z$2:$Z$532,$Z79)&gt;1)
),"Yes","No"),
IF(AND($AL79&lt;&gt;"",LOWER(TRIM($AL79))&lt;&gt;"n/a"),
IF(COUNTIFS($B$2:$B$532,"Yes",$A$2:$A$532,$A79,$AL$2:$AL$532,$AL79)&gt;1,"Yes","No"),
"No")
)
)
)</f>
      </c>
      <c r="G79" t="s">
        <v>1880</v>
      </c>
      <c r="H79" t="s">
        <v>1362</v>
      </c>
      <c r="I79" t="s">
        <v>1831</v>
      </c>
      <c r="J79" t="s">
        <v>1727</v>
      </c>
      <c r="K79" t="s">
        <v>1657</v>
      </c>
      <c r="L79" t="s">
        <v>1657</v>
      </c>
      <c r="R79" t="s">
        <v>2401</v>
      </c>
      <c r="Y79" t="s">
        <v>1677</v>
      </c>
      <c r="Z79" t="s">
        <v>2277</v>
      </c>
      <c r="BI79" t="s">
        <v>1630</v>
      </c>
      <c r="BL79">
        <f>IF($T79="","",IF((IF(AND($AW79&lt;&gt;"Yes",$AW79&lt;&gt;"N/A"),"Power Cable, ","")&amp;IF(AND($AX79&lt;&gt;"Yes",$AX79&lt;&gt;"N/A"),"Battery, ","")&amp;IF(AND($BE79&lt;&gt;"Yes",$BE79&lt;&gt;"N/A"),"Firmware Download, ","")&amp;IF(AND(OR($BE79="Yes",$BE79="N/A"),$BF79&lt;&gt;"Yes",$BF79&lt;&gt;"N/A"),"Firmware Install, ","")&amp;IF(AND($BJ79&lt;&gt;"Yes",$BJ79&lt;&gt;"N/A"),"Device ID, ","")&amp;IF(AND($BK79&lt;&gt;"Yes",$BK79&lt;&gt;"N/A"),"Epic Beans Relay, ",""))="","",LEFT(IF(AND($AW79&lt;&gt;"Yes",$AW79&lt;&gt;"N/A"),"Power Cable, ","")&amp;IF(AND($AX79&lt;&gt;"Yes",$AX79&lt;&gt;"N/A"),"Battery, ","")&amp;IF(AND($BE79&lt;&gt;"Yes",$BE79&lt;&gt;"N/A"),"Firmware Download, ","")&amp;IF(AND(OR($BE79="Yes",$BE79="N/A"),$BF79&lt;&gt;"Yes",$BF79&lt;&gt;"N/A"),"Firmware Install, ","")&amp;IF(AND($BJ79&lt;&gt;"Yes",$BJ79&lt;&gt;"N/A"),"Device ID, ","")&amp;IF(AND($BK79&lt;&gt;"Yes",$BK79&lt;&gt;"N/A"),"Epic Beans Relay, ",""),LEN(IF(AND($AW79&lt;&gt;"Yes",$AW79&lt;&gt;"N/A"),"Power Cable, ","")&amp;IF(AND($AX79&lt;&gt;"Yes",$AX79&lt;&gt;"N/A"),"Battery, ","")&amp;IF(AND($BE79&lt;&gt;"Yes",$BE79&lt;&gt;"N/A"),"Firmware Download, ","")&amp;IF(AND(OR($BE79="Yes",$BE79="N/A"),$BF79&lt;&gt;"Yes",$BF79&lt;&gt;"N/A"),"Firmware Install, ","")&amp;IF(AND($BJ79&lt;&gt;"Yes",$BJ79&lt;&gt;"N/A"),"Device ID, ","")&amp;IF(AND($BK79&lt;&gt;"Yes",$BK79&lt;&gt;"N/A"),"Epic Beans Relay, ",""))-2)))</f>
      </c>
      <c r="BM79">
        <f>IF($T79="","",IF($BL79="","Yes","Blocked"))</f>
      </c>
      <c r="BP79">
        <f>IF($BO79="","",IFERROR(VLOOKUP($BO79,'01_Warehouse_Ledger'!$A:$N,4,FALSE),""))</f>
      </c>
      <c r="BQ79">
        <f>IF($BO79="","",IFERROR(VLOOKUP($BO79,'01_Warehouse_Ledger'!$A:$N,5,FALSE),""))</f>
      </c>
      <c r="BR79">
        <f>IF($BO79="","",IFERROR(VLOOKUP($BO79,'01_Warehouse_Ledger'!$A:$N,13,FALSE),""))</f>
      </c>
    </row>
    <row r="80">
      <c r="A80" t="s">
        <v>1415</v>
      </c>
      <c r="C80" t="s">
        <v>1657</v>
      </c>
      <c r="D80">
        <f>IF($B80&lt;&gt;"Yes","",IF($C80="No","Yes",IF($C80="Yes","No","")))</f>
      </c>
      <c r="E80">
        <f>IF($A80="","",IF($A80="Neuron",IF(OR(AND($R80&lt;&gt;"",LOWER(TRIM($R80))&lt;&gt;"n/a",COUNTIF($S$2:$S$532,$R80)&gt;1),AND($T80&lt;&gt;"",LOWER(TRIM($T80))&lt;&gt;"n/a",COUNTIF($T$2:$T$532,$T80)&gt;1),AND($W80&lt;&gt;"",LOWER(TRIM($W80))&lt;&gt;"n/a",COUNTIF($W$2:$W$532,$W80)&gt;1)),"Yes","No"),IF($A80="Cybernet",IF(OR(AND($Y80&lt;&gt;"",LOWER(TRIM($Y80))&lt;&gt;"n/a",COUNTIF($Y$2:$Y$532,$Y80)&gt;1),AND($Z80&lt;&gt;"",LOWER(TRIM($Z80))&lt;&gt;"n/a",COUNTIF($Z$2:$Z$532,$Z80)&gt;1)),"Yes","No"),IF(AND($AL80&lt;&gt;"",LOWER(TRIM($AL80))&lt;&gt;"n/a",COUNTIF($AL$2:$AL$532,$AL80)&gt;1),"Yes","No"))))</f>
      </c>
      <c r="F80">
        <f>IF($B80&lt;&gt;"Yes","",
IF($A80="Neuron",
IF(OR(
AND($R80&lt;&gt;"",LOWER(TRIM($R80))&lt;&gt;"n/a",COUNTIFS($B$2:$B$532,"Yes",$A$2:$A$532,"Neuron",$S$2:$S$532,$R80)&gt;1),
AND($T80&lt;&gt;"",LOWER(TRIM($T80))&lt;&gt;"n/a",COUNTIFS($B$2:$B$532,"Yes",$A$2:$A$532,"Neuron",$T$2:$T$532,$T80)&gt;1),
AND($W80&lt;&gt;"",LOWER(TRIM($W80))&lt;&gt;"n/a",COUNTIFS($B$2:$B$532,"Yes",$A$2:$A$532,"Neuron",$W$2:$W$532,$W80)&gt;1)
),"Yes","No"),
IF($A80="Cybernet",
IF(OR(
AND($Y80&lt;&gt;"",LOWER(TRIM($Y80))&lt;&gt;"n/a",COUNTIFS($B$2:$B$532,"Yes",$A$2:$A$532,"Cybernet",$Y$2:$Y$532,$Y80)&gt;1),
AND($Z80&lt;&gt;"",LOWER(TRIM($Z80))&lt;&gt;"n/a",COUNTIFS($B$2:$B$532,"Yes",$A$2:$A$532,"Cybernet",$Z$2:$Z$532,$Z80)&gt;1)
),"Yes","No"),
IF(AND($AL80&lt;&gt;"",LOWER(TRIM($AL80))&lt;&gt;"n/a"),
IF(COUNTIFS($B$2:$B$532,"Yes",$A$2:$A$532,$A80,$AL$2:$AL$532,$AL80)&gt;1,"Yes","No"),
"No")
)
)
)</f>
      </c>
      <c r="G80" t="s">
        <v>1880</v>
      </c>
      <c r="H80" t="s">
        <v>1362</v>
      </c>
      <c r="I80" t="s">
        <v>1831</v>
      </c>
      <c r="J80" t="s">
        <v>1727</v>
      </c>
      <c r="K80" t="s">
        <v>1657</v>
      </c>
      <c r="L80" t="s">
        <v>1657</v>
      </c>
      <c r="R80" t="s">
        <v>2303</v>
      </c>
      <c r="Y80" t="s">
        <v>1760</v>
      </c>
      <c r="Z80" t="s">
        <v>2155</v>
      </c>
      <c r="BI80" t="s">
        <v>1630</v>
      </c>
      <c r="BL80">
        <f>IF($T80="","",IF((IF(AND($AW80&lt;&gt;"Yes",$AW80&lt;&gt;"N/A"),"Power Cable, ","")&amp;IF(AND($AX80&lt;&gt;"Yes",$AX80&lt;&gt;"N/A"),"Battery, ","")&amp;IF(AND($BE80&lt;&gt;"Yes",$BE80&lt;&gt;"N/A"),"Firmware Download, ","")&amp;IF(AND(OR($BE80="Yes",$BE80="N/A"),$BF80&lt;&gt;"Yes",$BF80&lt;&gt;"N/A"),"Firmware Install, ","")&amp;IF(AND($BJ80&lt;&gt;"Yes",$BJ80&lt;&gt;"N/A"),"Device ID, ","")&amp;IF(AND($BK80&lt;&gt;"Yes",$BK80&lt;&gt;"N/A"),"Epic Beans Relay, ",""))="","",LEFT(IF(AND($AW80&lt;&gt;"Yes",$AW80&lt;&gt;"N/A"),"Power Cable, ","")&amp;IF(AND($AX80&lt;&gt;"Yes",$AX80&lt;&gt;"N/A"),"Battery, ","")&amp;IF(AND($BE80&lt;&gt;"Yes",$BE80&lt;&gt;"N/A"),"Firmware Download, ","")&amp;IF(AND(OR($BE80="Yes",$BE80="N/A"),$BF80&lt;&gt;"Yes",$BF80&lt;&gt;"N/A"),"Firmware Install, ","")&amp;IF(AND($BJ80&lt;&gt;"Yes",$BJ80&lt;&gt;"N/A"),"Device ID, ","")&amp;IF(AND($BK80&lt;&gt;"Yes",$BK80&lt;&gt;"N/A"),"Epic Beans Relay, ",""),LEN(IF(AND($AW80&lt;&gt;"Yes",$AW80&lt;&gt;"N/A"),"Power Cable, ","")&amp;IF(AND($AX80&lt;&gt;"Yes",$AX80&lt;&gt;"N/A"),"Battery, ","")&amp;IF(AND($BE80&lt;&gt;"Yes",$BE80&lt;&gt;"N/A"),"Firmware Download, ","")&amp;IF(AND(OR($BE80="Yes",$BE80="N/A"),$BF80&lt;&gt;"Yes",$BF80&lt;&gt;"N/A"),"Firmware Install, ","")&amp;IF(AND($BJ80&lt;&gt;"Yes",$BJ80&lt;&gt;"N/A"),"Device ID, ","")&amp;IF(AND($BK80&lt;&gt;"Yes",$BK80&lt;&gt;"N/A"),"Epic Beans Relay, ",""))-2)))</f>
      </c>
      <c r="BM80">
        <f>IF($T80="","",IF($BL80="","Yes","Blocked"))</f>
      </c>
      <c r="BP80">
        <f>IF($BO80="","",IFERROR(VLOOKUP($BO80,'01_Warehouse_Ledger'!$A:$N,4,FALSE),""))</f>
      </c>
      <c r="BQ80">
        <f>IF($BO80="","",IFERROR(VLOOKUP($BO80,'01_Warehouse_Ledger'!$A:$N,5,FALSE),""))</f>
      </c>
      <c r="BR80">
        <f>IF($BO80="","",IFERROR(VLOOKUP($BO80,'01_Warehouse_Ledger'!$A:$N,13,FALSE),""))</f>
      </c>
    </row>
    <row r="81">
      <c r="A81" t="s">
        <v>1415</v>
      </c>
      <c r="C81" t="s">
        <v>1657</v>
      </c>
      <c r="D81">
        <f>IF($B81&lt;&gt;"Yes","",IF($C81="No","Yes",IF($C81="Yes","No","")))</f>
      </c>
      <c r="E81">
        <f>IF($A81="","",IF($A81="Neuron",IF(OR(AND($R81&lt;&gt;"",LOWER(TRIM($R81))&lt;&gt;"n/a",COUNTIF($S$2:$S$532,$R81)&gt;1),AND($T81&lt;&gt;"",LOWER(TRIM($T81))&lt;&gt;"n/a",COUNTIF($T$2:$T$532,$T81)&gt;1),AND($W81&lt;&gt;"",LOWER(TRIM($W81))&lt;&gt;"n/a",COUNTIF($W$2:$W$532,$W81)&gt;1)),"Yes","No"),IF($A81="Cybernet",IF(OR(AND($Y81&lt;&gt;"",LOWER(TRIM($Y81))&lt;&gt;"n/a",COUNTIF($Y$2:$Y$532,$Y81)&gt;1),AND($Z81&lt;&gt;"",LOWER(TRIM($Z81))&lt;&gt;"n/a",COUNTIF($Z$2:$Z$532,$Z81)&gt;1)),"Yes","No"),IF(AND($AL81&lt;&gt;"",LOWER(TRIM($AL81))&lt;&gt;"n/a",COUNTIF($AL$2:$AL$532,$AL81)&gt;1),"Yes","No"))))</f>
      </c>
      <c r="F81">
        <f>IF($B81&lt;&gt;"Yes","",
IF($A81="Neuron",
IF(OR(
AND($R81&lt;&gt;"",LOWER(TRIM($R81))&lt;&gt;"n/a",COUNTIFS($B$2:$B$532,"Yes",$A$2:$A$532,"Neuron",$S$2:$S$532,$R81)&gt;1),
AND($T81&lt;&gt;"",LOWER(TRIM($T81))&lt;&gt;"n/a",COUNTIFS($B$2:$B$532,"Yes",$A$2:$A$532,"Neuron",$T$2:$T$532,$T81)&gt;1),
AND($W81&lt;&gt;"",LOWER(TRIM($W81))&lt;&gt;"n/a",COUNTIFS($B$2:$B$532,"Yes",$A$2:$A$532,"Neuron",$W$2:$W$532,$W81)&gt;1)
),"Yes","No"),
IF($A81="Cybernet",
IF(OR(
AND($Y81&lt;&gt;"",LOWER(TRIM($Y81))&lt;&gt;"n/a",COUNTIFS($B$2:$B$532,"Yes",$A$2:$A$532,"Cybernet",$Y$2:$Y$532,$Y81)&gt;1),
AND($Z81&lt;&gt;"",LOWER(TRIM($Z81))&lt;&gt;"n/a",COUNTIFS($B$2:$B$532,"Yes",$A$2:$A$532,"Cybernet",$Z$2:$Z$532,$Z81)&gt;1)
),"Yes","No"),
IF(AND($AL81&lt;&gt;"",LOWER(TRIM($AL81))&lt;&gt;"n/a"),
IF(COUNTIFS($B$2:$B$532,"Yes",$A$2:$A$532,$A81,$AL$2:$AL$532,$AL81)&gt;1,"Yes","No"),
"No")
)
)
)</f>
      </c>
      <c r="G81" t="s">
        <v>1880</v>
      </c>
      <c r="H81" t="s">
        <v>1362</v>
      </c>
      <c r="I81" t="s">
        <v>1831</v>
      </c>
      <c r="J81" t="s">
        <v>1727</v>
      </c>
      <c r="K81" t="s">
        <v>1657</v>
      </c>
      <c r="L81" t="s">
        <v>1657</v>
      </c>
      <c r="R81" t="s">
        <v>1710</v>
      </c>
      <c r="Y81" t="s">
        <v>1899</v>
      </c>
      <c r="Z81" t="s">
        <v>2259</v>
      </c>
      <c r="BI81" t="s">
        <v>1630</v>
      </c>
      <c r="BL81">
        <f>IF($T81="","",IF((IF(AND($AW81&lt;&gt;"Yes",$AW81&lt;&gt;"N/A"),"Power Cable, ","")&amp;IF(AND($AX81&lt;&gt;"Yes",$AX81&lt;&gt;"N/A"),"Battery, ","")&amp;IF(AND($BE81&lt;&gt;"Yes",$BE81&lt;&gt;"N/A"),"Firmware Download, ","")&amp;IF(AND(OR($BE81="Yes",$BE81="N/A"),$BF81&lt;&gt;"Yes",$BF81&lt;&gt;"N/A"),"Firmware Install, ","")&amp;IF(AND($BJ81&lt;&gt;"Yes",$BJ81&lt;&gt;"N/A"),"Device ID, ","")&amp;IF(AND($BK81&lt;&gt;"Yes",$BK81&lt;&gt;"N/A"),"Epic Beans Relay, ",""))="","",LEFT(IF(AND($AW81&lt;&gt;"Yes",$AW81&lt;&gt;"N/A"),"Power Cable, ","")&amp;IF(AND($AX81&lt;&gt;"Yes",$AX81&lt;&gt;"N/A"),"Battery, ","")&amp;IF(AND($BE81&lt;&gt;"Yes",$BE81&lt;&gt;"N/A"),"Firmware Download, ","")&amp;IF(AND(OR($BE81="Yes",$BE81="N/A"),$BF81&lt;&gt;"Yes",$BF81&lt;&gt;"N/A"),"Firmware Install, ","")&amp;IF(AND($BJ81&lt;&gt;"Yes",$BJ81&lt;&gt;"N/A"),"Device ID, ","")&amp;IF(AND($BK81&lt;&gt;"Yes",$BK81&lt;&gt;"N/A"),"Epic Beans Relay, ",""),LEN(IF(AND($AW81&lt;&gt;"Yes",$AW81&lt;&gt;"N/A"),"Power Cable, ","")&amp;IF(AND($AX81&lt;&gt;"Yes",$AX81&lt;&gt;"N/A"),"Battery, ","")&amp;IF(AND($BE81&lt;&gt;"Yes",$BE81&lt;&gt;"N/A"),"Firmware Download, ","")&amp;IF(AND(OR($BE81="Yes",$BE81="N/A"),$BF81&lt;&gt;"Yes",$BF81&lt;&gt;"N/A"),"Firmware Install, ","")&amp;IF(AND($BJ81&lt;&gt;"Yes",$BJ81&lt;&gt;"N/A"),"Device ID, ","")&amp;IF(AND($BK81&lt;&gt;"Yes",$BK81&lt;&gt;"N/A"),"Epic Beans Relay, ",""))-2)))</f>
      </c>
      <c r="BM81">
        <f>IF($T81="","",IF($BL81="","Yes","Blocked"))</f>
      </c>
      <c r="BP81">
        <f>IF($BO81="","",IFERROR(VLOOKUP($BO81,'01_Warehouse_Ledger'!$A:$N,4,FALSE),""))</f>
      </c>
      <c r="BQ81">
        <f>IF($BO81="","",IFERROR(VLOOKUP($BO81,'01_Warehouse_Ledger'!$A:$N,5,FALSE),""))</f>
      </c>
      <c r="BR81">
        <f>IF($BO81="","",IFERROR(VLOOKUP($BO81,'01_Warehouse_Ledger'!$A:$N,13,FALSE),""))</f>
      </c>
    </row>
    <row r="82">
      <c r="A82" t="s">
        <v>1415</v>
      </c>
      <c r="C82" t="s">
        <v>1657</v>
      </c>
      <c r="D82">
        <f>IF($B82&lt;&gt;"Yes","",IF($C82="No","Yes",IF($C82="Yes","No","")))</f>
      </c>
      <c r="E82">
        <f>IF($A82="","",IF($A82="Neuron",IF(OR(AND($R82&lt;&gt;"",LOWER(TRIM($R82))&lt;&gt;"n/a",COUNTIF($S$2:$S$532,$R82)&gt;1),AND($T82&lt;&gt;"",LOWER(TRIM($T82))&lt;&gt;"n/a",COUNTIF($T$2:$T$532,$T82)&gt;1),AND($W82&lt;&gt;"",LOWER(TRIM($W82))&lt;&gt;"n/a",COUNTIF($W$2:$W$532,$W82)&gt;1)),"Yes","No"),IF($A82="Cybernet",IF(OR(AND($Y82&lt;&gt;"",LOWER(TRIM($Y82))&lt;&gt;"n/a",COUNTIF($Y$2:$Y$532,$Y82)&gt;1),AND($Z82&lt;&gt;"",LOWER(TRIM($Z82))&lt;&gt;"n/a",COUNTIF($Z$2:$Z$532,$Z82)&gt;1)),"Yes","No"),IF(AND($AL82&lt;&gt;"",LOWER(TRIM($AL82))&lt;&gt;"n/a",COUNTIF($AL$2:$AL$532,$AL82)&gt;1),"Yes","No"))))</f>
      </c>
      <c r="F82">
        <f>IF($B82&lt;&gt;"Yes","",
IF($A82="Neuron",
IF(OR(
AND($R82&lt;&gt;"",LOWER(TRIM($R82))&lt;&gt;"n/a",COUNTIFS($B$2:$B$532,"Yes",$A$2:$A$532,"Neuron",$S$2:$S$532,$R82)&gt;1),
AND($T82&lt;&gt;"",LOWER(TRIM($T82))&lt;&gt;"n/a",COUNTIFS($B$2:$B$532,"Yes",$A$2:$A$532,"Neuron",$T$2:$T$532,$T82)&gt;1),
AND($W82&lt;&gt;"",LOWER(TRIM($W82))&lt;&gt;"n/a",COUNTIFS($B$2:$B$532,"Yes",$A$2:$A$532,"Neuron",$W$2:$W$532,$W82)&gt;1)
),"Yes","No"),
IF($A82="Cybernet",
IF(OR(
AND($Y82&lt;&gt;"",LOWER(TRIM($Y82))&lt;&gt;"n/a",COUNTIFS($B$2:$B$532,"Yes",$A$2:$A$532,"Cybernet",$Y$2:$Y$532,$Y82)&gt;1),
AND($Z82&lt;&gt;"",LOWER(TRIM($Z82))&lt;&gt;"n/a",COUNTIFS($B$2:$B$532,"Yes",$A$2:$A$532,"Cybernet",$Z$2:$Z$532,$Z82)&gt;1)
),"Yes","No"),
IF(AND($AL82&lt;&gt;"",LOWER(TRIM($AL82))&lt;&gt;"n/a"),
IF(COUNTIFS($B$2:$B$532,"Yes",$A$2:$A$532,$A82,$AL$2:$AL$532,$AL82)&gt;1,"Yes","No"),
"No")
)
)
)</f>
      </c>
      <c r="G82" t="s">
        <v>1880</v>
      </c>
      <c r="H82" t="s">
        <v>1362</v>
      </c>
      <c r="I82" t="s">
        <v>1831</v>
      </c>
      <c r="J82" t="s">
        <v>1727</v>
      </c>
      <c r="K82" t="s">
        <v>1657</v>
      </c>
      <c r="L82" t="s">
        <v>1657</v>
      </c>
      <c r="R82" t="s">
        <v>2364</v>
      </c>
      <c r="Y82" t="s">
        <v>2344</v>
      </c>
      <c r="Z82" t="s">
        <v>2066</v>
      </c>
      <c r="BI82" t="s">
        <v>1630</v>
      </c>
      <c r="BL82">
        <f>IF($T82="","",IF((IF(AND($AW82&lt;&gt;"Yes",$AW82&lt;&gt;"N/A"),"Power Cable, ","")&amp;IF(AND($AX82&lt;&gt;"Yes",$AX82&lt;&gt;"N/A"),"Battery, ","")&amp;IF(AND($BE82&lt;&gt;"Yes",$BE82&lt;&gt;"N/A"),"Firmware Download, ","")&amp;IF(AND(OR($BE82="Yes",$BE82="N/A"),$BF82&lt;&gt;"Yes",$BF82&lt;&gt;"N/A"),"Firmware Install, ","")&amp;IF(AND($BJ82&lt;&gt;"Yes",$BJ82&lt;&gt;"N/A"),"Device ID, ","")&amp;IF(AND($BK82&lt;&gt;"Yes",$BK82&lt;&gt;"N/A"),"Epic Beans Relay, ",""))="","",LEFT(IF(AND($AW82&lt;&gt;"Yes",$AW82&lt;&gt;"N/A"),"Power Cable, ","")&amp;IF(AND($AX82&lt;&gt;"Yes",$AX82&lt;&gt;"N/A"),"Battery, ","")&amp;IF(AND($BE82&lt;&gt;"Yes",$BE82&lt;&gt;"N/A"),"Firmware Download, ","")&amp;IF(AND(OR($BE82="Yes",$BE82="N/A"),$BF82&lt;&gt;"Yes",$BF82&lt;&gt;"N/A"),"Firmware Install, ","")&amp;IF(AND($BJ82&lt;&gt;"Yes",$BJ82&lt;&gt;"N/A"),"Device ID, ","")&amp;IF(AND($BK82&lt;&gt;"Yes",$BK82&lt;&gt;"N/A"),"Epic Beans Relay, ",""),LEN(IF(AND($AW82&lt;&gt;"Yes",$AW82&lt;&gt;"N/A"),"Power Cable, ","")&amp;IF(AND($AX82&lt;&gt;"Yes",$AX82&lt;&gt;"N/A"),"Battery, ","")&amp;IF(AND($BE82&lt;&gt;"Yes",$BE82&lt;&gt;"N/A"),"Firmware Download, ","")&amp;IF(AND(OR($BE82="Yes",$BE82="N/A"),$BF82&lt;&gt;"Yes",$BF82&lt;&gt;"N/A"),"Firmware Install, ","")&amp;IF(AND($BJ82&lt;&gt;"Yes",$BJ82&lt;&gt;"N/A"),"Device ID, ","")&amp;IF(AND($BK82&lt;&gt;"Yes",$BK82&lt;&gt;"N/A"),"Epic Beans Relay, ",""))-2)))</f>
      </c>
      <c r="BM82">
        <f>IF($T82="","",IF($BL82="","Yes","Blocked"))</f>
      </c>
      <c r="BP82">
        <f>IF($BO82="","",IFERROR(VLOOKUP($BO82,'01_Warehouse_Ledger'!$A:$N,4,FALSE),""))</f>
      </c>
      <c r="BQ82">
        <f>IF($BO82="","",IFERROR(VLOOKUP($BO82,'01_Warehouse_Ledger'!$A:$N,5,FALSE),""))</f>
      </c>
      <c r="BR82">
        <f>IF($BO82="","",IFERROR(VLOOKUP($BO82,'01_Warehouse_Ledger'!$A:$N,13,FALSE),""))</f>
      </c>
    </row>
    <row r="83">
      <c r="A83" t="s">
        <v>1415</v>
      </c>
      <c r="C83" t="s">
        <v>1657</v>
      </c>
      <c r="D83">
        <f>IF($B83&lt;&gt;"Yes","",IF($C83="No","Yes",IF($C83="Yes","No","")))</f>
      </c>
      <c r="E83">
        <f>IF($A83="","",IF($A83="Neuron",IF(OR(AND($R83&lt;&gt;"",LOWER(TRIM($R83))&lt;&gt;"n/a",COUNTIF($S$2:$S$532,$R83)&gt;1),AND($T83&lt;&gt;"",LOWER(TRIM($T83))&lt;&gt;"n/a",COUNTIF($T$2:$T$532,$T83)&gt;1),AND($W83&lt;&gt;"",LOWER(TRIM($W83))&lt;&gt;"n/a",COUNTIF($W$2:$W$532,$W83)&gt;1)),"Yes","No"),IF($A83="Cybernet",IF(OR(AND($Y83&lt;&gt;"",LOWER(TRIM($Y83))&lt;&gt;"n/a",COUNTIF($Y$2:$Y$532,$Y83)&gt;1),AND($Z83&lt;&gt;"",LOWER(TRIM($Z83))&lt;&gt;"n/a",COUNTIF($Z$2:$Z$532,$Z83)&gt;1)),"Yes","No"),IF(AND($AL83&lt;&gt;"",LOWER(TRIM($AL83))&lt;&gt;"n/a",COUNTIF($AL$2:$AL$532,$AL83)&gt;1),"Yes","No"))))</f>
      </c>
      <c r="F83">
        <f>IF($B83&lt;&gt;"Yes","",
IF($A83="Neuron",
IF(OR(
AND($R83&lt;&gt;"",LOWER(TRIM($R83))&lt;&gt;"n/a",COUNTIFS($B$2:$B$532,"Yes",$A$2:$A$532,"Neuron",$S$2:$S$532,$R83)&gt;1),
AND($T83&lt;&gt;"",LOWER(TRIM($T83))&lt;&gt;"n/a",COUNTIFS($B$2:$B$532,"Yes",$A$2:$A$532,"Neuron",$T$2:$T$532,$T83)&gt;1),
AND($W83&lt;&gt;"",LOWER(TRIM($W83))&lt;&gt;"n/a",COUNTIFS($B$2:$B$532,"Yes",$A$2:$A$532,"Neuron",$W$2:$W$532,$W83)&gt;1)
),"Yes","No"),
IF($A83="Cybernet",
IF(OR(
AND($Y83&lt;&gt;"",LOWER(TRIM($Y83))&lt;&gt;"n/a",COUNTIFS($B$2:$B$532,"Yes",$A$2:$A$532,"Cybernet",$Y$2:$Y$532,$Y83)&gt;1),
AND($Z83&lt;&gt;"",LOWER(TRIM($Z83))&lt;&gt;"n/a",COUNTIFS($B$2:$B$532,"Yes",$A$2:$A$532,"Cybernet",$Z$2:$Z$532,$Z83)&gt;1)
),"Yes","No"),
IF(AND($AL83&lt;&gt;"",LOWER(TRIM($AL83))&lt;&gt;"n/a"),
IF(COUNTIFS($B$2:$B$532,"Yes",$A$2:$A$532,$A83,$AL$2:$AL$532,$AL83)&gt;1,"Yes","No"),
"No")
)
)
)</f>
      </c>
      <c r="G83" t="s">
        <v>1880</v>
      </c>
      <c r="H83" t="s">
        <v>1362</v>
      </c>
      <c r="I83" t="s">
        <v>1831</v>
      </c>
      <c r="J83" t="s">
        <v>1727</v>
      </c>
      <c r="K83" t="s">
        <v>1657</v>
      </c>
      <c r="L83" t="s">
        <v>1657</v>
      </c>
      <c r="R83" t="s">
        <v>2024</v>
      </c>
      <c r="Y83" t="s">
        <v>1620</v>
      </c>
      <c r="Z83" t="s">
        <v>2121</v>
      </c>
      <c r="BI83" t="s">
        <v>1630</v>
      </c>
      <c r="BL83">
        <f>IF($T83="","",IF((IF(AND($AW83&lt;&gt;"Yes",$AW83&lt;&gt;"N/A"),"Power Cable, ","")&amp;IF(AND($AX83&lt;&gt;"Yes",$AX83&lt;&gt;"N/A"),"Battery, ","")&amp;IF(AND($BE83&lt;&gt;"Yes",$BE83&lt;&gt;"N/A"),"Firmware Download, ","")&amp;IF(AND(OR($BE83="Yes",$BE83="N/A"),$BF83&lt;&gt;"Yes",$BF83&lt;&gt;"N/A"),"Firmware Install, ","")&amp;IF(AND($BJ83&lt;&gt;"Yes",$BJ83&lt;&gt;"N/A"),"Device ID, ","")&amp;IF(AND($BK83&lt;&gt;"Yes",$BK83&lt;&gt;"N/A"),"Epic Beans Relay, ",""))="","",LEFT(IF(AND($AW83&lt;&gt;"Yes",$AW83&lt;&gt;"N/A"),"Power Cable, ","")&amp;IF(AND($AX83&lt;&gt;"Yes",$AX83&lt;&gt;"N/A"),"Battery, ","")&amp;IF(AND($BE83&lt;&gt;"Yes",$BE83&lt;&gt;"N/A"),"Firmware Download, ","")&amp;IF(AND(OR($BE83="Yes",$BE83="N/A"),$BF83&lt;&gt;"Yes",$BF83&lt;&gt;"N/A"),"Firmware Install, ","")&amp;IF(AND($BJ83&lt;&gt;"Yes",$BJ83&lt;&gt;"N/A"),"Device ID, ","")&amp;IF(AND($BK83&lt;&gt;"Yes",$BK83&lt;&gt;"N/A"),"Epic Beans Relay, ",""),LEN(IF(AND($AW83&lt;&gt;"Yes",$AW83&lt;&gt;"N/A"),"Power Cable, ","")&amp;IF(AND($AX83&lt;&gt;"Yes",$AX83&lt;&gt;"N/A"),"Battery, ","")&amp;IF(AND($BE83&lt;&gt;"Yes",$BE83&lt;&gt;"N/A"),"Firmware Download, ","")&amp;IF(AND(OR($BE83="Yes",$BE83="N/A"),$BF83&lt;&gt;"Yes",$BF83&lt;&gt;"N/A"),"Firmware Install, ","")&amp;IF(AND($BJ83&lt;&gt;"Yes",$BJ83&lt;&gt;"N/A"),"Device ID, ","")&amp;IF(AND($BK83&lt;&gt;"Yes",$BK83&lt;&gt;"N/A"),"Epic Beans Relay, ",""))-2)))</f>
      </c>
      <c r="BM83">
        <f>IF($T83="","",IF($BL83="","Yes","Blocked"))</f>
      </c>
      <c r="BP83">
        <f>IF($BO83="","",IFERROR(VLOOKUP($BO83,'01_Warehouse_Ledger'!$A:$N,4,FALSE),""))</f>
      </c>
      <c r="BQ83">
        <f>IF($BO83="","",IFERROR(VLOOKUP($BO83,'01_Warehouse_Ledger'!$A:$N,5,FALSE),""))</f>
      </c>
      <c r="BR83">
        <f>IF($BO83="","",IFERROR(VLOOKUP($BO83,'01_Warehouse_Ledger'!$A:$N,13,FALSE),""))</f>
      </c>
    </row>
    <row r="84">
      <c r="A84" t="s">
        <v>1415</v>
      </c>
      <c r="C84" t="s">
        <v>1657</v>
      </c>
      <c r="D84">
        <f>IF($B84&lt;&gt;"Yes","",IF($C84="No","Yes",IF($C84="Yes","No","")))</f>
      </c>
      <c r="E84">
        <f>IF($A84="","",IF($A84="Neuron",IF(OR(AND($R84&lt;&gt;"",LOWER(TRIM($R84))&lt;&gt;"n/a",COUNTIF($S$2:$S$532,$R84)&gt;1),AND($T84&lt;&gt;"",LOWER(TRIM($T84))&lt;&gt;"n/a",COUNTIF($T$2:$T$532,$T84)&gt;1),AND($W84&lt;&gt;"",LOWER(TRIM($W84))&lt;&gt;"n/a",COUNTIF($W$2:$W$532,$W84)&gt;1)),"Yes","No"),IF($A84="Cybernet",IF(OR(AND($Y84&lt;&gt;"",LOWER(TRIM($Y84))&lt;&gt;"n/a",COUNTIF($Y$2:$Y$532,$Y84)&gt;1),AND($Z84&lt;&gt;"",LOWER(TRIM($Z84))&lt;&gt;"n/a",COUNTIF($Z$2:$Z$532,$Z84)&gt;1)),"Yes","No"),IF(AND($AL84&lt;&gt;"",LOWER(TRIM($AL84))&lt;&gt;"n/a",COUNTIF($AL$2:$AL$532,$AL84)&gt;1),"Yes","No"))))</f>
      </c>
      <c r="F84">
        <f>IF($B84&lt;&gt;"Yes","",
IF($A84="Neuron",
IF(OR(
AND($R84&lt;&gt;"",LOWER(TRIM($R84))&lt;&gt;"n/a",COUNTIFS($B$2:$B$532,"Yes",$A$2:$A$532,"Neuron",$S$2:$S$532,$R84)&gt;1),
AND($T84&lt;&gt;"",LOWER(TRIM($T84))&lt;&gt;"n/a",COUNTIFS($B$2:$B$532,"Yes",$A$2:$A$532,"Neuron",$T$2:$T$532,$T84)&gt;1),
AND($W84&lt;&gt;"",LOWER(TRIM($W84))&lt;&gt;"n/a",COUNTIFS($B$2:$B$532,"Yes",$A$2:$A$532,"Neuron",$W$2:$W$532,$W84)&gt;1)
),"Yes","No"),
IF($A84="Cybernet",
IF(OR(
AND($Y84&lt;&gt;"",LOWER(TRIM($Y84))&lt;&gt;"n/a",COUNTIFS($B$2:$B$532,"Yes",$A$2:$A$532,"Cybernet",$Y$2:$Y$532,$Y84)&gt;1),
AND($Z84&lt;&gt;"",LOWER(TRIM($Z84))&lt;&gt;"n/a",COUNTIFS($B$2:$B$532,"Yes",$A$2:$A$532,"Cybernet",$Z$2:$Z$532,$Z84)&gt;1)
),"Yes","No"),
IF(AND($AL84&lt;&gt;"",LOWER(TRIM($AL84))&lt;&gt;"n/a"),
IF(COUNTIFS($B$2:$B$532,"Yes",$A$2:$A$532,$A84,$AL$2:$AL$532,$AL84)&gt;1,"Yes","No"),
"No")
)
)
)</f>
      </c>
      <c r="G84" t="s">
        <v>1880</v>
      </c>
      <c r="H84" t="s">
        <v>1362</v>
      </c>
      <c r="I84" t="s">
        <v>1831</v>
      </c>
      <c r="J84" t="s">
        <v>1727</v>
      </c>
      <c r="K84" t="s">
        <v>1657</v>
      </c>
      <c r="L84" t="s">
        <v>1657</v>
      </c>
      <c r="R84" t="s">
        <v>1723</v>
      </c>
      <c r="Y84" t="s">
        <v>2004</v>
      </c>
      <c r="Z84" t="s">
        <v>2158</v>
      </c>
      <c r="BI84" t="s">
        <v>1630</v>
      </c>
      <c r="BL84">
        <f>IF($T84="","",IF((IF(AND($AW84&lt;&gt;"Yes",$AW84&lt;&gt;"N/A"),"Power Cable, ","")&amp;IF(AND($AX84&lt;&gt;"Yes",$AX84&lt;&gt;"N/A"),"Battery, ","")&amp;IF(AND($BE84&lt;&gt;"Yes",$BE84&lt;&gt;"N/A"),"Firmware Download, ","")&amp;IF(AND(OR($BE84="Yes",$BE84="N/A"),$BF84&lt;&gt;"Yes",$BF84&lt;&gt;"N/A"),"Firmware Install, ","")&amp;IF(AND($BJ84&lt;&gt;"Yes",$BJ84&lt;&gt;"N/A"),"Device ID, ","")&amp;IF(AND($BK84&lt;&gt;"Yes",$BK84&lt;&gt;"N/A"),"Epic Beans Relay, ",""))="","",LEFT(IF(AND($AW84&lt;&gt;"Yes",$AW84&lt;&gt;"N/A"),"Power Cable, ","")&amp;IF(AND($AX84&lt;&gt;"Yes",$AX84&lt;&gt;"N/A"),"Battery, ","")&amp;IF(AND($BE84&lt;&gt;"Yes",$BE84&lt;&gt;"N/A"),"Firmware Download, ","")&amp;IF(AND(OR($BE84="Yes",$BE84="N/A"),$BF84&lt;&gt;"Yes",$BF84&lt;&gt;"N/A"),"Firmware Install, ","")&amp;IF(AND($BJ84&lt;&gt;"Yes",$BJ84&lt;&gt;"N/A"),"Device ID, ","")&amp;IF(AND($BK84&lt;&gt;"Yes",$BK84&lt;&gt;"N/A"),"Epic Beans Relay, ",""),LEN(IF(AND($AW84&lt;&gt;"Yes",$AW84&lt;&gt;"N/A"),"Power Cable, ","")&amp;IF(AND($AX84&lt;&gt;"Yes",$AX84&lt;&gt;"N/A"),"Battery, ","")&amp;IF(AND($BE84&lt;&gt;"Yes",$BE84&lt;&gt;"N/A"),"Firmware Download, ","")&amp;IF(AND(OR($BE84="Yes",$BE84="N/A"),$BF84&lt;&gt;"Yes",$BF84&lt;&gt;"N/A"),"Firmware Install, ","")&amp;IF(AND($BJ84&lt;&gt;"Yes",$BJ84&lt;&gt;"N/A"),"Device ID, ","")&amp;IF(AND($BK84&lt;&gt;"Yes",$BK84&lt;&gt;"N/A"),"Epic Beans Relay, ",""))-2)))</f>
      </c>
      <c r="BM84">
        <f>IF($T84="","",IF($BL84="","Yes","Blocked"))</f>
      </c>
      <c r="BP84">
        <f>IF($BO84="","",IFERROR(VLOOKUP($BO84,'01_Warehouse_Ledger'!$A:$N,4,FALSE),""))</f>
      </c>
      <c r="BQ84">
        <f>IF($BO84="","",IFERROR(VLOOKUP($BO84,'01_Warehouse_Ledger'!$A:$N,5,FALSE),""))</f>
      </c>
      <c r="BR84">
        <f>IF($BO84="","",IFERROR(VLOOKUP($BO84,'01_Warehouse_Ledger'!$A:$N,13,FALSE),""))</f>
      </c>
    </row>
    <row r="85">
      <c r="A85" t="s">
        <v>1415</v>
      </c>
      <c r="B85" t="s">
        <v>1657</v>
      </c>
      <c r="C85" t="s">
        <v>1657</v>
      </c>
      <c r="D85">
        <f>IF($B85&lt;&gt;"Yes","",IF($C85="No","Yes",IF($C85="Yes","No","")))</f>
      </c>
      <c r="E85">
        <f>IF($A85="","",IF($A85="Neuron",IF(OR(AND($R85&lt;&gt;"",LOWER(TRIM($R85))&lt;&gt;"n/a",COUNTIF($S$2:$S$532,$R85)&gt;1),AND($T85&lt;&gt;"",LOWER(TRIM($T85))&lt;&gt;"n/a",COUNTIF($T$2:$T$532,$T85)&gt;1),AND($W85&lt;&gt;"",LOWER(TRIM($W85))&lt;&gt;"n/a",COUNTIF($W$2:$W$532,$W85)&gt;1)),"Yes","No"),IF($A85="Cybernet",IF(OR(AND($Y85&lt;&gt;"",LOWER(TRIM($Y85))&lt;&gt;"n/a",COUNTIF($Y$2:$Y$532,$Y85)&gt;1),AND($Z85&lt;&gt;"",LOWER(TRIM($Z85))&lt;&gt;"n/a",COUNTIF($Z$2:$Z$532,$Z85)&gt;1)),"Yes","No"),IF(AND($AL85&lt;&gt;"",LOWER(TRIM($AL85))&lt;&gt;"n/a",COUNTIF($AL$2:$AL$532,$AL85)&gt;1),"Yes","No"))))</f>
      </c>
      <c r="F85">
        <f>IF($B85&lt;&gt;"Yes","",
IF($A85="Neuron",
IF(OR(
AND($R85&lt;&gt;"",LOWER(TRIM($R85))&lt;&gt;"n/a",COUNTIFS($B$2:$B$532,"Yes",$A$2:$A$532,"Neuron",$S$2:$S$532,$R85)&gt;1),
AND($T85&lt;&gt;"",LOWER(TRIM($T85))&lt;&gt;"n/a",COUNTIFS($B$2:$B$532,"Yes",$A$2:$A$532,"Neuron",$T$2:$T$532,$T85)&gt;1),
AND($W85&lt;&gt;"",LOWER(TRIM($W85))&lt;&gt;"n/a",COUNTIFS($B$2:$B$532,"Yes",$A$2:$A$532,"Neuron",$W$2:$W$532,$W85)&gt;1)
),"Yes","No"),
IF($A85="Cybernet",
IF(OR(
AND($Y85&lt;&gt;"",LOWER(TRIM($Y85))&lt;&gt;"n/a",COUNTIFS($B$2:$B$532,"Yes",$A$2:$A$532,"Cybernet",$Y$2:$Y$532,$Y85)&gt;1),
AND($Z85&lt;&gt;"",LOWER(TRIM($Z85))&lt;&gt;"n/a",COUNTIFS($B$2:$B$532,"Yes",$A$2:$A$532,"Cybernet",$Z$2:$Z$532,$Z85)&gt;1)
),"Yes","No"),
IF(AND($AL85&lt;&gt;"",LOWER(TRIM($AL85))&lt;&gt;"n/a"),
IF(COUNTIFS($B$2:$B$532,"Yes",$A$2:$A$532,$A85,$AL$2:$AL$532,$AL85)&gt;1,"Yes","No"),
"No")
)
)
)</f>
      </c>
      <c r="G85" t="s">
        <v>1880</v>
      </c>
      <c r="H85" t="s">
        <v>2357</v>
      </c>
      <c r="I85" t="s">
        <v>1831</v>
      </c>
      <c r="J85" t="s">
        <v>1727</v>
      </c>
      <c r="K85" t="s">
        <v>1657</v>
      </c>
      <c r="L85" t="s">
        <v>1657</v>
      </c>
      <c r="R85" t="s">
        <v>1919</v>
      </c>
      <c r="Y85" t="s">
        <v>1719</v>
      </c>
      <c r="Z85" t="s">
        <v>1905</v>
      </c>
      <c r="BI85" t="s">
        <v>1630</v>
      </c>
      <c r="BL85">
        <f>IF($T85="","",IF((IF(AND($AW85&lt;&gt;"Yes",$AW85&lt;&gt;"N/A"),"Power Cable, ","")&amp;IF(AND($AX85&lt;&gt;"Yes",$AX85&lt;&gt;"N/A"),"Battery, ","")&amp;IF(AND($BE85&lt;&gt;"Yes",$BE85&lt;&gt;"N/A"),"Firmware Download, ","")&amp;IF(AND(OR($BE85="Yes",$BE85="N/A"),$BF85&lt;&gt;"Yes",$BF85&lt;&gt;"N/A"),"Firmware Install, ","")&amp;IF(AND($BJ85&lt;&gt;"Yes",$BJ85&lt;&gt;"N/A"),"Device ID, ","")&amp;IF(AND($BK85&lt;&gt;"Yes",$BK85&lt;&gt;"N/A"),"Epic Beans Relay, ",""))="","",LEFT(IF(AND($AW85&lt;&gt;"Yes",$AW85&lt;&gt;"N/A"),"Power Cable, ","")&amp;IF(AND($AX85&lt;&gt;"Yes",$AX85&lt;&gt;"N/A"),"Battery, ","")&amp;IF(AND($BE85&lt;&gt;"Yes",$BE85&lt;&gt;"N/A"),"Firmware Download, ","")&amp;IF(AND(OR($BE85="Yes",$BE85="N/A"),$BF85&lt;&gt;"Yes",$BF85&lt;&gt;"N/A"),"Firmware Install, ","")&amp;IF(AND($BJ85&lt;&gt;"Yes",$BJ85&lt;&gt;"N/A"),"Device ID, ","")&amp;IF(AND($BK85&lt;&gt;"Yes",$BK85&lt;&gt;"N/A"),"Epic Beans Relay, ",""),LEN(IF(AND($AW85&lt;&gt;"Yes",$AW85&lt;&gt;"N/A"),"Power Cable, ","")&amp;IF(AND($AX85&lt;&gt;"Yes",$AX85&lt;&gt;"N/A"),"Battery, ","")&amp;IF(AND($BE85&lt;&gt;"Yes",$BE85&lt;&gt;"N/A"),"Firmware Download, ","")&amp;IF(AND(OR($BE85="Yes",$BE85="N/A"),$BF85&lt;&gt;"Yes",$BF85&lt;&gt;"N/A"),"Firmware Install, ","")&amp;IF(AND($BJ85&lt;&gt;"Yes",$BJ85&lt;&gt;"N/A"),"Device ID, ","")&amp;IF(AND($BK85&lt;&gt;"Yes",$BK85&lt;&gt;"N/A"),"Epic Beans Relay, ",""))-2)))</f>
      </c>
      <c r="BM85">
        <f>IF($T85="","",IF($BL85="","Yes","Blocked"))</f>
      </c>
      <c r="BP85">
        <f>IF($BO85="","",IFERROR(VLOOKUP($BO85,'01_Warehouse_Ledger'!$A:$N,4,FALSE),""))</f>
      </c>
      <c r="BQ85">
        <f>IF($BO85="","",IFERROR(VLOOKUP($BO85,'01_Warehouse_Ledger'!$A:$N,5,FALSE),""))</f>
      </c>
      <c r="BR85">
        <f>IF($BO85="","",IFERROR(VLOOKUP($BO85,'01_Warehouse_Ledger'!$A:$N,13,FALSE),""))</f>
      </c>
    </row>
    <row r="86">
      <c r="A86" t="s">
        <v>1415</v>
      </c>
      <c r="B86" t="s">
        <v>1657</v>
      </c>
      <c r="C86" t="s">
        <v>1657</v>
      </c>
      <c r="D86">
        <f>IF($B86&lt;&gt;"Yes","",IF($C86="No","Yes",IF($C86="Yes","No","")))</f>
      </c>
      <c r="E86">
        <f>IF($A86="","",IF($A86="Neuron",IF(OR(AND($R86&lt;&gt;"",LOWER(TRIM($R86))&lt;&gt;"n/a",COUNTIF($S$2:$S$532,$R86)&gt;1),AND($T86&lt;&gt;"",LOWER(TRIM($T86))&lt;&gt;"n/a",COUNTIF($T$2:$T$532,$T86)&gt;1),AND($W86&lt;&gt;"",LOWER(TRIM($W86))&lt;&gt;"n/a",COUNTIF($W$2:$W$532,$W86)&gt;1)),"Yes","No"),IF($A86="Cybernet",IF(OR(AND($Y86&lt;&gt;"",LOWER(TRIM($Y86))&lt;&gt;"n/a",COUNTIF($Y$2:$Y$532,$Y86)&gt;1),AND($Z86&lt;&gt;"",LOWER(TRIM($Z86))&lt;&gt;"n/a",COUNTIF($Z$2:$Z$532,$Z86)&gt;1)),"Yes","No"),IF(AND($AL86&lt;&gt;"",LOWER(TRIM($AL86))&lt;&gt;"n/a",COUNTIF($AL$2:$AL$532,$AL86)&gt;1),"Yes","No"))))</f>
      </c>
      <c r="F86">
        <f>IF($B86&lt;&gt;"Yes","",
IF($A86="Neuron",
IF(OR(
AND($R86&lt;&gt;"",LOWER(TRIM($R86))&lt;&gt;"n/a",COUNTIFS($B$2:$B$532,"Yes",$A$2:$A$532,"Neuron",$S$2:$S$532,$R86)&gt;1),
AND($T86&lt;&gt;"",LOWER(TRIM($T86))&lt;&gt;"n/a",COUNTIFS($B$2:$B$532,"Yes",$A$2:$A$532,"Neuron",$T$2:$T$532,$T86)&gt;1),
AND($W86&lt;&gt;"",LOWER(TRIM($W86))&lt;&gt;"n/a",COUNTIFS($B$2:$B$532,"Yes",$A$2:$A$532,"Neuron",$W$2:$W$532,$W86)&gt;1)
),"Yes","No"),
IF($A86="Cybernet",
IF(OR(
AND($Y86&lt;&gt;"",LOWER(TRIM($Y86))&lt;&gt;"n/a",COUNTIFS($B$2:$B$532,"Yes",$A$2:$A$532,"Cybernet",$Y$2:$Y$532,$Y86)&gt;1),
AND($Z86&lt;&gt;"",LOWER(TRIM($Z86))&lt;&gt;"n/a",COUNTIFS($B$2:$B$532,"Yes",$A$2:$A$532,"Cybernet",$Z$2:$Z$532,$Z86)&gt;1)
),"Yes","No"),
IF(AND($AL86&lt;&gt;"",LOWER(TRIM($AL86))&lt;&gt;"n/a"),
IF(COUNTIFS($B$2:$B$532,"Yes",$A$2:$A$532,$A86,$AL$2:$AL$532,$AL86)&gt;1,"Yes","No"),
"No")
)
)
)</f>
      </c>
      <c r="G86" t="s">
        <v>1880</v>
      </c>
      <c r="H86" t="s">
        <v>2357</v>
      </c>
      <c r="I86" t="s">
        <v>1831</v>
      </c>
      <c r="J86" t="s">
        <v>1727</v>
      </c>
      <c r="K86" t="s">
        <v>1657</v>
      </c>
      <c r="L86" t="s">
        <v>1657</v>
      </c>
      <c r="R86" t="s">
        <v>2191</v>
      </c>
      <c r="Y86" t="s">
        <v>1908</v>
      </c>
      <c r="Z86" t="s">
        <v>2382</v>
      </c>
      <c r="BI86" t="s">
        <v>1630</v>
      </c>
      <c r="BL86">
        <f>IF($T86="","",IF((IF(AND($AW86&lt;&gt;"Yes",$AW86&lt;&gt;"N/A"),"Power Cable, ","")&amp;IF(AND($AX86&lt;&gt;"Yes",$AX86&lt;&gt;"N/A"),"Battery, ","")&amp;IF(AND($BE86&lt;&gt;"Yes",$BE86&lt;&gt;"N/A"),"Firmware Download, ","")&amp;IF(AND(OR($BE86="Yes",$BE86="N/A"),$BF86&lt;&gt;"Yes",$BF86&lt;&gt;"N/A"),"Firmware Install, ","")&amp;IF(AND($BJ86&lt;&gt;"Yes",$BJ86&lt;&gt;"N/A"),"Device ID, ","")&amp;IF(AND($BK86&lt;&gt;"Yes",$BK86&lt;&gt;"N/A"),"Epic Beans Relay, ",""))="","",LEFT(IF(AND($AW86&lt;&gt;"Yes",$AW86&lt;&gt;"N/A"),"Power Cable, ","")&amp;IF(AND($AX86&lt;&gt;"Yes",$AX86&lt;&gt;"N/A"),"Battery, ","")&amp;IF(AND($BE86&lt;&gt;"Yes",$BE86&lt;&gt;"N/A"),"Firmware Download, ","")&amp;IF(AND(OR($BE86="Yes",$BE86="N/A"),$BF86&lt;&gt;"Yes",$BF86&lt;&gt;"N/A"),"Firmware Install, ","")&amp;IF(AND($BJ86&lt;&gt;"Yes",$BJ86&lt;&gt;"N/A"),"Device ID, ","")&amp;IF(AND($BK86&lt;&gt;"Yes",$BK86&lt;&gt;"N/A"),"Epic Beans Relay, ",""),LEN(IF(AND($AW86&lt;&gt;"Yes",$AW86&lt;&gt;"N/A"),"Power Cable, ","")&amp;IF(AND($AX86&lt;&gt;"Yes",$AX86&lt;&gt;"N/A"),"Battery, ","")&amp;IF(AND($BE86&lt;&gt;"Yes",$BE86&lt;&gt;"N/A"),"Firmware Download, ","")&amp;IF(AND(OR($BE86="Yes",$BE86="N/A"),$BF86&lt;&gt;"Yes",$BF86&lt;&gt;"N/A"),"Firmware Install, ","")&amp;IF(AND($BJ86&lt;&gt;"Yes",$BJ86&lt;&gt;"N/A"),"Device ID, ","")&amp;IF(AND($BK86&lt;&gt;"Yes",$BK86&lt;&gt;"N/A"),"Epic Beans Relay, ",""))-2)))</f>
      </c>
      <c r="BM86">
        <f>IF($T86="","",IF($BL86="","Yes","Blocked"))</f>
      </c>
      <c r="BP86">
        <f>IF($BO86="","",IFERROR(VLOOKUP($BO86,'01_Warehouse_Ledger'!$A:$N,4,FALSE),""))</f>
      </c>
      <c r="BQ86">
        <f>IF($BO86="","",IFERROR(VLOOKUP($BO86,'01_Warehouse_Ledger'!$A:$N,5,FALSE),""))</f>
      </c>
      <c r="BR86">
        <f>IF($BO86="","",IFERROR(VLOOKUP($BO86,'01_Warehouse_Ledger'!$A:$N,13,FALSE),""))</f>
      </c>
    </row>
    <row r="87">
      <c r="A87" t="s">
        <v>1415</v>
      </c>
      <c r="B87" t="s">
        <v>1657</v>
      </c>
      <c r="C87" t="s">
        <v>1657</v>
      </c>
      <c r="D87">
        <f>IF($B87&lt;&gt;"Yes","",IF($C87="No","Yes",IF($C87="Yes","No","")))</f>
      </c>
      <c r="E87">
        <f>IF($A87="","",IF($A87="Neuron",IF(OR(AND($R87&lt;&gt;"",LOWER(TRIM($R87))&lt;&gt;"n/a",COUNTIF($S$2:$S$532,$R87)&gt;1),AND($T87&lt;&gt;"",LOWER(TRIM($T87))&lt;&gt;"n/a",COUNTIF($T$2:$T$532,$T87)&gt;1),AND($W87&lt;&gt;"",LOWER(TRIM($W87))&lt;&gt;"n/a",COUNTIF($W$2:$W$532,$W87)&gt;1)),"Yes","No"),IF($A87="Cybernet",IF(OR(AND($Y87&lt;&gt;"",LOWER(TRIM($Y87))&lt;&gt;"n/a",COUNTIF($Y$2:$Y$532,$Y87)&gt;1),AND($Z87&lt;&gt;"",LOWER(TRIM($Z87))&lt;&gt;"n/a",COUNTIF($Z$2:$Z$532,$Z87)&gt;1)),"Yes","No"),IF(AND($AL87&lt;&gt;"",LOWER(TRIM($AL87))&lt;&gt;"n/a",COUNTIF($AL$2:$AL$532,$AL87)&gt;1),"Yes","No"))))</f>
      </c>
      <c r="F87">
        <f>IF($B87&lt;&gt;"Yes","",
IF($A87="Neuron",
IF(OR(
AND($R87&lt;&gt;"",LOWER(TRIM($R87))&lt;&gt;"n/a",COUNTIFS($B$2:$B$532,"Yes",$A$2:$A$532,"Neuron",$S$2:$S$532,$R87)&gt;1),
AND($T87&lt;&gt;"",LOWER(TRIM($T87))&lt;&gt;"n/a",COUNTIFS($B$2:$B$532,"Yes",$A$2:$A$532,"Neuron",$T$2:$T$532,$T87)&gt;1),
AND($W87&lt;&gt;"",LOWER(TRIM($W87))&lt;&gt;"n/a",COUNTIFS($B$2:$B$532,"Yes",$A$2:$A$532,"Neuron",$W$2:$W$532,$W87)&gt;1)
),"Yes","No"),
IF($A87="Cybernet",
IF(OR(
AND($Y87&lt;&gt;"",LOWER(TRIM($Y87))&lt;&gt;"n/a",COUNTIFS($B$2:$B$532,"Yes",$A$2:$A$532,"Cybernet",$Y$2:$Y$532,$Y87)&gt;1),
AND($Z87&lt;&gt;"",LOWER(TRIM($Z87))&lt;&gt;"n/a",COUNTIFS($B$2:$B$532,"Yes",$A$2:$A$532,"Cybernet",$Z$2:$Z$532,$Z87)&gt;1)
),"Yes","No"),
IF(AND($AL87&lt;&gt;"",LOWER(TRIM($AL87))&lt;&gt;"n/a"),
IF(COUNTIFS($B$2:$B$532,"Yes",$A$2:$A$532,$A87,$AL$2:$AL$532,$AL87)&gt;1,"Yes","No"),
"No")
)
)
)</f>
      </c>
      <c r="G87" t="s">
        <v>1880</v>
      </c>
      <c r="H87" t="s">
        <v>2357</v>
      </c>
      <c r="I87" t="s">
        <v>1831</v>
      </c>
      <c r="J87" t="s">
        <v>1727</v>
      </c>
      <c r="K87" t="s">
        <v>1657</v>
      </c>
      <c r="L87" t="s">
        <v>1657</v>
      </c>
      <c r="R87" t="s">
        <v>1651</v>
      </c>
      <c r="Y87" t="s">
        <v>1848</v>
      </c>
      <c r="Z87" t="s">
        <v>2400</v>
      </c>
      <c r="BI87" t="s">
        <v>1630</v>
      </c>
      <c r="BL87">
        <f>IF($T87="","",IF((IF(AND($AW87&lt;&gt;"Yes",$AW87&lt;&gt;"N/A"),"Power Cable, ","")&amp;IF(AND($AX87&lt;&gt;"Yes",$AX87&lt;&gt;"N/A"),"Battery, ","")&amp;IF(AND($BE87&lt;&gt;"Yes",$BE87&lt;&gt;"N/A"),"Firmware Download, ","")&amp;IF(AND(OR($BE87="Yes",$BE87="N/A"),$BF87&lt;&gt;"Yes",$BF87&lt;&gt;"N/A"),"Firmware Install, ","")&amp;IF(AND($BJ87&lt;&gt;"Yes",$BJ87&lt;&gt;"N/A"),"Device ID, ","")&amp;IF(AND($BK87&lt;&gt;"Yes",$BK87&lt;&gt;"N/A"),"Epic Beans Relay, ",""))="","",LEFT(IF(AND($AW87&lt;&gt;"Yes",$AW87&lt;&gt;"N/A"),"Power Cable, ","")&amp;IF(AND($AX87&lt;&gt;"Yes",$AX87&lt;&gt;"N/A"),"Battery, ","")&amp;IF(AND($BE87&lt;&gt;"Yes",$BE87&lt;&gt;"N/A"),"Firmware Download, ","")&amp;IF(AND(OR($BE87="Yes",$BE87="N/A"),$BF87&lt;&gt;"Yes",$BF87&lt;&gt;"N/A"),"Firmware Install, ","")&amp;IF(AND($BJ87&lt;&gt;"Yes",$BJ87&lt;&gt;"N/A"),"Device ID, ","")&amp;IF(AND($BK87&lt;&gt;"Yes",$BK87&lt;&gt;"N/A"),"Epic Beans Relay, ",""),LEN(IF(AND($AW87&lt;&gt;"Yes",$AW87&lt;&gt;"N/A"),"Power Cable, ","")&amp;IF(AND($AX87&lt;&gt;"Yes",$AX87&lt;&gt;"N/A"),"Battery, ","")&amp;IF(AND($BE87&lt;&gt;"Yes",$BE87&lt;&gt;"N/A"),"Firmware Download, ","")&amp;IF(AND(OR($BE87="Yes",$BE87="N/A"),$BF87&lt;&gt;"Yes",$BF87&lt;&gt;"N/A"),"Firmware Install, ","")&amp;IF(AND($BJ87&lt;&gt;"Yes",$BJ87&lt;&gt;"N/A"),"Device ID, ","")&amp;IF(AND($BK87&lt;&gt;"Yes",$BK87&lt;&gt;"N/A"),"Epic Beans Relay, ",""))-2)))</f>
      </c>
      <c r="BM87">
        <f>IF($T87="","",IF($BL87="","Yes","Blocked"))</f>
      </c>
      <c r="BP87">
        <f>IF($BO87="","",IFERROR(VLOOKUP($BO87,'01_Warehouse_Ledger'!$A:$N,4,FALSE),""))</f>
      </c>
      <c r="BQ87">
        <f>IF($BO87="","",IFERROR(VLOOKUP($BO87,'01_Warehouse_Ledger'!$A:$N,5,FALSE),""))</f>
      </c>
      <c r="BR87">
        <f>IF($BO87="","",IFERROR(VLOOKUP($BO87,'01_Warehouse_Ledger'!$A:$N,13,FALSE),""))</f>
      </c>
    </row>
    <row r="88">
      <c r="A88" t="s">
        <v>1415</v>
      </c>
      <c r="B88" t="s">
        <v>1657</v>
      </c>
      <c r="C88" t="s">
        <v>1657</v>
      </c>
      <c r="D88">
        <f>IF($B88&lt;&gt;"Yes","",IF($C88="No","Yes",IF($C88="Yes","No","")))</f>
      </c>
      <c r="E88">
        <f>IF($A88="","",IF($A88="Neuron",IF(OR(AND($R88&lt;&gt;"",LOWER(TRIM($R88))&lt;&gt;"n/a",COUNTIF($S$2:$S$532,$R88)&gt;1),AND($T88&lt;&gt;"",LOWER(TRIM($T88))&lt;&gt;"n/a",COUNTIF($T$2:$T$532,$T88)&gt;1),AND($W88&lt;&gt;"",LOWER(TRIM($W88))&lt;&gt;"n/a",COUNTIF($W$2:$W$532,$W88)&gt;1)),"Yes","No"),IF($A88="Cybernet",IF(OR(AND($Y88&lt;&gt;"",LOWER(TRIM($Y88))&lt;&gt;"n/a",COUNTIF($Y$2:$Y$532,$Y88)&gt;1),AND($Z88&lt;&gt;"",LOWER(TRIM($Z88))&lt;&gt;"n/a",COUNTIF($Z$2:$Z$532,$Z88)&gt;1)),"Yes","No"),IF(AND($AL88&lt;&gt;"",LOWER(TRIM($AL88))&lt;&gt;"n/a",COUNTIF($AL$2:$AL$532,$AL88)&gt;1),"Yes","No"))))</f>
      </c>
      <c r="F88">
        <f>IF($B88&lt;&gt;"Yes","",
IF($A88="Neuron",
IF(OR(
AND($R88&lt;&gt;"",LOWER(TRIM($R88))&lt;&gt;"n/a",COUNTIFS($B$2:$B$532,"Yes",$A$2:$A$532,"Neuron",$S$2:$S$532,$R88)&gt;1),
AND($T88&lt;&gt;"",LOWER(TRIM($T88))&lt;&gt;"n/a",COUNTIFS($B$2:$B$532,"Yes",$A$2:$A$532,"Neuron",$T$2:$T$532,$T88)&gt;1),
AND($W88&lt;&gt;"",LOWER(TRIM($W88))&lt;&gt;"n/a",COUNTIFS($B$2:$B$532,"Yes",$A$2:$A$532,"Neuron",$W$2:$W$532,$W88)&gt;1)
),"Yes","No"),
IF($A88="Cybernet",
IF(OR(
AND($Y88&lt;&gt;"",LOWER(TRIM($Y88))&lt;&gt;"n/a",COUNTIFS($B$2:$B$532,"Yes",$A$2:$A$532,"Cybernet",$Y$2:$Y$532,$Y88)&gt;1),
AND($Z88&lt;&gt;"",LOWER(TRIM($Z88))&lt;&gt;"n/a",COUNTIFS($B$2:$B$532,"Yes",$A$2:$A$532,"Cybernet",$Z$2:$Z$532,$Z88)&gt;1)
),"Yes","No"),
IF(AND($AL88&lt;&gt;"",LOWER(TRIM($AL88))&lt;&gt;"n/a"),
IF(COUNTIFS($B$2:$B$532,"Yes",$A$2:$A$532,$A88,$AL$2:$AL$532,$AL88)&gt;1,"Yes","No"),
"No")
)
)
)</f>
      </c>
      <c r="G88" t="s">
        <v>1880</v>
      </c>
      <c r="H88" t="s">
        <v>2357</v>
      </c>
      <c r="I88" t="s">
        <v>1831</v>
      </c>
      <c r="J88" t="s">
        <v>1727</v>
      </c>
      <c r="K88" t="s">
        <v>1657</v>
      </c>
      <c r="L88" t="s">
        <v>1657</v>
      </c>
      <c r="R88" t="s">
        <v>2198</v>
      </c>
      <c r="Y88" t="s">
        <v>1928</v>
      </c>
      <c r="Z88" t="s">
        <v>2084</v>
      </c>
      <c r="BI88" t="s">
        <v>1630</v>
      </c>
      <c r="BL88">
        <f>IF($T88="","",IF((IF(AND($AW88&lt;&gt;"Yes",$AW88&lt;&gt;"N/A"),"Power Cable, ","")&amp;IF(AND($AX88&lt;&gt;"Yes",$AX88&lt;&gt;"N/A"),"Battery, ","")&amp;IF(AND($BE88&lt;&gt;"Yes",$BE88&lt;&gt;"N/A"),"Firmware Download, ","")&amp;IF(AND(OR($BE88="Yes",$BE88="N/A"),$BF88&lt;&gt;"Yes",$BF88&lt;&gt;"N/A"),"Firmware Install, ","")&amp;IF(AND($BJ88&lt;&gt;"Yes",$BJ88&lt;&gt;"N/A"),"Device ID, ","")&amp;IF(AND($BK88&lt;&gt;"Yes",$BK88&lt;&gt;"N/A"),"Epic Beans Relay, ",""))="","",LEFT(IF(AND($AW88&lt;&gt;"Yes",$AW88&lt;&gt;"N/A"),"Power Cable, ","")&amp;IF(AND($AX88&lt;&gt;"Yes",$AX88&lt;&gt;"N/A"),"Battery, ","")&amp;IF(AND($BE88&lt;&gt;"Yes",$BE88&lt;&gt;"N/A"),"Firmware Download, ","")&amp;IF(AND(OR($BE88="Yes",$BE88="N/A"),$BF88&lt;&gt;"Yes",$BF88&lt;&gt;"N/A"),"Firmware Install, ","")&amp;IF(AND($BJ88&lt;&gt;"Yes",$BJ88&lt;&gt;"N/A"),"Device ID, ","")&amp;IF(AND($BK88&lt;&gt;"Yes",$BK88&lt;&gt;"N/A"),"Epic Beans Relay, ",""),LEN(IF(AND($AW88&lt;&gt;"Yes",$AW88&lt;&gt;"N/A"),"Power Cable, ","")&amp;IF(AND($AX88&lt;&gt;"Yes",$AX88&lt;&gt;"N/A"),"Battery, ","")&amp;IF(AND($BE88&lt;&gt;"Yes",$BE88&lt;&gt;"N/A"),"Firmware Download, ","")&amp;IF(AND(OR($BE88="Yes",$BE88="N/A"),$BF88&lt;&gt;"Yes",$BF88&lt;&gt;"N/A"),"Firmware Install, ","")&amp;IF(AND($BJ88&lt;&gt;"Yes",$BJ88&lt;&gt;"N/A"),"Device ID, ","")&amp;IF(AND($BK88&lt;&gt;"Yes",$BK88&lt;&gt;"N/A"),"Epic Beans Relay, ",""))-2)))</f>
      </c>
      <c r="BM88">
        <f>IF($T88="","",IF($BL88="","Yes","Blocked"))</f>
      </c>
      <c r="BP88">
        <f>IF($BO88="","",IFERROR(VLOOKUP($BO88,'01_Warehouse_Ledger'!$A:$N,4,FALSE),""))</f>
      </c>
      <c r="BQ88">
        <f>IF($BO88="","",IFERROR(VLOOKUP($BO88,'01_Warehouse_Ledger'!$A:$N,5,FALSE),""))</f>
      </c>
      <c r="BR88">
        <f>IF($BO88="","",IFERROR(VLOOKUP($BO88,'01_Warehouse_Ledger'!$A:$N,13,FALSE),""))</f>
      </c>
    </row>
    <row r="89">
      <c r="A89" t="s">
        <v>1415</v>
      </c>
      <c r="B89" t="s">
        <v>1657</v>
      </c>
      <c r="C89" t="s">
        <v>1657</v>
      </c>
      <c r="D89">
        <f>IF($B89&lt;&gt;"Yes","",IF($C89="No","Yes",IF($C89="Yes","No","")))</f>
      </c>
      <c r="E89">
        <f>IF($A89="","",IF($A89="Neuron",IF(OR(AND($R89&lt;&gt;"",LOWER(TRIM($R89))&lt;&gt;"n/a",COUNTIF($S$2:$S$532,$R89)&gt;1),AND($T89&lt;&gt;"",LOWER(TRIM($T89))&lt;&gt;"n/a",COUNTIF($T$2:$T$532,$T89)&gt;1),AND($W89&lt;&gt;"",LOWER(TRIM($W89))&lt;&gt;"n/a",COUNTIF($W$2:$W$532,$W89)&gt;1)),"Yes","No"),IF($A89="Cybernet",IF(OR(AND($Y89&lt;&gt;"",LOWER(TRIM($Y89))&lt;&gt;"n/a",COUNTIF($Y$2:$Y$532,$Y89)&gt;1),AND($Z89&lt;&gt;"",LOWER(TRIM($Z89))&lt;&gt;"n/a",COUNTIF($Z$2:$Z$532,$Z89)&gt;1)),"Yes","No"),IF(AND($AL89&lt;&gt;"",LOWER(TRIM($AL89))&lt;&gt;"n/a",COUNTIF($AL$2:$AL$532,$AL89)&gt;1),"Yes","No"))))</f>
      </c>
      <c r="F89">
        <f>IF($B89&lt;&gt;"Yes","",
IF($A89="Neuron",
IF(OR(
AND($R89&lt;&gt;"",LOWER(TRIM($R89))&lt;&gt;"n/a",COUNTIFS($B$2:$B$532,"Yes",$A$2:$A$532,"Neuron",$S$2:$S$532,$R89)&gt;1),
AND($T89&lt;&gt;"",LOWER(TRIM($T89))&lt;&gt;"n/a",COUNTIFS($B$2:$B$532,"Yes",$A$2:$A$532,"Neuron",$T$2:$T$532,$T89)&gt;1),
AND($W89&lt;&gt;"",LOWER(TRIM($W89))&lt;&gt;"n/a",COUNTIFS($B$2:$B$532,"Yes",$A$2:$A$532,"Neuron",$W$2:$W$532,$W89)&gt;1)
),"Yes","No"),
IF($A89="Cybernet",
IF(OR(
AND($Y89&lt;&gt;"",LOWER(TRIM($Y89))&lt;&gt;"n/a",COUNTIFS($B$2:$B$532,"Yes",$A$2:$A$532,"Cybernet",$Y$2:$Y$532,$Y89)&gt;1),
AND($Z89&lt;&gt;"",LOWER(TRIM($Z89))&lt;&gt;"n/a",COUNTIFS($B$2:$B$532,"Yes",$A$2:$A$532,"Cybernet",$Z$2:$Z$532,$Z89)&gt;1)
),"Yes","No"),
IF(AND($AL89&lt;&gt;"",LOWER(TRIM($AL89))&lt;&gt;"n/a"),
IF(COUNTIFS($B$2:$B$532,"Yes",$A$2:$A$532,$A89,$AL$2:$AL$532,$AL89)&gt;1,"Yes","No"),
"No")
)
)
)</f>
      </c>
      <c r="G89" t="s">
        <v>1880</v>
      </c>
      <c r="H89" t="s">
        <v>2357</v>
      </c>
      <c r="I89" t="s">
        <v>1831</v>
      </c>
      <c r="J89" t="s">
        <v>1727</v>
      </c>
      <c r="K89" t="s">
        <v>1657</v>
      </c>
      <c r="L89" t="s">
        <v>1657</v>
      </c>
      <c r="R89" t="s">
        <v>1685</v>
      </c>
      <c r="Y89" t="s">
        <v>1883</v>
      </c>
      <c r="Z89" t="s">
        <v>2383</v>
      </c>
      <c r="BI89" t="s">
        <v>1630</v>
      </c>
      <c r="BL89">
        <f>IF($T89="","",IF((IF(AND($AW89&lt;&gt;"Yes",$AW89&lt;&gt;"N/A"),"Power Cable, ","")&amp;IF(AND($AX89&lt;&gt;"Yes",$AX89&lt;&gt;"N/A"),"Battery, ","")&amp;IF(AND($BE89&lt;&gt;"Yes",$BE89&lt;&gt;"N/A"),"Firmware Download, ","")&amp;IF(AND(OR($BE89="Yes",$BE89="N/A"),$BF89&lt;&gt;"Yes",$BF89&lt;&gt;"N/A"),"Firmware Install, ","")&amp;IF(AND($BJ89&lt;&gt;"Yes",$BJ89&lt;&gt;"N/A"),"Device ID, ","")&amp;IF(AND($BK89&lt;&gt;"Yes",$BK89&lt;&gt;"N/A"),"Epic Beans Relay, ",""))="","",LEFT(IF(AND($AW89&lt;&gt;"Yes",$AW89&lt;&gt;"N/A"),"Power Cable, ","")&amp;IF(AND($AX89&lt;&gt;"Yes",$AX89&lt;&gt;"N/A"),"Battery, ","")&amp;IF(AND($BE89&lt;&gt;"Yes",$BE89&lt;&gt;"N/A"),"Firmware Download, ","")&amp;IF(AND(OR($BE89="Yes",$BE89="N/A"),$BF89&lt;&gt;"Yes",$BF89&lt;&gt;"N/A"),"Firmware Install, ","")&amp;IF(AND($BJ89&lt;&gt;"Yes",$BJ89&lt;&gt;"N/A"),"Device ID, ","")&amp;IF(AND($BK89&lt;&gt;"Yes",$BK89&lt;&gt;"N/A"),"Epic Beans Relay, ",""),LEN(IF(AND($AW89&lt;&gt;"Yes",$AW89&lt;&gt;"N/A"),"Power Cable, ","")&amp;IF(AND($AX89&lt;&gt;"Yes",$AX89&lt;&gt;"N/A"),"Battery, ","")&amp;IF(AND($BE89&lt;&gt;"Yes",$BE89&lt;&gt;"N/A"),"Firmware Download, ","")&amp;IF(AND(OR($BE89="Yes",$BE89="N/A"),$BF89&lt;&gt;"Yes",$BF89&lt;&gt;"N/A"),"Firmware Install, ","")&amp;IF(AND($BJ89&lt;&gt;"Yes",$BJ89&lt;&gt;"N/A"),"Device ID, ","")&amp;IF(AND($BK89&lt;&gt;"Yes",$BK89&lt;&gt;"N/A"),"Epic Beans Relay, ",""))-2)))</f>
      </c>
      <c r="BM89">
        <f>IF($T89="","",IF($BL89="","Yes","Blocked"))</f>
      </c>
      <c r="BP89">
        <f>IF($BO89="","",IFERROR(VLOOKUP($BO89,'01_Warehouse_Ledger'!$A:$N,4,FALSE),""))</f>
      </c>
      <c r="BQ89">
        <f>IF($BO89="","",IFERROR(VLOOKUP($BO89,'01_Warehouse_Ledger'!$A:$N,5,FALSE),""))</f>
      </c>
      <c r="BR89">
        <f>IF($BO89="","",IFERROR(VLOOKUP($BO89,'01_Warehouse_Ledger'!$A:$N,13,FALSE),""))</f>
      </c>
    </row>
    <row r="90">
      <c r="A90" t="s">
        <v>1415</v>
      </c>
      <c r="C90" t="s">
        <v>1657</v>
      </c>
      <c r="D90">
        <f>IF($B90&lt;&gt;"Yes","",IF($C90="No","Yes",IF($C90="Yes","No","")))</f>
      </c>
      <c r="E90">
        <f>IF($A90="","",IF($A90="Neuron",IF(OR(AND($R90&lt;&gt;"",LOWER(TRIM($R90))&lt;&gt;"n/a",COUNTIF($S$2:$S$532,$R90)&gt;1),AND($T90&lt;&gt;"",LOWER(TRIM($T90))&lt;&gt;"n/a",COUNTIF($T$2:$T$532,$T90)&gt;1),AND($W90&lt;&gt;"",LOWER(TRIM($W90))&lt;&gt;"n/a",COUNTIF($W$2:$W$532,$W90)&gt;1)),"Yes","No"),IF($A90="Cybernet",IF(OR(AND($Y90&lt;&gt;"",LOWER(TRIM($Y90))&lt;&gt;"n/a",COUNTIF($Y$2:$Y$532,$Y90)&gt;1),AND($Z90&lt;&gt;"",LOWER(TRIM($Z90))&lt;&gt;"n/a",COUNTIF($Z$2:$Z$532,$Z90)&gt;1)),"Yes","No"),IF(AND($AL90&lt;&gt;"",LOWER(TRIM($AL90))&lt;&gt;"n/a",COUNTIF($AL$2:$AL$532,$AL90)&gt;1),"Yes","No"))))</f>
      </c>
      <c r="F90">
        <f>IF($B90&lt;&gt;"Yes","",
IF($A90="Neuron",
IF(OR(
AND($R90&lt;&gt;"",LOWER(TRIM($R90))&lt;&gt;"n/a",COUNTIFS($B$2:$B$532,"Yes",$A$2:$A$532,"Neuron",$S$2:$S$532,$R90)&gt;1),
AND($T90&lt;&gt;"",LOWER(TRIM($T90))&lt;&gt;"n/a",COUNTIFS($B$2:$B$532,"Yes",$A$2:$A$532,"Neuron",$T$2:$T$532,$T90)&gt;1),
AND($W90&lt;&gt;"",LOWER(TRIM($W90))&lt;&gt;"n/a",COUNTIFS($B$2:$B$532,"Yes",$A$2:$A$532,"Neuron",$W$2:$W$532,$W90)&gt;1)
),"Yes","No"),
IF($A90="Cybernet",
IF(OR(
AND($Y90&lt;&gt;"",LOWER(TRIM($Y90))&lt;&gt;"n/a",COUNTIFS($B$2:$B$532,"Yes",$A$2:$A$532,"Cybernet",$Y$2:$Y$532,$Y90)&gt;1),
AND($Z90&lt;&gt;"",LOWER(TRIM($Z90))&lt;&gt;"n/a",COUNTIFS($B$2:$B$532,"Yes",$A$2:$A$532,"Cybernet",$Z$2:$Z$532,$Z90)&gt;1)
),"Yes","No"),
IF(AND($AL90&lt;&gt;"",LOWER(TRIM($AL90))&lt;&gt;"n/a"),
IF(COUNTIFS($B$2:$B$532,"Yes",$A$2:$A$532,$A90,$AL$2:$AL$532,$AL90)&gt;1,"Yes","No"),
"No")
)
)
)</f>
      </c>
      <c r="G90" t="s">
        <v>1983</v>
      </c>
      <c r="H90" t="s">
        <v>1903</v>
      </c>
      <c r="I90" t="s">
        <v>1831</v>
      </c>
      <c r="J90" t="s">
        <v>1727</v>
      </c>
      <c r="K90" t="s">
        <v>1657</v>
      </c>
      <c r="L90" t="s">
        <v>1657</v>
      </c>
      <c r="R90" t="s">
        <v>1813</v>
      </c>
      <c r="Y90" t="s">
        <v>2375</v>
      </c>
      <c r="Z90" t="s">
        <v>1872</v>
      </c>
      <c r="BI90" t="s">
        <v>1630</v>
      </c>
      <c r="BL90">
        <f>IF($T90="","",IF((IF(AND($AW90&lt;&gt;"Yes",$AW90&lt;&gt;"N/A"),"Power Cable, ","")&amp;IF(AND($AX90&lt;&gt;"Yes",$AX90&lt;&gt;"N/A"),"Battery, ","")&amp;IF(AND($BE90&lt;&gt;"Yes",$BE90&lt;&gt;"N/A"),"Firmware Download, ","")&amp;IF(AND(OR($BE90="Yes",$BE90="N/A"),$BF90&lt;&gt;"Yes",$BF90&lt;&gt;"N/A"),"Firmware Install, ","")&amp;IF(AND($BJ90&lt;&gt;"Yes",$BJ90&lt;&gt;"N/A"),"Device ID, ","")&amp;IF(AND($BK90&lt;&gt;"Yes",$BK90&lt;&gt;"N/A"),"Epic Beans Relay, ",""))="","",LEFT(IF(AND($AW90&lt;&gt;"Yes",$AW90&lt;&gt;"N/A"),"Power Cable, ","")&amp;IF(AND($AX90&lt;&gt;"Yes",$AX90&lt;&gt;"N/A"),"Battery, ","")&amp;IF(AND($BE90&lt;&gt;"Yes",$BE90&lt;&gt;"N/A"),"Firmware Download, ","")&amp;IF(AND(OR($BE90="Yes",$BE90="N/A"),$BF90&lt;&gt;"Yes",$BF90&lt;&gt;"N/A"),"Firmware Install, ","")&amp;IF(AND($BJ90&lt;&gt;"Yes",$BJ90&lt;&gt;"N/A"),"Device ID, ","")&amp;IF(AND($BK90&lt;&gt;"Yes",$BK90&lt;&gt;"N/A"),"Epic Beans Relay, ",""),LEN(IF(AND($AW90&lt;&gt;"Yes",$AW90&lt;&gt;"N/A"),"Power Cable, ","")&amp;IF(AND($AX90&lt;&gt;"Yes",$AX90&lt;&gt;"N/A"),"Battery, ","")&amp;IF(AND($BE90&lt;&gt;"Yes",$BE90&lt;&gt;"N/A"),"Firmware Download, ","")&amp;IF(AND(OR($BE90="Yes",$BE90="N/A"),$BF90&lt;&gt;"Yes",$BF90&lt;&gt;"N/A"),"Firmware Install, ","")&amp;IF(AND($BJ90&lt;&gt;"Yes",$BJ90&lt;&gt;"N/A"),"Device ID, ","")&amp;IF(AND($BK90&lt;&gt;"Yes",$BK90&lt;&gt;"N/A"),"Epic Beans Relay, ",""))-2)))</f>
      </c>
      <c r="BM90">
        <f>IF($T90="","",IF($BL90="","Yes","Blocked"))</f>
      </c>
      <c r="BP90">
        <f>IF($BO90="","",IFERROR(VLOOKUP($BO90,'01_Warehouse_Ledger'!$A:$N,4,FALSE),""))</f>
      </c>
      <c r="BQ90">
        <f>IF($BO90="","",IFERROR(VLOOKUP($BO90,'01_Warehouse_Ledger'!$A:$N,5,FALSE),""))</f>
      </c>
      <c r="BR90">
        <f>IF($BO90="","",IFERROR(VLOOKUP($BO90,'01_Warehouse_Ledger'!$A:$N,13,FALSE),""))</f>
      </c>
    </row>
    <row r="91">
      <c r="A91" t="s">
        <v>1415</v>
      </c>
      <c r="C91" t="s">
        <v>1657</v>
      </c>
      <c r="D91">
        <f>IF($B91&lt;&gt;"Yes","",IF($C91="No","Yes",IF($C91="Yes","No","")))</f>
      </c>
      <c r="E91">
        <f>IF($A91="","",IF($A91="Neuron",IF(OR(AND($R91&lt;&gt;"",LOWER(TRIM($R91))&lt;&gt;"n/a",COUNTIF($S$2:$S$532,$R91)&gt;1),AND($T91&lt;&gt;"",LOWER(TRIM($T91))&lt;&gt;"n/a",COUNTIF($T$2:$T$532,$T91)&gt;1),AND($W91&lt;&gt;"",LOWER(TRIM($W91))&lt;&gt;"n/a",COUNTIF($W$2:$W$532,$W91)&gt;1)),"Yes","No"),IF($A91="Cybernet",IF(OR(AND($Y91&lt;&gt;"",LOWER(TRIM($Y91))&lt;&gt;"n/a",COUNTIF($Y$2:$Y$532,$Y91)&gt;1),AND($Z91&lt;&gt;"",LOWER(TRIM($Z91))&lt;&gt;"n/a",COUNTIF($Z$2:$Z$532,$Z91)&gt;1)),"Yes","No"),IF(AND($AL91&lt;&gt;"",LOWER(TRIM($AL91))&lt;&gt;"n/a",COUNTIF($AL$2:$AL$532,$AL91)&gt;1),"Yes","No"))))</f>
      </c>
      <c r="F91">
        <f>IF($B91&lt;&gt;"Yes","",
IF($A91="Neuron",
IF(OR(
AND($R91&lt;&gt;"",LOWER(TRIM($R91))&lt;&gt;"n/a",COUNTIFS($B$2:$B$532,"Yes",$A$2:$A$532,"Neuron",$S$2:$S$532,$R91)&gt;1),
AND($T91&lt;&gt;"",LOWER(TRIM($T91))&lt;&gt;"n/a",COUNTIFS($B$2:$B$532,"Yes",$A$2:$A$532,"Neuron",$T$2:$T$532,$T91)&gt;1),
AND($W91&lt;&gt;"",LOWER(TRIM($W91))&lt;&gt;"n/a",COUNTIFS($B$2:$B$532,"Yes",$A$2:$A$532,"Neuron",$W$2:$W$532,$W91)&gt;1)
),"Yes","No"),
IF($A91="Cybernet",
IF(OR(
AND($Y91&lt;&gt;"",LOWER(TRIM($Y91))&lt;&gt;"n/a",COUNTIFS($B$2:$B$532,"Yes",$A$2:$A$532,"Cybernet",$Y$2:$Y$532,$Y91)&gt;1),
AND($Z91&lt;&gt;"",LOWER(TRIM($Z91))&lt;&gt;"n/a",COUNTIFS($B$2:$B$532,"Yes",$A$2:$A$532,"Cybernet",$Z$2:$Z$532,$Z91)&gt;1)
),"Yes","No"),
IF(AND($AL91&lt;&gt;"",LOWER(TRIM($AL91))&lt;&gt;"n/a"),
IF(COUNTIFS($B$2:$B$532,"Yes",$A$2:$A$532,$A91,$AL$2:$AL$532,$AL91)&gt;1,"Yes","No"),
"No")
)
)
)</f>
      </c>
      <c r="G91" t="s">
        <v>1983</v>
      </c>
      <c r="H91" t="s">
        <v>1903</v>
      </c>
      <c r="I91" t="s">
        <v>1831</v>
      </c>
      <c r="J91" t="s">
        <v>1727</v>
      </c>
      <c r="K91" t="s">
        <v>1657</v>
      </c>
      <c r="L91" t="s">
        <v>1657</v>
      </c>
      <c r="R91" t="s">
        <v>2289</v>
      </c>
      <c r="Y91" t="s">
        <v>2135</v>
      </c>
      <c r="Z91" t="s">
        <v>2102</v>
      </c>
      <c r="BI91" t="s">
        <v>1630</v>
      </c>
      <c r="BL91">
        <f>IF($T91="","",IF((IF(AND($AW91&lt;&gt;"Yes",$AW91&lt;&gt;"N/A"),"Power Cable, ","")&amp;IF(AND($AX91&lt;&gt;"Yes",$AX91&lt;&gt;"N/A"),"Battery, ","")&amp;IF(AND($BE91&lt;&gt;"Yes",$BE91&lt;&gt;"N/A"),"Firmware Download, ","")&amp;IF(AND(OR($BE91="Yes",$BE91="N/A"),$BF91&lt;&gt;"Yes",$BF91&lt;&gt;"N/A"),"Firmware Install, ","")&amp;IF(AND($BJ91&lt;&gt;"Yes",$BJ91&lt;&gt;"N/A"),"Device ID, ","")&amp;IF(AND($BK91&lt;&gt;"Yes",$BK91&lt;&gt;"N/A"),"Epic Beans Relay, ",""))="","",LEFT(IF(AND($AW91&lt;&gt;"Yes",$AW91&lt;&gt;"N/A"),"Power Cable, ","")&amp;IF(AND($AX91&lt;&gt;"Yes",$AX91&lt;&gt;"N/A"),"Battery, ","")&amp;IF(AND($BE91&lt;&gt;"Yes",$BE91&lt;&gt;"N/A"),"Firmware Download, ","")&amp;IF(AND(OR($BE91="Yes",$BE91="N/A"),$BF91&lt;&gt;"Yes",$BF91&lt;&gt;"N/A"),"Firmware Install, ","")&amp;IF(AND($BJ91&lt;&gt;"Yes",$BJ91&lt;&gt;"N/A"),"Device ID, ","")&amp;IF(AND($BK91&lt;&gt;"Yes",$BK91&lt;&gt;"N/A"),"Epic Beans Relay, ",""),LEN(IF(AND($AW91&lt;&gt;"Yes",$AW91&lt;&gt;"N/A"),"Power Cable, ","")&amp;IF(AND($AX91&lt;&gt;"Yes",$AX91&lt;&gt;"N/A"),"Battery, ","")&amp;IF(AND($BE91&lt;&gt;"Yes",$BE91&lt;&gt;"N/A"),"Firmware Download, ","")&amp;IF(AND(OR($BE91="Yes",$BE91="N/A"),$BF91&lt;&gt;"Yes",$BF91&lt;&gt;"N/A"),"Firmware Install, ","")&amp;IF(AND($BJ91&lt;&gt;"Yes",$BJ91&lt;&gt;"N/A"),"Device ID, ","")&amp;IF(AND($BK91&lt;&gt;"Yes",$BK91&lt;&gt;"N/A"),"Epic Beans Relay, ",""))-2)))</f>
      </c>
      <c r="BM91">
        <f>IF($T91="","",IF($BL91="","Yes","Blocked"))</f>
      </c>
      <c r="BP91">
        <f>IF($BO91="","",IFERROR(VLOOKUP($BO91,'01_Warehouse_Ledger'!$A:$N,4,FALSE),""))</f>
      </c>
      <c r="BQ91">
        <f>IF($BO91="","",IFERROR(VLOOKUP($BO91,'01_Warehouse_Ledger'!$A:$N,5,FALSE),""))</f>
      </c>
      <c r="BR91">
        <f>IF($BO91="","",IFERROR(VLOOKUP($BO91,'01_Warehouse_Ledger'!$A:$N,13,FALSE),""))</f>
      </c>
    </row>
    <row r="92">
      <c r="A92" t="s">
        <v>1415</v>
      </c>
      <c r="C92" t="s">
        <v>1657</v>
      </c>
      <c r="D92">
        <f>IF($B92&lt;&gt;"Yes","",IF($C92="No","Yes",IF($C92="Yes","No","")))</f>
      </c>
      <c r="E92">
        <f>IF($A92="","",IF($A92="Neuron",IF(OR(AND($R92&lt;&gt;"",LOWER(TRIM($R92))&lt;&gt;"n/a",COUNTIF($S$2:$S$532,$R92)&gt;1),AND($T92&lt;&gt;"",LOWER(TRIM($T92))&lt;&gt;"n/a",COUNTIF($T$2:$T$532,$T92)&gt;1),AND($W92&lt;&gt;"",LOWER(TRIM($W92))&lt;&gt;"n/a",COUNTIF($W$2:$W$532,$W92)&gt;1)),"Yes","No"),IF($A92="Cybernet",IF(OR(AND($Y92&lt;&gt;"",LOWER(TRIM($Y92))&lt;&gt;"n/a",COUNTIF($Y$2:$Y$532,$Y92)&gt;1),AND($Z92&lt;&gt;"",LOWER(TRIM($Z92))&lt;&gt;"n/a",COUNTIF($Z$2:$Z$532,$Z92)&gt;1)),"Yes","No"),IF(AND($AL92&lt;&gt;"",LOWER(TRIM($AL92))&lt;&gt;"n/a",COUNTIF($AL$2:$AL$532,$AL92)&gt;1),"Yes","No"))))</f>
      </c>
      <c r="F92">
        <f>IF($B92&lt;&gt;"Yes","",
IF($A92="Neuron",
IF(OR(
AND($R92&lt;&gt;"",LOWER(TRIM($R92))&lt;&gt;"n/a",COUNTIFS($B$2:$B$532,"Yes",$A$2:$A$532,"Neuron",$S$2:$S$532,$R92)&gt;1),
AND($T92&lt;&gt;"",LOWER(TRIM($T92))&lt;&gt;"n/a",COUNTIFS($B$2:$B$532,"Yes",$A$2:$A$532,"Neuron",$T$2:$T$532,$T92)&gt;1),
AND($W92&lt;&gt;"",LOWER(TRIM($W92))&lt;&gt;"n/a",COUNTIFS($B$2:$B$532,"Yes",$A$2:$A$532,"Neuron",$W$2:$W$532,$W92)&gt;1)
),"Yes","No"),
IF($A92="Cybernet",
IF(OR(
AND($Y92&lt;&gt;"",LOWER(TRIM($Y92))&lt;&gt;"n/a",COUNTIFS($B$2:$B$532,"Yes",$A$2:$A$532,"Cybernet",$Y$2:$Y$532,$Y92)&gt;1),
AND($Z92&lt;&gt;"",LOWER(TRIM($Z92))&lt;&gt;"n/a",COUNTIFS($B$2:$B$532,"Yes",$A$2:$A$532,"Cybernet",$Z$2:$Z$532,$Z92)&gt;1)
),"Yes","No"),
IF(AND($AL92&lt;&gt;"",LOWER(TRIM($AL92))&lt;&gt;"n/a"),
IF(COUNTIFS($B$2:$B$532,"Yes",$A$2:$A$532,$A92,$AL$2:$AL$532,$AL92)&gt;1,"Yes","No"),
"No")
)
)
)</f>
      </c>
      <c r="G92" t="s">
        <v>1983</v>
      </c>
      <c r="H92" t="s">
        <v>1903</v>
      </c>
      <c r="I92" t="s">
        <v>1831</v>
      </c>
      <c r="J92" t="s">
        <v>1727</v>
      </c>
      <c r="K92" t="s">
        <v>1657</v>
      </c>
      <c r="L92" t="s">
        <v>1657</v>
      </c>
      <c r="R92" t="s">
        <v>2120</v>
      </c>
      <c r="Y92" t="s">
        <v>1763</v>
      </c>
      <c r="Z92" t="s">
        <v>2352</v>
      </c>
      <c r="BI92" t="s">
        <v>1630</v>
      </c>
      <c r="BL92">
        <f>IF($T92="","",IF((IF(AND($AW92&lt;&gt;"Yes",$AW92&lt;&gt;"N/A"),"Power Cable, ","")&amp;IF(AND($AX92&lt;&gt;"Yes",$AX92&lt;&gt;"N/A"),"Battery, ","")&amp;IF(AND($BE92&lt;&gt;"Yes",$BE92&lt;&gt;"N/A"),"Firmware Download, ","")&amp;IF(AND(OR($BE92="Yes",$BE92="N/A"),$BF92&lt;&gt;"Yes",$BF92&lt;&gt;"N/A"),"Firmware Install, ","")&amp;IF(AND($BJ92&lt;&gt;"Yes",$BJ92&lt;&gt;"N/A"),"Device ID, ","")&amp;IF(AND($BK92&lt;&gt;"Yes",$BK92&lt;&gt;"N/A"),"Epic Beans Relay, ",""))="","",LEFT(IF(AND($AW92&lt;&gt;"Yes",$AW92&lt;&gt;"N/A"),"Power Cable, ","")&amp;IF(AND($AX92&lt;&gt;"Yes",$AX92&lt;&gt;"N/A"),"Battery, ","")&amp;IF(AND($BE92&lt;&gt;"Yes",$BE92&lt;&gt;"N/A"),"Firmware Download, ","")&amp;IF(AND(OR($BE92="Yes",$BE92="N/A"),$BF92&lt;&gt;"Yes",$BF92&lt;&gt;"N/A"),"Firmware Install, ","")&amp;IF(AND($BJ92&lt;&gt;"Yes",$BJ92&lt;&gt;"N/A"),"Device ID, ","")&amp;IF(AND($BK92&lt;&gt;"Yes",$BK92&lt;&gt;"N/A"),"Epic Beans Relay, ",""),LEN(IF(AND($AW92&lt;&gt;"Yes",$AW92&lt;&gt;"N/A"),"Power Cable, ","")&amp;IF(AND($AX92&lt;&gt;"Yes",$AX92&lt;&gt;"N/A"),"Battery, ","")&amp;IF(AND($BE92&lt;&gt;"Yes",$BE92&lt;&gt;"N/A"),"Firmware Download, ","")&amp;IF(AND(OR($BE92="Yes",$BE92="N/A"),$BF92&lt;&gt;"Yes",$BF92&lt;&gt;"N/A"),"Firmware Install, ","")&amp;IF(AND($BJ92&lt;&gt;"Yes",$BJ92&lt;&gt;"N/A"),"Device ID, ","")&amp;IF(AND($BK92&lt;&gt;"Yes",$BK92&lt;&gt;"N/A"),"Epic Beans Relay, ",""))-2)))</f>
      </c>
      <c r="BM92">
        <f>IF($T92="","",IF($BL92="","Yes","Blocked"))</f>
      </c>
      <c r="BP92">
        <f>IF($BO92="","",IFERROR(VLOOKUP($BO92,'01_Warehouse_Ledger'!$A:$N,4,FALSE),""))</f>
      </c>
      <c r="BQ92">
        <f>IF($BO92="","",IFERROR(VLOOKUP($BO92,'01_Warehouse_Ledger'!$A:$N,5,FALSE),""))</f>
      </c>
      <c r="BR92">
        <f>IF($BO92="","",IFERROR(VLOOKUP($BO92,'01_Warehouse_Ledger'!$A:$N,13,FALSE),""))</f>
      </c>
    </row>
    <row r="93">
      <c r="A93" t="s">
        <v>1415</v>
      </c>
      <c r="C93" t="s">
        <v>1657</v>
      </c>
      <c r="D93">
        <f>IF($B93&lt;&gt;"Yes","",IF($C93="No","Yes",IF($C93="Yes","No","")))</f>
      </c>
      <c r="E93">
        <f>IF($A93="","",IF($A93="Neuron",IF(OR(AND($R93&lt;&gt;"",LOWER(TRIM($R93))&lt;&gt;"n/a",COUNTIF($S$2:$S$532,$R93)&gt;1),AND($T93&lt;&gt;"",LOWER(TRIM($T93))&lt;&gt;"n/a",COUNTIF($T$2:$T$532,$T93)&gt;1),AND($W93&lt;&gt;"",LOWER(TRIM($W93))&lt;&gt;"n/a",COUNTIF($W$2:$W$532,$W93)&gt;1)),"Yes","No"),IF($A93="Cybernet",IF(OR(AND($Y93&lt;&gt;"",LOWER(TRIM($Y93))&lt;&gt;"n/a",COUNTIF($Y$2:$Y$532,$Y93)&gt;1),AND($Z93&lt;&gt;"",LOWER(TRIM($Z93))&lt;&gt;"n/a",COUNTIF($Z$2:$Z$532,$Z93)&gt;1)),"Yes","No"),IF(AND($AL93&lt;&gt;"",LOWER(TRIM($AL93))&lt;&gt;"n/a",COUNTIF($AL$2:$AL$532,$AL93)&gt;1),"Yes","No"))))</f>
      </c>
      <c r="F93">
        <f>IF($B93&lt;&gt;"Yes","",
IF($A93="Neuron",
IF(OR(
AND($R93&lt;&gt;"",LOWER(TRIM($R93))&lt;&gt;"n/a",COUNTIFS($B$2:$B$532,"Yes",$A$2:$A$532,"Neuron",$S$2:$S$532,$R93)&gt;1),
AND($T93&lt;&gt;"",LOWER(TRIM($T93))&lt;&gt;"n/a",COUNTIFS($B$2:$B$532,"Yes",$A$2:$A$532,"Neuron",$T$2:$T$532,$T93)&gt;1),
AND($W93&lt;&gt;"",LOWER(TRIM($W93))&lt;&gt;"n/a",COUNTIFS($B$2:$B$532,"Yes",$A$2:$A$532,"Neuron",$W$2:$W$532,$W93)&gt;1)
),"Yes","No"),
IF($A93="Cybernet",
IF(OR(
AND($Y93&lt;&gt;"",LOWER(TRIM($Y93))&lt;&gt;"n/a",COUNTIFS($B$2:$B$532,"Yes",$A$2:$A$532,"Cybernet",$Y$2:$Y$532,$Y93)&gt;1),
AND($Z93&lt;&gt;"",LOWER(TRIM($Z93))&lt;&gt;"n/a",COUNTIFS($B$2:$B$532,"Yes",$A$2:$A$532,"Cybernet",$Z$2:$Z$532,$Z93)&gt;1)
),"Yes","No"),
IF(AND($AL93&lt;&gt;"",LOWER(TRIM($AL93))&lt;&gt;"n/a"),
IF(COUNTIFS($B$2:$B$532,"Yes",$A$2:$A$532,$A93,$AL$2:$AL$532,$AL93)&gt;1,"Yes","No"),
"No")
)
)
)</f>
      </c>
      <c r="G93" t="s">
        <v>1983</v>
      </c>
      <c r="H93" t="s">
        <v>1903</v>
      </c>
      <c r="I93" t="s">
        <v>1831</v>
      </c>
      <c r="J93" t="s">
        <v>1727</v>
      </c>
      <c r="K93" t="s">
        <v>1657</v>
      </c>
      <c r="L93" t="s">
        <v>1657</v>
      </c>
      <c r="R93" t="s">
        <v>2150</v>
      </c>
      <c r="Y93" t="s">
        <v>2090</v>
      </c>
      <c r="Z93" t="s">
        <v>1747</v>
      </c>
      <c r="BI93" t="s">
        <v>1630</v>
      </c>
      <c r="BL93">
        <f>IF($T93="","",IF((IF(AND($AW93&lt;&gt;"Yes",$AW93&lt;&gt;"N/A"),"Power Cable, ","")&amp;IF(AND($AX93&lt;&gt;"Yes",$AX93&lt;&gt;"N/A"),"Battery, ","")&amp;IF(AND($BE93&lt;&gt;"Yes",$BE93&lt;&gt;"N/A"),"Firmware Download, ","")&amp;IF(AND(OR($BE93="Yes",$BE93="N/A"),$BF93&lt;&gt;"Yes",$BF93&lt;&gt;"N/A"),"Firmware Install, ","")&amp;IF(AND($BJ93&lt;&gt;"Yes",$BJ93&lt;&gt;"N/A"),"Device ID, ","")&amp;IF(AND($BK93&lt;&gt;"Yes",$BK93&lt;&gt;"N/A"),"Epic Beans Relay, ",""))="","",LEFT(IF(AND($AW93&lt;&gt;"Yes",$AW93&lt;&gt;"N/A"),"Power Cable, ","")&amp;IF(AND($AX93&lt;&gt;"Yes",$AX93&lt;&gt;"N/A"),"Battery, ","")&amp;IF(AND($BE93&lt;&gt;"Yes",$BE93&lt;&gt;"N/A"),"Firmware Download, ","")&amp;IF(AND(OR($BE93="Yes",$BE93="N/A"),$BF93&lt;&gt;"Yes",$BF93&lt;&gt;"N/A"),"Firmware Install, ","")&amp;IF(AND($BJ93&lt;&gt;"Yes",$BJ93&lt;&gt;"N/A"),"Device ID, ","")&amp;IF(AND($BK93&lt;&gt;"Yes",$BK93&lt;&gt;"N/A"),"Epic Beans Relay, ",""),LEN(IF(AND($AW93&lt;&gt;"Yes",$AW93&lt;&gt;"N/A"),"Power Cable, ","")&amp;IF(AND($AX93&lt;&gt;"Yes",$AX93&lt;&gt;"N/A"),"Battery, ","")&amp;IF(AND($BE93&lt;&gt;"Yes",$BE93&lt;&gt;"N/A"),"Firmware Download, ","")&amp;IF(AND(OR($BE93="Yes",$BE93="N/A"),$BF93&lt;&gt;"Yes",$BF93&lt;&gt;"N/A"),"Firmware Install, ","")&amp;IF(AND($BJ93&lt;&gt;"Yes",$BJ93&lt;&gt;"N/A"),"Device ID, ","")&amp;IF(AND($BK93&lt;&gt;"Yes",$BK93&lt;&gt;"N/A"),"Epic Beans Relay, ",""))-2)))</f>
      </c>
      <c r="BM93">
        <f>IF($T93="","",IF($BL93="","Yes","Blocked"))</f>
      </c>
      <c r="BP93">
        <f>IF($BO93="","",IFERROR(VLOOKUP($BO93,'01_Warehouse_Ledger'!$A:$N,4,FALSE),""))</f>
      </c>
      <c r="BQ93">
        <f>IF($BO93="","",IFERROR(VLOOKUP($BO93,'01_Warehouse_Ledger'!$A:$N,5,FALSE),""))</f>
      </c>
      <c r="BR93">
        <f>IF($BO93="","",IFERROR(VLOOKUP($BO93,'01_Warehouse_Ledger'!$A:$N,13,FALSE),""))</f>
      </c>
    </row>
    <row r="94">
      <c r="A94" t="s">
        <v>1415</v>
      </c>
      <c r="C94" t="s">
        <v>1657</v>
      </c>
      <c r="D94">
        <f>IF($B94&lt;&gt;"Yes","",IF($C94="No","Yes",IF($C94="Yes","No","")))</f>
      </c>
      <c r="E94">
        <f>IF($A94="","",IF($A94="Neuron",IF(OR(AND($R94&lt;&gt;"",LOWER(TRIM($R94))&lt;&gt;"n/a",COUNTIF($S$2:$S$532,$R94)&gt;1),AND($T94&lt;&gt;"",LOWER(TRIM($T94))&lt;&gt;"n/a",COUNTIF($T$2:$T$532,$T94)&gt;1),AND($W94&lt;&gt;"",LOWER(TRIM($W94))&lt;&gt;"n/a",COUNTIF($W$2:$W$532,$W94)&gt;1)),"Yes","No"),IF($A94="Cybernet",IF(OR(AND($Y94&lt;&gt;"",LOWER(TRIM($Y94))&lt;&gt;"n/a",COUNTIF($Y$2:$Y$532,$Y94)&gt;1),AND($Z94&lt;&gt;"",LOWER(TRIM($Z94))&lt;&gt;"n/a",COUNTIF($Z$2:$Z$532,$Z94)&gt;1)),"Yes","No"),IF(AND($AL94&lt;&gt;"",LOWER(TRIM($AL94))&lt;&gt;"n/a",COUNTIF($AL$2:$AL$532,$AL94)&gt;1),"Yes","No"))))</f>
      </c>
      <c r="F94">
        <f>IF($B94&lt;&gt;"Yes","",
IF($A94="Neuron",
IF(OR(
AND($R94&lt;&gt;"",LOWER(TRIM($R94))&lt;&gt;"n/a",COUNTIFS($B$2:$B$532,"Yes",$A$2:$A$532,"Neuron",$S$2:$S$532,$R94)&gt;1),
AND($T94&lt;&gt;"",LOWER(TRIM($T94))&lt;&gt;"n/a",COUNTIFS($B$2:$B$532,"Yes",$A$2:$A$532,"Neuron",$T$2:$T$532,$T94)&gt;1),
AND($W94&lt;&gt;"",LOWER(TRIM($W94))&lt;&gt;"n/a",COUNTIFS($B$2:$B$532,"Yes",$A$2:$A$532,"Neuron",$W$2:$W$532,$W94)&gt;1)
),"Yes","No"),
IF($A94="Cybernet",
IF(OR(
AND($Y94&lt;&gt;"",LOWER(TRIM($Y94))&lt;&gt;"n/a",COUNTIFS($B$2:$B$532,"Yes",$A$2:$A$532,"Cybernet",$Y$2:$Y$532,$Y94)&gt;1),
AND($Z94&lt;&gt;"",LOWER(TRIM($Z94))&lt;&gt;"n/a",COUNTIFS($B$2:$B$532,"Yes",$A$2:$A$532,"Cybernet",$Z$2:$Z$532,$Z94)&gt;1)
),"Yes","No"),
IF(AND($AL94&lt;&gt;"",LOWER(TRIM($AL94))&lt;&gt;"n/a"),
IF(COUNTIFS($B$2:$B$532,"Yes",$A$2:$A$532,$A94,$AL$2:$AL$532,$AL94)&gt;1,"Yes","No"),
"No")
)
)
)</f>
      </c>
      <c r="G94" t="s">
        <v>1983</v>
      </c>
      <c r="H94" t="s">
        <v>1903</v>
      </c>
      <c r="I94" t="s">
        <v>1831</v>
      </c>
      <c r="J94" t="s">
        <v>1727</v>
      </c>
      <c r="K94" t="s">
        <v>1657</v>
      </c>
      <c r="L94" t="s">
        <v>1657</v>
      </c>
      <c r="R94" t="s">
        <v>1964</v>
      </c>
      <c r="Y94" t="s">
        <v>2229</v>
      </c>
      <c r="Z94" t="s">
        <v>1701</v>
      </c>
      <c r="BI94" t="s">
        <v>1630</v>
      </c>
      <c r="BL94">
        <f>IF($T94="","",IF((IF(AND($AW94&lt;&gt;"Yes",$AW94&lt;&gt;"N/A"),"Power Cable, ","")&amp;IF(AND($AX94&lt;&gt;"Yes",$AX94&lt;&gt;"N/A"),"Battery, ","")&amp;IF(AND($BE94&lt;&gt;"Yes",$BE94&lt;&gt;"N/A"),"Firmware Download, ","")&amp;IF(AND(OR($BE94="Yes",$BE94="N/A"),$BF94&lt;&gt;"Yes",$BF94&lt;&gt;"N/A"),"Firmware Install, ","")&amp;IF(AND($BJ94&lt;&gt;"Yes",$BJ94&lt;&gt;"N/A"),"Device ID, ","")&amp;IF(AND($BK94&lt;&gt;"Yes",$BK94&lt;&gt;"N/A"),"Epic Beans Relay, ",""))="","",LEFT(IF(AND($AW94&lt;&gt;"Yes",$AW94&lt;&gt;"N/A"),"Power Cable, ","")&amp;IF(AND($AX94&lt;&gt;"Yes",$AX94&lt;&gt;"N/A"),"Battery, ","")&amp;IF(AND($BE94&lt;&gt;"Yes",$BE94&lt;&gt;"N/A"),"Firmware Download, ","")&amp;IF(AND(OR($BE94="Yes",$BE94="N/A"),$BF94&lt;&gt;"Yes",$BF94&lt;&gt;"N/A"),"Firmware Install, ","")&amp;IF(AND($BJ94&lt;&gt;"Yes",$BJ94&lt;&gt;"N/A"),"Device ID, ","")&amp;IF(AND($BK94&lt;&gt;"Yes",$BK94&lt;&gt;"N/A"),"Epic Beans Relay, ",""),LEN(IF(AND($AW94&lt;&gt;"Yes",$AW94&lt;&gt;"N/A"),"Power Cable, ","")&amp;IF(AND($AX94&lt;&gt;"Yes",$AX94&lt;&gt;"N/A"),"Battery, ","")&amp;IF(AND($BE94&lt;&gt;"Yes",$BE94&lt;&gt;"N/A"),"Firmware Download, ","")&amp;IF(AND(OR($BE94="Yes",$BE94="N/A"),$BF94&lt;&gt;"Yes",$BF94&lt;&gt;"N/A"),"Firmware Install, ","")&amp;IF(AND($BJ94&lt;&gt;"Yes",$BJ94&lt;&gt;"N/A"),"Device ID, ","")&amp;IF(AND($BK94&lt;&gt;"Yes",$BK94&lt;&gt;"N/A"),"Epic Beans Relay, ",""))-2)))</f>
      </c>
      <c r="BM94">
        <f>IF($T94="","",IF($BL94="","Yes","Blocked"))</f>
      </c>
      <c r="BP94">
        <f>IF($BO94="","",IFERROR(VLOOKUP($BO94,'01_Warehouse_Ledger'!$A:$N,4,FALSE),""))</f>
      </c>
      <c r="BQ94">
        <f>IF($BO94="","",IFERROR(VLOOKUP($BO94,'01_Warehouse_Ledger'!$A:$N,5,FALSE),""))</f>
      </c>
      <c r="BR94">
        <f>IF($BO94="","",IFERROR(VLOOKUP($BO94,'01_Warehouse_Ledger'!$A:$N,13,FALSE),""))</f>
      </c>
    </row>
    <row r="95">
      <c r="A95" t="s">
        <v>1415</v>
      </c>
      <c r="C95" t="s">
        <v>1657</v>
      </c>
      <c r="D95">
        <f>IF($B95&lt;&gt;"Yes","",IF($C95="No","Yes",IF($C95="Yes","No","")))</f>
      </c>
      <c r="E95">
        <f>IF($A95="","",IF($A95="Neuron",IF(OR(AND($R95&lt;&gt;"",LOWER(TRIM($R95))&lt;&gt;"n/a",COUNTIF($S$2:$S$532,$R95)&gt;1),AND($T95&lt;&gt;"",LOWER(TRIM($T95))&lt;&gt;"n/a",COUNTIF($T$2:$T$532,$T95)&gt;1),AND($W95&lt;&gt;"",LOWER(TRIM($W95))&lt;&gt;"n/a",COUNTIF($W$2:$W$532,$W95)&gt;1)),"Yes","No"),IF($A95="Cybernet",IF(OR(AND($Y95&lt;&gt;"",LOWER(TRIM($Y95))&lt;&gt;"n/a",COUNTIF($Y$2:$Y$532,$Y95)&gt;1),AND($Z95&lt;&gt;"",LOWER(TRIM($Z95))&lt;&gt;"n/a",COUNTIF($Z$2:$Z$532,$Z95)&gt;1)),"Yes","No"),IF(AND($AL95&lt;&gt;"",LOWER(TRIM($AL95))&lt;&gt;"n/a",COUNTIF($AL$2:$AL$532,$AL95)&gt;1),"Yes","No"))))</f>
      </c>
      <c r="F95">
        <f>IF($B95&lt;&gt;"Yes","",
IF($A95="Neuron",
IF(OR(
AND($R95&lt;&gt;"",LOWER(TRIM($R95))&lt;&gt;"n/a",COUNTIFS($B$2:$B$532,"Yes",$A$2:$A$532,"Neuron",$S$2:$S$532,$R95)&gt;1),
AND($T95&lt;&gt;"",LOWER(TRIM($T95))&lt;&gt;"n/a",COUNTIFS($B$2:$B$532,"Yes",$A$2:$A$532,"Neuron",$T$2:$T$532,$T95)&gt;1),
AND($W95&lt;&gt;"",LOWER(TRIM($W95))&lt;&gt;"n/a",COUNTIFS($B$2:$B$532,"Yes",$A$2:$A$532,"Neuron",$W$2:$W$532,$W95)&gt;1)
),"Yes","No"),
IF($A95="Cybernet",
IF(OR(
AND($Y95&lt;&gt;"",LOWER(TRIM($Y95))&lt;&gt;"n/a",COUNTIFS($B$2:$B$532,"Yes",$A$2:$A$532,"Cybernet",$Y$2:$Y$532,$Y95)&gt;1),
AND($Z95&lt;&gt;"",LOWER(TRIM($Z95))&lt;&gt;"n/a",COUNTIFS($B$2:$B$532,"Yes",$A$2:$A$532,"Cybernet",$Z$2:$Z$532,$Z95)&gt;1)
),"Yes","No"),
IF(AND($AL95&lt;&gt;"",LOWER(TRIM($AL95))&lt;&gt;"n/a"),
IF(COUNTIFS($B$2:$B$532,"Yes",$A$2:$A$532,$A95,$AL$2:$AL$532,$AL95)&gt;1,"Yes","No"),
"No")
)
)
)</f>
      </c>
      <c r="G95" t="s">
        <v>1983</v>
      </c>
      <c r="H95" t="s">
        <v>1903</v>
      </c>
      <c r="I95" t="s">
        <v>1831</v>
      </c>
      <c r="J95" t="s">
        <v>1727</v>
      </c>
      <c r="K95" t="s">
        <v>1657</v>
      </c>
      <c r="L95" t="s">
        <v>1657</v>
      </c>
      <c r="R95" t="s">
        <v>2302</v>
      </c>
      <c r="Y95" t="s">
        <v>2022</v>
      </c>
      <c r="Z95" t="s">
        <v>2316</v>
      </c>
      <c r="BI95" t="s">
        <v>1630</v>
      </c>
      <c r="BL95">
        <f>IF($T95="","",IF((IF(AND($AW95&lt;&gt;"Yes",$AW95&lt;&gt;"N/A"),"Power Cable, ","")&amp;IF(AND($AX95&lt;&gt;"Yes",$AX95&lt;&gt;"N/A"),"Battery, ","")&amp;IF(AND($BE95&lt;&gt;"Yes",$BE95&lt;&gt;"N/A"),"Firmware Download, ","")&amp;IF(AND(OR($BE95="Yes",$BE95="N/A"),$BF95&lt;&gt;"Yes",$BF95&lt;&gt;"N/A"),"Firmware Install, ","")&amp;IF(AND($BJ95&lt;&gt;"Yes",$BJ95&lt;&gt;"N/A"),"Device ID, ","")&amp;IF(AND($BK95&lt;&gt;"Yes",$BK95&lt;&gt;"N/A"),"Epic Beans Relay, ",""))="","",LEFT(IF(AND($AW95&lt;&gt;"Yes",$AW95&lt;&gt;"N/A"),"Power Cable, ","")&amp;IF(AND($AX95&lt;&gt;"Yes",$AX95&lt;&gt;"N/A"),"Battery, ","")&amp;IF(AND($BE95&lt;&gt;"Yes",$BE95&lt;&gt;"N/A"),"Firmware Download, ","")&amp;IF(AND(OR($BE95="Yes",$BE95="N/A"),$BF95&lt;&gt;"Yes",$BF95&lt;&gt;"N/A"),"Firmware Install, ","")&amp;IF(AND($BJ95&lt;&gt;"Yes",$BJ95&lt;&gt;"N/A"),"Device ID, ","")&amp;IF(AND($BK95&lt;&gt;"Yes",$BK95&lt;&gt;"N/A"),"Epic Beans Relay, ",""),LEN(IF(AND($AW95&lt;&gt;"Yes",$AW95&lt;&gt;"N/A"),"Power Cable, ","")&amp;IF(AND($AX95&lt;&gt;"Yes",$AX95&lt;&gt;"N/A"),"Battery, ","")&amp;IF(AND($BE95&lt;&gt;"Yes",$BE95&lt;&gt;"N/A"),"Firmware Download, ","")&amp;IF(AND(OR($BE95="Yes",$BE95="N/A"),$BF95&lt;&gt;"Yes",$BF95&lt;&gt;"N/A"),"Firmware Install, ","")&amp;IF(AND($BJ95&lt;&gt;"Yes",$BJ95&lt;&gt;"N/A"),"Device ID, ","")&amp;IF(AND($BK95&lt;&gt;"Yes",$BK95&lt;&gt;"N/A"),"Epic Beans Relay, ",""))-2)))</f>
      </c>
      <c r="BM95">
        <f>IF($T95="","",IF($BL95="","Yes","Blocked"))</f>
      </c>
      <c r="BP95">
        <f>IF($BO95="","",IFERROR(VLOOKUP($BO95,'01_Warehouse_Ledger'!$A:$N,4,FALSE),""))</f>
      </c>
      <c r="BQ95">
        <f>IF($BO95="","",IFERROR(VLOOKUP($BO95,'01_Warehouse_Ledger'!$A:$N,5,FALSE),""))</f>
      </c>
      <c r="BR95">
        <f>IF($BO95="","",IFERROR(VLOOKUP($BO95,'01_Warehouse_Ledger'!$A:$N,13,FALSE),""))</f>
      </c>
    </row>
    <row r="96">
      <c r="A96" t="s">
        <v>1415</v>
      </c>
      <c r="C96" t="s">
        <v>1657</v>
      </c>
      <c r="D96">
        <f>IF($B96&lt;&gt;"Yes","",IF($C96="No","Yes",IF($C96="Yes","No","")))</f>
      </c>
      <c r="E96">
        <f>IF($A96="","",IF($A96="Neuron",IF(OR(AND($R96&lt;&gt;"",LOWER(TRIM($R96))&lt;&gt;"n/a",COUNTIF($S$2:$S$532,$R96)&gt;1),AND($T96&lt;&gt;"",LOWER(TRIM($T96))&lt;&gt;"n/a",COUNTIF($T$2:$T$532,$T96)&gt;1),AND($W96&lt;&gt;"",LOWER(TRIM($W96))&lt;&gt;"n/a",COUNTIF($W$2:$W$532,$W96)&gt;1)),"Yes","No"),IF($A96="Cybernet",IF(OR(AND($Y96&lt;&gt;"",LOWER(TRIM($Y96))&lt;&gt;"n/a",COUNTIF($Y$2:$Y$532,$Y96)&gt;1),AND($Z96&lt;&gt;"",LOWER(TRIM($Z96))&lt;&gt;"n/a",COUNTIF($Z$2:$Z$532,$Z96)&gt;1)),"Yes","No"),IF(AND($AL96&lt;&gt;"",LOWER(TRIM($AL96))&lt;&gt;"n/a",COUNTIF($AL$2:$AL$532,$AL96)&gt;1),"Yes","No"))))</f>
      </c>
      <c r="F96">
        <f>IF($B96&lt;&gt;"Yes","",
IF($A96="Neuron",
IF(OR(
AND($R96&lt;&gt;"",LOWER(TRIM($R96))&lt;&gt;"n/a",COUNTIFS($B$2:$B$532,"Yes",$A$2:$A$532,"Neuron",$S$2:$S$532,$R96)&gt;1),
AND($T96&lt;&gt;"",LOWER(TRIM($T96))&lt;&gt;"n/a",COUNTIFS($B$2:$B$532,"Yes",$A$2:$A$532,"Neuron",$T$2:$T$532,$T96)&gt;1),
AND($W96&lt;&gt;"",LOWER(TRIM($W96))&lt;&gt;"n/a",COUNTIFS($B$2:$B$532,"Yes",$A$2:$A$532,"Neuron",$W$2:$W$532,$W96)&gt;1)
),"Yes","No"),
IF($A96="Cybernet",
IF(OR(
AND($Y96&lt;&gt;"",LOWER(TRIM($Y96))&lt;&gt;"n/a",COUNTIFS($B$2:$B$532,"Yes",$A$2:$A$532,"Cybernet",$Y$2:$Y$532,$Y96)&gt;1),
AND($Z96&lt;&gt;"",LOWER(TRIM($Z96))&lt;&gt;"n/a",COUNTIFS($B$2:$B$532,"Yes",$A$2:$A$532,"Cybernet",$Z$2:$Z$532,$Z96)&gt;1)
),"Yes","No"),
IF(AND($AL96&lt;&gt;"",LOWER(TRIM($AL96))&lt;&gt;"n/a"),
IF(COUNTIFS($B$2:$B$532,"Yes",$A$2:$A$532,$A96,$AL$2:$AL$532,$AL96)&gt;1,"Yes","No"),
"No")
)
)
)</f>
      </c>
      <c r="G96" t="s">
        <v>1983</v>
      </c>
      <c r="H96" t="s">
        <v>1903</v>
      </c>
      <c r="I96" t="s">
        <v>1831</v>
      </c>
      <c r="J96" t="s">
        <v>1727</v>
      </c>
      <c r="K96" t="s">
        <v>1657</v>
      </c>
      <c r="L96" t="s">
        <v>1657</v>
      </c>
      <c r="R96" t="s">
        <v>1641</v>
      </c>
      <c r="Y96" t="s">
        <v>2104</v>
      </c>
      <c r="Z96" t="s">
        <v>1949</v>
      </c>
      <c r="BI96" t="s">
        <v>1630</v>
      </c>
      <c r="BL96">
        <f>IF($T96="","",IF((IF(AND($AW96&lt;&gt;"Yes",$AW96&lt;&gt;"N/A"),"Power Cable, ","")&amp;IF(AND($AX96&lt;&gt;"Yes",$AX96&lt;&gt;"N/A"),"Battery, ","")&amp;IF(AND($BE96&lt;&gt;"Yes",$BE96&lt;&gt;"N/A"),"Firmware Download, ","")&amp;IF(AND(OR($BE96="Yes",$BE96="N/A"),$BF96&lt;&gt;"Yes",$BF96&lt;&gt;"N/A"),"Firmware Install, ","")&amp;IF(AND($BJ96&lt;&gt;"Yes",$BJ96&lt;&gt;"N/A"),"Device ID, ","")&amp;IF(AND($BK96&lt;&gt;"Yes",$BK96&lt;&gt;"N/A"),"Epic Beans Relay, ",""))="","",LEFT(IF(AND($AW96&lt;&gt;"Yes",$AW96&lt;&gt;"N/A"),"Power Cable, ","")&amp;IF(AND($AX96&lt;&gt;"Yes",$AX96&lt;&gt;"N/A"),"Battery, ","")&amp;IF(AND($BE96&lt;&gt;"Yes",$BE96&lt;&gt;"N/A"),"Firmware Download, ","")&amp;IF(AND(OR($BE96="Yes",$BE96="N/A"),$BF96&lt;&gt;"Yes",$BF96&lt;&gt;"N/A"),"Firmware Install, ","")&amp;IF(AND($BJ96&lt;&gt;"Yes",$BJ96&lt;&gt;"N/A"),"Device ID, ","")&amp;IF(AND($BK96&lt;&gt;"Yes",$BK96&lt;&gt;"N/A"),"Epic Beans Relay, ",""),LEN(IF(AND($AW96&lt;&gt;"Yes",$AW96&lt;&gt;"N/A"),"Power Cable, ","")&amp;IF(AND($AX96&lt;&gt;"Yes",$AX96&lt;&gt;"N/A"),"Battery, ","")&amp;IF(AND($BE96&lt;&gt;"Yes",$BE96&lt;&gt;"N/A"),"Firmware Download, ","")&amp;IF(AND(OR($BE96="Yes",$BE96="N/A"),$BF96&lt;&gt;"Yes",$BF96&lt;&gt;"N/A"),"Firmware Install, ","")&amp;IF(AND($BJ96&lt;&gt;"Yes",$BJ96&lt;&gt;"N/A"),"Device ID, ","")&amp;IF(AND($BK96&lt;&gt;"Yes",$BK96&lt;&gt;"N/A"),"Epic Beans Relay, ",""))-2)))</f>
      </c>
      <c r="BM96">
        <f>IF($T96="","",IF($BL96="","Yes","Blocked"))</f>
      </c>
      <c r="BP96">
        <f>IF($BO96="","",IFERROR(VLOOKUP($BO96,'01_Warehouse_Ledger'!$A:$N,4,FALSE),""))</f>
      </c>
      <c r="BQ96">
        <f>IF($BO96="","",IFERROR(VLOOKUP($BO96,'01_Warehouse_Ledger'!$A:$N,5,FALSE),""))</f>
      </c>
      <c r="BR96">
        <f>IF($BO96="","",IFERROR(VLOOKUP($BO96,'01_Warehouse_Ledger'!$A:$N,13,FALSE),""))</f>
      </c>
    </row>
    <row r="97">
      <c r="A97" t="s">
        <v>1415</v>
      </c>
      <c r="C97" t="s">
        <v>1657</v>
      </c>
      <c r="D97">
        <f>IF($B97&lt;&gt;"Yes","",IF($C97="No","Yes",IF($C97="Yes","No","")))</f>
      </c>
      <c r="E97">
        <f>IF($A97="","",IF($A97="Neuron",IF(OR(AND($R97&lt;&gt;"",LOWER(TRIM($R97))&lt;&gt;"n/a",COUNTIF($S$2:$S$532,$R97)&gt;1),AND($T97&lt;&gt;"",LOWER(TRIM($T97))&lt;&gt;"n/a",COUNTIF($T$2:$T$532,$T97)&gt;1),AND($W97&lt;&gt;"",LOWER(TRIM($W97))&lt;&gt;"n/a",COUNTIF($W$2:$W$532,$W97)&gt;1)),"Yes","No"),IF($A97="Cybernet",IF(OR(AND($Y97&lt;&gt;"",LOWER(TRIM($Y97))&lt;&gt;"n/a",COUNTIF($Y$2:$Y$532,$Y97)&gt;1),AND($Z97&lt;&gt;"",LOWER(TRIM($Z97))&lt;&gt;"n/a",COUNTIF($Z$2:$Z$532,$Z97)&gt;1)),"Yes","No"),IF(AND($AL97&lt;&gt;"",LOWER(TRIM($AL97))&lt;&gt;"n/a",COUNTIF($AL$2:$AL$532,$AL97)&gt;1),"Yes","No"))))</f>
      </c>
      <c r="F97">
        <f>IF($B97&lt;&gt;"Yes","",
IF($A97="Neuron",
IF(OR(
AND($R97&lt;&gt;"",LOWER(TRIM($R97))&lt;&gt;"n/a",COUNTIFS($B$2:$B$532,"Yes",$A$2:$A$532,"Neuron",$S$2:$S$532,$R97)&gt;1),
AND($T97&lt;&gt;"",LOWER(TRIM($T97))&lt;&gt;"n/a",COUNTIFS($B$2:$B$532,"Yes",$A$2:$A$532,"Neuron",$T$2:$T$532,$T97)&gt;1),
AND($W97&lt;&gt;"",LOWER(TRIM($W97))&lt;&gt;"n/a",COUNTIFS($B$2:$B$532,"Yes",$A$2:$A$532,"Neuron",$W$2:$W$532,$W97)&gt;1)
),"Yes","No"),
IF($A97="Cybernet",
IF(OR(
AND($Y97&lt;&gt;"",LOWER(TRIM($Y97))&lt;&gt;"n/a",COUNTIFS($B$2:$B$532,"Yes",$A$2:$A$532,"Cybernet",$Y$2:$Y$532,$Y97)&gt;1),
AND($Z97&lt;&gt;"",LOWER(TRIM($Z97))&lt;&gt;"n/a",COUNTIFS($B$2:$B$532,"Yes",$A$2:$A$532,"Cybernet",$Z$2:$Z$532,$Z97)&gt;1)
),"Yes","No"),
IF(AND($AL97&lt;&gt;"",LOWER(TRIM($AL97))&lt;&gt;"n/a"),
IF(COUNTIFS($B$2:$B$532,"Yes",$A$2:$A$532,$A97,$AL$2:$AL$532,$AL97)&gt;1,"Yes","No"),
"No")
)
)
)</f>
      </c>
      <c r="G97" t="s">
        <v>1983</v>
      </c>
      <c r="H97" t="s">
        <v>1903</v>
      </c>
      <c r="I97" t="s">
        <v>1831</v>
      </c>
      <c r="J97" t="s">
        <v>1727</v>
      </c>
      <c r="K97" t="s">
        <v>1657</v>
      </c>
      <c r="L97" t="s">
        <v>1657</v>
      </c>
      <c r="R97" t="s">
        <v>2279</v>
      </c>
      <c r="Y97" t="s">
        <v>1717</v>
      </c>
      <c r="Z97" t="s">
        <v>1790</v>
      </c>
      <c r="BI97" t="s">
        <v>1630</v>
      </c>
      <c r="BL97">
        <f>IF($T97="","",IF((IF(AND($AW97&lt;&gt;"Yes",$AW97&lt;&gt;"N/A"),"Power Cable, ","")&amp;IF(AND($AX97&lt;&gt;"Yes",$AX97&lt;&gt;"N/A"),"Battery, ","")&amp;IF(AND($BE97&lt;&gt;"Yes",$BE97&lt;&gt;"N/A"),"Firmware Download, ","")&amp;IF(AND(OR($BE97="Yes",$BE97="N/A"),$BF97&lt;&gt;"Yes",$BF97&lt;&gt;"N/A"),"Firmware Install, ","")&amp;IF(AND($BJ97&lt;&gt;"Yes",$BJ97&lt;&gt;"N/A"),"Device ID, ","")&amp;IF(AND($BK97&lt;&gt;"Yes",$BK97&lt;&gt;"N/A"),"Epic Beans Relay, ",""))="","",LEFT(IF(AND($AW97&lt;&gt;"Yes",$AW97&lt;&gt;"N/A"),"Power Cable, ","")&amp;IF(AND($AX97&lt;&gt;"Yes",$AX97&lt;&gt;"N/A"),"Battery, ","")&amp;IF(AND($BE97&lt;&gt;"Yes",$BE97&lt;&gt;"N/A"),"Firmware Download, ","")&amp;IF(AND(OR($BE97="Yes",$BE97="N/A"),$BF97&lt;&gt;"Yes",$BF97&lt;&gt;"N/A"),"Firmware Install, ","")&amp;IF(AND($BJ97&lt;&gt;"Yes",$BJ97&lt;&gt;"N/A"),"Device ID, ","")&amp;IF(AND($BK97&lt;&gt;"Yes",$BK97&lt;&gt;"N/A"),"Epic Beans Relay, ",""),LEN(IF(AND($AW97&lt;&gt;"Yes",$AW97&lt;&gt;"N/A"),"Power Cable, ","")&amp;IF(AND($AX97&lt;&gt;"Yes",$AX97&lt;&gt;"N/A"),"Battery, ","")&amp;IF(AND($BE97&lt;&gt;"Yes",$BE97&lt;&gt;"N/A"),"Firmware Download, ","")&amp;IF(AND(OR($BE97="Yes",$BE97="N/A"),$BF97&lt;&gt;"Yes",$BF97&lt;&gt;"N/A"),"Firmware Install, ","")&amp;IF(AND($BJ97&lt;&gt;"Yes",$BJ97&lt;&gt;"N/A"),"Device ID, ","")&amp;IF(AND($BK97&lt;&gt;"Yes",$BK97&lt;&gt;"N/A"),"Epic Beans Relay, ",""))-2)))</f>
      </c>
      <c r="BM97">
        <f>IF($T97="","",IF($BL97="","Yes","Blocked"))</f>
      </c>
      <c r="BP97">
        <f>IF($BO97="","",IFERROR(VLOOKUP($BO97,'01_Warehouse_Ledger'!$A:$N,4,FALSE),""))</f>
      </c>
      <c r="BQ97">
        <f>IF($BO97="","",IFERROR(VLOOKUP($BO97,'01_Warehouse_Ledger'!$A:$N,5,FALSE),""))</f>
      </c>
      <c r="BR97">
        <f>IF($BO97="","",IFERROR(VLOOKUP($BO97,'01_Warehouse_Ledger'!$A:$N,13,FALSE),""))</f>
      </c>
    </row>
    <row r="98">
      <c r="A98" t="s">
        <v>1415</v>
      </c>
      <c r="C98" t="s">
        <v>1657</v>
      </c>
      <c r="D98">
        <f>IF($B98&lt;&gt;"Yes","",IF($C98="No","Yes",IF($C98="Yes","No","")))</f>
      </c>
      <c r="E98">
        <f>IF($A98="","",IF($A98="Neuron",IF(OR(AND($R98&lt;&gt;"",LOWER(TRIM($R98))&lt;&gt;"n/a",COUNTIF($S$2:$S$532,$R98)&gt;1),AND($T98&lt;&gt;"",LOWER(TRIM($T98))&lt;&gt;"n/a",COUNTIF($T$2:$T$532,$T98)&gt;1),AND($W98&lt;&gt;"",LOWER(TRIM($W98))&lt;&gt;"n/a",COUNTIF($W$2:$W$532,$W98)&gt;1)),"Yes","No"),IF($A98="Cybernet",IF(OR(AND($Y98&lt;&gt;"",LOWER(TRIM($Y98))&lt;&gt;"n/a",COUNTIF($Y$2:$Y$532,$Y98)&gt;1),AND($Z98&lt;&gt;"",LOWER(TRIM($Z98))&lt;&gt;"n/a",COUNTIF($Z$2:$Z$532,$Z98)&gt;1)),"Yes","No"),IF(AND($AL98&lt;&gt;"",LOWER(TRIM($AL98))&lt;&gt;"n/a",COUNTIF($AL$2:$AL$532,$AL98)&gt;1),"Yes","No"))))</f>
      </c>
      <c r="F98">
        <f>IF($B98&lt;&gt;"Yes","",
IF($A98="Neuron",
IF(OR(
AND($R98&lt;&gt;"",LOWER(TRIM($R98))&lt;&gt;"n/a",COUNTIFS($B$2:$B$532,"Yes",$A$2:$A$532,"Neuron",$S$2:$S$532,$R98)&gt;1),
AND($T98&lt;&gt;"",LOWER(TRIM($T98))&lt;&gt;"n/a",COUNTIFS($B$2:$B$532,"Yes",$A$2:$A$532,"Neuron",$T$2:$T$532,$T98)&gt;1),
AND($W98&lt;&gt;"",LOWER(TRIM($W98))&lt;&gt;"n/a",COUNTIFS($B$2:$B$532,"Yes",$A$2:$A$532,"Neuron",$W$2:$W$532,$W98)&gt;1)
),"Yes","No"),
IF($A98="Cybernet",
IF(OR(
AND($Y98&lt;&gt;"",LOWER(TRIM($Y98))&lt;&gt;"n/a",COUNTIFS($B$2:$B$532,"Yes",$A$2:$A$532,"Cybernet",$Y$2:$Y$532,$Y98)&gt;1),
AND($Z98&lt;&gt;"",LOWER(TRIM($Z98))&lt;&gt;"n/a",COUNTIFS($B$2:$B$532,"Yes",$A$2:$A$532,"Cybernet",$Z$2:$Z$532,$Z98)&gt;1)
),"Yes","No"),
IF(AND($AL98&lt;&gt;"",LOWER(TRIM($AL98))&lt;&gt;"n/a"),
IF(COUNTIFS($B$2:$B$532,"Yes",$A$2:$A$532,$A98,$AL$2:$AL$532,$AL98)&gt;1,"Yes","No"),
"No")
)
)
)</f>
      </c>
      <c r="G98" t="s">
        <v>1983</v>
      </c>
      <c r="H98" t="s">
        <v>1903</v>
      </c>
      <c r="I98" t="s">
        <v>1831</v>
      </c>
      <c r="J98" t="s">
        <v>1727</v>
      </c>
      <c r="K98" t="s">
        <v>1657</v>
      </c>
      <c r="L98" t="s">
        <v>1657</v>
      </c>
      <c r="R98" t="s">
        <v>1855</v>
      </c>
      <c r="Y98" t="s">
        <v>1972</v>
      </c>
      <c r="Z98" t="s">
        <v>1807</v>
      </c>
      <c r="BI98" t="s">
        <v>1630</v>
      </c>
      <c r="BL98">
        <f>IF($T98="","",IF((IF(AND($AW98&lt;&gt;"Yes",$AW98&lt;&gt;"N/A"),"Power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</c>
      <c r="BM98">
        <f>IF($T98="","",IF($BL98="","Yes","Blocked"))</f>
      </c>
      <c r="BP98">
        <f>IF($BO98="","",IFERROR(VLOOKUP($BO98,'01_Warehouse_Ledger'!$A:$N,4,FALSE),""))</f>
      </c>
      <c r="BQ98">
        <f>IF($BO98="","",IFERROR(VLOOKUP($BO98,'01_Warehouse_Ledger'!$A:$N,5,FALSE),""))</f>
      </c>
      <c r="BR98">
        <f>IF($BO98="","",IFERROR(VLOOKUP($BO98,'01_Warehouse_Ledger'!$A:$N,13,FALSE),""))</f>
      </c>
    </row>
    <row r="99">
      <c r="A99" t="s">
        <v>1415</v>
      </c>
      <c r="C99" t="s">
        <v>1657</v>
      </c>
      <c r="D99">
        <f>IF($B99&lt;&gt;"Yes","",IF($C99="No","Yes",IF($C99="Yes","No","")))</f>
      </c>
      <c r="E99">
        <f>IF($A99="","",IF($A99="Neuron",IF(OR(AND($R99&lt;&gt;"",LOWER(TRIM($R99))&lt;&gt;"n/a",COUNTIF($S$2:$S$532,$R99)&gt;1),AND($T99&lt;&gt;"",LOWER(TRIM($T99))&lt;&gt;"n/a",COUNTIF($T$2:$T$532,$T99)&gt;1),AND($W99&lt;&gt;"",LOWER(TRIM($W99))&lt;&gt;"n/a",COUNTIF($W$2:$W$532,$W99)&gt;1)),"Yes","No"),IF($A99="Cybernet",IF(OR(AND($Y99&lt;&gt;"",LOWER(TRIM($Y99))&lt;&gt;"n/a",COUNTIF($Y$2:$Y$532,$Y99)&gt;1),AND($Z99&lt;&gt;"",LOWER(TRIM($Z99))&lt;&gt;"n/a",COUNTIF($Z$2:$Z$532,$Z99)&gt;1)),"Yes","No"),IF(AND($AL99&lt;&gt;"",LOWER(TRIM($AL99))&lt;&gt;"n/a",COUNTIF($AL$2:$AL$532,$AL99)&gt;1),"Yes","No"))))</f>
      </c>
      <c r="F99">
        <f>IF($B99&lt;&gt;"Yes","",
IF($A99="Neuron",
IF(OR(
AND($R99&lt;&gt;"",LOWER(TRIM($R99))&lt;&gt;"n/a",COUNTIFS($B$2:$B$532,"Yes",$A$2:$A$532,"Neuron",$S$2:$S$532,$R99)&gt;1),
AND($T99&lt;&gt;"",LOWER(TRIM($T99))&lt;&gt;"n/a",COUNTIFS($B$2:$B$532,"Yes",$A$2:$A$532,"Neuron",$T$2:$T$532,$T99)&gt;1),
AND($W99&lt;&gt;"",LOWER(TRIM($W99))&lt;&gt;"n/a",COUNTIFS($B$2:$B$532,"Yes",$A$2:$A$532,"Neuron",$W$2:$W$532,$W99)&gt;1)
),"Yes","No"),
IF($A99="Cybernet",
IF(OR(
AND($Y99&lt;&gt;"",LOWER(TRIM($Y99))&lt;&gt;"n/a",COUNTIFS($B$2:$B$532,"Yes",$A$2:$A$532,"Cybernet",$Y$2:$Y$532,$Y99)&gt;1),
AND($Z99&lt;&gt;"",LOWER(TRIM($Z99))&lt;&gt;"n/a",COUNTIFS($B$2:$B$532,"Yes",$A$2:$A$532,"Cybernet",$Z$2:$Z$532,$Z99)&gt;1)
),"Yes","No"),
IF(AND($AL99&lt;&gt;"",LOWER(TRIM($AL99))&lt;&gt;"n/a"),
IF(COUNTIFS($B$2:$B$532,"Yes",$A$2:$A$532,$A99,$AL$2:$AL$532,$AL99)&gt;1,"Yes","No"),
"No")
)
)
)</f>
      </c>
      <c r="G99" t="s">
        <v>1983</v>
      </c>
      <c r="H99" t="s">
        <v>1903</v>
      </c>
      <c r="I99" t="s">
        <v>1831</v>
      </c>
      <c r="J99" t="s">
        <v>1727</v>
      </c>
      <c r="K99" t="s">
        <v>1657</v>
      </c>
      <c r="L99" t="s">
        <v>1657</v>
      </c>
      <c r="R99" t="s">
        <v>1929</v>
      </c>
      <c r="Y99" t="s">
        <v>2055</v>
      </c>
      <c r="Z99" t="s">
        <v>1808</v>
      </c>
      <c r="BI99" t="s">
        <v>1630</v>
      </c>
      <c r="BL99">
        <f>IF($T99="","",IF((IF(AND($AW99&lt;&gt;"Yes",$AW99&lt;&gt;"N/A"),"Power Cable, ","")&amp;IF(AND($AX99&lt;&gt;"Yes",$AX99&lt;&gt;"N/A"),"Battery, ","")&amp;IF(AND($BE99&lt;&gt;"Yes",$BE99&lt;&gt;"N/A"),"Firmware Download, ","")&amp;IF(AND(OR($BE99="Yes",$BE99="N/A"),$BF99&lt;&gt;"Yes",$BF99&lt;&gt;"N/A"),"Firmware Install, ","")&amp;IF(AND($BJ99&lt;&gt;"Yes",$BJ99&lt;&gt;"N/A"),"Device ID, ","")&amp;IF(AND($BK99&lt;&gt;"Yes",$BK99&lt;&gt;"N/A"),"Epic Beans Relay, ",""))="","",LEFT(IF(AND($AW99&lt;&gt;"Yes",$AW99&lt;&gt;"N/A"),"Power Cable, ","")&amp;IF(AND($AX99&lt;&gt;"Yes",$AX99&lt;&gt;"N/A"),"Battery, ","")&amp;IF(AND($BE99&lt;&gt;"Yes",$BE99&lt;&gt;"N/A"),"Firmware Download, ","")&amp;IF(AND(OR($BE99="Yes",$BE99="N/A"),$BF99&lt;&gt;"Yes",$BF99&lt;&gt;"N/A"),"Firmware Install, ","")&amp;IF(AND($BJ99&lt;&gt;"Yes",$BJ99&lt;&gt;"N/A"),"Device ID, ","")&amp;IF(AND($BK99&lt;&gt;"Yes",$BK99&lt;&gt;"N/A"),"Epic Beans Relay, ",""),LEN(IF(AND($AW99&lt;&gt;"Yes",$AW99&lt;&gt;"N/A"),"Power Cable, ","")&amp;IF(AND($AX99&lt;&gt;"Yes",$AX99&lt;&gt;"N/A"),"Battery, ","")&amp;IF(AND($BE99&lt;&gt;"Yes",$BE99&lt;&gt;"N/A"),"Firmware Download, ","")&amp;IF(AND(OR($BE99="Yes",$BE99="N/A"),$BF99&lt;&gt;"Yes",$BF99&lt;&gt;"N/A"),"Firmware Install, ","")&amp;IF(AND($BJ99&lt;&gt;"Yes",$BJ99&lt;&gt;"N/A"),"Device ID, ","")&amp;IF(AND($BK99&lt;&gt;"Yes",$BK99&lt;&gt;"N/A"),"Epic Beans Relay, ",""))-2)))</f>
      </c>
      <c r="BM99">
        <f>IF($T99="","",IF($BL99="","Yes","Blocked"))</f>
      </c>
      <c r="BP99">
        <f>IF($BO99="","",IFERROR(VLOOKUP($BO99,'01_Warehouse_Ledger'!$A:$N,4,FALSE),""))</f>
      </c>
      <c r="BQ99">
        <f>IF($BO99="","",IFERROR(VLOOKUP($BO99,'01_Warehouse_Ledger'!$A:$N,5,FALSE),""))</f>
      </c>
      <c r="BR99">
        <f>IF($BO99="","",IFERROR(VLOOKUP($BO99,'01_Warehouse_Ledger'!$A:$N,13,FALSE),""))</f>
      </c>
    </row>
    <row r="100">
      <c r="A100" t="s">
        <v>1415</v>
      </c>
      <c r="C100" t="s">
        <v>1657</v>
      </c>
      <c r="D100">
        <f>IF($B100&lt;&gt;"Yes","",IF($C100="No","Yes",IF($C100="Yes","No","")))</f>
      </c>
      <c r="E100">
        <f>IF($A100="","",IF($A100="Neuron",IF(OR(AND($R100&lt;&gt;"",LOWER(TRIM($R100))&lt;&gt;"n/a",COUNTIF($S$2:$S$532,$R100)&gt;1),AND($T100&lt;&gt;"",LOWER(TRIM($T100))&lt;&gt;"n/a",COUNTIF($T$2:$T$532,$T100)&gt;1),AND($W100&lt;&gt;"",LOWER(TRIM($W100))&lt;&gt;"n/a",COUNTIF($W$2:$W$532,$W100)&gt;1)),"Yes","No"),IF($A100="Cybernet",IF(OR(AND($Y100&lt;&gt;"",LOWER(TRIM($Y100))&lt;&gt;"n/a",COUNTIF($Y$2:$Y$532,$Y100)&gt;1),AND($Z100&lt;&gt;"",LOWER(TRIM($Z100))&lt;&gt;"n/a",COUNTIF($Z$2:$Z$532,$Z100)&gt;1)),"Yes","No"),IF(AND($AL100&lt;&gt;"",LOWER(TRIM($AL100))&lt;&gt;"n/a",COUNTIF($AL$2:$AL$532,$AL100)&gt;1),"Yes","No"))))</f>
      </c>
      <c r="F100">
        <f>IF($B100&lt;&gt;"Yes","",
IF($A100="Neuron",
IF(OR(
AND($R100&lt;&gt;"",LOWER(TRIM($R100))&lt;&gt;"n/a",COUNTIFS($B$2:$B$532,"Yes",$A$2:$A$532,"Neuron",$S$2:$S$532,$R100)&gt;1),
AND($T100&lt;&gt;"",LOWER(TRIM($T100))&lt;&gt;"n/a",COUNTIFS($B$2:$B$532,"Yes",$A$2:$A$532,"Neuron",$T$2:$T$532,$T100)&gt;1),
AND($W100&lt;&gt;"",LOWER(TRIM($W100))&lt;&gt;"n/a",COUNTIFS($B$2:$B$532,"Yes",$A$2:$A$532,"Neuron",$W$2:$W$532,$W100)&gt;1)
),"Yes","No"),
IF($A100="Cybernet",
IF(OR(
AND($Y100&lt;&gt;"",LOWER(TRIM($Y100))&lt;&gt;"n/a",COUNTIFS($B$2:$B$532,"Yes",$A$2:$A$532,"Cybernet",$Y$2:$Y$532,$Y100)&gt;1),
AND($Z100&lt;&gt;"",LOWER(TRIM($Z100))&lt;&gt;"n/a",COUNTIFS($B$2:$B$532,"Yes",$A$2:$A$532,"Cybernet",$Z$2:$Z$532,$Z100)&gt;1)
),"Yes","No"),
IF(AND($AL100&lt;&gt;"",LOWER(TRIM($AL100))&lt;&gt;"n/a"),
IF(COUNTIFS($B$2:$B$532,"Yes",$A$2:$A$532,$A100,$AL$2:$AL$532,$AL100)&gt;1,"Yes","No"),
"No")
)
)
)</f>
      </c>
      <c r="G100" t="s">
        <v>1983</v>
      </c>
      <c r="H100" t="s">
        <v>1903</v>
      </c>
      <c r="I100" t="s">
        <v>1831</v>
      </c>
      <c r="J100" t="s">
        <v>1727</v>
      </c>
      <c r="K100" t="s">
        <v>1657</v>
      </c>
      <c r="L100" t="s">
        <v>1657</v>
      </c>
      <c r="R100" t="s">
        <v>1632</v>
      </c>
      <c r="Y100" t="s">
        <v>2172</v>
      </c>
      <c r="Z100" t="s">
        <v>2081</v>
      </c>
      <c r="BI100" t="s">
        <v>1630</v>
      </c>
      <c r="BL100">
        <f>IF($T100="","",IF((IF(AND($AW100&lt;&gt;"Yes",$AW100&lt;&gt;"N/A"),"Power Cable, ","")&amp;IF(AND($AX100&lt;&gt;"Yes",$AX100&lt;&gt;"N/A"),"Battery, ","")&amp;IF(AND($BE100&lt;&gt;"Yes",$BE100&lt;&gt;"N/A"),"Firmware Download, ","")&amp;IF(AND(OR($BE100="Yes",$BE100="N/A"),$BF100&lt;&gt;"Yes",$BF100&lt;&gt;"N/A"),"Firmware Install, ","")&amp;IF(AND($BJ100&lt;&gt;"Yes",$BJ100&lt;&gt;"N/A"),"Device ID, ","")&amp;IF(AND($BK100&lt;&gt;"Yes",$BK100&lt;&gt;"N/A"),"Epic Beans Relay, ",""))="","",LEFT(IF(AND($AW100&lt;&gt;"Yes",$AW100&lt;&gt;"N/A"),"Power Cable, ","")&amp;IF(AND($AX100&lt;&gt;"Yes",$AX100&lt;&gt;"N/A"),"Battery, ","")&amp;IF(AND($BE100&lt;&gt;"Yes",$BE100&lt;&gt;"N/A"),"Firmware Download, ","")&amp;IF(AND(OR($BE100="Yes",$BE100="N/A"),$BF100&lt;&gt;"Yes",$BF100&lt;&gt;"N/A"),"Firmware Install, ","")&amp;IF(AND($BJ100&lt;&gt;"Yes",$BJ100&lt;&gt;"N/A"),"Device ID, ","")&amp;IF(AND($BK100&lt;&gt;"Yes",$BK100&lt;&gt;"N/A"),"Epic Beans Relay, ",""),LEN(IF(AND($AW100&lt;&gt;"Yes",$AW100&lt;&gt;"N/A"),"Power Cable, ","")&amp;IF(AND($AX100&lt;&gt;"Yes",$AX100&lt;&gt;"N/A"),"Battery, ","")&amp;IF(AND($BE100&lt;&gt;"Yes",$BE100&lt;&gt;"N/A"),"Firmware Download, ","")&amp;IF(AND(OR($BE100="Yes",$BE100="N/A"),$BF100&lt;&gt;"Yes",$BF100&lt;&gt;"N/A"),"Firmware Install, ","")&amp;IF(AND($BJ100&lt;&gt;"Yes",$BJ100&lt;&gt;"N/A"),"Device ID, ","")&amp;IF(AND($BK100&lt;&gt;"Yes",$BK100&lt;&gt;"N/A"),"Epic Beans Relay, ",""))-2)))</f>
      </c>
      <c r="BM100">
        <f>IF($T100="","",IF($BL100="","Yes","Blocked"))</f>
      </c>
      <c r="BP100">
        <f>IF($BO100="","",IFERROR(VLOOKUP($BO100,'01_Warehouse_Ledger'!$A:$N,4,FALSE),""))</f>
      </c>
      <c r="BQ100">
        <f>IF($BO100="","",IFERROR(VLOOKUP($BO100,'01_Warehouse_Ledger'!$A:$N,5,FALSE),""))</f>
      </c>
      <c r="BR100">
        <f>IF($BO100="","",IFERROR(VLOOKUP($BO100,'01_Warehouse_Ledger'!$A:$N,13,FALSE),""))</f>
      </c>
    </row>
    <row r="101">
      <c r="A101" t="s">
        <v>1415</v>
      </c>
      <c r="B101" t="s">
        <v>1727</v>
      </c>
      <c r="C101" t="s">
        <v>1727</v>
      </c>
      <c r="D101">
        <f>IF($B101&lt;&gt;"Yes","",IF($C101="No","Yes",IF($C101="Yes","No","")))</f>
      </c>
      <c r="E101">
        <f>IF($A101="","",IF($A101="Neuron",IF(OR(AND($R101&lt;&gt;"",LOWER(TRIM($R101))&lt;&gt;"n/a",COUNTIF($S$2:$S$532,$R101)&gt;1),AND($T101&lt;&gt;"",LOWER(TRIM($T101))&lt;&gt;"n/a",COUNTIF($T$2:$T$532,$T101)&gt;1),AND($W101&lt;&gt;"",LOWER(TRIM($W101))&lt;&gt;"n/a",COUNTIF($W$2:$W$532,$W101)&gt;1)),"Yes","No"),IF($A101="Cybernet",IF(OR(AND($Y101&lt;&gt;"",LOWER(TRIM($Y101))&lt;&gt;"n/a",COUNTIF($Y$2:$Y$532,$Y101)&gt;1),AND($Z101&lt;&gt;"",LOWER(TRIM($Z101))&lt;&gt;"n/a",COUNTIF($Z$2:$Z$532,$Z101)&gt;1)),"Yes","No"),IF(AND($AL101&lt;&gt;"",LOWER(TRIM($AL101))&lt;&gt;"n/a",COUNTIF($AL$2:$AL$532,$AL101)&gt;1),"Yes","No"))))</f>
      </c>
      <c r="F101">
        <f>IF($B101&lt;&gt;"Yes","",
IF($A101="Neuron",
IF(OR(
AND($R101&lt;&gt;"",LOWER(TRIM($R101))&lt;&gt;"n/a",COUNTIFS($B$2:$B$532,"Yes",$A$2:$A$532,"Neuron",$S$2:$S$532,$R101)&gt;1),
AND($T101&lt;&gt;"",LOWER(TRIM($T101))&lt;&gt;"n/a",COUNTIFS($B$2:$B$532,"Yes",$A$2:$A$532,"Neuron",$T$2:$T$532,$T101)&gt;1),
AND($W101&lt;&gt;"",LOWER(TRIM($W101))&lt;&gt;"n/a",COUNTIFS($B$2:$B$532,"Yes",$A$2:$A$532,"Neuron",$W$2:$W$532,$W101)&gt;1)
),"Yes","No"),
IF($A101="Cybernet",
IF(OR(
AND($Y101&lt;&gt;"",LOWER(TRIM($Y101))&lt;&gt;"n/a",COUNTIFS($B$2:$B$532,"Yes",$A$2:$A$532,"Cybernet",$Y$2:$Y$532,$Y101)&gt;1),
AND($Z101&lt;&gt;"",LOWER(TRIM($Z101))&lt;&gt;"n/a",COUNTIFS($B$2:$B$532,"Yes",$A$2:$A$532,"Cybernet",$Z$2:$Z$532,$Z101)&gt;1)
),"Yes","No"),
IF(AND($AL101&lt;&gt;"",LOWER(TRIM($AL101))&lt;&gt;"n/a"),
IF(COUNTIFS($B$2:$B$532,"Yes",$A$2:$A$532,$A101,$AL$2:$AL$532,$AL101)&gt;1,"Yes","No"),
"No")
)
)
)</f>
      </c>
      <c r="G101" t="s">
        <v>2235</v>
      </c>
      <c r="H101" t="s">
        <v>2235</v>
      </c>
      <c r="I101" t="s">
        <v>1831</v>
      </c>
      <c r="J101" t="s">
        <v>1727</v>
      </c>
      <c r="K101" t="s">
        <v>1727</v>
      </c>
      <c r="L101" t="s">
        <v>1727</v>
      </c>
      <c r="M101" t="s">
        <v>2162</v>
      </c>
      <c r="N101" t="s">
        <v>2376</v>
      </c>
      <c r="O101" t="s">
        <v>1380</v>
      </c>
      <c r="P101" t="s">
        <v>2098</v>
      </c>
      <c r="Q101">
        <v>46075.0</v>
      </c>
      <c r="R101" t="s">
        <v>1827</v>
      </c>
      <c r="S101" t="s">
        <v>1792</v>
      </c>
      <c r="T101" t="s">
        <v>2005</v>
      </c>
      <c r="U101" t="s">
        <v>1380</v>
      </c>
      <c r="Y101" t="s">
        <v>1733</v>
      </c>
      <c r="Z101" t="s">
        <v>2179</v>
      </c>
      <c r="AA101" t="s">
        <v>2031</v>
      </c>
      <c r="AD101" t="s">
        <v>2397</v>
      </c>
      <c r="AE101">
        <v>2</v>
      </c>
      <c r="AF101" t="s">
        <v>2097</v>
      </c>
      <c r="AG101" t="s">
        <v>2136</v>
      </c>
      <c r="AI101" t="s">
        <v>1842</v>
      </c>
      <c r="AJ101" t="s">
        <v>2124</v>
      </c>
      <c r="AK101" t="s">
        <v>2249</v>
      </c>
      <c r="AL101" t="s">
        <v>2397</v>
      </c>
      <c r="AM101" t="s">
        <v>1307</v>
      </c>
      <c r="AR101" t="s">
        <v>2270</v>
      </c>
      <c r="AW101" t="s">
        <v>1727</v>
      </c>
      <c r="AX101" t="s">
        <v>1727</v>
      </c>
      <c r="AY101" t="s">
        <v>1727</v>
      </c>
      <c r="AZ101" t="s">
        <v>1727</v>
      </c>
      <c r="BI101" t="s">
        <v>1630</v>
      </c>
      <c r="BL101">
        <f>IF($T101="","",IF((IF(AND($AW101&lt;&gt;"Yes",$AW101&lt;&gt;"N/A"),"Power Cable, ","")&amp;IF(AND($AX101&lt;&gt;"Yes",$AX101&lt;&gt;"N/A"),"Battery, ","")&amp;IF(AND($BE101&lt;&gt;"Yes",$BE101&lt;&gt;"N/A"),"Firmware Download, ","")&amp;IF(AND(OR($BE101="Yes",$BE101="N/A"),$BF101&lt;&gt;"Yes",$BF101&lt;&gt;"N/A"),"Firmware Install, ","")&amp;IF(AND($BJ101&lt;&gt;"Yes",$BJ101&lt;&gt;"N/A"),"Device ID, ","")&amp;IF(AND($BK101&lt;&gt;"Yes",$BK101&lt;&gt;"N/A"),"Epic Beans Relay, ",""))="","",LEFT(IF(AND($AW101&lt;&gt;"Yes",$AW101&lt;&gt;"N/A"),"Power Cable, ","")&amp;IF(AND($AX101&lt;&gt;"Yes",$AX101&lt;&gt;"N/A"),"Battery, ","")&amp;IF(AND($BE101&lt;&gt;"Yes",$BE101&lt;&gt;"N/A"),"Firmware Download, ","")&amp;IF(AND(OR($BE101="Yes",$BE101="N/A"),$BF101&lt;&gt;"Yes",$BF101&lt;&gt;"N/A"),"Firmware Install, ","")&amp;IF(AND($BJ101&lt;&gt;"Yes",$BJ101&lt;&gt;"N/A"),"Device ID, ","")&amp;IF(AND($BK101&lt;&gt;"Yes",$BK101&lt;&gt;"N/A"),"Epic Beans Relay, ",""),LEN(IF(AND($AW101&lt;&gt;"Yes",$AW101&lt;&gt;"N/A"),"Power Cable, ","")&amp;IF(AND($AX101&lt;&gt;"Yes",$AX101&lt;&gt;"N/A"),"Battery, ","")&amp;IF(AND($BE101&lt;&gt;"Yes",$BE101&lt;&gt;"N/A"),"Firmware Download, ","")&amp;IF(AND(OR($BE101="Yes",$BE101="N/A"),$BF101&lt;&gt;"Yes",$BF101&lt;&gt;"N/A"),"Firmware Install, ","")&amp;IF(AND($BJ101&lt;&gt;"Yes",$BJ101&lt;&gt;"N/A"),"Device ID, ","")&amp;IF(AND($BK101&lt;&gt;"Yes",$BK101&lt;&gt;"N/A"),"Epic Beans Relay, ",""))-2)))</f>
      </c>
      <c r="BM101">
        <f>IF($T101="","",IF($BL101="","Yes","Blocked"))</f>
      </c>
      <c r="BP101">
        <f>IF($BO101="","",IFERROR(VLOOKUP($BO101,'01_Warehouse_Ledger'!$A:$N,4,FALSE),""))</f>
      </c>
      <c r="BQ101">
        <f>IF($BO101="","",IFERROR(VLOOKUP($BO101,'01_Warehouse_Ledger'!$A:$N,5,FALSE),""))</f>
      </c>
      <c r="BR101">
        <f>IF($BO101="","",IFERROR(VLOOKUP($BO101,'01_Warehouse_Ledger'!$A:$N,13,FALSE),""))</f>
      </c>
      <c r="BS101" t="s">
        <v>1727</v>
      </c>
      <c r="BT101" t="s">
        <v>1727</v>
      </c>
      <c r="BU101" t="s">
        <v>1727</v>
      </c>
      <c r="BV101" t="s">
        <v>1727</v>
      </c>
      <c r="BW101" t="s">
        <v>1727</v>
      </c>
      <c r="BX101">
        <v>19200</v>
      </c>
    </row>
    <row r="102">
      <c r="A102" t="s">
        <v>1415</v>
      </c>
      <c r="B102" t="s">
        <v>1727</v>
      </c>
      <c r="C102" t="s">
        <v>1727</v>
      </c>
      <c r="D102">
        <f>IF($B102&lt;&gt;"Yes","",IF($C102="No","Yes",IF($C102="Yes","No","")))</f>
      </c>
      <c r="E102">
        <f>IF($A102="","",IF($A102="Neuron",IF(OR(AND($R102&lt;&gt;"",LOWER(TRIM($R102))&lt;&gt;"n/a",COUNTIF($S$2:$S$532,$R102)&gt;1),AND($T102&lt;&gt;"",LOWER(TRIM($T102))&lt;&gt;"n/a",COUNTIF($T$2:$T$532,$T102)&gt;1),AND($W102&lt;&gt;"",LOWER(TRIM($W102))&lt;&gt;"n/a",COUNTIF($W$2:$W$532,$W102)&gt;1)),"Yes","No"),IF($A102="Cybernet",IF(OR(AND($Y102&lt;&gt;"",LOWER(TRIM($Y102))&lt;&gt;"n/a",COUNTIF($Y$2:$Y$532,$Y102)&gt;1),AND($Z102&lt;&gt;"",LOWER(TRIM($Z102))&lt;&gt;"n/a",COUNTIF($Z$2:$Z$532,$Z102)&gt;1)),"Yes","No"),IF(AND($AL102&lt;&gt;"",LOWER(TRIM($AL102))&lt;&gt;"n/a",COUNTIF($AL$2:$AL$532,$AL102)&gt;1),"Yes","No"))))</f>
      </c>
      <c r="F102">
        <f>IF($B102&lt;&gt;"Yes","",
IF($A102="Neuron",
IF(OR(
AND($R102&lt;&gt;"",LOWER(TRIM($R102))&lt;&gt;"n/a",COUNTIFS($B$2:$B$532,"Yes",$A$2:$A$532,"Neuron",$S$2:$S$532,$R102)&gt;1),
AND($T102&lt;&gt;"",LOWER(TRIM($T102))&lt;&gt;"n/a",COUNTIFS($B$2:$B$532,"Yes",$A$2:$A$532,"Neuron",$T$2:$T$532,$T102)&gt;1),
AND($W102&lt;&gt;"",LOWER(TRIM($W102))&lt;&gt;"n/a",COUNTIFS($B$2:$B$532,"Yes",$A$2:$A$532,"Neuron",$W$2:$W$532,$W102)&gt;1)
),"Yes","No"),
IF($A102="Cybernet",
IF(OR(
AND($Y102&lt;&gt;"",LOWER(TRIM($Y102))&lt;&gt;"n/a",COUNTIFS($B$2:$B$532,"Yes",$A$2:$A$532,"Cybernet",$Y$2:$Y$532,$Y102)&gt;1),
AND($Z102&lt;&gt;"",LOWER(TRIM($Z102))&lt;&gt;"n/a",COUNTIFS($B$2:$B$532,"Yes",$A$2:$A$532,"Cybernet",$Z$2:$Z$532,$Z102)&gt;1)
),"Yes","No"),
IF(AND($AL102&lt;&gt;"",LOWER(TRIM($AL102))&lt;&gt;"n/a"),
IF(COUNTIFS($B$2:$B$532,"Yes",$A$2:$A$532,$A102,$AL$2:$AL$532,$AL102)&gt;1,"Yes","No"),
"No")
)
)
)</f>
      </c>
      <c r="G102" t="s">
        <v>2235</v>
      </c>
      <c r="H102" t="s">
        <v>2235</v>
      </c>
      <c r="I102" t="s">
        <v>1831</v>
      </c>
      <c r="J102" t="s">
        <v>1727</v>
      </c>
      <c r="K102" t="s">
        <v>1727</v>
      </c>
      <c r="L102" t="s">
        <v>1727</v>
      </c>
      <c r="M102" t="s">
        <v>2162</v>
      </c>
      <c r="N102" t="s">
        <v>2376</v>
      </c>
      <c r="O102" t="s">
        <v>1380</v>
      </c>
      <c r="P102" t="s">
        <v>2098</v>
      </c>
      <c r="Q102">
        <v>46075.0</v>
      </c>
      <c r="R102" t="s">
        <v>1895</v>
      </c>
      <c r="S102" t="s">
        <v>1876</v>
      </c>
      <c r="T102" t="s">
        <v>2297</v>
      </c>
      <c r="U102" t="s">
        <v>1380</v>
      </c>
      <c r="Y102" t="s">
        <v>1865</v>
      </c>
      <c r="Z102" t="s">
        <v>2324</v>
      </c>
      <c r="AA102" t="s">
        <v>2031</v>
      </c>
      <c r="AD102" t="s">
        <v>2051</v>
      </c>
      <c r="AE102">
        <v>2</v>
      </c>
      <c r="AF102" t="s">
        <v>2097</v>
      </c>
      <c r="AG102" t="s">
        <v>2271</v>
      </c>
      <c r="AJ102" t="s">
        <v>2124</v>
      </c>
      <c r="AK102" t="s">
        <v>2249</v>
      </c>
      <c r="AL102" t="s">
        <v>2051</v>
      </c>
      <c r="AM102" t="s">
        <v>1307</v>
      </c>
      <c r="AR102" t="s">
        <v>1684</v>
      </c>
      <c r="AW102" t="s">
        <v>1727</v>
      </c>
      <c r="AX102" t="s">
        <v>1727</v>
      </c>
      <c r="AY102" t="s">
        <v>1727</v>
      </c>
      <c r="AZ102" t="s">
        <v>1727</v>
      </c>
      <c r="BI102" t="s">
        <v>1630</v>
      </c>
      <c r="BL102">
        <f>IF($T102="","",IF((IF(AND($AW102&lt;&gt;"Yes",$AW102&lt;&gt;"N/A"),"Power Cable, ","")&amp;IF(AND($AX102&lt;&gt;"Yes",$AX102&lt;&gt;"N/A"),"Battery, ","")&amp;IF(AND($BE102&lt;&gt;"Yes",$BE102&lt;&gt;"N/A"),"Firmware Download, ","")&amp;IF(AND(OR($BE102="Yes",$BE102="N/A"),$BF102&lt;&gt;"Yes",$BF102&lt;&gt;"N/A"),"Firmware Install, ","")&amp;IF(AND($BJ102&lt;&gt;"Yes",$BJ102&lt;&gt;"N/A"),"Device ID, ","")&amp;IF(AND($BK102&lt;&gt;"Yes",$BK102&lt;&gt;"N/A"),"Epic Beans Relay, ",""))="","",LEFT(IF(AND($AW102&lt;&gt;"Yes",$AW102&lt;&gt;"N/A"),"Power Cable, ","")&amp;IF(AND($AX102&lt;&gt;"Yes",$AX102&lt;&gt;"N/A"),"Battery, ","")&amp;IF(AND($BE102&lt;&gt;"Yes",$BE102&lt;&gt;"N/A"),"Firmware Download, ","")&amp;IF(AND(OR($BE102="Yes",$BE102="N/A"),$BF102&lt;&gt;"Yes",$BF102&lt;&gt;"N/A"),"Firmware Install, ","")&amp;IF(AND($BJ102&lt;&gt;"Yes",$BJ102&lt;&gt;"N/A"),"Device ID, ","")&amp;IF(AND($BK102&lt;&gt;"Yes",$BK102&lt;&gt;"N/A"),"Epic Beans Relay, ",""),LEN(IF(AND($AW102&lt;&gt;"Yes",$AW102&lt;&gt;"N/A"),"Power Cable, ","")&amp;IF(AND($AX102&lt;&gt;"Yes",$AX102&lt;&gt;"N/A"),"Battery, ","")&amp;IF(AND($BE102&lt;&gt;"Yes",$BE102&lt;&gt;"N/A"),"Firmware Download, ","")&amp;IF(AND(OR($BE102="Yes",$BE102="N/A"),$BF102&lt;&gt;"Yes",$BF102&lt;&gt;"N/A"),"Firmware Install, ","")&amp;IF(AND($BJ102&lt;&gt;"Yes",$BJ102&lt;&gt;"N/A"),"Device ID, ","")&amp;IF(AND($BK102&lt;&gt;"Yes",$BK102&lt;&gt;"N/A"),"Epic Beans Relay, ",""))-2)))</f>
      </c>
      <c r="BM102">
        <f>IF($T102="","",IF($BL102="","Yes","Blocked"))</f>
      </c>
      <c r="BP102">
        <f>IF($BO102="","",IFERROR(VLOOKUP($BO102,'01_Warehouse_Ledger'!$A:$N,4,FALSE),""))</f>
      </c>
      <c r="BQ102">
        <f>IF($BO102="","",IFERROR(VLOOKUP($BO102,'01_Warehouse_Ledger'!$A:$N,5,FALSE),""))</f>
      </c>
      <c r="BR102">
        <f>IF($BO102="","",IFERROR(VLOOKUP($BO102,'01_Warehouse_Ledger'!$A:$N,13,FALSE),""))</f>
      </c>
      <c r="BS102" t="s">
        <v>1727</v>
      </c>
      <c r="BT102" t="s">
        <v>1727</v>
      </c>
      <c r="BU102" t="s">
        <v>1727</v>
      </c>
      <c r="BV102" t="s">
        <v>1727</v>
      </c>
      <c r="BW102" t="s">
        <v>1727</v>
      </c>
      <c r="BX102">
        <v>19200</v>
      </c>
    </row>
    <row r="103">
      <c r="A103" t="s">
        <v>1415</v>
      </c>
      <c r="B103" t="s">
        <v>1727</v>
      </c>
      <c r="C103" t="s">
        <v>1727</v>
      </c>
      <c r="D103">
        <f>IF($B103&lt;&gt;"Yes","",IF($C103="No","Yes",IF($C103="Yes","No","")))</f>
      </c>
      <c r="E103">
        <f>IF($A103="","",IF($A103="Neuron",IF(OR(AND($R103&lt;&gt;"",LOWER(TRIM($R103))&lt;&gt;"n/a",COUNTIF($S$2:$S$532,$R103)&gt;1),AND($T103&lt;&gt;"",LOWER(TRIM($T103))&lt;&gt;"n/a",COUNTIF($T$2:$T$532,$T103)&gt;1),AND($W103&lt;&gt;"",LOWER(TRIM($W103))&lt;&gt;"n/a",COUNTIF($W$2:$W$532,$W103)&gt;1)),"Yes","No"),IF($A103="Cybernet",IF(OR(AND($Y103&lt;&gt;"",LOWER(TRIM($Y103))&lt;&gt;"n/a",COUNTIF($Y$2:$Y$532,$Y103)&gt;1),AND($Z103&lt;&gt;"",LOWER(TRIM($Z103))&lt;&gt;"n/a",COUNTIF($Z$2:$Z$532,$Z103)&gt;1)),"Yes","No"),IF(AND($AL103&lt;&gt;"",LOWER(TRIM($AL103))&lt;&gt;"n/a",COUNTIF($AL$2:$AL$532,$AL103)&gt;1),"Yes","No"))))</f>
      </c>
      <c r="F103">
        <f>IF($B103&lt;&gt;"Yes","",
IF($A103="Neuron",
IF(OR(
AND($R103&lt;&gt;"",LOWER(TRIM($R103))&lt;&gt;"n/a",COUNTIFS($B$2:$B$532,"Yes",$A$2:$A$532,"Neuron",$S$2:$S$532,$R103)&gt;1),
AND($T103&lt;&gt;"",LOWER(TRIM($T103))&lt;&gt;"n/a",COUNTIFS($B$2:$B$532,"Yes",$A$2:$A$532,"Neuron",$T$2:$T$532,$T103)&gt;1),
AND($W103&lt;&gt;"",LOWER(TRIM($W103))&lt;&gt;"n/a",COUNTIFS($B$2:$B$532,"Yes",$A$2:$A$532,"Neuron",$W$2:$W$532,$W103)&gt;1)
),"Yes","No"),
IF($A103="Cybernet",
IF(OR(
AND($Y103&lt;&gt;"",LOWER(TRIM($Y103))&lt;&gt;"n/a",COUNTIFS($B$2:$B$532,"Yes",$A$2:$A$532,"Cybernet",$Y$2:$Y$532,$Y103)&gt;1),
AND($Z103&lt;&gt;"",LOWER(TRIM($Z103))&lt;&gt;"n/a",COUNTIFS($B$2:$B$532,"Yes",$A$2:$A$532,"Cybernet",$Z$2:$Z$532,$Z103)&gt;1)
),"Yes","No"),
IF(AND($AL103&lt;&gt;"",LOWER(TRIM($AL103))&lt;&gt;"n/a"),
IF(COUNTIFS($B$2:$B$532,"Yes",$A$2:$A$532,$A103,$AL$2:$AL$532,$AL103)&gt;1,"Yes","No"),
"No")
)
)
)</f>
      </c>
      <c r="G103" t="s">
        <v>2235</v>
      </c>
      <c r="H103" t="s">
        <v>2235</v>
      </c>
      <c r="I103" t="s">
        <v>1831</v>
      </c>
      <c r="J103" t="s">
        <v>1727</v>
      </c>
      <c r="K103" t="s">
        <v>1727</v>
      </c>
      <c r="L103" t="s">
        <v>1727</v>
      </c>
      <c r="M103" t="s">
        <v>2162</v>
      </c>
      <c r="N103" t="s">
        <v>2376</v>
      </c>
      <c r="O103" t="s">
        <v>1380</v>
      </c>
      <c r="P103" t="s">
        <v>2098</v>
      </c>
      <c r="Q103">
        <v>46075.0</v>
      </c>
      <c r="R103" t="s">
        <v>2184</v>
      </c>
      <c r="S103" t="s">
        <v>2018</v>
      </c>
      <c r="T103" t="s">
        <v>1809</v>
      </c>
      <c r="U103" t="s">
        <v>1380</v>
      </c>
      <c r="Y103" t="s">
        <v>2233</v>
      </c>
      <c r="Z103" t="s">
        <v>1921</v>
      </c>
      <c r="AA103" t="s">
        <v>2031</v>
      </c>
      <c r="AD103" t="s">
        <v>2050</v>
      </c>
      <c r="AE103">
        <v>2</v>
      </c>
      <c r="AF103" t="s">
        <v>2097</v>
      </c>
      <c r="AG103" t="s">
        <v>1804</v>
      </c>
      <c r="AJ103" t="s">
        <v>2124</v>
      </c>
      <c r="AK103" t="s">
        <v>2249</v>
      </c>
      <c r="AL103" t="s">
        <v>2050</v>
      </c>
      <c r="AM103" t="s">
        <v>1307</v>
      </c>
      <c r="AR103" t="s">
        <v>1957</v>
      </c>
      <c r="AW103" t="s">
        <v>1727</v>
      </c>
      <c r="AX103" t="s">
        <v>1727</v>
      </c>
      <c r="AY103" t="s">
        <v>1727</v>
      </c>
      <c r="AZ103" t="s">
        <v>1727</v>
      </c>
      <c r="BI103" t="s">
        <v>1630</v>
      </c>
      <c r="BL103">
        <f>IF($T103="","",IF((IF(AND($AW103&lt;&gt;"Yes",$AW103&lt;&gt;"N/A"),"Power Cable, ","")&amp;IF(AND($AX103&lt;&gt;"Yes",$AX103&lt;&gt;"N/A"),"Battery, ","")&amp;IF(AND($BE103&lt;&gt;"Yes",$BE103&lt;&gt;"N/A"),"Firmware Download, ","")&amp;IF(AND(OR($BE103="Yes",$BE103="N/A"),$BF103&lt;&gt;"Yes",$BF103&lt;&gt;"N/A"),"Firmware Install, ","")&amp;IF(AND($BJ103&lt;&gt;"Yes",$BJ103&lt;&gt;"N/A"),"Device ID, ","")&amp;IF(AND($BK103&lt;&gt;"Yes",$BK103&lt;&gt;"N/A"),"Epic Beans Relay, ",""))="","",LEFT(IF(AND($AW103&lt;&gt;"Yes",$AW103&lt;&gt;"N/A"),"Power Cable, ","")&amp;IF(AND($AX103&lt;&gt;"Yes",$AX103&lt;&gt;"N/A"),"Battery, ","")&amp;IF(AND($BE103&lt;&gt;"Yes",$BE103&lt;&gt;"N/A"),"Firmware Download, ","")&amp;IF(AND(OR($BE103="Yes",$BE103="N/A"),$BF103&lt;&gt;"Yes",$BF103&lt;&gt;"N/A"),"Firmware Install, ","")&amp;IF(AND($BJ103&lt;&gt;"Yes",$BJ103&lt;&gt;"N/A"),"Device ID, ","")&amp;IF(AND($BK103&lt;&gt;"Yes",$BK103&lt;&gt;"N/A"),"Epic Beans Relay, ",""),LEN(IF(AND($AW103&lt;&gt;"Yes",$AW103&lt;&gt;"N/A"),"Power Cable, ","")&amp;IF(AND($AX103&lt;&gt;"Yes",$AX103&lt;&gt;"N/A"),"Battery, ","")&amp;IF(AND($BE103&lt;&gt;"Yes",$BE103&lt;&gt;"N/A"),"Firmware Download, ","")&amp;IF(AND(OR($BE103="Yes",$BE103="N/A"),$BF103&lt;&gt;"Yes",$BF103&lt;&gt;"N/A"),"Firmware Install, ","")&amp;IF(AND($BJ103&lt;&gt;"Yes",$BJ103&lt;&gt;"N/A"),"Device ID, ","")&amp;IF(AND($BK103&lt;&gt;"Yes",$BK103&lt;&gt;"N/A"),"Epic Beans Relay, ",""))-2)))</f>
      </c>
      <c r="BM103">
        <f>IF($T103="","",IF($BL103="","Yes","Blocked"))</f>
      </c>
      <c r="BP103">
        <f>IF($BO103="","",IFERROR(VLOOKUP($BO103,'01_Warehouse_Ledger'!$A:$N,4,FALSE),""))</f>
      </c>
      <c r="BQ103">
        <f>IF($BO103="","",IFERROR(VLOOKUP($BO103,'01_Warehouse_Ledger'!$A:$N,5,FALSE),""))</f>
      </c>
      <c r="BR103">
        <f>IF($BO103="","",IFERROR(VLOOKUP($BO103,'01_Warehouse_Ledger'!$A:$N,13,FALSE),""))</f>
      </c>
      <c r="BS103" t="s">
        <v>1727</v>
      </c>
      <c r="BT103" t="s">
        <v>1727</v>
      </c>
      <c r="BU103" t="s">
        <v>1727</v>
      </c>
      <c r="BV103" t="s">
        <v>1727</v>
      </c>
      <c r="BW103" t="s">
        <v>1727</v>
      </c>
      <c r="BX103">
        <v>19200</v>
      </c>
    </row>
    <row r="104">
      <c r="A104" t="s">
        <v>1415</v>
      </c>
      <c r="B104" t="s">
        <v>1727</v>
      </c>
      <c r="C104" t="s">
        <v>1727</v>
      </c>
      <c r="D104">
        <f>IF($B104&lt;&gt;"Yes","",IF($C104="No","Yes",IF($C104="Yes","No","")))</f>
      </c>
      <c r="E104">
        <f>IF($A104="","",IF($A104="Neuron",IF(OR(AND($R104&lt;&gt;"",LOWER(TRIM($R104))&lt;&gt;"n/a",COUNTIF($S$2:$S$532,$R104)&gt;1),AND($T104&lt;&gt;"",LOWER(TRIM($T104))&lt;&gt;"n/a",COUNTIF($T$2:$T$532,$T104)&gt;1),AND($W104&lt;&gt;"",LOWER(TRIM($W104))&lt;&gt;"n/a",COUNTIF($W$2:$W$532,$W104)&gt;1)),"Yes","No"),IF($A104="Cybernet",IF(OR(AND($Y104&lt;&gt;"",LOWER(TRIM($Y104))&lt;&gt;"n/a",COUNTIF($Y$2:$Y$532,$Y104)&gt;1),AND($Z104&lt;&gt;"",LOWER(TRIM($Z104))&lt;&gt;"n/a",COUNTIF($Z$2:$Z$532,$Z104)&gt;1)),"Yes","No"),IF(AND($AL104&lt;&gt;"",LOWER(TRIM($AL104))&lt;&gt;"n/a",COUNTIF($AL$2:$AL$532,$AL104)&gt;1),"Yes","No"))))</f>
      </c>
      <c r="F104">
        <f>IF($B104&lt;&gt;"Yes","",
IF($A104="Neuron",
IF(OR(
AND($R104&lt;&gt;"",LOWER(TRIM($R104))&lt;&gt;"n/a",COUNTIFS($B$2:$B$532,"Yes",$A$2:$A$532,"Neuron",$S$2:$S$532,$R104)&gt;1),
AND($T104&lt;&gt;"",LOWER(TRIM($T104))&lt;&gt;"n/a",COUNTIFS($B$2:$B$532,"Yes",$A$2:$A$532,"Neuron",$T$2:$T$532,$T104)&gt;1),
AND($W104&lt;&gt;"",LOWER(TRIM($W104))&lt;&gt;"n/a",COUNTIFS($B$2:$B$532,"Yes",$A$2:$A$532,"Neuron",$W$2:$W$532,$W104)&gt;1)
),"Yes","No"),
IF($A104="Cybernet",
IF(OR(
AND($Y104&lt;&gt;"",LOWER(TRIM($Y104))&lt;&gt;"n/a",COUNTIFS($B$2:$B$532,"Yes",$A$2:$A$532,"Cybernet",$Y$2:$Y$532,$Y104)&gt;1),
AND($Z104&lt;&gt;"",LOWER(TRIM($Z104))&lt;&gt;"n/a",COUNTIFS($B$2:$B$532,"Yes",$A$2:$A$532,"Cybernet",$Z$2:$Z$532,$Z104)&gt;1)
),"Yes","No"),
IF(AND($AL104&lt;&gt;"",LOWER(TRIM($AL104))&lt;&gt;"n/a"),
IF(COUNTIFS($B$2:$B$532,"Yes",$A$2:$A$532,$A104,$AL$2:$AL$532,$AL104)&gt;1,"Yes","No"),
"No")
)
)
)</f>
      </c>
      <c r="G104" t="s">
        <v>2235</v>
      </c>
      <c r="H104" t="s">
        <v>2235</v>
      </c>
      <c r="I104" t="s">
        <v>1831</v>
      </c>
      <c r="J104" t="s">
        <v>1727</v>
      </c>
      <c r="K104" t="s">
        <v>1727</v>
      </c>
      <c r="L104" t="s">
        <v>1727</v>
      </c>
      <c r="M104" t="s">
        <v>2162</v>
      </c>
      <c r="N104" t="s">
        <v>2376</v>
      </c>
      <c r="O104" t="s">
        <v>1380</v>
      </c>
      <c r="P104" t="s">
        <v>2098</v>
      </c>
      <c r="Q104">
        <v>46075.0</v>
      </c>
      <c r="R104" t="s">
        <v>1998</v>
      </c>
      <c r="S104" t="s">
        <v>1754</v>
      </c>
      <c r="T104" t="s">
        <v>2407</v>
      </c>
      <c r="U104" t="s">
        <v>1380</v>
      </c>
      <c r="Y104" t="s">
        <v>1663</v>
      </c>
      <c r="Z104" t="s">
        <v>1982</v>
      </c>
      <c r="AA104" t="s">
        <v>2031</v>
      </c>
      <c r="AD104" t="s">
        <v>2373</v>
      </c>
      <c r="AE104">
        <v>2</v>
      </c>
      <c r="AF104" t="s">
        <v>2097</v>
      </c>
      <c r="AG104" t="s">
        <v>1724</v>
      </c>
      <c r="AI104" t="s">
        <v>2278</v>
      </c>
      <c r="AJ104" t="s">
        <v>2124</v>
      </c>
      <c r="AK104" t="s">
        <v>2249</v>
      </c>
      <c r="AL104" t="s">
        <v>2373</v>
      </c>
      <c r="AM104" t="s">
        <v>1307</v>
      </c>
      <c r="AR104" t="s">
        <v>2163</v>
      </c>
      <c r="AW104" t="s">
        <v>1727</v>
      </c>
      <c r="AX104" t="s">
        <v>1727</v>
      </c>
      <c r="AY104" t="s">
        <v>1727</v>
      </c>
      <c r="AZ104" t="s">
        <v>1727</v>
      </c>
      <c r="BI104" t="s">
        <v>1630</v>
      </c>
      <c r="BL104">
        <f>IF($T104="","",IF((IF(AND(#REF!&lt;&gt;"Yes",#REF!&lt;&gt;"N/A"),"Power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</c>
      <c r="BM104">
        <f>IF($T104="","",IF($BL104="","Yes","Blocked"))</f>
      </c>
      <c r="BP104">
        <f>IF($BO104="","",IFERROR(VLOOKUP($BO104,'01_Warehouse_Ledger'!$A:$N,4,FALSE),""))</f>
      </c>
      <c r="BQ104">
        <f>IF($BO104="","",IFERROR(VLOOKUP($BO104,'01_Warehouse_Ledger'!$A:$N,5,FALSE),""))</f>
      </c>
      <c r="BR104">
        <f>IF($BO104="","",IFERROR(VLOOKUP($BO104,'01_Warehouse_Ledger'!$A:$N,13,FALSE),""))</f>
      </c>
      <c r="BS104" t="s">
        <v>1727</v>
      </c>
      <c r="BT104" t="s">
        <v>1727</v>
      </c>
      <c r="BU104" t="s">
        <v>1727</v>
      </c>
      <c r="BV104" t="s">
        <v>1727</v>
      </c>
      <c r="BW104" t="s">
        <v>1727</v>
      </c>
      <c r="BX104">
        <v>19200</v>
      </c>
    </row>
    <row r="105">
      <c r="A105" t="s">
        <v>1415</v>
      </c>
      <c r="B105" t="s">
        <v>1727</v>
      </c>
      <c r="C105" t="s">
        <v>1727</v>
      </c>
      <c r="D105">
        <f>IF($B105&lt;&gt;"Yes","",IF($C105="No","Yes",IF($C105="Yes","No","")))</f>
      </c>
      <c r="E105">
        <f>IF($A105="","",IF($A105="Neuron",IF(OR(AND($R105&lt;&gt;"",LOWER(TRIM($R105))&lt;&gt;"n/a",COUNTIF($S$2:$S$532,$R105)&gt;1),AND($T105&lt;&gt;"",LOWER(TRIM($T105))&lt;&gt;"n/a",COUNTIF($T$2:$T$532,$T105)&gt;1),AND($W105&lt;&gt;"",LOWER(TRIM($W105))&lt;&gt;"n/a",COUNTIF($W$2:$W$532,$W105)&gt;1)),"Yes","No"),IF($A105="Cybernet",IF(OR(AND($Y105&lt;&gt;"",LOWER(TRIM($Y105))&lt;&gt;"n/a",COUNTIF($Y$2:$Y$532,$Y105)&gt;1),AND($Z105&lt;&gt;"",LOWER(TRIM($Z105))&lt;&gt;"n/a",COUNTIF($Z$2:$Z$532,$Z105)&gt;1)),"Yes","No"),IF(AND($AL105&lt;&gt;"",LOWER(TRIM($AL105))&lt;&gt;"n/a",COUNTIF($AL$2:$AL$532,$AL105)&gt;1),"Yes","No"))))</f>
      </c>
      <c r="F105">
        <f>IF($B105&lt;&gt;"Yes","",
IF($A105="Neuron",
IF(OR(
AND($R105&lt;&gt;"",LOWER(TRIM($R105))&lt;&gt;"n/a",COUNTIFS($B$2:$B$532,"Yes",$A$2:$A$532,"Neuron",$S$2:$S$532,$R105)&gt;1),
AND($T105&lt;&gt;"",LOWER(TRIM($T105))&lt;&gt;"n/a",COUNTIFS($B$2:$B$532,"Yes",$A$2:$A$532,"Neuron",$T$2:$T$532,$T105)&gt;1),
AND($W105&lt;&gt;"",LOWER(TRIM($W105))&lt;&gt;"n/a",COUNTIFS($B$2:$B$532,"Yes",$A$2:$A$532,"Neuron",$W$2:$W$532,$W105)&gt;1)
),"Yes","No"),
IF($A105="Cybernet",
IF(OR(
AND($Y105&lt;&gt;"",LOWER(TRIM($Y105))&lt;&gt;"n/a",COUNTIFS($B$2:$B$532,"Yes",$A$2:$A$532,"Cybernet",$Y$2:$Y$532,$Y105)&gt;1),
AND($Z105&lt;&gt;"",LOWER(TRIM($Z105))&lt;&gt;"n/a",COUNTIFS($B$2:$B$532,"Yes",$A$2:$A$532,"Cybernet",$Z$2:$Z$532,$Z105)&gt;1)
),"Yes","No"),
IF(AND($AL105&lt;&gt;"",LOWER(TRIM($AL105))&lt;&gt;"n/a"),
IF(COUNTIFS($B$2:$B$532,"Yes",$A$2:$A$532,$A105,$AL$2:$AL$532,$AL105)&gt;1,"Yes","No"),
"No")
)
)
)</f>
      </c>
      <c r="G105" t="s">
        <v>2235</v>
      </c>
      <c r="H105" t="s">
        <v>2235</v>
      </c>
      <c r="I105" t="s">
        <v>1831</v>
      </c>
      <c r="J105" t="s">
        <v>1727</v>
      </c>
      <c r="K105" t="s">
        <v>1727</v>
      </c>
      <c r="L105" t="s">
        <v>1727</v>
      </c>
      <c r="M105" t="s">
        <v>2162</v>
      </c>
      <c r="N105" t="s">
        <v>2376</v>
      </c>
      <c r="O105" t="s">
        <v>1380</v>
      </c>
      <c r="P105" t="s">
        <v>2098</v>
      </c>
      <c r="Q105">
        <v>46075.0</v>
      </c>
      <c r="R105" t="s">
        <v>1830</v>
      </c>
      <c r="S105" t="s">
        <v>1924</v>
      </c>
      <c r="T105" t="s">
        <v>1894</v>
      </c>
      <c r="U105" t="s">
        <v>1380</v>
      </c>
      <c r="Y105" t="s">
        <v>2389</v>
      </c>
      <c r="Z105" t="s">
        <v>1834</v>
      </c>
      <c r="AA105" t="s">
        <v>2031</v>
      </c>
      <c r="AD105" t="s">
        <v>2012</v>
      </c>
      <c r="AE105">
        <v>2</v>
      </c>
      <c r="AF105" t="s">
        <v>2097</v>
      </c>
      <c r="AG105" t="s">
        <v>1969</v>
      </c>
      <c r="AI105" t="s">
        <v>2245</v>
      </c>
      <c r="AJ105" t="s">
        <v>2124</v>
      </c>
      <c r="AK105" t="s">
        <v>2249</v>
      </c>
      <c r="AL105" t="s">
        <v>2012</v>
      </c>
      <c r="AM105" t="s">
        <v>1307</v>
      </c>
      <c r="AR105" t="s">
        <v>2378</v>
      </c>
      <c r="AW105" t="s">
        <v>1727</v>
      </c>
      <c r="AX105" t="s">
        <v>1727</v>
      </c>
      <c r="AY105" t="s">
        <v>1727</v>
      </c>
      <c r="AZ105" t="s">
        <v>1727</v>
      </c>
      <c r="BI105" t="s">
        <v>1630</v>
      </c>
      <c r="BL105">
        <f>IF($T105="","",IF((IF(AND($AW105&lt;&gt;"Yes",$AW105&lt;&gt;"N/A"),"Power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</c>
      <c r="BM105">
        <f>IF($T105="","",IF($BL105="","Yes","Blocked"))</f>
      </c>
      <c r="BP105">
        <f>IF($BO105="","",IFERROR(VLOOKUP($BO105,'01_Warehouse_Ledger'!$A:$N,4,FALSE),""))</f>
      </c>
      <c r="BQ105">
        <f>IF($BO105="","",IFERROR(VLOOKUP($BO105,'01_Warehouse_Ledger'!$A:$N,5,FALSE),""))</f>
      </c>
      <c r="BR105">
        <f>IF($BO105="","",IFERROR(VLOOKUP($BO105,'01_Warehouse_Ledger'!$A:$N,13,FALSE),""))</f>
      </c>
      <c r="BS105" t="s">
        <v>1727</v>
      </c>
      <c r="BT105" t="s">
        <v>1727</v>
      </c>
      <c r="BU105" t="s">
        <v>1727</v>
      </c>
      <c r="BV105" t="s">
        <v>1727</v>
      </c>
      <c r="BW105" t="s">
        <v>1727</v>
      </c>
      <c r="BX105">
        <v>19200</v>
      </c>
    </row>
    <row r="106">
      <c r="A106" t="s">
        <v>1415</v>
      </c>
      <c r="B106" t="s">
        <v>1727</v>
      </c>
      <c r="C106" t="s">
        <v>1727</v>
      </c>
      <c r="D106">
        <f>IF($B106&lt;&gt;"Yes","",IF($C106="No","Yes",IF($C106="Yes","No","")))</f>
      </c>
      <c r="E106">
        <f>IF($A106="","",IF($A106="Neuron",IF(OR(AND($R106&lt;&gt;"",LOWER(TRIM($R106))&lt;&gt;"n/a",COUNTIF($S$2:$S$532,$R106)&gt;1),AND($T106&lt;&gt;"",LOWER(TRIM($T106))&lt;&gt;"n/a",COUNTIF($T$2:$T$532,$T106)&gt;1),AND($W106&lt;&gt;"",LOWER(TRIM($W106))&lt;&gt;"n/a",COUNTIF($W$2:$W$532,$W106)&gt;1)),"Yes","No"),IF($A106="Cybernet",IF(OR(AND($Y106&lt;&gt;"",LOWER(TRIM($Y106))&lt;&gt;"n/a",COUNTIF($Y$2:$Y$532,$Y106)&gt;1),AND($Z106&lt;&gt;"",LOWER(TRIM($Z106))&lt;&gt;"n/a",COUNTIF($Z$2:$Z$532,$Z106)&gt;1)),"Yes","No"),IF(AND($AL106&lt;&gt;"",LOWER(TRIM($AL106))&lt;&gt;"n/a",COUNTIF($AL$2:$AL$532,$AL106)&gt;1),"Yes","No"))))</f>
      </c>
      <c r="F106">
        <f>IF($B106&lt;&gt;"Yes","",
IF($A106="Neuron",
IF(OR(
AND($R106&lt;&gt;"",LOWER(TRIM($R106))&lt;&gt;"n/a",COUNTIFS($B$2:$B$532,"Yes",$A$2:$A$532,"Neuron",$S$2:$S$532,$R106)&gt;1),
AND($T106&lt;&gt;"",LOWER(TRIM($T106))&lt;&gt;"n/a",COUNTIFS($B$2:$B$532,"Yes",$A$2:$A$532,"Neuron",$T$2:$T$532,$T106)&gt;1),
AND($W106&lt;&gt;"",LOWER(TRIM($W106))&lt;&gt;"n/a",COUNTIFS($B$2:$B$532,"Yes",$A$2:$A$532,"Neuron",$W$2:$W$532,$W106)&gt;1)
),"Yes","No"),
IF($A106="Cybernet",
IF(OR(
AND($Y106&lt;&gt;"",LOWER(TRIM($Y106))&lt;&gt;"n/a",COUNTIFS($B$2:$B$532,"Yes",$A$2:$A$532,"Cybernet",$Y$2:$Y$532,$Y106)&gt;1),
AND($Z106&lt;&gt;"",LOWER(TRIM($Z106))&lt;&gt;"n/a",COUNTIFS($B$2:$B$532,"Yes",$A$2:$A$532,"Cybernet",$Z$2:$Z$532,$Z106)&gt;1)
),"Yes","No"),
IF(AND($AL106&lt;&gt;"",LOWER(TRIM($AL106))&lt;&gt;"n/a"),
IF(COUNTIFS($B$2:$B$532,"Yes",$A$2:$A$532,$A106,$AL$2:$AL$532,$AL106)&gt;1,"Yes","No"),
"No")
)
)
)</f>
      </c>
      <c r="G106" t="s">
        <v>2235</v>
      </c>
      <c r="H106" t="s">
        <v>2235</v>
      </c>
      <c r="I106" t="s">
        <v>1831</v>
      </c>
      <c r="J106" t="s">
        <v>1727</v>
      </c>
      <c r="K106" t="s">
        <v>1727</v>
      </c>
      <c r="L106" t="s">
        <v>1727</v>
      </c>
      <c r="M106" t="s">
        <v>2162</v>
      </c>
      <c r="N106" t="s">
        <v>2376</v>
      </c>
      <c r="O106" t="s">
        <v>1380</v>
      </c>
      <c r="P106" t="s">
        <v>2098</v>
      </c>
      <c r="Q106">
        <v>46075.0</v>
      </c>
      <c r="R106" t="s">
        <v>2411</v>
      </c>
      <c r="S106" t="s">
        <v>1840</v>
      </c>
      <c r="U106" t="s">
        <v>1380</v>
      </c>
      <c r="Y106" t="s">
        <v>1774</v>
      </c>
      <c r="Z106" t="s">
        <v>2037</v>
      </c>
      <c r="AA106" t="s">
        <v>2031</v>
      </c>
      <c r="AD106" t="s">
        <v>1796</v>
      </c>
      <c r="AE106">
        <v>2</v>
      </c>
      <c r="AF106" t="s">
        <v>2097</v>
      </c>
      <c r="AG106" t="s">
        <v>1725</v>
      </c>
      <c r="AJ106" t="s">
        <v>2124</v>
      </c>
      <c r="AK106" t="s">
        <v>2249</v>
      </c>
      <c r="AL106" t="s">
        <v>1796</v>
      </c>
      <c r="AM106" t="s">
        <v>1307</v>
      </c>
      <c r="AR106" t="s">
        <v>1942</v>
      </c>
      <c r="AW106" t="s">
        <v>1727</v>
      </c>
      <c r="AX106" t="s">
        <v>1727</v>
      </c>
      <c r="AY106" t="s">
        <v>1727</v>
      </c>
      <c r="AZ106" t="s">
        <v>1727</v>
      </c>
      <c r="BI106" t="s">
        <v>1630</v>
      </c>
      <c r="BL106">
        <f>IF($T106="","",IF((IF(AND($AW106&lt;&gt;"Yes",$AW106&lt;&gt;"N/A"),"Power Cable, ","")&amp;IF(AND($AX106&lt;&gt;"Yes",$AX106&lt;&gt;"N/A"),"Battery, ","")&amp;IF(AND($BE106&lt;&gt;"Yes",$BE106&lt;&gt;"N/A"),"Firmware Download, ","")&amp;IF(AND(OR($BE106="Yes",$BE106="N/A"),$BF106&lt;&gt;"Yes",$BF106&lt;&gt;"N/A"),"Firmware Install, ","")&amp;IF(AND($BJ106&lt;&gt;"Yes",$BJ106&lt;&gt;"N/A"),"Device ID, ","")&amp;IF(AND($BK106&lt;&gt;"Yes",$BK106&lt;&gt;"N/A"),"Epic Beans Relay, ",""))="","",LEFT(IF(AND($AW106&lt;&gt;"Yes",$AW106&lt;&gt;"N/A"),"Power Cable, ","")&amp;IF(AND($AX106&lt;&gt;"Yes",$AX106&lt;&gt;"N/A"),"Battery, ","")&amp;IF(AND($BE106&lt;&gt;"Yes",$BE106&lt;&gt;"N/A"),"Firmware Download, ","")&amp;IF(AND(OR($BE106="Yes",$BE106="N/A"),$BF106&lt;&gt;"Yes",$BF106&lt;&gt;"N/A"),"Firmware Install, ","")&amp;IF(AND($BJ106&lt;&gt;"Yes",$BJ106&lt;&gt;"N/A"),"Device ID, ","")&amp;IF(AND($BK106&lt;&gt;"Yes",$BK106&lt;&gt;"N/A"),"Epic Beans Relay, ",""),LEN(IF(AND($AW106&lt;&gt;"Yes",$AW106&lt;&gt;"N/A"),"Power Cable, ","")&amp;IF(AND($AX106&lt;&gt;"Yes",$AX106&lt;&gt;"N/A"),"Battery, ","")&amp;IF(AND($BE106&lt;&gt;"Yes",$BE106&lt;&gt;"N/A"),"Firmware Download, ","")&amp;IF(AND(OR($BE106="Yes",$BE106="N/A"),$BF106&lt;&gt;"Yes",$BF106&lt;&gt;"N/A"),"Firmware Install, ","")&amp;IF(AND($BJ106&lt;&gt;"Yes",$BJ106&lt;&gt;"N/A"),"Device ID, ","")&amp;IF(AND($BK106&lt;&gt;"Yes",$BK106&lt;&gt;"N/A"),"Epic Beans Relay, ",""))-2)))</f>
      </c>
      <c r="BM106">
        <f>IF($T106="","",IF($BL106="","Yes","Blocked"))</f>
      </c>
      <c r="BP106">
        <f>IF($BO106="","",IFERROR(VLOOKUP($BO106,'01_Warehouse_Ledger'!$A:$N,4,FALSE),""))</f>
      </c>
      <c r="BQ106">
        <f>IF($BO106="","",IFERROR(VLOOKUP($BO106,'01_Warehouse_Ledger'!$A:$N,5,FALSE),""))</f>
      </c>
      <c r="BR106">
        <f>IF($BO106="","",IFERROR(VLOOKUP($BO106,'01_Warehouse_Ledger'!$A:$N,13,FALSE),""))</f>
      </c>
      <c r="BS106" t="s">
        <v>1727</v>
      </c>
      <c r="BT106" t="s">
        <v>1727</v>
      </c>
      <c r="BU106" t="s">
        <v>1727</v>
      </c>
      <c r="BV106" t="s">
        <v>1727</v>
      </c>
      <c r="BW106" t="s">
        <v>1727</v>
      </c>
      <c r="BX106">
        <v>19200</v>
      </c>
    </row>
    <row r="107">
      <c r="A107" t="s">
        <v>1415</v>
      </c>
      <c r="B107" t="s">
        <v>1727</v>
      </c>
      <c r="C107" t="s">
        <v>1727</v>
      </c>
      <c r="D107">
        <f>IF($B107&lt;&gt;"Yes","",IF($C107="No","Yes",IF($C107="Yes","No","")))</f>
      </c>
      <c r="E107">
        <f>IF($A107="","",IF($A107="Neuron",IF(OR(AND($R107&lt;&gt;"",LOWER(TRIM($R107))&lt;&gt;"n/a",COUNTIF($S$2:$S$532,$R107)&gt;1),AND($T107&lt;&gt;"",LOWER(TRIM($T107))&lt;&gt;"n/a",COUNTIF($T$2:$T$532,$T107)&gt;1),AND($W107&lt;&gt;"",LOWER(TRIM($W107))&lt;&gt;"n/a",COUNTIF($W$2:$W$532,$W107)&gt;1)),"Yes","No"),IF($A107="Cybernet",IF(OR(AND($Y107&lt;&gt;"",LOWER(TRIM($Y107))&lt;&gt;"n/a",COUNTIF($Y$2:$Y$532,$Y107)&gt;1),AND($Z107&lt;&gt;"",LOWER(TRIM($Z107))&lt;&gt;"n/a",COUNTIF($Z$2:$Z$532,$Z107)&gt;1)),"Yes","No"),IF(AND($AL107&lt;&gt;"",LOWER(TRIM($AL107))&lt;&gt;"n/a",COUNTIF($AL$2:$AL$532,$AL107)&gt;1),"Yes","No"))))</f>
      </c>
      <c r="F107">
        <f>IF($B107&lt;&gt;"Yes","",
IF($A107="Neuron",
IF(OR(
AND($R107&lt;&gt;"",LOWER(TRIM($R107))&lt;&gt;"n/a",COUNTIFS($B$2:$B$532,"Yes",$A$2:$A$532,"Neuron",$S$2:$S$532,$R107)&gt;1),
AND($T107&lt;&gt;"",LOWER(TRIM($T107))&lt;&gt;"n/a",COUNTIFS($B$2:$B$532,"Yes",$A$2:$A$532,"Neuron",$T$2:$T$532,$T107)&gt;1),
AND($W107&lt;&gt;"",LOWER(TRIM($W107))&lt;&gt;"n/a",COUNTIFS($B$2:$B$532,"Yes",$A$2:$A$532,"Neuron",$W$2:$W$532,$W107)&gt;1)
),"Yes","No"),
IF($A107="Cybernet",
IF(OR(
AND($Y107&lt;&gt;"",LOWER(TRIM($Y107))&lt;&gt;"n/a",COUNTIFS($B$2:$B$532,"Yes",$A$2:$A$532,"Cybernet",$Y$2:$Y$532,$Y107)&gt;1),
AND($Z107&lt;&gt;"",LOWER(TRIM($Z107))&lt;&gt;"n/a",COUNTIFS($B$2:$B$532,"Yes",$A$2:$A$532,"Cybernet",$Z$2:$Z$532,$Z107)&gt;1)
),"Yes","No"),
IF(AND($AL107&lt;&gt;"",LOWER(TRIM($AL107))&lt;&gt;"n/a"),
IF(COUNTIFS($B$2:$B$532,"Yes",$A$2:$A$532,$A107,$AL$2:$AL$532,$AL107)&gt;1,"Yes","No"),
"No")
)
)
)</f>
      </c>
      <c r="G107" t="s">
        <v>2235</v>
      </c>
      <c r="H107" t="s">
        <v>2235</v>
      </c>
      <c r="I107" t="s">
        <v>1831</v>
      </c>
      <c r="J107" t="s">
        <v>1727</v>
      </c>
      <c r="K107" t="s">
        <v>1727</v>
      </c>
      <c r="L107" t="s">
        <v>1727</v>
      </c>
      <c r="M107" t="s">
        <v>2162</v>
      </c>
      <c r="N107" t="s">
        <v>2376</v>
      </c>
      <c r="O107" t="s">
        <v>1380</v>
      </c>
      <c r="P107" t="s">
        <v>2098</v>
      </c>
      <c r="Q107">
        <v>46075.0</v>
      </c>
      <c r="R107" t="s">
        <v>1859</v>
      </c>
      <c r="S107" t="s">
        <v>1904</v>
      </c>
      <c r="T107" t="s">
        <v>1966</v>
      </c>
      <c r="U107" t="s">
        <v>1380</v>
      </c>
      <c r="Y107" t="s">
        <v>2105</v>
      </c>
      <c r="Z107" t="s">
        <v>2061</v>
      </c>
      <c r="AA107" t="s">
        <v>2031</v>
      </c>
      <c r="AD107" t="s">
        <v>1839</v>
      </c>
      <c r="AE107">
        <v>2</v>
      </c>
      <c r="AF107" t="s">
        <v>2097</v>
      </c>
      <c r="AG107" t="s">
        <v>1736</v>
      </c>
      <c r="AI107" t="s">
        <v>2008</v>
      </c>
      <c r="AJ107" t="s">
        <v>2124</v>
      </c>
      <c r="AK107" t="s">
        <v>2249</v>
      </c>
      <c r="AL107" t="s">
        <v>1839</v>
      </c>
      <c r="AM107" t="s">
        <v>1307</v>
      </c>
      <c r="AR107" t="s">
        <v>2296</v>
      </c>
      <c r="AW107" t="s">
        <v>1727</v>
      </c>
      <c r="AX107" t="s">
        <v>1727</v>
      </c>
      <c r="AY107" t="s">
        <v>1727</v>
      </c>
      <c r="AZ107" t="s">
        <v>1727</v>
      </c>
      <c r="BI107" t="s">
        <v>1630</v>
      </c>
      <c r="BL107">
        <f>IF($T107="","",IF((IF(AND($AW107&lt;&gt;"Yes",$AW107&lt;&gt;"N/A"),"Power Cable, ","")&amp;IF(AND($AX107&lt;&gt;"Yes",$AX107&lt;&gt;"N/A"),"Battery, ","")&amp;IF(AND($BE107&lt;&gt;"Yes",$BE107&lt;&gt;"N/A"),"Firmware Download, ","")&amp;IF(AND(OR($BE107="Yes",$BE107="N/A"),$BF107&lt;&gt;"Yes",$BF107&lt;&gt;"N/A"),"Firmware Install, ","")&amp;IF(AND($BJ107&lt;&gt;"Yes",$BJ107&lt;&gt;"N/A"),"Device ID, ","")&amp;IF(AND($BK107&lt;&gt;"Yes",$BK107&lt;&gt;"N/A"),"Epic Beans Relay, ",""))="","",LEFT(IF(AND($AW107&lt;&gt;"Yes",$AW107&lt;&gt;"N/A"),"Power Cable, ","")&amp;IF(AND($AX107&lt;&gt;"Yes",$AX107&lt;&gt;"N/A"),"Battery, ","")&amp;IF(AND($BE107&lt;&gt;"Yes",$BE107&lt;&gt;"N/A"),"Firmware Download, ","")&amp;IF(AND(OR($BE107="Yes",$BE107="N/A"),$BF107&lt;&gt;"Yes",$BF107&lt;&gt;"N/A"),"Firmware Install, ","")&amp;IF(AND($BJ107&lt;&gt;"Yes",$BJ107&lt;&gt;"N/A"),"Device ID, ","")&amp;IF(AND($BK107&lt;&gt;"Yes",$BK107&lt;&gt;"N/A"),"Epic Beans Relay, ",""),LEN(IF(AND($AW107&lt;&gt;"Yes",$AW107&lt;&gt;"N/A"),"Power Cable, ","")&amp;IF(AND($AX107&lt;&gt;"Yes",$AX107&lt;&gt;"N/A"),"Battery, ","")&amp;IF(AND($BE107&lt;&gt;"Yes",$BE107&lt;&gt;"N/A"),"Firmware Download, ","")&amp;IF(AND(OR($BE107="Yes",$BE107="N/A"),$BF107&lt;&gt;"Yes",$BF107&lt;&gt;"N/A"),"Firmware Install, ","")&amp;IF(AND($BJ107&lt;&gt;"Yes",$BJ107&lt;&gt;"N/A"),"Device ID, ","")&amp;IF(AND($BK107&lt;&gt;"Yes",$BK107&lt;&gt;"N/A"),"Epic Beans Relay, ",""))-2)))</f>
      </c>
      <c r="BM107">
        <f>IF($T107="","",IF($BL107="","Yes","Blocked"))</f>
      </c>
      <c r="BP107">
        <f>IF($BO107="","",IFERROR(VLOOKUP($BO107,'01_Warehouse_Ledger'!$A:$N,4,FALSE),""))</f>
      </c>
      <c r="BQ107">
        <f>IF($BO107="","",IFERROR(VLOOKUP($BO107,'01_Warehouse_Ledger'!$A:$N,5,FALSE),""))</f>
      </c>
      <c r="BR107">
        <f>IF($BO107="","",IFERROR(VLOOKUP($BO107,'01_Warehouse_Ledger'!$A:$N,13,FALSE),""))</f>
      </c>
      <c r="BS107" t="s">
        <v>1727</v>
      </c>
      <c r="BT107" t="s">
        <v>1727</v>
      </c>
      <c r="BU107" t="s">
        <v>1727</v>
      </c>
      <c r="BV107" t="s">
        <v>1727</v>
      </c>
      <c r="BW107" t="s">
        <v>1727</v>
      </c>
      <c r="BX107">
        <v>19200</v>
      </c>
    </row>
    <row r="108">
      <c r="A108" t="s">
        <v>1415</v>
      </c>
      <c r="B108" t="s">
        <v>1727</v>
      </c>
      <c r="C108" t="s">
        <v>1727</v>
      </c>
      <c r="D108">
        <f>IF($B108&lt;&gt;"Yes","",IF($C108="No","Yes",IF($C108="Yes","No","")))</f>
      </c>
      <c r="E108">
        <f>IF($A108="","",IF($A108="Neuron",IF(OR(AND($R108&lt;&gt;"",LOWER(TRIM($R108))&lt;&gt;"n/a",COUNTIF($S$2:$S$532,$R108)&gt;1),AND($T108&lt;&gt;"",LOWER(TRIM($T108))&lt;&gt;"n/a",COUNTIF($T$2:$T$532,$T108)&gt;1),AND($W108&lt;&gt;"",LOWER(TRIM($W108))&lt;&gt;"n/a",COUNTIF($W$2:$W$532,$W108)&gt;1)),"Yes","No"),IF($A108="Cybernet",IF(OR(AND($Y108&lt;&gt;"",LOWER(TRIM($Y108))&lt;&gt;"n/a",COUNTIF($Y$2:$Y$532,$Y108)&gt;1),AND($Z108&lt;&gt;"",LOWER(TRIM($Z108))&lt;&gt;"n/a",COUNTIF($Z$2:$Z$532,$Z108)&gt;1)),"Yes","No"),IF(AND($AL108&lt;&gt;"",LOWER(TRIM($AL108))&lt;&gt;"n/a",COUNTIF($AL$2:$AL$532,$AL108)&gt;1),"Yes","No"))))</f>
      </c>
      <c r="F108">
        <f>IF($B108&lt;&gt;"Yes","",
IF($A108="Neuron",
IF(OR(
AND($R108&lt;&gt;"",LOWER(TRIM($R108))&lt;&gt;"n/a",COUNTIFS($B$2:$B$532,"Yes",$A$2:$A$532,"Neuron",$S$2:$S$532,$R108)&gt;1),
AND($T108&lt;&gt;"",LOWER(TRIM($T108))&lt;&gt;"n/a",COUNTIFS($B$2:$B$532,"Yes",$A$2:$A$532,"Neuron",$T$2:$T$532,$T108)&gt;1),
AND($W108&lt;&gt;"",LOWER(TRIM($W108))&lt;&gt;"n/a",COUNTIFS($B$2:$B$532,"Yes",$A$2:$A$532,"Neuron",$W$2:$W$532,$W108)&gt;1)
),"Yes","No"),
IF($A108="Cybernet",
IF(OR(
AND($Y108&lt;&gt;"",LOWER(TRIM($Y108))&lt;&gt;"n/a",COUNTIFS($B$2:$B$532,"Yes",$A$2:$A$532,"Cybernet",$Y$2:$Y$532,$Y108)&gt;1),
AND($Z108&lt;&gt;"",LOWER(TRIM($Z108))&lt;&gt;"n/a",COUNTIFS($B$2:$B$532,"Yes",$A$2:$A$532,"Cybernet",$Z$2:$Z$532,$Z108)&gt;1)
),"Yes","No"),
IF(AND($AL108&lt;&gt;"",LOWER(TRIM($AL108))&lt;&gt;"n/a"),
IF(COUNTIFS($B$2:$B$532,"Yes",$A$2:$A$532,$A108,$AL$2:$AL$532,$AL108)&gt;1,"Yes","No"),
"No")
)
)
)</f>
      </c>
      <c r="G108" t="s">
        <v>2235</v>
      </c>
      <c r="H108" t="s">
        <v>2235</v>
      </c>
      <c r="I108" t="s">
        <v>1831</v>
      </c>
      <c r="J108" t="s">
        <v>1727</v>
      </c>
      <c r="K108" t="s">
        <v>1727</v>
      </c>
      <c r="L108" t="s">
        <v>1727</v>
      </c>
      <c r="M108" t="s">
        <v>2162</v>
      </c>
      <c r="N108" t="s">
        <v>2376</v>
      </c>
      <c r="O108" t="s">
        <v>1380</v>
      </c>
      <c r="P108" t="s">
        <v>2098</v>
      </c>
      <c r="Q108">
        <v>46075.0</v>
      </c>
      <c r="R108" t="s">
        <v>2315</v>
      </c>
      <c r="S108" t="s">
        <v>1802</v>
      </c>
      <c r="T108" t="s">
        <v>2333</v>
      </c>
      <c r="U108" t="s">
        <v>1380</v>
      </c>
      <c r="Y108" t="s">
        <v>1752</v>
      </c>
      <c r="Z108" t="s">
        <v>2128</v>
      </c>
      <c r="AA108" t="s">
        <v>2031</v>
      </c>
      <c r="AD108" t="s">
        <v>2169</v>
      </c>
      <c r="AE108">
        <v>2</v>
      </c>
      <c r="AF108" t="s">
        <v>2097</v>
      </c>
      <c r="AG108" t="s">
        <v>1669</v>
      </c>
      <c r="AJ108" t="s">
        <v>2124</v>
      </c>
      <c r="AK108" t="s">
        <v>2249</v>
      </c>
      <c r="AL108" t="s">
        <v>2169</v>
      </c>
      <c r="AM108" t="s">
        <v>1307</v>
      </c>
      <c r="AR108" t="s">
        <v>2020</v>
      </c>
      <c r="AW108" t="s">
        <v>1727</v>
      </c>
      <c r="AX108" t="s">
        <v>1727</v>
      </c>
      <c r="AY108" t="s">
        <v>1727</v>
      </c>
      <c r="AZ108" t="s">
        <v>1727</v>
      </c>
      <c r="BI108" t="s">
        <v>1630</v>
      </c>
      <c r="BL108">
        <f>IF($T108="","",IF((IF(AND($AW108&lt;&gt;"Yes",$AW108&lt;&gt;"N/A"),"Power Cable, ","")&amp;IF(AND($AX108&lt;&gt;"Yes",$AX108&lt;&gt;"N/A"),"Battery, ","")&amp;IF(AND($BE108&lt;&gt;"Yes",$BE108&lt;&gt;"N/A"),"Firmware Download, ","")&amp;IF(AND(OR($BE108="Yes",$BE108="N/A"),$BF108&lt;&gt;"Yes",$BF108&lt;&gt;"N/A"),"Firmware Install, ","")&amp;IF(AND($BJ108&lt;&gt;"Yes",$BJ108&lt;&gt;"N/A"),"Device ID, ","")&amp;IF(AND($BK108&lt;&gt;"Yes",$BK108&lt;&gt;"N/A"),"Epic Beans Relay, ",""))="","",LEFT(IF(AND($AW108&lt;&gt;"Yes",$AW108&lt;&gt;"N/A"),"Power Cable, ","")&amp;IF(AND($AX108&lt;&gt;"Yes",$AX108&lt;&gt;"N/A"),"Battery, ","")&amp;IF(AND($BE108&lt;&gt;"Yes",$BE108&lt;&gt;"N/A"),"Firmware Download, ","")&amp;IF(AND(OR($BE108="Yes",$BE108="N/A"),$BF108&lt;&gt;"Yes",$BF108&lt;&gt;"N/A"),"Firmware Install, ","")&amp;IF(AND($BJ108&lt;&gt;"Yes",$BJ108&lt;&gt;"N/A"),"Device ID, ","")&amp;IF(AND($BK108&lt;&gt;"Yes",$BK108&lt;&gt;"N/A"),"Epic Beans Relay, ",""),LEN(IF(AND($AW108&lt;&gt;"Yes",$AW108&lt;&gt;"N/A"),"Power Cable, ","")&amp;IF(AND($AX108&lt;&gt;"Yes",$AX108&lt;&gt;"N/A"),"Battery, ","")&amp;IF(AND($BE108&lt;&gt;"Yes",$BE108&lt;&gt;"N/A"),"Firmware Download, ","")&amp;IF(AND(OR($BE108="Yes",$BE108="N/A"),$BF108&lt;&gt;"Yes",$BF108&lt;&gt;"N/A"),"Firmware Install, ","")&amp;IF(AND($BJ108&lt;&gt;"Yes",$BJ108&lt;&gt;"N/A"),"Device ID, ","")&amp;IF(AND($BK108&lt;&gt;"Yes",$BK108&lt;&gt;"N/A"),"Epic Beans Relay, ",""))-2)))</f>
      </c>
      <c r="BM108">
        <f>IF($T108="","",IF($BL108="","Yes","Blocked"))</f>
      </c>
      <c r="BP108">
        <f>IF($BO108="","",IFERROR(VLOOKUP($BO108,'01_Warehouse_Ledger'!$A:$N,4,FALSE),""))</f>
      </c>
      <c r="BQ108">
        <f>IF($BO108="","",IFERROR(VLOOKUP($BO108,'01_Warehouse_Ledger'!$A:$N,5,FALSE),""))</f>
      </c>
      <c r="BR108">
        <f>IF($BO108="","",IFERROR(VLOOKUP($BO108,'01_Warehouse_Ledger'!$A:$N,13,FALSE),""))</f>
      </c>
      <c r="BS108" t="s">
        <v>1727</v>
      </c>
      <c r="BT108" t="s">
        <v>1727</v>
      </c>
      <c r="BU108" t="s">
        <v>1727</v>
      </c>
      <c r="BV108" t="s">
        <v>1727</v>
      </c>
      <c r="BW108" t="s">
        <v>1727</v>
      </c>
      <c r="BX108">
        <v>19200</v>
      </c>
    </row>
    <row r="109">
      <c r="A109" t="s">
        <v>1415</v>
      </c>
      <c r="B109" t="s">
        <v>1727</v>
      </c>
      <c r="C109" t="s">
        <v>1727</v>
      </c>
      <c r="D109">
        <f>IF($B109&lt;&gt;"Yes","",IF($C109="No","Yes",IF($C109="Yes","No","")))</f>
      </c>
      <c r="E109">
        <f>IF($A109="","",IF($A109="Neuron",IF(OR(AND($R109&lt;&gt;"",LOWER(TRIM($R109))&lt;&gt;"n/a",COUNTIF($S$2:$S$532,$R109)&gt;1),AND($T109&lt;&gt;"",LOWER(TRIM($T109))&lt;&gt;"n/a",COUNTIF($T$2:$T$532,$T109)&gt;1),AND($W109&lt;&gt;"",LOWER(TRIM($W109))&lt;&gt;"n/a",COUNTIF($W$2:$W$532,$W109)&gt;1)),"Yes","No"),IF($A109="Cybernet",IF(OR(AND($Y109&lt;&gt;"",LOWER(TRIM($Y109))&lt;&gt;"n/a",COUNTIF($Y$2:$Y$532,$Y109)&gt;1),AND($Z109&lt;&gt;"",LOWER(TRIM($Z109))&lt;&gt;"n/a",COUNTIF($Z$2:$Z$532,$Z109)&gt;1)),"Yes","No"),IF(AND($AL109&lt;&gt;"",LOWER(TRIM($AL109))&lt;&gt;"n/a",COUNTIF($AL$2:$AL$532,$AL109)&gt;1),"Yes","No"))))</f>
      </c>
      <c r="F109">
        <f>IF($B109&lt;&gt;"Yes","",
IF($A109="Neuron",
IF(OR(
AND($R109&lt;&gt;"",LOWER(TRIM($R109))&lt;&gt;"n/a",COUNTIFS($B$2:$B$532,"Yes",$A$2:$A$532,"Neuron",$S$2:$S$532,$R109)&gt;1),
AND($T109&lt;&gt;"",LOWER(TRIM($T109))&lt;&gt;"n/a",COUNTIFS($B$2:$B$532,"Yes",$A$2:$A$532,"Neuron",$T$2:$T$532,$T109)&gt;1),
AND($W109&lt;&gt;"",LOWER(TRIM($W109))&lt;&gt;"n/a",COUNTIFS($B$2:$B$532,"Yes",$A$2:$A$532,"Neuron",$W$2:$W$532,$W109)&gt;1)
),"Yes","No"),
IF($A109="Cybernet",
IF(OR(
AND($Y109&lt;&gt;"",LOWER(TRIM($Y109))&lt;&gt;"n/a",COUNTIFS($B$2:$B$532,"Yes",$A$2:$A$532,"Cybernet",$Y$2:$Y$532,$Y109)&gt;1),
AND($Z109&lt;&gt;"",LOWER(TRIM($Z109))&lt;&gt;"n/a",COUNTIFS($B$2:$B$532,"Yes",$A$2:$A$532,"Cybernet",$Z$2:$Z$532,$Z109)&gt;1)
),"Yes","No"),
IF(AND($AL109&lt;&gt;"",LOWER(TRIM($AL109))&lt;&gt;"n/a"),
IF(COUNTIFS($B$2:$B$532,"Yes",$A$2:$A$532,$A109,$AL$2:$AL$532,$AL109)&gt;1,"Yes","No"),
"No")
)
)
)</f>
      </c>
      <c r="G109" t="s">
        <v>2235</v>
      </c>
      <c r="H109" t="s">
        <v>2235</v>
      </c>
      <c r="I109" t="s">
        <v>1831</v>
      </c>
      <c r="J109" t="s">
        <v>1727</v>
      </c>
      <c r="K109" t="s">
        <v>1727</v>
      </c>
      <c r="L109" t="s">
        <v>1727</v>
      </c>
      <c r="M109" t="s">
        <v>2162</v>
      </c>
      <c r="N109" t="s">
        <v>2376</v>
      </c>
      <c r="O109" t="s">
        <v>1380</v>
      </c>
      <c r="P109" t="s">
        <v>2098</v>
      </c>
      <c r="Q109">
        <v>46075.0</v>
      </c>
      <c r="R109" t="s">
        <v>1674</v>
      </c>
      <c r="S109" t="s">
        <v>1845</v>
      </c>
      <c r="T109" t="s">
        <v>2173</v>
      </c>
      <c r="U109" t="s">
        <v>1380</v>
      </c>
      <c r="Y109" t="s">
        <v>2114</v>
      </c>
      <c r="Z109" t="s">
        <v>1764</v>
      </c>
      <c r="AA109" t="s">
        <v>2031</v>
      </c>
      <c r="AD109" t="s">
        <v>2123</v>
      </c>
      <c r="AE109">
        <v>2</v>
      </c>
      <c r="AF109" t="s">
        <v>2097</v>
      </c>
      <c r="AG109" t="s">
        <v>2062</v>
      </c>
      <c r="AJ109" t="s">
        <v>2124</v>
      </c>
      <c r="AK109" t="s">
        <v>2249</v>
      </c>
      <c r="AL109" t="s">
        <v>2123</v>
      </c>
      <c r="AM109" t="s">
        <v>1307</v>
      </c>
      <c r="AR109" t="s">
        <v>2216</v>
      </c>
      <c r="AW109" t="s">
        <v>1727</v>
      </c>
      <c r="AX109" t="s">
        <v>1727</v>
      </c>
      <c r="AY109" t="s">
        <v>1727</v>
      </c>
      <c r="AZ109" t="s">
        <v>1727</v>
      </c>
      <c r="BI109" t="s">
        <v>1630</v>
      </c>
      <c r="BL109">
        <f>IF($T109="","",IF((IF(AND($AW109&lt;&gt;"Yes",$AW109&lt;&gt;"N/A"),"Power Cable, ","")&amp;IF(AND($AX109&lt;&gt;"Yes",$AX109&lt;&gt;"N/A"),"Battery, ","")&amp;IF(AND($BE109&lt;&gt;"Yes",$BE109&lt;&gt;"N/A"),"Firmware Download, ","")&amp;IF(AND(OR($BE109="Yes",$BE109="N/A"),$BF109&lt;&gt;"Yes",$BF109&lt;&gt;"N/A"),"Firmware Install, ","")&amp;IF(AND($BJ109&lt;&gt;"Yes",$BJ109&lt;&gt;"N/A"),"Device ID, ","")&amp;IF(AND($BK109&lt;&gt;"Yes",$BK109&lt;&gt;"N/A"),"Epic Beans Relay, ",""))="","",LEFT(IF(AND($AW109&lt;&gt;"Yes",$AW109&lt;&gt;"N/A"),"Power Cable, ","")&amp;IF(AND($AX109&lt;&gt;"Yes",$AX109&lt;&gt;"N/A"),"Battery, ","")&amp;IF(AND($BE109&lt;&gt;"Yes",$BE109&lt;&gt;"N/A"),"Firmware Download, ","")&amp;IF(AND(OR($BE109="Yes",$BE109="N/A"),$BF109&lt;&gt;"Yes",$BF109&lt;&gt;"N/A"),"Firmware Install, ","")&amp;IF(AND($BJ109&lt;&gt;"Yes",$BJ109&lt;&gt;"N/A"),"Device ID, ","")&amp;IF(AND($BK109&lt;&gt;"Yes",$BK109&lt;&gt;"N/A"),"Epic Beans Relay, ",""),LEN(IF(AND($AW109&lt;&gt;"Yes",$AW109&lt;&gt;"N/A"),"Power Cable, ","")&amp;IF(AND($AX109&lt;&gt;"Yes",$AX109&lt;&gt;"N/A"),"Battery, ","")&amp;IF(AND($BE109&lt;&gt;"Yes",$BE109&lt;&gt;"N/A"),"Firmware Download, ","")&amp;IF(AND(OR($BE109="Yes",$BE109="N/A"),$BF109&lt;&gt;"Yes",$BF109&lt;&gt;"N/A"),"Firmware Install, ","")&amp;IF(AND($BJ109&lt;&gt;"Yes",$BJ109&lt;&gt;"N/A"),"Device ID, ","")&amp;IF(AND($BK109&lt;&gt;"Yes",$BK109&lt;&gt;"N/A"),"Epic Beans Relay, ",""))-2)))</f>
      </c>
      <c r="BM109">
        <f>IF($T109="","",IF($BL109="","Yes","Blocked"))</f>
      </c>
      <c r="BP109">
        <f>IF($BO109="","",IFERROR(VLOOKUP($BO109,'01_Warehouse_Ledger'!$A:$N,4,FALSE),""))</f>
      </c>
      <c r="BQ109">
        <f>IF($BO109="","",IFERROR(VLOOKUP($BO109,'01_Warehouse_Ledger'!$A:$N,5,FALSE),""))</f>
      </c>
      <c r="BR109">
        <f>IF($BO109="","",IFERROR(VLOOKUP($BO109,'01_Warehouse_Ledger'!$A:$N,13,FALSE),""))</f>
      </c>
      <c r="BS109" t="s">
        <v>1727</v>
      </c>
      <c r="BT109" t="s">
        <v>1727</v>
      </c>
      <c r="BU109" t="s">
        <v>1727</v>
      </c>
      <c r="BV109" t="s">
        <v>1727</v>
      </c>
      <c r="BW109" t="s">
        <v>1727</v>
      </c>
      <c r="BX109">
        <v>19200</v>
      </c>
    </row>
    <row r="110">
      <c r="A110" t="s">
        <v>1415</v>
      </c>
      <c r="B110" t="s">
        <v>1727</v>
      </c>
      <c r="C110" t="s">
        <v>1727</v>
      </c>
      <c r="D110">
        <f>IF($B110&lt;&gt;"Yes","",IF($C110="No","Yes",IF($C110="Yes","No","")))</f>
      </c>
      <c r="E110">
        <f>IF($A110="","",IF($A110="Neuron",IF(OR(AND($R110&lt;&gt;"",LOWER(TRIM($R110))&lt;&gt;"n/a",COUNTIF($S$2:$S$532,$R110)&gt;1),AND($T110&lt;&gt;"",LOWER(TRIM($T110))&lt;&gt;"n/a",COUNTIF($T$2:$T$532,$T110)&gt;1),AND($W110&lt;&gt;"",LOWER(TRIM($W110))&lt;&gt;"n/a",COUNTIF($W$2:$W$532,$W110)&gt;1)),"Yes","No"),IF($A110="Cybernet",IF(OR(AND($Y110&lt;&gt;"",LOWER(TRIM($Y110))&lt;&gt;"n/a",COUNTIF($Y$2:$Y$532,$Y110)&gt;1),AND($Z110&lt;&gt;"",LOWER(TRIM($Z110))&lt;&gt;"n/a",COUNTIF($Z$2:$Z$532,$Z110)&gt;1)),"Yes","No"),IF(AND($AL110&lt;&gt;"",LOWER(TRIM($AL110))&lt;&gt;"n/a",COUNTIF($AL$2:$AL$532,$AL110)&gt;1),"Yes","No"))))</f>
      </c>
      <c r="F110">
        <f>IF($B110&lt;&gt;"Yes","",
IF($A110="Neuron",
IF(OR(
AND($R110&lt;&gt;"",LOWER(TRIM($R110))&lt;&gt;"n/a",COUNTIFS($B$2:$B$532,"Yes",$A$2:$A$532,"Neuron",$S$2:$S$532,$R110)&gt;1),
AND($T110&lt;&gt;"",LOWER(TRIM($T110))&lt;&gt;"n/a",COUNTIFS($B$2:$B$532,"Yes",$A$2:$A$532,"Neuron",$T$2:$T$532,$T110)&gt;1),
AND($W110&lt;&gt;"",LOWER(TRIM($W110))&lt;&gt;"n/a",COUNTIFS($B$2:$B$532,"Yes",$A$2:$A$532,"Neuron",$W$2:$W$532,$W110)&gt;1)
),"Yes","No"),
IF($A110="Cybernet",
IF(OR(
AND($Y110&lt;&gt;"",LOWER(TRIM($Y110))&lt;&gt;"n/a",COUNTIFS($B$2:$B$532,"Yes",$A$2:$A$532,"Cybernet",$Y$2:$Y$532,$Y110)&gt;1),
AND($Z110&lt;&gt;"",LOWER(TRIM($Z110))&lt;&gt;"n/a",COUNTIFS($B$2:$B$532,"Yes",$A$2:$A$532,"Cybernet",$Z$2:$Z$532,$Z110)&gt;1)
),"Yes","No"),
IF(AND($AL110&lt;&gt;"",LOWER(TRIM($AL110))&lt;&gt;"n/a"),
IF(COUNTIFS($B$2:$B$532,"Yes",$A$2:$A$532,$A110,$AL$2:$AL$532,$AL110)&gt;1,"Yes","No"),
"No")
)
)
)</f>
      </c>
      <c r="G110" t="s">
        <v>2235</v>
      </c>
      <c r="H110" t="s">
        <v>2235</v>
      </c>
      <c r="I110" t="s">
        <v>1831</v>
      </c>
      <c r="J110" t="s">
        <v>1727</v>
      </c>
      <c r="K110" t="s">
        <v>1727</v>
      </c>
      <c r="L110" t="s">
        <v>1727</v>
      </c>
      <c r="M110" t="s">
        <v>2162</v>
      </c>
      <c r="N110" t="s">
        <v>2376</v>
      </c>
      <c r="O110" t="s">
        <v>1380</v>
      </c>
      <c r="P110" t="s">
        <v>2098</v>
      </c>
      <c r="Q110">
        <v>46075.0</v>
      </c>
      <c r="R110" t="s">
        <v>2205</v>
      </c>
      <c r="S110" t="s">
        <v>2281</v>
      </c>
      <c r="T110" t="s">
        <v>1794</v>
      </c>
      <c r="U110" t="s">
        <v>1380</v>
      </c>
      <c r="Y110" t="s">
        <v>1864</v>
      </c>
      <c r="Z110" t="s">
        <v>2082</v>
      </c>
      <c r="AA110" t="s">
        <v>2031</v>
      </c>
      <c r="AD110" t="s">
        <v>2398</v>
      </c>
      <c r="AE110">
        <v>2</v>
      </c>
      <c r="AF110" t="s">
        <v>2097</v>
      </c>
      <c r="AG110" t="s">
        <v>1687</v>
      </c>
      <c r="AI110" t="s">
        <v>1937</v>
      </c>
      <c r="AJ110" t="s">
        <v>2124</v>
      </c>
      <c r="AK110" t="s">
        <v>2249</v>
      </c>
      <c r="AL110" t="s">
        <v>2398</v>
      </c>
      <c r="AM110" t="s">
        <v>1307</v>
      </c>
      <c r="AR110" t="s">
        <v>2350</v>
      </c>
      <c r="AW110" t="s">
        <v>1727</v>
      </c>
      <c r="AX110" t="s">
        <v>1727</v>
      </c>
      <c r="AY110" t="s">
        <v>1727</v>
      </c>
      <c r="AZ110" t="s">
        <v>1727</v>
      </c>
      <c r="BI110" t="s">
        <v>1630</v>
      </c>
      <c r="BL110">
        <f>IF($T110="","",IF((IF(AND($AW110&lt;&gt;"Yes",$AW110&lt;&gt;"N/A"),"Power Cable, ","")&amp;IF(AND($AX110&lt;&gt;"Yes",$AX110&lt;&gt;"N/A"),"Battery, ","")&amp;IF(AND($BE110&lt;&gt;"Yes",$BE110&lt;&gt;"N/A"),"Firmware Download, ","")&amp;IF(AND(OR($BE110="Yes",$BE110="N/A"),$BF110&lt;&gt;"Yes",$BF110&lt;&gt;"N/A"),"Firmware Install, ","")&amp;IF(AND($BJ110&lt;&gt;"Yes",$BJ110&lt;&gt;"N/A"),"Device ID, ","")&amp;IF(AND($BK110&lt;&gt;"Yes",$BK110&lt;&gt;"N/A"),"Epic Beans Relay, ",""))="","",LEFT(IF(AND($AW110&lt;&gt;"Yes",$AW110&lt;&gt;"N/A"),"Power Cable, ","")&amp;IF(AND($AX110&lt;&gt;"Yes",$AX110&lt;&gt;"N/A"),"Battery, ","")&amp;IF(AND($BE110&lt;&gt;"Yes",$BE110&lt;&gt;"N/A"),"Firmware Download, ","")&amp;IF(AND(OR($BE110="Yes",$BE110="N/A"),$BF110&lt;&gt;"Yes",$BF110&lt;&gt;"N/A"),"Firmware Install, ","")&amp;IF(AND($BJ110&lt;&gt;"Yes",$BJ110&lt;&gt;"N/A"),"Device ID, ","")&amp;IF(AND($BK110&lt;&gt;"Yes",$BK110&lt;&gt;"N/A"),"Epic Beans Relay, ",""),LEN(IF(AND($AW110&lt;&gt;"Yes",$AW110&lt;&gt;"N/A"),"Power Cable, ","")&amp;IF(AND($AX110&lt;&gt;"Yes",$AX110&lt;&gt;"N/A"),"Battery, ","")&amp;IF(AND($BE110&lt;&gt;"Yes",$BE110&lt;&gt;"N/A"),"Firmware Download, ","")&amp;IF(AND(OR($BE110="Yes",$BE110="N/A"),$BF110&lt;&gt;"Yes",$BF110&lt;&gt;"N/A"),"Firmware Install, ","")&amp;IF(AND($BJ110&lt;&gt;"Yes",$BJ110&lt;&gt;"N/A"),"Device ID, ","")&amp;IF(AND($BK110&lt;&gt;"Yes",$BK110&lt;&gt;"N/A"),"Epic Beans Relay, ",""))-2)))</f>
      </c>
      <c r="BM110">
        <f>IF($T110="","",IF($BL110="","Yes","Blocked"))</f>
      </c>
      <c r="BP110">
        <f>IF($BO110="","",IFERROR(VLOOKUP($BO110,'01_Warehouse_Ledger'!$A:$N,4,FALSE),""))</f>
      </c>
      <c r="BQ110">
        <f>IF($BO110="","",IFERROR(VLOOKUP($BO110,'01_Warehouse_Ledger'!$A:$N,5,FALSE),""))</f>
      </c>
      <c r="BR110">
        <f>IF($BO110="","",IFERROR(VLOOKUP($BO110,'01_Warehouse_Ledger'!$A:$N,13,FALSE),""))</f>
      </c>
      <c r="BS110" t="s">
        <v>1727</v>
      </c>
      <c r="BT110" t="s">
        <v>1727</v>
      </c>
      <c r="BU110" t="s">
        <v>1727</v>
      </c>
      <c r="BV110" t="s">
        <v>1727</v>
      </c>
      <c r="BW110" t="s">
        <v>1727</v>
      </c>
      <c r="BX110">
        <v>19200</v>
      </c>
    </row>
    <row r="111">
      <c r="A111" t="s">
        <v>1415</v>
      </c>
      <c r="B111" t="s">
        <v>1727</v>
      </c>
      <c r="C111" t="s">
        <v>1727</v>
      </c>
      <c r="D111">
        <f>IF($B111&lt;&gt;"Yes","",IF($C111="No","Yes",IF($C111="Yes","No","")))</f>
      </c>
      <c r="E111">
        <f>IF($A111="","",IF($A111="Neuron",IF(OR(AND($R111&lt;&gt;"",LOWER(TRIM($R111))&lt;&gt;"n/a",COUNTIF($S$2:$S$532,$R111)&gt;1),AND($T111&lt;&gt;"",LOWER(TRIM($T111))&lt;&gt;"n/a",COUNTIF($T$2:$T$532,$T111)&gt;1),AND($W111&lt;&gt;"",LOWER(TRIM($W111))&lt;&gt;"n/a",COUNTIF($W$2:$W$532,$W111)&gt;1)),"Yes","No"),IF($A111="Cybernet",IF(OR(AND($Y111&lt;&gt;"",LOWER(TRIM($Y111))&lt;&gt;"n/a",COUNTIF($Y$2:$Y$532,$Y111)&gt;1),AND($Z111&lt;&gt;"",LOWER(TRIM($Z111))&lt;&gt;"n/a",COUNTIF($Z$2:$Z$532,$Z111)&gt;1)),"Yes","No"),IF(AND($AL111&lt;&gt;"",LOWER(TRIM($AL111))&lt;&gt;"n/a",COUNTIF($AL$2:$AL$532,$AL111)&gt;1),"Yes","No"))))</f>
      </c>
      <c r="F111">
        <f>IF($B111&lt;&gt;"Yes","",
IF($A111="Neuron",
IF(OR(
AND($R111&lt;&gt;"",LOWER(TRIM($R111))&lt;&gt;"n/a",COUNTIFS($B$2:$B$532,"Yes",$A$2:$A$532,"Neuron",$S$2:$S$532,$R111)&gt;1),
AND($T111&lt;&gt;"",LOWER(TRIM($T111))&lt;&gt;"n/a",COUNTIFS($B$2:$B$532,"Yes",$A$2:$A$532,"Neuron",$T$2:$T$532,$T111)&gt;1),
AND($W111&lt;&gt;"",LOWER(TRIM($W111))&lt;&gt;"n/a",COUNTIFS($B$2:$B$532,"Yes",$A$2:$A$532,"Neuron",$W$2:$W$532,$W111)&gt;1)
),"Yes","No"),
IF($A111="Cybernet",
IF(OR(
AND($Y111&lt;&gt;"",LOWER(TRIM($Y111))&lt;&gt;"n/a",COUNTIFS($B$2:$B$532,"Yes",$A$2:$A$532,"Cybernet",$Y$2:$Y$532,$Y111)&gt;1),
AND($Z111&lt;&gt;"",LOWER(TRIM($Z111))&lt;&gt;"n/a",COUNTIFS($B$2:$B$532,"Yes",$A$2:$A$532,"Cybernet",$Z$2:$Z$532,$Z111)&gt;1)
),"Yes","No"),
IF(AND($AL111&lt;&gt;"",LOWER(TRIM($AL111))&lt;&gt;"n/a"),
IF(COUNTIFS($B$2:$B$532,"Yes",$A$2:$A$532,$A111,$AL$2:$AL$532,$AL111)&gt;1,"Yes","No"),
"No")
)
)
)</f>
      </c>
      <c r="G111" t="s">
        <v>2235</v>
      </c>
      <c r="H111" t="s">
        <v>2235</v>
      </c>
      <c r="I111" t="s">
        <v>1831</v>
      </c>
      <c r="J111" t="s">
        <v>1727</v>
      </c>
      <c r="K111" t="s">
        <v>1727</v>
      </c>
      <c r="L111" t="s">
        <v>1727</v>
      </c>
      <c r="M111" t="s">
        <v>2162</v>
      </c>
      <c r="N111" t="s">
        <v>2376</v>
      </c>
      <c r="O111" t="s">
        <v>1380</v>
      </c>
      <c r="P111" t="s">
        <v>2098</v>
      </c>
      <c r="Q111">
        <v>46075.0</v>
      </c>
      <c r="R111" t="s">
        <v>1761</v>
      </c>
      <c r="S111" t="s">
        <v>2248</v>
      </c>
      <c r="T111" t="s">
        <v>1739</v>
      </c>
      <c r="U111" t="s">
        <v>1380</v>
      </c>
      <c r="Y111" t="s">
        <v>1911</v>
      </c>
      <c r="Z111" t="s">
        <v>1702</v>
      </c>
      <c r="AA111" t="s">
        <v>2031</v>
      </c>
      <c r="AD111" t="s">
        <v>1679</v>
      </c>
      <c r="AE111">
        <v>2</v>
      </c>
      <c r="AF111" t="s">
        <v>2097</v>
      </c>
      <c r="AG111" t="s">
        <v>2290</v>
      </c>
      <c r="AJ111" t="s">
        <v>2124</v>
      </c>
      <c r="AK111" t="s">
        <v>2249</v>
      </c>
      <c r="AL111" t="s">
        <v>1679</v>
      </c>
      <c r="AM111" t="s">
        <v>1307</v>
      </c>
      <c r="AR111" t="s">
        <v>1613</v>
      </c>
      <c r="AW111" t="s">
        <v>1727</v>
      </c>
      <c r="AX111" t="s">
        <v>1727</v>
      </c>
      <c r="AY111" t="s">
        <v>1727</v>
      </c>
      <c r="AZ111" t="s">
        <v>1727</v>
      </c>
      <c r="BI111" t="s">
        <v>1630</v>
      </c>
      <c r="BL111">
        <f>IF($T111="","",IF((IF(AND($AW111&lt;&gt;"Yes",$AW111&lt;&gt;"N/A"),"Power Cable, ","")&amp;IF(AND($AX111&lt;&gt;"Yes",$AX111&lt;&gt;"N/A"),"Battery, ","")&amp;IF(AND($BE111&lt;&gt;"Yes",$BE111&lt;&gt;"N/A"),"Firmware Download, ","")&amp;IF(AND(OR($BE111="Yes",$BE111="N/A"),$BF111&lt;&gt;"Yes",$BF111&lt;&gt;"N/A"),"Firmware Install, ","")&amp;IF(AND($BJ111&lt;&gt;"Yes",$BJ111&lt;&gt;"N/A"),"Device ID, ","")&amp;IF(AND($BK111&lt;&gt;"Yes",$BK111&lt;&gt;"N/A"),"Epic Beans Relay, ",""))="","",LEFT(IF(AND($AW111&lt;&gt;"Yes",$AW111&lt;&gt;"N/A"),"Power Cable, ","")&amp;IF(AND($AX111&lt;&gt;"Yes",$AX111&lt;&gt;"N/A"),"Battery, ","")&amp;IF(AND($BE111&lt;&gt;"Yes",$BE111&lt;&gt;"N/A"),"Firmware Download, ","")&amp;IF(AND(OR($BE111="Yes",$BE111="N/A"),$BF111&lt;&gt;"Yes",$BF111&lt;&gt;"N/A"),"Firmware Install, ","")&amp;IF(AND($BJ111&lt;&gt;"Yes",$BJ111&lt;&gt;"N/A"),"Device ID, ","")&amp;IF(AND($BK111&lt;&gt;"Yes",$BK111&lt;&gt;"N/A"),"Epic Beans Relay, ",""),LEN(IF(AND($AW111&lt;&gt;"Yes",$AW111&lt;&gt;"N/A"),"Power Cable, ","")&amp;IF(AND($AX111&lt;&gt;"Yes",$AX111&lt;&gt;"N/A"),"Battery, ","")&amp;IF(AND($BE111&lt;&gt;"Yes",$BE111&lt;&gt;"N/A"),"Firmware Download, ","")&amp;IF(AND(OR($BE111="Yes",$BE111="N/A"),$BF111&lt;&gt;"Yes",$BF111&lt;&gt;"N/A"),"Firmware Install, ","")&amp;IF(AND($BJ111&lt;&gt;"Yes",$BJ111&lt;&gt;"N/A"),"Device ID, ","")&amp;IF(AND($BK111&lt;&gt;"Yes",$BK111&lt;&gt;"N/A"),"Epic Beans Relay, ",""))-2)))</f>
      </c>
      <c r="BM111">
        <f>IF($T111="","",IF($BL111="","Yes","Blocked"))</f>
      </c>
      <c r="BP111">
        <f>IF($BO111="","",IFERROR(VLOOKUP($BO111,'01_Warehouse_Ledger'!$A:$N,4,FALSE),""))</f>
      </c>
      <c r="BQ111">
        <f>IF($BO111="","",IFERROR(VLOOKUP($BO111,'01_Warehouse_Ledger'!$A:$N,5,FALSE),""))</f>
      </c>
      <c r="BR111">
        <f>IF($BO111="","",IFERROR(VLOOKUP($BO111,'01_Warehouse_Ledger'!$A:$N,13,FALSE),""))</f>
      </c>
      <c r="BS111" t="s">
        <v>1727</v>
      </c>
      <c r="BT111" t="s">
        <v>1727</v>
      </c>
      <c r="BU111" t="s">
        <v>1727</v>
      </c>
      <c r="BV111" t="s">
        <v>1727</v>
      </c>
      <c r="BW111" t="s">
        <v>1727</v>
      </c>
      <c r="BX111">
        <v>19200</v>
      </c>
    </row>
    <row r="112">
      <c r="A112" t="s">
        <v>1415</v>
      </c>
      <c r="B112" t="s">
        <v>1727</v>
      </c>
      <c r="C112" t="s">
        <v>1727</v>
      </c>
      <c r="D112">
        <f>IF($B112&lt;&gt;"Yes","",IF($C112="No","Yes",IF($C112="Yes","No","")))</f>
      </c>
      <c r="E112">
        <f>IF($A112="","",IF($A112="Neuron",IF(OR(AND($R112&lt;&gt;"",LOWER(TRIM($R112))&lt;&gt;"n/a",COUNTIF($S$2:$S$532,$R112)&gt;1),AND($T112&lt;&gt;"",LOWER(TRIM($T112))&lt;&gt;"n/a",COUNTIF($T$2:$T$532,$T112)&gt;1),AND($W112&lt;&gt;"",LOWER(TRIM($W112))&lt;&gt;"n/a",COUNTIF($W$2:$W$532,$W112)&gt;1)),"Yes","No"),IF($A112="Cybernet",IF(OR(AND($Y112&lt;&gt;"",LOWER(TRIM($Y112))&lt;&gt;"n/a",COUNTIF($Y$2:$Y$532,$Y112)&gt;1),AND($Z112&lt;&gt;"",LOWER(TRIM($Z112))&lt;&gt;"n/a",COUNTIF($Z$2:$Z$532,$Z112)&gt;1)),"Yes","No"),IF(AND($AL112&lt;&gt;"",LOWER(TRIM($AL112))&lt;&gt;"n/a",COUNTIF($AL$2:$AL$532,$AL112)&gt;1),"Yes","No"))))</f>
      </c>
      <c r="F112">
        <f>IF($B112&lt;&gt;"Yes","",
IF($A112="Neuron",
IF(OR(
AND($R112&lt;&gt;"",LOWER(TRIM($R112))&lt;&gt;"n/a",COUNTIFS($B$2:$B$532,"Yes",$A$2:$A$532,"Neuron",$S$2:$S$532,$R112)&gt;1),
AND($T112&lt;&gt;"",LOWER(TRIM($T112))&lt;&gt;"n/a",COUNTIFS($B$2:$B$532,"Yes",$A$2:$A$532,"Neuron",$T$2:$T$532,$T112)&gt;1),
AND($W112&lt;&gt;"",LOWER(TRIM($W112))&lt;&gt;"n/a",COUNTIFS($B$2:$B$532,"Yes",$A$2:$A$532,"Neuron",$W$2:$W$532,$W112)&gt;1)
),"Yes","No"),
IF($A112="Cybernet",
IF(OR(
AND($Y112&lt;&gt;"",LOWER(TRIM($Y112))&lt;&gt;"n/a",COUNTIFS($B$2:$B$532,"Yes",$A$2:$A$532,"Cybernet",$Y$2:$Y$532,$Y112)&gt;1),
AND($Z112&lt;&gt;"",LOWER(TRIM($Z112))&lt;&gt;"n/a",COUNTIFS($B$2:$B$532,"Yes",$A$2:$A$532,"Cybernet",$Z$2:$Z$532,$Z112)&gt;1)
),"Yes","No"),
IF(AND($AL112&lt;&gt;"",LOWER(TRIM($AL112))&lt;&gt;"n/a"),
IF(COUNTIFS($B$2:$B$532,"Yes",$A$2:$A$532,$A112,$AL$2:$AL$532,$AL112)&gt;1,"Yes","No"),
"No")
)
)
)</f>
      </c>
      <c r="G112" t="s">
        <v>2235</v>
      </c>
      <c r="H112" t="s">
        <v>2235</v>
      </c>
      <c r="I112" t="s">
        <v>1831</v>
      </c>
      <c r="J112" t="s">
        <v>1727</v>
      </c>
      <c r="K112" t="s">
        <v>1727</v>
      </c>
      <c r="L112" t="s">
        <v>1727</v>
      </c>
      <c r="M112" t="s">
        <v>2162</v>
      </c>
      <c r="N112" t="s">
        <v>2376</v>
      </c>
      <c r="O112" t="s">
        <v>1380</v>
      </c>
      <c r="P112" t="s">
        <v>2098</v>
      </c>
      <c r="Q112">
        <v>46075.0</v>
      </c>
      <c r="R112" t="s">
        <v>1696</v>
      </c>
      <c r="S112" t="s">
        <v>1918</v>
      </c>
      <c r="T112" t="s">
        <v>2015</v>
      </c>
      <c r="U112" t="s">
        <v>1380</v>
      </c>
      <c r="Y112" t="s">
        <v>2260</v>
      </c>
      <c r="Z112" t="s">
        <v>1618</v>
      </c>
      <c r="AA112" t="s">
        <v>2031</v>
      </c>
      <c r="AD112" t="s">
        <v>2023</v>
      </c>
      <c r="AE112">
        <v>2</v>
      </c>
      <c r="AF112" t="s">
        <v>2097</v>
      </c>
      <c r="AG112" t="s">
        <v>1856</v>
      </c>
      <c r="AJ112" t="s">
        <v>2124</v>
      </c>
      <c r="AK112" t="s">
        <v>2249</v>
      </c>
      <c r="AL112" t="s">
        <v>2023</v>
      </c>
      <c r="AM112" t="s">
        <v>1307</v>
      </c>
      <c r="AR112" t="s">
        <v>2186</v>
      </c>
      <c r="AW112" t="s">
        <v>1727</v>
      </c>
      <c r="AX112" t="s">
        <v>1727</v>
      </c>
      <c r="AY112" t="s">
        <v>1727</v>
      </c>
      <c r="AZ112" t="s">
        <v>1727</v>
      </c>
      <c r="BI112" t="s">
        <v>1630</v>
      </c>
      <c r="BL112">
        <f>IF($T112="","",IF((IF(AND($AW112&lt;&gt;"Yes",$AW112&lt;&gt;"N/A"),"Power Cable, ","")&amp;IF(AND($AX112&lt;&gt;"Yes",$AX112&lt;&gt;"N/A"),"Battery, ","")&amp;IF(AND($BE112&lt;&gt;"Yes",$BE112&lt;&gt;"N/A"),"Firmware Download, ","")&amp;IF(AND(OR($BE112="Yes",$BE112="N/A"),$BF112&lt;&gt;"Yes",$BF112&lt;&gt;"N/A"),"Firmware Install, ","")&amp;IF(AND($BJ112&lt;&gt;"Yes",$BJ112&lt;&gt;"N/A"),"Device ID, ","")&amp;IF(AND($BK112&lt;&gt;"Yes",$BK112&lt;&gt;"N/A"),"Epic Beans Relay, ",""))="","",LEFT(IF(AND($AW112&lt;&gt;"Yes",$AW112&lt;&gt;"N/A"),"Power Cable, ","")&amp;IF(AND($AX112&lt;&gt;"Yes",$AX112&lt;&gt;"N/A"),"Battery, ","")&amp;IF(AND($BE112&lt;&gt;"Yes",$BE112&lt;&gt;"N/A"),"Firmware Download, ","")&amp;IF(AND(OR($BE112="Yes",$BE112="N/A"),$BF112&lt;&gt;"Yes",$BF112&lt;&gt;"N/A"),"Firmware Install, ","")&amp;IF(AND($BJ112&lt;&gt;"Yes",$BJ112&lt;&gt;"N/A"),"Device ID, ","")&amp;IF(AND($BK112&lt;&gt;"Yes",$BK112&lt;&gt;"N/A"),"Epic Beans Relay, ",""),LEN(IF(AND($AW112&lt;&gt;"Yes",$AW112&lt;&gt;"N/A"),"Power Cable, ","")&amp;IF(AND($AX112&lt;&gt;"Yes",$AX112&lt;&gt;"N/A"),"Battery, ","")&amp;IF(AND($BE112&lt;&gt;"Yes",$BE112&lt;&gt;"N/A"),"Firmware Download, ","")&amp;IF(AND(OR($BE112="Yes",$BE112="N/A"),$BF112&lt;&gt;"Yes",$BF112&lt;&gt;"N/A"),"Firmware Install, ","")&amp;IF(AND($BJ112&lt;&gt;"Yes",$BJ112&lt;&gt;"N/A"),"Device ID, ","")&amp;IF(AND($BK112&lt;&gt;"Yes",$BK112&lt;&gt;"N/A"),"Epic Beans Relay, ",""))-2)))</f>
      </c>
      <c r="BM112">
        <f>IF($T112="","",IF($BL112="","Yes","Blocked"))</f>
      </c>
      <c r="BP112">
        <f>IF($BO112="","",IFERROR(VLOOKUP($BO112,'01_Warehouse_Ledger'!$A:$N,4,FALSE),""))</f>
      </c>
      <c r="BQ112">
        <f>IF($BO112="","",IFERROR(VLOOKUP($BO112,'01_Warehouse_Ledger'!$A:$N,5,FALSE),""))</f>
      </c>
      <c r="BR112">
        <f>IF($BO112="","",IFERROR(VLOOKUP($BO112,'01_Warehouse_Ledger'!$A:$N,13,FALSE),""))</f>
      </c>
      <c r="BS112" t="s">
        <v>1727</v>
      </c>
      <c r="BT112" t="s">
        <v>1727</v>
      </c>
      <c r="BU112" t="s">
        <v>1727</v>
      </c>
      <c r="BV112" t="s">
        <v>1727</v>
      </c>
      <c r="BW112" t="s">
        <v>1727</v>
      </c>
      <c r="BX112">
        <v>19200</v>
      </c>
    </row>
    <row r="113">
      <c r="A113" t="s">
        <v>1415</v>
      </c>
      <c r="C113" t="s">
        <v>1657</v>
      </c>
      <c r="D113">
        <f>IF($B113&lt;&gt;"Yes","",IF($C113="No","Yes",IF($C113="Yes","No","")))</f>
      </c>
      <c r="E113">
        <f>IF($A113="","",IF($A113="Neuron",IF(OR(AND($R113&lt;&gt;"",LOWER(TRIM($R113))&lt;&gt;"n/a",COUNTIF($S$2:$S$532,$R113)&gt;1),AND($T113&lt;&gt;"",LOWER(TRIM($T113))&lt;&gt;"n/a",COUNTIF($T$2:$T$532,$T113)&gt;1),AND($W113&lt;&gt;"",LOWER(TRIM($W113))&lt;&gt;"n/a",COUNTIF($W$2:$W$532,$W113)&gt;1)),"Yes","No"),IF($A113="Cybernet",IF(OR(AND($Y113&lt;&gt;"",LOWER(TRIM($Y113))&lt;&gt;"n/a",COUNTIF($Y$2:$Y$532,$Y113)&gt;1),AND($Z113&lt;&gt;"",LOWER(TRIM($Z113))&lt;&gt;"n/a",COUNTIF($Z$2:$Z$532,$Z113)&gt;1)),"Yes","No"),IF(AND($AL113&lt;&gt;"",LOWER(TRIM($AL113))&lt;&gt;"n/a",COUNTIF($AL$2:$AL$532,$AL113)&gt;1),"Yes","No"))))</f>
      </c>
      <c r="F113">
        <f>IF($B113&lt;&gt;"Yes","",
IF($A113="Neuron",
IF(OR(
AND($R113&lt;&gt;"",LOWER(TRIM($R113))&lt;&gt;"n/a",COUNTIFS($B$2:$B$532,"Yes",$A$2:$A$532,"Neuron",$S$2:$S$532,$R113)&gt;1),
AND($T113&lt;&gt;"",LOWER(TRIM($T113))&lt;&gt;"n/a",COUNTIFS($B$2:$B$532,"Yes",$A$2:$A$532,"Neuron",$T$2:$T$532,$T113)&gt;1),
AND($W113&lt;&gt;"",LOWER(TRIM($W113))&lt;&gt;"n/a",COUNTIFS($B$2:$B$532,"Yes",$A$2:$A$532,"Neuron",$W$2:$W$532,$W113)&gt;1)
),"Yes","No"),
IF($A113="Cybernet",
IF(OR(
AND($Y113&lt;&gt;"",LOWER(TRIM($Y113))&lt;&gt;"n/a",COUNTIFS($B$2:$B$532,"Yes",$A$2:$A$532,"Cybernet",$Y$2:$Y$532,$Y113)&gt;1),
AND($Z113&lt;&gt;"",LOWER(TRIM($Z113))&lt;&gt;"n/a",COUNTIFS($B$2:$B$532,"Yes",$A$2:$A$532,"Cybernet",$Z$2:$Z$532,$Z113)&gt;1)
),"Yes","No"),
IF(AND($AL113&lt;&gt;"",LOWER(TRIM($AL113))&lt;&gt;"n/a"),
IF(COUNTIFS($B$2:$B$532,"Yes",$A$2:$A$532,$A113,$AL$2:$AL$532,$AL113)&gt;1,"Yes","No"),
"No")
)
)
)</f>
      </c>
      <c r="G113" t="s">
        <v>1880</v>
      </c>
      <c r="H113" t="s">
        <v>2235</v>
      </c>
      <c r="I113" t="s">
        <v>1831</v>
      </c>
      <c r="J113" t="s">
        <v>1727</v>
      </c>
      <c r="K113" t="s">
        <v>1657</v>
      </c>
      <c r="L113" t="s">
        <v>1657</v>
      </c>
      <c r="R113" t="s">
        <v>1716</v>
      </c>
      <c r="Y113" t="s">
        <v>1803</v>
      </c>
      <c r="Z113" t="s">
        <v>2337</v>
      </c>
      <c r="BI113" t="s">
        <v>1630</v>
      </c>
      <c r="BL113">
        <f>IF($T113="","",IF((IF(AND($AW113&lt;&gt;"Yes",$AW113&lt;&gt;"N/A"),"Power Cable, ","")&amp;IF(AND($AX113&lt;&gt;"Yes",$AX113&lt;&gt;"N/A"),"Battery, ","")&amp;IF(AND($BE113&lt;&gt;"Yes",$BE113&lt;&gt;"N/A"),"Firmware Download, ","")&amp;IF(AND(OR($BE113="Yes",$BE113="N/A"),$BF113&lt;&gt;"Yes",$BF113&lt;&gt;"N/A"),"Firmware Install, ","")&amp;IF(AND($BJ113&lt;&gt;"Yes",$BJ113&lt;&gt;"N/A"),"Device ID, ","")&amp;IF(AND($BK113&lt;&gt;"Yes",$BK113&lt;&gt;"N/A"),"Epic Beans Relay, ",""))="","",LEFT(IF(AND($AW113&lt;&gt;"Yes",$AW113&lt;&gt;"N/A"),"Power Cable, ","")&amp;IF(AND($AX113&lt;&gt;"Yes",$AX113&lt;&gt;"N/A"),"Battery, ","")&amp;IF(AND($BE113&lt;&gt;"Yes",$BE113&lt;&gt;"N/A"),"Firmware Download, ","")&amp;IF(AND(OR($BE113="Yes",$BE113="N/A"),$BF113&lt;&gt;"Yes",$BF113&lt;&gt;"N/A"),"Firmware Install, ","")&amp;IF(AND($BJ113&lt;&gt;"Yes",$BJ113&lt;&gt;"N/A"),"Device ID, ","")&amp;IF(AND($BK113&lt;&gt;"Yes",$BK113&lt;&gt;"N/A"),"Epic Beans Relay, ",""),LEN(IF(AND($AW113&lt;&gt;"Yes",$AW113&lt;&gt;"N/A"),"Power Cable, ","")&amp;IF(AND($AX113&lt;&gt;"Yes",$AX113&lt;&gt;"N/A"),"Battery, ","")&amp;IF(AND($BE113&lt;&gt;"Yes",$BE113&lt;&gt;"N/A"),"Firmware Download, ","")&amp;IF(AND(OR($BE113="Yes",$BE113="N/A"),$BF113&lt;&gt;"Yes",$BF113&lt;&gt;"N/A"),"Firmware Install, ","")&amp;IF(AND($BJ113&lt;&gt;"Yes",$BJ113&lt;&gt;"N/A"),"Device ID, ","")&amp;IF(AND($BK113&lt;&gt;"Yes",$BK113&lt;&gt;"N/A"),"Epic Beans Relay, ",""))-2)))</f>
      </c>
      <c r="BM113">
        <f>IF($T113="","",IF($BL113="","Yes","Blocked"))</f>
      </c>
      <c r="BP113">
        <f>IF($BO113="","",IFERROR(VLOOKUP($BO113,'01_Warehouse_Ledger'!$A:$N,4,FALSE),""))</f>
      </c>
      <c r="BQ113">
        <f>IF($BO113="","",IFERROR(VLOOKUP($BO113,'01_Warehouse_Ledger'!$A:$N,5,FALSE),""))</f>
      </c>
      <c r="BR113">
        <f>IF($BO113="","",IFERROR(VLOOKUP($BO113,'01_Warehouse_Ledger'!$A:$N,13,FALSE),""))</f>
      </c>
    </row>
    <row r="114">
      <c r="A114" t="s">
        <v>1415</v>
      </c>
      <c r="C114" t="s">
        <v>1657</v>
      </c>
      <c r="D114">
        <f>IF($B114&lt;&gt;"Yes","",IF($C114="No","Yes",IF($C114="Yes","No","")))</f>
      </c>
      <c r="E114">
        <f>IF($A114="","",IF($A114="Neuron",IF(OR(AND($R114&lt;&gt;"",LOWER(TRIM($R114))&lt;&gt;"n/a",COUNTIF($S$2:$S$532,$R114)&gt;1),AND($T114&lt;&gt;"",LOWER(TRIM($T114))&lt;&gt;"n/a",COUNTIF($T$2:$T$532,$T114)&gt;1),AND($W114&lt;&gt;"",LOWER(TRIM($W114))&lt;&gt;"n/a",COUNTIF($W$2:$W$532,$W114)&gt;1)),"Yes","No"),IF($A114="Cybernet",IF(OR(AND($Y114&lt;&gt;"",LOWER(TRIM($Y114))&lt;&gt;"n/a",COUNTIF($Y$2:$Y$532,$Y114)&gt;1),AND($Z114&lt;&gt;"",LOWER(TRIM($Z114))&lt;&gt;"n/a",COUNTIF($Z$2:$Z$532,$Z114)&gt;1)),"Yes","No"),IF(AND($AL114&lt;&gt;"",LOWER(TRIM($AL114))&lt;&gt;"n/a",COUNTIF($AL$2:$AL$532,$AL114)&gt;1),"Yes","No"))))</f>
      </c>
      <c r="F114">
        <f>IF($B114&lt;&gt;"Yes","",
IF($A114="Neuron",
IF(OR(
AND($R114&lt;&gt;"",LOWER(TRIM($R114))&lt;&gt;"n/a",COUNTIFS($B$2:$B$532,"Yes",$A$2:$A$532,"Neuron",$S$2:$S$532,$R114)&gt;1),
AND($T114&lt;&gt;"",LOWER(TRIM($T114))&lt;&gt;"n/a",COUNTIFS($B$2:$B$532,"Yes",$A$2:$A$532,"Neuron",$T$2:$T$532,$T114)&gt;1),
AND($W114&lt;&gt;"",LOWER(TRIM($W114))&lt;&gt;"n/a",COUNTIFS($B$2:$B$532,"Yes",$A$2:$A$532,"Neuron",$W$2:$W$532,$W114)&gt;1)
),"Yes","No"),
IF($A114="Cybernet",
IF(OR(
AND($Y114&lt;&gt;"",LOWER(TRIM($Y114))&lt;&gt;"n/a",COUNTIFS($B$2:$B$532,"Yes",$A$2:$A$532,"Cybernet",$Y$2:$Y$532,$Y114)&gt;1),
AND($Z114&lt;&gt;"",LOWER(TRIM($Z114))&lt;&gt;"n/a",COUNTIFS($B$2:$B$532,"Yes",$A$2:$A$532,"Cybernet",$Z$2:$Z$532,$Z114)&gt;1)
),"Yes","No"),
IF(AND($AL114&lt;&gt;"",LOWER(TRIM($AL114))&lt;&gt;"n/a"),
IF(COUNTIFS($B$2:$B$532,"Yes",$A$2:$A$532,$A114,$AL$2:$AL$532,$AL114)&gt;1,"Yes","No"),
"No")
)
)
)</f>
      </c>
      <c r="G114" t="s">
        <v>1880</v>
      </c>
      <c r="H114" t="s">
        <v>2235</v>
      </c>
      <c r="I114" t="s">
        <v>1831</v>
      </c>
      <c r="J114" t="s">
        <v>1727</v>
      </c>
      <c r="K114" t="s">
        <v>1657</v>
      </c>
      <c r="L114" t="s">
        <v>1657</v>
      </c>
      <c r="R114" t="s">
        <v>2077</v>
      </c>
      <c r="Y114" t="s">
        <v>2366</v>
      </c>
      <c r="Z114" t="s">
        <v>2304</v>
      </c>
      <c r="BI114" t="s">
        <v>1630</v>
      </c>
      <c r="BL114">
        <f>IF($T114="","",IF((IF(AND($AW114&lt;&gt;"Yes",$AW114&lt;&gt;"N/A"),"Power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",""))="","",LEFT(IF(AND($AW114&lt;&gt;"Yes",$AW114&lt;&gt;"N/A"),"Power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",""),LEN(IF(AND($AW114&lt;&gt;"Yes",$AW114&lt;&gt;"N/A"),"Power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",""))-2)))</f>
      </c>
      <c r="BM114">
        <f>IF($T114="","",IF($BL114="","Yes","Blocked"))</f>
      </c>
      <c r="BP114">
        <f>IF($BO114="","",IFERROR(VLOOKUP($BO114,'01_Warehouse_Ledger'!$A:$N,4,FALSE),""))</f>
      </c>
      <c r="BQ114">
        <f>IF($BO114="","",IFERROR(VLOOKUP($BO114,'01_Warehouse_Ledger'!$A:$N,5,FALSE),""))</f>
      </c>
      <c r="BR114">
        <f>IF($BO114="","",IFERROR(VLOOKUP($BO114,'01_Warehouse_Ledger'!$A:$N,13,FALSE),""))</f>
      </c>
    </row>
    <row r="115">
      <c r="A115" t="s">
        <v>1415</v>
      </c>
      <c r="C115" t="s">
        <v>1657</v>
      </c>
      <c r="D115">
        <f>IF($B115&lt;&gt;"Yes","",IF($C115="No","Yes",IF($C115="Yes","No","")))</f>
      </c>
      <c r="E115">
        <f>IF($A115="","",IF($A115="Neuron",IF(OR(AND($R115&lt;&gt;"",LOWER(TRIM($R115))&lt;&gt;"n/a",COUNTIF($S$2:$S$532,$R115)&gt;1),AND($T115&lt;&gt;"",LOWER(TRIM($T115))&lt;&gt;"n/a",COUNTIF($T$2:$T$532,$T115)&gt;1),AND($W115&lt;&gt;"",LOWER(TRIM($W115))&lt;&gt;"n/a",COUNTIF($W$2:$W$532,$W115)&gt;1)),"Yes","No"),IF($A115="Cybernet",IF(OR(AND($Y115&lt;&gt;"",LOWER(TRIM($Y115))&lt;&gt;"n/a",COUNTIF($Y$2:$Y$532,$Y115)&gt;1),AND($Z115&lt;&gt;"",LOWER(TRIM($Z115))&lt;&gt;"n/a",COUNTIF($Z$2:$Z$532,$Z115)&gt;1)),"Yes","No"),IF(AND($AL115&lt;&gt;"",LOWER(TRIM($AL115))&lt;&gt;"n/a",COUNTIF($AL$2:$AL$532,$AL115)&gt;1),"Yes","No"))))</f>
      </c>
      <c r="F115">
        <f>IF($B115&lt;&gt;"Yes","",
IF($A115="Neuron",
IF(OR(
AND($R115&lt;&gt;"",LOWER(TRIM($R115))&lt;&gt;"n/a",COUNTIFS($B$2:$B$532,"Yes",$A$2:$A$532,"Neuron",$S$2:$S$532,$R115)&gt;1),
AND($T115&lt;&gt;"",LOWER(TRIM($T115))&lt;&gt;"n/a",COUNTIFS($B$2:$B$532,"Yes",$A$2:$A$532,"Neuron",$T$2:$T$532,$T115)&gt;1),
AND($W115&lt;&gt;"",LOWER(TRIM($W115))&lt;&gt;"n/a",COUNTIFS($B$2:$B$532,"Yes",$A$2:$A$532,"Neuron",$W$2:$W$532,$W115)&gt;1)
),"Yes","No"),
IF($A115="Cybernet",
IF(OR(
AND($Y115&lt;&gt;"",LOWER(TRIM($Y115))&lt;&gt;"n/a",COUNTIFS($B$2:$B$532,"Yes",$A$2:$A$532,"Cybernet",$Y$2:$Y$532,$Y115)&gt;1),
AND($Z115&lt;&gt;"",LOWER(TRIM($Z115))&lt;&gt;"n/a",COUNTIFS($B$2:$B$532,"Yes",$A$2:$A$532,"Cybernet",$Z$2:$Z$532,$Z115)&gt;1)
),"Yes","No"),
IF(AND($AL115&lt;&gt;"",LOWER(TRIM($AL115))&lt;&gt;"n/a"),
IF(COUNTIFS($B$2:$B$532,"Yes",$A$2:$A$532,$A115,$AL$2:$AL$532,$AL115)&gt;1,"Yes","No"),
"No")
)
)
)</f>
      </c>
      <c r="G115" t="s">
        <v>1880</v>
      </c>
      <c r="H115" t="s">
        <v>2235</v>
      </c>
      <c r="I115" t="s">
        <v>1831</v>
      </c>
      <c r="J115" t="s">
        <v>1727</v>
      </c>
      <c r="K115" t="s">
        <v>1657</v>
      </c>
      <c r="L115" t="s">
        <v>1657</v>
      </c>
      <c r="R115" t="s">
        <v>2142</v>
      </c>
      <c r="Y115" t="s">
        <v>1846</v>
      </c>
      <c r="Z115" t="s">
        <v>1955</v>
      </c>
      <c r="BI115" t="s">
        <v>1630</v>
      </c>
      <c r="BL115">
        <f>IF($T115="","",IF((IF(AND($AW115&lt;&gt;"Yes",$AW115&lt;&gt;"N/A"),"Power Cable, ","")&amp;IF(AND($AX115&lt;&gt;"Yes",$AX115&lt;&gt;"N/A"),"Battery, ","")&amp;IF(AND($BE115&lt;&gt;"Yes",$BE115&lt;&gt;"N/A"),"Firmware Download, ","")&amp;IF(AND(OR($BE115="Yes",$BE115="N/A"),$BF115&lt;&gt;"Yes",$BF115&lt;&gt;"N/A"),"Firmware Install, ","")&amp;IF(AND($BJ115&lt;&gt;"Yes",$BJ115&lt;&gt;"N/A"),"Device ID, ","")&amp;IF(AND($BK115&lt;&gt;"Yes",$BK115&lt;&gt;"N/A"),"Epic Beans Relay, ",""))="","",LEFT(IF(AND($AW115&lt;&gt;"Yes",$AW115&lt;&gt;"N/A"),"Power Cable, ","")&amp;IF(AND($AX115&lt;&gt;"Yes",$AX115&lt;&gt;"N/A"),"Battery, ","")&amp;IF(AND($BE115&lt;&gt;"Yes",$BE115&lt;&gt;"N/A"),"Firmware Download, ","")&amp;IF(AND(OR($BE115="Yes",$BE115="N/A"),$BF115&lt;&gt;"Yes",$BF115&lt;&gt;"N/A"),"Firmware Install, ","")&amp;IF(AND($BJ115&lt;&gt;"Yes",$BJ115&lt;&gt;"N/A"),"Device ID, ","")&amp;IF(AND($BK115&lt;&gt;"Yes",$BK115&lt;&gt;"N/A"),"Epic Beans Relay, ",""),LEN(IF(AND($AW115&lt;&gt;"Yes",$AW115&lt;&gt;"N/A"),"Power Cable, ","")&amp;IF(AND($AX115&lt;&gt;"Yes",$AX115&lt;&gt;"N/A"),"Battery, ","")&amp;IF(AND($BE115&lt;&gt;"Yes",$BE115&lt;&gt;"N/A"),"Firmware Download, ","")&amp;IF(AND(OR($BE115="Yes",$BE115="N/A"),$BF115&lt;&gt;"Yes",$BF115&lt;&gt;"N/A"),"Firmware Install, ","")&amp;IF(AND($BJ115&lt;&gt;"Yes",$BJ115&lt;&gt;"N/A"),"Device ID, ","")&amp;IF(AND($BK115&lt;&gt;"Yes",$BK115&lt;&gt;"N/A"),"Epic Beans Relay, ",""))-2)))</f>
      </c>
      <c r="BM115">
        <f>IF($T115="","",IF($BL115="","Yes","Blocked"))</f>
      </c>
      <c r="BP115">
        <f>IF($BO115="","",IFERROR(VLOOKUP($BO115,'01_Warehouse_Ledger'!$A:$N,4,FALSE),""))</f>
      </c>
      <c r="BQ115">
        <f>IF($BO115="","",IFERROR(VLOOKUP($BO115,'01_Warehouse_Ledger'!$A:$N,5,FALSE),""))</f>
      </c>
      <c r="BR115">
        <f>IF($BO115="","",IFERROR(VLOOKUP($BO115,'01_Warehouse_Ledger'!$A:$N,13,FALSE),""))</f>
      </c>
    </row>
    <row r="116">
      <c r="A116" t="s">
        <v>1415</v>
      </c>
      <c r="C116" t="s">
        <v>1657</v>
      </c>
      <c r="D116">
        <f>IF($B116&lt;&gt;"Yes","",IF($C116="No","Yes",IF($C116="Yes","No","")))</f>
      </c>
      <c r="E116">
        <f>IF($A116="","",IF($A116="Neuron",IF(OR(AND($R116&lt;&gt;"",LOWER(TRIM($R116))&lt;&gt;"n/a",COUNTIF($S$2:$S$532,$R116)&gt;1),AND($T116&lt;&gt;"",LOWER(TRIM($T116))&lt;&gt;"n/a",COUNTIF($T$2:$T$532,$T116)&gt;1),AND($W116&lt;&gt;"",LOWER(TRIM($W116))&lt;&gt;"n/a",COUNTIF($W$2:$W$532,$W116)&gt;1)),"Yes","No"),IF($A116="Cybernet",IF(OR(AND($Y116&lt;&gt;"",LOWER(TRIM($Y116))&lt;&gt;"n/a",COUNTIF($Y$2:$Y$532,$Y116)&gt;1),AND($Z116&lt;&gt;"",LOWER(TRIM($Z116))&lt;&gt;"n/a",COUNTIF($Z$2:$Z$532,$Z116)&gt;1)),"Yes","No"),IF(AND($AL116&lt;&gt;"",LOWER(TRIM($AL116))&lt;&gt;"n/a",COUNTIF($AL$2:$AL$532,$AL116)&gt;1),"Yes","No"))))</f>
      </c>
      <c r="F116">
        <f>IF($B116&lt;&gt;"Yes","",
IF($A116="Neuron",
IF(OR(
AND($R116&lt;&gt;"",LOWER(TRIM($R116))&lt;&gt;"n/a",COUNTIFS($B$2:$B$532,"Yes",$A$2:$A$532,"Neuron",$S$2:$S$532,$R116)&gt;1),
AND($T116&lt;&gt;"",LOWER(TRIM($T116))&lt;&gt;"n/a",COUNTIFS($B$2:$B$532,"Yes",$A$2:$A$532,"Neuron",$T$2:$T$532,$T116)&gt;1),
AND($W116&lt;&gt;"",LOWER(TRIM($W116))&lt;&gt;"n/a",COUNTIFS($B$2:$B$532,"Yes",$A$2:$A$532,"Neuron",$W$2:$W$532,$W116)&gt;1)
),"Yes","No"),
IF($A116="Cybernet",
IF(OR(
AND($Y116&lt;&gt;"",LOWER(TRIM($Y116))&lt;&gt;"n/a",COUNTIFS($B$2:$B$532,"Yes",$A$2:$A$532,"Cybernet",$Y$2:$Y$532,$Y116)&gt;1),
AND($Z116&lt;&gt;"",LOWER(TRIM($Z116))&lt;&gt;"n/a",COUNTIFS($B$2:$B$532,"Yes",$A$2:$A$532,"Cybernet",$Z$2:$Z$532,$Z116)&gt;1)
),"Yes","No"),
IF(AND($AL116&lt;&gt;"",LOWER(TRIM($AL116))&lt;&gt;"n/a"),
IF(COUNTIFS($B$2:$B$532,"Yes",$A$2:$A$532,$A116,$AL$2:$AL$532,$AL116)&gt;1,"Yes","No"),
"No")
)
)
)</f>
      </c>
      <c r="G116" t="s">
        <v>1880</v>
      </c>
      <c r="H116" t="s">
        <v>2235</v>
      </c>
      <c r="I116" t="s">
        <v>1831</v>
      </c>
      <c r="J116" t="s">
        <v>1727</v>
      </c>
      <c r="K116" t="s">
        <v>1657</v>
      </c>
      <c r="L116" t="s">
        <v>1657</v>
      </c>
      <c r="R116" t="s">
        <v>2083</v>
      </c>
      <c r="Y116" t="s">
        <v>1912</v>
      </c>
      <c r="Z116" t="s">
        <v>1965</v>
      </c>
      <c r="BI116" t="s">
        <v>1630</v>
      </c>
      <c r="BL116">
        <f>IF($T116="","",IF((IF(AND($AW116&lt;&gt;"Yes",$AW116&lt;&gt;"N/A"),"Power Cable, ","")&amp;IF(AND($AX116&lt;&gt;"Yes",$AX116&lt;&gt;"N/A"),"Battery, ","")&amp;IF(AND($BE116&lt;&gt;"Yes",$BE116&lt;&gt;"N/A"),"Firmware Download, ","")&amp;IF(AND(OR($BE116="Yes",$BE116="N/A"),$BF116&lt;&gt;"Yes",$BF116&lt;&gt;"N/A"),"Firmware Install, ","")&amp;IF(AND($BJ116&lt;&gt;"Yes",$BJ116&lt;&gt;"N/A"),"Device ID, ","")&amp;IF(AND($BK116&lt;&gt;"Yes",$BK116&lt;&gt;"N/A"),"Epic Beans Relay, ",""))="","",LEFT(IF(AND($AW116&lt;&gt;"Yes",$AW116&lt;&gt;"N/A"),"Power Cable, ","")&amp;IF(AND($AX116&lt;&gt;"Yes",$AX116&lt;&gt;"N/A"),"Battery, ","")&amp;IF(AND($BE116&lt;&gt;"Yes",$BE116&lt;&gt;"N/A"),"Firmware Download, ","")&amp;IF(AND(OR($BE116="Yes",$BE116="N/A"),$BF116&lt;&gt;"Yes",$BF116&lt;&gt;"N/A"),"Firmware Install, ","")&amp;IF(AND($BJ116&lt;&gt;"Yes",$BJ116&lt;&gt;"N/A"),"Device ID, ","")&amp;IF(AND($BK116&lt;&gt;"Yes",$BK116&lt;&gt;"N/A"),"Epic Beans Relay, ",""),LEN(IF(AND($AW116&lt;&gt;"Yes",$AW116&lt;&gt;"N/A"),"Power Cable, ","")&amp;IF(AND($AX116&lt;&gt;"Yes",$AX116&lt;&gt;"N/A"),"Battery, ","")&amp;IF(AND($BE116&lt;&gt;"Yes",$BE116&lt;&gt;"N/A"),"Firmware Download, ","")&amp;IF(AND(OR($BE116="Yes",$BE116="N/A"),$BF116&lt;&gt;"Yes",$BF116&lt;&gt;"N/A"),"Firmware Install, ","")&amp;IF(AND($BJ116&lt;&gt;"Yes",$BJ116&lt;&gt;"N/A"),"Device ID, ","")&amp;IF(AND($BK116&lt;&gt;"Yes",$BK116&lt;&gt;"N/A"),"Epic Beans Relay, ",""))-2)))</f>
      </c>
      <c r="BM116">
        <f>IF($T116="","",IF($BL116="","Yes","Blocked"))</f>
      </c>
      <c r="BP116">
        <f>IF($BO116="","",IFERROR(VLOOKUP($BO116,'01_Warehouse_Ledger'!$A:$N,4,FALSE),""))</f>
      </c>
      <c r="BQ116">
        <f>IF($BO116="","",IFERROR(VLOOKUP($BO116,'01_Warehouse_Ledger'!$A:$N,5,FALSE),""))</f>
      </c>
      <c r="BR116">
        <f>IF($BO116="","",IFERROR(VLOOKUP($BO116,'01_Warehouse_Ledger'!$A:$N,13,FALSE),""))</f>
      </c>
    </row>
    <row r="117">
      <c r="A117" t="s">
        <v>1415</v>
      </c>
      <c r="B117" t="s">
        <v>1727</v>
      </c>
      <c r="C117" t="s">
        <v>1727</v>
      </c>
      <c r="D117">
        <f>IF($B117&lt;&gt;"Yes","",IF($C117="No","Yes",IF($C117="Yes","No","")))</f>
      </c>
      <c r="E117">
        <f>IF($A117="","",IF($A117="Neuron",IF(OR(AND($R117&lt;&gt;"",LOWER(TRIM($R117))&lt;&gt;"n/a",COUNTIF($S$2:$S$532,$R117)&gt;1),AND($T117&lt;&gt;"",LOWER(TRIM($T117))&lt;&gt;"n/a",COUNTIF($T$2:$T$532,$T117)&gt;1),AND($W117&lt;&gt;"",LOWER(TRIM($W117))&lt;&gt;"n/a",COUNTIF($W$2:$W$532,$W117)&gt;1)),"Yes","No"),IF($A117="Cybernet",IF(OR(AND($Y117&lt;&gt;"",LOWER(TRIM($Y117))&lt;&gt;"n/a",COUNTIF($Y$2:$Y$532,$Y117)&gt;1),AND($Z117&lt;&gt;"",LOWER(TRIM($Z117))&lt;&gt;"n/a",COUNTIF($Z$2:$Z$532,$Z117)&gt;1)),"Yes","No"),IF(AND($AL117&lt;&gt;"",LOWER(TRIM($AL117))&lt;&gt;"n/a",COUNTIF($AL$2:$AL$532,$AL117)&gt;1),"Yes","No"))))</f>
      </c>
      <c r="F117">
        <f>IF($B117&lt;&gt;"Yes","",
IF($A117="Neuron",
IF(OR(
AND($R117&lt;&gt;"",LOWER(TRIM($R117))&lt;&gt;"n/a",COUNTIFS($B$2:$B$532,"Yes",$A$2:$A$532,"Neuron",$S$2:$S$532,$R117)&gt;1),
AND($T117&lt;&gt;"",LOWER(TRIM($T117))&lt;&gt;"n/a",COUNTIFS($B$2:$B$532,"Yes",$A$2:$A$532,"Neuron",$T$2:$T$532,$T117)&gt;1),
AND($W117&lt;&gt;"",LOWER(TRIM($W117))&lt;&gt;"n/a",COUNTIFS($B$2:$B$532,"Yes",$A$2:$A$532,"Neuron",$W$2:$W$532,$W117)&gt;1)
),"Yes","No"),
IF($A117="Cybernet",
IF(OR(
AND($Y117&lt;&gt;"",LOWER(TRIM($Y117))&lt;&gt;"n/a",COUNTIFS($B$2:$B$532,"Yes",$A$2:$A$532,"Cybernet",$Y$2:$Y$532,$Y117)&gt;1),
AND($Z117&lt;&gt;"",LOWER(TRIM($Z117))&lt;&gt;"n/a",COUNTIFS($B$2:$B$532,"Yes",$A$2:$A$532,"Cybernet",$Z$2:$Z$532,$Z117)&gt;1)
),"Yes","No"),
IF(AND($AL117&lt;&gt;"",LOWER(TRIM($AL117))&lt;&gt;"n/a"),
IF(COUNTIFS($B$2:$B$532,"Yes",$A$2:$A$532,$A117,$AL$2:$AL$532,$AL117)&gt;1,"Yes","No"),
"No")
)
)
)</f>
      </c>
      <c r="G117" t="s">
        <v>2235</v>
      </c>
      <c r="H117" t="s">
        <v>2235</v>
      </c>
      <c r="I117" t="s">
        <v>1831</v>
      </c>
      <c r="J117" t="s">
        <v>1727</v>
      </c>
      <c r="K117" t="s">
        <v>1727</v>
      </c>
      <c r="L117" t="s">
        <v>1727</v>
      </c>
      <c r="M117" t="s">
        <v>2162</v>
      </c>
      <c r="N117" t="s">
        <v>2376</v>
      </c>
      <c r="O117" t="s">
        <v>1380</v>
      </c>
      <c r="P117" t="s">
        <v>2098</v>
      </c>
      <c r="Q117">
        <v>46075.0</v>
      </c>
      <c r="R117" t="s">
        <v>2154</v>
      </c>
      <c r="S117" t="s">
        <v>1631</v>
      </c>
      <c r="T117" t="s">
        <v>1950</v>
      </c>
      <c r="U117" t="s">
        <v>1380</v>
      </c>
      <c r="Y117" t="s">
        <v>2384</v>
      </c>
      <c r="Z117" t="s">
        <v>2094</v>
      </c>
      <c r="AA117" t="s">
        <v>2031</v>
      </c>
      <c r="AD117" t="s">
        <v>1750</v>
      </c>
      <c r="AE117">
        <v>2</v>
      </c>
      <c r="AF117" t="s">
        <v>2097</v>
      </c>
      <c r="AG117" t="s">
        <v>1780</v>
      </c>
      <c r="AJ117" t="s">
        <v>2124</v>
      </c>
      <c r="AK117" t="s">
        <v>2249</v>
      </c>
      <c r="AL117" t="s">
        <v>1750</v>
      </c>
      <c r="AM117" t="s">
        <v>1307</v>
      </c>
      <c r="AR117" t="s">
        <v>2053</v>
      </c>
      <c r="AW117" t="s">
        <v>1727</v>
      </c>
      <c r="AX117" t="s">
        <v>1727</v>
      </c>
      <c r="AY117" t="s">
        <v>1727</v>
      </c>
      <c r="AZ117" t="s">
        <v>1727</v>
      </c>
      <c r="BI117" t="s">
        <v>1630</v>
      </c>
      <c r="BL117">
        <f>IF($T117="","",IF((IF(AND($AW117&lt;&gt;"Yes",$AW117&lt;&gt;"N/A"),"Power Cable, ","")&amp;IF(AND($AX117&lt;&gt;"Yes",$AX117&lt;&gt;"N/A"),"Battery, ","")&amp;IF(AND($BE117&lt;&gt;"Yes",$BE117&lt;&gt;"N/A"),"Firmware Download, ","")&amp;IF(AND(OR($BE117="Yes",$BE117="N/A"),$BF117&lt;&gt;"Yes",$BF117&lt;&gt;"N/A"),"Firmware Install, ","")&amp;IF(AND($BJ117&lt;&gt;"Yes",$BJ117&lt;&gt;"N/A"),"Device ID, ","")&amp;IF(AND($BK117&lt;&gt;"Yes",$BK117&lt;&gt;"N/A"),"Epic Beans Relay, ",""))="","",LEFT(IF(AND($AW117&lt;&gt;"Yes",$AW117&lt;&gt;"N/A"),"Power Cable, ","")&amp;IF(AND($AX117&lt;&gt;"Yes",$AX117&lt;&gt;"N/A"),"Battery, ","")&amp;IF(AND($BE117&lt;&gt;"Yes",$BE117&lt;&gt;"N/A"),"Firmware Download, ","")&amp;IF(AND(OR($BE117="Yes",$BE117="N/A"),$BF117&lt;&gt;"Yes",$BF117&lt;&gt;"N/A"),"Firmware Install, ","")&amp;IF(AND($BJ117&lt;&gt;"Yes",$BJ117&lt;&gt;"N/A"),"Device ID, ","")&amp;IF(AND($BK117&lt;&gt;"Yes",$BK117&lt;&gt;"N/A"),"Epic Beans Relay, ",""),LEN(IF(AND($AW117&lt;&gt;"Yes",$AW117&lt;&gt;"N/A"),"Power Cable, ","")&amp;IF(AND($AX117&lt;&gt;"Yes",$AX117&lt;&gt;"N/A"),"Battery, ","")&amp;IF(AND($BE117&lt;&gt;"Yes",$BE117&lt;&gt;"N/A"),"Firmware Download, ","")&amp;IF(AND(OR($BE117="Yes",$BE117="N/A"),$BF117&lt;&gt;"Yes",$BF117&lt;&gt;"N/A"),"Firmware Install, ","")&amp;IF(AND($BJ117&lt;&gt;"Yes",$BJ117&lt;&gt;"N/A"),"Device ID, ","")&amp;IF(AND($BK117&lt;&gt;"Yes",$BK117&lt;&gt;"N/A"),"Epic Beans Relay, ",""))-2)))</f>
      </c>
      <c r="BM117">
        <f>IF($T117="","",IF($BL117="","Yes","Blocked"))</f>
      </c>
      <c r="BP117">
        <f>IF($BO117="","",IFERROR(VLOOKUP($BO117,'01_Warehouse_Ledger'!$A:$N,4,FALSE),""))</f>
      </c>
      <c r="BQ117">
        <f>IF($BO117="","",IFERROR(VLOOKUP($BO117,'01_Warehouse_Ledger'!$A:$N,5,FALSE),""))</f>
      </c>
      <c r="BR117">
        <f>IF($BO117="","",IFERROR(VLOOKUP($BO117,'01_Warehouse_Ledger'!$A:$N,13,FALSE),""))</f>
      </c>
      <c r="BS117" t="s">
        <v>1727</v>
      </c>
      <c r="BT117" t="s">
        <v>1727</v>
      </c>
      <c r="BU117" t="s">
        <v>1727</v>
      </c>
      <c r="BV117" t="s">
        <v>1727</v>
      </c>
      <c r="BW117" t="s">
        <v>1727</v>
      </c>
      <c r="BX117">
        <v>19200</v>
      </c>
    </row>
    <row r="118">
      <c r="A118" t="s">
        <v>1415</v>
      </c>
      <c r="B118" t="s">
        <v>1727</v>
      </c>
      <c r="C118" t="s">
        <v>1727</v>
      </c>
      <c r="D118">
        <f>IF($B118&lt;&gt;"Yes","",IF($C118="No","Yes",IF($C118="Yes","No","")))</f>
      </c>
      <c r="E118">
        <f>IF($A118="","",IF($A118="Neuron",IF(OR(AND($R118&lt;&gt;"",LOWER(TRIM($R118))&lt;&gt;"n/a",COUNTIF($S$2:$S$532,$R118)&gt;1),AND($T118&lt;&gt;"",LOWER(TRIM($T118))&lt;&gt;"n/a",COUNTIF($T$2:$T$532,$T118)&gt;1),AND($W118&lt;&gt;"",LOWER(TRIM($W118))&lt;&gt;"n/a",COUNTIF($W$2:$W$532,$W118)&gt;1)),"Yes","No"),IF($A118="Cybernet",IF(OR(AND($Y118&lt;&gt;"",LOWER(TRIM($Y118))&lt;&gt;"n/a",COUNTIF($Y$2:$Y$532,$Y118)&gt;1),AND($Z118&lt;&gt;"",LOWER(TRIM($Z118))&lt;&gt;"n/a",COUNTIF($Z$2:$Z$532,$Z118)&gt;1)),"Yes","No"),IF(AND($AL118&lt;&gt;"",LOWER(TRIM($AL118))&lt;&gt;"n/a",COUNTIF($AL$2:$AL$532,$AL118)&gt;1),"Yes","No"))))</f>
      </c>
      <c r="F118">
        <f>IF($B118&lt;&gt;"Yes","",
IF($A118="Neuron",
IF(OR(
AND($R118&lt;&gt;"",LOWER(TRIM($R118))&lt;&gt;"n/a",COUNTIFS($B$2:$B$532,"Yes",$A$2:$A$532,"Neuron",$S$2:$S$532,$R118)&gt;1),
AND($T118&lt;&gt;"",LOWER(TRIM($T118))&lt;&gt;"n/a",COUNTIFS($B$2:$B$532,"Yes",$A$2:$A$532,"Neuron",$T$2:$T$532,$T118)&gt;1),
AND($W118&lt;&gt;"",LOWER(TRIM($W118))&lt;&gt;"n/a",COUNTIFS($B$2:$B$532,"Yes",$A$2:$A$532,"Neuron",$W$2:$W$532,$W118)&gt;1)
),"Yes","No"),
IF($A118="Cybernet",
IF(OR(
AND($Y118&lt;&gt;"",LOWER(TRIM($Y118))&lt;&gt;"n/a",COUNTIFS($B$2:$B$532,"Yes",$A$2:$A$532,"Cybernet",$Y$2:$Y$532,$Y118)&gt;1),
AND($Z118&lt;&gt;"",LOWER(TRIM($Z118))&lt;&gt;"n/a",COUNTIFS($B$2:$B$532,"Yes",$A$2:$A$532,"Cybernet",$Z$2:$Z$532,$Z118)&gt;1)
),"Yes","No"),
IF(AND($AL118&lt;&gt;"",LOWER(TRIM($AL118))&lt;&gt;"n/a"),
IF(COUNTIFS($B$2:$B$532,"Yes",$A$2:$A$532,$A118,$AL$2:$AL$532,$AL118)&gt;1,"Yes","No"),
"No")
)
)
)</f>
      </c>
      <c r="G118" t="s">
        <v>2235</v>
      </c>
      <c r="H118" t="s">
        <v>2235</v>
      </c>
      <c r="I118" t="s">
        <v>1831</v>
      </c>
      <c r="J118" t="s">
        <v>1727</v>
      </c>
      <c r="K118" t="s">
        <v>1727</v>
      </c>
      <c r="L118" t="s">
        <v>1727</v>
      </c>
      <c r="M118" t="s">
        <v>2162</v>
      </c>
      <c r="N118" t="s">
        <v>2376</v>
      </c>
      <c r="O118" t="s">
        <v>1380</v>
      </c>
      <c r="P118" t="s">
        <v>2098</v>
      </c>
      <c r="Q118">
        <v>46075.0</v>
      </c>
      <c r="R118" t="s">
        <v>2170</v>
      </c>
      <c r="S118" t="s">
        <v>2358</v>
      </c>
      <c r="T118" t="s">
        <v>1746</v>
      </c>
      <c r="U118" t="s">
        <v>1380</v>
      </c>
      <c r="Y118" t="s">
        <v>2038</v>
      </c>
      <c r="Z118" t="s">
        <v>2268</v>
      </c>
      <c r="AA118" t="s">
        <v>2031</v>
      </c>
      <c r="AD118" t="s">
        <v>1819</v>
      </c>
      <c r="AE118">
        <v>2</v>
      </c>
      <c r="AF118" t="s">
        <v>2097</v>
      </c>
      <c r="AG118" t="s">
        <v>1887</v>
      </c>
      <c r="AJ118" t="s">
        <v>2124</v>
      </c>
      <c r="AK118" t="s">
        <v>2249</v>
      </c>
      <c r="AL118" t="s">
        <v>1819</v>
      </c>
      <c r="AM118" t="s">
        <v>1307</v>
      </c>
      <c r="AR118" t="s">
        <v>2176</v>
      </c>
      <c r="AW118" t="s">
        <v>1727</v>
      </c>
      <c r="AX118" t="s">
        <v>1727</v>
      </c>
      <c r="AY118" t="s">
        <v>1727</v>
      </c>
      <c r="AZ118" t="s">
        <v>1727</v>
      </c>
      <c r="BI118" t="s">
        <v>1630</v>
      </c>
      <c r="BL118">
        <f>IF($T118="","",IF((IF(AND($AW118&lt;&gt;"Yes",$AW118&lt;&gt;"N/A"),"Power Cable, ","")&amp;IF(AND($AX118&lt;&gt;"Yes",$AX118&lt;&gt;"N/A"),"Battery, ","")&amp;IF(AND($BE118&lt;&gt;"Yes",$BE118&lt;&gt;"N/A"),"Firmware Download, ","")&amp;IF(AND(OR($BE118="Yes",$BE118="N/A"),$BF118&lt;&gt;"Yes",$BF118&lt;&gt;"N/A"),"Firmware Install, ","")&amp;IF(AND($BJ118&lt;&gt;"Yes",$BJ118&lt;&gt;"N/A"),"Device ID, ","")&amp;IF(AND($BK118&lt;&gt;"Yes",$BK118&lt;&gt;"N/A"),"Epic Beans Relay, ",""))="","",LEFT(IF(AND($AW118&lt;&gt;"Yes",$AW118&lt;&gt;"N/A"),"Power Cable, ","")&amp;IF(AND($AX118&lt;&gt;"Yes",$AX118&lt;&gt;"N/A"),"Battery, ","")&amp;IF(AND($BE118&lt;&gt;"Yes",$BE118&lt;&gt;"N/A"),"Firmware Download, ","")&amp;IF(AND(OR($BE118="Yes",$BE118="N/A"),$BF118&lt;&gt;"Yes",$BF118&lt;&gt;"N/A"),"Firmware Install, ","")&amp;IF(AND($BJ118&lt;&gt;"Yes",$BJ118&lt;&gt;"N/A"),"Device ID, ","")&amp;IF(AND($BK118&lt;&gt;"Yes",$BK118&lt;&gt;"N/A"),"Epic Beans Relay, ",""),LEN(IF(AND($AW118&lt;&gt;"Yes",$AW118&lt;&gt;"N/A"),"Power Cable, ","")&amp;IF(AND($AX118&lt;&gt;"Yes",$AX118&lt;&gt;"N/A"),"Battery, ","")&amp;IF(AND($BE118&lt;&gt;"Yes",$BE118&lt;&gt;"N/A"),"Firmware Download, ","")&amp;IF(AND(OR($BE118="Yes",$BE118="N/A"),$BF118&lt;&gt;"Yes",$BF118&lt;&gt;"N/A"),"Firmware Install, ","")&amp;IF(AND($BJ118&lt;&gt;"Yes",$BJ118&lt;&gt;"N/A"),"Device ID, ","")&amp;IF(AND($BK118&lt;&gt;"Yes",$BK118&lt;&gt;"N/A"),"Epic Beans Relay, ",""))-2)))</f>
      </c>
      <c r="BM118">
        <f>IF($T118="","",IF($BL118="","Yes","Blocked"))</f>
      </c>
      <c r="BP118">
        <f>IF($BO118="","",IFERROR(VLOOKUP($BO118,'01_Warehouse_Ledger'!$A:$N,4,FALSE),""))</f>
      </c>
      <c r="BQ118">
        <f>IF($BO118="","",IFERROR(VLOOKUP($BO118,'01_Warehouse_Ledger'!$A:$N,5,FALSE),""))</f>
      </c>
      <c r="BR118">
        <f>IF($BO118="","",IFERROR(VLOOKUP($BO118,'01_Warehouse_Ledger'!$A:$N,13,FALSE),""))</f>
      </c>
      <c r="BS118" t="s">
        <v>1727</v>
      </c>
      <c r="BT118" t="s">
        <v>1727</v>
      </c>
      <c r="BU118" t="s">
        <v>1727</v>
      </c>
      <c r="BV118" t="s">
        <v>1727</v>
      </c>
      <c r="BW118" t="s">
        <v>1727</v>
      </c>
      <c r="BX118">
        <v>19200</v>
      </c>
    </row>
    <row r="119">
      <c r="A119" t="s">
        <v>1415</v>
      </c>
      <c r="C119" t="s">
        <v>1657</v>
      </c>
      <c r="D119">
        <f>IF($B119&lt;&gt;"Yes","",IF($C119="No","Yes",IF($C119="Yes","No","")))</f>
      </c>
      <c r="E119">
        <f>IF($A119="","",IF($A119="Neuron",IF(OR(AND($R119&lt;&gt;"",LOWER(TRIM($R119))&lt;&gt;"n/a",COUNTIF($S$2:$S$532,$R119)&gt;1),AND($T119&lt;&gt;"",LOWER(TRIM($T119))&lt;&gt;"n/a",COUNTIF($T$2:$T$532,$T119)&gt;1),AND($W119&lt;&gt;"",LOWER(TRIM($W119))&lt;&gt;"n/a",COUNTIF($W$2:$W$532,$W119)&gt;1)),"Yes","No"),IF($A119="Cybernet",IF(OR(AND($Y119&lt;&gt;"",LOWER(TRIM($Y119))&lt;&gt;"n/a",COUNTIF($Y$2:$Y$532,$Y119)&gt;1),AND($Z119&lt;&gt;"",LOWER(TRIM($Z119))&lt;&gt;"n/a",COUNTIF($Z$2:$Z$532,$Z119)&gt;1)),"Yes","No"),IF(AND($AL119&lt;&gt;"",LOWER(TRIM($AL119))&lt;&gt;"n/a",COUNTIF($AL$2:$AL$532,$AL119)&gt;1),"Yes","No"))))</f>
      </c>
      <c r="F119">
        <f>IF($B119&lt;&gt;"Yes","",
IF($A119="Neuron",
IF(OR(
AND($R119&lt;&gt;"",LOWER(TRIM($R119))&lt;&gt;"n/a",COUNTIFS($B$2:$B$532,"Yes",$A$2:$A$532,"Neuron",$S$2:$S$532,$R119)&gt;1),
AND($T119&lt;&gt;"",LOWER(TRIM($T119))&lt;&gt;"n/a",COUNTIFS($B$2:$B$532,"Yes",$A$2:$A$532,"Neuron",$T$2:$T$532,$T119)&gt;1),
AND($W119&lt;&gt;"",LOWER(TRIM($W119))&lt;&gt;"n/a",COUNTIFS($B$2:$B$532,"Yes",$A$2:$A$532,"Neuron",$W$2:$W$532,$W119)&gt;1)
),"Yes","No"),
IF($A119="Cybernet",
IF(OR(
AND($Y119&lt;&gt;"",LOWER(TRIM($Y119))&lt;&gt;"n/a",COUNTIFS($B$2:$B$532,"Yes",$A$2:$A$532,"Cybernet",$Y$2:$Y$532,$Y119)&gt;1),
AND($Z119&lt;&gt;"",LOWER(TRIM($Z119))&lt;&gt;"n/a",COUNTIFS($B$2:$B$532,"Yes",$A$2:$A$532,"Cybernet",$Z$2:$Z$532,$Z119)&gt;1)
),"Yes","No"),
IF(AND($AL119&lt;&gt;"",LOWER(TRIM($AL119))&lt;&gt;"n/a"),
IF(COUNTIFS($B$2:$B$532,"Yes",$A$2:$A$532,$A119,$AL$2:$AL$532,$AL119)&gt;1,"Yes","No"),
"No")
)
)
)</f>
      </c>
      <c r="G119" t="s">
        <v>1880</v>
      </c>
      <c r="H119" t="s">
        <v>2357</v>
      </c>
      <c r="I119" t="s">
        <v>1831</v>
      </c>
      <c r="J119" t="s">
        <v>1727</v>
      </c>
      <c r="K119" t="s">
        <v>1657</v>
      </c>
      <c r="L119" t="s">
        <v>1657</v>
      </c>
      <c r="R119" t="s">
        <v>2000</v>
      </c>
      <c r="Y119" t="s">
        <v>2174</v>
      </c>
      <c r="Z119" t="s">
        <v>2305</v>
      </c>
      <c r="BI119" t="s">
        <v>1630</v>
      </c>
      <c r="BL119">
        <f>IF($T119="","",IF((IF(AND($AW119&lt;&gt;"Yes",$AW119&lt;&gt;"N/A"),"Power Cable, ","")&amp;IF(AND($AX119&lt;&gt;"Yes",$AX119&lt;&gt;"N/A"),"Battery, ","")&amp;IF(AND($BE119&lt;&gt;"Yes",$BE119&lt;&gt;"N/A"),"Firmware Download, ","")&amp;IF(AND(OR($BE119="Yes",$BE119="N/A"),$BF119&lt;&gt;"Yes",$BF119&lt;&gt;"N/A"),"Firmware Install, ","")&amp;IF(AND($BJ119&lt;&gt;"Yes",$BJ119&lt;&gt;"N/A"),"Device ID, ","")&amp;IF(AND($BK119&lt;&gt;"Yes",$BK119&lt;&gt;"N/A"),"Epic Beans Relay, ",""))="","",LEFT(IF(AND($AW119&lt;&gt;"Yes",$AW119&lt;&gt;"N/A"),"Power Cable, ","")&amp;IF(AND($AX119&lt;&gt;"Yes",$AX119&lt;&gt;"N/A"),"Battery, ","")&amp;IF(AND($BE119&lt;&gt;"Yes",$BE119&lt;&gt;"N/A"),"Firmware Download, ","")&amp;IF(AND(OR($BE119="Yes",$BE119="N/A"),$BF119&lt;&gt;"Yes",$BF119&lt;&gt;"N/A"),"Firmware Install, ","")&amp;IF(AND($BJ119&lt;&gt;"Yes",$BJ119&lt;&gt;"N/A"),"Device ID, ","")&amp;IF(AND($BK119&lt;&gt;"Yes",$BK119&lt;&gt;"N/A"),"Epic Beans Relay, ",""),LEN(IF(AND($AW119&lt;&gt;"Yes",$AW119&lt;&gt;"N/A"),"Power Cable, ","")&amp;IF(AND($AX119&lt;&gt;"Yes",$AX119&lt;&gt;"N/A"),"Battery, ","")&amp;IF(AND($BE119&lt;&gt;"Yes",$BE119&lt;&gt;"N/A"),"Firmware Download, ","")&amp;IF(AND(OR($BE119="Yes",$BE119="N/A"),$BF119&lt;&gt;"Yes",$BF119&lt;&gt;"N/A"),"Firmware Install, ","")&amp;IF(AND($BJ119&lt;&gt;"Yes",$BJ119&lt;&gt;"N/A"),"Device ID, ","")&amp;IF(AND($BK119&lt;&gt;"Yes",$BK119&lt;&gt;"N/A"),"Epic Beans Relay, ",""))-2)))</f>
      </c>
      <c r="BM119">
        <f>IF($T119="","",IF($BL119="","Yes","Blocked"))</f>
      </c>
      <c r="BP119">
        <f>IF($BO119="","",IFERROR(VLOOKUP($BO119,'01_Warehouse_Ledger'!$A:$N,4,FALSE),""))</f>
      </c>
      <c r="BQ119">
        <f>IF($BO119="","",IFERROR(VLOOKUP($BO119,'01_Warehouse_Ledger'!$A:$N,5,FALSE),""))</f>
      </c>
      <c r="BR119">
        <f>IF($BO119="","",IFERROR(VLOOKUP($BO119,'01_Warehouse_Ledger'!$A:$N,13,FALSE),""))</f>
      </c>
    </row>
    <row r="120">
      <c r="A120" t="s">
        <v>1415</v>
      </c>
      <c r="B120" t="s">
        <v>1727</v>
      </c>
      <c r="C120" t="s">
        <v>1727</v>
      </c>
      <c r="D120">
        <f>IF($B120&lt;&gt;"Yes","",IF($C120="No","Yes",IF($C120="Yes","No","")))</f>
      </c>
      <c r="E120">
        <f>IF($A120="","",IF($A120="Neuron",IF(OR(AND($R120&lt;&gt;"",LOWER(TRIM($R120))&lt;&gt;"n/a",COUNTIF($S$2:$S$532,$R120)&gt;1),AND($T120&lt;&gt;"",LOWER(TRIM($T120))&lt;&gt;"n/a",COUNTIF($T$2:$T$532,$T120)&gt;1),AND($W120&lt;&gt;"",LOWER(TRIM($W120))&lt;&gt;"n/a",COUNTIF($W$2:$W$532,$W120)&gt;1)),"Yes","No"),IF($A120="Cybernet",IF(OR(AND($Y120&lt;&gt;"",LOWER(TRIM($Y120))&lt;&gt;"n/a",COUNTIF($Y$2:$Y$532,$Y120)&gt;1),AND($Z120&lt;&gt;"",LOWER(TRIM($Z120))&lt;&gt;"n/a",COUNTIF($Z$2:$Z$532,$Z120)&gt;1)),"Yes","No"),IF(AND($AL120&lt;&gt;"",LOWER(TRIM($AL120))&lt;&gt;"n/a",COUNTIF($AL$2:$AL$532,$AL120)&gt;1),"Yes","No"))))</f>
      </c>
      <c r="F120">
        <f>IF($B120&lt;&gt;"Yes","",
IF($A120="Neuron",
IF(OR(
AND($R120&lt;&gt;"",LOWER(TRIM($R120))&lt;&gt;"n/a",COUNTIFS($B$2:$B$532,"Yes",$A$2:$A$532,"Neuron",$S$2:$S$532,$R120)&gt;1),
AND($T120&lt;&gt;"",LOWER(TRIM($T120))&lt;&gt;"n/a",COUNTIFS($B$2:$B$532,"Yes",$A$2:$A$532,"Neuron",$T$2:$T$532,$T120)&gt;1),
AND($W120&lt;&gt;"",LOWER(TRIM($W120))&lt;&gt;"n/a",COUNTIFS($B$2:$B$532,"Yes",$A$2:$A$532,"Neuron",$W$2:$W$532,$W120)&gt;1)
),"Yes","No"),
IF($A120="Cybernet",
IF(OR(
AND($Y120&lt;&gt;"",LOWER(TRIM($Y120))&lt;&gt;"n/a",COUNTIFS($B$2:$B$532,"Yes",$A$2:$A$532,"Cybernet",$Y$2:$Y$532,$Y120)&gt;1),
AND($Z120&lt;&gt;"",LOWER(TRIM($Z120))&lt;&gt;"n/a",COUNTIFS($B$2:$B$532,"Yes",$A$2:$A$532,"Cybernet",$Z$2:$Z$532,$Z120)&gt;1)
),"Yes","No"),
IF(AND($AL120&lt;&gt;"",LOWER(TRIM($AL120))&lt;&gt;"n/a"),
IF(COUNTIFS($B$2:$B$532,"Yes",$A$2:$A$532,$A120,$AL$2:$AL$532,$AL120)&gt;1,"Yes","No"),
"No")
)
)
)</f>
      </c>
      <c r="G120" t="s">
        <v>2235</v>
      </c>
      <c r="H120" t="s">
        <v>2235</v>
      </c>
      <c r="I120" t="s">
        <v>1831</v>
      </c>
      <c r="J120" t="s">
        <v>1727</v>
      </c>
      <c r="K120" t="s">
        <v>1727</v>
      </c>
      <c r="L120" t="s">
        <v>1727</v>
      </c>
      <c r="M120" t="s">
        <v>2162</v>
      </c>
      <c r="N120" t="s">
        <v>2376</v>
      </c>
      <c r="O120" t="s">
        <v>1380</v>
      </c>
      <c r="P120" t="s">
        <v>2098</v>
      </c>
      <c r="Q120">
        <v>46075.0</v>
      </c>
      <c r="R120" t="s">
        <v>1945</v>
      </c>
      <c r="S120" t="s">
        <v>2200</v>
      </c>
      <c r="T120" t="s">
        <v>1791</v>
      </c>
      <c r="U120" t="s">
        <v>1380</v>
      </c>
      <c r="Y120" t="s">
        <v>1979</v>
      </c>
      <c r="Z120" t="s">
        <v>2388</v>
      </c>
      <c r="AA120" t="s">
        <v>2031</v>
      </c>
      <c r="AD120" t="s">
        <v>2391</v>
      </c>
      <c r="AE120">
        <v>2</v>
      </c>
      <c r="AF120" t="s">
        <v>2097</v>
      </c>
      <c r="AG120" t="s">
        <v>1916</v>
      </c>
      <c r="AJ120" t="s">
        <v>2124</v>
      </c>
      <c r="AK120" t="s">
        <v>2249</v>
      </c>
      <c r="AL120" t="s">
        <v>2391</v>
      </c>
      <c r="AM120" t="s">
        <v>1307</v>
      </c>
      <c r="AR120" t="s">
        <v>1957</v>
      </c>
      <c r="AW120" t="s">
        <v>1727</v>
      </c>
      <c r="AX120" t="s">
        <v>1727</v>
      </c>
      <c r="AY120" t="s">
        <v>1727</v>
      </c>
      <c r="AZ120" t="s">
        <v>1727</v>
      </c>
      <c r="BI120" t="s">
        <v>1630</v>
      </c>
      <c r="BL120">
        <f>IF($T120="","",IF((IF(AND($AW120&lt;&gt;"Yes",$AW120&lt;&gt;"N/A"),"Power Cable, ","")&amp;IF(AND($AX120&lt;&gt;"Yes",$AX120&lt;&gt;"N/A"),"Battery, ","")&amp;IF(AND($BE120&lt;&gt;"Yes",$BE120&lt;&gt;"N/A"),"Firmware Download, ","")&amp;IF(AND(OR($BE120="Yes",$BE120="N/A"),$BF120&lt;&gt;"Yes",$BF120&lt;&gt;"N/A"),"Firmware Install, ","")&amp;IF(AND($BJ120&lt;&gt;"Yes",$BJ120&lt;&gt;"N/A"),"Device ID, ","")&amp;IF(AND($BK120&lt;&gt;"Yes",$BK120&lt;&gt;"N/A"),"Epic Beans Relay, ",""))="","",LEFT(IF(AND($AW120&lt;&gt;"Yes",$AW120&lt;&gt;"N/A"),"Power Cable, ","")&amp;IF(AND($AX120&lt;&gt;"Yes",$AX120&lt;&gt;"N/A"),"Battery, ","")&amp;IF(AND($BE120&lt;&gt;"Yes",$BE120&lt;&gt;"N/A"),"Firmware Download, ","")&amp;IF(AND(OR($BE120="Yes",$BE120="N/A"),$BF120&lt;&gt;"Yes",$BF120&lt;&gt;"N/A"),"Firmware Install, ","")&amp;IF(AND($BJ120&lt;&gt;"Yes",$BJ120&lt;&gt;"N/A"),"Device ID, ","")&amp;IF(AND($BK120&lt;&gt;"Yes",$BK120&lt;&gt;"N/A"),"Epic Beans Relay, ",""),LEN(IF(AND($AW120&lt;&gt;"Yes",$AW120&lt;&gt;"N/A"),"Power Cable, ","")&amp;IF(AND($AX120&lt;&gt;"Yes",$AX120&lt;&gt;"N/A"),"Battery, ","")&amp;IF(AND($BE120&lt;&gt;"Yes",$BE120&lt;&gt;"N/A"),"Firmware Download, ","")&amp;IF(AND(OR($BE120="Yes",$BE120="N/A"),$BF120&lt;&gt;"Yes",$BF120&lt;&gt;"N/A"),"Firmware Install, ","")&amp;IF(AND($BJ120&lt;&gt;"Yes",$BJ120&lt;&gt;"N/A"),"Device ID, ","")&amp;IF(AND($BK120&lt;&gt;"Yes",$BK120&lt;&gt;"N/A"),"Epic Beans Relay, ",""))-2)))</f>
      </c>
      <c r="BM120">
        <f>IF($T120="","",IF($BL120="","Yes","Blocked"))</f>
      </c>
      <c r="BP120">
        <f>IF($BO120="","",IFERROR(VLOOKUP($BO120,'01_Warehouse_Ledger'!$A:$N,4,FALSE),""))</f>
      </c>
      <c r="BQ120">
        <f>IF($BO120="","",IFERROR(VLOOKUP($BO120,'01_Warehouse_Ledger'!$A:$N,5,FALSE),""))</f>
      </c>
      <c r="BR120">
        <f>IF($BO120="","",IFERROR(VLOOKUP($BO120,'01_Warehouse_Ledger'!$A:$N,13,FALSE),""))</f>
      </c>
      <c r="BS120" t="s">
        <v>1727</v>
      </c>
      <c r="BT120" t="s">
        <v>1727</v>
      </c>
      <c r="BU120" t="s">
        <v>1727</v>
      </c>
      <c r="BV120" t="s">
        <v>1727</v>
      </c>
      <c r="BW120" t="s">
        <v>1727</v>
      </c>
      <c r="BX120">
        <v>19200</v>
      </c>
    </row>
    <row r="121">
      <c r="A121" t="s">
        <v>1415</v>
      </c>
      <c r="C121" t="s">
        <v>1657</v>
      </c>
      <c r="D121">
        <f>IF($B121&lt;&gt;"Yes","",IF($C121="No","Yes",IF($C121="Yes","No","")))</f>
      </c>
      <c r="E121">
        <f>IF($A121="","",IF($A121="Neuron",IF(OR(AND($R121&lt;&gt;"",LOWER(TRIM($R121))&lt;&gt;"n/a",COUNTIF($S$2:$S$532,$R121)&gt;1),AND($T121&lt;&gt;"",LOWER(TRIM($T121))&lt;&gt;"n/a",COUNTIF($T$2:$T$532,$T121)&gt;1),AND($W121&lt;&gt;"",LOWER(TRIM($W121))&lt;&gt;"n/a",COUNTIF($W$2:$W$532,$W121)&gt;1)),"Yes","No"),IF($A121="Cybernet",IF(OR(AND($Y121&lt;&gt;"",LOWER(TRIM($Y121))&lt;&gt;"n/a",COUNTIF($Y$2:$Y$532,$Y121)&gt;1),AND($Z121&lt;&gt;"",LOWER(TRIM($Z121))&lt;&gt;"n/a",COUNTIF($Z$2:$Z$532,$Z121)&gt;1)),"Yes","No"),IF(AND($AL121&lt;&gt;"",LOWER(TRIM($AL121))&lt;&gt;"n/a",COUNTIF($AL$2:$AL$532,$AL121)&gt;1),"Yes","No"))))</f>
      </c>
      <c r="F121">
        <f>IF($B121&lt;&gt;"Yes","",
IF($A121="Neuron",
IF(OR(
AND($R121&lt;&gt;"",LOWER(TRIM($R121))&lt;&gt;"n/a",COUNTIFS($B$2:$B$532,"Yes",$A$2:$A$532,"Neuron",$S$2:$S$532,$R121)&gt;1),
AND($T121&lt;&gt;"",LOWER(TRIM($T121))&lt;&gt;"n/a",COUNTIFS($B$2:$B$532,"Yes",$A$2:$A$532,"Neuron",$T$2:$T$532,$T121)&gt;1),
AND($W121&lt;&gt;"",LOWER(TRIM($W121))&lt;&gt;"n/a",COUNTIFS($B$2:$B$532,"Yes",$A$2:$A$532,"Neuron",$W$2:$W$532,$W121)&gt;1)
),"Yes","No"),
IF($A121="Cybernet",
IF(OR(
AND($Y121&lt;&gt;"",LOWER(TRIM($Y121))&lt;&gt;"n/a",COUNTIFS($B$2:$B$532,"Yes",$A$2:$A$532,"Cybernet",$Y$2:$Y$532,$Y121)&gt;1),
AND($Z121&lt;&gt;"",LOWER(TRIM($Z121))&lt;&gt;"n/a",COUNTIFS($B$2:$B$532,"Yes",$A$2:$A$532,"Cybernet",$Z$2:$Z$532,$Z121)&gt;1)
),"Yes","No"),
IF(AND($AL121&lt;&gt;"",LOWER(TRIM($AL121))&lt;&gt;"n/a"),
IF(COUNTIFS($B$2:$B$532,"Yes",$A$2:$A$532,$A121,$AL$2:$AL$532,$AL121)&gt;1,"Yes","No"),
"No")
)
)
)</f>
      </c>
      <c r="G121" t="s">
        <v>1880</v>
      </c>
      <c r="H121" t="s">
        <v>2235</v>
      </c>
      <c r="I121" t="s">
        <v>1831</v>
      </c>
      <c r="J121" t="s">
        <v>1727</v>
      </c>
      <c r="K121" t="s">
        <v>1657</v>
      </c>
      <c r="L121" t="s">
        <v>1657</v>
      </c>
      <c r="R121" t="s">
        <v>2067</v>
      </c>
      <c r="Y121" t="s">
        <v>1988</v>
      </c>
      <c r="Z121" t="s">
        <v>2318</v>
      </c>
      <c r="BI121" t="s">
        <v>1630</v>
      </c>
      <c r="BL121">
        <f>IF($T121="","",IF((IF(AND($AW121&lt;&gt;"Yes",$AW121&lt;&gt;"N/A"),"Power Cable, ","")&amp;IF(AND($AX121&lt;&gt;"Yes",$AX121&lt;&gt;"N/A"),"Battery, ","")&amp;IF(AND($BE121&lt;&gt;"Yes",$BE121&lt;&gt;"N/A"),"Firmware Download, ","")&amp;IF(AND(OR($BE121="Yes",$BE121="N/A"),$BF121&lt;&gt;"Yes",$BF121&lt;&gt;"N/A"),"Firmware Install, ","")&amp;IF(AND($BJ121&lt;&gt;"Yes",$BJ121&lt;&gt;"N/A"),"Device ID, ","")&amp;IF(AND($BK121&lt;&gt;"Yes",$BK121&lt;&gt;"N/A"),"Epic Beans Relay, ",""))="","",LEFT(IF(AND($AW121&lt;&gt;"Yes",$AW121&lt;&gt;"N/A"),"Power Cable, ","")&amp;IF(AND($AX121&lt;&gt;"Yes",$AX121&lt;&gt;"N/A"),"Battery, ","")&amp;IF(AND($BE121&lt;&gt;"Yes",$BE121&lt;&gt;"N/A"),"Firmware Download, ","")&amp;IF(AND(OR($BE121="Yes",$BE121="N/A"),$BF121&lt;&gt;"Yes",$BF121&lt;&gt;"N/A"),"Firmware Install, ","")&amp;IF(AND($BJ121&lt;&gt;"Yes",$BJ121&lt;&gt;"N/A"),"Device ID, ","")&amp;IF(AND($BK121&lt;&gt;"Yes",$BK121&lt;&gt;"N/A"),"Epic Beans Relay, ",""),LEN(IF(AND($AW121&lt;&gt;"Yes",$AW121&lt;&gt;"N/A"),"Power Cable, ","")&amp;IF(AND($AX121&lt;&gt;"Yes",$AX121&lt;&gt;"N/A"),"Battery, ","")&amp;IF(AND($BE121&lt;&gt;"Yes",$BE121&lt;&gt;"N/A"),"Firmware Download, ","")&amp;IF(AND(OR($BE121="Yes",$BE121="N/A"),$BF121&lt;&gt;"Yes",$BF121&lt;&gt;"N/A"),"Firmware Install, ","")&amp;IF(AND($BJ121&lt;&gt;"Yes",$BJ121&lt;&gt;"N/A"),"Device ID, ","")&amp;IF(AND($BK121&lt;&gt;"Yes",$BK121&lt;&gt;"N/A"),"Epic Beans Relay, ",""))-2)))</f>
      </c>
      <c r="BM121">
        <f>IF($T121="","",IF($BL121="","Yes","Blocked"))</f>
      </c>
      <c r="BP121">
        <f>IF($BO121="","",IFERROR(VLOOKUP($BO121,'01_Warehouse_Ledger'!$A:$N,4,FALSE),""))</f>
      </c>
      <c r="BQ121">
        <f>IF($BO121="","",IFERROR(VLOOKUP($BO121,'01_Warehouse_Ledger'!$A:$N,5,FALSE),""))</f>
      </c>
      <c r="BR121">
        <f>IF($BO121="","",IFERROR(VLOOKUP($BO121,'01_Warehouse_Ledger'!$A:$N,13,FALSE),""))</f>
      </c>
    </row>
    <row r="122">
      <c r="A122" t="s">
        <v>1415</v>
      </c>
      <c r="C122" t="s">
        <v>1657</v>
      </c>
      <c r="D122">
        <f>IF($B122&lt;&gt;"Yes","",IF($C122="No","Yes",IF($C122="Yes","No","")))</f>
      </c>
      <c r="E122">
        <f>IF($A122="","",IF($A122="Neuron",IF(OR(AND($R122&lt;&gt;"",LOWER(TRIM($R122))&lt;&gt;"n/a",COUNTIF($S$2:$S$532,$R122)&gt;1),AND($T122&lt;&gt;"",LOWER(TRIM($T122))&lt;&gt;"n/a",COUNTIF($T$2:$T$532,$T122)&gt;1),AND($W122&lt;&gt;"",LOWER(TRIM($W122))&lt;&gt;"n/a",COUNTIF($W$2:$W$532,$W122)&gt;1)),"Yes","No"),IF($A122="Cybernet",IF(OR(AND($Y122&lt;&gt;"",LOWER(TRIM($Y122))&lt;&gt;"n/a",COUNTIF($Y$2:$Y$532,$Y122)&gt;1),AND($Z122&lt;&gt;"",LOWER(TRIM($Z122))&lt;&gt;"n/a",COUNTIF($Z$2:$Z$532,$Z122)&gt;1)),"Yes","No"),IF(AND($AL122&lt;&gt;"",LOWER(TRIM($AL122))&lt;&gt;"n/a",COUNTIF($AL$2:$AL$532,$AL122)&gt;1),"Yes","No"))))</f>
      </c>
      <c r="F122">
        <f>IF($B122&lt;&gt;"Yes","",
IF($A122="Neuron",
IF(OR(
AND($R122&lt;&gt;"",LOWER(TRIM($R122))&lt;&gt;"n/a",COUNTIFS($B$2:$B$532,"Yes",$A$2:$A$532,"Neuron",$S$2:$S$532,$R122)&gt;1),
AND($T122&lt;&gt;"",LOWER(TRIM($T122))&lt;&gt;"n/a",COUNTIFS($B$2:$B$532,"Yes",$A$2:$A$532,"Neuron",$T$2:$T$532,$T122)&gt;1),
AND($W122&lt;&gt;"",LOWER(TRIM($W122))&lt;&gt;"n/a",COUNTIFS($B$2:$B$532,"Yes",$A$2:$A$532,"Neuron",$W$2:$W$532,$W122)&gt;1)
),"Yes","No"),
IF($A122="Cybernet",
IF(OR(
AND($Y122&lt;&gt;"",LOWER(TRIM($Y122))&lt;&gt;"n/a",COUNTIFS($B$2:$B$532,"Yes",$A$2:$A$532,"Cybernet",$Y$2:$Y$532,$Y122)&gt;1),
AND($Z122&lt;&gt;"",LOWER(TRIM($Z122))&lt;&gt;"n/a",COUNTIFS($B$2:$B$532,"Yes",$A$2:$A$532,"Cybernet",$Z$2:$Z$532,$Z122)&gt;1)
),"Yes","No"),
IF(AND($AL122&lt;&gt;"",LOWER(TRIM($AL122))&lt;&gt;"n/a"),
IF(COUNTIFS($B$2:$B$532,"Yes",$A$2:$A$532,$A122,$AL$2:$AL$532,$AL122)&gt;1,"Yes","No"),
"No")
)
)
)</f>
      </c>
      <c r="G122" t="s">
        <v>1880</v>
      </c>
      <c r="H122" t="s">
        <v>2235</v>
      </c>
      <c r="I122" t="s">
        <v>1831</v>
      </c>
      <c r="J122" t="s">
        <v>1727</v>
      </c>
      <c r="K122" t="s">
        <v>1657</v>
      </c>
      <c r="L122" t="s">
        <v>1657</v>
      </c>
      <c r="R122" t="s">
        <v>1751</v>
      </c>
      <c r="Y122" t="s">
        <v>1768</v>
      </c>
      <c r="Z122" t="s">
        <v>1906</v>
      </c>
      <c r="BI122" t="s">
        <v>1630</v>
      </c>
      <c r="BL122">
        <f>IF($T122="","",IF((IF(AND($AW122&lt;&gt;"Yes",$AW122&lt;&gt;"N/A"),"Power Cable, ","")&amp;IF(AND($AX122&lt;&gt;"Yes",$AX122&lt;&gt;"N/A"),"Battery, ","")&amp;IF(AND($BE122&lt;&gt;"Yes",$BE122&lt;&gt;"N/A"),"Firmware Download, ","")&amp;IF(AND(OR($BE122="Yes",$BE122="N/A"),$BF122&lt;&gt;"Yes",$BF122&lt;&gt;"N/A"),"Firmware Install, ","")&amp;IF(AND($BJ122&lt;&gt;"Yes",$BJ122&lt;&gt;"N/A"),"Device ID, ","")&amp;IF(AND($BK122&lt;&gt;"Yes",$BK122&lt;&gt;"N/A"),"Epic Beans Relay, ",""))="","",LEFT(IF(AND($AW122&lt;&gt;"Yes",$AW122&lt;&gt;"N/A"),"Power Cable, ","")&amp;IF(AND($AX122&lt;&gt;"Yes",$AX122&lt;&gt;"N/A"),"Battery, ","")&amp;IF(AND($BE122&lt;&gt;"Yes",$BE122&lt;&gt;"N/A"),"Firmware Download, ","")&amp;IF(AND(OR($BE122="Yes",$BE122="N/A"),$BF122&lt;&gt;"Yes",$BF122&lt;&gt;"N/A"),"Firmware Install, ","")&amp;IF(AND($BJ122&lt;&gt;"Yes",$BJ122&lt;&gt;"N/A"),"Device ID, ","")&amp;IF(AND($BK122&lt;&gt;"Yes",$BK122&lt;&gt;"N/A"),"Epic Beans Relay, ",""),LEN(IF(AND($AW122&lt;&gt;"Yes",$AW122&lt;&gt;"N/A"),"Power Cable, ","")&amp;IF(AND($AX122&lt;&gt;"Yes",$AX122&lt;&gt;"N/A"),"Battery, ","")&amp;IF(AND($BE122&lt;&gt;"Yes",$BE122&lt;&gt;"N/A"),"Firmware Download, ","")&amp;IF(AND(OR($BE122="Yes",$BE122="N/A"),$BF122&lt;&gt;"Yes",$BF122&lt;&gt;"N/A"),"Firmware Install, ","")&amp;IF(AND($BJ122&lt;&gt;"Yes",$BJ122&lt;&gt;"N/A"),"Device ID, ","")&amp;IF(AND($BK122&lt;&gt;"Yes",$BK122&lt;&gt;"N/A"),"Epic Beans Relay, ",""))-2)))</f>
      </c>
      <c r="BM122">
        <f>IF($T122="","",IF($BL122="","Yes","Blocked"))</f>
      </c>
      <c r="BP122">
        <f>IF($BO122="","",IFERROR(VLOOKUP($BO122,'01_Warehouse_Ledger'!$A:$N,4,FALSE),""))</f>
      </c>
      <c r="BQ122">
        <f>IF($BO122="","",IFERROR(VLOOKUP($BO122,'01_Warehouse_Ledger'!$A:$N,5,FALSE),""))</f>
      </c>
      <c r="BR122">
        <f>IF($BO122="","",IFERROR(VLOOKUP($BO122,'01_Warehouse_Ledger'!$A:$N,13,FALSE),""))</f>
      </c>
    </row>
    <row r="123">
      <c r="A123" t="s">
        <v>1415</v>
      </c>
      <c r="B123" t="s">
        <v>1727</v>
      </c>
      <c r="C123" t="s">
        <v>1727</v>
      </c>
      <c r="D123">
        <f>IF($B123&lt;&gt;"Yes","",IF($C123="No","Yes",IF($C123="Yes","No","")))</f>
      </c>
      <c r="E123">
        <f>IF($A123="","",IF($A123="Neuron",IF(OR(AND($R123&lt;&gt;"",LOWER(TRIM($R123))&lt;&gt;"n/a",COUNTIF($S$2:$S$532,$R123)&gt;1),AND($T123&lt;&gt;"",LOWER(TRIM($T123))&lt;&gt;"n/a",COUNTIF($T$2:$T$532,$T123)&gt;1),AND($W123&lt;&gt;"",LOWER(TRIM($W123))&lt;&gt;"n/a",COUNTIF($W$2:$W$532,$W123)&gt;1)),"Yes","No"),IF($A123="Cybernet",IF(OR(AND($Y123&lt;&gt;"",LOWER(TRIM($Y123))&lt;&gt;"n/a",COUNTIF($Y$2:$Y$532,$Y123)&gt;1),AND($Z123&lt;&gt;"",LOWER(TRIM($Z123))&lt;&gt;"n/a",COUNTIF($Z$2:$Z$532,$Z123)&gt;1)),"Yes","No"),IF(AND($AL123&lt;&gt;"",LOWER(TRIM($AL123))&lt;&gt;"n/a",COUNTIF($AL$2:$AL$532,$AL123)&gt;1),"Yes","No"))))</f>
      </c>
      <c r="F123">
        <f>IF($B123&lt;&gt;"Yes","",
IF($A123="Neuron",
IF(OR(
AND($R123&lt;&gt;"",LOWER(TRIM($R123))&lt;&gt;"n/a",COUNTIFS($B$2:$B$532,"Yes",$A$2:$A$532,"Neuron",$S$2:$S$532,$R123)&gt;1),
AND($T123&lt;&gt;"",LOWER(TRIM($T123))&lt;&gt;"n/a",COUNTIFS($B$2:$B$532,"Yes",$A$2:$A$532,"Neuron",$T$2:$T$532,$T123)&gt;1),
AND($W123&lt;&gt;"",LOWER(TRIM($W123))&lt;&gt;"n/a",COUNTIFS($B$2:$B$532,"Yes",$A$2:$A$532,"Neuron",$W$2:$W$532,$W123)&gt;1)
),"Yes","No"),
IF($A123="Cybernet",
IF(OR(
AND($Y123&lt;&gt;"",LOWER(TRIM($Y123))&lt;&gt;"n/a",COUNTIFS($B$2:$B$532,"Yes",$A$2:$A$532,"Cybernet",$Y$2:$Y$532,$Y123)&gt;1),
AND($Z123&lt;&gt;"",LOWER(TRIM($Z123))&lt;&gt;"n/a",COUNTIFS($B$2:$B$532,"Yes",$A$2:$A$532,"Cybernet",$Z$2:$Z$532,$Z123)&gt;1)
),"Yes","No"),
IF(AND($AL123&lt;&gt;"",LOWER(TRIM($AL123))&lt;&gt;"n/a"),
IF(COUNTIFS($B$2:$B$532,"Yes",$A$2:$A$532,$A123,$AL$2:$AL$532,$AL123)&gt;1,"Yes","No"),
"No")
)
)
)</f>
      </c>
      <c r="G123" t="s">
        <v>2235</v>
      </c>
      <c r="H123" t="s">
        <v>2235</v>
      </c>
      <c r="I123" t="s">
        <v>1831</v>
      </c>
      <c r="J123" t="s">
        <v>1727</v>
      </c>
      <c r="K123" t="s">
        <v>1727</v>
      </c>
      <c r="L123" t="s">
        <v>1727</v>
      </c>
      <c r="M123" t="s">
        <v>2162</v>
      </c>
      <c r="N123" t="s">
        <v>2376</v>
      </c>
      <c r="O123" t="s">
        <v>1380</v>
      </c>
      <c r="P123" t="s">
        <v>2098</v>
      </c>
      <c r="Q123">
        <v>46075.0</v>
      </c>
      <c r="R123" t="s">
        <v>2101</v>
      </c>
      <c r="S123" t="s">
        <v>1947</v>
      </c>
      <c r="T123" t="s">
        <v>2153</v>
      </c>
      <c r="U123" t="s">
        <v>1380</v>
      </c>
      <c r="Y123" t="s">
        <v>1678</v>
      </c>
      <c r="Z123" t="s">
        <v>2185</v>
      </c>
      <c r="AA123" t="s">
        <v>2031</v>
      </c>
      <c r="AD123" t="s">
        <v>1728</v>
      </c>
      <c r="AE123">
        <v>2</v>
      </c>
      <c r="AF123" t="s">
        <v>2097</v>
      </c>
      <c r="AG123" t="s">
        <v>2204</v>
      </c>
      <c r="AJ123" t="s">
        <v>2124</v>
      </c>
      <c r="AK123" t="s">
        <v>2249</v>
      </c>
      <c r="AL123" t="s">
        <v>1728</v>
      </c>
      <c r="AM123" t="s">
        <v>1307</v>
      </c>
      <c r="AR123" t="s">
        <v>1814</v>
      </c>
      <c r="AW123" t="s">
        <v>1727</v>
      </c>
      <c r="AX123" t="s">
        <v>1727</v>
      </c>
      <c r="AY123" t="s">
        <v>1727</v>
      </c>
      <c r="AZ123" t="s">
        <v>1727</v>
      </c>
      <c r="BI123" t="s">
        <v>1630</v>
      </c>
      <c r="BL123">
        <f>IF($T123="","",IF((IF(AND($AW123&lt;&gt;"Yes",$AW123&lt;&gt;"N/A"),"Power Cable, ","")&amp;IF(AND($AX123&lt;&gt;"Yes",$AX123&lt;&gt;"N/A"),"Battery, ","")&amp;IF(AND($BE123&lt;&gt;"Yes",$BE123&lt;&gt;"N/A"),"Firmware Download, ","")&amp;IF(AND(OR($BE123="Yes",$BE123="N/A"),$BF123&lt;&gt;"Yes",$BF123&lt;&gt;"N/A"),"Firmware Install, ","")&amp;IF(AND($BJ123&lt;&gt;"Yes",$BJ123&lt;&gt;"N/A"),"Device ID, ","")&amp;IF(AND($BK123&lt;&gt;"Yes",$BK123&lt;&gt;"N/A"),"Epic Beans Relay, ",""))="","",LEFT(IF(AND($AW123&lt;&gt;"Yes",$AW123&lt;&gt;"N/A"),"Power Cable, ","")&amp;IF(AND($AX123&lt;&gt;"Yes",$AX123&lt;&gt;"N/A"),"Battery, ","")&amp;IF(AND($BE123&lt;&gt;"Yes",$BE123&lt;&gt;"N/A"),"Firmware Download, ","")&amp;IF(AND(OR($BE123="Yes",$BE123="N/A"),$BF123&lt;&gt;"Yes",$BF123&lt;&gt;"N/A"),"Firmware Install, ","")&amp;IF(AND($BJ123&lt;&gt;"Yes",$BJ123&lt;&gt;"N/A"),"Device ID, ","")&amp;IF(AND($BK123&lt;&gt;"Yes",$BK123&lt;&gt;"N/A"),"Epic Beans Relay, ",""),LEN(IF(AND($AW123&lt;&gt;"Yes",$AW123&lt;&gt;"N/A"),"Power Cable, ","")&amp;IF(AND($AX123&lt;&gt;"Yes",$AX123&lt;&gt;"N/A"),"Battery, ","")&amp;IF(AND($BE123&lt;&gt;"Yes",$BE123&lt;&gt;"N/A"),"Firmware Download, ","")&amp;IF(AND(OR($BE123="Yes",$BE123="N/A"),$BF123&lt;&gt;"Yes",$BF123&lt;&gt;"N/A"),"Firmware Install, ","")&amp;IF(AND($BJ123&lt;&gt;"Yes",$BJ123&lt;&gt;"N/A"),"Device ID, ","")&amp;IF(AND($BK123&lt;&gt;"Yes",$BK123&lt;&gt;"N/A"),"Epic Beans Relay, ",""))-2)))</f>
      </c>
      <c r="BM123">
        <f>IF($T123="","",IF($BL123="","Yes","Blocked"))</f>
      </c>
      <c r="BP123">
        <f>IF($BO123="","",IFERROR(VLOOKUP($BO123,'01_Warehouse_Ledger'!$A:$N,4,FALSE),""))</f>
      </c>
      <c r="BQ123">
        <f>IF($BO123="","",IFERROR(VLOOKUP($BO123,'01_Warehouse_Ledger'!$A:$N,5,FALSE),""))</f>
      </c>
      <c r="BR123">
        <f>IF($BO123="","",IFERROR(VLOOKUP($BO123,'01_Warehouse_Ledger'!$A:$N,13,FALSE),""))</f>
      </c>
      <c r="BS123" t="s">
        <v>1727</v>
      </c>
      <c r="BT123" t="s">
        <v>1727</v>
      </c>
      <c r="BU123" t="s">
        <v>1727</v>
      </c>
      <c r="BV123" t="s">
        <v>1727</v>
      </c>
      <c r="BW123" t="s">
        <v>1727</v>
      </c>
      <c r="BX123">
        <v>19200</v>
      </c>
    </row>
    <row r="124">
      <c r="A124" t="s">
        <v>1415</v>
      </c>
      <c r="B124" t="s">
        <v>1727</v>
      </c>
      <c r="C124" t="s">
        <v>1727</v>
      </c>
      <c r="D124">
        <f>IF($B124&lt;&gt;"Yes","",IF($C124="No","Yes",IF($C124="Yes","No","")))</f>
      </c>
      <c r="E124">
        <f>IF($A124="","",IF($A124="Neuron",IF(OR(AND($R124&lt;&gt;"",LOWER(TRIM($R124))&lt;&gt;"n/a",COUNTIF($S$2:$S$532,$R124)&gt;1),AND($T124&lt;&gt;"",LOWER(TRIM($T124))&lt;&gt;"n/a",COUNTIF($T$2:$T$532,$T124)&gt;1),AND($W124&lt;&gt;"",LOWER(TRIM($W124))&lt;&gt;"n/a",COUNTIF($W$2:$W$532,$W124)&gt;1)),"Yes","No"),IF($A124="Cybernet",IF(OR(AND($Y124&lt;&gt;"",LOWER(TRIM($Y124))&lt;&gt;"n/a",COUNTIF($Y$2:$Y$532,$Y124)&gt;1),AND($Z124&lt;&gt;"",LOWER(TRIM($Z124))&lt;&gt;"n/a",COUNTIF($Z$2:$Z$532,$Z124)&gt;1)),"Yes","No"),IF(AND($AL124&lt;&gt;"",LOWER(TRIM($AL124))&lt;&gt;"n/a",COUNTIF($AL$2:$AL$532,$AL124)&gt;1),"Yes","No"))))</f>
      </c>
      <c r="F124">
        <f>IF($B124&lt;&gt;"Yes","",
IF($A124="Neuron",
IF(OR(
AND($R124&lt;&gt;"",LOWER(TRIM($R124))&lt;&gt;"n/a",COUNTIFS($B$2:$B$532,"Yes",$A$2:$A$532,"Neuron",$S$2:$S$532,$R124)&gt;1),
AND($T124&lt;&gt;"",LOWER(TRIM($T124))&lt;&gt;"n/a",COUNTIFS($B$2:$B$532,"Yes",$A$2:$A$532,"Neuron",$T$2:$T$532,$T124)&gt;1),
AND($W124&lt;&gt;"",LOWER(TRIM($W124))&lt;&gt;"n/a",COUNTIFS($B$2:$B$532,"Yes",$A$2:$A$532,"Neuron",$W$2:$W$532,$W124)&gt;1)
),"Yes","No"),
IF($A124="Cybernet",
IF(OR(
AND($Y124&lt;&gt;"",LOWER(TRIM($Y124))&lt;&gt;"n/a",COUNTIFS($B$2:$B$532,"Yes",$A$2:$A$532,"Cybernet",$Y$2:$Y$532,$Y124)&gt;1),
AND($Z124&lt;&gt;"",LOWER(TRIM($Z124))&lt;&gt;"n/a",COUNTIFS($B$2:$B$532,"Yes",$A$2:$A$532,"Cybernet",$Z$2:$Z$532,$Z124)&gt;1)
),"Yes","No"),
IF(AND($AL124&lt;&gt;"",LOWER(TRIM($AL124))&lt;&gt;"n/a"),
IF(COUNTIFS($B$2:$B$532,"Yes",$A$2:$A$532,$A124,$AL$2:$AL$532,$AL124)&gt;1,"Yes","No"),
"No")
)
)
)</f>
      </c>
      <c r="G124" t="s">
        <v>2235</v>
      </c>
      <c r="H124" t="s">
        <v>2235</v>
      </c>
      <c r="I124" t="s">
        <v>1831</v>
      </c>
      <c r="J124" t="s">
        <v>1727</v>
      </c>
      <c r="K124" t="s">
        <v>1727</v>
      </c>
      <c r="L124" t="s">
        <v>1727</v>
      </c>
      <c r="M124" t="s">
        <v>2162</v>
      </c>
      <c r="N124" t="s">
        <v>2376</v>
      </c>
      <c r="O124" t="s">
        <v>1380</v>
      </c>
      <c r="P124" t="s">
        <v>2098</v>
      </c>
      <c r="Q124">
        <v>46075.0</v>
      </c>
      <c r="R124" t="s">
        <v>1829</v>
      </c>
      <c r="S124" t="s">
        <v>1879</v>
      </c>
      <c r="T124" t="s">
        <v>2065</v>
      </c>
      <c r="U124" t="s">
        <v>1380</v>
      </c>
      <c r="Y124" t="s">
        <v>2122</v>
      </c>
      <c r="Z124" t="s">
        <v>1742</v>
      </c>
      <c r="AA124" t="s">
        <v>2031</v>
      </c>
      <c r="AD124" t="s">
        <v>2355</v>
      </c>
      <c r="AE124">
        <v>2</v>
      </c>
      <c r="AF124" t="s">
        <v>2097</v>
      </c>
      <c r="AG124" t="s">
        <v>2408</v>
      </c>
      <c r="AJ124" t="s">
        <v>2124</v>
      </c>
      <c r="AK124" t="s">
        <v>2249</v>
      </c>
      <c r="AL124" t="s">
        <v>2355</v>
      </c>
      <c r="AM124" t="s">
        <v>1307</v>
      </c>
      <c r="AR124" t="s">
        <v>2377</v>
      </c>
      <c r="AW124" t="s">
        <v>1727</v>
      </c>
      <c r="AX124" t="s">
        <v>1727</v>
      </c>
      <c r="AY124" t="s">
        <v>1727</v>
      </c>
      <c r="AZ124" t="s">
        <v>1727</v>
      </c>
      <c r="BI124" t="s">
        <v>1630</v>
      </c>
      <c r="BL124">
        <f>IF($T124="","",IF((IF(AND($AW124&lt;&gt;"Yes",$AW124&lt;&gt;"N/A"),"Power Cable, ","")&amp;IF(AND($AX124&lt;&gt;"Yes",$AX124&lt;&gt;"N/A"),"Battery, ","")&amp;IF(AND($BE124&lt;&gt;"Yes",$BE124&lt;&gt;"N/A"),"Firmware Download, ","")&amp;IF(AND(OR($BE124="Yes",$BE124="N/A"),$BF124&lt;&gt;"Yes",$BF124&lt;&gt;"N/A"),"Firmware Install, ","")&amp;IF(AND($BJ124&lt;&gt;"Yes",$BJ124&lt;&gt;"N/A"),"Device ID, ","")&amp;IF(AND($BK124&lt;&gt;"Yes",$BK124&lt;&gt;"N/A"),"Epic Beans Relay, ",""))="","",LEFT(IF(AND($AW124&lt;&gt;"Yes",$AW124&lt;&gt;"N/A"),"Power Cable, ","")&amp;IF(AND($AX124&lt;&gt;"Yes",$AX124&lt;&gt;"N/A"),"Battery, ","")&amp;IF(AND($BE124&lt;&gt;"Yes",$BE124&lt;&gt;"N/A"),"Firmware Download, ","")&amp;IF(AND(OR($BE124="Yes",$BE124="N/A"),$BF124&lt;&gt;"Yes",$BF124&lt;&gt;"N/A"),"Firmware Install, ","")&amp;IF(AND($BJ124&lt;&gt;"Yes",$BJ124&lt;&gt;"N/A"),"Device ID, ","")&amp;IF(AND($BK124&lt;&gt;"Yes",$BK124&lt;&gt;"N/A"),"Epic Beans Relay, ",""),LEN(IF(AND($AW124&lt;&gt;"Yes",$AW124&lt;&gt;"N/A"),"Power Cable, ","")&amp;IF(AND($AX124&lt;&gt;"Yes",$AX124&lt;&gt;"N/A"),"Battery, ","")&amp;IF(AND($BE124&lt;&gt;"Yes",$BE124&lt;&gt;"N/A"),"Firmware Download, ","")&amp;IF(AND(OR($BE124="Yes",$BE124="N/A"),$BF124&lt;&gt;"Yes",$BF124&lt;&gt;"N/A"),"Firmware Install, ","")&amp;IF(AND($BJ124&lt;&gt;"Yes",$BJ124&lt;&gt;"N/A"),"Device ID, ","")&amp;IF(AND($BK124&lt;&gt;"Yes",$BK124&lt;&gt;"N/A"),"Epic Beans Relay, ",""))-2)))</f>
      </c>
      <c r="BM124">
        <f>IF($T124="","",IF($BL124="","Yes","Blocked"))</f>
      </c>
      <c r="BP124">
        <f>IF($BO124="","",IFERROR(VLOOKUP($BO124,'01_Warehouse_Ledger'!$A:$N,4,FALSE),""))</f>
      </c>
      <c r="BQ124">
        <f>IF($BO124="","",IFERROR(VLOOKUP($BO124,'01_Warehouse_Ledger'!$A:$N,5,FALSE),""))</f>
      </c>
      <c r="BR124">
        <f>IF($BO124="","",IFERROR(VLOOKUP($BO124,'01_Warehouse_Ledger'!$A:$N,13,FALSE),""))</f>
      </c>
      <c r="BS124" t="s">
        <v>1727</v>
      </c>
      <c r="BT124" t="s">
        <v>1727</v>
      </c>
      <c r="BU124" t="s">
        <v>1727</v>
      </c>
      <c r="BV124" t="s">
        <v>1727</v>
      </c>
      <c r="BW124" t="s">
        <v>1727</v>
      </c>
      <c r="BX124">
        <v>19200</v>
      </c>
    </row>
    <row r="125">
      <c r="A125" t="s">
        <v>1415</v>
      </c>
      <c r="B125" t="s">
        <v>1727</v>
      </c>
      <c r="C125" t="s">
        <v>1727</v>
      </c>
      <c r="D125">
        <f>IF($B125&lt;&gt;"Yes","",IF($C125="No","Yes",IF($C125="Yes","No","")))</f>
      </c>
      <c r="E125">
        <f>IF($A125="","",IF($A125="Neuron",IF(OR(AND($R125&lt;&gt;"",LOWER(TRIM($R125))&lt;&gt;"n/a",COUNTIF($S$2:$S$532,$R125)&gt;1),AND($T125&lt;&gt;"",LOWER(TRIM($T125))&lt;&gt;"n/a",COUNTIF($T$2:$T$532,$T125)&gt;1),AND($W125&lt;&gt;"",LOWER(TRIM($W125))&lt;&gt;"n/a",COUNTIF($W$2:$W$532,$W125)&gt;1)),"Yes","No"),IF($A125="Cybernet",IF(OR(AND($Y125&lt;&gt;"",LOWER(TRIM($Y125))&lt;&gt;"n/a",COUNTIF($Y$2:$Y$532,$Y125)&gt;1),AND($Z125&lt;&gt;"",LOWER(TRIM($Z125))&lt;&gt;"n/a",COUNTIF($Z$2:$Z$532,$Z125)&gt;1)),"Yes","No"),IF(AND($AL125&lt;&gt;"",LOWER(TRIM($AL125))&lt;&gt;"n/a",COUNTIF($AL$2:$AL$532,$AL125)&gt;1),"Yes","No"))))</f>
      </c>
      <c r="F125">
        <f>IF($B125&lt;&gt;"Yes","",
IF($A125="Neuron",
IF(OR(
AND($R125&lt;&gt;"",LOWER(TRIM($R125))&lt;&gt;"n/a",COUNTIFS($B$2:$B$532,"Yes",$A$2:$A$532,"Neuron",$S$2:$S$532,$R125)&gt;1),
AND($T125&lt;&gt;"",LOWER(TRIM($T125))&lt;&gt;"n/a",COUNTIFS($B$2:$B$532,"Yes",$A$2:$A$532,"Neuron",$T$2:$T$532,$T125)&gt;1),
AND($W125&lt;&gt;"",LOWER(TRIM($W125))&lt;&gt;"n/a",COUNTIFS($B$2:$B$532,"Yes",$A$2:$A$532,"Neuron",$W$2:$W$532,$W125)&gt;1)
),"Yes","No"),
IF($A125="Cybernet",
IF(OR(
AND($Y125&lt;&gt;"",LOWER(TRIM($Y125))&lt;&gt;"n/a",COUNTIFS($B$2:$B$532,"Yes",$A$2:$A$532,"Cybernet",$Y$2:$Y$532,$Y125)&gt;1),
AND($Z125&lt;&gt;"",LOWER(TRIM($Z125))&lt;&gt;"n/a",COUNTIFS($B$2:$B$532,"Yes",$A$2:$A$532,"Cybernet",$Z$2:$Z$532,$Z125)&gt;1)
),"Yes","No"),
IF(AND($AL125&lt;&gt;"",LOWER(TRIM($AL125))&lt;&gt;"n/a"),
IF(COUNTIFS($B$2:$B$532,"Yes",$A$2:$A$532,$A125,$AL$2:$AL$532,$AL125)&gt;1,"Yes","No"),
"No")
)
)
)</f>
      </c>
      <c r="G125" t="s">
        <v>2235</v>
      </c>
      <c r="H125" t="s">
        <v>2235</v>
      </c>
      <c r="I125" t="s">
        <v>1831</v>
      </c>
      <c r="J125" t="s">
        <v>1727</v>
      </c>
      <c r="K125" t="s">
        <v>1727</v>
      </c>
      <c r="L125" t="s">
        <v>1727</v>
      </c>
      <c r="M125" t="s">
        <v>2162</v>
      </c>
      <c r="N125" t="s">
        <v>2376</v>
      </c>
      <c r="O125" t="s">
        <v>1380</v>
      </c>
      <c r="P125" t="s">
        <v>2098</v>
      </c>
      <c r="Q125">
        <v>46075.0</v>
      </c>
      <c r="R125" t="s">
        <v>2026</v>
      </c>
      <c r="S125" t="s">
        <v>1637</v>
      </c>
      <c r="T125" t="s">
        <v>2312</v>
      </c>
      <c r="U125" t="s">
        <v>1380</v>
      </c>
      <c r="Y125" t="s">
        <v>1648</v>
      </c>
      <c r="Z125" t="s">
        <v>1963</v>
      </c>
      <c r="AA125" t="s">
        <v>2031</v>
      </c>
      <c r="AD125" t="s">
        <v>2346</v>
      </c>
      <c r="AE125">
        <v>2</v>
      </c>
      <c r="AF125" t="s">
        <v>2097</v>
      </c>
      <c r="AG125" t="s">
        <v>2144</v>
      </c>
      <c r="AJ125" t="s">
        <v>2124</v>
      </c>
      <c r="AK125" t="s">
        <v>2249</v>
      </c>
      <c r="AL125" t="s">
        <v>2346</v>
      </c>
      <c r="AM125" t="s">
        <v>1307</v>
      </c>
      <c r="AR125" t="s">
        <v>1700</v>
      </c>
      <c r="AW125" t="s">
        <v>1727</v>
      </c>
      <c r="AX125" t="s">
        <v>1727</v>
      </c>
      <c r="AY125" t="s">
        <v>1727</v>
      </c>
      <c r="AZ125" t="s">
        <v>1727</v>
      </c>
      <c r="BI125" t="s">
        <v>1630</v>
      </c>
      <c r="BL125">
        <f>IF($T125="","",IF((IF(AND($AW125&lt;&gt;"Yes",$AW125&lt;&gt;"N/A"),"Power Cable, ","")&amp;IF(AND($AX125&lt;&gt;"Yes",$AX125&lt;&gt;"N/A"),"Battery, ","")&amp;IF(AND($BE125&lt;&gt;"Yes",$BE125&lt;&gt;"N/A"),"Firmware Download, ","")&amp;IF(AND(OR($BE125="Yes",$BE125="N/A"),$BF125&lt;&gt;"Yes",$BF125&lt;&gt;"N/A"),"Firmware Install, ","")&amp;IF(AND($BJ125&lt;&gt;"Yes",$BJ125&lt;&gt;"N/A"),"Device ID, ","")&amp;IF(AND($BK125&lt;&gt;"Yes",$BK125&lt;&gt;"N/A"),"Epic Beans Relay, ",""))="","",LEFT(IF(AND($AW125&lt;&gt;"Yes",$AW125&lt;&gt;"N/A"),"Power Cable, ","")&amp;IF(AND($AX125&lt;&gt;"Yes",$AX125&lt;&gt;"N/A"),"Battery, ","")&amp;IF(AND($BE125&lt;&gt;"Yes",$BE125&lt;&gt;"N/A"),"Firmware Download, ","")&amp;IF(AND(OR($BE125="Yes",$BE125="N/A"),$BF125&lt;&gt;"Yes",$BF125&lt;&gt;"N/A"),"Firmware Install, ","")&amp;IF(AND($BJ125&lt;&gt;"Yes",$BJ125&lt;&gt;"N/A"),"Device ID, ","")&amp;IF(AND($BK125&lt;&gt;"Yes",$BK125&lt;&gt;"N/A"),"Epic Beans Relay, ",""),LEN(IF(AND($AW125&lt;&gt;"Yes",$AW125&lt;&gt;"N/A"),"Power Cable, ","")&amp;IF(AND($AX125&lt;&gt;"Yes",$AX125&lt;&gt;"N/A"),"Battery, ","")&amp;IF(AND($BE125&lt;&gt;"Yes",$BE125&lt;&gt;"N/A"),"Firmware Download, ","")&amp;IF(AND(OR($BE125="Yes",$BE125="N/A"),$BF125&lt;&gt;"Yes",$BF125&lt;&gt;"N/A"),"Firmware Install, ","")&amp;IF(AND($BJ125&lt;&gt;"Yes",$BJ125&lt;&gt;"N/A"),"Device ID, ","")&amp;IF(AND($BK125&lt;&gt;"Yes",$BK125&lt;&gt;"N/A"),"Epic Beans Relay, ",""))-2)))</f>
      </c>
      <c r="BM125">
        <f>IF($T125="","",IF($BL125="","Yes","Blocked"))</f>
      </c>
      <c r="BP125">
        <f>IF($BO125="","",IFERROR(VLOOKUP($BO125,'01_Warehouse_Ledger'!$A:$N,4,FALSE),""))</f>
      </c>
      <c r="BQ125">
        <f>IF($BO125="","",IFERROR(VLOOKUP($BO125,'01_Warehouse_Ledger'!$A:$N,5,FALSE),""))</f>
      </c>
      <c r="BR125">
        <f>IF($BO125="","",IFERROR(VLOOKUP($BO125,'01_Warehouse_Ledger'!$A:$N,13,FALSE),""))</f>
      </c>
      <c r="BS125" t="s">
        <v>1727</v>
      </c>
      <c r="BT125" t="s">
        <v>1727</v>
      </c>
      <c r="BU125" t="s">
        <v>1727</v>
      </c>
      <c r="BV125" t="s">
        <v>1727</v>
      </c>
      <c r="BW125" t="s">
        <v>1727</v>
      </c>
      <c r="BX125">
        <v>19200</v>
      </c>
    </row>
    <row r="126">
      <c r="A126" t="s">
        <v>1415</v>
      </c>
      <c r="B126" t="s">
        <v>1727</v>
      </c>
      <c r="C126" t="s">
        <v>1727</v>
      </c>
      <c r="D126">
        <f>IF($B126&lt;&gt;"Yes","",IF($C126="No","Yes",IF($C126="Yes","No","")))</f>
      </c>
      <c r="E126">
        <f>IF($A126="","",IF($A126="Neuron",IF(OR(AND($R126&lt;&gt;"",LOWER(TRIM($R126))&lt;&gt;"n/a",COUNTIF($S$2:$S$532,$R126)&gt;1),AND($T126&lt;&gt;"",LOWER(TRIM($T126))&lt;&gt;"n/a",COUNTIF($T$2:$T$532,$T126)&gt;1),AND($W126&lt;&gt;"",LOWER(TRIM($W126))&lt;&gt;"n/a",COUNTIF($W$2:$W$532,$W126)&gt;1)),"Yes","No"),IF($A126="Cybernet",IF(OR(AND($Y126&lt;&gt;"",LOWER(TRIM($Y126))&lt;&gt;"n/a",COUNTIF($Y$2:$Y$532,$Y126)&gt;1),AND($Z126&lt;&gt;"",LOWER(TRIM($Z126))&lt;&gt;"n/a",COUNTIF($Z$2:$Z$532,$Z126)&gt;1)),"Yes","No"),IF(AND($AL126&lt;&gt;"",LOWER(TRIM($AL126))&lt;&gt;"n/a",COUNTIF($AL$2:$AL$532,$AL126)&gt;1),"Yes","No"))))</f>
      </c>
      <c r="F126">
        <f>IF($B126&lt;&gt;"Yes","",
IF($A126="Neuron",
IF(OR(
AND($R126&lt;&gt;"",LOWER(TRIM($R126))&lt;&gt;"n/a",COUNTIFS($B$2:$B$532,"Yes",$A$2:$A$532,"Neuron",$S$2:$S$532,$R126)&gt;1),
AND($T126&lt;&gt;"",LOWER(TRIM($T126))&lt;&gt;"n/a",COUNTIFS($B$2:$B$532,"Yes",$A$2:$A$532,"Neuron",$T$2:$T$532,$T126)&gt;1),
AND($W126&lt;&gt;"",LOWER(TRIM($W126))&lt;&gt;"n/a",COUNTIFS($B$2:$B$532,"Yes",$A$2:$A$532,"Neuron",$W$2:$W$532,$W126)&gt;1)
),"Yes","No"),
IF($A126="Cybernet",
IF(OR(
AND($Y126&lt;&gt;"",LOWER(TRIM($Y126))&lt;&gt;"n/a",COUNTIFS($B$2:$B$532,"Yes",$A$2:$A$532,"Cybernet",$Y$2:$Y$532,$Y126)&gt;1),
AND($Z126&lt;&gt;"",LOWER(TRIM($Z126))&lt;&gt;"n/a",COUNTIFS($B$2:$B$532,"Yes",$A$2:$A$532,"Cybernet",$Z$2:$Z$532,$Z126)&gt;1)
),"Yes","No"),
IF(AND($AL126&lt;&gt;"",LOWER(TRIM($AL126))&lt;&gt;"n/a"),
IF(COUNTIFS($B$2:$B$532,"Yes",$A$2:$A$532,$A126,$AL$2:$AL$532,$AL126)&gt;1,"Yes","No"),
"No")
)
)
)</f>
      </c>
      <c r="G126" t="s">
        <v>2235</v>
      </c>
      <c r="H126" t="s">
        <v>2235</v>
      </c>
      <c r="I126" t="s">
        <v>1831</v>
      </c>
      <c r="J126" t="s">
        <v>1727</v>
      </c>
      <c r="K126" t="s">
        <v>1727</v>
      </c>
      <c r="L126" t="s">
        <v>1727</v>
      </c>
      <c r="M126" t="s">
        <v>2162</v>
      </c>
      <c r="N126" t="s">
        <v>2376</v>
      </c>
      <c r="O126" t="s">
        <v>1380</v>
      </c>
      <c r="P126" t="s">
        <v>2098</v>
      </c>
      <c r="Q126">
        <v>46075.0</v>
      </c>
      <c r="R126" t="s">
        <v>2160</v>
      </c>
      <c r="S126" t="s">
        <v>2244</v>
      </c>
      <c r="T126" t="s">
        <v>1857</v>
      </c>
      <c r="U126" t="s">
        <v>1380</v>
      </c>
      <c r="Y126" t="s">
        <v>2219</v>
      </c>
      <c r="Z126" t="s">
        <v>1711</v>
      </c>
      <c r="AA126" t="s">
        <v>2031</v>
      </c>
      <c r="AD126" t="s">
        <v>1810</v>
      </c>
      <c r="AE126">
        <v>2</v>
      </c>
      <c r="AF126" t="s">
        <v>2097</v>
      </c>
      <c r="AG126" t="s">
        <v>2230</v>
      </c>
      <c r="AJ126" t="s">
        <v>2124</v>
      </c>
      <c r="AK126" t="s">
        <v>2249</v>
      </c>
      <c r="AL126" t="s">
        <v>1810</v>
      </c>
      <c r="AM126" t="s">
        <v>1307</v>
      </c>
      <c r="AR126" t="s">
        <v>1990</v>
      </c>
      <c r="AW126" t="s">
        <v>1727</v>
      </c>
      <c r="AX126" t="s">
        <v>1727</v>
      </c>
      <c r="AY126" t="s">
        <v>1727</v>
      </c>
      <c r="AZ126" t="s">
        <v>1727</v>
      </c>
      <c r="BI126" t="s">
        <v>1630</v>
      </c>
      <c r="BL126">
        <f>IF($T126="","",IF((IF(AND($AW126&lt;&gt;"Yes",$AW126&lt;&gt;"N/A"),"Power Cable, ","")&amp;IF(AND($AX126&lt;&gt;"Yes",$AX126&lt;&gt;"N/A"),"Battery, ","")&amp;IF(AND($BE126&lt;&gt;"Yes",$BE126&lt;&gt;"N/A"),"Firmware Download, ","")&amp;IF(AND(OR($BE126="Yes",$BE126="N/A"),$BF126&lt;&gt;"Yes",$BF126&lt;&gt;"N/A"),"Firmware Install, ","")&amp;IF(AND($BJ126&lt;&gt;"Yes",$BJ126&lt;&gt;"N/A"),"Device ID, ","")&amp;IF(AND($BK126&lt;&gt;"Yes",$BK126&lt;&gt;"N/A"),"Epic Beans Relay, ",""))="","",LEFT(IF(AND($AW126&lt;&gt;"Yes",$AW126&lt;&gt;"N/A"),"Power Cable, ","")&amp;IF(AND($AX126&lt;&gt;"Yes",$AX126&lt;&gt;"N/A"),"Battery, ","")&amp;IF(AND($BE126&lt;&gt;"Yes",$BE126&lt;&gt;"N/A"),"Firmware Download, ","")&amp;IF(AND(OR($BE126="Yes",$BE126="N/A"),$BF126&lt;&gt;"Yes",$BF126&lt;&gt;"N/A"),"Firmware Install, ","")&amp;IF(AND($BJ126&lt;&gt;"Yes",$BJ126&lt;&gt;"N/A"),"Device ID, ","")&amp;IF(AND($BK126&lt;&gt;"Yes",$BK126&lt;&gt;"N/A"),"Epic Beans Relay, ",""),LEN(IF(AND($AW126&lt;&gt;"Yes",$AW126&lt;&gt;"N/A"),"Power Cable, ","")&amp;IF(AND($AX126&lt;&gt;"Yes",$AX126&lt;&gt;"N/A"),"Battery, ","")&amp;IF(AND($BE126&lt;&gt;"Yes",$BE126&lt;&gt;"N/A"),"Firmware Download, ","")&amp;IF(AND(OR($BE126="Yes",$BE126="N/A"),$BF126&lt;&gt;"Yes",$BF126&lt;&gt;"N/A"),"Firmware Install, ","")&amp;IF(AND($BJ126&lt;&gt;"Yes",$BJ126&lt;&gt;"N/A"),"Device ID, ","")&amp;IF(AND($BK126&lt;&gt;"Yes",$BK126&lt;&gt;"N/A"),"Epic Beans Relay, ",""))-2)))</f>
      </c>
      <c r="BM126">
        <f>IF($T126="","",IF($BL126="","Yes","Blocked"))</f>
      </c>
      <c r="BP126">
        <f>IF($BO126="","",IFERROR(VLOOKUP($BO126,'01_Warehouse_Ledger'!$A:$N,4,FALSE),""))</f>
      </c>
      <c r="BQ126">
        <f>IF($BO126="","",IFERROR(VLOOKUP($BO126,'01_Warehouse_Ledger'!$A:$N,5,FALSE),""))</f>
      </c>
      <c r="BR126">
        <f>IF($BO126="","",IFERROR(VLOOKUP($BO126,'01_Warehouse_Ledger'!$A:$N,13,FALSE),""))</f>
      </c>
      <c r="BS126" t="s">
        <v>1727</v>
      </c>
      <c r="BT126" t="s">
        <v>1727</v>
      </c>
      <c r="BU126" t="s">
        <v>1727</v>
      </c>
      <c r="BV126" t="s">
        <v>1727</v>
      </c>
      <c r="BW126" t="s">
        <v>1727</v>
      </c>
      <c r="BX126">
        <v>19200</v>
      </c>
    </row>
    <row r="127">
      <c r="A127" t="s">
        <v>1415</v>
      </c>
      <c r="B127" t="s">
        <v>1727</v>
      </c>
      <c r="C127" t="s">
        <v>1727</v>
      </c>
      <c r="D127">
        <f>IF($B127&lt;&gt;"Yes","",IF($C127="No","Yes",IF($C127="Yes","No","")))</f>
      </c>
      <c r="E127">
        <f>IF($A127="","",IF($A127="Neuron",IF(OR(AND($R127&lt;&gt;"",LOWER(TRIM($R127))&lt;&gt;"n/a",COUNTIF($S$2:$S$532,$R127)&gt;1),AND($T127&lt;&gt;"",LOWER(TRIM($T127))&lt;&gt;"n/a",COUNTIF($T$2:$T$532,$T127)&gt;1),AND($W127&lt;&gt;"",LOWER(TRIM($W127))&lt;&gt;"n/a",COUNTIF($W$2:$W$532,$W127)&gt;1)),"Yes","No"),IF($A127="Cybernet",IF(OR(AND($Y127&lt;&gt;"",LOWER(TRIM($Y127))&lt;&gt;"n/a",COUNTIF($Y$2:$Y$532,$Y127)&gt;1),AND($Z127&lt;&gt;"",LOWER(TRIM($Z127))&lt;&gt;"n/a",COUNTIF($Z$2:$Z$532,$Z127)&gt;1)),"Yes","No"),IF(AND($AL127&lt;&gt;"",LOWER(TRIM($AL127))&lt;&gt;"n/a",COUNTIF($AL$2:$AL$532,$AL127)&gt;1),"Yes","No"))))</f>
      </c>
      <c r="F127">
        <f>IF($B127&lt;&gt;"Yes","",
IF($A127="Neuron",
IF(OR(
AND($R127&lt;&gt;"",LOWER(TRIM($R127))&lt;&gt;"n/a",COUNTIFS($B$2:$B$532,"Yes",$A$2:$A$532,"Neuron",$S$2:$S$532,$R127)&gt;1),
AND($T127&lt;&gt;"",LOWER(TRIM($T127))&lt;&gt;"n/a",COUNTIFS($B$2:$B$532,"Yes",$A$2:$A$532,"Neuron",$T$2:$T$532,$T127)&gt;1),
AND($W127&lt;&gt;"",LOWER(TRIM($W127))&lt;&gt;"n/a",COUNTIFS($B$2:$B$532,"Yes",$A$2:$A$532,"Neuron",$W$2:$W$532,$W127)&gt;1)
),"Yes","No"),
IF($A127="Cybernet",
IF(OR(
AND($Y127&lt;&gt;"",LOWER(TRIM($Y127))&lt;&gt;"n/a",COUNTIFS($B$2:$B$532,"Yes",$A$2:$A$532,"Cybernet",$Y$2:$Y$532,$Y127)&gt;1),
AND($Z127&lt;&gt;"",LOWER(TRIM($Z127))&lt;&gt;"n/a",COUNTIFS($B$2:$B$532,"Yes",$A$2:$A$532,"Cybernet",$Z$2:$Z$532,$Z127)&gt;1)
),"Yes","No"),
IF(AND($AL127&lt;&gt;"",LOWER(TRIM($AL127))&lt;&gt;"n/a"),
IF(COUNTIFS($B$2:$B$532,"Yes",$A$2:$A$532,$A127,$AL$2:$AL$532,$AL127)&gt;1,"Yes","No"),
"No")
)
)
)</f>
      </c>
      <c r="G127" t="s">
        <v>2235</v>
      </c>
      <c r="H127" t="s">
        <v>2235</v>
      </c>
      <c r="I127" t="s">
        <v>1831</v>
      </c>
      <c r="J127" t="s">
        <v>1727</v>
      </c>
      <c r="K127" t="s">
        <v>1727</v>
      </c>
      <c r="L127" t="s">
        <v>1727</v>
      </c>
      <c r="M127" t="s">
        <v>2162</v>
      </c>
      <c r="N127" t="s">
        <v>2376</v>
      </c>
      <c r="O127" t="s">
        <v>1380</v>
      </c>
      <c r="P127" t="s">
        <v>2098</v>
      </c>
      <c r="Q127">
        <v>46075.0</v>
      </c>
      <c r="R127" t="s">
        <v>1875</v>
      </c>
      <c r="S127" t="s">
        <v>1682</v>
      </c>
      <c r="T127" t="s">
        <v>2326</v>
      </c>
      <c r="U127" t="s">
        <v>1380</v>
      </c>
      <c r="AA127" t="s">
        <v>2031</v>
      </c>
      <c r="AD127" t="s">
        <v>2016</v>
      </c>
      <c r="AE127">
        <v>2</v>
      </c>
      <c r="AF127" t="s">
        <v>2097</v>
      </c>
      <c r="AG127" t="s">
        <v>2116</v>
      </c>
      <c r="AJ127" t="s">
        <v>2124</v>
      </c>
      <c r="AK127" t="s">
        <v>2249</v>
      </c>
      <c r="AL127" t="s">
        <v>2016</v>
      </c>
      <c r="AM127" t="s">
        <v>1307</v>
      </c>
      <c r="AR127" t="s">
        <v>2403</v>
      </c>
      <c r="AW127" t="s">
        <v>1727</v>
      </c>
      <c r="AX127" t="s">
        <v>1727</v>
      </c>
      <c r="AY127" t="s">
        <v>1727</v>
      </c>
      <c r="AZ127" t="s">
        <v>1727</v>
      </c>
      <c r="BS127" t="s">
        <v>1727</v>
      </c>
      <c r="BT127" t="s">
        <v>1727</v>
      </c>
      <c r="BU127" t="s">
        <v>1727</v>
      </c>
      <c r="BV127" t="s">
        <v>1727</v>
      </c>
      <c r="BW127" t="s">
        <v>1727</v>
      </c>
      <c r="BX127">
        <v>19200</v>
      </c>
    </row>
    <row r="128">
      <c r="A128" t="s">
        <v>1415</v>
      </c>
      <c r="B128" t="s">
        <v>1727</v>
      </c>
      <c r="C128" t="s">
        <v>1727</v>
      </c>
      <c r="D128">
        <f>IF($B128&lt;&gt;"Yes","",IF($C128="No","Yes",IF($C128="Yes","No","")))</f>
      </c>
      <c r="E128">
        <f>IF($A128="","",IF($A128="Neuron",IF(OR(AND($R128&lt;&gt;"",LOWER(TRIM($R128))&lt;&gt;"n/a",COUNTIF($S$2:$S$532,$R128)&gt;1),AND($T128&lt;&gt;"",LOWER(TRIM($T128))&lt;&gt;"n/a",COUNTIF($T$2:$T$532,$T128)&gt;1),AND($W128&lt;&gt;"",LOWER(TRIM($W128))&lt;&gt;"n/a",COUNTIF($W$2:$W$532,$W128)&gt;1)),"Yes","No"),IF($A128="Cybernet",IF(OR(AND($Y128&lt;&gt;"",LOWER(TRIM($Y128))&lt;&gt;"n/a",COUNTIF($Y$2:$Y$532,$Y128)&gt;1),AND($Z128&lt;&gt;"",LOWER(TRIM($Z128))&lt;&gt;"n/a",COUNTIF($Z$2:$Z$532,$Z128)&gt;1)),"Yes","No"),IF(AND($AL128&lt;&gt;"",LOWER(TRIM($AL128))&lt;&gt;"n/a",COUNTIF($AL$2:$AL$532,$AL128)&gt;1),"Yes","No"))))</f>
      </c>
      <c r="F128">
        <f>IF($B128&lt;&gt;"Yes","",
IF($A128="Neuron",
IF(OR(
AND($R128&lt;&gt;"",LOWER(TRIM($R128))&lt;&gt;"n/a",COUNTIFS($B$2:$B$532,"Yes",$A$2:$A$532,"Neuron",$S$2:$S$532,$R128)&gt;1),
AND($T128&lt;&gt;"",LOWER(TRIM($T128))&lt;&gt;"n/a",COUNTIFS($B$2:$B$532,"Yes",$A$2:$A$532,"Neuron",$T$2:$T$532,$T128)&gt;1),
AND($W128&lt;&gt;"",LOWER(TRIM($W128))&lt;&gt;"n/a",COUNTIFS($B$2:$B$532,"Yes",$A$2:$A$532,"Neuron",$W$2:$W$532,$W128)&gt;1)
),"Yes","No"),
IF($A128="Cybernet",
IF(OR(
AND($Y128&lt;&gt;"",LOWER(TRIM($Y128))&lt;&gt;"n/a",COUNTIFS($B$2:$B$532,"Yes",$A$2:$A$532,"Cybernet",$Y$2:$Y$532,$Y128)&gt;1),
AND($Z128&lt;&gt;"",LOWER(TRIM($Z128))&lt;&gt;"n/a",COUNTIFS($B$2:$B$532,"Yes",$A$2:$A$532,"Cybernet",$Z$2:$Z$532,$Z128)&gt;1)
),"Yes","No"),
IF(AND($AL128&lt;&gt;"",LOWER(TRIM($AL128))&lt;&gt;"n/a"),
IF(COUNTIFS($B$2:$B$532,"Yes",$A$2:$A$532,$A128,$AL$2:$AL$532,$AL128)&gt;1,"Yes","No"),
"No")
)
)
)</f>
      </c>
      <c r="G128" t="s">
        <v>2235</v>
      </c>
      <c r="H128" t="s">
        <v>2235</v>
      </c>
      <c r="I128" t="s">
        <v>1831</v>
      </c>
      <c r="J128" t="s">
        <v>1727</v>
      </c>
      <c r="K128" t="s">
        <v>1727</v>
      </c>
      <c r="L128" t="s">
        <v>1727</v>
      </c>
      <c r="M128" t="s">
        <v>2162</v>
      </c>
      <c r="N128" t="s">
        <v>2376</v>
      </c>
      <c r="O128" t="s">
        <v>1380</v>
      </c>
      <c r="P128" t="s">
        <v>2098</v>
      </c>
      <c r="Q128">
        <v>46075.0</v>
      </c>
      <c r="R128" t="s">
        <v>1688</v>
      </c>
      <c r="S128" t="s">
        <v>1818</v>
      </c>
      <c r="T128" t="s">
        <v>1781</v>
      </c>
      <c r="U128" t="s">
        <v>1380</v>
      </c>
      <c r="Y128" t="s">
        <v>2181</v>
      </c>
      <c r="Z128" t="s">
        <v>1634</v>
      </c>
      <c r="AA128" t="s">
        <v>2031</v>
      </c>
      <c r="AD128" t="s">
        <v>1661</v>
      </c>
      <c r="AE128">
        <v>2</v>
      </c>
      <c r="AF128" t="s">
        <v>2097</v>
      </c>
      <c r="AG128" t="s">
        <v>1967</v>
      </c>
      <c r="AJ128" t="s">
        <v>2124</v>
      </c>
      <c r="AK128" t="s">
        <v>2249</v>
      </c>
      <c r="AL128" t="s">
        <v>1661</v>
      </c>
      <c r="AM128" t="s">
        <v>1307</v>
      </c>
      <c r="AR128" t="s">
        <v>2103</v>
      </c>
      <c r="AW128" t="s">
        <v>1727</v>
      </c>
      <c r="AX128" t="s">
        <v>1727</v>
      </c>
      <c r="AY128" t="s">
        <v>1727</v>
      </c>
      <c r="AZ128" t="s">
        <v>1727</v>
      </c>
      <c r="BI128" t="s">
        <v>1630</v>
      </c>
      <c r="BL128">
        <f>IF($T128="","",IF((IF(AND($AW128&lt;&gt;"Yes",$AW128&lt;&gt;"N/A"),"Power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</c>
      <c r="BM128">
        <f>IF($T128="","",IF($BL128="","Yes","Blocked"))</f>
      </c>
      <c r="BP128">
        <f>IF($BO128="","",IFERROR(VLOOKUP($BO128,'01_Warehouse_Ledger'!$A:$N,4,FALSE),""))</f>
      </c>
      <c r="BQ128">
        <f>IF($BO128="","",IFERROR(VLOOKUP($BO128,'01_Warehouse_Ledger'!$A:$N,5,FALSE),""))</f>
      </c>
      <c r="BR128">
        <f>IF($BO128="","",IFERROR(VLOOKUP($BO128,'01_Warehouse_Ledger'!$A:$N,13,FALSE),""))</f>
      </c>
      <c r="BS128" t="s">
        <v>1727</v>
      </c>
      <c r="BT128" t="s">
        <v>1727</v>
      </c>
      <c r="BU128" t="s">
        <v>1727</v>
      </c>
      <c r="BV128" t="s">
        <v>1727</v>
      </c>
      <c r="BW128" t="s">
        <v>1727</v>
      </c>
      <c r="BX128">
        <v>19200</v>
      </c>
    </row>
    <row r="129">
      <c r="A129" t="s">
        <v>1415</v>
      </c>
      <c r="B129" t="s">
        <v>1727</v>
      </c>
      <c r="C129" t="s">
        <v>1727</v>
      </c>
      <c r="D129">
        <f>IF($B129&lt;&gt;"Yes","",IF($C129="No","Yes",IF($C129="Yes","No","")))</f>
      </c>
      <c r="E129">
        <f>IF($A129="","",IF($A129="Neuron",IF(OR(AND($R129&lt;&gt;"",LOWER(TRIM($R129))&lt;&gt;"n/a",COUNTIF($S$2:$S$532,$R129)&gt;1),AND($T129&lt;&gt;"",LOWER(TRIM($T129))&lt;&gt;"n/a",COUNTIF($T$2:$T$532,$T129)&gt;1),AND($W129&lt;&gt;"",LOWER(TRIM($W129))&lt;&gt;"n/a",COUNTIF($W$2:$W$532,$W129)&gt;1)),"Yes","No"),IF($A129="Cybernet",IF(OR(AND($Y129&lt;&gt;"",LOWER(TRIM($Y129))&lt;&gt;"n/a",COUNTIF($Y$2:$Y$532,$Y129)&gt;1),AND($Z129&lt;&gt;"",LOWER(TRIM($Z129))&lt;&gt;"n/a",COUNTIF($Z$2:$Z$532,$Z129)&gt;1)),"Yes","No"),IF(AND($AL129&lt;&gt;"",LOWER(TRIM($AL129))&lt;&gt;"n/a",COUNTIF($AL$2:$AL$532,$AL129)&gt;1),"Yes","No"))))</f>
      </c>
      <c r="F129">
        <f>IF($B129&lt;&gt;"Yes","",
IF($A129="Neuron",
IF(OR(
AND($R129&lt;&gt;"",LOWER(TRIM($R129))&lt;&gt;"n/a",COUNTIFS($B$2:$B$532,"Yes",$A$2:$A$532,"Neuron",$S$2:$S$532,$R129)&gt;1),
AND($T129&lt;&gt;"",LOWER(TRIM($T129))&lt;&gt;"n/a",COUNTIFS($B$2:$B$532,"Yes",$A$2:$A$532,"Neuron",$T$2:$T$532,$T129)&gt;1),
AND($W129&lt;&gt;"",LOWER(TRIM($W129))&lt;&gt;"n/a",COUNTIFS($B$2:$B$532,"Yes",$A$2:$A$532,"Neuron",$W$2:$W$532,$W129)&gt;1)
),"Yes","No"),
IF($A129="Cybernet",
IF(OR(
AND($Y129&lt;&gt;"",LOWER(TRIM($Y129))&lt;&gt;"n/a",COUNTIFS($B$2:$B$532,"Yes",$A$2:$A$532,"Cybernet",$Y$2:$Y$532,$Y129)&gt;1),
AND($Z129&lt;&gt;"",LOWER(TRIM($Z129))&lt;&gt;"n/a",COUNTIFS($B$2:$B$532,"Yes",$A$2:$A$532,"Cybernet",$Z$2:$Z$532,$Z129)&gt;1)
),"Yes","No"),
IF(AND($AL129&lt;&gt;"",LOWER(TRIM($AL129))&lt;&gt;"n/a"),
IF(COUNTIFS($B$2:$B$532,"Yes",$A$2:$A$532,$A129,$AL$2:$AL$532,$AL129)&gt;1,"Yes","No"),
"No")
)
)
)</f>
      </c>
      <c r="G129" t="s">
        <v>2235</v>
      </c>
      <c r="H129" t="s">
        <v>2235</v>
      </c>
      <c r="I129" t="s">
        <v>1831</v>
      </c>
      <c r="J129" t="s">
        <v>1727</v>
      </c>
      <c r="K129" t="s">
        <v>1727</v>
      </c>
      <c r="L129" t="s">
        <v>1727</v>
      </c>
      <c r="M129" t="s">
        <v>2162</v>
      </c>
      <c r="N129" t="s">
        <v>2376</v>
      </c>
      <c r="O129" t="s">
        <v>1380</v>
      </c>
      <c r="P129" t="s">
        <v>2098</v>
      </c>
      <c r="Q129">
        <v>46075.0</v>
      </c>
      <c r="R129" t="s">
        <v>2251</v>
      </c>
      <c r="S129" t="s">
        <v>2130</v>
      </c>
      <c r="T129" t="s">
        <v>2330</v>
      </c>
      <c r="U129" t="s">
        <v>1380</v>
      </c>
      <c r="Y129" t="s">
        <v>1655</v>
      </c>
      <c r="Z129" t="s">
        <v>1697</v>
      </c>
      <c r="AA129" t="s">
        <v>2031</v>
      </c>
      <c r="AD129" t="s">
        <v>2045</v>
      </c>
      <c r="AE129">
        <v>2</v>
      </c>
      <c r="AF129" t="s">
        <v>2097</v>
      </c>
      <c r="AG129" t="s">
        <v>2345</v>
      </c>
      <c r="AJ129" t="s">
        <v>2124</v>
      </c>
      <c r="AK129" t="s">
        <v>2249</v>
      </c>
      <c r="AL129" t="s">
        <v>2045</v>
      </c>
      <c r="AM129" t="s">
        <v>1307</v>
      </c>
      <c r="AR129" t="s">
        <v>2310</v>
      </c>
      <c r="AW129" t="s">
        <v>1727</v>
      </c>
      <c r="AX129" t="s">
        <v>1727</v>
      </c>
      <c r="AY129" t="s">
        <v>1727</v>
      </c>
      <c r="AZ129" t="s">
        <v>1727</v>
      </c>
      <c r="BI129" t="s">
        <v>1630</v>
      </c>
      <c r="BL129">
        <f>IF($T129="","",IF((IF(AND($AW129&lt;&gt;"Yes",$AW129&lt;&gt;"N/A"),"Power Cable, ","")&amp;IF(AND($AX129&lt;&gt;"Yes",$AX129&lt;&gt;"N/A"),"Battery, ","")&amp;IF(AND($BE129&lt;&gt;"Yes",$BE129&lt;&gt;"N/A"),"Firmware Download, ","")&amp;IF(AND(OR($BE129="Yes",$BE129="N/A"),$BF129&lt;&gt;"Yes",$BF129&lt;&gt;"N/A"),"Firmware Install, ","")&amp;IF(AND($BJ129&lt;&gt;"Yes",$BJ129&lt;&gt;"N/A"),"Device ID, ","")&amp;IF(AND($BK129&lt;&gt;"Yes",$BK129&lt;&gt;"N/A"),"Epic Beans Relay, ",""))="","",LEFT(IF(AND($AW129&lt;&gt;"Yes",$AW129&lt;&gt;"N/A"),"Power Cable, ","")&amp;IF(AND($AX129&lt;&gt;"Yes",$AX129&lt;&gt;"N/A"),"Battery, ","")&amp;IF(AND($BE129&lt;&gt;"Yes",$BE129&lt;&gt;"N/A"),"Firmware Download, ","")&amp;IF(AND(OR($BE129="Yes",$BE129="N/A"),$BF129&lt;&gt;"Yes",$BF129&lt;&gt;"N/A"),"Firmware Install, ","")&amp;IF(AND($BJ129&lt;&gt;"Yes",$BJ129&lt;&gt;"N/A"),"Device ID, ","")&amp;IF(AND($BK129&lt;&gt;"Yes",$BK129&lt;&gt;"N/A"),"Epic Beans Relay, ",""),LEN(IF(AND($AW129&lt;&gt;"Yes",$AW129&lt;&gt;"N/A"),"Power Cable, ","")&amp;IF(AND($AX129&lt;&gt;"Yes",$AX129&lt;&gt;"N/A"),"Battery, ","")&amp;IF(AND($BE129&lt;&gt;"Yes",$BE129&lt;&gt;"N/A"),"Firmware Download, ","")&amp;IF(AND(OR($BE129="Yes",$BE129="N/A"),$BF129&lt;&gt;"Yes",$BF129&lt;&gt;"N/A"),"Firmware Install, ","")&amp;IF(AND($BJ129&lt;&gt;"Yes",$BJ129&lt;&gt;"N/A"),"Device ID, ","")&amp;IF(AND($BK129&lt;&gt;"Yes",$BK129&lt;&gt;"N/A"),"Epic Beans Relay, ",""))-2)))</f>
      </c>
      <c r="BM129">
        <f>IF($T129="","",IF($BL129="","Yes","Blocked"))</f>
      </c>
      <c r="BP129">
        <f>IF($BO129="","",IFERROR(VLOOKUP($BO129,'01_Warehouse_Ledger'!$A:$N,4,FALSE),""))</f>
      </c>
      <c r="BQ129">
        <f>IF($BO129="","",IFERROR(VLOOKUP($BO129,'01_Warehouse_Ledger'!$A:$N,5,FALSE),""))</f>
      </c>
      <c r="BR129">
        <f>IF($BO129="","",IFERROR(VLOOKUP($BO129,'01_Warehouse_Ledger'!$A:$N,13,FALSE),""))</f>
      </c>
      <c r="BS129" t="s">
        <v>1727</v>
      </c>
      <c r="BT129" t="s">
        <v>1727</v>
      </c>
      <c r="BU129" t="s">
        <v>1727</v>
      </c>
      <c r="BV129" t="s">
        <v>1727</v>
      </c>
      <c r="BW129" t="s">
        <v>1727</v>
      </c>
      <c r="BX129">
        <v>19200</v>
      </c>
    </row>
    <row r="130">
      <c r="A130" t="s">
        <v>1415</v>
      </c>
      <c r="B130" t="s">
        <v>1727</v>
      </c>
      <c r="C130" t="s">
        <v>1727</v>
      </c>
      <c r="D130">
        <f>IF($B130&lt;&gt;"Yes","",IF($C130="No","Yes",IF($C130="Yes","No","")))</f>
      </c>
      <c r="E130">
        <f>IF($A130="","",IF($A130="Neuron",IF(OR(AND($R130&lt;&gt;"",LOWER(TRIM($R130))&lt;&gt;"n/a",COUNTIF($S$2:$S$532,$R130)&gt;1),AND($T130&lt;&gt;"",LOWER(TRIM($T130))&lt;&gt;"n/a",COUNTIF($T$2:$T$532,$T130)&gt;1),AND($W130&lt;&gt;"",LOWER(TRIM($W130))&lt;&gt;"n/a",COUNTIF($W$2:$W$532,$W130)&gt;1)),"Yes","No"),IF($A130="Cybernet",IF(OR(AND($Y130&lt;&gt;"",LOWER(TRIM($Y130))&lt;&gt;"n/a",COUNTIF($Y$2:$Y$532,$Y130)&gt;1),AND($Z130&lt;&gt;"",LOWER(TRIM($Z130))&lt;&gt;"n/a",COUNTIF($Z$2:$Z$532,$Z130)&gt;1)),"Yes","No"),IF(AND($AL130&lt;&gt;"",LOWER(TRIM($AL130))&lt;&gt;"n/a",COUNTIF($AL$2:$AL$532,$AL130)&gt;1),"Yes","No"))))</f>
      </c>
      <c r="F130">
        <f>IF($B130&lt;&gt;"Yes","",
IF($A130="Neuron",
IF(OR(
AND($R130&lt;&gt;"",LOWER(TRIM($R130))&lt;&gt;"n/a",COUNTIFS($B$2:$B$532,"Yes",$A$2:$A$532,"Neuron",$S$2:$S$532,$R130)&gt;1),
AND($T130&lt;&gt;"",LOWER(TRIM($T130))&lt;&gt;"n/a",COUNTIFS($B$2:$B$532,"Yes",$A$2:$A$532,"Neuron",$T$2:$T$532,$T130)&gt;1),
AND($W130&lt;&gt;"",LOWER(TRIM($W130))&lt;&gt;"n/a",COUNTIFS($B$2:$B$532,"Yes",$A$2:$A$532,"Neuron",$W$2:$W$532,$W130)&gt;1)
),"Yes","No"),
IF($A130="Cybernet",
IF(OR(
AND($Y130&lt;&gt;"",LOWER(TRIM($Y130))&lt;&gt;"n/a",COUNTIFS($B$2:$B$532,"Yes",$A$2:$A$532,"Cybernet",$Y$2:$Y$532,$Y130)&gt;1),
AND($Z130&lt;&gt;"",LOWER(TRIM($Z130))&lt;&gt;"n/a",COUNTIFS($B$2:$B$532,"Yes",$A$2:$A$532,"Cybernet",$Z$2:$Z$532,$Z130)&gt;1)
),"Yes","No"),
IF(AND($AL130&lt;&gt;"",LOWER(TRIM($AL130))&lt;&gt;"n/a"),
IF(COUNTIFS($B$2:$B$532,"Yes",$A$2:$A$532,$A130,$AL$2:$AL$532,$AL130)&gt;1,"Yes","No"),
"No")
)
)
)</f>
      </c>
      <c r="G130" t="s">
        <v>2235</v>
      </c>
      <c r="H130" t="s">
        <v>2235</v>
      </c>
      <c r="I130" t="s">
        <v>1831</v>
      </c>
      <c r="J130" t="s">
        <v>1727</v>
      </c>
      <c r="K130" t="s">
        <v>1727</v>
      </c>
      <c r="L130" t="s">
        <v>1727</v>
      </c>
      <c r="M130" t="s">
        <v>2162</v>
      </c>
      <c r="N130" t="s">
        <v>2376</v>
      </c>
      <c r="O130" t="s">
        <v>1380</v>
      </c>
      <c r="P130" t="s">
        <v>2098</v>
      </c>
      <c r="Q130">
        <v>46075.0</v>
      </c>
      <c r="R130" t="s">
        <v>2224</v>
      </c>
      <c r="S130" t="s">
        <v>2078</v>
      </c>
      <c r="T130" t="s">
        <v>1639</v>
      </c>
      <c r="U130" t="s">
        <v>1380</v>
      </c>
      <c r="Y130" t="s">
        <v>2334</v>
      </c>
      <c r="Z130" t="s">
        <v>2033</v>
      </c>
      <c r="AA130" t="s">
        <v>2031</v>
      </c>
      <c r="AD130" t="s">
        <v>1664</v>
      </c>
      <c r="AE130">
        <v>2</v>
      </c>
      <c r="AF130" t="s">
        <v>2097</v>
      </c>
      <c r="AG130" t="s">
        <v>1987</v>
      </c>
      <c r="AJ130" t="s">
        <v>2124</v>
      </c>
      <c r="AK130" t="s">
        <v>2249</v>
      </c>
      <c r="AL130" t="s">
        <v>1664</v>
      </c>
      <c r="AM130" t="s">
        <v>1307</v>
      </c>
      <c r="AR130" t="s">
        <v>1756</v>
      </c>
      <c r="AW130" t="s">
        <v>1727</v>
      </c>
      <c r="AX130" t="s">
        <v>1727</v>
      </c>
      <c r="AY130" t="s">
        <v>1727</v>
      </c>
      <c r="AZ130" t="s">
        <v>1727</v>
      </c>
      <c r="BI130" t="s">
        <v>1630</v>
      </c>
      <c r="BL130">
        <f>IF($T130="","",IF((IF(AND($AW130&lt;&gt;"Yes",$AW130&lt;&gt;"N/A"),"Power Cable, ","")&amp;IF(AND($AX130&lt;&gt;"Yes",$AX130&lt;&gt;"N/A"),"Battery, ","")&amp;IF(AND($BE130&lt;&gt;"Yes",$BE130&lt;&gt;"N/A"),"Firmware Download, ","")&amp;IF(AND(OR($BE130="Yes",$BE130="N/A"),$BF130&lt;&gt;"Yes",$BF130&lt;&gt;"N/A"),"Firmware Install, ","")&amp;IF(AND($BJ130&lt;&gt;"Yes",$BJ130&lt;&gt;"N/A"),"Device ID, ","")&amp;IF(AND($BK130&lt;&gt;"Yes",$BK130&lt;&gt;"N/A"),"Epic Beans Relay, ",""))="","",LEFT(IF(AND($AW130&lt;&gt;"Yes",$AW130&lt;&gt;"N/A"),"Power Cable, ","")&amp;IF(AND($AX130&lt;&gt;"Yes",$AX130&lt;&gt;"N/A"),"Battery, ","")&amp;IF(AND($BE130&lt;&gt;"Yes",$BE130&lt;&gt;"N/A"),"Firmware Download, ","")&amp;IF(AND(OR($BE130="Yes",$BE130="N/A"),$BF130&lt;&gt;"Yes",$BF130&lt;&gt;"N/A"),"Firmware Install, ","")&amp;IF(AND($BJ130&lt;&gt;"Yes",$BJ130&lt;&gt;"N/A"),"Device ID, ","")&amp;IF(AND($BK130&lt;&gt;"Yes",$BK130&lt;&gt;"N/A"),"Epic Beans Relay, ",""),LEN(IF(AND($AW130&lt;&gt;"Yes",$AW130&lt;&gt;"N/A"),"Power Cable, ","")&amp;IF(AND($AX130&lt;&gt;"Yes",$AX130&lt;&gt;"N/A"),"Battery, ","")&amp;IF(AND($BE130&lt;&gt;"Yes",$BE130&lt;&gt;"N/A"),"Firmware Download, ","")&amp;IF(AND(OR($BE130="Yes",$BE130="N/A"),$BF130&lt;&gt;"Yes",$BF130&lt;&gt;"N/A"),"Firmware Install, ","")&amp;IF(AND($BJ130&lt;&gt;"Yes",$BJ130&lt;&gt;"N/A"),"Device ID, ","")&amp;IF(AND($BK130&lt;&gt;"Yes",$BK130&lt;&gt;"N/A"),"Epic Beans Relay, ",""))-2)))</f>
      </c>
      <c r="BM130">
        <f>IF($T130="","",IF($BL130="","Yes","Blocked"))</f>
      </c>
      <c r="BP130">
        <f>IF($BO130="","",IFERROR(VLOOKUP($BO130,'01_Warehouse_Ledger'!$A:$N,4,FALSE),""))</f>
      </c>
      <c r="BQ130">
        <f>IF($BO130="","",IFERROR(VLOOKUP($BO130,'01_Warehouse_Ledger'!$A:$N,5,FALSE),""))</f>
      </c>
      <c r="BR130">
        <f>IF($BO130="","",IFERROR(VLOOKUP($BO130,'01_Warehouse_Ledger'!$A:$N,13,FALSE),""))</f>
      </c>
      <c r="BS130" t="s">
        <v>1727</v>
      </c>
      <c r="BT130" t="s">
        <v>1727</v>
      </c>
      <c r="BU130" t="s">
        <v>1727</v>
      </c>
      <c r="BV130" t="s">
        <v>1727</v>
      </c>
      <c r="BW130" t="s">
        <v>1727</v>
      </c>
      <c r="BX130">
        <v>19200</v>
      </c>
    </row>
    <row r="131">
      <c r="A131" t="s">
        <v>1415</v>
      </c>
      <c r="C131" t="s">
        <v>1657</v>
      </c>
      <c r="D131">
        <f>IF($B131&lt;&gt;"Yes","",IF($C131="No","Yes",IF($C131="Yes","No","")))</f>
      </c>
      <c r="E131">
        <f>IF($A131="","",IF($A131="Neuron",IF(OR(AND($R131&lt;&gt;"",LOWER(TRIM($R131))&lt;&gt;"n/a",COUNTIF($S$2:$S$532,$R131)&gt;1),AND($T131&lt;&gt;"",LOWER(TRIM($T131))&lt;&gt;"n/a",COUNTIF($T$2:$T$532,$T131)&gt;1),AND($W131&lt;&gt;"",LOWER(TRIM($W131))&lt;&gt;"n/a",COUNTIF($W$2:$W$532,$W131)&gt;1)),"Yes","No"),IF($A131="Cybernet",IF(OR(AND($Y131&lt;&gt;"",LOWER(TRIM($Y131))&lt;&gt;"n/a",COUNTIF($Y$2:$Y$532,$Y131)&gt;1),AND($Z131&lt;&gt;"",LOWER(TRIM($Z131))&lt;&gt;"n/a",COUNTIF($Z$2:$Z$532,$Z131)&gt;1)),"Yes","No"),IF(AND($AL131&lt;&gt;"",LOWER(TRIM($AL131))&lt;&gt;"n/a",COUNTIF($AL$2:$AL$532,$AL131)&gt;1),"Yes","No"))))</f>
      </c>
      <c r="F131">
        <f>IF($B131&lt;&gt;"Yes","",
IF($A131="Neuron",
IF(OR(
AND($R131&lt;&gt;"",LOWER(TRIM($R131))&lt;&gt;"n/a",COUNTIFS($B$2:$B$532,"Yes",$A$2:$A$532,"Neuron",$S$2:$S$532,$R131)&gt;1),
AND($T131&lt;&gt;"",LOWER(TRIM($T131))&lt;&gt;"n/a",COUNTIFS($B$2:$B$532,"Yes",$A$2:$A$532,"Neuron",$T$2:$T$532,$T131)&gt;1),
AND($W131&lt;&gt;"",LOWER(TRIM($W131))&lt;&gt;"n/a",COUNTIFS($B$2:$B$532,"Yes",$A$2:$A$532,"Neuron",$W$2:$W$532,$W131)&gt;1)
),"Yes","No"),
IF($A131="Cybernet",
IF(OR(
AND($Y131&lt;&gt;"",LOWER(TRIM($Y131))&lt;&gt;"n/a",COUNTIFS($B$2:$B$532,"Yes",$A$2:$A$532,"Cybernet",$Y$2:$Y$532,$Y131)&gt;1),
AND($Z131&lt;&gt;"",LOWER(TRIM($Z131))&lt;&gt;"n/a",COUNTIFS($B$2:$B$532,"Yes",$A$2:$A$532,"Cybernet",$Z$2:$Z$532,$Z131)&gt;1)
),"Yes","No"),
IF(AND($AL131&lt;&gt;"",LOWER(TRIM($AL131))&lt;&gt;"n/a"),
IF(COUNTIFS($B$2:$B$532,"Yes",$A$2:$A$532,$A131,$AL$2:$AL$532,$AL131)&gt;1,"Yes","No"),
"No")
)
)
)</f>
      </c>
      <c r="G131" t="s">
        <v>1880</v>
      </c>
      <c r="H131" t="s">
        <v>2235</v>
      </c>
      <c r="I131" t="s">
        <v>1831</v>
      </c>
      <c r="J131" t="s">
        <v>1727</v>
      </c>
      <c r="K131" t="s">
        <v>1657</v>
      </c>
      <c r="L131" t="s">
        <v>1657</v>
      </c>
      <c r="R131" t="s">
        <v>1939</v>
      </c>
      <c r="BI131" t="s">
        <v>1630</v>
      </c>
      <c r="BL131">
        <f>IF($T131="","",IF((IF(AND($AW131&lt;&gt;"Yes",$AW131&lt;&gt;"N/A"),"Power Cable, ","")&amp;IF(AND($AX131&lt;&gt;"Yes",$AX131&lt;&gt;"N/A"),"Battery, ","")&amp;IF(AND($BE131&lt;&gt;"Yes",$BE131&lt;&gt;"N/A"),"Firmware Download, ","")&amp;IF(AND(OR($BE131="Yes",$BE131="N/A"),$BF131&lt;&gt;"Yes",$BF131&lt;&gt;"N/A"),"Firmware Install, ","")&amp;IF(AND($BJ131&lt;&gt;"Yes",$BJ131&lt;&gt;"N/A"),"Device ID, ","")&amp;IF(AND($BK131&lt;&gt;"Yes",$BK131&lt;&gt;"N/A"),"Epic Beans Relay, ",""))="","",LEFT(IF(AND($AW131&lt;&gt;"Yes",$AW131&lt;&gt;"N/A"),"Power Cable, ","")&amp;IF(AND($AX131&lt;&gt;"Yes",$AX131&lt;&gt;"N/A"),"Battery, ","")&amp;IF(AND($BE131&lt;&gt;"Yes",$BE131&lt;&gt;"N/A"),"Firmware Download, ","")&amp;IF(AND(OR($BE131="Yes",$BE131="N/A"),$BF131&lt;&gt;"Yes",$BF131&lt;&gt;"N/A"),"Firmware Install, ","")&amp;IF(AND($BJ131&lt;&gt;"Yes",$BJ131&lt;&gt;"N/A"),"Device ID, ","")&amp;IF(AND($BK131&lt;&gt;"Yes",$BK131&lt;&gt;"N/A"),"Epic Beans Relay, ",""),LEN(IF(AND($AW131&lt;&gt;"Yes",$AW131&lt;&gt;"N/A"),"Power Cable, ","")&amp;IF(AND($AX131&lt;&gt;"Yes",$AX131&lt;&gt;"N/A"),"Battery, ","")&amp;IF(AND($BE131&lt;&gt;"Yes",$BE131&lt;&gt;"N/A"),"Firmware Download, ","")&amp;IF(AND(OR($BE131="Yes",$BE131="N/A"),$BF131&lt;&gt;"Yes",$BF131&lt;&gt;"N/A"),"Firmware Install, ","")&amp;IF(AND($BJ131&lt;&gt;"Yes",$BJ131&lt;&gt;"N/A"),"Device ID, ","")&amp;IF(AND($BK131&lt;&gt;"Yes",$BK131&lt;&gt;"N/A"),"Epic Beans Relay, ",""))-2)))</f>
      </c>
      <c r="BM131">
        <f>IF($T131="","",IF($BL131="","Yes","Blocked"))</f>
      </c>
      <c r="BP131">
        <f>IF($BO131="","",IFERROR(VLOOKUP($BO131,'01_Warehouse_Ledger'!$A:$N,4,FALSE),""))</f>
      </c>
      <c r="BQ131">
        <f>IF($BO131="","",IFERROR(VLOOKUP($BO131,'01_Warehouse_Ledger'!$A:$N,5,FALSE),""))</f>
      </c>
      <c r="BR131">
        <f>IF($BO131="","",IFERROR(VLOOKUP($BO131,'01_Warehouse_Ledger'!$A:$N,13,FALSE),""))</f>
      </c>
    </row>
    <row r="132">
      <c r="A132" t="s">
        <v>1415</v>
      </c>
      <c r="C132" t="s">
        <v>1657</v>
      </c>
      <c r="D132">
        <f>IF($B132&lt;&gt;"Yes","",IF($C132="No","Yes",IF($C132="Yes","No","")))</f>
      </c>
      <c r="E132">
        <f>IF($A132="","",IF($A132="Neuron",IF(OR(AND($R132&lt;&gt;"",LOWER(TRIM($R132))&lt;&gt;"n/a",COUNTIF($S$2:$S$532,$R132)&gt;1),AND($T132&lt;&gt;"",LOWER(TRIM($T132))&lt;&gt;"n/a",COUNTIF($T$2:$T$532,$T132)&gt;1),AND($W132&lt;&gt;"",LOWER(TRIM($W132))&lt;&gt;"n/a",COUNTIF($W$2:$W$532,$W132)&gt;1)),"Yes","No"),IF($A132="Cybernet",IF(OR(AND($Y132&lt;&gt;"",LOWER(TRIM($Y132))&lt;&gt;"n/a",COUNTIF($Y$2:$Y$532,$Y132)&gt;1),AND($Z132&lt;&gt;"",LOWER(TRIM($Z132))&lt;&gt;"n/a",COUNTIF($Z$2:$Z$532,$Z132)&gt;1)),"Yes","No"),IF(AND($AL132&lt;&gt;"",LOWER(TRIM($AL132))&lt;&gt;"n/a",COUNTIF($AL$2:$AL$532,$AL132)&gt;1),"Yes","No"))))</f>
      </c>
      <c r="F132">
        <f>IF($B132&lt;&gt;"Yes","",
IF($A132="Neuron",
IF(OR(
AND($R132&lt;&gt;"",LOWER(TRIM($R132))&lt;&gt;"n/a",COUNTIFS($B$2:$B$532,"Yes",$A$2:$A$532,"Neuron",$S$2:$S$532,$R132)&gt;1),
AND($T132&lt;&gt;"",LOWER(TRIM($T132))&lt;&gt;"n/a",COUNTIFS($B$2:$B$532,"Yes",$A$2:$A$532,"Neuron",$T$2:$T$532,$T132)&gt;1),
AND($W132&lt;&gt;"",LOWER(TRIM($W132))&lt;&gt;"n/a",COUNTIFS($B$2:$B$532,"Yes",$A$2:$A$532,"Neuron",$W$2:$W$532,$W132)&gt;1)
),"Yes","No"),
IF($A132="Cybernet",
IF(OR(
AND($Y132&lt;&gt;"",LOWER(TRIM($Y132))&lt;&gt;"n/a",COUNTIFS($B$2:$B$532,"Yes",$A$2:$A$532,"Cybernet",$Y$2:$Y$532,$Y132)&gt;1),
AND($Z132&lt;&gt;"",LOWER(TRIM($Z132))&lt;&gt;"n/a",COUNTIFS($B$2:$B$532,"Yes",$A$2:$A$532,"Cybernet",$Z$2:$Z$532,$Z132)&gt;1)
),"Yes","No"),
IF(AND($AL132&lt;&gt;"",LOWER(TRIM($AL132))&lt;&gt;"n/a"),
IF(COUNTIFS($B$2:$B$532,"Yes",$A$2:$A$532,$A132,$AL$2:$AL$532,$AL132)&gt;1,"Yes","No"),
"No")
)
)
)</f>
      </c>
      <c r="G132" t="s">
        <v>1880</v>
      </c>
      <c r="H132" t="s">
        <v>2235</v>
      </c>
      <c r="I132" t="s">
        <v>1831</v>
      </c>
      <c r="J132" t="s">
        <v>1727</v>
      </c>
      <c r="K132" t="s">
        <v>1657</v>
      </c>
      <c r="L132" t="s">
        <v>1657</v>
      </c>
      <c r="R132" t="s">
        <v>2393</v>
      </c>
      <c r="BI132" t="s">
        <v>1630</v>
      </c>
      <c r="BL132">
        <f>IF($T132="","",IF((IF(AND($AW132&lt;&gt;"Yes",$AW132&lt;&gt;"N/A"),"Power Cable, ","")&amp;IF(AND($AX132&lt;&gt;"Yes",$AX132&lt;&gt;"N/A"),"Battery, ","")&amp;IF(AND($BE132&lt;&gt;"Yes",$BE132&lt;&gt;"N/A"),"Firmware Download, ","")&amp;IF(AND(OR($BE132="Yes",$BE132="N/A"),$BF132&lt;&gt;"Yes",$BF132&lt;&gt;"N/A"),"Firmware Install, ","")&amp;IF(AND($BJ132&lt;&gt;"Yes",$BJ132&lt;&gt;"N/A"),"Device ID, ","")&amp;IF(AND($BK132&lt;&gt;"Yes",$BK132&lt;&gt;"N/A"),"Epic Beans Relay, ",""))="","",LEFT(IF(AND($AW132&lt;&gt;"Yes",$AW132&lt;&gt;"N/A"),"Power Cable, ","")&amp;IF(AND($AX132&lt;&gt;"Yes",$AX132&lt;&gt;"N/A"),"Battery, ","")&amp;IF(AND($BE132&lt;&gt;"Yes",$BE132&lt;&gt;"N/A"),"Firmware Download, ","")&amp;IF(AND(OR($BE132="Yes",$BE132="N/A"),$BF132&lt;&gt;"Yes",$BF132&lt;&gt;"N/A"),"Firmware Install, ","")&amp;IF(AND($BJ132&lt;&gt;"Yes",$BJ132&lt;&gt;"N/A"),"Device ID, ","")&amp;IF(AND($BK132&lt;&gt;"Yes",$BK132&lt;&gt;"N/A"),"Epic Beans Relay, ",""),LEN(IF(AND($AW132&lt;&gt;"Yes",$AW132&lt;&gt;"N/A"),"Power Cable, ","")&amp;IF(AND($AX132&lt;&gt;"Yes",$AX132&lt;&gt;"N/A"),"Battery, ","")&amp;IF(AND($BE132&lt;&gt;"Yes",$BE132&lt;&gt;"N/A"),"Firmware Download, ","")&amp;IF(AND(OR($BE132="Yes",$BE132="N/A"),$BF132&lt;&gt;"Yes",$BF132&lt;&gt;"N/A"),"Firmware Install, ","")&amp;IF(AND($BJ132&lt;&gt;"Yes",$BJ132&lt;&gt;"N/A"),"Device ID, ","")&amp;IF(AND($BK132&lt;&gt;"Yes",$BK132&lt;&gt;"N/A"),"Epic Beans Relay, ",""))-2)))</f>
      </c>
      <c r="BM132">
        <f>IF($T132="","",IF($BL132="","Yes","Blocked"))</f>
      </c>
      <c r="BP132">
        <f>IF($BO132="","",IFERROR(VLOOKUP($BO132,'01_Warehouse_Ledger'!$A:$N,4,FALSE),""))</f>
      </c>
      <c r="BQ132">
        <f>IF($BO132="","",IFERROR(VLOOKUP($BO132,'01_Warehouse_Ledger'!$A:$N,5,FALSE),""))</f>
      </c>
      <c r="BR132">
        <f>IF($BO132="","",IFERROR(VLOOKUP($BO132,'01_Warehouse_Ledger'!$A:$N,13,FALSE),""))</f>
      </c>
    </row>
    <row r="133">
      <c r="A133" t="s">
        <v>1415</v>
      </c>
      <c r="C133" t="s">
        <v>1657</v>
      </c>
      <c r="D133">
        <f>IF($B133&lt;&gt;"Yes","",IF($C133="No","Yes",IF($C133="Yes","No","")))</f>
      </c>
      <c r="E133">
        <f>IF($A133="","",IF($A133="Neuron",IF(OR(AND($R133&lt;&gt;"",LOWER(TRIM($R133))&lt;&gt;"n/a",COUNTIF($S$2:$S$532,$R133)&gt;1),AND($T133&lt;&gt;"",LOWER(TRIM($T133))&lt;&gt;"n/a",COUNTIF($T$2:$T$532,$T133)&gt;1),AND($W133&lt;&gt;"",LOWER(TRIM($W133))&lt;&gt;"n/a",COUNTIF($W$2:$W$532,$W133)&gt;1)),"Yes","No"),IF($A133="Cybernet",IF(OR(AND($Y133&lt;&gt;"",LOWER(TRIM($Y133))&lt;&gt;"n/a",COUNTIF($Y$2:$Y$532,$Y133)&gt;1),AND($Z133&lt;&gt;"",LOWER(TRIM($Z133))&lt;&gt;"n/a",COUNTIF($Z$2:$Z$532,$Z133)&gt;1)),"Yes","No"),IF(AND($AL133&lt;&gt;"",LOWER(TRIM($AL133))&lt;&gt;"n/a",COUNTIF($AL$2:$AL$532,$AL133)&gt;1),"Yes","No"))))</f>
      </c>
      <c r="F133">
        <f>IF($B133&lt;&gt;"Yes","",
IF($A133="Neuron",
IF(OR(
AND($R133&lt;&gt;"",LOWER(TRIM($R133))&lt;&gt;"n/a",COUNTIFS($B$2:$B$532,"Yes",$A$2:$A$532,"Neuron",$S$2:$S$532,$R133)&gt;1),
AND($T133&lt;&gt;"",LOWER(TRIM($T133))&lt;&gt;"n/a",COUNTIFS($B$2:$B$532,"Yes",$A$2:$A$532,"Neuron",$T$2:$T$532,$T133)&gt;1),
AND($W133&lt;&gt;"",LOWER(TRIM($W133))&lt;&gt;"n/a",COUNTIFS($B$2:$B$532,"Yes",$A$2:$A$532,"Neuron",$W$2:$W$532,$W133)&gt;1)
),"Yes","No"),
IF($A133="Cybernet",
IF(OR(
AND($Y133&lt;&gt;"",LOWER(TRIM($Y133))&lt;&gt;"n/a",COUNTIFS($B$2:$B$532,"Yes",$A$2:$A$532,"Cybernet",$Y$2:$Y$532,$Y133)&gt;1),
AND($Z133&lt;&gt;"",LOWER(TRIM($Z133))&lt;&gt;"n/a",COUNTIFS($B$2:$B$532,"Yes",$A$2:$A$532,"Cybernet",$Z$2:$Z$532,$Z133)&gt;1)
),"Yes","No"),
IF(AND($AL133&lt;&gt;"",LOWER(TRIM($AL133))&lt;&gt;"n/a"),
IF(COUNTIFS($B$2:$B$532,"Yes",$A$2:$A$532,$A133,$AL$2:$AL$532,$AL133)&gt;1,"Yes","No"),
"No")
)
)
)</f>
      </c>
      <c r="G133" t="s">
        <v>1880</v>
      </c>
      <c r="H133" t="s">
        <v>2235</v>
      </c>
      <c r="I133" t="s">
        <v>1831</v>
      </c>
      <c r="J133" t="s">
        <v>1727</v>
      </c>
      <c r="K133" t="s">
        <v>1657</v>
      </c>
      <c r="L133" t="s">
        <v>1657</v>
      </c>
      <c r="R133" t="s">
        <v>1753</v>
      </c>
      <c r="BI133" t="s">
        <v>1630</v>
      </c>
      <c r="BL133">
        <f>IF($T133="","",IF((IF(AND($AW133&lt;&gt;"Yes",$AW133&lt;&gt;"N/A"),"Power Cable, ","")&amp;IF(AND($AX133&lt;&gt;"Yes",$AX133&lt;&gt;"N/A"),"Battery, ","")&amp;IF(AND($BE133&lt;&gt;"Yes",$BE133&lt;&gt;"N/A"),"Firmware Download, ","")&amp;IF(AND(OR($BE133="Yes",$BE133="N/A"),$BF133&lt;&gt;"Yes",$BF133&lt;&gt;"N/A"),"Firmware Install, ","")&amp;IF(AND($BJ133&lt;&gt;"Yes",$BJ133&lt;&gt;"N/A"),"Device ID, ","")&amp;IF(AND($BK133&lt;&gt;"Yes",$BK133&lt;&gt;"N/A"),"Epic Beans Relay, ",""))="","",LEFT(IF(AND($AW133&lt;&gt;"Yes",$AW133&lt;&gt;"N/A"),"Power Cable, ","")&amp;IF(AND($AX133&lt;&gt;"Yes",$AX133&lt;&gt;"N/A"),"Battery, ","")&amp;IF(AND($BE133&lt;&gt;"Yes",$BE133&lt;&gt;"N/A"),"Firmware Download, ","")&amp;IF(AND(OR($BE133="Yes",$BE133="N/A"),$BF133&lt;&gt;"Yes",$BF133&lt;&gt;"N/A"),"Firmware Install, ","")&amp;IF(AND($BJ133&lt;&gt;"Yes",$BJ133&lt;&gt;"N/A"),"Device ID, ","")&amp;IF(AND($BK133&lt;&gt;"Yes",$BK133&lt;&gt;"N/A"),"Epic Beans Relay, ",""),LEN(IF(AND($AW133&lt;&gt;"Yes",$AW133&lt;&gt;"N/A"),"Power Cable, ","")&amp;IF(AND($AX133&lt;&gt;"Yes",$AX133&lt;&gt;"N/A"),"Battery, ","")&amp;IF(AND($BE133&lt;&gt;"Yes",$BE133&lt;&gt;"N/A"),"Firmware Download, ","")&amp;IF(AND(OR($BE133="Yes",$BE133="N/A"),$BF133&lt;&gt;"Yes",$BF133&lt;&gt;"N/A"),"Firmware Install, ","")&amp;IF(AND($BJ133&lt;&gt;"Yes",$BJ133&lt;&gt;"N/A"),"Device ID, ","")&amp;IF(AND($BK133&lt;&gt;"Yes",$BK133&lt;&gt;"N/A"),"Epic Beans Relay, ",""))-2)))</f>
      </c>
      <c r="BM133">
        <f>IF($T133="","",IF($BL133="","Yes","Blocked"))</f>
      </c>
      <c r="BP133">
        <f>IF($BO133="","",IFERROR(VLOOKUP($BO133,'01_Warehouse_Ledger'!$A:$N,4,FALSE),""))</f>
      </c>
      <c r="BQ133">
        <f>IF($BO133="","",IFERROR(VLOOKUP($BO133,'01_Warehouse_Ledger'!$A:$N,5,FALSE),""))</f>
      </c>
      <c r="BR133">
        <f>IF($BO133="","",IFERROR(VLOOKUP($BO133,'01_Warehouse_Ledger'!$A:$N,13,FALSE),""))</f>
      </c>
    </row>
    <row r="134">
      <c r="A134" t="s">
        <v>1415</v>
      </c>
      <c r="C134" t="s">
        <v>1657</v>
      </c>
      <c r="D134">
        <f>IF($B134&lt;&gt;"Yes","",IF($C134="No","Yes",IF($C134="Yes","No","")))</f>
      </c>
      <c r="E134">
        <f>IF($A134="","",IF($A134="Neuron",IF(OR(AND($R134&lt;&gt;"",LOWER(TRIM($R134))&lt;&gt;"n/a",COUNTIF($S$2:$S$532,$R134)&gt;1),AND($T134&lt;&gt;"",LOWER(TRIM($T134))&lt;&gt;"n/a",COUNTIF($T$2:$T$532,$T134)&gt;1),AND($W134&lt;&gt;"",LOWER(TRIM($W134))&lt;&gt;"n/a",COUNTIF($W$2:$W$532,$W134)&gt;1)),"Yes","No"),IF($A134="Cybernet",IF(OR(AND($Y134&lt;&gt;"",LOWER(TRIM($Y134))&lt;&gt;"n/a",COUNTIF($Y$2:$Y$532,$Y134)&gt;1),AND($Z134&lt;&gt;"",LOWER(TRIM($Z134))&lt;&gt;"n/a",COUNTIF($Z$2:$Z$532,$Z134)&gt;1)),"Yes","No"),IF(AND($AL134&lt;&gt;"",LOWER(TRIM($AL134))&lt;&gt;"n/a",COUNTIF($AL$2:$AL$532,$AL134)&gt;1),"Yes","No"))))</f>
      </c>
      <c r="F134">
        <f>IF($B134&lt;&gt;"Yes","",
IF($A134="Neuron",
IF(OR(
AND($R134&lt;&gt;"",LOWER(TRIM($R134))&lt;&gt;"n/a",COUNTIFS($B$2:$B$532,"Yes",$A$2:$A$532,"Neuron",$S$2:$S$532,$R134)&gt;1),
AND($T134&lt;&gt;"",LOWER(TRIM($T134))&lt;&gt;"n/a",COUNTIFS($B$2:$B$532,"Yes",$A$2:$A$532,"Neuron",$T$2:$T$532,$T134)&gt;1),
AND($W134&lt;&gt;"",LOWER(TRIM($W134))&lt;&gt;"n/a",COUNTIFS($B$2:$B$532,"Yes",$A$2:$A$532,"Neuron",$W$2:$W$532,$W134)&gt;1)
),"Yes","No"),
IF($A134="Cybernet",
IF(OR(
AND($Y134&lt;&gt;"",LOWER(TRIM($Y134))&lt;&gt;"n/a",COUNTIFS($B$2:$B$532,"Yes",$A$2:$A$532,"Cybernet",$Y$2:$Y$532,$Y134)&gt;1),
AND($Z134&lt;&gt;"",LOWER(TRIM($Z134))&lt;&gt;"n/a",COUNTIFS($B$2:$B$532,"Yes",$A$2:$A$532,"Cybernet",$Z$2:$Z$532,$Z134)&gt;1)
),"Yes","No"),
IF(AND($AL134&lt;&gt;"",LOWER(TRIM($AL134))&lt;&gt;"n/a"),
IF(COUNTIFS($B$2:$B$532,"Yes",$A$2:$A$532,$A134,$AL$2:$AL$532,$AL134)&gt;1,"Yes","No"),
"No")
)
)
)</f>
      </c>
      <c r="G134" t="s">
        <v>1880</v>
      </c>
      <c r="H134" t="s">
        <v>2235</v>
      </c>
      <c r="I134" t="s">
        <v>1831</v>
      </c>
      <c r="J134" t="s">
        <v>1727</v>
      </c>
      <c r="K134" t="s">
        <v>1657</v>
      </c>
      <c r="L134" t="s">
        <v>1657</v>
      </c>
      <c r="R134" t="s">
        <v>2294</v>
      </c>
      <c r="BI134" t="s">
        <v>1630</v>
      </c>
      <c r="BL134">
        <f>IF($T134="","",IF((IF(AND($AW134&lt;&gt;"Yes",$AW134&lt;&gt;"N/A"),"Power Cable, ","")&amp;IF(AND($AX134&lt;&gt;"Yes",$AX134&lt;&gt;"N/A"),"Battery, ","")&amp;IF(AND($BE134&lt;&gt;"Yes",$BE134&lt;&gt;"N/A"),"Firmware Download, ","")&amp;IF(AND(OR($BE134="Yes",$BE134="N/A"),$BF134&lt;&gt;"Yes",$BF134&lt;&gt;"N/A"),"Firmware Install, ","")&amp;IF(AND($BJ134&lt;&gt;"Yes",$BJ134&lt;&gt;"N/A"),"Device ID, ","")&amp;IF(AND($BK134&lt;&gt;"Yes",$BK134&lt;&gt;"N/A"),"Epic Beans Relay, ",""))="","",LEFT(IF(AND($AW134&lt;&gt;"Yes",$AW134&lt;&gt;"N/A"),"Power Cable, ","")&amp;IF(AND($AX134&lt;&gt;"Yes",$AX134&lt;&gt;"N/A"),"Battery, ","")&amp;IF(AND($BE134&lt;&gt;"Yes",$BE134&lt;&gt;"N/A"),"Firmware Download, ","")&amp;IF(AND(OR($BE134="Yes",$BE134="N/A"),$BF134&lt;&gt;"Yes",$BF134&lt;&gt;"N/A"),"Firmware Install, ","")&amp;IF(AND($BJ134&lt;&gt;"Yes",$BJ134&lt;&gt;"N/A"),"Device ID, ","")&amp;IF(AND($BK134&lt;&gt;"Yes",$BK134&lt;&gt;"N/A"),"Epic Beans Relay, ",""),LEN(IF(AND($AW134&lt;&gt;"Yes",$AW134&lt;&gt;"N/A"),"Power Cable, ","")&amp;IF(AND($AX134&lt;&gt;"Yes",$AX134&lt;&gt;"N/A"),"Battery, ","")&amp;IF(AND($BE134&lt;&gt;"Yes",$BE134&lt;&gt;"N/A"),"Firmware Download, ","")&amp;IF(AND(OR($BE134="Yes",$BE134="N/A"),$BF134&lt;&gt;"Yes",$BF134&lt;&gt;"N/A"),"Firmware Install, ","")&amp;IF(AND($BJ134&lt;&gt;"Yes",$BJ134&lt;&gt;"N/A"),"Device ID, ","")&amp;IF(AND($BK134&lt;&gt;"Yes",$BK134&lt;&gt;"N/A"),"Epic Beans Relay, ",""))-2)))</f>
      </c>
      <c r="BM134">
        <f>IF($T134="","",IF($BL134="","Yes","Blocked"))</f>
      </c>
      <c r="BP134">
        <f>IF($BO134="","",IFERROR(VLOOKUP($BO134,'01_Warehouse_Ledger'!$A:$N,4,FALSE),""))</f>
      </c>
      <c r="BQ134">
        <f>IF($BO134="","",IFERROR(VLOOKUP($BO134,'01_Warehouse_Ledger'!$A:$N,5,FALSE),""))</f>
      </c>
      <c r="BR134">
        <f>IF($BO134="","",IFERROR(VLOOKUP($BO134,'01_Warehouse_Ledger'!$A:$N,13,FALSE),""))</f>
      </c>
    </row>
    <row r="135">
      <c r="A135" t="s">
        <v>1415</v>
      </c>
      <c r="C135" t="s">
        <v>1657</v>
      </c>
      <c r="D135">
        <f>IF($B135&lt;&gt;"Yes","",IF($C135="No","Yes",IF($C135="Yes","No","")))</f>
      </c>
      <c r="E135">
        <f>IF($A135="","",IF($A135="Neuron",IF(OR(AND($R135&lt;&gt;"",LOWER(TRIM($R135))&lt;&gt;"n/a",COUNTIF($S$2:$S$532,$R135)&gt;1),AND($T135&lt;&gt;"",LOWER(TRIM($T135))&lt;&gt;"n/a",COUNTIF($T$2:$T$532,$T135)&gt;1),AND($W135&lt;&gt;"",LOWER(TRIM($W135))&lt;&gt;"n/a",COUNTIF($W$2:$W$532,$W135)&gt;1)),"Yes","No"),IF($A135="Cybernet",IF(OR(AND($Y135&lt;&gt;"",LOWER(TRIM($Y135))&lt;&gt;"n/a",COUNTIF($Y$2:$Y$532,$Y135)&gt;1),AND($Z135&lt;&gt;"",LOWER(TRIM($Z135))&lt;&gt;"n/a",COUNTIF($Z$2:$Z$532,$Z135)&gt;1)),"Yes","No"),IF(AND($AL135&lt;&gt;"",LOWER(TRIM($AL135))&lt;&gt;"n/a",COUNTIF($AL$2:$AL$532,$AL135)&gt;1),"Yes","No"))))</f>
      </c>
      <c r="F135">
        <f>IF($B135&lt;&gt;"Yes","",
IF($A135="Neuron",
IF(OR(
AND($R135&lt;&gt;"",LOWER(TRIM($R135))&lt;&gt;"n/a",COUNTIFS($B$2:$B$532,"Yes",$A$2:$A$532,"Neuron",$S$2:$S$532,$R135)&gt;1),
AND($T135&lt;&gt;"",LOWER(TRIM($T135))&lt;&gt;"n/a",COUNTIFS($B$2:$B$532,"Yes",$A$2:$A$532,"Neuron",$T$2:$T$532,$T135)&gt;1),
AND($W135&lt;&gt;"",LOWER(TRIM($W135))&lt;&gt;"n/a",COUNTIFS($B$2:$B$532,"Yes",$A$2:$A$532,"Neuron",$W$2:$W$532,$W135)&gt;1)
),"Yes","No"),
IF($A135="Cybernet",
IF(OR(
AND($Y135&lt;&gt;"",LOWER(TRIM($Y135))&lt;&gt;"n/a",COUNTIFS($B$2:$B$532,"Yes",$A$2:$A$532,"Cybernet",$Y$2:$Y$532,$Y135)&gt;1),
AND($Z135&lt;&gt;"",LOWER(TRIM($Z135))&lt;&gt;"n/a",COUNTIFS($B$2:$B$532,"Yes",$A$2:$A$532,"Cybernet",$Z$2:$Z$532,$Z135)&gt;1)
),"Yes","No"),
IF(AND($AL135&lt;&gt;"",LOWER(TRIM($AL135))&lt;&gt;"n/a"),
IF(COUNTIFS($B$2:$B$532,"Yes",$A$2:$A$532,$A135,$AL$2:$AL$532,$AL135)&gt;1,"Yes","No"),
"No")
)
)
)</f>
      </c>
      <c r="G135" t="s">
        <v>1880</v>
      </c>
      <c r="H135" t="s">
        <v>2235</v>
      </c>
      <c r="I135" t="s">
        <v>1831</v>
      </c>
      <c r="J135" t="s">
        <v>1727</v>
      </c>
      <c r="K135" t="s">
        <v>1657</v>
      </c>
      <c r="L135" t="s">
        <v>1657</v>
      </c>
      <c r="R135" t="s">
        <v>2183</v>
      </c>
      <c r="BI135" t="s">
        <v>1630</v>
      </c>
      <c r="BL135">
        <f>IF($T135="","",IF((IF(AND($AW135&lt;&gt;"Yes",$AW135&lt;&gt;"N/A"),"Power Cable, ","")&amp;IF(AND($AX135&lt;&gt;"Yes",$AX135&lt;&gt;"N/A"),"Battery, ","")&amp;IF(AND($BE135&lt;&gt;"Yes",$BE135&lt;&gt;"N/A"),"Firmware Download, ","")&amp;IF(AND(OR($BE135="Yes",$BE135="N/A"),$BF135&lt;&gt;"Yes",$BF135&lt;&gt;"N/A"),"Firmware Install, ","")&amp;IF(AND($BJ135&lt;&gt;"Yes",$BJ135&lt;&gt;"N/A"),"Device ID, ","")&amp;IF(AND($BK135&lt;&gt;"Yes",$BK135&lt;&gt;"N/A"),"Epic Beans Relay, ",""))="","",LEFT(IF(AND($AW135&lt;&gt;"Yes",$AW135&lt;&gt;"N/A"),"Power Cable, ","")&amp;IF(AND($AX135&lt;&gt;"Yes",$AX135&lt;&gt;"N/A"),"Battery, ","")&amp;IF(AND($BE135&lt;&gt;"Yes",$BE135&lt;&gt;"N/A"),"Firmware Download, ","")&amp;IF(AND(OR($BE135="Yes",$BE135="N/A"),$BF135&lt;&gt;"Yes",$BF135&lt;&gt;"N/A"),"Firmware Install, ","")&amp;IF(AND($BJ135&lt;&gt;"Yes",$BJ135&lt;&gt;"N/A"),"Device ID, ","")&amp;IF(AND($BK135&lt;&gt;"Yes",$BK135&lt;&gt;"N/A"),"Epic Beans Relay, ",""),LEN(IF(AND($AW135&lt;&gt;"Yes",$AW135&lt;&gt;"N/A"),"Power Cable, ","")&amp;IF(AND($AX135&lt;&gt;"Yes",$AX135&lt;&gt;"N/A"),"Battery, ","")&amp;IF(AND($BE135&lt;&gt;"Yes",$BE135&lt;&gt;"N/A"),"Firmware Download, ","")&amp;IF(AND(OR($BE135="Yes",$BE135="N/A"),$BF135&lt;&gt;"Yes",$BF135&lt;&gt;"N/A"),"Firmware Install, ","")&amp;IF(AND($BJ135&lt;&gt;"Yes",$BJ135&lt;&gt;"N/A"),"Device ID, ","")&amp;IF(AND($BK135&lt;&gt;"Yes",$BK135&lt;&gt;"N/A"),"Epic Beans Relay, ",""))-2)))</f>
      </c>
      <c r="BM135">
        <f>IF($T135="","",IF($BL135="","Yes","Blocked"))</f>
      </c>
      <c r="BP135">
        <f>IF($BO135="","",IFERROR(VLOOKUP($BO135,'01_Warehouse_Ledger'!$A:$N,4,FALSE),""))</f>
      </c>
      <c r="BQ135">
        <f>IF($BO135="","",IFERROR(VLOOKUP($BO135,'01_Warehouse_Ledger'!$A:$N,5,FALSE),""))</f>
      </c>
      <c r="BR135">
        <f>IF($BO135="","",IFERROR(VLOOKUP($BO135,'01_Warehouse_Ledger'!$A:$N,13,FALSE),""))</f>
      </c>
    </row>
    <row r="136">
      <c r="A136" t="s">
        <v>1415</v>
      </c>
      <c r="C136" t="s">
        <v>1657</v>
      </c>
      <c r="D136">
        <f>IF($B136&lt;&gt;"Yes","",IF($C136="No","Yes",IF($C136="Yes","No","")))</f>
      </c>
      <c r="E136">
        <f>IF($A136="","",IF($A136="Neuron",IF(OR(AND($R136&lt;&gt;"",LOWER(TRIM($R136))&lt;&gt;"n/a",COUNTIF($S$2:$S$532,$R136)&gt;1),AND($T136&lt;&gt;"",LOWER(TRIM($T136))&lt;&gt;"n/a",COUNTIF($T$2:$T$532,$T136)&gt;1),AND($W136&lt;&gt;"",LOWER(TRIM($W136))&lt;&gt;"n/a",COUNTIF($W$2:$W$532,$W136)&gt;1)),"Yes","No"),IF($A136="Cybernet",IF(OR(AND($Y136&lt;&gt;"",LOWER(TRIM($Y136))&lt;&gt;"n/a",COUNTIF($Y$2:$Y$532,$Y136)&gt;1),AND($Z136&lt;&gt;"",LOWER(TRIM($Z136))&lt;&gt;"n/a",COUNTIF($Z$2:$Z$532,$Z136)&gt;1)),"Yes","No"),IF(AND($AL136&lt;&gt;"",LOWER(TRIM($AL136))&lt;&gt;"n/a",COUNTIF($AL$2:$AL$532,$AL136)&gt;1),"Yes","No"))))</f>
      </c>
      <c r="F136">
        <f>IF($B136&lt;&gt;"Yes","",
IF($A136="Neuron",
IF(OR(
AND($R136&lt;&gt;"",LOWER(TRIM($R136))&lt;&gt;"n/a",COUNTIFS($B$2:$B$532,"Yes",$A$2:$A$532,"Neuron",$S$2:$S$532,$R136)&gt;1),
AND($T136&lt;&gt;"",LOWER(TRIM($T136))&lt;&gt;"n/a",COUNTIFS($B$2:$B$532,"Yes",$A$2:$A$532,"Neuron",$T$2:$T$532,$T136)&gt;1),
AND($W136&lt;&gt;"",LOWER(TRIM($W136))&lt;&gt;"n/a",COUNTIFS($B$2:$B$532,"Yes",$A$2:$A$532,"Neuron",$W$2:$W$532,$W136)&gt;1)
),"Yes","No"),
IF($A136="Cybernet",
IF(OR(
AND($Y136&lt;&gt;"",LOWER(TRIM($Y136))&lt;&gt;"n/a",COUNTIFS($B$2:$B$532,"Yes",$A$2:$A$532,"Cybernet",$Y$2:$Y$532,$Y136)&gt;1),
AND($Z136&lt;&gt;"",LOWER(TRIM($Z136))&lt;&gt;"n/a",COUNTIFS($B$2:$B$532,"Yes",$A$2:$A$532,"Cybernet",$Z$2:$Z$532,$Z136)&gt;1)
),"Yes","No"),
IF(AND($AL136&lt;&gt;"",LOWER(TRIM($AL136))&lt;&gt;"n/a"),
IF(COUNTIFS($B$2:$B$532,"Yes",$A$2:$A$532,$A136,$AL$2:$AL$532,$AL136)&gt;1,"Yes","No"),
"No")
)
)
)</f>
      </c>
      <c r="G136" t="s">
        <v>1880</v>
      </c>
      <c r="H136" t="s">
        <v>2235</v>
      </c>
      <c r="I136" t="s">
        <v>1831</v>
      </c>
      <c r="J136" t="s">
        <v>1727</v>
      </c>
      <c r="K136" t="s">
        <v>1657</v>
      </c>
      <c r="L136" t="s">
        <v>1657</v>
      </c>
      <c r="R136" t="s">
        <v>1729</v>
      </c>
      <c r="BI136" t="s">
        <v>1630</v>
      </c>
      <c r="BL136">
        <f>IF($T136="","",IF((IF(AND($AW136&lt;&gt;"Yes",$AW136&lt;&gt;"N/A"),"Power Cable, ","")&amp;IF(AND($AX136&lt;&gt;"Yes",$AX136&lt;&gt;"N/A"),"Battery, ","")&amp;IF(AND($BE136&lt;&gt;"Yes",$BE136&lt;&gt;"N/A"),"Firmware Download, ","")&amp;IF(AND(OR($BE136="Yes",$BE136="N/A"),$BF136&lt;&gt;"Yes",$BF136&lt;&gt;"N/A"),"Firmware Install, ","")&amp;IF(AND($BJ136&lt;&gt;"Yes",$BJ136&lt;&gt;"N/A"),"Device ID, ","")&amp;IF(AND($BK136&lt;&gt;"Yes",$BK136&lt;&gt;"N/A"),"Epic Beans Relay, ",""))="","",LEFT(IF(AND($AW136&lt;&gt;"Yes",$AW136&lt;&gt;"N/A"),"Power Cable, ","")&amp;IF(AND($AX136&lt;&gt;"Yes",$AX136&lt;&gt;"N/A"),"Battery, ","")&amp;IF(AND($BE136&lt;&gt;"Yes",$BE136&lt;&gt;"N/A"),"Firmware Download, ","")&amp;IF(AND(OR($BE136="Yes",$BE136="N/A"),$BF136&lt;&gt;"Yes",$BF136&lt;&gt;"N/A"),"Firmware Install, ","")&amp;IF(AND($BJ136&lt;&gt;"Yes",$BJ136&lt;&gt;"N/A"),"Device ID, ","")&amp;IF(AND($BK136&lt;&gt;"Yes",$BK136&lt;&gt;"N/A"),"Epic Beans Relay, ",""),LEN(IF(AND($AW136&lt;&gt;"Yes",$AW136&lt;&gt;"N/A"),"Power Cable, ","")&amp;IF(AND($AX136&lt;&gt;"Yes",$AX136&lt;&gt;"N/A"),"Battery, ","")&amp;IF(AND($BE136&lt;&gt;"Yes",$BE136&lt;&gt;"N/A"),"Firmware Download, ","")&amp;IF(AND(OR($BE136="Yes",$BE136="N/A"),$BF136&lt;&gt;"Yes",$BF136&lt;&gt;"N/A"),"Firmware Install, ","")&amp;IF(AND($BJ136&lt;&gt;"Yes",$BJ136&lt;&gt;"N/A"),"Device ID, ","")&amp;IF(AND($BK136&lt;&gt;"Yes",$BK136&lt;&gt;"N/A"),"Epic Beans Relay, ",""))-2)))</f>
      </c>
      <c r="BM136">
        <f>IF($T136="","",IF($BL136="","Yes","Blocked"))</f>
      </c>
      <c r="BP136">
        <f>IF($BO136="","",IFERROR(VLOOKUP($BO136,'01_Warehouse_Ledger'!$A:$N,4,FALSE),""))</f>
      </c>
      <c r="BQ136">
        <f>IF($BO136="","",IFERROR(VLOOKUP($BO136,'01_Warehouse_Ledger'!$A:$N,5,FALSE),""))</f>
      </c>
      <c r="BR136">
        <f>IF($BO136="","",IFERROR(VLOOKUP($BO136,'01_Warehouse_Ledger'!$A:$N,13,FALSE),""))</f>
      </c>
    </row>
    <row r="137">
      <c r="A137" t="s">
        <v>1415</v>
      </c>
      <c r="C137" t="s">
        <v>1657</v>
      </c>
      <c r="D137">
        <f>IF($B137&lt;&gt;"Yes","",IF($C137="No","Yes",IF($C137="Yes","No","")))</f>
      </c>
      <c r="E137">
        <f>IF($A137="","",IF($A137="Neuron",IF(OR(AND($R137&lt;&gt;"",LOWER(TRIM($R137))&lt;&gt;"n/a",COUNTIF($S$2:$S$532,$R137)&gt;1),AND($T137&lt;&gt;"",LOWER(TRIM($T137))&lt;&gt;"n/a",COUNTIF($T$2:$T$532,$T137)&gt;1),AND($W137&lt;&gt;"",LOWER(TRIM($W137))&lt;&gt;"n/a",COUNTIF($W$2:$W$532,$W137)&gt;1)),"Yes","No"),IF($A137="Cybernet",IF(OR(AND($Y137&lt;&gt;"",LOWER(TRIM($Y137))&lt;&gt;"n/a",COUNTIF($Y$2:$Y$532,$Y137)&gt;1),AND($Z137&lt;&gt;"",LOWER(TRIM($Z137))&lt;&gt;"n/a",COUNTIF($Z$2:$Z$532,$Z137)&gt;1)),"Yes","No"),IF(AND($AL137&lt;&gt;"",LOWER(TRIM($AL137))&lt;&gt;"n/a",COUNTIF($AL$2:$AL$532,$AL137)&gt;1),"Yes","No"))))</f>
      </c>
      <c r="F137">
        <f>IF($B137&lt;&gt;"Yes","",
IF($A137="Neuron",
IF(OR(
AND($R137&lt;&gt;"",LOWER(TRIM($R137))&lt;&gt;"n/a",COUNTIFS($B$2:$B$532,"Yes",$A$2:$A$532,"Neuron",$S$2:$S$532,$R137)&gt;1),
AND($T137&lt;&gt;"",LOWER(TRIM($T137))&lt;&gt;"n/a",COUNTIFS($B$2:$B$532,"Yes",$A$2:$A$532,"Neuron",$T$2:$T$532,$T137)&gt;1),
AND($W137&lt;&gt;"",LOWER(TRIM($W137))&lt;&gt;"n/a",COUNTIFS($B$2:$B$532,"Yes",$A$2:$A$532,"Neuron",$W$2:$W$532,$W137)&gt;1)
),"Yes","No"),
IF($A137="Cybernet",
IF(OR(
AND($Y137&lt;&gt;"",LOWER(TRIM($Y137))&lt;&gt;"n/a",COUNTIFS($B$2:$B$532,"Yes",$A$2:$A$532,"Cybernet",$Y$2:$Y$532,$Y137)&gt;1),
AND($Z137&lt;&gt;"",LOWER(TRIM($Z137))&lt;&gt;"n/a",COUNTIFS($B$2:$B$532,"Yes",$A$2:$A$532,"Cybernet",$Z$2:$Z$532,$Z137)&gt;1)
),"Yes","No"),
IF(AND($AL137&lt;&gt;"",LOWER(TRIM($AL137))&lt;&gt;"n/a"),
IF(COUNTIFS($B$2:$B$532,"Yes",$A$2:$A$532,$A137,$AL$2:$AL$532,$AL137)&gt;1,"Yes","No"),
"No")
)
)
)</f>
      </c>
      <c r="G137" t="s">
        <v>1880</v>
      </c>
      <c r="H137" t="s">
        <v>2235</v>
      </c>
      <c r="I137" t="s">
        <v>1831</v>
      </c>
      <c r="J137" t="s">
        <v>1727</v>
      </c>
      <c r="K137" t="s">
        <v>1657</v>
      </c>
      <c r="L137" t="s">
        <v>1657</v>
      </c>
      <c r="R137" t="s">
        <v>2356</v>
      </c>
      <c r="BI137" t="s">
        <v>1630</v>
      </c>
      <c r="BL137">
        <f>IF($T137="","",IF((IF(AND($AW137&lt;&gt;"Yes",$AW137&lt;&gt;"N/A"),"Power Cable, ","")&amp;IF(AND($AX137&lt;&gt;"Yes",$AX137&lt;&gt;"N/A"),"Battery, ","")&amp;IF(AND($BE137&lt;&gt;"Yes",$BE137&lt;&gt;"N/A"),"Firmware Download, ","")&amp;IF(AND(OR($BE137="Yes",$BE137="N/A"),$BF137&lt;&gt;"Yes",$BF137&lt;&gt;"N/A"),"Firmware Install, ","")&amp;IF(AND($BJ137&lt;&gt;"Yes",$BJ137&lt;&gt;"N/A"),"Device ID, ","")&amp;IF(AND($BK137&lt;&gt;"Yes",$BK137&lt;&gt;"N/A"),"Epic Beans Relay, ",""))="","",LEFT(IF(AND($AW137&lt;&gt;"Yes",$AW137&lt;&gt;"N/A"),"Power Cable, ","")&amp;IF(AND($AX137&lt;&gt;"Yes",$AX137&lt;&gt;"N/A"),"Battery, ","")&amp;IF(AND($BE137&lt;&gt;"Yes",$BE137&lt;&gt;"N/A"),"Firmware Download, ","")&amp;IF(AND(OR($BE137="Yes",$BE137="N/A"),$BF137&lt;&gt;"Yes",$BF137&lt;&gt;"N/A"),"Firmware Install, ","")&amp;IF(AND($BJ137&lt;&gt;"Yes",$BJ137&lt;&gt;"N/A"),"Device ID, ","")&amp;IF(AND($BK137&lt;&gt;"Yes",$BK137&lt;&gt;"N/A"),"Epic Beans Relay, ",""),LEN(IF(AND($AW137&lt;&gt;"Yes",$AW137&lt;&gt;"N/A"),"Power Cable, ","")&amp;IF(AND($AX137&lt;&gt;"Yes",$AX137&lt;&gt;"N/A"),"Battery, ","")&amp;IF(AND($BE137&lt;&gt;"Yes",$BE137&lt;&gt;"N/A"),"Firmware Download, ","")&amp;IF(AND(OR($BE137="Yes",$BE137="N/A"),$BF137&lt;&gt;"Yes",$BF137&lt;&gt;"N/A"),"Firmware Install, ","")&amp;IF(AND($BJ137&lt;&gt;"Yes",$BJ137&lt;&gt;"N/A"),"Device ID, ","")&amp;IF(AND($BK137&lt;&gt;"Yes",$BK137&lt;&gt;"N/A"),"Epic Beans Relay, ",""))-2)))</f>
      </c>
      <c r="BM137">
        <f>IF($T137="","",IF($BL137="","Yes","Blocked"))</f>
      </c>
      <c r="BP137">
        <f>IF($BO137="","",IFERROR(VLOOKUP($BO137,'01_Warehouse_Ledger'!$A:$N,4,FALSE),""))</f>
      </c>
      <c r="BQ137">
        <f>IF($BO137="","",IFERROR(VLOOKUP($BO137,'01_Warehouse_Ledger'!$A:$N,5,FALSE),""))</f>
      </c>
      <c r="BR137">
        <f>IF($BO137="","",IFERROR(VLOOKUP($BO137,'01_Warehouse_Ledger'!$A:$N,13,FALSE),""))</f>
      </c>
    </row>
    <row r="138">
      <c r="A138" t="s">
        <v>1415</v>
      </c>
      <c r="C138" t="s">
        <v>1657</v>
      </c>
      <c r="E138">
        <f>IF($A138="","",IF($A138="Neuron",IF(OR(AND($R138&lt;&gt;"",LOWER(TRIM($R138))&lt;&gt;"n/a",COUNTIF($S$2:$S$532,$R138)&gt;1),AND($T138&lt;&gt;"",LOWER(TRIM($T138))&lt;&gt;"n/a",COUNTIF($T$2:$T$532,$T138)&gt;1),AND($W138&lt;&gt;"",LOWER(TRIM($W138))&lt;&gt;"n/a",COUNTIF($W$2:$W$532,$W138)&gt;1)),"Yes","No"),IF($A138="Cybernet",IF(OR(AND($Y138&lt;&gt;"",LOWER(TRIM($Y138))&lt;&gt;"n/a",COUNTIF($Y$2:$Y$532,$Y138)&gt;1),AND($Z138&lt;&gt;"",LOWER(TRIM($Z138))&lt;&gt;"n/a",COUNTIF($Z$2:$Z$532,$Z138)&gt;1)),"Yes","No"),IF(AND($AL138&lt;&gt;"",LOWER(TRIM($AL138))&lt;&gt;"n/a",COUNTIF($AL$2:$AL$532,$AL138)&gt;1),"Yes","No"))))</f>
      </c>
      <c r="F138">
        <f>IF($B138&lt;&gt;"Yes","",IF($A138="Neuron",IF(OR(AND($R138&lt;&gt;"",LOWER(TRIM($R138))&lt;&gt;"n/a",COUNTIFS($B$2:$B$532,"Yes",$A$2:$A$532,"Neuron",$S$2:$S$532,$R138)&gt;1),AND($T138&lt;&gt;"",LOWER(TRIM($T138))&lt;&gt;"n/a",COUNTIFS($B$2:$B$532,"Yes",$A$2:$A$532,"Neuron",$T$2:$T$532,$T138)&gt;1),AND($W138&lt;&gt;"",LOWER(TRIM($W138))&lt;&gt;"n/a",COUNTIFS($B$2:$B$532,"Yes",$A$2:$A$532,"Neuron",$W$2:$W$532,$W138)&gt;1)),"Yes","No"),IF($A138="Cybernet",IF(OR(AND($Y138&lt;&gt;"",LOWER(TRIM($Y138))&lt;&gt;"n/a",COUNTIFS($B$2:$B$532,"Yes",$A$2:$A$532,"Cybernet",$Y$2:$Y$532,$Y138)&gt;1),AND($Z138&lt;&gt;"",LOWER(TRIM($Z138))&lt;&gt;"n/a",COUNTIFS($B$2:$B$532,"Yes",$A$2:$A$532,"Cybernet",$Z$2:$Z$532,$Z138)&gt;1)),"Yes","No"),IF(AND($AL138&lt;&gt;"",LOWER(TRIM($AL138))&lt;&gt;"n/a"),IF(COUNTIFS($B$2:$B$532,"Yes",$A$2:$A$532,$A138,$AL$2:$AL$532,$AL138)&gt;1,"Yes","No"),"No"))))</f>
      </c>
      <c r="G138" t="s">
        <v>1658</v>
      </c>
      <c r="H138" t="s">
        <v>2235</v>
      </c>
      <c r="I138" t="s">
        <v>1831</v>
      </c>
      <c r="R138" t="s">
        <v>2046</v>
      </c>
      <c r="BI138" t="s">
        <v>1630</v>
      </c>
      <c r="BL138">
        <f>IF($T138="","",IF((IF(AND($AW138&lt;&gt;"Yes",$AW138&lt;&gt;"N/A"),"Power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",""))="","",LEFT(IF(AND($AW138&lt;&gt;"Yes",$AW138&lt;&gt;"N/A"),"Power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",""),LEN(IF(AND($AW138&lt;&gt;"Yes",$AW138&lt;&gt;"N/A"),"Power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",""))-2)))</f>
      </c>
      <c r="BM138">
        <f>IF($T138="","",IF($BL138="","Yes","Blocked"))</f>
      </c>
    </row>
    <row r="139">
      <c r="A139" t="s">
        <v>1415</v>
      </c>
      <c r="C139" t="s">
        <v>1657</v>
      </c>
      <c r="E139">
        <f>IF($A139="","",IF($A139="Neuron",IF(OR(AND($S139&lt;&gt;"",LOWER(TRIM($S139))&lt;&gt;"n/a",COUNTIF($S$2:$S$532,$S139)&gt;1),AND($T139&lt;&gt;"",LOWER(TRIM($T139))&lt;&gt;"n/a",COUNTIF($T$2:$T$532,$T139)&gt;1),AND($W139&lt;&gt;"",LOWER(TRIM($W139))&lt;&gt;"n/a",COUNTIF($W$2:$W$532,$W139)&gt;1)),"Yes","No"),IF($A139="Cybernet",IF(OR(AND($Y139&lt;&gt;"",LOWER(TRIM($Y139))&lt;&gt;"n/a",COUNTIF($Y$2:$Y$532,$Y139)&gt;1),AND($Z139&lt;&gt;"",LOWER(TRIM($Z139))&lt;&gt;"n/a",COUNTIF($Z$2:$Z$532,$Z139)&gt;1)),"Yes","No"),IF(AND($AL139&lt;&gt;"",LOWER(TRIM($AL139))&lt;&gt;"n/a",COUNTIF($AL$2:$AL$532,$AL139)&gt;1),"Yes","No"))))</f>
      </c>
      <c r="F139">
        <f>IF($B139&lt;&gt;"Yes","",IF($A139="Neuron",IF(OR(AND($S139&lt;&gt;"",LOWER(TRIM($S139))&lt;&gt;"n/a",COUNTIFS($B$2:$B$532,"Yes",$A$2:$A$532,"Neuron",$S$2:$S$532,$S139)&gt;1),AND($T139&lt;&gt;"",LOWER(TRIM($T139))&lt;&gt;"n/a",COUNTIFS($B$2:$B$532,"Yes",$A$2:$A$532,"Neuron",$T$2:$T$532,$T139)&gt;1),AND($W139&lt;&gt;"",LOWER(TRIM($W139))&lt;&gt;"n/a",COUNTIFS($B$2:$B$532,"Yes",$A$2:$A$532,"Neuron",$W$2:$W$532,$W139)&gt;1)),"Yes","No"),IF($A139="Cybernet",IF(OR(AND($Y139&lt;&gt;"",LOWER(TRIM($Y139))&lt;&gt;"n/a",COUNTIFS($B$2:$B$532,"Yes",$A$2:$A$532,"Cybernet",$Y$2:$Y$532,$Y139)&gt;1),AND($Z139&lt;&gt;"",LOWER(TRIM($Z139))&lt;&gt;"n/a",COUNTIFS($B$2:$B$532,"Yes",$A$2:$A$532,"Cybernet",$Z$2:$Z$532,$Z139)&gt;1)),"Yes","No"),IF(AND($AL139&lt;&gt;"",LOWER(TRIM($AL139))&lt;&gt;"n/a"),IF(COUNTIFS($B$2:$B$532,"Yes",$A$2:$A$532,$A139,$AL$2:$AL$532,$AL139)&gt;1,"Yes","No"),"No"))))</f>
      </c>
      <c r="G139" t="s">
        <v>1658</v>
      </c>
      <c r="H139" t="s">
        <v>2235</v>
      </c>
      <c r="I139" t="s">
        <v>1831</v>
      </c>
      <c r="R139" t="s">
        <v>2236</v>
      </c>
      <c r="BI139" t="s">
        <v>1630</v>
      </c>
      <c r="BL139">
        <f>IF($T139="","",IF((IF(AND($AW139&lt;&gt;"Yes",$AW139&lt;&gt;"N/A"),"Power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",""))="","",LEFT(IF(AND($AW139&lt;&gt;"Yes",$AW139&lt;&gt;"N/A"),"Power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",""),LEN(IF(AND($AW139&lt;&gt;"Yes",$AW139&lt;&gt;"N/A"),"Power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",""))-2)))</f>
      </c>
      <c r="BM139">
        <f>IF($T139="","",IF($BL139="","Yes","Blocked"))</f>
      </c>
    </row>
    <row r="140">
      <c r="A140" t="s">
        <v>1415</v>
      </c>
      <c r="C140" t="s">
        <v>1657</v>
      </c>
      <c r="E140">
        <f>IF($A140="","",IF($A140="Neuron",IF(OR(AND($S140&lt;&gt;"",LOWER(TRIM($S140))&lt;&gt;"n/a",COUNTIF($S$2:$S$532,$S140)&gt;1),AND($T140&lt;&gt;"",LOWER(TRIM($T140))&lt;&gt;"n/a",COUNTIF($T$2:$T$532,$T140)&gt;1),AND($W140&lt;&gt;"",LOWER(TRIM($W140))&lt;&gt;"n/a",COUNTIF($W$2:$W$532,$W140)&gt;1)),"Yes","No"),IF($A140="Cybernet",IF(OR(AND($Y140&lt;&gt;"",LOWER(TRIM($Y140))&lt;&gt;"n/a",COUNTIF($Y$2:$Y$532,$Y140)&gt;1),AND($Z140&lt;&gt;"",LOWER(TRIM($Z140))&lt;&gt;"n/a",COUNTIF($Z$2:$Z$532,$Z140)&gt;1)),"Yes","No"),IF(AND($AL140&lt;&gt;"",LOWER(TRIM($AL140))&lt;&gt;"n/a",COUNTIF($AL$2:$AL$532,$AL140)&gt;1),"Yes","No"))))</f>
      </c>
      <c r="F140">
        <f>IF($B140&lt;&gt;"Yes","",IF($A140="Neuron",IF(OR(AND($S140&lt;&gt;"",LOWER(TRIM($S140))&lt;&gt;"n/a",COUNTIFS($B$2:$B$532,"Yes",$A$2:$A$532,"Neuron",$S$2:$S$532,$S140)&gt;1),AND($T140&lt;&gt;"",LOWER(TRIM($T140))&lt;&gt;"n/a",COUNTIFS($B$2:$B$532,"Yes",$A$2:$A$532,"Neuron",$T$2:$T$532,$T140)&gt;1),AND($W140&lt;&gt;"",LOWER(TRIM($W140))&lt;&gt;"n/a",COUNTIFS($B$2:$B$532,"Yes",$A$2:$A$532,"Neuron",$W$2:$W$532,$W140)&gt;1)),"Yes","No"),IF($A140="Cybernet",IF(OR(AND($Y140&lt;&gt;"",LOWER(TRIM($Y140))&lt;&gt;"n/a",COUNTIFS($B$2:$B$532,"Yes",$A$2:$A$532,"Cybernet",$Y$2:$Y$532,$Y140)&gt;1),AND($Z140&lt;&gt;"",LOWER(TRIM($Z140))&lt;&gt;"n/a",COUNTIFS($B$2:$B$532,"Yes",$A$2:$A$532,"Cybernet",$Z$2:$Z$532,$Z140)&gt;1)),"Yes","No"),IF(AND($AL140&lt;&gt;"",LOWER(TRIM($AL140))&lt;&gt;"n/a"),IF(COUNTIFS($B$2:$B$532,"Yes",$A$2:$A$532,$A140,$AL$2:$AL$532,$AL140)&gt;1,"Yes","No"),"No"))))</f>
      </c>
      <c r="G140" t="s">
        <v>1983</v>
      </c>
      <c r="H140" t="s">
        <v>2282</v>
      </c>
      <c r="I140" t="s">
        <v>1831</v>
      </c>
      <c r="R140" t="s">
        <v>1812</v>
      </c>
      <c r="Y140" t="s">
        <v>2139</v>
      </c>
      <c r="Z140" t="s">
        <v>2199</v>
      </c>
      <c r="BI140" t="s">
        <v>1630</v>
      </c>
      <c r="BL140">
        <f>IF($T140="","",IF((IF(AND($AW140&lt;&gt;"Yes",$AW140&lt;&gt;"N/A"),"Power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",""))="","",LEFT(IF(AND($AW140&lt;&gt;"Yes",$AW140&lt;&gt;"N/A"),"Power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",""),LEN(IF(AND($AW140&lt;&gt;"Yes",$AW140&lt;&gt;"N/A"),"Power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",""))-2)))</f>
      </c>
      <c r="BM140">
        <f>IF($T140="","",IF($BL140="","Yes","Blocked"))</f>
      </c>
    </row>
    <row r="141">
      <c r="A141" t="s">
        <v>1415</v>
      </c>
      <c r="C141" t="s">
        <v>1657</v>
      </c>
      <c r="E141">
        <f>IF($A141="","",IF($A141="Neuron",IF(OR(AND($S141&lt;&gt;"",LOWER(TRIM($S141))&lt;&gt;"n/a",COUNTIF($S$2:$S$532,$S141)&gt;1),AND($T141&lt;&gt;"",LOWER(TRIM($T141))&lt;&gt;"n/a",COUNTIF($T$2:$T$532,$T141)&gt;1),AND($W141&lt;&gt;"",LOWER(TRIM($W141))&lt;&gt;"n/a",COUNTIF($W$2:$W$532,$W141)&gt;1)),"Yes","No"),IF($A141="Cybernet",IF(OR(AND($Y141&lt;&gt;"",LOWER(TRIM($Y141))&lt;&gt;"n/a",COUNTIF($Y$2:$Y$532,$Y141)&gt;1),AND($Z141&lt;&gt;"",LOWER(TRIM($Z141))&lt;&gt;"n/a",COUNTIF($Z$2:$Z$532,$Z141)&gt;1)),"Yes","No"),IF(AND($AL141&lt;&gt;"",LOWER(TRIM($AL141))&lt;&gt;"n/a",COUNTIF($AL$2:$AL$532,$AL141)&gt;1),"Yes","No"))))</f>
      </c>
      <c r="F141">
        <f>IF($B141&lt;&gt;"Yes","",IF($A141="Neuron",IF(OR(AND($S141&lt;&gt;"",LOWER(TRIM($S141))&lt;&gt;"n/a",COUNTIFS($B$2:$B$532,"Yes",$A$2:$A$532,"Neuron",$S$2:$S$532,$S141)&gt;1),AND($T141&lt;&gt;"",LOWER(TRIM($T141))&lt;&gt;"n/a",COUNTIFS($B$2:$B$532,"Yes",$A$2:$A$532,"Neuron",$T$2:$T$532,$T141)&gt;1),AND($W141&lt;&gt;"",LOWER(TRIM($W141))&lt;&gt;"n/a",COUNTIFS($B$2:$B$532,"Yes",$A$2:$A$532,"Neuron",$W$2:$W$532,$W141)&gt;1)),"Yes","No"),IF($A141="Cybernet",IF(OR(AND($Y141&lt;&gt;"",LOWER(TRIM($Y141))&lt;&gt;"n/a",COUNTIFS($B$2:$B$532,"Yes",$A$2:$A$532,"Cybernet",$Y$2:$Y$532,$Y141)&gt;1),AND($Z141&lt;&gt;"",LOWER(TRIM($Z141))&lt;&gt;"n/a",COUNTIFS($B$2:$B$532,"Yes",$A$2:$A$532,"Cybernet",$Z$2:$Z$532,$Z141)&gt;1)),"Yes","No"),IF(AND($AL141&lt;&gt;"",LOWER(TRIM($AL141))&lt;&gt;"n/a"),IF(COUNTIFS($B$2:$B$532,"Yes",$A$2:$A$532,$A141,$AL$2:$AL$532,$AL141)&gt;1,"Yes","No"),"No"))))</f>
      </c>
      <c r="G141" t="s">
        <v>1983</v>
      </c>
      <c r="H141" t="s">
        <v>2282</v>
      </c>
      <c r="I141" t="s">
        <v>1831</v>
      </c>
      <c r="R141" t="s">
        <v>2247</v>
      </c>
      <c r="Y141" t="s">
        <v>1704</v>
      </c>
      <c r="Z141" t="s">
        <v>2041</v>
      </c>
      <c r="BI141" t="s">
        <v>1630</v>
      </c>
      <c r="BL141">
        <f>IF($T141="","",IF((IF(AND($AW141&lt;&gt;"Yes",$AW141&lt;&gt;"N/A"),"Power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",""))="","",LEFT(IF(AND($AW141&lt;&gt;"Yes",$AW141&lt;&gt;"N/A"),"Power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",""),LEN(IF(AND($AW141&lt;&gt;"Yes",$AW141&lt;&gt;"N/A"),"Power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",""))-2)))</f>
      </c>
      <c r="BM141">
        <f>IF($T141="","",IF($BL141="","Yes","Blocked"))</f>
      </c>
    </row>
    <row r="142">
      <c r="A142" t="s">
        <v>1415</v>
      </c>
      <c r="C142" t="s">
        <v>1657</v>
      </c>
      <c r="E142">
        <f>IF($A142="","",IF($A142="Neuron",IF(OR(AND($S142&lt;&gt;"",LOWER(TRIM($S142))&lt;&gt;"n/a",COUNTIF($S$2:$S$532,$S142)&gt;1),AND($T142&lt;&gt;"",LOWER(TRIM($T142))&lt;&gt;"n/a",COUNTIF($T$2:$T$532,$T142)&gt;1),AND($W142&lt;&gt;"",LOWER(TRIM($W142))&lt;&gt;"n/a",COUNTIF($W$2:$W$532,$W142)&gt;1)),"Yes","No"),IF($A142="Cybernet",IF(OR(AND($Y142&lt;&gt;"",LOWER(TRIM($Y142))&lt;&gt;"n/a",COUNTIF($Y$2:$Y$532,$Y142)&gt;1),AND($Z142&lt;&gt;"",LOWER(TRIM($Z142))&lt;&gt;"n/a",COUNTIF($Z$2:$Z$532,$Z142)&gt;1)),"Yes","No"),IF(AND($AL142&lt;&gt;"",LOWER(TRIM($AL142))&lt;&gt;"n/a",COUNTIF($AL$2:$AL$532,$AL142)&gt;1),"Yes","No"))))</f>
      </c>
      <c r="F142">
        <f>IF($B142&lt;&gt;"Yes","",IF($A142="Neuron",IF(OR(AND($S142&lt;&gt;"",LOWER(TRIM($S142))&lt;&gt;"n/a",COUNTIFS($B$2:$B$532,"Yes",$A$2:$A$532,"Neuron",$S$2:$S$532,$S142)&gt;1),AND($T142&lt;&gt;"",LOWER(TRIM($T142))&lt;&gt;"n/a",COUNTIFS($B$2:$B$532,"Yes",$A$2:$A$532,"Neuron",$T$2:$T$532,$T142)&gt;1),AND($W142&lt;&gt;"",LOWER(TRIM($W142))&lt;&gt;"n/a",COUNTIFS($B$2:$B$532,"Yes",$A$2:$A$532,"Neuron",$W$2:$W$532,$W142)&gt;1)),"Yes","No"),IF($A142="Cybernet",IF(OR(AND($Y142&lt;&gt;"",LOWER(TRIM($Y142))&lt;&gt;"n/a",COUNTIFS($B$2:$B$532,"Yes",$A$2:$A$532,"Cybernet",$Y$2:$Y$532,$Y142)&gt;1),AND($Z142&lt;&gt;"",LOWER(TRIM($Z142))&lt;&gt;"n/a",COUNTIFS($B$2:$B$532,"Yes",$A$2:$A$532,"Cybernet",$Z$2:$Z$532,$Z142)&gt;1)),"Yes","No"),IF(AND($AL142&lt;&gt;"",LOWER(TRIM($AL142))&lt;&gt;"n/a"),IF(COUNTIFS($B$2:$B$532,"Yes",$A$2:$A$532,$A142,$AL$2:$AL$532,$AL142)&gt;1,"Yes","No"),"No"))))</f>
      </c>
      <c r="G142" t="s">
        <v>1983</v>
      </c>
      <c r="H142" t="s">
        <v>2282</v>
      </c>
      <c r="I142" t="s">
        <v>1831</v>
      </c>
      <c r="R142" t="s">
        <v>1888</v>
      </c>
      <c r="Y142" t="s">
        <v>1868</v>
      </c>
      <c r="Z142" t="s">
        <v>1869</v>
      </c>
      <c r="BI142" t="s">
        <v>1630</v>
      </c>
      <c r="BL142">
        <f>IF($T142="","",IF((IF(AND($AW142&lt;&gt;"Yes",$AW142&lt;&gt;"N/A"),"Power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",""))="","",LEFT(IF(AND($AW142&lt;&gt;"Yes",$AW142&lt;&gt;"N/A"),"Power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",""),LEN(IF(AND($AW142&lt;&gt;"Yes",$AW142&lt;&gt;"N/A"),"Power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",""))-2)))</f>
      </c>
      <c r="BM142">
        <f>IF($T142="","",IF($BL142="","Yes","Blocked"))</f>
      </c>
    </row>
    <row r="143">
      <c r="A143" t="s">
        <v>1429</v>
      </c>
      <c r="B143" t="s">
        <v>1727</v>
      </c>
      <c r="C143" t="s">
        <v>1727</v>
      </c>
      <c r="D143">
        <f>IF($B143&lt;&gt;"Yes","",IF($C143="No","Yes",IF($C143="Yes","No","")))</f>
      </c>
      <c r="E143">
        <f>IF($A143="","",IF($A143="Neuron",IF(OR(AND($R143&lt;&gt;"",LOWER(TRIM($R143))&lt;&gt;"n/a",COUNTIF($S$2:$S$532,$R143)&gt;1),AND($T143&lt;&gt;"",LOWER(TRIM($T143))&lt;&gt;"n/a",COUNTIF($T$2:$T$532,$T143)&gt;1),AND($W143&lt;&gt;"",LOWER(TRIM($W143))&lt;&gt;"n/a",COUNTIF($W$2:$W$532,$W143)&gt;1)),"Yes","No"),IF($A143="Cybernet",IF(OR(AND($Y143&lt;&gt;"",LOWER(TRIM($Y143))&lt;&gt;"n/a",COUNTIF($Y$2:$Y$532,$Y143)&gt;1),AND($Z143&lt;&gt;"",LOWER(TRIM($Z143))&lt;&gt;"n/a",COUNTIF($Z$2:$Z$532,$Z143)&gt;1)),"Yes","No"),IF(AND($AL143&lt;&gt;"",LOWER(TRIM($AL143))&lt;&gt;"n/a",COUNTIF($AL$2:$AL$532,$AL143)&gt;1),"Yes","No"))))</f>
      </c>
      <c r="F143">
        <f>IF($B143&lt;&gt;"Yes","",
IF($A143="Neuron",
IF(OR(
AND($R143&lt;&gt;"",LOWER(TRIM($R143))&lt;&gt;"n/a",COUNTIFS($B$2:$B$532,"Yes",$A$2:$A$532,"Neuron",$S$2:$S$532,$R143)&gt;1),
AND($T143&lt;&gt;"",LOWER(TRIM($T143))&lt;&gt;"n/a",COUNTIFS($B$2:$B$532,"Yes",$A$2:$A$532,"Neuron",$T$2:$T$532,$T143)&gt;1),
AND($W143&lt;&gt;"",LOWER(TRIM($W143))&lt;&gt;"n/a",COUNTIFS($B$2:$B$532,"Yes",$A$2:$A$532,"Neuron",$W$2:$W$532,$W143)&gt;1)
),"Yes","No"),
IF($A143="Cybernet",
IF(OR(
AND($Y143&lt;&gt;"",LOWER(TRIM($Y143))&lt;&gt;"n/a",COUNTIFS($B$2:$B$532,"Yes",$A$2:$A$532,"Cybernet",$Y$2:$Y$532,$Y143)&gt;1),
AND($Z143&lt;&gt;"",LOWER(TRIM($Z143))&lt;&gt;"n/a",COUNTIFS($B$2:$B$532,"Yes",$A$2:$A$532,"Cybernet",$Z$2:$Z$532,$Z143)&gt;1)
),"Yes","No"),
IF(AND($AL143&lt;&gt;"",LOWER(TRIM($AL143))&lt;&gt;"n/a"),
IF(COUNTIFS($B$2:$B$532,"Yes",$A$2:$A$532,$A143,$AL$2:$AL$532,$AL143)&gt;1,"Yes","No"),
"No")
)
)
)</f>
      </c>
      <c r="G143" t="s">
        <v>2192</v>
      </c>
      <c r="H143" t="s">
        <v>2192</v>
      </c>
      <c r="R143" t="s">
        <v>1743</v>
      </c>
      <c r="T143" t="s">
        <v>1931</v>
      </c>
      <c r="W143" t="s">
        <v>1881</v>
      </c>
      <c r="X143" t="s">
        <v>2192</v>
      </c>
      <c r="Y143" t="s">
        <v>2354</v>
      </c>
      <c r="Z143" t="s">
        <v>1995</v>
      </c>
      <c r="AA143" t="s">
        <v>2031</v>
      </c>
      <c r="AD143" t="s">
        <v>1821</v>
      </c>
      <c r="AE143">
        <v>1</v>
      </c>
      <c r="AF143" t="s">
        <v>2003</v>
      </c>
      <c r="AG143" t="s">
        <v>2228</v>
      </c>
      <c r="AJ143" t="s">
        <v>1621</v>
      </c>
      <c r="AM143" t="s">
        <v>1297</v>
      </c>
      <c r="AR143" t="s">
        <v>1832</v>
      </c>
      <c r="AS143" t="s">
        <v>2275</v>
      </c>
      <c r="AY143" t="s">
        <v>1727</v>
      </c>
      <c r="AZ143" t="s">
        <v>1727</v>
      </c>
      <c r="BB143" t="s">
        <v>1727</v>
      </c>
      <c r="BC143" t="s">
        <v>1996</v>
      </c>
      <c r="BL143">
        <f>IF($T143="","",IF((IF(AND($AW143&lt;&gt;"Yes",$AW143&lt;&gt;"N/A"),"Power Cable, ","")&amp;IF(AND($AX143&lt;&gt;"Yes",$AX143&lt;&gt;"N/A"),"Battery, ","")&amp;IF(AND($BE143&lt;&gt;"Yes",$BE143&lt;&gt;"N/A"),"Firmware Download, ","")&amp;IF(AND(OR($BE143="Yes",$BE143="N/A"),$BF143&lt;&gt;"Yes",$BF143&lt;&gt;"N/A"),"Firmware Install, ","")&amp;IF(AND($BJ143&lt;&gt;"Yes",$BJ143&lt;&gt;"N/A"),"Device ID, ","")&amp;IF(AND($BK143&lt;&gt;"Yes",$BK143&lt;&gt;"N/A"),"Epic Beans Relay, ",""))="","",LEFT(IF(AND($AW143&lt;&gt;"Yes",$AW143&lt;&gt;"N/A"),"Power Cable, ","")&amp;IF(AND($AX143&lt;&gt;"Yes",$AX143&lt;&gt;"N/A"),"Battery, ","")&amp;IF(AND($BE143&lt;&gt;"Yes",$BE143&lt;&gt;"N/A"),"Firmware Download, ","")&amp;IF(AND(OR($BE143="Yes",$BE143="N/A"),$BF143&lt;&gt;"Yes",$BF143&lt;&gt;"N/A"),"Firmware Install, ","")&amp;IF(AND($BJ143&lt;&gt;"Yes",$BJ143&lt;&gt;"N/A"),"Device ID, ","")&amp;IF(AND($BK143&lt;&gt;"Yes",$BK143&lt;&gt;"N/A"),"Epic Beans Relay, ",""),LEN(IF(AND($AW143&lt;&gt;"Yes",$AW143&lt;&gt;"N/A"),"Power Cable, ","")&amp;IF(AND($AX143&lt;&gt;"Yes",$AX143&lt;&gt;"N/A"),"Battery, ","")&amp;IF(AND($BE143&lt;&gt;"Yes",$BE143&lt;&gt;"N/A"),"Firmware Download, ","")&amp;IF(AND(OR($BE143="Yes",$BE143="N/A"),$BF143&lt;&gt;"Yes",$BF143&lt;&gt;"N/A"),"Firmware Install, ","")&amp;IF(AND($BJ143&lt;&gt;"Yes",$BJ143&lt;&gt;"N/A"),"Device ID, ","")&amp;IF(AND($BK143&lt;&gt;"Yes",$BK143&lt;&gt;"N/A"),"Epic Beans Relay, ",""))-2)))</f>
      </c>
      <c r="BM143">
        <f>IF($T143="","",IF($BL143="","Yes","Blocked"))</f>
      </c>
      <c r="BP143">
        <f>IF($BO143="","",IFERROR(VLOOKUP($BO143,'01_Warehouse_Ledger'!$A:$N,4,FALSE),""))</f>
      </c>
      <c r="BQ143">
        <f>IF($BO143="","",IFERROR(VLOOKUP($BO143,'01_Warehouse_Ledger'!$A:$N,5,FALSE),""))</f>
      </c>
      <c r="BR143">
        <f>IF($BO143="","",IFERROR(VLOOKUP($BO143,'01_Warehouse_Ledger'!$A:$N,13,FALSE),""))</f>
      </c>
      <c r="BS143" t="s">
        <v>1727</v>
      </c>
      <c r="BT143" t="s">
        <v>1727</v>
      </c>
      <c r="BU143" t="s">
        <v>1727</v>
      </c>
      <c r="BV143" t="s">
        <v>1727</v>
      </c>
    </row>
    <row r="144">
      <c r="A144" t="s">
        <v>1429</v>
      </c>
      <c r="B144" t="s">
        <v>1727</v>
      </c>
      <c r="C144" t="s">
        <v>1727</v>
      </c>
      <c r="D144">
        <f>IF($B144&lt;&gt;"Yes","",IF($C144="No","Yes",IF($C144="Yes","No","")))</f>
      </c>
      <c r="E144">
        <f>IF($A144="","",IF($A144="Neuron",IF(OR(AND($R144&lt;&gt;"",LOWER(TRIM($R144))&lt;&gt;"n/a",COUNTIF($S$2:$S$532,$R144)&gt;1),AND($T144&lt;&gt;"",LOWER(TRIM($T144))&lt;&gt;"n/a",COUNTIF($T$2:$T$532,$T144)&gt;1),AND($W144&lt;&gt;"",LOWER(TRIM($W144))&lt;&gt;"n/a",COUNTIF($W$2:$W$532,$W144)&gt;1)),"Yes","No"),IF($A144="Cybernet",IF(OR(AND($Y144&lt;&gt;"",LOWER(TRIM($Y144))&lt;&gt;"n/a",COUNTIF($Y$2:$Y$532,$Y144)&gt;1),AND($Z144&lt;&gt;"",LOWER(TRIM($Z144))&lt;&gt;"n/a",COUNTIF($Z$2:$Z$532,$Z144)&gt;1)),"Yes","No"),IF(AND($AL144&lt;&gt;"",LOWER(TRIM($AL144))&lt;&gt;"n/a",COUNTIF($AL$2:$AL$532,$AL144)&gt;1),"Yes","No"))))</f>
      </c>
      <c r="F144">
        <f>IF($B144&lt;&gt;"Yes","",
IF($A144="Neuron",
IF(OR(
AND($R144&lt;&gt;"",LOWER(TRIM($R144))&lt;&gt;"n/a",COUNTIFS($B$2:$B$532,"Yes",$A$2:$A$532,"Neuron",$S$2:$S$532,$R144)&gt;1),
AND($T144&lt;&gt;"",LOWER(TRIM($T144))&lt;&gt;"n/a",COUNTIFS($B$2:$B$532,"Yes",$A$2:$A$532,"Neuron",$T$2:$T$532,$T144)&gt;1),
AND($W144&lt;&gt;"",LOWER(TRIM($W144))&lt;&gt;"n/a",COUNTIFS($B$2:$B$532,"Yes",$A$2:$A$532,"Neuron",$W$2:$W$532,$W144)&gt;1)
),"Yes","No"),
IF($A144="Cybernet",
IF(OR(
AND($Y144&lt;&gt;"",LOWER(TRIM($Y144))&lt;&gt;"n/a",COUNTIFS($B$2:$B$532,"Yes",$A$2:$A$532,"Cybernet",$Y$2:$Y$532,$Y144)&gt;1),
AND($Z144&lt;&gt;"",LOWER(TRIM($Z144))&lt;&gt;"n/a",COUNTIFS($B$2:$B$532,"Yes",$A$2:$A$532,"Cybernet",$Z$2:$Z$532,$Z144)&gt;1)
),"Yes","No"),
IF(AND($AL144&lt;&gt;"",LOWER(TRIM($AL144))&lt;&gt;"n/a"),
IF(COUNTIFS($B$2:$B$532,"Yes",$A$2:$A$532,$A144,$AL$2:$AL$532,$AL144)&gt;1,"Yes","No"),
"No")
)
)
)</f>
      </c>
      <c r="G144" t="s">
        <v>2192</v>
      </c>
      <c r="H144" t="s">
        <v>2192</v>
      </c>
      <c r="R144" t="s">
        <v>1956</v>
      </c>
      <c r="T144" t="s">
        <v>2327</v>
      </c>
      <c r="W144" t="s">
        <v>2231</v>
      </c>
      <c r="Y144" t="s">
        <v>1755</v>
      </c>
      <c r="Z144" t="s">
        <v>1380</v>
      </c>
      <c r="AA144" t="s">
        <v>2031</v>
      </c>
      <c r="AD144" t="s">
        <v>1821</v>
      </c>
      <c r="AE144">
        <v>1</v>
      </c>
      <c r="AF144" t="s">
        <v>2306</v>
      </c>
      <c r="AG144" t="s">
        <v>1687</v>
      </c>
      <c r="AJ144" t="s">
        <v>2255</v>
      </c>
      <c r="AR144" t="s">
        <v>1331</v>
      </c>
      <c r="AS144" t="s">
        <v>2343</v>
      </c>
      <c r="AY144" t="s">
        <v>1727</v>
      </c>
      <c r="AZ144" t="s">
        <v>1727</v>
      </c>
      <c r="BB144" t="s">
        <v>1727</v>
      </c>
      <c r="BC144" t="s">
        <v>1996</v>
      </c>
      <c r="BL144">
        <f>IF($T144="","",IF((IF(AND($AW144&lt;&gt;"Yes",$AW144&lt;&gt;"N/A"),"Power Cable, ","")&amp;IF(AND($AX144&lt;&gt;"Yes",$AX144&lt;&gt;"N/A"),"Battery, ","")&amp;IF(AND($BE144&lt;&gt;"Yes",$BE144&lt;&gt;"N/A"),"Firmware Download, ","")&amp;IF(AND(OR($BE144="Yes",$BE144="N/A"),$BF144&lt;&gt;"Yes",$BF144&lt;&gt;"N/A"),"Firmware Install, ","")&amp;IF(AND($BJ144&lt;&gt;"Yes",$BJ144&lt;&gt;"N/A"),"Device ID, ","")&amp;IF(AND($BK144&lt;&gt;"Yes",$BK144&lt;&gt;"N/A"),"Epic Beans Relay, ",""))="","",LEFT(IF(AND($AW144&lt;&gt;"Yes",$AW144&lt;&gt;"N/A"),"Power Cable, ","")&amp;IF(AND($AX144&lt;&gt;"Yes",$AX144&lt;&gt;"N/A"),"Battery, ","")&amp;IF(AND($BE144&lt;&gt;"Yes",$BE144&lt;&gt;"N/A"),"Firmware Download, ","")&amp;IF(AND(OR($BE144="Yes",$BE144="N/A"),$BF144&lt;&gt;"Yes",$BF144&lt;&gt;"N/A"),"Firmware Install, ","")&amp;IF(AND($BJ144&lt;&gt;"Yes",$BJ144&lt;&gt;"N/A"),"Device ID, ","")&amp;IF(AND($BK144&lt;&gt;"Yes",$BK144&lt;&gt;"N/A"),"Epic Beans Relay, ",""),LEN(IF(AND($AW144&lt;&gt;"Yes",$AW144&lt;&gt;"N/A"),"Power Cable, ","")&amp;IF(AND($AX144&lt;&gt;"Yes",$AX144&lt;&gt;"N/A"),"Battery, ","")&amp;IF(AND($BE144&lt;&gt;"Yes",$BE144&lt;&gt;"N/A"),"Firmware Download, ","")&amp;IF(AND(OR($BE144="Yes",$BE144="N/A"),$BF144&lt;&gt;"Yes",$BF144&lt;&gt;"N/A"),"Firmware Install, ","")&amp;IF(AND($BJ144&lt;&gt;"Yes",$BJ144&lt;&gt;"N/A"),"Device ID, ","")&amp;IF(AND($BK144&lt;&gt;"Yes",$BK144&lt;&gt;"N/A"),"Epic Beans Relay, ",""))-2)))</f>
      </c>
      <c r="BM144">
        <f>IF($T144="","",IF($BL144="","Yes","Blocked"))</f>
      </c>
      <c r="BP144">
        <f>IF($BO144="","",IFERROR(VLOOKUP($BO144,'01_Warehouse_Ledger'!$A:$N,4,FALSE),""))</f>
      </c>
      <c r="BQ144">
        <f>IF($BO144="","",IFERROR(VLOOKUP($BO144,'01_Warehouse_Ledger'!$A:$N,5,FALSE),""))</f>
      </c>
      <c r="BR144">
        <f>IF($BO144="","",IFERROR(VLOOKUP($BO144,'01_Warehouse_Ledger'!$A:$N,13,FALSE),""))</f>
      </c>
      <c r="BS144" t="s">
        <v>1727</v>
      </c>
      <c r="BT144" t="s">
        <v>1727</v>
      </c>
      <c r="BU144" t="s">
        <v>1727</v>
      </c>
      <c r="BV144" t="s">
        <v>1727</v>
      </c>
    </row>
    <row r="145">
      <c r="A145" t="s">
        <v>1429</v>
      </c>
      <c r="B145" t="s">
        <v>1727</v>
      </c>
      <c r="C145" t="s">
        <v>1727</v>
      </c>
      <c r="D145">
        <f>IF($B145&lt;&gt;"Yes","",IF($C145="No","Yes",IF($C145="Yes","No","")))</f>
      </c>
      <c r="E145">
        <f>IF($A145="","",IF($A145="Neuron",IF(OR(AND($R145&lt;&gt;"",LOWER(TRIM($R145))&lt;&gt;"n/a",COUNTIF($S$2:$S$532,$R145)&gt;1),AND($T145&lt;&gt;"",LOWER(TRIM($T145))&lt;&gt;"n/a",COUNTIF($T$2:$T$532,$T145)&gt;1),AND($W145&lt;&gt;"",LOWER(TRIM($W145))&lt;&gt;"n/a",COUNTIF($W$2:$W$532,$W145)&gt;1)),"Yes","No"),IF($A145="Cybernet",IF(OR(AND($Y145&lt;&gt;"",LOWER(TRIM($Y145))&lt;&gt;"n/a",COUNTIF($Y$2:$Y$532,$Y145)&gt;1),AND($Z145&lt;&gt;"",LOWER(TRIM($Z145))&lt;&gt;"n/a",COUNTIF($Z$2:$Z$532,$Z145)&gt;1)),"Yes","No"),IF(AND($AL145&lt;&gt;"",LOWER(TRIM($AL145))&lt;&gt;"n/a",COUNTIF($AL$2:$AL$532,$AL145)&gt;1),"Yes","No"))))</f>
      </c>
      <c r="F145">
        <f>IF($B145&lt;&gt;"Yes","",
IF($A145="Neuron",
IF(OR(
AND($R145&lt;&gt;"",LOWER(TRIM($R145))&lt;&gt;"n/a",COUNTIFS($B$2:$B$532,"Yes",$A$2:$A$532,"Neuron",$S$2:$S$532,$R145)&gt;1),
AND($T145&lt;&gt;"",LOWER(TRIM($T145))&lt;&gt;"n/a",COUNTIFS($B$2:$B$532,"Yes",$A$2:$A$532,"Neuron",$T$2:$T$532,$T145)&gt;1),
AND($W145&lt;&gt;"",LOWER(TRIM($W145))&lt;&gt;"n/a",COUNTIFS($B$2:$B$532,"Yes",$A$2:$A$532,"Neuron",$W$2:$W$532,$W145)&gt;1)
),"Yes","No"),
IF($A145="Cybernet",
IF(OR(
AND($Y145&lt;&gt;"",LOWER(TRIM($Y145))&lt;&gt;"n/a",COUNTIFS($B$2:$B$532,"Yes",$A$2:$A$532,"Cybernet",$Y$2:$Y$532,$Y145)&gt;1),
AND($Z145&lt;&gt;"",LOWER(TRIM($Z145))&lt;&gt;"n/a",COUNTIFS($B$2:$B$532,"Yes",$A$2:$A$532,"Cybernet",$Z$2:$Z$532,$Z145)&gt;1)
),"Yes","No"),
IF(AND($AL145&lt;&gt;"",LOWER(TRIM($AL145))&lt;&gt;"n/a"),
IF(COUNTIFS($B$2:$B$532,"Yes",$A$2:$A$532,$A145,$AL$2:$AL$532,$AL145)&gt;1,"Yes","No"),
"No")
)
)
)</f>
      </c>
      <c r="G145" t="s">
        <v>2192</v>
      </c>
      <c r="H145" t="s">
        <v>2192</v>
      </c>
      <c r="R145" t="s">
        <v>2241</v>
      </c>
      <c r="T145" t="s">
        <v>2201</v>
      </c>
      <c r="W145" t="s">
        <v>1900</v>
      </c>
      <c r="Y145" t="s">
        <v>2166</v>
      </c>
      <c r="Z145" t="s">
        <v>2010</v>
      </c>
      <c r="AA145" t="s">
        <v>2031</v>
      </c>
      <c r="AD145" t="s">
        <v>1821</v>
      </c>
      <c r="AE145">
        <v>1</v>
      </c>
      <c r="AF145" t="s">
        <v>2306</v>
      </c>
      <c r="AG145" t="s">
        <v>2136</v>
      </c>
      <c r="AJ145" t="s">
        <v>2255</v>
      </c>
      <c r="AR145" t="s">
        <v>1331</v>
      </c>
      <c r="AS145" t="s">
        <v>2237</v>
      </c>
      <c r="AY145" t="s">
        <v>1727</v>
      </c>
      <c r="AZ145" t="s">
        <v>1657</v>
      </c>
      <c r="BB145" t="s">
        <v>1727</v>
      </c>
      <c r="BC145" t="s">
        <v>1675</v>
      </c>
      <c r="BL145">
        <f>IF($T145="","",IF((IF(AND($AW145&lt;&gt;"Yes",$AW145&lt;&gt;"N/A"),"Power Cable, ","")&amp;IF(AND($AX145&lt;&gt;"Yes",$AX145&lt;&gt;"N/A"),"Battery, ","")&amp;IF(AND($BE145&lt;&gt;"Yes",$BE145&lt;&gt;"N/A"),"Firmware Download, ","")&amp;IF(AND(OR($BE145="Yes",$BE145="N/A"),$BF145&lt;&gt;"Yes",$BF145&lt;&gt;"N/A"),"Firmware Install, ","")&amp;IF(AND($BJ145&lt;&gt;"Yes",$BJ145&lt;&gt;"N/A"),"Device ID, ","")&amp;IF(AND($BK145&lt;&gt;"Yes",$BK145&lt;&gt;"N/A"),"Epic Beans Relay, ",""))="","",LEFT(IF(AND($AW145&lt;&gt;"Yes",$AW145&lt;&gt;"N/A"),"Power Cable, ","")&amp;IF(AND($AX145&lt;&gt;"Yes",$AX145&lt;&gt;"N/A"),"Battery, ","")&amp;IF(AND($BE145&lt;&gt;"Yes",$BE145&lt;&gt;"N/A"),"Firmware Download, ","")&amp;IF(AND(OR($BE145="Yes",$BE145="N/A"),$BF145&lt;&gt;"Yes",$BF145&lt;&gt;"N/A"),"Firmware Install, ","")&amp;IF(AND($BJ145&lt;&gt;"Yes",$BJ145&lt;&gt;"N/A"),"Device ID, ","")&amp;IF(AND($BK145&lt;&gt;"Yes",$BK145&lt;&gt;"N/A"),"Epic Beans Relay, ",""),LEN(IF(AND($AW145&lt;&gt;"Yes",$AW145&lt;&gt;"N/A"),"Power Cable, ","")&amp;IF(AND($AX145&lt;&gt;"Yes",$AX145&lt;&gt;"N/A"),"Battery, ","")&amp;IF(AND($BE145&lt;&gt;"Yes",$BE145&lt;&gt;"N/A"),"Firmware Download, ","")&amp;IF(AND(OR($BE145="Yes",$BE145="N/A"),$BF145&lt;&gt;"Yes",$BF145&lt;&gt;"N/A"),"Firmware Install, ","")&amp;IF(AND($BJ145&lt;&gt;"Yes",$BJ145&lt;&gt;"N/A"),"Device ID, ","")&amp;IF(AND($BK145&lt;&gt;"Yes",$BK145&lt;&gt;"N/A"),"Epic Beans Relay, ",""))-2)))</f>
      </c>
      <c r="BM145">
        <f>IF($T145="","",IF($BL145="","Yes","Blocked"))</f>
      </c>
      <c r="BP145">
        <f>IF($BO145="","",IFERROR(VLOOKUP($BO145,'01_Warehouse_Ledger'!$A:$N,4,FALSE),""))</f>
      </c>
      <c r="BQ145">
        <f>IF($BO145="","",IFERROR(VLOOKUP($BO145,'01_Warehouse_Ledger'!$A:$N,5,FALSE),""))</f>
      </c>
      <c r="BR145">
        <f>IF($BO145="","",IFERROR(VLOOKUP($BO145,'01_Warehouse_Ledger'!$A:$N,13,FALSE),""))</f>
      </c>
      <c r="BS145" t="s">
        <v>1727</v>
      </c>
      <c r="BT145" t="s">
        <v>1727</v>
      </c>
      <c r="BU145" t="s">
        <v>1727</v>
      </c>
      <c r="BV145" t="s">
        <v>1727</v>
      </c>
    </row>
    <row r="146">
      <c r="A146" t="s">
        <v>1429</v>
      </c>
      <c r="B146" t="s">
        <v>1727</v>
      </c>
      <c r="C146" t="s">
        <v>1727</v>
      </c>
      <c r="D146">
        <f>IF($B146&lt;&gt;"Yes","",IF($C146="No","Yes",IF($C146="Yes","No","")))</f>
      </c>
      <c r="E146">
        <f>IF($A146="","",IF($A146="Neuron",IF(OR(AND($R146&lt;&gt;"",LOWER(TRIM($R146))&lt;&gt;"n/a",COUNTIF($S$2:$S$532,$R146)&gt;1),AND($T146&lt;&gt;"",LOWER(TRIM($T146))&lt;&gt;"n/a",COUNTIF($T$2:$T$532,$T146)&gt;1),AND($W146&lt;&gt;"",LOWER(TRIM($W146))&lt;&gt;"n/a",COUNTIF($W$2:$W$532,$W146)&gt;1)),"Yes","No"),IF($A146="Cybernet",IF(OR(AND($Y146&lt;&gt;"",LOWER(TRIM($Y146))&lt;&gt;"n/a",COUNTIF($Y$2:$Y$532,$Y146)&gt;1),AND($Z146&lt;&gt;"",LOWER(TRIM($Z146))&lt;&gt;"n/a",COUNTIF($Z$2:$Z$532,$Z146)&gt;1)),"Yes","No"),IF(AND($AL146&lt;&gt;"",LOWER(TRIM($AL146))&lt;&gt;"n/a",COUNTIF($AL$2:$AL$532,$AL146)&gt;1),"Yes","No"))))</f>
      </c>
      <c r="F146">
        <f>IF($B146&lt;&gt;"Yes","",
IF($A146="Neuron",
IF(OR(
AND($R146&lt;&gt;"",LOWER(TRIM($R146))&lt;&gt;"n/a",COUNTIFS($B$2:$B$532,"Yes",$A$2:$A$532,"Neuron",$S$2:$S$532,$R146)&gt;1),
AND($T146&lt;&gt;"",LOWER(TRIM($T146))&lt;&gt;"n/a",COUNTIFS($B$2:$B$532,"Yes",$A$2:$A$532,"Neuron",$T$2:$T$532,$T146)&gt;1),
AND($W146&lt;&gt;"",LOWER(TRIM($W146))&lt;&gt;"n/a",COUNTIFS($B$2:$B$532,"Yes",$A$2:$A$532,"Neuron",$W$2:$W$532,$W146)&gt;1)
),"Yes","No"),
IF($A146="Cybernet",
IF(OR(
AND($Y146&lt;&gt;"",LOWER(TRIM($Y146))&lt;&gt;"n/a",COUNTIFS($B$2:$B$532,"Yes",$A$2:$A$532,"Cybernet",$Y$2:$Y$532,$Y146)&gt;1),
AND($Z146&lt;&gt;"",LOWER(TRIM($Z146))&lt;&gt;"n/a",COUNTIFS($B$2:$B$532,"Yes",$A$2:$A$532,"Cybernet",$Z$2:$Z$532,$Z146)&gt;1)
),"Yes","No"),
IF(AND($AL146&lt;&gt;"",LOWER(TRIM($AL146))&lt;&gt;"n/a"),
IF(COUNTIFS($B$2:$B$532,"Yes",$A$2:$A$532,$A146,$AL$2:$AL$532,$AL146)&gt;1,"Yes","No"),
"No")
)
)
)</f>
      </c>
      <c r="G146" t="s">
        <v>2192</v>
      </c>
      <c r="H146" t="s">
        <v>2192</v>
      </c>
      <c r="R146" t="s">
        <v>1628</v>
      </c>
      <c r="T146" t="s">
        <v>2374</v>
      </c>
      <c r="W146" t="s">
        <v>2367</v>
      </c>
      <c r="Y146" t="s">
        <v>1660</v>
      </c>
      <c r="Z146" t="s">
        <v>2010</v>
      </c>
      <c r="AA146" t="s">
        <v>2031</v>
      </c>
      <c r="AD146" t="s">
        <v>1821</v>
      </c>
      <c r="AE146">
        <v>1</v>
      </c>
      <c r="AF146" t="s">
        <v>2306</v>
      </c>
      <c r="AG146" t="s">
        <v>2271</v>
      </c>
      <c r="AJ146" t="s">
        <v>1974</v>
      </c>
      <c r="AR146" t="s">
        <v>1331</v>
      </c>
      <c r="AS146" t="s">
        <v>1706</v>
      </c>
      <c r="AY146" t="s">
        <v>1727</v>
      </c>
      <c r="AZ146" t="s">
        <v>1657</v>
      </c>
      <c r="BB146" t="s">
        <v>1727</v>
      </c>
      <c r="BC146" t="s">
        <v>1772</v>
      </c>
      <c r="BL146">
        <f>IF($T146="","",IF((IF(AND($AW146&lt;&gt;"Yes",$AW146&lt;&gt;"N/A"),"Power Cable, ","")&amp;IF(AND($AX146&lt;&gt;"Yes",$AX146&lt;&gt;"N/A"),"Battery, ","")&amp;IF(AND($BE146&lt;&gt;"Yes",$BE146&lt;&gt;"N/A"),"Firmware Download, ","")&amp;IF(AND(OR($BE146="Yes",$BE146="N/A"),$BF146&lt;&gt;"Yes",$BF146&lt;&gt;"N/A"),"Firmware Install, ","")&amp;IF(AND($BJ146&lt;&gt;"Yes",$BJ146&lt;&gt;"N/A"),"Device ID, ","")&amp;IF(AND($BK146&lt;&gt;"Yes",$BK146&lt;&gt;"N/A"),"Epic Beans Relay, ",""))="","",LEFT(IF(AND($AW146&lt;&gt;"Yes",$AW146&lt;&gt;"N/A"),"Power Cable, ","")&amp;IF(AND($AX146&lt;&gt;"Yes",$AX146&lt;&gt;"N/A"),"Battery, ","")&amp;IF(AND($BE146&lt;&gt;"Yes",$BE146&lt;&gt;"N/A"),"Firmware Download, ","")&amp;IF(AND(OR($BE146="Yes",$BE146="N/A"),$BF146&lt;&gt;"Yes",$BF146&lt;&gt;"N/A"),"Firmware Install, ","")&amp;IF(AND($BJ146&lt;&gt;"Yes",$BJ146&lt;&gt;"N/A"),"Device ID, ","")&amp;IF(AND($BK146&lt;&gt;"Yes",$BK146&lt;&gt;"N/A"),"Epic Beans Relay, ",""),LEN(IF(AND($AW146&lt;&gt;"Yes",$AW146&lt;&gt;"N/A"),"Power Cable, ","")&amp;IF(AND($AX146&lt;&gt;"Yes",$AX146&lt;&gt;"N/A"),"Battery, ","")&amp;IF(AND($BE146&lt;&gt;"Yes",$BE146&lt;&gt;"N/A"),"Firmware Download, ","")&amp;IF(AND(OR($BE146="Yes",$BE146="N/A"),$BF146&lt;&gt;"Yes",$BF146&lt;&gt;"N/A"),"Firmware Install, ","")&amp;IF(AND($BJ146&lt;&gt;"Yes",$BJ146&lt;&gt;"N/A"),"Device ID, ","")&amp;IF(AND($BK146&lt;&gt;"Yes",$BK146&lt;&gt;"N/A"),"Epic Beans Relay, ",""))-2)))</f>
      </c>
      <c r="BM146">
        <f>IF($T146="","",IF($BL146="","Yes","Blocked"))</f>
      </c>
      <c r="BP146">
        <f>IF($BO146="","",IFERROR(VLOOKUP($BO146,'01_Warehouse_Ledger'!$A:$N,4,FALSE),""))</f>
      </c>
      <c r="BQ146">
        <f>IF($BO146="","",IFERROR(VLOOKUP($BO146,'01_Warehouse_Ledger'!$A:$N,5,FALSE),""))</f>
      </c>
      <c r="BR146">
        <f>IF($BO146="","",IFERROR(VLOOKUP($BO146,'01_Warehouse_Ledger'!$A:$N,13,FALSE),""))</f>
      </c>
      <c r="BS146" t="s">
        <v>1727</v>
      </c>
      <c r="BT146" t="s">
        <v>1727</v>
      </c>
      <c r="BU146" t="s">
        <v>1727</v>
      </c>
      <c r="BV146" t="s">
        <v>1727</v>
      </c>
    </row>
    <row r="147">
      <c r="A147" t="s">
        <v>1429</v>
      </c>
      <c r="B147" t="s">
        <v>1727</v>
      </c>
      <c r="C147" t="s">
        <v>1727</v>
      </c>
      <c r="D147">
        <f>IF($B147&lt;&gt;"Yes","",IF($C147="No","Yes",IF($C147="Yes","No","")))</f>
      </c>
      <c r="E147">
        <f>IF($A147="","",IF($A147="Neuron",IF(OR(AND($R147&lt;&gt;"",LOWER(TRIM($R147))&lt;&gt;"n/a",COUNTIF($S$2:$S$532,$R147)&gt;1),AND($T147&lt;&gt;"",LOWER(TRIM($T147))&lt;&gt;"n/a",COUNTIF($T$2:$T$532,$T147)&gt;1),AND($W147&lt;&gt;"",LOWER(TRIM($W147))&lt;&gt;"n/a",COUNTIF($W$2:$W$532,$W147)&gt;1)),"Yes","No"),IF($A147="Cybernet",IF(OR(AND($Y147&lt;&gt;"",LOWER(TRIM($Y147))&lt;&gt;"n/a",COUNTIF($Y$2:$Y$532,$Y147)&gt;1),AND($Z147&lt;&gt;"",LOWER(TRIM($Z147))&lt;&gt;"n/a",COUNTIF($Z$2:$Z$532,$Z147)&gt;1)),"Yes","No"),IF(AND($AL147&lt;&gt;"",LOWER(TRIM($AL147))&lt;&gt;"n/a",COUNTIF($AL$2:$AL$532,$AL147)&gt;1),"Yes","No"))))</f>
      </c>
      <c r="F147">
        <f>IF($B147&lt;&gt;"Yes","",
IF($A147="Neuron",
IF(OR(
AND($R147&lt;&gt;"",LOWER(TRIM($R147))&lt;&gt;"n/a",COUNTIFS($B$2:$B$532,"Yes",$A$2:$A$532,"Neuron",$S$2:$S$532,$R147)&gt;1),
AND($T147&lt;&gt;"",LOWER(TRIM($T147))&lt;&gt;"n/a",COUNTIFS($B$2:$B$532,"Yes",$A$2:$A$532,"Neuron",$T$2:$T$532,$T147)&gt;1),
AND($W147&lt;&gt;"",LOWER(TRIM($W147))&lt;&gt;"n/a",COUNTIFS($B$2:$B$532,"Yes",$A$2:$A$532,"Neuron",$W$2:$W$532,$W147)&gt;1)
),"Yes","No"),
IF($A147="Cybernet",
IF(OR(
AND($Y147&lt;&gt;"",LOWER(TRIM($Y147))&lt;&gt;"n/a",COUNTIFS($B$2:$B$532,"Yes",$A$2:$A$532,"Cybernet",$Y$2:$Y$532,$Y147)&gt;1),
AND($Z147&lt;&gt;"",LOWER(TRIM($Z147))&lt;&gt;"n/a",COUNTIFS($B$2:$B$532,"Yes",$A$2:$A$532,"Cybernet",$Z$2:$Z$532,$Z147)&gt;1)
),"Yes","No"),
IF(AND($AL147&lt;&gt;"",LOWER(TRIM($AL147))&lt;&gt;"n/a"),
IF(COUNTIFS($B$2:$B$532,"Yes",$A$2:$A$532,$A147,$AL$2:$AL$532,$AL147)&gt;1,"Yes","No"),
"No")
)
)
)</f>
      </c>
      <c r="G147" t="s">
        <v>2192</v>
      </c>
      <c r="H147" t="s">
        <v>2192</v>
      </c>
      <c r="R147" t="s">
        <v>1940</v>
      </c>
      <c r="T147" t="s">
        <v>2028</v>
      </c>
      <c r="W147" t="s">
        <v>2168</v>
      </c>
      <c r="Y147" t="s">
        <v>1662</v>
      </c>
      <c r="AA147" t="s">
        <v>2031</v>
      </c>
      <c r="AD147" t="s">
        <v>1821</v>
      </c>
      <c r="AE147">
        <v>1</v>
      </c>
      <c r="AF147" t="s">
        <v>2306</v>
      </c>
      <c r="AG147" t="s">
        <v>1969</v>
      </c>
      <c r="AJ147" t="s">
        <v>1974</v>
      </c>
      <c r="AR147" t="s">
        <v>1331</v>
      </c>
      <c r="AS147" t="s">
        <v>2343</v>
      </c>
      <c r="AY147" t="s">
        <v>1727</v>
      </c>
      <c r="AZ147" t="s">
        <v>1727</v>
      </c>
      <c r="BB147" t="s">
        <v>1727</v>
      </c>
      <c r="BC147" t="s">
        <v>1926</v>
      </c>
      <c r="BL147">
        <f>IF($T147="","",IF((IF(AND($AW147&lt;&gt;"Yes",$AW147&lt;&gt;"N/A"),"Power Cable, ","")&amp;IF(AND($AX147&lt;&gt;"Yes",$AX147&lt;&gt;"N/A"),"Battery, ","")&amp;IF(AND($BE147&lt;&gt;"Yes",$BE147&lt;&gt;"N/A"),"Firmware Download, ","")&amp;IF(AND(OR($BE147="Yes",$BE147="N/A"),$BF147&lt;&gt;"Yes",$BF147&lt;&gt;"N/A"),"Firmware Install, ","")&amp;IF(AND($BJ147&lt;&gt;"Yes",$BJ147&lt;&gt;"N/A"),"Device ID, ","")&amp;IF(AND($BK147&lt;&gt;"Yes",$BK147&lt;&gt;"N/A"),"Epic Beans Relay, ",""))="","",LEFT(IF(AND($AW147&lt;&gt;"Yes",$AW147&lt;&gt;"N/A"),"Power Cable, ","")&amp;IF(AND($AX147&lt;&gt;"Yes",$AX147&lt;&gt;"N/A"),"Battery, ","")&amp;IF(AND($BE147&lt;&gt;"Yes",$BE147&lt;&gt;"N/A"),"Firmware Download, ","")&amp;IF(AND(OR($BE147="Yes",$BE147="N/A"),$BF147&lt;&gt;"Yes",$BF147&lt;&gt;"N/A"),"Firmware Install, ","")&amp;IF(AND($BJ147&lt;&gt;"Yes",$BJ147&lt;&gt;"N/A"),"Device ID, ","")&amp;IF(AND($BK147&lt;&gt;"Yes",$BK147&lt;&gt;"N/A"),"Epic Beans Relay, ",""),LEN(IF(AND($AW147&lt;&gt;"Yes",$AW147&lt;&gt;"N/A"),"Power Cable, ","")&amp;IF(AND($AX147&lt;&gt;"Yes",$AX147&lt;&gt;"N/A"),"Battery, ","")&amp;IF(AND($BE147&lt;&gt;"Yes",$BE147&lt;&gt;"N/A"),"Firmware Download, ","")&amp;IF(AND(OR($BE147="Yes",$BE147="N/A"),$BF147&lt;&gt;"Yes",$BF147&lt;&gt;"N/A"),"Firmware Install, ","")&amp;IF(AND($BJ147&lt;&gt;"Yes",$BJ147&lt;&gt;"N/A"),"Device ID, ","")&amp;IF(AND($BK147&lt;&gt;"Yes",$BK147&lt;&gt;"N/A"),"Epic Beans Relay, ",""))-2)))</f>
      </c>
      <c r="BM147">
        <f>IF($T147="","",IF($BL147="","Yes","Blocked"))</f>
      </c>
      <c r="BP147">
        <f>IF($BO147="","",IFERROR(VLOOKUP($BO147,'01_Warehouse_Ledger'!$A:$N,4,FALSE),""))</f>
      </c>
      <c r="BQ147">
        <f>IF($BO147="","",IFERROR(VLOOKUP($BO147,'01_Warehouse_Ledger'!$A:$N,5,FALSE),""))</f>
      </c>
      <c r="BR147">
        <f>IF($BO147="","",IFERROR(VLOOKUP($BO147,'01_Warehouse_Ledger'!$A:$N,13,FALSE),""))</f>
      </c>
      <c r="BS147" t="s">
        <v>1727</v>
      </c>
      <c r="BT147" t="s">
        <v>1727</v>
      </c>
      <c r="BU147" t="s">
        <v>1727</v>
      </c>
      <c r="BV147" t="s">
        <v>1727</v>
      </c>
    </row>
    <row r="148">
      <c r="A148" t="s">
        <v>1429</v>
      </c>
      <c r="B148" t="s">
        <v>1727</v>
      </c>
      <c r="C148" t="s">
        <v>1727</v>
      </c>
      <c r="D148">
        <f>IF($B148&lt;&gt;"Yes","",IF($C148="No","Yes",IF($C148="Yes","No","")))</f>
      </c>
      <c r="E148">
        <f>IF($A148="","",IF($A148="Neuron",IF(OR(AND($R148&lt;&gt;"",LOWER(TRIM($R148))&lt;&gt;"n/a",COUNTIF($S$2:$S$532,$R148)&gt;1),AND($T148&lt;&gt;"",LOWER(TRIM($T148))&lt;&gt;"n/a",COUNTIF($T$2:$T$532,$T148)&gt;1),AND($W148&lt;&gt;"",LOWER(TRIM($W148))&lt;&gt;"n/a",COUNTIF($W$2:$W$532,$W148)&gt;1)),"Yes","No"),IF($A148="Cybernet",IF(OR(AND($Y148&lt;&gt;"",LOWER(TRIM($Y148))&lt;&gt;"n/a",COUNTIF($Y$2:$Y$532,$Y148)&gt;1),AND($Z148&lt;&gt;"",LOWER(TRIM($Z148))&lt;&gt;"n/a",COUNTIF($Z$2:$Z$532,$Z148)&gt;1)),"Yes","No"),IF(AND($AL148&lt;&gt;"",LOWER(TRIM($AL148))&lt;&gt;"n/a",COUNTIF($AL$2:$AL$532,$AL148)&gt;1),"Yes","No"))))</f>
      </c>
      <c r="F148">
        <f>IF($B148&lt;&gt;"Yes","",
IF($A148="Neuron",
IF(OR(
AND($R148&lt;&gt;"",LOWER(TRIM($R148))&lt;&gt;"n/a",COUNTIFS($B$2:$B$532,"Yes",$A$2:$A$532,"Neuron",$S$2:$S$532,$R148)&gt;1),
AND($T148&lt;&gt;"",LOWER(TRIM($T148))&lt;&gt;"n/a",COUNTIFS($B$2:$B$532,"Yes",$A$2:$A$532,"Neuron",$T$2:$T$532,$T148)&gt;1),
AND($W148&lt;&gt;"",LOWER(TRIM($W148))&lt;&gt;"n/a",COUNTIFS($B$2:$B$532,"Yes",$A$2:$A$532,"Neuron",$W$2:$W$532,$W148)&gt;1)
),"Yes","No"),
IF($A148="Cybernet",
IF(OR(
AND($Y148&lt;&gt;"",LOWER(TRIM($Y148))&lt;&gt;"n/a",COUNTIFS($B$2:$B$532,"Yes",$A$2:$A$532,"Cybernet",$Y$2:$Y$532,$Y148)&gt;1),
AND($Z148&lt;&gt;"",LOWER(TRIM($Z148))&lt;&gt;"n/a",COUNTIFS($B$2:$B$532,"Yes",$A$2:$A$532,"Cybernet",$Z$2:$Z$532,$Z148)&gt;1)
),"Yes","No"),
IF(AND($AL148&lt;&gt;"",LOWER(TRIM($AL148))&lt;&gt;"n/a"),
IF(COUNTIFS($B$2:$B$532,"Yes",$A$2:$A$532,$A148,$AL$2:$AL$532,$AL148)&gt;1,"Yes","No"),
"No")
)
)
)</f>
      </c>
      <c r="G148" t="s">
        <v>2192</v>
      </c>
      <c r="H148" t="s">
        <v>2192</v>
      </c>
      <c r="R148" t="s">
        <v>2118</v>
      </c>
      <c r="T148" t="s">
        <v>2175</v>
      </c>
      <c r="W148" t="s">
        <v>2214</v>
      </c>
      <c r="Y148" t="s">
        <v>2202</v>
      </c>
      <c r="AA148" t="s">
        <v>2031</v>
      </c>
      <c r="AD148" t="s">
        <v>1821</v>
      </c>
      <c r="AE148">
        <v>1</v>
      </c>
      <c r="AF148" t="s">
        <v>2306</v>
      </c>
      <c r="AG148" t="s">
        <v>1736</v>
      </c>
      <c r="AJ148" t="s">
        <v>1822</v>
      </c>
      <c r="AR148" t="s">
        <v>1954</v>
      </c>
      <c r="AS148" t="s">
        <v>2343</v>
      </c>
      <c r="AY148" t="s">
        <v>1727</v>
      </c>
      <c r="AZ148" t="s">
        <v>1727</v>
      </c>
      <c r="BB148" t="s">
        <v>1727</v>
      </c>
      <c r="BC148" t="s">
        <v>2091</v>
      </c>
      <c r="BL148">
        <f>IF($T148="","",IF((IF(AND($AW148&lt;&gt;"Yes",$AW148&lt;&gt;"N/A"),"Power Cable, ","")&amp;IF(AND($AX148&lt;&gt;"Yes",$AX148&lt;&gt;"N/A"),"Battery, ","")&amp;IF(AND($BE148&lt;&gt;"Yes",$BE148&lt;&gt;"N/A"),"Firmware Download, ","")&amp;IF(AND(OR($BE148="Yes",$BE148="N/A"),$BF148&lt;&gt;"Yes",$BF148&lt;&gt;"N/A"),"Firmware Install, ","")&amp;IF(AND($BJ148&lt;&gt;"Yes",$BJ148&lt;&gt;"N/A"),"Device ID, ","")&amp;IF(AND($BK148&lt;&gt;"Yes",$BK148&lt;&gt;"N/A"),"Epic Beans Relay, ",""))="","",LEFT(IF(AND($AW148&lt;&gt;"Yes",$AW148&lt;&gt;"N/A"),"Power Cable, ","")&amp;IF(AND($AX148&lt;&gt;"Yes",$AX148&lt;&gt;"N/A"),"Battery, ","")&amp;IF(AND($BE148&lt;&gt;"Yes",$BE148&lt;&gt;"N/A"),"Firmware Download, ","")&amp;IF(AND(OR($BE148="Yes",$BE148="N/A"),$BF148&lt;&gt;"Yes",$BF148&lt;&gt;"N/A"),"Firmware Install, ","")&amp;IF(AND($BJ148&lt;&gt;"Yes",$BJ148&lt;&gt;"N/A"),"Device ID, ","")&amp;IF(AND($BK148&lt;&gt;"Yes",$BK148&lt;&gt;"N/A"),"Epic Beans Relay, ",""),LEN(IF(AND($AW148&lt;&gt;"Yes",$AW148&lt;&gt;"N/A"),"Power Cable, ","")&amp;IF(AND($AX148&lt;&gt;"Yes",$AX148&lt;&gt;"N/A"),"Battery, ","")&amp;IF(AND($BE148&lt;&gt;"Yes",$BE148&lt;&gt;"N/A"),"Firmware Download, ","")&amp;IF(AND(OR($BE148="Yes",$BE148="N/A"),$BF148&lt;&gt;"Yes",$BF148&lt;&gt;"N/A"),"Firmware Install, ","")&amp;IF(AND($BJ148&lt;&gt;"Yes",$BJ148&lt;&gt;"N/A"),"Device ID, ","")&amp;IF(AND($BK148&lt;&gt;"Yes",$BK148&lt;&gt;"N/A"),"Epic Beans Relay, ",""))-2)))</f>
      </c>
      <c r="BM148">
        <f>IF($T148="","",IF($BL148="","Yes","Blocked"))</f>
      </c>
      <c r="BP148">
        <f>IF($BO148="","",IFERROR(VLOOKUP($BO148,'01_Warehouse_Ledger'!$A:$N,4,FALSE),""))</f>
      </c>
      <c r="BQ148">
        <f>IF($BO148="","",IFERROR(VLOOKUP($BO148,'01_Warehouse_Ledger'!$A:$N,5,FALSE),""))</f>
      </c>
      <c r="BR148">
        <f>IF($BO148="","",IFERROR(VLOOKUP($BO148,'01_Warehouse_Ledger'!$A:$N,13,FALSE),""))</f>
      </c>
      <c r="BS148" t="s">
        <v>1727</v>
      </c>
      <c r="BT148" t="s">
        <v>1727</v>
      </c>
      <c r="BU148" t="s">
        <v>1727</v>
      </c>
      <c r="BV148" t="s">
        <v>1727</v>
      </c>
    </row>
    <row r="149">
      <c r="A149" t="s">
        <v>1429</v>
      </c>
      <c r="B149" t="s">
        <v>1727</v>
      </c>
      <c r="C149" t="s">
        <v>1727</v>
      </c>
      <c r="D149">
        <f>IF($B149&lt;&gt;"Yes","",IF($C149="No","Yes",IF($C149="Yes","No","")))</f>
      </c>
      <c r="E149">
        <f>IF($A149="","",IF($A149="Neuron",IF(OR(AND($R149&lt;&gt;"",LOWER(TRIM($R149))&lt;&gt;"n/a",COUNTIF($S$2:$S$532,$R149)&gt;1),AND($T149&lt;&gt;"",LOWER(TRIM($T149))&lt;&gt;"n/a",COUNTIF($T$2:$T$532,$T149)&gt;1),AND($W149&lt;&gt;"",LOWER(TRIM($W149))&lt;&gt;"n/a",COUNTIF($W$2:$W$532,$W149)&gt;1)),"Yes","No"),IF($A149="Cybernet",IF(OR(AND($Y149&lt;&gt;"",LOWER(TRIM($Y149))&lt;&gt;"n/a",COUNTIF($Y$2:$Y$532,$Y149)&gt;1),AND($Z149&lt;&gt;"",LOWER(TRIM($Z149))&lt;&gt;"n/a",COUNTIF($Z$2:$Z$532,$Z149)&gt;1)),"Yes","No"),IF(AND($AL149&lt;&gt;"",LOWER(TRIM($AL149))&lt;&gt;"n/a",COUNTIF($AL$2:$AL$532,$AL149)&gt;1),"Yes","No"))))</f>
      </c>
      <c r="F149">
        <f>IF($B149&lt;&gt;"Yes","",
IF($A149="Neuron",
IF(OR(
AND($R149&lt;&gt;"",LOWER(TRIM($R149))&lt;&gt;"n/a",COUNTIFS($B$2:$B$532,"Yes",$A$2:$A$532,"Neuron",$S$2:$S$532,$R149)&gt;1),
AND($T149&lt;&gt;"",LOWER(TRIM($T149))&lt;&gt;"n/a",COUNTIFS($B$2:$B$532,"Yes",$A$2:$A$532,"Neuron",$T$2:$T$532,$T149)&gt;1),
AND($W149&lt;&gt;"",LOWER(TRIM($W149))&lt;&gt;"n/a",COUNTIFS($B$2:$B$532,"Yes",$A$2:$A$532,"Neuron",$W$2:$W$532,$W149)&gt;1)
),"Yes","No"),
IF($A149="Cybernet",
IF(OR(
AND($Y149&lt;&gt;"",LOWER(TRIM($Y149))&lt;&gt;"n/a",COUNTIFS($B$2:$B$532,"Yes",$A$2:$A$532,"Cybernet",$Y$2:$Y$532,$Y149)&gt;1),
AND($Z149&lt;&gt;"",LOWER(TRIM($Z149))&lt;&gt;"n/a",COUNTIFS($B$2:$B$532,"Yes",$A$2:$A$532,"Cybernet",$Z$2:$Z$532,$Z149)&gt;1)
),"Yes","No"),
IF(AND($AL149&lt;&gt;"",LOWER(TRIM($AL149))&lt;&gt;"n/a"),
IF(COUNTIFS($B$2:$B$532,"Yes",$A$2:$A$532,$A149,$AL$2:$AL$532,$AL149)&gt;1,"Yes","No"),
"No")
)
)
)</f>
      </c>
      <c r="G149" t="s">
        <v>2192</v>
      </c>
      <c r="H149" t="s">
        <v>2192</v>
      </c>
      <c r="R149" t="s">
        <v>1730</v>
      </c>
      <c r="T149" t="s">
        <v>1981</v>
      </c>
      <c r="W149" t="s">
        <v>2206</v>
      </c>
      <c r="Y149" t="s">
        <v>1738</v>
      </c>
      <c r="AA149" t="s">
        <v>2031</v>
      </c>
      <c r="AD149" t="s">
        <v>1821</v>
      </c>
      <c r="AE149">
        <v>1</v>
      </c>
      <c r="AF149" t="s">
        <v>2306</v>
      </c>
      <c r="AG149" t="s">
        <v>1804</v>
      </c>
      <c r="AJ149" t="s">
        <v>2255</v>
      </c>
      <c r="AR149" t="s">
        <v>1954</v>
      </c>
      <c r="AS149" t="s">
        <v>1901</v>
      </c>
      <c r="AY149" t="s">
        <v>1727</v>
      </c>
      <c r="AZ149" t="s">
        <v>1727</v>
      </c>
      <c r="BB149" t="s">
        <v>1727</v>
      </c>
      <c r="BC149" t="s">
        <v>1926</v>
      </c>
      <c r="BL149">
        <f>IF($T149="","",IF((IF(AND($AW149&lt;&gt;"Yes",$AW149&lt;&gt;"N/A"),"Power Cable, ","")&amp;IF(AND($AX149&lt;&gt;"Yes",$AX149&lt;&gt;"N/A"),"Battery, ","")&amp;IF(AND($BE149&lt;&gt;"Yes",$BE149&lt;&gt;"N/A"),"Firmware Download, ","")&amp;IF(AND(OR($BE149="Yes",$BE149="N/A"),$BF149&lt;&gt;"Yes",$BF149&lt;&gt;"N/A"),"Firmware Install, ","")&amp;IF(AND($BJ149&lt;&gt;"Yes",$BJ149&lt;&gt;"N/A"),"Device ID, ","")&amp;IF(AND($BK149&lt;&gt;"Yes",$BK149&lt;&gt;"N/A"),"Epic Beans Relay, ",""))="","",LEFT(IF(AND($AW149&lt;&gt;"Yes",$AW149&lt;&gt;"N/A"),"Power Cable, ","")&amp;IF(AND($AX149&lt;&gt;"Yes",$AX149&lt;&gt;"N/A"),"Battery, ","")&amp;IF(AND($BE149&lt;&gt;"Yes",$BE149&lt;&gt;"N/A"),"Firmware Download, ","")&amp;IF(AND(OR($BE149="Yes",$BE149="N/A"),$BF149&lt;&gt;"Yes",$BF149&lt;&gt;"N/A"),"Firmware Install, ","")&amp;IF(AND($BJ149&lt;&gt;"Yes",$BJ149&lt;&gt;"N/A"),"Device ID, ","")&amp;IF(AND($BK149&lt;&gt;"Yes",$BK149&lt;&gt;"N/A"),"Epic Beans Relay, ",""),LEN(IF(AND($AW149&lt;&gt;"Yes",$AW149&lt;&gt;"N/A"),"Power Cable, ","")&amp;IF(AND($AX149&lt;&gt;"Yes",$AX149&lt;&gt;"N/A"),"Battery, ","")&amp;IF(AND($BE149&lt;&gt;"Yes",$BE149&lt;&gt;"N/A"),"Firmware Download, ","")&amp;IF(AND(OR($BE149="Yes",$BE149="N/A"),$BF149&lt;&gt;"Yes",$BF149&lt;&gt;"N/A"),"Firmware Install, ","")&amp;IF(AND($BJ149&lt;&gt;"Yes",$BJ149&lt;&gt;"N/A"),"Device ID, ","")&amp;IF(AND($BK149&lt;&gt;"Yes",$BK149&lt;&gt;"N/A"),"Epic Beans Relay, ",""))-2)))</f>
      </c>
      <c r="BM149">
        <f>IF($T149="","",IF($BL149="","Yes","Blocked"))</f>
      </c>
      <c r="BP149">
        <f>IF($BO149="","",IFERROR(VLOOKUP($BO149,'01_Warehouse_Ledger'!$A:$N,4,FALSE),""))</f>
      </c>
      <c r="BQ149">
        <f>IF($BO149="","",IFERROR(VLOOKUP($BO149,'01_Warehouse_Ledger'!$A:$N,5,FALSE),""))</f>
      </c>
      <c r="BR149">
        <f>IF($BO149="","",IFERROR(VLOOKUP($BO149,'01_Warehouse_Ledger'!$A:$N,13,FALSE),""))</f>
      </c>
      <c r="BS149" t="s">
        <v>1727</v>
      </c>
      <c r="BT149" t="s">
        <v>1727</v>
      </c>
      <c r="BU149" t="s">
        <v>1727</v>
      </c>
      <c r="BV149" t="s">
        <v>1727</v>
      </c>
    </row>
    <row r="150">
      <c r="A150" t="s">
        <v>1429</v>
      </c>
      <c r="B150" t="s">
        <v>1657</v>
      </c>
      <c r="C150" t="s">
        <v>1657</v>
      </c>
      <c r="D150">
        <f>IF($B150&lt;&gt;"Yes","",IF($C150="No","Yes",IF($C150="Yes","No","")))</f>
      </c>
      <c r="E150">
        <f>IF($A150="","",IF($A150="Neuron",IF(OR(AND($S150&lt;&gt;"",LOWER(TRIM($S150))&lt;&gt;"n/a",COUNTIF($S$2:$S$532,$S150)&gt;1),AND($T150&lt;&gt;"",LOWER(TRIM($T150))&lt;&gt;"n/a",COUNTIF($T$2:$T$532,$T150)&gt;1),AND($W150&lt;&gt;"",LOWER(TRIM($W150))&lt;&gt;"n/a",COUNTIF($W$2:$W$532,$W150)&gt;1)),"Yes","No"),IF($A150="Cybernet",IF(OR(AND($Y150&lt;&gt;"",LOWER(TRIM($Y150))&lt;&gt;"n/a",COUNTIF($Y$2:$Y$532,$Y150)&gt;1),AND($Z150&lt;&gt;"",LOWER(TRIM($Z150))&lt;&gt;"n/a",COUNTIF($Z$2:$Z$532,$Z150)&gt;1)),"Yes","No"),IF(AND($AL150&lt;&gt;"",LOWER(TRIM($AL150))&lt;&gt;"n/a",COUNTIF($AL$2:$AL$532,$AL150)&gt;1),"Yes","No"))))</f>
      </c>
      <c r="F150">
        <f>IF($B150&lt;&gt;"Yes","",
IF($A150="Neuron",
IF(OR(
AND($S150&lt;&gt;"",LOWER(TRIM($S150))&lt;&gt;"n/a",COUNTIFS($B$2:$B$532,"Yes",$A$2:$A$532,"Neuron",$S$2:$S$532,$S150)&gt;1),
AND($T150&lt;&gt;"",LOWER(TRIM($T150))&lt;&gt;"n/a",COUNTIFS($B$2:$B$532,"Yes",$A$2:$A$532,"Neuron",$T$2:$T$532,$T150)&gt;1),
AND($W150&lt;&gt;"",LOWER(TRIM($W150))&lt;&gt;"n/a",COUNTIFS($B$2:$B$532,"Yes",$A$2:$A$532,"Neuron",$W$2:$W$532,$W150)&gt;1)
),"Yes","No"),
IF($A150="Cybernet",
IF(OR(
AND($Y150&lt;&gt;"",LOWER(TRIM($Y150))&lt;&gt;"n/a",COUNTIFS($B$2:$B$532,"Yes",$A$2:$A$532,"Cybernet",$Y$2:$Y$532,$Y150)&gt;1),
AND($Z150&lt;&gt;"",LOWER(TRIM($Z150))&lt;&gt;"n/a",COUNTIFS($B$2:$B$532,"Yes",$A$2:$A$532,"Cybernet",$Z$2:$Z$532,$Z150)&gt;1)
),"Yes","No"),
IF(AND($AL150&lt;&gt;"",LOWER(TRIM($AL150))&lt;&gt;"n/a"),
IF(COUNTIFS($B$2:$B$532,"Yes",$A$2:$A$532,$A150,$AL$2:$AL$532,$AL150)&gt;1,"Yes","No"),
"No")
)
)
)</f>
      </c>
      <c r="G150" t="s">
        <v>2192</v>
      </c>
      <c r="H150" t="s">
        <v>2192</v>
      </c>
      <c r="AA150" t="s">
        <v>2031</v>
      </c>
      <c r="AD150" t="s">
        <v>1821</v>
      </c>
      <c r="AE150">
        <v>1</v>
      </c>
      <c r="AY150" t="s">
        <v>1657</v>
      </c>
      <c r="AZ150" t="s">
        <v>1727</v>
      </c>
      <c r="BB150" t="s">
        <v>1727</v>
      </c>
      <c r="BC150" t="s">
        <v>2347</v>
      </c>
      <c r="BL150">
        <f>IF($T150="","",IF((IF(AND($AW150&lt;&gt;"Yes",$AW150&lt;&gt;"N/A"),"Power Cable, ","")&amp;IF(AND($AX150&lt;&gt;"Yes",$AX150&lt;&gt;"N/A"),"Battery, ","")&amp;IF(AND($BE150&lt;&gt;"Yes",$BE150&lt;&gt;"N/A"),"Firmware Download, ","")&amp;IF(AND(OR($BE150="Yes",$BE150="N/A"),$BF150&lt;&gt;"Yes",$BF150&lt;&gt;"N/A"),"Firmware Install, ","")&amp;IF(AND($BJ150&lt;&gt;"Yes",$BJ150&lt;&gt;"N/A"),"Device ID, ","")&amp;IF(AND($BK150&lt;&gt;"Yes",$BK150&lt;&gt;"N/A"),"Epic Beans Relay, ",""))="","",LEFT(IF(AND($AW150&lt;&gt;"Yes",$AW150&lt;&gt;"N/A"),"Power Cable, ","")&amp;IF(AND($AX150&lt;&gt;"Yes",$AX150&lt;&gt;"N/A"),"Battery, ","")&amp;IF(AND($BE150&lt;&gt;"Yes",$BE150&lt;&gt;"N/A"),"Firmware Download, ","")&amp;IF(AND(OR($BE150="Yes",$BE150="N/A"),$BF150&lt;&gt;"Yes",$BF150&lt;&gt;"N/A"),"Firmware Install, ","")&amp;IF(AND($BJ150&lt;&gt;"Yes",$BJ150&lt;&gt;"N/A"),"Device ID, ","")&amp;IF(AND($BK150&lt;&gt;"Yes",$BK150&lt;&gt;"N/A"),"Epic Beans Relay, ",""),LEN(IF(AND($AW150&lt;&gt;"Yes",$AW150&lt;&gt;"N/A"),"Power Cable, ","")&amp;IF(AND($AX150&lt;&gt;"Yes",$AX150&lt;&gt;"N/A"),"Battery, ","")&amp;IF(AND($BE150&lt;&gt;"Yes",$BE150&lt;&gt;"N/A"),"Firmware Download, ","")&amp;IF(AND(OR($BE150="Yes",$BE150="N/A"),$BF150&lt;&gt;"Yes",$BF150&lt;&gt;"N/A"),"Firmware Install, ","")&amp;IF(AND($BJ150&lt;&gt;"Yes",$BJ150&lt;&gt;"N/A"),"Device ID, ","")&amp;IF(AND($BK150&lt;&gt;"Yes",$BK150&lt;&gt;"N/A"),"Epic Beans Relay, ",""))-2)))</f>
      </c>
      <c r="BM150">
        <f>IF($T150="","",IF($BL150="","Yes","Blocked"))</f>
      </c>
      <c r="BP150">
        <f>IF($BO150="","",IFERROR(VLOOKUP($BO150,'01_Warehouse_Ledger'!$A:$N,4,FALSE),""))</f>
      </c>
      <c r="BQ150">
        <f>IF($BO150="","",IFERROR(VLOOKUP($BO150,'01_Warehouse_Ledger'!$A:$N,5,FALSE),""))</f>
      </c>
      <c r="BR150">
        <f>IF($BO150="","",IFERROR(VLOOKUP($BO150,'01_Warehouse_Ledger'!$A:$N,13,FALSE),""))</f>
      </c>
      <c r="BS150" t="s">
        <v>1727</v>
      </c>
      <c r="BT150" t="s">
        <v>1727</v>
      </c>
      <c r="BU150" t="s">
        <v>1727</v>
      </c>
      <c r="BV150" t="s">
        <v>1727</v>
      </c>
    </row>
    <row r="151">
      <c r="A151" t="s">
        <v>1429</v>
      </c>
      <c r="B151" t="s">
        <v>1657</v>
      </c>
      <c r="C151" t="s">
        <v>1657</v>
      </c>
      <c r="D151">
        <f>IF($B151&lt;&gt;"Yes","",IF($C151="No","Yes",IF($C151="Yes","No","")))</f>
      </c>
      <c r="E151">
        <f>IF($A151="","",IF($A151="Neuron",IF(OR(AND($S151&lt;&gt;"",LOWER(TRIM($S151))&lt;&gt;"n/a",COUNTIF($S$2:$S$532,$S151)&gt;1),AND($T151&lt;&gt;"",LOWER(TRIM($T151))&lt;&gt;"n/a",COUNTIF($T$2:$T$532,$T151)&gt;1),AND($W151&lt;&gt;"",LOWER(TRIM($W151))&lt;&gt;"n/a",COUNTIF($W$2:$W$532,$W151)&gt;1)),"Yes","No"),IF($A151="Cybernet",IF(OR(AND($Y151&lt;&gt;"",LOWER(TRIM($Y151))&lt;&gt;"n/a",COUNTIF($Y$2:$Y$532,$Y151)&gt;1),AND($Z151&lt;&gt;"",LOWER(TRIM($Z151))&lt;&gt;"n/a",COUNTIF($Z$2:$Z$532,$Z151)&gt;1)),"Yes","No"),IF(AND($AL151&lt;&gt;"",LOWER(TRIM($AL151))&lt;&gt;"n/a",COUNTIF($AL$2:$AL$532,$AL151)&gt;1),"Yes","No"))))</f>
      </c>
      <c r="F151">
        <f>IF($B151&lt;&gt;"Yes","",
IF($A151="Neuron",
IF(OR(
AND($S151&lt;&gt;"",LOWER(TRIM($S151))&lt;&gt;"n/a",COUNTIFS($B$2:$B$532,"Yes",$A$2:$A$532,"Neuron",$S$2:$S$532,$S151)&gt;1),
AND($T151&lt;&gt;"",LOWER(TRIM($T151))&lt;&gt;"n/a",COUNTIFS($B$2:$B$532,"Yes",$A$2:$A$532,"Neuron",$T$2:$T$532,$T151)&gt;1),
AND($W151&lt;&gt;"",LOWER(TRIM($W151))&lt;&gt;"n/a",COUNTIFS($B$2:$B$532,"Yes",$A$2:$A$532,"Neuron",$W$2:$W$532,$W151)&gt;1)
),"Yes","No"),
IF($A151="Cybernet",
IF(OR(
AND($Y151&lt;&gt;"",LOWER(TRIM($Y151))&lt;&gt;"n/a",COUNTIFS($B$2:$B$532,"Yes",$A$2:$A$532,"Cybernet",$Y$2:$Y$532,$Y151)&gt;1),
AND($Z151&lt;&gt;"",LOWER(TRIM($Z151))&lt;&gt;"n/a",COUNTIFS($B$2:$B$532,"Yes",$A$2:$A$532,"Cybernet",$Z$2:$Z$532,$Z151)&gt;1)
),"Yes","No"),
IF(AND($AL151&lt;&gt;"",LOWER(TRIM($AL151))&lt;&gt;"n/a"),
IF(COUNTIFS($B$2:$B$532,"Yes",$A$2:$A$532,$A151,$AL$2:$AL$532,$AL151)&gt;1,"Yes","No"),
"No")
)
)
)</f>
      </c>
      <c r="G151" t="s">
        <v>2192</v>
      </c>
      <c r="H151" t="s">
        <v>2192</v>
      </c>
      <c r="AA151" t="s">
        <v>2031</v>
      </c>
      <c r="AD151" t="s">
        <v>1821</v>
      </c>
      <c r="AE151">
        <v>1</v>
      </c>
      <c r="AY151" t="s">
        <v>1657</v>
      </c>
      <c r="AZ151" t="s">
        <v>1727</v>
      </c>
      <c r="BB151" t="s">
        <v>1727</v>
      </c>
      <c r="BC151" t="s">
        <v>2347</v>
      </c>
      <c r="BL151">
        <f>IF($T151="","",IF((IF(AND($AW151&lt;&gt;"Yes",$AW151&lt;&gt;"N/A"),"Power Cable, ","")&amp;IF(AND($AX151&lt;&gt;"Yes",$AX151&lt;&gt;"N/A"),"Battery, ","")&amp;IF(AND($BE151&lt;&gt;"Yes",$BE151&lt;&gt;"N/A"),"Firmware Download, ","")&amp;IF(AND(OR($BE151="Yes",$BE151="N/A"),$BF151&lt;&gt;"Yes",$BF151&lt;&gt;"N/A"),"Firmware Install, ","")&amp;IF(AND($BJ151&lt;&gt;"Yes",$BJ151&lt;&gt;"N/A"),"Device ID, ","")&amp;IF(AND($BK151&lt;&gt;"Yes",$BK151&lt;&gt;"N/A"),"Epic Beans Relay, ",""))="","",LEFT(IF(AND($AW151&lt;&gt;"Yes",$AW151&lt;&gt;"N/A"),"Power Cable, ","")&amp;IF(AND($AX151&lt;&gt;"Yes",$AX151&lt;&gt;"N/A"),"Battery, ","")&amp;IF(AND($BE151&lt;&gt;"Yes",$BE151&lt;&gt;"N/A"),"Firmware Download, ","")&amp;IF(AND(OR($BE151="Yes",$BE151="N/A"),$BF151&lt;&gt;"Yes",$BF151&lt;&gt;"N/A"),"Firmware Install, ","")&amp;IF(AND($BJ151&lt;&gt;"Yes",$BJ151&lt;&gt;"N/A"),"Device ID, ","")&amp;IF(AND($BK151&lt;&gt;"Yes",$BK151&lt;&gt;"N/A"),"Epic Beans Relay, ",""),LEN(IF(AND($AW151&lt;&gt;"Yes",$AW151&lt;&gt;"N/A"),"Power Cable, ","")&amp;IF(AND($AX151&lt;&gt;"Yes",$AX151&lt;&gt;"N/A"),"Battery, ","")&amp;IF(AND($BE151&lt;&gt;"Yes",$BE151&lt;&gt;"N/A"),"Firmware Download, ","")&amp;IF(AND(OR($BE151="Yes",$BE151="N/A"),$BF151&lt;&gt;"Yes",$BF151&lt;&gt;"N/A"),"Firmware Install, ","")&amp;IF(AND($BJ151&lt;&gt;"Yes",$BJ151&lt;&gt;"N/A"),"Device ID, ","")&amp;IF(AND($BK151&lt;&gt;"Yes",$BK151&lt;&gt;"N/A"),"Epic Beans Relay, ",""))-2)))</f>
      </c>
      <c r="BM151">
        <f>IF($T151="","",IF($BL151="","Yes","Blocked"))</f>
      </c>
      <c r="BP151">
        <f>IF($BO151="","",IFERROR(VLOOKUP($BO151,'01_Warehouse_Ledger'!$A:$N,4,FALSE),""))</f>
      </c>
      <c r="BQ151">
        <f>IF($BO151="","",IFERROR(VLOOKUP($BO151,'01_Warehouse_Ledger'!$A:$N,5,FALSE),""))</f>
      </c>
      <c r="BR151">
        <f>IF($BO151="","",IFERROR(VLOOKUP($BO151,'01_Warehouse_Ledger'!$A:$N,13,FALSE),""))</f>
      </c>
      <c r="BS151" t="s">
        <v>1727</v>
      </c>
      <c r="BT151" t="s">
        <v>1727</v>
      </c>
      <c r="BU151" t="s">
        <v>1727</v>
      </c>
      <c r="BV151" t="s">
        <v>1727</v>
      </c>
    </row>
    <row r="152">
      <c r="A152" t="s">
        <v>1429</v>
      </c>
      <c r="B152" t="s">
        <v>1657</v>
      </c>
      <c r="C152" t="s">
        <v>1657</v>
      </c>
      <c r="D152">
        <f>IF($B152&lt;&gt;"Yes","",IF($C152="No","Yes",IF($C152="Yes","No","")))</f>
      </c>
      <c r="E152">
        <f>IF($A152="","",IF($A152="Neuron",IF(OR(AND($S152&lt;&gt;"",LOWER(TRIM($S152))&lt;&gt;"n/a",COUNTIF($S$2:$S$532,$S152)&gt;1),AND($T152&lt;&gt;"",LOWER(TRIM($T152))&lt;&gt;"n/a",COUNTIF($T$2:$T$532,$T152)&gt;1),AND($W152&lt;&gt;"",LOWER(TRIM($W152))&lt;&gt;"n/a",COUNTIF($W$2:$W$532,$W152)&gt;1)),"Yes","No"),IF($A152="Cybernet",IF(OR(AND($Y152&lt;&gt;"",LOWER(TRIM($Y152))&lt;&gt;"n/a",COUNTIF($Y$2:$Y$532,$Y152)&gt;1),AND($Z152&lt;&gt;"",LOWER(TRIM($Z152))&lt;&gt;"n/a",COUNTIF($Z$2:$Z$532,$Z152)&gt;1)),"Yes","No"),IF(AND($AL152&lt;&gt;"",LOWER(TRIM($AL152))&lt;&gt;"n/a",COUNTIF($AL$2:$AL$532,$AL152)&gt;1),"Yes","No"))))</f>
      </c>
      <c r="F152">
        <f>IF($B152&lt;&gt;"Yes","",
IF($A152="Neuron",
IF(OR(
AND($S152&lt;&gt;"",LOWER(TRIM($S152))&lt;&gt;"n/a",COUNTIFS($B$2:$B$532,"Yes",$A$2:$A$532,"Neuron",$S$2:$S$532,$S152)&gt;1),
AND($T152&lt;&gt;"",LOWER(TRIM($T152))&lt;&gt;"n/a",COUNTIFS($B$2:$B$532,"Yes",$A$2:$A$532,"Neuron",$T$2:$T$532,$T152)&gt;1),
AND($W152&lt;&gt;"",LOWER(TRIM($W152))&lt;&gt;"n/a",COUNTIFS($B$2:$B$532,"Yes",$A$2:$A$532,"Neuron",$W$2:$W$532,$W152)&gt;1)
),"Yes","No"),
IF($A152="Cybernet",
IF(OR(
AND($Y152&lt;&gt;"",LOWER(TRIM($Y152))&lt;&gt;"n/a",COUNTIFS($B$2:$B$532,"Yes",$A$2:$A$532,"Cybernet",$Y$2:$Y$532,$Y152)&gt;1),
AND($Z152&lt;&gt;"",LOWER(TRIM($Z152))&lt;&gt;"n/a",COUNTIFS($B$2:$B$532,"Yes",$A$2:$A$532,"Cybernet",$Z$2:$Z$532,$Z152)&gt;1)
),"Yes","No"),
IF(AND($AL152&lt;&gt;"",LOWER(TRIM($AL152))&lt;&gt;"n/a"),
IF(COUNTIFS($B$2:$B$532,"Yes",$A$2:$A$532,$A152,$AL$2:$AL$532,$AL152)&gt;1,"Yes","No"),
"No")
)
)
)</f>
      </c>
      <c r="G152" t="s">
        <v>2192</v>
      </c>
      <c r="H152" t="s">
        <v>2192</v>
      </c>
      <c r="AA152" t="s">
        <v>2031</v>
      </c>
      <c r="AD152" t="s">
        <v>1821</v>
      </c>
      <c r="AE152">
        <v>1</v>
      </c>
      <c r="AY152" t="s">
        <v>1657</v>
      </c>
      <c r="AZ152" t="s">
        <v>1727</v>
      </c>
      <c r="BB152" t="s">
        <v>1727</v>
      </c>
      <c r="BC152" t="s">
        <v>2347</v>
      </c>
      <c r="BL152">
        <f>IF($T152="","",IF((IF(AND($AW152&lt;&gt;"Yes",$AW152&lt;&gt;"N/A"),"Power Cable, ","")&amp;IF(AND($AX152&lt;&gt;"Yes",$AX152&lt;&gt;"N/A"),"Battery, ","")&amp;IF(AND($BE152&lt;&gt;"Yes",$BE152&lt;&gt;"N/A"),"Firmware Download, ","")&amp;IF(AND(OR($BE152="Yes",$BE152="N/A"),$BF152&lt;&gt;"Yes",$BF152&lt;&gt;"N/A"),"Firmware Install, ","")&amp;IF(AND($BJ152&lt;&gt;"Yes",$BJ152&lt;&gt;"N/A"),"Device ID, ","")&amp;IF(AND($BK152&lt;&gt;"Yes",$BK152&lt;&gt;"N/A"),"Epic Beans Relay, ",""))="","",LEFT(IF(AND($AW152&lt;&gt;"Yes",$AW152&lt;&gt;"N/A"),"Power Cable, ","")&amp;IF(AND($AX152&lt;&gt;"Yes",$AX152&lt;&gt;"N/A"),"Battery, ","")&amp;IF(AND($BE152&lt;&gt;"Yes",$BE152&lt;&gt;"N/A"),"Firmware Download, ","")&amp;IF(AND(OR($BE152="Yes",$BE152="N/A"),$BF152&lt;&gt;"Yes",$BF152&lt;&gt;"N/A"),"Firmware Install, ","")&amp;IF(AND($BJ152&lt;&gt;"Yes",$BJ152&lt;&gt;"N/A"),"Device ID, ","")&amp;IF(AND($BK152&lt;&gt;"Yes",$BK152&lt;&gt;"N/A"),"Epic Beans Relay, ",""),LEN(IF(AND($AW152&lt;&gt;"Yes",$AW152&lt;&gt;"N/A"),"Power Cable, ","")&amp;IF(AND($AX152&lt;&gt;"Yes",$AX152&lt;&gt;"N/A"),"Battery, ","")&amp;IF(AND($BE152&lt;&gt;"Yes",$BE152&lt;&gt;"N/A"),"Firmware Download, ","")&amp;IF(AND(OR($BE152="Yes",$BE152="N/A"),$BF152&lt;&gt;"Yes",$BF152&lt;&gt;"N/A"),"Firmware Install, ","")&amp;IF(AND($BJ152&lt;&gt;"Yes",$BJ152&lt;&gt;"N/A"),"Device ID, ","")&amp;IF(AND($BK152&lt;&gt;"Yes",$BK152&lt;&gt;"N/A"),"Epic Beans Relay, ",""))-2)))</f>
      </c>
      <c r="BM152">
        <f>IF($T152="","",IF($BL152="","Yes","Blocked"))</f>
      </c>
      <c r="BP152">
        <f>IF($BO152="","",IFERROR(VLOOKUP($BO152,'01_Warehouse_Ledger'!$A:$N,4,FALSE),""))</f>
      </c>
      <c r="BQ152">
        <f>IF($BO152="","",IFERROR(VLOOKUP($BO152,'01_Warehouse_Ledger'!$A:$N,5,FALSE),""))</f>
      </c>
      <c r="BR152">
        <f>IF($BO152="","",IFERROR(VLOOKUP($BO152,'01_Warehouse_Ledger'!$A:$N,13,FALSE),""))</f>
      </c>
      <c r="BS152" t="s">
        <v>1727</v>
      </c>
      <c r="BT152" t="s">
        <v>1727</v>
      </c>
      <c r="BU152" t="s">
        <v>1727</v>
      </c>
      <c r="BV152" t="s">
        <v>1727</v>
      </c>
    </row>
    <row r="153">
      <c r="A153" t="s">
        <v>1415</v>
      </c>
      <c r="B153" t="s">
        <v>1727</v>
      </c>
      <c r="C153" t="s">
        <v>1727</v>
      </c>
      <c r="D153">
        <f>IF($B153&lt;&gt;"Yes","",IF($C153="No","Yes",IF($C153="Yes","No","")))</f>
      </c>
      <c r="E153">
        <f>IF($A153="","",IF($A153="Neuron",IF(OR(AND($S153&lt;&gt;"",LOWER(TRIM($S153))&lt;&gt;"n/a",COUNTIF($S$2:$S$532,$S153)&gt;1),AND($T153&lt;&gt;"",LOWER(TRIM($T153))&lt;&gt;"n/a",COUNTIF($T$2:$T$532,$T153)&gt;1),AND($W153&lt;&gt;"",LOWER(TRIM($W153))&lt;&gt;"n/a",COUNTIF($W$2:$W$532,$W153)&gt;1)),"Yes","No"),IF($A153="Cybernet",IF(OR(AND($Y153&lt;&gt;"",LOWER(TRIM($Y153))&lt;&gt;"n/a",COUNTIF($Y$2:$Y$532,$Y153)&gt;1),AND($Z153&lt;&gt;"",LOWER(TRIM($Z153))&lt;&gt;"n/a",COUNTIF($Z$2:$Z$532,$Z153)&gt;1)),"Yes","No"),IF(AND($AL153&lt;&gt;"",LOWER(TRIM($AL153))&lt;&gt;"n/a",COUNTIF($AL$2:$AL$532,$AL153)&gt;1),"Yes","No"))))</f>
      </c>
      <c r="F153">
        <f>IF($B153&lt;&gt;"Yes","",
IF($A153="Neuron",
IF(OR(
AND($S153&lt;&gt;"",LOWER(TRIM($S153))&lt;&gt;"n/a",COUNTIFS($B$2:$B$532,"Yes",$A$2:$A$532,"Neuron",$S$2:$S$532,$S153)&gt;1),
AND($T153&lt;&gt;"",LOWER(TRIM($T153))&lt;&gt;"n/a",COUNTIFS($B$2:$B$532,"Yes",$A$2:$A$532,"Neuron",$T$2:$T$532,$T153)&gt;1),
AND($W153&lt;&gt;"",LOWER(TRIM($W153))&lt;&gt;"n/a",COUNTIFS($B$2:$B$532,"Yes",$A$2:$A$532,"Neuron",$W$2:$W$532,$W153)&gt;1)
),"Yes","No"),
IF($A153="Cybernet",
IF(OR(
AND($Y153&lt;&gt;"",LOWER(TRIM($Y153))&lt;&gt;"n/a",COUNTIFS($B$2:$B$532,"Yes",$A$2:$A$532,"Cybernet",$Y$2:$Y$532,$Y153)&gt;1),
AND($Z153&lt;&gt;"",LOWER(TRIM($Z153))&lt;&gt;"n/a",COUNTIFS($B$2:$B$532,"Yes",$A$2:$A$532,"Cybernet",$Z$2:$Z$532,$Z153)&gt;1)
),"Yes","No"),
IF(AND($AL153&lt;&gt;"",LOWER(TRIM($AL153))&lt;&gt;"n/a"),
IF(COUNTIFS($B$2:$B$532,"Yes",$A$2:$A$532,$A153,$AL$2:$AL$532,$AL153)&gt;1,"Yes","No"),
"No")
)
)
)</f>
      </c>
      <c r="G153" t="s">
        <v>1365</v>
      </c>
      <c r="H153" t="s">
        <v>1365</v>
      </c>
      <c r="I153" t="s">
        <v>2380</v>
      </c>
      <c r="J153" t="s">
        <v>1866</v>
      </c>
      <c r="K153" t="s">
        <v>2267</v>
      </c>
      <c r="L153" t="s">
        <v>2267</v>
      </c>
      <c r="M153" t="s">
        <v>1692</v>
      </c>
      <c r="N153" t="s">
        <v>2143</v>
      </c>
      <c r="O153" t="s">
        <v>1380</v>
      </c>
      <c r="P153" t="s">
        <v>2217</v>
      </c>
      <c r="Q153">
        <v>46067.0</v>
      </c>
      <c r="R153" t="s">
        <v>2014</v>
      </c>
      <c r="U153" t="s">
        <v>2221</v>
      </c>
      <c r="Y153" t="s">
        <v>2193</v>
      </c>
      <c r="AA153" t="s">
        <v>2031</v>
      </c>
      <c r="AD153" t="s">
        <v>2307</v>
      </c>
      <c r="AE153">
        <v>2</v>
      </c>
      <c r="AF153" t="s">
        <v>1709</v>
      </c>
      <c r="AG153" t="s">
        <v>1724</v>
      </c>
      <c r="AI153">
        <v>5601483</v>
      </c>
      <c r="AJ153" t="s">
        <v>2255</v>
      </c>
      <c r="AK153" t="s">
        <v>1624</v>
      </c>
      <c r="AL153" t="s">
        <v>1946</v>
      </c>
      <c r="AM153" t="s">
        <v>1380</v>
      </c>
      <c r="AN153" t="s">
        <v>1380</v>
      </c>
      <c r="AO153" t="s">
        <v>1380</v>
      </c>
      <c r="AP153" t="s">
        <v>1380</v>
      </c>
      <c r="AQ153" t="s">
        <v>1380</v>
      </c>
      <c r="AR153" t="s">
        <v>1331</v>
      </c>
      <c r="AS153" t="s">
        <v>1626</v>
      </c>
      <c r="AY153" t="s">
        <v>1657</v>
      </c>
      <c r="AZ153" t="s">
        <v>1727</v>
      </c>
      <c r="BB153" t="s">
        <v>1727</v>
      </c>
      <c r="BI153" t="s">
        <v>1630</v>
      </c>
      <c r="BL153">
        <f>IF($T153="","",IF((IF(AND($AW153&lt;&gt;"Yes",$AW153&lt;&gt;"N/A"),"Power Cable, ","")&amp;IF(AND($AX153&lt;&gt;"Yes",$AX153&lt;&gt;"N/A"),"Battery, ","")&amp;IF(AND($BE153&lt;&gt;"Yes",$BE153&lt;&gt;"N/A"),"Firmware Download, ","")&amp;IF(AND(OR($BE153="Yes",$BE153="N/A"),$BF153&lt;&gt;"Yes",$BF153&lt;&gt;"N/A"),"Firmware Install, ","")&amp;IF(AND($BJ153&lt;&gt;"Yes",$BJ153&lt;&gt;"N/A"),"Device ID, ","")&amp;IF(AND($BK153&lt;&gt;"Yes",$BK153&lt;&gt;"N/A"),"Epic Beans Relay, ",""))="","",LEFT(IF(AND($AW153&lt;&gt;"Yes",$AW153&lt;&gt;"N/A"),"Power Cable, ","")&amp;IF(AND($AX153&lt;&gt;"Yes",$AX153&lt;&gt;"N/A"),"Battery, ","")&amp;IF(AND($BE153&lt;&gt;"Yes",$BE153&lt;&gt;"N/A"),"Firmware Download, ","")&amp;IF(AND(OR($BE153="Yes",$BE153="N/A"),$BF153&lt;&gt;"Yes",$BF153&lt;&gt;"N/A"),"Firmware Install, ","")&amp;IF(AND($BJ153&lt;&gt;"Yes",$BJ153&lt;&gt;"N/A"),"Device ID, ","")&amp;IF(AND($BK153&lt;&gt;"Yes",$BK153&lt;&gt;"N/A"),"Epic Beans Relay, ",""),LEN(IF(AND($AW153&lt;&gt;"Yes",$AW153&lt;&gt;"N/A"),"Power Cable, ","")&amp;IF(AND($AX153&lt;&gt;"Yes",$AX153&lt;&gt;"N/A"),"Battery, ","")&amp;IF(AND($BE153&lt;&gt;"Yes",$BE153&lt;&gt;"N/A"),"Firmware Download, ","")&amp;IF(AND(OR($BE153="Yes",$BE153="N/A"),$BF153&lt;&gt;"Yes",$BF153&lt;&gt;"N/A"),"Firmware Install, ","")&amp;IF(AND($BJ153&lt;&gt;"Yes",$BJ153&lt;&gt;"N/A"),"Device ID, ","")&amp;IF(AND($BK153&lt;&gt;"Yes",$BK153&lt;&gt;"N/A"),"Epic Beans Relay, ",""))-2)))</f>
      </c>
      <c r="BM153">
        <f>IF($T153="","",IF($BL153="","Yes","Blocked"))</f>
      </c>
      <c r="BP153">
        <f>IF($BO153="","",IFERROR(VLOOKUP($BO153,'01_Warehouse_Ledger'!$A:$N,4,FALSE),""))</f>
      </c>
      <c r="BQ153">
        <f>IF($BO153="","",IFERROR(VLOOKUP($BO153,'01_Warehouse_Ledger'!$A:$N,5,FALSE),""))</f>
      </c>
      <c r="BR153">
        <f>IF($BO153="","",IFERROR(VLOOKUP($BO153,'01_Warehouse_Ledger'!$A:$N,13,FALSE),""))</f>
      </c>
      <c r="BS153" t="s">
        <v>1657</v>
      </c>
      <c r="BT153" t="s">
        <v>1727</v>
      </c>
      <c r="BU153" t="s">
        <v>1727</v>
      </c>
      <c r="BV153" t="s">
        <v>1657</v>
      </c>
      <c r="BW153" t="s">
        <v>1727</v>
      </c>
    </row>
    <row r="154">
      <c r="A154" t="s">
        <v>1415</v>
      </c>
      <c r="B154" t="s">
        <v>1727</v>
      </c>
      <c r="C154" t="s">
        <v>1727</v>
      </c>
      <c r="D154">
        <f>IF($B154&lt;&gt;"Yes","",IF($C154="No","Yes",IF($C154="Yes","No","")))</f>
      </c>
      <c r="E154" t="s">
        <v>1657</v>
      </c>
      <c r="F154" t="s">
        <v>1657</v>
      </c>
      <c r="G154" t="s">
        <v>1365</v>
      </c>
      <c r="H154" t="s">
        <v>1365</v>
      </c>
      <c r="I154" t="s">
        <v>2380</v>
      </c>
      <c r="J154" t="s">
        <v>1866</v>
      </c>
      <c r="K154" t="s">
        <v>2267</v>
      </c>
      <c r="L154" t="s">
        <v>2267</v>
      </c>
      <c r="M154" t="s">
        <v>1692</v>
      </c>
      <c r="N154" t="s">
        <v>2143</v>
      </c>
      <c r="O154" t="s">
        <v>1380</v>
      </c>
      <c r="P154" t="s">
        <v>2217</v>
      </c>
      <c r="Q154">
        <v>46067.0</v>
      </c>
      <c r="R154" t="s">
        <v>1985</v>
      </c>
      <c r="Y154" t="s">
        <v>2027</v>
      </c>
      <c r="AA154" t="s">
        <v>2031</v>
      </c>
      <c r="AD154" t="s">
        <v>2054</v>
      </c>
      <c r="AE154">
        <v>2</v>
      </c>
      <c r="AF154" t="s">
        <v>1709</v>
      </c>
      <c r="AG154" t="s">
        <v>2271</v>
      </c>
      <c r="AI154">
        <v>5601483</v>
      </c>
      <c r="AJ154" t="s">
        <v>2255</v>
      </c>
      <c r="AK154" t="s">
        <v>1624</v>
      </c>
      <c r="AL154" t="s">
        <v>1946</v>
      </c>
      <c r="AM154" t="s">
        <v>1380</v>
      </c>
      <c r="AN154" t="s">
        <v>1380</v>
      </c>
      <c r="AO154" t="s">
        <v>1380</v>
      </c>
      <c r="AP154" t="s">
        <v>1380</v>
      </c>
      <c r="AQ154" t="s">
        <v>1380</v>
      </c>
      <c r="AR154" t="s">
        <v>1331</v>
      </c>
      <c r="AS154" t="s">
        <v>1626</v>
      </c>
      <c r="AY154" t="s">
        <v>1657</v>
      </c>
      <c r="AZ154" t="s">
        <v>1727</v>
      </c>
      <c r="BB154" t="s">
        <v>1727</v>
      </c>
      <c r="BI154" t="s">
        <v>1630</v>
      </c>
      <c r="BS154" t="s">
        <v>1657</v>
      </c>
      <c r="BT154" t="s">
        <v>1727</v>
      </c>
      <c r="BU154" t="s">
        <v>1727</v>
      </c>
      <c r="BV154" t="s">
        <v>1657</v>
      </c>
      <c r="BW154" t="s">
        <v>1727</v>
      </c>
    </row>
    <row r="155">
      <c r="A155" t="s">
        <v>1415</v>
      </c>
      <c r="B155" t="s">
        <v>1727</v>
      </c>
      <c r="C155" t="s">
        <v>1727</v>
      </c>
      <c r="D155">
        <f>IF($B155&lt;&gt;"Yes","",IF($C155="No","Yes",IF($C155="Yes","No","")))</f>
      </c>
      <c r="E155" t="s">
        <v>1657</v>
      </c>
      <c r="F155" t="s">
        <v>1657</v>
      </c>
      <c r="G155" t="s">
        <v>1365</v>
      </c>
      <c r="H155" t="s">
        <v>1365</v>
      </c>
      <c r="I155" t="s">
        <v>2380</v>
      </c>
      <c r="J155" t="s">
        <v>1866</v>
      </c>
      <c r="K155" t="s">
        <v>2267</v>
      </c>
      <c r="L155" t="s">
        <v>2267</v>
      </c>
      <c r="M155" t="s">
        <v>1692</v>
      </c>
      <c r="N155" t="s">
        <v>2143</v>
      </c>
      <c r="O155" t="s">
        <v>1380</v>
      </c>
      <c r="P155" t="s">
        <v>2217</v>
      </c>
      <c r="Q155">
        <v>46067.0</v>
      </c>
      <c r="R155" t="s">
        <v>2085</v>
      </c>
      <c r="Y155" t="s">
        <v>2287</v>
      </c>
      <c r="AA155" t="s">
        <v>2031</v>
      </c>
      <c r="AD155" t="s">
        <v>1927</v>
      </c>
      <c r="AE155">
        <v>2</v>
      </c>
      <c r="AF155" t="s">
        <v>1709</v>
      </c>
      <c r="AG155" t="s">
        <v>1969</v>
      </c>
      <c r="AI155">
        <v>5601483</v>
      </c>
      <c r="AJ155" t="s">
        <v>2255</v>
      </c>
      <c r="AK155" t="s">
        <v>1624</v>
      </c>
      <c r="AL155" t="s">
        <v>1946</v>
      </c>
      <c r="AM155" t="s">
        <v>1380</v>
      </c>
      <c r="AN155" t="s">
        <v>1380</v>
      </c>
      <c r="AO155" t="s">
        <v>1380</v>
      </c>
      <c r="AP155" t="s">
        <v>1380</v>
      </c>
      <c r="AQ155" t="s">
        <v>1380</v>
      </c>
      <c r="AR155" t="s">
        <v>1331</v>
      </c>
      <c r="AS155" t="s">
        <v>1626</v>
      </c>
      <c r="AY155" t="s">
        <v>1657</v>
      </c>
      <c r="AZ155" t="s">
        <v>1727</v>
      </c>
      <c r="BB155" t="s">
        <v>1727</v>
      </c>
      <c r="BI155" t="s">
        <v>1630</v>
      </c>
      <c r="BS155" t="s">
        <v>1657</v>
      </c>
      <c r="BT155" t="s">
        <v>1727</v>
      </c>
      <c r="BU155" t="s">
        <v>1727</v>
      </c>
      <c r="BV155" t="s">
        <v>1657</v>
      </c>
      <c r="BW155" t="s">
        <v>1727</v>
      </c>
    </row>
    <row r="156">
      <c r="A156" t="s">
        <v>1415</v>
      </c>
      <c r="B156" t="s">
        <v>1727</v>
      </c>
      <c r="C156" t="s">
        <v>1727</v>
      </c>
      <c r="D156">
        <f>IF($B156&lt;&gt;"Yes","",IF($C156="No","Yes",IF($C156="Yes","No","")))</f>
      </c>
      <c r="E156" t="s">
        <v>1657</v>
      </c>
      <c r="F156" t="s">
        <v>1657</v>
      </c>
      <c r="G156" t="s">
        <v>1365</v>
      </c>
      <c r="H156" t="s">
        <v>1365</v>
      </c>
      <c r="I156" t="s">
        <v>2380</v>
      </c>
      <c r="J156" t="s">
        <v>1866</v>
      </c>
      <c r="K156" t="s">
        <v>2267</v>
      </c>
      <c r="L156" t="s">
        <v>2267</v>
      </c>
      <c r="M156" t="s">
        <v>1692</v>
      </c>
      <c r="N156" t="s">
        <v>2143</v>
      </c>
      <c r="O156" t="s">
        <v>1380</v>
      </c>
      <c r="P156" t="s">
        <v>2217</v>
      </c>
      <c r="Q156">
        <v>46067.0</v>
      </c>
      <c r="R156" t="s">
        <v>1693</v>
      </c>
      <c r="Y156" t="s">
        <v>2295</v>
      </c>
      <c r="AA156" t="s">
        <v>2031</v>
      </c>
      <c r="AD156" t="s">
        <v>1824</v>
      </c>
      <c r="AE156">
        <v>2</v>
      </c>
      <c r="AF156" t="s">
        <v>1709</v>
      </c>
      <c r="AG156" t="s">
        <v>1736</v>
      </c>
      <c r="AI156">
        <v>5601483</v>
      </c>
      <c r="AJ156" t="s">
        <v>2255</v>
      </c>
      <c r="AK156" t="s">
        <v>1624</v>
      </c>
      <c r="AL156" t="s">
        <v>1946</v>
      </c>
      <c r="AM156" t="s">
        <v>1380</v>
      </c>
      <c r="AN156" t="s">
        <v>1380</v>
      </c>
      <c r="AO156" t="s">
        <v>1380</v>
      </c>
      <c r="AP156" t="s">
        <v>1380</v>
      </c>
      <c r="AQ156" t="s">
        <v>1380</v>
      </c>
      <c r="AR156" t="s">
        <v>1331</v>
      </c>
      <c r="AS156" t="s">
        <v>1626</v>
      </c>
      <c r="AY156" t="s">
        <v>1657</v>
      </c>
      <c r="AZ156" t="s">
        <v>1727</v>
      </c>
      <c r="BB156" t="s">
        <v>1727</v>
      </c>
      <c r="BI156" t="s">
        <v>1630</v>
      </c>
      <c r="BS156" t="s">
        <v>1657</v>
      </c>
      <c r="BT156" t="s">
        <v>1727</v>
      </c>
      <c r="BU156" t="s">
        <v>1727</v>
      </c>
      <c r="BV156" t="s">
        <v>1657</v>
      </c>
      <c r="BW156" t="s">
        <v>1727</v>
      </c>
    </row>
    <row r="157">
      <c r="A157" t="s">
        <v>1415</v>
      </c>
      <c r="B157" t="s">
        <v>1727</v>
      </c>
      <c r="C157" t="s">
        <v>1727</v>
      </c>
      <c r="D157">
        <f>IF($B157&lt;&gt;"Yes","",IF($C157="No","Yes",IF($C157="Yes","No","")))</f>
      </c>
      <c r="E157" t="s">
        <v>1657</v>
      </c>
      <c r="F157" t="s">
        <v>1657</v>
      </c>
      <c r="G157" t="s">
        <v>1365</v>
      </c>
      <c r="H157" t="s">
        <v>1365</v>
      </c>
      <c r="I157" t="s">
        <v>2380</v>
      </c>
      <c r="J157" t="s">
        <v>1866</v>
      </c>
      <c r="K157" t="s">
        <v>2267</v>
      </c>
      <c r="L157" t="s">
        <v>2267</v>
      </c>
      <c r="M157" t="s">
        <v>1692</v>
      </c>
      <c r="N157" t="s">
        <v>2143</v>
      </c>
      <c r="O157" t="s">
        <v>1380</v>
      </c>
      <c r="P157" t="s">
        <v>2217</v>
      </c>
      <c r="Q157">
        <v>46067.0</v>
      </c>
      <c r="R157" t="s">
        <v>2232</v>
      </c>
      <c r="Y157" t="s">
        <v>1838</v>
      </c>
      <c r="AA157" t="s">
        <v>2031</v>
      </c>
      <c r="AD157" t="s">
        <v>1689</v>
      </c>
      <c r="AE157">
        <v>2</v>
      </c>
      <c r="AF157" t="s">
        <v>1709</v>
      </c>
      <c r="AG157" t="s">
        <v>1687</v>
      </c>
      <c r="AI157">
        <v>5601483</v>
      </c>
      <c r="AJ157" t="s">
        <v>2255</v>
      </c>
      <c r="AK157" t="s">
        <v>1624</v>
      </c>
      <c r="AL157" t="s">
        <v>1946</v>
      </c>
      <c r="AM157" t="s">
        <v>1380</v>
      </c>
      <c r="AN157" t="s">
        <v>1380</v>
      </c>
      <c r="AO157" t="s">
        <v>1380</v>
      </c>
      <c r="AP157" t="s">
        <v>1380</v>
      </c>
      <c r="AQ157" t="s">
        <v>1380</v>
      </c>
      <c r="AR157" t="s">
        <v>1331</v>
      </c>
      <c r="AS157" t="s">
        <v>1626</v>
      </c>
      <c r="AY157" t="s">
        <v>1657</v>
      </c>
      <c r="AZ157" t="s">
        <v>1727</v>
      </c>
      <c r="BB157" t="s">
        <v>1727</v>
      </c>
      <c r="BI157" t="s">
        <v>1630</v>
      </c>
      <c r="BS157" t="s">
        <v>1657</v>
      </c>
      <c r="BT157" t="s">
        <v>1727</v>
      </c>
      <c r="BU157" t="s">
        <v>1727</v>
      </c>
      <c r="BV157" t="s">
        <v>1657</v>
      </c>
      <c r="BW157" t="s">
        <v>1727</v>
      </c>
    </row>
    <row r="158">
      <c r="A158" t="s">
        <v>1415</v>
      </c>
      <c r="B158" t="s">
        <v>1727</v>
      </c>
      <c r="C158" t="s">
        <v>1727</v>
      </c>
      <c r="D158">
        <f>IF($B158&lt;&gt;"Yes","",IF($C158="No","Yes",IF($C158="Yes","No","")))</f>
      </c>
      <c r="E158" t="s">
        <v>1657</v>
      </c>
      <c r="F158" t="s">
        <v>1657</v>
      </c>
      <c r="G158" t="s">
        <v>1365</v>
      </c>
      <c r="H158" t="s">
        <v>1365</v>
      </c>
      <c r="I158" t="s">
        <v>2380</v>
      </c>
      <c r="J158" t="s">
        <v>1866</v>
      </c>
      <c r="K158" t="s">
        <v>2267</v>
      </c>
      <c r="L158" t="s">
        <v>2267</v>
      </c>
      <c r="M158" t="s">
        <v>1692</v>
      </c>
      <c r="N158" t="s">
        <v>2143</v>
      </c>
      <c r="O158" t="s">
        <v>1380</v>
      </c>
      <c r="P158" t="s">
        <v>2217</v>
      </c>
      <c r="Q158">
        <v>46067.0</v>
      </c>
      <c r="R158" t="s">
        <v>1930</v>
      </c>
      <c r="Y158" t="s">
        <v>2381</v>
      </c>
      <c r="AA158" t="s">
        <v>2031</v>
      </c>
      <c r="AD158" t="s">
        <v>1837</v>
      </c>
      <c r="AE158">
        <v>2</v>
      </c>
      <c r="AF158" t="s">
        <v>1709</v>
      </c>
      <c r="AG158" t="s">
        <v>2136</v>
      </c>
      <c r="AI158">
        <v>5601483</v>
      </c>
      <c r="AJ158" t="s">
        <v>2255</v>
      </c>
      <c r="AK158" t="s">
        <v>1624</v>
      </c>
      <c r="AL158" t="s">
        <v>1946</v>
      </c>
      <c r="AM158" t="s">
        <v>1380</v>
      </c>
      <c r="AN158" t="s">
        <v>1380</v>
      </c>
      <c r="AO158" t="s">
        <v>1380</v>
      </c>
      <c r="AP158" t="s">
        <v>1380</v>
      </c>
      <c r="AQ158" t="s">
        <v>1380</v>
      </c>
      <c r="AR158" t="s">
        <v>1331</v>
      </c>
      <c r="AS158" t="s">
        <v>1626</v>
      </c>
      <c r="AY158" t="s">
        <v>1657</v>
      </c>
      <c r="AZ158" t="s">
        <v>1727</v>
      </c>
      <c r="BB158" t="s">
        <v>1727</v>
      </c>
      <c r="BI158" t="s">
        <v>1630</v>
      </c>
      <c r="BS158" t="s">
        <v>1657</v>
      </c>
      <c r="BT158" t="s">
        <v>1727</v>
      </c>
      <c r="BU158" t="s">
        <v>1727</v>
      </c>
      <c r="BV158" t="s">
        <v>1657</v>
      </c>
      <c r="BW158" t="s">
        <v>1727</v>
      </c>
    </row>
    <row r="159">
      <c r="A159" t="s">
        <v>1415</v>
      </c>
      <c r="B159" t="s">
        <v>1727</v>
      </c>
      <c r="C159" t="s">
        <v>1727</v>
      </c>
      <c r="D159">
        <f>IF($B159&lt;&gt;"Yes","",IF($C159="No","Yes",IF($C159="Yes","No","")))</f>
      </c>
      <c r="E159" t="s">
        <v>1657</v>
      </c>
      <c r="F159" t="s">
        <v>1657</v>
      </c>
      <c r="G159" t="s">
        <v>1365</v>
      </c>
      <c r="H159" t="s">
        <v>1365</v>
      </c>
      <c r="I159" t="s">
        <v>2380</v>
      </c>
      <c r="J159" t="s">
        <v>1866</v>
      </c>
      <c r="K159" t="s">
        <v>2267</v>
      </c>
      <c r="L159" t="s">
        <v>2267</v>
      </c>
      <c r="M159" t="s">
        <v>1692</v>
      </c>
      <c r="N159" t="s">
        <v>2143</v>
      </c>
      <c r="O159" t="s">
        <v>1380</v>
      </c>
      <c r="P159" t="s">
        <v>2217</v>
      </c>
      <c r="Q159">
        <v>46067.0</v>
      </c>
      <c r="R159" t="s">
        <v>1935</v>
      </c>
      <c r="Y159" t="s">
        <v>2406</v>
      </c>
      <c r="AA159" t="s">
        <v>2031</v>
      </c>
      <c r="AD159" t="s">
        <v>2322</v>
      </c>
      <c r="AE159">
        <v>2</v>
      </c>
      <c r="AF159" t="s">
        <v>1709</v>
      </c>
      <c r="AG159" t="s">
        <v>2290</v>
      </c>
      <c r="AI159">
        <v>5601483</v>
      </c>
      <c r="AJ159" t="s">
        <v>2255</v>
      </c>
      <c r="AK159" t="s">
        <v>1624</v>
      </c>
      <c r="AL159" t="s">
        <v>1946</v>
      </c>
      <c r="AM159" t="s">
        <v>1380</v>
      </c>
      <c r="AN159" t="s">
        <v>1380</v>
      </c>
      <c r="AO159" t="s">
        <v>1380</v>
      </c>
      <c r="AP159" t="s">
        <v>1380</v>
      </c>
      <c r="AQ159" t="s">
        <v>1380</v>
      </c>
      <c r="AR159" t="s">
        <v>1331</v>
      </c>
      <c r="AS159" t="s">
        <v>1626</v>
      </c>
      <c r="AY159" t="s">
        <v>1657</v>
      </c>
      <c r="AZ159" t="s">
        <v>1727</v>
      </c>
      <c r="BB159" t="s">
        <v>1727</v>
      </c>
      <c r="BI159" t="s">
        <v>1630</v>
      </c>
      <c r="BS159" t="s">
        <v>1657</v>
      </c>
      <c r="BT159" t="s">
        <v>1727</v>
      </c>
      <c r="BU159" t="s">
        <v>1727</v>
      </c>
      <c r="BV159" t="s">
        <v>1657</v>
      </c>
      <c r="BW159" t="s">
        <v>1727</v>
      </c>
    </row>
    <row r="160">
      <c r="A160" t="s">
        <v>1415</v>
      </c>
      <c r="B160" t="s">
        <v>1727</v>
      </c>
      <c r="C160" t="s">
        <v>1727</v>
      </c>
      <c r="D160">
        <f>IF($B160&lt;&gt;"Yes","",IF($C160="No","Yes",IF($C160="Yes","No","")))</f>
      </c>
      <c r="E160" t="s">
        <v>1657</v>
      </c>
      <c r="F160" t="s">
        <v>1657</v>
      </c>
      <c r="G160" t="s">
        <v>1365</v>
      </c>
      <c r="H160" t="s">
        <v>1365</v>
      </c>
      <c r="I160" t="s">
        <v>2380</v>
      </c>
      <c r="J160" t="s">
        <v>1866</v>
      </c>
      <c r="K160" t="s">
        <v>2267</v>
      </c>
      <c r="L160" t="s">
        <v>2267</v>
      </c>
      <c r="M160" t="s">
        <v>1692</v>
      </c>
      <c r="N160" t="s">
        <v>2143</v>
      </c>
      <c r="O160" t="s">
        <v>1380</v>
      </c>
      <c r="P160" t="s">
        <v>2217</v>
      </c>
      <c r="Q160">
        <v>46067.0</v>
      </c>
      <c r="R160" t="s">
        <v>2239</v>
      </c>
      <c r="Y160" t="s">
        <v>2157</v>
      </c>
      <c r="AA160" t="s">
        <v>2031</v>
      </c>
      <c r="AD160" t="s">
        <v>2263</v>
      </c>
      <c r="AE160">
        <v>2</v>
      </c>
      <c r="AF160" t="s">
        <v>1709</v>
      </c>
      <c r="AG160" t="s">
        <v>1804</v>
      </c>
      <c r="AI160">
        <v>5601483</v>
      </c>
      <c r="AJ160" t="s">
        <v>2255</v>
      </c>
      <c r="AK160" t="s">
        <v>1624</v>
      </c>
      <c r="AL160" t="s">
        <v>1946</v>
      </c>
      <c r="AM160" t="s">
        <v>1380</v>
      </c>
      <c r="AN160" t="s">
        <v>1380</v>
      </c>
      <c r="AO160" t="s">
        <v>1380</v>
      </c>
      <c r="AP160" t="s">
        <v>1380</v>
      </c>
      <c r="AQ160" t="s">
        <v>1380</v>
      </c>
      <c r="AR160" t="s">
        <v>1331</v>
      </c>
      <c r="AS160" t="s">
        <v>1626</v>
      </c>
      <c r="AY160" t="s">
        <v>1657</v>
      </c>
      <c r="AZ160" t="s">
        <v>1727</v>
      </c>
      <c r="BB160" t="s">
        <v>1727</v>
      </c>
      <c r="BI160" t="s">
        <v>1630</v>
      </c>
      <c r="BS160" t="s">
        <v>1657</v>
      </c>
      <c r="BT160" t="s">
        <v>1727</v>
      </c>
      <c r="BU160" t="s">
        <v>1727</v>
      </c>
      <c r="BV160" t="s">
        <v>1657</v>
      </c>
      <c r="BW160" t="s">
        <v>1727</v>
      </c>
    </row>
    <row r="161">
      <c r="A161" t="s">
        <v>1415</v>
      </c>
      <c r="B161" t="s">
        <v>1727</v>
      </c>
      <c r="C161" t="s">
        <v>1727</v>
      </c>
      <c r="D161">
        <f>IF($B161&lt;&gt;"Yes","",IF($C161="No","Yes",IF($C161="Yes","No","")))</f>
      </c>
      <c r="E161" t="s">
        <v>1657</v>
      </c>
      <c r="F161" t="s">
        <v>1657</v>
      </c>
      <c r="G161" t="s">
        <v>1365</v>
      </c>
      <c r="H161" t="s">
        <v>1365</v>
      </c>
      <c r="I161" t="s">
        <v>2380</v>
      </c>
      <c r="J161" t="s">
        <v>1866</v>
      </c>
      <c r="K161" t="s">
        <v>2267</v>
      </c>
      <c r="L161" t="s">
        <v>2267</v>
      </c>
      <c r="M161" t="s">
        <v>1692</v>
      </c>
      <c r="N161" t="s">
        <v>2143</v>
      </c>
      <c r="O161" t="s">
        <v>1380</v>
      </c>
      <c r="P161" t="s">
        <v>2217</v>
      </c>
      <c r="Q161">
        <v>46067.0</v>
      </c>
      <c r="R161" t="s">
        <v>1919</v>
      </c>
      <c r="Y161" t="s">
        <v>1971</v>
      </c>
      <c r="AA161" t="s">
        <v>2031</v>
      </c>
      <c r="AD161" t="s">
        <v>2412</v>
      </c>
      <c r="AE161">
        <v>2</v>
      </c>
      <c r="AF161" t="s">
        <v>1709</v>
      </c>
      <c r="AG161" t="s">
        <v>1653</v>
      </c>
      <c r="AI161">
        <v>5601483</v>
      </c>
      <c r="AJ161" t="s">
        <v>2255</v>
      </c>
      <c r="AK161" t="s">
        <v>1624</v>
      </c>
      <c r="AL161" t="s">
        <v>1946</v>
      </c>
      <c r="AM161" t="s">
        <v>1380</v>
      </c>
      <c r="AN161" t="s">
        <v>1380</v>
      </c>
      <c r="AO161" t="s">
        <v>1380</v>
      </c>
      <c r="AP161" t="s">
        <v>1380</v>
      </c>
      <c r="AQ161" t="s">
        <v>1380</v>
      </c>
      <c r="AR161" t="s">
        <v>1331</v>
      </c>
      <c r="AS161" t="s">
        <v>1626</v>
      </c>
      <c r="AY161" t="s">
        <v>1657</v>
      </c>
      <c r="AZ161" t="s">
        <v>1727</v>
      </c>
      <c r="BB161" t="s">
        <v>1727</v>
      </c>
      <c r="BI161" t="s">
        <v>1630</v>
      </c>
      <c r="BS161" t="s">
        <v>1657</v>
      </c>
      <c r="BT161" t="s">
        <v>1727</v>
      </c>
      <c r="BU161" t="s">
        <v>1727</v>
      </c>
      <c r="BV161" t="s">
        <v>1657</v>
      </c>
      <c r="BW161" t="s">
        <v>1727</v>
      </c>
    </row>
    <row r="162">
      <c r="A162" t="s">
        <v>1415</v>
      </c>
      <c r="B162" t="s">
        <v>1657</v>
      </c>
      <c r="C162" t="s">
        <v>1670</v>
      </c>
      <c r="D162">
        <f>IF($B162&lt;&gt;"Yes","",IF($C162="No","Yes",IF($C162="Yes","No","")))</f>
      </c>
      <c r="G162" t="s">
        <v>1983</v>
      </c>
      <c r="H162" t="s">
        <v>1903</v>
      </c>
      <c r="I162" t="s">
        <v>1831</v>
      </c>
      <c r="M162" t="s">
        <v>1692</v>
      </c>
      <c r="R162" t="s">
        <v>2100</v>
      </c>
      <c r="Y162" t="s">
        <v>1975</v>
      </c>
      <c r="Z162" t="s">
        <v>1741</v>
      </c>
      <c r="BI162" t="s">
        <v>1630</v>
      </c>
    </row>
    <row r="163">
      <c r="A163" t="s">
        <v>1415</v>
      </c>
      <c r="B163" t="s">
        <v>1657</v>
      </c>
      <c r="D163">
        <f>IF($B163&lt;&gt;"Yes","",IF($C163="No","Yes",IF($C163="Yes","No","")))</f>
      </c>
      <c r="G163" t="s">
        <v>1983</v>
      </c>
      <c r="H163" t="s">
        <v>1903</v>
      </c>
      <c r="I163" t="s">
        <v>1831</v>
      </c>
      <c r="R163" t="s">
        <v>2040</v>
      </c>
      <c r="Y163" t="s">
        <v>1766</v>
      </c>
      <c r="Z163" t="s">
        <v>2107</v>
      </c>
    </row>
    <row r="164">
      <c r="A164" t="s">
        <v>1415</v>
      </c>
      <c r="B164" t="s">
        <v>1657</v>
      </c>
      <c r="D164">
        <f>IF($B164&lt;&gt;"Yes","",IF($C164="No","Yes",IF($C164="Yes","No","")))</f>
      </c>
      <c r="G164" t="s">
        <v>1983</v>
      </c>
      <c r="H164" t="s">
        <v>1903</v>
      </c>
      <c r="I164" t="s">
        <v>1831</v>
      </c>
      <c r="R164" t="s">
        <v>1668</v>
      </c>
      <c r="Y164" t="s">
        <v>2215</v>
      </c>
      <c r="Z164" t="s">
        <v>2108</v>
      </c>
    </row>
    <row r="165">
      <c r="A165" t="s">
        <v>1415</v>
      </c>
      <c r="B165" t="s">
        <v>1657</v>
      </c>
      <c r="D165">
        <f>IF($B165&lt;&gt;"Yes","",IF($C165="No","Yes",IF($C165="Yes","No","")))</f>
      </c>
      <c r="G165" t="s">
        <v>1880</v>
      </c>
      <c r="I165" t="s">
        <v>1831</v>
      </c>
      <c r="R165" t="s">
        <v>1676</v>
      </c>
      <c r="Y165" t="s">
        <v>2011</v>
      </c>
      <c r="Z165" t="s">
        <v>1907</v>
      </c>
    </row>
    <row r="166">
      <c r="A166" t="s">
        <v>1415</v>
      </c>
      <c r="B166" t="s">
        <v>1657</v>
      </c>
      <c r="D166">
        <f>IF($B166&lt;&gt;"Yes","",IF($C166="No","Yes",IF($C166="Yes","No","")))</f>
      </c>
      <c r="G166" t="s">
        <v>1880</v>
      </c>
      <c r="I166" t="s">
        <v>1831</v>
      </c>
      <c r="R166" t="s">
        <v>1646</v>
      </c>
      <c r="Y166" t="s">
        <v>1825</v>
      </c>
      <c r="Z166" t="s">
        <v>2252</v>
      </c>
    </row>
    <row r="167">
      <c r="D167">
        <f>IF($B167&lt;&gt;"Yes","",IF($C167="No","Yes",IF($C167="Yes","No","")))</f>
      </c>
      <c r="E167">
        <f>IF($A167="","",IF($A167="Neuron",IF(OR(AND($S167&lt;&gt;"",LOWER(TRIM($S167))&lt;&gt;"n/a",COUNTIF($S$2:$S$532,$S167)&gt;1),AND($T167&lt;&gt;"",LOWER(TRIM($T167))&lt;&gt;"n/a",COUNTIF($T$2:$T$532,$T167)&gt;1),AND($W167&lt;&gt;"",LOWER(TRIM($W167))&lt;&gt;"n/a",COUNTIF($W$2:$W$532,$W167)&gt;1)),"Yes","No"),IF($A167="Cybernet",IF(OR(AND($Y167&lt;&gt;"",LOWER(TRIM($Y167))&lt;&gt;"n/a",COUNTIF($Y$2:$Y$532,$Y167)&gt;1),AND($Z167&lt;&gt;"",LOWER(TRIM($Z167))&lt;&gt;"n/a",COUNTIF($Z$2:$Z$532,$Z167)&gt;1)),"Yes","No"),IF(AND($AL167&lt;&gt;"",LOWER(TRIM($AL167))&lt;&gt;"n/a",COUNTIF($AL$2:$AL$532,$AL167)&gt;1),"Yes","No"))))</f>
      </c>
      <c r="F167">
        <f>IF($B167&lt;&gt;"Yes","",
IF($A167="Neuron",
IF(OR(
AND($S167&lt;&gt;"",LOWER(TRIM($S167))&lt;&gt;"n/a",COUNTIFS($B$2:$B$532,"Yes",$A$2:$A$532,"Neuron",$S$2:$S$532,$S167)&gt;1),
AND($T167&lt;&gt;"",LOWER(TRIM($T167))&lt;&gt;"n/a",COUNTIFS($B$2:$B$532,"Yes",$A$2:$A$532,"Neuron",$T$2:$T$532,$T167)&gt;1),
AND($W167&lt;&gt;"",LOWER(TRIM($W167))&lt;&gt;"n/a",COUNTIFS($B$2:$B$532,"Yes",$A$2:$A$532,"Neuron",$W$2:$W$532,$W167)&gt;1)
),"Yes","No"),
IF($A167="Cybernet",
IF(OR(
AND($Y167&lt;&gt;"",LOWER(TRIM($Y167))&lt;&gt;"n/a",COUNTIFS($B$2:$B$532,"Yes",$A$2:$A$532,"Cybernet",$Y$2:$Y$532,$Y167)&gt;1),
AND($Z167&lt;&gt;"",LOWER(TRIM($Z167))&lt;&gt;"n/a",COUNTIFS($B$2:$B$532,"Yes",$A$2:$A$532,"Cybernet",$Z$2:$Z$532,$Z167)&gt;1)
),"Yes","No"),
IF(AND($AL167&lt;&gt;"",LOWER(TRIM($AL167))&lt;&gt;"n/a"),
IF(COUNTIFS($B$2:$B$532,"Yes",$A$2:$A$532,$A167,$AL$2:$AL$532,$AL167)&gt;1,"Yes","No"),
"No")
)
)
)</f>
      </c>
      <c r="BL167">
        <f>IF($T167="","",IF((IF(AND($AW167&lt;&gt;"Yes",$AW167&lt;&gt;"N/A"),"Power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</c>
      <c r="BM167">
        <f>IF($T167="","",IF($BL167="","Yes","Blocked"))</f>
      </c>
      <c r="BP167">
        <f>IF($BO167="","",IFERROR(VLOOKUP($BO167,'01_Warehouse_Ledger'!$A:$N,4,FALSE),""))</f>
      </c>
      <c r="BQ167">
        <f>IF($BO167="","",IFERROR(VLOOKUP($BO167,'01_Warehouse_Ledger'!$A:$N,5,FALSE),""))</f>
      </c>
      <c r="BR167">
        <f>IF($BO167="","",IFERROR(VLOOKUP($BO167,'01_Warehouse_Ledger'!$A:$N,13,FALSE),""))</f>
      </c>
    </row>
    <row r="168">
      <c r="D168">
        <f>IF($B168&lt;&gt;"Yes","",IF($C168="No","Yes",IF($C168="Yes","No","")))</f>
      </c>
      <c r="E168">
        <f>IF($A168="","",IF($A168="Neuron",IF(OR(AND($S168&lt;&gt;"",LOWER(TRIM($S168))&lt;&gt;"n/a",COUNTIF($S$2:$S$532,$S168)&gt;1),AND($T168&lt;&gt;"",LOWER(TRIM($T168))&lt;&gt;"n/a",COUNTIF($T$2:$T$532,$T168)&gt;1),AND($W168&lt;&gt;"",LOWER(TRIM($W168))&lt;&gt;"n/a",COUNTIF($W$2:$W$532,$W168)&gt;1)),"Yes","No"),IF($A168="Cybernet",IF(OR(AND($Y168&lt;&gt;"",LOWER(TRIM($Y168))&lt;&gt;"n/a",COUNTIF($Y$2:$Y$532,$Y168)&gt;1),AND($Z168&lt;&gt;"",LOWER(TRIM($Z168))&lt;&gt;"n/a",COUNTIF($Z$2:$Z$532,$Z168)&gt;1)),"Yes","No"),IF(AND($AL168&lt;&gt;"",LOWER(TRIM($AL168))&lt;&gt;"n/a",COUNTIF($AL$2:$AL$532,$AL168)&gt;1),"Yes","No"))))</f>
      </c>
      <c r="F168">
        <f>IF($B168&lt;&gt;"Yes","",
IF($A168="Neuron",
IF(OR(
AND($S168&lt;&gt;"",LOWER(TRIM($S168))&lt;&gt;"n/a",COUNTIFS($B$2:$B$532,"Yes",$A$2:$A$532,"Neuron",$S$2:$S$532,$S168)&gt;1),
AND($T168&lt;&gt;"",LOWER(TRIM($T168))&lt;&gt;"n/a",COUNTIFS($B$2:$B$532,"Yes",$A$2:$A$532,"Neuron",$T$2:$T$532,$T168)&gt;1),
AND($W168&lt;&gt;"",LOWER(TRIM($W168))&lt;&gt;"n/a",COUNTIFS($B$2:$B$532,"Yes",$A$2:$A$532,"Neuron",$W$2:$W$532,$W168)&gt;1)
),"Yes","No"),
IF($A168="Cybernet",
IF(OR(
AND($Y168&lt;&gt;"",LOWER(TRIM($Y168))&lt;&gt;"n/a",COUNTIFS($B$2:$B$532,"Yes",$A$2:$A$532,"Cybernet",$Y$2:$Y$532,$Y168)&gt;1),
AND($Z168&lt;&gt;"",LOWER(TRIM($Z168))&lt;&gt;"n/a",COUNTIFS($B$2:$B$532,"Yes",$A$2:$A$532,"Cybernet",$Z$2:$Z$532,$Z168)&gt;1)
),"Yes","No"),
IF(AND($AL168&lt;&gt;"",LOWER(TRIM($AL168))&lt;&gt;"n/a"),
IF(COUNTIFS($B$2:$B$532,"Yes",$A$2:$A$532,$A168,$AL$2:$AL$532,$AL168)&gt;1,"Yes","No"),
"No")
)
)
)</f>
      </c>
      <c r="BL168">
        <f>IF($T168="","",IF((IF(AND($AW168&lt;&gt;"Yes",$AW168&lt;&gt;"N/A"),"Power Cable, ","")&amp;IF(AND($AX168&lt;&gt;"Yes",$AX168&lt;&gt;"N/A"),"Battery, ","")&amp;IF(AND($BE168&lt;&gt;"Yes",$BE168&lt;&gt;"N/A"),"Firmware Download, ","")&amp;IF(AND(OR($BE168="Yes",$BE168="N/A"),$BF168&lt;&gt;"Yes",$BF168&lt;&gt;"N/A"),"Firmware Install, ","")&amp;IF(AND($BJ168&lt;&gt;"Yes",$BJ168&lt;&gt;"N/A"),"Device ID, ","")&amp;IF(AND($BK168&lt;&gt;"Yes",$BK168&lt;&gt;"N/A"),"Epic Beans Relay, ",""))="","",LEFT(IF(AND($AW168&lt;&gt;"Yes",$AW168&lt;&gt;"N/A"),"Power Cable, ","")&amp;IF(AND($AX168&lt;&gt;"Yes",$AX168&lt;&gt;"N/A"),"Battery, ","")&amp;IF(AND($BE168&lt;&gt;"Yes",$BE168&lt;&gt;"N/A"),"Firmware Download, ","")&amp;IF(AND(OR($BE168="Yes",$BE168="N/A"),$BF168&lt;&gt;"Yes",$BF168&lt;&gt;"N/A"),"Firmware Install, ","")&amp;IF(AND($BJ168&lt;&gt;"Yes",$BJ168&lt;&gt;"N/A"),"Device ID, ","")&amp;IF(AND($BK168&lt;&gt;"Yes",$BK168&lt;&gt;"N/A"),"Epic Beans Relay, ",""),LEN(IF(AND($AW168&lt;&gt;"Yes",$AW168&lt;&gt;"N/A"),"Power Cable, ","")&amp;IF(AND($AX168&lt;&gt;"Yes",$AX168&lt;&gt;"N/A"),"Battery, ","")&amp;IF(AND($BE168&lt;&gt;"Yes",$BE168&lt;&gt;"N/A"),"Firmware Download, ","")&amp;IF(AND(OR($BE168="Yes",$BE168="N/A"),$BF168&lt;&gt;"Yes",$BF168&lt;&gt;"N/A"),"Firmware Install, ","")&amp;IF(AND($BJ168&lt;&gt;"Yes",$BJ168&lt;&gt;"N/A"),"Device ID, ","")&amp;IF(AND($BK168&lt;&gt;"Yes",$BK168&lt;&gt;"N/A"),"Epic Beans Relay, ",""))-2)))</f>
      </c>
      <c r="BM168">
        <f>IF($T168="","",IF($BL168="","Yes","Blocked"))</f>
      </c>
      <c r="BP168">
        <f>IF($BO168="","",IFERROR(VLOOKUP($BO168,'01_Warehouse_Ledger'!$A:$N,4,FALSE),""))</f>
      </c>
      <c r="BQ168">
        <f>IF($BO168="","",IFERROR(VLOOKUP($BO168,'01_Warehouse_Ledger'!$A:$N,5,FALSE),""))</f>
      </c>
      <c r="BR168">
        <f>IF($BO168="","",IFERROR(VLOOKUP($BO168,'01_Warehouse_Ledger'!$A:$N,13,FALSE),""))</f>
      </c>
    </row>
    <row r="169">
      <c r="D169">
        <f>IF($B169&lt;&gt;"Yes","",IF($C169="No","Yes",IF($C169="Yes","No","")))</f>
      </c>
      <c r="E169">
        <f>IF($A169="","",IF($A169="Neuron",IF(OR(AND($S169&lt;&gt;"",LOWER(TRIM($S169))&lt;&gt;"n/a",COUNTIF($S$2:$S$532,$S169)&gt;1),AND($T169&lt;&gt;"",LOWER(TRIM($T169))&lt;&gt;"n/a",COUNTIF($T$2:$T$532,$T169)&gt;1),AND($W169&lt;&gt;"",LOWER(TRIM($W169))&lt;&gt;"n/a",COUNTIF($W$2:$W$532,$W169)&gt;1)),"Yes","No"),IF($A169="Cybernet",IF(OR(AND($Y169&lt;&gt;"",LOWER(TRIM($Y169))&lt;&gt;"n/a",COUNTIF($Y$2:$Y$532,$Y169)&gt;1),AND($Z169&lt;&gt;"",LOWER(TRIM($Z169))&lt;&gt;"n/a",COUNTIF($Z$2:$Z$532,$Z169)&gt;1)),"Yes","No"),IF(AND($AL169&lt;&gt;"",LOWER(TRIM($AL169))&lt;&gt;"n/a",COUNTIF($AL$2:$AL$532,$AL169)&gt;1),"Yes","No"))))</f>
      </c>
      <c r="F169">
        <f>IF($B169&lt;&gt;"Yes","",
IF($A169="Neuron",
IF(OR(
AND($S169&lt;&gt;"",LOWER(TRIM($S169))&lt;&gt;"n/a",COUNTIFS($B$2:$B$532,"Yes",$A$2:$A$532,"Neuron",$S$2:$S$532,$S169)&gt;1),
AND($T169&lt;&gt;"",LOWER(TRIM($T169))&lt;&gt;"n/a",COUNTIFS($B$2:$B$532,"Yes",$A$2:$A$532,"Neuron",$T$2:$T$532,$T169)&gt;1),
AND($W169&lt;&gt;"",LOWER(TRIM($W169))&lt;&gt;"n/a",COUNTIFS($B$2:$B$532,"Yes",$A$2:$A$532,"Neuron",$W$2:$W$532,$W169)&gt;1)
),"Yes","No"),
IF($A169="Cybernet",
IF(OR(
AND($Y169&lt;&gt;"",LOWER(TRIM($Y169))&lt;&gt;"n/a",COUNTIFS($B$2:$B$532,"Yes",$A$2:$A$532,"Cybernet",$Y$2:$Y$532,$Y169)&gt;1),
AND($Z169&lt;&gt;"",LOWER(TRIM($Z169))&lt;&gt;"n/a",COUNTIFS($B$2:$B$532,"Yes",$A$2:$A$532,"Cybernet",$Z$2:$Z$532,$Z169)&gt;1)
),"Yes","No"),
IF(AND($AL169&lt;&gt;"",LOWER(TRIM($AL169))&lt;&gt;"n/a"),
IF(COUNTIFS($B$2:$B$532,"Yes",$A$2:$A$532,$A169,$AL$2:$AL$532,$AL169)&gt;1,"Yes","No"),
"No")
)
)
)</f>
      </c>
      <c r="BL169">
        <f>IF($T169="","",IF((IF(AND($AW169&lt;&gt;"Yes",$AW169&lt;&gt;"N/A"),"Power Cable, ","")&amp;IF(AND($AX169&lt;&gt;"Yes",$AX169&lt;&gt;"N/A"),"Battery, ","")&amp;IF(AND($BE169&lt;&gt;"Yes",$BE169&lt;&gt;"N/A"),"Firmware Download, ","")&amp;IF(AND(OR($BE169="Yes",$BE169="N/A"),$BF169&lt;&gt;"Yes",$BF169&lt;&gt;"N/A"),"Firmware Install, ","")&amp;IF(AND($BJ169&lt;&gt;"Yes",$BJ169&lt;&gt;"N/A"),"Device ID, ","")&amp;IF(AND($BK169&lt;&gt;"Yes",$BK169&lt;&gt;"N/A"),"Epic Beans Relay, ",""))="","",LEFT(IF(AND($AW169&lt;&gt;"Yes",$AW169&lt;&gt;"N/A"),"Power Cable, ","")&amp;IF(AND($AX169&lt;&gt;"Yes",$AX169&lt;&gt;"N/A"),"Battery, ","")&amp;IF(AND($BE169&lt;&gt;"Yes",$BE169&lt;&gt;"N/A"),"Firmware Download, ","")&amp;IF(AND(OR($BE169="Yes",$BE169="N/A"),$BF169&lt;&gt;"Yes",$BF169&lt;&gt;"N/A"),"Firmware Install, ","")&amp;IF(AND($BJ169&lt;&gt;"Yes",$BJ169&lt;&gt;"N/A"),"Device ID, ","")&amp;IF(AND($BK169&lt;&gt;"Yes",$BK169&lt;&gt;"N/A"),"Epic Beans Relay, ",""),LEN(IF(AND($AW169&lt;&gt;"Yes",$AW169&lt;&gt;"N/A"),"Power Cable, ","")&amp;IF(AND($AX169&lt;&gt;"Yes",$AX169&lt;&gt;"N/A"),"Battery, ","")&amp;IF(AND($BE169&lt;&gt;"Yes",$BE169&lt;&gt;"N/A"),"Firmware Download, ","")&amp;IF(AND(OR($BE169="Yes",$BE169="N/A"),$BF169&lt;&gt;"Yes",$BF169&lt;&gt;"N/A"),"Firmware Install, ","")&amp;IF(AND($BJ169&lt;&gt;"Yes",$BJ169&lt;&gt;"N/A"),"Device ID, ","")&amp;IF(AND($BK169&lt;&gt;"Yes",$BK169&lt;&gt;"N/A"),"Epic Beans Relay, ",""))-2)))</f>
      </c>
      <c r="BM169">
        <f>IF($T169="","",IF($BL169="","Yes","Blocked"))</f>
      </c>
      <c r="BP169">
        <f>IF($BO169="","",IFERROR(VLOOKUP($BO169,'01_Warehouse_Ledger'!$A:$N,4,FALSE),""))</f>
      </c>
      <c r="BQ169">
        <f>IF($BO169="","",IFERROR(VLOOKUP($BO169,'01_Warehouse_Ledger'!$A:$N,5,FALSE),""))</f>
      </c>
      <c r="BR169">
        <f>IF($BO169="","",IFERROR(VLOOKUP($BO169,'01_Warehouse_Ledger'!$A:$N,13,FALSE),""))</f>
      </c>
    </row>
    <row r="170">
      <c r="D170">
        <f>IF($B170&lt;&gt;"Yes","",IF($C170="No","Yes",IF($C170="Yes","No","")))</f>
      </c>
      <c r="E170">
        <f>IF($A170="","",IF($A170="Neuron",IF(OR(AND($S170&lt;&gt;"",LOWER(TRIM($S170))&lt;&gt;"n/a",COUNTIF($S$2:$S$532,$S170)&gt;1),AND($T170&lt;&gt;"",LOWER(TRIM($T170))&lt;&gt;"n/a",COUNTIF($T$2:$T$532,$T170)&gt;1),AND($W170&lt;&gt;"",LOWER(TRIM($W170))&lt;&gt;"n/a",COUNTIF($W$2:$W$532,$W170)&gt;1)),"Yes","No"),IF($A170="Cybernet",IF(OR(AND($Y170&lt;&gt;"",LOWER(TRIM($Y170))&lt;&gt;"n/a",COUNTIF($Y$2:$Y$532,$Y170)&gt;1),AND($Z170&lt;&gt;"",LOWER(TRIM($Z170))&lt;&gt;"n/a",COUNTIF($Z$2:$Z$532,$Z170)&gt;1)),"Yes","No"),IF(AND($AL170&lt;&gt;"",LOWER(TRIM($AL170))&lt;&gt;"n/a",COUNTIF($AL$2:$AL$532,$AL170)&gt;1),"Yes","No"))))</f>
      </c>
      <c r="F170">
        <f>IF($B170&lt;&gt;"Yes","",
IF($A170="Neuron",
IF(OR(
AND($S170&lt;&gt;"",LOWER(TRIM($S170))&lt;&gt;"n/a",COUNTIFS($B$2:$B$532,"Yes",$A$2:$A$532,"Neuron",$S$2:$S$532,$S170)&gt;1),
AND($T170&lt;&gt;"",LOWER(TRIM($T170))&lt;&gt;"n/a",COUNTIFS($B$2:$B$532,"Yes",$A$2:$A$532,"Neuron",$T$2:$T$532,$T170)&gt;1),
AND($W170&lt;&gt;"",LOWER(TRIM($W170))&lt;&gt;"n/a",COUNTIFS($B$2:$B$532,"Yes",$A$2:$A$532,"Neuron",$W$2:$W$532,$W170)&gt;1)
),"Yes","No"),
IF($A170="Cybernet",
IF(OR(
AND($Y170&lt;&gt;"",LOWER(TRIM($Y170))&lt;&gt;"n/a",COUNTIFS($B$2:$B$532,"Yes",$A$2:$A$532,"Cybernet",$Y$2:$Y$532,$Y170)&gt;1),
AND($Z170&lt;&gt;"",LOWER(TRIM($Z170))&lt;&gt;"n/a",COUNTIFS($B$2:$B$532,"Yes",$A$2:$A$532,"Cybernet",$Z$2:$Z$532,$Z170)&gt;1)
),"Yes","No"),
IF(AND($AL170&lt;&gt;"",LOWER(TRIM($AL170))&lt;&gt;"n/a"),
IF(COUNTIFS($B$2:$B$532,"Yes",$A$2:$A$532,$A170,$AL$2:$AL$532,$AL170)&gt;1,"Yes","No"),
"No")
)
)
)</f>
      </c>
      <c r="BL170">
        <f>IF($T170="","",IF((IF(AND($AW170&lt;&gt;"Yes",$AW170&lt;&gt;"N/A"),"Power Cable, ","")&amp;IF(AND($AX170&lt;&gt;"Yes",$AX170&lt;&gt;"N/A"),"Battery, ","")&amp;IF(AND($BE170&lt;&gt;"Yes",$BE170&lt;&gt;"N/A"),"Firmware Download, ","")&amp;IF(AND(OR($BE170="Yes",$BE170="N/A"),$BF170&lt;&gt;"Yes",$BF170&lt;&gt;"N/A"),"Firmware Install, ","")&amp;IF(AND($BJ170&lt;&gt;"Yes",$BJ170&lt;&gt;"N/A"),"Device ID, ","")&amp;IF(AND($BK170&lt;&gt;"Yes",$BK170&lt;&gt;"N/A"),"Epic Beans Relay, ",""))="","",LEFT(IF(AND($AW170&lt;&gt;"Yes",$AW170&lt;&gt;"N/A"),"Power Cable, ","")&amp;IF(AND($AX170&lt;&gt;"Yes",$AX170&lt;&gt;"N/A"),"Battery, ","")&amp;IF(AND($BE170&lt;&gt;"Yes",$BE170&lt;&gt;"N/A"),"Firmware Download, ","")&amp;IF(AND(OR($BE170="Yes",$BE170="N/A"),$BF170&lt;&gt;"Yes",$BF170&lt;&gt;"N/A"),"Firmware Install, ","")&amp;IF(AND($BJ170&lt;&gt;"Yes",$BJ170&lt;&gt;"N/A"),"Device ID, ","")&amp;IF(AND($BK170&lt;&gt;"Yes",$BK170&lt;&gt;"N/A"),"Epic Beans Relay, ",""),LEN(IF(AND($AW170&lt;&gt;"Yes",$AW170&lt;&gt;"N/A"),"Power Cable, ","")&amp;IF(AND($AX170&lt;&gt;"Yes",$AX170&lt;&gt;"N/A"),"Battery, ","")&amp;IF(AND($BE170&lt;&gt;"Yes",$BE170&lt;&gt;"N/A"),"Firmware Download, ","")&amp;IF(AND(OR($BE170="Yes",$BE170="N/A"),$BF170&lt;&gt;"Yes",$BF170&lt;&gt;"N/A"),"Firmware Install, ","")&amp;IF(AND($BJ170&lt;&gt;"Yes",$BJ170&lt;&gt;"N/A"),"Device ID, ","")&amp;IF(AND($BK170&lt;&gt;"Yes",$BK170&lt;&gt;"N/A"),"Epic Beans Relay, ",""))-2)))</f>
      </c>
      <c r="BM170">
        <f>IF($T170="","",IF($BL170="","Yes","Blocked"))</f>
      </c>
      <c r="BP170">
        <f>IF($BO170="","",IFERROR(VLOOKUP($BO170,'01_Warehouse_Ledger'!$A:$N,4,FALSE),""))</f>
      </c>
      <c r="BQ170">
        <f>IF($BO170="","",IFERROR(VLOOKUP($BO170,'01_Warehouse_Ledger'!$A:$N,5,FALSE),""))</f>
      </c>
      <c r="BR170">
        <f>IF($BO170="","",IFERROR(VLOOKUP($BO170,'01_Warehouse_Ledger'!$A:$N,13,FALSE),""))</f>
      </c>
    </row>
    <row r="171">
      <c r="D171">
        <f>IF($B171&lt;&gt;"Yes","",IF($C171="No","Yes",IF($C171="Yes","No","")))</f>
      </c>
      <c r="E171">
        <f>IF($A171="","",IF($A171="Neuron",IF(OR(AND($S171&lt;&gt;"",LOWER(TRIM($S171))&lt;&gt;"n/a",COUNTIF($S$2:$S$532,$S171)&gt;1),AND($T171&lt;&gt;"",LOWER(TRIM($T171))&lt;&gt;"n/a",COUNTIF($T$2:$T$532,$T171)&gt;1),AND($W171&lt;&gt;"",LOWER(TRIM($W171))&lt;&gt;"n/a",COUNTIF($W$2:$W$532,$W171)&gt;1)),"Yes","No"),IF($A171="Cybernet",IF(OR(AND($Y171&lt;&gt;"",LOWER(TRIM($Y171))&lt;&gt;"n/a",COUNTIF($Y$2:$Y$532,$Y171)&gt;1),AND($Z171&lt;&gt;"",LOWER(TRIM($Z171))&lt;&gt;"n/a",COUNTIF($Z$2:$Z$532,$Z171)&gt;1)),"Yes","No"),IF(AND($AL171&lt;&gt;"",LOWER(TRIM($AL171))&lt;&gt;"n/a",COUNTIF($AL$2:$AL$532,$AL171)&gt;1),"Yes","No"))))</f>
      </c>
      <c r="F171">
        <f>IF($B171&lt;&gt;"Yes","",
IF($A171="Neuron",
IF(OR(
AND($S171&lt;&gt;"",LOWER(TRIM($S171))&lt;&gt;"n/a",COUNTIFS($B$2:$B$532,"Yes",$A$2:$A$532,"Neuron",$S$2:$S$532,$S171)&gt;1),
AND($T171&lt;&gt;"",LOWER(TRIM($T171))&lt;&gt;"n/a",COUNTIFS($B$2:$B$532,"Yes",$A$2:$A$532,"Neuron",$T$2:$T$532,$T171)&gt;1),
AND($W171&lt;&gt;"",LOWER(TRIM($W171))&lt;&gt;"n/a",COUNTIFS($B$2:$B$532,"Yes",$A$2:$A$532,"Neuron",$W$2:$W$532,$W171)&gt;1)
),"Yes","No"),
IF($A171="Cybernet",
IF(OR(
AND($Y171&lt;&gt;"",LOWER(TRIM($Y171))&lt;&gt;"n/a",COUNTIFS($B$2:$B$532,"Yes",$A$2:$A$532,"Cybernet",$Y$2:$Y$532,$Y171)&gt;1),
AND($Z171&lt;&gt;"",LOWER(TRIM($Z171))&lt;&gt;"n/a",COUNTIFS($B$2:$B$532,"Yes",$A$2:$A$532,"Cybernet",$Z$2:$Z$532,$Z171)&gt;1)
),"Yes","No"),
IF(AND($AL171&lt;&gt;"",LOWER(TRIM($AL171))&lt;&gt;"n/a"),
IF(COUNTIFS($B$2:$B$532,"Yes",$A$2:$A$532,$A171,$AL$2:$AL$532,$AL171)&gt;1,"Yes","No"),
"No")
)
)
)</f>
      </c>
      <c r="BL171">
        <f>IF($T171="","",IF((IF(AND($AW171&lt;&gt;"Yes",$AW171&lt;&gt;"N/A"),"Power Cable, ","")&amp;IF(AND($AX171&lt;&gt;"Yes",$AX171&lt;&gt;"N/A"),"Battery, ","")&amp;IF(AND($BE171&lt;&gt;"Yes",$BE171&lt;&gt;"N/A"),"Firmware Download, ","")&amp;IF(AND(OR($BE171="Yes",$BE171="N/A"),$BF171&lt;&gt;"Yes",$BF171&lt;&gt;"N/A"),"Firmware Install, ","")&amp;IF(AND($BJ171&lt;&gt;"Yes",$BJ171&lt;&gt;"N/A"),"Device ID, ","")&amp;IF(AND($BK171&lt;&gt;"Yes",$BK171&lt;&gt;"N/A"),"Epic Beans Relay, ",""))="","",LEFT(IF(AND($AW171&lt;&gt;"Yes",$AW171&lt;&gt;"N/A"),"Power Cable, ","")&amp;IF(AND($AX171&lt;&gt;"Yes",$AX171&lt;&gt;"N/A"),"Battery, ","")&amp;IF(AND($BE171&lt;&gt;"Yes",$BE171&lt;&gt;"N/A"),"Firmware Download, ","")&amp;IF(AND(OR($BE171="Yes",$BE171="N/A"),$BF171&lt;&gt;"Yes",$BF171&lt;&gt;"N/A"),"Firmware Install, ","")&amp;IF(AND($BJ171&lt;&gt;"Yes",$BJ171&lt;&gt;"N/A"),"Device ID, ","")&amp;IF(AND($BK171&lt;&gt;"Yes",$BK171&lt;&gt;"N/A"),"Epic Beans Relay, ",""),LEN(IF(AND($AW171&lt;&gt;"Yes",$AW171&lt;&gt;"N/A"),"Power Cable, ","")&amp;IF(AND($AX171&lt;&gt;"Yes",$AX171&lt;&gt;"N/A"),"Battery, ","")&amp;IF(AND($BE171&lt;&gt;"Yes",$BE171&lt;&gt;"N/A"),"Firmware Download, ","")&amp;IF(AND(OR($BE171="Yes",$BE171="N/A"),$BF171&lt;&gt;"Yes",$BF171&lt;&gt;"N/A"),"Firmware Install, ","")&amp;IF(AND($BJ171&lt;&gt;"Yes",$BJ171&lt;&gt;"N/A"),"Device ID, ","")&amp;IF(AND($BK171&lt;&gt;"Yes",$BK171&lt;&gt;"N/A"),"Epic Beans Relay, ",""))-2)))</f>
      </c>
      <c r="BM171">
        <f>IF($T171="","",IF($BL171="","Yes","Blocked"))</f>
      </c>
      <c r="BP171">
        <f>IF($BO171="","",IFERROR(VLOOKUP($BO171,'01_Warehouse_Ledger'!$A:$N,4,FALSE),""))</f>
      </c>
      <c r="BQ171">
        <f>IF($BO171="","",IFERROR(VLOOKUP($BO171,'01_Warehouse_Ledger'!$A:$N,5,FALSE),""))</f>
      </c>
      <c r="BR171">
        <f>IF($BO171="","",IFERROR(VLOOKUP($BO171,'01_Warehouse_Ledger'!$A:$N,13,FALSE),""))</f>
      </c>
    </row>
    <row r="172">
      <c r="D172">
        <f>IF($B172&lt;&gt;"Yes","",IF($C172="No","Yes",IF($C172="Yes","No","")))</f>
      </c>
      <c r="E172">
        <f>IF($A172="","",IF($A172="Neuron",IF(OR(AND($S172&lt;&gt;"",LOWER(TRIM($S172))&lt;&gt;"n/a",COUNTIF($S$2:$S$532,$S172)&gt;1),AND($T172&lt;&gt;"",LOWER(TRIM($T172))&lt;&gt;"n/a",COUNTIF($T$2:$T$532,$T172)&gt;1),AND($W172&lt;&gt;"",LOWER(TRIM($W172))&lt;&gt;"n/a",COUNTIF($W$2:$W$532,$W172)&gt;1)),"Yes","No"),IF($A172="Cybernet",IF(OR(AND($Y172&lt;&gt;"",LOWER(TRIM($Y172))&lt;&gt;"n/a",COUNTIF($Y$2:$Y$532,$Y172)&gt;1),AND($Z172&lt;&gt;"",LOWER(TRIM($Z172))&lt;&gt;"n/a",COUNTIF($Z$2:$Z$532,$Z172)&gt;1)),"Yes","No"),IF(AND($AL172&lt;&gt;"",LOWER(TRIM($AL172))&lt;&gt;"n/a",COUNTIF($AL$2:$AL$532,$AL172)&gt;1),"Yes","No"))))</f>
      </c>
      <c r="F172">
        <f>IF($B172&lt;&gt;"Yes","",
IF($A172="Neuron",
IF(OR(
AND($S172&lt;&gt;"",LOWER(TRIM($S172))&lt;&gt;"n/a",COUNTIFS($B$2:$B$532,"Yes",$A$2:$A$532,"Neuron",$S$2:$S$532,$S172)&gt;1),
AND($T172&lt;&gt;"",LOWER(TRIM($T172))&lt;&gt;"n/a",COUNTIFS($B$2:$B$532,"Yes",$A$2:$A$532,"Neuron",$T$2:$T$532,$T172)&gt;1),
AND($W172&lt;&gt;"",LOWER(TRIM($W172))&lt;&gt;"n/a",COUNTIFS($B$2:$B$532,"Yes",$A$2:$A$532,"Neuron",$W$2:$W$532,$W172)&gt;1)
),"Yes","No"),
IF($A172="Cybernet",
IF(OR(
AND($Y172&lt;&gt;"",LOWER(TRIM($Y172))&lt;&gt;"n/a",COUNTIFS($B$2:$B$532,"Yes",$A$2:$A$532,"Cybernet",$Y$2:$Y$532,$Y172)&gt;1),
AND($Z172&lt;&gt;"",LOWER(TRIM($Z172))&lt;&gt;"n/a",COUNTIFS($B$2:$B$532,"Yes",$A$2:$A$532,"Cybernet",$Z$2:$Z$532,$Z172)&gt;1)
),"Yes","No"),
IF(AND($AL172&lt;&gt;"",LOWER(TRIM($AL172))&lt;&gt;"n/a"),
IF(COUNTIFS($B$2:$B$532,"Yes",$A$2:$A$532,$A172,$AL$2:$AL$532,$AL172)&gt;1,"Yes","No"),
"No")
)
)
)</f>
      </c>
      <c r="BL172">
        <f>IF($T172="","",IF((IF(AND($AW172&lt;&gt;"Yes",$AW172&lt;&gt;"N/A"),"Power Cable, ","")&amp;IF(AND($AX172&lt;&gt;"Yes",$AX172&lt;&gt;"N/A"),"Battery, ","")&amp;IF(AND($BE172&lt;&gt;"Yes",$BE172&lt;&gt;"N/A"),"Firmware Download, ","")&amp;IF(AND(OR($BE172="Yes",$BE172="N/A"),$BF172&lt;&gt;"Yes",$BF172&lt;&gt;"N/A"),"Firmware Install, ","")&amp;IF(AND($BJ172&lt;&gt;"Yes",$BJ172&lt;&gt;"N/A"),"Device ID, ","")&amp;IF(AND($BK172&lt;&gt;"Yes",$BK172&lt;&gt;"N/A"),"Epic Beans Relay, ",""))="","",LEFT(IF(AND($AW172&lt;&gt;"Yes",$AW172&lt;&gt;"N/A"),"Power Cable, ","")&amp;IF(AND($AX172&lt;&gt;"Yes",$AX172&lt;&gt;"N/A"),"Battery, ","")&amp;IF(AND($BE172&lt;&gt;"Yes",$BE172&lt;&gt;"N/A"),"Firmware Download, ","")&amp;IF(AND(OR($BE172="Yes",$BE172="N/A"),$BF172&lt;&gt;"Yes",$BF172&lt;&gt;"N/A"),"Firmware Install, ","")&amp;IF(AND($BJ172&lt;&gt;"Yes",$BJ172&lt;&gt;"N/A"),"Device ID, ","")&amp;IF(AND($BK172&lt;&gt;"Yes",$BK172&lt;&gt;"N/A"),"Epic Beans Relay, ",""),LEN(IF(AND($AW172&lt;&gt;"Yes",$AW172&lt;&gt;"N/A"),"Power Cable, ","")&amp;IF(AND($AX172&lt;&gt;"Yes",$AX172&lt;&gt;"N/A"),"Battery, ","")&amp;IF(AND($BE172&lt;&gt;"Yes",$BE172&lt;&gt;"N/A"),"Firmware Download, ","")&amp;IF(AND(OR($BE172="Yes",$BE172="N/A"),$BF172&lt;&gt;"Yes",$BF172&lt;&gt;"N/A"),"Firmware Install, ","")&amp;IF(AND($BJ172&lt;&gt;"Yes",$BJ172&lt;&gt;"N/A"),"Device ID, ","")&amp;IF(AND($BK172&lt;&gt;"Yes",$BK172&lt;&gt;"N/A"),"Epic Beans Relay, ",""))-2)))</f>
      </c>
      <c r="BM172">
        <f>IF($T172="","",IF($BL172="","Yes","Blocked"))</f>
      </c>
      <c r="BP172">
        <f>IF($BO172="","",IFERROR(VLOOKUP($BO172,'01_Warehouse_Ledger'!$A:$N,4,FALSE),""))</f>
      </c>
      <c r="BQ172">
        <f>IF($BO172="","",IFERROR(VLOOKUP($BO172,'01_Warehouse_Ledger'!$A:$N,5,FALSE),""))</f>
      </c>
      <c r="BR172">
        <f>IF($BO172="","",IFERROR(VLOOKUP($BO172,'01_Warehouse_Ledger'!$A:$N,13,FALSE),""))</f>
      </c>
    </row>
    <row r="173">
      <c r="D173">
        <f>IF($B173&lt;&gt;"Yes","",IF($C173="No","Yes",IF($C173="Yes","No","")))</f>
      </c>
      <c r="E173">
        <f>IF($A173="","",IF($A173="Neuron",IF(OR(AND($S173&lt;&gt;"",LOWER(TRIM($S173))&lt;&gt;"n/a",COUNTIF($S$2:$S$532,$S173)&gt;1),AND($T173&lt;&gt;"",LOWER(TRIM($T173))&lt;&gt;"n/a",COUNTIF($T$2:$T$532,$T173)&gt;1),AND($W173&lt;&gt;"",LOWER(TRIM($W173))&lt;&gt;"n/a",COUNTIF($W$2:$W$532,$W173)&gt;1)),"Yes","No"),IF($A173="Cybernet",IF(OR(AND($Y173&lt;&gt;"",LOWER(TRIM($Y173))&lt;&gt;"n/a",COUNTIF($Y$2:$Y$532,$Y173)&gt;1),AND($Z173&lt;&gt;"",LOWER(TRIM($Z173))&lt;&gt;"n/a",COUNTIF($Z$2:$Z$532,$Z173)&gt;1)),"Yes","No"),IF(AND($AL173&lt;&gt;"",LOWER(TRIM($AL173))&lt;&gt;"n/a",COUNTIF($AL$2:$AL$532,$AL173)&gt;1),"Yes","No"))))</f>
      </c>
      <c r="F173">
        <f>IF($B173&lt;&gt;"Yes","",
IF($A173="Neuron",
IF(OR(
AND($S173&lt;&gt;"",LOWER(TRIM($S173))&lt;&gt;"n/a",COUNTIFS($B$2:$B$532,"Yes",$A$2:$A$532,"Neuron",$S$2:$S$532,$S173)&gt;1),
AND($T173&lt;&gt;"",LOWER(TRIM($T173))&lt;&gt;"n/a",COUNTIFS($B$2:$B$532,"Yes",$A$2:$A$532,"Neuron",$T$2:$T$532,$T173)&gt;1),
AND($W173&lt;&gt;"",LOWER(TRIM($W173))&lt;&gt;"n/a",COUNTIFS($B$2:$B$532,"Yes",$A$2:$A$532,"Neuron",$W$2:$W$532,$W173)&gt;1)
),"Yes","No"),
IF($A173="Cybernet",
IF(OR(
AND($Y173&lt;&gt;"",LOWER(TRIM($Y173))&lt;&gt;"n/a",COUNTIFS($B$2:$B$532,"Yes",$A$2:$A$532,"Cybernet",$Y$2:$Y$532,$Y173)&gt;1),
AND($Z173&lt;&gt;"",LOWER(TRIM($Z173))&lt;&gt;"n/a",COUNTIFS($B$2:$B$532,"Yes",$A$2:$A$532,"Cybernet",$Z$2:$Z$532,$Z173)&gt;1)
),"Yes","No"),
IF(AND($AL173&lt;&gt;"",LOWER(TRIM($AL173))&lt;&gt;"n/a"),
IF(COUNTIFS($B$2:$B$532,"Yes",$A$2:$A$532,$A173,$AL$2:$AL$532,$AL173)&gt;1,"Yes","No"),
"No")
)
)
)</f>
      </c>
      <c r="BL173">
        <f>IF($T173="","",IF((IF(AND($AW173&lt;&gt;"Yes",$AW173&lt;&gt;"N/A"),"Power Cable, ","")&amp;IF(AND($AX173&lt;&gt;"Yes",$AX173&lt;&gt;"N/A"),"Battery, ","")&amp;IF(AND($BE173&lt;&gt;"Yes",$BE173&lt;&gt;"N/A"),"Firmware Download, ","")&amp;IF(AND(OR($BE173="Yes",$BE173="N/A"),$BF173&lt;&gt;"Yes",$BF173&lt;&gt;"N/A"),"Firmware Install, ","")&amp;IF(AND($BJ173&lt;&gt;"Yes",$BJ173&lt;&gt;"N/A"),"Device ID, ","")&amp;IF(AND($BK173&lt;&gt;"Yes",$BK173&lt;&gt;"N/A"),"Epic Beans Relay, ",""))="","",LEFT(IF(AND($AW173&lt;&gt;"Yes",$AW173&lt;&gt;"N/A"),"Power Cable, ","")&amp;IF(AND($AX173&lt;&gt;"Yes",$AX173&lt;&gt;"N/A"),"Battery, ","")&amp;IF(AND($BE173&lt;&gt;"Yes",$BE173&lt;&gt;"N/A"),"Firmware Download, ","")&amp;IF(AND(OR($BE173="Yes",$BE173="N/A"),$BF173&lt;&gt;"Yes",$BF173&lt;&gt;"N/A"),"Firmware Install, ","")&amp;IF(AND($BJ173&lt;&gt;"Yes",$BJ173&lt;&gt;"N/A"),"Device ID, ","")&amp;IF(AND($BK173&lt;&gt;"Yes",$BK173&lt;&gt;"N/A"),"Epic Beans Relay, ",""),LEN(IF(AND($AW173&lt;&gt;"Yes",$AW173&lt;&gt;"N/A"),"Power Cable, ","")&amp;IF(AND($AX173&lt;&gt;"Yes",$AX173&lt;&gt;"N/A"),"Battery, ","")&amp;IF(AND($BE173&lt;&gt;"Yes",$BE173&lt;&gt;"N/A"),"Firmware Download, ","")&amp;IF(AND(OR($BE173="Yes",$BE173="N/A"),$BF173&lt;&gt;"Yes",$BF173&lt;&gt;"N/A"),"Firmware Install, ","")&amp;IF(AND($BJ173&lt;&gt;"Yes",$BJ173&lt;&gt;"N/A"),"Device ID, ","")&amp;IF(AND($BK173&lt;&gt;"Yes",$BK173&lt;&gt;"N/A"),"Epic Beans Relay, ",""))-2)))</f>
      </c>
      <c r="BM173">
        <f>IF($T173="","",IF($BL173="","Yes","Blocked"))</f>
      </c>
      <c r="BP173">
        <f>IF($BO173="","",IFERROR(VLOOKUP($BO173,'01_Warehouse_Ledger'!$A:$N,4,FALSE),""))</f>
      </c>
      <c r="BQ173">
        <f>IF($BO173="","",IFERROR(VLOOKUP($BO173,'01_Warehouse_Ledger'!$A:$N,5,FALSE),""))</f>
      </c>
      <c r="BR173">
        <f>IF($BO173="","",IFERROR(VLOOKUP($BO173,'01_Warehouse_Ledger'!$A:$N,13,FALSE),""))</f>
      </c>
    </row>
    <row r="174">
      <c r="D174">
        <f>IF($B174&lt;&gt;"Yes","",IF($C174="No","Yes",IF($C174="Yes","No","")))</f>
      </c>
      <c r="E174">
        <f>IF($A174="","",IF($A174="Neuron",IF(OR(AND($S174&lt;&gt;"",LOWER(TRIM($S174))&lt;&gt;"n/a",COUNTIF($S$2:$S$532,$S174)&gt;1),AND($T174&lt;&gt;"",LOWER(TRIM($T174))&lt;&gt;"n/a",COUNTIF($T$2:$T$532,$T174)&gt;1),AND($W174&lt;&gt;"",LOWER(TRIM($W174))&lt;&gt;"n/a",COUNTIF($W$2:$W$532,$W174)&gt;1)),"Yes","No"),IF($A174="Cybernet",IF(OR(AND($Y174&lt;&gt;"",LOWER(TRIM($Y174))&lt;&gt;"n/a",COUNTIF($Y$2:$Y$532,$Y174)&gt;1),AND($Z174&lt;&gt;"",LOWER(TRIM($Z174))&lt;&gt;"n/a",COUNTIF($Z$2:$Z$532,$Z174)&gt;1)),"Yes","No"),IF(AND($AL174&lt;&gt;"",LOWER(TRIM($AL174))&lt;&gt;"n/a",COUNTIF($AL$2:$AL$532,$AL174)&gt;1),"Yes","No"))))</f>
      </c>
      <c r="F174">
        <f>IF($B174&lt;&gt;"Yes","",
IF($A174="Neuron",
IF(OR(
AND($S174&lt;&gt;"",LOWER(TRIM($S174))&lt;&gt;"n/a",COUNTIFS($B$2:$B$532,"Yes",$A$2:$A$532,"Neuron",$S$2:$S$532,$S174)&gt;1),
AND($T174&lt;&gt;"",LOWER(TRIM($T174))&lt;&gt;"n/a",COUNTIFS($B$2:$B$532,"Yes",$A$2:$A$532,"Neuron",$T$2:$T$532,$T174)&gt;1),
AND($W174&lt;&gt;"",LOWER(TRIM($W174))&lt;&gt;"n/a",COUNTIFS($B$2:$B$532,"Yes",$A$2:$A$532,"Neuron",$W$2:$W$532,$W174)&gt;1)
),"Yes","No"),
IF($A174="Cybernet",
IF(OR(
AND($Y174&lt;&gt;"",LOWER(TRIM($Y174))&lt;&gt;"n/a",COUNTIFS($B$2:$B$532,"Yes",$A$2:$A$532,"Cybernet",$Y$2:$Y$532,$Y174)&gt;1),
AND($Z174&lt;&gt;"",LOWER(TRIM($Z174))&lt;&gt;"n/a",COUNTIFS($B$2:$B$532,"Yes",$A$2:$A$532,"Cybernet",$Z$2:$Z$532,$Z174)&gt;1)
),"Yes","No"),
IF(AND($AL174&lt;&gt;"",LOWER(TRIM($AL174))&lt;&gt;"n/a"),
IF(COUNTIFS($B$2:$B$532,"Yes",$A$2:$A$532,$A174,$AL$2:$AL$532,$AL174)&gt;1,"Yes","No"),
"No")
)
)
)</f>
      </c>
      <c r="BL174">
        <f>IF($T174="","",IF((IF(AND($AW174&lt;&gt;"Yes",$AW174&lt;&gt;"N/A"),"Power Cable, ","")&amp;IF(AND($AX174&lt;&gt;"Yes",$AX174&lt;&gt;"N/A"),"Battery, ","")&amp;IF(AND($BE174&lt;&gt;"Yes",$BE174&lt;&gt;"N/A"),"Firmware Download, ","")&amp;IF(AND(OR($BE174="Yes",$BE174="N/A"),$BF174&lt;&gt;"Yes",$BF174&lt;&gt;"N/A"),"Firmware Install, ","")&amp;IF(AND($BJ174&lt;&gt;"Yes",$BJ174&lt;&gt;"N/A"),"Device ID, ","")&amp;IF(AND($BK174&lt;&gt;"Yes",$BK174&lt;&gt;"N/A"),"Epic Beans Relay, ",""))="","",LEFT(IF(AND($AW174&lt;&gt;"Yes",$AW174&lt;&gt;"N/A"),"Power Cable, ","")&amp;IF(AND($AX174&lt;&gt;"Yes",$AX174&lt;&gt;"N/A"),"Battery, ","")&amp;IF(AND($BE174&lt;&gt;"Yes",$BE174&lt;&gt;"N/A"),"Firmware Download, ","")&amp;IF(AND(OR($BE174="Yes",$BE174="N/A"),$BF174&lt;&gt;"Yes",$BF174&lt;&gt;"N/A"),"Firmware Install, ","")&amp;IF(AND($BJ174&lt;&gt;"Yes",$BJ174&lt;&gt;"N/A"),"Device ID, ","")&amp;IF(AND($BK174&lt;&gt;"Yes",$BK174&lt;&gt;"N/A"),"Epic Beans Relay, ",""),LEN(IF(AND($AW174&lt;&gt;"Yes",$AW174&lt;&gt;"N/A"),"Power Cable, ","")&amp;IF(AND($AX174&lt;&gt;"Yes",$AX174&lt;&gt;"N/A"),"Battery, ","")&amp;IF(AND($BE174&lt;&gt;"Yes",$BE174&lt;&gt;"N/A"),"Firmware Download, ","")&amp;IF(AND(OR($BE174="Yes",$BE174="N/A"),$BF174&lt;&gt;"Yes",$BF174&lt;&gt;"N/A"),"Firmware Install, ","")&amp;IF(AND($BJ174&lt;&gt;"Yes",$BJ174&lt;&gt;"N/A"),"Device ID, ","")&amp;IF(AND($BK174&lt;&gt;"Yes",$BK174&lt;&gt;"N/A"),"Epic Beans Relay, ",""))-2)))</f>
      </c>
      <c r="BM174">
        <f>IF($T174="","",IF($BL174="","Yes","Blocked"))</f>
      </c>
      <c r="BP174">
        <f>IF($BO174="","",IFERROR(VLOOKUP($BO174,'01_Warehouse_Ledger'!$A:$N,4,FALSE),""))</f>
      </c>
      <c r="BQ174">
        <f>IF($BO174="","",IFERROR(VLOOKUP($BO174,'01_Warehouse_Ledger'!$A:$N,5,FALSE),""))</f>
      </c>
      <c r="BR174">
        <f>IF($BO174="","",IFERROR(VLOOKUP($BO174,'01_Warehouse_Ledger'!$A:$N,13,FALSE),""))</f>
      </c>
    </row>
    <row r="175">
      <c r="D175">
        <f>IF($B175&lt;&gt;"Yes","",IF($C175="No","Yes",IF($C175="Yes","No","")))</f>
      </c>
      <c r="E175">
        <f>IF($A175="","",IF($A175="Neuron",IF(OR(AND($S175&lt;&gt;"",LOWER(TRIM($S175))&lt;&gt;"n/a",COUNTIF($S$2:$S$532,$S175)&gt;1),AND($T175&lt;&gt;"",LOWER(TRIM($T175))&lt;&gt;"n/a",COUNTIF($T$2:$T$532,$T175)&gt;1),AND($W175&lt;&gt;"",LOWER(TRIM($W175))&lt;&gt;"n/a",COUNTIF($W$2:$W$532,$W175)&gt;1)),"Yes","No"),IF($A175="Cybernet",IF(OR(AND($Y175&lt;&gt;"",LOWER(TRIM($Y175))&lt;&gt;"n/a",COUNTIF($Y$2:$Y$532,$Y175)&gt;1),AND($Z175&lt;&gt;"",LOWER(TRIM($Z175))&lt;&gt;"n/a",COUNTIF($Z$2:$Z$532,$Z175)&gt;1)),"Yes","No"),IF(AND($AL175&lt;&gt;"",LOWER(TRIM($AL175))&lt;&gt;"n/a",COUNTIF($AL$2:$AL$532,$AL175)&gt;1),"Yes","No"))))</f>
      </c>
      <c r="F175">
        <f>IF($B175&lt;&gt;"Yes","",
IF($A175="Neuron",
IF(OR(
AND($S175&lt;&gt;"",LOWER(TRIM($S175))&lt;&gt;"n/a",COUNTIFS($B$2:$B$532,"Yes",$A$2:$A$532,"Neuron",$S$2:$S$532,$S175)&gt;1),
AND($T175&lt;&gt;"",LOWER(TRIM($T175))&lt;&gt;"n/a",COUNTIFS($B$2:$B$532,"Yes",$A$2:$A$532,"Neuron",$T$2:$T$532,$T175)&gt;1),
AND($W175&lt;&gt;"",LOWER(TRIM($W175))&lt;&gt;"n/a",COUNTIFS($B$2:$B$532,"Yes",$A$2:$A$532,"Neuron",$W$2:$W$532,$W175)&gt;1)
),"Yes","No"),
IF($A175="Cybernet",
IF(OR(
AND($Y175&lt;&gt;"",LOWER(TRIM($Y175))&lt;&gt;"n/a",COUNTIFS($B$2:$B$532,"Yes",$A$2:$A$532,"Cybernet",$Y$2:$Y$532,$Y175)&gt;1),
AND($Z175&lt;&gt;"",LOWER(TRIM($Z175))&lt;&gt;"n/a",COUNTIFS($B$2:$B$532,"Yes",$A$2:$A$532,"Cybernet",$Z$2:$Z$532,$Z175)&gt;1)
),"Yes","No"),
IF(AND($AL175&lt;&gt;"",LOWER(TRIM($AL175))&lt;&gt;"n/a"),
IF(COUNTIFS($B$2:$B$532,"Yes",$A$2:$A$532,$A175,$AL$2:$AL$532,$AL175)&gt;1,"Yes","No"),
"No")
)
)
)</f>
      </c>
      <c r="BL175">
        <f>IF($T175="","",IF((IF(AND($AW175&lt;&gt;"Yes",$AW175&lt;&gt;"N/A"),"Power Cable, ","")&amp;IF(AND($AX175&lt;&gt;"Yes",$AX175&lt;&gt;"N/A"),"Battery, ","")&amp;IF(AND($BE175&lt;&gt;"Yes",$BE175&lt;&gt;"N/A"),"Firmware Download, ","")&amp;IF(AND(OR($BE175="Yes",$BE175="N/A"),$BF175&lt;&gt;"Yes",$BF175&lt;&gt;"N/A"),"Firmware Install, ","")&amp;IF(AND($BJ175&lt;&gt;"Yes",$BJ175&lt;&gt;"N/A"),"Device ID, ","")&amp;IF(AND($BK175&lt;&gt;"Yes",$BK175&lt;&gt;"N/A"),"Epic Beans Relay, ",""))="","",LEFT(IF(AND($AW175&lt;&gt;"Yes",$AW175&lt;&gt;"N/A"),"Power Cable, ","")&amp;IF(AND($AX175&lt;&gt;"Yes",$AX175&lt;&gt;"N/A"),"Battery, ","")&amp;IF(AND($BE175&lt;&gt;"Yes",$BE175&lt;&gt;"N/A"),"Firmware Download, ","")&amp;IF(AND(OR($BE175="Yes",$BE175="N/A"),$BF175&lt;&gt;"Yes",$BF175&lt;&gt;"N/A"),"Firmware Install, ","")&amp;IF(AND($BJ175&lt;&gt;"Yes",$BJ175&lt;&gt;"N/A"),"Device ID, ","")&amp;IF(AND($BK175&lt;&gt;"Yes",$BK175&lt;&gt;"N/A"),"Epic Beans Relay, ",""),LEN(IF(AND($AW175&lt;&gt;"Yes",$AW175&lt;&gt;"N/A"),"Power Cable, ","")&amp;IF(AND($AX175&lt;&gt;"Yes",$AX175&lt;&gt;"N/A"),"Battery, ","")&amp;IF(AND($BE175&lt;&gt;"Yes",$BE175&lt;&gt;"N/A"),"Firmware Download, ","")&amp;IF(AND(OR($BE175="Yes",$BE175="N/A"),$BF175&lt;&gt;"Yes",$BF175&lt;&gt;"N/A"),"Firmware Install, ","")&amp;IF(AND($BJ175&lt;&gt;"Yes",$BJ175&lt;&gt;"N/A"),"Device ID, ","")&amp;IF(AND($BK175&lt;&gt;"Yes",$BK175&lt;&gt;"N/A"),"Epic Beans Relay, ",""))-2)))</f>
      </c>
      <c r="BM175">
        <f>IF($T175="","",IF($BL175="","Yes","Blocked"))</f>
      </c>
      <c r="BP175">
        <f>IF($BO175="","",IFERROR(VLOOKUP($BO175,'01_Warehouse_Ledger'!$A:$N,4,FALSE),""))</f>
      </c>
      <c r="BQ175">
        <f>IF($BO175="","",IFERROR(VLOOKUP($BO175,'01_Warehouse_Ledger'!$A:$N,5,FALSE),""))</f>
      </c>
      <c r="BR175">
        <f>IF($BO175="","",IFERROR(VLOOKUP($BO175,'01_Warehouse_Ledger'!$A:$N,13,FALSE),""))</f>
      </c>
    </row>
    <row r="176">
      <c r="D176">
        <f>IF($B176&lt;&gt;"Yes","",IF($C176="No","Yes",IF($C176="Yes","No","")))</f>
      </c>
      <c r="E176">
        <f>IF($A176="","",IF($A176="Neuron",IF(OR(AND($S176&lt;&gt;"",LOWER(TRIM($S176))&lt;&gt;"n/a",COUNTIF($S$2:$S$532,$S176)&gt;1),AND($T176&lt;&gt;"",LOWER(TRIM($T176))&lt;&gt;"n/a",COUNTIF($T$2:$T$532,$T176)&gt;1),AND($W176&lt;&gt;"",LOWER(TRIM($W176))&lt;&gt;"n/a",COUNTIF($W$2:$W$532,$W176)&gt;1)),"Yes","No"),IF($A176="Cybernet",IF(OR(AND($Y176&lt;&gt;"",LOWER(TRIM($Y176))&lt;&gt;"n/a",COUNTIF($Y$2:$Y$532,$Y176)&gt;1),AND($Z176&lt;&gt;"",LOWER(TRIM($Z176))&lt;&gt;"n/a",COUNTIF($Z$2:$Z$532,$Z176)&gt;1)),"Yes","No"),IF(AND($AL176&lt;&gt;"",LOWER(TRIM($AL176))&lt;&gt;"n/a",COUNTIF($AL$2:$AL$532,$AL176)&gt;1),"Yes","No"))))</f>
      </c>
      <c r="F176">
        <f>IF($B176&lt;&gt;"Yes","",
IF($A176="Neuron",
IF(OR(
AND($S176&lt;&gt;"",LOWER(TRIM($S176))&lt;&gt;"n/a",COUNTIFS($B$2:$B$532,"Yes",$A$2:$A$532,"Neuron",$S$2:$S$532,$S176)&gt;1),
AND($T176&lt;&gt;"",LOWER(TRIM($T176))&lt;&gt;"n/a",COUNTIFS($B$2:$B$532,"Yes",$A$2:$A$532,"Neuron",$T$2:$T$532,$T176)&gt;1),
AND($W176&lt;&gt;"",LOWER(TRIM($W176))&lt;&gt;"n/a",COUNTIFS($B$2:$B$532,"Yes",$A$2:$A$532,"Neuron",$W$2:$W$532,$W176)&gt;1)
),"Yes","No"),
IF($A176="Cybernet",
IF(OR(
AND($Y176&lt;&gt;"",LOWER(TRIM($Y176))&lt;&gt;"n/a",COUNTIFS($B$2:$B$532,"Yes",$A$2:$A$532,"Cybernet",$Y$2:$Y$532,$Y176)&gt;1),
AND($Z176&lt;&gt;"",LOWER(TRIM($Z176))&lt;&gt;"n/a",COUNTIFS($B$2:$B$532,"Yes",$A$2:$A$532,"Cybernet",$Z$2:$Z$532,$Z176)&gt;1)
),"Yes","No"),
IF(AND($AL176&lt;&gt;"",LOWER(TRIM($AL176))&lt;&gt;"n/a"),
IF(COUNTIFS($B$2:$B$532,"Yes",$A$2:$A$532,$A176,$AL$2:$AL$532,$AL176)&gt;1,"Yes","No"),
"No")
)
)
)</f>
      </c>
      <c r="BL176">
        <f>IF($T176="","",IF((IF(AND($AW176&lt;&gt;"Yes",$AW176&lt;&gt;"N/A"),"Power Cable, ","")&amp;IF(AND($AX176&lt;&gt;"Yes",$AX176&lt;&gt;"N/A"),"Battery, ","")&amp;IF(AND($BE176&lt;&gt;"Yes",$BE176&lt;&gt;"N/A"),"Firmware Download, ","")&amp;IF(AND(OR($BE176="Yes",$BE176="N/A"),$BF176&lt;&gt;"Yes",$BF176&lt;&gt;"N/A"),"Firmware Install, ","")&amp;IF(AND($BJ176&lt;&gt;"Yes",$BJ176&lt;&gt;"N/A"),"Device ID, ","")&amp;IF(AND($BK176&lt;&gt;"Yes",$BK176&lt;&gt;"N/A"),"Epic Beans Relay, ",""))="","",LEFT(IF(AND($AW176&lt;&gt;"Yes",$AW176&lt;&gt;"N/A"),"Power Cable, ","")&amp;IF(AND($AX176&lt;&gt;"Yes",$AX176&lt;&gt;"N/A"),"Battery, ","")&amp;IF(AND($BE176&lt;&gt;"Yes",$BE176&lt;&gt;"N/A"),"Firmware Download, ","")&amp;IF(AND(OR($BE176="Yes",$BE176="N/A"),$BF176&lt;&gt;"Yes",$BF176&lt;&gt;"N/A"),"Firmware Install, ","")&amp;IF(AND($BJ176&lt;&gt;"Yes",$BJ176&lt;&gt;"N/A"),"Device ID, ","")&amp;IF(AND($BK176&lt;&gt;"Yes",$BK176&lt;&gt;"N/A"),"Epic Beans Relay, ",""),LEN(IF(AND($AW176&lt;&gt;"Yes",$AW176&lt;&gt;"N/A"),"Power Cable, ","")&amp;IF(AND($AX176&lt;&gt;"Yes",$AX176&lt;&gt;"N/A"),"Battery, ","")&amp;IF(AND($BE176&lt;&gt;"Yes",$BE176&lt;&gt;"N/A"),"Firmware Download, ","")&amp;IF(AND(OR($BE176="Yes",$BE176="N/A"),$BF176&lt;&gt;"Yes",$BF176&lt;&gt;"N/A"),"Firmware Install, ","")&amp;IF(AND($BJ176&lt;&gt;"Yes",$BJ176&lt;&gt;"N/A"),"Device ID, ","")&amp;IF(AND($BK176&lt;&gt;"Yes",$BK176&lt;&gt;"N/A"),"Epic Beans Relay, ",""))-2)))</f>
      </c>
      <c r="BM176">
        <f>IF($T176="","",IF($BL176="","Yes","Blocked"))</f>
      </c>
      <c r="BP176">
        <f>IF($BO176="","",IFERROR(VLOOKUP($BO176,'01_Warehouse_Ledger'!$A:$N,4,FALSE),""))</f>
      </c>
      <c r="BQ176">
        <f>IF($BO176="","",IFERROR(VLOOKUP($BO176,'01_Warehouse_Ledger'!$A:$N,5,FALSE),""))</f>
      </c>
      <c r="BR176">
        <f>IF($BO176="","",IFERROR(VLOOKUP($BO176,'01_Warehouse_Ledger'!$A:$N,13,FALSE),""))</f>
      </c>
    </row>
    <row r="177">
      <c r="D177">
        <f>IF($B177&lt;&gt;"Yes","",IF($C177="No","Yes",IF($C177="Yes","No","")))</f>
      </c>
      <c r="E177">
        <f>IF($A177="","",IF($A177="Neuron",IF(OR(AND($S177&lt;&gt;"",LOWER(TRIM($S177))&lt;&gt;"n/a",COUNTIF($S$2:$S$532,$S177)&gt;1),AND($T177&lt;&gt;"",LOWER(TRIM($T177))&lt;&gt;"n/a",COUNTIF($T$2:$T$532,$T177)&gt;1),AND($W177&lt;&gt;"",LOWER(TRIM($W177))&lt;&gt;"n/a",COUNTIF($W$2:$W$532,$W177)&gt;1)),"Yes","No"),IF($A177="Cybernet",IF(OR(AND($Y177&lt;&gt;"",LOWER(TRIM($Y177))&lt;&gt;"n/a",COUNTIF($Y$2:$Y$532,$Y177)&gt;1),AND($Z177&lt;&gt;"",LOWER(TRIM($Z177))&lt;&gt;"n/a",COUNTIF($Z$2:$Z$532,$Z177)&gt;1)),"Yes","No"),IF(AND($AL177&lt;&gt;"",LOWER(TRIM($AL177))&lt;&gt;"n/a",COUNTIF($AL$2:$AL$532,$AL177)&gt;1),"Yes","No"))))</f>
      </c>
      <c r="F177">
        <f>IF($B177&lt;&gt;"Yes","",
IF($A177="Neuron",
IF(OR(
AND($S177&lt;&gt;"",LOWER(TRIM($S177))&lt;&gt;"n/a",COUNTIFS($B$2:$B$532,"Yes",$A$2:$A$532,"Neuron",$S$2:$S$532,$S177)&gt;1),
AND($T177&lt;&gt;"",LOWER(TRIM($T177))&lt;&gt;"n/a",COUNTIFS($B$2:$B$532,"Yes",$A$2:$A$532,"Neuron",$T$2:$T$532,$T177)&gt;1),
AND($W177&lt;&gt;"",LOWER(TRIM($W177))&lt;&gt;"n/a",COUNTIFS($B$2:$B$532,"Yes",$A$2:$A$532,"Neuron",$W$2:$W$532,$W177)&gt;1)
),"Yes","No"),
IF($A177="Cybernet",
IF(OR(
AND($Y177&lt;&gt;"",LOWER(TRIM($Y177))&lt;&gt;"n/a",COUNTIFS($B$2:$B$532,"Yes",$A$2:$A$532,"Cybernet",$Y$2:$Y$532,$Y177)&gt;1),
AND($Z177&lt;&gt;"",LOWER(TRIM($Z177))&lt;&gt;"n/a",COUNTIFS($B$2:$B$532,"Yes",$A$2:$A$532,"Cybernet",$Z$2:$Z$532,$Z177)&gt;1)
),"Yes","No"),
IF(AND($AL177&lt;&gt;"",LOWER(TRIM($AL177))&lt;&gt;"n/a"),
IF(COUNTIFS($B$2:$B$532,"Yes",$A$2:$A$532,$A177,$AL$2:$AL$532,$AL177)&gt;1,"Yes","No"),
"No")
)
)
)</f>
      </c>
      <c r="BL177">
        <f>IF($T177="","",IF((IF(AND($AW177&lt;&gt;"Yes",$AW177&lt;&gt;"N/A"),"Power Cable, ","")&amp;IF(AND($AX177&lt;&gt;"Yes",$AX177&lt;&gt;"N/A"),"Battery, ","")&amp;IF(AND($BE177&lt;&gt;"Yes",$BE177&lt;&gt;"N/A"),"Firmware Download, ","")&amp;IF(AND(OR($BE177="Yes",$BE177="N/A"),$BF177&lt;&gt;"Yes",$BF177&lt;&gt;"N/A"),"Firmware Install, ","")&amp;IF(AND($BJ177&lt;&gt;"Yes",$BJ177&lt;&gt;"N/A"),"Device ID, ","")&amp;IF(AND($BK177&lt;&gt;"Yes",$BK177&lt;&gt;"N/A"),"Epic Beans Relay, ",""))="","",LEFT(IF(AND($AW177&lt;&gt;"Yes",$AW177&lt;&gt;"N/A"),"Power Cable, ","")&amp;IF(AND($AX177&lt;&gt;"Yes",$AX177&lt;&gt;"N/A"),"Battery, ","")&amp;IF(AND($BE177&lt;&gt;"Yes",$BE177&lt;&gt;"N/A"),"Firmware Download, ","")&amp;IF(AND(OR($BE177="Yes",$BE177="N/A"),$BF177&lt;&gt;"Yes",$BF177&lt;&gt;"N/A"),"Firmware Install, ","")&amp;IF(AND($BJ177&lt;&gt;"Yes",$BJ177&lt;&gt;"N/A"),"Device ID, ","")&amp;IF(AND($BK177&lt;&gt;"Yes",$BK177&lt;&gt;"N/A"),"Epic Beans Relay, ",""),LEN(IF(AND($AW177&lt;&gt;"Yes",$AW177&lt;&gt;"N/A"),"Power Cable, ","")&amp;IF(AND($AX177&lt;&gt;"Yes",$AX177&lt;&gt;"N/A"),"Battery, ","")&amp;IF(AND($BE177&lt;&gt;"Yes",$BE177&lt;&gt;"N/A"),"Firmware Download, ","")&amp;IF(AND(OR($BE177="Yes",$BE177="N/A"),$BF177&lt;&gt;"Yes",$BF177&lt;&gt;"N/A"),"Firmware Install, ","")&amp;IF(AND($BJ177&lt;&gt;"Yes",$BJ177&lt;&gt;"N/A"),"Device ID, ","")&amp;IF(AND($BK177&lt;&gt;"Yes",$BK177&lt;&gt;"N/A"),"Epic Beans Relay, ",""))-2)))</f>
      </c>
      <c r="BM177">
        <f>IF($T177="","",IF($BL177="","Yes","Blocked"))</f>
      </c>
      <c r="BP177">
        <f>IF($BO177="","",IFERROR(VLOOKUP($BO177,'01_Warehouse_Ledger'!$A:$N,4,FALSE),""))</f>
      </c>
      <c r="BQ177">
        <f>IF($BO177="","",IFERROR(VLOOKUP($BO177,'01_Warehouse_Ledger'!$A:$N,5,FALSE),""))</f>
      </c>
      <c r="BR177">
        <f>IF($BO177="","",IFERROR(VLOOKUP($BO177,'01_Warehouse_Ledger'!$A:$N,13,FALSE),""))</f>
      </c>
    </row>
    <row r="178">
      <c r="D178">
        <f>IF($B178&lt;&gt;"Yes","",IF($C178="No","Yes",IF($C178="Yes","No","")))</f>
      </c>
      <c r="E178">
        <f>IF($A178="","",IF($A178="Neuron",IF(OR(AND($S178&lt;&gt;"",LOWER(TRIM($S178))&lt;&gt;"n/a",COUNTIF($S$2:$S$532,$S178)&gt;1),AND($T178&lt;&gt;"",LOWER(TRIM($T178))&lt;&gt;"n/a",COUNTIF($T$2:$T$532,$T178)&gt;1),AND($W178&lt;&gt;"",LOWER(TRIM($W178))&lt;&gt;"n/a",COUNTIF($W$2:$W$532,$W178)&gt;1)),"Yes","No"),IF($A178="Cybernet",IF(OR(AND($Y178&lt;&gt;"",LOWER(TRIM($Y178))&lt;&gt;"n/a",COUNTIF($Y$2:$Y$532,$Y178)&gt;1),AND($Z178&lt;&gt;"",LOWER(TRIM($Z178))&lt;&gt;"n/a",COUNTIF($Z$2:$Z$532,$Z178)&gt;1)),"Yes","No"),IF(AND($AL178&lt;&gt;"",LOWER(TRIM($AL178))&lt;&gt;"n/a",COUNTIF($AL$2:$AL$532,$AL178)&gt;1),"Yes","No"))))</f>
      </c>
      <c r="F178">
        <f>IF($B178&lt;&gt;"Yes","",
IF($A178="Neuron",
IF(OR(
AND($S178&lt;&gt;"",LOWER(TRIM($S178))&lt;&gt;"n/a",COUNTIFS($B$2:$B$532,"Yes",$A$2:$A$532,"Neuron",$S$2:$S$532,$S178)&gt;1),
AND($T178&lt;&gt;"",LOWER(TRIM($T178))&lt;&gt;"n/a",COUNTIFS($B$2:$B$532,"Yes",$A$2:$A$532,"Neuron",$T$2:$T$532,$T178)&gt;1),
AND($W178&lt;&gt;"",LOWER(TRIM($W178))&lt;&gt;"n/a",COUNTIFS($B$2:$B$532,"Yes",$A$2:$A$532,"Neuron",$W$2:$W$532,$W178)&gt;1)
),"Yes","No"),
IF($A178="Cybernet",
IF(OR(
AND($Y178&lt;&gt;"",LOWER(TRIM($Y178))&lt;&gt;"n/a",COUNTIFS($B$2:$B$532,"Yes",$A$2:$A$532,"Cybernet",$Y$2:$Y$532,$Y178)&gt;1),
AND($Z178&lt;&gt;"",LOWER(TRIM($Z178))&lt;&gt;"n/a",COUNTIFS($B$2:$B$532,"Yes",$A$2:$A$532,"Cybernet",$Z$2:$Z$532,$Z178)&gt;1)
),"Yes","No"),
IF(AND($AL178&lt;&gt;"",LOWER(TRIM($AL178))&lt;&gt;"n/a"),
IF(COUNTIFS($B$2:$B$532,"Yes",$A$2:$A$532,$A178,$AL$2:$AL$532,$AL178)&gt;1,"Yes","No"),
"No")
)
)
)</f>
      </c>
      <c r="BL178">
        <f>IF($T178="","",IF((IF(AND($AW178&lt;&gt;"Yes",$AW178&lt;&gt;"N/A"),"Power Cable, ","")&amp;IF(AND($AX178&lt;&gt;"Yes",$AX178&lt;&gt;"N/A"),"Battery, ","")&amp;IF(AND($BE178&lt;&gt;"Yes",$BE178&lt;&gt;"N/A"),"Firmware Download, ","")&amp;IF(AND(OR($BE178="Yes",$BE178="N/A"),$BF178&lt;&gt;"Yes",$BF178&lt;&gt;"N/A"),"Firmware Install, ","")&amp;IF(AND($BJ178&lt;&gt;"Yes",$BJ178&lt;&gt;"N/A"),"Device ID, ","")&amp;IF(AND($BK178&lt;&gt;"Yes",$BK178&lt;&gt;"N/A"),"Epic Beans Relay, ",""))="","",LEFT(IF(AND($AW178&lt;&gt;"Yes",$AW178&lt;&gt;"N/A"),"Power Cable, ","")&amp;IF(AND($AX178&lt;&gt;"Yes",$AX178&lt;&gt;"N/A"),"Battery, ","")&amp;IF(AND($BE178&lt;&gt;"Yes",$BE178&lt;&gt;"N/A"),"Firmware Download, ","")&amp;IF(AND(OR($BE178="Yes",$BE178="N/A"),$BF178&lt;&gt;"Yes",$BF178&lt;&gt;"N/A"),"Firmware Install, ","")&amp;IF(AND($BJ178&lt;&gt;"Yes",$BJ178&lt;&gt;"N/A"),"Device ID, ","")&amp;IF(AND($BK178&lt;&gt;"Yes",$BK178&lt;&gt;"N/A"),"Epic Beans Relay, ",""),LEN(IF(AND($AW178&lt;&gt;"Yes",$AW178&lt;&gt;"N/A"),"Power Cable, ","")&amp;IF(AND($AX178&lt;&gt;"Yes",$AX178&lt;&gt;"N/A"),"Battery, ","")&amp;IF(AND($BE178&lt;&gt;"Yes",$BE178&lt;&gt;"N/A"),"Firmware Download, ","")&amp;IF(AND(OR($BE178="Yes",$BE178="N/A"),$BF178&lt;&gt;"Yes",$BF178&lt;&gt;"N/A"),"Firmware Install, ","")&amp;IF(AND($BJ178&lt;&gt;"Yes",$BJ178&lt;&gt;"N/A"),"Device ID, ","")&amp;IF(AND($BK178&lt;&gt;"Yes",$BK178&lt;&gt;"N/A"),"Epic Beans Relay, ",""))-2)))</f>
      </c>
      <c r="BM178">
        <f>IF($T178="","",IF($BL178="","Yes","Blocked"))</f>
      </c>
      <c r="BP178">
        <f>IF($BO178="","",IFERROR(VLOOKUP($BO178,'01_Warehouse_Ledger'!$A:$N,4,FALSE),""))</f>
      </c>
      <c r="BQ178">
        <f>IF($BO178="","",IFERROR(VLOOKUP($BO178,'01_Warehouse_Ledger'!$A:$N,5,FALSE),""))</f>
      </c>
      <c r="BR178">
        <f>IF($BO178="","",IFERROR(VLOOKUP($BO178,'01_Warehouse_Ledger'!$A:$N,13,FALSE),""))</f>
      </c>
    </row>
    <row r="179">
      <c r="D179">
        <f>IF($B179&lt;&gt;"Yes","",IF($C179="No","Yes",IF($C179="Yes","No","")))</f>
      </c>
      <c r="E179">
        <f>IF($A179="","",IF($A179="Neuron",IF(OR(AND($S179&lt;&gt;"",LOWER(TRIM($S179))&lt;&gt;"n/a",COUNTIF($S$2:$S$532,$S179)&gt;1),AND($T179&lt;&gt;"",LOWER(TRIM($T179))&lt;&gt;"n/a",COUNTIF($T$2:$T$532,$T179)&gt;1),AND($W179&lt;&gt;"",LOWER(TRIM($W179))&lt;&gt;"n/a",COUNTIF($W$2:$W$532,$W179)&gt;1)),"Yes","No"),IF($A179="Cybernet",IF(OR(AND($Y179&lt;&gt;"",LOWER(TRIM($Y179))&lt;&gt;"n/a",COUNTIF($Y$2:$Y$532,$Y179)&gt;1),AND($Z179&lt;&gt;"",LOWER(TRIM($Z179))&lt;&gt;"n/a",COUNTIF($Z$2:$Z$532,$Z179)&gt;1)),"Yes","No"),IF(AND($AL179&lt;&gt;"",LOWER(TRIM($AL179))&lt;&gt;"n/a",COUNTIF($AL$2:$AL$532,$AL179)&gt;1),"Yes","No"))))</f>
      </c>
      <c r="F179">
        <f>IF($B179&lt;&gt;"Yes","",
IF($A179="Neuron",
IF(OR(
AND($S179&lt;&gt;"",LOWER(TRIM($S179))&lt;&gt;"n/a",COUNTIFS($B$2:$B$532,"Yes",$A$2:$A$532,"Neuron",$S$2:$S$532,$S179)&gt;1),
AND($T179&lt;&gt;"",LOWER(TRIM($T179))&lt;&gt;"n/a",COUNTIFS($B$2:$B$532,"Yes",$A$2:$A$532,"Neuron",$T$2:$T$532,$T179)&gt;1),
AND($W179&lt;&gt;"",LOWER(TRIM($W179))&lt;&gt;"n/a",COUNTIFS($B$2:$B$532,"Yes",$A$2:$A$532,"Neuron",$W$2:$W$532,$W179)&gt;1)
),"Yes","No"),
IF($A179="Cybernet",
IF(OR(
AND($Y179&lt;&gt;"",LOWER(TRIM($Y179))&lt;&gt;"n/a",COUNTIFS($B$2:$B$532,"Yes",$A$2:$A$532,"Cybernet",$Y$2:$Y$532,$Y179)&gt;1),
AND($Z179&lt;&gt;"",LOWER(TRIM($Z179))&lt;&gt;"n/a",COUNTIFS($B$2:$B$532,"Yes",$A$2:$A$532,"Cybernet",$Z$2:$Z$532,$Z179)&gt;1)
),"Yes","No"),
IF(AND($AL179&lt;&gt;"",LOWER(TRIM($AL179))&lt;&gt;"n/a"),
IF(COUNTIFS($B$2:$B$532,"Yes",$A$2:$A$532,$A179,$AL$2:$AL$532,$AL179)&gt;1,"Yes","No"),
"No")
)
)
)</f>
      </c>
      <c r="BL179">
        <f>IF($T179="","",IF((IF(AND($AW179&lt;&gt;"Yes",$AW179&lt;&gt;"N/A"),"Power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",""))="","",LEFT(IF(AND($AW179&lt;&gt;"Yes",$AW179&lt;&gt;"N/A"),"Power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",""),LEN(IF(AND($AW179&lt;&gt;"Yes",$AW179&lt;&gt;"N/A"),"Power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",""))-2)))</f>
      </c>
      <c r="BM179">
        <f>IF($T179="","",IF($BL179="","Yes","Blocked"))</f>
      </c>
      <c r="BP179">
        <f>IF($BO179="","",IFERROR(VLOOKUP($BO179,'01_Warehouse_Ledger'!$A:$N,4,FALSE),""))</f>
      </c>
      <c r="BQ179">
        <f>IF($BO179="","",IFERROR(VLOOKUP($BO179,'01_Warehouse_Ledger'!$A:$N,5,FALSE),""))</f>
      </c>
      <c r="BR179">
        <f>IF($BO179="","",IFERROR(VLOOKUP($BO179,'01_Warehouse_Ledger'!$A:$N,13,FALSE),""))</f>
      </c>
    </row>
    <row r="180">
      <c r="D180">
        <f>IF($B180&lt;&gt;"Yes","",IF($C180="No","Yes",IF($C180="Yes","No","")))</f>
      </c>
      <c r="E180">
        <f>IF($A180="","",IF($A180="Neuron",IF(OR(AND($S180&lt;&gt;"",LOWER(TRIM($S180))&lt;&gt;"n/a",COUNTIF($S$2:$S$532,$S180)&gt;1),AND($T180&lt;&gt;"",LOWER(TRIM($T180))&lt;&gt;"n/a",COUNTIF($T$2:$T$532,$T180)&gt;1),AND($W180&lt;&gt;"",LOWER(TRIM($W180))&lt;&gt;"n/a",COUNTIF($W$2:$W$532,$W180)&gt;1)),"Yes","No"),IF($A180="Cybernet",IF(OR(AND($Y180&lt;&gt;"",LOWER(TRIM($Y180))&lt;&gt;"n/a",COUNTIF($Y$2:$Y$532,$Y180)&gt;1),AND($Z180&lt;&gt;"",LOWER(TRIM($Z180))&lt;&gt;"n/a",COUNTIF($Z$2:$Z$532,$Z180)&gt;1)),"Yes","No"),IF(AND($AL180&lt;&gt;"",LOWER(TRIM($AL180))&lt;&gt;"n/a",COUNTIF($AL$2:$AL$532,$AL180)&gt;1),"Yes","No"))))</f>
      </c>
      <c r="F180">
        <f>IF($B180&lt;&gt;"Yes","",
IF($A180="Neuron",
IF(OR(
AND($S180&lt;&gt;"",LOWER(TRIM($S180))&lt;&gt;"n/a",COUNTIFS($B$2:$B$532,"Yes",$A$2:$A$532,"Neuron",$S$2:$S$532,$S180)&gt;1),
AND($T180&lt;&gt;"",LOWER(TRIM($T180))&lt;&gt;"n/a",COUNTIFS($B$2:$B$532,"Yes",$A$2:$A$532,"Neuron",$T$2:$T$532,$T180)&gt;1),
AND($W180&lt;&gt;"",LOWER(TRIM($W180))&lt;&gt;"n/a",COUNTIFS($B$2:$B$532,"Yes",$A$2:$A$532,"Neuron",$W$2:$W$532,$W180)&gt;1)
),"Yes","No"),
IF($A180="Cybernet",
IF(OR(
AND($Y180&lt;&gt;"",LOWER(TRIM($Y180))&lt;&gt;"n/a",COUNTIFS($B$2:$B$532,"Yes",$A$2:$A$532,"Cybernet",$Y$2:$Y$532,$Y180)&gt;1),
AND($Z180&lt;&gt;"",LOWER(TRIM($Z180))&lt;&gt;"n/a",COUNTIFS($B$2:$B$532,"Yes",$A$2:$A$532,"Cybernet",$Z$2:$Z$532,$Z180)&gt;1)
),"Yes","No"),
IF(AND($AL180&lt;&gt;"",LOWER(TRIM($AL180))&lt;&gt;"n/a"),
IF(COUNTIFS($B$2:$B$532,"Yes",$A$2:$A$532,$A180,$AL$2:$AL$532,$AL180)&gt;1,"Yes","No"),
"No")
)
)
)</f>
      </c>
      <c r="BL180">
        <f>IF($T180="","",IF((IF(AND($AW180&lt;&gt;"Yes",$AW180&lt;&gt;"N/A"),"Power Cable, ","")&amp;IF(AND($AX180&lt;&gt;"Yes",$AX180&lt;&gt;"N/A"),"Battery, ","")&amp;IF(AND($BE180&lt;&gt;"Yes",$BE180&lt;&gt;"N/A"),"Firmware Download, ","")&amp;IF(AND(OR($BE180="Yes",$BE180="N/A"),$BF180&lt;&gt;"Yes",$BF180&lt;&gt;"N/A"),"Firmware Install, ","")&amp;IF(AND($BJ180&lt;&gt;"Yes",$BJ180&lt;&gt;"N/A"),"Device ID, ","")&amp;IF(AND($BK180&lt;&gt;"Yes",$BK180&lt;&gt;"N/A"),"Epic Beans Relay, ",""))="","",LEFT(IF(AND($AW180&lt;&gt;"Yes",$AW180&lt;&gt;"N/A"),"Power Cable, ","")&amp;IF(AND($AX180&lt;&gt;"Yes",$AX180&lt;&gt;"N/A"),"Battery, ","")&amp;IF(AND($BE180&lt;&gt;"Yes",$BE180&lt;&gt;"N/A"),"Firmware Download, ","")&amp;IF(AND(OR($BE180="Yes",$BE180="N/A"),$BF180&lt;&gt;"Yes",$BF180&lt;&gt;"N/A"),"Firmware Install, ","")&amp;IF(AND($BJ180&lt;&gt;"Yes",$BJ180&lt;&gt;"N/A"),"Device ID, ","")&amp;IF(AND($BK180&lt;&gt;"Yes",$BK180&lt;&gt;"N/A"),"Epic Beans Relay, ",""),LEN(IF(AND($AW180&lt;&gt;"Yes",$AW180&lt;&gt;"N/A"),"Power Cable, ","")&amp;IF(AND($AX180&lt;&gt;"Yes",$AX180&lt;&gt;"N/A"),"Battery, ","")&amp;IF(AND($BE180&lt;&gt;"Yes",$BE180&lt;&gt;"N/A"),"Firmware Download, ","")&amp;IF(AND(OR($BE180="Yes",$BE180="N/A"),$BF180&lt;&gt;"Yes",$BF180&lt;&gt;"N/A"),"Firmware Install, ","")&amp;IF(AND($BJ180&lt;&gt;"Yes",$BJ180&lt;&gt;"N/A"),"Device ID, ","")&amp;IF(AND($BK180&lt;&gt;"Yes",$BK180&lt;&gt;"N/A"),"Epic Beans Relay, ",""))-2)))</f>
      </c>
      <c r="BM180">
        <f>IF($T180="","",IF($BL180="","Yes","Blocked"))</f>
      </c>
      <c r="BP180">
        <f>IF($BO180="","",IFERROR(VLOOKUP($BO180,'01_Warehouse_Ledger'!$A:$N,4,FALSE),""))</f>
      </c>
      <c r="BQ180">
        <f>IF($BO180="","",IFERROR(VLOOKUP($BO180,'01_Warehouse_Ledger'!$A:$N,5,FALSE),""))</f>
      </c>
      <c r="BR180">
        <f>IF($BO180="","",IFERROR(VLOOKUP($BO180,'01_Warehouse_Ledger'!$A:$N,13,FALSE),""))</f>
      </c>
    </row>
    <row r="181">
      <c r="D181">
        <f>IF($B181&lt;&gt;"Yes","",IF($C181="No","Yes",IF($C181="Yes","No","")))</f>
      </c>
      <c r="E181">
        <f>IF($A181="","",IF($A181="Neuron",IF(OR(AND($S181&lt;&gt;"",LOWER(TRIM($S181))&lt;&gt;"n/a",COUNTIF($S$2:$S$532,$S181)&gt;1),AND($T181&lt;&gt;"",LOWER(TRIM($T181))&lt;&gt;"n/a",COUNTIF($T$2:$T$532,$T181)&gt;1),AND($W181&lt;&gt;"",LOWER(TRIM($W181))&lt;&gt;"n/a",COUNTIF($W$2:$W$532,$W181)&gt;1)),"Yes","No"),IF($A181="Cybernet",IF(OR(AND($Y181&lt;&gt;"",LOWER(TRIM($Y181))&lt;&gt;"n/a",COUNTIF($Y$2:$Y$532,$Y181)&gt;1),AND($Z181&lt;&gt;"",LOWER(TRIM($Z181))&lt;&gt;"n/a",COUNTIF($Z$2:$Z$532,$Z181)&gt;1)),"Yes","No"),IF(AND($AL181&lt;&gt;"",LOWER(TRIM($AL181))&lt;&gt;"n/a",COUNTIF($AL$2:$AL$532,$AL181)&gt;1),"Yes","No"))))</f>
      </c>
      <c r="F181">
        <f>IF($B181&lt;&gt;"Yes","",
IF($A181="Neuron",
IF(OR(
AND($S181&lt;&gt;"",LOWER(TRIM($S181))&lt;&gt;"n/a",COUNTIFS($B$2:$B$532,"Yes",$A$2:$A$532,"Neuron",$S$2:$S$532,$S181)&gt;1),
AND($T181&lt;&gt;"",LOWER(TRIM($T181))&lt;&gt;"n/a",COUNTIFS($B$2:$B$532,"Yes",$A$2:$A$532,"Neuron",$T$2:$T$532,$T181)&gt;1),
AND($W181&lt;&gt;"",LOWER(TRIM($W181))&lt;&gt;"n/a",COUNTIFS($B$2:$B$532,"Yes",$A$2:$A$532,"Neuron",$W$2:$W$532,$W181)&gt;1)
),"Yes","No"),
IF($A181="Cybernet",
IF(OR(
AND($Y181&lt;&gt;"",LOWER(TRIM($Y181))&lt;&gt;"n/a",COUNTIFS($B$2:$B$532,"Yes",$A$2:$A$532,"Cybernet",$Y$2:$Y$532,$Y181)&gt;1),
AND($Z181&lt;&gt;"",LOWER(TRIM($Z181))&lt;&gt;"n/a",COUNTIFS($B$2:$B$532,"Yes",$A$2:$A$532,"Cybernet",$Z$2:$Z$532,$Z181)&gt;1)
),"Yes","No"),
IF(AND($AL181&lt;&gt;"",LOWER(TRIM($AL181))&lt;&gt;"n/a"),
IF(COUNTIFS($B$2:$B$532,"Yes",$A$2:$A$532,$A181,$AL$2:$AL$532,$AL181)&gt;1,"Yes","No"),
"No")
)
)
)</f>
      </c>
      <c r="BL181">
        <f>IF($T181="","",IF((IF(AND($AW181&lt;&gt;"Yes",$AW181&lt;&gt;"N/A"),"Power Cable, ","")&amp;IF(AND($AX181&lt;&gt;"Yes",$AX181&lt;&gt;"N/A"),"Battery, ","")&amp;IF(AND($BE181&lt;&gt;"Yes",$BE181&lt;&gt;"N/A"),"Firmware Download, ","")&amp;IF(AND(OR($BE181="Yes",$BE181="N/A"),$BF181&lt;&gt;"Yes",$BF181&lt;&gt;"N/A"),"Firmware Install, ","")&amp;IF(AND($BJ181&lt;&gt;"Yes",$BJ181&lt;&gt;"N/A"),"Device ID, ","")&amp;IF(AND($BK181&lt;&gt;"Yes",$BK181&lt;&gt;"N/A"),"Epic Beans Relay, ",""))="","",LEFT(IF(AND($AW181&lt;&gt;"Yes",$AW181&lt;&gt;"N/A"),"Power Cable, ","")&amp;IF(AND($AX181&lt;&gt;"Yes",$AX181&lt;&gt;"N/A"),"Battery, ","")&amp;IF(AND($BE181&lt;&gt;"Yes",$BE181&lt;&gt;"N/A"),"Firmware Download, ","")&amp;IF(AND(OR($BE181="Yes",$BE181="N/A"),$BF181&lt;&gt;"Yes",$BF181&lt;&gt;"N/A"),"Firmware Install, ","")&amp;IF(AND($BJ181&lt;&gt;"Yes",$BJ181&lt;&gt;"N/A"),"Device ID, ","")&amp;IF(AND($BK181&lt;&gt;"Yes",$BK181&lt;&gt;"N/A"),"Epic Beans Relay, ",""),LEN(IF(AND($AW181&lt;&gt;"Yes",$AW181&lt;&gt;"N/A"),"Power Cable, ","")&amp;IF(AND($AX181&lt;&gt;"Yes",$AX181&lt;&gt;"N/A"),"Battery, ","")&amp;IF(AND($BE181&lt;&gt;"Yes",$BE181&lt;&gt;"N/A"),"Firmware Download, ","")&amp;IF(AND(OR($BE181="Yes",$BE181="N/A"),$BF181&lt;&gt;"Yes",$BF181&lt;&gt;"N/A"),"Firmware Install, ","")&amp;IF(AND($BJ181&lt;&gt;"Yes",$BJ181&lt;&gt;"N/A"),"Device ID, ","")&amp;IF(AND($BK181&lt;&gt;"Yes",$BK181&lt;&gt;"N/A"),"Epic Beans Relay, ",""))-2)))</f>
      </c>
      <c r="BM181">
        <f>IF($T181="","",IF($BL181="","Yes","Blocked"))</f>
      </c>
      <c r="BP181">
        <f>IF($BO181="","",IFERROR(VLOOKUP($BO181,'01_Warehouse_Ledger'!$A:$N,4,FALSE),""))</f>
      </c>
      <c r="BQ181">
        <f>IF($BO181="","",IFERROR(VLOOKUP($BO181,'01_Warehouse_Ledger'!$A:$N,5,FALSE),""))</f>
      </c>
      <c r="BR181">
        <f>IF($BO181="","",IFERROR(VLOOKUP($BO181,'01_Warehouse_Ledger'!$A:$N,13,FALSE),""))</f>
      </c>
    </row>
    <row r="182">
      <c r="D182">
        <f>IF($B182&lt;&gt;"Yes","",IF($C182="No","Yes",IF($C182="Yes","No","")))</f>
      </c>
      <c r="E182">
        <f>IF($A182="","",IF($A182="Neuron",IF(OR(AND($S182&lt;&gt;"",LOWER(TRIM($S182))&lt;&gt;"n/a",COUNTIF($S$2:$S$532,$S182)&gt;1),AND($T182&lt;&gt;"",LOWER(TRIM($T182))&lt;&gt;"n/a",COUNTIF($T$2:$T$532,$T182)&gt;1),AND($W182&lt;&gt;"",LOWER(TRIM($W182))&lt;&gt;"n/a",COUNTIF($W$2:$W$532,$W182)&gt;1)),"Yes","No"),IF($A182="Cybernet",IF(OR(AND($Y182&lt;&gt;"",LOWER(TRIM($Y182))&lt;&gt;"n/a",COUNTIF($Y$2:$Y$532,$Y182)&gt;1),AND($Z182&lt;&gt;"",LOWER(TRIM($Z182))&lt;&gt;"n/a",COUNTIF($Z$2:$Z$532,$Z182)&gt;1)),"Yes","No"),IF(AND($AL182&lt;&gt;"",LOWER(TRIM($AL182))&lt;&gt;"n/a",COUNTIF($AL$2:$AL$532,$AL182)&gt;1),"Yes","No"))))</f>
      </c>
      <c r="F182">
        <f>IF($B182&lt;&gt;"Yes","",
IF($A182="Neuron",
IF(OR(
AND($S182&lt;&gt;"",LOWER(TRIM($S182))&lt;&gt;"n/a",COUNTIFS($B$2:$B$532,"Yes",$A$2:$A$532,"Neuron",$S$2:$S$532,$S182)&gt;1),
AND($T182&lt;&gt;"",LOWER(TRIM($T182))&lt;&gt;"n/a",COUNTIFS($B$2:$B$532,"Yes",$A$2:$A$532,"Neuron",$T$2:$T$532,$T182)&gt;1),
AND($W182&lt;&gt;"",LOWER(TRIM($W182))&lt;&gt;"n/a",COUNTIFS($B$2:$B$532,"Yes",$A$2:$A$532,"Neuron",$W$2:$W$532,$W182)&gt;1)
),"Yes","No"),
IF($A182="Cybernet",
IF(OR(
AND($Y182&lt;&gt;"",LOWER(TRIM($Y182))&lt;&gt;"n/a",COUNTIFS($B$2:$B$532,"Yes",$A$2:$A$532,"Cybernet",$Y$2:$Y$532,$Y182)&gt;1),
AND($Z182&lt;&gt;"",LOWER(TRIM($Z182))&lt;&gt;"n/a",COUNTIFS($B$2:$B$532,"Yes",$A$2:$A$532,"Cybernet",$Z$2:$Z$532,$Z182)&gt;1)
),"Yes","No"),
IF(AND($AL182&lt;&gt;"",LOWER(TRIM($AL182))&lt;&gt;"n/a"),
IF(COUNTIFS($B$2:$B$532,"Yes",$A$2:$A$532,$A182,$AL$2:$AL$532,$AL182)&gt;1,"Yes","No"),
"No")
)
)
)</f>
      </c>
      <c r="BL182">
        <f>IF($T182="","",IF((IF(AND($AW182&lt;&gt;"Yes",$AW182&lt;&gt;"N/A"),"Power Cable, ","")&amp;IF(AND($AX182&lt;&gt;"Yes",$AX182&lt;&gt;"N/A"),"Battery, ","")&amp;IF(AND($BE182&lt;&gt;"Yes",$BE182&lt;&gt;"N/A"),"Firmware Download, ","")&amp;IF(AND(OR($BE182="Yes",$BE182="N/A"),$BF182&lt;&gt;"Yes",$BF182&lt;&gt;"N/A"),"Firmware Install, ","")&amp;IF(AND($BJ182&lt;&gt;"Yes",$BJ182&lt;&gt;"N/A"),"Device ID, ","")&amp;IF(AND($BK182&lt;&gt;"Yes",$BK182&lt;&gt;"N/A"),"Epic Beans Relay, ",""))="","",LEFT(IF(AND($AW182&lt;&gt;"Yes",$AW182&lt;&gt;"N/A"),"Power Cable, ","")&amp;IF(AND($AX182&lt;&gt;"Yes",$AX182&lt;&gt;"N/A"),"Battery, ","")&amp;IF(AND($BE182&lt;&gt;"Yes",$BE182&lt;&gt;"N/A"),"Firmware Download, ","")&amp;IF(AND(OR($BE182="Yes",$BE182="N/A"),$BF182&lt;&gt;"Yes",$BF182&lt;&gt;"N/A"),"Firmware Install, ","")&amp;IF(AND($BJ182&lt;&gt;"Yes",$BJ182&lt;&gt;"N/A"),"Device ID, ","")&amp;IF(AND($BK182&lt;&gt;"Yes",$BK182&lt;&gt;"N/A"),"Epic Beans Relay, ",""),LEN(IF(AND($AW182&lt;&gt;"Yes",$AW182&lt;&gt;"N/A"),"Power Cable, ","")&amp;IF(AND($AX182&lt;&gt;"Yes",$AX182&lt;&gt;"N/A"),"Battery, ","")&amp;IF(AND($BE182&lt;&gt;"Yes",$BE182&lt;&gt;"N/A"),"Firmware Download, ","")&amp;IF(AND(OR($BE182="Yes",$BE182="N/A"),$BF182&lt;&gt;"Yes",$BF182&lt;&gt;"N/A"),"Firmware Install, ","")&amp;IF(AND($BJ182&lt;&gt;"Yes",$BJ182&lt;&gt;"N/A"),"Device ID, ","")&amp;IF(AND($BK182&lt;&gt;"Yes",$BK182&lt;&gt;"N/A"),"Epic Beans Relay, ",""))-2)))</f>
      </c>
      <c r="BM182">
        <f>IF($T182="","",IF($BL182="","Yes","Blocked"))</f>
      </c>
      <c r="BP182">
        <f>IF($BO182="","",IFERROR(VLOOKUP($BO182,'01_Warehouse_Ledger'!$A:$N,4,FALSE),""))</f>
      </c>
      <c r="BQ182">
        <f>IF($BO182="","",IFERROR(VLOOKUP($BO182,'01_Warehouse_Ledger'!$A:$N,5,FALSE),""))</f>
      </c>
      <c r="BR182">
        <f>IF($BO182="","",IFERROR(VLOOKUP($BO182,'01_Warehouse_Ledger'!$A:$N,13,FALSE),""))</f>
      </c>
    </row>
    <row r="183">
      <c r="D183">
        <f>IF($B183&lt;&gt;"Yes","",IF($C183="No","Yes",IF($C183="Yes","No","")))</f>
      </c>
      <c r="E183">
        <f>IF($A183="","",IF($A183="Neuron",IF(OR(AND($S183&lt;&gt;"",LOWER(TRIM($S183))&lt;&gt;"n/a",COUNTIF($S$2:$S$532,$S183)&gt;1),AND($T183&lt;&gt;"",LOWER(TRIM($T183))&lt;&gt;"n/a",COUNTIF($T$2:$T$532,$T183)&gt;1),AND($W183&lt;&gt;"",LOWER(TRIM($W183))&lt;&gt;"n/a",COUNTIF($W$2:$W$532,$W183)&gt;1)),"Yes","No"),IF($A183="Cybernet",IF(OR(AND($Y183&lt;&gt;"",LOWER(TRIM($Y183))&lt;&gt;"n/a",COUNTIF($Y$2:$Y$532,$Y183)&gt;1),AND($Z183&lt;&gt;"",LOWER(TRIM($Z183))&lt;&gt;"n/a",COUNTIF($Z$2:$Z$532,$Z183)&gt;1)),"Yes","No"),IF(AND($AL183&lt;&gt;"",LOWER(TRIM($AL183))&lt;&gt;"n/a",COUNTIF($AL$2:$AL$532,$AL183)&gt;1),"Yes","No"))))</f>
      </c>
      <c r="F183">
        <f>IF($B183&lt;&gt;"Yes","",
IF($A183="Neuron",
IF(OR(
AND($S183&lt;&gt;"",LOWER(TRIM($S183))&lt;&gt;"n/a",COUNTIFS($B$2:$B$532,"Yes",$A$2:$A$532,"Neuron",$S$2:$S$532,$S183)&gt;1),
AND($T183&lt;&gt;"",LOWER(TRIM($T183))&lt;&gt;"n/a",COUNTIFS($B$2:$B$532,"Yes",$A$2:$A$532,"Neuron",$T$2:$T$532,$T183)&gt;1),
AND($W183&lt;&gt;"",LOWER(TRIM($W183))&lt;&gt;"n/a",COUNTIFS($B$2:$B$532,"Yes",$A$2:$A$532,"Neuron",$W$2:$W$532,$W183)&gt;1)
),"Yes","No"),
IF($A183="Cybernet",
IF(OR(
AND($Y183&lt;&gt;"",LOWER(TRIM($Y183))&lt;&gt;"n/a",COUNTIFS($B$2:$B$532,"Yes",$A$2:$A$532,"Cybernet",$Y$2:$Y$532,$Y183)&gt;1),
AND($Z183&lt;&gt;"",LOWER(TRIM($Z183))&lt;&gt;"n/a",COUNTIFS($B$2:$B$532,"Yes",$A$2:$A$532,"Cybernet",$Z$2:$Z$532,$Z183)&gt;1)
),"Yes","No"),
IF(AND($AL183&lt;&gt;"",LOWER(TRIM($AL183))&lt;&gt;"n/a"),
IF(COUNTIFS($B$2:$B$532,"Yes",$A$2:$A$532,$A183,$AL$2:$AL$532,$AL183)&gt;1,"Yes","No"),
"No")
)
)
)</f>
      </c>
      <c r="BL183">
        <f>IF($T183="","",IF((IF(AND($AW183&lt;&gt;"Yes",$AW183&lt;&gt;"N/A"),"Power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",""))="","",LEFT(IF(AND($AW183&lt;&gt;"Yes",$AW183&lt;&gt;"N/A"),"Power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",""),LEN(IF(AND($AW183&lt;&gt;"Yes",$AW183&lt;&gt;"N/A"),"Power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",""))-2)))</f>
      </c>
      <c r="BM183">
        <f>IF($T183="","",IF($BL183="","Yes","Blocked"))</f>
      </c>
      <c r="BP183">
        <f>IF($BO183="","",IFERROR(VLOOKUP($BO183,'01_Warehouse_Ledger'!$A:$N,4,FALSE),""))</f>
      </c>
      <c r="BQ183">
        <f>IF($BO183="","",IFERROR(VLOOKUP($BO183,'01_Warehouse_Ledger'!$A:$N,5,FALSE),""))</f>
      </c>
      <c r="BR183">
        <f>IF($BO183="","",IFERROR(VLOOKUP($BO183,'01_Warehouse_Ledger'!$A:$N,13,FALSE),""))</f>
      </c>
    </row>
    <row r="184">
      <c r="D184">
        <f>IF($B184&lt;&gt;"Yes","",IF($C184="No","Yes",IF($C184="Yes","No","")))</f>
      </c>
      <c r="E184">
        <f>IF($A184="","",IF($A184="Neuron",IF(OR(AND($S184&lt;&gt;"",LOWER(TRIM($S184))&lt;&gt;"n/a",COUNTIF($S$2:$S$532,$S184)&gt;1),AND($T184&lt;&gt;"",LOWER(TRIM($T184))&lt;&gt;"n/a",COUNTIF($T$2:$T$532,$T184)&gt;1),AND($W184&lt;&gt;"",LOWER(TRIM($W184))&lt;&gt;"n/a",COUNTIF($W$2:$W$532,$W184)&gt;1)),"Yes","No"),IF($A184="Cybernet",IF(OR(AND($Y184&lt;&gt;"",LOWER(TRIM($Y184))&lt;&gt;"n/a",COUNTIF($Y$2:$Y$532,$Y184)&gt;1),AND($Z184&lt;&gt;"",LOWER(TRIM($Z184))&lt;&gt;"n/a",COUNTIF($Z$2:$Z$532,$Z184)&gt;1)),"Yes","No"),IF(AND($AL184&lt;&gt;"",LOWER(TRIM($AL184))&lt;&gt;"n/a",COUNTIF($AL$2:$AL$532,$AL184)&gt;1),"Yes","No"))))</f>
      </c>
      <c r="F184">
        <f>IF($B184&lt;&gt;"Yes","",
IF($A184="Neuron",
IF(OR(
AND($S184&lt;&gt;"",LOWER(TRIM($S184))&lt;&gt;"n/a",COUNTIFS($B$2:$B$532,"Yes",$A$2:$A$532,"Neuron",$S$2:$S$532,$S184)&gt;1),
AND($T184&lt;&gt;"",LOWER(TRIM($T184))&lt;&gt;"n/a",COUNTIFS($B$2:$B$532,"Yes",$A$2:$A$532,"Neuron",$T$2:$T$532,$T184)&gt;1),
AND($W184&lt;&gt;"",LOWER(TRIM($W184))&lt;&gt;"n/a",COUNTIFS($B$2:$B$532,"Yes",$A$2:$A$532,"Neuron",$W$2:$W$532,$W184)&gt;1)
),"Yes","No"),
IF($A184="Cybernet",
IF(OR(
AND($Y184&lt;&gt;"",LOWER(TRIM($Y184))&lt;&gt;"n/a",COUNTIFS($B$2:$B$532,"Yes",$A$2:$A$532,"Cybernet",$Y$2:$Y$532,$Y184)&gt;1),
AND($Z184&lt;&gt;"",LOWER(TRIM($Z184))&lt;&gt;"n/a",COUNTIFS($B$2:$B$532,"Yes",$A$2:$A$532,"Cybernet",$Z$2:$Z$532,$Z184)&gt;1)
),"Yes","No"),
IF(AND($AL184&lt;&gt;"",LOWER(TRIM($AL184))&lt;&gt;"n/a"),
IF(COUNTIFS($B$2:$B$532,"Yes",$A$2:$A$532,$A184,$AL$2:$AL$532,$AL184)&gt;1,"Yes","No"),
"No")
)
)
)</f>
      </c>
      <c r="BL184">
        <f>IF($T184="","",IF((IF(AND($AW184&lt;&gt;"Yes",$AW184&lt;&gt;"N/A"),"Power Cable, ","")&amp;IF(AND($AX184&lt;&gt;"Yes",$AX184&lt;&gt;"N/A"),"Battery, ","")&amp;IF(AND($BE184&lt;&gt;"Yes",$BE184&lt;&gt;"N/A"),"Firmware Download, ","")&amp;IF(AND(OR($BE184="Yes",$BE184="N/A"),$BF184&lt;&gt;"Yes",$BF184&lt;&gt;"N/A"),"Firmware Install, ","")&amp;IF(AND($BJ184&lt;&gt;"Yes",$BJ184&lt;&gt;"N/A"),"Device ID, ","")&amp;IF(AND($BK184&lt;&gt;"Yes",$BK184&lt;&gt;"N/A"),"Epic Beans Relay, ",""))="","",LEFT(IF(AND($AW184&lt;&gt;"Yes",$AW184&lt;&gt;"N/A"),"Power Cable, ","")&amp;IF(AND($AX184&lt;&gt;"Yes",$AX184&lt;&gt;"N/A"),"Battery, ","")&amp;IF(AND($BE184&lt;&gt;"Yes",$BE184&lt;&gt;"N/A"),"Firmware Download, ","")&amp;IF(AND(OR($BE184="Yes",$BE184="N/A"),$BF184&lt;&gt;"Yes",$BF184&lt;&gt;"N/A"),"Firmware Install, ","")&amp;IF(AND($BJ184&lt;&gt;"Yes",$BJ184&lt;&gt;"N/A"),"Device ID, ","")&amp;IF(AND($BK184&lt;&gt;"Yes",$BK184&lt;&gt;"N/A"),"Epic Beans Relay, ",""),LEN(IF(AND($AW184&lt;&gt;"Yes",$AW184&lt;&gt;"N/A"),"Power Cable, ","")&amp;IF(AND($AX184&lt;&gt;"Yes",$AX184&lt;&gt;"N/A"),"Battery, ","")&amp;IF(AND($BE184&lt;&gt;"Yes",$BE184&lt;&gt;"N/A"),"Firmware Download, ","")&amp;IF(AND(OR($BE184="Yes",$BE184="N/A"),$BF184&lt;&gt;"Yes",$BF184&lt;&gt;"N/A"),"Firmware Install, ","")&amp;IF(AND($BJ184&lt;&gt;"Yes",$BJ184&lt;&gt;"N/A"),"Device ID, ","")&amp;IF(AND($BK184&lt;&gt;"Yes",$BK184&lt;&gt;"N/A"),"Epic Beans Relay, ",""))-2)))</f>
      </c>
      <c r="BM184">
        <f>IF($T184="","",IF($BL184="","Yes","Blocked"))</f>
      </c>
      <c r="BP184">
        <f>IF($BO184="","",IFERROR(VLOOKUP($BO184,'01_Warehouse_Ledger'!$A:$N,4,FALSE),""))</f>
      </c>
      <c r="BQ184">
        <f>IF($BO184="","",IFERROR(VLOOKUP($BO184,'01_Warehouse_Ledger'!$A:$N,5,FALSE),""))</f>
      </c>
      <c r="BR184">
        <f>IF($BO184="","",IFERROR(VLOOKUP($BO184,'01_Warehouse_Ledger'!$A:$N,13,FALSE),""))</f>
      </c>
    </row>
    <row r="185">
      <c r="D185">
        <f>IF($B185&lt;&gt;"Yes","",IF($C185="No","Yes",IF($C185="Yes","No","")))</f>
      </c>
      <c r="E185">
        <f>IF($A185="","",IF($A185="Neuron",IF(OR(AND($S185&lt;&gt;"",LOWER(TRIM($S185))&lt;&gt;"n/a",COUNTIF($S$2:$S$532,$S185)&gt;1),AND($T185&lt;&gt;"",LOWER(TRIM($T185))&lt;&gt;"n/a",COUNTIF($T$2:$T$532,$T185)&gt;1),AND($W185&lt;&gt;"",LOWER(TRIM($W185))&lt;&gt;"n/a",COUNTIF($W$2:$W$532,$W185)&gt;1)),"Yes","No"),IF($A185="Cybernet",IF(OR(AND($Y185&lt;&gt;"",LOWER(TRIM($Y185))&lt;&gt;"n/a",COUNTIF($Y$2:$Y$532,$Y185)&gt;1),AND($Z185&lt;&gt;"",LOWER(TRIM($Z185))&lt;&gt;"n/a",COUNTIF($Z$2:$Z$532,$Z185)&gt;1)),"Yes","No"),IF(AND($AL185&lt;&gt;"",LOWER(TRIM($AL185))&lt;&gt;"n/a",COUNTIF($AL$2:$AL$532,$AL185)&gt;1),"Yes","No"))))</f>
      </c>
      <c r="F185">
        <f>IF($B185&lt;&gt;"Yes","",
IF($A185="Neuron",
IF(OR(
AND($S185&lt;&gt;"",LOWER(TRIM($S185))&lt;&gt;"n/a",COUNTIFS($B$2:$B$532,"Yes",$A$2:$A$532,"Neuron",$S$2:$S$532,$S185)&gt;1),
AND($T185&lt;&gt;"",LOWER(TRIM($T185))&lt;&gt;"n/a",COUNTIFS($B$2:$B$532,"Yes",$A$2:$A$532,"Neuron",$T$2:$T$532,$T185)&gt;1),
AND($W185&lt;&gt;"",LOWER(TRIM($W185))&lt;&gt;"n/a",COUNTIFS($B$2:$B$532,"Yes",$A$2:$A$532,"Neuron",$W$2:$W$532,$W185)&gt;1)
),"Yes","No"),
IF($A185="Cybernet",
IF(OR(
AND($Y185&lt;&gt;"",LOWER(TRIM($Y185))&lt;&gt;"n/a",COUNTIFS($B$2:$B$532,"Yes",$A$2:$A$532,"Cybernet",$Y$2:$Y$532,$Y185)&gt;1),
AND($Z185&lt;&gt;"",LOWER(TRIM($Z185))&lt;&gt;"n/a",COUNTIFS($B$2:$B$532,"Yes",$A$2:$A$532,"Cybernet",$Z$2:$Z$532,$Z185)&gt;1)
),"Yes","No"),
IF(AND($AL185&lt;&gt;"",LOWER(TRIM($AL185))&lt;&gt;"n/a"),
IF(COUNTIFS($B$2:$B$532,"Yes",$A$2:$A$532,$A185,$AL$2:$AL$532,$AL185)&gt;1,"Yes","No"),
"No")
)
)
)</f>
      </c>
      <c r="BL185">
        <f>IF($T185="","",IF((IF(AND($AW185&lt;&gt;"Yes",$AW185&lt;&gt;"N/A"),"Power Cable, ","")&amp;IF(AND($AX185&lt;&gt;"Yes",$AX185&lt;&gt;"N/A"),"Battery, ","")&amp;IF(AND($BE185&lt;&gt;"Yes",$BE185&lt;&gt;"N/A"),"Firmware Download, ","")&amp;IF(AND(OR($BE185="Yes",$BE185="N/A"),$BF185&lt;&gt;"Yes",$BF185&lt;&gt;"N/A"),"Firmware Install, ","")&amp;IF(AND($BJ185&lt;&gt;"Yes",$BJ185&lt;&gt;"N/A"),"Device ID, ","")&amp;IF(AND($BK185&lt;&gt;"Yes",$BK185&lt;&gt;"N/A"),"Epic Beans Relay, ",""))="","",LEFT(IF(AND($AW185&lt;&gt;"Yes",$AW185&lt;&gt;"N/A"),"Power Cable, ","")&amp;IF(AND($AX185&lt;&gt;"Yes",$AX185&lt;&gt;"N/A"),"Battery, ","")&amp;IF(AND($BE185&lt;&gt;"Yes",$BE185&lt;&gt;"N/A"),"Firmware Download, ","")&amp;IF(AND(OR($BE185="Yes",$BE185="N/A"),$BF185&lt;&gt;"Yes",$BF185&lt;&gt;"N/A"),"Firmware Install, ","")&amp;IF(AND($BJ185&lt;&gt;"Yes",$BJ185&lt;&gt;"N/A"),"Device ID, ","")&amp;IF(AND($BK185&lt;&gt;"Yes",$BK185&lt;&gt;"N/A"),"Epic Beans Relay, ",""),LEN(IF(AND($AW185&lt;&gt;"Yes",$AW185&lt;&gt;"N/A"),"Power Cable, ","")&amp;IF(AND($AX185&lt;&gt;"Yes",$AX185&lt;&gt;"N/A"),"Battery, ","")&amp;IF(AND($BE185&lt;&gt;"Yes",$BE185&lt;&gt;"N/A"),"Firmware Download, ","")&amp;IF(AND(OR($BE185="Yes",$BE185="N/A"),$BF185&lt;&gt;"Yes",$BF185&lt;&gt;"N/A"),"Firmware Install, ","")&amp;IF(AND($BJ185&lt;&gt;"Yes",$BJ185&lt;&gt;"N/A"),"Device ID, ","")&amp;IF(AND($BK185&lt;&gt;"Yes",$BK185&lt;&gt;"N/A"),"Epic Beans Relay, ",""))-2)))</f>
      </c>
      <c r="BM185">
        <f>IF($T185="","",IF($BL185="","Yes","Blocked"))</f>
      </c>
      <c r="BP185">
        <f>IF($BO185="","",IFERROR(VLOOKUP($BO185,'01_Warehouse_Ledger'!$A:$N,4,FALSE),""))</f>
      </c>
      <c r="BQ185">
        <f>IF($BO185="","",IFERROR(VLOOKUP($BO185,'01_Warehouse_Ledger'!$A:$N,5,FALSE),""))</f>
      </c>
      <c r="BR185">
        <f>IF($BO185="","",IFERROR(VLOOKUP($BO185,'01_Warehouse_Ledger'!$A:$N,13,FALSE),""))</f>
      </c>
    </row>
    <row r="186">
      <c r="D186">
        <f>IF($B186&lt;&gt;"Yes","",IF($C186="No","Yes",IF($C186="Yes","No","")))</f>
      </c>
      <c r="E186">
        <f>IF($A186="","",IF($A186="Neuron",IF(OR(AND($S186&lt;&gt;"",LOWER(TRIM($S186))&lt;&gt;"n/a",COUNTIF($S$2:$S$532,$S186)&gt;1),AND($T186&lt;&gt;"",LOWER(TRIM($T186))&lt;&gt;"n/a",COUNTIF($T$2:$T$532,$T186)&gt;1),AND($W186&lt;&gt;"",LOWER(TRIM($W186))&lt;&gt;"n/a",COUNTIF($W$2:$W$532,$W186)&gt;1)),"Yes","No"),IF($A186="Cybernet",IF(OR(AND($Y186&lt;&gt;"",LOWER(TRIM($Y186))&lt;&gt;"n/a",COUNTIF($Y$2:$Y$532,$Y186)&gt;1),AND($Z186&lt;&gt;"",LOWER(TRIM($Z186))&lt;&gt;"n/a",COUNTIF($Z$2:$Z$532,$Z186)&gt;1)),"Yes","No"),IF(AND($AL186&lt;&gt;"",LOWER(TRIM($AL186))&lt;&gt;"n/a",COUNTIF($AL$2:$AL$532,$AL186)&gt;1),"Yes","No"))))</f>
      </c>
      <c r="F186">
        <f>IF($B186&lt;&gt;"Yes","",
IF($A186="Neuron",
IF(OR(
AND($S186&lt;&gt;"",LOWER(TRIM($S186))&lt;&gt;"n/a",COUNTIFS($B$2:$B$532,"Yes",$A$2:$A$532,"Neuron",$S$2:$S$532,$S186)&gt;1),
AND($T186&lt;&gt;"",LOWER(TRIM($T186))&lt;&gt;"n/a",COUNTIFS($B$2:$B$532,"Yes",$A$2:$A$532,"Neuron",$T$2:$T$532,$T186)&gt;1),
AND($W186&lt;&gt;"",LOWER(TRIM($W186))&lt;&gt;"n/a",COUNTIFS($B$2:$B$532,"Yes",$A$2:$A$532,"Neuron",$W$2:$W$532,$W186)&gt;1)
),"Yes","No"),
IF($A186="Cybernet",
IF(OR(
AND($Y186&lt;&gt;"",LOWER(TRIM($Y186))&lt;&gt;"n/a",COUNTIFS($B$2:$B$532,"Yes",$A$2:$A$532,"Cybernet",$Y$2:$Y$532,$Y186)&gt;1),
AND($Z186&lt;&gt;"",LOWER(TRIM($Z186))&lt;&gt;"n/a",COUNTIFS($B$2:$B$532,"Yes",$A$2:$A$532,"Cybernet",$Z$2:$Z$532,$Z186)&gt;1)
),"Yes","No"),
IF(AND($AL186&lt;&gt;"",LOWER(TRIM($AL186))&lt;&gt;"n/a"),
IF(COUNTIFS($B$2:$B$532,"Yes",$A$2:$A$532,$A186,$AL$2:$AL$532,$AL186)&gt;1,"Yes","No"),
"No")
)
)
)</f>
      </c>
      <c r="BL186">
        <f>IF($T186="","",IF((IF(AND($AW186&lt;&gt;"Yes",$AW186&lt;&gt;"N/A"),"Power Cable, ","")&amp;IF(AND($AX186&lt;&gt;"Yes",$AX186&lt;&gt;"N/A"),"Battery, ","")&amp;IF(AND($BE186&lt;&gt;"Yes",$BE186&lt;&gt;"N/A"),"Firmware Download, ","")&amp;IF(AND(OR($BE186="Yes",$BE186="N/A"),$BF186&lt;&gt;"Yes",$BF186&lt;&gt;"N/A"),"Firmware Install, ","")&amp;IF(AND($BJ186&lt;&gt;"Yes",$BJ186&lt;&gt;"N/A"),"Device ID, ","")&amp;IF(AND($BK186&lt;&gt;"Yes",$BK186&lt;&gt;"N/A"),"Epic Beans Relay, ",""))="","",LEFT(IF(AND($AW186&lt;&gt;"Yes",$AW186&lt;&gt;"N/A"),"Power Cable, ","")&amp;IF(AND($AX186&lt;&gt;"Yes",$AX186&lt;&gt;"N/A"),"Battery, ","")&amp;IF(AND($BE186&lt;&gt;"Yes",$BE186&lt;&gt;"N/A"),"Firmware Download, ","")&amp;IF(AND(OR($BE186="Yes",$BE186="N/A"),$BF186&lt;&gt;"Yes",$BF186&lt;&gt;"N/A"),"Firmware Install, ","")&amp;IF(AND($BJ186&lt;&gt;"Yes",$BJ186&lt;&gt;"N/A"),"Device ID, ","")&amp;IF(AND($BK186&lt;&gt;"Yes",$BK186&lt;&gt;"N/A"),"Epic Beans Relay, ",""),LEN(IF(AND($AW186&lt;&gt;"Yes",$AW186&lt;&gt;"N/A"),"Power Cable, ","")&amp;IF(AND($AX186&lt;&gt;"Yes",$AX186&lt;&gt;"N/A"),"Battery, ","")&amp;IF(AND($BE186&lt;&gt;"Yes",$BE186&lt;&gt;"N/A"),"Firmware Download, ","")&amp;IF(AND(OR($BE186="Yes",$BE186="N/A"),$BF186&lt;&gt;"Yes",$BF186&lt;&gt;"N/A"),"Firmware Install, ","")&amp;IF(AND($BJ186&lt;&gt;"Yes",$BJ186&lt;&gt;"N/A"),"Device ID, ","")&amp;IF(AND($BK186&lt;&gt;"Yes",$BK186&lt;&gt;"N/A"),"Epic Beans Relay, ",""))-2)))</f>
      </c>
      <c r="BM186">
        <f>IF($T186="","",IF($BL186="","Yes","Blocked"))</f>
      </c>
      <c r="BP186">
        <f>IF($BO186="","",IFERROR(VLOOKUP($BO186,'01_Warehouse_Ledger'!$A:$N,4,FALSE),""))</f>
      </c>
      <c r="BQ186">
        <f>IF($BO186="","",IFERROR(VLOOKUP($BO186,'01_Warehouse_Ledger'!$A:$N,5,FALSE),""))</f>
      </c>
      <c r="BR186">
        <f>IF($BO186="","",IFERROR(VLOOKUP($BO186,'01_Warehouse_Ledger'!$A:$N,13,FALSE),""))</f>
      </c>
    </row>
    <row r="187">
      <c r="D187">
        <f>IF($B187&lt;&gt;"Yes","",IF($C187="No","Yes",IF($C187="Yes","No","")))</f>
      </c>
      <c r="E187">
        <f>IF($A187="","",IF($A187="Neuron",IF(OR(AND($S187&lt;&gt;"",LOWER(TRIM($S187))&lt;&gt;"n/a",COUNTIF($S$2:$S$532,$S187)&gt;1),AND($T187&lt;&gt;"",LOWER(TRIM($T187))&lt;&gt;"n/a",COUNTIF($T$2:$T$532,$T187)&gt;1),AND($W187&lt;&gt;"",LOWER(TRIM($W187))&lt;&gt;"n/a",COUNTIF($W$2:$W$532,$W187)&gt;1)),"Yes","No"),IF($A187="Cybernet",IF(OR(AND($Y187&lt;&gt;"",LOWER(TRIM($Y187))&lt;&gt;"n/a",COUNTIF($Y$2:$Y$532,$Y187)&gt;1),AND($Z187&lt;&gt;"",LOWER(TRIM($Z187))&lt;&gt;"n/a",COUNTIF($Z$2:$Z$532,$Z187)&gt;1)),"Yes","No"),IF(AND($AL187&lt;&gt;"",LOWER(TRIM($AL187))&lt;&gt;"n/a",COUNTIF($AL$2:$AL$532,$AL187)&gt;1),"Yes","No"))))</f>
      </c>
      <c r="F187">
        <f>IF($B187&lt;&gt;"Yes","",
IF($A187="Neuron",
IF(OR(
AND($S187&lt;&gt;"",LOWER(TRIM($S187))&lt;&gt;"n/a",COUNTIFS($B$2:$B$532,"Yes",$A$2:$A$532,"Neuron",$S$2:$S$532,$S187)&gt;1),
AND($T187&lt;&gt;"",LOWER(TRIM($T187))&lt;&gt;"n/a",COUNTIFS($B$2:$B$532,"Yes",$A$2:$A$532,"Neuron",$T$2:$T$532,$T187)&gt;1),
AND($W187&lt;&gt;"",LOWER(TRIM($W187))&lt;&gt;"n/a",COUNTIFS($B$2:$B$532,"Yes",$A$2:$A$532,"Neuron",$W$2:$W$532,$W187)&gt;1)
),"Yes","No"),
IF($A187="Cybernet",
IF(OR(
AND($Y187&lt;&gt;"",LOWER(TRIM($Y187))&lt;&gt;"n/a",COUNTIFS($B$2:$B$532,"Yes",$A$2:$A$532,"Cybernet",$Y$2:$Y$532,$Y187)&gt;1),
AND($Z187&lt;&gt;"",LOWER(TRIM($Z187))&lt;&gt;"n/a",COUNTIFS($B$2:$B$532,"Yes",$A$2:$A$532,"Cybernet",$Z$2:$Z$532,$Z187)&gt;1)
),"Yes","No"),
IF(AND($AL187&lt;&gt;"",LOWER(TRIM($AL187))&lt;&gt;"n/a"),
IF(COUNTIFS($B$2:$B$532,"Yes",$A$2:$A$532,$A187,$AL$2:$AL$532,$AL187)&gt;1,"Yes","No"),
"No")
)
)
)</f>
      </c>
      <c r="BL187">
        <f>IF($T187="","",IF((IF(AND($AW187&lt;&gt;"Yes",$AW187&lt;&gt;"N/A"),"Power Cable, ","")&amp;IF(AND($AX187&lt;&gt;"Yes",$AX187&lt;&gt;"N/A"),"Battery, ","")&amp;IF(AND($BE187&lt;&gt;"Yes",$BE187&lt;&gt;"N/A"),"Firmware Download, ","")&amp;IF(AND(OR($BE187="Yes",$BE187="N/A"),$BF187&lt;&gt;"Yes",$BF187&lt;&gt;"N/A"),"Firmware Install, ","")&amp;IF(AND($BJ187&lt;&gt;"Yes",$BJ187&lt;&gt;"N/A"),"Device ID, ","")&amp;IF(AND($BK187&lt;&gt;"Yes",$BK187&lt;&gt;"N/A"),"Epic Beans Relay, ",""))="","",LEFT(IF(AND($AW187&lt;&gt;"Yes",$AW187&lt;&gt;"N/A"),"Power Cable, ","")&amp;IF(AND($AX187&lt;&gt;"Yes",$AX187&lt;&gt;"N/A"),"Battery, ","")&amp;IF(AND($BE187&lt;&gt;"Yes",$BE187&lt;&gt;"N/A"),"Firmware Download, ","")&amp;IF(AND(OR($BE187="Yes",$BE187="N/A"),$BF187&lt;&gt;"Yes",$BF187&lt;&gt;"N/A"),"Firmware Install, ","")&amp;IF(AND($BJ187&lt;&gt;"Yes",$BJ187&lt;&gt;"N/A"),"Device ID, ","")&amp;IF(AND($BK187&lt;&gt;"Yes",$BK187&lt;&gt;"N/A"),"Epic Beans Relay, ",""),LEN(IF(AND($AW187&lt;&gt;"Yes",$AW187&lt;&gt;"N/A"),"Power Cable, ","")&amp;IF(AND($AX187&lt;&gt;"Yes",$AX187&lt;&gt;"N/A"),"Battery, ","")&amp;IF(AND($BE187&lt;&gt;"Yes",$BE187&lt;&gt;"N/A"),"Firmware Download, ","")&amp;IF(AND(OR($BE187="Yes",$BE187="N/A"),$BF187&lt;&gt;"Yes",$BF187&lt;&gt;"N/A"),"Firmware Install, ","")&amp;IF(AND($BJ187&lt;&gt;"Yes",$BJ187&lt;&gt;"N/A"),"Device ID, ","")&amp;IF(AND($BK187&lt;&gt;"Yes",$BK187&lt;&gt;"N/A"),"Epic Beans Relay, ",""))-2)))</f>
      </c>
      <c r="BM187">
        <f>IF($T187="","",IF($BL187="","Yes","Blocked"))</f>
      </c>
      <c r="BP187">
        <f>IF($BO187="","",IFERROR(VLOOKUP($BO187,'01_Warehouse_Ledger'!$A:$N,4,FALSE),""))</f>
      </c>
      <c r="BQ187">
        <f>IF($BO187="","",IFERROR(VLOOKUP($BO187,'01_Warehouse_Ledger'!$A:$N,5,FALSE),""))</f>
      </c>
      <c r="BR187">
        <f>IF($BO187="","",IFERROR(VLOOKUP($BO187,'01_Warehouse_Ledger'!$A:$N,13,FALSE),""))</f>
      </c>
    </row>
    <row r="188">
      <c r="D188">
        <f>IF($B188&lt;&gt;"Yes","",IF($C188="No","Yes",IF($C188="Yes","No","")))</f>
      </c>
      <c r="E188">
        <f>IF($A188="","",IF($A188="Neuron",IF(OR(AND($S188&lt;&gt;"",LOWER(TRIM($S188))&lt;&gt;"n/a",COUNTIF($S$2:$S$532,$S188)&gt;1),AND($T188&lt;&gt;"",LOWER(TRIM($T188))&lt;&gt;"n/a",COUNTIF($T$2:$T$532,$T188)&gt;1),AND($W188&lt;&gt;"",LOWER(TRIM($W188))&lt;&gt;"n/a",COUNTIF($W$2:$W$532,$W188)&gt;1)),"Yes","No"),IF($A188="Cybernet",IF(OR(AND($Y188&lt;&gt;"",LOWER(TRIM($Y188))&lt;&gt;"n/a",COUNTIF($Y$2:$Y$532,$Y188)&gt;1),AND($Z188&lt;&gt;"",LOWER(TRIM($Z188))&lt;&gt;"n/a",COUNTIF($Z$2:$Z$532,$Z188)&gt;1)),"Yes","No"),IF(AND($AL188&lt;&gt;"",LOWER(TRIM($AL188))&lt;&gt;"n/a",COUNTIF($AL$2:$AL$532,$AL188)&gt;1),"Yes","No"))))</f>
      </c>
      <c r="F188">
        <f>IF($B188&lt;&gt;"Yes","",
IF($A188="Neuron",
IF(OR(
AND($S188&lt;&gt;"",LOWER(TRIM($S188))&lt;&gt;"n/a",COUNTIFS($B$2:$B$532,"Yes",$A$2:$A$532,"Neuron",$S$2:$S$532,$S188)&gt;1),
AND($T188&lt;&gt;"",LOWER(TRIM($T188))&lt;&gt;"n/a",COUNTIFS($B$2:$B$532,"Yes",$A$2:$A$532,"Neuron",$T$2:$T$532,$T188)&gt;1),
AND($W188&lt;&gt;"",LOWER(TRIM($W188))&lt;&gt;"n/a",COUNTIFS($B$2:$B$532,"Yes",$A$2:$A$532,"Neuron",$W$2:$W$532,$W188)&gt;1)
),"Yes","No"),
IF($A188="Cybernet",
IF(OR(
AND($Y188&lt;&gt;"",LOWER(TRIM($Y188))&lt;&gt;"n/a",COUNTIFS($B$2:$B$532,"Yes",$A$2:$A$532,"Cybernet",$Y$2:$Y$532,$Y188)&gt;1),
AND($Z188&lt;&gt;"",LOWER(TRIM($Z188))&lt;&gt;"n/a",COUNTIFS($B$2:$B$532,"Yes",$A$2:$A$532,"Cybernet",$Z$2:$Z$532,$Z188)&gt;1)
),"Yes","No"),
IF(AND($AL188&lt;&gt;"",LOWER(TRIM($AL188))&lt;&gt;"n/a"),
IF(COUNTIFS($B$2:$B$532,"Yes",$A$2:$A$532,$A188,$AL$2:$AL$532,$AL188)&gt;1,"Yes","No"),
"No")
)
)
)</f>
      </c>
      <c r="BL188">
        <f>IF($T188="","",IF((IF(AND($AW188&lt;&gt;"Yes",$AW188&lt;&gt;"N/A"),"Power Cable, ","")&amp;IF(AND($AX188&lt;&gt;"Yes",$AX188&lt;&gt;"N/A"),"Battery, ","")&amp;IF(AND($BE188&lt;&gt;"Yes",$BE188&lt;&gt;"N/A"),"Firmware Download, ","")&amp;IF(AND(OR($BE188="Yes",$BE188="N/A"),$BF188&lt;&gt;"Yes",$BF188&lt;&gt;"N/A"),"Firmware Install, ","")&amp;IF(AND($BJ188&lt;&gt;"Yes",$BJ188&lt;&gt;"N/A"),"Device ID, ","")&amp;IF(AND($BK188&lt;&gt;"Yes",$BK188&lt;&gt;"N/A"),"Epic Beans Relay, ",""))="","",LEFT(IF(AND($AW188&lt;&gt;"Yes",$AW188&lt;&gt;"N/A"),"Power Cable, ","")&amp;IF(AND($AX188&lt;&gt;"Yes",$AX188&lt;&gt;"N/A"),"Battery, ","")&amp;IF(AND($BE188&lt;&gt;"Yes",$BE188&lt;&gt;"N/A"),"Firmware Download, ","")&amp;IF(AND(OR($BE188="Yes",$BE188="N/A"),$BF188&lt;&gt;"Yes",$BF188&lt;&gt;"N/A"),"Firmware Install, ","")&amp;IF(AND($BJ188&lt;&gt;"Yes",$BJ188&lt;&gt;"N/A"),"Device ID, ","")&amp;IF(AND($BK188&lt;&gt;"Yes",$BK188&lt;&gt;"N/A"),"Epic Beans Relay, ",""),LEN(IF(AND($AW188&lt;&gt;"Yes",$AW188&lt;&gt;"N/A"),"Power Cable, ","")&amp;IF(AND($AX188&lt;&gt;"Yes",$AX188&lt;&gt;"N/A"),"Battery, ","")&amp;IF(AND($BE188&lt;&gt;"Yes",$BE188&lt;&gt;"N/A"),"Firmware Download, ","")&amp;IF(AND(OR($BE188="Yes",$BE188="N/A"),$BF188&lt;&gt;"Yes",$BF188&lt;&gt;"N/A"),"Firmware Install, ","")&amp;IF(AND($BJ188&lt;&gt;"Yes",$BJ188&lt;&gt;"N/A"),"Device ID, ","")&amp;IF(AND($BK188&lt;&gt;"Yes",$BK188&lt;&gt;"N/A"),"Epic Beans Relay, ",""))-2)))</f>
      </c>
      <c r="BM188">
        <f>IF($T188="","",IF($BL188="","Yes","Blocked"))</f>
      </c>
      <c r="BP188">
        <f>IF($BO188="","",IFERROR(VLOOKUP($BO188,'01_Warehouse_Ledger'!$A:$N,4,FALSE),""))</f>
      </c>
      <c r="BQ188">
        <f>IF($BO188="","",IFERROR(VLOOKUP($BO188,'01_Warehouse_Ledger'!$A:$N,5,FALSE),""))</f>
      </c>
      <c r="BR188">
        <f>IF($BO188="","",IFERROR(VLOOKUP($BO188,'01_Warehouse_Ledger'!$A:$N,13,FALSE),""))</f>
      </c>
    </row>
    <row r="189">
      <c r="D189">
        <f>IF($B189&lt;&gt;"Yes","",IF($C189="No","Yes",IF($C189="Yes","No","")))</f>
      </c>
      <c r="E189">
        <f>IF($A189="","",IF($A189="Neuron",IF(OR(AND($S189&lt;&gt;"",LOWER(TRIM($S189))&lt;&gt;"n/a",COUNTIF($S$2:$S$532,$S189)&gt;1),AND($T189&lt;&gt;"",LOWER(TRIM($T189))&lt;&gt;"n/a",COUNTIF($T$2:$T$532,$T189)&gt;1),AND($W189&lt;&gt;"",LOWER(TRIM($W189))&lt;&gt;"n/a",COUNTIF($W$2:$W$532,$W189)&gt;1)),"Yes","No"),IF($A189="Cybernet",IF(OR(AND($Y189&lt;&gt;"",LOWER(TRIM($Y189))&lt;&gt;"n/a",COUNTIF($Y$2:$Y$532,$Y189)&gt;1),AND($Z189&lt;&gt;"",LOWER(TRIM($Z189))&lt;&gt;"n/a",COUNTIF($Z$2:$Z$532,$Z189)&gt;1)),"Yes","No"),IF(AND($AL189&lt;&gt;"",LOWER(TRIM($AL189))&lt;&gt;"n/a",COUNTIF($AL$2:$AL$532,$AL189)&gt;1),"Yes","No"))))</f>
      </c>
      <c r="F189">
        <f>IF($B189&lt;&gt;"Yes","",
IF($A189="Neuron",
IF(OR(
AND($S189&lt;&gt;"",LOWER(TRIM($S189))&lt;&gt;"n/a",COUNTIFS($B$2:$B$532,"Yes",$A$2:$A$532,"Neuron",$S$2:$S$532,$S189)&gt;1),
AND($T189&lt;&gt;"",LOWER(TRIM($T189))&lt;&gt;"n/a",COUNTIFS($B$2:$B$532,"Yes",$A$2:$A$532,"Neuron",$T$2:$T$532,$T189)&gt;1),
AND($W189&lt;&gt;"",LOWER(TRIM($W189))&lt;&gt;"n/a",COUNTIFS($B$2:$B$532,"Yes",$A$2:$A$532,"Neuron",$W$2:$W$532,$W189)&gt;1)
),"Yes","No"),
IF($A189="Cybernet",
IF(OR(
AND($Y189&lt;&gt;"",LOWER(TRIM($Y189))&lt;&gt;"n/a",COUNTIFS($B$2:$B$532,"Yes",$A$2:$A$532,"Cybernet",$Y$2:$Y$532,$Y189)&gt;1),
AND($Z189&lt;&gt;"",LOWER(TRIM($Z189))&lt;&gt;"n/a",COUNTIFS($B$2:$B$532,"Yes",$A$2:$A$532,"Cybernet",$Z$2:$Z$532,$Z189)&gt;1)
),"Yes","No"),
IF(AND($AL189&lt;&gt;"",LOWER(TRIM($AL189))&lt;&gt;"n/a"),
IF(COUNTIFS($B$2:$B$532,"Yes",$A$2:$A$532,$A189,$AL$2:$AL$532,$AL189)&gt;1,"Yes","No"),
"No")
)
)
)</f>
      </c>
      <c r="BL189">
        <f>IF($T189="","",IF((IF(AND($AW189&lt;&gt;"Yes",$AW189&lt;&gt;"N/A"),"Power Cable, ","")&amp;IF(AND($AX189&lt;&gt;"Yes",$AX189&lt;&gt;"N/A"),"Battery, ","")&amp;IF(AND($BE189&lt;&gt;"Yes",$BE189&lt;&gt;"N/A"),"Firmware Download, ","")&amp;IF(AND(OR($BE189="Yes",$BE189="N/A"),$BF189&lt;&gt;"Yes",$BF189&lt;&gt;"N/A"),"Firmware Install, ","")&amp;IF(AND($BJ189&lt;&gt;"Yes",$BJ189&lt;&gt;"N/A"),"Device ID, ","")&amp;IF(AND($BK189&lt;&gt;"Yes",$BK189&lt;&gt;"N/A"),"Epic Beans Relay, ",""))="","",LEFT(IF(AND($AW189&lt;&gt;"Yes",$AW189&lt;&gt;"N/A"),"Power Cable, ","")&amp;IF(AND($AX189&lt;&gt;"Yes",$AX189&lt;&gt;"N/A"),"Battery, ","")&amp;IF(AND($BE189&lt;&gt;"Yes",$BE189&lt;&gt;"N/A"),"Firmware Download, ","")&amp;IF(AND(OR($BE189="Yes",$BE189="N/A"),$BF189&lt;&gt;"Yes",$BF189&lt;&gt;"N/A"),"Firmware Install, ","")&amp;IF(AND($BJ189&lt;&gt;"Yes",$BJ189&lt;&gt;"N/A"),"Device ID, ","")&amp;IF(AND($BK189&lt;&gt;"Yes",$BK189&lt;&gt;"N/A"),"Epic Beans Relay, ",""),LEN(IF(AND($AW189&lt;&gt;"Yes",$AW189&lt;&gt;"N/A"),"Power Cable, ","")&amp;IF(AND($AX189&lt;&gt;"Yes",$AX189&lt;&gt;"N/A"),"Battery, ","")&amp;IF(AND($BE189&lt;&gt;"Yes",$BE189&lt;&gt;"N/A"),"Firmware Download, ","")&amp;IF(AND(OR($BE189="Yes",$BE189="N/A"),$BF189&lt;&gt;"Yes",$BF189&lt;&gt;"N/A"),"Firmware Install, ","")&amp;IF(AND($BJ189&lt;&gt;"Yes",$BJ189&lt;&gt;"N/A"),"Device ID, ","")&amp;IF(AND($BK189&lt;&gt;"Yes",$BK189&lt;&gt;"N/A"),"Epic Beans Relay, ",""))-2)))</f>
      </c>
      <c r="BM189">
        <f>IF($T189="","",IF($BL189="","Yes","Blocked"))</f>
      </c>
      <c r="BP189">
        <f>IF($BO189="","",IFERROR(VLOOKUP($BO189,'01_Warehouse_Ledger'!$A:$N,4,FALSE),""))</f>
      </c>
      <c r="BQ189">
        <f>IF($BO189="","",IFERROR(VLOOKUP($BO189,'01_Warehouse_Ledger'!$A:$N,5,FALSE),""))</f>
      </c>
      <c r="BR189">
        <f>IF($BO189="","",IFERROR(VLOOKUP($BO189,'01_Warehouse_Ledger'!$A:$N,13,FALSE),""))</f>
      </c>
    </row>
    <row r="190">
      <c r="D190">
        <f>IF($B190&lt;&gt;"Yes","",IF($C190="No","Yes",IF($C190="Yes","No","")))</f>
      </c>
      <c r="E190">
        <f>IF($A190="","",IF($A190="Neuron",IF(OR(AND($S190&lt;&gt;"",LOWER(TRIM($S190))&lt;&gt;"n/a",COUNTIF($S$2:$S$532,$S190)&gt;1),AND($T190&lt;&gt;"",LOWER(TRIM($T190))&lt;&gt;"n/a",COUNTIF($T$2:$T$532,$T190)&gt;1),AND($W190&lt;&gt;"",LOWER(TRIM($W190))&lt;&gt;"n/a",COUNTIF($W$2:$W$532,$W190)&gt;1)),"Yes","No"),IF($A190="Cybernet",IF(OR(AND($Y190&lt;&gt;"",LOWER(TRIM($Y190))&lt;&gt;"n/a",COUNTIF($Y$2:$Y$532,$Y190)&gt;1),AND($Z190&lt;&gt;"",LOWER(TRIM($Z190))&lt;&gt;"n/a",COUNTIF($Z$2:$Z$532,$Z190)&gt;1)),"Yes","No"),IF(AND($AL190&lt;&gt;"",LOWER(TRIM($AL190))&lt;&gt;"n/a",COUNTIF($AL$2:$AL$532,$AL190)&gt;1),"Yes","No"))))</f>
      </c>
      <c r="F190">
        <f>IF($B190&lt;&gt;"Yes","",
IF($A190="Neuron",
IF(OR(
AND($S190&lt;&gt;"",LOWER(TRIM($S190))&lt;&gt;"n/a",COUNTIFS($B$2:$B$532,"Yes",$A$2:$A$532,"Neuron",$S$2:$S$532,$S190)&gt;1),
AND($T190&lt;&gt;"",LOWER(TRIM($T190))&lt;&gt;"n/a",COUNTIFS($B$2:$B$532,"Yes",$A$2:$A$532,"Neuron",$T$2:$T$532,$T190)&gt;1),
AND($W190&lt;&gt;"",LOWER(TRIM($W190))&lt;&gt;"n/a",COUNTIFS($B$2:$B$532,"Yes",$A$2:$A$532,"Neuron",$W$2:$W$532,$W190)&gt;1)
),"Yes","No"),
IF($A190="Cybernet",
IF(OR(
AND($Y190&lt;&gt;"",LOWER(TRIM($Y190))&lt;&gt;"n/a",COUNTIFS($B$2:$B$532,"Yes",$A$2:$A$532,"Cybernet",$Y$2:$Y$532,$Y190)&gt;1),
AND($Z190&lt;&gt;"",LOWER(TRIM($Z190))&lt;&gt;"n/a",COUNTIFS($B$2:$B$532,"Yes",$A$2:$A$532,"Cybernet",$Z$2:$Z$532,$Z190)&gt;1)
),"Yes","No"),
IF(AND($AL190&lt;&gt;"",LOWER(TRIM($AL190))&lt;&gt;"n/a"),
IF(COUNTIFS($B$2:$B$532,"Yes",$A$2:$A$532,$A190,$AL$2:$AL$532,$AL190)&gt;1,"Yes","No"),
"No")
)
)
)</f>
      </c>
      <c r="BL190">
        <f>IF($T190="","",IF((IF(AND($AW190&lt;&gt;"Yes",$AW190&lt;&gt;"N/A"),"Power Cable, ","")&amp;IF(AND($AX190&lt;&gt;"Yes",$AX190&lt;&gt;"N/A"),"Battery, ","")&amp;IF(AND($BE190&lt;&gt;"Yes",$BE190&lt;&gt;"N/A"),"Firmware Download, ","")&amp;IF(AND(OR($BE190="Yes",$BE190="N/A"),$BF190&lt;&gt;"Yes",$BF190&lt;&gt;"N/A"),"Firmware Install, ","")&amp;IF(AND($BJ190&lt;&gt;"Yes",$BJ190&lt;&gt;"N/A"),"Device ID, ","")&amp;IF(AND($BK190&lt;&gt;"Yes",$BK190&lt;&gt;"N/A"),"Epic Beans Relay, ",""))="","",LEFT(IF(AND($AW190&lt;&gt;"Yes",$AW190&lt;&gt;"N/A"),"Power Cable, ","")&amp;IF(AND($AX190&lt;&gt;"Yes",$AX190&lt;&gt;"N/A"),"Battery, ","")&amp;IF(AND($BE190&lt;&gt;"Yes",$BE190&lt;&gt;"N/A"),"Firmware Download, ","")&amp;IF(AND(OR($BE190="Yes",$BE190="N/A"),$BF190&lt;&gt;"Yes",$BF190&lt;&gt;"N/A"),"Firmware Install, ","")&amp;IF(AND($BJ190&lt;&gt;"Yes",$BJ190&lt;&gt;"N/A"),"Device ID, ","")&amp;IF(AND($BK190&lt;&gt;"Yes",$BK190&lt;&gt;"N/A"),"Epic Beans Relay, ",""),LEN(IF(AND($AW190&lt;&gt;"Yes",$AW190&lt;&gt;"N/A"),"Power Cable, ","")&amp;IF(AND($AX190&lt;&gt;"Yes",$AX190&lt;&gt;"N/A"),"Battery, ","")&amp;IF(AND($BE190&lt;&gt;"Yes",$BE190&lt;&gt;"N/A"),"Firmware Download, ","")&amp;IF(AND(OR($BE190="Yes",$BE190="N/A"),$BF190&lt;&gt;"Yes",$BF190&lt;&gt;"N/A"),"Firmware Install, ","")&amp;IF(AND($BJ190&lt;&gt;"Yes",$BJ190&lt;&gt;"N/A"),"Device ID, ","")&amp;IF(AND($BK190&lt;&gt;"Yes",$BK190&lt;&gt;"N/A"),"Epic Beans Relay, ",""))-2)))</f>
      </c>
      <c r="BM190">
        <f>IF($T190="","",IF($BL190="","Yes","Blocked"))</f>
      </c>
      <c r="BP190">
        <f>IF($BO190="","",IFERROR(VLOOKUP($BO190,'01_Warehouse_Ledger'!$A:$N,4,FALSE),""))</f>
      </c>
      <c r="BQ190">
        <f>IF($BO190="","",IFERROR(VLOOKUP($BO190,'01_Warehouse_Ledger'!$A:$N,5,FALSE),""))</f>
      </c>
      <c r="BR190">
        <f>IF($BO190="","",IFERROR(VLOOKUP($BO190,'01_Warehouse_Ledger'!$A:$N,13,FALSE),""))</f>
      </c>
    </row>
    <row r="191">
      <c r="D191">
        <f>IF($B191&lt;&gt;"Yes","",IF($C191="No","Yes",IF($C191="Yes","No","")))</f>
      </c>
      <c r="E191">
        <f>IF($A191="","",IF($A191="Neuron",IF(OR(AND($S191&lt;&gt;"",LOWER(TRIM($S191))&lt;&gt;"n/a",COUNTIF($S$2:$S$532,$S191)&gt;1),AND($T191&lt;&gt;"",LOWER(TRIM($T191))&lt;&gt;"n/a",COUNTIF($T$2:$T$532,$T191)&gt;1),AND($W191&lt;&gt;"",LOWER(TRIM($W191))&lt;&gt;"n/a",COUNTIF($W$2:$W$532,$W191)&gt;1)),"Yes","No"),IF($A191="Cybernet",IF(OR(AND($Y191&lt;&gt;"",LOWER(TRIM($Y191))&lt;&gt;"n/a",COUNTIF($Y$2:$Y$532,$Y191)&gt;1),AND($Z191&lt;&gt;"",LOWER(TRIM($Z191))&lt;&gt;"n/a",COUNTIF($Z$2:$Z$532,$Z191)&gt;1)),"Yes","No"),IF(AND($AL191&lt;&gt;"",LOWER(TRIM($AL191))&lt;&gt;"n/a",COUNTIF($AL$2:$AL$532,$AL191)&gt;1),"Yes","No"))))</f>
      </c>
      <c r="F191">
        <f>IF($B191&lt;&gt;"Yes","",
IF($A191="Neuron",
IF(OR(
AND($S191&lt;&gt;"",LOWER(TRIM($S191))&lt;&gt;"n/a",COUNTIFS($B$2:$B$532,"Yes",$A$2:$A$532,"Neuron",$S$2:$S$532,$S191)&gt;1),
AND($T191&lt;&gt;"",LOWER(TRIM($T191))&lt;&gt;"n/a",COUNTIFS($B$2:$B$532,"Yes",$A$2:$A$532,"Neuron",$T$2:$T$532,$T191)&gt;1),
AND($W191&lt;&gt;"",LOWER(TRIM($W191))&lt;&gt;"n/a",COUNTIFS($B$2:$B$532,"Yes",$A$2:$A$532,"Neuron",$W$2:$W$532,$W191)&gt;1)
),"Yes","No"),
IF($A191="Cybernet",
IF(OR(
AND($Y191&lt;&gt;"",LOWER(TRIM($Y191))&lt;&gt;"n/a",COUNTIFS($B$2:$B$532,"Yes",$A$2:$A$532,"Cybernet",$Y$2:$Y$532,$Y191)&gt;1),
AND($Z191&lt;&gt;"",LOWER(TRIM($Z191))&lt;&gt;"n/a",COUNTIFS($B$2:$B$532,"Yes",$A$2:$A$532,"Cybernet",$Z$2:$Z$532,$Z191)&gt;1)
),"Yes","No"),
IF(AND($AL191&lt;&gt;"",LOWER(TRIM($AL191))&lt;&gt;"n/a"),
IF(COUNTIFS($B$2:$B$532,"Yes",$A$2:$A$532,$A191,$AL$2:$AL$532,$AL191)&gt;1,"Yes","No"),
"No")
)
)
)</f>
      </c>
      <c r="BL191">
        <f>IF($T191="","",IF((IF(AND($AW191&lt;&gt;"Yes",$AW191&lt;&gt;"N/A"),"Power Cable, ","")&amp;IF(AND($AX191&lt;&gt;"Yes",$AX191&lt;&gt;"N/A"),"Battery, ","")&amp;IF(AND($BE191&lt;&gt;"Yes",$BE191&lt;&gt;"N/A"),"Firmware Download, ","")&amp;IF(AND(OR($BE191="Yes",$BE191="N/A"),$BF191&lt;&gt;"Yes",$BF191&lt;&gt;"N/A"),"Firmware Install, ","")&amp;IF(AND($BJ191&lt;&gt;"Yes",$BJ191&lt;&gt;"N/A"),"Device ID, ","")&amp;IF(AND($BK191&lt;&gt;"Yes",$BK191&lt;&gt;"N/A"),"Epic Beans Relay, ",""))="","",LEFT(IF(AND($AW191&lt;&gt;"Yes",$AW191&lt;&gt;"N/A"),"Power Cable, ","")&amp;IF(AND($AX191&lt;&gt;"Yes",$AX191&lt;&gt;"N/A"),"Battery, ","")&amp;IF(AND($BE191&lt;&gt;"Yes",$BE191&lt;&gt;"N/A"),"Firmware Download, ","")&amp;IF(AND(OR($BE191="Yes",$BE191="N/A"),$BF191&lt;&gt;"Yes",$BF191&lt;&gt;"N/A"),"Firmware Install, ","")&amp;IF(AND($BJ191&lt;&gt;"Yes",$BJ191&lt;&gt;"N/A"),"Device ID, ","")&amp;IF(AND($BK191&lt;&gt;"Yes",$BK191&lt;&gt;"N/A"),"Epic Beans Relay, ",""),LEN(IF(AND($AW191&lt;&gt;"Yes",$AW191&lt;&gt;"N/A"),"Power Cable, ","")&amp;IF(AND($AX191&lt;&gt;"Yes",$AX191&lt;&gt;"N/A"),"Battery, ","")&amp;IF(AND($BE191&lt;&gt;"Yes",$BE191&lt;&gt;"N/A"),"Firmware Download, ","")&amp;IF(AND(OR($BE191="Yes",$BE191="N/A"),$BF191&lt;&gt;"Yes",$BF191&lt;&gt;"N/A"),"Firmware Install, ","")&amp;IF(AND($BJ191&lt;&gt;"Yes",$BJ191&lt;&gt;"N/A"),"Device ID, ","")&amp;IF(AND($BK191&lt;&gt;"Yes",$BK191&lt;&gt;"N/A"),"Epic Beans Relay, ",""))-2)))</f>
      </c>
      <c r="BM191">
        <f>IF($T191="","",IF($BL191="","Yes","Blocked"))</f>
      </c>
      <c r="BP191">
        <f>IF($BO191="","",IFERROR(VLOOKUP($BO191,'01_Warehouse_Ledger'!$A:$N,4,FALSE),""))</f>
      </c>
      <c r="BQ191">
        <f>IF($BO191="","",IFERROR(VLOOKUP($BO191,'01_Warehouse_Ledger'!$A:$N,5,FALSE),""))</f>
      </c>
      <c r="BR191">
        <f>IF($BO191="","",IFERROR(VLOOKUP($BO191,'01_Warehouse_Ledger'!$A:$N,13,FALSE),""))</f>
      </c>
    </row>
    <row r="192">
      <c r="D192">
        <f>IF($B192&lt;&gt;"Yes","",IF($C192="No","Yes",IF($C192="Yes","No","")))</f>
      </c>
      <c r="E192">
        <f>IF($A192="","",IF($A192="Neuron",IF(OR(AND($S192&lt;&gt;"",LOWER(TRIM($S192))&lt;&gt;"n/a",COUNTIF($S$2:$S$532,$S192)&gt;1),AND($T192&lt;&gt;"",LOWER(TRIM($T192))&lt;&gt;"n/a",COUNTIF($T$2:$T$532,$T192)&gt;1),AND($W192&lt;&gt;"",LOWER(TRIM($W192))&lt;&gt;"n/a",COUNTIF($W$2:$W$532,$W192)&gt;1)),"Yes","No"),IF($A192="Cybernet",IF(OR(AND($Y192&lt;&gt;"",LOWER(TRIM($Y192))&lt;&gt;"n/a",COUNTIF($Y$2:$Y$532,$Y192)&gt;1),AND($Z192&lt;&gt;"",LOWER(TRIM($Z192))&lt;&gt;"n/a",COUNTIF($Z$2:$Z$532,$Z192)&gt;1)),"Yes","No"),IF(AND($AL192&lt;&gt;"",LOWER(TRIM($AL192))&lt;&gt;"n/a",COUNTIF($AL$2:$AL$532,$AL192)&gt;1),"Yes","No"))))</f>
      </c>
      <c r="F192">
        <f>IF($B192&lt;&gt;"Yes","",
IF($A192="Neuron",
IF(OR(
AND($S192&lt;&gt;"",LOWER(TRIM($S192))&lt;&gt;"n/a",COUNTIFS($B$2:$B$532,"Yes",$A$2:$A$532,"Neuron",$S$2:$S$532,$S192)&gt;1),
AND($T192&lt;&gt;"",LOWER(TRIM($T192))&lt;&gt;"n/a",COUNTIFS($B$2:$B$532,"Yes",$A$2:$A$532,"Neuron",$T$2:$T$532,$T192)&gt;1),
AND($W192&lt;&gt;"",LOWER(TRIM($W192))&lt;&gt;"n/a",COUNTIFS($B$2:$B$532,"Yes",$A$2:$A$532,"Neuron",$W$2:$W$532,$W192)&gt;1)
),"Yes","No"),
IF($A192="Cybernet",
IF(OR(
AND($Y192&lt;&gt;"",LOWER(TRIM($Y192))&lt;&gt;"n/a",COUNTIFS($B$2:$B$532,"Yes",$A$2:$A$532,"Cybernet",$Y$2:$Y$532,$Y192)&gt;1),
AND($Z192&lt;&gt;"",LOWER(TRIM($Z192))&lt;&gt;"n/a",COUNTIFS($B$2:$B$532,"Yes",$A$2:$A$532,"Cybernet",$Z$2:$Z$532,$Z192)&gt;1)
),"Yes","No"),
IF(AND($AL192&lt;&gt;"",LOWER(TRIM($AL192))&lt;&gt;"n/a"),
IF(COUNTIFS($B$2:$B$532,"Yes",$A$2:$A$532,$A192,$AL$2:$AL$532,$AL192)&gt;1,"Yes","No"),
"No")
)
)
)</f>
      </c>
      <c r="BL192">
        <f>IF($T192="","",IF((IF(AND($AW192&lt;&gt;"Yes",$AW192&lt;&gt;"N/A"),"Power Cable, ","")&amp;IF(AND($AX192&lt;&gt;"Yes",$AX192&lt;&gt;"N/A"),"Battery, ","")&amp;IF(AND($BE192&lt;&gt;"Yes",$BE192&lt;&gt;"N/A"),"Firmware Download, ","")&amp;IF(AND(OR($BE192="Yes",$BE192="N/A"),$BF192&lt;&gt;"Yes",$BF192&lt;&gt;"N/A"),"Firmware Install, ","")&amp;IF(AND($BJ192&lt;&gt;"Yes",$BJ192&lt;&gt;"N/A"),"Device ID, ","")&amp;IF(AND($BK192&lt;&gt;"Yes",$BK192&lt;&gt;"N/A"),"Epic Beans Relay, ",""))="","",LEFT(IF(AND($AW192&lt;&gt;"Yes",$AW192&lt;&gt;"N/A"),"Power Cable, ","")&amp;IF(AND($AX192&lt;&gt;"Yes",$AX192&lt;&gt;"N/A"),"Battery, ","")&amp;IF(AND($BE192&lt;&gt;"Yes",$BE192&lt;&gt;"N/A"),"Firmware Download, ","")&amp;IF(AND(OR($BE192="Yes",$BE192="N/A"),$BF192&lt;&gt;"Yes",$BF192&lt;&gt;"N/A"),"Firmware Install, ","")&amp;IF(AND($BJ192&lt;&gt;"Yes",$BJ192&lt;&gt;"N/A"),"Device ID, ","")&amp;IF(AND($BK192&lt;&gt;"Yes",$BK192&lt;&gt;"N/A"),"Epic Beans Relay, ",""),LEN(IF(AND($AW192&lt;&gt;"Yes",$AW192&lt;&gt;"N/A"),"Power Cable, ","")&amp;IF(AND($AX192&lt;&gt;"Yes",$AX192&lt;&gt;"N/A"),"Battery, ","")&amp;IF(AND($BE192&lt;&gt;"Yes",$BE192&lt;&gt;"N/A"),"Firmware Download, ","")&amp;IF(AND(OR($BE192="Yes",$BE192="N/A"),$BF192&lt;&gt;"Yes",$BF192&lt;&gt;"N/A"),"Firmware Install, ","")&amp;IF(AND($BJ192&lt;&gt;"Yes",$BJ192&lt;&gt;"N/A"),"Device ID, ","")&amp;IF(AND($BK192&lt;&gt;"Yes",$BK192&lt;&gt;"N/A"),"Epic Beans Relay, ",""))-2)))</f>
      </c>
      <c r="BM192">
        <f>IF($T192="","",IF($BL192="","Yes","Blocked"))</f>
      </c>
      <c r="BP192">
        <f>IF($BO192="","",IFERROR(VLOOKUP($BO192,'01_Warehouse_Ledger'!$A:$N,4,FALSE),""))</f>
      </c>
      <c r="BQ192">
        <f>IF($BO192="","",IFERROR(VLOOKUP($BO192,'01_Warehouse_Ledger'!$A:$N,5,FALSE),""))</f>
      </c>
      <c r="BR192">
        <f>IF($BO192="","",IFERROR(VLOOKUP($BO192,'01_Warehouse_Ledger'!$A:$N,13,FALSE),""))</f>
      </c>
    </row>
    <row r="193">
      <c r="D193">
        <f>IF($B193&lt;&gt;"Yes","",IF($C193="No","Yes",IF($C193="Yes","No","")))</f>
      </c>
      <c r="E193">
        <f>IF($A193="","",IF($A193="Neuron",IF(OR(AND($S193&lt;&gt;"",LOWER(TRIM($S193))&lt;&gt;"n/a",COUNTIF($S$2:$S$532,$S193)&gt;1),AND($T193&lt;&gt;"",LOWER(TRIM($T193))&lt;&gt;"n/a",COUNTIF($T$2:$T$532,$T193)&gt;1),AND($W193&lt;&gt;"",LOWER(TRIM($W193))&lt;&gt;"n/a",COUNTIF($W$2:$W$532,$W193)&gt;1)),"Yes","No"),IF($A193="Cybernet",IF(OR(AND($Y193&lt;&gt;"",LOWER(TRIM($Y193))&lt;&gt;"n/a",COUNTIF($Y$2:$Y$532,$Y193)&gt;1),AND($Z193&lt;&gt;"",LOWER(TRIM($Z193))&lt;&gt;"n/a",COUNTIF($Z$2:$Z$532,$Z193)&gt;1)),"Yes","No"),IF(AND($AL193&lt;&gt;"",LOWER(TRIM($AL193))&lt;&gt;"n/a",COUNTIF($AL$2:$AL$532,$AL193)&gt;1),"Yes","No"))))</f>
      </c>
      <c r="F193">
        <f>IF($B193&lt;&gt;"Yes","",
IF($A193="Neuron",
IF(OR(
AND($S193&lt;&gt;"",LOWER(TRIM($S193))&lt;&gt;"n/a",COUNTIFS($B$2:$B$532,"Yes",$A$2:$A$532,"Neuron",$S$2:$S$532,$S193)&gt;1),
AND($T193&lt;&gt;"",LOWER(TRIM($T193))&lt;&gt;"n/a",COUNTIFS($B$2:$B$532,"Yes",$A$2:$A$532,"Neuron",$T$2:$T$532,$T193)&gt;1),
AND($W193&lt;&gt;"",LOWER(TRIM($W193))&lt;&gt;"n/a",COUNTIFS($B$2:$B$532,"Yes",$A$2:$A$532,"Neuron",$W$2:$W$532,$W193)&gt;1)
),"Yes","No"),
IF($A193="Cybernet",
IF(OR(
AND($Y193&lt;&gt;"",LOWER(TRIM($Y193))&lt;&gt;"n/a",COUNTIFS($B$2:$B$532,"Yes",$A$2:$A$532,"Cybernet",$Y$2:$Y$532,$Y193)&gt;1),
AND($Z193&lt;&gt;"",LOWER(TRIM($Z193))&lt;&gt;"n/a",COUNTIFS($B$2:$B$532,"Yes",$A$2:$A$532,"Cybernet",$Z$2:$Z$532,$Z193)&gt;1)
),"Yes","No"),
IF(AND($AL193&lt;&gt;"",LOWER(TRIM($AL193))&lt;&gt;"n/a"),
IF(COUNTIFS($B$2:$B$532,"Yes",$A$2:$A$532,$A193,$AL$2:$AL$532,$AL193)&gt;1,"Yes","No"),
"No")
)
)
)</f>
      </c>
      <c r="BL193">
        <f>IF($T193="","",IF((IF(AND($AW193&lt;&gt;"Yes",$AW193&lt;&gt;"N/A"),"Power Cable, ","")&amp;IF(AND($AX193&lt;&gt;"Yes",$AX193&lt;&gt;"N/A"),"Battery, ","")&amp;IF(AND($BE193&lt;&gt;"Yes",$BE193&lt;&gt;"N/A"),"Firmware Download, ","")&amp;IF(AND(OR($BE193="Yes",$BE193="N/A"),$BF193&lt;&gt;"Yes",$BF193&lt;&gt;"N/A"),"Firmware Install, ","")&amp;IF(AND($BJ193&lt;&gt;"Yes",$BJ193&lt;&gt;"N/A"),"Device ID, ","")&amp;IF(AND($BK193&lt;&gt;"Yes",$BK193&lt;&gt;"N/A"),"Epic Beans Relay, ",""))="","",LEFT(IF(AND($AW193&lt;&gt;"Yes",$AW193&lt;&gt;"N/A"),"Power Cable, ","")&amp;IF(AND($AX193&lt;&gt;"Yes",$AX193&lt;&gt;"N/A"),"Battery, ","")&amp;IF(AND($BE193&lt;&gt;"Yes",$BE193&lt;&gt;"N/A"),"Firmware Download, ","")&amp;IF(AND(OR($BE193="Yes",$BE193="N/A"),$BF193&lt;&gt;"Yes",$BF193&lt;&gt;"N/A"),"Firmware Install, ","")&amp;IF(AND($BJ193&lt;&gt;"Yes",$BJ193&lt;&gt;"N/A"),"Device ID, ","")&amp;IF(AND($BK193&lt;&gt;"Yes",$BK193&lt;&gt;"N/A"),"Epic Beans Relay, ",""),LEN(IF(AND($AW193&lt;&gt;"Yes",$AW193&lt;&gt;"N/A"),"Power Cable, ","")&amp;IF(AND($AX193&lt;&gt;"Yes",$AX193&lt;&gt;"N/A"),"Battery, ","")&amp;IF(AND($BE193&lt;&gt;"Yes",$BE193&lt;&gt;"N/A"),"Firmware Download, ","")&amp;IF(AND(OR($BE193="Yes",$BE193="N/A"),$BF193&lt;&gt;"Yes",$BF193&lt;&gt;"N/A"),"Firmware Install, ","")&amp;IF(AND($BJ193&lt;&gt;"Yes",$BJ193&lt;&gt;"N/A"),"Device ID, ","")&amp;IF(AND($BK193&lt;&gt;"Yes",$BK193&lt;&gt;"N/A"),"Epic Beans Relay, ",""))-2)))</f>
      </c>
      <c r="BM193">
        <f>IF($T193="","",IF($BL193="","Yes","Blocked"))</f>
      </c>
      <c r="BP193">
        <f>IF($BO193="","",IFERROR(VLOOKUP($BO193,'01_Warehouse_Ledger'!$A:$N,4,FALSE),""))</f>
      </c>
      <c r="BQ193">
        <f>IF($BO193="","",IFERROR(VLOOKUP($BO193,'01_Warehouse_Ledger'!$A:$N,5,FALSE),""))</f>
      </c>
      <c r="BR193">
        <f>IF($BO193="","",IFERROR(VLOOKUP($BO193,'01_Warehouse_Ledger'!$A:$N,13,FALSE),""))</f>
      </c>
    </row>
    <row r="194">
      <c r="D194">
        <f>IF($B194&lt;&gt;"Yes","",IF($C194="No","Yes",IF($C194="Yes","No","")))</f>
      </c>
      <c r="E194">
        <f>IF($A194="","",IF($A194="Neuron",IF(OR(AND($S194&lt;&gt;"",LOWER(TRIM($S194))&lt;&gt;"n/a",COUNTIF($S$2:$S$532,$S194)&gt;1),AND($T194&lt;&gt;"",LOWER(TRIM($T194))&lt;&gt;"n/a",COUNTIF($T$2:$T$532,$T194)&gt;1),AND($W194&lt;&gt;"",LOWER(TRIM($W194))&lt;&gt;"n/a",COUNTIF($W$2:$W$532,$W194)&gt;1)),"Yes","No"),IF($A194="Cybernet",IF(OR(AND($Y194&lt;&gt;"",LOWER(TRIM($Y194))&lt;&gt;"n/a",COUNTIF($Y$2:$Y$532,$Y194)&gt;1),AND($Z194&lt;&gt;"",LOWER(TRIM($Z194))&lt;&gt;"n/a",COUNTIF($Z$2:$Z$532,$Z194)&gt;1)),"Yes","No"),IF(AND($AL194&lt;&gt;"",LOWER(TRIM($AL194))&lt;&gt;"n/a",COUNTIF($AL$2:$AL$532,$AL194)&gt;1),"Yes","No"))))</f>
      </c>
      <c r="F194">
        <f>IF($B194&lt;&gt;"Yes","",
IF($A194="Neuron",
IF(OR(
AND($S194&lt;&gt;"",LOWER(TRIM($S194))&lt;&gt;"n/a",COUNTIFS($B$2:$B$532,"Yes",$A$2:$A$532,"Neuron",$S$2:$S$532,$S194)&gt;1),
AND($T194&lt;&gt;"",LOWER(TRIM($T194))&lt;&gt;"n/a",COUNTIFS($B$2:$B$532,"Yes",$A$2:$A$532,"Neuron",$T$2:$T$532,$T194)&gt;1),
AND($W194&lt;&gt;"",LOWER(TRIM($W194))&lt;&gt;"n/a",COUNTIFS($B$2:$B$532,"Yes",$A$2:$A$532,"Neuron",$W$2:$W$532,$W194)&gt;1)
),"Yes","No"),
IF($A194="Cybernet",
IF(OR(
AND($Y194&lt;&gt;"",LOWER(TRIM($Y194))&lt;&gt;"n/a",COUNTIFS($B$2:$B$532,"Yes",$A$2:$A$532,"Cybernet",$Y$2:$Y$532,$Y194)&gt;1),
AND($Z194&lt;&gt;"",LOWER(TRIM($Z194))&lt;&gt;"n/a",COUNTIFS($B$2:$B$532,"Yes",$A$2:$A$532,"Cybernet",$Z$2:$Z$532,$Z194)&gt;1)
),"Yes","No"),
IF(AND($AL194&lt;&gt;"",LOWER(TRIM($AL194))&lt;&gt;"n/a"),
IF(COUNTIFS($B$2:$B$532,"Yes",$A$2:$A$532,$A194,$AL$2:$AL$532,$AL194)&gt;1,"Yes","No"),
"No")
)
)
)</f>
      </c>
      <c r="BL194">
        <f>IF($T194="","",IF((IF(AND($AW194&lt;&gt;"Yes",$AW194&lt;&gt;"N/A"),"Power Cable, ","")&amp;IF(AND($AX194&lt;&gt;"Yes",$AX194&lt;&gt;"N/A"),"Battery, ","")&amp;IF(AND($BE194&lt;&gt;"Yes",$BE194&lt;&gt;"N/A"),"Firmware Download, ","")&amp;IF(AND(OR($BE194="Yes",$BE194="N/A"),$BF194&lt;&gt;"Yes",$BF194&lt;&gt;"N/A"),"Firmware Install, ","")&amp;IF(AND($BJ194&lt;&gt;"Yes",$BJ194&lt;&gt;"N/A"),"Device ID, ","")&amp;IF(AND($BK194&lt;&gt;"Yes",$BK194&lt;&gt;"N/A"),"Epic Beans Relay, ",""))="","",LEFT(IF(AND($AW194&lt;&gt;"Yes",$AW194&lt;&gt;"N/A"),"Power Cable, ","")&amp;IF(AND($AX194&lt;&gt;"Yes",$AX194&lt;&gt;"N/A"),"Battery, ","")&amp;IF(AND($BE194&lt;&gt;"Yes",$BE194&lt;&gt;"N/A"),"Firmware Download, ","")&amp;IF(AND(OR($BE194="Yes",$BE194="N/A"),$BF194&lt;&gt;"Yes",$BF194&lt;&gt;"N/A"),"Firmware Install, ","")&amp;IF(AND($BJ194&lt;&gt;"Yes",$BJ194&lt;&gt;"N/A"),"Device ID, ","")&amp;IF(AND($BK194&lt;&gt;"Yes",$BK194&lt;&gt;"N/A"),"Epic Beans Relay, ",""),LEN(IF(AND($AW194&lt;&gt;"Yes",$AW194&lt;&gt;"N/A"),"Power Cable, ","")&amp;IF(AND($AX194&lt;&gt;"Yes",$AX194&lt;&gt;"N/A"),"Battery, ","")&amp;IF(AND($BE194&lt;&gt;"Yes",$BE194&lt;&gt;"N/A"),"Firmware Download, ","")&amp;IF(AND(OR($BE194="Yes",$BE194="N/A"),$BF194&lt;&gt;"Yes",$BF194&lt;&gt;"N/A"),"Firmware Install, ","")&amp;IF(AND($BJ194&lt;&gt;"Yes",$BJ194&lt;&gt;"N/A"),"Device ID, ","")&amp;IF(AND($BK194&lt;&gt;"Yes",$BK194&lt;&gt;"N/A"),"Epic Beans Relay, ",""))-2)))</f>
      </c>
      <c r="BM194">
        <f>IF($T194="","",IF($BL194="","Yes","Blocked"))</f>
      </c>
      <c r="BP194">
        <f>IF($BO194="","",IFERROR(VLOOKUP($BO194,'01_Warehouse_Ledger'!$A:$N,4,FALSE),""))</f>
      </c>
      <c r="BQ194">
        <f>IF($BO194="","",IFERROR(VLOOKUP($BO194,'01_Warehouse_Ledger'!$A:$N,5,FALSE),""))</f>
      </c>
      <c r="BR194">
        <f>IF($BO194="","",IFERROR(VLOOKUP($BO194,'01_Warehouse_Ledger'!$A:$N,13,FALSE),""))</f>
      </c>
    </row>
    <row r="195">
      <c r="D195">
        <f>IF($B195&lt;&gt;"Yes","",IF($C195="No","Yes",IF($C195="Yes","No","")))</f>
      </c>
      <c r="E195">
        <f>IF($A195="","",IF($A195="Neuron",IF(OR(AND($S195&lt;&gt;"",LOWER(TRIM($S195))&lt;&gt;"n/a",COUNTIF($S$2:$S$532,$S195)&gt;1),AND($T195&lt;&gt;"",LOWER(TRIM($T195))&lt;&gt;"n/a",COUNTIF($T$2:$T$532,$T195)&gt;1),AND($W195&lt;&gt;"",LOWER(TRIM($W195))&lt;&gt;"n/a",COUNTIF($W$2:$W$532,$W195)&gt;1)),"Yes","No"),IF($A195="Cybernet",IF(OR(AND($Y195&lt;&gt;"",LOWER(TRIM($Y195))&lt;&gt;"n/a",COUNTIF($Y$2:$Y$532,$Y195)&gt;1),AND($Z195&lt;&gt;"",LOWER(TRIM($Z195))&lt;&gt;"n/a",COUNTIF($Z$2:$Z$532,$Z195)&gt;1)),"Yes","No"),IF(AND($AL195&lt;&gt;"",LOWER(TRIM($AL195))&lt;&gt;"n/a",COUNTIF($AL$2:$AL$532,$AL195)&gt;1),"Yes","No"))))</f>
      </c>
      <c r="F195">
        <f>IF($B195&lt;&gt;"Yes","",
IF($A195="Neuron",
IF(OR(
AND($S195&lt;&gt;"",LOWER(TRIM($S195))&lt;&gt;"n/a",COUNTIFS($B$2:$B$532,"Yes",$A$2:$A$532,"Neuron",$S$2:$S$532,$S195)&gt;1),
AND($T195&lt;&gt;"",LOWER(TRIM($T195))&lt;&gt;"n/a",COUNTIFS($B$2:$B$532,"Yes",$A$2:$A$532,"Neuron",$T$2:$T$532,$T195)&gt;1),
AND($W195&lt;&gt;"",LOWER(TRIM($W195))&lt;&gt;"n/a",COUNTIFS($B$2:$B$532,"Yes",$A$2:$A$532,"Neuron",$W$2:$W$532,$W195)&gt;1)
),"Yes","No"),
IF($A195="Cybernet",
IF(OR(
AND($Y195&lt;&gt;"",LOWER(TRIM($Y195))&lt;&gt;"n/a",COUNTIFS($B$2:$B$532,"Yes",$A$2:$A$532,"Cybernet",$Y$2:$Y$532,$Y195)&gt;1),
AND($Z195&lt;&gt;"",LOWER(TRIM($Z195))&lt;&gt;"n/a",COUNTIFS($B$2:$B$532,"Yes",$A$2:$A$532,"Cybernet",$Z$2:$Z$532,$Z195)&gt;1)
),"Yes","No"),
IF(AND($AL195&lt;&gt;"",LOWER(TRIM($AL195))&lt;&gt;"n/a"),
IF(COUNTIFS($B$2:$B$532,"Yes",$A$2:$A$532,$A195,$AL$2:$AL$532,$AL195)&gt;1,"Yes","No"),
"No")
)
)
)</f>
      </c>
      <c r="BL195">
        <f>IF($T195="","",IF((IF(AND($AW195&lt;&gt;"Yes",$AW195&lt;&gt;"N/A"),"Power Cable, ","")&amp;IF(AND($AX195&lt;&gt;"Yes",$AX195&lt;&gt;"N/A"),"Battery, ","")&amp;IF(AND($BE195&lt;&gt;"Yes",$BE195&lt;&gt;"N/A"),"Firmware Download, ","")&amp;IF(AND(OR($BE195="Yes",$BE195="N/A"),$BF195&lt;&gt;"Yes",$BF195&lt;&gt;"N/A"),"Firmware Install, ","")&amp;IF(AND($BJ195&lt;&gt;"Yes",$BJ195&lt;&gt;"N/A"),"Device ID, ","")&amp;IF(AND($BK195&lt;&gt;"Yes",$BK195&lt;&gt;"N/A"),"Epic Beans Relay, ",""))="","",LEFT(IF(AND($AW195&lt;&gt;"Yes",$AW195&lt;&gt;"N/A"),"Power Cable, ","")&amp;IF(AND($AX195&lt;&gt;"Yes",$AX195&lt;&gt;"N/A"),"Battery, ","")&amp;IF(AND($BE195&lt;&gt;"Yes",$BE195&lt;&gt;"N/A"),"Firmware Download, ","")&amp;IF(AND(OR($BE195="Yes",$BE195="N/A"),$BF195&lt;&gt;"Yes",$BF195&lt;&gt;"N/A"),"Firmware Install, ","")&amp;IF(AND($BJ195&lt;&gt;"Yes",$BJ195&lt;&gt;"N/A"),"Device ID, ","")&amp;IF(AND($BK195&lt;&gt;"Yes",$BK195&lt;&gt;"N/A"),"Epic Beans Relay, ",""),LEN(IF(AND($AW195&lt;&gt;"Yes",$AW195&lt;&gt;"N/A"),"Power Cable, ","")&amp;IF(AND($AX195&lt;&gt;"Yes",$AX195&lt;&gt;"N/A"),"Battery, ","")&amp;IF(AND($BE195&lt;&gt;"Yes",$BE195&lt;&gt;"N/A"),"Firmware Download, ","")&amp;IF(AND(OR($BE195="Yes",$BE195="N/A"),$BF195&lt;&gt;"Yes",$BF195&lt;&gt;"N/A"),"Firmware Install, ","")&amp;IF(AND($BJ195&lt;&gt;"Yes",$BJ195&lt;&gt;"N/A"),"Device ID, ","")&amp;IF(AND($BK195&lt;&gt;"Yes",$BK195&lt;&gt;"N/A"),"Epic Beans Relay, ",""))-2)))</f>
      </c>
      <c r="BM195">
        <f>IF($T195="","",IF($BL195="","Yes","Blocked"))</f>
      </c>
      <c r="BP195">
        <f>IF($BO195="","",IFERROR(VLOOKUP($BO195,'01_Warehouse_Ledger'!$A:$N,4,FALSE),""))</f>
      </c>
      <c r="BQ195">
        <f>IF($BO195="","",IFERROR(VLOOKUP($BO195,'01_Warehouse_Ledger'!$A:$N,5,FALSE),""))</f>
      </c>
      <c r="BR195">
        <f>IF($BO195="","",IFERROR(VLOOKUP($BO195,'01_Warehouse_Ledger'!$A:$N,13,FALSE),""))</f>
      </c>
    </row>
    <row r="196">
      <c r="D196">
        <f>IF($B196&lt;&gt;"Yes","",IF($C196="No","Yes",IF($C196="Yes","No","")))</f>
      </c>
      <c r="E196">
        <f>IF($A196="","",IF($A196="Neuron",IF(OR(AND($S196&lt;&gt;"",LOWER(TRIM($S196))&lt;&gt;"n/a",COUNTIF($S$2:$S$532,$S196)&gt;1),AND($T196&lt;&gt;"",LOWER(TRIM($T196))&lt;&gt;"n/a",COUNTIF($T$2:$T$532,$T196)&gt;1),AND($W196&lt;&gt;"",LOWER(TRIM($W196))&lt;&gt;"n/a",COUNTIF($W$2:$W$532,$W196)&gt;1)),"Yes","No"),IF($A196="Cybernet",IF(OR(AND($Y196&lt;&gt;"",LOWER(TRIM($Y196))&lt;&gt;"n/a",COUNTIF($Y$2:$Y$532,$Y196)&gt;1),AND($Z196&lt;&gt;"",LOWER(TRIM($Z196))&lt;&gt;"n/a",COUNTIF($Z$2:$Z$532,$Z196)&gt;1)),"Yes","No"),IF(AND($AL196&lt;&gt;"",LOWER(TRIM($AL196))&lt;&gt;"n/a",COUNTIF($AL$2:$AL$532,$AL196)&gt;1),"Yes","No"))))</f>
      </c>
      <c r="F196">
        <f>IF($B196&lt;&gt;"Yes","",
IF($A196="Neuron",
IF(OR(
AND($S196&lt;&gt;"",LOWER(TRIM($S196))&lt;&gt;"n/a",COUNTIFS($B$2:$B$532,"Yes",$A$2:$A$532,"Neuron",$S$2:$S$532,$S196)&gt;1),
AND($T196&lt;&gt;"",LOWER(TRIM($T196))&lt;&gt;"n/a",COUNTIFS($B$2:$B$532,"Yes",$A$2:$A$532,"Neuron",$T$2:$T$532,$T196)&gt;1),
AND($W196&lt;&gt;"",LOWER(TRIM($W196))&lt;&gt;"n/a",COUNTIFS($B$2:$B$532,"Yes",$A$2:$A$532,"Neuron",$W$2:$W$532,$W196)&gt;1)
),"Yes","No"),
IF($A196="Cybernet",
IF(OR(
AND($Y196&lt;&gt;"",LOWER(TRIM($Y196))&lt;&gt;"n/a",COUNTIFS($B$2:$B$532,"Yes",$A$2:$A$532,"Cybernet",$Y$2:$Y$532,$Y196)&gt;1),
AND($Z196&lt;&gt;"",LOWER(TRIM($Z196))&lt;&gt;"n/a",COUNTIFS($B$2:$B$532,"Yes",$A$2:$A$532,"Cybernet",$Z$2:$Z$532,$Z196)&gt;1)
),"Yes","No"),
IF(AND($AL196&lt;&gt;"",LOWER(TRIM($AL196))&lt;&gt;"n/a"),
IF(COUNTIFS($B$2:$B$532,"Yes",$A$2:$A$532,$A196,$AL$2:$AL$532,$AL196)&gt;1,"Yes","No"),
"No")
)
)
)</f>
      </c>
      <c r="BL196">
        <f>IF($T196="","",IF((IF(AND($AW196&lt;&gt;"Yes",$AW196&lt;&gt;"N/A"),"Power Cable, ","")&amp;IF(AND($AX196&lt;&gt;"Yes",$AX196&lt;&gt;"N/A"),"Battery, ","")&amp;IF(AND($BE196&lt;&gt;"Yes",$BE196&lt;&gt;"N/A"),"Firmware Download, ","")&amp;IF(AND(OR($BE196="Yes",$BE196="N/A"),$BF196&lt;&gt;"Yes",$BF196&lt;&gt;"N/A"),"Firmware Install, ","")&amp;IF(AND($BJ196&lt;&gt;"Yes",$BJ196&lt;&gt;"N/A"),"Device ID, ","")&amp;IF(AND($BK196&lt;&gt;"Yes",$BK196&lt;&gt;"N/A"),"Epic Beans Relay, ",""))="","",LEFT(IF(AND($AW196&lt;&gt;"Yes",$AW196&lt;&gt;"N/A"),"Power Cable, ","")&amp;IF(AND($AX196&lt;&gt;"Yes",$AX196&lt;&gt;"N/A"),"Battery, ","")&amp;IF(AND($BE196&lt;&gt;"Yes",$BE196&lt;&gt;"N/A"),"Firmware Download, ","")&amp;IF(AND(OR($BE196="Yes",$BE196="N/A"),$BF196&lt;&gt;"Yes",$BF196&lt;&gt;"N/A"),"Firmware Install, ","")&amp;IF(AND($BJ196&lt;&gt;"Yes",$BJ196&lt;&gt;"N/A"),"Device ID, ","")&amp;IF(AND($BK196&lt;&gt;"Yes",$BK196&lt;&gt;"N/A"),"Epic Beans Relay, ",""),LEN(IF(AND($AW196&lt;&gt;"Yes",$AW196&lt;&gt;"N/A"),"Power Cable, ","")&amp;IF(AND($AX196&lt;&gt;"Yes",$AX196&lt;&gt;"N/A"),"Battery, ","")&amp;IF(AND($BE196&lt;&gt;"Yes",$BE196&lt;&gt;"N/A"),"Firmware Download, ","")&amp;IF(AND(OR($BE196="Yes",$BE196="N/A"),$BF196&lt;&gt;"Yes",$BF196&lt;&gt;"N/A"),"Firmware Install, ","")&amp;IF(AND($BJ196&lt;&gt;"Yes",$BJ196&lt;&gt;"N/A"),"Device ID, ","")&amp;IF(AND($BK196&lt;&gt;"Yes",$BK196&lt;&gt;"N/A"),"Epic Beans Relay, ",""))-2)))</f>
      </c>
      <c r="BM196">
        <f>IF($T196="","",IF($BL196="","Yes","Blocked"))</f>
      </c>
      <c r="BP196">
        <f>IF($BO196="","",IFERROR(VLOOKUP($BO196,'01_Warehouse_Ledger'!$A:$N,4,FALSE),""))</f>
      </c>
      <c r="BQ196">
        <f>IF($BO196="","",IFERROR(VLOOKUP($BO196,'01_Warehouse_Ledger'!$A:$N,5,FALSE),""))</f>
      </c>
      <c r="BR196">
        <f>IF($BO196="","",IFERROR(VLOOKUP($BO196,'01_Warehouse_Ledger'!$A:$N,13,FALSE),""))</f>
      </c>
    </row>
    <row r="197">
      <c r="D197">
        <f>IF($B197&lt;&gt;"Yes","",IF($C197="No","Yes",IF($C197="Yes","No","")))</f>
      </c>
      <c r="E197">
        <f>IF($A197="","",IF($A197="Neuron",IF(OR(AND($S197&lt;&gt;"",LOWER(TRIM($S197))&lt;&gt;"n/a",COUNTIF($S$2:$S$532,$S197)&gt;1),AND($T197&lt;&gt;"",LOWER(TRIM($T197))&lt;&gt;"n/a",COUNTIF($T$2:$T$532,$T197)&gt;1),AND($W197&lt;&gt;"",LOWER(TRIM($W197))&lt;&gt;"n/a",COUNTIF($W$2:$W$532,$W197)&gt;1)),"Yes","No"),IF($A197="Cybernet",IF(OR(AND($Y197&lt;&gt;"",LOWER(TRIM($Y197))&lt;&gt;"n/a",COUNTIF($Y$2:$Y$532,$Y197)&gt;1),AND($Z197&lt;&gt;"",LOWER(TRIM($Z197))&lt;&gt;"n/a",COUNTIF($Z$2:$Z$532,$Z197)&gt;1)),"Yes","No"),IF(AND($AL197&lt;&gt;"",LOWER(TRIM($AL197))&lt;&gt;"n/a",COUNTIF($AL$2:$AL$532,$AL197)&gt;1),"Yes","No"))))</f>
      </c>
      <c r="F197">
        <f>IF($B197&lt;&gt;"Yes","",
IF($A197="Neuron",
IF(OR(
AND($S197&lt;&gt;"",LOWER(TRIM($S197))&lt;&gt;"n/a",COUNTIFS($B$2:$B$532,"Yes",$A$2:$A$532,"Neuron",$S$2:$S$532,$S197)&gt;1),
AND($T197&lt;&gt;"",LOWER(TRIM($T197))&lt;&gt;"n/a",COUNTIFS($B$2:$B$532,"Yes",$A$2:$A$532,"Neuron",$T$2:$T$532,$T197)&gt;1),
AND($W197&lt;&gt;"",LOWER(TRIM($W197))&lt;&gt;"n/a",COUNTIFS($B$2:$B$532,"Yes",$A$2:$A$532,"Neuron",$W$2:$W$532,$W197)&gt;1)
),"Yes","No"),
IF($A197="Cybernet",
IF(OR(
AND($Y197&lt;&gt;"",LOWER(TRIM($Y197))&lt;&gt;"n/a",COUNTIFS($B$2:$B$532,"Yes",$A$2:$A$532,"Cybernet",$Y$2:$Y$532,$Y197)&gt;1),
AND($Z197&lt;&gt;"",LOWER(TRIM($Z197))&lt;&gt;"n/a",COUNTIFS($B$2:$B$532,"Yes",$A$2:$A$532,"Cybernet",$Z$2:$Z$532,$Z197)&gt;1)
),"Yes","No"),
IF(AND($AL197&lt;&gt;"",LOWER(TRIM($AL197))&lt;&gt;"n/a"),
IF(COUNTIFS($B$2:$B$532,"Yes",$A$2:$A$532,$A197,$AL$2:$AL$532,$AL197)&gt;1,"Yes","No"),
"No")
)
)
)</f>
      </c>
      <c r="BL197">
        <f>IF($T197="","",IF((IF(AND($AW197&lt;&gt;"Yes",$AW197&lt;&gt;"N/A"),"Power Cable, ","")&amp;IF(AND($AX197&lt;&gt;"Yes",$AX197&lt;&gt;"N/A"),"Battery, ","")&amp;IF(AND($BE197&lt;&gt;"Yes",$BE197&lt;&gt;"N/A"),"Firmware Download, ","")&amp;IF(AND(OR($BE197="Yes",$BE197="N/A"),$BF197&lt;&gt;"Yes",$BF197&lt;&gt;"N/A"),"Firmware Install, ","")&amp;IF(AND($BJ197&lt;&gt;"Yes",$BJ197&lt;&gt;"N/A"),"Device ID, ","")&amp;IF(AND($BK197&lt;&gt;"Yes",$BK197&lt;&gt;"N/A"),"Epic Beans Relay, ",""))="","",LEFT(IF(AND($AW197&lt;&gt;"Yes",$AW197&lt;&gt;"N/A"),"Power Cable, ","")&amp;IF(AND($AX197&lt;&gt;"Yes",$AX197&lt;&gt;"N/A"),"Battery, ","")&amp;IF(AND($BE197&lt;&gt;"Yes",$BE197&lt;&gt;"N/A"),"Firmware Download, ","")&amp;IF(AND(OR($BE197="Yes",$BE197="N/A"),$BF197&lt;&gt;"Yes",$BF197&lt;&gt;"N/A"),"Firmware Install, ","")&amp;IF(AND($BJ197&lt;&gt;"Yes",$BJ197&lt;&gt;"N/A"),"Device ID, ","")&amp;IF(AND($BK197&lt;&gt;"Yes",$BK197&lt;&gt;"N/A"),"Epic Beans Relay, ",""),LEN(IF(AND($AW197&lt;&gt;"Yes",$AW197&lt;&gt;"N/A"),"Power Cable, ","")&amp;IF(AND($AX197&lt;&gt;"Yes",$AX197&lt;&gt;"N/A"),"Battery, ","")&amp;IF(AND($BE197&lt;&gt;"Yes",$BE197&lt;&gt;"N/A"),"Firmware Download, ","")&amp;IF(AND(OR($BE197="Yes",$BE197="N/A"),$BF197&lt;&gt;"Yes",$BF197&lt;&gt;"N/A"),"Firmware Install, ","")&amp;IF(AND($BJ197&lt;&gt;"Yes",$BJ197&lt;&gt;"N/A"),"Device ID, ","")&amp;IF(AND($BK197&lt;&gt;"Yes",$BK197&lt;&gt;"N/A"),"Epic Beans Relay, ",""))-2)))</f>
      </c>
      <c r="BM197">
        <f>IF($T197="","",IF($BL197="","Yes","Blocked"))</f>
      </c>
      <c r="BP197">
        <f>IF($BO197="","",IFERROR(VLOOKUP($BO197,'01_Warehouse_Ledger'!$A:$N,4,FALSE),""))</f>
      </c>
      <c r="BQ197">
        <f>IF($BO197="","",IFERROR(VLOOKUP($BO197,'01_Warehouse_Ledger'!$A:$N,5,FALSE),""))</f>
      </c>
      <c r="BR197">
        <f>IF($BO197="","",IFERROR(VLOOKUP($BO197,'01_Warehouse_Ledger'!$A:$N,13,FALSE),""))</f>
      </c>
    </row>
    <row r="198">
      <c r="D198">
        <f>IF($B198&lt;&gt;"Yes","",IF($C198="No","Yes",IF($C198="Yes","No","")))</f>
      </c>
      <c r="E198">
        <f>IF($A198="","",IF($A198="Neuron",IF(OR(AND($S198&lt;&gt;"",LOWER(TRIM($S198))&lt;&gt;"n/a",COUNTIF($S$2:$S$532,$S198)&gt;1),AND($T198&lt;&gt;"",LOWER(TRIM($T198))&lt;&gt;"n/a",COUNTIF($T$2:$T$532,$T198)&gt;1),AND($W198&lt;&gt;"",LOWER(TRIM($W198))&lt;&gt;"n/a",COUNTIF($W$2:$W$532,$W198)&gt;1)),"Yes","No"),IF($A198="Cybernet",IF(OR(AND($Y198&lt;&gt;"",LOWER(TRIM($Y198))&lt;&gt;"n/a",COUNTIF($Y$2:$Y$532,$Y198)&gt;1),AND($Z198&lt;&gt;"",LOWER(TRIM($Z198))&lt;&gt;"n/a",COUNTIF($Z$2:$Z$532,$Z198)&gt;1)),"Yes","No"),IF(AND($AL198&lt;&gt;"",LOWER(TRIM($AL198))&lt;&gt;"n/a",COUNTIF($AL$2:$AL$532,$AL198)&gt;1),"Yes","No"))))</f>
      </c>
      <c r="F198">
        <f>IF($B198&lt;&gt;"Yes","",
IF($A198="Neuron",
IF(OR(
AND($S198&lt;&gt;"",LOWER(TRIM($S198))&lt;&gt;"n/a",COUNTIFS($B$2:$B$532,"Yes",$A$2:$A$532,"Neuron",$S$2:$S$532,$S198)&gt;1),
AND($T198&lt;&gt;"",LOWER(TRIM($T198))&lt;&gt;"n/a",COUNTIFS($B$2:$B$532,"Yes",$A$2:$A$532,"Neuron",$T$2:$T$532,$T198)&gt;1),
AND($W198&lt;&gt;"",LOWER(TRIM($W198))&lt;&gt;"n/a",COUNTIFS($B$2:$B$532,"Yes",$A$2:$A$532,"Neuron",$W$2:$W$532,$W198)&gt;1)
),"Yes","No"),
IF($A198="Cybernet",
IF(OR(
AND($Y198&lt;&gt;"",LOWER(TRIM($Y198))&lt;&gt;"n/a",COUNTIFS($B$2:$B$532,"Yes",$A$2:$A$532,"Cybernet",$Y$2:$Y$532,$Y198)&gt;1),
AND($Z198&lt;&gt;"",LOWER(TRIM($Z198))&lt;&gt;"n/a",COUNTIFS($B$2:$B$532,"Yes",$A$2:$A$532,"Cybernet",$Z$2:$Z$532,$Z198)&gt;1)
),"Yes","No"),
IF(AND($AL198&lt;&gt;"",LOWER(TRIM($AL198))&lt;&gt;"n/a"),
IF(COUNTIFS($B$2:$B$532,"Yes",$A$2:$A$532,$A198,$AL$2:$AL$532,$AL198)&gt;1,"Yes","No"),
"No")
)
)
)</f>
      </c>
      <c r="BL198">
        <f>IF($T198="","",IF((IF(AND($AW198&lt;&gt;"Yes",$AW198&lt;&gt;"N/A"),"Power Cable, ","")&amp;IF(AND($AX198&lt;&gt;"Yes",$AX198&lt;&gt;"N/A"),"Battery, ","")&amp;IF(AND($BE198&lt;&gt;"Yes",$BE198&lt;&gt;"N/A"),"Firmware Download, ","")&amp;IF(AND(OR($BE198="Yes",$BE198="N/A"),$BF198&lt;&gt;"Yes",$BF198&lt;&gt;"N/A"),"Firmware Install, ","")&amp;IF(AND($BJ198&lt;&gt;"Yes",$BJ198&lt;&gt;"N/A"),"Device ID, ","")&amp;IF(AND($BK198&lt;&gt;"Yes",$BK198&lt;&gt;"N/A"),"Epic Beans Relay, ",""))="","",LEFT(IF(AND($AW198&lt;&gt;"Yes",$AW198&lt;&gt;"N/A"),"Power Cable, ","")&amp;IF(AND($AX198&lt;&gt;"Yes",$AX198&lt;&gt;"N/A"),"Battery, ","")&amp;IF(AND($BE198&lt;&gt;"Yes",$BE198&lt;&gt;"N/A"),"Firmware Download, ","")&amp;IF(AND(OR($BE198="Yes",$BE198="N/A"),$BF198&lt;&gt;"Yes",$BF198&lt;&gt;"N/A"),"Firmware Install, ","")&amp;IF(AND($BJ198&lt;&gt;"Yes",$BJ198&lt;&gt;"N/A"),"Device ID, ","")&amp;IF(AND($BK198&lt;&gt;"Yes",$BK198&lt;&gt;"N/A"),"Epic Beans Relay, ",""),LEN(IF(AND($AW198&lt;&gt;"Yes",$AW198&lt;&gt;"N/A"),"Power Cable, ","")&amp;IF(AND($AX198&lt;&gt;"Yes",$AX198&lt;&gt;"N/A"),"Battery, ","")&amp;IF(AND($BE198&lt;&gt;"Yes",$BE198&lt;&gt;"N/A"),"Firmware Download, ","")&amp;IF(AND(OR($BE198="Yes",$BE198="N/A"),$BF198&lt;&gt;"Yes",$BF198&lt;&gt;"N/A"),"Firmware Install, ","")&amp;IF(AND($BJ198&lt;&gt;"Yes",$BJ198&lt;&gt;"N/A"),"Device ID, ","")&amp;IF(AND($BK198&lt;&gt;"Yes",$BK198&lt;&gt;"N/A"),"Epic Beans Relay, ",""))-2)))</f>
      </c>
      <c r="BM198">
        <f>IF($T198="","",IF($BL198="","Yes","Blocked"))</f>
      </c>
      <c r="BP198">
        <f>IF($BO198="","",IFERROR(VLOOKUP($BO198,'01_Warehouse_Ledger'!$A:$N,4,FALSE),""))</f>
      </c>
      <c r="BQ198">
        <f>IF($BO198="","",IFERROR(VLOOKUP($BO198,'01_Warehouse_Ledger'!$A:$N,5,FALSE),""))</f>
      </c>
      <c r="BR198">
        <f>IF($BO198="","",IFERROR(VLOOKUP($BO198,'01_Warehouse_Ledger'!$A:$N,13,FALSE),""))</f>
      </c>
    </row>
    <row r="199">
      <c r="D199">
        <f>IF($B199&lt;&gt;"Yes","",IF($C199="No","Yes",IF($C199="Yes","No","")))</f>
      </c>
      <c r="E199">
        <f>IF($A199="","",IF($A199="Neuron",IF(OR(AND($S199&lt;&gt;"",LOWER(TRIM($S199))&lt;&gt;"n/a",COUNTIF($S$2:$S$532,$S199)&gt;1),AND($T199&lt;&gt;"",LOWER(TRIM($T199))&lt;&gt;"n/a",COUNTIF($T$2:$T$532,$T199)&gt;1),AND($W199&lt;&gt;"",LOWER(TRIM($W199))&lt;&gt;"n/a",COUNTIF($W$2:$W$532,$W199)&gt;1)),"Yes","No"),IF($A199="Cybernet",IF(OR(AND($Y199&lt;&gt;"",LOWER(TRIM($Y199))&lt;&gt;"n/a",COUNTIF($Y$2:$Y$532,$Y199)&gt;1),AND($Z199&lt;&gt;"",LOWER(TRIM($Z199))&lt;&gt;"n/a",COUNTIF($Z$2:$Z$532,$Z199)&gt;1)),"Yes","No"),IF(AND($AL199&lt;&gt;"",LOWER(TRIM($AL199))&lt;&gt;"n/a",COUNTIF($AL$2:$AL$532,$AL199)&gt;1),"Yes","No"))))</f>
      </c>
      <c r="F199">
        <f>IF($B199&lt;&gt;"Yes","",
IF($A199="Neuron",
IF(OR(
AND($S199&lt;&gt;"",LOWER(TRIM($S199))&lt;&gt;"n/a",COUNTIFS($B$2:$B$532,"Yes",$A$2:$A$532,"Neuron",$S$2:$S$532,$S199)&gt;1),
AND($T199&lt;&gt;"",LOWER(TRIM($T199))&lt;&gt;"n/a",COUNTIFS($B$2:$B$532,"Yes",$A$2:$A$532,"Neuron",$T$2:$T$532,$T199)&gt;1),
AND($W199&lt;&gt;"",LOWER(TRIM($W199))&lt;&gt;"n/a",COUNTIFS($B$2:$B$532,"Yes",$A$2:$A$532,"Neuron",$W$2:$W$532,$W199)&gt;1)
),"Yes","No"),
IF($A199="Cybernet",
IF(OR(
AND($Y199&lt;&gt;"",LOWER(TRIM($Y199))&lt;&gt;"n/a",COUNTIFS($B$2:$B$532,"Yes",$A$2:$A$532,"Cybernet",$Y$2:$Y$532,$Y199)&gt;1),
AND($Z199&lt;&gt;"",LOWER(TRIM($Z199))&lt;&gt;"n/a",COUNTIFS($B$2:$B$532,"Yes",$A$2:$A$532,"Cybernet",$Z$2:$Z$532,$Z199)&gt;1)
),"Yes","No"),
IF(AND($AL199&lt;&gt;"",LOWER(TRIM($AL199))&lt;&gt;"n/a"),
IF(COUNTIFS($B$2:$B$532,"Yes",$A$2:$A$532,$A199,$AL$2:$AL$532,$AL199)&gt;1,"Yes","No"),
"No")
)
)
)</f>
      </c>
      <c r="BL199">
        <f>IF($T199="","",IF((IF(AND($AW199&lt;&gt;"Yes",$AW199&lt;&gt;"N/A"),"Power Cable, ","")&amp;IF(AND($AX199&lt;&gt;"Yes",$AX199&lt;&gt;"N/A"),"Battery, ","")&amp;IF(AND($BE199&lt;&gt;"Yes",$BE199&lt;&gt;"N/A"),"Firmware Download, ","")&amp;IF(AND(OR($BE199="Yes",$BE199="N/A"),$BF199&lt;&gt;"Yes",$BF199&lt;&gt;"N/A"),"Firmware Install, ","")&amp;IF(AND($BJ199&lt;&gt;"Yes",$BJ199&lt;&gt;"N/A"),"Device ID, ","")&amp;IF(AND($BK199&lt;&gt;"Yes",$BK199&lt;&gt;"N/A"),"Epic Beans Relay, ",""))="","",LEFT(IF(AND($AW199&lt;&gt;"Yes",$AW199&lt;&gt;"N/A"),"Power Cable, ","")&amp;IF(AND($AX199&lt;&gt;"Yes",$AX199&lt;&gt;"N/A"),"Battery, ","")&amp;IF(AND($BE199&lt;&gt;"Yes",$BE199&lt;&gt;"N/A"),"Firmware Download, ","")&amp;IF(AND(OR($BE199="Yes",$BE199="N/A"),$BF199&lt;&gt;"Yes",$BF199&lt;&gt;"N/A"),"Firmware Install, ","")&amp;IF(AND($BJ199&lt;&gt;"Yes",$BJ199&lt;&gt;"N/A"),"Device ID, ","")&amp;IF(AND($BK199&lt;&gt;"Yes",$BK199&lt;&gt;"N/A"),"Epic Beans Relay, ",""),LEN(IF(AND($AW199&lt;&gt;"Yes",$AW199&lt;&gt;"N/A"),"Power Cable, ","")&amp;IF(AND($AX199&lt;&gt;"Yes",$AX199&lt;&gt;"N/A"),"Battery, ","")&amp;IF(AND($BE199&lt;&gt;"Yes",$BE199&lt;&gt;"N/A"),"Firmware Download, ","")&amp;IF(AND(OR($BE199="Yes",$BE199="N/A"),$BF199&lt;&gt;"Yes",$BF199&lt;&gt;"N/A"),"Firmware Install, ","")&amp;IF(AND($BJ199&lt;&gt;"Yes",$BJ199&lt;&gt;"N/A"),"Device ID, ","")&amp;IF(AND($BK199&lt;&gt;"Yes",$BK199&lt;&gt;"N/A"),"Epic Beans Relay, ",""))-2)))</f>
      </c>
      <c r="BM199">
        <f>IF($T199="","",IF($BL199="","Yes","Blocked"))</f>
      </c>
      <c r="BP199">
        <f>IF($BO199="","",IFERROR(VLOOKUP($BO199,'01_Warehouse_Ledger'!$A:$N,4,FALSE),""))</f>
      </c>
      <c r="BQ199">
        <f>IF($BO199="","",IFERROR(VLOOKUP($BO199,'01_Warehouse_Ledger'!$A:$N,5,FALSE),""))</f>
      </c>
      <c r="BR199">
        <f>IF($BO199="","",IFERROR(VLOOKUP($BO199,'01_Warehouse_Ledger'!$A:$N,13,FALSE),""))</f>
      </c>
    </row>
    <row r="200">
      <c r="D200">
        <f>IF($B200&lt;&gt;"Yes","",IF($C200="No","Yes",IF($C200="Yes","No","")))</f>
      </c>
      <c r="E200">
        <f>IF($A200="","",IF($A200="Neuron",IF(OR(AND($S200&lt;&gt;"",LOWER(TRIM($S200))&lt;&gt;"n/a",COUNTIF($S$2:$S$532,$S200)&gt;1),AND($T200&lt;&gt;"",LOWER(TRIM($T200))&lt;&gt;"n/a",COUNTIF($T$2:$T$532,$T200)&gt;1),AND($W200&lt;&gt;"",LOWER(TRIM($W200))&lt;&gt;"n/a",COUNTIF($W$2:$W$532,$W200)&gt;1)),"Yes","No"),IF($A200="Cybernet",IF(OR(AND($Y200&lt;&gt;"",LOWER(TRIM($Y200))&lt;&gt;"n/a",COUNTIF($Y$2:$Y$532,$Y200)&gt;1),AND($Z200&lt;&gt;"",LOWER(TRIM($Z200))&lt;&gt;"n/a",COUNTIF($Z$2:$Z$532,$Z200)&gt;1)),"Yes","No"),IF(AND($AL200&lt;&gt;"",LOWER(TRIM($AL200))&lt;&gt;"n/a",COUNTIF($AL$2:$AL$532,$AL200)&gt;1),"Yes","No"))))</f>
      </c>
      <c r="F200">
        <f>IF($B200&lt;&gt;"Yes","",
IF($A200="Neuron",
IF(OR(
AND($S200&lt;&gt;"",LOWER(TRIM($S200))&lt;&gt;"n/a",COUNTIFS($B$2:$B$532,"Yes",$A$2:$A$532,"Neuron",$S$2:$S$532,$S200)&gt;1),
AND($T200&lt;&gt;"",LOWER(TRIM($T200))&lt;&gt;"n/a",COUNTIFS($B$2:$B$532,"Yes",$A$2:$A$532,"Neuron",$T$2:$T$532,$T200)&gt;1),
AND($W200&lt;&gt;"",LOWER(TRIM($W200))&lt;&gt;"n/a",COUNTIFS($B$2:$B$532,"Yes",$A$2:$A$532,"Neuron",$W$2:$W$532,$W200)&gt;1)
),"Yes","No"),
IF($A200="Cybernet",
IF(OR(
AND($Y200&lt;&gt;"",LOWER(TRIM($Y200))&lt;&gt;"n/a",COUNTIFS($B$2:$B$532,"Yes",$A$2:$A$532,"Cybernet",$Y$2:$Y$532,$Y200)&gt;1),
AND($Z200&lt;&gt;"",LOWER(TRIM($Z200))&lt;&gt;"n/a",COUNTIFS($B$2:$B$532,"Yes",$A$2:$A$532,"Cybernet",$Z$2:$Z$532,$Z200)&gt;1)
),"Yes","No"),
IF(AND($AL200&lt;&gt;"",LOWER(TRIM($AL200))&lt;&gt;"n/a"),
IF(COUNTIFS($B$2:$B$532,"Yes",$A$2:$A$532,$A200,$AL$2:$AL$532,$AL200)&gt;1,"Yes","No"),
"No")
)
)
)</f>
      </c>
      <c r="BL200">
        <f>IF($T200="","",IF((IF(AND($AW200&lt;&gt;"Yes",$AW200&lt;&gt;"N/A"),"Power Cable, ","")&amp;IF(AND($AX200&lt;&gt;"Yes",$AX200&lt;&gt;"N/A"),"Battery, ","")&amp;IF(AND($BE200&lt;&gt;"Yes",$BE200&lt;&gt;"N/A"),"Firmware Download, ","")&amp;IF(AND(OR($BE200="Yes",$BE200="N/A"),$BF200&lt;&gt;"Yes",$BF200&lt;&gt;"N/A"),"Firmware Install, ","")&amp;IF(AND($BJ200&lt;&gt;"Yes",$BJ200&lt;&gt;"N/A"),"Device ID, ","")&amp;IF(AND($BK200&lt;&gt;"Yes",$BK200&lt;&gt;"N/A"),"Epic Beans Relay, ",""))="","",LEFT(IF(AND($AW200&lt;&gt;"Yes",$AW200&lt;&gt;"N/A"),"Power Cable, ","")&amp;IF(AND($AX200&lt;&gt;"Yes",$AX200&lt;&gt;"N/A"),"Battery, ","")&amp;IF(AND($BE200&lt;&gt;"Yes",$BE200&lt;&gt;"N/A"),"Firmware Download, ","")&amp;IF(AND(OR($BE200="Yes",$BE200="N/A"),$BF200&lt;&gt;"Yes",$BF200&lt;&gt;"N/A"),"Firmware Install, ","")&amp;IF(AND($BJ200&lt;&gt;"Yes",$BJ200&lt;&gt;"N/A"),"Device ID, ","")&amp;IF(AND($BK200&lt;&gt;"Yes",$BK200&lt;&gt;"N/A"),"Epic Beans Relay, ",""),LEN(IF(AND($AW200&lt;&gt;"Yes",$AW200&lt;&gt;"N/A"),"Power Cable, ","")&amp;IF(AND($AX200&lt;&gt;"Yes",$AX200&lt;&gt;"N/A"),"Battery, ","")&amp;IF(AND($BE200&lt;&gt;"Yes",$BE200&lt;&gt;"N/A"),"Firmware Download, ","")&amp;IF(AND(OR($BE200="Yes",$BE200="N/A"),$BF200&lt;&gt;"Yes",$BF200&lt;&gt;"N/A"),"Firmware Install, ","")&amp;IF(AND($BJ200&lt;&gt;"Yes",$BJ200&lt;&gt;"N/A"),"Device ID, ","")&amp;IF(AND($BK200&lt;&gt;"Yes",$BK200&lt;&gt;"N/A"),"Epic Beans Relay, ",""))-2)))</f>
      </c>
      <c r="BM200">
        <f>IF($T200="","",IF($BL200="","Yes","Blocked"))</f>
      </c>
      <c r="BP200">
        <f>IF($BO200="","",IFERROR(VLOOKUP($BO200,'01_Warehouse_Ledger'!$A:$N,4,FALSE),""))</f>
      </c>
      <c r="BQ200">
        <f>IF($BO200="","",IFERROR(VLOOKUP($BO200,'01_Warehouse_Ledger'!$A:$N,5,FALSE),""))</f>
      </c>
      <c r="BR200">
        <f>IF($BO200="","",IFERROR(VLOOKUP($BO200,'01_Warehouse_Ledger'!$A:$N,13,FALSE),""))</f>
      </c>
    </row>
    <row r="201">
      <c r="D201">
        <f>IF($B201&lt;&gt;"Yes","",IF($C201="No","Yes",IF($C201="Yes","No","")))</f>
      </c>
      <c r="E201">
        <f>IF($A201="","",IF($A201="Neuron",IF(OR(AND($S201&lt;&gt;"",LOWER(TRIM($S201))&lt;&gt;"n/a",COUNTIF($S$2:$S$532,$S201)&gt;1),AND($T201&lt;&gt;"",LOWER(TRIM($T201))&lt;&gt;"n/a",COUNTIF($T$2:$T$532,$T201)&gt;1),AND($W201&lt;&gt;"",LOWER(TRIM($W201))&lt;&gt;"n/a",COUNTIF($W$2:$W$532,$W201)&gt;1)),"Yes","No"),IF($A201="Cybernet",IF(OR(AND($Y201&lt;&gt;"",LOWER(TRIM($Y201))&lt;&gt;"n/a",COUNTIF($Y$2:$Y$532,$Y201)&gt;1),AND($Z201&lt;&gt;"",LOWER(TRIM($Z201))&lt;&gt;"n/a",COUNTIF($Z$2:$Z$532,$Z201)&gt;1)),"Yes","No"),IF(AND($AL201&lt;&gt;"",LOWER(TRIM($AL201))&lt;&gt;"n/a",COUNTIF($AL$2:$AL$532,$AL201)&gt;1),"Yes","No"))))</f>
      </c>
      <c r="F201">
        <f>IF($B201&lt;&gt;"Yes","",
IF($A201="Neuron",
IF(OR(
AND($S201&lt;&gt;"",LOWER(TRIM($S201))&lt;&gt;"n/a",COUNTIFS($B$2:$B$532,"Yes",$A$2:$A$532,"Neuron",$S$2:$S$532,$S201)&gt;1),
AND($T201&lt;&gt;"",LOWER(TRIM($T201))&lt;&gt;"n/a",COUNTIFS($B$2:$B$532,"Yes",$A$2:$A$532,"Neuron",$T$2:$T$532,$T201)&gt;1),
AND($W201&lt;&gt;"",LOWER(TRIM($W201))&lt;&gt;"n/a",COUNTIFS($B$2:$B$532,"Yes",$A$2:$A$532,"Neuron",$W$2:$W$532,$W201)&gt;1)
),"Yes","No"),
IF($A201="Cybernet",
IF(OR(
AND($Y201&lt;&gt;"",LOWER(TRIM($Y201))&lt;&gt;"n/a",COUNTIFS($B$2:$B$532,"Yes",$A$2:$A$532,"Cybernet",$Y$2:$Y$532,$Y201)&gt;1),
AND($Z201&lt;&gt;"",LOWER(TRIM($Z201))&lt;&gt;"n/a",COUNTIFS($B$2:$B$532,"Yes",$A$2:$A$532,"Cybernet",$Z$2:$Z$532,$Z201)&gt;1)
),"Yes","No"),
IF(AND($AL201&lt;&gt;"",LOWER(TRIM($AL201))&lt;&gt;"n/a"),
IF(COUNTIFS($B$2:$B$532,"Yes",$A$2:$A$532,$A201,$AL$2:$AL$532,$AL201)&gt;1,"Yes","No"),
"No")
)
)
)</f>
      </c>
      <c r="BL201">
        <f>IF($T201="","",IF((IF(AND($AW201&lt;&gt;"Yes",$AW201&lt;&gt;"N/A"),"Power Cable, ","")&amp;IF(AND($AX201&lt;&gt;"Yes",$AX201&lt;&gt;"N/A"),"Battery, ","")&amp;IF(AND($BE201&lt;&gt;"Yes",$BE201&lt;&gt;"N/A"),"Firmware Download, ","")&amp;IF(AND(OR($BE201="Yes",$BE201="N/A"),$BF201&lt;&gt;"Yes",$BF201&lt;&gt;"N/A"),"Firmware Install, ","")&amp;IF(AND($BJ201&lt;&gt;"Yes",$BJ201&lt;&gt;"N/A"),"Device ID, ","")&amp;IF(AND($BK201&lt;&gt;"Yes",$BK201&lt;&gt;"N/A"),"Epic Beans Relay, ",""))="","",LEFT(IF(AND($AW201&lt;&gt;"Yes",$AW201&lt;&gt;"N/A"),"Power Cable, ","")&amp;IF(AND($AX201&lt;&gt;"Yes",$AX201&lt;&gt;"N/A"),"Battery, ","")&amp;IF(AND($BE201&lt;&gt;"Yes",$BE201&lt;&gt;"N/A"),"Firmware Download, ","")&amp;IF(AND(OR($BE201="Yes",$BE201="N/A"),$BF201&lt;&gt;"Yes",$BF201&lt;&gt;"N/A"),"Firmware Install, ","")&amp;IF(AND($BJ201&lt;&gt;"Yes",$BJ201&lt;&gt;"N/A"),"Device ID, ","")&amp;IF(AND($BK201&lt;&gt;"Yes",$BK201&lt;&gt;"N/A"),"Epic Beans Relay, ",""),LEN(IF(AND($AW201&lt;&gt;"Yes",$AW201&lt;&gt;"N/A"),"Power Cable, ","")&amp;IF(AND($AX201&lt;&gt;"Yes",$AX201&lt;&gt;"N/A"),"Battery, ","")&amp;IF(AND($BE201&lt;&gt;"Yes",$BE201&lt;&gt;"N/A"),"Firmware Download, ","")&amp;IF(AND(OR($BE201="Yes",$BE201="N/A"),$BF201&lt;&gt;"Yes",$BF201&lt;&gt;"N/A"),"Firmware Install, ","")&amp;IF(AND($BJ201&lt;&gt;"Yes",$BJ201&lt;&gt;"N/A"),"Device ID, ","")&amp;IF(AND($BK201&lt;&gt;"Yes",$BK201&lt;&gt;"N/A"),"Epic Beans Relay, ",""))-2)))</f>
      </c>
      <c r="BM201">
        <f>IF($T201="","",IF($BL201="","Yes","Blocked"))</f>
      </c>
      <c r="BP201">
        <f>IF($BO201="","",IFERROR(VLOOKUP($BO201,'01_Warehouse_Ledger'!$A:$N,4,FALSE),""))</f>
      </c>
      <c r="BQ201">
        <f>IF($BO201="","",IFERROR(VLOOKUP($BO201,'01_Warehouse_Ledger'!$A:$N,5,FALSE),""))</f>
      </c>
      <c r="BR201">
        <f>IF($BO201="","",IFERROR(VLOOKUP($BO201,'01_Warehouse_Ledger'!$A:$N,13,FALSE),""))</f>
      </c>
    </row>
    <row r="202">
      <c r="D202">
        <f>IF($B202&lt;&gt;"Yes","",IF($C202="No","Yes",IF($C202="Yes","No","")))</f>
      </c>
      <c r="E202">
        <f>IF($A202="","",IF($A202="Neuron",IF(OR(AND($S202&lt;&gt;"",LOWER(TRIM($S202))&lt;&gt;"n/a",COUNTIF($S$2:$S$532,$S202)&gt;1),AND($T202&lt;&gt;"",LOWER(TRIM($T202))&lt;&gt;"n/a",COUNTIF($T$2:$T$532,$T202)&gt;1),AND($W202&lt;&gt;"",LOWER(TRIM($W202))&lt;&gt;"n/a",COUNTIF($W$2:$W$532,$W202)&gt;1)),"Yes","No"),IF($A202="Cybernet",IF(OR(AND($Y202&lt;&gt;"",LOWER(TRIM($Y202))&lt;&gt;"n/a",COUNTIF($Y$2:$Y$532,$Y202)&gt;1),AND($Z202&lt;&gt;"",LOWER(TRIM($Z202))&lt;&gt;"n/a",COUNTIF($Z$2:$Z$532,$Z202)&gt;1)),"Yes","No"),IF(AND($AL202&lt;&gt;"",LOWER(TRIM($AL202))&lt;&gt;"n/a",COUNTIF($AL$2:$AL$532,$AL202)&gt;1),"Yes","No"))))</f>
      </c>
      <c r="F202">
        <f>IF($B202&lt;&gt;"Yes","",
IF($A202="Neuron",
IF(OR(
AND($S202&lt;&gt;"",LOWER(TRIM($S202))&lt;&gt;"n/a",COUNTIFS($B$2:$B$532,"Yes",$A$2:$A$532,"Neuron",$S$2:$S$532,$S202)&gt;1),
AND($T202&lt;&gt;"",LOWER(TRIM($T202))&lt;&gt;"n/a",COUNTIFS($B$2:$B$532,"Yes",$A$2:$A$532,"Neuron",$T$2:$T$532,$T202)&gt;1),
AND($W202&lt;&gt;"",LOWER(TRIM($W202))&lt;&gt;"n/a",COUNTIFS($B$2:$B$532,"Yes",$A$2:$A$532,"Neuron",$W$2:$W$532,$W202)&gt;1)
),"Yes","No"),
IF($A202="Cybernet",
IF(OR(
AND($Y202&lt;&gt;"",LOWER(TRIM($Y202))&lt;&gt;"n/a",COUNTIFS($B$2:$B$532,"Yes",$A$2:$A$532,"Cybernet",$Y$2:$Y$532,$Y202)&gt;1),
AND($Z202&lt;&gt;"",LOWER(TRIM($Z202))&lt;&gt;"n/a",COUNTIFS($B$2:$B$532,"Yes",$A$2:$A$532,"Cybernet",$Z$2:$Z$532,$Z202)&gt;1)
),"Yes","No"),
IF(AND($AL202&lt;&gt;"",LOWER(TRIM($AL202))&lt;&gt;"n/a"),
IF(COUNTIFS($B$2:$B$532,"Yes",$A$2:$A$532,$A202,$AL$2:$AL$532,$AL202)&gt;1,"Yes","No"),
"No")
)
)
)</f>
      </c>
      <c r="BL202">
        <f>IF($T202="","",IF((IF(AND($AW202&lt;&gt;"Yes",$AW202&lt;&gt;"N/A"),"Power Cable, ","")&amp;IF(AND($AX202&lt;&gt;"Yes",$AX202&lt;&gt;"N/A"),"Battery, ","")&amp;IF(AND($BE202&lt;&gt;"Yes",$BE202&lt;&gt;"N/A"),"Firmware Download, ","")&amp;IF(AND(OR($BE202="Yes",$BE202="N/A"),$BF202&lt;&gt;"Yes",$BF202&lt;&gt;"N/A"),"Firmware Install, ","")&amp;IF(AND($BJ202&lt;&gt;"Yes",$BJ202&lt;&gt;"N/A"),"Device ID, ","")&amp;IF(AND($BK202&lt;&gt;"Yes",$BK202&lt;&gt;"N/A"),"Epic Beans Relay, ",""))="","",LEFT(IF(AND($AW202&lt;&gt;"Yes",$AW202&lt;&gt;"N/A"),"Power Cable, ","")&amp;IF(AND($AX202&lt;&gt;"Yes",$AX202&lt;&gt;"N/A"),"Battery, ","")&amp;IF(AND($BE202&lt;&gt;"Yes",$BE202&lt;&gt;"N/A"),"Firmware Download, ","")&amp;IF(AND(OR($BE202="Yes",$BE202="N/A"),$BF202&lt;&gt;"Yes",$BF202&lt;&gt;"N/A"),"Firmware Install, ","")&amp;IF(AND($BJ202&lt;&gt;"Yes",$BJ202&lt;&gt;"N/A"),"Device ID, ","")&amp;IF(AND($BK202&lt;&gt;"Yes",$BK202&lt;&gt;"N/A"),"Epic Beans Relay, ",""),LEN(IF(AND($AW202&lt;&gt;"Yes",$AW202&lt;&gt;"N/A"),"Power Cable, ","")&amp;IF(AND($AX202&lt;&gt;"Yes",$AX202&lt;&gt;"N/A"),"Battery, ","")&amp;IF(AND($BE202&lt;&gt;"Yes",$BE202&lt;&gt;"N/A"),"Firmware Download, ","")&amp;IF(AND(OR($BE202="Yes",$BE202="N/A"),$BF202&lt;&gt;"Yes",$BF202&lt;&gt;"N/A"),"Firmware Install, ","")&amp;IF(AND($BJ202&lt;&gt;"Yes",$BJ202&lt;&gt;"N/A"),"Device ID, ","")&amp;IF(AND($BK202&lt;&gt;"Yes",$BK202&lt;&gt;"N/A"),"Epic Beans Relay, ",""))-2)))</f>
      </c>
      <c r="BM202">
        <f>IF($T202="","",IF($BL202="","Yes","Blocked"))</f>
      </c>
      <c r="BP202">
        <f>IF($BO202="","",IFERROR(VLOOKUP($BO202,'01_Warehouse_Ledger'!$A:$N,4,FALSE),""))</f>
      </c>
      <c r="BQ202">
        <f>IF($BO202="","",IFERROR(VLOOKUP($BO202,'01_Warehouse_Ledger'!$A:$N,5,FALSE),""))</f>
      </c>
      <c r="BR202">
        <f>IF($BO202="","",IFERROR(VLOOKUP($BO202,'01_Warehouse_Ledger'!$A:$N,13,FALSE),""))</f>
      </c>
    </row>
    <row r="203">
      <c r="D203">
        <f>IF($B203&lt;&gt;"Yes","",IF($C203="No","Yes",IF($C203="Yes","No","")))</f>
      </c>
      <c r="E203">
        <f>IF($A203="","",IF($A203="Neuron",IF(OR(AND($S203&lt;&gt;"",LOWER(TRIM($S203))&lt;&gt;"n/a",COUNTIF($S$2:$S$532,$S203)&gt;1),AND($T203&lt;&gt;"",LOWER(TRIM($T203))&lt;&gt;"n/a",COUNTIF($T$2:$T$532,$T203)&gt;1),AND($W203&lt;&gt;"",LOWER(TRIM($W203))&lt;&gt;"n/a",COUNTIF($W$2:$W$532,$W203)&gt;1)),"Yes","No"),IF($A203="Cybernet",IF(OR(AND($Y203&lt;&gt;"",LOWER(TRIM($Y203))&lt;&gt;"n/a",COUNTIF($Y$2:$Y$532,$Y203)&gt;1),AND($Z203&lt;&gt;"",LOWER(TRIM($Z203))&lt;&gt;"n/a",COUNTIF($Z$2:$Z$532,$Z203)&gt;1)),"Yes","No"),IF(AND($AL203&lt;&gt;"",LOWER(TRIM($AL203))&lt;&gt;"n/a",COUNTIF($AL$2:$AL$532,$AL203)&gt;1),"Yes","No"))))</f>
      </c>
      <c r="F203">
        <f>IF($B203&lt;&gt;"Yes","",
IF($A203="Neuron",
IF(OR(
AND($S203&lt;&gt;"",LOWER(TRIM($S203))&lt;&gt;"n/a",COUNTIFS($B$2:$B$532,"Yes",$A$2:$A$532,"Neuron",$S$2:$S$532,$S203)&gt;1),
AND($T203&lt;&gt;"",LOWER(TRIM($T203))&lt;&gt;"n/a",COUNTIFS($B$2:$B$532,"Yes",$A$2:$A$532,"Neuron",$T$2:$T$532,$T203)&gt;1),
AND($W203&lt;&gt;"",LOWER(TRIM($W203))&lt;&gt;"n/a",COUNTIFS($B$2:$B$532,"Yes",$A$2:$A$532,"Neuron",$W$2:$W$532,$W203)&gt;1)
),"Yes","No"),
IF($A203="Cybernet",
IF(OR(
AND($Y203&lt;&gt;"",LOWER(TRIM($Y203))&lt;&gt;"n/a",COUNTIFS($B$2:$B$532,"Yes",$A$2:$A$532,"Cybernet",$Y$2:$Y$532,$Y203)&gt;1),
AND($Z203&lt;&gt;"",LOWER(TRIM($Z203))&lt;&gt;"n/a",COUNTIFS($B$2:$B$532,"Yes",$A$2:$A$532,"Cybernet",$Z$2:$Z$532,$Z203)&gt;1)
),"Yes","No"),
IF(AND($AL203&lt;&gt;"",LOWER(TRIM($AL203))&lt;&gt;"n/a"),
IF(COUNTIFS($B$2:$B$532,"Yes",$A$2:$A$532,$A203,$AL$2:$AL$532,$AL203)&gt;1,"Yes","No"),
"No")
)
)
)</f>
      </c>
      <c r="BL203">
        <f>IF($T203="","",IF((IF(AND($AW203&lt;&gt;"Yes",$AW203&lt;&gt;"N/A"),"Power Cable, ","")&amp;IF(AND($AX203&lt;&gt;"Yes",$AX203&lt;&gt;"N/A"),"Battery, ","")&amp;IF(AND($BE203&lt;&gt;"Yes",$BE203&lt;&gt;"N/A"),"Firmware Download, ","")&amp;IF(AND(OR($BE203="Yes",$BE203="N/A"),$BF203&lt;&gt;"Yes",$BF203&lt;&gt;"N/A"),"Firmware Install, ","")&amp;IF(AND($BJ203&lt;&gt;"Yes",$BJ203&lt;&gt;"N/A"),"Device ID, ","")&amp;IF(AND($BK203&lt;&gt;"Yes",$BK203&lt;&gt;"N/A"),"Epic Beans Relay, ",""))="","",LEFT(IF(AND($AW203&lt;&gt;"Yes",$AW203&lt;&gt;"N/A"),"Power Cable, ","")&amp;IF(AND($AX203&lt;&gt;"Yes",$AX203&lt;&gt;"N/A"),"Battery, ","")&amp;IF(AND($BE203&lt;&gt;"Yes",$BE203&lt;&gt;"N/A"),"Firmware Download, ","")&amp;IF(AND(OR($BE203="Yes",$BE203="N/A"),$BF203&lt;&gt;"Yes",$BF203&lt;&gt;"N/A"),"Firmware Install, ","")&amp;IF(AND($BJ203&lt;&gt;"Yes",$BJ203&lt;&gt;"N/A"),"Device ID, ","")&amp;IF(AND($BK203&lt;&gt;"Yes",$BK203&lt;&gt;"N/A"),"Epic Beans Relay, ",""),LEN(IF(AND($AW203&lt;&gt;"Yes",$AW203&lt;&gt;"N/A"),"Power Cable, ","")&amp;IF(AND($AX203&lt;&gt;"Yes",$AX203&lt;&gt;"N/A"),"Battery, ","")&amp;IF(AND($BE203&lt;&gt;"Yes",$BE203&lt;&gt;"N/A"),"Firmware Download, ","")&amp;IF(AND(OR($BE203="Yes",$BE203="N/A"),$BF203&lt;&gt;"Yes",$BF203&lt;&gt;"N/A"),"Firmware Install, ","")&amp;IF(AND($BJ203&lt;&gt;"Yes",$BJ203&lt;&gt;"N/A"),"Device ID, ","")&amp;IF(AND($BK203&lt;&gt;"Yes",$BK203&lt;&gt;"N/A"),"Epic Beans Relay, ",""))-2)))</f>
      </c>
      <c r="BM203">
        <f>IF($T203="","",IF($BL203="","Yes","Blocked"))</f>
      </c>
      <c r="BP203">
        <f>IF($BO203="","",IFERROR(VLOOKUP($BO203,'01_Warehouse_Ledger'!$A:$N,4,FALSE),""))</f>
      </c>
      <c r="BQ203">
        <f>IF($BO203="","",IFERROR(VLOOKUP($BO203,'01_Warehouse_Ledger'!$A:$N,5,FALSE),""))</f>
      </c>
      <c r="BR203">
        <f>IF($BO203="","",IFERROR(VLOOKUP($BO203,'01_Warehouse_Ledger'!$A:$N,13,FALSE),""))</f>
      </c>
    </row>
    <row r="204">
      <c r="D204">
        <f>IF($B204&lt;&gt;"Yes","",IF($C204="No","Yes",IF($C204="Yes","No","")))</f>
      </c>
      <c r="E204">
        <f>IF($A204="","",IF($A204="Neuron",IF(OR(AND($S204&lt;&gt;"",LOWER(TRIM($S204))&lt;&gt;"n/a",COUNTIF($S$2:$S$532,$S204)&gt;1),AND($T204&lt;&gt;"",LOWER(TRIM($T204))&lt;&gt;"n/a",COUNTIF($T$2:$T$532,$T204)&gt;1),AND($W204&lt;&gt;"",LOWER(TRIM($W204))&lt;&gt;"n/a",COUNTIF($W$2:$W$532,$W204)&gt;1)),"Yes","No"),IF($A204="Cybernet",IF(OR(AND($Y204&lt;&gt;"",LOWER(TRIM($Y204))&lt;&gt;"n/a",COUNTIF($Y$2:$Y$532,$Y204)&gt;1),AND($Z204&lt;&gt;"",LOWER(TRIM($Z204))&lt;&gt;"n/a",COUNTIF($Z$2:$Z$532,$Z204)&gt;1)),"Yes","No"),IF(AND($AL204&lt;&gt;"",LOWER(TRIM($AL204))&lt;&gt;"n/a",COUNTIF($AL$2:$AL$532,$AL204)&gt;1),"Yes","No"))))</f>
      </c>
      <c r="F204">
        <f>IF($B204&lt;&gt;"Yes","",
IF($A204="Neuron",
IF(OR(
AND($S204&lt;&gt;"",LOWER(TRIM($S204))&lt;&gt;"n/a",COUNTIFS($B$2:$B$532,"Yes",$A$2:$A$532,"Neuron",$S$2:$S$532,$S204)&gt;1),
AND($T204&lt;&gt;"",LOWER(TRIM($T204))&lt;&gt;"n/a",COUNTIFS($B$2:$B$532,"Yes",$A$2:$A$532,"Neuron",$T$2:$T$532,$T204)&gt;1),
AND($W204&lt;&gt;"",LOWER(TRIM($W204))&lt;&gt;"n/a",COUNTIFS($B$2:$B$532,"Yes",$A$2:$A$532,"Neuron",$W$2:$W$532,$W204)&gt;1)
),"Yes","No"),
IF($A204="Cybernet",
IF(OR(
AND($Y204&lt;&gt;"",LOWER(TRIM($Y204))&lt;&gt;"n/a",COUNTIFS($B$2:$B$532,"Yes",$A$2:$A$532,"Cybernet",$Y$2:$Y$532,$Y204)&gt;1),
AND($Z204&lt;&gt;"",LOWER(TRIM($Z204))&lt;&gt;"n/a",COUNTIFS($B$2:$B$532,"Yes",$A$2:$A$532,"Cybernet",$Z$2:$Z$532,$Z204)&gt;1)
),"Yes","No"),
IF(AND($AL204&lt;&gt;"",LOWER(TRIM($AL204))&lt;&gt;"n/a"),
IF(COUNTIFS($B$2:$B$532,"Yes",$A$2:$A$532,$A204,$AL$2:$AL$532,$AL204)&gt;1,"Yes","No"),
"No")
)
)
)</f>
      </c>
      <c r="BL204">
        <f>IF($T204="","",IF((IF(AND($AW204&lt;&gt;"Yes",$AW204&lt;&gt;"N/A"),"Power Cable, ","")&amp;IF(AND($AX204&lt;&gt;"Yes",$AX204&lt;&gt;"N/A"),"Battery, ","")&amp;IF(AND($BE204&lt;&gt;"Yes",$BE204&lt;&gt;"N/A"),"Firmware Download, ","")&amp;IF(AND(OR($BE204="Yes",$BE204="N/A"),$BF204&lt;&gt;"Yes",$BF204&lt;&gt;"N/A"),"Firmware Install, ","")&amp;IF(AND($BJ204&lt;&gt;"Yes",$BJ204&lt;&gt;"N/A"),"Device ID, ","")&amp;IF(AND($BK204&lt;&gt;"Yes",$BK204&lt;&gt;"N/A"),"Epic Beans Relay, ",""))="","",LEFT(IF(AND($AW204&lt;&gt;"Yes",$AW204&lt;&gt;"N/A"),"Power Cable, ","")&amp;IF(AND($AX204&lt;&gt;"Yes",$AX204&lt;&gt;"N/A"),"Battery, ","")&amp;IF(AND($BE204&lt;&gt;"Yes",$BE204&lt;&gt;"N/A"),"Firmware Download, ","")&amp;IF(AND(OR($BE204="Yes",$BE204="N/A"),$BF204&lt;&gt;"Yes",$BF204&lt;&gt;"N/A"),"Firmware Install, ","")&amp;IF(AND($BJ204&lt;&gt;"Yes",$BJ204&lt;&gt;"N/A"),"Device ID, ","")&amp;IF(AND($BK204&lt;&gt;"Yes",$BK204&lt;&gt;"N/A"),"Epic Beans Relay, ",""),LEN(IF(AND($AW204&lt;&gt;"Yes",$AW204&lt;&gt;"N/A"),"Power Cable, ","")&amp;IF(AND($AX204&lt;&gt;"Yes",$AX204&lt;&gt;"N/A"),"Battery, ","")&amp;IF(AND($BE204&lt;&gt;"Yes",$BE204&lt;&gt;"N/A"),"Firmware Download, ","")&amp;IF(AND(OR($BE204="Yes",$BE204="N/A"),$BF204&lt;&gt;"Yes",$BF204&lt;&gt;"N/A"),"Firmware Install, ","")&amp;IF(AND($BJ204&lt;&gt;"Yes",$BJ204&lt;&gt;"N/A"),"Device ID, ","")&amp;IF(AND($BK204&lt;&gt;"Yes",$BK204&lt;&gt;"N/A"),"Epic Beans Relay, ",""))-2)))</f>
      </c>
      <c r="BM204">
        <f>IF($T204="","",IF($BL204="","Yes","Blocked"))</f>
      </c>
      <c r="BP204">
        <f>IF($BO204="","",IFERROR(VLOOKUP($BO204,'01_Warehouse_Ledger'!$A:$N,4,FALSE),""))</f>
      </c>
      <c r="BQ204">
        <f>IF($BO204="","",IFERROR(VLOOKUP($BO204,'01_Warehouse_Ledger'!$A:$N,5,FALSE),""))</f>
      </c>
      <c r="BR204">
        <f>IF($BO204="","",IFERROR(VLOOKUP($BO204,'01_Warehouse_Ledger'!$A:$N,13,FALSE),""))</f>
      </c>
    </row>
    <row r="205">
      <c r="D205">
        <f>IF($B205&lt;&gt;"Yes","",IF($C205="No","Yes",IF($C205="Yes","No","")))</f>
      </c>
      <c r="E205">
        <f>IF($A205="","",IF($A205="Neuron",IF(OR(AND($S205&lt;&gt;"",LOWER(TRIM($S205))&lt;&gt;"n/a",COUNTIF($S$2:$S$532,$S205)&gt;1),AND($T205&lt;&gt;"",LOWER(TRIM($T205))&lt;&gt;"n/a",COUNTIF($T$2:$T$532,$T205)&gt;1),AND($W205&lt;&gt;"",LOWER(TRIM($W205))&lt;&gt;"n/a",COUNTIF($W$2:$W$532,$W205)&gt;1)),"Yes","No"),IF($A205="Cybernet",IF(OR(AND($Y205&lt;&gt;"",LOWER(TRIM($Y205))&lt;&gt;"n/a",COUNTIF($Y$2:$Y$532,$Y205)&gt;1),AND($Z205&lt;&gt;"",LOWER(TRIM($Z205))&lt;&gt;"n/a",COUNTIF($Z$2:$Z$532,$Z205)&gt;1)),"Yes","No"),IF(AND($AL205&lt;&gt;"",LOWER(TRIM($AL205))&lt;&gt;"n/a",COUNTIF($AL$2:$AL$532,$AL205)&gt;1),"Yes","No"))))</f>
      </c>
      <c r="F205">
        <f>IF($B205&lt;&gt;"Yes","",
IF($A205="Neuron",
IF(OR(
AND($S205&lt;&gt;"",LOWER(TRIM($S205))&lt;&gt;"n/a",COUNTIFS($B$2:$B$532,"Yes",$A$2:$A$532,"Neuron",$S$2:$S$532,$S205)&gt;1),
AND($T205&lt;&gt;"",LOWER(TRIM($T205))&lt;&gt;"n/a",COUNTIFS($B$2:$B$532,"Yes",$A$2:$A$532,"Neuron",$T$2:$T$532,$T205)&gt;1),
AND($W205&lt;&gt;"",LOWER(TRIM($W205))&lt;&gt;"n/a",COUNTIFS($B$2:$B$532,"Yes",$A$2:$A$532,"Neuron",$W$2:$W$532,$W205)&gt;1)
),"Yes","No"),
IF($A205="Cybernet",
IF(OR(
AND($Y205&lt;&gt;"",LOWER(TRIM($Y205))&lt;&gt;"n/a",COUNTIFS($B$2:$B$532,"Yes",$A$2:$A$532,"Cybernet",$Y$2:$Y$532,$Y205)&gt;1),
AND($Z205&lt;&gt;"",LOWER(TRIM($Z205))&lt;&gt;"n/a",COUNTIFS($B$2:$B$532,"Yes",$A$2:$A$532,"Cybernet",$Z$2:$Z$532,$Z205)&gt;1)
),"Yes","No"),
IF(AND($AL205&lt;&gt;"",LOWER(TRIM($AL205))&lt;&gt;"n/a"),
IF(COUNTIFS($B$2:$B$532,"Yes",$A$2:$A$532,$A205,$AL$2:$AL$532,$AL205)&gt;1,"Yes","No"),
"No")
)
)
)</f>
      </c>
      <c r="BL205">
        <f>IF($T205="","",IF((IF(AND($AW205&lt;&gt;"Yes",$AW205&lt;&gt;"N/A"),"Power Cable, ","")&amp;IF(AND($AX205&lt;&gt;"Yes",$AX205&lt;&gt;"N/A"),"Battery, ","")&amp;IF(AND($BE205&lt;&gt;"Yes",$BE205&lt;&gt;"N/A"),"Firmware Download, ","")&amp;IF(AND(OR($BE205="Yes",$BE205="N/A"),$BF205&lt;&gt;"Yes",$BF205&lt;&gt;"N/A"),"Firmware Install, ","")&amp;IF(AND($BJ205&lt;&gt;"Yes",$BJ205&lt;&gt;"N/A"),"Device ID, ","")&amp;IF(AND($BK205&lt;&gt;"Yes",$BK205&lt;&gt;"N/A"),"Epic Beans Relay, ",""))="","",LEFT(IF(AND($AW205&lt;&gt;"Yes",$AW205&lt;&gt;"N/A"),"Power Cable, ","")&amp;IF(AND($AX205&lt;&gt;"Yes",$AX205&lt;&gt;"N/A"),"Battery, ","")&amp;IF(AND($BE205&lt;&gt;"Yes",$BE205&lt;&gt;"N/A"),"Firmware Download, ","")&amp;IF(AND(OR($BE205="Yes",$BE205="N/A"),$BF205&lt;&gt;"Yes",$BF205&lt;&gt;"N/A"),"Firmware Install, ","")&amp;IF(AND($BJ205&lt;&gt;"Yes",$BJ205&lt;&gt;"N/A"),"Device ID, ","")&amp;IF(AND($BK205&lt;&gt;"Yes",$BK205&lt;&gt;"N/A"),"Epic Beans Relay, ",""),LEN(IF(AND($AW205&lt;&gt;"Yes",$AW205&lt;&gt;"N/A"),"Power Cable, ","")&amp;IF(AND($AX205&lt;&gt;"Yes",$AX205&lt;&gt;"N/A"),"Battery, ","")&amp;IF(AND($BE205&lt;&gt;"Yes",$BE205&lt;&gt;"N/A"),"Firmware Download, ","")&amp;IF(AND(OR($BE205="Yes",$BE205="N/A"),$BF205&lt;&gt;"Yes",$BF205&lt;&gt;"N/A"),"Firmware Install, ","")&amp;IF(AND($BJ205&lt;&gt;"Yes",$BJ205&lt;&gt;"N/A"),"Device ID, ","")&amp;IF(AND($BK205&lt;&gt;"Yes",$BK205&lt;&gt;"N/A"),"Epic Beans Relay, ",""))-2)))</f>
      </c>
      <c r="BM205">
        <f>IF($T205="","",IF($BL205="","Yes","Blocked"))</f>
      </c>
      <c r="BP205">
        <f>IF($BO205="","",IFERROR(VLOOKUP($BO205,'01_Warehouse_Ledger'!$A:$N,4,FALSE),""))</f>
      </c>
      <c r="BQ205">
        <f>IF($BO205="","",IFERROR(VLOOKUP($BO205,'01_Warehouse_Ledger'!$A:$N,5,FALSE),""))</f>
      </c>
      <c r="BR205">
        <f>IF($BO205="","",IFERROR(VLOOKUP($BO205,'01_Warehouse_Ledger'!$A:$N,13,FALSE),""))</f>
      </c>
    </row>
    <row r="206">
      <c r="D206">
        <f>IF($B206&lt;&gt;"Yes","",IF($C206="No","Yes",IF($C206="Yes","No","")))</f>
      </c>
      <c r="E206">
        <f>IF($A206="","",IF($A206="Neuron",IF(OR(AND($S206&lt;&gt;"",LOWER(TRIM($S206))&lt;&gt;"n/a",COUNTIF($S$2:$S$532,$S206)&gt;1),AND($T206&lt;&gt;"",LOWER(TRIM($T206))&lt;&gt;"n/a",COUNTIF($T$2:$T$532,$T206)&gt;1),AND($W206&lt;&gt;"",LOWER(TRIM($W206))&lt;&gt;"n/a",COUNTIF($W$2:$W$532,$W206)&gt;1)),"Yes","No"),IF($A206="Cybernet",IF(OR(AND($Y206&lt;&gt;"",LOWER(TRIM($Y206))&lt;&gt;"n/a",COUNTIF($Y$2:$Y$532,$Y206)&gt;1),AND($Z206&lt;&gt;"",LOWER(TRIM($Z206))&lt;&gt;"n/a",COUNTIF($Z$2:$Z$532,$Z206)&gt;1)),"Yes","No"),IF(AND($AL206&lt;&gt;"",LOWER(TRIM($AL206))&lt;&gt;"n/a",COUNTIF($AL$2:$AL$532,$AL206)&gt;1),"Yes","No"))))</f>
      </c>
      <c r="F206">
        <f>IF($B206&lt;&gt;"Yes","",
IF($A206="Neuron",
IF(OR(
AND($S206&lt;&gt;"",LOWER(TRIM($S206))&lt;&gt;"n/a",COUNTIFS($B$2:$B$532,"Yes",$A$2:$A$532,"Neuron",$S$2:$S$532,$S206)&gt;1),
AND($T206&lt;&gt;"",LOWER(TRIM($T206))&lt;&gt;"n/a",COUNTIFS($B$2:$B$532,"Yes",$A$2:$A$532,"Neuron",$T$2:$T$532,$T206)&gt;1),
AND($W206&lt;&gt;"",LOWER(TRIM($W206))&lt;&gt;"n/a",COUNTIFS($B$2:$B$532,"Yes",$A$2:$A$532,"Neuron",$W$2:$W$532,$W206)&gt;1)
),"Yes","No"),
IF($A206="Cybernet",
IF(OR(
AND($Y206&lt;&gt;"",LOWER(TRIM($Y206))&lt;&gt;"n/a",COUNTIFS($B$2:$B$532,"Yes",$A$2:$A$532,"Cybernet",$Y$2:$Y$532,$Y206)&gt;1),
AND($Z206&lt;&gt;"",LOWER(TRIM($Z206))&lt;&gt;"n/a",COUNTIFS($B$2:$B$532,"Yes",$A$2:$A$532,"Cybernet",$Z$2:$Z$532,$Z206)&gt;1)
),"Yes","No"),
IF(AND($AL206&lt;&gt;"",LOWER(TRIM($AL206))&lt;&gt;"n/a"),
IF(COUNTIFS($B$2:$B$532,"Yes",$A$2:$A$532,$A206,$AL$2:$AL$532,$AL206)&gt;1,"Yes","No"),
"No")
)
)
)</f>
      </c>
      <c r="BL206">
        <f>IF($T206="","",IF((IF(AND($AW206&lt;&gt;"Yes",$AW206&lt;&gt;"N/A"),"Power Cable, ","")&amp;IF(AND($AX206&lt;&gt;"Yes",$AX206&lt;&gt;"N/A"),"Battery, ","")&amp;IF(AND($BE206&lt;&gt;"Yes",$BE206&lt;&gt;"N/A"),"Firmware Download, ","")&amp;IF(AND(OR($BE206="Yes",$BE206="N/A"),$BF206&lt;&gt;"Yes",$BF206&lt;&gt;"N/A"),"Firmware Install, ","")&amp;IF(AND($BJ206&lt;&gt;"Yes",$BJ206&lt;&gt;"N/A"),"Device ID, ","")&amp;IF(AND($BK206&lt;&gt;"Yes",$BK206&lt;&gt;"N/A"),"Epic Beans Relay, ",""))="","",LEFT(IF(AND($AW206&lt;&gt;"Yes",$AW206&lt;&gt;"N/A"),"Power Cable, ","")&amp;IF(AND($AX206&lt;&gt;"Yes",$AX206&lt;&gt;"N/A"),"Battery, ","")&amp;IF(AND($BE206&lt;&gt;"Yes",$BE206&lt;&gt;"N/A"),"Firmware Download, ","")&amp;IF(AND(OR($BE206="Yes",$BE206="N/A"),$BF206&lt;&gt;"Yes",$BF206&lt;&gt;"N/A"),"Firmware Install, ","")&amp;IF(AND($BJ206&lt;&gt;"Yes",$BJ206&lt;&gt;"N/A"),"Device ID, ","")&amp;IF(AND($BK206&lt;&gt;"Yes",$BK206&lt;&gt;"N/A"),"Epic Beans Relay, ",""),LEN(IF(AND($AW206&lt;&gt;"Yes",$AW206&lt;&gt;"N/A"),"Power Cable, ","")&amp;IF(AND($AX206&lt;&gt;"Yes",$AX206&lt;&gt;"N/A"),"Battery, ","")&amp;IF(AND($BE206&lt;&gt;"Yes",$BE206&lt;&gt;"N/A"),"Firmware Download, ","")&amp;IF(AND(OR($BE206="Yes",$BE206="N/A"),$BF206&lt;&gt;"Yes",$BF206&lt;&gt;"N/A"),"Firmware Install, ","")&amp;IF(AND($BJ206&lt;&gt;"Yes",$BJ206&lt;&gt;"N/A"),"Device ID, ","")&amp;IF(AND($BK206&lt;&gt;"Yes",$BK206&lt;&gt;"N/A"),"Epic Beans Relay, ",""))-2)))</f>
      </c>
      <c r="BM206">
        <f>IF($T206="","",IF($BL206="","Yes","Blocked"))</f>
      </c>
      <c r="BP206">
        <f>IF($BO206="","",IFERROR(VLOOKUP($BO206,'01_Warehouse_Ledger'!$A:$N,4,FALSE),""))</f>
      </c>
      <c r="BQ206">
        <f>IF($BO206="","",IFERROR(VLOOKUP($BO206,'01_Warehouse_Ledger'!$A:$N,5,FALSE),""))</f>
      </c>
      <c r="BR206">
        <f>IF($BO206="","",IFERROR(VLOOKUP($BO206,'01_Warehouse_Ledger'!$A:$N,13,FALSE),""))</f>
      </c>
    </row>
    <row r="207">
      <c r="D207">
        <f>IF($B207&lt;&gt;"Yes","",IF($C207="No","Yes",IF($C207="Yes","No","")))</f>
      </c>
      <c r="E207">
        <f>IF($A207="","",IF($A207="Neuron",IF(OR(AND($S207&lt;&gt;"",LOWER(TRIM($S207))&lt;&gt;"n/a",COUNTIF($S$2:$S$532,$S207)&gt;1),AND($T207&lt;&gt;"",LOWER(TRIM($T207))&lt;&gt;"n/a",COUNTIF($T$2:$T$532,$T207)&gt;1),AND($W207&lt;&gt;"",LOWER(TRIM($W207))&lt;&gt;"n/a",COUNTIF($W$2:$W$532,$W207)&gt;1)),"Yes","No"),IF($A207="Cybernet",IF(OR(AND($Y207&lt;&gt;"",LOWER(TRIM($Y207))&lt;&gt;"n/a",COUNTIF($Y$2:$Y$532,$Y207)&gt;1),AND($Z207&lt;&gt;"",LOWER(TRIM($Z207))&lt;&gt;"n/a",COUNTIF($Z$2:$Z$532,$Z207)&gt;1)),"Yes","No"),IF(AND($AL207&lt;&gt;"",LOWER(TRIM($AL207))&lt;&gt;"n/a",COUNTIF($AL$2:$AL$532,$AL207)&gt;1),"Yes","No"))))</f>
      </c>
      <c r="F207">
        <f>IF($B207&lt;&gt;"Yes","",
IF($A207="Neuron",
IF(OR(
AND($S207&lt;&gt;"",LOWER(TRIM($S207))&lt;&gt;"n/a",COUNTIFS($B$2:$B$532,"Yes",$A$2:$A$532,"Neuron",$S$2:$S$532,$S207)&gt;1),
AND($T207&lt;&gt;"",LOWER(TRIM($T207))&lt;&gt;"n/a",COUNTIFS($B$2:$B$532,"Yes",$A$2:$A$532,"Neuron",$T$2:$T$532,$T207)&gt;1),
AND($W207&lt;&gt;"",LOWER(TRIM($W207))&lt;&gt;"n/a",COUNTIFS($B$2:$B$532,"Yes",$A$2:$A$532,"Neuron",$W$2:$W$532,$W207)&gt;1)
),"Yes","No"),
IF($A207="Cybernet",
IF(OR(
AND($Y207&lt;&gt;"",LOWER(TRIM($Y207))&lt;&gt;"n/a",COUNTIFS($B$2:$B$532,"Yes",$A$2:$A$532,"Cybernet",$Y$2:$Y$532,$Y207)&gt;1),
AND($Z207&lt;&gt;"",LOWER(TRIM($Z207))&lt;&gt;"n/a",COUNTIFS($B$2:$B$532,"Yes",$A$2:$A$532,"Cybernet",$Z$2:$Z$532,$Z207)&gt;1)
),"Yes","No"),
IF(AND($AL207&lt;&gt;"",LOWER(TRIM($AL207))&lt;&gt;"n/a"),
IF(COUNTIFS($B$2:$B$532,"Yes",$A$2:$A$532,$A207,$AL$2:$AL$532,$AL207)&gt;1,"Yes","No"),
"No")
)
)
)</f>
      </c>
      <c r="BL207">
        <f>IF($T207="","",IF((IF(AND($AW207&lt;&gt;"Yes",$AW207&lt;&gt;"N/A"),"Power Cable, ","")&amp;IF(AND($AX207&lt;&gt;"Yes",$AX207&lt;&gt;"N/A"),"Battery, ","")&amp;IF(AND($BE207&lt;&gt;"Yes",$BE207&lt;&gt;"N/A"),"Firmware Download, ","")&amp;IF(AND(OR($BE207="Yes",$BE207="N/A"),$BF207&lt;&gt;"Yes",$BF207&lt;&gt;"N/A"),"Firmware Install, ","")&amp;IF(AND($BJ207&lt;&gt;"Yes",$BJ207&lt;&gt;"N/A"),"Device ID, ","")&amp;IF(AND($BK207&lt;&gt;"Yes",$BK207&lt;&gt;"N/A"),"Epic Beans Relay, ",""))="","",LEFT(IF(AND($AW207&lt;&gt;"Yes",$AW207&lt;&gt;"N/A"),"Power Cable, ","")&amp;IF(AND($AX207&lt;&gt;"Yes",$AX207&lt;&gt;"N/A"),"Battery, ","")&amp;IF(AND($BE207&lt;&gt;"Yes",$BE207&lt;&gt;"N/A"),"Firmware Download, ","")&amp;IF(AND(OR($BE207="Yes",$BE207="N/A"),$BF207&lt;&gt;"Yes",$BF207&lt;&gt;"N/A"),"Firmware Install, ","")&amp;IF(AND($BJ207&lt;&gt;"Yes",$BJ207&lt;&gt;"N/A"),"Device ID, ","")&amp;IF(AND($BK207&lt;&gt;"Yes",$BK207&lt;&gt;"N/A"),"Epic Beans Relay, ",""),LEN(IF(AND($AW207&lt;&gt;"Yes",$AW207&lt;&gt;"N/A"),"Power Cable, ","")&amp;IF(AND($AX207&lt;&gt;"Yes",$AX207&lt;&gt;"N/A"),"Battery, ","")&amp;IF(AND($BE207&lt;&gt;"Yes",$BE207&lt;&gt;"N/A"),"Firmware Download, ","")&amp;IF(AND(OR($BE207="Yes",$BE207="N/A"),$BF207&lt;&gt;"Yes",$BF207&lt;&gt;"N/A"),"Firmware Install, ","")&amp;IF(AND($BJ207&lt;&gt;"Yes",$BJ207&lt;&gt;"N/A"),"Device ID, ","")&amp;IF(AND($BK207&lt;&gt;"Yes",$BK207&lt;&gt;"N/A"),"Epic Beans Relay, ",""))-2)))</f>
      </c>
      <c r="BM207">
        <f>IF($T207="","",IF($BL207="","Yes","Blocked"))</f>
      </c>
      <c r="BP207">
        <f>IF($BO207="","",IFERROR(VLOOKUP($BO207,'01_Warehouse_Ledger'!$A:$N,4,FALSE),""))</f>
      </c>
      <c r="BQ207">
        <f>IF($BO207="","",IFERROR(VLOOKUP($BO207,'01_Warehouse_Ledger'!$A:$N,5,FALSE),""))</f>
      </c>
      <c r="BR207">
        <f>IF($BO207="","",IFERROR(VLOOKUP($BO207,'01_Warehouse_Ledger'!$A:$N,13,FALSE),""))</f>
      </c>
    </row>
    <row r="208">
      <c r="D208">
        <f>IF($B208&lt;&gt;"Yes","",IF($C208="No","Yes",IF($C208="Yes","No","")))</f>
      </c>
      <c r="E208">
        <f>IF($A208="","",IF($A208="Neuron",IF(OR(AND($S208&lt;&gt;"",LOWER(TRIM($S208))&lt;&gt;"n/a",COUNTIF($S$2:$S$532,$S208)&gt;1),AND($T208&lt;&gt;"",LOWER(TRIM($T208))&lt;&gt;"n/a",COUNTIF($T$2:$T$532,$T208)&gt;1),AND($W208&lt;&gt;"",LOWER(TRIM($W208))&lt;&gt;"n/a",COUNTIF($W$2:$W$532,$W208)&gt;1)),"Yes","No"),IF($A208="Cybernet",IF(OR(AND($Y208&lt;&gt;"",LOWER(TRIM($Y208))&lt;&gt;"n/a",COUNTIF($Y$2:$Y$532,$Y208)&gt;1),AND($Z208&lt;&gt;"",LOWER(TRIM($Z208))&lt;&gt;"n/a",COUNTIF($Z$2:$Z$532,$Z208)&gt;1)),"Yes","No"),IF(AND($AL208&lt;&gt;"",LOWER(TRIM($AL208))&lt;&gt;"n/a",COUNTIF($AL$2:$AL$532,$AL208)&gt;1),"Yes","No"))))</f>
      </c>
      <c r="F208">
        <f>IF($B208&lt;&gt;"Yes","",
IF($A208="Neuron",
IF(OR(
AND($S208&lt;&gt;"",LOWER(TRIM($S208))&lt;&gt;"n/a",COUNTIFS($B$2:$B$532,"Yes",$A$2:$A$532,"Neuron",$S$2:$S$532,$S208)&gt;1),
AND($T208&lt;&gt;"",LOWER(TRIM($T208))&lt;&gt;"n/a",COUNTIFS($B$2:$B$532,"Yes",$A$2:$A$532,"Neuron",$T$2:$T$532,$T208)&gt;1),
AND($W208&lt;&gt;"",LOWER(TRIM($W208))&lt;&gt;"n/a",COUNTIFS($B$2:$B$532,"Yes",$A$2:$A$532,"Neuron",$W$2:$W$532,$W208)&gt;1)
),"Yes","No"),
IF($A208="Cybernet",
IF(OR(
AND($Y208&lt;&gt;"",LOWER(TRIM($Y208))&lt;&gt;"n/a",COUNTIFS($B$2:$B$532,"Yes",$A$2:$A$532,"Cybernet",$Y$2:$Y$532,$Y208)&gt;1),
AND($Z208&lt;&gt;"",LOWER(TRIM($Z208))&lt;&gt;"n/a",COUNTIFS($B$2:$B$532,"Yes",$A$2:$A$532,"Cybernet",$Z$2:$Z$532,$Z208)&gt;1)
),"Yes","No"),
IF(AND($AL208&lt;&gt;"",LOWER(TRIM($AL208))&lt;&gt;"n/a"),
IF(COUNTIFS($B$2:$B$532,"Yes",$A$2:$A$532,$A208,$AL$2:$AL$532,$AL208)&gt;1,"Yes","No"),
"No")
)
)
)</f>
      </c>
      <c r="BL208">
        <f>IF($T208="","",IF((IF(AND($AW208&lt;&gt;"Yes",$AW208&lt;&gt;"N/A"),"Power Cable, ","")&amp;IF(AND($AX208&lt;&gt;"Yes",$AX208&lt;&gt;"N/A"),"Battery, ","")&amp;IF(AND($BE208&lt;&gt;"Yes",$BE208&lt;&gt;"N/A"),"Firmware Download, ","")&amp;IF(AND(OR($BE208="Yes",$BE208="N/A"),$BF208&lt;&gt;"Yes",$BF208&lt;&gt;"N/A"),"Firmware Install, ","")&amp;IF(AND($BJ208&lt;&gt;"Yes",$BJ208&lt;&gt;"N/A"),"Device ID, ","")&amp;IF(AND($BK208&lt;&gt;"Yes",$BK208&lt;&gt;"N/A"),"Epic Beans Relay, ",""))="","",LEFT(IF(AND($AW208&lt;&gt;"Yes",$AW208&lt;&gt;"N/A"),"Power Cable, ","")&amp;IF(AND($AX208&lt;&gt;"Yes",$AX208&lt;&gt;"N/A"),"Battery, ","")&amp;IF(AND($BE208&lt;&gt;"Yes",$BE208&lt;&gt;"N/A"),"Firmware Download, ","")&amp;IF(AND(OR($BE208="Yes",$BE208="N/A"),$BF208&lt;&gt;"Yes",$BF208&lt;&gt;"N/A"),"Firmware Install, ","")&amp;IF(AND($BJ208&lt;&gt;"Yes",$BJ208&lt;&gt;"N/A"),"Device ID, ","")&amp;IF(AND($BK208&lt;&gt;"Yes",$BK208&lt;&gt;"N/A"),"Epic Beans Relay, ",""),LEN(IF(AND($AW208&lt;&gt;"Yes",$AW208&lt;&gt;"N/A"),"Power Cable, ","")&amp;IF(AND($AX208&lt;&gt;"Yes",$AX208&lt;&gt;"N/A"),"Battery, ","")&amp;IF(AND($BE208&lt;&gt;"Yes",$BE208&lt;&gt;"N/A"),"Firmware Download, ","")&amp;IF(AND(OR($BE208="Yes",$BE208="N/A"),$BF208&lt;&gt;"Yes",$BF208&lt;&gt;"N/A"),"Firmware Install, ","")&amp;IF(AND($BJ208&lt;&gt;"Yes",$BJ208&lt;&gt;"N/A"),"Device ID, ","")&amp;IF(AND($BK208&lt;&gt;"Yes",$BK208&lt;&gt;"N/A"),"Epic Beans Relay, ",""))-2)))</f>
      </c>
      <c r="BM208">
        <f>IF($T208="","",IF($BL208="","Yes","Blocked"))</f>
      </c>
      <c r="BP208">
        <f>IF($BO208="","",IFERROR(VLOOKUP($BO208,'01_Warehouse_Ledger'!$A:$N,4,FALSE),""))</f>
      </c>
      <c r="BQ208">
        <f>IF($BO208="","",IFERROR(VLOOKUP($BO208,'01_Warehouse_Ledger'!$A:$N,5,FALSE),""))</f>
      </c>
      <c r="BR208">
        <f>IF($BO208="","",IFERROR(VLOOKUP($BO208,'01_Warehouse_Ledger'!$A:$N,13,FALSE),""))</f>
      </c>
    </row>
    <row r="209">
      <c r="D209">
        <f>IF($B209&lt;&gt;"Yes","",IF($C209="No","Yes",IF($C209="Yes","No","")))</f>
      </c>
      <c r="E209">
        <f>IF($A209="","",IF($A209="Neuron",IF(OR(AND($S209&lt;&gt;"",LOWER(TRIM($S209))&lt;&gt;"n/a",COUNTIF($S$2:$S$532,$S209)&gt;1),AND($T209&lt;&gt;"",LOWER(TRIM($T209))&lt;&gt;"n/a",COUNTIF($T$2:$T$532,$T209)&gt;1),AND($W209&lt;&gt;"",LOWER(TRIM($W209))&lt;&gt;"n/a",COUNTIF($W$2:$W$532,$W209)&gt;1)),"Yes","No"),IF($A209="Cybernet",IF(OR(AND($Y209&lt;&gt;"",LOWER(TRIM($Y209))&lt;&gt;"n/a",COUNTIF($Y$2:$Y$532,$Y209)&gt;1),AND($Z209&lt;&gt;"",LOWER(TRIM($Z209))&lt;&gt;"n/a",COUNTIF($Z$2:$Z$532,$Z209)&gt;1)),"Yes","No"),IF(AND($AL209&lt;&gt;"",LOWER(TRIM($AL209))&lt;&gt;"n/a",COUNTIF($AL$2:$AL$532,$AL209)&gt;1),"Yes","No"))))</f>
      </c>
      <c r="F209">
        <f>IF($B209&lt;&gt;"Yes","",
IF($A209="Neuron",
IF(OR(
AND($S209&lt;&gt;"",LOWER(TRIM($S209))&lt;&gt;"n/a",COUNTIFS($B$2:$B$532,"Yes",$A$2:$A$532,"Neuron",$S$2:$S$532,$S209)&gt;1),
AND($T209&lt;&gt;"",LOWER(TRIM($T209))&lt;&gt;"n/a",COUNTIFS($B$2:$B$532,"Yes",$A$2:$A$532,"Neuron",$T$2:$T$532,$T209)&gt;1),
AND($W209&lt;&gt;"",LOWER(TRIM($W209))&lt;&gt;"n/a",COUNTIFS($B$2:$B$532,"Yes",$A$2:$A$532,"Neuron",$W$2:$W$532,$W209)&gt;1)
),"Yes","No"),
IF($A209="Cybernet",
IF(OR(
AND($Y209&lt;&gt;"",LOWER(TRIM($Y209))&lt;&gt;"n/a",COUNTIFS($B$2:$B$532,"Yes",$A$2:$A$532,"Cybernet",$Y$2:$Y$532,$Y209)&gt;1),
AND($Z209&lt;&gt;"",LOWER(TRIM($Z209))&lt;&gt;"n/a",COUNTIFS($B$2:$B$532,"Yes",$A$2:$A$532,"Cybernet",$Z$2:$Z$532,$Z209)&gt;1)
),"Yes","No"),
IF(AND($AL209&lt;&gt;"",LOWER(TRIM($AL209))&lt;&gt;"n/a"),
IF(COUNTIFS($B$2:$B$532,"Yes",$A$2:$A$532,$A209,$AL$2:$AL$532,$AL209)&gt;1,"Yes","No"),
"No")
)
)
)</f>
      </c>
      <c r="BL209">
        <f>IF($T209="","",IF((IF(AND($AW209&lt;&gt;"Yes",$AW209&lt;&gt;"N/A"),"Power Cable, ","")&amp;IF(AND($AX209&lt;&gt;"Yes",$AX209&lt;&gt;"N/A"),"Battery, ","")&amp;IF(AND($BE209&lt;&gt;"Yes",$BE209&lt;&gt;"N/A"),"Firmware Download, ","")&amp;IF(AND(OR($BE209="Yes",$BE209="N/A"),$BF209&lt;&gt;"Yes",$BF209&lt;&gt;"N/A"),"Firmware Install, ","")&amp;IF(AND($BJ209&lt;&gt;"Yes",$BJ209&lt;&gt;"N/A"),"Device ID, ","")&amp;IF(AND($BK209&lt;&gt;"Yes",$BK209&lt;&gt;"N/A"),"Epic Beans Relay, ",""))="","",LEFT(IF(AND($AW209&lt;&gt;"Yes",$AW209&lt;&gt;"N/A"),"Power Cable, ","")&amp;IF(AND($AX209&lt;&gt;"Yes",$AX209&lt;&gt;"N/A"),"Battery, ","")&amp;IF(AND($BE209&lt;&gt;"Yes",$BE209&lt;&gt;"N/A"),"Firmware Download, ","")&amp;IF(AND(OR($BE209="Yes",$BE209="N/A"),$BF209&lt;&gt;"Yes",$BF209&lt;&gt;"N/A"),"Firmware Install, ","")&amp;IF(AND($BJ209&lt;&gt;"Yes",$BJ209&lt;&gt;"N/A"),"Device ID, ","")&amp;IF(AND($BK209&lt;&gt;"Yes",$BK209&lt;&gt;"N/A"),"Epic Beans Relay, ",""),LEN(IF(AND($AW209&lt;&gt;"Yes",$AW209&lt;&gt;"N/A"),"Power Cable, ","")&amp;IF(AND($AX209&lt;&gt;"Yes",$AX209&lt;&gt;"N/A"),"Battery, ","")&amp;IF(AND($BE209&lt;&gt;"Yes",$BE209&lt;&gt;"N/A"),"Firmware Download, ","")&amp;IF(AND(OR($BE209="Yes",$BE209="N/A"),$BF209&lt;&gt;"Yes",$BF209&lt;&gt;"N/A"),"Firmware Install, ","")&amp;IF(AND($BJ209&lt;&gt;"Yes",$BJ209&lt;&gt;"N/A"),"Device ID, ","")&amp;IF(AND($BK209&lt;&gt;"Yes",$BK209&lt;&gt;"N/A"),"Epic Beans Relay, ",""))-2)))</f>
      </c>
      <c r="BM209">
        <f>IF($T209="","",IF($BL209="","Yes","Blocked"))</f>
      </c>
      <c r="BP209">
        <f>IF($BO209="","",IFERROR(VLOOKUP($BO209,'01_Warehouse_Ledger'!$A:$N,4,FALSE),""))</f>
      </c>
      <c r="BQ209">
        <f>IF($BO209="","",IFERROR(VLOOKUP($BO209,'01_Warehouse_Ledger'!$A:$N,5,FALSE),""))</f>
      </c>
      <c r="BR209">
        <f>IF($BO209="","",IFERROR(VLOOKUP($BO209,'01_Warehouse_Ledger'!$A:$N,13,FALSE),""))</f>
      </c>
    </row>
    <row r="210">
      <c r="D210">
        <f>IF($B210&lt;&gt;"Yes","",IF($C210="No","Yes",IF($C210="Yes","No","")))</f>
      </c>
      <c r="E210">
        <f>IF($A210="","",IF($A210="Neuron",IF(OR(AND($S210&lt;&gt;"",LOWER(TRIM($S210))&lt;&gt;"n/a",COUNTIF($S$2:$S$532,$S210)&gt;1),AND($T210&lt;&gt;"",LOWER(TRIM($T210))&lt;&gt;"n/a",COUNTIF($T$2:$T$532,$T210)&gt;1),AND($W210&lt;&gt;"",LOWER(TRIM($W210))&lt;&gt;"n/a",COUNTIF($W$2:$W$532,$W210)&gt;1)),"Yes","No"),IF($A210="Cybernet",IF(OR(AND($Y210&lt;&gt;"",LOWER(TRIM($Y210))&lt;&gt;"n/a",COUNTIF($Y$2:$Y$532,$Y210)&gt;1),AND($Z210&lt;&gt;"",LOWER(TRIM($Z210))&lt;&gt;"n/a",COUNTIF($Z$2:$Z$532,$Z210)&gt;1)),"Yes","No"),IF(AND($AL210&lt;&gt;"",LOWER(TRIM($AL210))&lt;&gt;"n/a",COUNTIF($AL$2:$AL$532,$AL210)&gt;1),"Yes","No"))))</f>
      </c>
      <c r="F210">
        <f>IF($B210&lt;&gt;"Yes","",
IF($A210="Neuron",
IF(OR(
AND($S210&lt;&gt;"",LOWER(TRIM($S210))&lt;&gt;"n/a",COUNTIFS($B$2:$B$532,"Yes",$A$2:$A$532,"Neuron",$S$2:$S$532,$S210)&gt;1),
AND($T210&lt;&gt;"",LOWER(TRIM($T210))&lt;&gt;"n/a",COUNTIFS($B$2:$B$532,"Yes",$A$2:$A$532,"Neuron",$T$2:$T$532,$T210)&gt;1),
AND($W210&lt;&gt;"",LOWER(TRIM($W210))&lt;&gt;"n/a",COUNTIFS($B$2:$B$532,"Yes",$A$2:$A$532,"Neuron",$W$2:$W$532,$W210)&gt;1)
),"Yes","No"),
IF($A210="Cybernet",
IF(OR(
AND($Y210&lt;&gt;"",LOWER(TRIM($Y210))&lt;&gt;"n/a",COUNTIFS($B$2:$B$532,"Yes",$A$2:$A$532,"Cybernet",$Y$2:$Y$532,$Y210)&gt;1),
AND($Z210&lt;&gt;"",LOWER(TRIM($Z210))&lt;&gt;"n/a",COUNTIFS($B$2:$B$532,"Yes",$A$2:$A$532,"Cybernet",$Z$2:$Z$532,$Z210)&gt;1)
),"Yes","No"),
IF(AND($AL210&lt;&gt;"",LOWER(TRIM($AL210))&lt;&gt;"n/a"),
IF(COUNTIFS($B$2:$B$532,"Yes",$A$2:$A$532,$A210,$AL$2:$AL$532,$AL210)&gt;1,"Yes","No"),
"No")
)
)
)</f>
      </c>
      <c r="BL210">
        <f>IF($T210="","",IF((IF(AND($AW210&lt;&gt;"Yes",$AW210&lt;&gt;"N/A"),"Power Cable, ","")&amp;IF(AND($AX210&lt;&gt;"Yes",$AX210&lt;&gt;"N/A"),"Battery, ","")&amp;IF(AND($BE210&lt;&gt;"Yes",$BE210&lt;&gt;"N/A"),"Firmware Download, ","")&amp;IF(AND(OR($BE210="Yes",$BE210="N/A"),$BF210&lt;&gt;"Yes",$BF210&lt;&gt;"N/A"),"Firmware Install, ","")&amp;IF(AND($BJ210&lt;&gt;"Yes",$BJ210&lt;&gt;"N/A"),"Device ID, ","")&amp;IF(AND($BK210&lt;&gt;"Yes",$BK210&lt;&gt;"N/A"),"Epic Beans Relay, ",""))="","",LEFT(IF(AND($AW210&lt;&gt;"Yes",$AW210&lt;&gt;"N/A"),"Power Cable, ","")&amp;IF(AND($AX210&lt;&gt;"Yes",$AX210&lt;&gt;"N/A"),"Battery, ","")&amp;IF(AND($BE210&lt;&gt;"Yes",$BE210&lt;&gt;"N/A"),"Firmware Download, ","")&amp;IF(AND(OR($BE210="Yes",$BE210="N/A"),$BF210&lt;&gt;"Yes",$BF210&lt;&gt;"N/A"),"Firmware Install, ","")&amp;IF(AND($BJ210&lt;&gt;"Yes",$BJ210&lt;&gt;"N/A"),"Device ID, ","")&amp;IF(AND($BK210&lt;&gt;"Yes",$BK210&lt;&gt;"N/A"),"Epic Beans Relay, ",""),LEN(IF(AND($AW210&lt;&gt;"Yes",$AW210&lt;&gt;"N/A"),"Power Cable, ","")&amp;IF(AND($AX210&lt;&gt;"Yes",$AX210&lt;&gt;"N/A"),"Battery, ","")&amp;IF(AND($BE210&lt;&gt;"Yes",$BE210&lt;&gt;"N/A"),"Firmware Download, ","")&amp;IF(AND(OR($BE210="Yes",$BE210="N/A"),$BF210&lt;&gt;"Yes",$BF210&lt;&gt;"N/A"),"Firmware Install, ","")&amp;IF(AND($BJ210&lt;&gt;"Yes",$BJ210&lt;&gt;"N/A"),"Device ID, ","")&amp;IF(AND($BK210&lt;&gt;"Yes",$BK210&lt;&gt;"N/A"),"Epic Beans Relay, ",""))-2)))</f>
      </c>
      <c r="BM210">
        <f>IF($T210="","",IF($BL210="","Yes","Blocked"))</f>
      </c>
      <c r="BP210">
        <f>IF($BO210="","",IFERROR(VLOOKUP($BO210,'01_Warehouse_Ledger'!$A:$N,4,FALSE),""))</f>
      </c>
      <c r="BQ210">
        <f>IF($BO210="","",IFERROR(VLOOKUP($BO210,'01_Warehouse_Ledger'!$A:$N,5,FALSE),""))</f>
      </c>
      <c r="BR210">
        <f>IF($BO210="","",IFERROR(VLOOKUP($BO210,'01_Warehouse_Ledger'!$A:$N,13,FALSE),""))</f>
      </c>
    </row>
    <row r="211">
      <c r="D211">
        <f>IF($B211&lt;&gt;"Yes","",IF($C211="No","Yes",IF($C211="Yes","No","")))</f>
      </c>
      <c r="E211">
        <f>IF($A211="","",IF($A211="Neuron",IF(OR(AND($S211&lt;&gt;"",LOWER(TRIM($S211))&lt;&gt;"n/a",COUNTIF($S$2:$S$532,$S211)&gt;1),AND($T211&lt;&gt;"",LOWER(TRIM($T211))&lt;&gt;"n/a",COUNTIF($T$2:$T$532,$T211)&gt;1),AND($W211&lt;&gt;"",LOWER(TRIM($W211))&lt;&gt;"n/a",COUNTIF($W$2:$W$532,$W211)&gt;1)),"Yes","No"),IF($A211="Cybernet",IF(OR(AND($Y211&lt;&gt;"",LOWER(TRIM($Y211))&lt;&gt;"n/a",COUNTIF($Y$2:$Y$532,$Y211)&gt;1),AND($Z211&lt;&gt;"",LOWER(TRIM($Z211))&lt;&gt;"n/a",COUNTIF($Z$2:$Z$532,$Z211)&gt;1)),"Yes","No"),IF(AND($AL211&lt;&gt;"",LOWER(TRIM($AL211))&lt;&gt;"n/a",COUNTIF($AL$2:$AL$532,$AL211)&gt;1),"Yes","No"))))</f>
      </c>
      <c r="F211">
        <f>IF($B211&lt;&gt;"Yes","",
IF($A211="Neuron",
IF(OR(
AND($S211&lt;&gt;"",LOWER(TRIM($S211))&lt;&gt;"n/a",COUNTIFS($B$2:$B$532,"Yes",$A$2:$A$532,"Neuron",$S$2:$S$532,$S211)&gt;1),
AND($T211&lt;&gt;"",LOWER(TRIM($T211))&lt;&gt;"n/a",COUNTIFS($B$2:$B$532,"Yes",$A$2:$A$532,"Neuron",$T$2:$T$532,$T211)&gt;1),
AND($W211&lt;&gt;"",LOWER(TRIM($W211))&lt;&gt;"n/a",COUNTIFS($B$2:$B$532,"Yes",$A$2:$A$532,"Neuron",$W$2:$W$532,$W211)&gt;1)
),"Yes","No"),
IF($A211="Cybernet",
IF(OR(
AND($Y211&lt;&gt;"",LOWER(TRIM($Y211))&lt;&gt;"n/a",COUNTIFS($B$2:$B$532,"Yes",$A$2:$A$532,"Cybernet",$Y$2:$Y$532,$Y211)&gt;1),
AND($Z211&lt;&gt;"",LOWER(TRIM($Z211))&lt;&gt;"n/a",COUNTIFS($B$2:$B$532,"Yes",$A$2:$A$532,"Cybernet",$Z$2:$Z$532,$Z211)&gt;1)
),"Yes","No"),
IF(AND($AL211&lt;&gt;"",LOWER(TRIM($AL211))&lt;&gt;"n/a"),
IF(COUNTIFS($B$2:$B$532,"Yes",$A$2:$A$532,$A211,$AL$2:$AL$532,$AL211)&gt;1,"Yes","No"),
"No")
)
)
)</f>
      </c>
      <c r="BL211">
        <f>IF($T211="","",IF((IF(AND($AW211&lt;&gt;"Yes",$AW211&lt;&gt;"N/A"),"Power Cable, ","")&amp;IF(AND($AX211&lt;&gt;"Yes",$AX211&lt;&gt;"N/A"),"Battery, ","")&amp;IF(AND($BE211&lt;&gt;"Yes",$BE211&lt;&gt;"N/A"),"Firmware Download, ","")&amp;IF(AND(OR($BE211="Yes",$BE211="N/A"),$BF211&lt;&gt;"Yes",$BF211&lt;&gt;"N/A"),"Firmware Install, ","")&amp;IF(AND($BJ211&lt;&gt;"Yes",$BJ211&lt;&gt;"N/A"),"Device ID, ","")&amp;IF(AND($BK211&lt;&gt;"Yes",$BK211&lt;&gt;"N/A"),"Epic Beans Relay, ",""))="","",LEFT(IF(AND($AW211&lt;&gt;"Yes",$AW211&lt;&gt;"N/A"),"Power Cable, ","")&amp;IF(AND($AX211&lt;&gt;"Yes",$AX211&lt;&gt;"N/A"),"Battery, ","")&amp;IF(AND($BE211&lt;&gt;"Yes",$BE211&lt;&gt;"N/A"),"Firmware Download, ","")&amp;IF(AND(OR($BE211="Yes",$BE211="N/A"),$BF211&lt;&gt;"Yes",$BF211&lt;&gt;"N/A"),"Firmware Install, ","")&amp;IF(AND($BJ211&lt;&gt;"Yes",$BJ211&lt;&gt;"N/A"),"Device ID, ","")&amp;IF(AND($BK211&lt;&gt;"Yes",$BK211&lt;&gt;"N/A"),"Epic Beans Relay, ",""),LEN(IF(AND($AW211&lt;&gt;"Yes",$AW211&lt;&gt;"N/A"),"Power Cable, ","")&amp;IF(AND($AX211&lt;&gt;"Yes",$AX211&lt;&gt;"N/A"),"Battery, ","")&amp;IF(AND($BE211&lt;&gt;"Yes",$BE211&lt;&gt;"N/A"),"Firmware Download, ","")&amp;IF(AND(OR($BE211="Yes",$BE211="N/A"),$BF211&lt;&gt;"Yes",$BF211&lt;&gt;"N/A"),"Firmware Install, ","")&amp;IF(AND($BJ211&lt;&gt;"Yes",$BJ211&lt;&gt;"N/A"),"Device ID, ","")&amp;IF(AND($BK211&lt;&gt;"Yes",$BK211&lt;&gt;"N/A"),"Epic Beans Relay, ",""))-2)))</f>
      </c>
      <c r="BM211">
        <f>IF($T211="","",IF($BL211="","Yes","Blocked"))</f>
      </c>
      <c r="BP211">
        <f>IF($BO211="","",IFERROR(VLOOKUP($BO211,'01_Warehouse_Ledger'!$A:$N,4,FALSE),""))</f>
      </c>
      <c r="BQ211">
        <f>IF($BO211="","",IFERROR(VLOOKUP($BO211,'01_Warehouse_Ledger'!$A:$N,5,FALSE),""))</f>
      </c>
      <c r="BR211">
        <f>IF($BO211="","",IFERROR(VLOOKUP($BO211,'01_Warehouse_Ledger'!$A:$N,13,FALSE),""))</f>
      </c>
    </row>
    <row r="212">
      <c r="D212">
        <f>IF($B212&lt;&gt;"Yes","",IF($C212="No","Yes",IF($C212="Yes","No","")))</f>
      </c>
      <c r="E212">
        <f>IF($A212="","",IF($A212="Neuron",IF(OR(AND($S212&lt;&gt;"",LOWER(TRIM($S212))&lt;&gt;"n/a",COUNTIF($S$2:$S$532,$S212)&gt;1),AND($T212&lt;&gt;"",LOWER(TRIM($T212))&lt;&gt;"n/a",COUNTIF($T$2:$T$532,$T212)&gt;1),AND($W212&lt;&gt;"",LOWER(TRIM($W212))&lt;&gt;"n/a",COUNTIF($W$2:$W$532,$W212)&gt;1)),"Yes","No"),IF($A212="Cybernet",IF(OR(AND($Y212&lt;&gt;"",LOWER(TRIM($Y212))&lt;&gt;"n/a",COUNTIF($Y$2:$Y$532,$Y212)&gt;1),AND($Z212&lt;&gt;"",LOWER(TRIM($Z212))&lt;&gt;"n/a",COUNTIF($Z$2:$Z$532,$Z212)&gt;1)),"Yes","No"),IF(AND($AL212&lt;&gt;"",LOWER(TRIM($AL212))&lt;&gt;"n/a",COUNTIF($AL$2:$AL$532,$AL212)&gt;1),"Yes","No"))))</f>
      </c>
      <c r="F212">
        <f>IF($B212&lt;&gt;"Yes","",
IF($A212="Neuron",
IF(OR(
AND($S212&lt;&gt;"",LOWER(TRIM($S212))&lt;&gt;"n/a",COUNTIFS($B$2:$B$532,"Yes",$A$2:$A$532,"Neuron",$S$2:$S$532,$S212)&gt;1),
AND($T212&lt;&gt;"",LOWER(TRIM($T212))&lt;&gt;"n/a",COUNTIFS($B$2:$B$532,"Yes",$A$2:$A$532,"Neuron",$T$2:$T$532,$T212)&gt;1),
AND($W212&lt;&gt;"",LOWER(TRIM($W212))&lt;&gt;"n/a",COUNTIFS($B$2:$B$532,"Yes",$A$2:$A$532,"Neuron",$W$2:$W$532,$W212)&gt;1)
),"Yes","No"),
IF($A212="Cybernet",
IF(OR(
AND($Y212&lt;&gt;"",LOWER(TRIM($Y212))&lt;&gt;"n/a",COUNTIFS($B$2:$B$532,"Yes",$A$2:$A$532,"Cybernet",$Y$2:$Y$532,$Y212)&gt;1),
AND($Z212&lt;&gt;"",LOWER(TRIM($Z212))&lt;&gt;"n/a",COUNTIFS($B$2:$B$532,"Yes",$A$2:$A$532,"Cybernet",$Z$2:$Z$532,$Z212)&gt;1)
),"Yes","No"),
IF(AND($AL212&lt;&gt;"",LOWER(TRIM($AL212))&lt;&gt;"n/a"),
IF(COUNTIFS($B$2:$B$532,"Yes",$A$2:$A$532,$A212,$AL$2:$AL$532,$AL212)&gt;1,"Yes","No"),
"No")
)
)
)</f>
      </c>
      <c r="BL212">
        <f>IF($T212="","",IF((IF(AND($AW212&lt;&gt;"Yes",$AW212&lt;&gt;"N/A"),"Power Cable, ","")&amp;IF(AND($AX212&lt;&gt;"Yes",$AX212&lt;&gt;"N/A"),"Battery, ","")&amp;IF(AND($BE212&lt;&gt;"Yes",$BE212&lt;&gt;"N/A"),"Firmware Download, ","")&amp;IF(AND(OR($BE212="Yes",$BE212="N/A"),$BF212&lt;&gt;"Yes",$BF212&lt;&gt;"N/A"),"Firmware Install, ","")&amp;IF(AND($BJ212&lt;&gt;"Yes",$BJ212&lt;&gt;"N/A"),"Device ID, ","")&amp;IF(AND($BK212&lt;&gt;"Yes",$BK212&lt;&gt;"N/A"),"Epic Beans Relay, ",""))="","",LEFT(IF(AND($AW212&lt;&gt;"Yes",$AW212&lt;&gt;"N/A"),"Power Cable, ","")&amp;IF(AND($AX212&lt;&gt;"Yes",$AX212&lt;&gt;"N/A"),"Battery, ","")&amp;IF(AND($BE212&lt;&gt;"Yes",$BE212&lt;&gt;"N/A"),"Firmware Download, ","")&amp;IF(AND(OR($BE212="Yes",$BE212="N/A"),$BF212&lt;&gt;"Yes",$BF212&lt;&gt;"N/A"),"Firmware Install, ","")&amp;IF(AND($BJ212&lt;&gt;"Yes",$BJ212&lt;&gt;"N/A"),"Device ID, ","")&amp;IF(AND($BK212&lt;&gt;"Yes",$BK212&lt;&gt;"N/A"),"Epic Beans Relay, ",""),LEN(IF(AND($AW212&lt;&gt;"Yes",$AW212&lt;&gt;"N/A"),"Power Cable, ","")&amp;IF(AND($AX212&lt;&gt;"Yes",$AX212&lt;&gt;"N/A"),"Battery, ","")&amp;IF(AND($BE212&lt;&gt;"Yes",$BE212&lt;&gt;"N/A"),"Firmware Download, ","")&amp;IF(AND(OR($BE212="Yes",$BE212="N/A"),$BF212&lt;&gt;"Yes",$BF212&lt;&gt;"N/A"),"Firmware Install, ","")&amp;IF(AND($BJ212&lt;&gt;"Yes",$BJ212&lt;&gt;"N/A"),"Device ID, ","")&amp;IF(AND($BK212&lt;&gt;"Yes",$BK212&lt;&gt;"N/A"),"Epic Beans Relay, ",""))-2)))</f>
      </c>
      <c r="BM212">
        <f>IF($T212="","",IF($BL212="","Yes","Blocked"))</f>
      </c>
      <c r="BP212">
        <f>IF($BO212="","",IFERROR(VLOOKUP($BO212,'01_Warehouse_Ledger'!$A:$N,4,FALSE),""))</f>
      </c>
      <c r="BQ212">
        <f>IF($BO212="","",IFERROR(VLOOKUP($BO212,'01_Warehouse_Ledger'!$A:$N,5,FALSE),""))</f>
      </c>
      <c r="BR212">
        <f>IF($BO212="","",IFERROR(VLOOKUP($BO212,'01_Warehouse_Ledger'!$A:$N,13,FALSE),""))</f>
      </c>
    </row>
    <row r="213">
      <c r="D213">
        <f>IF($B213&lt;&gt;"Yes","",IF($C213="No","Yes",IF($C213="Yes","No","")))</f>
      </c>
      <c r="E213">
        <f>IF($A213="","",IF($A213="Neuron",IF(OR(AND($S213&lt;&gt;"",LOWER(TRIM($S213))&lt;&gt;"n/a",COUNTIF($S$2:$S$532,$S213)&gt;1),AND($T213&lt;&gt;"",LOWER(TRIM($T213))&lt;&gt;"n/a",COUNTIF($T$2:$T$532,$T213)&gt;1),AND($W213&lt;&gt;"",LOWER(TRIM($W213))&lt;&gt;"n/a",COUNTIF($W$2:$W$532,$W213)&gt;1)),"Yes","No"),IF($A213="Cybernet",IF(OR(AND($Y213&lt;&gt;"",LOWER(TRIM($Y213))&lt;&gt;"n/a",COUNTIF($Y$2:$Y$532,$Y213)&gt;1),AND($Z213&lt;&gt;"",LOWER(TRIM($Z213))&lt;&gt;"n/a",COUNTIF($Z$2:$Z$532,$Z213)&gt;1)),"Yes","No"),IF(AND($AL213&lt;&gt;"",LOWER(TRIM($AL213))&lt;&gt;"n/a",COUNTIF($AL$2:$AL$532,$AL213)&gt;1),"Yes","No"))))</f>
      </c>
      <c r="F213">
        <f>IF($B213&lt;&gt;"Yes","",
IF($A213="Neuron",
IF(OR(
AND($S213&lt;&gt;"",LOWER(TRIM($S213))&lt;&gt;"n/a",COUNTIFS($B$2:$B$532,"Yes",$A$2:$A$532,"Neuron",$S$2:$S$532,$S213)&gt;1),
AND($T213&lt;&gt;"",LOWER(TRIM($T213))&lt;&gt;"n/a",COUNTIFS($B$2:$B$532,"Yes",$A$2:$A$532,"Neuron",$T$2:$T$532,$T213)&gt;1),
AND($W213&lt;&gt;"",LOWER(TRIM($W213))&lt;&gt;"n/a",COUNTIFS($B$2:$B$532,"Yes",$A$2:$A$532,"Neuron",$W$2:$W$532,$W213)&gt;1)
),"Yes","No"),
IF($A213="Cybernet",
IF(OR(
AND($Y213&lt;&gt;"",LOWER(TRIM($Y213))&lt;&gt;"n/a",COUNTIFS($B$2:$B$532,"Yes",$A$2:$A$532,"Cybernet",$Y$2:$Y$532,$Y213)&gt;1),
AND($Z213&lt;&gt;"",LOWER(TRIM($Z213))&lt;&gt;"n/a",COUNTIFS($B$2:$B$532,"Yes",$A$2:$A$532,"Cybernet",$Z$2:$Z$532,$Z213)&gt;1)
),"Yes","No"),
IF(AND($AL213&lt;&gt;"",LOWER(TRIM($AL213))&lt;&gt;"n/a"),
IF(COUNTIFS($B$2:$B$532,"Yes",$A$2:$A$532,$A213,$AL$2:$AL$532,$AL213)&gt;1,"Yes","No"),
"No")
)
)
)</f>
      </c>
      <c r="BL213">
        <f>IF($T213="","",IF((IF(AND($AW213&lt;&gt;"Yes",$AW213&lt;&gt;"N/A"),"Power Cable, ","")&amp;IF(AND($AX213&lt;&gt;"Yes",$AX213&lt;&gt;"N/A"),"Battery, ","")&amp;IF(AND($BE213&lt;&gt;"Yes",$BE213&lt;&gt;"N/A"),"Firmware Download, ","")&amp;IF(AND(OR($BE213="Yes",$BE213="N/A"),$BF213&lt;&gt;"Yes",$BF213&lt;&gt;"N/A"),"Firmware Install, ","")&amp;IF(AND($BJ213&lt;&gt;"Yes",$BJ213&lt;&gt;"N/A"),"Device ID, ","")&amp;IF(AND($BK213&lt;&gt;"Yes",$BK213&lt;&gt;"N/A"),"Epic Beans Relay, ",""))="","",LEFT(IF(AND($AW213&lt;&gt;"Yes",$AW213&lt;&gt;"N/A"),"Power Cable, ","")&amp;IF(AND($AX213&lt;&gt;"Yes",$AX213&lt;&gt;"N/A"),"Battery, ","")&amp;IF(AND($BE213&lt;&gt;"Yes",$BE213&lt;&gt;"N/A"),"Firmware Download, ","")&amp;IF(AND(OR($BE213="Yes",$BE213="N/A"),$BF213&lt;&gt;"Yes",$BF213&lt;&gt;"N/A"),"Firmware Install, ","")&amp;IF(AND($BJ213&lt;&gt;"Yes",$BJ213&lt;&gt;"N/A"),"Device ID, ","")&amp;IF(AND($BK213&lt;&gt;"Yes",$BK213&lt;&gt;"N/A"),"Epic Beans Relay, ",""),LEN(IF(AND($AW213&lt;&gt;"Yes",$AW213&lt;&gt;"N/A"),"Power Cable, ","")&amp;IF(AND($AX213&lt;&gt;"Yes",$AX213&lt;&gt;"N/A"),"Battery, ","")&amp;IF(AND($BE213&lt;&gt;"Yes",$BE213&lt;&gt;"N/A"),"Firmware Download, ","")&amp;IF(AND(OR($BE213="Yes",$BE213="N/A"),$BF213&lt;&gt;"Yes",$BF213&lt;&gt;"N/A"),"Firmware Install, ","")&amp;IF(AND($BJ213&lt;&gt;"Yes",$BJ213&lt;&gt;"N/A"),"Device ID, ","")&amp;IF(AND($BK213&lt;&gt;"Yes",$BK213&lt;&gt;"N/A"),"Epic Beans Relay, ",""))-2)))</f>
      </c>
      <c r="BM213">
        <f>IF($T213="","",IF($BL213="","Yes","Blocked"))</f>
      </c>
      <c r="BP213">
        <f>IF($BO213="","",IFERROR(VLOOKUP($BO213,'01_Warehouse_Ledger'!$A:$N,4,FALSE),""))</f>
      </c>
      <c r="BQ213">
        <f>IF($BO213="","",IFERROR(VLOOKUP($BO213,'01_Warehouse_Ledger'!$A:$N,5,FALSE),""))</f>
      </c>
      <c r="BR213">
        <f>IF($BO213="","",IFERROR(VLOOKUP($BO213,'01_Warehouse_Ledger'!$A:$N,13,FALSE),""))</f>
      </c>
    </row>
    <row r="214">
      <c r="D214">
        <f>IF($B214&lt;&gt;"Yes","",IF($C214="No","Yes",IF($C214="Yes","No","")))</f>
      </c>
      <c r="E214">
        <f>IF($A214="","",IF($A214="Neuron",IF(OR(AND($S214&lt;&gt;"",LOWER(TRIM($S214))&lt;&gt;"n/a",COUNTIF($S$2:$S$532,$S214)&gt;1),AND($T214&lt;&gt;"",LOWER(TRIM($T214))&lt;&gt;"n/a",COUNTIF($T$2:$T$532,$T214)&gt;1),AND($W214&lt;&gt;"",LOWER(TRIM($W214))&lt;&gt;"n/a",COUNTIF($W$2:$W$532,$W214)&gt;1)),"Yes","No"),IF($A214="Cybernet",IF(OR(AND($Y214&lt;&gt;"",LOWER(TRIM($Y214))&lt;&gt;"n/a",COUNTIF($Y$2:$Y$532,$Y214)&gt;1),AND($Z214&lt;&gt;"",LOWER(TRIM($Z214))&lt;&gt;"n/a",COUNTIF($Z$2:$Z$532,$Z214)&gt;1)),"Yes","No"),IF(AND($AL214&lt;&gt;"",LOWER(TRIM($AL214))&lt;&gt;"n/a",COUNTIF($AL$2:$AL$532,$AL214)&gt;1),"Yes","No"))))</f>
      </c>
      <c r="F214">
        <f>IF($B214&lt;&gt;"Yes","",
IF($A214="Neuron",
IF(OR(
AND($S214&lt;&gt;"",LOWER(TRIM($S214))&lt;&gt;"n/a",COUNTIFS($B$2:$B$532,"Yes",$A$2:$A$532,"Neuron",$S$2:$S$532,$S214)&gt;1),
AND($T214&lt;&gt;"",LOWER(TRIM($T214))&lt;&gt;"n/a",COUNTIFS($B$2:$B$532,"Yes",$A$2:$A$532,"Neuron",$T$2:$T$532,$T214)&gt;1),
AND($W214&lt;&gt;"",LOWER(TRIM($W214))&lt;&gt;"n/a",COUNTIFS($B$2:$B$532,"Yes",$A$2:$A$532,"Neuron",$W$2:$W$532,$W214)&gt;1)
),"Yes","No"),
IF($A214="Cybernet",
IF(OR(
AND($Y214&lt;&gt;"",LOWER(TRIM($Y214))&lt;&gt;"n/a",COUNTIFS($B$2:$B$532,"Yes",$A$2:$A$532,"Cybernet",$Y$2:$Y$532,$Y214)&gt;1),
AND($Z214&lt;&gt;"",LOWER(TRIM($Z214))&lt;&gt;"n/a",COUNTIFS($B$2:$B$532,"Yes",$A$2:$A$532,"Cybernet",$Z$2:$Z$532,$Z214)&gt;1)
),"Yes","No"),
IF(AND($AL214&lt;&gt;"",LOWER(TRIM($AL214))&lt;&gt;"n/a"),
IF(COUNTIFS($B$2:$B$532,"Yes",$A$2:$A$532,$A214,$AL$2:$AL$532,$AL214)&gt;1,"Yes","No"),
"No")
)
)
)</f>
      </c>
      <c r="BL214">
        <f>IF($T214="","",IF((IF(AND($AW214&lt;&gt;"Yes",$AW214&lt;&gt;"N/A"),"Power Cable, ","")&amp;IF(AND($AX214&lt;&gt;"Yes",$AX214&lt;&gt;"N/A"),"Battery, ","")&amp;IF(AND($BE214&lt;&gt;"Yes",$BE214&lt;&gt;"N/A"),"Firmware Download, ","")&amp;IF(AND(OR($BE214="Yes",$BE214="N/A"),$BF214&lt;&gt;"Yes",$BF214&lt;&gt;"N/A"),"Firmware Install, ","")&amp;IF(AND($BJ214&lt;&gt;"Yes",$BJ214&lt;&gt;"N/A"),"Device ID, ","")&amp;IF(AND($BK214&lt;&gt;"Yes",$BK214&lt;&gt;"N/A"),"Epic Beans Relay, ",""))="","",LEFT(IF(AND($AW214&lt;&gt;"Yes",$AW214&lt;&gt;"N/A"),"Power Cable, ","")&amp;IF(AND($AX214&lt;&gt;"Yes",$AX214&lt;&gt;"N/A"),"Battery, ","")&amp;IF(AND($BE214&lt;&gt;"Yes",$BE214&lt;&gt;"N/A"),"Firmware Download, ","")&amp;IF(AND(OR($BE214="Yes",$BE214="N/A"),$BF214&lt;&gt;"Yes",$BF214&lt;&gt;"N/A"),"Firmware Install, ","")&amp;IF(AND($BJ214&lt;&gt;"Yes",$BJ214&lt;&gt;"N/A"),"Device ID, ","")&amp;IF(AND($BK214&lt;&gt;"Yes",$BK214&lt;&gt;"N/A"),"Epic Beans Relay, ",""),LEN(IF(AND($AW214&lt;&gt;"Yes",$AW214&lt;&gt;"N/A"),"Power Cable, ","")&amp;IF(AND($AX214&lt;&gt;"Yes",$AX214&lt;&gt;"N/A"),"Battery, ","")&amp;IF(AND($BE214&lt;&gt;"Yes",$BE214&lt;&gt;"N/A"),"Firmware Download, ","")&amp;IF(AND(OR($BE214="Yes",$BE214="N/A"),$BF214&lt;&gt;"Yes",$BF214&lt;&gt;"N/A"),"Firmware Install, ","")&amp;IF(AND($BJ214&lt;&gt;"Yes",$BJ214&lt;&gt;"N/A"),"Device ID, ","")&amp;IF(AND($BK214&lt;&gt;"Yes",$BK214&lt;&gt;"N/A"),"Epic Beans Relay, ",""))-2)))</f>
      </c>
      <c r="BM214">
        <f>IF($T214="","",IF($BL214="","Yes","Blocked"))</f>
      </c>
      <c r="BP214">
        <f>IF($BO214="","",IFERROR(VLOOKUP($BO214,'01_Warehouse_Ledger'!$A:$N,4,FALSE),""))</f>
      </c>
      <c r="BQ214">
        <f>IF($BO214="","",IFERROR(VLOOKUP($BO214,'01_Warehouse_Ledger'!$A:$N,5,FALSE),""))</f>
      </c>
      <c r="BR214">
        <f>IF($BO214="","",IFERROR(VLOOKUP($BO214,'01_Warehouse_Ledger'!$A:$N,13,FALSE),""))</f>
      </c>
    </row>
    <row r="215">
      <c r="D215">
        <f>IF($B215&lt;&gt;"Yes","",IF($C215="No","Yes",IF($C215="Yes","No","")))</f>
      </c>
      <c r="E215">
        <f>IF($A215="","",IF($A215="Neuron",IF(OR(AND($S215&lt;&gt;"",LOWER(TRIM($S215))&lt;&gt;"n/a",COUNTIF($S$2:$S$532,$S215)&gt;1),AND($T215&lt;&gt;"",LOWER(TRIM($T215))&lt;&gt;"n/a",COUNTIF($T$2:$T$532,$T215)&gt;1),AND($W215&lt;&gt;"",LOWER(TRIM($W215))&lt;&gt;"n/a",COUNTIF($W$2:$W$532,$W215)&gt;1)),"Yes","No"),IF($A215="Cybernet",IF(OR(AND($Y215&lt;&gt;"",LOWER(TRIM($Y215))&lt;&gt;"n/a",COUNTIF($Y$2:$Y$532,$Y215)&gt;1),AND($Z215&lt;&gt;"",LOWER(TRIM($Z215))&lt;&gt;"n/a",COUNTIF($Z$2:$Z$532,$Z215)&gt;1)),"Yes","No"),IF(AND($AL215&lt;&gt;"",LOWER(TRIM($AL215))&lt;&gt;"n/a",COUNTIF($AL$2:$AL$532,$AL215)&gt;1),"Yes","No"))))</f>
      </c>
      <c r="F215">
        <f>IF($B215&lt;&gt;"Yes","",
IF($A215="Neuron",
IF(OR(
AND($S215&lt;&gt;"",LOWER(TRIM($S215))&lt;&gt;"n/a",COUNTIFS($B$2:$B$532,"Yes",$A$2:$A$532,"Neuron",$S$2:$S$532,$S215)&gt;1),
AND($T215&lt;&gt;"",LOWER(TRIM($T215))&lt;&gt;"n/a",COUNTIFS($B$2:$B$532,"Yes",$A$2:$A$532,"Neuron",$T$2:$T$532,$T215)&gt;1),
AND($W215&lt;&gt;"",LOWER(TRIM($W215))&lt;&gt;"n/a",COUNTIFS($B$2:$B$532,"Yes",$A$2:$A$532,"Neuron",$W$2:$W$532,$W215)&gt;1)
),"Yes","No"),
IF($A215="Cybernet",
IF(OR(
AND($Y215&lt;&gt;"",LOWER(TRIM($Y215))&lt;&gt;"n/a",COUNTIFS($B$2:$B$532,"Yes",$A$2:$A$532,"Cybernet",$Y$2:$Y$532,$Y215)&gt;1),
AND($Z215&lt;&gt;"",LOWER(TRIM($Z215))&lt;&gt;"n/a",COUNTIFS($B$2:$B$532,"Yes",$A$2:$A$532,"Cybernet",$Z$2:$Z$532,$Z215)&gt;1)
),"Yes","No"),
IF(AND($AL215&lt;&gt;"",LOWER(TRIM($AL215))&lt;&gt;"n/a"),
IF(COUNTIFS($B$2:$B$532,"Yes",$A$2:$A$532,$A215,$AL$2:$AL$532,$AL215)&gt;1,"Yes","No"),
"No")
)
)
)</f>
      </c>
      <c r="BL215">
        <f>IF($T215="","",IF((IF(AND($AW215&lt;&gt;"Yes",$AW215&lt;&gt;"N/A"),"Power Cable, ","")&amp;IF(AND($AX215&lt;&gt;"Yes",$AX215&lt;&gt;"N/A"),"Battery, ","")&amp;IF(AND($BE215&lt;&gt;"Yes",$BE215&lt;&gt;"N/A"),"Firmware Download, ","")&amp;IF(AND(OR($BE215="Yes",$BE215="N/A"),$BF215&lt;&gt;"Yes",$BF215&lt;&gt;"N/A"),"Firmware Install, ","")&amp;IF(AND($BJ215&lt;&gt;"Yes",$BJ215&lt;&gt;"N/A"),"Device ID, ","")&amp;IF(AND($BK215&lt;&gt;"Yes",$BK215&lt;&gt;"N/A"),"Epic Beans Relay, ",""))="","",LEFT(IF(AND($AW215&lt;&gt;"Yes",$AW215&lt;&gt;"N/A"),"Power Cable, ","")&amp;IF(AND($AX215&lt;&gt;"Yes",$AX215&lt;&gt;"N/A"),"Battery, ","")&amp;IF(AND($BE215&lt;&gt;"Yes",$BE215&lt;&gt;"N/A"),"Firmware Download, ","")&amp;IF(AND(OR($BE215="Yes",$BE215="N/A"),$BF215&lt;&gt;"Yes",$BF215&lt;&gt;"N/A"),"Firmware Install, ","")&amp;IF(AND($BJ215&lt;&gt;"Yes",$BJ215&lt;&gt;"N/A"),"Device ID, ","")&amp;IF(AND($BK215&lt;&gt;"Yes",$BK215&lt;&gt;"N/A"),"Epic Beans Relay, ",""),LEN(IF(AND($AW215&lt;&gt;"Yes",$AW215&lt;&gt;"N/A"),"Power Cable, ","")&amp;IF(AND($AX215&lt;&gt;"Yes",$AX215&lt;&gt;"N/A"),"Battery, ","")&amp;IF(AND($BE215&lt;&gt;"Yes",$BE215&lt;&gt;"N/A"),"Firmware Download, ","")&amp;IF(AND(OR($BE215="Yes",$BE215="N/A"),$BF215&lt;&gt;"Yes",$BF215&lt;&gt;"N/A"),"Firmware Install, ","")&amp;IF(AND($BJ215&lt;&gt;"Yes",$BJ215&lt;&gt;"N/A"),"Device ID, ","")&amp;IF(AND($BK215&lt;&gt;"Yes",$BK215&lt;&gt;"N/A"),"Epic Beans Relay, ",""))-2)))</f>
      </c>
      <c r="BM215">
        <f>IF($T215="","",IF($BL215="","Yes","Blocked"))</f>
      </c>
      <c r="BP215">
        <f>IF($BO215="","",IFERROR(VLOOKUP($BO215,'01_Warehouse_Ledger'!$A:$N,4,FALSE),""))</f>
      </c>
      <c r="BQ215">
        <f>IF($BO215="","",IFERROR(VLOOKUP($BO215,'01_Warehouse_Ledger'!$A:$N,5,FALSE),""))</f>
      </c>
      <c r="BR215">
        <f>IF($BO215="","",IFERROR(VLOOKUP($BO215,'01_Warehouse_Ledger'!$A:$N,13,FALSE),""))</f>
      </c>
    </row>
    <row r="216">
      <c r="D216">
        <f>IF($B216&lt;&gt;"Yes","",IF($C216="No","Yes",IF($C216="Yes","No","")))</f>
      </c>
      <c r="E216">
        <f>IF($A216="","",IF($A216="Neuron",IF(OR(AND($S216&lt;&gt;"",LOWER(TRIM($S216))&lt;&gt;"n/a",COUNTIF($S$2:$S$532,$S216)&gt;1),AND($T216&lt;&gt;"",LOWER(TRIM($T216))&lt;&gt;"n/a",COUNTIF($T$2:$T$532,$T216)&gt;1),AND($W216&lt;&gt;"",LOWER(TRIM($W216))&lt;&gt;"n/a",COUNTIF($W$2:$W$532,$W216)&gt;1)),"Yes","No"),IF($A216="Cybernet",IF(OR(AND($Y216&lt;&gt;"",LOWER(TRIM($Y216))&lt;&gt;"n/a",COUNTIF($Y$2:$Y$532,$Y216)&gt;1),AND($Z216&lt;&gt;"",LOWER(TRIM($Z216))&lt;&gt;"n/a",COUNTIF($Z$2:$Z$532,$Z216)&gt;1)),"Yes","No"),IF(AND($AL216&lt;&gt;"",LOWER(TRIM($AL216))&lt;&gt;"n/a",COUNTIF($AL$2:$AL$532,$AL216)&gt;1),"Yes","No"))))</f>
      </c>
      <c r="F216">
        <f>IF($B216&lt;&gt;"Yes","",
IF($A216="Neuron",
IF(OR(
AND($S216&lt;&gt;"",LOWER(TRIM($S216))&lt;&gt;"n/a",COUNTIFS($B$2:$B$532,"Yes",$A$2:$A$532,"Neuron",$S$2:$S$532,$S216)&gt;1),
AND($T216&lt;&gt;"",LOWER(TRIM($T216))&lt;&gt;"n/a",COUNTIFS($B$2:$B$532,"Yes",$A$2:$A$532,"Neuron",$T$2:$T$532,$T216)&gt;1),
AND($W216&lt;&gt;"",LOWER(TRIM($W216))&lt;&gt;"n/a",COUNTIFS($B$2:$B$532,"Yes",$A$2:$A$532,"Neuron",$W$2:$W$532,$W216)&gt;1)
),"Yes","No"),
IF($A216="Cybernet",
IF(OR(
AND($Y216&lt;&gt;"",LOWER(TRIM($Y216))&lt;&gt;"n/a",COUNTIFS($B$2:$B$532,"Yes",$A$2:$A$532,"Cybernet",$Y$2:$Y$532,$Y216)&gt;1),
AND($Z216&lt;&gt;"",LOWER(TRIM($Z216))&lt;&gt;"n/a",COUNTIFS($B$2:$B$532,"Yes",$A$2:$A$532,"Cybernet",$Z$2:$Z$532,$Z216)&gt;1)
),"Yes","No"),
IF(AND($AL216&lt;&gt;"",LOWER(TRIM($AL216))&lt;&gt;"n/a"),
IF(COUNTIFS($B$2:$B$532,"Yes",$A$2:$A$532,$A216,$AL$2:$AL$532,$AL216)&gt;1,"Yes","No"),
"No")
)
)
)</f>
      </c>
      <c r="BL216">
        <f>IF($T216="","",IF((IF(AND($AW216&lt;&gt;"Yes",$AW216&lt;&gt;"N/A"),"Power Cable, ","")&amp;IF(AND($AX216&lt;&gt;"Yes",$AX216&lt;&gt;"N/A"),"Battery, ","")&amp;IF(AND($BE216&lt;&gt;"Yes",$BE216&lt;&gt;"N/A"),"Firmware Download, ","")&amp;IF(AND(OR($BE216="Yes",$BE216="N/A"),$BF216&lt;&gt;"Yes",$BF216&lt;&gt;"N/A"),"Firmware Install, ","")&amp;IF(AND($BJ216&lt;&gt;"Yes",$BJ216&lt;&gt;"N/A"),"Device ID, ","")&amp;IF(AND($BK216&lt;&gt;"Yes",$BK216&lt;&gt;"N/A"),"Epic Beans Relay, ",""))="","",LEFT(IF(AND($AW216&lt;&gt;"Yes",$AW216&lt;&gt;"N/A"),"Power Cable, ","")&amp;IF(AND($AX216&lt;&gt;"Yes",$AX216&lt;&gt;"N/A"),"Battery, ","")&amp;IF(AND($BE216&lt;&gt;"Yes",$BE216&lt;&gt;"N/A"),"Firmware Download, ","")&amp;IF(AND(OR($BE216="Yes",$BE216="N/A"),$BF216&lt;&gt;"Yes",$BF216&lt;&gt;"N/A"),"Firmware Install, ","")&amp;IF(AND($BJ216&lt;&gt;"Yes",$BJ216&lt;&gt;"N/A"),"Device ID, ","")&amp;IF(AND($BK216&lt;&gt;"Yes",$BK216&lt;&gt;"N/A"),"Epic Beans Relay, ",""),LEN(IF(AND($AW216&lt;&gt;"Yes",$AW216&lt;&gt;"N/A"),"Power Cable, ","")&amp;IF(AND($AX216&lt;&gt;"Yes",$AX216&lt;&gt;"N/A"),"Battery, ","")&amp;IF(AND($BE216&lt;&gt;"Yes",$BE216&lt;&gt;"N/A"),"Firmware Download, ","")&amp;IF(AND(OR($BE216="Yes",$BE216="N/A"),$BF216&lt;&gt;"Yes",$BF216&lt;&gt;"N/A"),"Firmware Install, ","")&amp;IF(AND($BJ216&lt;&gt;"Yes",$BJ216&lt;&gt;"N/A"),"Device ID, ","")&amp;IF(AND($BK216&lt;&gt;"Yes",$BK216&lt;&gt;"N/A"),"Epic Beans Relay, ",""))-2)))</f>
      </c>
      <c r="BM216">
        <f>IF($T216="","",IF($BL216="","Yes","Blocked"))</f>
      </c>
      <c r="BP216">
        <f>IF($BO216="","",IFERROR(VLOOKUP($BO216,'01_Warehouse_Ledger'!$A:$N,4,FALSE),""))</f>
      </c>
      <c r="BQ216">
        <f>IF($BO216="","",IFERROR(VLOOKUP($BO216,'01_Warehouse_Ledger'!$A:$N,5,FALSE),""))</f>
      </c>
      <c r="BR216">
        <f>IF($BO216="","",IFERROR(VLOOKUP($BO216,'01_Warehouse_Ledger'!$A:$N,13,FALSE),""))</f>
      </c>
    </row>
    <row r="217">
      <c r="D217">
        <f>IF($B217&lt;&gt;"Yes","",IF($C217="No","Yes",IF($C217="Yes","No","")))</f>
      </c>
      <c r="E217">
        <f>IF($A217="","",IF($A217="Neuron",IF(OR(AND($S217&lt;&gt;"",LOWER(TRIM($S217))&lt;&gt;"n/a",COUNTIF($S$2:$S$532,$S217)&gt;1),AND($T217&lt;&gt;"",LOWER(TRIM($T217))&lt;&gt;"n/a",COUNTIF($T$2:$T$532,$T217)&gt;1),AND($W217&lt;&gt;"",LOWER(TRIM($W217))&lt;&gt;"n/a",COUNTIF($W$2:$W$532,$W217)&gt;1)),"Yes","No"),IF($A217="Cybernet",IF(OR(AND($Y217&lt;&gt;"",LOWER(TRIM($Y217))&lt;&gt;"n/a",COUNTIF($Y$2:$Y$532,$Y217)&gt;1),AND($Z217&lt;&gt;"",LOWER(TRIM($Z217))&lt;&gt;"n/a",COUNTIF($Z$2:$Z$532,$Z217)&gt;1)),"Yes","No"),IF(AND($AL217&lt;&gt;"",LOWER(TRIM($AL217))&lt;&gt;"n/a",COUNTIF($AL$2:$AL$532,$AL217)&gt;1),"Yes","No"))))</f>
      </c>
      <c r="F217">
        <f>IF($B217&lt;&gt;"Yes","",
IF($A217="Neuron",
IF(OR(
AND($S217&lt;&gt;"",LOWER(TRIM($S217))&lt;&gt;"n/a",COUNTIFS($B$2:$B$532,"Yes",$A$2:$A$532,"Neuron",$S$2:$S$532,$S217)&gt;1),
AND($T217&lt;&gt;"",LOWER(TRIM($T217))&lt;&gt;"n/a",COUNTIFS($B$2:$B$532,"Yes",$A$2:$A$532,"Neuron",$T$2:$T$532,$T217)&gt;1),
AND($W217&lt;&gt;"",LOWER(TRIM($W217))&lt;&gt;"n/a",COUNTIFS($B$2:$B$532,"Yes",$A$2:$A$532,"Neuron",$W$2:$W$532,$W217)&gt;1)
),"Yes","No"),
IF($A217="Cybernet",
IF(OR(
AND($Y217&lt;&gt;"",LOWER(TRIM($Y217))&lt;&gt;"n/a",COUNTIFS($B$2:$B$532,"Yes",$A$2:$A$532,"Cybernet",$Y$2:$Y$532,$Y217)&gt;1),
AND($Z217&lt;&gt;"",LOWER(TRIM($Z217))&lt;&gt;"n/a",COUNTIFS($B$2:$B$532,"Yes",$A$2:$A$532,"Cybernet",$Z$2:$Z$532,$Z217)&gt;1)
),"Yes","No"),
IF(AND($AL217&lt;&gt;"",LOWER(TRIM($AL217))&lt;&gt;"n/a"),
IF(COUNTIFS($B$2:$B$532,"Yes",$A$2:$A$532,$A217,$AL$2:$AL$532,$AL217)&gt;1,"Yes","No"),
"No")
)
)
)</f>
      </c>
      <c r="BL217">
        <f>IF($T217="","",IF((IF(AND($AW217&lt;&gt;"Yes",$AW217&lt;&gt;"N/A"),"Power Cable, ","")&amp;IF(AND($AX217&lt;&gt;"Yes",$AX217&lt;&gt;"N/A"),"Battery, ","")&amp;IF(AND($BE217&lt;&gt;"Yes",$BE217&lt;&gt;"N/A"),"Firmware Download, ","")&amp;IF(AND(OR($BE217="Yes",$BE217="N/A"),$BF217&lt;&gt;"Yes",$BF217&lt;&gt;"N/A"),"Firmware Install, ","")&amp;IF(AND($BJ217&lt;&gt;"Yes",$BJ217&lt;&gt;"N/A"),"Device ID, ","")&amp;IF(AND($BK217&lt;&gt;"Yes",$BK217&lt;&gt;"N/A"),"Epic Beans Relay, ",""))="","",LEFT(IF(AND($AW217&lt;&gt;"Yes",$AW217&lt;&gt;"N/A"),"Power Cable, ","")&amp;IF(AND($AX217&lt;&gt;"Yes",$AX217&lt;&gt;"N/A"),"Battery, ","")&amp;IF(AND($BE217&lt;&gt;"Yes",$BE217&lt;&gt;"N/A"),"Firmware Download, ","")&amp;IF(AND(OR($BE217="Yes",$BE217="N/A"),$BF217&lt;&gt;"Yes",$BF217&lt;&gt;"N/A"),"Firmware Install, ","")&amp;IF(AND($BJ217&lt;&gt;"Yes",$BJ217&lt;&gt;"N/A"),"Device ID, ","")&amp;IF(AND($BK217&lt;&gt;"Yes",$BK217&lt;&gt;"N/A"),"Epic Beans Relay, ",""),LEN(IF(AND($AW217&lt;&gt;"Yes",$AW217&lt;&gt;"N/A"),"Power Cable, ","")&amp;IF(AND($AX217&lt;&gt;"Yes",$AX217&lt;&gt;"N/A"),"Battery, ","")&amp;IF(AND($BE217&lt;&gt;"Yes",$BE217&lt;&gt;"N/A"),"Firmware Download, ","")&amp;IF(AND(OR($BE217="Yes",$BE217="N/A"),$BF217&lt;&gt;"Yes",$BF217&lt;&gt;"N/A"),"Firmware Install, ","")&amp;IF(AND($BJ217&lt;&gt;"Yes",$BJ217&lt;&gt;"N/A"),"Device ID, ","")&amp;IF(AND($BK217&lt;&gt;"Yes",$BK217&lt;&gt;"N/A"),"Epic Beans Relay, ",""))-2)))</f>
      </c>
      <c r="BM217">
        <f>IF($T217="","",IF($BL217="","Yes","Blocked"))</f>
      </c>
      <c r="BP217">
        <f>IF($BO217="","",IFERROR(VLOOKUP($BO217,'01_Warehouse_Ledger'!$A:$N,4,FALSE),""))</f>
      </c>
      <c r="BQ217">
        <f>IF($BO217="","",IFERROR(VLOOKUP($BO217,'01_Warehouse_Ledger'!$A:$N,5,FALSE),""))</f>
      </c>
      <c r="BR217">
        <f>IF($BO217="","",IFERROR(VLOOKUP($BO217,'01_Warehouse_Ledger'!$A:$N,13,FALSE),""))</f>
      </c>
    </row>
    <row r="218">
      <c r="D218">
        <f>IF($B218&lt;&gt;"Yes","",IF($C218="No","Yes",IF($C218="Yes","No","")))</f>
      </c>
      <c r="E218">
        <f>IF($A218="","",IF($A218="Neuron",IF(OR(AND($S218&lt;&gt;"",LOWER(TRIM($S218))&lt;&gt;"n/a",COUNTIF($S$2:$S$532,$S218)&gt;1),AND($T218&lt;&gt;"",LOWER(TRIM($T218))&lt;&gt;"n/a",COUNTIF($T$2:$T$532,$T218)&gt;1),AND($W218&lt;&gt;"",LOWER(TRIM($W218))&lt;&gt;"n/a",COUNTIF($W$2:$W$532,$W218)&gt;1)),"Yes","No"),IF($A218="Cybernet",IF(OR(AND($Y218&lt;&gt;"",LOWER(TRIM($Y218))&lt;&gt;"n/a",COUNTIF($Y$2:$Y$532,$Y218)&gt;1),AND($Z218&lt;&gt;"",LOWER(TRIM($Z218))&lt;&gt;"n/a",COUNTIF($Z$2:$Z$532,$Z218)&gt;1)),"Yes","No"),IF(AND($AL218&lt;&gt;"",LOWER(TRIM($AL218))&lt;&gt;"n/a",COUNTIF($AL$2:$AL$532,$AL218)&gt;1),"Yes","No"))))</f>
      </c>
      <c r="F218">
        <f>IF($B218&lt;&gt;"Yes","",
IF($A218="Neuron",
IF(OR(
AND($S218&lt;&gt;"",LOWER(TRIM($S218))&lt;&gt;"n/a",COUNTIFS($B$2:$B$532,"Yes",$A$2:$A$532,"Neuron",$S$2:$S$532,$S218)&gt;1),
AND($T218&lt;&gt;"",LOWER(TRIM($T218))&lt;&gt;"n/a",COUNTIFS($B$2:$B$532,"Yes",$A$2:$A$532,"Neuron",$T$2:$T$532,$T218)&gt;1),
AND($W218&lt;&gt;"",LOWER(TRIM($W218))&lt;&gt;"n/a",COUNTIFS($B$2:$B$532,"Yes",$A$2:$A$532,"Neuron",$W$2:$W$532,$W218)&gt;1)
),"Yes","No"),
IF($A218="Cybernet",
IF(OR(
AND($Y218&lt;&gt;"",LOWER(TRIM($Y218))&lt;&gt;"n/a",COUNTIFS($B$2:$B$532,"Yes",$A$2:$A$532,"Cybernet",$Y$2:$Y$532,$Y218)&gt;1),
AND($Z218&lt;&gt;"",LOWER(TRIM($Z218))&lt;&gt;"n/a",COUNTIFS($B$2:$B$532,"Yes",$A$2:$A$532,"Cybernet",$Z$2:$Z$532,$Z218)&gt;1)
),"Yes","No"),
IF(AND($AL218&lt;&gt;"",LOWER(TRIM($AL218))&lt;&gt;"n/a"),
IF(COUNTIFS($B$2:$B$532,"Yes",$A$2:$A$532,$A218,$AL$2:$AL$532,$AL218)&gt;1,"Yes","No"),
"No")
)
)
)</f>
      </c>
      <c r="BL218">
        <f>IF($T218="","",IF((IF(AND($AW218&lt;&gt;"Yes",$AW218&lt;&gt;"N/A"),"Power Cable, ","")&amp;IF(AND($AX218&lt;&gt;"Yes",$AX218&lt;&gt;"N/A"),"Battery, ","")&amp;IF(AND($BE218&lt;&gt;"Yes",$BE218&lt;&gt;"N/A"),"Firmware Download, ","")&amp;IF(AND(OR($BE218="Yes",$BE218="N/A"),$BF218&lt;&gt;"Yes",$BF218&lt;&gt;"N/A"),"Firmware Install, ","")&amp;IF(AND($BJ218&lt;&gt;"Yes",$BJ218&lt;&gt;"N/A"),"Device ID, ","")&amp;IF(AND($BK218&lt;&gt;"Yes",$BK218&lt;&gt;"N/A"),"Epic Beans Relay, ",""))="","",LEFT(IF(AND($AW218&lt;&gt;"Yes",$AW218&lt;&gt;"N/A"),"Power Cable, ","")&amp;IF(AND($AX218&lt;&gt;"Yes",$AX218&lt;&gt;"N/A"),"Battery, ","")&amp;IF(AND($BE218&lt;&gt;"Yes",$BE218&lt;&gt;"N/A"),"Firmware Download, ","")&amp;IF(AND(OR($BE218="Yes",$BE218="N/A"),$BF218&lt;&gt;"Yes",$BF218&lt;&gt;"N/A"),"Firmware Install, ","")&amp;IF(AND($BJ218&lt;&gt;"Yes",$BJ218&lt;&gt;"N/A"),"Device ID, ","")&amp;IF(AND($BK218&lt;&gt;"Yes",$BK218&lt;&gt;"N/A"),"Epic Beans Relay, ",""),LEN(IF(AND($AW218&lt;&gt;"Yes",$AW218&lt;&gt;"N/A"),"Power Cable, ","")&amp;IF(AND($AX218&lt;&gt;"Yes",$AX218&lt;&gt;"N/A"),"Battery, ","")&amp;IF(AND($BE218&lt;&gt;"Yes",$BE218&lt;&gt;"N/A"),"Firmware Download, ","")&amp;IF(AND(OR($BE218="Yes",$BE218="N/A"),$BF218&lt;&gt;"Yes",$BF218&lt;&gt;"N/A"),"Firmware Install, ","")&amp;IF(AND($BJ218&lt;&gt;"Yes",$BJ218&lt;&gt;"N/A"),"Device ID, ","")&amp;IF(AND($BK218&lt;&gt;"Yes",$BK218&lt;&gt;"N/A"),"Epic Beans Relay, ",""))-2)))</f>
      </c>
      <c r="BM218">
        <f>IF($T218="","",IF($BL218="","Yes","Blocked"))</f>
      </c>
      <c r="BP218">
        <f>IF($BO218="","",IFERROR(VLOOKUP($BO218,'01_Warehouse_Ledger'!$A:$N,4,FALSE),""))</f>
      </c>
      <c r="BQ218">
        <f>IF($BO218="","",IFERROR(VLOOKUP($BO218,'01_Warehouse_Ledger'!$A:$N,5,FALSE),""))</f>
      </c>
      <c r="BR218">
        <f>IF($BO218="","",IFERROR(VLOOKUP($BO218,'01_Warehouse_Ledger'!$A:$N,13,FALSE),""))</f>
      </c>
    </row>
    <row r="219">
      <c r="D219">
        <f>IF($B219&lt;&gt;"Yes","",IF($C219="No","Yes",IF($C219="Yes","No","")))</f>
      </c>
      <c r="E219">
        <f>IF($A219="","",IF($A219="Neuron",IF(OR(AND($S219&lt;&gt;"",LOWER(TRIM($S219))&lt;&gt;"n/a",COUNTIF($S$2:$S$532,$S219)&gt;1),AND($T219&lt;&gt;"",LOWER(TRIM($T219))&lt;&gt;"n/a",COUNTIF($T$2:$T$532,$T219)&gt;1),AND($W219&lt;&gt;"",LOWER(TRIM($W219))&lt;&gt;"n/a",COUNTIF($W$2:$W$532,$W219)&gt;1)),"Yes","No"),IF($A219="Cybernet",IF(OR(AND($Y219&lt;&gt;"",LOWER(TRIM($Y219))&lt;&gt;"n/a",COUNTIF($Y$2:$Y$532,$Y219)&gt;1),AND($Z219&lt;&gt;"",LOWER(TRIM($Z219))&lt;&gt;"n/a",COUNTIF($Z$2:$Z$532,$Z219)&gt;1)),"Yes","No"),IF(AND($AL219&lt;&gt;"",LOWER(TRIM($AL219))&lt;&gt;"n/a",COUNTIF($AL$2:$AL$532,$AL219)&gt;1),"Yes","No"))))</f>
      </c>
      <c r="F219">
        <f>IF($B219&lt;&gt;"Yes","",
IF($A219="Neuron",
IF(OR(
AND($S219&lt;&gt;"",LOWER(TRIM($S219))&lt;&gt;"n/a",COUNTIFS($B$2:$B$532,"Yes",$A$2:$A$532,"Neuron",$S$2:$S$532,$S219)&gt;1),
AND($T219&lt;&gt;"",LOWER(TRIM($T219))&lt;&gt;"n/a",COUNTIFS($B$2:$B$532,"Yes",$A$2:$A$532,"Neuron",$T$2:$T$532,$T219)&gt;1),
AND($W219&lt;&gt;"",LOWER(TRIM($W219))&lt;&gt;"n/a",COUNTIFS($B$2:$B$532,"Yes",$A$2:$A$532,"Neuron",$W$2:$W$532,$W219)&gt;1)
),"Yes","No"),
IF($A219="Cybernet",
IF(OR(
AND($Y219&lt;&gt;"",LOWER(TRIM($Y219))&lt;&gt;"n/a",COUNTIFS($B$2:$B$532,"Yes",$A$2:$A$532,"Cybernet",$Y$2:$Y$532,$Y219)&gt;1),
AND($Z219&lt;&gt;"",LOWER(TRIM($Z219))&lt;&gt;"n/a",COUNTIFS($B$2:$B$532,"Yes",$A$2:$A$532,"Cybernet",$Z$2:$Z$532,$Z219)&gt;1)
),"Yes","No"),
IF(AND($AL219&lt;&gt;"",LOWER(TRIM($AL219))&lt;&gt;"n/a"),
IF(COUNTIFS($B$2:$B$532,"Yes",$A$2:$A$532,$A219,$AL$2:$AL$532,$AL219)&gt;1,"Yes","No"),
"No")
)
)
)</f>
      </c>
      <c r="BL219">
        <f>IF($T219="","",IF((IF(AND($AW219&lt;&gt;"Yes",$AW219&lt;&gt;"N/A"),"Power Cable, ","")&amp;IF(AND($AX219&lt;&gt;"Yes",$AX219&lt;&gt;"N/A"),"Battery, ","")&amp;IF(AND($BE219&lt;&gt;"Yes",$BE219&lt;&gt;"N/A"),"Firmware Download, ","")&amp;IF(AND(OR($BE219="Yes",$BE219="N/A"),$BF219&lt;&gt;"Yes",$BF219&lt;&gt;"N/A"),"Firmware Install, ","")&amp;IF(AND($BJ219&lt;&gt;"Yes",$BJ219&lt;&gt;"N/A"),"Device ID, ","")&amp;IF(AND($BK219&lt;&gt;"Yes",$BK219&lt;&gt;"N/A"),"Epic Beans Relay, ",""))="","",LEFT(IF(AND($AW219&lt;&gt;"Yes",$AW219&lt;&gt;"N/A"),"Power Cable, ","")&amp;IF(AND($AX219&lt;&gt;"Yes",$AX219&lt;&gt;"N/A"),"Battery, ","")&amp;IF(AND($BE219&lt;&gt;"Yes",$BE219&lt;&gt;"N/A"),"Firmware Download, ","")&amp;IF(AND(OR($BE219="Yes",$BE219="N/A"),$BF219&lt;&gt;"Yes",$BF219&lt;&gt;"N/A"),"Firmware Install, ","")&amp;IF(AND($BJ219&lt;&gt;"Yes",$BJ219&lt;&gt;"N/A"),"Device ID, ","")&amp;IF(AND($BK219&lt;&gt;"Yes",$BK219&lt;&gt;"N/A"),"Epic Beans Relay, ",""),LEN(IF(AND($AW219&lt;&gt;"Yes",$AW219&lt;&gt;"N/A"),"Power Cable, ","")&amp;IF(AND($AX219&lt;&gt;"Yes",$AX219&lt;&gt;"N/A"),"Battery, ","")&amp;IF(AND($BE219&lt;&gt;"Yes",$BE219&lt;&gt;"N/A"),"Firmware Download, ","")&amp;IF(AND(OR($BE219="Yes",$BE219="N/A"),$BF219&lt;&gt;"Yes",$BF219&lt;&gt;"N/A"),"Firmware Install, ","")&amp;IF(AND($BJ219&lt;&gt;"Yes",$BJ219&lt;&gt;"N/A"),"Device ID, ","")&amp;IF(AND($BK219&lt;&gt;"Yes",$BK219&lt;&gt;"N/A"),"Epic Beans Relay, ",""))-2)))</f>
      </c>
      <c r="BM219">
        <f>IF($T219="","",IF($BL219="","Yes","Blocked"))</f>
      </c>
      <c r="BP219">
        <f>IF($BO219="","",IFERROR(VLOOKUP($BO219,'01_Warehouse_Ledger'!$A:$N,4,FALSE),""))</f>
      </c>
      <c r="BQ219">
        <f>IF($BO219="","",IFERROR(VLOOKUP($BO219,'01_Warehouse_Ledger'!$A:$N,5,FALSE),""))</f>
      </c>
      <c r="BR219">
        <f>IF($BO219="","",IFERROR(VLOOKUP($BO219,'01_Warehouse_Ledger'!$A:$N,13,FALSE),""))</f>
      </c>
    </row>
    <row r="220">
      <c r="D220">
        <f>IF($B220&lt;&gt;"Yes","",IF($C220="No","Yes",IF($C220="Yes","No","")))</f>
      </c>
      <c r="E220">
        <f>IF($A220="","",IF($A220="Neuron",IF(OR(AND($S220&lt;&gt;"",LOWER(TRIM($S220))&lt;&gt;"n/a",COUNTIF($S$2:$S$532,$S220)&gt;1),AND($T220&lt;&gt;"",LOWER(TRIM($T220))&lt;&gt;"n/a",COUNTIF($T$2:$T$532,$T220)&gt;1),AND($W220&lt;&gt;"",LOWER(TRIM($W220))&lt;&gt;"n/a",COUNTIF($W$2:$W$532,$W220)&gt;1)),"Yes","No"),IF($A220="Cybernet",IF(OR(AND($Y220&lt;&gt;"",LOWER(TRIM($Y220))&lt;&gt;"n/a",COUNTIF($Y$2:$Y$532,$Y220)&gt;1),AND($Z220&lt;&gt;"",LOWER(TRIM($Z220))&lt;&gt;"n/a",COUNTIF($Z$2:$Z$532,$Z220)&gt;1)),"Yes","No"),IF(AND($AL220&lt;&gt;"",LOWER(TRIM($AL220))&lt;&gt;"n/a",COUNTIF($AL$2:$AL$532,$AL220)&gt;1),"Yes","No"))))</f>
      </c>
      <c r="F220">
        <f>IF($B220&lt;&gt;"Yes","",
IF($A220="Neuron",
IF(OR(
AND($S220&lt;&gt;"",LOWER(TRIM($S220))&lt;&gt;"n/a",COUNTIFS($B$2:$B$532,"Yes",$A$2:$A$532,"Neuron",$S$2:$S$532,$S220)&gt;1),
AND($T220&lt;&gt;"",LOWER(TRIM($T220))&lt;&gt;"n/a",COUNTIFS($B$2:$B$532,"Yes",$A$2:$A$532,"Neuron",$T$2:$T$532,$T220)&gt;1),
AND($W220&lt;&gt;"",LOWER(TRIM($W220))&lt;&gt;"n/a",COUNTIFS($B$2:$B$532,"Yes",$A$2:$A$532,"Neuron",$W$2:$W$532,$W220)&gt;1)
),"Yes","No"),
IF($A220="Cybernet",
IF(OR(
AND($Y220&lt;&gt;"",LOWER(TRIM($Y220))&lt;&gt;"n/a",COUNTIFS($B$2:$B$532,"Yes",$A$2:$A$532,"Cybernet",$Y$2:$Y$532,$Y220)&gt;1),
AND($Z220&lt;&gt;"",LOWER(TRIM($Z220))&lt;&gt;"n/a",COUNTIFS($B$2:$B$532,"Yes",$A$2:$A$532,"Cybernet",$Z$2:$Z$532,$Z220)&gt;1)
),"Yes","No"),
IF(AND($AL220&lt;&gt;"",LOWER(TRIM($AL220))&lt;&gt;"n/a"),
IF(COUNTIFS($B$2:$B$532,"Yes",$A$2:$A$532,$A220,$AL$2:$AL$532,$AL220)&gt;1,"Yes","No"),
"No")
)
)
)</f>
      </c>
      <c r="BL220">
        <f>IF($T220="","",IF((IF(AND($AW220&lt;&gt;"Yes",$AW220&lt;&gt;"N/A"),"Power Cable, ","")&amp;IF(AND($AX220&lt;&gt;"Yes",$AX220&lt;&gt;"N/A"),"Battery, ","")&amp;IF(AND($BE220&lt;&gt;"Yes",$BE220&lt;&gt;"N/A"),"Firmware Download, ","")&amp;IF(AND(OR($BE220="Yes",$BE220="N/A"),$BF220&lt;&gt;"Yes",$BF220&lt;&gt;"N/A"),"Firmware Install, ","")&amp;IF(AND($BJ220&lt;&gt;"Yes",$BJ220&lt;&gt;"N/A"),"Device ID, ","")&amp;IF(AND($BK220&lt;&gt;"Yes",$BK220&lt;&gt;"N/A"),"Epic Beans Relay, ",""))="","",LEFT(IF(AND($AW220&lt;&gt;"Yes",$AW220&lt;&gt;"N/A"),"Power Cable, ","")&amp;IF(AND($AX220&lt;&gt;"Yes",$AX220&lt;&gt;"N/A"),"Battery, ","")&amp;IF(AND($BE220&lt;&gt;"Yes",$BE220&lt;&gt;"N/A"),"Firmware Download, ","")&amp;IF(AND(OR($BE220="Yes",$BE220="N/A"),$BF220&lt;&gt;"Yes",$BF220&lt;&gt;"N/A"),"Firmware Install, ","")&amp;IF(AND($BJ220&lt;&gt;"Yes",$BJ220&lt;&gt;"N/A"),"Device ID, ","")&amp;IF(AND($BK220&lt;&gt;"Yes",$BK220&lt;&gt;"N/A"),"Epic Beans Relay, ",""),LEN(IF(AND($AW220&lt;&gt;"Yes",$AW220&lt;&gt;"N/A"),"Power Cable, ","")&amp;IF(AND($AX220&lt;&gt;"Yes",$AX220&lt;&gt;"N/A"),"Battery, ","")&amp;IF(AND($BE220&lt;&gt;"Yes",$BE220&lt;&gt;"N/A"),"Firmware Download, ","")&amp;IF(AND(OR($BE220="Yes",$BE220="N/A"),$BF220&lt;&gt;"Yes",$BF220&lt;&gt;"N/A"),"Firmware Install, ","")&amp;IF(AND($BJ220&lt;&gt;"Yes",$BJ220&lt;&gt;"N/A"),"Device ID, ","")&amp;IF(AND($BK220&lt;&gt;"Yes",$BK220&lt;&gt;"N/A"),"Epic Beans Relay, ",""))-2)))</f>
      </c>
      <c r="BM220">
        <f>IF($T220="","",IF($BL220="","Yes","Blocked"))</f>
      </c>
      <c r="BP220">
        <f>IF($BO220="","",IFERROR(VLOOKUP($BO220,'01_Warehouse_Ledger'!$A:$N,4,FALSE),""))</f>
      </c>
      <c r="BQ220">
        <f>IF($BO220="","",IFERROR(VLOOKUP($BO220,'01_Warehouse_Ledger'!$A:$N,5,FALSE),""))</f>
      </c>
      <c r="BR220">
        <f>IF($BO220="","",IFERROR(VLOOKUP($BO220,'01_Warehouse_Ledger'!$A:$N,13,FALSE),""))</f>
      </c>
    </row>
    <row r="221">
      <c r="D221">
        <f>IF($B221&lt;&gt;"Yes","",IF($C221="No","Yes",IF($C221="Yes","No","")))</f>
      </c>
      <c r="E221">
        <f>IF($A221="","",IF($A221="Neuron",IF(OR(AND($S221&lt;&gt;"",LOWER(TRIM($S221))&lt;&gt;"n/a",COUNTIF($S$2:$S$532,$S221)&gt;1),AND($T221&lt;&gt;"",LOWER(TRIM($T221))&lt;&gt;"n/a",COUNTIF($T$2:$T$532,$T221)&gt;1),AND($W221&lt;&gt;"",LOWER(TRIM($W221))&lt;&gt;"n/a",COUNTIF($W$2:$W$532,$W221)&gt;1)),"Yes","No"),IF($A221="Cybernet",IF(OR(AND($Y221&lt;&gt;"",LOWER(TRIM($Y221))&lt;&gt;"n/a",COUNTIF($Y$2:$Y$532,$Y221)&gt;1),AND($Z221&lt;&gt;"",LOWER(TRIM($Z221))&lt;&gt;"n/a",COUNTIF($Z$2:$Z$532,$Z221)&gt;1)),"Yes","No"),IF(AND($AL221&lt;&gt;"",LOWER(TRIM($AL221))&lt;&gt;"n/a",COUNTIF($AL$2:$AL$532,$AL221)&gt;1),"Yes","No"))))</f>
      </c>
      <c r="F221">
        <f>IF($B221&lt;&gt;"Yes","",
IF($A221="Neuron",
IF(OR(
AND($S221&lt;&gt;"",LOWER(TRIM($S221))&lt;&gt;"n/a",COUNTIFS($B$2:$B$532,"Yes",$A$2:$A$532,"Neuron",$S$2:$S$532,$S221)&gt;1),
AND($T221&lt;&gt;"",LOWER(TRIM($T221))&lt;&gt;"n/a",COUNTIFS($B$2:$B$532,"Yes",$A$2:$A$532,"Neuron",$T$2:$T$532,$T221)&gt;1),
AND($W221&lt;&gt;"",LOWER(TRIM($W221))&lt;&gt;"n/a",COUNTIFS($B$2:$B$532,"Yes",$A$2:$A$532,"Neuron",$W$2:$W$532,$W221)&gt;1)
),"Yes","No"),
IF($A221="Cybernet",
IF(OR(
AND($Y221&lt;&gt;"",LOWER(TRIM($Y221))&lt;&gt;"n/a",COUNTIFS($B$2:$B$532,"Yes",$A$2:$A$532,"Cybernet",$Y$2:$Y$532,$Y221)&gt;1),
AND($Z221&lt;&gt;"",LOWER(TRIM($Z221))&lt;&gt;"n/a",COUNTIFS($B$2:$B$532,"Yes",$A$2:$A$532,"Cybernet",$Z$2:$Z$532,$Z221)&gt;1)
),"Yes","No"),
IF(AND($AL221&lt;&gt;"",LOWER(TRIM($AL221))&lt;&gt;"n/a"),
IF(COUNTIFS($B$2:$B$532,"Yes",$A$2:$A$532,$A221,$AL$2:$AL$532,$AL221)&gt;1,"Yes","No"),
"No")
)
)
)</f>
      </c>
      <c r="BL221">
        <f>IF($T221="","",IF((IF(AND($AW221&lt;&gt;"Yes",$AW221&lt;&gt;"N/A"),"Power Cable, ","")&amp;IF(AND($AX221&lt;&gt;"Yes",$AX221&lt;&gt;"N/A"),"Battery, ","")&amp;IF(AND($BE221&lt;&gt;"Yes",$BE221&lt;&gt;"N/A"),"Firmware Download, ","")&amp;IF(AND(OR($BE221="Yes",$BE221="N/A"),$BF221&lt;&gt;"Yes",$BF221&lt;&gt;"N/A"),"Firmware Install, ","")&amp;IF(AND($BJ221&lt;&gt;"Yes",$BJ221&lt;&gt;"N/A"),"Device ID, ","")&amp;IF(AND($BK221&lt;&gt;"Yes",$BK221&lt;&gt;"N/A"),"Epic Beans Relay, ",""))="","",LEFT(IF(AND($AW221&lt;&gt;"Yes",$AW221&lt;&gt;"N/A"),"Power Cable, ","")&amp;IF(AND($AX221&lt;&gt;"Yes",$AX221&lt;&gt;"N/A"),"Battery, ","")&amp;IF(AND($BE221&lt;&gt;"Yes",$BE221&lt;&gt;"N/A"),"Firmware Download, ","")&amp;IF(AND(OR($BE221="Yes",$BE221="N/A"),$BF221&lt;&gt;"Yes",$BF221&lt;&gt;"N/A"),"Firmware Install, ","")&amp;IF(AND($BJ221&lt;&gt;"Yes",$BJ221&lt;&gt;"N/A"),"Device ID, ","")&amp;IF(AND($BK221&lt;&gt;"Yes",$BK221&lt;&gt;"N/A"),"Epic Beans Relay, ",""),LEN(IF(AND($AW221&lt;&gt;"Yes",$AW221&lt;&gt;"N/A"),"Power Cable, ","")&amp;IF(AND($AX221&lt;&gt;"Yes",$AX221&lt;&gt;"N/A"),"Battery, ","")&amp;IF(AND($BE221&lt;&gt;"Yes",$BE221&lt;&gt;"N/A"),"Firmware Download, ","")&amp;IF(AND(OR($BE221="Yes",$BE221="N/A"),$BF221&lt;&gt;"Yes",$BF221&lt;&gt;"N/A"),"Firmware Install, ","")&amp;IF(AND($BJ221&lt;&gt;"Yes",$BJ221&lt;&gt;"N/A"),"Device ID, ","")&amp;IF(AND($BK221&lt;&gt;"Yes",$BK221&lt;&gt;"N/A"),"Epic Beans Relay, ",""))-2)))</f>
      </c>
      <c r="BM221">
        <f>IF($T221="","",IF($BL221="","Yes","Blocked"))</f>
      </c>
      <c r="BP221">
        <f>IF($BO221="","",IFERROR(VLOOKUP($BO221,'01_Warehouse_Ledger'!$A:$N,4,FALSE),""))</f>
      </c>
      <c r="BQ221">
        <f>IF($BO221="","",IFERROR(VLOOKUP($BO221,'01_Warehouse_Ledger'!$A:$N,5,FALSE),""))</f>
      </c>
      <c r="BR221">
        <f>IF($BO221="","",IFERROR(VLOOKUP($BO221,'01_Warehouse_Ledger'!$A:$N,13,FALSE),""))</f>
      </c>
    </row>
    <row r="222">
      <c r="D222">
        <f>IF($B222&lt;&gt;"Yes","",IF($C222="No","Yes",IF($C222="Yes","No","")))</f>
      </c>
      <c r="E222">
        <f>IF($A222="","",IF($A222="Neuron",IF(OR(AND($S222&lt;&gt;"",LOWER(TRIM($S222))&lt;&gt;"n/a",COUNTIF($S$2:$S$532,$S222)&gt;1),AND($T222&lt;&gt;"",LOWER(TRIM($T222))&lt;&gt;"n/a",COUNTIF($T$2:$T$532,$T222)&gt;1),AND($W222&lt;&gt;"",LOWER(TRIM($W222))&lt;&gt;"n/a",COUNTIF($W$2:$W$532,$W222)&gt;1)),"Yes","No"),IF($A222="Cybernet",IF(OR(AND($Y222&lt;&gt;"",LOWER(TRIM($Y222))&lt;&gt;"n/a",COUNTIF($Y$2:$Y$532,$Y222)&gt;1),AND($Z222&lt;&gt;"",LOWER(TRIM($Z222))&lt;&gt;"n/a",COUNTIF($Z$2:$Z$532,$Z222)&gt;1)),"Yes","No"),IF(AND($AL222&lt;&gt;"",LOWER(TRIM($AL222))&lt;&gt;"n/a",COUNTIF($AL$2:$AL$532,$AL222)&gt;1),"Yes","No"))))</f>
      </c>
      <c r="F222">
        <f>IF($B222&lt;&gt;"Yes","",
IF($A222="Neuron",
IF(OR(
AND($S222&lt;&gt;"",LOWER(TRIM($S222))&lt;&gt;"n/a",COUNTIFS($B$2:$B$532,"Yes",$A$2:$A$532,"Neuron",$S$2:$S$532,$S222)&gt;1),
AND($T222&lt;&gt;"",LOWER(TRIM($T222))&lt;&gt;"n/a",COUNTIFS($B$2:$B$532,"Yes",$A$2:$A$532,"Neuron",$T$2:$T$532,$T222)&gt;1),
AND($W222&lt;&gt;"",LOWER(TRIM($W222))&lt;&gt;"n/a",COUNTIFS($B$2:$B$532,"Yes",$A$2:$A$532,"Neuron",$W$2:$W$532,$W222)&gt;1)
),"Yes","No"),
IF($A222="Cybernet",
IF(OR(
AND($Y222&lt;&gt;"",LOWER(TRIM($Y222))&lt;&gt;"n/a",COUNTIFS($B$2:$B$532,"Yes",$A$2:$A$532,"Cybernet",$Y$2:$Y$532,$Y222)&gt;1),
AND($Z222&lt;&gt;"",LOWER(TRIM($Z222))&lt;&gt;"n/a",COUNTIFS($B$2:$B$532,"Yes",$A$2:$A$532,"Cybernet",$Z$2:$Z$532,$Z222)&gt;1)
),"Yes","No"),
IF(AND($AL222&lt;&gt;"",LOWER(TRIM($AL222))&lt;&gt;"n/a"),
IF(COUNTIFS($B$2:$B$532,"Yes",$A$2:$A$532,$A222,$AL$2:$AL$532,$AL222)&gt;1,"Yes","No"),
"No")
)
)
)</f>
      </c>
      <c r="BL222">
        <f>IF($T222="","",IF((IF(AND($AW222&lt;&gt;"Yes",$AW222&lt;&gt;"N/A"),"Power Cable, ","")&amp;IF(AND($AX222&lt;&gt;"Yes",$AX222&lt;&gt;"N/A"),"Battery, ","")&amp;IF(AND($BE222&lt;&gt;"Yes",$BE222&lt;&gt;"N/A"),"Firmware Download, ","")&amp;IF(AND(OR($BE222="Yes",$BE222="N/A"),$BF222&lt;&gt;"Yes",$BF222&lt;&gt;"N/A"),"Firmware Install, ","")&amp;IF(AND($BJ222&lt;&gt;"Yes",$BJ222&lt;&gt;"N/A"),"Device ID, ","")&amp;IF(AND($BK222&lt;&gt;"Yes",$BK222&lt;&gt;"N/A"),"Epic Beans Relay, ",""))="","",LEFT(IF(AND($AW222&lt;&gt;"Yes",$AW222&lt;&gt;"N/A"),"Power Cable, ","")&amp;IF(AND($AX222&lt;&gt;"Yes",$AX222&lt;&gt;"N/A"),"Battery, ","")&amp;IF(AND($BE222&lt;&gt;"Yes",$BE222&lt;&gt;"N/A"),"Firmware Download, ","")&amp;IF(AND(OR($BE222="Yes",$BE222="N/A"),$BF222&lt;&gt;"Yes",$BF222&lt;&gt;"N/A"),"Firmware Install, ","")&amp;IF(AND($BJ222&lt;&gt;"Yes",$BJ222&lt;&gt;"N/A"),"Device ID, ","")&amp;IF(AND($BK222&lt;&gt;"Yes",$BK222&lt;&gt;"N/A"),"Epic Beans Relay, ",""),LEN(IF(AND($AW222&lt;&gt;"Yes",$AW222&lt;&gt;"N/A"),"Power Cable, ","")&amp;IF(AND($AX222&lt;&gt;"Yes",$AX222&lt;&gt;"N/A"),"Battery, ","")&amp;IF(AND($BE222&lt;&gt;"Yes",$BE222&lt;&gt;"N/A"),"Firmware Download, ","")&amp;IF(AND(OR($BE222="Yes",$BE222="N/A"),$BF222&lt;&gt;"Yes",$BF222&lt;&gt;"N/A"),"Firmware Install, ","")&amp;IF(AND($BJ222&lt;&gt;"Yes",$BJ222&lt;&gt;"N/A"),"Device ID, ","")&amp;IF(AND($BK222&lt;&gt;"Yes",$BK222&lt;&gt;"N/A"),"Epic Beans Relay, ",""))-2)))</f>
      </c>
      <c r="BM222">
        <f>IF($T222="","",IF($BL222="","Yes","Blocked"))</f>
      </c>
      <c r="BP222">
        <f>IF($BO222="","",IFERROR(VLOOKUP($BO222,'01_Warehouse_Ledger'!$A:$N,4,FALSE),""))</f>
      </c>
      <c r="BQ222">
        <f>IF($BO222="","",IFERROR(VLOOKUP($BO222,'01_Warehouse_Ledger'!$A:$N,5,FALSE),""))</f>
      </c>
      <c r="BR222">
        <f>IF($BO222="","",IFERROR(VLOOKUP($BO222,'01_Warehouse_Ledger'!$A:$N,13,FALSE),""))</f>
      </c>
    </row>
    <row r="223">
      <c r="D223">
        <f>IF($B223&lt;&gt;"Yes","",IF($C223="No","Yes",IF($C223="Yes","No","")))</f>
      </c>
      <c r="E223">
        <f>IF($A223="","",IF($A223="Neuron",IF(OR(AND($S223&lt;&gt;"",LOWER(TRIM($S223))&lt;&gt;"n/a",COUNTIF($S$2:$S$532,$S223)&gt;1),AND($T223&lt;&gt;"",LOWER(TRIM($T223))&lt;&gt;"n/a",COUNTIF($T$2:$T$532,$T223)&gt;1),AND($W223&lt;&gt;"",LOWER(TRIM($W223))&lt;&gt;"n/a",COUNTIF($W$2:$W$532,$W223)&gt;1)),"Yes","No"),IF($A223="Cybernet",IF(OR(AND($Y223&lt;&gt;"",LOWER(TRIM($Y223))&lt;&gt;"n/a",COUNTIF($Y$2:$Y$532,$Y223)&gt;1),AND($Z223&lt;&gt;"",LOWER(TRIM($Z223))&lt;&gt;"n/a",COUNTIF($Z$2:$Z$532,$Z223)&gt;1)),"Yes","No"),IF(AND($AL223&lt;&gt;"",LOWER(TRIM($AL223))&lt;&gt;"n/a",COUNTIF($AL$2:$AL$532,$AL223)&gt;1),"Yes","No"))))</f>
      </c>
      <c r="F223">
        <f>IF($B223&lt;&gt;"Yes","",
IF($A223="Neuron",
IF(OR(
AND($S223&lt;&gt;"",LOWER(TRIM($S223))&lt;&gt;"n/a",COUNTIFS($B$2:$B$532,"Yes",$A$2:$A$532,"Neuron",$S$2:$S$532,$S223)&gt;1),
AND($T223&lt;&gt;"",LOWER(TRIM($T223))&lt;&gt;"n/a",COUNTIFS($B$2:$B$532,"Yes",$A$2:$A$532,"Neuron",$T$2:$T$532,$T223)&gt;1),
AND($W223&lt;&gt;"",LOWER(TRIM($W223))&lt;&gt;"n/a",COUNTIFS($B$2:$B$532,"Yes",$A$2:$A$532,"Neuron",$W$2:$W$532,$W223)&gt;1)
),"Yes","No"),
IF($A223="Cybernet",
IF(OR(
AND($Y223&lt;&gt;"",LOWER(TRIM($Y223))&lt;&gt;"n/a",COUNTIFS($B$2:$B$532,"Yes",$A$2:$A$532,"Cybernet",$Y$2:$Y$532,$Y223)&gt;1),
AND($Z223&lt;&gt;"",LOWER(TRIM($Z223))&lt;&gt;"n/a",COUNTIFS($B$2:$B$532,"Yes",$A$2:$A$532,"Cybernet",$Z$2:$Z$532,$Z223)&gt;1)
),"Yes","No"),
IF(AND($AL223&lt;&gt;"",LOWER(TRIM($AL223))&lt;&gt;"n/a"),
IF(COUNTIFS($B$2:$B$532,"Yes",$A$2:$A$532,$A223,$AL$2:$AL$532,$AL223)&gt;1,"Yes","No"),
"No")
)
)
)</f>
      </c>
      <c r="BL223">
        <f>IF($T223="","",IF((IF(AND($AW223&lt;&gt;"Yes",$AW223&lt;&gt;"N/A"),"Power Cable, ","")&amp;IF(AND($AX223&lt;&gt;"Yes",$AX223&lt;&gt;"N/A"),"Battery, ","")&amp;IF(AND($BE223&lt;&gt;"Yes",$BE223&lt;&gt;"N/A"),"Firmware Download, ","")&amp;IF(AND(OR($BE223="Yes",$BE223="N/A"),$BF223&lt;&gt;"Yes",$BF223&lt;&gt;"N/A"),"Firmware Install, ","")&amp;IF(AND($BJ223&lt;&gt;"Yes",$BJ223&lt;&gt;"N/A"),"Device ID, ","")&amp;IF(AND($BK223&lt;&gt;"Yes",$BK223&lt;&gt;"N/A"),"Epic Beans Relay, ",""))="","",LEFT(IF(AND($AW223&lt;&gt;"Yes",$AW223&lt;&gt;"N/A"),"Power Cable, ","")&amp;IF(AND($AX223&lt;&gt;"Yes",$AX223&lt;&gt;"N/A"),"Battery, ","")&amp;IF(AND($BE223&lt;&gt;"Yes",$BE223&lt;&gt;"N/A"),"Firmware Download, ","")&amp;IF(AND(OR($BE223="Yes",$BE223="N/A"),$BF223&lt;&gt;"Yes",$BF223&lt;&gt;"N/A"),"Firmware Install, ","")&amp;IF(AND($BJ223&lt;&gt;"Yes",$BJ223&lt;&gt;"N/A"),"Device ID, ","")&amp;IF(AND($BK223&lt;&gt;"Yes",$BK223&lt;&gt;"N/A"),"Epic Beans Relay, ",""),LEN(IF(AND($AW223&lt;&gt;"Yes",$AW223&lt;&gt;"N/A"),"Power Cable, ","")&amp;IF(AND($AX223&lt;&gt;"Yes",$AX223&lt;&gt;"N/A"),"Battery, ","")&amp;IF(AND($BE223&lt;&gt;"Yes",$BE223&lt;&gt;"N/A"),"Firmware Download, ","")&amp;IF(AND(OR($BE223="Yes",$BE223="N/A"),$BF223&lt;&gt;"Yes",$BF223&lt;&gt;"N/A"),"Firmware Install, ","")&amp;IF(AND($BJ223&lt;&gt;"Yes",$BJ223&lt;&gt;"N/A"),"Device ID, ","")&amp;IF(AND($BK223&lt;&gt;"Yes",$BK223&lt;&gt;"N/A"),"Epic Beans Relay, ",""))-2)))</f>
      </c>
      <c r="BM223">
        <f>IF($T223="","",IF($BL223="","Yes","Blocked"))</f>
      </c>
      <c r="BP223">
        <f>IF($BO223="","",IFERROR(VLOOKUP($BO223,'01_Warehouse_Ledger'!$A:$N,4,FALSE),""))</f>
      </c>
      <c r="BQ223">
        <f>IF($BO223="","",IFERROR(VLOOKUP($BO223,'01_Warehouse_Ledger'!$A:$N,5,FALSE),""))</f>
      </c>
      <c r="BR223">
        <f>IF($BO223="","",IFERROR(VLOOKUP($BO223,'01_Warehouse_Ledger'!$A:$N,13,FALSE),""))</f>
      </c>
    </row>
    <row r="224">
      <c r="D224">
        <f>IF($B224&lt;&gt;"Yes","",IF($C224="No","Yes",IF($C224="Yes","No","")))</f>
      </c>
      <c r="E224">
        <f>IF($A224="","",IF($A224="Neuron",IF(OR(AND($S224&lt;&gt;"",LOWER(TRIM($S224))&lt;&gt;"n/a",COUNTIF($S$2:$S$532,$S224)&gt;1),AND($T224&lt;&gt;"",LOWER(TRIM($T224))&lt;&gt;"n/a",COUNTIF($T$2:$T$532,$T224)&gt;1),AND($W224&lt;&gt;"",LOWER(TRIM($W224))&lt;&gt;"n/a",COUNTIF($W$2:$W$532,$W224)&gt;1)),"Yes","No"),IF($A224="Cybernet",IF(OR(AND($Y224&lt;&gt;"",LOWER(TRIM($Y224))&lt;&gt;"n/a",COUNTIF($Y$2:$Y$532,$Y224)&gt;1),AND($Z224&lt;&gt;"",LOWER(TRIM($Z224))&lt;&gt;"n/a",COUNTIF($Z$2:$Z$532,$Z224)&gt;1)),"Yes","No"),IF(AND($AL224&lt;&gt;"",LOWER(TRIM($AL224))&lt;&gt;"n/a",COUNTIF($AL$2:$AL$532,$AL224)&gt;1),"Yes","No"))))</f>
      </c>
      <c r="F224">
        <f>IF($B224&lt;&gt;"Yes","",
IF($A224="Neuron",
IF(OR(
AND($S224&lt;&gt;"",LOWER(TRIM($S224))&lt;&gt;"n/a",COUNTIFS($B$2:$B$532,"Yes",$A$2:$A$532,"Neuron",$S$2:$S$532,$S224)&gt;1),
AND($T224&lt;&gt;"",LOWER(TRIM($T224))&lt;&gt;"n/a",COUNTIFS($B$2:$B$532,"Yes",$A$2:$A$532,"Neuron",$T$2:$T$532,$T224)&gt;1),
AND($W224&lt;&gt;"",LOWER(TRIM($W224))&lt;&gt;"n/a",COUNTIFS($B$2:$B$532,"Yes",$A$2:$A$532,"Neuron",$W$2:$W$532,$W224)&gt;1)
),"Yes","No"),
IF($A224="Cybernet",
IF(OR(
AND($Y224&lt;&gt;"",LOWER(TRIM($Y224))&lt;&gt;"n/a",COUNTIFS($B$2:$B$532,"Yes",$A$2:$A$532,"Cybernet",$Y$2:$Y$532,$Y224)&gt;1),
AND($Z224&lt;&gt;"",LOWER(TRIM($Z224))&lt;&gt;"n/a",COUNTIFS($B$2:$B$532,"Yes",$A$2:$A$532,"Cybernet",$Z$2:$Z$532,$Z224)&gt;1)
),"Yes","No"),
IF(AND($AL224&lt;&gt;"",LOWER(TRIM($AL224))&lt;&gt;"n/a"),
IF(COUNTIFS($B$2:$B$532,"Yes",$A$2:$A$532,$A224,$AL$2:$AL$532,$AL224)&gt;1,"Yes","No"),
"No")
)
)
)</f>
      </c>
      <c r="BL224">
        <f>IF($T224="","",IF((IF(AND($AW224&lt;&gt;"Yes",$AW224&lt;&gt;"N/A"),"Power Cable, ","")&amp;IF(AND($AX224&lt;&gt;"Yes",$AX224&lt;&gt;"N/A"),"Battery, ","")&amp;IF(AND($BE224&lt;&gt;"Yes",$BE224&lt;&gt;"N/A"),"Firmware Download, ","")&amp;IF(AND(OR($BE224="Yes",$BE224="N/A"),$BF224&lt;&gt;"Yes",$BF224&lt;&gt;"N/A"),"Firmware Install, ","")&amp;IF(AND($BJ224&lt;&gt;"Yes",$BJ224&lt;&gt;"N/A"),"Device ID, ","")&amp;IF(AND($BK224&lt;&gt;"Yes",$BK224&lt;&gt;"N/A"),"Epic Beans Relay, ",""))="","",LEFT(IF(AND($AW224&lt;&gt;"Yes",$AW224&lt;&gt;"N/A"),"Power Cable, ","")&amp;IF(AND($AX224&lt;&gt;"Yes",$AX224&lt;&gt;"N/A"),"Battery, ","")&amp;IF(AND($BE224&lt;&gt;"Yes",$BE224&lt;&gt;"N/A"),"Firmware Download, ","")&amp;IF(AND(OR($BE224="Yes",$BE224="N/A"),$BF224&lt;&gt;"Yes",$BF224&lt;&gt;"N/A"),"Firmware Install, ","")&amp;IF(AND($BJ224&lt;&gt;"Yes",$BJ224&lt;&gt;"N/A"),"Device ID, ","")&amp;IF(AND($BK224&lt;&gt;"Yes",$BK224&lt;&gt;"N/A"),"Epic Beans Relay, ",""),LEN(IF(AND($AW224&lt;&gt;"Yes",$AW224&lt;&gt;"N/A"),"Power Cable, ","")&amp;IF(AND($AX224&lt;&gt;"Yes",$AX224&lt;&gt;"N/A"),"Battery, ","")&amp;IF(AND($BE224&lt;&gt;"Yes",$BE224&lt;&gt;"N/A"),"Firmware Download, ","")&amp;IF(AND(OR($BE224="Yes",$BE224="N/A"),$BF224&lt;&gt;"Yes",$BF224&lt;&gt;"N/A"),"Firmware Install, ","")&amp;IF(AND($BJ224&lt;&gt;"Yes",$BJ224&lt;&gt;"N/A"),"Device ID, ","")&amp;IF(AND($BK224&lt;&gt;"Yes",$BK224&lt;&gt;"N/A"),"Epic Beans Relay, ",""))-2)))</f>
      </c>
      <c r="BM224">
        <f>IF($T224="","",IF($BL224="","Yes","Blocked"))</f>
      </c>
      <c r="BP224">
        <f>IF($BO224="","",IFERROR(VLOOKUP($BO224,'01_Warehouse_Ledger'!$A:$N,4,FALSE),""))</f>
      </c>
      <c r="BQ224">
        <f>IF($BO224="","",IFERROR(VLOOKUP($BO224,'01_Warehouse_Ledger'!$A:$N,5,FALSE),""))</f>
      </c>
      <c r="BR224">
        <f>IF($BO224="","",IFERROR(VLOOKUP($BO224,'01_Warehouse_Ledger'!$A:$N,13,FALSE),""))</f>
      </c>
    </row>
    <row r="225">
      <c r="D225">
        <f>IF($B225&lt;&gt;"Yes","",IF($C225="No","Yes",IF($C225="Yes","No","")))</f>
      </c>
      <c r="E225">
        <f>IF($A225="","",IF($A225="Neuron",IF(OR(AND($S225&lt;&gt;"",LOWER(TRIM($S225))&lt;&gt;"n/a",COUNTIF($S$2:$S$532,$S225)&gt;1),AND($T225&lt;&gt;"",LOWER(TRIM($T225))&lt;&gt;"n/a",COUNTIF($T$2:$T$532,$T225)&gt;1),AND($W225&lt;&gt;"",LOWER(TRIM($W225))&lt;&gt;"n/a",COUNTIF($W$2:$W$532,$W225)&gt;1)),"Yes","No"),IF($A225="Cybernet",IF(OR(AND($Y225&lt;&gt;"",LOWER(TRIM($Y225))&lt;&gt;"n/a",COUNTIF($Y$2:$Y$532,$Y225)&gt;1),AND($Z225&lt;&gt;"",LOWER(TRIM($Z225))&lt;&gt;"n/a",COUNTIF($Z$2:$Z$532,$Z225)&gt;1)),"Yes","No"),IF(AND($AL225&lt;&gt;"",LOWER(TRIM($AL225))&lt;&gt;"n/a",COUNTIF($AL$2:$AL$532,$AL225)&gt;1),"Yes","No"))))</f>
      </c>
      <c r="F225">
        <f>IF($B225&lt;&gt;"Yes","",
IF($A225="Neuron",
IF(OR(
AND($S225&lt;&gt;"",LOWER(TRIM($S225))&lt;&gt;"n/a",COUNTIFS($B$2:$B$532,"Yes",$A$2:$A$532,"Neuron",$S$2:$S$532,$S225)&gt;1),
AND($T225&lt;&gt;"",LOWER(TRIM($T225))&lt;&gt;"n/a",COUNTIFS($B$2:$B$532,"Yes",$A$2:$A$532,"Neuron",$T$2:$T$532,$T225)&gt;1),
AND($W225&lt;&gt;"",LOWER(TRIM($W225))&lt;&gt;"n/a",COUNTIFS($B$2:$B$532,"Yes",$A$2:$A$532,"Neuron",$W$2:$W$532,$W225)&gt;1)
),"Yes","No"),
IF($A225="Cybernet",
IF(OR(
AND($Y225&lt;&gt;"",LOWER(TRIM($Y225))&lt;&gt;"n/a",COUNTIFS($B$2:$B$532,"Yes",$A$2:$A$532,"Cybernet",$Y$2:$Y$532,$Y225)&gt;1),
AND($Z225&lt;&gt;"",LOWER(TRIM($Z225))&lt;&gt;"n/a",COUNTIFS($B$2:$B$532,"Yes",$A$2:$A$532,"Cybernet",$Z$2:$Z$532,$Z225)&gt;1)
),"Yes","No"),
IF(AND($AL225&lt;&gt;"",LOWER(TRIM($AL225))&lt;&gt;"n/a"),
IF(COUNTIFS($B$2:$B$532,"Yes",$A$2:$A$532,$A225,$AL$2:$AL$532,$AL225)&gt;1,"Yes","No"),
"No")
)
)
)</f>
      </c>
      <c r="BL225">
        <f>IF($T225="","",IF((IF(AND($AW225&lt;&gt;"Yes",$AW225&lt;&gt;"N/A"),"Power Cable, ","")&amp;IF(AND($AX225&lt;&gt;"Yes",$AX225&lt;&gt;"N/A"),"Battery, ","")&amp;IF(AND($BE225&lt;&gt;"Yes",$BE225&lt;&gt;"N/A"),"Firmware Download, ","")&amp;IF(AND(OR($BE225="Yes",$BE225="N/A"),$BF225&lt;&gt;"Yes",$BF225&lt;&gt;"N/A"),"Firmware Install, ","")&amp;IF(AND($BJ225&lt;&gt;"Yes",$BJ225&lt;&gt;"N/A"),"Device ID, ","")&amp;IF(AND($BK225&lt;&gt;"Yes",$BK225&lt;&gt;"N/A"),"Epic Beans Relay, ",""))="","",LEFT(IF(AND($AW225&lt;&gt;"Yes",$AW225&lt;&gt;"N/A"),"Power Cable, ","")&amp;IF(AND($AX225&lt;&gt;"Yes",$AX225&lt;&gt;"N/A"),"Battery, ","")&amp;IF(AND($BE225&lt;&gt;"Yes",$BE225&lt;&gt;"N/A"),"Firmware Download, ","")&amp;IF(AND(OR($BE225="Yes",$BE225="N/A"),$BF225&lt;&gt;"Yes",$BF225&lt;&gt;"N/A"),"Firmware Install, ","")&amp;IF(AND($BJ225&lt;&gt;"Yes",$BJ225&lt;&gt;"N/A"),"Device ID, ","")&amp;IF(AND($BK225&lt;&gt;"Yes",$BK225&lt;&gt;"N/A"),"Epic Beans Relay, ",""),LEN(IF(AND($AW225&lt;&gt;"Yes",$AW225&lt;&gt;"N/A"),"Power Cable, ","")&amp;IF(AND($AX225&lt;&gt;"Yes",$AX225&lt;&gt;"N/A"),"Battery, ","")&amp;IF(AND($BE225&lt;&gt;"Yes",$BE225&lt;&gt;"N/A"),"Firmware Download, ","")&amp;IF(AND(OR($BE225="Yes",$BE225="N/A"),$BF225&lt;&gt;"Yes",$BF225&lt;&gt;"N/A"),"Firmware Install, ","")&amp;IF(AND($BJ225&lt;&gt;"Yes",$BJ225&lt;&gt;"N/A"),"Device ID, ","")&amp;IF(AND($BK225&lt;&gt;"Yes",$BK225&lt;&gt;"N/A"),"Epic Beans Relay, ",""))-2)))</f>
      </c>
      <c r="BM225">
        <f>IF($T225="","",IF($BL225="","Yes","Blocked"))</f>
      </c>
      <c r="BP225">
        <f>IF($BO225="","",IFERROR(VLOOKUP($BO225,'01_Warehouse_Ledger'!$A:$N,4,FALSE),""))</f>
      </c>
      <c r="BQ225">
        <f>IF($BO225="","",IFERROR(VLOOKUP($BO225,'01_Warehouse_Ledger'!$A:$N,5,FALSE),""))</f>
      </c>
      <c r="BR225">
        <f>IF($BO225="","",IFERROR(VLOOKUP($BO225,'01_Warehouse_Ledger'!$A:$N,13,FALSE),""))</f>
      </c>
    </row>
    <row r="226">
      <c r="D226">
        <f>IF($B226&lt;&gt;"Yes","",IF($C226="No","Yes",IF($C226="Yes","No","")))</f>
      </c>
      <c r="E226">
        <f>IF($A226="","",IF($A226="Neuron",IF(OR(AND($S226&lt;&gt;"",LOWER(TRIM($S226))&lt;&gt;"n/a",COUNTIF($S$2:$S$532,$S226)&gt;1),AND($T226&lt;&gt;"",LOWER(TRIM($T226))&lt;&gt;"n/a",COUNTIF($T$2:$T$532,$T226)&gt;1),AND($W226&lt;&gt;"",LOWER(TRIM($W226))&lt;&gt;"n/a",COUNTIF($W$2:$W$532,$W226)&gt;1)),"Yes","No"),IF($A226="Cybernet",IF(OR(AND($Y226&lt;&gt;"",LOWER(TRIM($Y226))&lt;&gt;"n/a",COUNTIF($Y$2:$Y$532,$Y226)&gt;1),AND($Z226&lt;&gt;"",LOWER(TRIM($Z226))&lt;&gt;"n/a",COUNTIF($Z$2:$Z$532,$Z226)&gt;1)),"Yes","No"),IF(AND($AL226&lt;&gt;"",LOWER(TRIM($AL226))&lt;&gt;"n/a",COUNTIF($AL$2:$AL$532,$AL226)&gt;1),"Yes","No"))))</f>
      </c>
      <c r="F226">
        <f>IF($B226&lt;&gt;"Yes","",
IF($A226="Neuron",
IF(OR(
AND($S226&lt;&gt;"",LOWER(TRIM($S226))&lt;&gt;"n/a",COUNTIFS($B$2:$B$532,"Yes",$A$2:$A$532,"Neuron",$S$2:$S$532,$S226)&gt;1),
AND($T226&lt;&gt;"",LOWER(TRIM($T226))&lt;&gt;"n/a",COUNTIFS($B$2:$B$532,"Yes",$A$2:$A$532,"Neuron",$T$2:$T$532,$T226)&gt;1),
AND($W226&lt;&gt;"",LOWER(TRIM($W226))&lt;&gt;"n/a",COUNTIFS($B$2:$B$532,"Yes",$A$2:$A$532,"Neuron",$W$2:$W$532,$W226)&gt;1)
),"Yes","No"),
IF($A226="Cybernet",
IF(OR(
AND($Y226&lt;&gt;"",LOWER(TRIM($Y226))&lt;&gt;"n/a",COUNTIFS($B$2:$B$532,"Yes",$A$2:$A$532,"Cybernet",$Y$2:$Y$532,$Y226)&gt;1),
AND($Z226&lt;&gt;"",LOWER(TRIM($Z226))&lt;&gt;"n/a",COUNTIFS($B$2:$B$532,"Yes",$A$2:$A$532,"Cybernet",$Z$2:$Z$532,$Z226)&gt;1)
),"Yes","No"),
IF(AND($AL226&lt;&gt;"",LOWER(TRIM($AL226))&lt;&gt;"n/a"),
IF(COUNTIFS($B$2:$B$532,"Yes",$A$2:$A$532,$A226,$AL$2:$AL$532,$AL226)&gt;1,"Yes","No"),
"No")
)
)
)</f>
      </c>
      <c r="BL226">
        <f>IF($T226="","",IF((IF(AND($AW226&lt;&gt;"Yes",$AW226&lt;&gt;"N/A"),"Power Cable, ","")&amp;IF(AND($AX226&lt;&gt;"Yes",$AX226&lt;&gt;"N/A"),"Battery, ","")&amp;IF(AND($BE226&lt;&gt;"Yes",$BE226&lt;&gt;"N/A"),"Firmware Download, ","")&amp;IF(AND(OR($BE226="Yes",$BE226="N/A"),$BF226&lt;&gt;"Yes",$BF226&lt;&gt;"N/A"),"Firmware Install, ","")&amp;IF(AND($BJ226&lt;&gt;"Yes",$BJ226&lt;&gt;"N/A"),"Device ID, ","")&amp;IF(AND($BK226&lt;&gt;"Yes",$BK226&lt;&gt;"N/A"),"Epic Beans Relay, ",""))="","",LEFT(IF(AND($AW226&lt;&gt;"Yes",$AW226&lt;&gt;"N/A"),"Power Cable, ","")&amp;IF(AND($AX226&lt;&gt;"Yes",$AX226&lt;&gt;"N/A"),"Battery, ","")&amp;IF(AND($BE226&lt;&gt;"Yes",$BE226&lt;&gt;"N/A"),"Firmware Download, ","")&amp;IF(AND(OR($BE226="Yes",$BE226="N/A"),$BF226&lt;&gt;"Yes",$BF226&lt;&gt;"N/A"),"Firmware Install, ","")&amp;IF(AND($BJ226&lt;&gt;"Yes",$BJ226&lt;&gt;"N/A"),"Device ID, ","")&amp;IF(AND($BK226&lt;&gt;"Yes",$BK226&lt;&gt;"N/A"),"Epic Beans Relay, ",""),LEN(IF(AND($AW226&lt;&gt;"Yes",$AW226&lt;&gt;"N/A"),"Power Cable, ","")&amp;IF(AND($AX226&lt;&gt;"Yes",$AX226&lt;&gt;"N/A"),"Battery, ","")&amp;IF(AND($BE226&lt;&gt;"Yes",$BE226&lt;&gt;"N/A"),"Firmware Download, ","")&amp;IF(AND(OR($BE226="Yes",$BE226="N/A"),$BF226&lt;&gt;"Yes",$BF226&lt;&gt;"N/A"),"Firmware Install, ","")&amp;IF(AND($BJ226&lt;&gt;"Yes",$BJ226&lt;&gt;"N/A"),"Device ID, ","")&amp;IF(AND($BK226&lt;&gt;"Yes",$BK226&lt;&gt;"N/A"),"Epic Beans Relay, ",""))-2)))</f>
      </c>
      <c r="BM226">
        <f>IF($T226="","",IF($BL226="","Yes","Blocked"))</f>
      </c>
      <c r="BP226">
        <f>IF($BO226="","",IFERROR(VLOOKUP($BO226,'01_Warehouse_Ledger'!$A:$N,4,FALSE),""))</f>
      </c>
      <c r="BQ226">
        <f>IF($BO226="","",IFERROR(VLOOKUP($BO226,'01_Warehouse_Ledger'!$A:$N,5,FALSE),""))</f>
      </c>
      <c r="BR226">
        <f>IF($BO226="","",IFERROR(VLOOKUP($BO226,'01_Warehouse_Ledger'!$A:$N,13,FALSE),""))</f>
      </c>
    </row>
    <row r="227">
      <c r="D227">
        <f>IF($B227&lt;&gt;"Yes","",IF($C227="No","Yes",IF($C227="Yes","No","")))</f>
      </c>
      <c r="E227">
        <f>IF($A227="","",IF($A227="Neuron",IF(OR(AND($S227&lt;&gt;"",LOWER(TRIM($S227))&lt;&gt;"n/a",COUNTIF($S$2:$S$532,$S227)&gt;1),AND($T227&lt;&gt;"",LOWER(TRIM($T227))&lt;&gt;"n/a",COUNTIF($T$2:$T$532,$T227)&gt;1),AND($W227&lt;&gt;"",LOWER(TRIM($W227))&lt;&gt;"n/a",COUNTIF($W$2:$W$532,$W227)&gt;1)),"Yes","No"),IF($A227="Cybernet",IF(OR(AND($Y227&lt;&gt;"",LOWER(TRIM($Y227))&lt;&gt;"n/a",COUNTIF($Y$2:$Y$532,$Y227)&gt;1),AND($Z227&lt;&gt;"",LOWER(TRIM($Z227))&lt;&gt;"n/a",COUNTIF($Z$2:$Z$532,$Z227)&gt;1)),"Yes","No"),IF(AND($AL227&lt;&gt;"",LOWER(TRIM($AL227))&lt;&gt;"n/a",COUNTIF($AL$2:$AL$532,$AL227)&gt;1),"Yes","No"))))</f>
      </c>
      <c r="F227">
        <f>IF($B227&lt;&gt;"Yes","",
IF($A227="Neuron",
IF(OR(
AND($S227&lt;&gt;"",LOWER(TRIM($S227))&lt;&gt;"n/a",COUNTIFS($B$2:$B$532,"Yes",$A$2:$A$532,"Neuron",$S$2:$S$532,$S227)&gt;1),
AND($T227&lt;&gt;"",LOWER(TRIM($T227))&lt;&gt;"n/a",COUNTIFS($B$2:$B$532,"Yes",$A$2:$A$532,"Neuron",$T$2:$T$532,$T227)&gt;1),
AND($W227&lt;&gt;"",LOWER(TRIM($W227))&lt;&gt;"n/a",COUNTIFS($B$2:$B$532,"Yes",$A$2:$A$532,"Neuron",$W$2:$W$532,$W227)&gt;1)
),"Yes","No"),
IF($A227="Cybernet",
IF(OR(
AND($Y227&lt;&gt;"",LOWER(TRIM($Y227))&lt;&gt;"n/a",COUNTIFS($B$2:$B$532,"Yes",$A$2:$A$532,"Cybernet",$Y$2:$Y$532,$Y227)&gt;1),
AND($Z227&lt;&gt;"",LOWER(TRIM($Z227))&lt;&gt;"n/a",COUNTIFS($B$2:$B$532,"Yes",$A$2:$A$532,"Cybernet",$Z$2:$Z$532,$Z227)&gt;1)
),"Yes","No"),
IF(AND($AL227&lt;&gt;"",LOWER(TRIM($AL227))&lt;&gt;"n/a"),
IF(COUNTIFS($B$2:$B$532,"Yes",$A$2:$A$532,$A227,$AL$2:$AL$532,$AL227)&gt;1,"Yes","No"),
"No")
)
)
)</f>
      </c>
      <c r="BL227">
        <f>IF($T227="","",IF((IF(AND($AW227&lt;&gt;"Yes",$AW227&lt;&gt;"N/A"),"Power Cable, ","")&amp;IF(AND($AX227&lt;&gt;"Yes",$AX227&lt;&gt;"N/A"),"Battery, ","")&amp;IF(AND($BE227&lt;&gt;"Yes",$BE227&lt;&gt;"N/A"),"Firmware Download, ","")&amp;IF(AND(OR($BE227="Yes",$BE227="N/A"),$BF227&lt;&gt;"Yes",$BF227&lt;&gt;"N/A"),"Firmware Install, ","")&amp;IF(AND($BJ227&lt;&gt;"Yes",$BJ227&lt;&gt;"N/A"),"Device ID, ","")&amp;IF(AND($BK227&lt;&gt;"Yes",$BK227&lt;&gt;"N/A"),"Epic Beans Relay, ",""))="","",LEFT(IF(AND($AW227&lt;&gt;"Yes",$AW227&lt;&gt;"N/A"),"Power Cable, ","")&amp;IF(AND($AX227&lt;&gt;"Yes",$AX227&lt;&gt;"N/A"),"Battery, ","")&amp;IF(AND($BE227&lt;&gt;"Yes",$BE227&lt;&gt;"N/A"),"Firmware Download, ","")&amp;IF(AND(OR($BE227="Yes",$BE227="N/A"),$BF227&lt;&gt;"Yes",$BF227&lt;&gt;"N/A"),"Firmware Install, ","")&amp;IF(AND($BJ227&lt;&gt;"Yes",$BJ227&lt;&gt;"N/A"),"Device ID, ","")&amp;IF(AND($BK227&lt;&gt;"Yes",$BK227&lt;&gt;"N/A"),"Epic Beans Relay, ",""),LEN(IF(AND($AW227&lt;&gt;"Yes",$AW227&lt;&gt;"N/A"),"Power Cable, ","")&amp;IF(AND($AX227&lt;&gt;"Yes",$AX227&lt;&gt;"N/A"),"Battery, ","")&amp;IF(AND($BE227&lt;&gt;"Yes",$BE227&lt;&gt;"N/A"),"Firmware Download, ","")&amp;IF(AND(OR($BE227="Yes",$BE227="N/A"),$BF227&lt;&gt;"Yes",$BF227&lt;&gt;"N/A"),"Firmware Install, ","")&amp;IF(AND($BJ227&lt;&gt;"Yes",$BJ227&lt;&gt;"N/A"),"Device ID, ","")&amp;IF(AND($BK227&lt;&gt;"Yes",$BK227&lt;&gt;"N/A"),"Epic Beans Relay, ",""))-2)))</f>
      </c>
      <c r="BM227">
        <f>IF($T227="","",IF($BL227="","Yes","Blocked"))</f>
      </c>
      <c r="BP227">
        <f>IF($BO227="","",IFERROR(VLOOKUP($BO227,'01_Warehouse_Ledger'!$A:$N,4,FALSE),""))</f>
      </c>
      <c r="BQ227">
        <f>IF($BO227="","",IFERROR(VLOOKUP($BO227,'01_Warehouse_Ledger'!$A:$N,5,FALSE),""))</f>
      </c>
      <c r="BR227">
        <f>IF($BO227="","",IFERROR(VLOOKUP($BO227,'01_Warehouse_Ledger'!$A:$N,13,FALSE),""))</f>
      </c>
    </row>
    <row r="228">
      <c r="D228">
        <f>IF($B228&lt;&gt;"Yes","",IF($C228="No","Yes",IF($C228="Yes","No","")))</f>
      </c>
      <c r="E228">
        <f>IF($A228="","",IF($A228="Neuron",IF(OR(AND($S228&lt;&gt;"",LOWER(TRIM($S228))&lt;&gt;"n/a",COUNTIF($S$2:$S$532,$S228)&gt;1),AND($T228&lt;&gt;"",LOWER(TRIM($T228))&lt;&gt;"n/a",COUNTIF($T$2:$T$532,$T228)&gt;1),AND($W228&lt;&gt;"",LOWER(TRIM($W228))&lt;&gt;"n/a",COUNTIF($W$2:$W$532,$W228)&gt;1)),"Yes","No"),IF($A228="Cybernet",IF(OR(AND($Y228&lt;&gt;"",LOWER(TRIM($Y228))&lt;&gt;"n/a",COUNTIF($Y$2:$Y$532,$Y228)&gt;1),AND($Z228&lt;&gt;"",LOWER(TRIM($Z228))&lt;&gt;"n/a",COUNTIF($Z$2:$Z$532,$Z228)&gt;1)),"Yes","No"),IF(AND($AL228&lt;&gt;"",LOWER(TRIM($AL228))&lt;&gt;"n/a",COUNTIF($AL$2:$AL$532,$AL228)&gt;1),"Yes","No"))))</f>
      </c>
      <c r="F228">
        <f>IF($B228&lt;&gt;"Yes","",
IF($A228="Neuron",
IF(OR(
AND($S228&lt;&gt;"",LOWER(TRIM($S228))&lt;&gt;"n/a",COUNTIFS($B$2:$B$532,"Yes",$A$2:$A$532,"Neuron",$S$2:$S$532,$S228)&gt;1),
AND($T228&lt;&gt;"",LOWER(TRIM($T228))&lt;&gt;"n/a",COUNTIFS($B$2:$B$532,"Yes",$A$2:$A$532,"Neuron",$T$2:$T$532,$T228)&gt;1),
AND($W228&lt;&gt;"",LOWER(TRIM($W228))&lt;&gt;"n/a",COUNTIFS($B$2:$B$532,"Yes",$A$2:$A$532,"Neuron",$W$2:$W$532,$W228)&gt;1)
),"Yes","No"),
IF($A228="Cybernet",
IF(OR(
AND($Y228&lt;&gt;"",LOWER(TRIM($Y228))&lt;&gt;"n/a",COUNTIFS($B$2:$B$532,"Yes",$A$2:$A$532,"Cybernet",$Y$2:$Y$532,$Y228)&gt;1),
AND($Z228&lt;&gt;"",LOWER(TRIM($Z228))&lt;&gt;"n/a",COUNTIFS($B$2:$B$532,"Yes",$A$2:$A$532,"Cybernet",$Z$2:$Z$532,$Z228)&gt;1)
),"Yes","No"),
IF(AND($AL228&lt;&gt;"",LOWER(TRIM($AL228))&lt;&gt;"n/a"),
IF(COUNTIFS($B$2:$B$532,"Yes",$A$2:$A$532,$A228,$AL$2:$AL$532,$AL228)&gt;1,"Yes","No"),
"No")
)
)
)</f>
      </c>
      <c r="BL228">
        <f>IF($T228="","",IF((IF(AND($AW228&lt;&gt;"Yes",$AW228&lt;&gt;"N/A"),"Power Cable, ","")&amp;IF(AND($AX228&lt;&gt;"Yes",$AX228&lt;&gt;"N/A"),"Battery, ","")&amp;IF(AND($BE228&lt;&gt;"Yes",$BE228&lt;&gt;"N/A"),"Firmware Download, ","")&amp;IF(AND(OR($BE228="Yes",$BE228="N/A"),$BF228&lt;&gt;"Yes",$BF228&lt;&gt;"N/A"),"Firmware Install, ","")&amp;IF(AND($BJ228&lt;&gt;"Yes",$BJ228&lt;&gt;"N/A"),"Device ID, ","")&amp;IF(AND($BK228&lt;&gt;"Yes",$BK228&lt;&gt;"N/A"),"Epic Beans Relay, ",""))="","",LEFT(IF(AND($AW228&lt;&gt;"Yes",$AW228&lt;&gt;"N/A"),"Power Cable, ","")&amp;IF(AND($AX228&lt;&gt;"Yes",$AX228&lt;&gt;"N/A"),"Battery, ","")&amp;IF(AND($BE228&lt;&gt;"Yes",$BE228&lt;&gt;"N/A"),"Firmware Download, ","")&amp;IF(AND(OR($BE228="Yes",$BE228="N/A"),$BF228&lt;&gt;"Yes",$BF228&lt;&gt;"N/A"),"Firmware Install, ","")&amp;IF(AND($BJ228&lt;&gt;"Yes",$BJ228&lt;&gt;"N/A"),"Device ID, ","")&amp;IF(AND($BK228&lt;&gt;"Yes",$BK228&lt;&gt;"N/A"),"Epic Beans Relay, ",""),LEN(IF(AND($AW228&lt;&gt;"Yes",$AW228&lt;&gt;"N/A"),"Power Cable, ","")&amp;IF(AND($AX228&lt;&gt;"Yes",$AX228&lt;&gt;"N/A"),"Battery, ","")&amp;IF(AND($BE228&lt;&gt;"Yes",$BE228&lt;&gt;"N/A"),"Firmware Download, ","")&amp;IF(AND(OR($BE228="Yes",$BE228="N/A"),$BF228&lt;&gt;"Yes",$BF228&lt;&gt;"N/A"),"Firmware Install, ","")&amp;IF(AND($BJ228&lt;&gt;"Yes",$BJ228&lt;&gt;"N/A"),"Device ID, ","")&amp;IF(AND($BK228&lt;&gt;"Yes",$BK228&lt;&gt;"N/A"),"Epic Beans Relay, ",""))-2)))</f>
      </c>
      <c r="BM228">
        <f>IF($T228="","",IF($BL228="","Yes","Blocked"))</f>
      </c>
      <c r="BP228">
        <f>IF($BO228="","",IFERROR(VLOOKUP($BO228,'01_Warehouse_Ledger'!$A:$N,4,FALSE),""))</f>
      </c>
      <c r="BQ228">
        <f>IF($BO228="","",IFERROR(VLOOKUP($BO228,'01_Warehouse_Ledger'!$A:$N,5,FALSE),""))</f>
      </c>
      <c r="BR228">
        <f>IF($BO228="","",IFERROR(VLOOKUP($BO228,'01_Warehouse_Ledger'!$A:$N,13,FALSE),""))</f>
      </c>
    </row>
    <row r="229">
      <c r="D229">
        <f>IF($B229&lt;&gt;"Yes","",IF($C229="No","Yes",IF($C229="Yes","No","")))</f>
      </c>
      <c r="E229">
        <f>IF($A229="","",IF($A229="Neuron",IF(OR(AND($S229&lt;&gt;"",LOWER(TRIM($S229))&lt;&gt;"n/a",COUNTIF($S$2:$S$532,$S229)&gt;1),AND($T229&lt;&gt;"",LOWER(TRIM($T229))&lt;&gt;"n/a",COUNTIF($T$2:$T$532,$T229)&gt;1),AND($W229&lt;&gt;"",LOWER(TRIM($W229))&lt;&gt;"n/a",COUNTIF($W$2:$W$532,$W229)&gt;1)),"Yes","No"),IF($A229="Cybernet",IF(OR(AND($Y229&lt;&gt;"",LOWER(TRIM($Y229))&lt;&gt;"n/a",COUNTIF($Y$2:$Y$532,$Y229)&gt;1),AND($Z229&lt;&gt;"",LOWER(TRIM($Z229))&lt;&gt;"n/a",COUNTIF($Z$2:$Z$532,$Z229)&gt;1)),"Yes","No"),IF(AND($AL229&lt;&gt;"",LOWER(TRIM($AL229))&lt;&gt;"n/a",COUNTIF($AL$2:$AL$532,$AL229)&gt;1),"Yes","No"))))</f>
      </c>
      <c r="F229">
        <f>IF($B229&lt;&gt;"Yes","",
IF($A229="Neuron",
IF(OR(
AND($S229&lt;&gt;"",LOWER(TRIM($S229))&lt;&gt;"n/a",COUNTIFS($B$2:$B$532,"Yes",$A$2:$A$532,"Neuron",$S$2:$S$532,$S229)&gt;1),
AND($T229&lt;&gt;"",LOWER(TRIM($T229))&lt;&gt;"n/a",COUNTIFS($B$2:$B$532,"Yes",$A$2:$A$532,"Neuron",$T$2:$T$532,$T229)&gt;1),
AND($W229&lt;&gt;"",LOWER(TRIM($W229))&lt;&gt;"n/a",COUNTIFS($B$2:$B$532,"Yes",$A$2:$A$532,"Neuron",$W$2:$W$532,$W229)&gt;1)
),"Yes","No"),
IF($A229="Cybernet",
IF(OR(
AND($Y229&lt;&gt;"",LOWER(TRIM($Y229))&lt;&gt;"n/a",COUNTIFS($B$2:$B$532,"Yes",$A$2:$A$532,"Cybernet",$Y$2:$Y$532,$Y229)&gt;1),
AND($Z229&lt;&gt;"",LOWER(TRIM($Z229))&lt;&gt;"n/a",COUNTIFS($B$2:$B$532,"Yes",$A$2:$A$532,"Cybernet",$Z$2:$Z$532,$Z229)&gt;1)
),"Yes","No"),
IF(AND($AL229&lt;&gt;"",LOWER(TRIM($AL229))&lt;&gt;"n/a"),
IF(COUNTIFS($B$2:$B$532,"Yes",$A$2:$A$532,$A229,$AL$2:$AL$532,$AL229)&gt;1,"Yes","No"),
"No")
)
)
)</f>
      </c>
      <c r="BL229">
        <f>IF($T229="","",IF((IF(AND($AW229&lt;&gt;"Yes",$AW229&lt;&gt;"N/A"),"Power Cable, ","")&amp;IF(AND($AX229&lt;&gt;"Yes",$AX229&lt;&gt;"N/A"),"Battery, ","")&amp;IF(AND($BE229&lt;&gt;"Yes",$BE229&lt;&gt;"N/A"),"Firmware Download, ","")&amp;IF(AND(OR($BE229="Yes",$BE229="N/A"),$BF229&lt;&gt;"Yes",$BF229&lt;&gt;"N/A"),"Firmware Install, ","")&amp;IF(AND($BJ229&lt;&gt;"Yes",$BJ229&lt;&gt;"N/A"),"Device ID, ","")&amp;IF(AND($BK229&lt;&gt;"Yes",$BK229&lt;&gt;"N/A"),"Epic Beans Relay, ",""))="","",LEFT(IF(AND($AW229&lt;&gt;"Yes",$AW229&lt;&gt;"N/A"),"Power Cable, ","")&amp;IF(AND($AX229&lt;&gt;"Yes",$AX229&lt;&gt;"N/A"),"Battery, ","")&amp;IF(AND($BE229&lt;&gt;"Yes",$BE229&lt;&gt;"N/A"),"Firmware Download, ","")&amp;IF(AND(OR($BE229="Yes",$BE229="N/A"),$BF229&lt;&gt;"Yes",$BF229&lt;&gt;"N/A"),"Firmware Install, ","")&amp;IF(AND($BJ229&lt;&gt;"Yes",$BJ229&lt;&gt;"N/A"),"Device ID, ","")&amp;IF(AND($BK229&lt;&gt;"Yes",$BK229&lt;&gt;"N/A"),"Epic Beans Relay, ",""),LEN(IF(AND($AW229&lt;&gt;"Yes",$AW229&lt;&gt;"N/A"),"Power Cable, ","")&amp;IF(AND($AX229&lt;&gt;"Yes",$AX229&lt;&gt;"N/A"),"Battery, ","")&amp;IF(AND($BE229&lt;&gt;"Yes",$BE229&lt;&gt;"N/A"),"Firmware Download, ","")&amp;IF(AND(OR($BE229="Yes",$BE229="N/A"),$BF229&lt;&gt;"Yes",$BF229&lt;&gt;"N/A"),"Firmware Install, ","")&amp;IF(AND($BJ229&lt;&gt;"Yes",$BJ229&lt;&gt;"N/A"),"Device ID, ","")&amp;IF(AND($BK229&lt;&gt;"Yes",$BK229&lt;&gt;"N/A"),"Epic Beans Relay, ",""))-2)))</f>
      </c>
      <c r="BM229">
        <f>IF($T229="","",IF($BL229="","Yes","Blocked"))</f>
      </c>
      <c r="BP229">
        <f>IF($BO229="","",IFERROR(VLOOKUP($BO229,'01_Warehouse_Ledger'!$A:$N,4,FALSE),""))</f>
      </c>
      <c r="BQ229">
        <f>IF($BO229="","",IFERROR(VLOOKUP($BO229,'01_Warehouse_Ledger'!$A:$N,5,FALSE),""))</f>
      </c>
      <c r="BR229">
        <f>IF($BO229="","",IFERROR(VLOOKUP($BO229,'01_Warehouse_Ledger'!$A:$N,13,FALSE),""))</f>
      </c>
    </row>
    <row r="230">
      <c r="D230">
        <f>IF($B230&lt;&gt;"Yes","",IF($C230="No","Yes",IF($C230="Yes","No","")))</f>
      </c>
      <c r="E230">
        <f>IF($A230="","",IF($A230="Neuron",IF(OR(AND($S230&lt;&gt;"",LOWER(TRIM($S230))&lt;&gt;"n/a",COUNTIF($S$2:$S$532,$S230)&gt;1),AND($T230&lt;&gt;"",LOWER(TRIM($T230))&lt;&gt;"n/a",COUNTIF($T$2:$T$532,$T230)&gt;1),AND($W230&lt;&gt;"",LOWER(TRIM($W230))&lt;&gt;"n/a",COUNTIF($W$2:$W$532,$W230)&gt;1)),"Yes","No"),IF($A230="Cybernet",IF(OR(AND($Y230&lt;&gt;"",LOWER(TRIM($Y230))&lt;&gt;"n/a",COUNTIF($Y$2:$Y$532,$Y230)&gt;1),AND($Z230&lt;&gt;"",LOWER(TRIM($Z230))&lt;&gt;"n/a",COUNTIF($Z$2:$Z$532,$Z230)&gt;1)),"Yes","No"),IF(AND($AL230&lt;&gt;"",LOWER(TRIM($AL230))&lt;&gt;"n/a",COUNTIF($AL$2:$AL$532,$AL230)&gt;1),"Yes","No"))))</f>
      </c>
      <c r="F230">
        <f>IF($B230&lt;&gt;"Yes","",
IF($A230="Neuron",
IF(OR(
AND($S230&lt;&gt;"",LOWER(TRIM($S230))&lt;&gt;"n/a",COUNTIFS($B$2:$B$532,"Yes",$A$2:$A$532,"Neuron",$S$2:$S$532,$S230)&gt;1),
AND($T230&lt;&gt;"",LOWER(TRIM($T230))&lt;&gt;"n/a",COUNTIFS($B$2:$B$532,"Yes",$A$2:$A$532,"Neuron",$T$2:$T$532,$T230)&gt;1),
AND($W230&lt;&gt;"",LOWER(TRIM($W230))&lt;&gt;"n/a",COUNTIFS($B$2:$B$532,"Yes",$A$2:$A$532,"Neuron",$W$2:$W$532,$W230)&gt;1)
),"Yes","No"),
IF($A230="Cybernet",
IF(OR(
AND($Y230&lt;&gt;"",LOWER(TRIM($Y230))&lt;&gt;"n/a",COUNTIFS($B$2:$B$532,"Yes",$A$2:$A$532,"Cybernet",$Y$2:$Y$532,$Y230)&gt;1),
AND($Z230&lt;&gt;"",LOWER(TRIM($Z230))&lt;&gt;"n/a",COUNTIFS($B$2:$B$532,"Yes",$A$2:$A$532,"Cybernet",$Z$2:$Z$532,$Z230)&gt;1)
),"Yes","No"),
IF(AND($AL230&lt;&gt;"",LOWER(TRIM($AL230))&lt;&gt;"n/a"),
IF(COUNTIFS($B$2:$B$532,"Yes",$A$2:$A$532,$A230,$AL$2:$AL$532,$AL230)&gt;1,"Yes","No"),
"No")
)
)
)</f>
      </c>
      <c r="BL230">
        <f>IF($T230="","",IF((IF(AND($AW230&lt;&gt;"Yes",$AW230&lt;&gt;"N/A"),"Power Cable, ","")&amp;IF(AND($AX230&lt;&gt;"Yes",$AX230&lt;&gt;"N/A"),"Battery, ","")&amp;IF(AND($BE230&lt;&gt;"Yes",$BE230&lt;&gt;"N/A"),"Firmware Download, ","")&amp;IF(AND(OR($BE230="Yes",$BE230="N/A"),$BF230&lt;&gt;"Yes",$BF230&lt;&gt;"N/A"),"Firmware Install, ","")&amp;IF(AND($BJ230&lt;&gt;"Yes",$BJ230&lt;&gt;"N/A"),"Device ID, ","")&amp;IF(AND($BK230&lt;&gt;"Yes",$BK230&lt;&gt;"N/A"),"Epic Beans Relay, ",""))="","",LEFT(IF(AND($AW230&lt;&gt;"Yes",$AW230&lt;&gt;"N/A"),"Power Cable, ","")&amp;IF(AND($AX230&lt;&gt;"Yes",$AX230&lt;&gt;"N/A"),"Battery, ","")&amp;IF(AND($BE230&lt;&gt;"Yes",$BE230&lt;&gt;"N/A"),"Firmware Download, ","")&amp;IF(AND(OR($BE230="Yes",$BE230="N/A"),$BF230&lt;&gt;"Yes",$BF230&lt;&gt;"N/A"),"Firmware Install, ","")&amp;IF(AND($BJ230&lt;&gt;"Yes",$BJ230&lt;&gt;"N/A"),"Device ID, ","")&amp;IF(AND($BK230&lt;&gt;"Yes",$BK230&lt;&gt;"N/A"),"Epic Beans Relay, ",""),LEN(IF(AND($AW230&lt;&gt;"Yes",$AW230&lt;&gt;"N/A"),"Power Cable, ","")&amp;IF(AND($AX230&lt;&gt;"Yes",$AX230&lt;&gt;"N/A"),"Battery, ","")&amp;IF(AND($BE230&lt;&gt;"Yes",$BE230&lt;&gt;"N/A"),"Firmware Download, ","")&amp;IF(AND(OR($BE230="Yes",$BE230="N/A"),$BF230&lt;&gt;"Yes",$BF230&lt;&gt;"N/A"),"Firmware Install, ","")&amp;IF(AND($BJ230&lt;&gt;"Yes",$BJ230&lt;&gt;"N/A"),"Device ID, ","")&amp;IF(AND($BK230&lt;&gt;"Yes",$BK230&lt;&gt;"N/A"),"Epic Beans Relay, ",""))-2)))</f>
      </c>
      <c r="BM230">
        <f>IF($T230="","",IF($BL230="","Yes","Blocked"))</f>
      </c>
      <c r="BP230">
        <f>IF($BO230="","",IFERROR(VLOOKUP($BO230,'01_Warehouse_Ledger'!$A:$N,4,FALSE),""))</f>
      </c>
      <c r="BQ230">
        <f>IF($BO230="","",IFERROR(VLOOKUP($BO230,'01_Warehouse_Ledger'!$A:$N,5,FALSE),""))</f>
      </c>
      <c r="BR230">
        <f>IF($BO230="","",IFERROR(VLOOKUP($BO230,'01_Warehouse_Ledger'!$A:$N,13,FALSE),""))</f>
      </c>
    </row>
    <row r="231">
      <c r="D231">
        <f>IF($B231&lt;&gt;"Yes","",IF($C231="No","Yes",IF($C231="Yes","No","")))</f>
      </c>
      <c r="E231">
        <f>IF($A231="","",IF($A231="Neuron",IF(OR(AND($S231&lt;&gt;"",LOWER(TRIM($S231))&lt;&gt;"n/a",COUNTIF($S$2:$S$532,$S231)&gt;1),AND($T231&lt;&gt;"",LOWER(TRIM($T231))&lt;&gt;"n/a",COUNTIF($T$2:$T$532,$T231)&gt;1),AND($W231&lt;&gt;"",LOWER(TRIM($W231))&lt;&gt;"n/a",COUNTIF($W$2:$W$532,$W231)&gt;1)),"Yes","No"),IF($A231="Cybernet",IF(OR(AND($Y231&lt;&gt;"",LOWER(TRIM($Y231))&lt;&gt;"n/a",COUNTIF($Y$2:$Y$532,$Y231)&gt;1),AND($Z231&lt;&gt;"",LOWER(TRIM($Z231))&lt;&gt;"n/a",COUNTIF($Z$2:$Z$532,$Z231)&gt;1)),"Yes","No"),IF(AND($AL231&lt;&gt;"",LOWER(TRIM($AL231))&lt;&gt;"n/a",COUNTIF($AL$2:$AL$532,$AL231)&gt;1),"Yes","No"))))</f>
      </c>
      <c r="F231">
        <f>IF($B231&lt;&gt;"Yes","",
IF($A231="Neuron",
IF(OR(
AND($S231&lt;&gt;"",LOWER(TRIM($S231))&lt;&gt;"n/a",COUNTIFS($B$2:$B$532,"Yes",$A$2:$A$532,"Neuron",$S$2:$S$532,$S231)&gt;1),
AND($T231&lt;&gt;"",LOWER(TRIM($T231))&lt;&gt;"n/a",COUNTIFS($B$2:$B$532,"Yes",$A$2:$A$532,"Neuron",$T$2:$T$532,$T231)&gt;1),
AND($W231&lt;&gt;"",LOWER(TRIM($W231))&lt;&gt;"n/a",COUNTIFS($B$2:$B$532,"Yes",$A$2:$A$532,"Neuron",$W$2:$W$532,$W231)&gt;1)
),"Yes","No"),
IF($A231="Cybernet",
IF(OR(
AND($Y231&lt;&gt;"",LOWER(TRIM($Y231))&lt;&gt;"n/a",COUNTIFS($B$2:$B$532,"Yes",$A$2:$A$532,"Cybernet",$Y$2:$Y$532,$Y231)&gt;1),
AND($Z231&lt;&gt;"",LOWER(TRIM($Z231))&lt;&gt;"n/a",COUNTIFS($B$2:$B$532,"Yes",$A$2:$A$532,"Cybernet",$Z$2:$Z$532,$Z231)&gt;1)
),"Yes","No"),
IF(AND($AL231&lt;&gt;"",LOWER(TRIM($AL231))&lt;&gt;"n/a"),
IF(COUNTIFS($B$2:$B$532,"Yes",$A$2:$A$532,$A231,$AL$2:$AL$532,$AL231)&gt;1,"Yes","No"),
"No")
)
)
)</f>
      </c>
      <c r="BL231">
        <f>IF($T231="","",IF((IF(AND($AW231&lt;&gt;"Yes",$AW231&lt;&gt;"N/A"),"Power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</c>
      <c r="BM231">
        <f>IF($T231="","",IF($BL231="","Yes","Blocked"))</f>
      </c>
      <c r="BP231">
        <f>IF($BO231="","",IFERROR(VLOOKUP($BO231,'01_Warehouse_Ledger'!$A:$N,4,FALSE),""))</f>
      </c>
      <c r="BQ231">
        <f>IF($BO231="","",IFERROR(VLOOKUP($BO231,'01_Warehouse_Ledger'!$A:$N,5,FALSE),""))</f>
      </c>
      <c r="BR231">
        <f>IF($BO231="","",IFERROR(VLOOKUP($BO231,'01_Warehouse_Ledger'!$A:$N,13,FALSE),""))</f>
      </c>
    </row>
    <row r="232">
      <c r="D232">
        <f>IF($B232&lt;&gt;"Yes","",IF($C232="No","Yes",IF($C232="Yes","No","")))</f>
      </c>
      <c r="E232">
        <f>IF($A232="","",IF($A232="Neuron",IF(OR(AND($S232&lt;&gt;"",LOWER(TRIM($S232))&lt;&gt;"n/a",COUNTIF($S$2:$S$532,$S232)&gt;1),AND($T232&lt;&gt;"",LOWER(TRIM($T232))&lt;&gt;"n/a",COUNTIF($T$2:$T$532,$T232)&gt;1),AND($W232&lt;&gt;"",LOWER(TRIM($W232))&lt;&gt;"n/a",COUNTIF($W$2:$W$532,$W232)&gt;1)),"Yes","No"),IF($A232="Cybernet",IF(OR(AND($Y232&lt;&gt;"",LOWER(TRIM($Y232))&lt;&gt;"n/a",COUNTIF($Y$2:$Y$532,$Y232)&gt;1),AND($Z232&lt;&gt;"",LOWER(TRIM($Z232))&lt;&gt;"n/a",COUNTIF($Z$2:$Z$532,$Z232)&gt;1)),"Yes","No"),IF(AND($AL232&lt;&gt;"",LOWER(TRIM($AL232))&lt;&gt;"n/a",COUNTIF($AL$2:$AL$532,$AL232)&gt;1),"Yes","No"))))</f>
      </c>
      <c r="F232">
        <f>IF($B232&lt;&gt;"Yes","",
IF($A232="Neuron",
IF(OR(
AND($S232&lt;&gt;"",LOWER(TRIM($S232))&lt;&gt;"n/a",COUNTIFS($B$2:$B$532,"Yes",$A$2:$A$532,"Neuron",$S$2:$S$532,$S232)&gt;1),
AND($T232&lt;&gt;"",LOWER(TRIM($T232))&lt;&gt;"n/a",COUNTIFS($B$2:$B$532,"Yes",$A$2:$A$532,"Neuron",$T$2:$T$532,$T232)&gt;1),
AND($W232&lt;&gt;"",LOWER(TRIM($W232))&lt;&gt;"n/a",COUNTIFS($B$2:$B$532,"Yes",$A$2:$A$532,"Neuron",$W$2:$W$532,$W232)&gt;1)
),"Yes","No"),
IF($A232="Cybernet",
IF(OR(
AND($Y232&lt;&gt;"",LOWER(TRIM($Y232))&lt;&gt;"n/a",COUNTIFS($B$2:$B$532,"Yes",$A$2:$A$532,"Cybernet",$Y$2:$Y$532,$Y232)&gt;1),
AND($Z232&lt;&gt;"",LOWER(TRIM($Z232))&lt;&gt;"n/a",COUNTIFS($B$2:$B$532,"Yes",$A$2:$A$532,"Cybernet",$Z$2:$Z$532,$Z232)&gt;1)
),"Yes","No"),
IF(AND($AL232&lt;&gt;"",LOWER(TRIM($AL232))&lt;&gt;"n/a"),
IF(COUNTIFS($B$2:$B$532,"Yes",$A$2:$A$532,$A232,$AL$2:$AL$532,$AL232)&gt;1,"Yes","No"),
"No")
)
)
)</f>
      </c>
      <c r="BL232">
        <f>IF($T232="","",IF((IF(AND($AW232&lt;&gt;"Yes",$AW232&lt;&gt;"N/A"),"Power Cable, ","")&amp;IF(AND($AX232&lt;&gt;"Yes",$AX232&lt;&gt;"N/A"),"Battery, ","")&amp;IF(AND($BE232&lt;&gt;"Yes",$BE232&lt;&gt;"N/A"),"Firmware Download, ","")&amp;IF(AND(OR($BE232="Yes",$BE232="N/A"),$BF232&lt;&gt;"Yes",$BF232&lt;&gt;"N/A"),"Firmware Install, ","")&amp;IF(AND($BJ232&lt;&gt;"Yes",$BJ232&lt;&gt;"N/A"),"Device ID, ","")&amp;IF(AND($BK232&lt;&gt;"Yes",$BK232&lt;&gt;"N/A"),"Epic Beans Relay, ",""))="","",LEFT(IF(AND($AW232&lt;&gt;"Yes",$AW232&lt;&gt;"N/A"),"Power Cable, ","")&amp;IF(AND($AX232&lt;&gt;"Yes",$AX232&lt;&gt;"N/A"),"Battery, ","")&amp;IF(AND($BE232&lt;&gt;"Yes",$BE232&lt;&gt;"N/A"),"Firmware Download, ","")&amp;IF(AND(OR($BE232="Yes",$BE232="N/A"),$BF232&lt;&gt;"Yes",$BF232&lt;&gt;"N/A"),"Firmware Install, ","")&amp;IF(AND($BJ232&lt;&gt;"Yes",$BJ232&lt;&gt;"N/A"),"Device ID, ","")&amp;IF(AND($BK232&lt;&gt;"Yes",$BK232&lt;&gt;"N/A"),"Epic Beans Relay, ",""),LEN(IF(AND($AW232&lt;&gt;"Yes",$AW232&lt;&gt;"N/A"),"Power Cable, ","")&amp;IF(AND($AX232&lt;&gt;"Yes",$AX232&lt;&gt;"N/A"),"Battery, ","")&amp;IF(AND($BE232&lt;&gt;"Yes",$BE232&lt;&gt;"N/A"),"Firmware Download, ","")&amp;IF(AND(OR($BE232="Yes",$BE232="N/A"),$BF232&lt;&gt;"Yes",$BF232&lt;&gt;"N/A"),"Firmware Install, ","")&amp;IF(AND($BJ232&lt;&gt;"Yes",$BJ232&lt;&gt;"N/A"),"Device ID, ","")&amp;IF(AND($BK232&lt;&gt;"Yes",$BK232&lt;&gt;"N/A"),"Epic Beans Relay, ",""))-2)))</f>
      </c>
      <c r="BM232">
        <f>IF($T232="","",IF($BL232="","Yes","Blocked"))</f>
      </c>
      <c r="BP232">
        <f>IF($BO232="","",IFERROR(VLOOKUP($BO232,'01_Warehouse_Ledger'!$A:$N,4,FALSE),""))</f>
      </c>
      <c r="BQ232">
        <f>IF($BO232="","",IFERROR(VLOOKUP($BO232,'01_Warehouse_Ledger'!$A:$N,5,FALSE),""))</f>
      </c>
      <c r="BR232">
        <f>IF($BO232="","",IFERROR(VLOOKUP($BO232,'01_Warehouse_Ledger'!$A:$N,13,FALSE),""))</f>
      </c>
    </row>
    <row r="233">
      <c r="D233">
        <f>IF($B233&lt;&gt;"Yes","",IF($C233="No","Yes",IF($C233="Yes","No","")))</f>
      </c>
      <c r="E233">
        <f>IF($A233="","",IF($A233="Neuron",IF(OR(AND($S233&lt;&gt;"",LOWER(TRIM($S233))&lt;&gt;"n/a",COUNTIF($S$2:$S$532,$S233)&gt;1),AND($T233&lt;&gt;"",LOWER(TRIM($T233))&lt;&gt;"n/a",COUNTIF($T$2:$T$532,$T233)&gt;1),AND($W233&lt;&gt;"",LOWER(TRIM($W233))&lt;&gt;"n/a",COUNTIF($W$2:$W$532,$W233)&gt;1)),"Yes","No"),IF($A233="Cybernet",IF(OR(AND($Y233&lt;&gt;"",LOWER(TRIM($Y233))&lt;&gt;"n/a",COUNTIF($Y$2:$Y$532,$Y233)&gt;1),AND($Z233&lt;&gt;"",LOWER(TRIM($Z233))&lt;&gt;"n/a",COUNTIF($Z$2:$Z$532,$Z233)&gt;1)),"Yes","No"),IF(AND($AL233&lt;&gt;"",LOWER(TRIM($AL233))&lt;&gt;"n/a",COUNTIF($AL$2:$AL$532,$AL233)&gt;1),"Yes","No"))))</f>
      </c>
      <c r="F233">
        <f>IF($B233&lt;&gt;"Yes","",
IF($A233="Neuron",
IF(OR(
AND($S233&lt;&gt;"",LOWER(TRIM($S233))&lt;&gt;"n/a",COUNTIFS($B$2:$B$532,"Yes",$A$2:$A$532,"Neuron",$S$2:$S$532,$S233)&gt;1),
AND($T233&lt;&gt;"",LOWER(TRIM($T233))&lt;&gt;"n/a",COUNTIFS($B$2:$B$532,"Yes",$A$2:$A$532,"Neuron",$T$2:$T$532,$T233)&gt;1),
AND($W233&lt;&gt;"",LOWER(TRIM($W233))&lt;&gt;"n/a",COUNTIFS($B$2:$B$532,"Yes",$A$2:$A$532,"Neuron",$W$2:$W$532,$W233)&gt;1)
),"Yes","No"),
IF($A233="Cybernet",
IF(OR(
AND($Y233&lt;&gt;"",LOWER(TRIM($Y233))&lt;&gt;"n/a",COUNTIFS($B$2:$B$532,"Yes",$A$2:$A$532,"Cybernet",$Y$2:$Y$532,$Y233)&gt;1),
AND($Z233&lt;&gt;"",LOWER(TRIM($Z233))&lt;&gt;"n/a",COUNTIFS($B$2:$B$532,"Yes",$A$2:$A$532,"Cybernet",$Z$2:$Z$532,$Z233)&gt;1)
),"Yes","No"),
IF(AND($AL233&lt;&gt;"",LOWER(TRIM($AL233))&lt;&gt;"n/a"),
IF(COUNTIFS($B$2:$B$532,"Yes",$A$2:$A$532,$A233,$AL$2:$AL$532,$AL233)&gt;1,"Yes","No"),
"No")
)
)
)</f>
      </c>
      <c r="BL233">
        <f>IF($T233="","",IF((IF(AND($AW233&lt;&gt;"Yes",$AW233&lt;&gt;"N/A"),"Power Cable, ","")&amp;IF(AND($AX233&lt;&gt;"Yes",$AX233&lt;&gt;"N/A"),"Battery, ","")&amp;IF(AND($BE233&lt;&gt;"Yes",$BE233&lt;&gt;"N/A"),"Firmware Download, ","")&amp;IF(AND(OR($BE233="Yes",$BE233="N/A"),$BF233&lt;&gt;"Yes",$BF233&lt;&gt;"N/A"),"Firmware Install, ","")&amp;IF(AND($BJ233&lt;&gt;"Yes",$BJ233&lt;&gt;"N/A"),"Device ID, ","")&amp;IF(AND($BK233&lt;&gt;"Yes",$BK233&lt;&gt;"N/A"),"Epic Beans Relay, ",""))="","",LEFT(IF(AND($AW233&lt;&gt;"Yes",$AW233&lt;&gt;"N/A"),"Power Cable, ","")&amp;IF(AND($AX233&lt;&gt;"Yes",$AX233&lt;&gt;"N/A"),"Battery, ","")&amp;IF(AND($BE233&lt;&gt;"Yes",$BE233&lt;&gt;"N/A"),"Firmware Download, ","")&amp;IF(AND(OR($BE233="Yes",$BE233="N/A"),$BF233&lt;&gt;"Yes",$BF233&lt;&gt;"N/A"),"Firmware Install, ","")&amp;IF(AND($BJ233&lt;&gt;"Yes",$BJ233&lt;&gt;"N/A"),"Device ID, ","")&amp;IF(AND($BK233&lt;&gt;"Yes",$BK233&lt;&gt;"N/A"),"Epic Beans Relay, ",""),LEN(IF(AND($AW233&lt;&gt;"Yes",$AW233&lt;&gt;"N/A"),"Power Cable, ","")&amp;IF(AND($AX233&lt;&gt;"Yes",$AX233&lt;&gt;"N/A"),"Battery, ","")&amp;IF(AND($BE233&lt;&gt;"Yes",$BE233&lt;&gt;"N/A"),"Firmware Download, ","")&amp;IF(AND(OR($BE233="Yes",$BE233="N/A"),$BF233&lt;&gt;"Yes",$BF233&lt;&gt;"N/A"),"Firmware Install, ","")&amp;IF(AND($BJ233&lt;&gt;"Yes",$BJ233&lt;&gt;"N/A"),"Device ID, ","")&amp;IF(AND($BK233&lt;&gt;"Yes",$BK233&lt;&gt;"N/A"),"Epic Beans Relay, ",""))-2)))</f>
      </c>
      <c r="BM233">
        <f>IF($T233="","",IF($BL233="","Yes","Blocked"))</f>
      </c>
      <c r="BP233">
        <f>IF($BO233="","",IFERROR(VLOOKUP($BO233,'01_Warehouse_Ledger'!$A:$N,4,FALSE),""))</f>
      </c>
      <c r="BQ233">
        <f>IF($BO233="","",IFERROR(VLOOKUP($BO233,'01_Warehouse_Ledger'!$A:$N,5,FALSE),""))</f>
      </c>
      <c r="BR233">
        <f>IF($BO233="","",IFERROR(VLOOKUP($BO233,'01_Warehouse_Ledger'!$A:$N,13,FALSE),""))</f>
      </c>
    </row>
    <row r="234">
      <c r="D234">
        <f>IF($B234&lt;&gt;"Yes","",IF($C234="No","Yes",IF($C234="Yes","No","")))</f>
      </c>
      <c r="E234">
        <f>IF($A234="","",IF($A234="Neuron",IF(OR(AND($S234&lt;&gt;"",LOWER(TRIM($S234))&lt;&gt;"n/a",COUNTIF($S$2:$S$532,$S234)&gt;1),AND($T234&lt;&gt;"",LOWER(TRIM($T234))&lt;&gt;"n/a",COUNTIF($T$2:$T$532,$T234)&gt;1),AND($W234&lt;&gt;"",LOWER(TRIM($W234))&lt;&gt;"n/a",COUNTIF($W$2:$W$532,$W234)&gt;1)),"Yes","No"),IF($A234="Cybernet",IF(OR(AND($Y234&lt;&gt;"",LOWER(TRIM($Y234))&lt;&gt;"n/a",COUNTIF($Y$2:$Y$532,$Y234)&gt;1),AND($Z234&lt;&gt;"",LOWER(TRIM($Z234))&lt;&gt;"n/a",COUNTIF($Z$2:$Z$532,$Z234)&gt;1)),"Yes","No"),IF(AND($AL234&lt;&gt;"",LOWER(TRIM($AL234))&lt;&gt;"n/a",COUNTIF($AL$2:$AL$532,$AL234)&gt;1),"Yes","No"))))</f>
      </c>
      <c r="F234">
        <f>IF($B234&lt;&gt;"Yes","",
IF($A234="Neuron",
IF(OR(
AND($S234&lt;&gt;"",LOWER(TRIM($S234))&lt;&gt;"n/a",COUNTIFS($B$2:$B$532,"Yes",$A$2:$A$532,"Neuron",$S$2:$S$532,$S234)&gt;1),
AND($T234&lt;&gt;"",LOWER(TRIM($T234))&lt;&gt;"n/a",COUNTIFS($B$2:$B$532,"Yes",$A$2:$A$532,"Neuron",$T$2:$T$532,$T234)&gt;1),
AND($W234&lt;&gt;"",LOWER(TRIM($W234))&lt;&gt;"n/a",COUNTIFS($B$2:$B$532,"Yes",$A$2:$A$532,"Neuron",$W$2:$W$532,$W234)&gt;1)
),"Yes","No"),
IF($A234="Cybernet",
IF(OR(
AND($Y234&lt;&gt;"",LOWER(TRIM($Y234))&lt;&gt;"n/a",COUNTIFS($B$2:$B$532,"Yes",$A$2:$A$532,"Cybernet",$Y$2:$Y$532,$Y234)&gt;1),
AND($Z234&lt;&gt;"",LOWER(TRIM($Z234))&lt;&gt;"n/a",COUNTIFS($B$2:$B$532,"Yes",$A$2:$A$532,"Cybernet",$Z$2:$Z$532,$Z234)&gt;1)
),"Yes","No"),
IF(AND($AL234&lt;&gt;"",LOWER(TRIM($AL234))&lt;&gt;"n/a"),
IF(COUNTIFS($B$2:$B$532,"Yes",$A$2:$A$532,$A234,$AL$2:$AL$532,$AL234)&gt;1,"Yes","No"),
"No")
)
)
)</f>
      </c>
      <c r="BL234">
        <f>IF($T234="","",IF((IF(AND($AW234&lt;&gt;"Yes",$AW234&lt;&gt;"N/A"),"Power Cable, ","")&amp;IF(AND($AX234&lt;&gt;"Yes",$AX234&lt;&gt;"N/A"),"Battery, ","")&amp;IF(AND($BE234&lt;&gt;"Yes",$BE234&lt;&gt;"N/A"),"Firmware Download, ","")&amp;IF(AND(OR($BE234="Yes",$BE234="N/A"),$BF234&lt;&gt;"Yes",$BF234&lt;&gt;"N/A"),"Firmware Install, ","")&amp;IF(AND($BJ234&lt;&gt;"Yes",$BJ234&lt;&gt;"N/A"),"Device ID, ","")&amp;IF(AND($BK234&lt;&gt;"Yes",$BK234&lt;&gt;"N/A"),"Epic Beans Relay, ",""))="","",LEFT(IF(AND($AW234&lt;&gt;"Yes",$AW234&lt;&gt;"N/A"),"Power Cable, ","")&amp;IF(AND($AX234&lt;&gt;"Yes",$AX234&lt;&gt;"N/A"),"Battery, ","")&amp;IF(AND($BE234&lt;&gt;"Yes",$BE234&lt;&gt;"N/A"),"Firmware Download, ","")&amp;IF(AND(OR($BE234="Yes",$BE234="N/A"),$BF234&lt;&gt;"Yes",$BF234&lt;&gt;"N/A"),"Firmware Install, ","")&amp;IF(AND($BJ234&lt;&gt;"Yes",$BJ234&lt;&gt;"N/A"),"Device ID, ","")&amp;IF(AND($BK234&lt;&gt;"Yes",$BK234&lt;&gt;"N/A"),"Epic Beans Relay, ",""),LEN(IF(AND($AW234&lt;&gt;"Yes",$AW234&lt;&gt;"N/A"),"Power Cable, ","")&amp;IF(AND($AX234&lt;&gt;"Yes",$AX234&lt;&gt;"N/A"),"Battery, ","")&amp;IF(AND($BE234&lt;&gt;"Yes",$BE234&lt;&gt;"N/A"),"Firmware Download, ","")&amp;IF(AND(OR($BE234="Yes",$BE234="N/A"),$BF234&lt;&gt;"Yes",$BF234&lt;&gt;"N/A"),"Firmware Install, ","")&amp;IF(AND($BJ234&lt;&gt;"Yes",$BJ234&lt;&gt;"N/A"),"Device ID, ","")&amp;IF(AND($BK234&lt;&gt;"Yes",$BK234&lt;&gt;"N/A"),"Epic Beans Relay, ",""))-2)))</f>
      </c>
      <c r="BM234">
        <f>IF($T234="","",IF($BL234="","Yes","Blocked"))</f>
      </c>
      <c r="BP234">
        <f>IF($BO234="","",IFERROR(VLOOKUP($BO234,'01_Warehouse_Ledger'!$A:$N,4,FALSE),""))</f>
      </c>
      <c r="BQ234">
        <f>IF($BO234="","",IFERROR(VLOOKUP($BO234,'01_Warehouse_Ledger'!$A:$N,5,FALSE),""))</f>
      </c>
      <c r="BR234">
        <f>IF($BO234="","",IFERROR(VLOOKUP($BO234,'01_Warehouse_Ledger'!$A:$N,13,FALSE),""))</f>
      </c>
    </row>
    <row r="235">
      <c r="D235">
        <f>IF($B235&lt;&gt;"Yes","",IF($C235="No","Yes",IF($C235="Yes","No","")))</f>
      </c>
      <c r="E235">
        <f>IF($A235="","",IF($A235="Neuron",IF(OR(AND($S235&lt;&gt;"",LOWER(TRIM($S235))&lt;&gt;"n/a",COUNTIF($S$2:$S$532,$S235)&gt;1),AND($T235&lt;&gt;"",LOWER(TRIM($T235))&lt;&gt;"n/a",COUNTIF($T$2:$T$532,$T235)&gt;1),AND($W235&lt;&gt;"",LOWER(TRIM($W235))&lt;&gt;"n/a",COUNTIF($W$2:$W$532,$W235)&gt;1)),"Yes","No"),IF($A235="Cybernet",IF(OR(AND($Y235&lt;&gt;"",LOWER(TRIM($Y235))&lt;&gt;"n/a",COUNTIF($Y$2:$Y$532,$Y235)&gt;1),AND($Z235&lt;&gt;"",LOWER(TRIM($Z235))&lt;&gt;"n/a",COUNTIF($Z$2:$Z$532,$Z235)&gt;1)),"Yes","No"),IF(AND($AL235&lt;&gt;"",LOWER(TRIM($AL235))&lt;&gt;"n/a",COUNTIF($AL$2:$AL$532,$AL235)&gt;1),"Yes","No"))))</f>
      </c>
      <c r="F235">
        <f>IF($B235&lt;&gt;"Yes","",
IF($A235="Neuron",
IF(OR(
AND($S235&lt;&gt;"",LOWER(TRIM($S235))&lt;&gt;"n/a",COUNTIFS($B$2:$B$532,"Yes",$A$2:$A$532,"Neuron",$S$2:$S$532,$S235)&gt;1),
AND($T235&lt;&gt;"",LOWER(TRIM($T235))&lt;&gt;"n/a",COUNTIFS($B$2:$B$532,"Yes",$A$2:$A$532,"Neuron",$T$2:$T$532,$T235)&gt;1),
AND($W235&lt;&gt;"",LOWER(TRIM($W235))&lt;&gt;"n/a",COUNTIFS($B$2:$B$532,"Yes",$A$2:$A$532,"Neuron",$W$2:$W$532,$W235)&gt;1)
),"Yes","No"),
IF($A235="Cybernet",
IF(OR(
AND($Y235&lt;&gt;"",LOWER(TRIM($Y235))&lt;&gt;"n/a",COUNTIFS($B$2:$B$532,"Yes",$A$2:$A$532,"Cybernet",$Y$2:$Y$532,$Y235)&gt;1),
AND($Z235&lt;&gt;"",LOWER(TRIM($Z235))&lt;&gt;"n/a",COUNTIFS($B$2:$B$532,"Yes",$A$2:$A$532,"Cybernet",$Z$2:$Z$532,$Z235)&gt;1)
),"Yes","No"),
IF(AND($AL235&lt;&gt;"",LOWER(TRIM($AL235))&lt;&gt;"n/a"),
IF(COUNTIFS($B$2:$B$532,"Yes",$A$2:$A$532,$A235,$AL$2:$AL$532,$AL235)&gt;1,"Yes","No"),
"No")
)
)
)</f>
      </c>
      <c r="BL235">
        <f>IF($T235="","",IF((IF(AND($AW235&lt;&gt;"Yes",$AW235&lt;&gt;"N/A"),"Power Cable, ","")&amp;IF(AND($AX235&lt;&gt;"Yes",$AX235&lt;&gt;"N/A"),"Battery, ","")&amp;IF(AND($BE235&lt;&gt;"Yes",$BE235&lt;&gt;"N/A"),"Firmware Download, ","")&amp;IF(AND(OR($BE235="Yes",$BE235="N/A"),$BF235&lt;&gt;"Yes",$BF235&lt;&gt;"N/A"),"Firmware Install, ","")&amp;IF(AND($BJ235&lt;&gt;"Yes",$BJ235&lt;&gt;"N/A"),"Device ID, ","")&amp;IF(AND($BK235&lt;&gt;"Yes",$BK235&lt;&gt;"N/A"),"Epic Beans Relay, ",""))="","",LEFT(IF(AND($AW235&lt;&gt;"Yes",$AW235&lt;&gt;"N/A"),"Power Cable, ","")&amp;IF(AND($AX235&lt;&gt;"Yes",$AX235&lt;&gt;"N/A"),"Battery, ","")&amp;IF(AND($BE235&lt;&gt;"Yes",$BE235&lt;&gt;"N/A"),"Firmware Download, ","")&amp;IF(AND(OR($BE235="Yes",$BE235="N/A"),$BF235&lt;&gt;"Yes",$BF235&lt;&gt;"N/A"),"Firmware Install, ","")&amp;IF(AND($BJ235&lt;&gt;"Yes",$BJ235&lt;&gt;"N/A"),"Device ID, ","")&amp;IF(AND($BK235&lt;&gt;"Yes",$BK235&lt;&gt;"N/A"),"Epic Beans Relay, ",""),LEN(IF(AND($AW235&lt;&gt;"Yes",$AW235&lt;&gt;"N/A"),"Power Cable, ","")&amp;IF(AND($AX235&lt;&gt;"Yes",$AX235&lt;&gt;"N/A"),"Battery, ","")&amp;IF(AND($BE235&lt;&gt;"Yes",$BE235&lt;&gt;"N/A"),"Firmware Download, ","")&amp;IF(AND(OR($BE235="Yes",$BE235="N/A"),$BF235&lt;&gt;"Yes",$BF235&lt;&gt;"N/A"),"Firmware Install, ","")&amp;IF(AND($BJ235&lt;&gt;"Yes",$BJ235&lt;&gt;"N/A"),"Device ID, ","")&amp;IF(AND($BK235&lt;&gt;"Yes",$BK235&lt;&gt;"N/A"),"Epic Beans Relay, ",""))-2)))</f>
      </c>
      <c r="BM235">
        <f>IF($T235="","",IF($BL235="","Yes","Blocked"))</f>
      </c>
      <c r="BP235">
        <f>IF($BO235="","",IFERROR(VLOOKUP($BO235,'01_Warehouse_Ledger'!$A:$N,4,FALSE),""))</f>
      </c>
      <c r="BQ235">
        <f>IF($BO235="","",IFERROR(VLOOKUP($BO235,'01_Warehouse_Ledger'!$A:$N,5,FALSE),""))</f>
      </c>
      <c r="BR235">
        <f>IF($BO235="","",IFERROR(VLOOKUP($BO235,'01_Warehouse_Ledger'!$A:$N,13,FALSE),""))</f>
      </c>
    </row>
    <row r="236">
      <c r="D236">
        <f>IF($B236&lt;&gt;"Yes","",IF($C236="No","Yes",IF($C236="Yes","No","")))</f>
      </c>
      <c r="E236">
        <f>IF($A236="","",IF($A236="Neuron",IF(OR(AND($S236&lt;&gt;"",LOWER(TRIM($S236))&lt;&gt;"n/a",COUNTIF($S$2:$S$532,$S236)&gt;1),AND($T236&lt;&gt;"",LOWER(TRIM($T236))&lt;&gt;"n/a",COUNTIF($T$2:$T$532,$T236)&gt;1),AND($W236&lt;&gt;"",LOWER(TRIM($W236))&lt;&gt;"n/a",COUNTIF($W$2:$W$532,$W236)&gt;1)),"Yes","No"),IF($A236="Cybernet",IF(OR(AND($Y236&lt;&gt;"",LOWER(TRIM($Y236))&lt;&gt;"n/a",COUNTIF($Y$2:$Y$532,$Y236)&gt;1),AND($Z236&lt;&gt;"",LOWER(TRIM($Z236))&lt;&gt;"n/a",COUNTIF($Z$2:$Z$532,$Z236)&gt;1)),"Yes","No"),IF(AND($AL236&lt;&gt;"",LOWER(TRIM($AL236))&lt;&gt;"n/a",COUNTIF($AL$2:$AL$532,$AL236)&gt;1),"Yes","No"))))</f>
      </c>
      <c r="F236">
        <f>IF($B236&lt;&gt;"Yes","",
IF($A236="Neuron",
IF(OR(
AND($S236&lt;&gt;"",LOWER(TRIM($S236))&lt;&gt;"n/a",COUNTIFS($B$2:$B$532,"Yes",$A$2:$A$532,"Neuron",$S$2:$S$532,$S236)&gt;1),
AND($T236&lt;&gt;"",LOWER(TRIM($T236))&lt;&gt;"n/a",COUNTIFS($B$2:$B$532,"Yes",$A$2:$A$532,"Neuron",$T$2:$T$532,$T236)&gt;1),
AND($W236&lt;&gt;"",LOWER(TRIM($W236))&lt;&gt;"n/a",COUNTIFS($B$2:$B$532,"Yes",$A$2:$A$532,"Neuron",$W$2:$W$532,$W236)&gt;1)
),"Yes","No"),
IF($A236="Cybernet",
IF(OR(
AND($Y236&lt;&gt;"",LOWER(TRIM($Y236))&lt;&gt;"n/a",COUNTIFS($B$2:$B$532,"Yes",$A$2:$A$532,"Cybernet",$Y$2:$Y$532,$Y236)&gt;1),
AND($Z236&lt;&gt;"",LOWER(TRIM($Z236))&lt;&gt;"n/a",COUNTIFS($B$2:$B$532,"Yes",$A$2:$A$532,"Cybernet",$Z$2:$Z$532,$Z236)&gt;1)
),"Yes","No"),
IF(AND($AL236&lt;&gt;"",LOWER(TRIM($AL236))&lt;&gt;"n/a"),
IF(COUNTIFS($B$2:$B$532,"Yes",$A$2:$A$532,$A236,$AL$2:$AL$532,$AL236)&gt;1,"Yes","No"),
"No")
)
)
)</f>
      </c>
      <c r="BL236">
        <f>IF($T236="","",IF((IF(AND($AW236&lt;&gt;"Yes",$AW236&lt;&gt;"N/A"),"Power Cable, ","")&amp;IF(AND($AX236&lt;&gt;"Yes",$AX236&lt;&gt;"N/A"),"Battery, ","")&amp;IF(AND($BE236&lt;&gt;"Yes",$BE236&lt;&gt;"N/A"),"Firmware Download, ","")&amp;IF(AND(OR($BE236="Yes",$BE236="N/A"),$BF236&lt;&gt;"Yes",$BF236&lt;&gt;"N/A"),"Firmware Install, ","")&amp;IF(AND($BJ236&lt;&gt;"Yes",$BJ236&lt;&gt;"N/A"),"Device ID, ","")&amp;IF(AND($BK236&lt;&gt;"Yes",$BK236&lt;&gt;"N/A"),"Epic Beans Relay, ",""))="","",LEFT(IF(AND($AW236&lt;&gt;"Yes",$AW236&lt;&gt;"N/A"),"Power Cable, ","")&amp;IF(AND($AX236&lt;&gt;"Yes",$AX236&lt;&gt;"N/A"),"Battery, ","")&amp;IF(AND($BE236&lt;&gt;"Yes",$BE236&lt;&gt;"N/A"),"Firmware Download, ","")&amp;IF(AND(OR($BE236="Yes",$BE236="N/A"),$BF236&lt;&gt;"Yes",$BF236&lt;&gt;"N/A"),"Firmware Install, ","")&amp;IF(AND($BJ236&lt;&gt;"Yes",$BJ236&lt;&gt;"N/A"),"Device ID, ","")&amp;IF(AND($BK236&lt;&gt;"Yes",$BK236&lt;&gt;"N/A"),"Epic Beans Relay, ",""),LEN(IF(AND($AW236&lt;&gt;"Yes",$AW236&lt;&gt;"N/A"),"Power Cable, ","")&amp;IF(AND($AX236&lt;&gt;"Yes",$AX236&lt;&gt;"N/A"),"Battery, ","")&amp;IF(AND($BE236&lt;&gt;"Yes",$BE236&lt;&gt;"N/A"),"Firmware Download, ","")&amp;IF(AND(OR($BE236="Yes",$BE236="N/A"),$BF236&lt;&gt;"Yes",$BF236&lt;&gt;"N/A"),"Firmware Install, ","")&amp;IF(AND($BJ236&lt;&gt;"Yes",$BJ236&lt;&gt;"N/A"),"Device ID, ","")&amp;IF(AND($BK236&lt;&gt;"Yes",$BK236&lt;&gt;"N/A"),"Epic Beans Relay, ",""))-2)))</f>
      </c>
      <c r="BM236">
        <f>IF($T236="","",IF($BL236="","Yes","Blocked"))</f>
      </c>
      <c r="BP236">
        <f>IF($BO236="","",IFERROR(VLOOKUP($BO236,'01_Warehouse_Ledger'!$A:$N,4,FALSE),""))</f>
      </c>
      <c r="BQ236">
        <f>IF($BO236="","",IFERROR(VLOOKUP($BO236,'01_Warehouse_Ledger'!$A:$N,5,FALSE),""))</f>
      </c>
      <c r="BR236">
        <f>IF($BO236="","",IFERROR(VLOOKUP($BO236,'01_Warehouse_Ledger'!$A:$N,13,FALSE),""))</f>
      </c>
    </row>
    <row r="237">
      <c r="D237">
        <f>IF($B237&lt;&gt;"Yes","",IF($C237="No","Yes",IF($C237="Yes","No","")))</f>
      </c>
      <c r="E237">
        <f>IF($A237="","",IF($A237="Neuron",IF(OR(AND($S237&lt;&gt;"",LOWER(TRIM($S237))&lt;&gt;"n/a",COUNTIF($S$2:$S$532,$S237)&gt;1),AND($T237&lt;&gt;"",LOWER(TRIM($T237))&lt;&gt;"n/a",COUNTIF($T$2:$T$532,$T237)&gt;1),AND($W237&lt;&gt;"",LOWER(TRIM($W237))&lt;&gt;"n/a",COUNTIF($W$2:$W$532,$W237)&gt;1)),"Yes","No"),IF($A237="Cybernet",IF(OR(AND($Y237&lt;&gt;"",LOWER(TRIM($Y237))&lt;&gt;"n/a",COUNTIF($Y$2:$Y$532,$Y237)&gt;1),AND($Z237&lt;&gt;"",LOWER(TRIM($Z237))&lt;&gt;"n/a",COUNTIF($Z$2:$Z$532,$Z237)&gt;1)),"Yes","No"),IF(AND($AL237&lt;&gt;"",LOWER(TRIM($AL237))&lt;&gt;"n/a",COUNTIF($AL$2:$AL$532,$AL237)&gt;1),"Yes","No"))))</f>
      </c>
      <c r="F237">
        <f>IF($B237&lt;&gt;"Yes","",
IF($A237="Neuron",
IF(OR(
AND($S237&lt;&gt;"",LOWER(TRIM($S237))&lt;&gt;"n/a",COUNTIFS($B$2:$B$532,"Yes",$A$2:$A$532,"Neuron",$S$2:$S$532,$S237)&gt;1),
AND($T237&lt;&gt;"",LOWER(TRIM($T237))&lt;&gt;"n/a",COUNTIFS($B$2:$B$532,"Yes",$A$2:$A$532,"Neuron",$T$2:$T$532,$T237)&gt;1),
AND($W237&lt;&gt;"",LOWER(TRIM($W237))&lt;&gt;"n/a",COUNTIFS($B$2:$B$532,"Yes",$A$2:$A$532,"Neuron",$W$2:$W$532,$W237)&gt;1)
),"Yes","No"),
IF($A237="Cybernet",
IF(OR(
AND($Y237&lt;&gt;"",LOWER(TRIM($Y237))&lt;&gt;"n/a",COUNTIFS($B$2:$B$532,"Yes",$A$2:$A$532,"Cybernet",$Y$2:$Y$532,$Y237)&gt;1),
AND($Z237&lt;&gt;"",LOWER(TRIM($Z237))&lt;&gt;"n/a",COUNTIFS($B$2:$B$532,"Yes",$A$2:$A$532,"Cybernet",$Z$2:$Z$532,$Z237)&gt;1)
),"Yes","No"),
IF(AND($AL237&lt;&gt;"",LOWER(TRIM($AL237))&lt;&gt;"n/a"),
IF(COUNTIFS($B$2:$B$532,"Yes",$A$2:$A$532,$A237,$AL$2:$AL$532,$AL237)&gt;1,"Yes","No"),
"No")
)
)
)</f>
      </c>
      <c r="BL237">
        <f>IF($T237="","",IF((IF(AND($AW237&lt;&gt;"Yes",$AW237&lt;&gt;"N/A"),"Power Cable, ","")&amp;IF(AND($AX237&lt;&gt;"Yes",$AX237&lt;&gt;"N/A"),"Battery, ","")&amp;IF(AND($BE237&lt;&gt;"Yes",$BE237&lt;&gt;"N/A"),"Firmware Download, ","")&amp;IF(AND(OR($BE237="Yes",$BE237="N/A"),$BF237&lt;&gt;"Yes",$BF237&lt;&gt;"N/A"),"Firmware Install, ","")&amp;IF(AND($BJ237&lt;&gt;"Yes",$BJ237&lt;&gt;"N/A"),"Device ID, ","")&amp;IF(AND($BK237&lt;&gt;"Yes",$BK237&lt;&gt;"N/A"),"Epic Beans Relay, ",""))="","",LEFT(IF(AND($AW237&lt;&gt;"Yes",$AW237&lt;&gt;"N/A"),"Power Cable, ","")&amp;IF(AND($AX237&lt;&gt;"Yes",$AX237&lt;&gt;"N/A"),"Battery, ","")&amp;IF(AND($BE237&lt;&gt;"Yes",$BE237&lt;&gt;"N/A"),"Firmware Download, ","")&amp;IF(AND(OR($BE237="Yes",$BE237="N/A"),$BF237&lt;&gt;"Yes",$BF237&lt;&gt;"N/A"),"Firmware Install, ","")&amp;IF(AND($BJ237&lt;&gt;"Yes",$BJ237&lt;&gt;"N/A"),"Device ID, ","")&amp;IF(AND($BK237&lt;&gt;"Yes",$BK237&lt;&gt;"N/A"),"Epic Beans Relay, ",""),LEN(IF(AND($AW237&lt;&gt;"Yes",$AW237&lt;&gt;"N/A"),"Power Cable, ","")&amp;IF(AND($AX237&lt;&gt;"Yes",$AX237&lt;&gt;"N/A"),"Battery, ","")&amp;IF(AND($BE237&lt;&gt;"Yes",$BE237&lt;&gt;"N/A"),"Firmware Download, ","")&amp;IF(AND(OR($BE237="Yes",$BE237="N/A"),$BF237&lt;&gt;"Yes",$BF237&lt;&gt;"N/A"),"Firmware Install, ","")&amp;IF(AND($BJ237&lt;&gt;"Yes",$BJ237&lt;&gt;"N/A"),"Device ID, ","")&amp;IF(AND($BK237&lt;&gt;"Yes",$BK237&lt;&gt;"N/A"),"Epic Beans Relay, ",""))-2)))</f>
      </c>
      <c r="BM237">
        <f>IF($T237="","",IF($BL237="","Yes","Blocked"))</f>
      </c>
      <c r="BP237">
        <f>IF($BO237="","",IFERROR(VLOOKUP($BO237,'01_Warehouse_Ledger'!$A:$N,4,FALSE),""))</f>
      </c>
      <c r="BQ237">
        <f>IF($BO237="","",IFERROR(VLOOKUP($BO237,'01_Warehouse_Ledger'!$A:$N,5,FALSE),""))</f>
      </c>
      <c r="BR237">
        <f>IF($BO237="","",IFERROR(VLOOKUP($BO237,'01_Warehouse_Ledger'!$A:$N,13,FALSE),""))</f>
      </c>
    </row>
    <row r="238">
      <c r="D238">
        <f>IF($B238&lt;&gt;"Yes","",IF($C238="No","Yes",IF($C238="Yes","No","")))</f>
      </c>
      <c r="E238">
        <f>IF($A238="","",IF($A238="Neuron",IF(OR(AND($S238&lt;&gt;"",LOWER(TRIM($S238))&lt;&gt;"n/a",COUNTIF($S$2:$S$532,$S238)&gt;1),AND($T238&lt;&gt;"",LOWER(TRIM($T238))&lt;&gt;"n/a",COUNTIF($T$2:$T$532,$T238)&gt;1),AND($W238&lt;&gt;"",LOWER(TRIM($W238))&lt;&gt;"n/a",COUNTIF($W$2:$W$532,$W238)&gt;1)),"Yes","No"),IF($A238="Cybernet",IF(OR(AND($Y238&lt;&gt;"",LOWER(TRIM($Y238))&lt;&gt;"n/a",COUNTIF($Y$2:$Y$532,$Y238)&gt;1),AND($Z238&lt;&gt;"",LOWER(TRIM($Z238))&lt;&gt;"n/a",COUNTIF($Z$2:$Z$532,$Z238)&gt;1)),"Yes","No"),IF(AND($AL238&lt;&gt;"",LOWER(TRIM($AL238))&lt;&gt;"n/a",COUNTIF($AL$2:$AL$532,$AL238)&gt;1),"Yes","No"))))</f>
      </c>
      <c r="F238">
        <f>IF($B238&lt;&gt;"Yes","",
IF($A238="Neuron",
IF(OR(
AND($S238&lt;&gt;"",LOWER(TRIM($S238))&lt;&gt;"n/a",COUNTIFS($B$2:$B$532,"Yes",$A$2:$A$532,"Neuron",$S$2:$S$532,$S238)&gt;1),
AND($T238&lt;&gt;"",LOWER(TRIM($T238))&lt;&gt;"n/a",COUNTIFS($B$2:$B$532,"Yes",$A$2:$A$532,"Neuron",$T$2:$T$532,$T238)&gt;1),
AND($W238&lt;&gt;"",LOWER(TRIM($W238))&lt;&gt;"n/a",COUNTIFS($B$2:$B$532,"Yes",$A$2:$A$532,"Neuron",$W$2:$W$532,$W238)&gt;1)
),"Yes","No"),
IF($A238="Cybernet",
IF(OR(
AND($Y238&lt;&gt;"",LOWER(TRIM($Y238))&lt;&gt;"n/a",COUNTIFS($B$2:$B$532,"Yes",$A$2:$A$532,"Cybernet",$Y$2:$Y$532,$Y238)&gt;1),
AND($Z238&lt;&gt;"",LOWER(TRIM($Z238))&lt;&gt;"n/a",COUNTIFS($B$2:$B$532,"Yes",$A$2:$A$532,"Cybernet",$Z$2:$Z$532,$Z238)&gt;1)
),"Yes","No"),
IF(AND($AL238&lt;&gt;"",LOWER(TRIM($AL238))&lt;&gt;"n/a"),
IF(COUNTIFS($B$2:$B$532,"Yes",$A$2:$A$532,$A238,$AL$2:$AL$532,$AL238)&gt;1,"Yes","No"),
"No")
)
)
)</f>
      </c>
      <c r="BL238">
        <f>IF($T238="","",IF((IF(AND($AW238&lt;&gt;"Yes",$AW238&lt;&gt;"N/A"),"Power Cable, ","")&amp;IF(AND($AX238&lt;&gt;"Yes",$AX238&lt;&gt;"N/A"),"Battery, ","")&amp;IF(AND($BE238&lt;&gt;"Yes",$BE238&lt;&gt;"N/A"),"Firmware Download, ","")&amp;IF(AND(OR($BE238="Yes",$BE238="N/A"),$BF238&lt;&gt;"Yes",$BF238&lt;&gt;"N/A"),"Firmware Install, ","")&amp;IF(AND($BJ238&lt;&gt;"Yes",$BJ238&lt;&gt;"N/A"),"Device ID, ","")&amp;IF(AND($BK238&lt;&gt;"Yes",$BK238&lt;&gt;"N/A"),"Epic Beans Relay, ",""))="","",LEFT(IF(AND($AW238&lt;&gt;"Yes",$AW238&lt;&gt;"N/A"),"Power Cable, ","")&amp;IF(AND($AX238&lt;&gt;"Yes",$AX238&lt;&gt;"N/A"),"Battery, ","")&amp;IF(AND($BE238&lt;&gt;"Yes",$BE238&lt;&gt;"N/A"),"Firmware Download, ","")&amp;IF(AND(OR($BE238="Yes",$BE238="N/A"),$BF238&lt;&gt;"Yes",$BF238&lt;&gt;"N/A"),"Firmware Install, ","")&amp;IF(AND($BJ238&lt;&gt;"Yes",$BJ238&lt;&gt;"N/A"),"Device ID, ","")&amp;IF(AND($BK238&lt;&gt;"Yes",$BK238&lt;&gt;"N/A"),"Epic Beans Relay, ",""),LEN(IF(AND($AW238&lt;&gt;"Yes",$AW238&lt;&gt;"N/A"),"Power Cable, ","")&amp;IF(AND($AX238&lt;&gt;"Yes",$AX238&lt;&gt;"N/A"),"Battery, ","")&amp;IF(AND($BE238&lt;&gt;"Yes",$BE238&lt;&gt;"N/A"),"Firmware Download, ","")&amp;IF(AND(OR($BE238="Yes",$BE238="N/A"),$BF238&lt;&gt;"Yes",$BF238&lt;&gt;"N/A"),"Firmware Install, ","")&amp;IF(AND($BJ238&lt;&gt;"Yes",$BJ238&lt;&gt;"N/A"),"Device ID, ","")&amp;IF(AND($BK238&lt;&gt;"Yes",$BK238&lt;&gt;"N/A"),"Epic Beans Relay, ",""))-2)))</f>
      </c>
      <c r="BM238">
        <f>IF($T238="","",IF($BL238="","Yes","Blocked"))</f>
      </c>
      <c r="BP238">
        <f>IF($BO238="","",IFERROR(VLOOKUP($BO238,'01_Warehouse_Ledger'!$A:$N,4,FALSE),""))</f>
      </c>
      <c r="BQ238">
        <f>IF($BO238="","",IFERROR(VLOOKUP($BO238,'01_Warehouse_Ledger'!$A:$N,5,FALSE),""))</f>
      </c>
      <c r="BR238">
        <f>IF($BO238="","",IFERROR(VLOOKUP($BO238,'01_Warehouse_Ledger'!$A:$N,13,FALSE),""))</f>
      </c>
    </row>
    <row r="239">
      <c r="D239">
        <f>IF($B239&lt;&gt;"Yes","",IF($C239="No","Yes",IF($C239="Yes","No","")))</f>
      </c>
      <c r="E239">
        <f>IF($A239="","",IF($A239="Neuron",IF(OR(AND($S239&lt;&gt;"",LOWER(TRIM($S239))&lt;&gt;"n/a",COUNTIF($S$2:$S$532,$S239)&gt;1),AND($T239&lt;&gt;"",LOWER(TRIM($T239))&lt;&gt;"n/a",COUNTIF($T$2:$T$532,$T239)&gt;1),AND($W239&lt;&gt;"",LOWER(TRIM($W239))&lt;&gt;"n/a",COUNTIF($W$2:$W$532,$W239)&gt;1)),"Yes","No"),IF($A239="Cybernet",IF(OR(AND($Y239&lt;&gt;"",LOWER(TRIM($Y239))&lt;&gt;"n/a",COUNTIF($Y$2:$Y$532,$Y239)&gt;1),AND($Z239&lt;&gt;"",LOWER(TRIM($Z239))&lt;&gt;"n/a",COUNTIF($Z$2:$Z$532,$Z239)&gt;1)),"Yes","No"),IF(AND($AL239&lt;&gt;"",LOWER(TRIM($AL239))&lt;&gt;"n/a",COUNTIF($AL$2:$AL$532,$AL239)&gt;1),"Yes","No"))))</f>
      </c>
      <c r="F239">
        <f>IF($B239&lt;&gt;"Yes","",
IF($A239="Neuron",
IF(OR(
AND($S239&lt;&gt;"",LOWER(TRIM($S239))&lt;&gt;"n/a",COUNTIFS($B$2:$B$532,"Yes",$A$2:$A$532,"Neuron",$S$2:$S$532,$S239)&gt;1),
AND($T239&lt;&gt;"",LOWER(TRIM($T239))&lt;&gt;"n/a",COUNTIFS($B$2:$B$532,"Yes",$A$2:$A$532,"Neuron",$T$2:$T$532,$T239)&gt;1),
AND($W239&lt;&gt;"",LOWER(TRIM($W239))&lt;&gt;"n/a",COUNTIFS($B$2:$B$532,"Yes",$A$2:$A$532,"Neuron",$W$2:$W$532,$W239)&gt;1)
),"Yes","No"),
IF($A239="Cybernet",
IF(OR(
AND($Y239&lt;&gt;"",LOWER(TRIM($Y239))&lt;&gt;"n/a",COUNTIFS($B$2:$B$532,"Yes",$A$2:$A$532,"Cybernet",$Y$2:$Y$532,$Y239)&gt;1),
AND($Z239&lt;&gt;"",LOWER(TRIM($Z239))&lt;&gt;"n/a",COUNTIFS($B$2:$B$532,"Yes",$A$2:$A$532,"Cybernet",$Z$2:$Z$532,$Z239)&gt;1)
),"Yes","No"),
IF(AND($AL239&lt;&gt;"",LOWER(TRIM($AL239))&lt;&gt;"n/a"),
IF(COUNTIFS($B$2:$B$532,"Yes",$A$2:$A$532,$A239,$AL$2:$AL$532,$AL239)&gt;1,"Yes","No"),
"No")
)
)
)</f>
      </c>
      <c r="BL239">
        <f>IF($T239="","",IF((IF(AND($AW239&lt;&gt;"Yes",$AW239&lt;&gt;"N/A"),"Power Cable, ","")&amp;IF(AND($AX239&lt;&gt;"Yes",$AX239&lt;&gt;"N/A"),"Battery, ","")&amp;IF(AND($BE239&lt;&gt;"Yes",$BE239&lt;&gt;"N/A"),"Firmware Download, ","")&amp;IF(AND(OR($BE239="Yes",$BE239="N/A"),$BF239&lt;&gt;"Yes",$BF239&lt;&gt;"N/A"),"Firmware Install, ","")&amp;IF(AND($BJ239&lt;&gt;"Yes",$BJ239&lt;&gt;"N/A"),"Device ID, ","")&amp;IF(AND($BK239&lt;&gt;"Yes",$BK239&lt;&gt;"N/A"),"Epic Beans Relay, ",""))="","",LEFT(IF(AND($AW239&lt;&gt;"Yes",$AW239&lt;&gt;"N/A"),"Power Cable, ","")&amp;IF(AND($AX239&lt;&gt;"Yes",$AX239&lt;&gt;"N/A"),"Battery, ","")&amp;IF(AND($BE239&lt;&gt;"Yes",$BE239&lt;&gt;"N/A"),"Firmware Download, ","")&amp;IF(AND(OR($BE239="Yes",$BE239="N/A"),$BF239&lt;&gt;"Yes",$BF239&lt;&gt;"N/A"),"Firmware Install, ","")&amp;IF(AND($BJ239&lt;&gt;"Yes",$BJ239&lt;&gt;"N/A"),"Device ID, ","")&amp;IF(AND($BK239&lt;&gt;"Yes",$BK239&lt;&gt;"N/A"),"Epic Beans Relay, ",""),LEN(IF(AND($AW239&lt;&gt;"Yes",$AW239&lt;&gt;"N/A"),"Power Cable, ","")&amp;IF(AND($AX239&lt;&gt;"Yes",$AX239&lt;&gt;"N/A"),"Battery, ","")&amp;IF(AND($BE239&lt;&gt;"Yes",$BE239&lt;&gt;"N/A"),"Firmware Download, ","")&amp;IF(AND(OR($BE239="Yes",$BE239="N/A"),$BF239&lt;&gt;"Yes",$BF239&lt;&gt;"N/A"),"Firmware Install, ","")&amp;IF(AND($BJ239&lt;&gt;"Yes",$BJ239&lt;&gt;"N/A"),"Device ID, ","")&amp;IF(AND($BK239&lt;&gt;"Yes",$BK239&lt;&gt;"N/A"),"Epic Beans Relay, ",""))-2)))</f>
      </c>
      <c r="BM239">
        <f>IF($T239="","",IF($BL239="","Yes","Blocked"))</f>
      </c>
      <c r="BP239">
        <f>IF($BO239="","",IFERROR(VLOOKUP($BO239,'01_Warehouse_Ledger'!$A:$N,4,FALSE),""))</f>
      </c>
      <c r="BQ239">
        <f>IF($BO239="","",IFERROR(VLOOKUP($BO239,'01_Warehouse_Ledger'!$A:$N,5,FALSE),""))</f>
      </c>
      <c r="BR239">
        <f>IF($BO239="","",IFERROR(VLOOKUP($BO239,'01_Warehouse_Ledger'!$A:$N,13,FALSE),""))</f>
      </c>
    </row>
    <row r="240">
      <c r="D240">
        <f>IF($B240&lt;&gt;"Yes","",IF($C240="No","Yes",IF($C240="Yes","No","")))</f>
      </c>
      <c r="E240">
        <f>IF($A240="","",IF($A240="Neuron",IF(OR(AND($S240&lt;&gt;"",LOWER(TRIM($S240))&lt;&gt;"n/a",COUNTIF($S$2:$S$532,$S240)&gt;1),AND($T240&lt;&gt;"",LOWER(TRIM($T240))&lt;&gt;"n/a",COUNTIF($T$2:$T$532,$T240)&gt;1),AND($W240&lt;&gt;"",LOWER(TRIM($W240))&lt;&gt;"n/a",COUNTIF($W$2:$W$532,$W240)&gt;1)),"Yes","No"),IF($A240="Cybernet",IF(OR(AND($Y240&lt;&gt;"",LOWER(TRIM($Y240))&lt;&gt;"n/a",COUNTIF($Y$2:$Y$532,$Y240)&gt;1),AND($Z240&lt;&gt;"",LOWER(TRIM($Z240))&lt;&gt;"n/a",COUNTIF($Z$2:$Z$532,$Z240)&gt;1)),"Yes","No"),IF(AND($AL240&lt;&gt;"",LOWER(TRIM($AL240))&lt;&gt;"n/a",COUNTIF($AL$2:$AL$532,$AL240)&gt;1),"Yes","No"))))</f>
      </c>
      <c r="F240">
        <f>IF($B240&lt;&gt;"Yes","",
IF($A240="Neuron",
IF(OR(
AND($S240&lt;&gt;"",LOWER(TRIM($S240))&lt;&gt;"n/a",COUNTIFS($B$2:$B$532,"Yes",$A$2:$A$532,"Neuron",$S$2:$S$532,$S240)&gt;1),
AND($T240&lt;&gt;"",LOWER(TRIM($T240))&lt;&gt;"n/a",COUNTIFS($B$2:$B$532,"Yes",$A$2:$A$532,"Neuron",$T$2:$T$532,$T240)&gt;1),
AND($W240&lt;&gt;"",LOWER(TRIM($W240))&lt;&gt;"n/a",COUNTIFS($B$2:$B$532,"Yes",$A$2:$A$532,"Neuron",$W$2:$W$532,$W240)&gt;1)
),"Yes","No"),
IF($A240="Cybernet",
IF(OR(
AND($Y240&lt;&gt;"",LOWER(TRIM($Y240))&lt;&gt;"n/a",COUNTIFS($B$2:$B$532,"Yes",$A$2:$A$532,"Cybernet",$Y$2:$Y$532,$Y240)&gt;1),
AND($Z240&lt;&gt;"",LOWER(TRIM($Z240))&lt;&gt;"n/a",COUNTIFS($B$2:$B$532,"Yes",$A$2:$A$532,"Cybernet",$Z$2:$Z$532,$Z240)&gt;1)
),"Yes","No"),
IF(AND($AL240&lt;&gt;"",LOWER(TRIM($AL240))&lt;&gt;"n/a"),
IF(COUNTIFS($B$2:$B$532,"Yes",$A$2:$A$532,$A240,$AL$2:$AL$532,$AL240)&gt;1,"Yes","No"),
"No")
)
)
)</f>
      </c>
      <c r="BL240">
        <f>IF($T240="","",IF((IF(AND($AW240&lt;&gt;"Yes",$AW240&lt;&gt;"N/A"),"Power Cable, ","")&amp;IF(AND($AX240&lt;&gt;"Yes",$AX240&lt;&gt;"N/A"),"Battery, ","")&amp;IF(AND($BE240&lt;&gt;"Yes",$BE240&lt;&gt;"N/A"),"Firmware Download, ","")&amp;IF(AND(OR($BE240="Yes",$BE240="N/A"),$BF240&lt;&gt;"Yes",$BF240&lt;&gt;"N/A"),"Firmware Install, ","")&amp;IF(AND($BJ240&lt;&gt;"Yes",$BJ240&lt;&gt;"N/A"),"Device ID, ","")&amp;IF(AND($BK240&lt;&gt;"Yes",$BK240&lt;&gt;"N/A"),"Epic Beans Relay, ",""))="","",LEFT(IF(AND($AW240&lt;&gt;"Yes",$AW240&lt;&gt;"N/A"),"Power Cable, ","")&amp;IF(AND($AX240&lt;&gt;"Yes",$AX240&lt;&gt;"N/A"),"Battery, ","")&amp;IF(AND($BE240&lt;&gt;"Yes",$BE240&lt;&gt;"N/A"),"Firmware Download, ","")&amp;IF(AND(OR($BE240="Yes",$BE240="N/A"),$BF240&lt;&gt;"Yes",$BF240&lt;&gt;"N/A"),"Firmware Install, ","")&amp;IF(AND($BJ240&lt;&gt;"Yes",$BJ240&lt;&gt;"N/A"),"Device ID, ","")&amp;IF(AND($BK240&lt;&gt;"Yes",$BK240&lt;&gt;"N/A"),"Epic Beans Relay, ",""),LEN(IF(AND($AW240&lt;&gt;"Yes",$AW240&lt;&gt;"N/A"),"Power Cable, ","")&amp;IF(AND($AX240&lt;&gt;"Yes",$AX240&lt;&gt;"N/A"),"Battery, ","")&amp;IF(AND($BE240&lt;&gt;"Yes",$BE240&lt;&gt;"N/A"),"Firmware Download, ","")&amp;IF(AND(OR($BE240="Yes",$BE240="N/A"),$BF240&lt;&gt;"Yes",$BF240&lt;&gt;"N/A"),"Firmware Install, ","")&amp;IF(AND($BJ240&lt;&gt;"Yes",$BJ240&lt;&gt;"N/A"),"Device ID, ","")&amp;IF(AND($BK240&lt;&gt;"Yes",$BK240&lt;&gt;"N/A"),"Epic Beans Relay, ",""))-2)))</f>
      </c>
      <c r="BM240">
        <f>IF($T240="","",IF($BL240="","Yes","Blocked"))</f>
      </c>
      <c r="BP240">
        <f>IF($BO240="","",IFERROR(VLOOKUP($BO240,'01_Warehouse_Ledger'!$A:$N,4,FALSE),""))</f>
      </c>
      <c r="BQ240">
        <f>IF($BO240="","",IFERROR(VLOOKUP($BO240,'01_Warehouse_Ledger'!$A:$N,5,FALSE),""))</f>
      </c>
      <c r="BR240">
        <f>IF($BO240="","",IFERROR(VLOOKUP($BO240,'01_Warehouse_Ledger'!$A:$N,13,FALSE),""))</f>
      </c>
    </row>
    <row r="241">
      <c r="D241">
        <f>IF($B241&lt;&gt;"Yes","",IF($C241="No","Yes",IF($C241="Yes","No","")))</f>
      </c>
      <c r="E241">
        <f>IF($A241="","",IF($A241="Neuron",IF(OR(AND($S241&lt;&gt;"",LOWER(TRIM($S241))&lt;&gt;"n/a",COUNTIF($S$2:$S$532,$S241)&gt;1),AND($T241&lt;&gt;"",LOWER(TRIM($T241))&lt;&gt;"n/a",COUNTIF($T$2:$T$532,$T241)&gt;1),AND($W241&lt;&gt;"",LOWER(TRIM($W241))&lt;&gt;"n/a",COUNTIF($W$2:$W$532,$W241)&gt;1)),"Yes","No"),IF($A241="Cybernet",IF(OR(AND($Y241&lt;&gt;"",LOWER(TRIM($Y241))&lt;&gt;"n/a",COUNTIF($Y$2:$Y$532,$Y241)&gt;1),AND($Z241&lt;&gt;"",LOWER(TRIM($Z241))&lt;&gt;"n/a",COUNTIF($Z$2:$Z$532,$Z241)&gt;1)),"Yes","No"),IF(AND($AL241&lt;&gt;"",LOWER(TRIM($AL241))&lt;&gt;"n/a",COUNTIF($AL$2:$AL$532,$AL241)&gt;1),"Yes","No"))))</f>
      </c>
      <c r="F241">
        <f>IF($B241&lt;&gt;"Yes","",
IF($A241="Neuron",
IF(OR(
AND($S241&lt;&gt;"",LOWER(TRIM($S241))&lt;&gt;"n/a",COUNTIFS($B$2:$B$532,"Yes",$A$2:$A$532,"Neuron",$S$2:$S$532,$S241)&gt;1),
AND($T241&lt;&gt;"",LOWER(TRIM($T241))&lt;&gt;"n/a",COUNTIFS($B$2:$B$532,"Yes",$A$2:$A$532,"Neuron",$T$2:$T$532,$T241)&gt;1),
AND($W241&lt;&gt;"",LOWER(TRIM($W241))&lt;&gt;"n/a",COUNTIFS($B$2:$B$532,"Yes",$A$2:$A$532,"Neuron",$W$2:$W$532,$W241)&gt;1)
),"Yes","No"),
IF($A241="Cybernet",
IF(OR(
AND($Y241&lt;&gt;"",LOWER(TRIM($Y241))&lt;&gt;"n/a",COUNTIFS($B$2:$B$532,"Yes",$A$2:$A$532,"Cybernet",$Y$2:$Y$532,$Y241)&gt;1),
AND($Z241&lt;&gt;"",LOWER(TRIM($Z241))&lt;&gt;"n/a",COUNTIFS($B$2:$B$532,"Yes",$A$2:$A$532,"Cybernet",$Z$2:$Z$532,$Z241)&gt;1)
),"Yes","No"),
IF(AND($AL241&lt;&gt;"",LOWER(TRIM($AL241))&lt;&gt;"n/a"),
IF(COUNTIFS($B$2:$B$532,"Yes",$A$2:$A$532,$A241,$AL$2:$AL$532,$AL241)&gt;1,"Yes","No"),
"No")
)
)
)</f>
      </c>
      <c r="BL241">
        <f>IF($T241="","",IF((IF(AND($AW241&lt;&gt;"Yes",$AW241&lt;&gt;"N/A"),"Power Cable, ","")&amp;IF(AND($AX241&lt;&gt;"Yes",$AX241&lt;&gt;"N/A"),"Battery, ","")&amp;IF(AND($BE241&lt;&gt;"Yes",$BE241&lt;&gt;"N/A"),"Firmware Download, ","")&amp;IF(AND(OR($BE241="Yes",$BE241="N/A"),$BF241&lt;&gt;"Yes",$BF241&lt;&gt;"N/A"),"Firmware Install, ","")&amp;IF(AND($BJ241&lt;&gt;"Yes",$BJ241&lt;&gt;"N/A"),"Device ID, ","")&amp;IF(AND($BK241&lt;&gt;"Yes",$BK241&lt;&gt;"N/A"),"Epic Beans Relay, ",""))="","",LEFT(IF(AND($AW241&lt;&gt;"Yes",$AW241&lt;&gt;"N/A"),"Power Cable, ","")&amp;IF(AND($AX241&lt;&gt;"Yes",$AX241&lt;&gt;"N/A"),"Battery, ","")&amp;IF(AND($BE241&lt;&gt;"Yes",$BE241&lt;&gt;"N/A"),"Firmware Download, ","")&amp;IF(AND(OR($BE241="Yes",$BE241="N/A"),$BF241&lt;&gt;"Yes",$BF241&lt;&gt;"N/A"),"Firmware Install, ","")&amp;IF(AND($BJ241&lt;&gt;"Yes",$BJ241&lt;&gt;"N/A"),"Device ID, ","")&amp;IF(AND($BK241&lt;&gt;"Yes",$BK241&lt;&gt;"N/A"),"Epic Beans Relay, ",""),LEN(IF(AND($AW241&lt;&gt;"Yes",$AW241&lt;&gt;"N/A"),"Power Cable, ","")&amp;IF(AND($AX241&lt;&gt;"Yes",$AX241&lt;&gt;"N/A"),"Battery, ","")&amp;IF(AND($BE241&lt;&gt;"Yes",$BE241&lt;&gt;"N/A"),"Firmware Download, ","")&amp;IF(AND(OR($BE241="Yes",$BE241="N/A"),$BF241&lt;&gt;"Yes",$BF241&lt;&gt;"N/A"),"Firmware Install, ","")&amp;IF(AND($BJ241&lt;&gt;"Yes",$BJ241&lt;&gt;"N/A"),"Device ID, ","")&amp;IF(AND($BK241&lt;&gt;"Yes",$BK241&lt;&gt;"N/A"),"Epic Beans Relay, ",""))-2)))</f>
      </c>
      <c r="BM241">
        <f>IF($T241="","",IF($BL241="","Yes","Blocked"))</f>
      </c>
      <c r="BP241">
        <f>IF($BO241="","",IFERROR(VLOOKUP($BO241,'01_Warehouse_Ledger'!$A:$N,4,FALSE),""))</f>
      </c>
      <c r="BQ241">
        <f>IF($BO241="","",IFERROR(VLOOKUP($BO241,'01_Warehouse_Ledger'!$A:$N,5,FALSE),""))</f>
      </c>
      <c r="BR241">
        <f>IF($BO241="","",IFERROR(VLOOKUP($BO241,'01_Warehouse_Ledger'!$A:$N,13,FALSE),""))</f>
      </c>
    </row>
    <row r="242">
      <c r="D242">
        <f>IF($B242&lt;&gt;"Yes","",IF($C242="No","Yes",IF($C242="Yes","No","")))</f>
      </c>
      <c r="E242">
        <f>IF($A242="","",IF($A242="Neuron",IF(OR(AND($S242&lt;&gt;"",LOWER(TRIM($S242))&lt;&gt;"n/a",COUNTIF($S$2:$S$532,$S242)&gt;1),AND($T242&lt;&gt;"",LOWER(TRIM($T242))&lt;&gt;"n/a",COUNTIF($T$2:$T$532,$T242)&gt;1),AND($W242&lt;&gt;"",LOWER(TRIM($W242))&lt;&gt;"n/a",COUNTIF($W$2:$W$532,$W242)&gt;1)),"Yes","No"),IF($A242="Cybernet",IF(OR(AND($Y242&lt;&gt;"",LOWER(TRIM($Y242))&lt;&gt;"n/a",COUNTIF($Y$2:$Y$532,$Y242)&gt;1),AND($Z242&lt;&gt;"",LOWER(TRIM($Z242))&lt;&gt;"n/a",COUNTIF($Z$2:$Z$532,$Z242)&gt;1)),"Yes","No"),IF(AND($AL242&lt;&gt;"",LOWER(TRIM($AL242))&lt;&gt;"n/a",COUNTIF($AL$2:$AL$532,$AL242)&gt;1),"Yes","No"))))</f>
      </c>
      <c r="F242">
        <f>IF($B242&lt;&gt;"Yes","",
IF($A242="Neuron",
IF(OR(
AND($S242&lt;&gt;"",LOWER(TRIM($S242))&lt;&gt;"n/a",COUNTIFS($B$2:$B$532,"Yes",$A$2:$A$532,"Neuron",$S$2:$S$532,$S242)&gt;1),
AND($T242&lt;&gt;"",LOWER(TRIM($T242))&lt;&gt;"n/a",COUNTIFS($B$2:$B$532,"Yes",$A$2:$A$532,"Neuron",$T$2:$T$532,$T242)&gt;1),
AND($W242&lt;&gt;"",LOWER(TRIM($W242))&lt;&gt;"n/a",COUNTIFS($B$2:$B$532,"Yes",$A$2:$A$532,"Neuron",$W$2:$W$532,$W242)&gt;1)
),"Yes","No"),
IF($A242="Cybernet",
IF(OR(
AND($Y242&lt;&gt;"",LOWER(TRIM($Y242))&lt;&gt;"n/a",COUNTIFS($B$2:$B$532,"Yes",$A$2:$A$532,"Cybernet",$Y$2:$Y$532,$Y242)&gt;1),
AND($Z242&lt;&gt;"",LOWER(TRIM($Z242))&lt;&gt;"n/a",COUNTIFS($B$2:$B$532,"Yes",$A$2:$A$532,"Cybernet",$Z$2:$Z$532,$Z242)&gt;1)
),"Yes","No"),
IF(AND($AL242&lt;&gt;"",LOWER(TRIM($AL242))&lt;&gt;"n/a"),
IF(COUNTIFS($B$2:$B$532,"Yes",$A$2:$A$532,$A242,$AL$2:$AL$532,$AL242)&gt;1,"Yes","No"),
"No")
)
)
)</f>
      </c>
      <c r="BL242">
        <f>IF($T242="","",IF((IF(AND($AW242&lt;&gt;"Yes",$AW242&lt;&gt;"N/A"),"Power Cable, ","")&amp;IF(AND($AX242&lt;&gt;"Yes",$AX242&lt;&gt;"N/A"),"Battery, ","")&amp;IF(AND($BE242&lt;&gt;"Yes",$BE242&lt;&gt;"N/A"),"Firmware Download, ","")&amp;IF(AND(OR($BE242="Yes",$BE242="N/A"),$BF242&lt;&gt;"Yes",$BF242&lt;&gt;"N/A"),"Firmware Install, ","")&amp;IF(AND($BJ242&lt;&gt;"Yes",$BJ242&lt;&gt;"N/A"),"Device ID, ","")&amp;IF(AND($BK242&lt;&gt;"Yes",$BK242&lt;&gt;"N/A"),"Epic Beans Relay, ",""))="","",LEFT(IF(AND($AW242&lt;&gt;"Yes",$AW242&lt;&gt;"N/A"),"Power Cable, ","")&amp;IF(AND($AX242&lt;&gt;"Yes",$AX242&lt;&gt;"N/A"),"Battery, ","")&amp;IF(AND($BE242&lt;&gt;"Yes",$BE242&lt;&gt;"N/A"),"Firmware Download, ","")&amp;IF(AND(OR($BE242="Yes",$BE242="N/A"),$BF242&lt;&gt;"Yes",$BF242&lt;&gt;"N/A"),"Firmware Install, ","")&amp;IF(AND($BJ242&lt;&gt;"Yes",$BJ242&lt;&gt;"N/A"),"Device ID, ","")&amp;IF(AND($BK242&lt;&gt;"Yes",$BK242&lt;&gt;"N/A"),"Epic Beans Relay, ",""),LEN(IF(AND($AW242&lt;&gt;"Yes",$AW242&lt;&gt;"N/A"),"Power Cable, ","")&amp;IF(AND($AX242&lt;&gt;"Yes",$AX242&lt;&gt;"N/A"),"Battery, ","")&amp;IF(AND($BE242&lt;&gt;"Yes",$BE242&lt;&gt;"N/A"),"Firmware Download, ","")&amp;IF(AND(OR($BE242="Yes",$BE242="N/A"),$BF242&lt;&gt;"Yes",$BF242&lt;&gt;"N/A"),"Firmware Install, ","")&amp;IF(AND($BJ242&lt;&gt;"Yes",$BJ242&lt;&gt;"N/A"),"Device ID, ","")&amp;IF(AND($BK242&lt;&gt;"Yes",$BK242&lt;&gt;"N/A"),"Epic Beans Relay, ",""))-2)))</f>
      </c>
      <c r="BM242">
        <f>IF($T242="","",IF($BL242="","Yes","Blocked"))</f>
      </c>
      <c r="BP242">
        <f>IF($BO242="","",IFERROR(VLOOKUP($BO242,'01_Warehouse_Ledger'!$A:$N,4,FALSE),""))</f>
      </c>
      <c r="BQ242">
        <f>IF($BO242="","",IFERROR(VLOOKUP($BO242,'01_Warehouse_Ledger'!$A:$N,5,FALSE),""))</f>
      </c>
      <c r="BR242">
        <f>IF($BO242="","",IFERROR(VLOOKUP($BO242,'01_Warehouse_Ledger'!$A:$N,13,FALSE),""))</f>
      </c>
    </row>
    <row r="243">
      <c r="D243">
        <f>IF($B243&lt;&gt;"Yes","",IF($C243="No","Yes",IF($C243="Yes","No","")))</f>
      </c>
      <c r="E243">
        <f>IF($A243="","",IF($A243="Neuron",IF(OR(AND($S243&lt;&gt;"",LOWER(TRIM($S243))&lt;&gt;"n/a",COUNTIF($S$2:$S$532,$S243)&gt;1),AND($T243&lt;&gt;"",LOWER(TRIM($T243))&lt;&gt;"n/a",COUNTIF($T$2:$T$532,$T243)&gt;1),AND($W243&lt;&gt;"",LOWER(TRIM($W243))&lt;&gt;"n/a",COUNTIF($W$2:$W$532,$W243)&gt;1)),"Yes","No"),IF($A243="Cybernet",IF(OR(AND($Y243&lt;&gt;"",LOWER(TRIM($Y243))&lt;&gt;"n/a",COUNTIF($Y$2:$Y$532,$Y243)&gt;1),AND($Z243&lt;&gt;"",LOWER(TRIM($Z243))&lt;&gt;"n/a",COUNTIF($Z$2:$Z$532,$Z243)&gt;1)),"Yes","No"),IF(AND($AL243&lt;&gt;"",LOWER(TRIM($AL243))&lt;&gt;"n/a",COUNTIF($AL$2:$AL$532,$AL243)&gt;1),"Yes","No"))))</f>
      </c>
      <c r="F243">
        <f>IF($B243&lt;&gt;"Yes","",
IF($A243="Neuron",
IF(OR(
AND($S243&lt;&gt;"",LOWER(TRIM($S243))&lt;&gt;"n/a",COUNTIFS($B$2:$B$532,"Yes",$A$2:$A$532,"Neuron",$S$2:$S$532,$S243)&gt;1),
AND($T243&lt;&gt;"",LOWER(TRIM($T243))&lt;&gt;"n/a",COUNTIFS($B$2:$B$532,"Yes",$A$2:$A$532,"Neuron",$T$2:$T$532,$T243)&gt;1),
AND($W243&lt;&gt;"",LOWER(TRIM($W243))&lt;&gt;"n/a",COUNTIFS($B$2:$B$532,"Yes",$A$2:$A$532,"Neuron",$W$2:$W$532,$W243)&gt;1)
),"Yes","No"),
IF($A243="Cybernet",
IF(OR(
AND($Y243&lt;&gt;"",LOWER(TRIM($Y243))&lt;&gt;"n/a",COUNTIFS($B$2:$B$532,"Yes",$A$2:$A$532,"Cybernet",$Y$2:$Y$532,$Y243)&gt;1),
AND($Z243&lt;&gt;"",LOWER(TRIM($Z243))&lt;&gt;"n/a",COUNTIFS($B$2:$B$532,"Yes",$A$2:$A$532,"Cybernet",$Z$2:$Z$532,$Z243)&gt;1)
),"Yes","No"),
IF(AND($AL243&lt;&gt;"",LOWER(TRIM($AL243))&lt;&gt;"n/a"),
IF(COUNTIFS($B$2:$B$532,"Yes",$A$2:$A$532,$A243,$AL$2:$AL$532,$AL243)&gt;1,"Yes","No"),
"No")
)
)
)</f>
      </c>
      <c r="BL243">
        <f>IF($T243="","",IF((IF(AND($AW243&lt;&gt;"Yes",$AW243&lt;&gt;"N/A"),"Power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",""))="","",LEFT(IF(AND($AW243&lt;&gt;"Yes",$AW243&lt;&gt;"N/A"),"Power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",""),LEN(IF(AND($AW243&lt;&gt;"Yes",$AW243&lt;&gt;"N/A"),"Power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",""))-2)))</f>
      </c>
      <c r="BM243">
        <f>IF($T243="","",IF($BL243="","Yes","Blocked"))</f>
      </c>
      <c r="BP243">
        <f>IF($BO243="","",IFERROR(VLOOKUP($BO243,'01_Warehouse_Ledger'!$A:$N,4,FALSE),""))</f>
      </c>
      <c r="BQ243">
        <f>IF($BO243="","",IFERROR(VLOOKUP($BO243,'01_Warehouse_Ledger'!$A:$N,5,FALSE),""))</f>
      </c>
      <c r="BR243">
        <f>IF($BO243="","",IFERROR(VLOOKUP($BO243,'01_Warehouse_Ledger'!$A:$N,13,FALSE),""))</f>
      </c>
    </row>
    <row r="244">
      <c r="D244">
        <f>IF($B244&lt;&gt;"Yes","",IF($C244="No","Yes",IF($C244="Yes","No","")))</f>
      </c>
      <c r="E244">
        <f>IF($A244="","",IF($A244="Neuron",IF(OR(AND($S244&lt;&gt;"",LOWER(TRIM($S244))&lt;&gt;"n/a",COUNTIF($S$2:$S$532,$S244)&gt;1),AND($T244&lt;&gt;"",LOWER(TRIM($T244))&lt;&gt;"n/a",COUNTIF($T$2:$T$532,$T244)&gt;1),AND($W244&lt;&gt;"",LOWER(TRIM($W244))&lt;&gt;"n/a",COUNTIF($W$2:$W$532,$W244)&gt;1)),"Yes","No"),IF($A244="Cybernet",IF(OR(AND($Y244&lt;&gt;"",LOWER(TRIM($Y244))&lt;&gt;"n/a",COUNTIF($Y$2:$Y$532,$Y244)&gt;1),AND($Z244&lt;&gt;"",LOWER(TRIM($Z244))&lt;&gt;"n/a",COUNTIF($Z$2:$Z$532,$Z244)&gt;1)),"Yes","No"),IF(AND($AL244&lt;&gt;"",LOWER(TRIM($AL244))&lt;&gt;"n/a",COUNTIF($AL$2:$AL$532,$AL244)&gt;1),"Yes","No"))))</f>
      </c>
      <c r="F244">
        <f>IF($B244&lt;&gt;"Yes","",
IF($A244="Neuron",
IF(OR(
AND($S244&lt;&gt;"",LOWER(TRIM($S244))&lt;&gt;"n/a",COUNTIFS($B$2:$B$532,"Yes",$A$2:$A$532,"Neuron",$S$2:$S$532,$S244)&gt;1),
AND($T244&lt;&gt;"",LOWER(TRIM($T244))&lt;&gt;"n/a",COUNTIFS($B$2:$B$532,"Yes",$A$2:$A$532,"Neuron",$T$2:$T$532,$T244)&gt;1),
AND($W244&lt;&gt;"",LOWER(TRIM($W244))&lt;&gt;"n/a",COUNTIFS($B$2:$B$532,"Yes",$A$2:$A$532,"Neuron",$W$2:$W$532,$W244)&gt;1)
),"Yes","No"),
IF($A244="Cybernet",
IF(OR(
AND($Y244&lt;&gt;"",LOWER(TRIM($Y244))&lt;&gt;"n/a",COUNTIFS($B$2:$B$532,"Yes",$A$2:$A$532,"Cybernet",$Y$2:$Y$532,$Y244)&gt;1),
AND($Z244&lt;&gt;"",LOWER(TRIM($Z244))&lt;&gt;"n/a",COUNTIFS($B$2:$B$532,"Yes",$A$2:$A$532,"Cybernet",$Z$2:$Z$532,$Z244)&gt;1)
),"Yes","No"),
IF(AND($AL244&lt;&gt;"",LOWER(TRIM($AL244))&lt;&gt;"n/a"),
IF(COUNTIFS($B$2:$B$532,"Yes",$A$2:$A$532,$A244,$AL$2:$AL$532,$AL244)&gt;1,"Yes","No"),
"No")
)
)
)</f>
      </c>
      <c r="BL244">
        <f>IF($T244="","",IF((IF(AND($AW244&lt;&gt;"Yes",$AW244&lt;&gt;"N/A"),"Power Cable, ","")&amp;IF(AND($AX244&lt;&gt;"Yes",$AX244&lt;&gt;"N/A"),"Battery, ","")&amp;IF(AND($BE244&lt;&gt;"Yes",$BE244&lt;&gt;"N/A"),"Firmware Download, ","")&amp;IF(AND(OR($BE244="Yes",$BE244="N/A"),$BF244&lt;&gt;"Yes",$BF244&lt;&gt;"N/A"),"Firmware Install, ","")&amp;IF(AND($BJ244&lt;&gt;"Yes",$BJ244&lt;&gt;"N/A"),"Device ID, ","")&amp;IF(AND($BK244&lt;&gt;"Yes",$BK244&lt;&gt;"N/A"),"Epic Beans Relay, ",""))="","",LEFT(IF(AND($AW244&lt;&gt;"Yes",$AW244&lt;&gt;"N/A"),"Power Cable, ","")&amp;IF(AND($AX244&lt;&gt;"Yes",$AX244&lt;&gt;"N/A"),"Battery, ","")&amp;IF(AND($BE244&lt;&gt;"Yes",$BE244&lt;&gt;"N/A"),"Firmware Download, ","")&amp;IF(AND(OR($BE244="Yes",$BE244="N/A"),$BF244&lt;&gt;"Yes",$BF244&lt;&gt;"N/A"),"Firmware Install, ","")&amp;IF(AND($BJ244&lt;&gt;"Yes",$BJ244&lt;&gt;"N/A"),"Device ID, ","")&amp;IF(AND($BK244&lt;&gt;"Yes",$BK244&lt;&gt;"N/A"),"Epic Beans Relay, ",""),LEN(IF(AND($AW244&lt;&gt;"Yes",$AW244&lt;&gt;"N/A"),"Power Cable, ","")&amp;IF(AND($AX244&lt;&gt;"Yes",$AX244&lt;&gt;"N/A"),"Battery, ","")&amp;IF(AND($BE244&lt;&gt;"Yes",$BE244&lt;&gt;"N/A"),"Firmware Download, ","")&amp;IF(AND(OR($BE244="Yes",$BE244="N/A"),$BF244&lt;&gt;"Yes",$BF244&lt;&gt;"N/A"),"Firmware Install, ","")&amp;IF(AND($BJ244&lt;&gt;"Yes",$BJ244&lt;&gt;"N/A"),"Device ID, ","")&amp;IF(AND($BK244&lt;&gt;"Yes",$BK244&lt;&gt;"N/A"),"Epic Beans Relay, ",""))-2)))</f>
      </c>
      <c r="BM244">
        <f>IF($T244="","",IF($BL244="","Yes","Blocked"))</f>
      </c>
      <c r="BP244">
        <f>IF($BO244="","",IFERROR(VLOOKUP($BO244,'01_Warehouse_Ledger'!$A:$N,4,FALSE),""))</f>
      </c>
      <c r="BQ244">
        <f>IF($BO244="","",IFERROR(VLOOKUP($BO244,'01_Warehouse_Ledger'!$A:$N,5,FALSE),""))</f>
      </c>
      <c r="BR244">
        <f>IF($BO244="","",IFERROR(VLOOKUP($BO244,'01_Warehouse_Ledger'!$A:$N,13,FALSE),""))</f>
      </c>
    </row>
    <row r="245">
      <c r="D245">
        <f>IF($B245&lt;&gt;"Yes","",IF($C245="No","Yes",IF($C245="Yes","No","")))</f>
      </c>
      <c r="E245">
        <f>IF($A245="","",IF($A245="Neuron",IF(OR(AND($S245&lt;&gt;"",LOWER(TRIM($S245))&lt;&gt;"n/a",COUNTIF($S$2:$S$532,$S245)&gt;1),AND($T245&lt;&gt;"",LOWER(TRIM($T245))&lt;&gt;"n/a",COUNTIF($T$2:$T$532,$T245)&gt;1),AND($W245&lt;&gt;"",LOWER(TRIM($W245))&lt;&gt;"n/a",COUNTIF($W$2:$W$532,$W245)&gt;1)),"Yes","No"),IF($A245="Cybernet",IF(OR(AND($Y245&lt;&gt;"",LOWER(TRIM($Y245))&lt;&gt;"n/a",COUNTIF($Y$2:$Y$532,$Y245)&gt;1),AND($Z245&lt;&gt;"",LOWER(TRIM($Z245))&lt;&gt;"n/a",COUNTIF($Z$2:$Z$532,$Z245)&gt;1)),"Yes","No"),IF(AND($AL245&lt;&gt;"",LOWER(TRIM($AL245))&lt;&gt;"n/a",COUNTIF($AL$2:$AL$532,$AL245)&gt;1),"Yes","No"))))</f>
      </c>
      <c r="F245">
        <f>IF($B245&lt;&gt;"Yes","",
IF($A245="Neuron",
IF(OR(
AND($S245&lt;&gt;"",LOWER(TRIM($S245))&lt;&gt;"n/a",COUNTIFS($B$2:$B$532,"Yes",$A$2:$A$532,"Neuron",$S$2:$S$532,$S245)&gt;1),
AND($T245&lt;&gt;"",LOWER(TRIM($T245))&lt;&gt;"n/a",COUNTIFS($B$2:$B$532,"Yes",$A$2:$A$532,"Neuron",$T$2:$T$532,$T245)&gt;1),
AND($W245&lt;&gt;"",LOWER(TRIM($W245))&lt;&gt;"n/a",COUNTIFS($B$2:$B$532,"Yes",$A$2:$A$532,"Neuron",$W$2:$W$532,$W245)&gt;1)
),"Yes","No"),
IF($A245="Cybernet",
IF(OR(
AND($Y245&lt;&gt;"",LOWER(TRIM($Y245))&lt;&gt;"n/a",COUNTIFS($B$2:$B$532,"Yes",$A$2:$A$532,"Cybernet",$Y$2:$Y$532,$Y245)&gt;1),
AND($Z245&lt;&gt;"",LOWER(TRIM($Z245))&lt;&gt;"n/a",COUNTIFS($B$2:$B$532,"Yes",$A$2:$A$532,"Cybernet",$Z$2:$Z$532,$Z245)&gt;1)
),"Yes","No"),
IF(AND($AL245&lt;&gt;"",LOWER(TRIM($AL245))&lt;&gt;"n/a"),
IF(COUNTIFS($B$2:$B$532,"Yes",$A$2:$A$532,$A245,$AL$2:$AL$532,$AL245)&gt;1,"Yes","No"),
"No")
)
)
)</f>
      </c>
      <c r="BL245">
        <f>IF($T245="","",IF((IF(AND($AW245&lt;&gt;"Yes",$AW245&lt;&gt;"N/A"),"Power Cable, ","")&amp;IF(AND($AX245&lt;&gt;"Yes",$AX245&lt;&gt;"N/A"),"Battery, ","")&amp;IF(AND($BE245&lt;&gt;"Yes",$BE245&lt;&gt;"N/A"),"Firmware Download, ","")&amp;IF(AND(OR($BE245="Yes",$BE245="N/A"),$BF245&lt;&gt;"Yes",$BF245&lt;&gt;"N/A"),"Firmware Install, ","")&amp;IF(AND($BJ245&lt;&gt;"Yes",$BJ245&lt;&gt;"N/A"),"Device ID, ","")&amp;IF(AND($BK245&lt;&gt;"Yes",$BK245&lt;&gt;"N/A"),"Epic Beans Relay, ",""))="","",LEFT(IF(AND($AW245&lt;&gt;"Yes",$AW245&lt;&gt;"N/A"),"Power Cable, ","")&amp;IF(AND($AX245&lt;&gt;"Yes",$AX245&lt;&gt;"N/A"),"Battery, ","")&amp;IF(AND($BE245&lt;&gt;"Yes",$BE245&lt;&gt;"N/A"),"Firmware Download, ","")&amp;IF(AND(OR($BE245="Yes",$BE245="N/A"),$BF245&lt;&gt;"Yes",$BF245&lt;&gt;"N/A"),"Firmware Install, ","")&amp;IF(AND($BJ245&lt;&gt;"Yes",$BJ245&lt;&gt;"N/A"),"Device ID, ","")&amp;IF(AND($BK245&lt;&gt;"Yes",$BK245&lt;&gt;"N/A"),"Epic Beans Relay, ",""),LEN(IF(AND($AW245&lt;&gt;"Yes",$AW245&lt;&gt;"N/A"),"Power Cable, ","")&amp;IF(AND($AX245&lt;&gt;"Yes",$AX245&lt;&gt;"N/A"),"Battery, ","")&amp;IF(AND($BE245&lt;&gt;"Yes",$BE245&lt;&gt;"N/A"),"Firmware Download, ","")&amp;IF(AND(OR($BE245="Yes",$BE245="N/A"),$BF245&lt;&gt;"Yes",$BF245&lt;&gt;"N/A"),"Firmware Install, ","")&amp;IF(AND($BJ245&lt;&gt;"Yes",$BJ245&lt;&gt;"N/A"),"Device ID, ","")&amp;IF(AND($BK245&lt;&gt;"Yes",$BK245&lt;&gt;"N/A"),"Epic Beans Relay, ",""))-2)))</f>
      </c>
      <c r="BM245">
        <f>IF($T245="","",IF($BL245="","Yes","Blocked"))</f>
      </c>
      <c r="BP245">
        <f>IF($BO245="","",IFERROR(VLOOKUP($BO245,'01_Warehouse_Ledger'!$A:$N,4,FALSE),""))</f>
      </c>
      <c r="BQ245">
        <f>IF($BO245="","",IFERROR(VLOOKUP($BO245,'01_Warehouse_Ledger'!$A:$N,5,FALSE),""))</f>
      </c>
      <c r="BR245">
        <f>IF($BO245="","",IFERROR(VLOOKUP($BO245,'01_Warehouse_Ledger'!$A:$N,13,FALSE),""))</f>
      </c>
    </row>
    <row r="246">
      <c r="D246">
        <f>IF($B246&lt;&gt;"Yes","",IF($C246="No","Yes",IF($C246="Yes","No","")))</f>
      </c>
      <c r="E246">
        <f>IF($A246="","",IF($A246="Neuron",IF(OR(AND($S246&lt;&gt;"",LOWER(TRIM($S246))&lt;&gt;"n/a",COUNTIF($S$2:$S$532,$S246)&gt;1),AND($T246&lt;&gt;"",LOWER(TRIM($T246))&lt;&gt;"n/a",COUNTIF($T$2:$T$532,$T246)&gt;1),AND($W246&lt;&gt;"",LOWER(TRIM($W246))&lt;&gt;"n/a",COUNTIF($W$2:$W$532,$W246)&gt;1)),"Yes","No"),IF($A246="Cybernet",IF(OR(AND($Y246&lt;&gt;"",LOWER(TRIM($Y246))&lt;&gt;"n/a",COUNTIF($Y$2:$Y$532,$Y246)&gt;1),AND($Z246&lt;&gt;"",LOWER(TRIM($Z246))&lt;&gt;"n/a",COUNTIF($Z$2:$Z$532,$Z246)&gt;1)),"Yes","No"),IF(AND($AL246&lt;&gt;"",LOWER(TRIM($AL246))&lt;&gt;"n/a",COUNTIF($AL$2:$AL$532,$AL246)&gt;1),"Yes","No"))))</f>
      </c>
      <c r="F246">
        <f>IF($B246&lt;&gt;"Yes","",
IF($A246="Neuron",
IF(OR(
AND($S246&lt;&gt;"",LOWER(TRIM($S246))&lt;&gt;"n/a",COUNTIFS($B$2:$B$532,"Yes",$A$2:$A$532,"Neuron",$S$2:$S$532,$S246)&gt;1),
AND($T246&lt;&gt;"",LOWER(TRIM($T246))&lt;&gt;"n/a",COUNTIFS($B$2:$B$532,"Yes",$A$2:$A$532,"Neuron",$T$2:$T$532,$T246)&gt;1),
AND($W246&lt;&gt;"",LOWER(TRIM($W246))&lt;&gt;"n/a",COUNTIFS($B$2:$B$532,"Yes",$A$2:$A$532,"Neuron",$W$2:$W$532,$W246)&gt;1)
),"Yes","No"),
IF($A246="Cybernet",
IF(OR(
AND($Y246&lt;&gt;"",LOWER(TRIM($Y246))&lt;&gt;"n/a",COUNTIFS($B$2:$B$532,"Yes",$A$2:$A$532,"Cybernet",$Y$2:$Y$532,$Y246)&gt;1),
AND($Z246&lt;&gt;"",LOWER(TRIM($Z246))&lt;&gt;"n/a",COUNTIFS($B$2:$B$532,"Yes",$A$2:$A$532,"Cybernet",$Z$2:$Z$532,$Z246)&gt;1)
),"Yes","No"),
IF(AND($AL246&lt;&gt;"",LOWER(TRIM($AL246))&lt;&gt;"n/a"),
IF(COUNTIFS($B$2:$B$532,"Yes",$A$2:$A$532,$A246,$AL$2:$AL$532,$AL246)&gt;1,"Yes","No"),
"No")
)
)
)</f>
      </c>
      <c r="BL246">
        <f>IF($T246="","",IF((IF(AND($AW246&lt;&gt;"Yes",$AW246&lt;&gt;"N/A"),"Power Cable, ","")&amp;IF(AND($AX246&lt;&gt;"Yes",$AX246&lt;&gt;"N/A"),"Battery, ","")&amp;IF(AND($BE246&lt;&gt;"Yes",$BE246&lt;&gt;"N/A"),"Firmware Download, ","")&amp;IF(AND(OR($BE246="Yes",$BE246="N/A"),$BF246&lt;&gt;"Yes",$BF246&lt;&gt;"N/A"),"Firmware Install, ","")&amp;IF(AND($BJ246&lt;&gt;"Yes",$BJ246&lt;&gt;"N/A"),"Device ID, ","")&amp;IF(AND($BK246&lt;&gt;"Yes",$BK246&lt;&gt;"N/A"),"Epic Beans Relay, ",""))="","",LEFT(IF(AND($AW246&lt;&gt;"Yes",$AW246&lt;&gt;"N/A"),"Power Cable, ","")&amp;IF(AND($AX246&lt;&gt;"Yes",$AX246&lt;&gt;"N/A"),"Battery, ","")&amp;IF(AND($BE246&lt;&gt;"Yes",$BE246&lt;&gt;"N/A"),"Firmware Download, ","")&amp;IF(AND(OR($BE246="Yes",$BE246="N/A"),$BF246&lt;&gt;"Yes",$BF246&lt;&gt;"N/A"),"Firmware Install, ","")&amp;IF(AND($BJ246&lt;&gt;"Yes",$BJ246&lt;&gt;"N/A"),"Device ID, ","")&amp;IF(AND($BK246&lt;&gt;"Yes",$BK246&lt;&gt;"N/A"),"Epic Beans Relay, ",""),LEN(IF(AND($AW246&lt;&gt;"Yes",$AW246&lt;&gt;"N/A"),"Power Cable, ","")&amp;IF(AND($AX246&lt;&gt;"Yes",$AX246&lt;&gt;"N/A"),"Battery, ","")&amp;IF(AND($BE246&lt;&gt;"Yes",$BE246&lt;&gt;"N/A"),"Firmware Download, ","")&amp;IF(AND(OR($BE246="Yes",$BE246="N/A"),$BF246&lt;&gt;"Yes",$BF246&lt;&gt;"N/A"),"Firmware Install, ","")&amp;IF(AND($BJ246&lt;&gt;"Yes",$BJ246&lt;&gt;"N/A"),"Device ID, ","")&amp;IF(AND($BK246&lt;&gt;"Yes",$BK246&lt;&gt;"N/A"),"Epic Beans Relay, ",""))-2)))</f>
      </c>
      <c r="BM246">
        <f>IF($T246="","",IF($BL246="","Yes","Blocked"))</f>
      </c>
      <c r="BP246">
        <f>IF($BO246="","",IFERROR(VLOOKUP($BO246,'01_Warehouse_Ledger'!$A:$N,4,FALSE),""))</f>
      </c>
      <c r="BQ246">
        <f>IF($BO246="","",IFERROR(VLOOKUP($BO246,'01_Warehouse_Ledger'!$A:$N,5,FALSE),""))</f>
      </c>
      <c r="BR246">
        <f>IF($BO246="","",IFERROR(VLOOKUP($BO246,'01_Warehouse_Ledger'!$A:$N,13,FALSE),""))</f>
      </c>
    </row>
    <row r="247">
      <c r="D247">
        <f>IF($B247&lt;&gt;"Yes","",IF($C247="No","Yes",IF($C247="Yes","No","")))</f>
      </c>
      <c r="E247">
        <f>IF($A247="","",IF($A247="Neuron",IF(OR(AND($S247&lt;&gt;"",LOWER(TRIM($S247))&lt;&gt;"n/a",COUNTIF($S$2:$S$532,$S247)&gt;1),AND($T247&lt;&gt;"",LOWER(TRIM($T247))&lt;&gt;"n/a",COUNTIF($T$2:$T$532,$T247)&gt;1),AND($W247&lt;&gt;"",LOWER(TRIM($W247))&lt;&gt;"n/a",COUNTIF($W$2:$W$532,$W247)&gt;1)),"Yes","No"),IF($A247="Cybernet",IF(OR(AND($Y247&lt;&gt;"",LOWER(TRIM($Y247))&lt;&gt;"n/a",COUNTIF($Y$2:$Y$532,$Y247)&gt;1),AND($Z247&lt;&gt;"",LOWER(TRIM($Z247))&lt;&gt;"n/a",COUNTIF($Z$2:$Z$532,$Z247)&gt;1)),"Yes","No"),IF(AND($AL247&lt;&gt;"",LOWER(TRIM($AL247))&lt;&gt;"n/a",COUNTIF($AL$2:$AL$532,$AL247)&gt;1),"Yes","No"))))</f>
      </c>
      <c r="F247">
        <f>IF($B247&lt;&gt;"Yes","",
IF($A247="Neuron",
IF(OR(
AND($S247&lt;&gt;"",LOWER(TRIM($S247))&lt;&gt;"n/a",COUNTIFS($B$2:$B$532,"Yes",$A$2:$A$532,"Neuron",$S$2:$S$532,$S247)&gt;1),
AND($T247&lt;&gt;"",LOWER(TRIM($T247))&lt;&gt;"n/a",COUNTIFS($B$2:$B$532,"Yes",$A$2:$A$532,"Neuron",$T$2:$T$532,$T247)&gt;1),
AND($W247&lt;&gt;"",LOWER(TRIM($W247))&lt;&gt;"n/a",COUNTIFS($B$2:$B$532,"Yes",$A$2:$A$532,"Neuron",$W$2:$W$532,$W247)&gt;1)
),"Yes","No"),
IF($A247="Cybernet",
IF(OR(
AND($Y247&lt;&gt;"",LOWER(TRIM($Y247))&lt;&gt;"n/a",COUNTIFS($B$2:$B$532,"Yes",$A$2:$A$532,"Cybernet",$Y$2:$Y$532,$Y247)&gt;1),
AND($Z247&lt;&gt;"",LOWER(TRIM($Z247))&lt;&gt;"n/a",COUNTIFS($B$2:$B$532,"Yes",$A$2:$A$532,"Cybernet",$Z$2:$Z$532,$Z247)&gt;1)
),"Yes","No"),
IF(AND($AL247&lt;&gt;"",LOWER(TRIM($AL247))&lt;&gt;"n/a"),
IF(COUNTIFS($B$2:$B$532,"Yes",$A$2:$A$532,$A247,$AL$2:$AL$532,$AL247)&gt;1,"Yes","No"),
"No")
)
)
)</f>
      </c>
      <c r="BL247">
        <f>IF($T247="","",IF((IF(AND($AW247&lt;&gt;"Yes",$AW247&lt;&gt;"N/A"),"Power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",""))="","",LEFT(IF(AND($AW247&lt;&gt;"Yes",$AW247&lt;&gt;"N/A"),"Power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",""),LEN(IF(AND($AW247&lt;&gt;"Yes",$AW247&lt;&gt;"N/A"),"Power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",""))-2)))</f>
      </c>
      <c r="BM247">
        <f>IF($T247="","",IF($BL247="","Yes","Blocked"))</f>
      </c>
      <c r="BP247">
        <f>IF($BO247="","",IFERROR(VLOOKUP($BO247,'01_Warehouse_Ledger'!$A:$N,4,FALSE),""))</f>
      </c>
      <c r="BQ247">
        <f>IF($BO247="","",IFERROR(VLOOKUP($BO247,'01_Warehouse_Ledger'!$A:$N,5,FALSE),""))</f>
      </c>
      <c r="BR247">
        <f>IF($BO247="","",IFERROR(VLOOKUP($BO247,'01_Warehouse_Ledger'!$A:$N,13,FALSE),""))</f>
      </c>
    </row>
    <row r="248">
      <c r="D248">
        <f>IF($B248&lt;&gt;"Yes","",IF($C248="No","Yes",IF($C248="Yes","No","")))</f>
      </c>
      <c r="E248">
        <f>IF($A248="","",IF($A248="Neuron",IF(OR(AND($S248&lt;&gt;"",LOWER(TRIM($S248))&lt;&gt;"n/a",COUNTIF($S$2:$S$532,$S248)&gt;1),AND($T248&lt;&gt;"",LOWER(TRIM($T248))&lt;&gt;"n/a",COUNTIF($T$2:$T$532,$T248)&gt;1),AND($W248&lt;&gt;"",LOWER(TRIM($W248))&lt;&gt;"n/a",COUNTIF($W$2:$W$532,$W248)&gt;1)),"Yes","No"),IF($A248="Cybernet",IF(OR(AND($Y248&lt;&gt;"",LOWER(TRIM($Y248))&lt;&gt;"n/a",COUNTIF($Y$2:$Y$532,$Y248)&gt;1),AND($Z248&lt;&gt;"",LOWER(TRIM($Z248))&lt;&gt;"n/a",COUNTIF($Z$2:$Z$532,$Z248)&gt;1)),"Yes","No"),IF(AND($AL248&lt;&gt;"",LOWER(TRIM($AL248))&lt;&gt;"n/a",COUNTIF($AL$2:$AL$532,$AL248)&gt;1),"Yes","No"))))</f>
      </c>
      <c r="F248">
        <f>IF($B248&lt;&gt;"Yes","",
IF($A248="Neuron",
IF(OR(
AND($S248&lt;&gt;"",LOWER(TRIM($S248))&lt;&gt;"n/a",COUNTIFS($B$2:$B$532,"Yes",$A$2:$A$532,"Neuron",$S$2:$S$532,$S248)&gt;1),
AND($T248&lt;&gt;"",LOWER(TRIM($T248))&lt;&gt;"n/a",COUNTIFS($B$2:$B$532,"Yes",$A$2:$A$532,"Neuron",$T$2:$T$532,$T248)&gt;1),
AND($W248&lt;&gt;"",LOWER(TRIM($W248))&lt;&gt;"n/a",COUNTIFS($B$2:$B$532,"Yes",$A$2:$A$532,"Neuron",$W$2:$W$532,$W248)&gt;1)
),"Yes","No"),
IF($A248="Cybernet",
IF(OR(
AND($Y248&lt;&gt;"",LOWER(TRIM($Y248))&lt;&gt;"n/a",COUNTIFS($B$2:$B$532,"Yes",$A$2:$A$532,"Cybernet",$Y$2:$Y$532,$Y248)&gt;1),
AND($Z248&lt;&gt;"",LOWER(TRIM($Z248))&lt;&gt;"n/a",COUNTIFS($B$2:$B$532,"Yes",$A$2:$A$532,"Cybernet",$Z$2:$Z$532,$Z248)&gt;1)
),"Yes","No"),
IF(AND($AL248&lt;&gt;"",LOWER(TRIM($AL248))&lt;&gt;"n/a"),
IF(COUNTIFS($B$2:$B$532,"Yes",$A$2:$A$532,$A248,$AL$2:$AL$532,$AL248)&gt;1,"Yes","No"),
"No")
)
)
)</f>
      </c>
      <c r="BL248">
        <f>IF($T248="","",IF((IF(AND($AW248&lt;&gt;"Yes",$AW248&lt;&gt;"N/A"),"Power Cable, ","")&amp;IF(AND($AX248&lt;&gt;"Yes",$AX248&lt;&gt;"N/A"),"Battery, ","")&amp;IF(AND($BE248&lt;&gt;"Yes",$BE248&lt;&gt;"N/A"),"Firmware Download, ","")&amp;IF(AND(OR($BE248="Yes",$BE248="N/A"),$BF248&lt;&gt;"Yes",$BF248&lt;&gt;"N/A"),"Firmware Install, ","")&amp;IF(AND($BJ248&lt;&gt;"Yes",$BJ248&lt;&gt;"N/A"),"Device ID, ","")&amp;IF(AND($BK248&lt;&gt;"Yes",$BK248&lt;&gt;"N/A"),"Epic Beans Relay, ",""))="","",LEFT(IF(AND($AW248&lt;&gt;"Yes",$AW248&lt;&gt;"N/A"),"Power Cable, ","")&amp;IF(AND($AX248&lt;&gt;"Yes",$AX248&lt;&gt;"N/A"),"Battery, ","")&amp;IF(AND($BE248&lt;&gt;"Yes",$BE248&lt;&gt;"N/A"),"Firmware Download, ","")&amp;IF(AND(OR($BE248="Yes",$BE248="N/A"),$BF248&lt;&gt;"Yes",$BF248&lt;&gt;"N/A"),"Firmware Install, ","")&amp;IF(AND($BJ248&lt;&gt;"Yes",$BJ248&lt;&gt;"N/A"),"Device ID, ","")&amp;IF(AND($BK248&lt;&gt;"Yes",$BK248&lt;&gt;"N/A"),"Epic Beans Relay, ",""),LEN(IF(AND($AW248&lt;&gt;"Yes",$AW248&lt;&gt;"N/A"),"Power Cable, ","")&amp;IF(AND($AX248&lt;&gt;"Yes",$AX248&lt;&gt;"N/A"),"Battery, ","")&amp;IF(AND($BE248&lt;&gt;"Yes",$BE248&lt;&gt;"N/A"),"Firmware Download, ","")&amp;IF(AND(OR($BE248="Yes",$BE248="N/A"),$BF248&lt;&gt;"Yes",$BF248&lt;&gt;"N/A"),"Firmware Install, ","")&amp;IF(AND($BJ248&lt;&gt;"Yes",$BJ248&lt;&gt;"N/A"),"Device ID, ","")&amp;IF(AND($BK248&lt;&gt;"Yes",$BK248&lt;&gt;"N/A"),"Epic Beans Relay, ",""))-2)))</f>
      </c>
      <c r="BM248">
        <f>IF($T248="","",IF($BL248="","Yes","Blocked"))</f>
      </c>
      <c r="BP248">
        <f>IF($BO248="","",IFERROR(VLOOKUP($BO248,'01_Warehouse_Ledger'!$A:$N,4,FALSE),""))</f>
      </c>
      <c r="BQ248">
        <f>IF($BO248="","",IFERROR(VLOOKUP($BO248,'01_Warehouse_Ledger'!$A:$N,5,FALSE),""))</f>
      </c>
      <c r="BR248">
        <f>IF($BO248="","",IFERROR(VLOOKUP($BO248,'01_Warehouse_Ledger'!$A:$N,13,FALSE),""))</f>
      </c>
    </row>
    <row r="249">
      <c r="D249">
        <f>IF($B249&lt;&gt;"Yes","",IF($C249="No","Yes",IF($C249="Yes","No","")))</f>
      </c>
      <c r="E249">
        <f>IF($A249="","",IF($A249="Neuron",IF(OR(AND($S249&lt;&gt;"",LOWER(TRIM($S249))&lt;&gt;"n/a",COUNTIF($S$2:$S$532,$S249)&gt;1),AND($T249&lt;&gt;"",LOWER(TRIM($T249))&lt;&gt;"n/a",COUNTIF($T$2:$T$532,$T249)&gt;1),AND($W249&lt;&gt;"",LOWER(TRIM($W249))&lt;&gt;"n/a",COUNTIF($W$2:$W$532,$W249)&gt;1)),"Yes","No"),IF($A249="Cybernet",IF(OR(AND($Y249&lt;&gt;"",LOWER(TRIM($Y249))&lt;&gt;"n/a",COUNTIF($Y$2:$Y$532,$Y249)&gt;1),AND($Z249&lt;&gt;"",LOWER(TRIM($Z249))&lt;&gt;"n/a",COUNTIF($Z$2:$Z$532,$Z249)&gt;1)),"Yes","No"),IF(AND($AL249&lt;&gt;"",LOWER(TRIM($AL249))&lt;&gt;"n/a",COUNTIF($AL$2:$AL$532,$AL249)&gt;1),"Yes","No"))))</f>
      </c>
      <c r="F249">
        <f>IF($B249&lt;&gt;"Yes","",
IF($A249="Neuron",
IF(OR(
AND($S249&lt;&gt;"",LOWER(TRIM($S249))&lt;&gt;"n/a",COUNTIFS($B$2:$B$532,"Yes",$A$2:$A$532,"Neuron",$S$2:$S$532,$S249)&gt;1),
AND($T249&lt;&gt;"",LOWER(TRIM($T249))&lt;&gt;"n/a",COUNTIFS($B$2:$B$532,"Yes",$A$2:$A$532,"Neuron",$T$2:$T$532,$T249)&gt;1),
AND($W249&lt;&gt;"",LOWER(TRIM($W249))&lt;&gt;"n/a",COUNTIFS($B$2:$B$532,"Yes",$A$2:$A$532,"Neuron",$W$2:$W$532,$W249)&gt;1)
),"Yes","No"),
IF($A249="Cybernet",
IF(OR(
AND($Y249&lt;&gt;"",LOWER(TRIM($Y249))&lt;&gt;"n/a",COUNTIFS($B$2:$B$532,"Yes",$A$2:$A$532,"Cybernet",$Y$2:$Y$532,$Y249)&gt;1),
AND($Z249&lt;&gt;"",LOWER(TRIM($Z249))&lt;&gt;"n/a",COUNTIFS($B$2:$B$532,"Yes",$A$2:$A$532,"Cybernet",$Z$2:$Z$532,$Z249)&gt;1)
),"Yes","No"),
IF(AND($AL249&lt;&gt;"",LOWER(TRIM($AL249))&lt;&gt;"n/a"),
IF(COUNTIFS($B$2:$B$532,"Yes",$A$2:$A$532,$A249,$AL$2:$AL$532,$AL249)&gt;1,"Yes","No"),
"No")
)
)
)</f>
      </c>
      <c r="BL249">
        <f>IF($T249="","",IF((IF(AND($AW249&lt;&gt;"Yes",$AW249&lt;&gt;"N/A"),"Power Cable, ","")&amp;IF(AND($AX249&lt;&gt;"Yes",$AX249&lt;&gt;"N/A"),"Battery, ","")&amp;IF(AND($BE249&lt;&gt;"Yes",$BE249&lt;&gt;"N/A"),"Firmware Download, ","")&amp;IF(AND(OR($BE249="Yes",$BE249="N/A"),$BF249&lt;&gt;"Yes",$BF249&lt;&gt;"N/A"),"Firmware Install, ","")&amp;IF(AND($BJ249&lt;&gt;"Yes",$BJ249&lt;&gt;"N/A"),"Device ID, ","")&amp;IF(AND($BK249&lt;&gt;"Yes",$BK249&lt;&gt;"N/A"),"Epic Beans Relay, ",""))="","",LEFT(IF(AND($AW249&lt;&gt;"Yes",$AW249&lt;&gt;"N/A"),"Power Cable, ","")&amp;IF(AND($AX249&lt;&gt;"Yes",$AX249&lt;&gt;"N/A"),"Battery, ","")&amp;IF(AND($BE249&lt;&gt;"Yes",$BE249&lt;&gt;"N/A"),"Firmware Download, ","")&amp;IF(AND(OR($BE249="Yes",$BE249="N/A"),$BF249&lt;&gt;"Yes",$BF249&lt;&gt;"N/A"),"Firmware Install, ","")&amp;IF(AND($BJ249&lt;&gt;"Yes",$BJ249&lt;&gt;"N/A"),"Device ID, ","")&amp;IF(AND($BK249&lt;&gt;"Yes",$BK249&lt;&gt;"N/A"),"Epic Beans Relay, ",""),LEN(IF(AND($AW249&lt;&gt;"Yes",$AW249&lt;&gt;"N/A"),"Power Cable, ","")&amp;IF(AND($AX249&lt;&gt;"Yes",$AX249&lt;&gt;"N/A"),"Battery, ","")&amp;IF(AND($BE249&lt;&gt;"Yes",$BE249&lt;&gt;"N/A"),"Firmware Download, ","")&amp;IF(AND(OR($BE249="Yes",$BE249="N/A"),$BF249&lt;&gt;"Yes",$BF249&lt;&gt;"N/A"),"Firmware Install, ","")&amp;IF(AND($BJ249&lt;&gt;"Yes",$BJ249&lt;&gt;"N/A"),"Device ID, ","")&amp;IF(AND($BK249&lt;&gt;"Yes",$BK249&lt;&gt;"N/A"),"Epic Beans Relay, ",""))-2)))</f>
      </c>
      <c r="BM249">
        <f>IF($T249="","",IF($BL249="","Yes","Blocked"))</f>
      </c>
      <c r="BP249">
        <f>IF($BO249="","",IFERROR(VLOOKUP($BO249,'01_Warehouse_Ledger'!$A:$N,4,FALSE),""))</f>
      </c>
      <c r="BQ249">
        <f>IF($BO249="","",IFERROR(VLOOKUP($BO249,'01_Warehouse_Ledger'!$A:$N,5,FALSE),""))</f>
      </c>
      <c r="BR249">
        <f>IF($BO249="","",IFERROR(VLOOKUP($BO249,'01_Warehouse_Ledger'!$A:$N,13,FALSE),""))</f>
      </c>
    </row>
    <row r="250">
      <c r="D250">
        <f>IF($B250&lt;&gt;"Yes","",IF($C250="No","Yes",IF($C250="Yes","No","")))</f>
      </c>
      <c r="E250">
        <f>IF($A250="","",IF($A250="Neuron",IF(OR(AND($S250&lt;&gt;"",LOWER(TRIM($S250))&lt;&gt;"n/a",COUNTIF($S$2:$S$532,$S250)&gt;1),AND($T250&lt;&gt;"",LOWER(TRIM($T250))&lt;&gt;"n/a",COUNTIF($T$2:$T$532,$T250)&gt;1),AND($W250&lt;&gt;"",LOWER(TRIM($W250))&lt;&gt;"n/a",COUNTIF($W$2:$W$532,$W250)&gt;1)),"Yes","No"),IF($A250="Cybernet",IF(OR(AND($Y250&lt;&gt;"",LOWER(TRIM($Y250))&lt;&gt;"n/a",COUNTIF($Y$2:$Y$532,$Y250)&gt;1),AND($Z250&lt;&gt;"",LOWER(TRIM($Z250))&lt;&gt;"n/a",COUNTIF($Z$2:$Z$532,$Z250)&gt;1)),"Yes","No"),IF(AND($AL250&lt;&gt;"",LOWER(TRIM($AL250))&lt;&gt;"n/a",COUNTIF($AL$2:$AL$532,$AL250)&gt;1),"Yes","No"))))</f>
      </c>
      <c r="F250">
        <f>IF($B250&lt;&gt;"Yes","",
IF($A250="Neuron",
IF(OR(
AND($S250&lt;&gt;"",LOWER(TRIM($S250))&lt;&gt;"n/a",COUNTIFS($B$2:$B$532,"Yes",$A$2:$A$532,"Neuron",$S$2:$S$532,$S250)&gt;1),
AND($T250&lt;&gt;"",LOWER(TRIM($T250))&lt;&gt;"n/a",COUNTIFS($B$2:$B$532,"Yes",$A$2:$A$532,"Neuron",$T$2:$T$532,$T250)&gt;1),
AND($W250&lt;&gt;"",LOWER(TRIM($W250))&lt;&gt;"n/a",COUNTIFS($B$2:$B$532,"Yes",$A$2:$A$532,"Neuron",$W$2:$W$532,$W250)&gt;1)
),"Yes","No"),
IF($A250="Cybernet",
IF(OR(
AND($Y250&lt;&gt;"",LOWER(TRIM($Y250))&lt;&gt;"n/a",COUNTIFS($B$2:$B$532,"Yes",$A$2:$A$532,"Cybernet",$Y$2:$Y$532,$Y250)&gt;1),
AND($Z250&lt;&gt;"",LOWER(TRIM($Z250))&lt;&gt;"n/a",COUNTIFS($B$2:$B$532,"Yes",$A$2:$A$532,"Cybernet",$Z$2:$Z$532,$Z250)&gt;1)
),"Yes","No"),
IF(AND($AL250&lt;&gt;"",LOWER(TRIM($AL250))&lt;&gt;"n/a"),
IF(COUNTIFS($B$2:$B$532,"Yes",$A$2:$A$532,$A250,$AL$2:$AL$532,$AL250)&gt;1,"Yes","No"),
"No")
)
)
)</f>
      </c>
      <c r="BL250">
        <f>IF($T250="","",IF((IF(AND($AW250&lt;&gt;"Yes",$AW250&lt;&gt;"N/A"),"Power Cable, ","")&amp;IF(AND($AX250&lt;&gt;"Yes",$AX250&lt;&gt;"N/A"),"Battery, ","")&amp;IF(AND($BE250&lt;&gt;"Yes",$BE250&lt;&gt;"N/A"),"Firmware Download, ","")&amp;IF(AND(OR($BE250="Yes",$BE250="N/A"),$BF250&lt;&gt;"Yes",$BF250&lt;&gt;"N/A"),"Firmware Install, ","")&amp;IF(AND($BJ250&lt;&gt;"Yes",$BJ250&lt;&gt;"N/A"),"Device ID, ","")&amp;IF(AND($BK250&lt;&gt;"Yes",$BK250&lt;&gt;"N/A"),"Epic Beans Relay, ",""))="","",LEFT(IF(AND($AW250&lt;&gt;"Yes",$AW250&lt;&gt;"N/A"),"Power Cable, ","")&amp;IF(AND($AX250&lt;&gt;"Yes",$AX250&lt;&gt;"N/A"),"Battery, ","")&amp;IF(AND($BE250&lt;&gt;"Yes",$BE250&lt;&gt;"N/A"),"Firmware Download, ","")&amp;IF(AND(OR($BE250="Yes",$BE250="N/A"),$BF250&lt;&gt;"Yes",$BF250&lt;&gt;"N/A"),"Firmware Install, ","")&amp;IF(AND($BJ250&lt;&gt;"Yes",$BJ250&lt;&gt;"N/A"),"Device ID, ","")&amp;IF(AND($BK250&lt;&gt;"Yes",$BK250&lt;&gt;"N/A"),"Epic Beans Relay, ",""),LEN(IF(AND($AW250&lt;&gt;"Yes",$AW250&lt;&gt;"N/A"),"Power Cable, ","")&amp;IF(AND($AX250&lt;&gt;"Yes",$AX250&lt;&gt;"N/A"),"Battery, ","")&amp;IF(AND($BE250&lt;&gt;"Yes",$BE250&lt;&gt;"N/A"),"Firmware Download, ","")&amp;IF(AND(OR($BE250="Yes",$BE250="N/A"),$BF250&lt;&gt;"Yes",$BF250&lt;&gt;"N/A"),"Firmware Install, ","")&amp;IF(AND($BJ250&lt;&gt;"Yes",$BJ250&lt;&gt;"N/A"),"Device ID, ","")&amp;IF(AND($BK250&lt;&gt;"Yes",$BK250&lt;&gt;"N/A"),"Epic Beans Relay, ",""))-2)))</f>
      </c>
      <c r="BM250">
        <f>IF($T250="","",IF($BL250="","Yes","Blocked"))</f>
      </c>
      <c r="BP250">
        <f>IF($BO250="","",IFERROR(VLOOKUP($BO250,'01_Warehouse_Ledger'!$A:$N,4,FALSE),""))</f>
      </c>
      <c r="BQ250">
        <f>IF($BO250="","",IFERROR(VLOOKUP($BO250,'01_Warehouse_Ledger'!$A:$N,5,FALSE),""))</f>
      </c>
      <c r="BR250">
        <f>IF($BO250="","",IFERROR(VLOOKUP($BO250,'01_Warehouse_Ledger'!$A:$N,13,FALSE),""))</f>
      </c>
    </row>
    <row r="251">
      <c r="D251">
        <f>IF($B251&lt;&gt;"Yes","",IF($C251="No","Yes",IF($C251="Yes","No","")))</f>
      </c>
      <c r="E251">
        <f>IF($A251="","",IF($A251="Neuron",IF(OR(AND($S251&lt;&gt;"",LOWER(TRIM($S251))&lt;&gt;"n/a",COUNTIF($S$2:$S$532,$S251)&gt;1),AND($T251&lt;&gt;"",LOWER(TRIM($T251))&lt;&gt;"n/a",COUNTIF($T$2:$T$532,$T251)&gt;1),AND($W251&lt;&gt;"",LOWER(TRIM($W251))&lt;&gt;"n/a",COUNTIF($W$2:$W$532,$W251)&gt;1)),"Yes","No"),IF($A251="Cybernet",IF(OR(AND($Y251&lt;&gt;"",LOWER(TRIM($Y251))&lt;&gt;"n/a",COUNTIF($Y$2:$Y$532,$Y251)&gt;1),AND($Z251&lt;&gt;"",LOWER(TRIM($Z251))&lt;&gt;"n/a",COUNTIF($Z$2:$Z$532,$Z251)&gt;1)),"Yes","No"),IF(AND($AL251&lt;&gt;"",LOWER(TRIM($AL251))&lt;&gt;"n/a",COUNTIF($AL$2:$AL$532,$AL251)&gt;1),"Yes","No"))))</f>
      </c>
      <c r="F251">
        <f>IF($B251&lt;&gt;"Yes","",
IF($A251="Neuron",
IF(OR(
AND($S251&lt;&gt;"",LOWER(TRIM($S251))&lt;&gt;"n/a",COUNTIFS($B$2:$B$532,"Yes",$A$2:$A$532,"Neuron",$S$2:$S$532,$S251)&gt;1),
AND($T251&lt;&gt;"",LOWER(TRIM($T251))&lt;&gt;"n/a",COUNTIFS($B$2:$B$532,"Yes",$A$2:$A$532,"Neuron",$T$2:$T$532,$T251)&gt;1),
AND($W251&lt;&gt;"",LOWER(TRIM($W251))&lt;&gt;"n/a",COUNTIFS($B$2:$B$532,"Yes",$A$2:$A$532,"Neuron",$W$2:$W$532,$W251)&gt;1)
),"Yes","No"),
IF($A251="Cybernet",
IF(OR(
AND($Y251&lt;&gt;"",LOWER(TRIM($Y251))&lt;&gt;"n/a",COUNTIFS($B$2:$B$532,"Yes",$A$2:$A$532,"Cybernet",$Y$2:$Y$532,$Y251)&gt;1),
AND($Z251&lt;&gt;"",LOWER(TRIM($Z251))&lt;&gt;"n/a",COUNTIFS($B$2:$B$532,"Yes",$A$2:$A$532,"Cybernet",$Z$2:$Z$532,$Z251)&gt;1)
),"Yes","No"),
IF(AND($AL251&lt;&gt;"",LOWER(TRIM($AL251))&lt;&gt;"n/a"),
IF(COUNTIFS($B$2:$B$532,"Yes",$A$2:$A$532,$A251,$AL$2:$AL$532,$AL251)&gt;1,"Yes","No"),
"No")
)
)
)</f>
      </c>
      <c r="BL251">
        <f>IF($T251="","",IF((IF(AND($AW251&lt;&gt;"Yes",$AW251&lt;&gt;"N/A"),"Power Cable, ","")&amp;IF(AND($AX251&lt;&gt;"Yes",$AX251&lt;&gt;"N/A"),"Battery, ","")&amp;IF(AND($BE251&lt;&gt;"Yes",$BE251&lt;&gt;"N/A"),"Firmware Download, ","")&amp;IF(AND(OR($BE251="Yes",$BE251="N/A"),$BF251&lt;&gt;"Yes",$BF251&lt;&gt;"N/A"),"Firmware Install, ","")&amp;IF(AND($BJ251&lt;&gt;"Yes",$BJ251&lt;&gt;"N/A"),"Device ID, ","")&amp;IF(AND($BK251&lt;&gt;"Yes",$BK251&lt;&gt;"N/A"),"Epic Beans Relay, ",""))="","",LEFT(IF(AND($AW251&lt;&gt;"Yes",$AW251&lt;&gt;"N/A"),"Power Cable, ","")&amp;IF(AND($AX251&lt;&gt;"Yes",$AX251&lt;&gt;"N/A"),"Battery, ","")&amp;IF(AND($BE251&lt;&gt;"Yes",$BE251&lt;&gt;"N/A"),"Firmware Download, ","")&amp;IF(AND(OR($BE251="Yes",$BE251="N/A"),$BF251&lt;&gt;"Yes",$BF251&lt;&gt;"N/A"),"Firmware Install, ","")&amp;IF(AND($BJ251&lt;&gt;"Yes",$BJ251&lt;&gt;"N/A"),"Device ID, ","")&amp;IF(AND($BK251&lt;&gt;"Yes",$BK251&lt;&gt;"N/A"),"Epic Beans Relay, ",""),LEN(IF(AND($AW251&lt;&gt;"Yes",$AW251&lt;&gt;"N/A"),"Power Cable, ","")&amp;IF(AND($AX251&lt;&gt;"Yes",$AX251&lt;&gt;"N/A"),"Battery, ","")&amp;IF(AND($BE251&lt;&gt;"Yes",$BE251&lt;&gt;"N/A"),"Firmware Download, ","")&amp;IF(AND(OR($BE251="Yes",$BE251="N/A"),$BF251&lt;&gt;"Yes",$BF251&lt;&gt;"N/A"),"Firmware Install, ","")&amp;IF(AND($BJ251&lt;&gt;"Yes",$BJ251&lt;&gt;"N/A"),"Device ID, ","")&amp;IF(AND($BK251&lt;&gt;"Yes",$BK251&lt;&gt;"N/A"),"Epic Beans Relay, ",""))-2)))</f>
      </c>
      <c r="BM251">
        <f>IF($T251="","",IF($BL251="","Yes","Blocked"))</f>
      </c>
      <c r="BP251">
        <f>IF($BO251="","",IFERROR(VLOOKUP($BO251,'01_Warehouse_Ledger'!$A:$N,4,FALSE),""))</f>
      </c>
      <c r="BQ251">
        <f>IF($BO251="","",IFERROR(VLOOKUP($BO251,'01_Warehouse_Ledger'!$A:$N,5,FALSE),""))</f>
      </c>
      <c r="BR251">
        <f>IF($BO251="","",IFERROR(VLOOKUP($BO251,'01_Warehouse_Ledger'!$A:$N,13,FALSE),""))</f>
      </c>
    </row>
    <row r="252">
      <c r="D252">
        <f>IF($B252&lt;&gt;"Yes","",IF($C252="No","Yes",IF($C252="Yes","No","")))</f>
      </c>
      <c r="E252">
        <f>IF($A252="","",IF($A252="Neuron",IF(OR(AND($S252&lt;&gt;"",LOWER(TRIM($S252))&lt;&gt;"n/a",COUNTIF($S$2:$S$532,$S252)&gt;1),AND($T252&lt;&gt;"",LOWER(TRIM($T252))&lt;&gt;"n/a",COUNTIF($T$2:$T$532,$T252)&gt;1),AND($W252&lt;&gt;"",LOWER(TRIM($W252))&lt;&gt;"n/a",COUNTIF($W$2:$W$532,$W252)&gt;1)),"Yes","No"),IF($A252="Cybernet",IF(OR(AND($Y252&lt;&gt;"",LOWER(TRIM($Y252))&lt;&gt;"n/a",COUNTIF($Y$2:$Y$532,$Y252)&gt;1),AND($Z252&lt;&gt;"",LOWER(TRIM($Z252))&lt;&gt;"n/a",COUNTIF($Z$2:$Z$532,$Z252)&gt;1)),"Yes","No"),IF(AND($AL252&lt;&gt;"",LOWER(TRIM($AL252))&lt;&gt;"n/a",COUNTIF($AL$2:$AL$532,$AL252)&gt;1),"Yes","No"))))</f>
      </c>
      <c r="F252">
        <f>IF($B252&lt;&gt;"Yes","",
IF($A252="Neuron",
IF(OR(
AND($S252&lt;&gt;"",LOWER(TRIM($S252))&lt;&gt;"n/a",COUNTIFS($B$2:$B$532,"Yes",$A$2:$A$532,"Neuron",$S$2:$S$532,$S252)&gt;1),
AND($T252&lt;&gt;"",LOWER(TRIM($T252))&lt;&gt;"n/a",COUNTIFS($B$2:$B$532,"Yes",$A$2:$A$532,"Neuron",$T$2:$T$532,$T252)&gt;1),
AND($W252&lt;&gt;"",LOWER(TRIM($W252))&lt;&gt;"n/a",COUNTIFS($B$2:$B$532,"Yes",$A$2:$A$532,"Neuron",$W$2:$W$532,$W252)&gt;1)
),"Yes","No"),
IF($A252="Cybernet",
IF(OR(
AND($Y252&lt;&gt;"",LOWER(TRIM($Y252))&lt;&gt;"n/a",COUNTIFS($B$2:$B$532,"Yes",$A$2:$A$532,"Cybernet",$Y$2:$Y$532,$Y252)&gt;1),
AND($Z252&lt;&gt;"",LOWER(TRIM($Z252))&lt;&gt;"n/a",COUNTIFS($B$2:$B$532,"Yes",$A$2:$A$532,"Cybernet",$Z$2:$Z$532,$Z252)&gt;1)
),"Yes","No"),
IF(AND($AL252&lt;&gt;"",LOWER(TRIM($AL252))&lt;&gt;"n/a"),
IF(COUNTIFS($B$2:$B$532,"Yes",$A$2:$A$532,$A252,$AL$2:$AL$532,$AL252)&gt;1,"Yes","No"),
"No")
)
)
)</f>
      </c>
      <c r="BL252">
        <f>IF($T252="","",IF((IF(AND($AW252&lt;&gt;"Yes",$AW252&lt;&gt;"N/A"),"Power Cable, ","")&amp;IF(AND($AX252&lt;&gt;"Yes",$AX252&lt;&gt;"N/A"),"Battery, ","")&amp;IF(AND($BE252&lt;&gt;"Yes",$BE252&lt;&gt;"N/A"),"Firmware Download, ","")&amp;IF(AND(OR($BE252="Yes",$BE252="N/A"),$BF252&lt;&gt;"Yes",$BF252&lt;&gt;"N/A"),"Firmware Install, ","")&amp;IF(AND($BJ252&lt;&gt;"Yes",$BJ252&lt;&gt;"N/A"),"Device ID, ","")&amp;IF(AND($BK252&lt;&gt;"Yes",$BK252&lt;&gt;"N/A"),"Epic Beans Relay, ",""))="","",LEFT(IF(AND($AW252&lt;&gt;"Yes",$AW252&lt;&gt;"N/A"),"Power Cable, ","")&amp;IF(AND($AX252&lt;&gt;"Yes",$AX252&lt;&gt;"N/A"),"Battery, ","")&amp;IF(AND($BE252&lt;&gt;"Yes",$BE252&lt;&gt;"N/A"),"Firmware Download, ","")&amp;IF(AND(OR($BE252="Yes",$BE252="N/A"),$BF252&lt;&gt;"Yes",$BF252&lt;&gt;"N/A"),"Firmware Install, ","")&amp;IF(AND($BJ252&lt;&gt;"Yes",$BJ252&lt;&gt;"N/A"),"Device ID, ","")&amp;IF(AND($BK252&lt;&gt;"Yes",$BK252&lt;&gt;"N/A"),"Epic Beans Relay, ",""),LEN(IF(AND($AW252&lt;&gt;"Yes",$AW252&lt;&gt;"N/A"),"Power Cable, ","")&amp;IF(AND($AX252&lt;&gt;"Yes",$AX252&lt;&gt;"N/A"),"Battery, ","")&amp;IF(AND($BE252&lt;&gt;"Yes",$BE252&lt;&gt;"N/A"),"Firmware Download, ","")&amp;IF(AND(OR($BE252="Yes",$BE252="N/A"),$BF252&lt;&gt;"Yes",$BF252&lt;&gt;"N/A"),"Firmware Install, ","")&amp;IF(AND($BJ252&lt;&gt;"Yes",$BJ252&lt;&gt;"N/A"),"Device ID, ","")&amp;IF(AND($BK252&lt;&gt;"Yes",$BK252&lt;&gt;"N/A"),"Epic Beans Relay, ",""))-2)))</f>
      </c>
      <c r="BM252">
        <f>IF($T252="","",IF($BL252="","Yes","Blocked"))</f>
      </c>
      <c r="BP252">
        <f>IF($BO252="","",IFERROR(VLOOKUP($BO252,'01_Warehouse_Ledger'!$A:$N,4,FALSE),""))</f>
      </c>
      <c r="BQ252">
        <f>IF($BO252="","",IFERROR(VLOOKUP($BO252,'01_Warehouse_Ledger'!$A:$N,5,FALSE),""))</f>
      </c>
      <c r="BR252">
        <f>IF($BO252="","",IFERROR(VLOOKUP($BO252,'01_Warehouse_Ledger'!$A:$N,13,FALSE),""))</f>
      </c>
    </row>
    <row r="253">
      <c r="D253">
        <f>IF($B253&lt;&gt;"Yes","",IF($C253="No","Yes",IF($C253="Yes","No","")))</f>
      </c>
      <c r="E253">
        <f>IF($A253="","",IF($A253="Neuron",IF(OR(AND($S253&lt;&gt;"",LOWER(TRIM($S253))&lt;&gt;"n/a",COUNTIF($S$2:$S$532,$S253)&gt;1),AND($T253&lt;&gt;"",LOWER(TRIM($T253))&lt;&gt;"n/a",COUNTIF($T$2:$T$532,$T253)&gt;1),AND($W253&lt;&gt;"",LOWER(TRIM($W253))&lt;&gt;"n/a",COUNTIF($W$2:$W$532,$W253)&gt;1)),"Yes","No"),IF($A253="Cybernet",IF(OR(AND($Y253&lt;&gt;"",LOWER(TRIM($Y253))&lt;&gt;"n/a",COUNTIF($Y$2:$Y$532,$Y253)&gt;1),AND($Z253&lt;&gt;"",LOWER(TRIM($Z253))&lt;&gt;"n/a",COUNTIF($Z$2:$Z$532,$Z253)&gt;1)),"Yes","No"),IF(AND($AL253&lt;&gt;"",LOWER(TRIM($AL253))&lt;&gt;"n/a",COUNTIF($AL$2:$AL$532,$AL253)&gt;1),"Yes","No"))))</f>
      </c>
      <c r="F253">
        <f>IF($B253&lt;&gt;"Yes","",
IF($A253="Neuron",
IF(OR(
AND($S253&lt;&gt;"",LOWER(TRIM($S253))&lt;&gt;"n/a",COUNTIFS($B$2:$B$532,"Yes",$A$2:$A$532,"Neuron",$S$2:$S$532,$S253)&gt;1),
AND($T253&lt;&gt;"",LOWER(TRIM($T253))&lt;&gt;"n/a",COUNTIFS($B$2:$B$532,"Yes",$A$2:$A$532,"Neuron",$T$2:$T$532,$T253)&gt;1),
AND($W253&lt;&gt;"",LOWER(TRIM($W253))&lt;&gt;"n/a",COUNTIFS($B$2:$B$532,"Yes",$A$2:$A$532,"Neuron",$W$2:$W$532,$W253)&gt;1)
),"Yes","No"),
IF($A253="Cybernet",
IF(OR(
AND($Y253&lt;&gt;"",LOWER(TRIM($Y253))&lt;&gt;"n/a",COUNTIFS($B$2:$B$532,"Yes",$A$2:$A$532,"Cybernet",$Y$2:$Y$532,$Y253)&gt;1),
AND($Z253&lt;&gt;"",LOWER(TRIM($Z253))&lt;&gt;"n/a",COUNTIFS($B$2:$B$532,"Yes",$A$2:$A$532,"Cybernet",$Z$2:$Z$532,$Z253)&gt;1)
),"Yes","No"),
IF(AND($AL253&lt;&gt;"",LOWER(TRIM($AL253))&lt;&gt;"n/a"),
IF(COUNTIFS($B$2:$B$532,"Yes",$A$2:$A$532,$A253,$AL$2:$AL$532,$AL253)&gt;1,"Yes","No"),
"No")
)
)
)</f>
      </c>
      <c r="BL253">
        <f>IF($T253="","",IF((IF(AND($AW253&lt;&gt;"Yes",$AW253&lt;&gt;"N/A"),"Power Cable, ","")&amp;IF(AND($AX253&lt;&gt;"Yes",$AX253&lt;&gt;"N/A"),"Battery, ","")&amp;IF(AND($BE253&lt;&gt;"Yes",$BE253&lt;&gt;"N/A"),"Firmware Download, ","")&amp;IF(AND(OR($BE253="Yes",$BE253="N/A"),$BF253&lt;&gt;"Yes",$BF253&lt;&gt;"N/A"),"Firmware Install, ","")&amp;IF(AND($BJ253&lt;&gt;"Yes",$BJ253&lt;&gt;"N/A"),"Device ID, ","")&amp;IF(AND($BK253&lt;&gt;"Yes",$BK253&lt;&gt;"N/A"),"Epic Beans Relay, ",""))="","",LEFT(IF(AND($AW253&lt;&gt;"Yes",$AW253&lt;&gt;"N/A"),"Power Cable, ","")&amp;IF(AND($AX253&lt;&gt;"Yes",$AX253&lt;&gt;"N/A"),"Battery, ","")&amp;IF(AND($BE253&lt;&gt;"Yes",$BE253&lt;&gt;"N/A"),"Firmware Download, ","")&amp;IF(AND(OR($BE253="Yes",$BE253="N/A"),$BF253&lt;&gt;"Yes",$BF253&lt;&gt;"N/A"),"Firmware Install, ","")&amp;IF(AND($BJ253&lt;&gt;"Yes",$BJ253&lt;&gt;"N/A"),"Device ID, ","")&amp;IF(AND($BK253&lt;&gt;"Yes",$BK253&lt;&gt;"N/A"),"Epic Beans Relay, ",""),LEN(IF(AND($AW253&lt;&gt;"Yes",$AW253&lt;&gt;"N/A"),"Power Cable, ","")&amp;IF(AND($AX253&lt;&gt;"Yes",$AX253&lt;&gt;"N/A"),"Battery, ","")&amp;IF(AND($BE253&lt;&gt;"Yes",$BE253&lt;&gt;"N/A"),"Firmware Download, ","")&amp;IF(AND(OR($BE253="Yes",$BE253="N/A"),$BF253&lt;&gt;"Yes",$BF253&lt;&gt;"N/A"),"Firmware Install, ","")&amp;IF(AND($BJ253&lt;&gt;"Yes",$BJ253&lt;&gt;"N/A"),"Device ID, ","")&amp;IF(AND($BK253&lt;&gt;"Yes",$BK253&lt;&gt;"N/A"),"Epic Beans Relay, ",""))-2)))</f>
      </c>
      <c r="BM253">
        <f>IF($T253="","",IF($BL253="","Yes","Blocked"))</f>
      </c>
      <c r="BP253">
        <f>IF($BO253="","",IFERROR(VLOOKUP($BO253,'01_Warehouse_Ledger'!$A:$N,4,FALSE),""))</f>
      </c>
      <c r="BQ253">
        <f>IF($BO253="","",IFERROR(VLOOKUP($BO253,'01_Warehouse_Ledger'!$A:$N,5,FALSE),""))</f>
      </c>
      <c r="BR253">
        <f>IF($BO253="","",IFERROR(VLOOKUP($BO253,'01_Warehouse_Ledger'!$A:$N,13,FALSE),""))</f>
      </c>
    </row>
    <row r="254">
      <c r="D254">
        <f>IF($B254&lt;&gt;"Yes","",IF($C254="No","Yes",IF($C254="Yes","No","")))</f>
      </c>
      <c r="E254">
        <f>IF($A254="","",IF($A254="Neuron",IF(OR(AND($S254&lt;&gt;"",LOWER(TRIM($S254))&lt;&gt;"n/a",COUNTIF($S$2:$S$532,$S254)&gt;1),AND($T254&lt;&gt;"",LOWER(TRIM($T254))&lt;&gt;"n/a",COUNTIF($T$2:$T$532,$T254)&gt;1),AND($W254&lt;&gt;"",LOWER(TRIM($W254))&lt;&gt;"n/a",COUNTIF($W$2:$W$532,$W254)&gt;1)),"Yes","No"),IF($A254="Cybernet",IF(OR(AND($Y254&lt;&gt;"",LOWER(TRIM($Y254))&lt;&gt;"n/a",COUNTIF($Y$2:$Y$532,$Y254)&gt;1),AND($Z254&lt;&gt;"",LOWER(TRIM($Z254))&lt;&gt;"n/a",COUNTIF($Z$2:$Z$532,$Z254)&gt;1)),"Yes","No"),IF(AND($AL254&lt;&gt;"",LOWER(TRIM($AL254))&lt;&gt;"n/a",COUNTIF($AL$2:$AL$532,$AL254)&gt;1),"Yes","No"))))</f>
      </c>
      <c r="F254">
        <f>IF($B254&lt;&gt;"Yes","",
IF($A254="Neuron",
IF(OR(
AND($S254&lt;&gt;"",LOWER(TRIM($S254))&lt;&gt;"n/a",COUNTIFS($B$2:$B$532,"Yes",$A$2:$A$532,"Neuron",$S$2:$S$532,$S254)&gt;1),
AND($T254&lt;&gt;"",LOWER(TRIM($T254))&lt;&gt;"n/a",COUNTIFS($B$2:$B$532,"Yes",$A$2:$A$532,"Neuron",$T$2:$T$532,$T254)&gt;1),
AND($W254&lt;&gt;"",LOWER(TRIM($W254))&lt;&gt;"n/a",COUNTIFS($B$2:$B$532,"Yes",$A$2:$A$532,"Neuron",$W$2:$W$532,$W254)&gt;1)
),"Yes","No"),
IF($A254="Cybernet",
IF(OR(
AND($Y254&lt;&gt;"",LOWER(TRIM($Y254))&lt;&gt;"n/a",COUNTIFS($B$2:$B$532,"Yes",$A$2:$A$532,"Cybernet",$Y$2:$Y$532,$Y254)&gt;1),
AND($Z254&lt;&gt;"",LOWER(TRIM($Z254))&lt;&gt;"n/a",COUNTIFS($B$2:$B$532,"Yes",$A$2:$A$532,"Cybernet",$Z$2:$Z$532,$Z254)&gt;1)
),"Yes","No"),
IF(AND($AL254&lt;&gt;"",LOWER(TRIM($AL254))&lt;&gt;"n/a"),
IF(COUNTIFS($B$2:$B$532,"Yes",$A$2:$A$532,$A254,$AL$2:$AL$532,$AL254)&gt;1,"Yes","No"),
"No")
)
)
)</f>
      </c>
      <c r="BL254">
        <f>IF($T254="","",IF((IF(AND($AW254&lt;&gt;"Yes",$AW254&lt;&gt;"N/A"),"Power Cable, ","")&amp;IF(AND($AX254&lt;&gt;"Yes",$AX254&lt;&gt;"N/A"),"Battery, ","")&amp;IF(AND($BE254&lt;&gt;"Yes",$BE254&lt;&gt;"N/A"),"Firmware Download, ","")&amp;IF(AND(OR($BE254="Yes",$BE254="N/A"),$BF254&lt;&gt;"Yes",$BF254&lt;&gt;"N/A"),"Firmware Install, ","")&amp;IF(AND($BJ254&lt;&gt;"Yes",$BJ254&lt;&gt;"N/A"),"Device ID, ","")&amp;IF(AND($BK254&lt;&gt;"Yes",$BK254&lt;&gt;"N/A"),"Epic Beans Relay, ",""))="","",LEFT(IF(AND($AW254&lt;&gt;"Yes",$AW254&lt;&gt;"N/A"),"Power Cable, ","")&amp;IF(AND($AX254&lt;&gt;"Yes",$AX254&lt;&gt;"N/A"),"Battery, ","")&amp;IF(AND($BE254&lt;&gt;"Yes",$BE254&lt;&gt;"N/A"),"Firmware Download, ","")&amp;IF(AND(OR($BE254="Yes",$BE254="N/A"),$BF254&lt;&gt;"Yes",$BF254&lt;&gt;"N/A"),"Firmware Install, ","")&amp;IF(AND($BJ254&lt;&gt;"Yes",$BJ254&lt;&gt;"N/A"),"Device ID, ","")&amp;IF(AND($BK254&lt;&gt;"Yes",$BK254&lt;&gt;"N/A"),"Epic Beans Relay, ",""),LEN(IF(AND($AW254&lt;&gt;"Yes",$AW254&lt;&gt;"N/A"),"Power Cable, ","")&amp;IF(AND($AX254&lt;&gt;"Yes",$AX254&lt;&gt;"N/A"),"Battery, ","")&amp;IF(AND($BE254&lt;&gt;"Yes",$BE254&lt;&gt;"N/A"),"Firmware Download, ","")&amp;IF(AND(OR($BE254="Yes",$BE254="N/A"),$BF254&lt;&gt;"Yes",$BF254&lt;&gt;"N/A"),"Firmware Install, ","")&amp;IF(AND($BJ254&lt;&gt;"Yes",$BJ254&lt;&gt;"N/A"),"Device ID, ","")&amp;IF(AND($BK254&lt;&gt;"Yes",$BK254&lt;&gt;"N/A"),"Epic Beans Relay, ",""))-2)))</f>
      </c>
      <c r="BM254">
        <f>IF($T254="","",IF($BL254="","Yes","Blocked"))</f>
      </c>
      <c r="BP254">
        <f>IF($BO254="","",IFERROR(VLOOKUP($BO254,'01_Warehouse_Ledger'!$A:$N,4,FALSE),""))</f>
      </c>
      <c r="BQ254">
        <f>IF($BO254="","",IFERROR(VLOOKUP($BO254,'01_Warehouse_Ledger'!$A:$N,5,FALSE),""))</f>
      </c>
      <c r="BR254">
        <f>IF($BO254="","",IFERROR(VLOOKUP($BO254,'01_Warehouse_Ledger'!$A:$N,13,FALSE),""))</f>
      </c>
    </row>
    <row r="255">
      <c r="D255">
        <f>IF($B255&lt;&gt;"Yes","",IF($C255="No","Yes",IF($C255="Yes","No","")))</f>
      </c>
      <c r="E255">
        <f>IF($A255="","",IF($A255="Neuron",IF(OR(AND($S255&lt;&gt;"",LOWER(TRIM($S255))&lt;&gt;"n/a",COUNTIF($S$2:$S$532,$S255)&gt;1),AND($T255&lt;&gt;"",LOWER(TRIM($T255))&lt;&gt;"n/a",COUNTIF($T$2:$T$532,$T255)&gt;1),AND($W255&lt;&gt;"",LOWER(TRIM($W255))&lt;&gt;"n/a",COUNTIF($W$2:$W$532,$W255)&gt;1)),"Yes","No"),IF($A255="Cybernet",IF(OR(AND($Y255&lt;&gt;"",LOWER(TRIM($Y255))&lt;&gt;"n/a",COUNTIF($Y$2:$Y$532,$Y255)&gt;1),AND($Z255&lt;&gt;"",LOWER(TRIM($Z255))&lt;&gt;"n/a",COUNTIF($Z$2:$Z$532,$Z255)&gt;1)),"Yes","No"),IF(AND($AL255&lt;&gt;"",LOWER(TRIM($AL255))&lt;&gt;"n/a",COUNTIF($AL$2:$AL$532,$AL255)&gt;1),"Yes","No"))))</f>
      </c>
      <c r="F255">
        <f>IF($B255&lt;&gt;"Yes","",
IF($A255="Neuron",
IF(OR(
AND($S255&lt;&gt;"",LOWER(TRIM($S255))&lt;&gt;"n/a",COUNTIFS($B$2:$B$532,"Yes",$A$2:$A$532,"Neuron",$S$2:$S$532,$S255)&gt;1),
AND($T255&lt;&gt;"",LOWER(TRIM($T255))&lt;&gt;"n/a",COUNTIFS($B$2:$B$532,"Yes",$A$2:$A$532,"Neuron",$T$2:$T$532,$T255)&gt;1),
AND($W255&lt;&gt;"",LOWER(TRIM($W255))&lt;&gt;"n/a",COUNTIFS($B$2:$B$532,"Yes",$A$2:$A$532,"Neuron",$W$2:$W$532,$W255)&gt;1)
),"Yes","No"),
IF($A255="Cybernet",
IF(OR(
AND($Y255&lt;&gt;"",LOWER(TRIM($Y255))&lt;&gt;"n/a",COUNTIFS($B$2:$B$532,"Yes",$A$2:$A$532,"Cybernet",$Y$2:$Y$532,$Y255)&gt;1),
AND($Z255&lt;&gt;"",LOWER(TRIM($Z255))&lt;&gt;"n/a",COUNTIFS($B$2:$B$532,"Yes",$A$2:$A$532,"Cybernet",$Z$2:$Z$532,$Z255)&gt;1)
),"Yes","No"),
IF(AND($AL255&lt;&gt;"",LOWER(TRIM($AL255))&lt;&gt;"n/a"),
IF(COUNTIFS($B$2:$B$532,"Yes",$A$2:$A$532,$A255,$AL$2:$AL$532,$AL255)&gt;1,"Yes","No"),
"No")
)
)
)</f>
      </c>
      <c r="BL255">
        <f>IF($T255="","",IF((IF(AND($AW255&lt;&gt;"Yes",$AW255&lt;&gt;"N/A"),"Power Cable, ","")&amp;IF(AND($AX255&lt;&gt;"Yes",$AX255&lt;&gt;"N/A"),"Battery, ","")&amp;IF(AND($BE255&lt;&gt;"Yes",$BE255&lt;&gt;"N/A"),"Firmware Download, ","")&amp;IF(AND(OR($BE255="Yes",$BE255="N/A"),$BF255&lt;&gt;"Yes",$BF255&lt;&gt;"N/A"),"Firmware Install, ","")&amp;IF(AND($BJ255&lt;&gt;"Yes",$BJ255&lt;&gt;"N/A"),"Device ID, ","")&amp;IF(AND($BK255&lt;&gt;"Yes",$BK255&lt;&gt;"N/A"),"Epic Beans Relay, ",""))="","",LEFT(IF(AND($AW255&lt;&gt;"Yes",$AW255&lt;&gt;"N/A"),"Power Cable, ","")&amp;IF(AND($AX255&lt;&gt;"Yes",$AX255&lt;&gt;"N/A"),"Battery, ","")&amp;IF(AND($BE255&lt;&gt;"Yes",$BE255&lt;&gt;"N/A"),"Firmware Download, ","")&amp;IF(AND(OR($BE255="Yes",$BE255="N/A"),$BF255&lt;&gt;"Yes",$BF255&lt;&gt;"N/A"),"Firmware Install, ","")&amp;IF(AND($BJ255&lt;&gt;"Yes",$BJ255&lt;&gt;"N/A"),"Device ID, ","")&amp;IF(AND($BK255&lt;&gt;"Yes",$BK255&lt;&gt;"N/A"),"Epic Beans Relay, ",""),LEN(IF(AND($AW255&lt;&gt;"Yes",$AW255&lt;&gt;"N/A"),"Power Cable, ","")&amp;IF(AND($AX255&lt;&gt;"Yes",$AX255&lt;&gt;"N/A"),"Battery, ","")&amp;IF(AND($BE255&lt;&gt;"Yes",$BE255&lt;&gt;"N/A"),"Firmware Download, ","")&amp;IF(AND(OR($BE255="Yes",$BE255="N/A"),$BF255&lt;&gt;"Yes",$BF255&lt;&gt;"N/A"),"Firmware Install, ","")&amp;IF(AND($BJ255&lt;&gt;"Yes",$BJ255&lt;&gt;"N/A"),"Device ID, ","")&amp;IF(AND($BK255&lt;&gt;"Yes",$BK255&lt;&gt;"N/A"),"Epic Beans Relay, ",""))-2)))</f>
      </c>
      <c r="BM255">
        <f>IF($T255="","",IF($BL255="","Yes","Blocked"))</f>
      </c>
      <c r="BP255">
        <f>IF($BO255="","",IFERROR(VLOOKUP($BO255,'01_Warehouse_Ledger'!$A:$N,4,FALSE),""))</f>
      </c>
      <c r="BQ255">
        <f>IF($BO255="","",IFERROR(VLOOKUP($BO255,'01_Warehouse_Ledger'!$A:$N,5,FALSE),""))</f>
      </c>
      <c r="BR255">
        <f>IF($BO255="","",IFERROR(VLOOKUP($BO255,'01_Warehouse_Ledger'!$A:$N,13,FALSE),""))</f>
      </c>
    </row>
    <row r="256">
      <c r="D256">
        <f>IF($B256&lt;&gt;"Yes","",IF($C256="No","Yes",IF($C256="Yes","No","")))</f>
      </c>
      <c r="E256">
        <f>IF($A256="","",IF($A256="Neuron",IF(OR(AND($S256&lt;&gt;"",LOWER(TRIM($S256))&lt;&gt;"n/a",COUNTIF($S$2:$S$532,$S256)&gt;1),AND($T256&lt;&gt;"",LOWER(TRIM($T256))&lt;&gt;"n/a",COUNTIF($T$2:$T$532,$T256)&gt;1),AND($W256&lt;&gt;"",LOWER(TRIM($W256))&lt;&gt;"n/a",COUNTIF($W$2:$W$532,$W256)&gt;1)),"Yes","No"),IF($A256="Cybernet",IF(OR(AND($Y256&lt;&gt;"",LOWER(TRIM($Y256))&lt;&gt;"n/a",COUNTIF($Y$2:$Y$532,$Y256)&gt;1),AND($Z256&lt;&gt;"",LOWER(TRIM($Z256))&lt;&gt;"n/a",COUNTIF($Z$2:$Z$532,$Z256)&gt;1)),"Yes","No"),IF(AND($AL256&lt;&gt;"",LOWER(TRIM($AL256))&lt;&gt;"n/a",COUNTIF($AL$2:$AL$532,$AL256)&gt;1),"Yes","No"))))</f>
      </c>
      <c r="F256">
        <f>IF($B256&lt;&gt;"Yes","",
IF($A256="Neuron",
IF(OR(
AND($S256&lt;&gt;"",LOWER(TRIM($S256))&lt;&gt;"n/a",COUNTIFS($B$2:$B$532,"Yes",$A$2:$A$532,"Neuron",$S$2:$S$532,$S256)&gt;1),
AND($T256&lt;&gt;"",LOWER(TRIM($T256))&lt;&gt;"n/a",COUNTIFS($B$2:$B$532,"Yes",$A$2:$A$532,"Neuron",$T$2:$T$532,$T256)&gt;1),
AND($W256&lt;&gt;"",LOWER(TRIM($W256))&lt;&gt;"n/a",COUNTIFS($B$2:$B$532,"Yes",$A$2:$A$532,"Neuron",$W$2:$W$532,$W256)&gt;1)
),"Yes","No"),
IF($A256="Cybernet",
IF(OR(
AND($Y256&lt;&gt;"",LOWER(TRIM($Y256))&lt;&gt;"n/a",COUNTIFS($B$2:$B$532,"Yes",$A$2:$A$532,"Cybernet",$Y$2:$Y$532,$Y256)&gt;1),
AND($Z256&lt;&gt;"",LOWER(TRIM($Z256))&lt;&gt;"n/a",COUNTIFS($B$2:$B$532,"Yes",$A$2:$A$532,"Cybernet",$Z$2:$Z$532,$Z256)&gt;1)
),"Yes","No"),
IF(AND($AL256&lt;&gt;"",LOWER(TRIM($AL256))&lt;&gt;"n/a"),
IF(COUNTIFS($B$2:$B$532,"Yes",$A$2:$A$532,$A256,$AL$2:$AL$532,$AL256)&gt;1,"Yes","No"),
"No")
)
)
)</f>
      </c>
      <c r="BL256">
        <f>IF($T256="","",IF((IF(AND($AW256&lt;&gt;"Yes",$AW256&lt;&gt;"N/A"),"Power Cable, ","")&amp;IF(AND($AX256&lt;&gt;"Yes",$AX256&lt;&gt;"N/A"),"Battery, ","")&amp;IF(AND($BE256&lt;&gt;"Yes",$BE256&lt;&gt;"N/A"),"Firmware Download, ","")&amp;IF(AND(OR($BE256="Yes",$BE256="N/A"),$BF256&lt;&gt;"Yes",$BF256&lt;&gt;"N/A"),"Firmware Install, ","")&amp;IF(AND($BJ256&lt;&gt;"Yes",$BJ256&lt;&gt;"N/A"),"Device ID, ","")&amp;IF(AND($BK256&lt;&gt;"Yes",$BK256&lt;&gt;"N/A"),"Epic Beans Relay, ",""))="","",LEFT(IF(AND($AW256&lt;&gt;"Yes",$AW256&lt;&gt;"N/A"),"Power Cable, ","")&amp;IF(AND($AX256&lt;&gt;"Yes",$AX256&lt;&gt;"N/A"),"Battery, ","")&amp;IF(AND($BE256&lt;&gt;"Yes",$BE256&lt;&gt;"N/A"),"Firmware Download, ","")&amp;IF(AND(OR($BE256="Yes",$BE256="N/A"),$BF256&lt;&gt;"Yes",$BF256&lt;&gt;"N/A"),"Firmware Install, ","")&amp;IF(AND($BJ256&lt;&gt;"Yes",$BJ256&lt;&gt;"N/A"),"Device ID, ","")&amp;IF(AND($BK256&lt;&gt;"Yes",$BK256&lt;&gt;"N/A"),"Epic Beans Relay, ",""),LEN(IF(AND($AW256&lt;&gt;"Yes",$AW256&lt;&gt;"N/A"),"Power Cable, ","")&amp;IF(AND($AX256&lt;&gt;"Yes",$AX256&lt;&gt;"N/A"),"Battery, ","")&amp;IF(AND($BE256&lt;&gt;"Yes",$BE256&lt;&gt;"N/A"),"Firmware Download, ","")&amp;IF(AND(OR($BE256="Yes",$BE256="N/A"),$BF256&lt;&gt;"Yes",$BF256&lt;&gt;"N/A"),"Firmware Install, ","")&amp;IF(AND($BJ256&lt;&gt;"Yes",$BJ256&lt;&gt;"N/A"),"Device ID, ","")&amp;IF(AND($BK256&lt;&gt;"Yes",$BK256&lt;&gt;"N/A"),"Epic Beans Relay, ",""))-2)))</f>
      </c>
      <c r="BM256">
        <f>IF($T256="","",IF($BL256="","Yes","Blocked"))</f>
      </c>
      <c r="BP256">
        <f>IF($BO256="","",IFERROR(VLOOKUP($BO256,'01_Warehouse_Ledger'!$A:$N,4,FALSE),""))</f>
      </c>
      <c r="BQ256">
        <f>IF($BO256="","",IFERROR(VLOOKUP($BO256,'01_Warehouse_Ledger'!$A:$N,5,FALSE),""))</f>
      </c>
      <c r="BR256">
        <f>IF($BO256="","",IFERROR(VLOOKUP($BO256,'01_Warehouse_Ledger'!$A:$N,13,FALSE),""))</f>
      </c>
    </row>
    <row r="257">
      <c r="D257">
        <f>IF($B257&lt;&gt;"Yes","",IF($C257="No","Yes",IF($C257="Yes","No","")))</f>
      </c>
      <c r="E257">
        <f>IF($A257="","",IF($A257="Neuron",IF(OR(AND($S257&lt;&gt;"",LOWER(TRIM($S257))&lt;&gt;"n/a",COUNTIF($S$2:$S$532,$S257)&gt;1),AND($T257&lt;&gt;"",LOWER(TRIM($T257))&lt;&gt;"n/a",COUNTIF($T$2:$T$532,$T257)&gt;1),AND($W257&lt;&gt;"",LOWER(TRIM($W257))&lt;&gt;"n/a",COUNTIF($W$2:$W$532,$W257)&gt;1)),"Yes","No"),IF($A257="Cybernet",IF(OR(AND($Y257&lt;&gt;"",LOWER(TRIM($Y257))&lt;&gt;"n/a",COUNTIF($Y$2:$Y$532,$Y257)&gt;1),AND($Z257&lt;&gt;"",LOWER(TRIM($Z257))&lt;&gt;"n/a",COUNTIF($Z$2:$Z$532,$Z257)&gt;1)),"Yes","No"),IF(AND($AL257&lt;&gt;"",LOWER(TRIM($AL257))&lt;&gt;"n/a",COUNTIF($AL$2:$AL$532,$AL257)&gt;1),"Yes","No"))))</f>
      </c>
      <c r="F257">
        <f>IF($B257&lt;&gt;"Yes","",
IF($A257="Neuron",
IF(OR(
AND($S257&lt;&gt;"",LOWER(TRIM($S257))&lt;&gt;"n/a",COUNTIFS($B$2:$B$532,"Yes",$A$2:$A$532,"Neuron",$S$2:$S$532,$S257)&gt;1),
AND($T257&lt;&gt;"",LOWER(TRIM($T257))&lt;&gt;"n/a",COUNTIFS($B$2:$B$532,"Yes",$A$2:$A$532,"Neuron",$T$2:$T$532,$T257)&gt;1),
AND($W257&lt;&gt;"",LOWER(TRIM($W257))&lt;&gt;"n/a",COUNTIFS($B$2:$B$532,"Yes",$A$2:$A$532,"Neuron",$W$2:$W$532,$W257)&gt;1)
),"Yes","No"),
IF($A257="Cybernet",
IF(OR(
AND($Y257&lt;&gt;"",LOWER(TRIM($Y257))&lt;&gt;"n/a",COUNTIFS($B$2:$B$532,"Yes",$A$2:$A$532,"Cybernet",$Y$2:$Y$532,$Y257)&gt;1),
AND($Z257&lt;&gt;"",LOWER(TRIM($Z257))&lt;&gt;"n/a",COUNTIFS($B$2:$B$532,"Yes",$A$2:$A$532,"Cybernet",$Z$2:$Z$532,$Z257)&gt;1)
),"Yes","No"),
IF(AND($AL257&lt;&gt;"",LOWER(TRIM($AL257))&lt;&gt;"n/a"),
IF(COUNTIFS($B$2:$B$532,"Yes",$A$2:$A$532,$A257,$AL$2:$AL$532,$AL257)&gt;1,"Yes","No"),
"No")
)
)
)</f>
      </c>
      <c r="BL257">
        <f>IF($T257="","",IF((IF(AND($AW257&lt;&gt;"Yes",$AW257&lt;&gt;"N/A"),"Power Cable, ","")&amp;IF(AND($AX257&lt;&gt;"Yes",$AX257&lt;&gt;"N/A"),"Battery, ","")&amp;IF(AND($BE257&lt;&gt;"Yes",$BE257&lt;&gt;"N/A"),"Firmware Download, ","")&amp;IF(AND(OR($BE257="Yes",$BE257="N/A"),$BF257&lt;&gt;"Yes",$BF257&lt;&gt;"N/A"),"Firmware Install, ","")&amp;IF(AND($BJ257&lt;&gt;"Yes",$BJ257&lt;&gt;"N/A"),"Device ID, ","")&amp;IF(AND($BK257&lt;&gt;"Yes",$BK257&lt;&gt;"N/A"),"Epic Beans Relay, ",""))="","",LEFT(IF(AND($AW257&lt;&gt;"Yes",$AW257&lt;&gt;"N/A"),"Power Cable, ","")&amp;IF(AND($AX257&lt;&gt;"Yes",$AX257&lt;&gt;"N/A"),"Battery, ","")&amp;IF(AND($BE257&lt;&gt;"Yes",$BE257&lt;&gt;"N/A"),"Firmware Download, ","")&amp;IF(AND(OR($BE257="Yes",$BE257="N/A"),$BF257&lt;&gt;"Yes",$BF257&lt;&gt;"N/A"),"Firmware Install, ","")&amp;IF(AND($BJ257&lt;&gt;"Yes",$BJ257&lt;&gt;"N/A"),"Device ID, ","")&amp;IF(AND($BK257&lt;&gt;"Yes",$BK257&lt;&gt;"N/A"),"Epic Beans Relay, ",""),LEN(IF(AND($AW257&lt;&gt;"Yes",$AW257&lt;&gt;"N/A"),"Power Cable, ","")&amp;IF(AND($AX257&lt;&gt;"Yes",$AX257&lt;&gt;"N/A"),"Battery, ","")&amp;IF(AND($BE257&lt;&gt;"Yes",$BE257&lt;&gt;"N/A"),"Firmware Download, ","")&amp;IF(AND(OR($BE257="Yes",$BE257="N/A"),$BF257&lt;&gt;"Yes",$BF257&lt;&gt;"N/A"),"Firmware Install, ","")&amp;IF(AND($BJ257&lt;&gt;"Yes",$BJ257&lt;&gt;"N/A"),"Device ID, ","")&amp;IF(AND($BK257&lt;&gt;"Yes",$BK257&lt;&gt;"N/A"),"Epic Beans Relay, ",""))-2)))</f>
      </c>
      <c r="BM257">
        <f>IF($T257="","",IF($BL257="","Yes","Blocked"))</f>
      </c>
      <c r="BP257">
        <f>IF($BO257="","",IFERROR(VLOOKUP($BO257,'01_Warehouse_Ledger'!$A:$N,4,FALSE),""))</f>
      </c>
      <c r="BQ257">
        <f>IF($BO257="","",IFERROR(VLOOKUP($BO257,'01_Warehouse_Ledger'!$A:$N,5,FALSE),""))</f>
      </c>
      <c r="BR257">
        <f>IF($BO257="","",IFERROR(VLOOKUP($BO257,'01_Warehouse_Ledger'!$A:$N,13,FALSE),""))</f>
      </c>
    </row>
    <row r="258">
      <c r="D258">
        <f>IF($B258&lt;&gt;"Yes","",IF($C258="No","Yes",IF($C258="Yes","No","")))</f>
      </c>
      <c r="E258">
        <f>IF($A258="","",IF($A258="Neuron",IF(OR(AND($S258&lt;&gt;"",LOWER(TRIM($S258))&lt;&gt;"n/a",COUNTIF($S$2:$S$532,$S258)&gt;1),AND($T258&lt;&gt;"",LOWER(TRIM($T258))&lt;&gt;"n/a",COUNTIF($T$2:$T$532,$T258)&gt;1),AND($W258&lt;&gt;"",LOWER(TRIM($W258))&lt;&gt;"n/a",COUNTIF($W$2:$W$532,$W258)&gt;1)),"Yes","No"),IF($A258="Cybernet",IF(OR(AND($Y258&lt;&gt;"",LOWER(TRIM($Y258))&lt;&gt;"n/a",COUNTIF($Y$2:$Y$532,$Y258)&gt;1),AND($Z258&lt;&gt;"",LOWER(TRIM($Z258))&lt;&gt;"n/a",COUNTIF($Z$2:$Z$532,$Z258)&gt;1)),"Yes","No"),IF(AND($AL258&lt;&gt;"",LOWER(TRIM($AL258))&lt;&gt;"n/a",COUNTIF($AL$2:$AL$532,$AL258)&gt;1),"Yes","No"))))</f>
      </c>
      <c r="F258">
        <f>IF($B258&lt;&gt;"Yes","",
IF($A258="Neuron",
IF(OR(
AND($S258&lt;&gt;"",LOWER(TRIM($S258))&lt;&gt;"n/a",COUNTIFS($B$2:$B$532,"Yes",$A$2:$A$532,"Neuron",$S$2:$S$532,$S258)&gt;1),
AND($T258&lt;&gt;"",LOWER(TRIM($T258))&lt;&gt;"n/a",COUNTIFS($B$2:$B$532,"Yes",$A$2:$A$532,"Neuron",$T$2:$T$532,$T258)&gt;1),
AND($W258&lt;&gt;"",LOWER(TRIM($W258))&lt;&gt;"n/a",COUNTIFS($B$2:$B$532,"Yes",$A$2:$A$532,"Neuron",$W$2:$W$532,$W258)&gt;1)
),"Yes","No"),
IF($A258="Cybernet",
IF(OR(
AND($Y258&lt;&gt;"",LOWER(TRIM($Y258))&lt;&gt;"n/a",COUNTIFS($B$2:$B$532,"Yes",$A$2:$A$532,"Cybernet",$Y$2:$Y$532,$Y258)&gt;1),
AND($Z258&lt;&gt;"",LOWER(TRIM($Z258))&lt;&gt;"n/a",COUNTIFS($B$2:$B$532,"Yes",$A$2:$A$532,"Cybernet",$Z$2:$Z$532,$Z258)&gt;1)
),"Yes","No"),
IF(AND($AL258&lt;&gt;"",LOWER(TRIM($AL258))&lt;&gt;"n/a"),
IF(COUNTIFS($B$2:$B$532,"Yes",$A$2:$A$532,$A258,$AL$2:$AL$532,$AL258)&gt;1,"Yes","No"),
"No")
)
)
)</f>
      </c>
      <c r="BL258">
        <f>IF($T258="","",IF((IF(AND($AW258&lt;&gt;"Yes",$AW258&lt;&gt;"N/A"),"Power Cable, ","")&amp;IF(AND($AX258&lt;&gt;"Yes",$AX258&lt;&gt;"N/A"),"Battery, ","")&amp;IF(AND($BE258&lt;&gt;"Yes",$BE258&lt;&gt;"N/A"),"Firmware Download, ","")&amp;IF(AND(OR($BE258="Yes",$BE258="N/A"),$BF258&lt;&gt;"Yes",$BF258&lt;&gt;"N/A"),"Firmware Install, ","")&amp;IF(AND($BJ258&lt;&gt;"Yes",$BJ258&lt;&gt;"N/A"),"Device ID, ","")&amp;IF(AND($BK258&lt;&gt;"Yes",$BK258&lt;&gt;"N/A"),"Epic Beans Relay, ",""))="","",LEFT(IF(AND($AW258&lt;&gt;"Yes",$AW258&lt;&gt;"N/A"),"Power Cable, ","")&amp;IF(AND($AX258&lt;&gt;"Yes",$AX258&lt;&gt;"N/A"),"Battery, ","")&amp;IF(AND($BE258&lt;&gt;"Yes",$BE258&lt;&gt;"N/A"),"Firmware Download, ","")&amp;IF(AND(OR($BE258="Yes",$BE258="N/A"),$BF258&lt;&gt;"Yes",$BF258&lt;&gt;"N/A"),"Firmware Install, ","")&amp;IF(AND($BJ258&lt;&gt;"Yes",$BJ258&lt;&gt;"N/A"),"Device ID, ","")&amp;IF(AND($BK258&lt;&gt;"Yes",$BK258&lt;&gt;"N/A"),"Epic Beans Relay, ",""),LEN(IF(AND($AW258&lt;&gt;"Yes",$AW258&lt;&gt;"N/A"),"Power Cable, ","")&amp;IF(AND($AX258&lt;&gt;"Yes",$AX258&lt;&gt;"N/A"),"Battery, ","")&amp;IF(AND($BE258&lt;&gt;"Yes",$BE258&lt;&gt;"N/A"),"Firmware Download, ","")&amp;IF(AND(OR($BE258="Yes",$BE258="N/A"),$BF258&lt;&gt;"Yes",$BF258&lt;&gt;"N/A"),"Firmware Install, ","")&amp;IF(AND($BJ258&lt;&gt;"Yes",$BJ258&lt;&gt;"N/A"),"Device ID, ","")&amp;IF(AND($BK258&lt;&gt;"Yes",$BK258&lt;&gt;"N/A"),"Epic Beans Relay, ",""))-2)))</f>
      </c>
      <c r="BM258">
        <f>IF($T258="","",IF($BL258="","Yes","Blocked"))</f>
      </c>
      <c r="BP258">
        <f>IF($BO258="","",IFERROR(VLOOKUP($BO258,'01_Warehouse_Ledger'!$A:$N,4,FALSE),""))</f>
      </c>
      <c r="BQ258">
        <f>IF($BO258="","",IFERROR(VLOOKUP($BO258,'01_Warehouse_Ledger'!$A:$N,5,FALSE),""))</f>
      </c>
      <c r="BR258">
        <f>IF($BO258="","",IFERROR(VLOOKUP($BO258,'01_Warehouse_Ledger'!$A:$N,13,FALSE),""))</f>
      </c>
    </row>
    <row r="259">
      <c r="D259">
        <f>IF($B259&lt;&gt;"Yes","",IF($C259="No","Yes",IF($C259="Yes","No","")))</f>
      </c>
      <c r="E259">
        <f>IF($A259="","",IF($A259="Neuron",IF(OR(AND($S259&lt;&gt;"",LOWER(TRIM($S259))&lt;&gt;"n/a",COUNTIF($S$2:$S$532,$S259)&gt;1),AND($T259&lt;&gt;"",LOWER(TRIM($T259))&lt;&gt;"n/a",COUNTIF($T$2:$T$532,$T259)&gt;1),AND($W259&lt;&gt;"",LOWER(TRIM($W259))&lt;&gt;"n/a",COUNTIF($W$2:$W$532,$W259)&gt;1)),"Yes","No"),IF($A259="Cybernet",IF(OR(AND($Y259&lt;&gt;"",LOWER(TRIM($Y259))&lt;&gt;"n/a",COUNTIF($Y$2:$Y$532,$Y259)&gt;1),AND($Z259&lt;&gt;"",LOWER(TRIM($Z259))&lt;&gt;"n/a",COUNTIF($Z$2:$Z$532,$Z259)&gt;1)),"Yes","No"),IF(AND($AL259&lt;&gt;"",LOWER(TRIM($AL259))&lt;&gt;"n/a",COUNTIF($AL$2:$AL$532,$AL259)&gt;1),"Yes","No"))))</f>
      </c>
      <c r="F259">
        <f>IF($B259&lt;&gt;"Yes","",
IF($A259="Neuron",
IF(OR(
AND($S259&lt;&gt;"",LOWER(TRIM($S259))&lt;&gt;"n/a",COUNTIFS($B$2:$B$532,"Yes",$A$2:$A$532,"Neuron",$S$2:$S$532,$S259)&gt;1),
AND($T259&lt;&gt;"",LOWER(TRIM($T259))&lt;&gt;"n/a",COUNTIFS($B$2:$B$532,"Yes",$A$2:$A$532,"Neuron",$T$2:$T$532,$T259)&gt;1),
AND($W259&lt;&gt;"",LOWER(TRIM($W259))&lt;&gt;"n/a",COUNTIFS($B$2:$B$532,"Yes",$A$2:$A$532,"Neuron",$W$2:$W$532,$W259)&gt;1)
),"Yes","No"),
IF($A259="Cybernet",
IF(OR(
AND($Y259&lt;&gt;"",LOWER(TRIM($Y259))&lt;&gt;"n/a",COUNTIFS($B$2:$B$532,"Yes",$A$2:$A$532,"Cybernet",$Y$2:$Y$532,$Y259)&gt;1),
AND($Z259&lt;&gt;"",LOWER(TRIM($Z259))&lt;&gt;"n/a",COUNTIFS($B$2:$B$532,"Yes",$A$2:$A$532,"Cybernet",$Z$2:$Z$532,$Z259)&gt;1)
),"Yes","No"),
IF(AND($AL259&lt;&gt;"",LOWER(TRIM($AL259))&lt;&gt;"n/a"),
IF(COUNTIFS($B$2:$B$532,"Yes",$A$2:$A$532,$A259,$AL$2:$AL$532,$AL259)&gt;1,"Yes","No"),
"No")
)
)
)</f>
      </c>
      <c r="BL259">
        <f>IF($T259="","",IF((IF(AND($AW259&lt;&gt;"Yes",$AW259&lt;&gt;"N/A"),"Power Cable, ","")&amp;IF(AND($AX259&lt;&gt;"Yes",$AX259&lt;&gt;"N/A"),"Battery, ","")&amp;IF(AND($BE259&lt;&gt;"Yes",$BE259&lt;&gt;"N/A"),"Firmware Download, ","")&amp;IF(AND(OR($BE259="Yes",$BE259="N/A"),$BF259&lt;&gt;"Yes",$BF259&lt;&gt;"N/A"),"Firmware Install, ","")&amp;IF(AND($BJ259&lt;&gt;"Yes",$BJ259&lt;&gt;"N/A"),"Device ID, ","")&amp;IF(AND($BK259&lt;&gt;"Yes",$BK259&lt;&gt;"N/A"),"Epic Beans Relay, ",""))="","",LEFT(IF(AND($AW259&lt;&gt;"Yes",$AW259&lt;&gt;"N/A"),"Power Cable, ","")&amp;IF(AND($AX259&lt;&gt;"Yes",$AX259&lt;&gt;"N/A"),"Battery, ","")&amp;IF(AND($BE259&lt;&gt;"Yes",$BE259&lt;&gt;"N/A"),"Firmware Download, ","")&amp;IF(AND(OR($BE259="Yes",$BE259="N/A"),$BF259&lt;&gt;"Yes",$BF259&lt;&gt;"N/A"),"Firmware Install, ","")&amp;IF(AND($BJ259&lt;&gt;"Yes",$BJ259&lt;&gt;"N/A"),"Device ID, ","")&amp;IF(AND($BK259&lt;&gt;"Yes",$BK259&lt;&gt;"N/A"),"Epic Beans Relay, ",""),LEN(IF(AND($AW259&lt;&gt;"Yes",$AW259&lt;&gt;"N/A"),"Power Cable, ","")&amp;IF(AND($AX259&lt;&gt;"Yes",$AX259&lt;&gt;"N/A"),"Battery, ","")&amp;IF(AND($BE259&lt;&gt;"Yes",$BE259&lt;&gt;"N/A"),"Firmware Download, ","")&amp;IF(AND(OR($BE259="Yes",$BE259="N/A"),$BF259&lt;&gt;"Yes",$BF259&lt;&gt;"N/A"),"Firmware Install, ","")&amp;IF(AND($BJ259&lt;&gt;"Yes",$BJ259&lt;&gt;"N/A"),"Device ID, ","")&amp;IF(AND($BK259&lt;&gt;"Yes",$BK259&lt;&gt;"N/A"),"Epic Beans Relay, ",""))-2)))</f>
      </c>
      <c r="BM259">
        <f>IF($T259="","",IF($BL259="","Yes","Blocked"))</f>
      </c>
      <c r="BP259">
        <f>IF($BO259="","",IFERROR(VLOOKUP($BO259,'01_Warehouse_Ledger'!$A:$N,4,FALSE),""))</f>
      </c>
      <c r="BQ259">
        <f>IF($BO259="","",IFERROR(VLOOKUP($BO259,'01_Warehouse_Ledger'!$A:$N,5,FALSE),""))</f>
      </c>
      <c r="BR259">
        <f>IF($BO259="","",IFERROR(VLOOKUP($BO259,'01_Warehouse_Ledger'!$A:$N,13,FALSE),""))</f>
      </c>
    </row>
    <row r="260">
      <c r="D260">
        <f>IF($B260&lt;&gt;"Yes","",IF($C260="No","Yes",IF($C260="Yes","No","")))</f>
      </c>
      <c r="E260">
        <f>IF($A260="","",IF($A260="Neuron",IF(OR(AND($S260&lt;&gt;"",LOWER(TRIM($S260))&lt;&gt;"n/a",COUNTIF($S$2:$S$532,$S260)&gt;1),AND($T260&lt;&gt;"",LOWER(TRIM($T260))&lt;&gt;"n/a",COUNTIF($T$2:$T$532,$T260)&gt;1),AND($W260&lt;&gt;"",LOWER(TRIM($W260))&lt;&gt;"n/a",COUNTIF($W$2:$W$532,$W260)&gt;1)),"Yes","No"),IF($A260="Cybernet",IF(OR(AND($Y260&lt;&gt;"",LOWER(TRIM($Y260))&lt;&gt;"n/a",COUNTIF($Y$2:$Y$532,$Y260)&gt;1),AND($Z260&lt;&gt;"",LOWER(TRIM($Z260))&lt;&gt;"n/a",COUNTIF($Z$2:$Z$532,$Z260)&gt;1)),"Yes","No"),IF(AND($AL260&lt;&gt;"",LOWER(TRIM($AL260))&lt;&gt;"n/a",COUNTIF($AL$2:$AL$532,$AL260)&gt;1),"Yes","No"))))</f>
      </c>
      <c r="F260">
        <f>IF($B260&lt;&gt;"Yes","",
IF($A260="Neuron",
IF(OR(
AND($S260&lt;&gt;"",LOWER(TRIM($S260))&lt;&gt;"n/a",COUNTIFS($B$2:$B$532,"Yes",$A$2:$A$532,"Neuron",$S$2:$S$532,$S260)&gt;1),
AND($T260&lt;&gt;"",LOWER(TRIM($T260))&lt;&gt;"n/a",COUNTIFS($B$2:$B$532,"Yes",$A$2:$A$532,"Neuron",$T$2:$T$532,$T260)&gt;1),
AND($W260&lt;&gt;"",LOWER(TRIM($W260))&lt;&gt;"n/a",COUNTIFS($B$2:$B$532,"Yes",$A$2:$A$532,"Neuron",$W$2:$W$532,$W260)&gt;1)
),"Yes","No"),
IF($A260="Cybernet",
IF(OR(
AND($Y260&lt;&gt;"",LOWER(TRIM($Y260))&lt;&gt;"n/a",COUNTIFS($B$2:$B$532,"Yes",$A$2:$A$532,"Cybernet",$Y$2:$Y$532,$Y260)&gt;1),
AND($Z260&lt;&gt;"",LOWER(TRIM($Z260))&lt;&gt;"n/a",COUNTIFS($B$2:$B$532,"Yes",$A$2:$A$532,"Cybernet",$Z$2:$Z$532,$Z260)&gt;1)
),"Yes","No"),
IF(AND($AL260&lt;&gt;"",LOWER(TRIM($AL260))&lt;&gt;"n/a"),
IF(COUNTIFS($B$2:$B$532,"Yes",$A$2:$A$532,$A260,$AL$2:$AL$532,$AL260)&gt;1,"Yes","No"),
"No")
)
)
)</f>
      </c>
      <c r="BL260">
        <f>IF($T260="","",IF((IF(AND($AW260&lt;&gt;"Yes",$AW260&lt;&gt;"N/A"),"Power Cable, ","")&amp;IF(AND($AX260&lt;&gt;"Yes",$AX260&lt;&gt;"N/A"),"Battery, ","")&amp;IF(AND($BE260&lt;&gt;"Yes",$BE260&lt;&gt;"N/A"),"Firmware Download, ","")&amp;IF(AND(OR($BE260="Yes",$BE260="N/A"),$BF260&lt;&gt;"Yes",$BF260&lt;&gt;"N/A"),"Firmware Install, ","")&amp;IF(AND($BJ260&lt;&gt;"Yes",$BJ260&lt;&gt;"N/A"),"Device ID, ","")&amp;IF(AND($BK260&lt;&gt;"Yes",$BK260&lt;&gt;"N/A"),"Epic Beans Relay, ",""))="","",LEFT(IF(AND($AW260&lt;&gt;"Yes",$AW260&lt;&gt;"N/A"),"Power Cable, ","")&amp;IF(AND($AX260&lt;&gt;"Yes",$AX260&lt;&gt;"N/A"),"Battery, ","")&amp;IF(AND($BE260&lt;&gt;"Yes",$BE260&lt;&gt;"N/A"),"Firmware Download, ","")&amp;IF(AND(OR($BE260="Yes",$BE260="N/A"),$BF260&lt;&gt;"Yes",$BF260&lt;&gt;"N/A"),"Firmware Install, ","")&amp;IF(AND($BJ260&lt;&gt;"Yes",$BJ260&lt;&gt;"N/A"),"Device ID, ","")&amp;IF(AND($BK260&lt;&gt;"Yes",$BK260&lt;&gt;"N/A"),"Epic Beans Relay, ",""),LEN(IF(AND($AW260&lt;&gt;"Yes",$AW260&lt;&gt;"N/A"),"Power Cable, ","")&amp;IF(AND($AX260&lt;&gt;"Yes",$AX260&lt;&gt;"N/A"),"Battery, ","")&amp;IF(AND($BE260&lt;&gt;"Yes",$BE260&lt;&gt;"N/A"),"Firmware Download, ","")&amp;IF(AND(OR($BE260="Yes",$BE260="N/A"),$BF260&lt;&gt;"Yes",$BF260&lt;&gt;"N/A"),"Firmware Install, ","")&amp;IF(AND($BJ260&lt;&gt;"Yes",$BJ260&lt;&gt;"N/A"),"Device ID, ","")&amp;IF(AND($BK260&lt;&gt;"Yes",$BK260&lt;&gt;"N/A"),"Epic Beans Relay, ",""))-2)))</f>
      </c>
      <c r="BM260">
        <f>IF($T260="","",IF($BL260="","Yes","Blocked"))</f>
      </c>
      <c r="BP260">
        <f>IF($BO260="","",IFERROR(VLOOKUP($BO260,'01_Warehouse_Ledger'!$A:$N,4,FALSE),""))</f>
      </c>
      <c r="BQ260">
        <f>IF($BO260="","",IFERROR(VLOOKUP($BO260,'01_Warehouse_Ledger'!$A:$N,5,FALSE),""))</f>
      </c>
      <c r="BR260">
        <f>IF($BO260="","",IFERROR(VLOOKUP($BO260,'01_Warehouse_Ledger'!$A:$N,13,FALSE),""))</f>
      </c>
    </row>
    <row r="261">
      <c r="D261">
        <f>IF($B261&lt;&gt;"Yes","",IF($C261="No","Yes",IF($C261="Yes","No","")))</f>
      </c>
      <c r="E261">
        <f>IF($A261="","",IF($A261="Neuron",IF(OR(AND($S261&lt;&gt;"",LOWER(TRIM($S261))&lt;&gt;"n/a",COUNTIF($S$2:$S$532,$S261)&gt;1),AND($T261&lt;&gt;"",LOWER(TRIM($T261))&lt;&gt;"n/a",COUNTIF($T$2:$T$532,$T261)&gt;1),AND($W261&lt;&gt;"",LOWER(TRIM($W261))&lt;&gt;"n/a",COUNTIF($W$2:$W$532,$W261)&gt;1)),"Yes","No"),IF($A261="Cybernet",IF(OR(AND($Y261&lt;&gt;"",LOWER(TRIM($Y261))&lt;&gt;"n/a",COUNTIF($Y$2:$Y$532,$Y261)&gt;1),AND($Z261&lt;&gt;"",LOWER(TRIM($Z261))&lt;&gt;"n/a",COUNTIF($Z$2:$Z$532,$Z261)&gt;1)),"Yes","No"),IF(AND($AL261&lt;&gt;"",LOWER(TRIM($AL261))&lt;&gt;"n/a",COUNTIF($AL$2:$AL$532,$AL261)&gt;1),"Yes","No"))))</f>
      </c>
      <c r="F261">
        <f>IF($B261&lt;&gt;"Yes","",
IF($A261="Neuron",
IF(OR(
AND($S261&lt;&gt;"",LOWER(TRIM($S261))&lt;&gt;"n/a",COUNTIFS($B$2:$B$532,"Yes",$A$2:$A$532,"Neuron",$S$2:$S$532,$S261)&gt;1),
AND($T261&lt;&gt;"",LOWER(TRIM($T261))&lt;&gt;"n/a",COUNTIFS($B$2:$B$532,"Yes",$A$2:$A$532,"Neuron",$T$2:$T$532,$T261)&gt;1),
AND($W261&lt;&gt;"",LOWER(TRIM($W261))&lt;&gt;"n/a",COUNTIFS($B$2:$B$532,"Yes",$A$2:$A$532,"Neuron",$W$2:$W$532,$W261)&gt;1)
),"Yes","No"),
IF($A261="Cybernet",
IF(OR(
AND($Y261&lt;&gt;"",LOWER(TRIM($Y261))&lt;&gt;"n/a",COUNTIFS($B$2:$B$532,"Yes",$A$2:$A$532,"Cybernet",$Y$2:$Y$532,$Y261)&gt;1),
AND($Z261&lt;&gt;"",LOWER(TRIM($Z261))&lt;&gt;"n/a",COUNTIFS($B$2:$B$532,"Yes",$A$2:$A$532,"Cybernet",$Z$2:$Z$532,$Z261)&gt;1)
),"Yes","No"),
IF(AND($AL261&lt;&gt;"",LOWER(TRIM($AL261))&lt;&gt;"n/a"),
IF(COUNTIFS($B$2:$B$532,"Yes",$A$2:$A$532,$A261,$AL$2:$AL$532,$AL261)&gt;1,"Yes","No"),
"No")
)
)
)</f>
      </c>
      <c r="BL261">
        <f>IF($T261="","",IF((IF(AND($AW261&lt;&gt;"Yes",$AW261&lt;&gt;"N/A"),"Power Cable, ","")&amp;IF(AND($AX261&lt;&gt;"Yes",$AX261&lt;&gt;"N/A"),"Battery, ","")&amp;IF(AND($BE261&lt;&gt;"Yes",$BE261&lt;&gt;"N/A"),"Firmware Download, ","")&amp;IF(AND(OR($BE261="Yes",$BE261="N/A"),$BF261&lt;&gt;"Yes",$BF261&lt;&gt;"N/A"),"Firmware Install, ","")&amp;IF(AND($BJ261&lt;&gt;"Yes",$BJ261&lt;&gt;"N/A"),"Device ID, ","")&amp;IF(AND($BK261&lt;&gt;"Yes",$BK261&lt;&gt;"N/A"),"Epic Beans Relay, ",""))="","",LEFT(IF(AND($AW261&lt;&gt;"Yes",$AW261&lt;&gt;"N/A"),"Power Cable, ","")&amp;IF(AND($AX261&lt;&gt;"Yes",$AX261&lt;&gt;"N/A"),"Battery, ","")&amp;IF(AND($BE261&lt;&gt;"Yes",$BE261&lt;&gt;"N/A"),"Firmware Download, ","")&amp;IF(AND(OR($BE261="Yes",$BE261="N/A"),$BF261&lt;&gt;"Yes",$BF261&lt;&gt;"N/A"),"Firmware Install, ","")&amp;IF(AND($BJ261&lt;&gt;"Yes",$BJ261&lt;&gt;"N/A"),"Device ID, ","")&amp;IF(AND($BK261&lt;&gt;"Yes",$BK261&lt;&gt;"N/A"),"Epic Beans Relay, ",""),LEN(IF(AND($AW261&lt;&gt;"Yes",$AW261&lt;&gt;"N/A"),"Power Cable, ","")&amp;IF(AND($AX261&lt;&gt;"Yes",$AX261&lt;&gt;"N/A"),"Battery, ","")&amp;IF(AND($BE261&lt;&gt;"Yes",$BE261&lt;&gt;"N/A"),"Firmware Download, ","")&amp;IF(AND(OR($BE261="Yes",$BE261="N/A"),$BF261&lt;&gt;"Yes",$BF261&lt;&gt;"N/A"),"Firmware Install, ","")&amp;IF(AND($BJ261&lt;&gt;"Yes",$BJ261&lt;&gt;"N/A"),"Device ID, ","")&amp;IF(AND($BK261&lt;&gt;"Yes",$BK261&lt;&gt;"N/A"),"Epic Beans Relay, ",""))-2)))</f>
      </c>
      <c r="BM261">
        <f>IF($T261="","",IF($BL261="","Yes","Blocked"))</f>
      </c>
      <c r="BP261">
        <f>IF($BO261="","",IFERROR(VLOOKUP($BO261,'01_Warehouse_Ledger'!$A:$N,4,FALSE),""))</f>
      </c>
      <c r="BQ261">
        <f>IF($BO261="","",IFERROR(VLOOKUP($BO261,'01_Warehouse_Ledger'!$A:$N,5,FALSE),""))</f>
      </c>
      <c r="BR261">
        <f>IF($BO261="","",IFERROR(VLOOKUP($BO261,'01_Warehouse_Ledger'!$A:$N,13,FALSE),""))</f>
      </c>
    </row>
    <row r="262">
      <c r="D262">
        <f>IF($B262&lt;&gt;"Yes","",IF($C262="No","Yes",IF($C262="Yes","No","")))</f>
      </c>
      <c r="E262">
        <f>IF($A262="","",IF($A262="Neuron",IF(OR(AND($S262&lt;&gt;"",LOWER(TRIM($S262))&lt;&gt;"n/a",COUNTIF($S$2:$S$532,$S262)&gt;1),AND($T262&lt;&gt;"",LOWER(TRIM($T262))&lt;&gt;"n/a",COUNTIF($T$2:$T$532,$T262)&gt;1),AND($W262&lt;&gt;"",LOWER(TRIM($W262))&lt;&gt;"n/a",COUNTIF($W$2:$W$532,$W262)&gt;1)),"Yes","No"),IF($A262="Cybernet",IF(OR(AND($Y262&lt;&gt;"",LOWER(TRIM($Y262))&lt;&gt;"n/a",COUNTIF($Y$2:$Y$532,$Y262)&gt;1),AND($Z262&lt;&gt;"",LOWER(TRIM($Z262))&lt;&gt;"n/a",COUNTIF($Z$2:$Z$532,$Z262)&gt;1)),"Yes","No"),IF(AND($AL262&lt;&gt;"",LOWER(TRIM($AL262))&lt;&gt;"n/a",COUNTIF($AL$2:$AL$532,$AL262)&gt;1),"Yes","No"))))</f>
      </c>
      <c r="F262">
        <f>IF($B262&lt;&gt;"Yes","",
IF($A262="Neuron",
IF(OR(
AND($S262&lt;&gt;"",LOWER(TRIM($S262))&lt;&gt;"n/a",COUNTIFS($B$2:$B$532,"Yes",$A$2:$A$532,"Neuron",$S$2:$S$532,$S262)&gt;1),
AND($T262&lt;&gt;"",LOWER(TRIM($T262))&lt;&gt;"n/a",COUNTIFS($B$2:$B$532,"Yes",$A$2:$A$532,"Neuron",$T$2:$T$532,$T262)&gt;1),
AND($W262&lt;&gt;"",LOWER(TRIM($W262))&lt;&gt;"n/a",COUNTIFS($B$2:$B$532,"Yes",$A$2:$A$532,"Neuron",$W$2:$W$532,$W262)&gt;1)
),"Yes","No"),
IF($A262="Cybernet",
IF(OR(
AND($Y262&lt;&gt;"",LOWER(TRIM($Y262))&lt;&gt;"n/a",COUNTIFS($B$2:$B$532,"Yes",$A$2:$A$532,"Cybernet",$Y$2:$Y$532,$Y262)&gt;1),
AND($Z262&lt;&gt;"",LOWER(TRIM($Z262))&lt;&gt;"n/a",COUNTIFS($B$2:$B$532,"Yes",$A$2:$A$532,"Cybernet",$Z$2:$Z$532,$Z262)&gt;1)
),"Yes","No"),
IF(AND($AL262&lt;&gt;"",LOWER(TRIM($AL262))&lt;&gt;"n/a"),
IF(COUNTIFS($B$2:$B$532,"Yes",$A$2:$A$532,$A262,$AL$2:$AL$532,$AL262)&gt;1,"Yes","No"),
"No")
)
)
)</f>
      </c>
      <c r="BL262">
        <f>IF($T262="","",IF((IF(AND($AW262&lt;&gt;"Yes",$AW262&lt;&gt;"N/A"),"Power Cable, ","")&amp;IF(AND($AX262&lt;&gt;"Yes",$AX262&lt;&gt;"N/A"),"Battery, ","")&amp;IF(AND($BE262&lt;&gt;"Yes",$BE262&lt;&gt;"N/A"),"Firmware Download, ","")&amp;IF(AND(OR($BE262="Yes",$BE262="N/A"),$BF262&lt;&gt;"Yes",$BF262&lt;&gt;"N/A"),"Firmware Install, ","")&amp;IF(AND($BJ262&lt;&gt;"Yes",$BJ262&lt;&gt;"N/A"),"Device ID, ","")&amp;IF(AND($BK262&lt;&gt;"Yes",$BK262&lt;&gt;"N/A"),"Epic Beans Relay, ",""))="","",LEFT(IF(AND($AW262&lt;&gt;"Yes",$AW262&lt;&gt;"N/A"),"Power Cable, ","")&amp;IF(AND($AX262&lt;&gt;"Yes",$AX262&lt;&gt;"N/A"),"Battery, ","")&amp;IF(AND($BE262&lt;&gt;"Yes",$BE262&lt;&gt;"N/A"),"Firmware Download, ","")&amp;IF(AND(OR($BE262="Yes",$BE262="N/A"),$BF262&lt;&gt;"Yes",$BF262&lt;&gt;"N/A"),"Firmware Install, ","")&amp;IF(AND($BJ262&lt;&gt;"Yes",$BJ262&lt;&gt;"N/A"),"Device ID, ","")&amp;IF(AND($BK262&lt;&gt;"Yes",$BK262&lt;&gt;"N/A"),"Epic Beans Relay, ",""),LEN(IF(AND($AW262&lt;&gt;"Yes",$AW262&lt;&gt;"N/A"),"Power Cable, ","")&amp;IF(AND($AX262&lt;&gt;"Yes",$AX262&lt;&gt;"N/A"),"Battery, ","")&amp;IF(AND($BE262&lt;&gt;"Yes",$BE262&lt;&gt;"N/A"),"Firmware Download, ","")&amp;IF(AND(OR($BE262="Yes",$BE262="N/A"),$BF262&lt;&gt;"Yes",$BF262&lt;&gt;"N/A"),"Firmware Install, ","")&amp;IF(AND($BJ262&lt;&gt;"Yes",$BJ262&lt;&gt;"N/A"),"Device ID, ","")&amp;IF(AND($BK262&lt;&gt;"Yes",$BK262&lt;&gt;"N/A"),"Epic Beans Relay, ",""))-2)))</f>
      </c>
      <c r="BM262">
        <f>IF($T262="","",IF($BL262="","Yes","Blocked"))</f>
      </c>
      <c r="BP262">
        <f>IF($BO262="","",IFERROR(VLOOKUP($BO262,'01_Warehouse_Ledger'!$A:$N,4,FALSE),""))</f>
      </c>
      <c r="BQ262">
        <f>IF($BO262="","",IFERROR(VLOOKUP($BO262,'01_Warehouse_Ledger'!$A:$N,5,FALSE),""))</f>
      </c>
      <c r="BR262">
        <f>IF($BO262="","",IFERROR(VLOOKUP($BO262,'01_Warehouse_Ledger'!$A:$N,13,FALSE),""))</f>
      </c>
    </row>
    <row r="263">
      <c r="D263">
        <f>IF($B263&lt;&gt;"Yes","",IF($C263="No","Yes",IF($C263="Yes","No","")))</f>
      </c>
      <c r="E263">
        <f>IF($A263="","",IF($A263="Neuron",IF(OR(AND($S263&lt;&gt;"",LOWER(TRIM($S263))&lt;&gt;"n/a",COUNTIF($S$2:$S$532,$S263)&gt;1),AND($T263&lt;&gt;"",LOWER(TRIM($T263))&lt;&gt;"n/a",COUNTIF($T$2:$T$532,$T263)&gt;1),AND($W263&lt;&gt;"",LOWER(TRIM($W263))&lt;&gt;"n/a",COUNTIF($W$2:$W$532,$W263)&gt;1)),"Yes","No"),IF($A263="Cybernet",IF(OR(AND($Y263&lt;&gt;"",LOWER(TRIM($Y263))&lt;&gt;"n/a",COUNTIF($Y$2:$Y$532,$Y263)&gt;1),AND($Z263&lt;&gt;"",LOWER(TRIM($Z263))&lt;&gt;"n/a",COUNTIF($Z$2:$Z$532,$Z263)&gt;1)),"Yes","No"),IF(AND($AL263&lt;&gt;"",LOWER(TRIM($AL263))&lt;&gt;"n/a",COUNTIF($AL$2:$AL$532,$AL263)&gt;1),"Yes","No"))))</f>
      </c>
      <c r="F263">
        <f>IF($B263&lt;&gt;"Yes","",
IF($A263="Neuron",
IF(OR(
AND($S263&lt;&gt;"",LOWER(TRIM($S263))&lt;&gt;"n/a",COUNTIFS($B$2:$B$532,"Yes",$A$2:$A$532,"Neuron",$S$2:$S$532,$S263)&gt;1),
AND($T263&lt;&gt;"",LOWER(TRIM($T263))&lt;&gt;"n/a",COUNTIFS($B$2:$B$532,"Yes",$A$2:$A$532,"Neuron",$T$2:$T$532,$T263)&gt;1),
AND($W263&lt;&gt;"",LOWER(TRIM($W263))&lt;&gt;"n/a",COUNTIFS($B$2:$B$532,"Yes",$A$2:$A$532,"Neuron",$W$2:$W$532,$W263)&gt;1)
),"Yes","No"),
IF($A263="Cybernet",
IF(OR(
AND($Y263&lt;&gt;"",LOWER(TRIM($Y263))&lt;&gt;"n/a",COUNTIFS($B$2:$B$532,"Yes",$A$2:$A$532,"Cybernet",$Y$2:$Y$532,$Y263)&gt;1),
AND($Z263&lt;&gt;"",LOWER(TRIM($Z263))&lt;&gt;"n/a",COUNTIFS($B$2:$B$532,"Yes",$A$2:$A$532,"Cybernet",$Z$2:$Z$532,$Z263)&gt;1)
),"Yes","No"),
IF(AND($AL263&lt;&gt;"",LOWER(TRIM($AL263))&lt;&gt;"n/a"),
IF(COUNTIFS($B$2:$B$532,"Yes",$A$2:$A$532,$A263,$AL$2:$AL$532,$AL263)&gt;1,"Yes","No"),
"No")
)
)
)</f>
      </c>
      <c r="BL263">
        <f>IF($T263="","",IF((IF(AND($AW263&lt;&gt;"Yes",$AW263&lt;&gt;"N/A"),"Power Cable, ","")&amp;IF(AND($AX263&lt;&gt;"Yes",$AX263&lt;&gt;"N/A"),"Battery, ","")&amp;IF(AND($BE263&lt;&gt;"Yes",$BE263&lt;&gt;"N/A"),"Firmware Download, ","")&amp;IF(AND(OR($BE263="Yes",$BE263="N/A"),$BF263&lt;&gt;"Yes",$BF263&lt;&gt;"N/A"),"Firmware Install, ","")&amp;IF(AND($BJ263&lt;&gt;"Yes",$BJ263&lt;&gt;"N/A"),"Device ID, ","")&amp;IF(AND($BK263&lt;&gt;"Yes",$BK263&lt;&gt;"N/A"),"Epic Beans Relay, ",""))="","",LEFT(IF(AND($AW263&lt;&gt;"Yes",$AW263&lt;&gt;"N/A"),"Power Cable, ","")&amp;IF(AND($AX263&lt;&gt;"Yes",$AX263&lt;&gt;"N/A"),"Battery, ","")&amp;IF(AND($BE263&lt;&gt;"Yes",$BE263&lt;&gt;"N/A"),"Firmware Download, ","")&amp;IF(AND(OR($BE263="Yes",$BE263="N/A"),$BF263&lt;&gt;"Yes",$BF263&lt;&gt;"N/A"),"Firmware Install, ","")&amp;IF(AND($BJ263&lt;&gt;"Yes",$BJ263&lt;&gt;"N/A"),"Device ID, ","")&amp;IF(AND($BK263&lt;&gt;"Yes",$BK263&lt;&gt;"N/A"),"Epic Beans Relay, ",""),LEN(IF(AND($AW263&lt;&gt;"Yes",$AW263&lt;&gt;"N/A"),"Power Cable, ","")&amp;IF(AND($AX263&lt;&gt;"Yes",$AX263&lt;&gt;"N/A"),"Battery, ","")&amp;IF(AND($BE263&lt;&gt;"Yes",$BE263&lt;&gt;"N/A"),"Firmware Download, ","")&amp;IF(AND(OR($BE263="Yes",$BE263="N/A"),$BF263&lt;&gt;"Yes",$BF263&lt;&gt;"N/A"),"Firmware Install, ","")&amp;IF(AND($BJ263&lt;&gt;"Yes",$BJ263&lt;&gt;"N/A"),"Device ID, ","")&amp;IF(AND($BK263&lt;&gt;"Yes",$BK263&lt;&gt;"N/A"),"Epic Beans Relay, ",""))-2)))</f>
      </c>
      <c r="BM263">
        <f>IF($T263="","",IF($BL263="","Yes","Blocked"))</f>
      </c>
      <c r="BP263">
        <f>IF($BO263="","",IFERROR(VLOOKUP($BO263,'01_Warehouse_Ledger'!$A:$N,4,FALSE),""))</f>
      </c>
      <c r="BQ263">
        <f>IF($BO263="","",IFERROR(VLOOKUP($BO263,'01_Warehouse_Ledger'!$A:$N,5,FALSE),""))</f>
      </c>
      <c r="BR263">
        <f>IF($BO263="","",IFERROR(VLOOKUP($BO263,'01_Warehouse_Ledger'!$A:$N,13,FALSE),""))</f>
      </c>
    </row>
    <row r="264">
      <c r="D264">
        <f>IF($B264&lt;&gt;"Yes","",IF($C264="No","Yes",IF($C264="Yes","No","")))</f>
      </c>
      <c r="E264">
        <f>IF($A264="","",IF($A264="Neuron",IF(OR(AND($S264&lt;&gt;"",LOWER(TRIM($S264))&lt;&gt;"n/a",COUNTIF($S$2:$S$532,$S264)&gt;1),AND($T264&lt;&gt;"",LOWER(TRIM($T264))&lt;&gt;"n/a",COUNTIF($T$2:$T$532,$T264)&gt;1),AND($W264&lt;&gt;"",LOWER(TRIM($W264))&lt;&gt;"n/a",COUNTIF($W$2:$W$532,$W264)&gt;1)),"Yes","No"),IF($A264="Cybernet",IF(OR(AND($Y264&lt;&gt;"",LOWER(TRIM($Y264))&lt;&gt;"n/a",COUNTIF($Y$2:$Y$532,$Y264)&gt;1),AND($Z264&lt;&gt;"",LOWER(TRIM($Z264))&lt;&gt;"n/a",COUNTIF($Z$2:$Z$532,$Z264)&gt;1)),"Yes","No"),IF(AND($AL264&lt;&gt;"",LOWER(TRIM($AL264))&lt;&gt;"n/a",COUNTIF($AL$2:$AL$532,$AL264)&gt;1),"Yes","No"))))</f>
      </c>
      <c r="F264">
        <f>IF($B264&lt;&gt;"Yes","",
IF($A264="Neuron",
IF(OR(
AND($S264&lt;&gt;"",LOWER(TRIM($S264))&lt;&gt;"n/a",COUNTIFS($B$2:$B$532,"Yes",$A$2:$A$532,"Neuron",$S$2:$S$532,$S264)&gt;1),
AND($T264&lt;&gt;"",LOWER(TRIM($T264))&lt;&gt;"n/a",COUNTIFS($B$2:$B$532,"Yes",$A$2:$A$532,"Neuron",$T$2:$T$532,$T264)&gt;1),
AND($W264&lt;&gt;"",LOWER(TRIM($W264))&lt;&gt;"n/a",COUNTIFS($B$2:$B$532,"Yes",$A$2:$A$532,"Neuron",$W$2:$W$532,$W264)&gt;1)
),"Yes","No"),
IF($A264="Cybernet",
IF(OR(
AND($Y264&lt;&gt;"",LOWER(TRIM($Y264))&lt;&gt;"n/a",COUNTIFS($B$2:$B$532,"Yes",$A$2:$A$532,"Cybernet",$Y$2:$Y$532,$Y264)&gt;1),
AND($Z264&lt;&gt;"",LOWER(TRIM($Z264))&lt;&gt;"n/a",COUNTIFS($B$2:$B$532,"Yes",$A$2:$A$532,"Cybernet",$Z$2:$Z$532,$Z264)&gt;1)
),"Yes","No"),
IF(AND($AL264&lt;&gt;"",LOWER(TRIM($AL264))&lt;&gt;"n/a"),
IF(COUNTIFS($B$2:$B$532,"Yes",$A$2:$A$532,$A264,$AL$2:$AL$532,$AL264)&gt;1,"Yes","No"),
"No")
)
)
)</f>
      </c>
      <c r="BL264">
        <f>IF($T264="","",IF((IF(AND($AW264&lt;&gt;"Yes",$AW264&lt;&gt;"N/A"),"Power Cable, ","")&amp;IF(AND($AX264&lt;&gt;"Yes",$AX264&lt;&gt;"N/A"),"Battery, ","")&amp;IF(AND($BE264&lt;&gt;"Yes",$BE264&lt;&gt;"N/A"),"Firmware Download, ","")&amp;IF(AND(OR($BE264="Yes",$BE264="N/A"),$BF264&lt;&gt;"Yes",$BF264&lt;&gt;"N/A"),"Firmware Install, ","")&amp;IF(AND($BJ264&lt;&gt;"Yes",$BJ264&lt;&gt;"N/A"),"Device ID, ","")&amp;IF(AND($BK264&lt;&gt;"Yes",$BK264&lt;&gt;"N/A"),"Epic Beans Relay, ",""))="","",LEFT(IF(AND($AW264&lt;&gt;"Yes",$AW264&lt;&gt;"N/A"),"Power Cable, ","")&amp;IF(AND($AX264&lt;&gt;"Yes",$AX264&lt;&gt;"N/A"),"Battery, ","")&amp;IF(AND($BE264&lt;&gt;"Yes",$BE264&lt;&gt;"N/A"),"Firmware Download, ","")&amp;IF(AND(OR($BE264="Yes",$BE264="N/A"),$BF264&lt;&gt;"Yes",$BF264&lt;&gt;"N/A"),"Firmware Install, ","")&amp;IF(AND($BJ264&lt;&gt;"Yes",$BJ264&lt;&gt;"N/A"),"Device ID, ","")&amp;IF(AND($BK264&lt;&gt;"Yes",$BK264&lt;&gt;"N/A"),"Epic Beans Relay, ",""),LEN(IF(AND($AW264&lt;&gt;"Yes",$AW264&lt;&gt;"N/A"),"Power Cable, ","")&amp;IF(AND($AX264&lt;&gt;"Yes",$AX264&lt;&gt;"N/A"),"Battery, ","")&amp;IF(AND($BE264&lt;&gt;"Yes",$BE264&lt;&gt;"N/A"),"Firmware Download, ","")&amp;IF(AND(OR($BE264="Yes",$BE264="N/A"),$BF264&lt;&gt;"Yes",$BF264&lt;&gt;"N/A"),"Firmware Install, ","")&amp;IF(AND($BJ264&lt;&gt;"Yes",$BJ264&lt;&gt;"N/A"),"Device ID, ","")&amp;IF(AND($BK264&lt;&gt;"Yes",$BK264&lt;&gt;"N/A"),"Epic Beans Relay, ",""))-2)))</f>
      </c>
      <c r="BM264">
        <f>IF($T264="","",IF($BL264="","Yes","Blocked"))</f>
      </c>
      <c r="BP264">
        <f>IF($BO264="","",IFERROR(VLOOKUP($BO264,'01_Warehouse_Ledger'!$A:$N,4,FALSE),""))</f>
      </c>
      <c r="BQ264">
        <f>IF($BO264="","",IFERROR(VLOOKUP($BO264,'01_Warehouse_Ledger'!$A:$N,5,FALSE),""))</f>
      </c>
      <c r="BR264">
        <f>IF($BO264="","",IFERROR(VLOOKUP($BO264,'01_Warehouse_Ledger'!$A:$N,13,FALSE),""))</f>
      </c>
    </row>
    <row r="265">
      <c r="D265">
        <f>IF($B265&lt;&gt;"Yes","",IF($C265="No","Yes",IF($C265="Yes","No","")))</f>
      </c>
      <c r="E265">
        <f>IF($A265="","",IF($A265="Neuron",IF(OR(AND($S265&lt;&gt;"",LOWER(TRIM($S265))&lt;&gt;"n/a",COUNTIF($S$2:$S$532,$S265)&gt;1),AND($T265&lt;&gt;"",LOWER(TRIM($T265))&lt;&gt;"n/a",COUNTIF($T$2:$T$532,$T265)&gt;1),AND($W265&lt;&gt;"",LOWER(TRIM($W265))&lt;&gt;"n/a",COUNTIF($W$2:$W$532,$W265)&gt;1)),"Yes","No"),IF($A265="Cybernet",IF(OR(AND($Y265&lt;&gt;"",LOWER(TRIM($Y265))&lt;&gt;"n/a",COUNTIF($Y$2:$Y$532,$Y265)&gt;1),AND($Z265&lt;&gt;"",LOWER(TRIM($Z265))&lt;&gt;"n/a",COUNTIF($Z$2:$Z$532,$Z265)&gt;1)),"Yes","No"),IF(AND($AL265&lt;&gt;"",LOWER(TRIM($AL265))&lt;&gt;"n/a",COUNTIF($AL$2:$AL$532,$AL265)&gt;1),"Yes","No"))))</f>
      </c>
      <c r="F265">
        <f>IF($B265&lt;&gt;"Yes","",
IF($A265="Neuron",
IF(OR(
AND($S265&lt;&gt;"",LOWER(TRIM($S265))&lt;&gt;"n/a",COUNTIFS($B$2:$B$532,"Yes",$A$2:$A$532,"Neuron",$S$2:$S$532,$S265)&gt;1),
AND($T265&lt;&gt;"",LOWER(TRIM($T265))&lt;&gt;"n/a",COUNTIFS($B$2:$B$532,"Yes",$A$2:$A$532,"Neuron",$T$2:$T$532,$T265)&gt;1),
AND($W265&lt;&gt;"",LOWER(TRIM($W265))&lt;&gt;"n/a",COUNTIFS($B$2:$B$532,"Yes",$A$2:$A$532,"Neuron",$W$2:$W$532,$W265)&gt;1)
),"Yes","No"),
IF($A265="Cybernet",
IF(OR(
AND($Y265&lt;&gt;"",LOWER(TRIM($Y265))&lt;&gt;"n/a",COUNTIFS($B$2:$B$532,"Yes",$A$2:$A$532,"Cybernet",$Y$2:$Y$532,$Y265)&gt;1),
AND($Z265&lt;&gt;"",LOWER(TRIM($Z265))&lt;&gt;"n/a",COUNTIFS($B$2:$B$532,"Yes",$A$2:$A$532,"Cybernet",$Z$2:$Z$532,$Z265)&gt;1)
),"Yes","No"),
IF(AND($AL265&lt;&gt;"",LOWER(TRIM($AL265))&lt;&gt;"n/a"),
IF(COUNTIFS($B$2:$B$532,"Yes",$A$2:$A$532,$A265,$AL$2:$AL$532,$AL265)&gt;1,"Yes","No"),
"No")
)
)
)</f>
      </c>
      <c r="BL265">
        <f>IF($T265="","",IF((IF(AND($AW265&lt;&gt;"Yes",$AW265&lt;&gt;"N/A"),"Power Cable, ","")&amp;IF(AND($AX265&lt;&gt;"Yes",$AX265&lt;&gt;"N/A"),"Battery, ","")&amp;IF(AND($BE265&lt;&gt;"Yes",$BE265&lt;&gt;"N/A"),"Firmware Download, ","")&amp;IF(AND(OR($BE265="Yes",$BE265="N/A"),$BF265&lt;&gt;"Yes",$BF265&lt;&gt;"N/A"),"Firmware Install, ","")&amp;IF(AND($BJ265&lt;&gt;"Yes",$BJ265&lt;&gt;"N/A"),"Device ID, ","")&amp;IF(AND($BK265&lt;&gt;"Yes",$BK265&lt;&gt;"N/A"),"Epic Beans Relay, ",""))="","",LEFT(IF(AND($AW265&lt;&gt;"Yes",$AW265&lt;&gt;"N/A"),"Power Cable, ","")&amp;IF(AND($AX265&lt;&gt;"Yes",$AX265&lt;&gt;"N/A"),"Battery, ","")&amp;IF(AND($BE265&lt;&gt;"Yes",$BE265&lt;&gt;"N/A"),"Firmware Download, ","")&amp;IF(AND(OR($BE265="Yes",$BE265="N/A"),$BF265&lt;&gt;"Yes",$BF265&lt;&gt;"N/A"),"Firmware Install, ","")&amp;IF(AND($BJ265&lt;&gt;"Yes",$BJ265&lt;&gt;"N/A"),"Device ID, ","")&amp;IF(AND($BK265&lt;&gt;"Yes",$BK265&lt;&gt;"N/A"),"Epic Beans Relay, ",""),LEN(IF(AND($AW265&lt;&gt;"Yes",$AW265&lt;&gt;"N/A"),"Power Cable, ","")&amp;IF(AND($AX265&lt;&gt;"Yes",$AX265&lt;&gt;"N/A"),"Battery, ","")&amp;IF(AND($BE265&lt;&gt;"Yes",$BE265&lt;&gt;"N/A"),"Firmware Download, ","")&amp;IF(AND(OR($BE265="Yes",$BE265="N/A"),$BF265&lt;&gt;"Yes",$BF265&lt;&gt;"N/A"),"Firmware Install, ","")&amp;IF(AND($BJ265&lt;&gt;"Yes",$BJ265&lt;&gt;"N/A"),"Device ID, ","")&amp;IF(AND($BK265&lt;&gt;"Yes",$BK265&lt;&gt;"N/A"),"Epic Beans Relay, ",""))-2)))</f>
      </c>
      <c r="BM265">
        <f>IF($T265="","",IF($BL265="","Yes","Blocked"))</f>
      </c>
      <c r="BP265">
        <f>IF($BO265="","",IFERROR(VLOOKUP($BO265,'01_Warehouse_Ledger'!$A:$N,4,FALSE),""))</f>
      </c>
      <c r="BQ265">
        <f>IF($BO265="","",IFERROR(VLOOKUP($BO265,'01_Warehouse_Ledger'!$A:$N,5,FALSE),""))</f>
      </c>
      <c r="BR265">
        <f>IF($BO265="","",IFERROR(VLOOKUP($BO265,'01_Warehouse_Ledger'!$A:$N,13,FALSE),""))</f>
      </c>
    </row>
    <row r="266">
      <c r="D266">
        <f>IF($B266&lt;&gt;"Yes","",IF($C266="No","Yes",IF($C266="Yes","No","")))</f>
      </c>
      <c r="E266">
        <f>IF($A266="","",IF($A266="Neuron",IF(OR(AND($S266&lt;&gt;"",LOWER(TRIM($S266))&lt;&gt;"n/a",COUNTIF($S$2:$S$532,$S266)&gt;1),AND($T266&lt;&gt;"",LOWER(TRIM($T266))&lt;&gt;"n/a",COUNTIF($T$2:$T$532,$T266)&gt;1),AND($W266&lt;&gt;"",LOWER(TRIM($W266))&lt;&gt;"n/a",COUNTIF($W$2:$W$532,$W266)&gt;1)),"Yes","No"),IF($A266="Cybernet",IF(OR(AND($Y266&lt;&gt;"",LOWER(TRIM($Y266))&lt;&gt;"n/a",COUNTIF($Y$2:$Y$532,$Y266)&gt;1),AND($Z266&lt;&gt;"",LOWER(TRIM($Z266))&lt;&gt;"n/a",COUNTIF($Z$2:$Z$532,$Z266)&gt;1)),"Yes","No"),IF(AND($AL266&lt;&gt;"",LOWER(TRIM($AL266))&lt;&gt;"n/a",COUNTIF($AL$2:$AL$532,$AL266)&gt;1),"Yes","No"))))</f>
      </c>
      <c r="F266">
        <f>IF($B266&lt;&gt;"Yes","",
IF($A266="Neuron",
IF(OR(
AND($S266&lt;&gt;"",LOWER(TRIM($S266))&lt;&gt;"n/a",COUNTIFS($B$2:$B$532,"Yes",$A$2:$A$532,"Neuron",$S$2:$S$532,$S266)&gt;1),
AND($T266&lt;&gt;"",LOWER(TRIM($T266))&lt;&gt;"n/a",COUNTIFS($B$2:$B$532,"Yes",$A$2:$A$532,"Neuron",$T$2:$T$532,$T266)&gt;1),
AND($W266&lt;&gt;"",LOWER(TRIM($W266))&lt;&gt;"n/a",COUNTIFS($B$2:$B$532,"Yes",$A$2:$A$532,"Neuron",$W$2:$W$532,$W266)&gt;1)
),"Yes","No"),
IF($A266="Cybernet",
IF(OR(
AND($Y266&lt;&gt;"",LOWER(TRIM($Y266))&lt;&gt;"n/a",COUNTIFS($B$2:$B$532,"Yes",$A$2:$A$532,"Cybernet",$Y$2:$Y$532,$Y266)&gt;1),
AND($Z266&lt;&gt;"",LOWER(TRIM($Z266))&lt;&gt;"n/a",COUNTIFS($B$2:$B$532,"Yes",$A$2:$A$532,"Cybernet",$Z$2:$Z$532,$Z266)&gt;1)
),"Yes","No"),
IF(AND($AL266&lt;&gt;"",LOWER(TRIM($AL266))&lt;&gt;"n/a"),
IF(COUNTIFS($B$2:$B$532,"Yes",$A$2:$A$532,$A266,$AL$2:$AL$532,$AL266)&gt;1,"Yes","No"),
"No")
)
)
)</f>
      </c>
      <c r="BL266">
        <f>IF($T266="","",IF((IF(AND($AW266&lt;&gt;"Yes",$AW266&lt;&gt;"N/A"),"Power Cable, ","")&amp;IF(AND($AX266&lt;&gt;"Yes",$AX266&lt;&gt;"N/A"),"Battery, ","")&amp;IF(AND($BE266&lt;&gt;"Yes",$BE266&lt;&gt;"N/A"),"Firmware Download, ","")&amp;IF(AND(OR($BE266="Yes",$BE266="N/A"),$BF266&lt;&gt;"Yes",$BF266&lt;&gt;"N/A"),"Firmware Install, ","")&amp;IF(AND($BJ266&lt;&gt;"Yes",$BJ266&lt;&gt;"N/A"),"Device ID, ","")&amp;IF(AND($BK266&lt;&gt;"Yes",$BK266&lt;&gt;"N/A"),"Epic Beans Relay, ",""))="","",LEFT(IF(AND($AW266&lt;&gt;"Yes",$AW266&lt;&gt;"N/A"),"Power Cable, ","")&amp;IF(AND($AX266&lt;&gt;"Yes",$AX266&lt;&gt;"N/A"),"Battery, ","")&amp;IF(AND($BE266&lt;&gt;"Yes",$BE266&lt;&gt;"N/A"),"Firmware Download, ","")&amp;IF(AND(OR($BE266="Yes",$BE266="N/A"),$BF266&lt;&gt;"Yes",$BF266&lt;&gt;"N/A"),"Firmware Install, ","")&amp;IF(AND($BJ266&lt;&gt;"Yes",$BJ266&lt;&gt;"N/A"),"Device ID, ","")&amp;IF(AND($BK266&lt;&gt;"Yes",$BK266&lt;&gt;"N/A"),"Epic Beans Relay, ",""),LEN(IF(AND($AW266&lt;&gt;"Yes",$AW266&lt;&gt;"N/A"),"Power Cable, ","")&amp;IF(AND($AX266&lt;&gt;"Yes",$AX266&lt;&gt;"N/A"),"Battery, ","")&amp;IF(AND($BE266&lt;&gt;"Yes",$BE266&lt;&gt;"N/A"),"Firmware Download, ","")&amp;IF(AND(OR($BE266="Yes",$BE266="N/A"),$BF266&lt;&gt;"Yes",$BF266&lt;&gt;"N/A"),"Firmware Install, ","")&amp;IF(AND($BJ266&lt;&gt;"Yes",$BJ266&lt;&gt;"N/A"),"Device ID, ","")&amp;IF(AND($BK266&lt;&gt;"Yes",$BK266&lt;&gt;"N/A"),"Epic Beans Relay, ",""))-2)))</f>
      </c>
      <c r="BM266">
        <f>IF($T266="","",IF($BL266="","Yes","Blocked"))</f>
      </c>
      <c r="BP266">
        <f>IF($BO266="","",IFERROR(VLOOKUP($BO266,'01_Warehouse_Ledger'!$A:$N,4,FALSE),""))</f>
      </c>
      <c r="BQ266">
        <f>IF($BO266="","",IFERROR(VLOOKUP($BO266,'01_Warehouse_Ledger'!$A:$N,5,FALSE),""))</f>
      </c>
      <c r="BR266">
        <f>IF($BO266="","",IFERROR(VLOOKUP($BO266,'01_Warehouse_Ledger'!$A:$N,13,FALSE),""))</f>
      </c>
    </row>
    <row r="267">
      <c r="D267">
        <f>IF($B267&lt;&gt;"Yes","",IF($C267="No","Yes",IF($C267="Yes","No","")))</f>
      </c>
      <c r="E267">
        <f>IF($A267="","",IF($A267="Neuron",IF(OR(AND($S267&lt;&gt;"",LOWER(TRIM($S267))&lt;&gt;"n/a",COUNTIF($S$2:$S$532,$S267)&gt;1),AND($T267&lt;&gt;"",LOWER(TRIM($T267))&lt;&gt;"n/a",COUNTIF($T$2:$T$532,$T267)&gt;1),AND($W267&lt;&gt;"",LOWER(TRIM($W267))&lt;&gt;"n/a",COUNTIF($W$2:$W$532,$W267)&gt;1)),"Yes","No"),IF($A267="Cybernet",IF(OR(AND($Y267&lt;&gt;"",LOWER(TRIM($Y267))&lt;&gt;"n/a",COUNTIF($Y$2:$Y$532,$Y267)&gt;1),AND($Z267&lt;&gt;"",LOWER(TRIM($Z267))&lt;&gt;"n/a",COUNTIF($Z$2:$Z$532,$Z267)&gt;1)),"Yes","No"),IF(AND($AL267&lt;&gt;"",LOWER(TRIM($AL267))&lt;&gt;"n/a",COUNTIF($AL$2:$AL$532,$AL267)&gt;1),"Yes","No"))))</f>
      </c>
      <c r="F267">
        <f>IF($B267&lt;&gt;"Yes","",
IF($A267="Neuron",
IF(OR(
AND($S267&lt;&gt;"",LOWER(TRIM($S267))&lt;&gt;"n/a",COUNTIFS($B$2:$B$532,"Yes",$A$2:$A$532,"Neuron",$S$2:$S$532,$S267)&gt;1),
AND($T267&lt;&gt;"",LOWER(TRIM($T267))&lt;&gt;"n/a",COUNTIFS($B$2:$B$532,"Yes",$A$2:$A$532,"Neuron",$T$2:$T$532,$T267)&gt;1),
AND($W267&lt;&gt;"",LOWER(TRIM($W267))&lt;&gt;"n/a",COUNTIFS($B$2:$B$532,"Yes",$A$2:$A$532,"Neuron",$W$2:$W$532,$W267)&gt;1)
),"Yes","No"),
IF($A267="Cybernet",
IF(OR(
AND($Y267&lt;&gt;"",LOWER(TRIM($Y267))&lt;&gt;"n/a",COUNTIFS($B$2:$B$532,"Yes",$A$2:$A$532,"Cybernet",$Y$2:$Y$532,$Y267)&gt;1),
AND($Z267&lt;&gt;"",LOWER(TRIM($Z267))&lt;&gt;"n/a",COUNTIFS($B$2:$B$532,"Yes",$A$2:$A$532,"Cybernet",$Z$2:$Z$532,$Z267)&gt;1)
),"Yes","No"),
IF(AND($AL267&lt;&gt;"",LOWER(TRIM($AL267))&lt;&gt;"n/a"),
IF(COUNTIFS($B$2:$B$532,"Yes",$A$2:$A$532,$A267,$AL$2:$AL$532,$AL267)&gt;1,"Yes","No"),
"No")
)
)
)</f>
      </c>
      <c r="BL267">
        <f>IF($T267="","",IF((IF(AND($AW267&lt;&gt;"Yes",$AW267&lt;&gt;"N/A"),"Power Cable, ","")&amp;IF(AND($AX267&lt;&gt;"Yes",$AX267&lt;&gt;"N/A"),"Battery, ","")&amp;IF(AND($BE267&lt;&gt;"Yes",$BE267&lt;&gt;"N/A"),"Firmware Download, ","")&amp;IF(AND(OR($BE267="Yes",$BE267="N/A"),$BF267&lt;&gt;"Yes",$BF267&lt;&gt;"N/A"),"Firmware Install, ","")&amp;IF(AND($BJ267&lt;&gt;"Yes",$BJ267&lt;&gt;"N/A"),"Device ID, ","")&amp;IF(AND($BK267&lt;&gt;"Yes",$BK267&lt;&gt;"N/A"),"Epic Beans Relay, ",""))="","",LEFT(IF(AND($AW267&lt;&gt;"Yes",$AW267&lt;&gt;"N/A"),"Power Cable, ","")&amp;IF(AND($AX267&lt;&gt;"Yes",$AX267&lt;&gt;"N/A"),"Battery, ","")&amp;IF(AND($BE267&lt;&gt;"Yes",$BE267&lt;&gt;"N/A"),"Firmware Download, ","")&amp;IF(AND(OR($BE267="Yes",$BE267="N/A"),$BF267&lt;&gt;"Yes",$BF267&lt;&gt;"N/A"),"Firmware Install, ","")&amp;IF(AND($BJ267&lt;&gt;"Yes",$BJ267&lt;&gt;"N/A"),"Device ID, ","")&amp;IF(AND($BK267&lt;&gt;"Yes",$BK267&lt;&gt;"N/A"),"Epic Beans Relay, ",""),LEN(IF(AND($AW267&lt;&gt;"Yes",$AW267&lt;&gt;"N/A"),"Power Cable, ","")&amp;IF(AND($AX267&lt;&gt;"Yes",$AX267&lt;&gt;"N/A"),"Battery, ","")&amp;IF(AND($BE267&lt;&gt;"Yes",$BE267&lt;&gt;"N/A"),"Firmware Download, ","")&amp;IF(AND(OR($BE267="Yes",$BE267="N/A"),$BF267&lt;&gt;"Yes",$BF267&lt;&gt;"N/A"),"Firmware Install, ","")&amp;IF(AND($BJ267&lt;&gt;"Yes",$BJ267&lt;&gt;"N/A"),"Device ID, ","")&amp;IF(AND($BK267&lt;&gt;"Yes",$BK267&lt;&gt;"N/A"),"Epic Beans Relay, ",""))-2)))</f>
      </c>
      <c r="BM267">
        <f>IF($T267="","",IF($BL267="","Yes","Blocked"))</f>
      </c>
      <c r="BP267">
        <f>IF($BO267="","",IFERROR(VLOOKUP($BO267,'01_Warehouse_Ledger'!$A:$N,4,FALSE),""))</f>
      </c>
      <c r="BQ267">
        <f>IF($BO267="","",IFERROR(VLOOKUP($BO267,'01_Warehouse_Ledger'!$A:$N,5,FALSE),""))</f>
      </c>
      <c r="BR267">
        <f>IF($BO267="","",IFERROR(VLOOKUP($BO267,'01_Warehouse_Ledger'!$A:$N,13,FALSE),""))</f>
      </c>
    </row>
    <row r="268">
      <c r="D268">
        <f>IF($B268&lt;&gt;"Yes","",IF($C268="No","Yes",IF($C268="Yes","No","")))</f>
      </c>
      <c r="E268">
        <f>IF($A268="","",IF($A268="Neuron",IF(OR(AND($S268&lt;&gt;"",LOWER(TRIM($S268))&lt;&gt;"n/a",COUNTIF($S$2:$S$532,$S268)&gt;1),AND($T268&lt;&gt;"",LOWER(TRIM($T268))&lt;&gt;"n/a",COUNTIF($T$2:$T$532,$T268)&gt;1),AND($W268&lt;&gt;"",LOWER(TRIM($W268))&lt;&gt;"n/a",COUNTIF($W$2:$W$532,$W268)&gt;1)),"Yes","No"),IF($A268="Cybernet",IF(OR(AND($Y268&lt;&gt;"",LOWER(TRIM($Y268))&lt;&gt;"n/a",COUNTIF($Y$2:$Y$532,$Y268)&gt;1),AND($Z268&lt;&gt;"",LOWER(TRIM($Z268))&lt;&gt;"n/a",COUNTIF($Z$2:$Z$532,$Z268)&gt;1)),"Yes","No"),IF(AND($AL268&lt;&gt;"",LOWER(TRIM($AL268))&lt;&gt;"n/a",COUNTIF($AL$2:$AL$532,$AL268)&gt;1),"Yes","No"))))</f>
      </c>
      <c r="F268">
        <f>IF($B268&lt;&gt;"Yes","",
IF($A268="Neuron",
IF(OR(
AND($S268&lt;&gt;"",LOWER(TRIM($S268))&lt;&gt;"n/a",COUNTIFS($B$2:$B$532,"Yes",$A$2:$A$532,"Neuron",$S$2:$S$532,$S268)&gt;1),
AND($T268&lt;&gt;"",LOWER(TRIM($T268))&lt;&gt;"n/a",COUNTIFS($B$2:$B$532,"Yes",$A$2:$A$532,"Neuron",$T$2:$T$532,$T268)&gt;1),
AND($W268&lt;&gt;"",LOWER(TRIM($W268))&lt;&gt;"n/a",COUNTIFS($B$2:$B$532,"Yes",$A$2:$A$532,"Neuron",$W$2:$W$532,$W268)&gt;1)
),"Yes","No"),
IF($A268="Cybernet",
IF(OR(
AND($Y268&lt;&gt;"",LOWER(TRIM($Y268))&lt;&gt;"n/a",COUNTIFS($B$2:$B$532,"Yes",$A$2:$A$532,"Cybernet",$Y$2:$Y$532,$Y268)&gt;1),
AND($Z268&lt;&gt;"",LOWER(TRIM($Z268))&lt;&gt;"n/a",COUNTIFS($B$2:$B$532,"Yes",$A$2:$A$532,"Cybernet",$Z$2:$Z$532,$Z268)&gt;1)
),"Yes","No"),
IF(AND($AL268&lt;&gt;"",LOWER(TRIM($AL268))&lt;&gt;"n/a"),
IF(COUNTIFS($B$2:$B$532,"Yes",$A$2:$A$532,$A268,$AL$2:$AL$532,$AL268)&gt;1,"Yes","No"),
"No")
)
)
)</f>
      </c>
      <c r="BL268">
        <f>IF($T268="","",IF((IF(AND($AW268&lt;&gt;"Yes",$AW268&lt;&gt;"N/A"),"Power Cable, ","")&amp;IF(AND($AX268&lt;&gt;"Yes",$AX268&lt;&gt;"N/A"),"Battery, ","")&amp;IF(AND($BE268&lt;&gt;"Yes",$BE268&lt;&gt;"N/A"),"Firmware Download, ","")&amp;IF(AND(OR($BE268="Yes",$BE268="N/A"),$BF268&lt;&gt;"Yes",$BF268&lt;&gt;"N/A"),"Firmware Install, ","")&amp;IF(AND($BJ268&lt;&gt;"Yes",$BJ268&lt;&gt;"N/A"),"Device ID, ","")&amp;IF(AND($BK268&lt;&gt;"Yes",$BK268&lt;&gt;"N/A"),"Epic Beans Relay, ",""))="","",LEFT(IF(AND($AW268&lt;&gt;"Yes",$AW268&lt;&gt;"N/A"),"Power Cable, ","")&amp;IF(AND($AX268&lt;&gt;"Yes",$AX268&lt;&gt;"N/A"),"Battery, ","")&amp;IF(AND($BE268&lt;&gt;"Yes",$BE268&lt;&gt;"N/A"),"Firmware Download, ","")&amp;IF(AND(OR($BE268="Yes",$BE268="N/A"),$BF268&lt;&gt;"Yes",$BF268&lt;&gt;"N/A"),"Firmware Install, ","")&amp;IF(AND($BJ268&lt;&gt;"Yes",$BJ268&lt;&gt;"N/A"),"Device ID, ","")&amp;IF(AND($BK268&lt;&gt;"Yes",$BK268&lt;&gt;"N/A"),"Epic Beans Relay, ",""),LEN(IF(AND($AW268&lt;&gt;"Yes",$AW268&lt;&gt;"N/A"),"Power Cable, ","")&amp;IF(AND($AX268&lt;&gt;"Yes",$AX268&lt;&gt;"N/A"),"Battery, ","")&amp;IF(AND($BE268&lt;&gt;"Yes",$BE268&lt;&gt;"N/A"),"Firmware Download, ","")&amp;IF(AND(OR($BE268="Yes",$BE268="N/A"),$BF268&lt;&gt;"Yes",$BF268&lt;&gt;"N/A"),"Firmware Install, ","")&amp;IF(AND($BJ268&lt;&gt;"Yes",$BJ268&lt;&gt;"N/A"),"Device ID, ","")&amp;IF(AND($BK268&lt;&gt;"Yes",$BK268&lt;&gt;"N/A"),"Epic Beans Relay, ",""))-2)))</f>
      </c>
      <c r="BM268">
        <f>IF($T268="","",IF($BL268="","Yes","Blocked"))</f>
      </c>
      <c r="BP268">
        <f>IF($BO268="","",IFERROR(VLOOKUP($BO268,'01_Warehouse_Ledger'!$A:$N,4,FALSE),""))</f>
      </c>
      <c r="BQ268">
        <f>IF($BO268="","",IFERROR(VLOOKUP($BO268,'01_Warehouse_Ledger'!$A:$N,5,FALSE),""))</f>
      </c>
      <c r="BR268">
        <f>IF($BO268="","",IFERROR(VLOOKUP($BO268,'01_Warehouse_Ledger'!$A:$N,13,FALSE),""))</f>
      </c>
    </row>
    <row r="269">
      <c r="D269">
        <f>IF($B269&lt;&gt;"Yes","",IF($C269="No","Yes",IF($C269="Yes","No","")))</f>
      </c>
      <c r="E269">
        <f>IF($A269="","",IF($A269="Neuron",IF(OR(AND($S269&lt;&gt;"",LOWER(TRIM($S269))&lt;&gt;"n/a",COUNTIF($S$2:$S$532,$S269)&gt;1),AND($T269&lt;&gt;"",LOWER(TRIM($T269))&lt;&gt;"n/a",COUNTIF($T$2:$T$532,$T269)&gt;1),AND($W269&lt;&gt;"",LOWER(TRIM($W269))&lt;&gt;"n/a",COUNTIF($W$2:$W$532,$W269)&gt;1)),"Yes","No"),IF($A269="Cybernet",IF(OR(AND($Y269&lt;&gt;"",LOWER(TRIM($Y269))&lt;&gt;"n/a",COUNTIF($Y$2:$Y$532,$Y269)&gt;1),AND($Z269&lt;&gt;"",LOWER(TRIM($Z269))&lt;&gt;"n/a",COUNTIF($Z$2:$Z$532,$Z269)&gt;1)),"Yes","No"),IF(AND($AL269&lt;&gt;"",LOWER(TRIM($AL269))&lt;&gt;"n/a",COUNTIF($AL$2:$AL$532,$AL269)&gt;1),"Yes","No"))))</f>
      </c>
      <c r="F269">
        <f>IF($B269&lt;&gt;"Yes","",
IF($A269="Neuron",
IF(OR(
AND($S269&lt;&gt;"",LOWER(TRIM($S269))&lt;&gt;"n/a",COUNTIFS($B$2:$B$532,"Yes",$A$2:$A$532,"Neuron",$S$2:$S$532,$S269)&gt;1),
AND($T269&lt;&gt;"",LOWER(TRIM($T269))&lt;&gt;"n/a",COUNTIFS($B$2:$B$532,"Yes",$A$2:$A$532,"Neuron",$T$2:$T$532,$T269)&gt;1),
AND($W269&lt;&gt;"",LOWER(TRIM($W269))&lt;&gt;"n/a",COUNTIFS($B$2:$B$532,"Yes",$A$2:$A$532,"Neuron",$W$2:$W$532,$W269)&gt;1)
),"Yes","No"),
IF($A269="Cybernet",
IF(OR(
AND($Y269&lt;&gt;"",LOWER(TRIM($Y269))&lt;&gt;"n/a",COUNTIFS($B$2:$B$532,"Yes",$A$2:$A$532,"Cybernet",$Y$2:$Y$532,$Y269)&gt;1),
AND($Z269&lt;&gt;"",LOWER(TRIM($Z269))&lt;&gt;"n/a",COUNTIFS($B$2:$B$532,"Yes",$A$2:$A$532,"Cybernet",$Z$2:$Z$532,$Z269)&gt;1)
),"Yes","No"),
IF(AND($AL269&lt;&gt;"",LOWER(TRIM($AL269))&lt;&gt;"n/a"),
IF(COUNTIFS($B$2:$B$532,"Yes",$A$2:$A$532,$A269,$AL$2:$AL$532,$AL269)&gt;1,"Yes","No"),
"No")
)
)
)</f>
      </c>
      <c r="BL269">
        <f>IF($T269="","",IF((IF(AND($AW269&lt;&gt;"Yes",$AW269&lt;&gt;"N/A"),"Power Cable, ","")&amp;IF(AND($AX269&lt;&gt;"Yes",$AX269&lt;&gt;"N/A"),"Battery, ","")&amp;IF(AND($BE269&lt;&gt;"Yes",$BE269&lt;&gt;"N/A"),"Firmware Download, ","")&amp;IF(AND(OR($BE269="Yes",$BE269="N/A"),$BF269&lt;&gt;"Yes",$BF269&lt;&gt;"N/A"),"Firmware Install, ","")&amp;IF(AND($BJ269&lt;&gt;"Yes",$BJ269&lt;&gt;"N/A"),"Device ID, ","")&amp;IF(AND($BK269&lt;&gt;"Yes",$BK269&lt;&gt;"N/A"),"Epic Beans Relay, ",""))="","",LEFT(IF(AND($AW269&lt;&gt;"Yes",$AW269&lt;&gt;"N/A"),"Power Cable, ","")&amp;IF(AND($AX269&lt;&gt;"Yes",$AX269&lt;&gt;"N/A"),"Battery, ","")&amp;IF(AND($BE269&lt;&gt;"Yes",$BE269&lt;&gt;"N/A"),"Firmware Download, ","")&amp;IF(AND(OR($BE269="Yes",$BE269="N/A"),$BF269&lt;&gt;"Yes",$BF269&lt;&gt;"N/A"),"Firmware Install, ","")&amp;IF(AND($BJ269&lt;&gt;"Yes",$BJ269&lt;&gt;"N/A"),"Device ID, ","")&amp;IF(AND($BK269&lt;&gt;"Yes",$BK269&lt;&gt;"N/A"),"Epic Beans Relay, ",""),LEN(IF(AND($AW269&lt;&gt;"Yes",$AW269&lt;&gt;"N/A"),"Power Cable, ","")&amp;IF(AND($AX269&lt;&gt;"Yes",$AX269&lt;&gt;"N/A"),"Battery, ","")&amp;IF(AND($BE269&lt;&gt;"Yes",$BE269&lt;&gt;"N/A"),"Firmware Download, ","")&amp;IF(AND(OR($BE269="Yes",$BE269="N/A"),$BF269&lt;&gt;"Yes",$BF269&lt;&gt;"N/A"),"Firmware Install, ","")&amp;IF(AND($BJ269&lt;&gt;"Yes",$BJ269&lt;&gt;"N/A"),"Device ID, ","")&amp;IF(AND($BK269&lt;&gt;"Yes",$BK269&lt;&gt;"N/A"),"Epic Beans Relay, ",""))-2)))</f>
      </c>
      <c r="BM269">
        <f>IF($T269="","",IF($BL269="","Yes","Blocked"))</f>
      </c>
      <c r="BP269">
        <f>IF($BO269="","",IFERROR(VLOOKUP($BO269,'01_Warehouse_Ledger'!$A:$N,4,FALSE),""))</f>
      </c>
      <c r="BQ269">
        <f>IF($BO269="","",IFERROR(VLOOKUP($BO269,'01_Warehouse_Ledger'!$A:$N,5,FALSE),""))</f>
      </c>
      <c r="BR269">
        <f>IF($BO269="","",IFERROR(VLOOKUP($BO269,'01_Warehouse_Ledger'!$A:$N,13,FALSE),""))</f>
      </c>
    </row>
    <row r="270">
      <c r="D270">
        <f>IF($B270&lt;&gt;"Yes","",IF($C270="No","Yes",IF($C270="Yes","No","")))</f>
      </c>
      <c r="E270">
        <f>IF($A270="","",IF($A270="Neuron",IF(OR(AND($S270&lt;&gt;"",LOWER(TRIM($S270))&lt;&gt;"n/a",COUNTIF($S$2:$S$532,$S270)&gt;1),AND($T270&lt;&gt;"",LOWER(TRIM($T270))&lt;&gt;"n/a",COUNTIF($T$2:$T$532,$T270)&gt;1),AND($W270&lt;&gt;"",LOWER(TRIM($W270))&lt;&gt;"n/a",COUNTIF($W$2:$W$532,$W270)&gt;1)),"Yes","No"),IF($A270="Cybernet",IF(OR(AND($Y270&lt;&gt;"",LOWER(TRIM($Y270))&lt;&gt;"n/a",COUNTIF($Y$2:$Y$532,$Y270)&gt;1),AND($Z270&lt;&gt;"",LOWER(TRIM($Z270))&lt;&gt;"n/a",COUNTIF($Z$2:$Z$532,$Z270)&gt;1)),"Yes","No"),IF(AND($AL270&lt;&gt;"",LOWER(TRIM($AL270))&lt;&gt;"n/a",COUNTIF($AL$2:$AL$532,$AL270)&gt;1),"Yes","No"))))</f>
      </c>
      <c r="F270">
        <f>IF($B270&lt;&gt;"Yes","",
IF($A270="Neuron",
IF(OR(
AND($S270&lt;&gt;"",LOWER(TRIM($S270))&lt;&gt;"n/a",COUNTIFS($B$2:$B$532,"Yes",$A$2:$A$532,"Neuron",$S$2:$S$532,$S270)&gt;1),
AND($T270&lt;&gt;"",LOWER(TRIM($T270))&lt;&gt;"n/a",COUNTIFS($B$2:$B$532,"Yes",$A$2:$A$532,"Neuron",$T$2:$T$532,$T270)&gt;1),
AND($W270&lt;&gt;"",LOWER(TRIM($W270))&lt;&gt;"n/a",COUNTIFS($B$2:$B$532,"Yes",$A$2:$A$532,"Neuron",$W$2:$W$532,$W270)&gt;1)
),"Yes","No"),
IF($A270="Cybernet",
IF(OR(
AND($Y270&lt;&gt;"",LOWER(TRIM($Y270))&lt;&gt;"n/a",COUNTIFS($B$2:$B$532,"Yes",$A$2:$A$532,"Cybernet",$Y$2:$Y$532,$Y270)&gt;1),
AND($Z270&lt;&gt;"",LOWER(TRIM($Z270))&lt;&gt;"n/a",COUNTIFS($B$2:$B$532,"Yes",$A$2:$A$532,"Cybernet",$Z$2:$Z$532,$Z270)&gt;1)
),"Yes","No"),
IF(AND($AL270&lt;&gt;"",LOWER(TRIM($AL270))&lt;&gt;"n/a"),
IF(COUNTIFS($B$2:$B$532,"Yes",$A$2:$A$532,$A270,$AL$2:$AL$532,$AL270)&gt;1,"Yes","No"),
"No")
)
)
)</f>
      </c>
      <c r="BL270">
        <f>IF($T270="","",IF((IF(AND($AW270&lt;&gt;"Yes",$AW270&lt;&gt;"N/A"),"Power Cable, ","")&amp;IF(AND($AX270&lt;&gt;"Yes",$AX270&lt;&gt;"N/A"),"Battery, ","")&amp;IF(AND($BE270&lt;&gt;"Yes",$BE270&lt;&gt;"N/A"),"Firmware Download, ","")&amp;IF(AND(OR($BE270="Yes",$BE270="N/A"),$BF270&lt;&gt;"Yes",$BF270&lt;&gt;"N/A"),"Firmware Install, ","")&amp;IF(AND($BJ270&lt;&gt;"Yes",$BJ270&lt;&gt;"N/A"),"Device ID, ","")&amp;IF(AND($BK270&lt;&gt;"Yes",$BK270&lt;&gt;"N/A"),"Epic Beans Relay, ",""))="","",LEFT(IF(AND($AW270&lt;&gt;"Yes",$AW270&lt;&gt;"N/A"),"Power Cable, ","")&amp;IF(AND($AX270&lt;&gt;"Yes",$AX270&lt;&gt;"N/A"),"Battery, ","")&amp;IF(AND($BE270&lt;&gt;"Yes",$BE270&lt;&gt;"N/A"),"Firmware Download, ","")&amp;IF(AND(OR($BE270="Yes",$BE270="N/A"),$BF270&lt;&gt;"Yes",$BF270&lt;&gt;"N/A"),"Firmware Install, ","")&amp;IF(AND($BJ270&lt;&gt;"Yes",$BJ270&lt;&gt;"N/A"),"Device ID, ","")&amp;IF(AND($BK270&lt;&gt;"Yes",$BK270&lt;&gt;"N/A"),"Epic Beans Relay, ",""),LEN(IF(AND($AW270&lt;&gt;"Yes",$AW270&lt;&gt;"N/A"),"Power Cable, ","")&amp;IF(AND($AX270&lt;&gt;"Yes",$AX270&lt;&gt;"N/A"),"Battery, ","")&amp;IF(AND($BE270&lt;&gt;"Yes",$BE270&lt;&gt;"N/A"),"Firmware Download, ","")&amp;IF(AND(OR($BE270="Yes",$BE270="N/A"),$BF270&lt;&gt;"Yes",$BF270&lt;&gt;"N/A"),"Firmware Install, ","")&amp;IF(AND($BJ270&lt;&gt;"Yes",$BJ270&lt;&gt;"N/A"),"Device ID, ","")&amp;IF(AND($BK270&lt;&gt;"Yes",$BK270&lt;&gt;"N/A"),"Epic Beans Relay, ",""))-2)))</f>
      </c>
      <c r="BM270">
        <f>IF($T270="","",IF($BL270="","Yes","Blocked"))</f>
      </c>
      <c r="BP270">
        <f>IF($BO270="","",IFERROR(VLOOKUP($BO270,'01_Warehouse_Ledger'!$A:$N,4,FALSE),""))</f>
      </c>
      <c r="BQ270">
        <f>IF($BO270="","",IFERROR(VLOOKUP($BO270,'01_Warehouse_Ledger'!$A:$N,5,FALSE),""))</f>
      </c>
      <c r="BR270">
        <f>IF($BO270="","",IFERROR(VLOOKUP($BO270,'01_Warehouse_Ledger'!$A:$N,13,FALSE),""))</f>
      </c>
    </row>
    <row r="271">
      <c r="D271">
        <f>IF($B271&lt;&gt;"Yes","",IF($C271="No","Yes",IF($C271="Yes","No","")))</f>
      </c>
      <c r="E271">
        <f>IF($A271="","",IF($A271="Neuron",IF(OR(AND($S271&lt;&gt;"",LOWER(TRIM($S271))&lt;&gt;"n/a",COUNTIF($S$2:$S$532,$S271)&gt;1),AND($T271&lt;&gt;"",LOWER(TRIM($T271))&lt;&gt;"n/a",COUNTIF($T$2:$T$532,$T271)&gt;1),AND($W271&lt;&gt;"",LOWER(TRIM($W271))&lt;&gt;"n/a",COUNTIF($W$2:$W$532,$W271)&gt;1)),"Yes","No"),IF($A271="Cybernet",IF(OR(AND($Y271&lt;&gt;"",LOWER(TRIM($Y271))&lt;&gt;"n/a",COUNTIF($Y$2:$Y$532,$Y271)&gt;1),AND($Z271&lt;&gt;"",LOWER(TRIM($Z271))&lt;&gt;"n/a",COUNTIF($Z$2:$Z$532,$Z271)&gt;1)),"Yes","No"),IF(AND($AL271&lt;&gt;"",LOWER(TRIM($AL271))&lt;&gt;"n/a",COUNTIF($AL$2:$AL$532,$AL271)&gt;1),"Yes","No"))))</f>
      </c>
      <c r="F271">
        <f>IF($B271&lt;&gt;"Yes","",
IF($A271="Neuron",
IF(OR(
AND($S271&lt;&gt;"",LOWER(TRIM($S271))&lt;&gt;"n/a",COUNTIFS($B$2:$B$532,"Yes",$A$2:$A$532,"Neuron",$S$2:$S$532,$S271)&gt;1),
AND($T271&lt;&gt;"",LOWER(TRIM($T271))&lt;&gt;"n/a",COUNTIFS($B$2:$B$532,"Yes",$A$2:$A$532,"Neuron",$T$2:$T$532,$T271)&gt;1),
AND($W271&lt;&gt;"",LOWER(TRIM($W271))&lt;&gt;"n/a",COUNTIFS($B$2:$B$532,"Yes",$A$2:$A$532,"Neuron",$W$2:$W$532,$W271)&gt;1)
),"Yes","No"),
IF($A271="Cybernet",
IF(OR(
AND($Y271&lt;&gt;"",LOWER(TRIM($Y271))&lt;&gt;"n/a",COUNTIFS($B$2:$B$532,"Yes",$A$2:$A$532,"Cybernet",$Y$2:$Y$532,$Y271)&gt;1),
AND($Z271&lt;&gt;"",LOWER(TRIM($Z271))&lt;&gt;"n/a",COUNTIFS($B$2:$B$532,"Yes",$A$2:$A$532,"Cybernet",$Z$2:$Z$532,$Z271)&gt;1)
),"Yes","No"),
IF(AND($AL271&lt;&gt;"",LOWER(TRIM($AL271))&lt;&gt;"n/a"),
IF(COUNTIFS($B$2:$B$532,"Yes",$A$2:$A$532,$A271,$AL$2:$AL$532,$AL271)&gt;1,"Yes","No"),
"No")
)
)
)</f>
      </c>
      <c r="BL271">
        <f>IF($T271="","",IF((IF(AND($AW271&lt;&gt;"Yes",$AW271&lt;&gt;"N/A"),"Power Cable, ","")&amp;IF(AND($AX271&lt;&gt;"Yes",$AX271&lt;&gt;"N/A"),"Battery, ","")&amp;IF(AND($BE271&lt;&gt;"Yes",$BE271&lt;&gt;"N/A"),"Firmware Download, ","")&amp;IF(AND(OR($BE271="Yes",$BE271="N/A"),$BF271&lt;&gt;"Yes",$BF271&lt;&gt;"N/A"),"Firmware Install, ","")&amp;IF(AND($BJ271&lt;&gt;"Yes",$BJ271&lt;&gt;"N/A"),"Device ID, ","")&amp;IF(AND($BK271&lt;&gt;"Yes",$BK271&lt;&gt;"N/A"),"Epic Beans Relay, ",""))="","",LEFT(IF(AND($AW271&lt;&gt;"Yes",$AW271&lt;&gt;"N/A"),"Power Cable, ","")&amp;IF(AND($AX271&lt;&gt;"Yes",$AX271&lt;&gt;"N/A"),"Battery, ","")&amp;IF(AND($BE271&lt;&gt;"Yes",$BE271&lt;&gt;"N/A"),"Firmware Download, ","")&amp;IF(AND(OR($BE271="Yes",$BE271="N/A"),$BF271&lt;&gt;"Yes",$BF271&lt;&gt;"N/A"),"Firmware Install, ","")&amp;IF(AND($BJ271&lt;&gt;"Yes",$BJ271&lt;&gt;"N/A"),"Device ID, ","")&amp;IF(AND($BK271&lt;&gt;"Yes",$BK271&lt;&gt;"N/A"),"Epic Beans Relay, ",""),LEN(IF(AND($AW271&lt;&gt;"Yes",$AW271&lt;&gt;"N/A"),"Power Cable, ","")&amp;IF(AND($AX271&lt;&gt;"Yes",$AX271&lt;&gt;"N/A"),"Battery, ","")&amp;IF(AND($BE271&lt;&gt;"Yes",$BE271&lt;&gt;"N/A"),"Firmware Download, ","")&amp;IF(AND(OR($BE271="Yes",$BE271="N/A"),$BF271&lt;&gt;"Yes",$BF271&lt;&gt;"N/A"),"Firmware Install, ","")&amp;IF(AND($BJ271&lt;&gt;"Yes",$BJ271&lt;&gt;"N/A"),"Device ID, ","")&amp;IF(AND($BK271&lt;&gt;"Yes",$BK271&lt;&gt;"N/A"),"Epic Beans Relay, ",""))-2)))</f>
      </c>
      <c r="BM271">
        <f>IF($T271="","",IF($BL271="","Yes","Blocked"))</f>
      </c>
      <c r="BP271">
        <f>IF($BO271="","",IFERROR(VLOOKUP($BO271,'01_Warehouse_Ledger'!$A:$N,4,FALSE),""))</f>
      </c>
      <c r="BQ271">
        <f>IF($BO271="","",IFERROR(VLOOKUP($BO271,'01_Warehouse_Ledger'!$A:$N,5,FALSE),""))</f>
      </c>
      <c r="BR271">
        <f>IF($BO271="","",IFERROR(VLOOKUP($BO271,'01_Warehouse_Ledger'!$A:$N,13,FALSE),""))</f>
      </c>
    </row>
    <row r="272">
      <c r="D272">
        <f>IF($B272&lt;&gt;"Yes","",IF($C272="No","Yes",IF($C272="Yes","No","")))</f>
      </c>
      <c r="E272">
        <f>IF($A272="","",IF($A272="Neuron",IF(OR(AND($S272&lt;&gt;"",LOWER(TRIM($S272))&lt;&gt;"n/a",COUNTIF($S$2:$S$532,$S272)&gt;1),AND($T272&lt;&gt;"",LOWER(TRIM($T272))&lt;&gt;"n/a",COUNTIF($T$2:$T$532,$T272)&gt;1),AND($W272&lt;&gt;"",LOWER(TRIM($W272))&lt;&gt;"n/a",COUNTIF($W$2:$W$532,$W272)&gt;1)),"Yes","No"),IF($A272="Cybernet",IF(OR(AND($Y272&lt;&gt;"",LOWER(TRIM($Y272))&lt;&gt;"n/a",COUNTIF($Y$2:$Y$532,$Y272)&gt;1),AND($Z272&lt;&gt;"",LOWER(TRIM($Z272))&lt;&gt;"n/a",COUNTIF($Z$2:$Z$532,$Z272)&gt;1)),"Yes","No"),IF(AND($AL272&lt;&gt;"",LOWER(TRIM($AL272))&lt;&gt;"n/a",COUNTIF($AL$2:$AL$532,$AL272)&gt;1),"Yes","No"))))</f>
      </c>
      <c r="F272">
        <f>IF($B272&lt;&gt;"Yes","",
IF($A272="Neuron",
IF(OR(
AND($S272&lt;&gt;"",LOWER(TRIM($S272))&lt;&gt;"n/a",COUNTIFS($B$2:$B$532,"Yes",$A$2:$A$532,"Neuron",$S$2:$S$532,$S272)&gt;1),
AND($T272&lt;&gt;"",LOWER(TRIM($T272))&lt;&gt;"n/a",COUNTIFS($B$2:$B$532,"Yes",$A$2:$A$532,"Neuron",$T$2:$T$532,$T272)&gt;1),
AND($W272&lt;&gt;"",LOWER(TRIM($W272))&lt;&gt;"n/a",COUNTIFS($B$2:$B$532,"Yes",$A$2:$A$532,"Neuron",$W$2:$W$532,$W272)&gt;1)
),"Yes","No"),
IF($A272="Cybernet",
IF(OR(
AND($Y272&lt;&gt;"",LOWER(TRIM($Y272))&lt;&gt;"n/a",COUNTIFS($B$2:$B$532,"Yes",$A$2:$A$532,"Cybernet",$Y$2:$Y$532,$Y272)&gt;1),
AND($Z272&lt;&gt;"",LOWER(TRIM($Z272))&lt;&gt;"n/a",COUNTIFS($B$2:$B$532,"Yes",$A$2:$A$532,"Cybernet",$Z$2:$Z$532,$Z272)&gt;1)
),"Yes","No"),
IF(AND($AL272&lt;&gt;"",LOWER(TRIM($AL272))&lt;&gt;"n/a"),
IF(COUNTIFS($B$2:$B$532,"Yes",$A$2:$A$532,$A272,$AL$2:$AL$532,$AL272)&gt;1,"Yes","No"),
"No")
)
)
)</f>
      </c>
      <c r="BL272">
        <f>IF($T272="","",IF((IF(AND($AW272&lt;&gt;"Yes",$AW272&lt;&gt;"N/A"),"Power Cable, ","")&amp;IF(AND($AX272&lt;&gt;"Yes",$AX272&lt;&gt;"N/A"),"Battery, ","")&amp;IF(AND($BE272&lt;&gt;"Yes",$BE272&lt;&gt;"N/A"),"Firmware Download, ","")&amp;IF(AND(OR($BE272="Yes",$BE272="N/A"),$BF272&lt;&gt;"Yes",$BF272&lt;&gt;"N/A"),"Firmware Install, ","")&amp;IF(AND($BJ272&lt;&gt;"Yes",$BJ272&lt;&gt;"N/A"),"Device ID, ","")&amp;IF(AND($BK272&lt;&gt;"Yes",$BK272&lt;&gt;"N/A"),"Epic Beans Relay, ",""))="","",LEFT(IF(AND($AW272&lt;&gt;"Yes",$AW272&lt;&gt;"N/A"),"Power Cable, ","")&amp;IF(AND($AX272&lt;&gt;"Yes",$AX272&lt;&gt;"N/A"),"Battery, ","")&amp;IF(AND($BE272&lt;&gt;"Yes",$BE272&lt;&gt;"N/A"),"Firmware Download, ","")&amp;IF(AND(OR($BE272="Yes",$BE272="N/A"),$BF272&lt;&gt;"Yes",$BF272&lt;&gt;"N/A"),"Firmware Install, ","")&amp;IF(AND($BJ272&lt;&gt;"Yes",$BJ272&lt;&gt;"N/A"),"Device ID, ","")&amp;IF(AND($BK272&lt;&gt;"Yes",$BK272&lt;&gt;"N/A"),"Epic Beans Relay, ",""),LEN(IF(AND($AW272&lt;&gt;"Yes",$AW272&lt;&gt;"N/A"),"Power Cable, ","")&amp;IF(AND($AX272&lt;&gt;"Yes",$AX272&lt;&gt;"N/A"),"Battery, ","")&amp;IF(AND($BE272&lt;&gt;"Yes",$BE272&lt;&gt;"N/A"),"Firmware Download, ","")&amp;IF(AND(OR($BE272="Yes",$BE272="N/A"),$BF272&lt;&gt;"Yes",$BF272&lt;&gt;"N/A"),"Firmware Install, ","")&amp;IF(AND($BJ272&lt;&gt;"Yes",$BJ272&lt;&gt;"N/A"),"Device ID, ","")&amp;IF(AND($BK272&lt;&gt;"Yes",$BK272&lt;&gt;"N/A"),"Epic Beans Relay, ",""))-2)))</f>
      </c>
      <c r="BM272">
        <f>IF($T272="","",IF($BL272="","Yes","Blocked"))</f>
      </c>
      <c r="BP272">
        <f>IF($BO272="","",IFERROR(VLOOKUP($BO272,'01_Warehouse_Ledger'!$A:$N,4,FALSE),""))</f>
      </c>
      <c r="BQ272">
        <f>IF($BO272="","",IFERROR(VLOOKUP($BO272,'01_Warehouse_Ledger'!$A:$N,5,FALSE),""))</f>
      </c>
      <c r="BR272">
        <f>IF($BO272="","",IFERROR(VLOOKUP($BO272,'01_Warehouse_Ledger'!$A:$N,13,FALSE),""))</f>
      </c>
    </row>
    <row r="273">
      <c r="D273">
        <f>IF($B273&lt;&gt;"Yes","",IF($C273="No","Yes",IF($C273="Yes","No","")))</f>
      </c>
      <c r="E273">
        <f>IF($A273="","",IF($A273="Neuron",IF(OR(AND($S273&lt;&gt;"",LOWER(TRIM($S273))&lt;&gt;"n/a",COUNTIF($S$2:$S$532,$S273)&gt;1),AND($T273&lt;&gt;"",LOWER(TRIM($T273))&lt;&gt;"n/a",COUNTIF($T$2:$T$532,$T273)&gt;1),AND($W273&lt;&gt;"",LOWER(TRIM($W273))&lt;&gt;"n/a",COUNTIF($W$2:$W$532,$W273)&gt;1)),"Yes","No"),IF($A273="Cybernet",IF(OR(AND($Y273&lt;&gt;"",LOWER(TRIM($Y273))&lt;&gt;"n/a",COUNTIF($Y$2:$Y$532,$Y273)&gt;1),AND($Z273&lt;&gt;"",LOWER(TRIM($Z273))&lt;&gt;"n/a",COUNTIF($Z$2:$Z$532,$Z273)&gt;1)),"Yes","No"),IF(AND($AL273&lt;&gt;"",LOWER(TRIM($AL273))&lt;&gt;"n/a",COUNTIF($AL$2:$AL$532,$AL273)&gt;1),"Yes","No"))))</f>
      </c>
      <c r="F273">
        <f>IF($B273&lt;&gt;"Yes","",
IF($A273="Neuron",
IF(OR(
AND($S273&lt;&gt;"",LOWER(TRIM($S273))&lt;&gt;"n/a",COUNTIFS($B$2:$B$532,"Yes",$A$2:$A$532,"Neuron",$S$2:$S$532,$S273)&gt;1),
AND($T273&lt;&gt;"",LOWER(TRIM($T273))&lt;&gt;"n/a",COUNTIFS($B$2:$B$532,"Yes",$A$2:$A$532,"Neuron",$T$2:$T$532,$T273)&gt;1),
AND($W273&lt;&gt;"",LOWER(TRIM($W273))&lt;&gt;"n/a",COUNTIFS($B$2:$B$532,"Yes",$A$2:$A$532,"Neuron",$W$2:$W$532,$W273)&gt;1)
),"Yes","No"),
IF($A273="Cybernet",
IF(OR(
AND($Y273&lt;&gt;"",LOWER(TRIM($Y273))&lt;&gt;"n/a",COUNTIFS($B$2:$B$532,"Yes",$A$2:$A$532,"Cybernet",$Y$2:$Y$532,$Y273)&gt;1),
AND($Z273&lt;&gt;"",LOWER(TRIM($Z273))&lt;&gt;"n/a",COUNTIFS($B$2:$B$532,"Yes",$A$2:$A$532,"Cybernet",$Z$2:$Z$532,$Z273)&gt;1)
),"Yes","No"),
IF(AND($AL273&lt;&gt;"",LOWER(TRIM($AL273))&lt;&gt;"n/a"),
IF(COUNTIFS($B$2:$B$532,"Yes",$A$2:$A$532,$A273,$AL$2:$AL$532,$AL273)&gt;1,"Yes","No"),
"No")
)
)
)</f>
      </c>
      <c r="BL273">
        <f>IF($T273="","",IF((IF(AND($AW273&lt;&gt;"Yes",$AW273&lt;&gt;"N/A"),"Power Cable, ","")&amp;IF(AND($AX273&lt;&gt;"Yes",$AX273&lt;&gt;"N/A"),"Battery, ","")&amp;IF(AND($BE273&lt;&gt;"Yes",$BE273&lt;&gt;"N/A"),"Firmware Download, ","")&amp;IF(AND(OR($BE273="Yes",$BE273="N/A"),$BF273&lt;&gt;"Yes",$BF273&lt;&gt;"N/A"),"Firmware Install, ","")&amp;IF(AND($BJ273&lt;&gt;"Yes",$BJ273&lt;&gt;"N/A"),"Device ID, ","")&amp;IF(AND($BK273&lt;&gt;"Yes",$BK273&lt;&gt;"N/A"),"Epic Beans Relay, ",""))="","",LEFT(IF(AND($AW273&lt;&gt;"Yes",$AW273&lt;&gt;"N/A"),"Power Cable, ","")&amp;IF(AND($AX273&lt;&gt;"Yes",$AX273&lt;&gt;"N/A"),"Battery, ","")&amp;IF(AND($BE273&lt;&gt;"Yes",$BE273&lt;&gt;"N/A"),"Firmware Download, ","")&amp;IF(AND(OR($BE273="Yes",$BE273="N/A"),$BF273&lt;&gt;"Yes",$BF273&lt;&gt;"N/A"),"Firmware Install, ","")&amp;IF(AND($BJ273&lt;&gt;"Yes",$BJ273&lt;&gt;"N/A"),"Device ID, ","")&amp;IF(AND($BK273&lt;&gt;"Yes",$BK273&lt;&gt;"N/A"),"Epic Beans Relay, ",""),LEN(IF(AND($AW273&lt;&gt;"Yes",$AW273&lt;&gt;"N/A"),"Power Cable, ","")&amp;IF(AND($AX273&lt;&gt;"Yes",$AX273&lt;&gt;"N/A"),"Battery, ","")&amp;IF(AND($BE273&lt;&gt;"Yes",$BE273&lt;&gt;"N/A"),"Firmware Download, ","")&amp;IF(AND(OR($BE273="Yes",$BE273="N/A"),$BF273&lt;&gt;"Yes",$BF273&lt;&gt;"N/A"),"Firmware Install, ","")&amp;IF(AND($BJ273&lt;&gt;"Yes",$BJ273&lt;&gt;"N/A"),"Device ID, ","")&amp;IF(AND($BK273&lt;&gt;"Yes",$BK273&lt;&gt;"N/A"),"Epic Beans Relay, ",""))-2)))</f>
      </c>
      <c r="BM273">
        <f>IF($T273="","",IF($BL273="","Yes","Blocked"))</f>
      </c>
      <c r="BP273">
        <f>IF($BO273="","",IFERROR(VLOOKUP($BO273,'01_Warehouse_Ledger'!$A:$N,4,FALSE),""))</f>
      </c>
      <c r="BQ273">
        <f>IF($BO273="","",IFERROR(VLOOKUP($BO273,'01_Warehouse_Ledger'!$A:$N,5,FALSE),""))</f>
      </c>
      <c r="BR273">
        <f>IF($BO273="","",IFERROR(VLOOKUP($BO273,'01_Warehouse_Ledger'!$A:$N,13,FALSE),""))</f>
      </c>
    </row>
    <row r="274">
      <c r="D274">
        <f>IF($B274&lt;&gt;"Yes","",IF($C274="No","Yes",IF($C274="Yes","No","")))</f>
      </c>
      <c r="E274">
        <f>IF($A274="","",IF($A274="Neuron",IF(OR(AND($S274&lt;&gt;"",LOWER(TRIM($S274))&lt;&gt;"n/a",COUNTIF($S$2:$S$532,$S274)&gt;1),AND($T274&lt;&gt;"",LOWER(TRIM($T274))&lt;&gt;"n/a",COUNTIF($T$2:$T$532,$T274)&gt;1),AND($W274&lt;&gt;"",LOWER(TRIM($W274))&lt;&gt;"n/a",COUNTIF($W$2:$W$532,$W274)&gt;1)),"Yes","No"),IF($A274="Cybernet",IF(OR(AND($Y274&lt;&gt;"",LOWER(TRIM($Y274))&lt;&gt;"n/a",COUNTIF($Y$2:$Y$532,$Y274)&gt;1),AND($Z274&lt;&gt;"",LOWER(TRIM($Z274))&lt;&gt;"n/a",COUNTIF($Z$2:$Z$532,$Z274)&gt;1)),"Yes","No"),IF(AND($AL274&lt;&gt;"",LOWER(TRIM($AL274))&lt;&gt;"n/a",COUNTIF($AL$2:$AL$532,$AL274)&gt;1),"Yes","No"))))</f>
      </c>
      <c r="F274">
        <f>IF($B274&lt;&gt;"Yes","",
IF($A274="Neuron",
IF(OR(
AND($S274&lt;&gt;"",LOWER(TRIM($S274))&lt;&gt;"n/a",COUNTIFS($B$2:$B$532,"Yes",$A$2:$A$532,"Neuron",$S$2:$S$532,$S274)&gt;1),
AND($T274&lt;&gt;"",LOWER(TRIM($T274))&lt;&gt;"n/a",COUNTIFS($B$2:$B$532,"Yes",$A$2:$A$532,"Neuron",$T$2:$T$532,$T274)&gt;1),
AND($W274&lt;&gt;"",LOWER(TRIM($W274))&lt;&gt;"n/a",COUNTIFS($B$2:$B$532,"Yes",$A$2:$A$532,"Neuron",$W$2:$W$532,$W274)&gt;1)
),"Yes","No"),
IF($A274="Cybernet",
IF(OR(
AND($Y274&lt;&gt;"",LOWER(TRIM($Y274))&lt;&gt;"n/a",COUNTIFS($B$2:$B$532,"Yes",$A$2:$A$532,"Cybernet",$Y$2:$Y$532,$Y274)&gt;1),
AND($Z274&lt;&gt;"",LOWER(TRIM($Z274))&lt;&gt;"n/a",COUNTIFS($B$2:$B$532,"Yes",$A$2:$A$532,"Cybernet",$Z$2:$Z$532,$Z274)&gt;1)
),"Yes","No"),
IF(AND($AL274&lt;&gt;"",LOWER(TRIM($AL274))&lt;&gt;"n/a"),
IF(COUNTIFS($B$2:$B$532,"Yes",$A$2:$A$532,$A274,$AL$2:$AL$532,$AL274)&gt;1,"Yes","No"),
"No")
)
)
)</f>
      </c>
      <c r="BL274">
        <f>IF($T274="","",IF((IF(AND($AW274&lt;&gt;"Yes",$AW274&lt;&gt;"N/A"),"Power Cable, ","")&amp;IF(AND($AX274&lt;&gt;"Yes",$AX274&lt;&gt;"N/A"),"Battery, ","")&amp;IF(AND($BE274&lt;&gt;"Yes",$BE274&lt;&gt;"N/A"),"Firmware Download, ","")&amp;IF(AND(OR($BE274="Yes",$BE274="N/A"),$BF274&lt;&gt;"Yes",$BF274&lt;&gt;"N/A"),"Firmware Install, ","")&amp;IF(AND($BJ274&lt;&gt;"Yes",$BJ274&lt;&gt;"N/A"),"Device ID, ","")&amp;IF(AND($BK274&lt;&gt;"Yes",$BK274&lt;&gt;"N/A"),"Epic Beans Relay, ",""))="","",LEFT(IF(AND($AW274&lt;&gt;"Yes",$AW274&lt;&gt;"N/A"),"Power Cable, ","")&amp;IF(AND($AX274&lt;&gt;"Yes",$AX274&lt;&gt;"N/A"),"Battery, ","")&amp;IF(AND($BE274&lt;&gt;"Yes",$BE274&lt;&gt;"N/A"),"Firmware Download, ","")&amp;IF(AND(OR($BE274="Yes",$BE274="N/A"),$BF274&lt;&gt;"Yes",$BF274&lt;&gt;"N/A"),"Firmware Install, ","")&amp;IF(AND($BJ274&lt;&gt;"Yes",$BJ274&lt;&gt;"N/A"),"Device ID, ","")&amp;IF(AND($BK274&lt;&gt;"Yes",$BK274&lt;&gt;"N/A"),"Epic Beans Relay, ",""),LEN(IF(AND($AW274&lt;&gt;"Yes",$AW274&lt;&gt;"N/A"),"Power Cable, ","")&amp;IF(AND($AX274&lt;&gt;"Yes",$AX274&lt;&gt;"N/A"),"Battery, ","")&amp;IF(AND($BE274&lt;&gt;"Yes",$BE274&lt;&gt;"N/A"),"Firmware Download, ","")&amp;IF(AND(OR($BE274="Yes",$BE274="N/A"),$BF274&lt;&gt;"Yes",$BF274&lt;&gt;"N/A"),"Firmware Install, ","")&amp;IF(AND($BJ274&lt;&gt;"Yes",$BJ274&lt;&gt;"N/A"),"Device ID, ","")&amp;IF(AND($BK274&lt;&gt;"Yes",$BK274&lt;&gt;"N/A"),"Epic Beans Relay, ",""))-2)))</f>
      </c>
      <c r="BM274">
        <f>IF($T274="","",IF($BL274="","Yes","Blocked"))</f>
      </c>
      <c r="BP274">
        <f>IF($BO274="","",IFERROR(VLOOKUP($BO274,'01_Warehouse_Ledger'!$A:$N,4,FALSE),""))</f>
      </c>
      <c r="BQ274">
        <f>IF($BO274="","",IFERROR(VLOOKUP($BO274,'01_Warehouse_Ledger'!$A:$N,5,FALSE),""))</f>
      </c>
      <c r="BR274">
        <f>IF($BO274="","",IFERROR(VLOOKUP($BO274,'01_Warehouse_Ledger'!$A:$N,13,FALSE),""))</f>
      </c>
    </row>
    <row r="275">
      <c r="D275">
        <f>IF($B275&lt;&gt;"Yes","",IF($C275="No","Yes",IF($C275="Yes","No","")))</f>
      </c>
      <c r="E275">
        <f>IF($A275="","",IF($A275="Neuron",IF(OR(AND($S275&lt;&gt;"",LOWER(TRIM($S275))&lt;&gt;"n/a",COUNTIF($S$2:$S$532,$S275)&gt;1),AND($T275&lt;&gt;"",LOWER(TRIM($T275))&lt;&gt;"n/a",COUNTIF($T$2:$T$532,$T275)&gt;1),AND($W275&lt;&gt;"",LOWER(TRIM($W275))&lt;&gt;"n/a",COUNTIF($W$2:$W$532,$W275)&gt;1)),"Yes","No"),IF($A275="Cybernet",IF(OR(AND($Y275&lt;&gt;"",LOWER(TRIM($Y275))&lt;&gt;"n/a",COUNTIF($Y$2:$Y$532,$Y275)&gt;1),AND($Z275&lt;&gt;"",LOWER(TRIM($Z275))&lt;&gt;"n/a",COUNTIF($Z$2:$Z$532,$Z275)&gt;1)),"Yes","No"),IF(AND($AL275&lt;&gt;"",LOWER(TRIM($AL275))&lt;&gt;"n/a",COUNTIF($AL$2:$AL$532,$AL275)&gt;1),"Yes","No"))))</f>
      </c>
      <c r="F275">
        <f>IF($B275&lt;&gt;"Yes","",
IF($A275="Neuron",
IF(OR(
AND($S275&lt;&gt;"",LOWER(TRIM($S275))&lt;&gt;"n/a",COUNTIFS($B$2:$B$532,"Yes",$A$2:$A$532,"Neuron",$S$2:$S$532,$S275)&gt;1),
AND($T275&lt;&gt;"",LOWER(TRIM($T275))&lt;&gt;"n/a",COUNTIFS($B$2:$B$532,"Yes",$A$2:$A$532,"Neuron",$T$2:$T$532,$T275)&gt;1),
AND($W275&lt;&gt;"",LOWER(TRIM($W275))&lt;&gt;"n/a",COUNTIFS($B$2:$B$532,"Yes",$A$2:$A$532,"Neuron",$W$2:$W$532,$W275)&gt;1)
),"Yes","No"),
IF($A275="Cybernet",
IF(OR(
AND($Y275&lt;&gt;"",LOWER(TRIM($Y275))&lt;&gt;"n/a",COUNTIFS($B$2:$B$532,"Yes",$A$2:$A$532,"Cybernet",$Y$2:$Y$532,$Y275)&gt;1),
AND($Z275&lt;&gt;"",LOWER(TRIM($Z275))&lt;&gt;"n/a",COUNTIFS($B$2:$B$532,"Yes",$A$2:$A$532,"Cybernet",$Z$2:$Z$532,$Z275)&gt;1)
),"Yes","No"),
IF(AND($AL275&lt;&gt;"",LOWER(TRIM($AL275))&lt;&gt;"n/a"),
IF(COUNTIFS($B$2:$B$532,"Yes",$A$2:$A$532,$A275,$AL$2:$AL$532,$AL275)&gt;1,"Yes","No"),
"No")
)
)
)</f>
      </c>
      <c r="BL275">
        <f>IF($T275="","",IF((IF(AND($AW275&lt;&gt;"Yes",$AW275&lt;&gt;"N/A"),"Power Cable, ","")&amp;IF(AND($AX275&lt;&gt;"Yes",$AX275&lt;&gt;"N/A"),"Battery, ","")&amp;IF(AND($BE275&lt;&gt;"Yes",$BE275&lt;&gt;"N/A"),"Firmware Download, ","")&amp;IF(AND(OR($BE275="Yes",$BE275="N/A"),$BF275&lt;&gt;"Yes",$BF275&lt;&gt;"N/A"),"Firmware Install, ","")&amp;IF(AND($BJ275&lt;&gt;"Yes",$BJ275&lt;&gt;"N/A"),"Device ID, ","")&amp;IF(AND($BK275&lt;&gt;"Yes",$BK275&lt;&gt;"N/A"),"Epic Beans Relay, ",""))="","",LEFT(IF(AND($AW275&lt;&gt;"Yes",$AW275&lt;&gt;"N/A"),"Power Cable, ","")&amp;IF(AND($AX275&lt;&gt;"Yes",$AX275&lt;&gt;"N/A"),"Battery, ","")&amp;IF(AND($BE275&lt;&gt;"Yes",$BE275&lt;&gt;"N/A"),"Firmware Download, ","")&amp;IF(AND(OR($BE275="Yes",$BE275="N/A"),$BF275&lt;&gt;"Yes",$BF275&lt;&gt;"N/A"),"Firmware Install, ","")&amp;IF(AND($BJ275&lt;&gt;"Yes",$BJ275&lt;&gt;"N/A"),"Device ID, ","")&amp;IF(AND($BK275&lt;&gt;"Yes",$BK275&lt;&gt;"N/A"),"Epic Beans Relay, ",""),LEN(IF(AND($AW275&lt;&gt;"Yes",$AW275&lt;&gt;"N/A"),"Power Cable, ","")&amp;IF(AND($AX275&lt;&gt;"Yes",$AX275&lt;&gt;"N/A"),"Battery, ","")&amp;IF(AND($BE275&lt;&gt;"Yes",$BE275&lt;&gt;"N/A"),"Firmware Download, ","")&amp;IF(AND(OR($BE275="Yes",$BE275="N/A"),$BF275&lt;&gt;"Yes",$BF275&lt;&gt;"N/A"),"Firmware Install, ","")&amp;IF(AND($BJ275&lt;&gt;"Yes",$BJ275&lt;&gt;"N/A"),"Device ID, ","")&amp;IF(AND($BK275&lt;&gt;"Yes",$BK275&lt;&gt;"N/A"),"Epic Beans Relay, ",""))-2)))</f>
      </c>
      <c r="BM275">
        <f>IF($T275="","",IF($BL275="","Yes","Blocked"))</f>
      </c>
      <c r="BP275">
        <f>IF($BO275="","",IFERROR(VLOOKUP($BO275,'01_Warehouse_Ledger'!$A:$N,4,FALSE),""))</f>
      </c>
      <c r="BQ275">
        <f>IF($BO275="","",IFERROR(VLOOKUP($BO275,'01_Warehouse_Ledger'!$A:$N,5,FALSE),""))</f>
      </c>
      <c r="BR275">
        <f>IF($BO275="","",IFERROR(VLOOKUP($BO275,'01_Warehouse_Ledger'!$A:$N,13,FALSE),""))</f>
      </c>
    </row>
    <row r="276">
      <c r="D276">
        <f>IF($B276&lt;&gt;"Yes","",IF($C276="No","Yes",IF($C276="Yes","No","")))</f>
      </c>
      <c r="E276">
        <f>IF($A276="","",IF($A276="Neuron",IF(OR(AND($S276&lt;&gt;"",LOWER(TRIM($S276))&lt;&gt;"n/a",COUNTIF($S$2:$S$532,$S276)&gt;1),AND($T276&lt;&gt;"",LOWER(TRIM($T276))&lt;&gt;"n/a",COUNTIF($T$2:$T$532,$T276)&gt;1),AND($W276&lt;&gt;"",LOWER(TRIM($W276))&lt;&gt;"n/a",COUNTIF($W$2:$W$532,$W276)&gt;1)),"Yes","No"),IF($A276="Cybernet",IF(OR(AND($Y276&lt;&gt;"",LOWER(TRIM($Y276))&lt;&gt;"n/a",COUNTIF($Y$2:$Y$532,$Y276)&gt;1),AND($Z276&lt;&gt;"",LOWER(TRIM($Z276))&lt;&gt;"n/a",COUNTIF($Z$2:$Z$532,$Z276)&gt;1)),"Yes","No"),IF(AND($AL276&lt;&gt;"",LOWER(TRIM($AL276))&lt;&gt;"n/a",COUNTIF($AL$2:$AL$532,$AL276)&gt;1),"Yes","No"))))</f>
      </c>
      <c r="F276">
        <f>IF($B276&lt;&gt;"Yes","",
IF($A276="Neuron",
IF(OR(
AND($S276&lt;&gt;"",LOWER(TRIM($S276))&lt;&gt;"n/a",COUNTIFS($B$2:$B$532,"Yes",$A$2:$A$532,"Neuron",$S$2:$S$532,$S276)&gt;1),
AND($T276&lt;&gt;"",LOWER(TRIM($T276))&lt;&gt;"n/a",COUNTIFS($B$2:$B$532,"Yes",$A$2:$A$532,"Neuron",$T$2:$T$532,$T276)&gt;1),
AND($W276&lt;&gt;"",LOWER(TRIM($W276))&lt;&gt;"n/a",COUNTIFS($B$2:$B$532,"Yes",$A$2:$A$532,"Neuron",$W$2:$W$532,$W276)&gt;1)
),"Yes","No"),
IF($A276="Cybernet",
IF(OR(
AND($Y276&lt;&gt;"",LOWER(TRIM($Y276))&lt;&gt;"n/a",COUNTIFS($B$2:$B$532,"Yes",$A$2:$A$532,"Cybernet",$Y$2:$Y$532,$Y276)&gt;1),
AND($Z276&lt;&gt;"",LOWER(TRIM($Z276))&lt;&gt;"n/a",COUNTIFS($B$2:$B$532,"Yes",$A$2:$A$532,"Cybernet",$Z$2:$Z$532,$Z276)&gt;1)
),"Yes","No"),
IF(AND($AL276&lt;&gt;"",LOWER(TRIM($AL276))&lt;&gt;"n/a"),
IF(COUNTIFS($B$2:$B$532,"Yes",$A$2:$A$532,$A276,$AL$2:$AL$532,$AL276)&gt;1,"Yes","No"),
"No")
)
)
)</f>
      </c>
      <c r="BL276">
        <f>IF($T276="","",IF((IF(AND($AW276&lt;&gt;"Yes",$AW276&lt;&gt;"N/A"),"Power Cable, ","")&amp;IF(AND($AX276&lt;&gt;"Yes",$AX276&lt;&gt;"N/A"),"Battery, ","")&amp;IF(AND($BE276&lt;&gt;"Yes",$BE276&lt;&gt;"N/A"),"Firmware Download, ","")&amp;IF(AND(OR($BE276="Yes",$BE276="N/A"),$BF276&lt;&gt;"Yes",$BF276&lt;&gt;"N/A"),"Firmware Install, ","")&amp;IF(AND($BJ276&lt;&gt;"Yes",$BJ276&lt;&gt;"N/A"),"Device ID, ","")&amp;IF(AND($BK276&lt;&gt;"Yes",$BK276&lt;&gt;"N/A"),"Epic Beans Relay, ",""))="","",LEFT(IF(AND($AW276&lt;&gt;"Yes",$AW276&lt;&gt;"N/A"),"Power Cable, ","")&amp;IF(AND($AX276&lt;&gt;"Yes",$AX276&lt;&gt;"N/A"),"Battery, ","")&amp;IF(AND($BE276&lt;&gt;"Yes",$BE276&lt;&gt;"N/A"),"Firmware Download, ","")&amp;IF(AND(OR($BE276="Yes",$BE276="N/A"),$BF276&lt;&gt;"Yes",$BF276&lt;&gt;"N/A"),"Firmware Install, ","")&amp;IF(AND($BJ276&lt;&gt;"Yes",$BJ276&lt;&gt;"N/A"),"Device ID, ","")&amp;IF(AND($BK276&lt;&gt;"Yes",$BK276&lt;&gt;"N/A"),"Epic Beans Relay, ",""),LEN(IF(AND($AW276&lt;&gt;"Yes",$AW276&lt;&gt;"N/A"),"Power Cable, ","")&amp;IF(AND($AX276&lt;&gt;"Yes",$AX276&lt;&gt;"N/A"),"Battery, ","")&amp;IF(AND($BE276&lt;&gt;"Yes",$BE276&lt;&gt;"N/A"),"Firmware Download, ","")&amp;IF(AND(OR($BE276="Yes",$BE276="N/A"),$BF276&lt;&gt;"Yes",$BF276&lt;&gt;"N/A"),"Firmware Install, ","")&amp;IF(AND($BJ276&lt;&gt;"Yes",$BJ276&lt;&gt;"N/A"),"Device ID, ","")&amp;IF(AND($BK276&lt;&gt;"Yes",$BK276&lt;&gt;"N/A"),"Epic Beans Relay, ",""))-2)))</f>
      </c>
      <c r="BM276">
        <f>IF($T276="","",IF($BL276="","Yes","Blocked"))</f>
      </c>
      <c r="BP276">
        <f>IF($BO276="","",IFERROR(VLOOKUP($BO276,'01_Warehouse_Ledger'!$A:$N,4,FALSE),""))</f>
      </c>
      <c r="BQ276">
        <f>IF($BO276="","",IFERROR(VLOOKUP($BO276,'01_Warehouse_Ledger'!$A:$N,5,FALSE),""))</f>
      </c>
      <c r="BR276">
        <f>IF($BO276="","",IFERROR(VLOOKUP($BO276,'01_Warehouse_Ledger'!$A:$N,13,FALSE),""))</f>
      </c>
    </row>
    <row r="277">
      <c r="D277">
        <f>IF($B277&lt;&gt;"Yes","",IF($C277="No","Yes",IF($C277="Yes","No","")))</f>
      </c>
      <c r="E277">
        <f>IF($A277="","",IF($A277="Neuron",IF(OR(AND($S277&lt;&gt;"",LOWER(TRIM($S277))&lt;&gt;"n/a",COUNTIF($S$2:$S$532,$S277)&gt;1),AND($T277&lt;&gt;"",LOWER(TRIM($T277))&lt;&gt;"n/a",COUNTIF($T$2:$T$532,$T277)&gt;1),AND($W277&lt;&gt;"",LOWER(TRIM($W277))&lt;&gt;"n/a",COUNTIF($W$2:$W$532,$W277)&gt;1)),"Yes","No"),IF($A277="Cybernet",IF(OR(AND($Y277&lt;&gt;"",LOWER(TRIM($Y277))&lt;&gt;"n/a",COUNTIF($Y$2:$Y$532,$Y277)&gt;1),AND($Z277&lt;&gt;"",LOWER(TRIM($Z277))&lt;&gt;"n/a",COUNTIF($Z$2:$Z$532,$Z277)&gt;1)),"Yes","No"),IF(AND($AL277&lt;&gt;"",LOWER(TRIM($AL277))&lt;&gt;"n/a",COUNTIF($AL$2:$AL$532,$AL277)&gt;1),"Yes","No"))))</f>
      </c>
      <c r="F277">
        <f>IF($B277&lt;&gt;"Yes","",
IF($A277="Neuron",
IF(OR(
AND($S277&lt;&gt;"",LOWER(TRIM($S277))&lt;&gt;"n/a",COUNTIFS($B$2:$B$532,"Yes",$A$2:$A$532,"Neuron",$S$2:$S$532,$S277)&gt;1),
AND($T277&lt;&gt;"",LOWER(TRIM($T277))&lt;&gt;"n/a",COUNTIFS($B$2:$B$532,"Yes",$A$2:$A$532,"Neuron",$T$2:$T$532,$T277)&gt;1),
AND($W277&lt;&gt;"",LOWER(TRIM($W277))&lt;&gt;"n/a",COUNTIFS($B$2:$B$532,"Yes",$A$2:$A$532,"Neuron",$W$2:$W$532,$W277)&gt;1)
),"Yes","No"),
IF($A277="Cybernet",
IF(OR(
AND($Y277&lt;&gt;"",LOWER(TRIM($Y277))&lt;&gt;"n/a",COUNTIFS($B$2:$B$532,"Yes",$A$2:$A$532,"Cybernet",$Y$2:$Y$532,$Y277)&gt;1),
AND($Z277&lt;&gt;"",LOWER(TRIM($Z277))&lt;&gt;"n/a",COUNTIFS($B$2:$B$532,"Yes",$A$2:$A$532,"Cybernet",$Z$2:$Z$532,$Z277)&gt;1)
),"Yes","No"),
IF(AND($AL277&lt;&gt;"",LOWER(TRIM($AL277))&lt;&gt;"n/a"),
IF(COUNTIFS($B$2:$B$532,"Yes",$A$2:$A$532,$A277,$AL$2:$AL$532,$AL277)&gt;1,"Yes","No"),
"No")
)
)
)</f>
      </c>
      <c r="BL277">
        <f>IF($T277="","",IF((IF(AND($AW277&lt;&gt;"Yes",$AW277&lt;&gt;"N/A"),"Power Cable, ","")&amp;IF(AND($AX277&lt;&gt;"Yes",$AX277&lt;&gt;"N/A"),"Battery, ","")&amp;IF(AND($BE277&lt;&gt;"Yes",$BE277&lt;&gt;"N/A"),"Firmware Download, ","")&amp;IF(AND(OR($BE277="Yes",$BE277="N/A"),$BF277&lt;&gt;"Yes",$BF277&lt;&gt;"N/A"),"Firmware Install, ","")&amp;IF(AND($BJ277&lt;&gt;"Yes",$BJ277&lt;&gt;"N/A"),"Device ID, ","")&amp;IF(AND($BK277&lt;&gt;"Yes",$BK277&lt;&gt;"N/A"),"Epic Beans Relay, ",""))="","",LEFT(IF(AND($AW277&lt;&gt;"Yes",$AW277&lt;&gt;"N/A"),"Power Cable, ","")&amp;IF(AND($AX277&lt;&gt;"Yes",$AX277&lt;&gt;"N/A"),"Battery, ","")&amp;IF(AND($BE277&lt;&gt;"Yes",$BE277&lt;&gt;"N/A"),"Firmware Download, ","")&amp;IF(AND(OR($BE277="Yes",$BE277="N/A"),$BF277&lt;&gt;"Yes",$BF277&lt;&gt;"N/A"),"Firmware Install, ","")&amp;IF(AND($BJ277&lt;&gt;"Yes",$BJ277&lt;&gt;"N/A"),"Device ID, ","")&amp;IF(AND($BK277&lt;&gt;"Yes",$BK277&lt;&gt;"N/A"),"Epic Beans Relay, ",""),LEN(IF(AND($AW277&lt;&gt;"Yes",$AW277&lt;&gt;"N/A"),"Power Cable, ","")&amp;IF(AND($AX277&lt;&gt;"Yes",$AX277&lt;&gt;"N/A"),"Battery, ","")&amp;IF(AND($BE277&lt;&gt;"Yes",$BE277&lt;&gt;"N/A"),"Firmware Download, ","")&amp;IF(AND(OR($BE277="Yes",$BE277="N/A"),$BF277&lt;&gt;"Yes",$BF277&lt;&gt;"N/A"),"Firmware Install, ","")&amp;IF(AND($BJ277&lt;&gt;"Yes",$BJ277&lt;&gt;"N/A"),"Device ID, ","")&amp;IF(AND($BK277&lt;&gt;"Yes",$BK277&lt;&gt;"N/A"),"Epic Beans Relay, ",""))-2)))</f>
      </c>
      <c r="BM277">
        <f>IF($T277="","",IF($BL277="","Yes","Blocked"))</f>
      </c>
      <c r="BP277">
        <f>IF($BO277="","",IFERROR(VLOOKUP($BO277,'01_Warehouse_Ledger'!$A:$N,4,FALSE),""))</f>
      </c>
      <c r="BQ277">
        <f>IF($BO277="","",IFERROR(VLOOKUP($BO277,'01_Warehouse_Ledger'!$A:$N,5,FALSE),""))</f>
      </c>
      <c r="BR277">
        <f>IF($BO277="","",IFERROR(VLOOKUP($BO277,'01_Warehouse_Ledger'!$A:$N,13,FALSE),""))</f>
      </c>
    </row>
    <row r="278">
      <c r="D278">
        <f>IF($B278&lt;&gt;"Yes","",IF($C278="No","Yes",IF($C278="Yes","No","")))</f>
      </c>
      <c r="E278">
        <f>IF($A278="","",IF($A278="Neuron",IF(OR(AND($S278&lt;&gt;"",LOWER(TRIM($S278))&lt;&gt;"n/a",COUNTIF($S$2:$S$532,$S278)&gt;1),AND($T278&lt;&gt;"",LOWER(TRIM($T278))&lt;&gt;"n/a",COUNTIF($T$2:$T$532,$T278)&gt;1),AND($W278&lt;&gt;"",LOWER(TRIM($W278))&lt;&gt;"n/a",COUNTIF($W$2:$W$532,$W278)&gt;1)),"Yes","No"),IF($A278="Cybernet",IF(OR(AND($Y278&lt;&gt;"",LOWER(TRIM($Y278))&lt;&gt;"n/a",COUNTIF($Y$2:$Y$532,$Y278)&gt;1),AND($Z278&lt;&gt;"",LOWER(TRIM($Z278))&lt;&gt;"n/a",COUNTIF($Z$2:$Z$532,$Z278)&gt;1)),"Yes","No"),IF(AND($AL278&lt;&gt;"",LOWER(TRIM($AL278))&lt;&gt;"n/a",COUNTIF($AL$2:$AL$532,$AL278)&gt;1),"Yes","No"))))</f>
      </c>
      <c r="F278">
        <f>IF($B278&lt;&gt;"Yes","",
IF($A278="Neuron",
IF(OR(
AND($S278&lt;&gt;"",LOWER(TRIM($S278))&lt;&gt;"n/a",COUNTIFS($B$2:$B$532,"Yes",$A$2:$A$532,"Neuron",$S$2:$S$532,$S278)&gt;1),
AND($T278&lt;&gt;"",LOWER(TRIM($T278))&lt;&gt;"n/a",COUNTIFS($B$2:$B$532,"Yes",$A$2:$A$532,"Neuron",$T$2:$T$532,$T278)&gt;1),
AND($W278&lt;&gt;"",LOWER(TRIM($W278))&lt;&gt;"n/a",COUNTIFS($B$2:$B$532,"Yes",$A$2:$A$532,"Neuron",$W$2:$W$532,$W278)&gt;1)
),"Yes","No"),
IF($A278="Cybernet",
IF(OR(
AND($Y278&lt;&gt;"",LOWER(TRIM($Y278))&lt;&gt;"n/a",COUNTIFS($B$2:$B$532,"Yes",$A$2:$A$532,"Cybernet",$Y$2:$Y$532,$Y278)&gt;1),
AND($Z278&lt;&gt;"",LOWER(TRIM($Z278))&lt;&gt;"n/a",COUNTIFS($B$2:$B$532,"Yes",$A$2:$A$532,"Cybernet",$Z$2:$Z$532,$Z278)&gt;1)
),"Yes","No"),
IF(AND($AL278&lt;&gt;"",LOWER(TRIM($AL278))&lt;&gt;"n/a"),
IF(COUNTIFS($B$2:$B$532,"Yes",$A$2:$A$532,$A278,$AL$2:$AL$532,$AL278)&gt;1,"Yes","No"),
"No")
)
)
)</f>
      </c>
      <c r="BL278">
        <f>IF($T278="","",IF((IF(AND($AW278&lt;&gt;"Yes",$AW278&lt;&gt;"N/A"),"Power Cable, ","")&amp;IF(AND($AX278&lt;&gt;"Yes",$AX278&lt;&gt;"N/A"),"Battery, ","")&amp;IF(AND($BE278&lt;&gt;"Yes",$BE278&lt;&gt;"N/A"),"Firmware Download, ","")&amp;IF(AND(OR($BE278="Yes",$BE278="N/A"),$BF278&lt;&gt;"Yes",$BF278&lt;&gt;"N/A"),"Firmware Install, ","")&amp;IF(AND($BJ278&lt;&gt;"Yes",$BJ278&lt;&gt;"N/A"),"Device ID, ","")&amp;IF(AND($BK278&lt;&gt;"Yes",$BK278&lt;&gt;"N/A"),"Epic Beans Relay, ",""))="","",LEFT(IF(AND($AW278&lt;&gt;"Yes",$AW278&lt;&gt;"N/A"),"Power Cable, ","")&amp;IF(AND($AX278&lt;&gt;"Yes",$AX278&lt;&gt;"N/A"),"Battery, ","")&amp;IF(AND($BE278&lt;&gt;"Yes",$BE278&lt;&gt;"N/A"),"Firmware Download, ","")&amp;IF(AND(OR($BE278="Yes",$BE278="N/A"),$BF278&lt;&gt;"Yes",$BF278&lt;&gt;"N/A"),"Firmware Install, ","")&amp;IF(AND($BJ278&lt;&gt;"Yes",$BJ278&lt;&gt;"N/A"),"Device ID, ","")&amp;IF(AND($BK278&lt;&gt;"Yes",$BK278&lt;&gt;"N/A"),"Epic Beans Relay, ",""),LEN(IF(AND($AW278&lt;&gt;"Yes",$AW278&lt;&gt;"N/A"),"Power Cable, ","")&amp;IF(AND($AX278&lt;&gt;"Yes",$AX278&lt;&gt;"N/A"),"Battery, ","")&amp;IF(AND($BE278&lt;&gt;"Yes",$BE278&lt;&gt;"N/A"),"Firmware Download, ","")&amp;IF(AND(OR($BE278="Yes",$BE278="N/A"),$BF278&lt;&gt;"Yes",$BF278&lt;&gt;"N/A"),"Firmware Install, ","")&amp;IF(AND($BJ278&lt;&gt;"Yes",$BJ278&lt;&gt;"N/A"),"Device ID, ","")&amp;IF(AND($BK278&lt;&gt;"Yes",$BK278&lt;&gt;"N/A"),"Epic Beans Relay, ",""))-2)))</f>
      </c>
      <c r="BM278">
        <f>IF($T278="","",IF($BL278="","Yes","Blocked"))</f>
      </c>
      <c r="BP278">
        <f>IF($BO278="","",IFERROR(VLOOKUP($BO278,'01_Warehouse_Ledger'!$A:$N,4,FALSE),""))</f>
      </c>
      <c r="BQ278">
        <f>IF($BO278="","",IFERROR(VLOOKUP($BO278,'01_Warehouse_Ledger'!$A:$N,5,FALSE),""))</f>
      </c>
      <c r="BR278">
        <f>IF($BO278="","",IFERROR(VLOOKUP($BO278,'01_Warehouse_Ledger'!$A:$N,13,FALSE),""))</f>
      </c>
    </row>
    <row r="279">
      <c r="D279">
        <f>IF($B279&lt;&gt;"Yes","",IF($C279="No","Yes",IF($C279="Yes","No","")))</f>
      </c>
      <c r="E279">
        <f>IF($A279="","",IF($A279="Neuron",IF(OR(AND($S279&lt;&gt;"",LOWER(TRIM($S279))&lt;&gt;"n/a",COUNTIF($S$2:$S$532,$S279)&gt;1),AND($T279&lt;&gt;"",LOWER(TRIM($T279))&lt;&gt;"n/a",COUNTIF($T$2:$T$532,$T279)&gt;1),AND($W279&lt;&gt;"",LOWER(TRIM($W279))&lt;&gt;"n/a",COUNTIF($W$2:$W$532,$W279)&gt;1)),"Yes","No"),IF($A279="Cybernet",IF(OR(AND($Y279&lt;&gt;"",LOWER(TRIM($Y279))&lt;&gt;"n/a",COUNTIF($Y$2:$Y$532,$Y279)&gt;1),AND($Z279&lt;&gt;"",LOWER(TRIM($Z279))&lt;&gt;"n/a",COUNTIF($Z$2:$Z$532,$Z279)&gt;1)),"Yes","No"),IF(AND($AL279&lt;&gt;"",LOWER(TRIM($AL279))&lt;&gt;"n/a",COUNTIF($AL$2:$AL$532,$AL279)&gt;1),"Yes","No"))))</f>
      </c>
      <c r="F279">
        <f>IF($B279&lt;&gt;"Yes","",
IF($A279="Neuron",
IF(OR(
AND($S279&lt;&gt;"",LOWER(TRIM($S279))&lt;&gt;"n/a",COUNTIFS($B$2:$B$532,"Yes",$A$2:$A$532,"Neuron",$S$2:$S$532,$S279)&gt;1),
AND($T279&lt;&gt;"",LOWER(TRIM($T279))&lt;&gt;"n/a",COUNTIFS($B$2:$B$532,"Yes",$A$2:$A$532,"Neuron",$T$2:$T$532,$T279)&gt;1),
AND($W279&lt;&gt;"",LOWER(TRIM($W279))&lt;&gt;"n/a",COUNTIFS($B$2:$B$532,"Yes",$A$2:$A$532,"Neuron",$W$2:$W$532,$W279)&gt;1)
),"Yes","No"),
IF($A279="Cybernet",
IF(OR(
AND($Y279&lt;&gt;"",LOWER(TRIM($Y279))&lt;&gt;"n/a",COUNTIFS($B$2:$B$532,"Yes",$A$2:$A$532,"Cybernet",$Y$2:$Y$532,$Y279)&gt;1),
AND($Z279&lt;&gt;"",LOWER(TRIM($Z279))&lt;&gt;"n/a",COUNTIFS($B$2:$B$532,"Yes",$A$2:$A$532,"Cybernet",$Z$2:$Z$532,$Z279)&gt;1)
),"Yes","No"),
IF(AND($AL279&lt;&gt;"",LOWER(TRIM($AL279))&lt;&gt;"n/a"),
IF(COUNTIFS($B$2:$B$532,"Yes",$A$2:$A$532,$A279,$AL$2:$AL$532,$AL279)&gt;1,"Yes","No"),
"No")
)
)
)</f>
      </c>
      <c r="BL279">
        <f>IF($T279="","",IF((IF(AND($AW279&lt;&gt;"Yes",$AW279&lt;&gt;"N/A"),"Power Cable, ","")&amp;IF(AND($AX279&lt;&gt;"Yes",$AX279&lt;&gt;"N/A"),"Battery, ","")&amp;IF(AND($BE279&lt;&gt;"Yes",$BE279&lt;&gt;"N/A"),"Firmware Download, ","")&amp;IF(AND(OR($BE279="Yes",$BE279="N/A"),$BF279&lt;&gt;"Yes",$BF279&lt;&gt;"N/A"),"Firmware Install, ","")&amp;IF(AND($BJ279&lt;&gt;"Yes",$BJ279&lt;&gt;"N/A"),"Device ID, ","")&amp;IF(AND($BK279&lt;&gt;"Yes",$BK279&lt;&gt;"N/A"),"Epic Beans Relay, ",""))="","",LEFT(IF(AND($AW279&lt;&gt;"Yes",$AW279&lt;&gt;"N/A"),"Power Cable, ","")&amp;IF(AND($AX279&lt;&gt;"Yes",$AX279&lt;&gt;"N/A"),"Battery, ","")&amp;IF(AND($BE279&lt;&gt;"Yes",$BE279&lt;&gt;"N/A"),"Firmware Download, ","")&amp;IF(AND(OR($BE279="Yes",$BE279="N/A"),$BF279&lt;&gt;"Yes",$BF279&lt;&gt;"N/A"),"Firmware Install, ","")&amp;IF(AND($BJ279&lt;&gt;"Yes",$BJ279&lt;&gt;"N/A"),"Device ID, ","")&amp;IF(AND($BK279&lt;&gt;"Yes",$BK279&lt;&gt;"N/A"),"Epic Beans Relay, ",""),LEN(IF(AND($AW279&lt;&gt;"Yes",$AW279&lt;&gt;"N/A"),"Power Cable, ","")&amp;IF(AND($AX279&lt;&gt;"Yes",$AX279&lt;&gt;"N/A"),"Battery, ","")&amp;IF(AND($BE279&lt;&gt;"Yes",$BE279&lt;&gt;"N/A"),"Firmware Download, ","")&amp;IF(AND(OR($BE279="Yes",$BE279="N/A"),$BF279&lt;&gt;"Yes",$BF279&lt;&gt;"N/A"),"Firmware Install, ","")&amp;IF(AND($BJ279&lt;&gt;"Yes",$BJ279&lt;&gt;"N/A"),"Device ID, ","")&amp;IF(AND($BK279&lt;&gt;"Yes",$BK279&lt;&gt;"N/A"),"Epic Beans Relay, ",""))-2)))</f>
      </c>
      <c r="BM279">
        <f>IF($T279="","",IF($BL279="","Yes","Blocked"))</f>
      </c>
      <c r="BP279">
        <f>IF($BO279="","",IFERROR(VLOOKUP($BO279,'01_Warehouse_Ledger'!$A:$N,4,FALSE),""))</f>
      </c>
      <c r="BQ279">
        <f>IF($BO279="","",IFERROR(VLOOKUP($BO279,'01_Warehouse_Ledger'!$A:$N,5,FALSE),""))</f>
      </c>
      <c r="BR279">
        <f>IF($BO279="","",IFERROR(VLOOKUP($BO279,'01_Warehouse_Ledger'!$A:$N,13,FALSE),""))</f>
      </c>
    </row>
    <row r="280">
      <c r="D280">
        <f>IF($B280&lt;&gt;"Yes","",IF($C280="No","Yes",IF($C280="Yes","No","")))</f>
      </c>
      <c r="E280">
        <f>IF($A280="","",IF($A280="Neuron",IF(OR(AND($S280&lt;&gt;"",LOWER(TRIM($S280))&lt;&gt;"n/a",COUNTIF($S$2:$S$532,$S280)&gt;1),AND($T280&lt;&gt;"",LOWER(TRIM($T280))&lt;&gt;"n/a",COUNTIF($T$2:$T$532,$T280)&gt;1),AND($W280&lt;&gt;"",LOWER(TRIM($W280))&lt;&gt;"n/a",COUNTIF($W$2:$W$532,$W280)&gt;1)),"Yes","No"),IF($A280="Cybernet",IF(OR(AND($Y280&lt;&gt;"",LOWER(TRIM($Y280))&lt;&gt;"n/a",COUNTIF($Y$2:$Y$532,$Y280)&gt;1),AND($Z280&lt;&gt;"",LOWER(TRIM($Z280))&lt;&gt;"n/a",COUNTIF($Z$2:$Z$532,$Z280)&gt;1)),"Yes","No"),IF(AND($AL280&lt;&gt;"",LOWER(TRIM($AL280))&lt;&gt;"n/a",COUNTIF($AL$2:$AL$532,$AL280)&gt;1),"Yes","No"))))</f>
      </c>
      <c r="F280">
        <f>IF($B280&lt;&gt;"Yes","",
IF($A280="Neuron",
IF(OR(
AND($S280&lt;&gt;"",LOWER(TRIM($S280))&lt;&gt;"n/a",COUNTIFS($B$2:$B$532,"Yes",$A$2:$A$532,"Neuron",$S$2:$S$532,$S280)&gt;1),
AND($T280&lt;&gt;"",LOWER(TRIM($T280))&lt;&gt;"n/a",COUNTIFS($B$2:$B$532,"Yes",$A$2:$A$532,"Neuron",$T$2:$T$532,$T280)&gt;1),
AND($W280&lt;&gt;"",LOWER(TRIM($W280))&lt;&gt;"n/a",COUNTIFS($B$2:$B$532,"Yes",$A$2:$A$532,"Neuron",$W$2:$W$532,$W280)&gt;1)
),"Yes","No"),
IF($A280="Cybernet",
IF(OR(
AND($Y280&lt;&gt;"",LOWER(TRIM($Y280))&lt;&gt;"n/a",COUNTIFS($B$2:$B$532,"Yes",$A$2:$A$532,"Cybernet",$Y$2:$Y$532,$Y280)&gt;1),
AND($Z280&lt;&gt;"",LOWER(TRIM($Z280))&lt;&gt;"n/a",COUNTIFS($B$2:$B$532,"Yes",$A$2:$A$532,"Cybernet",$Z$2:$Z$532,$Z280)&gt;1)
),"Yes","No"),
IF(AND($AL280&lt;&gt;"",LOWER(TRIM($AL280))&lt;&gt;"n/a"),
IF(COUNTIFS($B$2:$B$532,"Yes",$A$2:$A$532,$A280,$AL$2:$AL$532,$AL280)&gt;1,"Yes","No"),
"No")
)
)
)</f>
      </c>
      <c r="BL280">
        <f>IF($T280="","",IF((IF(AND($AW280&lt;&gt;"Yes",$AW280&lt;&gt;"N/A"),"Power Cable, ","")&amp;IF(AND($AX280&lt;&gt;"Yes",$AX280&lt;&gt;"N/A"),"Battery, ","")&amp;IF(AND($BE280&lt;&gt;"Yes",$BE280&lt;&gt;"N/A"),"Firmware Download, ","")&amp;IF(AND(OR($BE280="Yes",$BE280="N/A"),$BF280&lt;&gt;"Yes",$BF280&lt;&gt;"N/A"),"Firmware Install, ","")&amp;IF(AND($BJ280&lt;&gt;"Yes",$BJ280&lt;&gt;"N/A"),"Device ID, ","")&amp;IF(AND($BK280&lt;&gt;"Yes",$BK280&lt;&gt;"N/A"),"Epic Beans Relay, ",""))="","",LEFT(IF(AND($AW280&lt;&gt;"Yes",$AW280&lt;&gt;"N/A"),"Power Cable, ","")&amp;IF(AND($AX280&lt;&gt;"Yes",$AX280&lt;&gt;"N/A"),"Battery, ","")&amp;IF(AND($BE280&lt;&gt;"Yes",$BE280&lt;&gt;"N/A"),"Firmware Download, ","")&amp;IF(AND(OR($BE280="Yes",$BE280="N/A"),$BF280&lt;&gt;"Yes",$BF280&lt;&gt;"N/A"),"Firmware Install, ","")&amp;IF(AND($BJ280&lt;&gt;"Yes",$BJ280&lt;&gt;"N/A"),"Device ID, ","")&amp;IF(AND($BK280&lt;&gt;"Yes",$BK280&lt;&gt;"N/A"),"Epic Beans Relay, ",""),LEN(IF(AND($AW280&lt;&gt;"Yes",$AW280&lt;&gt;"N/A"),"Power Cable, ","")&amp;IF(AND($AX280&lt;&gt;"Yes",$AX280&lt;&gt;"N/A"),"Battery, ","")&amp;IF(AND($BE280&lt;&gt;"Yes",$BE280&lt;&gt;"N/A"),"Firmware Download, ","")&amp;IF(AND(OR($BE280="Yes",$BE280="N/A"),$BF280&lt;&gt;"Yes",$BF280&lt;&gt;"N/A"),"Firmware Install, ","")&amp;IF(AND($BJ280&lt;&gt;"Yes",$BJ280&lt;&gt;"N/A"),"Device ID, ","")&amp;IF(AND($BK280&lt;&gt;"Yes",$BK280&lt;&gt;"N/A"),"Epic Beans Relay, ",""))-2)))</f>
      </c>
      <c r="BM280">
        <f>IF($T280="","",IF($BL280="","Yes","Blocked"))</f>
      </c>
      <c r="BP280">
        <f>IF($BO280="","",IFERROR(VLOOKUP($BO280,'01_Warehouse_Ledger'!$A:$N,4,FALSE),""))</f>
      </c>
      <c r="BQ280">
        <f>IF($BO280="","",IFERROR(VLOOKUP($BO280,'01_Warehouse_Ledger'!$A:$N,5,FALSE),""))</f>
      </c>
      <c r="BR280">
        <f>IF($BO280="","",IFERROR(VLOOKUP($BO280,'01_Warehouse_Ledger'!$A:$N,13,FALSE),""))</f>
      </c>
    </row>
    <row r="281">
      <c r="D281">
        <f>IF($B281&lt;&gt;"Yes","",IF($C281="No","Yes",IF($C281="Yes","No","")))</f>
      </c>
      <c r="E281">
        <f>IF($A281="","",IF($A281="Neuron",IF(OR(AND($S281&lt;&gt;"",LOWER(TRIM($S281))&lt;&gt;"n/a",COUNTIF($S$2:$S$532,$S281)&gt;1),AND($T281&lt;&gt;"",LOWER(TRIM($T281))&lt;&gt;"n/a",COUNTIF($T$2:$T$532,$T281)&gt;1),AND($W281&lt;&gt;"",LOWER(TRIM($W281))&lt;&gt;"n/a",COUNTIF($W$2:$W$532,$W281)&gt;1)),"Yes","No"),IF($A281="Cybernet",IF(OR(AND($Y281&lt;&gt;"",LOWER(TRIM($Y281))&lt;&gt;"n/a",COUNTIF($Y$2:$Y$532,$Y281)&gt;1),AND($Z281&lt;&gt;"",LOWER(TRIM($Z281))&lt;&gt;"n/a",COUNTIF($Z$2:$Z$532,$Z281)&gt;1)),"Yes","No"),IF(AND($AL281&lt;&gt;"",LOWER(TRIM($AL281))&lt;&gt;"n/a",COUNTIF($AL$2:$AL$532,$AL281)&gt;1),"Yes","No"))))</f>
      </c>
      <c r="F281">
        <f>IF($B281&lt;&gt;"Yes","",
IF($A281="Neuron",
IF(OR(
AND($S281&lt;&gt;"",LOWER(TRIM($S281))&lt;&gt;"n/a",COUNTIFS($B$2:$B$532,"Yes",$A$2:$A$532,"Neuron",$S$2:$S$532,$S281)&gt;1),
AND($T281&lt;&gt;"",LOWER(TRIM($T281))&lt;&gt;"n/a",COUNTIFS($B$2:$B$532,"Yes",$A$2:$A$532,"Neuron",$T$2:$T$532,$T281)&gt;1),
AND($W281&lt;&gt;"",LOWER(TRIM($W281))&lt;&gt;"n/a",COUNTIFS($B$2:$B$532,"Yes",$A$2:$A$532,"Neuron",$W$2:$W$532,$W281)&gt;1)
),"Yes","No"),
IF($A281="Cybernet",
IF(OR(
AND($Y281&lt;&gt;"",LOWER(TRIM($Y281))&lt;&gt;"n/a",COUNTIFS($B$2:$B$532,"Yes",$A$2:$A$532,"Cybernet",$Y$2:$Y$532,$Y281)&gt;1),
AND($Z281&lt;&gt;"",LOWER(TRIM($Z281))&lt;&gt;"n/a",COUNTIFS($B$2:$B$532,"Yes",$A$2:$A$532,"Cybernet",$Z$2:$Z$532,$Z281)&gt;1)
),"Yes","No"),
IF(AND($AL281&lt;&gt;"",LOWER(TRIM($AL281))&lt;&gt;"n/a"),
IF(COUNTIFS($B$2:$B$532,"Yes",$A$2:$A$532,$A281,$AL$2:$AL$532,$AL281)&gt;1,"Yes","No"),
"No")
)
)
)</f>
      </c>
      <c r="BL281">
        <f>IF($T281="","",IF((IF(AND($AW281&lt;&gt;"Yes",$AW281&lt;&gt;"N/A"),"Power Cable, ","")&amp;IF(AND($AX281&lt;&gt;"Yes",$AX281&lt;&gt;"N/A"),"Battery, ","")&amp;IF(AND($BE281&lt;&gt;"Yes",$BE281&lt;&gt;"N/A"),"Firmware Download, ","")&amp;IF(AND(OR($BE281="Yes",$BE281="N/A"),$BF281&lt;&gt;"Yes",$BF281&lt;&gt;"N/A"),"Firmware Install, ","")&amp;IF(AND($BJ281&lt;&gt;"Yes",$BJ281&lt;&gt;"N/A"),"Device ID, ","")&amp;IF(AND($BK281&lt;&gt;"Yes",$BK281&lt;&gt;"N/A"),"Epic Beans Relay, ",""))="","",LEFT(IF(AND($AW281&lt;&gt;"Yes",$AW281&lt;&gt;"N/A"),"Power Cable, ","")&amp;IF(AND($AX281&lt;&gt;"Yes",$AX281&lt;&gt;"N/A"),"Battery, ","")&amp;IF(AND($BE281&lt;&gt;"Yes",$BE281&lt;&gt;"N/A"),"Firmware Download, ","")&amp;IF(AND(OR($BE281="Yes",$BE281="N/A"),$BF281&lt;&gt;"Yes",$BF281&lt;&gt;"N/A"),"Firmware Install, ","")&amp;IF(AND($BJ281&lt;&gt;"Yes",$BJ281&lt;&gt;"N/A"),"Device ID, ","")&amp;IF(AND($BK281&lt;&gt;"Yes",$BK281&lt;&gt;"N/A"),"Epic Beans Relay, ",""),LEN(IF(AND($AW281&lt;&gt;"Yes",$AW281&lt;&gt;"N/A"),"Power Cable, ","")&amp;IF(AND($AX281&lt;&gt;"Yes",$AX281&lt;&gt;"N/A"),"Battery, ","")&amp;IF(AND($BE281&lt;&gt;"Yes",$BE281&lt;&gt;"N/A"),"Firmware Download, ","")&amp;IF(AND(OR($BE281="Yes",$BE281="N/A"),$BF281&lt;&gt;"Yes",$BF281&lt;&gt;"N/A"),"Firmware Install, ","")&amp;IF(AND($BJ281&lt;&gt;"Yes",$BJ281&lt;&gt;"N/A"),"Device ID, ","")&amp;IF(AND($BK281&lt;&gt;"Yes",$BK281&lt;&gt;"N/A"),"Epic Beans Relay, ",""))-2)))</f>
      </c>
      <c r="BM281">
        <f>IF($T281="","",IF($BL281="","Yes","Blocked"))</f>
      </c>
      <c r="BP281">
        <f>IF($BO281="","",IFERROR(VLOOKUP($BO281,'01_Warehouse_Ledger'!$A:$N,4,FALSE),""))</f>
      </c>
      <c r="BQ281">
        <f>IF($BO281="","",IFERROR(VLOOKUP($BO281,'01_Warehouse_Ledger'!$A:$N,5,FALSE),""))</f>
      </c>
      <c r="BR281">
        <f>IF($BO281="","",IFERROR(VLOOKUP($BO281,'01_Warehouse_Ledger'!$A:$N,13,FALSE),""))</f>
      </c>
    </row>
    <row r="282">
      <c r="D282">
        <f>IF($B282&lt;&gt;"Yes","",IF($C282="No","Yes",IF($C282="Yes","No","")))</f>
      </c>
      <c r="E282">
        <f>IF($A282="","",IF($A282="Neuron",IF(OR(AND($S282&lt;&gt;"",LOWER(TRIM($S282))&lt;&gt;"n/a",COUNTIF($S$2:$S$532,$S282)&gt;1),AND($T282&lt;&gt;"",LOWER(TRIM($T282))&lt;&gt;"n/a",COUNTIF($T$2:$T$532,$T282)&gt;1),AND($W282&lt;&gt;"",LOWER(TRIM($W282))&lt;&gt;"n/a",COUNTIF($W$2:$W$532,$W282)&gt;1)),"Yes","No"),IF($A282="Cybernet",IF(OR(AND($Y282&lt;&gt;"",LOWER(TRIM($Y282))&lt;&gt;"n/a",COUNTIF($Y$2:$Y$532,$Y282)&gt;1),AND($Z282&lt;&gt;"",LOWER(TRIM($Z282))&lt;&gt;"n/a",COUNTIF($Z$2:$Z$532,$Z282)&gt;1)),"Yes","No"),IF(AND($AL282&lt;&gt;"",LOWER(TRIM($AL282))&lt;&gt;"n/a",COUNTIF($AL$2:$AL$532,$AL282)&gt;1),"Yes","No"))))</f>
      </c>
      <c r="F282">
        <f>IF($B282&lt;&gt;"Yes","",
IF($A282="Neuron",
IF(OR(
AND($S282&lt;&gt;"",LOWER(TRIM($S282))&lt;&gt;"n/a",COUNTIFS($B$2:$B$532,"Yes",$A$2:$A$532,"Neuron",$S$2:$S$532,$S282)&gt;1),
AND($T282&lt;&gt;"",LOWER(TRIM($T282))&lt;&gt;"n/a",COUNTIFS($B$2:$B$532,"Yes",$A$2:$A$532,"Neuron",$T$2:$T$532,$T282)&gt;1),
AND($W282&lt;&gt;"",LOWER(TRIM($W282))&lt;&gt;"n/a",COUNTIFS($B$2:$B$532,"Yes",$A$2:$A$532,"Neuron",$W$2:$W$532,$W282)&gt;1)
),"Yes","No"),
IF($A282="Cybernet",
IF(OR(
AND($Y282&lt;&gt;"",LOWER(TRIM($Y282))&lt;&gt;"n/a",COUNTIFS($B$2:$B$532,"Yes",$A$2:$A$532,"Cybernet",$Y$2:$Y$532,$Y282)&gt;1),
AND($Z282&lt;&gt;"",LOWER(TRIM($Z282))&lt;&gt;"n/a",COUNTIFS($B$2:$B$532,"Yes",$A$2:$A$532,"Cybernet",$Z$2:$Z$532,$Z282)&gt;1)
),"Yes","No"),
IF(AND($AL282&lt;&gt;"",LOWER(TRIM($AL282))&lt;&gt;"n/a"),
IF(COUNTIFS($B$2:$B$532,"Yes",$A$2:$A$532,$A282,$AL$2:$AL$532,$AL282)&gt;1,"Yes","No"),
"No")
)
)
)</f>
      </c>
      <c r="BL282">
        <f>IF($T282="","",IF((IF(AND($AW282&lt;&gt;"Yes",$AW282&lt;&gt;"N/A"),"Power Cable, ","")&amp;IF(AND($AX282&lt;&gt;"Yes",$AX282&lt;&gt;"N/A"),"Battery, ","")&amp;IF(AND($BE282&lt;&gt;"Yes",$BE282&lt;&gt;"N/A"),"Firmware Download, ","")&amp;IF(AND(OR($BE282="Yes",$BE282="N/A"),$BF282&lt;&gt;"Yes",$BF282&lt;&gt;"N/A"),"Firmware Install, ","")&amp;IF(AND($BJ282&lt;&gt;"Yes",$BJ282&lt;&gt;"N/A"),"Device ID, ","")&amp;IF(AND($BK282&lt;&gt;"Yes",$BK282&lt;&gt;"N/A"),"Epic Beans Relay, ",""))="","",LEFT(IF(AND($AW282&lt;&gt;"Yes",$AW282&lt;&gt;"N/A"),"Power Cable, ","")&amp;IF(AND($AX282&lt;&gt;"Yes",$AX282&lt;&gt;"N/A"),"Battery, ","")&amp;IF(AND($BE282&lt;&gt;"Yes",$BE282&lt;&gt;"N/A"),"Firmware Download, ","")&amp;IF(AND(OR($BE282="Yes",$BE282="N/A"),$BF282&lt;&gt;"Yes",$BF282&lt;&gt;"N/A"),"Firmware Install, ","")&amp;IF(AND($BJ282&lt;&gt;"Yes",$BJ282&lt;&gt;"N/A"),"Device ID, ","")&amp;IF(AND($BK282&lt;&gt;"Yes",$BK282&lt;&gt;"N/A"),"Epic Beans Relay, ",""),LEN(IF(AND($AW282&lt;&gt;"Yes",$AW282&lt;&gt;"N/A"),"Power Cable, ","")&amp;IF(AND($AX282&lt;&gt;"Yes",$AX282&lt;&gt;"N/A"),"Battery, ","")&amp;IF(AND($BE282&lt;&gt;"Yes",$BE282&lt;&gt;"N/A"),"Firmware Download, ","")&amp;IF(AND(OR($BE282="Yes",$BE282="N/A"),$BF282&lt;&gt;"Yes",$BF282&lt;&gt;"N/A"),"Firmware Install, ","")&amp;IF(AND($BJ282&lt;&gt;"Yes",$BJ282&lt;&gt;"N/A"),"Device ID, ","")&amp;IF(AND($BK282&lt;&gt;"Yes",$BK282&lt;&gt;"N/A"),"Epic Beans Relay, ",""))-2)))</f>
      </c>
      <c r="BM282">
        <f>IF($T282="","",IF($BL282="","Yes","Blocked"))</f>
      </c>
      <c r="BP282">
        <f>IF($BO282="","",IFERROR(VLOOKUP($BO282,'01_Warehouse_Ledger'!$A:$N,4,FALSE),""))</f>
      </c>
      <c r="BQ282">
        <f>IF($BO282="","",IFERROR(VLOOKUP($BO282,'01_Warehouse_Ledger'!$A:$N,5,FALSE),""))</f>
      </c>
      <c r="BR282">
        <f>IF($BO282="","",IFERROR(VLOOKUP($BO282,'01_Warehouse_Ledger'!$A:$N,13,FALSE),""))</f>
      </c>
    </row>
    <row r="283">
      <c r="D283">
        <f>IF($B283&lt;&gt;"Yes","",IF($C283="No","Yes",IF($C283="Yes","No","")))</f>
      </c>
      <c r="E283">
        <f>IF($A283="","",IF($A283="Neuron",IF(OR(AND($S283&lt;&gt;"",LOWER(TRIM($S283))&lt;&gt;"n/a",COUNTIF($S$2:$S$532,$S283)&gt;1),AND($T283&lt;&gt;"",LOWER(TRIM($T283))&lt;&gt;"n/a",COUNTIF($T$2:$T$532,$T283)&gt;1),AND($W283&lt;&gt;"",LOWER(TRIM($W283))&lt;&gt;"n/a",COUNTIF($W$2:$W$532,$W283)&gt;1)),"Yes","No"),IF($A283="Cybernet",IF(OR(AND($Y283&lt;&gt;"",LOWER(TRIM($Y283))&lt;&gt;"n/a",COUNTIF($Y$2:$Y$532,$Y283)&gt;1),AND($Z283&lt;&gt;"",LOWER(TRIM($Z283))&lt;&gt;"n/a",COUNTIF($Z$2:$Z$532,$Z283)&gt;1)),"Yes","No"),IF(AND($AL283&lt;&gt;"",LOWER(TRIM($AL283))&lt;&gt;"n/a",COUNTIF($AL$2:$AL$532,$AL283)&gt;1),"Yes","No"))))</f>
      </c>
      <c r="F283">
        <f>IF($B283&lt;&gt;"Yes","",
IF($A283="Neuron",
IF(OR(
AND($S283&lt;&gt;"",LOWER(TRIM($S283))&lt;&gt;"n/a",COUNTIFS($B$2:$B$532,"Yes",$A$2:$A$532,"Neuron",$S$2:$S$532,$S283)&gt;1),
AND($T283&lt;&gt;"",LOWER(TRIM($T283))&lt;&gt;"n/a",COUNTIFS($B$2:$B$532,"Yes",$A$2:$A$532,"Neuron",$T$2:$T$532,$T283)&gt;1),
AND($W283&lt;&gt;"",LOWER(TRIM($W283))&lt;&gt;"n/a",COUNTIFS($B$2:$B$532,"Yes",$A$2:$A$532,"Neuron",$W$2:$W$532,$W283)&gt;1)
),"Yes","No"),
IF($A283="Cybernet",
IF(OR(
AND($Y283&lt;&gt;"",LOWER(TRIM($Y283))&lt;&gt;"n/a",COUNTIFS($B$2:$B$532,"Yes",$A$2:$A$532,"Cybernet",$Y$2:$Y$532,$Y283)&gt;1),
AND($Z283&lt;&gt;"",LOWER(TRIM($Z283))&lt;&gt;"n/a",COUNTIFS($B$2:$B$532,"Yes",$A$2:$A$532,"Cybernet",$Z$2:$Z$532,$Z283)&gt;1)
),"Yes","No"),
IF(AND($AL283&lt;&gt;"",LOWER(TRIM($AL283))&lt;&gt;"n/a"),
IF(COUNTIFS($B$2:$B$532,"Yes",$A$2:$A$532,$A283,$AL$2:$AL$532,$AL283)&gt;1,"Yes","No"),
"No")
)
)
)</f>
      </c>
      <c r="BL283">
        <f>IF($T283="","",IF((IF(AND($AW283&lt;&gt;"Yes",$AW283&lt;&gt;"N/A"),"Power Cable, ","")&amp;IF(AND($AX283&lt;&gt;"Yes",$AX283&lt;&gt;"N/A"),"Battery, ","")&amp;IF(AND($BE283&lt;&gt;"Yes",$BE283&lt;&gt;"N/A"),"Firmware Download, ","")&amp;IF(AND(OR($BE283="Yes",$BE283="N/A"),$BF283&lt;&gt;"Yes",$BF283&lt;&gt;"N/A"),"Firmware Install, ","")&amp;IF(AND($BJ283&lt;&gt;"Yes",$BJ283&lt;&gt;"N/A"),"Device ID, ","")&amp;IF(AND($BK283&lt;&gt;"Yes",$BK283&lt;&gt;"N/A"),"Epic Beans Relay, ",""))="","",LEFT(IF(AND($AW283&lt;&gt;"Yes",$AW283&lt;&gt;"N/A"),"Power Cable, ","")&amp;IF(AND($AX283&lt;&gt;"Yes",$AX283&lt;&gt;"N/A"),"Battery, ","")&amp;IF(AND($BE283&lt;&gt;"Yes",$BE283&lt;&gt;"N/A"),"Firmware Download, ","")&amp;IF(AND(OR($BE283="Yes",$BE283="N/A"),$BF283&lt;&gt;"Yes",$BF283&lt;&gt;"N/A"),"Firmware Install, ","")&amp;IF(AND($BJ283&lt;&gt;"Yes",$BJ283&lt;&gt;"N/A"),"Device ID, ","")&amp;IF(AND($BK283&lt;&gt;"Yes",$BK283&lt;&gt;"N/A"),"Epic Beans Relay, ",""),LEN(IF(AND($AW283&lt;&gt;"Yes",$AW283&lt;&gt;"N/A"),"Power Cable, ","")&amp;IF(AND($AX283&lt;&gt;"Yes",$AX283&lt;&gt;"N/A"),"Battery, ","")&amp;IF(AND($BE283&lt;&gt;"Yes",$BE283&lt;&gt;"N/A"),"Firmware Download, ","")&amp;IF(AND(OR($BE283="Yes",$BE283="N/A"),$BF283&lt;&gt;"Yes",$BF283&lt;&gt;"N/A"),"Firmware Install, ","")&amp;IF(AND($BJ283&lt;&gt;"Yes",$BJ283&lt;&gt;"N/A"),"Device ID, ","")&amp;IF(AND($BK283&lt;&gt;"Yes",$BK283&lt;&gt;"N/A"),"Epic Beans Relay, ",""))-2)))</f>
      </c>
      <c r="BM283">
        <f>IF($T283="","",IF($BL283="","Yes","Blocked"))</f>
      </c>
      <c r="BP283">
        <f>IF($BO283="","",IFERROR(VLOOKUP($BO283,'01_Warehouse_Ledger'!$A:$N,4,FALSE),""))</f>
      </c>
      <c r="BQ283">
        <f>IF($BO283="","",IFERROR(VLOOKUP($BO283,'01_Warehouse_Ledger'!$A:$N,5,FALSE),""))</f>
      </c>
      <c r="BR283">
        <f>IF($BO283="","",IFERROR(VLOOKUP($BO283,'01_Warehouse_Ledger'!$A:$N,13,FALSE),""))</f>
      </c>
    </row>
    <row r="284">
      <c r="D284">
        <f>IF($B284&lt;&gt;"Yes","",IF($C284="No","Yes",IF($C284="Yes","No","")))</f>
      </c>
      <c r="E284">
        <f>IF($A284="","",IF($A284="Neuron",IF(OR(AND($S284&lt;&gt;"",LOWER(TRIM($S284))&lt;&gt;"n/a",COUNTIF($S$2:$S$532,$S284)&gt;1),AND($T284&lt;&gt;"",LOWER(TRIM($T284))&lt;&gt;"n/a",COUNTIF($T$2:$T$532,$T284)&gt;1),AND($W284&lt;&gt;"",LOWER(TRIM($W284))&lt;&gt;"n/a",COUNTIF($W$2:$W$532,$W284)&gt;1)),"Yes","No"),IF($A284="Cybernet",IF(OR(AND($Y284&lt;&gt;"",LOWER(TRIM($Y284))&lt;&gt;"n/a",COUNTIF($Y$2:$Y$532,$Y284)&gt;1),AND($Z284&lt;&gt;"",LOWER(TRIM($Z284))&lt;&gt;"n/a",COUNTIF($Z$2:$Z$532,$Z284)&gt;1)),"Yes","No"),IF(AND($AL284&lt;&gt;"",LOWER(TRIM($AL284))&lt;&gt;"n/a",COUNTIF($AL$2:$AL$532,$AL284)&gt;1),"Yes","No"))))</f>
      </c>
      <c r="F284">
        <f>IF($B284&lt;&gt;"Yes","",
IF($A284="Neuron",
IF(OR(
AND($S284&lt;&gt;"",LOWER(TRIM($S284))&lt;&gt;"n/a",COUNTIFS($B$2:$B$532,"Yes",$A$2:$A$532,"Neuron",$S$2:$S$532,$S284)&gt;1),
AND($T284&lt;&gt;"",LOWER(TRIM($T284))&lt;&gt;"n/a",COUNTIFS($B$2:$B$532,"Yes",$A$2:$A$532,"Neuron",$T$2:$T$532,$T284)&gt;1),
AND($W284&lt;&gt;"",LOWER(TRIM($W284))&lt;&gt;"n/a",COUNTIFS($B$2:$B$532,"Yes",$A$2:$A$532,"Neuron",$W$2:$W$532,$W284)&gt;1)
),"Yes","No"),
IF($A284="Cybernet",
IF(OR(
AND($Y284&lt;&gt;"",LOWER(TRIM($Y284))&lt;&gt;"n/a",COUNTIFS($B$2:$B$532,"Yes",$A$2:$A$532,"Cybernet",$Y$2:$Y$532,$Y284)&gt;1),
AND($Z284&lt;&gt;"",LOWER(TRIM($Z284))&lt;&gt;"n/a",COUNTIFS($B$2:$B$532,"Yes",$A$2:$A$532,"Cybernet",$Z$2:$Z$532,$Z284)&gt;1)
),"Yes","No"),
IF(AND($AL284&lt;&gt;"",LOWER(TRIM($AL284))&lt;&gt;"n/a"),
IF(COUNTIFS($B$2:$B$532,"Yes",$A$2:$A$532,$A284,$AL$2:$AL$532,$AL284)&gt;1,"Yes","No"),
"No")
)
)
)</f>
      </c>
      <c r="BL284">
        <f>IF($T284="","",IF((IF(AND($AW284&lt;&gt;"Yes",$AW284&lt;&gt;"N/A"),"Power Cable, ","")&amp;IF(AND($AX284&lt;&gt;"Yes",$AX284&lt;&gt;"N/A"),"Battery, ","")&amp;IF(AND($BE284&lt;&gt;"Yes",$BE284&lt;&gt;"N/A"),"Firmware Download, ","")&amp;IF(AND(OR($BE284="Yes",$BE284="N/A"),$BF284&lt;&gt;"Yes",$BF284&lt;&gt;"N/A"),"Firmware Install, ","")&amp;IF(AND($BJ284&lt;&gt;"Yes",$BJ284&lt;&gt;"N/A"),"Device ID, ","")&amp;IF(AND($BK284&lt;&gt;"Yes",$BK284&lt;&gt;"N/A"),"Epic Beans Relay, ",""))="","",LEFT(IF(AND($AW284&lt;&gt;"Yes",$AW284&lt;&gt;"N/A"),"Power Cable, ","")&amp;IF(AND($AX284&lt;&gt;"Yes",$AX284&lt;&gt;"N/A"),"Battery, ","")&amp;IF(AND($BE284&lt;&gt;"Yes",$BE284&lt;&gt;"N/A"),"Firmware Download, ","")&amp;IF(AND(OR($BE284="Yes",$BE284="N/A"),$BF284&lt;&gt;"Yes",$BF284&lt;&gt;"N/A"),"Firmware Install, ","")&amp;IF(AND($BJ284&lt;&gt;"Yes",$BJ284&lt;&gt;"N/A"),"Device ID, ","")&amp;IF(AND($BK284&lt;&gt;"Yes",$BK284&lt;&gt;"N/A"),"Epic Beans Relay, ",""),LEN(IF(AND($AW284&lt;&gt;"Yes",$AW284&lt;&gt;"N/A"),"Power Cable, ","")&amp;IF(AND($AX284&lt;&gt;"Yes",$AX284&lt;&gt;"N/A"),"Battery, ","")&amp;IF(AND($BE284&lt;&gt;"Yes",$BE284&lt;&gt;"N/A"),"Firmware Download, ","")&amp;IF(AND(OR($BE284="Yes",$BE284="N/A"),$BF284&lt;&gt;"Yes",$BF284&lt;&gt;"N/A"),"Firmware Install, ","")&amp;IF(AND($BJ284&lt;&gt;"Yes",$BJ284&lt;&gt;"N/A"),"Device ID, ","")&amp;IF(AND($BK284&lt;&gt;"Yes",$BK284&lt;&gt;"N/A"),"Epic Beans Relay, ",""))-2)))</f>
      </c>
      <c r="BM284">
        <f>IF($T284="","",IF($BL284="","Yes","Blocked"))</f>
      </c>
      <c r="BP284">
        <f>IF($BO284="","",IFERROR(VLOOKUP($BO284,'01_Warehouse_Ledger'!$A:$N,4,FALSE),""))</f>
      </c>
      <c r="BQ284">
        <f>IF($BO284="","",IFERROR(VLOOKUP($BO284,'01_Warehouse_Ledger'!$A:$N,5,FALSE),""))</f>
      </c>
      <c r="BR284">
        <f>IF($BO284="","",IFERROR(VLOOKUP($BO284,'01_Warehouse_Ledger'!$A:$N,13,FALSE),""))</f>
      </c>
    </row>
    <row r="285">
      <c r="D285">
        <f>IF($B285&lt;&gt;"Yes","",IF($C285="No","Yes",IF($C285="Yes","No","")))</f>
      </c>
      <c r="E285">
        <f>IF($A285="","",IF($A285="Neuron",IF(OR(AND($S285&lt;&gt;"",LOWER(TRIM($S285))&lt;&gt;"n/a",COUNTIF($S$2:$S$532,$S285)&gt;1),AND($T285&lt;&gt;"",LOWER(TRIM($T285))&lt;&gt;"n/a",COUNTIF($T$2:$T$532,$T285)&gt;1),AND($W285&lt;&gt;"",LOWER(TRIM($W285))&lt;&gt;"n/a",COUNTIF($W$2:$W$532,$W285)&gt;1)),"Yes","No"),IF($A285="Cybernet",IF(OR(AND($Y285&lt;&gt;"",LOWER(TRIM($Y285))&lt;&gt;"n/a",COUNTIF($Y$2:$Y$532,$Y285)&gt;1),AND($Z285&lt;&gt;"",LOWER(TRIM($Z285))&lt;&gt;"n/a",COUNTIF($Z$2:$Z$532,$Z285)&gt;1)),"Yes","No"),IF(AND($AL285&lt;&gt;"",LOWER(TRIM($AL285))&lt;&gt;"n/a",COUNTIF($AL$2:$AL$532,$AL285)&gt;1),"Yes","No"))))</f>
      </c>
      <c r="F285">
        <f>IF($B285&lt;&gt;"Yes","",
IF($A285="Neuron",
IF(OR(
AND($S285&lt;&gt;"",LOWER(TRIM($S285))&lt;&gt;"n/a",COUNTIFS($B$2:$B$532,"Yes",$A$2:$A$532,"Neuron",$S$2:$S$532,$S285)&gt;1),
AND($T285&lt;&gt;"",LOWER(TRIM($T285))&lt;&gt;"n/a",COUNTIFS($B$2:$B$532,"Yes",$A$2:$A$532,"Neuron",$T$2:$T$532,$T285)&gt;1),
AND($W285&lt;&gt;"",LOWER(TRIM($W285))&lt;&gt;"n/a",COUNTIFS($B$2:$B$532,"Yes",$A$2:$A$532,"Neuron",$W$2:$W$532,$W285)&gt;1)
),"Yes","No"),
IF($A285="Cybernet",
IF(OR(
AND($Y285&lt;&gt;"",LOWER(TRIM($Y285))&lt;&gt;"n/a",COUNTIFS($B$2:$B$532,"Yes",$A$2:$A$532,"Cybernet",$Y$2:$Y$532,$Y285)&gt;1),
AND($Z285&lt;&gt;"",LOWER(TRIM($Z285))&lt;&gt;"n/a",COUNTIFS($B$2:$B$532,"Yes",$A$2:$A$532,"Cybernet",$Z$2:$Z$532,$Z285)&gt;1)
),"Yes","No"),
IF(AND($AL285&lt;&gt;"",LOWER(TRIM($AL285))&lt;&gt;"n/a"),
IF(COUNTIFS($B$2:$B$532,"Yes",$A$2:$A$532,$A285,$AL$2:$AL$532,$AL285)&gt;1,"Yes","No"),
"No")
)
)
)</f>
      </c>
      <c r="BL285">
        <f>IF($T285="","",IF((IF(AND($AW285&lt;&gt;"Yes",$AW285&lt;&gt;"N/A"),"Power Cable, ","")&amp;IF(AND($AX285&lt;&gt;"Yes",$AX285&lt;&gt;"N/A"),"Battery, ","")&amp;IF(AND($BE285&lt;&gt;"Yes",$BE285&lt;&gt;"N/A"),"Firmware Download, ","")&amp;IF(AND(OR($BE285="Yes",$BE285="N/A"),$BF285&lt;&gt;"Yes",$BF285&lt;&gt;"N/A"),"Firmware Install, ","")&amp;IF(AND($BJ285&lt;&gt;"Yes",$BJ285&lt;&gt;"N/A"),"Device ID, ","")&amp;IF(AND($BK285&lt;&gt;"Yes",$BK285&lt;&gt;"N/A"),"Epic Beans Relay, ",""))="","",LEFT(IF(AND($AW285&lt;&gt;"Yes",$AW285&lt;&gt;"N/A"),"Power Cable, ","")&amp;IF(AND($AX285&lt;&gt;"Yes",$AX285&lt;&gt;"N/A"),"Battery, ","")&amp;IF(AND($BE285&lt;&gt;"Yes",$BE285&lt;&gt;"N/A"),"Firmware Download, ","")&amp;IF(AND(OR($BE285="Yes",$BE285="N/A"),$BF285&lt;&gt;"Yes",$BF285&lt;&gt;"N/A"),"Firmware Install, ","")&amp;IF(AND($BJ285&lt;&gt;"Yes",$BJ285&lt;&gt;"N/A"),"Device ID, ","")&amp;IF(AND($BK285&lt;&gt;"Yes",$BK285&lt;&gt;"N/A"),"Epic Beans Relay, ",""),LEN(IF(AND($AW285&lt;&gt;"Yes",$AW285&lt;&gt;"N/A"),"Power Cable, ","")&amp;IF(AND($AX285&lt;&gt;"Yes",$AX285&lt;&gt;"N/A"),"Battery, ","")&amp;IF(AND($BE285&lt;&gt;"Yes",$BE285&lt;&gt;"N/A"),"Firmware Download, ","")&amp;IF(AND(OR($BE285="Yes",$BE285="N/A"),$BF285&lt;&gt;"Yes",$BF285&lt;&gt;"N/A"),"Firmware Install, ","")&amp;IF(AND($BJ285&lt;&gt;"Yes",$BJ285&lt;&gt;"N/A"),"Device ID, ","")&amp;IF(AND($BK285&lt;&gt;"Yes",$BK285&lt;&gt;"N/A"),"Epic Beans Relay, ",""))-2)))</f>
      </c>
      <c r="BM285">
        <f>IF($T285="","",IF($BL285="","Yes","Blocked"))</f>
      </c>
      <c r="BP285">
        <f>IF($BO285="","",IFERROR(VLOOKUP($BO285,'01_Warehouse_Ledger'!$A:$N,4,FALSE),""))</f>
      </c>
      <c r="BQ285">
        <f>IF($BO285="","",IFERROR(VLOOKUP($BO285,'01_Warehouse_Ledger'!$A:$N,5,FALSE),""))</f>
      </c>
      <c r="BR285">
        <f>IF($BO285="","",IFERROR(VLOOKUP($BO285,'01_Warehouse_Ledger'!$A:$N,13,FALSE),""))</f>
      </c>
    </row>
    <row r="286">
      <c r="D286">
        <f>IF($B286&lt;&gt;"Yes","",IF($C286="No","Yes",IF($C286="Yes","No","")))</f>
      </c>
      <c r="E286">
        <f>IF($A286="","",IF($A286="Neuron",IF(OR(AND($S286&lt;&gt;"",LOWER(TRIM($S286))&lt;&gt;"n/a",COUNTIF($S$2:$S$532,$S286)&gt;1),AND($T286&lt;&gt;"",LOWER(TRIM($T286))&lt;&gt;"n/a",COUNTIF($T$2:$T$532,$T286)&gt;1),AND($W286&lt;&gt;"",LOWER(TRIM($W286))&lt;&gt;"n/a",COUNTIF($W$2:$W$532,$W286)&gt;1)),"Yes","No"),IF($A286="Cybernet",IF(OR(AND($Y286&lt;&gt;"",LOWER(TRIM($Y286))&lt;&gt;"n/a",COUNTIF($Y$2:$Y$532,$Y286)&gt;1),AND($Z286&lt;&gt;"",LOWER(TRIM($Z286))&lt;&gt;"n/a",COUNTIF($Z$2:$Z$532,$Z286)&gt;1)),"Yes","No"),IF(AND($AL286&lt;&gt;"",LOWER(TRIM($AL286))&lt;&gt;"n/a",COUNTIF($AL$2:$AL$532,$AL286)&gt;1),"Yes","No"))))</f>
      </c>
      <c r="F286">
        <f>IF($B286&lt;&gt;"Yes","",
IF($A286="Neuron",
IF(OR(
AND($S286&lt;&gt;"",LOWER(TRIM($S286))&lt;&gt;"n/a",COUNTIFS($B$2:$B$532,"Yes",$A$2:$A$532,"Neuron",$S$2:$S$532,$S286)&gt;1),
AND($T286&lt;&gt;"",LOWER(TRIM($T286))&lt;&gt;"n/a",COUNTIFS($B$2:$B$532,"Yes",$A$2:$A$532,"Neuron",$T$2:$T$532,$T286)&gt;1),
AND($W286&lt;&gt;"",LOWER(TRIM($W286))&lt;&gt;"n/a",COUNTIFS($B$2:$B$532,"Yes",$A$2:$A$532,"Neuron",$W$2:$W$532,$W286)&gt;1)
),"Yes","No"),
IF($A286="Cybernet",
IF(OR(
AND($Y286&lt;&gt;"",LOWER(TRIM($Y286))&lt;&gt;"n/a",COUNTIFS($B$2:$B$532,"Yes",$A$2:$A$532,"Cybernet",$Y$2:$Y$532,$Y286)&gt;1),
AND($Z286&lt;&gt;"",LOWER(TRIM($Z286))&lt;&gt;"n/a",COUNTIFS($B$2:$B$532,"Yes",$A$2:$A$532,"Cybernet",$Z$2:$Z$532,$Z286)&gt;1)
),"Yes","No"),
IF(AND($AL286&lt;&gt;"",LOWER(TRIM($AL286))&lt;&gt;"n/a"),
IF(COUNTIFS($B$2:$B$532,"Yes",$A$2:$A$532,$A286,$AL$2:$AL$532,$AL286)&gt;1,"Yes","No"),
"No")
)
)
)</f>
      </c>
      <c r="BL286">
        <f>IF($T286="","",IF((IF(AND($AW286&lt;&gt;"Yes",$AW286&lt;&gt;"N/A"),"Power Cable, ","")&amp;IF(AND($AX286&lt;&gt;"Yes",$AX286&lt;&gt;"N/A"),"Battery, ","")&amp;IF(AND($BE286&lt;&gt;"Yes",$BE286&lt;&gt;"N/A"),"Firmware Download, ","")&amp;IF(AND(OR($BE286="Yes",$BE286="N/A"),$BF286&lt;&gt;"Yes",$BF286&lt;&gt;"N/A"),"Firmware Install, ","")&amp;IF(AND($BJ286&lt;&gt;"Yes",$BJ286&lt;&gt;"N/A"),"Device ID, ","")&amp;IF(AND($BK286&lt;&gt;"Yes",$BK286&lt;&gt;"N/A"),"Epic Beans Relay, ",""))="","",LEFT(IF(AND($AW286&lt;&gt;"Yes",$AW286&lt;&gt;"N/A"),"Power Cable, ","")&amp;IF(AND($AX286&lt;&gt;"Yes",$AX286&lt;&gt;"N/A"),"Battery, ","")&amp;IF(AND($BE286&lt;&gt;"Yes",$BE286&lt;&gt;"N/A"),"Firmware Download, ","")&amp;IF(AND(OR($BE286="Yes",$BE286="N/A"),$BF286&lt;&gt;"Yes",$BF286&lt;&gt;"N/A"),"Firmware Install, ","")&amp;IF(AND($BJ286&lt;&gt;"Yes",$BJ286&lt;&gt;"N/A"),"Device ID, ","")&amp;IF(AND($BK286&lt;&gt;"Yes",$BK286&lt;&gt;"N/A"),"Epic Beans Relay, ",""),LEN(IF(AND($AW286&lt;&gt;"Yes",$AW286&lt;&gt;"N/A"),"Power Cable, ","")&amp;IF(AND($AX286&lt;&gt;"Yes",$AX286&lt;&gt;"N/A"),"Battery, ","")&amp;IF(AND($BE286&lt;&gt;"Yes",$BE286&lt;&gt;"N/A"),"Firmware Download, ","")&amp;IF(AND(OR($BE286="Yes",$BE286="N/A"),$BF286&lt;&gt;"Yes",$BF286&lt;&gt;"N/A"),"Firmware Install, ","")&amp;IF(AND($BJ286&lt;&gt;"Yes",$BJ286&lt;&gt;"N/A"),"Device ID, ","")&amp;IF(AND($BK286&lt;&gt;"Yes",$BK286&lt;&gt;"N/A"),"Epic Beans Relay, ",""))-2)))</f>
      </c>
      <c r="BM286">
        <f>IF($T286="","",IF($BL286="","Yes","Blocked"))</f>
      </c>
      <c r="BP286">
        <f>IF($BO286="","",IFERROR(VLOOKUP($BO286,'01_Warehouse_Ledger'!$A:$N,4,FALSE),""))</f>
      </c>
      <c r="BQ286">
        <f>IF($BO286="","",IFERROR(VLOOKUP($BO286,'01_Warehouse_Ledger'!$A:$N,5,FALSE),""))</f>
      </c>
      <c r="BR286">
        <f>IF($BO286="","",IFERROR(VLOOKUP($BO286,'01_Warehouse_Ledger'!$A:$N,13,FALSE),""))</f>
      </c>
    </row>
    <row r="287">
      <c r="D287">
        <f>IF($B287&lt;&gt;"Yes","",IF($C287="No","Yes",IF($C287="Yes","No","")))</f>
      </c>
      <c r="E287">
        <f>IF($A287="","",IF($A287="Neuron",IF(OR(AND($S287&lt;&gt;"",LOWER(TRIM($S287))&lt;&gt;"n/a",COUNTIF($S$2:$S$532,$S287)&gt;1),AND($T287&lt;&gt;"",LOWER(TRIM($T287))&lt;&gt;"n/a",COUNTIF($T$2:$T$532,$T287)&gt;1),AND($W287&lt;&gt;"",LOWER(TRIM($W287))&lt;&gt;"n/a",COUNTIF($W$2:$W$532,$W287)&gt;1)),"Yes","No"),IF($A287="Cybernet",IF(OR(AND($Y287&lt;&gt;"",LOWER(TRIM($Y287))&lt;&gt;"n/a",COUNTIF($Y$2:$Y$532,$Y287)&gt;1),AND($Z287&lt;&gt;"",LOWER(TRIM($Z287))&lt;&gt;"n/a",COUNTIF($Z$2:$Z$532,$Z287)&gt;1)),"Yes","No"),IF(AND($AL287&lt;&gt;"",LOWER(TRIM($AL287))&lt;&gt;"n/a",COUNTIF($AL$2:$AL$532,$AL287)&gt;1),"Yes","No"))))</f>
      </c>
      <c r="F287">
        <f>IF($B287&lt;&gt;"Yes","",
IF($A287="Neuron",
IF(OR(
AND($S287&lt;&gt;"",LOWER(TRIM($S287))&lt;&gt;"n/a",COUNTIFS($B$2:$B$532,"Yes",$A$2:$A$532,"Neuron",$S$2:$S$532,$S287)&gt;1),
AND($T287&lt;&gt;"",LOWER(TRIM($T287))&lt;&gt;"n/a",COUNTIFS($B$2:$B$532,"Yes",$A$2:$A$532,"Neuron",$T$2:$T$532,$T287)&gt;1),
AND($W287&lt;&gt;"",LOWER(TRIM($W287))&lt;&gt;"n/a",COUNTIFS($B$2:$B$532,"Yes",$A$2:$A$532,"Neuron",$W$2:$W$532,$W287)&gt;1)
),"Yes","No"),
IF($A287="Cybernet",
IF(OR(
AND($Y287&lt;&gt;"",LOWER(TRIM($Y287))&lt;&gt;"n/a",COUNTIFS($B$2:$B$532,"Yes",$A$2:$A$532,"Cybernet",$Y$2:$Y$532,$Y287)&gt;1),
AND($Z287&lt;&gt;"",LOWER(TRIM($Z287))&lt;&gt;"n/a",COUNTIFS($B$2:$B$532,"Yes",$A$2:$A$532,"Cybernet",$Z$2:$Z$532,$Z287)&gt;1)
),"Yes","No"),
IF(AND($AL287&lt;&gt;"",LOWER(TRIM($AL287))&lt;&gt;"n/a"),
IF(COUNTIFS($B$2:$B$532,"Yes",$A$2:$A$532,$A287,$AL$2:$AL$532,$AL287)&gt;1,"Yes","No"),
"No")
)
)
)</f>
      </c>
      <c r="BL287">
        <f>IF($T287="","",IF((IF(AND($AW287&lt;&gt;"Yes",$AW287&lt;&gt;"N/A"),"Power Cable, ","")&amp;IF(AND($AX287&lt;&gt;"Yes",$AX287&lt;&gt;"N/A"),"Battery, ","")&amp;IF(AND($BE287&lt;&gt;"Yes",$BE287&lt;&gt;"N/A"),"Firmware Download, ","")&amp;IF(AND(OR($BE287="Yes",$BE287="N/A"),$BF287&lt;&gt;"Yes",$BF287&lt;&gt;"N/A"),"Firmware Install, ","")&amp;IF(AND($BJ287&lt;&gt;"Yes",$BJ287&lt;&gt;"N/A"),"Device ID, ","")&amp;IF(AND($BK287&lt;&gt;"Yes",$BK287&lt;&gt;"N/A"),"Epic Beans Relay, ",""))="","",LEFT(IF(AND($AW287&lt;&gt;"Yes",$AW287&lt;&gt;"N/A"),"Power Cable, ","")&amp;IF(AND($AX287&lt;&gt;"Yes",$AX287&lt;&gt;"N/A"),"Battery, ","")&amp;IF(AND($BE287&lt;&gt;"Yes",$BE287&lt;&gt;"N/A"),"Firmware Download, ","")&amp;IF(AND(OR($BE287="Yes",$BE287="N/A"),$BF287&lt;&gt;"Yes",$BF287&lt;&gt;"N/A"),"Firmware Install, ","")&amp;IF(AND($BJ287&lt;&gt;"Yes",$BJ287&lt;&gt;"N/A"),"Device ID, ","")&amp;IF(AND($BK287&lt;&gt;"Yes",$BK287&lt;&gt;"N/A"),"Epic Beans Relay, ",""),LEN(IF(AND($AW287&lt;&gt;"Yes",$AW287&lt;&gt;"N/A"),"Power Cable, ","")&amp;IF(AND($AX287&lt;&gt;"Yes",$AX287&lt;&gt;"N/A"),"Battery, ","")&amp;IF(AND($BE287&lt;&gt;"Yes",$BE287&lt;&gt;"N/A"),"Firmware Download, ","")&amp;IF(AND(OR($BE287="Yes",$BE287="N/A"),$BF287&lt;&gt;"Yes",$BF287&lt;&gt;"N/A"),"Firmware Install, ","")&amp;IF(AND($BJ287&lt;&gt;"Yes",$BJ287&lt;&gt;"N/A"),"Device ID, ","")&amp;IF(AND($BK287&lt;&gt;"Yes",$BK287&lt;&gt;"N/A"),"Epic Beans Relay, ",""))-2)))</f>
      </c>
      <c r="BM287">
        <f>IF($T287="","",IF($BL287="","Yes","Blocked"))</f>
      </c>
      <c r="BP287">
        <f>IF($BO287="","",IFERROR(VLOOKUP($BO287,'01_Warehouse_Ledger'!$A:$N,4,FALSE),""))</f>
      </c>
      <c r="BQ287">
        <f>IF($BO287="","",IFERROR(VLOOKUP($BO287,'01_Warehouse_Ledger'!$A:$N,5,FALSE),""))</f>
      </c>
      <c r="BR287">
        <f>IF($BO287="","",IFERROR(VLOOKUP($BO287,'01_Warehouse_Ledger'!$A:$N,13,FALSE),""))</f>
      </c>
    </row>
    <row r="288">
      <c r="D288">
        <f>IF($B288&lt;&gt;"Yes","",IF($C288="No","Yes",IF($C288="Yes","No","")))</f>
      </c>
      <c r="E288">
        <f>IF($A288="","",IF($A288="Neuron",IF(OR(AND($S288&lt;&gt;"",LOWER(TRIM($S288))&lt;&gt;"n/a",COUNTIF($S$2:$S$532,$S288)&gt;1),AND($T288&lt;&gt;"",LOWER(TRIM($T288))&lt;&gt;"n/a",COUNTIF($T$2:$T$532,$T288)&gt;1),AND($W288&lt;&gt;"",LOWER(TRIM($W288))&lt;&gt;"n/a",COUNTIF($W$2:$W$532,$W288)&gt;1)),"Yes","No"),IF($A288="Cybernet",IF(OR(AND($Y288&lt;&gt;"",LOWER(TRIM($Y288))&lt;&gt;"n/a",COUNTIF($Y$2:$Y$532,$Y288)&gt;1),AND($Z288&lt;&gt;"",LOWER(TRIM($Z288))&lt;&gt;"n/a",COUNTIF($Z$2:$Z$532,$Z288)&gt;1)),"Yes","No"),IF(AND($AL288&lt;&gt;"",LOWER(TRIM($AL288))&lt;&gt;"n/a",COUNTIF($AL$2:$AL$532,$AL288)&gt;1),"Yes","No"))))</f>
      </c>
      <c r="F288">
        <f>IF($B288&lt;&gt;"Yes","",
IF($A288="Neuron",
IF(OR(
AND($S288&lt;&gt;"",LOWER(TRIM($S288))&lt;&gt;"n/a",COUNTIFS($B$2:$B$532,"Yes",$A$2:$A$532,"Neuron",$S$2:$S$532,$S288)&gt;1),
AND($T288&lt;&gt;"",LOWER(TRIM($T288))&lt;&gt;"n/a",COUNTIFS($B$2:$B$532,"Yes",$A$2:$A$532,"Neuron",$T$2:$T$532,$T288)&gt;1),
AND($W288&lt;&gt;"",LOWER(TRIM($W288))&lt;&gt;"n/a",COUNTIFS($B$2:$B$532,"Yes",$A$2:$A$532,"Neuron",$W$2:$W$532,$W288)&gt;1)
),"Yes","No"),
IF($A288="Cybernet",
IF(OR(
AND($Y288&lt;&gt;"",LOWER(TRIM($Y288))&lt;&gt;"n/a",COUNTIFS($B$2:$B$532,"Yes",$A$2:$A$532,"Cybernet",$Y$2:$Y$532,$Y288)&gt;1),
AND($Z288&lt;&gt;"",LOWER(TRIM($Z288))&lt;&gt;"n/a",COUNTIFS($B$2:$B$532,"Yes",$A$2:$A$532,"Cybernet",$Z$2:$Z$532,$Z288)&gt;1)
),"Yes","No"),
IF(AND($AL288&lt;&gt;"",LOWER(TRIM($AL288))&lt;&gt;"n/a"),
IF(COUNTIFS($B$2:$B$532,"Yes",$A$2:$A$532,$A288,$AL$2:$AL$532,$AL288)&gt;1,"Yes","No"),
"No")
)
)
)</f>
      </c>
      <c r="BL288">
        <f>IF($T288="","",IF((IF(AND($AW288&lt;&gt;"Yes",$AW288&lt;&gt;"N/A"),"Power Cable, ","")&amp;IF(AND($AX288&lt;&gt;"Yes",$AX288&lt;&gt;"N/A"),"Battery, ","")&amp;IF(AND($BE288&lt;&gt;"Yes",$BE288&lt;&gt;"N/A"),"Firmware Download, ","")&amp;IF(AND(OR($BE288="Yes",$BE288="N/A"),$BF288&lt;&gt;"Yes",$BF288&lt;&gt;"N/A"),"Firmware Install, ","")&amp;IF(AND($BJ288&lt;&gt;"Yes",$BJ288&lt;&gt;"N/A"),"Device ID, ","")&amp;IF(AND($BK288&lt;&gt;"Yes",$BK288&lt;&gt;"N/A"),"Epic Beans Relay, ",""))="","",LEFT(IF(AND($AW288&lt;&gt;"Yes",$AW288&lt;&gt;"N/A"),"Power Cable, ","")&amp;IF(AND($AX288&lt;&gt;"Yes",$AX288&lt;&gt;"N/A"),"Battery, ","")&amp;IF(AND($BE288&lt;&gt;"Yes",$BE288&lt;&gt;"N/A"),"Firmware Download, ","")&amp;IF(AND(OR($BE288="Yes",$BE288="N/A"),$BF288&lt;&gt;"Yes",$BF288&lt;&gt;"N/A"),"Firmware Install, ","")&amp;IF(AND($BJ288&lt;&gt;"Yes",$BJ288&lt;&gt;"N/A"),"Device ID, ","")&amp;IF(AND($BK288&lt;&gt;"Yes",$BK288&lt;&gt;"N/A"),"Epic Beans Relay, ",""),LEN(IF(AND($AW288&lt;&gt;"Yes",$AW288&lt;&gt;"N/A"),"Power Cable, ","")&amp;IF(AND($AX288&lt;&gt;"Yes",$AX288&lt;&gt;"N/A"),"Battery, ","")&amp;IF(AND($BE288&lt;&gt;"Yes",$BE288&lt;&gt;"N/A"),"Firmware Download, ","")&amp;IF(AND(OR($BE288="Yes",$BE288="N/A"),$BF288&lt;&gt;"Yes",$BF288&lt;&gt;"N/A"),"Firmware Install, ","")&amp;IF(AND($BJ288&lt;&gt;"Yes",$BJ288&lt;&gt;"N/A"),"Device ID, ","")&amp;IF(AND($BK288&lt;&gt;"Yes",$BK288&lt;&gt;"N/A"),"Epic Beans Relay, ",""))-2)))</f>
      </c>
      <c r="BM288">
        <f>IF($T288="","",IF($BL288="","Yes","Blocked"))</f>
      </c>
      <c r="BP288">
        <f>IF($BO288="","",IFERROR(VLOOKUP($BO288,'01_Warehouse_Ledger'!$A:$N,4,FALSE),""))</f>
      </c>
      <c r="BQ288">
        <f>IF($BO288="","",IFERROR(VLOOKUP($BO288,'01_Warehouse_Ledger'!$A:$N,5,FALSE),""))</f>
      </c>
      <c r="BR288">
        <f>IF($BO288="","",IFERROR(VLOOKUP($BO288,'01_Warehouse_Ledger'!$A:$N,13,FALSE),""))</f>
      </c>
    </row>
    <row r="289">
      <c r="D289">
        <f>IF($B289&lt;&gt;"Yes","",IF($C289="No","Yes",IF($C289="Yes","No","")))</f>
      </c>
      <c r="E289">
        <f>IF($A289="","",IF($A289="Neuron",IF(OR(AND($S289&lt;&gt;"",LOWER(TRIM($S289))&lt;&gt;"n/a",COUNTIF($S$2:$S$532,$S289)&gt;1),AND($T289&lt;&gt;"",LOWER(TRIM($T289))&lt;&gt;"n/a",COUNTIF($T$2:$T$532,$T289)&gt;1),AND($W289&lt;&gt;"",LOWER(TRIM($W289))&lt;&gt;"n/a",COUNTIF($W$2:$W$532,$W289)&gt;1)),"Yes","No"),IF($A289="Cybernet",IF(OR(AND($Y289&lt;&gt;"",LOWER(TRIM($Y289))&lt;&gt;"n/a",COUNTIF($Y$2:$Y$532,$Y289)&gt;1),AND($Z289&lt;&gt;"",LOWER(TRIM($Z289))&lt;&gt;"n/a",COUNTIF($Z$2:$Z$532,$Z289)&gt;1)),"Yes","No"),IF(AND($AL289&lt;&gt;"",LOWER(TRIM($AL289))&lt;&gt;"n/a",COUNTIF($AL$2:$AL$532,$AL289)&gt;1),"Yes","No"))))</f>
      </c>
      <c r="F289">
        <f>IF($B289&lt;&gt;"Yes","",
IF($A289="Neuron",
IF(OR(
AND($S289&lt;&gt;"",LOWER(TRIM($S289))&lt;&gt;"n/a",COUNTIFS($B$2:$B$532,"Yes",$A$2:$A$532,"Neuron",$S$2:$S$532,$S289)&gt;1),
AND($T289&lt;&gt;"",LOWER(TRIM($T289))&lt;&gt;"n/a",COUNTIFS($B$2:$B$532,"Yes",$A$2:$A$532,"Neuron",$T$2:$T$532,$T289)&gt;1),
AND($W289&lt;&gt;"",LOWER(TRIM($W289))&lt;&gt;"n/a",COUNTIFS($B$2:$B$532,"Yes",$A$2:$A$532,"Neuron",$W$2:$W$532,$W289)&gt;1)
),"Yes","No"),
IF($A289="Cybernet",
IF(OR(
AND($Y289&lt;&gt;"",LOWER(TRIM($Y289))&lt;&gt;"n/a",COUNTIFS($B$2:$B$532,"Yes",$A$2:$A$532,"Cybernet",$Y$2:$Y$532,$Y289)&gt;1),
AND($Z289&lt;&gt;"",LOWER(TRIM($Z289))&lt;&gt;"n/a",COUNTIFS($B$2:$B$532,"Yes",$A$2:$A$532,"Cybernet",$Z$2:$Z$532,$Z289)&gt;1)
),"Yes","No"),
IF(AND($AL289&lt;&gt;"",LOWER(TRIM($AL289))&lt;&gt;"n/a"),
IF(COUNTIFS($B$2:$B$532,"Yes",$A$2:$A$532,$A289,$AL$2:$AL$532,$AL289)&gt;1,"Yes","No"),
"No")
)
)
)</f>
      </c>
      <c r="BL289">
        <f>IF($T289="","",IF((IF(AND($AW289&lt;&gt;"Yes",$AW289&lt;&gt;"N/A"),"Power Cable, ","")&amp;IF(AND($AX289&lt;&gt;"Yes",$AX289&lt;&gt;"N/A"),"Battery, ","")&amp;IF(AND($BE289&lt;&gt;"Yes",$BE289&lt;&gt;"N/A"),"Firmware Download, ","")&amp;IF(AND(OR($BE289="Yes",$BE289="N/A"),$BF289&lt;&gt;"Yes",$BF289&lt;&gt;"N/A"),"Firmware Install, ","")&amp;IF(AND($BJ289&lt;&gt;"Yes",$BJ289&lt;&gt;"N/A"),"Device ID, ","")&amp;IF(AND($BK289&lt;&gt;"Yes",$BK289&lt;&gt;"N/A"),"Epic Beans Relay, ",""))="","",LEFT(IF(AND($AW289&lt;&gt;"Yes",$AW289&lt;&gt;"N/A"),"Power Cable, ","")&amp;IF(AND($AX289&lt;&gt;"Yes",$AX289&lt;&gt;"N/A"),"Battery, ","")&amp;IF(AND($BE289&lt;&gt;"Yes",$BE289&lt;&gt;"N/A"),"Firmware Download, ","")&amp;IF(AND(OR($BE289="Yes",$BE289="N/A"),$BF289&lt;&gt;"Yes",$BF289&lt;&gt;"N/A"),"Firmware Install, ","")&amp;IF(AND($BJ289&lt;&gt;"Yes",$BJ289&lt;&gt;"N/A"),"Device ID, ","")&amp;IF(AND($BK289&lt;&gt;"Yes",$BK289&lt;&gt;"N/A"),"Epic Beans Relay, ",""),LEN(IF(AND($AW289&lt;&gt;"Yes",$AW289&lt;&gt;"N/A"),"Power Cable, ","")&amp;IF(AND($AX289&lt;&gt;"Yes",$AX289&lt;&gt;"N/A"),"Battery, ","")&amp;IF(AND($BE289&lt;&gt;"Yes",$BE289&lt;&gt;"N/A"),"Firmware Download, ","")&amp;IF(AND(OR($BE289="Yes",$BE289="N/A"),$BF289&lt;&gt;"Yes",$BF289&lt;&gt;"N/A"),"Firmware Install, ","")&amp;IF(AND($BJ289&lt;&gt;"Yes",$BJ289&lt;&gt;"N/A"),"Device ID, ","")&amp;IF(AND($BK289&lt;&gt;"Yes",$BK289&lt;&gt;"N/A"),"Epic Beans Relay, ",""))-2)))</f>
      </c>
      <c r="BM289">
        <f>IF($T289="","",IF($BL289="","Yes","Blocked"))</f>
      </c>
      <c r="BP289">
        <f>IF($BO289="","",IFERROR(VLOOKUP($BO289,'01_Warehouse_Ledger'!$A:$N,4,FALSE),""))</f>
      </c>
      <c r="BQ289">
        <f>IF($BO289="","",IFERROR(VLOOKUP($BO289,'01_Warehouse_Ledger'!$A:$N,5,FALSE),""))</f>
      </c>
      <c r="BR289">
        <f>IF($BO289="","",IFERROR(VLOOKUP($BO289,'01_Warehouse_Ledger'!$A:$N,13,FALSE),""))</f>
      </c>
    </row>
    <row r="290">
      <c r="D290">
        <f>IF($B290&lt;&gt;"Yes","",IF($C290="No","Yes",IF($C290="Yes","No","")))</f>
      </c>
      <c r="E290">
        <f>IF($A290="","",IF($A290="Neuron",IF(OR(AND($S290&lt;&gt;"",LOWER(TRIM($S290))&lt;&gt;"n/a",COUNTIF($S$2:$S$532,$S290)&gt;1),AND($T290&lt;&gt;"",LOWER(TRIM($T290))&lt;&gt;"n/a",COUNTIF($T$2:$T$532,$T290)&gt;1),AND($W290&lt;&gt;"",LOWER(TRIM($W290))&lt;&gt;"n/a",COUNTIF($W$2:$W$532,$W290)&gt;1)),"Yes","No"),IF($A290="Cybernet",IF(OR(AND($Y290&lt;&gt;"",LOWER(TRIM($Y290))&lt;&gt;"n/a",COUNTIF($Y$2:$Y$532,$Y290)&gt;1),AND($Z290&lt;&gt;"",LOWER(TRIM($Z290))&lt;&gt;"n/a",COUNTIF($Z$2:$Z$532,$Z290)&gt;1)),"Yes","No"),IF(AND($AL290&lt;&gt;"",LOWER(TRIM($AL290))&lt;&gt;"n/a",COUNTIF($AL$2:$AL$532,$AL290)&gt;1),"Yes","No"))))</f>
      </c>
      <c r="F290">
        <f>IF($B290&lt;&gt;"Yes","",
IF($A290="Neuron",
IF(OR(
AND($S290&lt;&gt;"",LOWER(TRIM($S290))&lt;&gt;"n/a",COUNTIFS($B$2:$B$532,"Yes",$A$2:$A$532,"Neuron",$S$2:$S$532,$S290)&gt;1),
AND($T290&lt;&gt;"",LOWER(TRIM($T290))&lt;&gt;"n/a",COUNTIFS($B$2:$B$532,"Yes",$A$2:$A$532,"Neuron",$T$2:$T$532,$T290)&gt;1),
AND($W290&lt;&gt;"",LOWER(TRIM($W290))&lt;&gt;"n/a",COUNTIFS($B$2:$B$532,"Yes",$A$2:$A$532,"Neuron",$W$2:$W$532,$W290)&gt;1)
),"Yes","No"),
IF($A290="Cybernet",
IF(OR(
AND($Y290&lt;&gt;"",LOWER(TRIM($Y290))&lt;&gt;"n/a",COUNTIFS($B$2:$B$532,"Yes",$A$2:$A$532,"Cybernet",$Y$2:$Y$532,$Y290)&gt;1),
AND($Z290&lt;&gt;"",LOWER(TRIM($Z290))&lt;&gt;"n/a",COUNTIFS($B$2:$B$532,"Yes",$A$2:$A$532,"Cybernet",$Z$2:$Z$532,$Z290)&gt;1)
),"Yes","No"),
IF(AND($AL290&lt;&gt;"",LOWER(TRIM($AL290))&lt;&gt;"n/a"),
IF(COUNTIFS($B$2:$B$532,"Yes",$A$2:$A$532,$A290,$AL$2:$AL$532,$AL290)&gt;1,"Yes","No"),
"No")
)
)
)</f>
      </c>
      <c r="BL290">
        <f>IF($T290="","",IF((IF(AND($AW290&lt;&gt;"Yes",$AW290&lt;&gt;"N/A"),"Power Cable, ","")&amp;IF(AND($AX290&lt;&gt;"Yes",$AX290&lt;&gt;"N/A"),"Battery, ","")&amp;IF(AND($BE290&lt;&gt;"Yes",$BE290&lt;&gt;"N/A"),"Firmware Download, ","")&amp;IF(AND(OR($BE290="Yes",$BE290="N/A"),$BF290&lt;&gt;"Yes",$BF290&lt;&gt;"N/A"),"Firmware Install, ","")&amp;IF(AND($BJ290&lt;&gt;"Yes",$BJ290&lt;&gt;"N/A"),"Device ID, ","")&amp;IF(AND($BK290&lt;&gt;"Yes",$BK290&lt;&gt;"N/A"),"Epic Beans Relay, ",""))="","",LEFT(IF(AND($AW290&lt;&gt;"Yes",$AW290&lt;&gt;"N/A"),"Power Cable, ","")&amp;IF(AND($AX290&lt;&gt;"Yes",$AX290&lt;&gt;"N/A"),"Battery, ","")&amp;IF(AND($BE290&lt;&gt;"Yes",$BE290&lt;&gt;"N/A"),"Firmware Download, ","")&amp;IF(AND(OR($BE290="Yes",$BE290="N/A"),$BF290&lt;&gt;"Yes",$BF290&lt;&gt;"N/A"),"Firmware Install, ","")&amp;IF(AND($BJ290&lt;&gt;"Yes",$BJ290&lt;&gt;"N/A"),"Device ID, ","")&amp;IF(AND($BK290&lt;&gt;"Yes",$BK290&lt;&gt;"N/A"),"Epic Beans Relay, ",""),LEN(IF(AND($AW290&lt;&gt;"Yes",$AW290&lt;&gt;"N/A"),"Power Cable, ","")&amp;IF(AND($AX290&lt;&gt;"Yes",$AX290&lt;&gt;"N/A"),"Battery, ","")&amp;IF(AND($BE290&lt;&gt;"Yes",$BE290&lt;&gt;"N/A"),"Firmware Download, ","")&amp;IF(AND(OR($BE290="Yes",$BE290="N/A"),$BF290&lt;&gt;"Yes",$BF290&lt;&gt;"N/A"),"Firmware Install, ","")&amp;IF(AND($BJ290&lt;&gt;"Yes",$BJ290&lt;&gt;"N/A"),"Device ID, ","")&amp;IF(AND($BK290&lt;&gt;"Yes",$BK290&lt;&gt;"N/A"),"Epic Beans Relay, ",""))-2)))</f>
      </c>
      <c r="BM290">
        <f>IF($T290="","",IF($BL290="","Yes","Blocked"))</f>
      </c>
      <c r="BP290">
        <f>IF($BO290="","",IFERROR(VLOOKUP($BO290,'01_Warehouse_Ledger'!$A:$N,4,FALSE),""))</f>
      </c>
      <c r="BQ290">
        <f>IF($BO290="","",IFERROR(VLOOKUP($BO290,'01_Warehouse_Ledger'!$A:$N,5,FALSE),""))</f>
      </c>
      <c r="BR290">
        <f>IF($BO290="","",IFERROR(VLOOKUP($BO290,'01_Warehouse_Ledger'!$A:$N,13,FALSE),""))</f>
      </c>
    </row>
    <row r="291">
      <c r="D291">
        <f>IF($B291&lt;&gt;"Yes","",IF($C291="No","Yes",IF($C291="Yes","No","")))</f>
      </c>
      <c r="E291">
        <f>IF($A291="","",IF($A291="Neuron",IF(OR(AND($S291&lt;&gt;"",LOWER(TRIM($S291))&lt;&gt;"n/a",COUNTIF($S$2:$S$532,$S291)&gt;1),AND($T291&lt;&gt;"",LOWER(TRIM($T291))&lt;&gt;"n/a",COUNTIF($T$2:$T$532,$T291)&gt;1),AND($W291&lt;&gt;"",LOWER(TRIM($W291))&lt;&gt;"n/a",COUNTIF($W$2:$W$532,$W291)&gt;1)),"Yes","No"),IF($A291="Cybernet",IF(OR(AND($Y291&lt;&gt;"",LOWER(TRIM($Y291))&lt;&gt;"n/a",COUNTIF($Y$2:$Y$532,$Y291)&gt;1),AND($Z291&lt;&gt;"",LOWER(TRIM($Z291))&lt;&gt;"n/a",COUNTIF($Z$2:$Z$532,$Z291)&gt;1)),"Yes","No"),IF(AND($AL291&lt;&gt;"",LOWER(TRIM($AL291))&lt;&gt;"n/a",COUNTIF($AL$2:$AL$532,$AL291)&gt;1),"Yes","No"))))</f>
      </c>
      <c r="F291">
        <f>IF($B291&lt;&gt;"Yes","",
IF($A291="Neuron",
IF(OR(
AND($S291&lt;&gt;"",LOWER(TRIM($S291))&lt;&gt;"n/a",COUNTIFS($B$2:$B$532,"Yes",$A$2:$A$532,"Neuron",$S$2:$S$532,$S291)&gt;1),
AND($T291&lt;&gt;"",LOWER(TRIM($T291))&lt;&gt;"n/a",COUNTIFS($B$2:$B$532,"Yes",$A$2:$A$532,"Neuron",$T$2:$T$532,$T291)&gt;1),
AND($W291&lt;&gt;"",LOWER(TRIM($W291))&lt;&gt;"n/a",COUNTIFS($B$2:$B$532,"Yes",$A$2:$A$532,"Neuron",$W$2:$W$532,$W291)&gt;1)
),"Yes","No"),
IF($A291="Cybernet",
IF(OR(
AND($Y291&lt;&gt;"",LOWER(TRIM($Y291))&lt;&gt;"n/a",COUNTIFS($B$2:$B$532,"Yes",$A$2:$A$532,"Cybernet",$Y$2:$Y$532,$Y291)&gt;1),
AND($Z291&lt;&gt;"",LOWER(TRIM($Z291))&lt;&gt;"n/a",COUNTIFS($B$2:$B$532,"Yes",$A$2:$A$532,"Cybernet",$Z$2:$Z$532,$Z291)&gt;1)
),"Yes","No"),
IF(AND($AL291&lt;&gt;"",LOWER(TRIM($AL291))&lt;&gt;"n/a"),
IF(COUNTIFS($B$2:$B$532,"Yes",$A$2:$A$532,$A291,$AL$2:$AL$532,$AL291)&gt;1,"Yes","No"),
"No")
)
)
)</f>
      </c>
      <c r="BL291">
        <f>IF($T291="","",IF((IF(AND($AW291&lt;&gt;"Yes",$AW291&lt;&gt;"N/A"),"Power Cable, ","")&amp;IF(AND($AX291&lt;&gt;"Yes",$AX291&lt;&gt;"N/A"),"Battery, ","")&amp;IF(AND($BE291&lt;&gt;"Yes",$BE291&lt;&gt;"N/A"),"Firmware Download, ","")&amp;IF(AND(OR($BE291="Yes",$BE291="N/A"),$BF291&lt;&gt;"Yes",$BF291&lt;&gt;"N/A"),"Firmware Install, ","")&amp;IF(AND($BJ291&lt;&gt;"Yes",$BJ291&lt;&gt;"N/A"),"Device ID, ","")&amp;IF(AND($BK291&lt;&gt;"Yes",$BK291&lt;&gt;"N/A"),"Epic Beans Relay, ",""))="","",LEFT(IF(AND($AW291&lt;&gt;"Yes",$AW291&lt;&gt;"N/A"),"Power Cable, ","")&amp;IF(AND($AX291&lt;&gt;"Yes",$AX291&lt;&gt;"N/A"),"Battery, ","")&amp;IF(AND($BE291&lt;&gt;"Yes",$BE291&lt;&gt;"N/A"),"Firmware Download, ","")&amp;IF(AND(OR($BE291="Yes",$BE291="N/A"),$BF291&lt;&gt;"Yes",$BF291&lt;&gt;"N/A"),"Firmware Install, ","")&amp;IF(AND($BJ291&lt;&gt;"Yes",$BJ291&lt;&gt;"N/A"),"Device ID, ","")&amp;IF(AND($BK291&lt;&gt;"Yes",$BK291&lt;&gt;"N/A"),"Epic Beans Relay, ",""),LEN(IF(AND($AW291&lt;&gt;"Yes",$AW291&lt;&gt;"N/A"),"Power Cable, ","")&amp;IF(AND($AX291&lt;&gt;"Yes",$AX291&lt;&gt;"N/A"),"Battery, ","")&amp;IF(AND($BE291&lt;&gt;"Yes",$BE291&lt;&gt;"N/A"),"Firmware Download, ","")&amp;IF(AND(OR($BE291="Yes",$BE291="N/A"),$BF291&lt;&gt;"Yes",$BF291&lt;&gt;"N/A"),"Firmware Install, ","")&amp;IF(AND($BJ291&lt;&gt;"Yes",$BJ291&lt;&gt;"N/A"),"Device ID, ","")&amp;IF(AND($BK291&lt;&gt;"Yes",$BK291&lt;&gt;"N/A"),"Epic Beans Relay, ",""))-2)))</f>
      </c>
      <c r="BM291">
        <f>IF($T291="","",IF($BL291="","Yes","Blocked"))</f>
      </c>
      <c r="BP291">
        <f>IF($BO291="","",IFERROR(VLOOKUP($BO291,'01_Warehouse_Ledger'!$A:$N,4,FALSE),""))</f>
      </c>
      <c r="BQ291">
        <f>IF($BO291="","",IFERROR(VLOOKUP($BO291,'01_Warehouse_Ledger'!$A:$N,5,FALSE),""))</f>
      </c>
      <c r="BR291">
        <f>IF($BO291="","",IFERROR(VLOOKUP($BO291,'01_Warehouse_Ledger'!$A:$N,13,FALSE),""))</f>
      </c>
    </row>
    <row r="292">
      <c r="D292">
        <f>IF($B292&lt;&gt;"Yes","",IF($C292="No","Yes",IF($C292="Yes","No","")))</f>
      </c>
      <c r="E292">
        <f>IF($A292="","",IF($A292="Neuron",IF(OR(AND($S292&lt;&gt;"",LOWER(TRIM($S292))&lt;&gt;"n/a",COUNTIF($S$2:$S$532,$S292)&gt;1),AND($T292&lt;&gt;"",LOWER(TRIM($T292))&lt;&gt;"n/a",COUNTIF($T$2:$T$532,$T292)&gt;1),AND($W292&lt;&gt;"",LOWER(TRIM($W292))&lt;&gt;"n/a",COUNTIF($W$2:$W$532,$W292)&gt;1)),"Yes","No"),IF($A292="Cybernet",IF(OR(AND($Y292&lt;&gt;"",LOWER(TRIM($Y292))&lt;&gt;"n/a",COUNTIF($Y$2:$Y$532,$Y292)&gt;1),AND($Z292&lt;&gt;"",LOWER(TRIM($Z292))&lt;&gt;"n/a",COUNTIF($Z$2:$Z$532,$Z292)&gt;1)),"Yes","No"),IF(AND($AL292&lt;&gt;"",LOWER(TRIM($AL292))&lt;&gt;"n/a",COUNTIF($AL$2:$AL$532,$AL292)&gt;1),"Yes","No"))))</f>
      </c>
      <c r="F292">
        <f>IF($B292&lt;&gt;"Yes","",
IF($A292="Neuron",
IF(OR(
AND($S292&lt;&gt;"",LOWER(TRIM($S292))&lt;&gt;"n/a",COUNTIFS($B$2:$B$532,"Yes",$A$2:$A$532,"Neuron",$S$2:$S$532,$S292)&gt;1),
AND($T292&lt;&gt;"",LOWER(TRIM($T292))&lt;&gt;"n/a",COUNTIFS($B$2:$B$532,"Yes",$A$2:$A$532,"Neuron",$T$2:$T$532,$T292)&gt;1),
AND($W292&lt;&gt;"",LOWER(TRIM($W292))&lt;&gt;"n/a",COUNTIFS($B$2:$B$532,"Yes",$A$2:$A$532,"Neuron",$W$2:$W$532,$W292)&gt;1)
),"Yes","No"),
IF($A292="Cybernet",
IF(OR(
AND($Y292&lt;&gt;"",LOWER(TRIM($Y292))&lt;&gt;"n/a",COUNTIFS($B$2:$B$532,"Yes",$A$2:$A$532,"Cybernet",$Y$2:$Y$532,$Y292)&gt;1),
AND($Z292&lt;&gt;"",LOWER(TRIM($Z292))&lt;&gt;"n/a",COUNTIFS($B$2:$B$532,"Yes",$A$2:$A$532,"Cybernet",$Z$2:$Z$532,$Z292)&gt;1)
),"Yes","No"),
IF(AND($AL292&lt;&gt;"",LOWER(TRIM($AL292))&lt;&gt;"n/a"),
IF(COUNTIFS($B$2:$B$532,"Yes",$A$2:$A$532,$A292,$AL$2:$AL$532,$AL292)&gt;1,"Yes","No"),
"No")
)
)
)</f>
      </c>
      <c r="BL292">
        <f>IF($T292="","",IF((IF(AND($AW292&lt;&gt;"Yes",$AW292&lt;&gt;"N/A"),"Power Cable, ","")&amp;IF(AND($AX292&lt;&gt;"Yes",$AX292&lt;&gt;"N/A"),"Battery, ","")&amp;IF(AND($BE292&lt;&gt;"Yes",$BE292&lt;&gt;"N/A"),"Firmware Download, ","")&amp;IF(AND(OR($BE292="Yes",$BE292="N/A"),$BF292&lt;&gt;"Yes",$BF292&lt;&gt;"N/A"),"Firmware Install, ","")&amp;IF(AND($BJ292&lt;&gt;"Yes",$BJ292&lt;&gt;"N/A"),"Device ID, ","")&amp;IF(AND($BK292&lt;&gt;"Yes",$BK292&lt;&gt;"N/A"),"Epic Beans Relay, ",""))="","",LEFT(IF(AND($AW292&lt;&gt;"Yes",$AW292&lt;&gt;"N/A"),"Power Cable, ","")&amp;IF(AND($AX292&lt;&gt;"Yes",$AX292&lt;&gt;"N/A"),"Battery, ","")&amp;IF(AND($BE292&lt;&gt;"Yes",$BE292&lt;&gt;"N/A"),"Firmware Download, ","")&amp;IF(AND(OR($BE292="Yes",$BE292="N/A"),$BF292&lt;&gt;"Yes",$BF292&lt;&gt;"N/A"),"Firmware Install, ","")&amp;IF(AND($BJ292&lt;&gt;"Yes",$BJ292&lt;&gt;"N/A"),"Device ID, ","")&amp;IF(AND($BK292&lt;&gt;"Yes",$BK292&lt;&gt;"N/A"),"Epic Beans Relay, ",""),LEN(IF(AND($AW292&lt;&gt;"Yes",$AW292&lt;&gt;"N/A"),"Power Cable, ","")&amp;IF(AND($AX292&lt;&gt;"Yes",$AX292&lt;&gt;"N/A"),"Battery, ","")&amp;IF(AND($BE292&lt;&gt;"Yes",$BE292&lt;&gt;"N/A"),"Firmware Download, ","")&amp;IF(AND(OR($BE292="Yes",$BE292="N/A"),$BF292&lt;&gt;"Yes",$BF292&lt;&gt;"N/A"),"Firmware Install, ","")&amp;IF(AND($BJ292&lt;&gt;"Yes",$BJ292&lt;&gt;"N/A"),"Device ID, ","")&amp;IF(AND($BK292&lt;&gt;"Yes",$BK292&lt;&gt;"N/A"),"Epic Beans Relay, ",""))-2)))</f>
      </c>
      <c r="BM292">
        <f>IF($T292="","",IF($BL292="","Yes","Blocked"))</f>
      </c>
      <c r="BP292">
        <f>IF($BO292="","",IFERROR(VLOOKUP($BO292,'01_Warehouse_Ledger'!$A:$N,4,FALSE),""))</f>
      </c>
      <c r="BQ292">
        <f>IF($BO292="","",IFERROR(VLOOKUP($BO292,'01_Warehouse_Ledger'!$A:$N,5,FALSE),""))</f>
      </c>
      <c r="BR292">
        <f>IF($BO292="","",IFERROR(VLOOKUP($BO292,'01_Warehouse_Ledger'!$A:$N,13,FALSE),""))</f>
      </c>
    </row>
    <row r="293">
      <c r="D293">
        <f>IF($B293&lt;&gt;"Yes","",IF($C293="No","Yes",IF($C293="Yes","No","")))</f>
      </c>
      <c r="E293">
        <f>IF($A293="","",IF($A293="Neuron",IF(OR(AND($S293&lt;&gt;"",LOWER(TRIM($S293))&lt;&gt;"n/a",COUNTIF($S$2:$S$532,$S293)&gt;1),AND($T293&lt;&gt;"",LOWER(TRIM($T293))&lt;&gt;"n/a",COUNTIF($T$2:$T$532,$T293)&gt;1),AND($W293&lt;&gt;"",LOWER(TRIM($W293))&lt;&gt;"n/a",COUNTIF($W$2:$W$532,$W293)&gt;1)),"Yes","No"),IF($A293="Cybernet",IF(OR(AND($Y293&lt;&gt;"",LOWER(TRIM($Y293))&lt;&gt;"n/a",COUNTIF($Y$2:$Y$532,$Y293)&gt;1),AND($Z293&lt;&gt;"",LOWER(TRIM($Z293))&lt;&gt;"n/a",COUNTIF($Z$2:$Z$532,$Z293)&gt;1)),"Yes","No"),IF(AND($AL293&lt;&gt;"",LOWER(TRIM($AL293))&lt;&gt;"n/a",COUNTIF($AL$2:$AL$532,$AL293)&gt;1),"Yes","No"))))</f>
      </c>
      <c r="F293">
        <f>IF($B293&lt;&gt;"Yes","",
IF($A293="Neuron",
IF(OR(
AND($S293&lt;&gt;"",LOWER(TRIM($S293))&lt;&gt;"n/a",COUNTIFS($B$2:$B$532,"Yes",$A$2:$A$532,"Neuron",$S$2:$S$532,$S293)&gt;1),
AND($T293&lt;&gt;"",LOWER(TRIM($T293))&lt;&gt;"n/a",COUNTIFS($B$2:$B$532,"Yes",$A$2:$A$532,"Neuron",$T$2:$T$532,$T293)&gt;1),
AND($W293&lt;&gt;"",LOWER(TRIM($W293))&lt;&gt;"n/a",COUNTIFS($B$2:$B$532,"Yes",$A$2:$A$532,"Neuron",$W$2:$W$532,$W293)&gt;1)
),"Yes","No"),
IF($A293="Cybernet",
IF(OR(
AND($Y293&lt;&gt;"",LOWER(TRIM($Y293))&lt;&gt;"n/a",COUNTIFS($B$2:$B$532,"Yes",$A$2:$A$532,"Cybernet",$Y$2:$Y$532,$Y293)&gt;1),
AND($Z293&lt;&gt;"",LOWER(TRIM($Z293))&lt;&gt;"n/a",COUNTIFS($B$2:$B$532,"Yes",$A$2:$A$532,"Cybernet",$Z$2:$Z$532,$Z293)&gt;1)
),"Yes","No"),
IF(AND($AL293&lt;&gt;"",LOWER(TRIM($AL293))&lt;&gt;"n/a"),
IF(COUNTIFS($B$2:$B$532,"Yes",$A$2:$A$532,$A293,$AL$2:$AL$532,$AL293)&gt;1,"Yes","No"),
"No")
)
)
)</f>
      </c>
      <c r="BL293">
        <f>IF($T293="","",IF((IF(AND($AW293&lt;&gt;"Yes",$AW293&lt;&gt;"N/A"),"Power Cable, ","")&amp;IF(AND($AX293&lt;&gt;"Yes",$AX293&lt;&gt;"N/A"),"Battery, ","")&amp;IF(AND($BE293&lt;&gt;"Yes",$BE293&lt;&gt;"N/A"),"Firmware Download, ","")&amp;IF(AND(OR($BE293="Yes",$BE293="N/A"),$BF293&lt;&gt;"Yes",$BF293&lt;&gt;"N/A"),"Firmware Install, ","")&amp;IF(AND($BJ293&lt;&gt;"Yes",$BJ293&lt;&gt;"N/A"),"Device ID, ","")&amp;IF(AND($BK293&lt;&gt;"Yes",$BK293&lt;&gt;"N/A"),"Epic Beans Relay, ",""))="","",LEFT(IF(AND($AW293&lt;&gt;"Yes",$AW293&lt;&gt;"N/A"),"Power Cable, ","")&amp;IF(AND($AX293&lt;&gt;"Yes",$AX293&lt;&gt;"N/A"),"Battery, ","")&amp;IF(AND($BE293&lt;&gt;"Yes",$BE293&lt;&gt;"N/A"),"Firmware Download, ","")&amp;IF(AND(OR($BE293="Yes",$BE293="N/A"),$BF293&lt;&gt;"Yes",$BF293&lt;&gt;"N/A"),"Firmware Install, ","")&amp;IF(AND($BJ293&lt;&gt;"Yes",$BJ293&lt;&gt;"N/A"),"Device ID, ","")&amp;IF(AND($BK293&lt;&gt;"Yes",$BK293&lt;&gt;"N/A"),"Epic Beans Relay, ",""),LEN(IF(AND($AW293&lt;&gt;"Yes",$AW293&lt;&gt;"N/A"),"Power Cable, ","")&amp;IF(AND($AX293&lt;&gt;"Yes",$AX293&lt;&gt;"N/A"),"Battery, ","")&amp;IF(AND($BE293&lt;&gt;"Yes",$BE293&lt;&gt;"N/A"),"Firmware Download, ","")&amp;IF(AND(OR($BE293="Yes",$BE293="N/A"),$BF293&lt;&gt;"Yes",$BF293&lt;&gt;"N/A"),"Firmware Install, ","")&amp;IF(AND($BJ293&lt;&gt;"Yes",$BJ293&lt;&gt;"N/A"),"Device ID, ","")&amp;IF(AND($BK293&lt;&gt;"Yes",$BK293&lt;&gt;"N/A"),"Epic Beans Relay, ",""))-2)))</f>
      </c>
      <c r="BM293">
        <f>IF($T293="","",IF($BL293="","Yes","Blocked"))</f>
      </c>
      <c r="BP293">
        <f>IF($BO293="","",IFERROR(VLOOKUP($BO293,'01_Warehouse_Ledger'!$A:$N,4,FALSE),""))</f>
      </c>
      <c r="BQ293">
        <f>IF($BO293="","",IFERROR(VLOOKUP($BO293,'01_Warehouse_Ledger'!$A:$N,5,FALSE),""))</f>
      </c>
      <c r="BR293">
        <f>IF($BO293="","",IFERROR(VLOOKUP($BO293,'01_Warehouse_Ledger'!$A:$N,13,FALSE),""))</f>
      </c>
    </row>
    <row r="294">
      <c r="D294">
        <f>IF($B294&lt;&gt;"Yes","",IF($C294="No","Yes",IF($C294="Yes","No","")))</f>
      </c>
      <c r="E294">
        <f>IF($A294="","",IF($A294="Neuron",IF(OR(AND($S294&lt;&gt;"",LOWER(TRIM($S294))&lt;&gt;"n/a",COUNTIF($S$2:$S$532,$S294)&gt;1),AND($T294&lt;&gt;"",LOWER(TRIM($T294))&lt;&gt;"n/a",COUNTIF($T$2:$T$532,$T294)&gt;1),AND($W294&lt;&gt;"",LOWER(TRIM($W294))&lt;&gt;"n/a",COUNTIF($W$2:$W$532,$W294)&gt;1)),"Yes","No"),IF($A294="Cybernet",IF(OR(AND($Y294&lt;&gt;"",LOWER(TRIM($Y294))&lt;&gt;"n/a",COUNTIF($Y$2:$Y$532,$Y294)&gt;1),AND($Z294&lt;&gt;"",LOWER(TRIM($Z294))&lt;&gt;"n/a",COUNTIF($Z$2:$Z$532,$Z294)&gt;1)),"Yes","No"),IF(AND($AL294&lt;&gt;"",LOWER(TRIM($AL294))&lt;&gt;"n/a",COUNTIF($AL$2:$AL$532,$AL294)&gt;1),"Yes","No"))))</f>
      </c>
      <c r="F294">
        <f>IF($B294&lt;&gt;"Yes","",
IF($A294="Neuron",
IF(OR(
AND($S294&lt;&gt;"",LOWER(TRIM($S294))&lt;&gt;"n/a",COUNTIFS($B$2:$B$532,"Yes",$A$2:$A$532,"Neuron",$S$2:$S$532,$S294)&gt;1),
AND($T294&lt;&gt;"",LOWER(TRIM($T294))&lt;&gt;"n/a",COUNTIFS($B$2:$B$532,"Yes",$A$2:$A$532,"Neuron",$T$2:$T$532,$T294)&gt;1),
AND($W294&lt;&gt;"",LOWER(TRIM($W294))&lt;&gt;"n/a",COUNTIFS($B$2:$B$532,"Yes",$A$2:$A$532,"Neuron",$W$2:$W$532,$W294)&gt;1)
),"Yes","No"),
IF($A294="Cybernet",
IF(OR(
AND($Y294&lt;&gt;"",LOWER(TRIM($Y294))&lt;&gt;"n/a",COUNTIFS($B$2:$B$532,"Yes",$A$2:$A$532,"Cybernet",$Y$2:$Y$532,$Y294)&gt;1),
AND($Z294&lt;&gt;"",LOWER(TRIM($Z294))&lt;&gt;"n/a",COUNTIFS($B$2:$B$532,"Yes",$A$2:$A$532,"Cybernet",$Z$2:$Z$532,$Z294)&gt;1)
),"Yes","No"),
IF(AND($AL294&lt;&gt;"",LOWER(TRIM($AL294))&lt;&gt;"n/a"),
IF(COUNTIFS($B$2:$B$532,"Yes",$A$2:$A$532,$A294,$AL$2:$AL$532,$AL294)&gt;1,"Yes","No"),
"No")
)
)
)</f>
      </c>
      <c r="BL294">
        <f>IF($T294="","",IF((IF(AND($AW294&lt;&gt;"Yes",$AW294&lt;&gt;"N/A"),"Power Cable, ","")&amp;IF(AND($AX294&lt;&gt;"Yes",$AX294&lt;&gt;"N/A"),"Battery, ","")&amp;IF(AND($BE294&lt;&gt;"Yes",$BE294&lt;&gt;"N/A"),"Firmware Download, ","")&amp;IF(AND(OR($BE294="Yes",$BE294="N/A"),$BF294&lt;&gt;"Yes",$BF294&lt;&gt;"N/A"),"Firmware Install, ","")&amp;IF(AND($BJ294&lt;&gt;"Yes",$BJ294&lt;&gt;"N/A"),"Device ID, ","")&amp;IF(AND($BK294&lt;&gt;"Yes",$BK294&lt;&gt;"N/A"),"Epic Beans Relay, ",""))="","",LEFT(IF(AND($AW294&lt;&gt;"Yes",$AW294&lt;&gt;"N/A"),"Power Cable, ","")&amp;IF(AND($AX294&lt;&gt;"Yes",$AX294&lt;&gt;"N/A"),"Battery, ","")&amp;IF(AND($BE294&lt;&gt;"Yes",$BE294&lt;&gt;"N/A"),"Firmware Download, ","")&amp;IF(AND(OR($BE294="Yes",$BE294="N/A"),$BF294&lt;&gt;"Yes",$BF294&lt;&gt;"N/A"),"Firmware Install, ","")&amp;IF(AND($BJ294&lt;&gt;"Yes",$BJ294&lt;&gt;"N/A"),"Device ID, ","")&amp;IF(AND($BK294&lt;&gt;"Yes",$BK294&lt;&gt;"N/A"),"Epic Beans Relay, ",""),LEN(IF(AND($AW294&lt;&gt;"Yes",$AW294&lt;&gt;"N/A"),"Power Cable, ","")&amp;IF(AND($AX294&lt;&gt;"Yes",$AX294&lt;&gt;"N/A"),"Battery, ","")&amp;IF(AND($BE294&lt;&gt;"Yes",$BE294&lt;&gt;"N/A"),"Firmware Download, ","")&amp;IF(AND(OR($BE294="Yes",$BE294="N/A"),$BF294&lt;&gt;"Yes",$BF294&lt;&gt;"N/A"),"Firmware Install, ","")&amp;IF(AND($BJ294&lt;&gt;"Yes",$BJ294&lt;&gt;"N/A"),"Device ID, ","")&amp;IF(AND($BK294&lt;&gt;"Yes",$BK294&lt;&gt;"N/A"),"Epic Beans Relay, ",""))-2)))</f>
      </c>
      <c r="BM294">
        <f>IF($T294="","",IF($BL294="","Yes","Blocked"))</f>
      </c>
      <c r="BP294">
        <f>IF($BO294="","",IFERROR(VLOOKUP($BO294,'01_Warehouse_Ledger'!$A:$N,4,FALSE),""))</f>
      </c>
      <c r="BQ294">
        <f>IF($BO294="","",IFERROR(VLOOKUP($BO294,'01_Warehouse_Ledger'!$A:$N,5,FALSE),""))</f>
      </c>
      <c r="BR294">
        <f>IF($BO294="","",IFERROR(VLOOKUP($BO294,'01_Warehouse_Ledger'!$A:$N,13,FALSE),""))</f>
      </c>
    </row>
    <row r="295">
      <c r="D295">
        <f>IF($B295&lt;&gt;"Yes","",IF($C295="No","Yes",IF($C295="Yes","No","")))</f>
      </c>
      <c r="E295">
        <f>IF($A295="","",IF($A295="Neuron",IF(OR(AND($S295&lt;&gt;"",LOWER(TRIM($S295))&lt;&gt;"n/a",COUNTIF($S$2:$S$532,$S295)&gt;1),AND($T295&lt;&gt;"",LOWER(TRIM($T295))&lt;&gt;"n/a",COUNTIF($T$2:$T$532,$T295)&gt;1),AND($W295&lt;&gt;"",LOWER(TRIM($W295))&lt;&gt;"n/a",COUNTIF($W$2:$W$532,$W295)&gt;1)),"Yes","No"),IF($A295="Cybernet",IF(OR(AND($Y295&lt;&gt;"",LOWER(TRIM($Y295))&lt;&gt;"n/a",COUNTIF($Y$2:$Y$532,$Y295)&gt;1),AND($Z295&lt;&gt;"",LOWER(TRIM($Z295))&lt;&gt;"n/a",COUNTIF($Z$2:$Z$532,$Z295)&gt;1)),"Yes","No"),IF(AND($AL295&lt;&gt;"",LOWER(TRIM($AL295))&lt;&gt;"n/a",COUNTIF($AL$2:$AL$532,$AL295)&gt;1),"Yes","No"))))</f>
      </c>
      <c r="F295">
        <f>IF($B295&lt;&gt;"Yes","",
IF($A295="Neuron",
IF(OR(
AND($S295&lt;&gt;"",LOWER(TRIM($S295))&lt;&gt;"n/a",COUNTIFS($B$2:$B$532,"Yes",$A$2:$A$532,"Neuron",$S$2:$S$532,$S295)&gt;1),
AND($T295&lt;&gt;"",LOWER(TRIM($T295))&lt;&gt;"n/a",COUNTIFS($B$2:$B$532,"Yes",$A$2:$A$532,"Neuron",$T$2:$T$532,$T295)&gt;1),
AND($W295&lt;&gt;"",LOWER(TRIM($W295))&lt;&gt;"n/a",COUNTIFS($B$2:$B$532,"Yes",$A$2:$A$532,"Neuron",$W$2:$W$532,$W295)&gt;1)
),"Yes","No"),
IF($A295="Cybernet",
IF(OR(
AND($Y295&lt;&gt;"",LOWER(TRIM($Y295))&lt;&gt;"n/a",COUNTIFS($B$2:$B$532,"Yes",$A$2:$A$532,"Cybernet",$Y$2:$Y$532,$Y295)&gt;1),
AND($Z295&lt;&gt;"",LOWER(TRIM($Z295))&lt;&gt;"n/a",COUNTIFS($B$2:$B$532,"Yes",$A$2:$A$532,"Cybernet",$Z$2:$Z$532,$Z295)&gt;1)
),"Yes","No"),
IF(AND($AL295&lt;&gt;"",LOWER(TRIM($AL295))&lt;&gt;"n/a"),
IF(COUNTIFS($B$2:$B$532,"Yes",$A$2:$A$532,$A295,$AL$2:$AL$532,$AL295)&gt;1,"Yes","No"),
"No")
)
)
)</f>
      </c>
      <c r="BL295">
        <f>IF($T295="","",IF((IF(AND($AW295&lt;&gt;"Yes",$AW295&lt;&gt;"N/A"),"Power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</c>
      <c r="BM295">
        <f>IF($T295="","",IF($BL295="","Yes","Blocked"))</f>
      </c>
      <c r="BP295">
        <f>IF($BO295="","",IFERROR(VLOOKUP($BO295,'01_Warehouse_Ledger'!$A:$N,4,FALSE),""))</f>
      </c>
      <c r="BQ295">
        <f>IF($BO295="","",IFERROR(VLOOKUP($BO295,'01_Warehouse_Ledger'!$A:$N,5,FALSE),""))</f>
      </c>
      <c r="BR295">
        <f>IF($BO295="","",IFERROR(VLOOKUP($BO295,'01_Warehouse_Ledger'!$A:$N,13,FALSE),""))</f>
      </c>
    </row>
    <row r="296">
      <c r="D296">
        <f>IF($B296&lt;&gt;"Yes","",IF($C296="No","Yes",IF($C296="Yes","No","")))</f>
      </c>
      <c r="E296">
        <f>IF($A296="","",IF($A296="Neuron",IF(OR(AND($S296&lt;&gt;"",LOWER(TRIM($S296))&lt;&gt;"n/a",COUNTIF($S$2:$S$532,$S296)&gt;1),AND($T296&lt;&gt;"",LOWER(TRIM($T296))&lt;&gt;"n/a",COUNTIF($T$2:$T$532,$T296)&gt;1),AND($W296&lt;&gt;"",LOWER(TRIM($W296))&lt;&gt;"n/a",COUNTIF($W$2:$W$532,$W296)&gt;1)),"Yes","No"),IF($A296="Cybernet",IF(OR(AND($Y296&lt;&gt;"",LOWER(TRIM($Y296))&lt;&gt;"n/a",COUNTIF($Y$2:$Y$532,$Y296)&gt;1),AND($Z296&lt;&gt;"",LOWER(TRIM($Z296))&lt;&gt;"n/a",COUNTIF($Z$2:$Z$532,$Z296)&gt;1)),"Yes","No"),IF(AND($AL296&lt;&gt;"",LOWER(TRIM($AL296))&lt;&gt;"n/a",COUNTIF($AL$2:$AL$532,$AL296)&gt;1),"Yes","No"))))</f>
      </c>
      <c r="F296">
        <f>IF($B296&lt;&gt;"Yes","",
IF($A296="Neuron",
IF(OR(
AND($S296&lt;&gt;"",LOWER(TRIM($S296))&lt;&gt;"n/a",COUNTIFS($B$2:$B$532,"Yes",$A$2:$A$532,"Neuron",$S$2:$S$532,$S296)&gt;1),
AND($T296&lt;&gt;"",LOWER(TRIM($T296))&lt;&gt;"n/a",COUNTIFS($B$2:$B$532,"Yes",$A$2:$A$532,"Neuron",$T$2:$T$532,$T296)&gt;1),
AND($W296&lt;&gt;"",LOWER(TRIM($W296))&lt;&gt;"n/a",COUNTIFS($B$2:$B$532,"Yes",$A$2:$A$532,"Neuron",$W$2:$W$532,$W296)&gt;1)
),"Yes","No"),
IF($A296="Cybernet",
IF(OR(
AND($Y296&lt;&gt;"",LOWER(TRIM($Y296))&lt;&gt;"n/a",COUNTIFS($B$2:$B$532,"Yes",$A$2:$A$532,"Cybernet",$Y$2:$Y$532,$Y296)&gt;1),
AND($Z296&lt;&gt;"",LOWER(TRIM($Z296))&lt;&gt;"n/a",COUNTIFS($B$2:$B$532,"Yes",$A$2:$A$532,"Cybernet",$Z$2:$Z$532,$Z296)&gt;1)
),"Yes","No"),
IF(AND($AL296&lt;&gt;"",LOWER(TRIM($AL296))&lt;&gt;"n/a"),
IF(COUNTIFS($B$2:$B$532,"Yes",$A$2:$A$532,$A296,$AL$2:$AL$532,$AL296)&gt;1,"Yes","No"),
"No")
)
)
)</f>
      </c>
      <c r="BL296">
        <f>IF($T296="","",IF((IF(AND($AW296&lt;&gt;"Yes",$AW296&lt;&gt;"N/A"),"Power Cable, ","")&amp;IF(AND($AX296&lt;&gt;"Yes",$AX296&lt;&gt;"N/A"),"Battery, ","")&amp;IF(AND($BE296&lt;&gt;"Yes",$BE296&lt;&gt;"N/A"),"Firmware Download, ","")&amp;IF(AND(OR($BE296="Yes",$BE296="N/A"),$BF296&lt;&gt;"Yes",$BF296&lt;&gt;"N/A"),"Firmware Install, ","")&amp;IF(AND($BJ296&lt;&gt;"Yes",$BJ296&lt;&gt;"N/A"),"Device ID, ","")&amp;IF(AND($BK296&lt;&gt;"Yes",$BK296&lt;&gt;"N/A"),"Epic Beans Relay, ",""))="","",LEFT(IF(AND($AW296&lt;&gt;"Yes",$AW296&lt;&gt;"N/A"),"Power Cable, ","")&amp;IF(AND($AX296&lt;&gt;"Yes",$AX296&lt;&gt;"N/A"),"Battery, ","")&amp;IF(AND($BE296&lt;&gt;"Yes",$BE296&lt;&gt;"N/A"),"Firmware Download, ","")&amp;IF(AND(OR($BE296="Yes",$BE296="N/A"),$BF296&lt;&gt;"Yes",$BF296&lt;&gt;"N/A"),"Firmware Install, ","")&amp;IF(AND($BJ296&lt;&gt;"Yes",$BJ296&lt;&gt;"N/A"),"Device ID, ","")&amp;IF(AND($BK296&lt;&gt;"Yes",$BK296&lt;&gt;"N/A"),"Epic Beans Relay, ",""),LEN(IF(AND($AW296&lt;&gt;"Yes",$AW296&lt;&gt;"N/A"),"Power Cable, ","")&amp;IF(AND($AX296&lt;&gt;"Yes",$AX296&lt;&gt;"N/A"),"Battery, ","")&amp;IF(AND($BE296&lt;&gt;"Yes",$BE296&lt;&gt;"N/A"),"Firmware Download, ","")&amp;IF(AND(OR($BE296="Yes",$BE296="N/A"),$BF296&lt;&gt;"Yes",$BF296&lt;&gt;"N/A"),"Firmware Install, ","")&amp;IF(AND($BJ296&lt;&gt;"Yes",$BJ296&lt;&gt;"N/A"),"Device ID, ","")&amp;IF(AND($BK296&lt;&gt;"Yes",$BK296&lt;&gt;"N/A"),"Epic Beans Relay, ",""))-2)))</f>
      </c>
      <c r="BM296">
        <f>IF($T296="","",IF($BL296="","Yes","Blocked"))</f>
      </c>
      <c r="BP296">
        <f>IF($BO296="","",IFERROR(VLOOKUP($BO296,'01_Warehouse_Ledger'!$A:$N,4,FALSE),""))</f>
      </c>
      <c r="BQ296">
        <f>IF($BO296="","",IFERROR(VLOOKUP($BO296,'01_Warehouse_Ledger'!$A:$N,5,FALSE),""))</f>
      </c>
      <c r="BR296">
        <f>IF($BO296="","",IFERROR(VLOOKUP($BO296,'01_Warehouse_Ledger'!$A:$N,13,FALSE),""))</f>
      </c>
    </row>
    <row r="297">
      <c r="D297">
        <f>IF($B297&lt;&gt;"Yes","",IF($C297="No","Yes",IF($C297="Yes","No","")))</f>
      </c>
      <c r="E297">
        <f>IF($A297="","",IF($A297="Neuron",IF(OR(AND($S297&lt;&gt;"",LOWER(TRIM($S297))&lt;&gt;"n/a",COUNTIF($S$2:$S$532,$S297)&gt;1),AND($T297&lt;&gt;"",LOWER(TRIM($T297))&lt;&gt;"n/a",COUNTIF($T$2:$T$532,$T297)&gt;1),AND($W297&lt;&gt;"",LOWER(TRIM($W297))&lt;&gt;"n/a",COUNTIF($W$2:$W$532,$W297)&gt;1)),"Yes","No"),IF($A297="Cybernet",IF(OR(AND($Y297&lt;&gt;"",LOWER(TRIM($Y297))&lt;&gt;"n/a",COUNTIF($Y$2:$Y$532,$Y297)&gt;1),AND($Z297&lt;&gt;"",LOWER(TRIM($Z297))&lt;&gt;"n/a",COUNTIF($Z$2:$Z$532,$Z297)&gt;1)),"Yes","No"),IF(AND($AL297&lt;&gt;"",LOWER(TRIM($AL297))&lt;&gt;"n/a",COUNTIF($AL$2:$AL$532,$AL297)&gt;1),"Yes","No"))))</f>
      </c>
      <c r="F297">
        <f>IF($B297&lt;&gt;"Yes","",
IF($A297="Neuron",
IF(OR(
AND($S297&lt;&gt;"",LOWER(TRIM($S297))&lt;&gt;"n/a",COUNTIFS($B$2:$B$532,"Yes",$A$2:$A$532,"Neuron",$S$2:$S$532,$S297)&gt;1),
AND($T297&lt;&gt;"",LOWER(TRIM($T297))&lt;&gt;"n/a",COUNTIFS($B$2:$B$532,"Yes",$A$2:$A$532,"Neuron",$T$2:$T$532,$T297)&gt;1),
AND($W297&lt;&gt;"",LOWER(TRIM($W297))&lt;&gt;"n/a",COUNTIFS($B$2:$B$532,"Yes",$A$2:$A$532,"Neuron",$W$2:$W$532,$W297)&gt;1)
),"Yes","No"),
IF($A297="Cybernet",
IF(OR(
AND($Y297&lt;&gt;"",LOWER(TRIM($Y297))&lt;&gt;"n/a",COUNTIFS($B$2:$B$532,"Yes",$A$2:$A$532,"Cybernet",$Y$2:$Y$532,$Y297)&gt;1),
AND($Z297&lt;&gt;"",LOWER(TRIM($Z297))&lt;&gt;"n/a",COUNTIFS($B$2:$B$532,"Yes",$A$2:$A$532,"Cybernet",$Z$2:$Z$532,$Z297)&gt;1)
),"Yes","No"),
IF(AND($AL297&lt;&gt;"",LOWER(TRIM($AL297))&lt;&gt;"n/a"),
IF(COUNTIFS($B$2:$B$532,"Yes",$A$2:$A$532,$A297,$AL$2:$AL$532,$AL297)&gt;1,"Yes","No"),
"No")
)
)
)</f>
      </c>
      <c r="BL297">
        <f>IF($T297="","",IF((IF(AND($AW297&lt;&gt;"Yes",$AW297&lt;&gt;"N/A"),"Power Cable, ","")&amp;IF(AND($AX297&lt;&gt;"Yes",$AX297&lt;&gt;"N/A"),"Battery, ","")&amp;IF(AND($BE297&lt;&gt;"Yes",$BE297&lt;&gt;"N/A"),"Firmware Download, ","")&amp;IF(AND(OR($BE297="Yes",$BE297="N/A"),$BF297&lt;&gt;"Yes",$BF297&lt;&gt;"N/A"),"Firmware Install, ","")&amp;IF(AND($BJ297&lt;&gt;"Yes",$BJ297&lt;&gt;"N/A"),"Device ID, ","")&amp;IF(AND($BK297&lt;&gt;"Yes",$BK297&lt;&gt;"N/A"),"Epic Beans Relay, ",""))="","",LEFT(IF(AND($AW297&lt;&gt;"Yes",$AW297&lt;&gt;"N/A"),"Power Cable, ","")&amp;IF(AND($AX297&lt;&gt;"Yes",$AX297&lt;&gt;"N/A"),"Battery, ","")&amp;IF(AND($BE297&lt;&gt;"Yes",$BE297&lt;&gt;"N/A"),"Firmware Download, ","")&amp;IF(AND(OR($BE297="Yes",$BE297="N/A"),$BF297&lt;&gt;"Yes",$BF297&lt;&gt;"N/A"),"Firmware Install, ","")&amp;IF(AND($BJ297&lt;&gt;"Yes",$BJ297&lt;&gt;"N/A"),"Device ID, ","")&amp;IF(AND($BK297&lt;&gt;"Yes",$BK297&lt;&gt;"N/A"),"Epic Beans Relay, ",""),LEN(IF(AND($AW297&lt;&gt;"Yes",$AW297&lt;&gt;"N/A"),"Power Cable, ","")&amp;IF(AND($AX297&lt;&gt;"Yes",$AX297&lt;&gt;"N/A"),"Battery, ","")&amp;IF(AND($BE297&lt;&gt;"Yes",$BE297&lt;&gt;"N/A"),"Firmware Download, ","")&amp;IF(AND(OR($BE297="Yes",$BE297="N/A"),$BF297&lt;&gt;"Yes",$BF297&lt;&gt;"N/A"),"Firmware Install, ","")&amp;IF(AND($BJ297&lt;&gt;"Yes",$BJ297&lt;&gt;"N/A"),"Device ID, ","")&amp;IF(AND($BK297&lt;&gt;"Yes",$BK297&lt;&gt;"N/A"),"Epic Beans Relay, ",""))-2)))</f>
      </c>
      <c r="BM297">
        <f>IF($T297="","",IF($BL297="","Yes","Blocked"))</f>
      </c>
      <c r="BP297">
        <f>IF($BO297="","",IFERROR(VLOOKUP($BO297,'01_Warehouse_Ledger'!$A:$N,4,FALSE),""))</f>
      </c>
      <c r="BQ297">
        <f>IF($BO297="","",IFERROR(VLOOKUP($BO297,'01_Warehouse_Ledger'!$A:$N,5,FALSE),""))</f>
      </c>
      <c r="BR297">
        <f>IF($BO297="","",IFERROR(VLOOKUP($BO297,'01_Warehouse_Ledger'!$A:$N,13,FALSE),""))</f>
      </c>
    </row>
    <row r="298">
      <c r="D298">
        <f>IF($B298&lt;&gt;"Yes","",IF($C298="No","Yes",IF($C298="Yes","No","")))</f>
      </c>
      <c r="E298">
        <f>IF($A298="","",IF($A298="Neuron",IF(OR(AND($S298&lt;&gt;"",LOWER(TRIM($S298))&lt;&gt;"n/a",COUNTIF($S$2:$S$532,$S298)&gt;1),AND($T298&lt;&gt;"",LOWER(TRIM($T298))&lt;&gt;"n/a",COUNTIF($T$2:$T$532,$T298)&gt;1),AND($W298&lt;&gt;"",LOWER(TRIM($W298))&lt;&gt;"n/a",COUNTIF($W$2:$W$532,$W298)&gt;1)),"Yes","No"),IF($A298="Cybernet",IF(OR(AND($Y298&lt;&gt;"",LOWER(TRIM($Y298))&lt;&gt;"n/a",COUNTIF($Y$2:$Y$532,$Y298)&gt;1),AND($Z298&lt;&gt;"",LOWER(TRIM($Z298))&lt;&gt;"n/a",COUNTIF($Z$2:$Z$532,$Z298)&gt;1)),"Yes","No"),IF(AND($AL298&lt;&gt;"",LOWER(TRIM($AL298))&lt;&gt;"n/a",COUNTIF($AL$2:$AL$532,$AL298)&gt;1),"Yes","No"))))</f>
      </c>
      <c r="F298">
        <f>IF($B298&lt;&gt;"Yes","",
IF($A298="Neuron",
IF(OR(
AND($S298&lt;&gt;"",LOWER(TRIM($S298))&lt;&gt;"n/a",COUNTIFS($B$2:$B$532,"Yes",$A$2:$A$532,"Neuron",$S$2:$S$532,$S298)&gt;1),
AND($T298&lt;&gt;"",LOWER(TRIM($T298))&lt;&gt;"n/a",COUNTIFS($B$2:$B$532,"Yes",$A$2:$A$532,"Neuron",$T$2:$T$532,$T298)&gt;1),
AND($W298&lt;&gt;"",LOWER(TRIM($W298))&lt;&gt;"n/a",COUNTIFS($B$2:$B$532,"Yes",$A$2:$A$532,"Neuron",$W$2:$W$532,$W298)&gt;1)
),"Yes","No"),
IF($A298="Cybernet",
IF(OR(
AND($Y298&lt;&gt;"",LOWER(TRIM($Y298))&lt;&gt;"n/a",COUNTIFS($B$2:$B$532,"Yes",$A$2:$A$532,"Cybernet",$Y$2:$Y$532,$Y298)&gt;1),
AND($Z298&lt;&gt;"",LOWER(TRIM($Z298))&lt;&gt;"n/a",COUNTIFS($B$2:$B$532,"Yes",$A$2:$A$532,"Cybernet",$Z$2:$Z$532,$Z298)&gt;1)
),"Yes","No"),
IF(AND($AL298&lt;&gt;"",LOWER(TRIM($AL298))&lt;&gt;"n/a"),
IF(COUNTIFS($B$2:$B$532,"Yes",$A$2:$A$532,$A298,$AL$2:$AL$532,$AL298)&gt;1,"Yes","No"),
"No")
)
)
)</f>
      </c>
      <c r="BL298">
        <f>IF($T298="","",IF((IF(AND($AW298&lt;&gt;"Yes",$AW298&lt;&gt;"N/A"),"Power Cable, ","")&amp;IF(AND($AX298&lt;&gt;"Yes",$AX298&lt;&gt;"N/A"),"Battery, ","")&amp;IF(AND($BE298&lt;&gt;"Yes",$BE298&lt;&gt;"N/A"),"Firmware Download, ","")&amp;IF(AND(OR($BE298="Yes",$BE298="N/A"),$BF298&lt;&gt;"Yes",$BF298&lt;&gt;"N/A"),"Firmware Install, ","")&amp;IF(AND($BJ298&lt;&gt;"Yes",$BJ298&lt;&gt;"N/A"),"Device ID, ","")&amp;IF(AND($BK298&lt;&gt;"Yes",$BK298&lt;&gt;"N/A"),"Epic Beans Relay, ",""))="","",LEFT(IF(AND($AW298&lt;&gt;"Yes",$AW298&lt;&gt;"N/A"),"Power Cable, ","")&amp;IF(AND($AX298&lt;&gt;"Yes",$AX298&lt;&gt;"N/A"),"Battery, ","")&amp;IF(AND($BE298&lt;&gt;"Yes",$BE298&lt;&gt;"N/A"),"Firmware Download, ","")&amp;IF(AND(OR($BE298="Yes",$BE298="N/A"),$BF298&lt;&gt;"Yes",$BF298&lt;&gt;"N/A"),"Firmware Install, ","")&amp;IF(AND($BJ298&lt;&gt;"Yes",$BJ298&lt;&gt;"N/A"),"Device ID, ","")&amp;IF(AND($BK298&lt;&gt;"Yes",$BK298&lt;&gt;"N/A"),"Epic Beans Relay, ",""),LEN(IF(AND($AW298&lt;&gt;"Yes",$AW298&lt;&gt;"N/A"),"Power Cable, ","")&amp;IF(AND($AX298&lt;&gt;"Yes",$AX298&lt;&gt;"N/A"),"Battery, ","")&amp;IF(AND($BE298&lt;&gt;"Yes",$BE298&lt;&gt;"N/A"),"Firmware Download, ","")&amp;IF(AND(OR($BE298="Yes",$BE298="N/A"),$BF298&lt;&gt;"Yes",$BF298&lt;&gt;"N/A"),"Firmware Install, ","")&amp;IF(AND($BJ298&lt;&gt;"Yes",$BJ298&lt;&gt;"N/A"),"Device ID, ","")&amp;IF(AND($BK298&lt;&gt;"Yes",$BK298&lt;&gt;"N/A"),"Epic Beans Relay, ",""))-2)))</f>
      </c>
      <c r="BM298">
        <f>IF($T298="","",IF($BL298="","Yes","Blocked"))</f>
      </c>
      <c r="BP298">
        <f>IF($BO298="","",IFERROR(VLOOKUP($BO298,'01_Warehouse_Ledger'!$A:$N,4,FALSE),""))</f>
      </c>
      <c r="BQ298">
        <f>IF($BO298="","",IFERROR(VLOOKUP($BO298,'01_Warehouse_Ledger'!$A:$N,5,FALSE),""))</f>
      </c>
      <c r="BR298">
        <f>IF($BO298="","",IFERROR(VLOOKUP($BO298,'01_Warehouse_Ledger'!$A:$N,13,FALSE),""))</f>
      </c>
    </row>
    <row r="299">
      <c r="D299">
        <f>IF($B299&lt;&gt;"Yes","",IF($C299="No","Yes",IF($C299="Yes","No","")))</f>
      </c>
      <c r="E299">
        <f>IF($A299="","",IF($A299="Neuron",IF(OR(AND($S299&lt;&gt;"",LOWER(TRIM($S299))&lt;&gt;"n/a",COUNTIF($S$2:$S$532,$S299)&gt;1),AND($T299&lt;&gt;"",LOWER(TRIM($T299))&lt;&gt;"n/a",COUNTIF($T$2:$T$532,$T299)&gt;1),AND($W299&lt;&gt;"",LOWER(TRIM($W299))&lt;&gt;"n/a",COUNTIF($W$2:$W$532,$W299)&gt;1)),"Yes","No"),IF($A299="Cybernet",IF(OR(AND($Y299&lt;&gt;"",LOWER(TRIM($Y299))&lt;&gt;"n/a",COUNTIF($Y$2:$Y$532,$Y299)&gt;1),AND($Z299&lt;&gt;"",LOWER(TRIM($Z299))&lt;&gt;"n/a",COUNTIF($Z$2:$Z$532,$Z299)&gt;1)),"Yes","No"),IF(AND($AL299&lt;&gt;"",LOWER(TRIM($AL299))&lt;&gt;"n/a",COUNTIF($AL$2:$AL$532,$AL299)&gt;1),"Yes","No"))))</f>
      </c>
      <c r="F299">
        <f>IF($B299&lt;&gt;"Yes","",
IF($A299="Neuron",
IF(OR(
AND($S299&lt;&gt;"",LOWER(TRIM($S299))&lt;&gt;"n/a",COUNTIFS($B$2:$B$532,"Yes",$A$2:$A$532,"Neuron",$S$2:$S$532,$S299)&gt;1),
AND($T299&lt;&gt;"",LOWER(TRIM($T299))&lt;&gt;"n/a",COUNTIFS($B$2:$B$532,"Yes",$A$2:$A$532,"Neuron",$T$2:$T$532,$T299)&gt;1),
AND($W299&lt;&gt;"",LOWER(TRIM($W299))&lt;&gt;"n/a",COUNTIFS($B$2:$B$532,"Yes",$A$2:$A$532,"Neuron",$W$2:$W$532,$W299)&gt;1)
),"Yes","No"),
IF($A299="Cybernet",
IF(OR(
AND($Y299&lt;&gt;"",LOWER(TRIM($Y299))&lt;&gt;"n/a",COUNTIFS($B$2:$B$532,"Yes",$A$2:$A$532,"Cybernet",$Y$2:$Y$532,$Y299)&gt;1),
AND($Z299&lt;&gt;"",LOWER(TRIM($Z299))&lt;&gt;"n/a",COUNTIFS($B$2:$B$532,"Yes",$A$2:$A$532,"Cybernet",$Z$2:$Z$532,$Z299)&gt;1)
),"Yes","No"),
IF(AND($AL299&lt;&gt;"",LOWER(TRIM($AL299))&lt;&gt;"n/a"),
IF(COUNTIFS($B$2:$B$532,"Yes",$A$2:$A$532,$A299,$AL$2:$AL$532,$AL299)&gt;1,"Yes","No"),
"No")
)
)
)</f>
      </c>
      <c r="BL299">
        <f>IF($T299="","",IF((IF(AND($AW299&lt;&gt;"Yes",$AW299&lt;&gt;"N/A"),"Power Cable, ","")&amp;IF(AND($AX299&lt;&gt;"Yes",$AX299&lt;&gt;"N/A"),"Battery, ","")&amp;IF(AND($BE299&lt;&gt;"Yes",$BE299&lt;&gt;"N/A"),"Firmware Download, ","")&amp;IF(AND(OR($BE299="Yes",$BE299="N/A"),$BF299&lt;&gt;"Yes",$BF299&lt;&gt;"N/A"),"Firmware Install, ","")&amp;IF(AND($BJ299&lt;&gt;"Yes",$BJ299&lt;&gt;"N/A"),"Device ID, ","")&amp;IF(AND($BK299&lt;&gt;"Yes",$BK299&lt;&gt;"N/A"),"Epic Beans Relay, ",""))="","",LEFT(IF(AND($AW299&lt;&gt;"Yes",$AW299&lt;&gt;"N/A"),"Power Cable, ","")&amp;IF(AND($AX299&lt;&gt;"Yes",$AX299&lt;&gt;"N/A"),"Battery, ","")&amp;IF(AND($BE299&lt;&gt;"Yes",$BE299&lt;&gt;"N/A"),"Firmware Download, ","")&amp;IF(AND(OR($BE299="Yes",$BE299="N/A"),$BF299&lt;&gt;"Yes",$BF299&lt;&gt;"N/A"),"Firmware Install, ","")&amp;IF(AND($BJ299&lt;&gt;"Yes",$BJ299&lt;&gt;"N/A"),"Device ID, ","")&amp;IF(AND($BK299&lt;&gt;"Yes",$BK299&lt;&gt;"N/A"),"Epic Beans Relay, ",""),LEN(IF(AND($AW299&lt;&gt;"Yes",$AW299&lt;&gt;"N/A"),"Power Cable, ","")&amp;IF(AND($AX299&lt;&gt;"Yes",$AX299&lt;&gt;"N/A"),"Battery, ","")&amp;IF(AND($BE299&lt;&gt;"Yes",$BE299&lt;&gt;"N/A"),"Firmware Download, ","")&amp;IF(AND(OR($BE299="Yes",$BE299="N/A"),$BF299&lt;&gt;"Yes",$BF299&lt;&gt;"N/A"),"Firmware Install, ","")&amp;IF(AND($BJ299&lt;&gt;"Yes",$BJ299&lt;&gt;"N/A"),"Device ID, ","")&amp;IF(AND($BK299&lt;&gt;"Yes",$BK299&lt;&gt;"N/A"),"Epic Beans Relay, ",""))-2)))</f>
      </c>
      <c r="BM299">
        <f>IF($T299="","",IF($BL299="","Yes","Blocked"))</f>
      </c>
      <c r="BP299">
        <f>IF($BO299="","",IFERROR(VLOOKUP($BO299,'01_Warehouse_Ledger'!$A:$N,4,FALSE),""))</f>
      </c>
      <c r="BQ299">
        <f>IF($BO299="","",IFERROR(VLOOKUP($BO299,'01_Warehouse_Ledger'!$A:$N,5,FALSE),""))</f>
      </c>
      <c r="BR299">
        <f>IF($BO299="","",IFERROR(VLOOKUP($BO299,'01_Warehouse_Ledger'!$A:$N,13,FALSE),""))</f>
      </c>
    </row>
    <row r="300">
      <c r="D300">
        <f>IF($B300&lt;&gt;"Yes","",IF($C300="No","Yes",IF($C300="Yes","No","")))</f>
      </c>
      <c r="E300">
        <f>IF($A300="","",IF($A300="Neuron",IF(OR(AND($S300&lt;&gt;"",LOWER(TRIM($S300))&lt;&gt;"n/a",COUNTIF($S$2:$S$532,$S300)&gt;1),AND($T300&lt;&gt;"",LOWER(TRIM($T300))&lt;&gt;"n/a",COUNTIF($T$2:$T$532,$T300)&gt;1),AND($W300&lt;&gt;"",LOWER(TRIM($W300))&lt;&gt;"n/a",COUNTIF($W$2:$W$532,$W300)&gt;1)),"Yes","No"),IF($A300="Cybernet",IF(OR(AND($Y300&lt;&gt;"",LOWER(TRIM($Y300))&lt;&gt;"n/a",COUNTIF($Y$2:$Y$532,$Y300)&gt;1),AND($Z300&lt;&gt;"",LOWER(TRIM($Z300))&lt;&gt;"n/a",COUNTIF($Z$2:$Z$532,$Z300)&gt;1)),"Yes","No"),IF(AND($AL300&lt;&gt;"",LOWER(TRIM($AL300))&lt;&gt;"n/a",COUNTIF($AL$2:$AL$532,$AL300)&gt;1),"Yes","No"))))</f>
      </c>
      <c r="F300">
        <f>IF($B300&lt;&gt;"Yes","",
IF($A300="Neuron",
IF(OR(
AND($S300&lt;&gt;"",LOWER(TRIM($S300))&lt;&gt;"n/a",COUNTIFS($B$2:$B$532,"Yes",$A$2:$A$532,"Neuron",$S$2:$S$532,$S300)&gt;1),
AND($T300&lt;&gt;"",LOWER(TRIM($T300))&lt;&gt;"n/a",COUNTIFS($B$2:$B$532,"Yes",$A$2:$A$532,"Neuron",$T$2:$T$532,$T300)&gt;1),
AND($W300&lt;&gt;"",LOWER(TRIM($W300))&lt;&gt;"n/a",COUNTIFS($B$2:$B$532,"Yes",$A$2:$A$532,"Neuron",$W$2:$W$532,$W300)&gt;1)
),"Yes","No"),
IF($A300="Cybernet",
IF(OR(
AND($Y300&lt;&gt;"",LOWER(TRIM($Y300))&lt;&gt;"n/a",COUNTIFS($B$2:$B$532,"Yes",$A$2:$A$532,"Cybernet",$Y$2:$Y$532,$Y300)&gt;1),
AND($Z300&lt;&gt;"",LOWER(TRIM($Z300))&lt;&gt;"n/a",COUNTIFS($B$2:$B$532,"Yes",$A$2:$A$532,"Cybernet",$Z$2:$Z$532,$Z300)&gt;1)
),"Yes","No"),
IF(AND($AL300&lt;&gt;"",LOWER(TRIM($AL300))&lt;&gt;"n/a"),
IF(COUNTIFS($B$2:$B$532,"Yes",$A$2:$A$532,$A300,$AL$2:$AL$532,$AL300)&gt;1,"Yes","No"),
"No")
)
)
)</f>
      </c>
      <c r="BL300">
        <f>IF($T300="","",IF((IF(AND($AW300&lt;&gt;"Yes",$AW300&lt;&gt;"N/A"),"Power Cable, ","")&amp;IF(AND($AX300&lt;&gt;"Yes",$AX300&lt;&gt;"N/A"),"Battery, ","")&amp;IF(AND($BE300&lt;&gt;"Yes",$BE300&lt;&gt;"N/A"),"Firmware Download, ","")&amp;IF(AND(OR($BE300="Yes",$BE300="N/A"),$BF300&lt;&gt;"Yes",$BF300&lt;&gt;"N/A"),"Firmware Install, ","")&amp;IF(AND($BJ300&lt;&gt;"Yes",$BJ300&lt;&gt;"N/A"),"Device ID, ","")&amp;IF(AND($BK300&lt;&gt;"Yes",$BK300&lt;&gt;"N/A"),"Epic Beans Relay, ",""))="","",LEFT(IF(AND($AW300&lt;&gt;"Yes",$AW300&lt;&gt;"N/A"),"Power Cable, ","")&amp;IF(AND($AX300&lt;&gt;"Yes",$AX300&lt;&gt;"N/A"),"Battery, ","")&amp;IF(AND($BE300&lt;&gt;"Yes",$BE300&lt;&gt;"N/A"),"Firmware Download, ","")&amp;IF(AND(OR($BE300="Yes",$BE300="N/A"),$BF300&lt;&gt;"Yes",$BF300&lt;&gt;"N/A"),"Firmware Install, ","")&amp;IF(AND($BJ300&lt;&gt;"Yes",$BJ300&lt;&gt;"N/A"),"Device ID, ","")&amp;IF(AND($BK300&lt;&gt;"Yes",$BK300&lt;&gt;"N/A"),"Epic Beans Relay, ",""),LEN(IF(AND($AW300&lt;&gt;"Yes",$AW300&lt;&gt;"N/A"),"Power Cable, ","")&amp;IF(AND($AX300&lt;&gt;"Yes",$AX300&lt;&gt;"N/A"),"Battery, ","")&amp;IF(AND($BE300&lt;&gt;"Yes",$BE300&lt;&gt;"N/A"),"Firmware Download, ","")&amp;IF(AND(OR($BE300="Yes",$BE300="N/A"),$BF300&lt;&gt;"Yes",$BF300&lt;&gt;"N/A"),"Firmware Install, ","")&amp;IF(AND($BJ300&lt;&gt;"Yes",$BJ300&lt;&gt;"N/A"),"Device ID, ","")&amp;IF(AND($BK300&lt;&gt;"Yes",$BK300&lt;&gt;"N/A"),"Epic Beans Relay, ",""))-2)))</f>
      </c>
      <c r="BM300">
        <f>IF($T300="","",IF($BL300="","Yes","Blocked"))</f>
      </c>
      <c r="BP300">
        <f>IF($BO300="","",IFERROR(VLOOKUP($BO300,'01_Warehouse_Ledger'!$A:$N,4,FALSE),""))</f>
      </c>
      <c r="BQ300">
        <f>IF($BO300="","",IFERROR(VLOOKUP($BO300,'01_Warehouse_Ledger'!$A:$N,5,FALSE),""))</f>
      </c>
      <c r="BR300">
        <f>IF($BO300="","",IFERROR(VLOOKUP($BO300,'01_Warehouse_Ledger'!$A:$N,13,FALSE),""))</f>
      </c>
    </row>
    <row r="301">
      <c r="D301">
        <f>IF($B301&lt;&gt;"Yes","",IF($C301="No","Yes",IF($C301="Yes","No","")))</f>
      </c>
      <c r="E301">
        <f>IF($A301="","",IF($A301="Neuron",IF(OR(AND($S301&lt;&gt;"",LOWER(TRIM($S301))&lt;&gt;"n/a",COUNTIF($S$2:$S$532,$S301)&gt;1),AND($T301&lt;&gt;"",LOWER(TRIM($T301))&lt;&gt;"n/a",COUNTIF($T$2:$T$532,$T301)&gt;1),AND($W301&lt;&gt;"",LOWER(TRIM($W301))&lt;&gt;"n/a",COUNTIF($W$2:$W$532,$W301)&gt;1)),"Yes","No"),IF($A301="Cybernet",IF(OR(AND($Y301&lt;&gt;"",LOWER(TRIM($Y301))&lt;&gt;"n/a",COUNTIF($Y$2:$Y$532,$Y301)&gt;1),AND($Z301&lt;&gt;"",LOWER(TRIM($Z301))&lt;&gt;"n/a",COUNTIF($Z$2:$Z$532,$Z301)&gt;1)),"Yes","No"),IF(AND($AL301&lt;&gt;"",LOWER(TRIM($AL301))&lt;&gt;"n/a",COUNTIF($AL$2:$AL$532,$AL301)&gt;1),"Yes","No"))))</f>
      </c>
      <c r="F301">
        <f>IF($B301&lt;&gt;"Yes","",
IF($A301="Neuron",
IF(OR(
AND($S301&lt;&gt;"",LOWER(TRIM($S301))&lt;&gt;"n/a",COUNTIFS($B$2:$B$532,"Yes",$A$2:$A$532,"Neuron",$S$2:$S$532,$S301)&gt;1),
AND($T301&lt;&gt;"",LOWER(TRIM($T301))&lt;&gt;"n/a",COUNTIFS($B$2:$B$532,"Yes",$A$2:$A$532,"Neuron",$T$2:$T$532,$T301)&gt;1),
AND($W301&lt;&gt;"",LOWER(TRIM($W301))&lt;&gt;"n/a",COUNTIFS($B$2:$B$532,"Yes",$A$2:$A$532,"Neuron",$W$2:$W$532,$W301)&gt;1)
),"Yes","No"),
IF($A301="Cybernet",
IF(OR(
AND($Y301&lt;&gt;"",LOWER(TRIM($Y301))&lt;&gt;"n/a",COUNTIFS($B$2:$B$532,"Yes",$A$2:$A$532,"Cybernet",$Y$2:$Y$532,$Y301)&gt;1),
AND($Z301&lt;&gt;"",LOWER(TRIM($Z301))&lt;&gt;"n/a",COUNTIFS($B$2:$B$532,"Yes",$A$2:$A$532,"Cybernet",$Z$2:$Z$532,$Z301)&gt;1)
),"Yes","No"),
IF(AND($AL301&lt;&gt;"",LOWER(TRIM($AL301))&lt;&gt;"n/a"),
IF(COUNTIFS($B$2:$B$532,"Yes",$A$2:$A$532,$A301,$AL$2:$AL$532,$AL301)&gt;1,"Yes","No"),
"No")
)
)
)</f>
      </c>
      <c r="BL301">
        <f>IF($T301="","",IF((IF(AND($AW301&lt;&gt;"Yes",$AW301&lt;&gt;"N/A"),"Power Cable, ","")&amp;IF(AND($AX301&lt;&gt;"Yes",$AX301&lt;&gt;"N/A"),"Battery, ","")&amp;IF(AND($BE301&lt;&gt;"Yes",$BE301&lt;&gt;"N/A"),"Firmware Download, ","")&amp;IF(AND(OR($BE301="Yes",$BE301="N/A"),$BF301&lt;&gt;"Yes",$BF301&lt;&gt;"N/A"),"Firmware Install, ","")&amp;IF(AND($BJ301&lt;&gt;"Yes",$BJ301&lt;&gt;"N/A"),"Device ID, ","")&amp;IF(AND($BK301&lt;&gt;"Yes",$BK301&lt;&gt;"N/A"),"Epic Beans Relay, ",""))="","",LEFT(IF(AND($AW301&lt;&gt;"Yes",$AW301&lt;&gt;"N/A"),"Power Cable, ","")&amp;IF(AND($AX301&lt;&gt;"Yes",$AX301&lt;&gt;"N/A"),"Battery, ","")&amp;IF(AND($BE301&lt;&gt;"Yes",$BE301&lt;&gt;"N/A"),"Firmware Download, ","")&amp;IF(AND(OR($BE301="Yes",$BE301="N/A"),$BF301&lt;&gt;"Yes",$BF301&lt;&gt;"N/A"),"Firmware Install, ","")&amp;IF(AND($BJ301&lt;&gt;"Yes",$BJ301&lt;&gt;"N/A"),"Device ID, ","")&amp;IF(AND($BK301&lt;&gt;"Yes",$BK301&lt;&gt;"N/A"),"Epic Beans Relay, ",""),LEN(IF(AND($AW301&lt;&gt;"Yes",$AW301&lt;&gt;"N/A"),"Power Cable, ","")&amp;IF(AND($AX301&lt;&gt;"Yes",$AX301&lt;&gt;"N/A"),"Battery, ","")&amp;IF(AND($BE301&lt;&gt;"Yes",$BE301&lt;&gt;"N/A"),"Firmware Download, ","")&amp;IF(AND(OR($BE301="Yes",$BE301="N/A"),$BF301&lt;&gt;"Yes",$BF301&lt;&gt;"N/A"),"Firmware Install, ","")&amp;IF(AND($BJ301&lt;&gt;"Yes",$BJ301&lt;&gt;"N/A"),"Device ID, ","")&amp;IF(AND($BK301&lt;&gt;"Yes",$BK301&lt;&gt;"N/A"),"Epic Beans Relay, ",""))-2)))</f>
      </c>
      <c r="BM301">
        <f>IF($T301="","",IF($BL301="","Yes","Blocked"))</f>
      </c>
      <c r="BP301">
        <f>IF($BO301="","",IFERROR(VLOOKUP($BO301,'01_Warehouse_Ledger'!$A:$N,4,FALSE),""))</f>
      </c>
      <c r="BQ301">
        <f>IF($BO301="","",IFERROR(VLOOKUP($BO301,'01_Warehouse_Ledger'!$A:$N,5,FALSE),""))</f>
      </c>
      <c r="BR301">
        <f>IF($BO301="","",IFERROR(VLOOKUP($BO301,'01_Warehouse_Ledger'!$A:$N,13,FALSE),""))</f>
      </c>
    </row>
    <row r="302">
      <c r="D302">
        <f>IF($B302&lt;&gt;"Yes","",IF($C302="No","Yes",IF($C302="Yes","No","")))</f>
      </c>
      <c r="E302">
        <f>IF($A302="","",IF($A302="Neuron",IF(OR(AND($S302&lt;&gt;"",LOWER(TRIM($S302))&lt;&gt;"n/a",COUNTIF($S$2:$S$532,$S302)&gt;1),AND($T302&lt;&gt;"",LOWER(TRIM($T302))&lt;&gt;"n/a",COUNTIF($T$2:$T$532,$T302)&gt;1),AND($W302&lt;&gt;"",LOWER(TRIM($W302))&lt;&gt;"n/a",COUNTIF($W$2:$W$532,$W302)&gt;1)),"Yes","No"),IF($A302="Cybernet",IF(OR(AND($Y302&lt;&gt;"",LOWER(TRIM($Y302))&lt;&gt;"n/a",COUNTIF($Y$2:$Y$532,$Y302)&gt;1),AND($Z302&lt;&gt;"",LOWER(TRIM($Z302))&lt;&gt;"n/a",COUNTIF($Z$2:$Z$532,$Z302)&gt;1)),"Yes","No"),IF(AND($AL302&lt;&gt;"",LOWER(TRIM($AL302))&lt;&gt;"n/a",COUNTIF($AL$2:$AL$532,$AL302)&gt;1),"Yes","No"))))</f>
      </c>
      <c r="F302">
        <f>IF($B302&lt;&gt;"Yes","",
IF($A302="Neuron",
IF(OR(
AND($S302&lt;&gt;"",LOWER(TRIM($S302))&lt;&gt;"n/a",COUNTIFS($B$2:$B$532,"Yes",$A$2:$A$532,"Neuron",$S$2:$S$532,$S302)&gt;1),
AND($T302&lt;&gt;"",LOWER(TRIM($T302))&lt;&gt;"n/a",COUNTIFS($B$2:$B$532,"Yes",$A$2:$A$532,"Neuron",$T$2:$T$532,$T302)&gt;1),
AND($W302&lt;&gt;"",LOWER(TRIM($W302))&lt;&gt;"n/a",COUNTIFS($B$2:$B$532,"Yes",$A$2:$A$532,"Neuron",$W$2:$W$532,$W302)&gt;1)
),"Yes","No"),
IF($A302="Cybernet",
IF(OR(
AND($Y302&lt;&gt;"",LOWER(TRIM($Y302))&lt;&gt;"n/a",COUNTIFS($B$2:$B$532,"Yes",$A$2:$A$532,"Cybernet",$Y$2:$Y$532,$Y302)&gt;1),
AND($Z302&lt;&gt;"",LOWER(TRIM($Z302))&lt;&gt;"n/a",COUNTIFS($B$2:$B$532,"Yes",$A$2:$A$532,"Cybernet",$Z$2:$Z$532,$Z302)&gt;1)
),"Yes","No"),
IF(AND($AL302&lt;&gt;"",LOWER(TRIM($AL302))&lt;&gt;"n/a"),
IF(COUNTIFS($B$2:$B$532,"Yes",$A$2:$A$532,$A302,$AL$2:$AL$532,$AL302)&gt;1,"Yes","No"),
"No")
)
)
)</f>
      </c>
      <c r="BL302">
        <f>IF($T302="","",IF((IF(AND($AW302&lt;&gt;"Yes",$AW302&lt;&gt;"N/A"),"Power Cable, ","")&amp;IF(AND($AX302&lt;&gt;"Yes",$AX302&lt;&gt;"N/A"),"Battery, ","")&amp;IF(AND($BE302&lt;&gt;"Yes",$BE302&lt;&gt;"N/A"),"Firmware Download, ","")&amp;IF(AND(OR($BE302="Yes",$BE302="N/A"),$BF302&lt;&gt;"Yes",$BF302&lt;&gt;"N/A"),"Firmware Install, ","")&amp;IF(AND($BJ302&lt;&gt;"Yes",$BJ302&lt;&gt;"N/A"),"Device ID, ","")&amp;IF(AND($BK302&lt;&gt;"Yes",$BK302&lt;&gt;"N/A"),"Epic Beans Relay, ",""))="","",LEFT(IF(AND($AW302&lt;&gt;"Yes",$AW302&lt;&gt;"N/A"),"Power Cable, ","")&amp;IF(AND($AX302&lt;&gt;"Yes",$AX302&lt;&gt;"N/A"),"Battery, ","")&amp;IF(AND($BE302&lt;&gt;"Yes",$BE302&lt;&gt;"N/A"),"Firmware Download, ","")&amp;IF(AND(OR($BE302="Yes",$BE302="N/A"),$BF302&lt;&gt;"Yes",$BF302&lt;&gt;"N/A"),"Firmware Install, ","")&amp;IF(AND($BJ302&lt;&gt;"Yes",$BJ302&lt;&gt;"N/A"),"Device ID, ","")&amp;IF(AND($BK302&lt;&gt;"Yes",$BK302&lt;&gt;"N/A"),"Epic Beans Relay, ",""),LEN(IF(AND($AW302&lt;&gt;"Yes",$AW302&lt;&gt;"N/A"),"Power Cable, ","")&amp;IF(AND($AX302&lt;&gt;"Yes",$AX302&lt;&gt;"N/A"),"Battery, ","")&amp;IF(AND($BE302&lt;&gt;"Yes",$BE302&lt;&gt;"N/A"),"Firmware Download, ","")&amp;IF(AND(OR($BE302="Yes",$BE302="N/A"),$BF302&lt;&gt;"Yes",$BF302&lt;&gt;"N/A"),"Firmware Install, ","")&amp;IF(AND($BJ302&lt;&gt;"Yes",$BJ302&lt;&gt;"N/A"),"Device ID, ","")&amp;IF(AND($BK302&lt;&gt;"Yes",$BK302&lt;&gt;"N/A"),"Epic Beans Relay, ",""))-2)))</f>
      </c>
      <c r="BM302">
        <f>IF($T302="","",IF($BL302="","Yes","Blocked"))</f>
      </c>
      <c r="BP302">
        <f>IF($BO302="","",IFERROR(VLOOKUP($BO302,'01_Warehouse_Ledger'!$A:$N,4,FALSE),""))</f>
      </c>
      <c r="BQ302">
        <f>IF($BO302="","",IFERROR(VLOOKUP($BO302,'01_Warehouse_Ledger'!$A:$N,5,FALSE),""))</f>
      </c>
      <c r="BR302">
        <f>IF($BO302="","",IFERROR(VLOOKUP($BO302,'01_Warehouse_Ledger'!$A:$N,13,FALSE),""))</f>
      </c>
    </row>
    <row r="303">
      <c r="D303">
        <f>IF($B303&lt;&gt;"Yes","",IF($C303="No","Yes",IF($C303="Yes","No","")))</f>
      </c>
      <c r="E303">
        <f>IF($A303="","",IF($A303="Neuron",IF(OR(AND($S303&lt;&gt;"",LOWER(TRIM($S303))&lt;&gt;"n/a",COUNTIF($S$2:$S$532,$S303)&gt;1),AND($T303&lt;&gt;"",LOWER(TRIM($T303))&lt;&gt;"n/a",COUNTIF($T$2:$T$532,$T303)&gt;1),AND($W303&lt;&gt;"",LOWER(TRIM($W303))&lt;&gt;"n/a",COUNTIF($W$2:$W$532,$W303)&gt;1)),"Yes","No"),IF($A303="Cybernet",IF(OR(AND($Y303&lt;&gt;"",LOWER(TRIM($Y303))&lt;&gt;"n/a",COUNTIF($Y$2:$Y$532,$Y303)&gt;1),AND($Z303&lt;&gt;"",LOWER(TRIM($Z303))&lt;&gt;"n/a",COUNTIF($Z$2:$Z$532,$Z303)&gt;1)),"Yes","No"),IF(AND($AL303&lt;&gt;"",LOWER(TRIM($AL303))&lt;&gt;"n/a",COUNTIF($AL$2:$AL$532,$AL303)&gt;1),"Yes","No"))))</f>
      </c>
      <c r="F303">
        <f>IF($B303&lt;&gt;"Yes","",
IF($A303="Neuron",
IF(OR(
AND($S303&lt;&gt;"",LOWER(TRIM($S303))&lt;&gt;"n/a",COUNTIFS($B$2:$B$532,"Yes",$A$2:$A$532,"Neuron",$S$2:$S$532,$S303)&gt;1),
AND($T303&lt;&gt;"",LOWER(TRIM($T303))&lt;&gt;"n/a",COUNTIFS($B$2:$B$532,"Yes",$A$2:$A$532,"Neuron",$T$2:$T$532,$T303)&gt;1),
AND($W303&lt;&gt;"",LOWER(TRIM($W303))&lt;&gt;"n/a",COUNTIFS($B$2:$B$532,"Yes",$A$2:$A$532,"Neuron",$W$2:$W$532,$W303)&gt;1)
),"Yes","No"),
IF($A303="Cybernet",
IF(OR(
AND($Y303&lt;&gt;"",LOWER(TRIM($Y303))&lt;&gt;"n/a",COUNTIFS($B$2:$B$532,"Yes",$A$2:$A$532,"Cybernet",$Y$2:$Y$532,$Y303)&gt;1),
AND($Z303&lt;&gt;"",LOWER(TRIM($Z303))&lt;&gt;"n/a",COUNTIFS($B$2:$B$532,"Yes",$A$2:$A$532,"Cybernet",$Z$2:$Z$532,$Z303)&gt;1)
),"Yes","No"),
IF(AND($AL303&lt;&gt;"",LOWER(TRIM($AL303))&lt;&gt;"n/a"),
IF(COUNTIFS($B$2:$B$532,"Yes",$A$2:$A$532,$A303,$AL$2:$AL$532,$AL303)&gt;1,"Yes","No"),
"No")
)
)
)</f>
      </c>
      <c r="BL303">
        <f>IF($T303="","",IF((IF(AND($AW303&lt;&gt;"Yes",$AW303&lt;&gt;"N/A"),"Power Cable, ","")&amp;IF(AND($AX303&lt;&gt;"Yes",$AX303&lt;&gt;"N/A"),"Battery, ","")&amp;IF(AND($BE303&lt;&gt;"Yes",$BE303&lt;&gt;"N/A"),"Firmware Download, ","")&amp;IF(AND(OR($BE303="Yes",$BE303="N/A"),$BF303&lt;&gt;"Yes",$BF303&lt;&gt;"N/A"),"Firmware Install, ","")&amp;IF(AND($BJ303&lt;&gt;"Yes",$BJ303&lt;&gt;"N/A"),"Device ID, ","")&amp;IF(AND($BK303&lt;&gt;"Yes",$BK303&lt;&gt;"N/A"),"Epic Beans Relay, ",""))="","",LEFT(IF(AND($AW303&lt;&gt;"Yes",$AW303&lt;&gt;"N/A"),"Power Cable, ","")&amp;IF(AND($AX303&lt;&gt;"Yes",$AX303&lt;&gt;"N/A"),"Battery, ","")&amp;IF(AND($BE303&lt;&gt;"Yes",$BE303&lt;&gt;"N/A"),"Firmware Download, ","")&amp;IF(AND(OR($BE303="Yes",$BE303="N/A"),$BF303&lt;&gt;"Yes",$BF303&lt;&gt;"N/A"),"Firmware Install, ","")&amp;IF(AND($BJ303&lt;&gt;"Yes",$BJ303&lt;&gt;"N/A"),"Device ID, ","")&amp;IF(AND($BK303&lt;&gt;"Yes",$BK303&lt;&gt;"N/A"),"Epic Beans Relay, ",""),LEN(IF(AND($AW303&lt;&gt;"Yes",$AW303&lt;&gt;"N/A"),"Power Cable, ","")&amp;IF(AND($AX303&lt;&gt;"Yes",$AX303&lt;&gt;"N/A"),"Battery, ","")&amp;IF(AND($BE303&lt;&gt;"Yes",$BE303&lt;&gt;"N/A"),"Firmware Download, ","")&amp;IF(AND(OR($BE303="Yes",$BE303="N/A"),$BF303&lt;&gt;"Yes",$BF303&lt;&gt;"N/A"),"Firmware Install, ","")&amp;IF(AND($BJ303&lt;&gt;"Yes",$BJ303&lt;&gt;"N/A"),"Device ID, ","")&amp;IF(AND($BK303&lt;&gt;"Yes",$BK303&lt;&gt;"N/A"),"Epic Beans Relay, ",""))-2)))</f>
      </c>
      <c r="BM303">
        <f>IF($T303="","",IF($BL303="","Yes","Blocked"))</f>
      </c>
      <c r="BP303">
        <f>IF($BO303="","",IFERROR(VLOOKUP($BO303,'01_Warehouse_Ledger'!$A:$N,4,FALSE),""))</f>
      </c>
      <c r="BQ303">
        <f>IF($BO303="","",IFERROR(VLOOKUP($BO303,'01_Warehouse_Ledger'!$A:$N,5,FALSE),""))</f>
      </c>
      <c r="BR303">
        <f>IF($BO303="","",IFERROR(VLOOKUP($BO303,'01_Warehouse_Ledger'!$A:$N,13,FALSE),""))</f>
      </c>
    </row>
    <row r="304">
      <c r="D304">
        <f>IF($B304&lt;&gt;"Yes","",IF($C304="No","Yes",IF($C304="Yes","No","")))</f>
      </c>
      <c r="E304">
        <f>IF($A304="","",IF($A304="Neuron",IF(OR(AND($S304&lt;&gt;"",LOWER(TRIM($S304))&lt;&gt;"n/a",COUNTIF($S$2:$S$532,$S304)&gt;1),AND($T304&lt;&gt;"",LOWER(TRIM($T304))&lt;&gt;"n/a",COUNTIF($T$2:$T$532,$T304)&gt;1),AND($W304&lt;&gt;"",LOWER(TRIM($W304))&lt;&gt;"n/a",COUNTIF($W$2:$W$532,$W304)&gt;1)),"Yes","No"),IF($A304="Cybernet",IF(OR(AND($Y304&lt;&gt;"",LOWER(TRIM($Y304))&lt;&gt;"n/a",COUNTIF($Y$2:$Y$532,$Y304)&gt;1),AND($Z304&lt;&gt;"",LOWER(TRIM($Z304))&lt;&gt;"n/a",COUNTIF($Z$2:$Z$532,$Z304)&gt;1)),"Yes","No"),IF(AND($AL304&lt;&gt;"",LOWER(TRIM($AL304))&lt;&gt;"n/a",COUNTIF($AL$2:$AL$532,$AL304)&gt;1),"Yes","No"))))</f>
      </c>
      <c r="F304">
        <f>IF($B304&lt;&gt;"Yes","",
IF($A304="Neuron",
IF(OR(
AND($S304&lt;&gt;"",LOWER(TRIM($S304))&lt;&gt;"n/a",COUNTIFS($B$2:$B$532,"Yes",$A$2:$A$532,"Neuron",$S$2:$S$532,$S304)&gt;1),
AND($T304&lt;&gt;"",LOWER(TRIM($T304))&lt;&gt;"n/a",COUNTIFS($B$2:$B$532,"Yes",$A$2:$A$532,"Neuron",$T$2:$T$532,$T304)&gt;1),
AND($W304&lt;&gt;"",LOWER(TRIM($W304))&lt;&gt;"n/a",COUNTIFS($B$2:$B$532,"Yes",$A$2:$A$532,"Neuron",$W$2:$W$532,$W304)&gt;1)
),"Yes","No"),
IF($A304="Cybernet",
IF(OR(
AND($Y304&lt;&gt;"",LOWER(TRIM($Y304))&lt;&gt;"n/a",COUNTIFS($B$2:$B$532,"Yes",$A$2:$A$532,"Cybernet",$Y$2:$Y$532,$Y304)&gt;1),
AND($Z304&lt;&gt;"",LOWER(TRIM($Z304))&lt;&gt;"n/a",COUNTIFS($B$2:$B$532,"Yes",$A$2:$A$532,"Cybernet",$Z$2:$Z$532,$Z304)&gt;1)
),"Yes","No"),
IF(AND($AL304&lt;&gt;"",LOWER(TRIM($AL304))&lt;&gt;"n/a"),
IF(COUNTIFS($B$2:$B$532,"Yes",$A$2:$A$532,$A304,$AL$2:$AL$532,$AL304)&gt;1,"Yes","No"),
"No")
)
)
)</f>
      </c>
      <c r="BL304">
        <f>IF($T304="","",IF((IF(AND($AW304&lt;&gt;"Yes",$AW304&lt;&gt;"N/A"),"Power Cable, ","")&amp;IF(AND($AX304&lt;&gt;"Yes",$AX304&lt;&gt;"N/A"),"Battery, ","")&amp;IF(AND($BE304&lt;&gt;"Yes",$BE304&lt;&gt;"N/A"),"Firmware Download, ","")&amp;IF(AND(OR($BE304="Yes",$BE304="N/A"),$BF304&lt;&gt;"Yes",$BF304&lt;&gt;"N/A"),"Firmware Install, ","")&amp;IF(AND($BJ304&lt;&gt;"Yes",$BJ304&lt;&gt;"N/A"),"Device ID, ","")&amp;IF(AND($BK304&lt;&gt;"Yes",$BK304&lt;&gt;"N/A"),"Epic Beans Relay, ",""))="","",LEFT(IF(AND($AW304&lt;&gt;"Yes",$AW304&lt;&gt;"N/A"),"Power Cable, ","")&amp;IF(AND($AX304&lt;&gt;"Yes",$AX304&lt;&gt;"N/A"),"Battery, ","")&amp;IF(AND($BE304&lt;&gt;"Yes",$BE304&lt;&gt;"N/A"),"Firmware Download, ","")&amp;IF(AND(OR($BE304="Yes",$BE304="N/A"),$BF304&lt;&gt;"Yes",$BF304&lt;&gt;"N/A"),"Firmware Install, ","")&amp;IF(AND($BJ304&lt;&gt;"Yes",$BJ304&lt;&gt;"N/A"),"Device ID, ","")&amp;IF(AND($BK304&lt;&gt;"Yes",$BK304&lt;&gt;"N/A"),"Epic Beans Relay, ",""),LEN(IF(AND($AW304&lt;&gt;"Yes",$AW304&lt;&gt;"N/A"),"Power Cable, ","")&amp;IF(AND($AX304&lt;&gt;"Yes",$AX304&lt;&gt;"N/A"),"Battery, ","")&amp;IF(AND($BE304&lt;&gt;"Yes",$BE304&lt;&gt;"N/A"),"Firmware Download, ","")&amp;IF(AND(OR($BE304="Yes",$BE304="N/A"),$BF304&lt;&gt;"Yes",$BF304&lt;&gt;"N/A"),"Firmware Install, ","")&amp;IF(AND($BJ304&lt;&gt;"Yes",$BJ304&lt;&gt;"N/A"),"Device ID, ","")&amp;IF(AND($BK304&lt;&gt;"Yes",$BK304&lt;&gt;"N/A"),"Epic Beans Relay, ",""))-2)))</f>
      </c>
      <c r="BM304">
        <f>IF($T304="","",IF($BL304="","Yes","Blocked"))</f>
      </c>
      <c r="BP304">
        <f>IF($BO304="","",IFERROR(VLOOKUP($BO304,'01_Warehouse_Ledger'!$A:$N,4,FALSE),""))</f>
      </c>
      <c r="BQ304">
        <f>IF($BO304="","",IFERROR(VLOOKUP($BO304,'01_Warehouse_Ledger'!$A:$N,5,FALSE),""))</f>
      </c>
      <c r="BR304">
        <f>IF($BO304="","",IFERROR(VLOOKUP($BO304,'01_Warehouse_Ledger'!$A:$N,13,FALSE),""))</f>
      </c>
    </row>
    <row r="305">
      <c r="D305">
        <f>IF($B305&lt;&gt;"Yes","",IF($C305="No","Yes",IF($C305="Yes","No","")))</f>
      </c>
      <c r="E305">
        <f>IF($A305="","",IF($A305="Neuron",IF(OR(AND($S305&lt;&gt;"",LOWER(TRIM($S305))&lt;&gt;"n/a",COUNTIF($S$2:$S$532,$S305)&gt;1),AND($T305&lt;&gt;"",LOWER(TRIM($T305))&lt;&gt;"n/a",COUNTIF($T$2:$T$532,$T305)&gt;1),AND($W305&lt;&gt;"",LOWER(TRIM($W305))&lt;&gt;"n/a",COUNTIF($W$2:$W$532,$W305)&gt;1)),"Yes","No"),IF($A305="Cybernet",IF(OR(AND($Y305&lt;&gt;"",LOWER(TRIM($Y305))&lt;&gt;"n/a",COUNTIF($Y$2:$Y$532,$Y305)&gt;1),AND($Z305&lt;&gt;"",LOWER(TRIM($Z305))&lt;&gt;"n/a",COUNTIF($Z$2:$Z$532,$Z305)&gt;1)),"Yes","No"),IF(AND($AL305&lt;&gt;"",LOWER(TRIM($AL305))&lt;&gt;"n/a",COUNTIF($AL$2:$AL$532,$AL305)&gt;1),"Yes","No"))))</f>
      </c>
      <c r="F305">
        <f>IF($B305&lt;&gt;"Yes","",
IF($A305="Neuron",
IF(OR(
AND($S305&lt;&gt;"",LOWER(TRIM($S305))&lt;&gt;"n/a",COUNTIFS($B$2:$B$532,"Yes",$A$2:$A$532,"Neuron",$S$2:$S$532,$S305)&gt;1),
AND($T305&lt;&gt;"",LOWER(TRIM($T305))&lt;&gt;"n/a",COUNTIFS($B$2:$B$532,"Yes",$A$2:$A$532,"Neuron",$T$2:$T$532,$T305)&gt;1),
AND($W305&lt;&gt;"",LOWER(TRIM($W305))&lt;&gt;"n/a",COUNTIFS($B$2:$B$532,"Yes",$A$2:$A$532,"Neuron",$W$2:$W$532,$W305)&gt;1)
),"Yes","No"),
IF($A305="Cybernet",
IF(OR(
AND($Y305&lt;&gt;"",LOWER(TRIM($Y305))&lt;&gt;"n/a",COUNTIFS($B$2:$B$532,"Yes",$A$2:$A$532,"Cybernet",$Y$2:$Y$532,$Y305)&gt;1),
AND($Z305&lt;&gt;"",LOWER(TRIM($Z305))&lt;&gt;"n/a",COUNTIFS($B$2:$B$532,"Yes",$A$2:$A$532,"Cybernet",$Z$2:$Z$532,$Z305)&gt;1)
),"Yes","No"),
IF(AND($AL305&lt;&gt;"",LOWER(TRIM($AL305))&lt;&gt;"n/a"),
IF(COUNTIFS($B$2:$B$532,"Yes",$A$2:$A$532,$A305,$AL$2:$AL$532,$AL305)&gt;1,"Yes","No"),
"No")
)
)
)</f>
      </c>
      <c r="BL305">
        <f>IF($T305="","",IF((IF(AND($AW305&lt;&gt;"Yes",$AW305&lt;&gt;"N/A"),"Power Cable, ","")&amp;IF(AND($AX305&lt;&gt;"Yes",$AX305&lt;&gt;"N/A"),"Battery, ","")&amp;IF(AND($BE305&lt;&gt;"Yes",$BE305&lt;&gt;"N/A"),"Firmware Download, ","")&amp;IF(AND(OR($BE305="Yes",$BE305="N/A"),$BF305&lt;&gt;"Yes",$BF305&lt;&gt;"N/A"),"Firmware Install, ","")&amp;IF(AND($BJ305&lt;&gt;"Yes",$BJ305&lt;&gt;"N/A"),"Device ID, ","")&amp;IF(AND($BK305&lt;&gt;"Yes",$BK305&lt;&gt;"N/A"),"Epic Beans Relay, ",""))="","",LEFT(IF(AND($AW305&lt;&gt;"Yes",$AW305&lt;&gt;"N/A"),"Power Cable, ","")&amp;IF(AND($AX305&lt;&gt;"Yes",$AX305&lt;&gt;"N/A"),"Battery, ","")&amp;IF(AND($BE305&lt;&gt;"Yes",$BE305&lt;&gt;"N/A"),"Firmware Download, ","")&amp;IF(AND(OR($BE305="Yes",$BE305="N/A"),$BF305&lt;&gt;"Yes",$BF305&lt;&gt;"N/A"),"Firmware Install, ","")&amp;IF(AND($BJ305&lt;&gt;"Yes",$BJ305&lt;&gt;"N/A"),"Device ID, ","")&amp;IF(AND($BK305&lt;&gt;"Yes",$BK305&lt;&gt;"N/A"),"Epic Beans Relay, ",""),LEN(IF(AND($AW305&lt;&gt;"Yes",$AW305&lt;&gt;"N/A"),"Power Cable, ","")&amp;IF(AND($AX305&lt;&gt;"Yes",$AX305&lt;&gt;"N/A"),"Battery, ","")&amp;IF(AND($BE305&lt;&gt;"Yes",$BE305&lt;&gt;"N/A"),"Firmware Download, ","")&amp;IF(AND(OR($BE305="Yes",$BE305="N/A"),$BF305&lt;&gt;"Yes",$BF305&lt;&gt;"N/A"),"Firmware Install, ","")&amp;IF(AND($BJ305&lt;&gt;"Yes",$BJ305&lt;&gt;"N/A"),"Device ID, ","")&amp;IF(AND($BK305&lt;&gt;"Yes",$BK305&lt;&gt;"N/A"),"Epic Beans Relay, ",""))-2)))</f>
      </c>
      <c r="BM305">
        <f>IF($T305="","",IF($BL305="","Yes","Blocked"))</f>
      </c>
      <c r="BP305">
        <f>IF($BO305="","",IFERROR(VLOOKUP($BO305,'01_Warehouse_Ledger'!$A:$N,4,FALSE),""))</f>
      </c>
      <c r="BQ305">
        <f>IF($BO305="","",IFERROR(VLOOKUP($BO305,'01_Warehouse_Ledger'!$A:$N,5,FALSE),""))</f>
      </c>
      <c r="BR305">
        <f>IF($BO305="","",IFERROR(VLOOKUP($BO305,'01_Warehouse_Ledger'!$A:$N,13,FALSE),""))</f>
      </c>
    </row>
    <row r="306">
      <c r="D306">
        <f>IF($B306&lt;&gt;"Yes","",IF($C306="No","Yes",IF($C306="Yes","No","")))</f>
      </c>
      <c r="E306">
        <f>IF($A306="","",IF($A306="Neuron",IF(OR(AND($S306&lt;&gt;"",LOWER(TRIM($S306))&lt;&gt;"n/a",COUNTIF($S$2:$S$532,$S306)&gt;1),AND($T306&lt;&gt;"",LOWER(TRIM($T306))&lt;&gt;"n/a",COUNTIF($T$2:$T$532,$T306)&gt;1),AND($W306&lt;&gt;"",LOWER(TRIM($W306))&lt;&gt;"n/a",COUNTIF($W$2:$W$532,$W306)&gt;1)),"Yes","No"),IF($A306="Cybernet",IF(OR(AND($Y306&lt;&gt;"",LOWER(TRIM($Y306))&lt;&gt;"n/a",COUNTIF($Y$2:$Y$532,$Y306)&gt;1),AND($Z306&lt;&gt;"",LOWER(TRIM($Z306))&lt;&gt;"n/a",COUNTIF($Z$2:$Z$532,$Z306)&gt;1)),"Yes","No"),IF(AND($AL306&lt;&gt;"",LOWER(TRIM($AL306))&lt;&gt;"n/a",COUNTIF($AL$2:$AL$532,$AL306)&gt;1),"Yes","No"))))</f>
      </c>
      <c r="F306">
        <f>IF($B306&lt;&gt;"Yes","",
IF($A306="Neuron",
IF(OR(
AND($S306&lt;&gt;"",LOWER(TRIM($S306))&lt;&gt;"n/a",COUNTIFS($B$2:$B$532,"Yes",$A$2:$A$532,"Neuron",$S$2:$S$532,$S306)&gt;1),
AND($T306&lt;&gt;"",LOWER(TRIM($T306))&lt;&gt;"n/a",COUNTIFS($B$2:$B$532,"Yes",$A$2:$A$532,"Neuron",$T$2:$T$532,$T306)&gt;1),
AND($W306&lt;&gt;"",LOWER(TRIM($W306))&lt;&gt;"n/a",COUNTIFS($B$2:$B$532,"Yes",$A$2:$A$532,"Neuron",$W$2:$W$532,$W306)&gt;1)
),"Yes","No"),
IF($A306="Cybernet",
IF(OR(
AND($Y306&lt;&gt;"",LOWER(TRIM($Y306))&lt;&gt;"n/a",COUNTIFS($B$2:$B$532,"Yes",$A$2:$A$532,"Cybernet",$Y$2:$Y$532,$Y306)&gt;1),
AND($Z306&lt;&gt;"",LOWER(TRIM($Z306))&lt;&gt;"n/a",COUNTIFS($B$2:$B$532,"Yes",$A$2:$A$532,"Cybernet",$Z$2:$Z$532,$Z306)&gt;1)
),"Yes","No"),
IF(AND($AL306&lt;&gt;"",LOWER(TRIM($AL306))&lt;&gt;"n/a"),
IF(COUNTIFS($B$2:$B$532,"Yes",$A$2:$A$532,$A306,$AL$2:$AL$532,$AL306)&gt;1,"Yes","No"),
"No")
)
)
)</f>
      </c>
      <c r="BL306">
        <f>IF($T306="","",IF((IF(AND($AW306&lt;&gt;"Yes",$AW306&lt;&gt;"N/A"),"Power Cable, ","")&amp;IF(AND($AX306&lt;&gt;"Yes",$AX306&lt;&gt;"N/A"),"Battery, ","")&amp;IF(AND($BE306&lt;&gt;"Yes",$BE306&lt;&gt;"N/A"),"Firmware Download, ","")&amp;IF(AND(OR($BE306="Yes",$BE306="N/A"),$BF306&lt;&gt;"Yes",$BF306&lt;&gt;"N/A"),"Firmware Install, ","")&amp;IF(AND($BJ306&lt;&gt;"Yes",$BJ306&lt;&gt;"N/A"),"Device ID, ","")&amp;IF(AND($BK306&lt;&gt;"Yes",$BK306&lt;&gt;"N/A"),"Epic Beans Relay, ",""))="","",LEFT(IF(AND($AW306&lt;&gt;"Yes",$AW306&lt;&gt;"N/A"),"Power Cable, ","")&amp;IF(AND($AX306&lt;&gt;"Yes",$AX306&lt;&gt;"N/A"),"Battery, ","")&amp;IF(AND($BE306&lt;&gt;"Yes",$BE306&lt;&gt;"N/A"),"Firmware Download, ","")&amp;IF(AND(OR($BE306="Yes",$BE306="N/A"),$BF306&lt;&gt;"Yes",$BF306&lt;&gt;"N/A"),"Firmware Install, ","")&amp;IF(AND($BJ306&lt;&gt;"Yes",$BJ306&lt;&gt;"N/A"),"Device ID, ","")&amp;IF(AND($BK306&lt;&gt;"Yes",$BK306&lt;&gt;"N/A"),"Epic Beans Relay, ",""),LEN(IF(AND($AW306&lt;&gt;"Yes",$AW306&lt;&gt;"N/A"),"Power Cable, ","")&amp;IF(AND($AX306&lt;&gt;"Yes",$AX306&lt;&gt;"N/A"),"Battery, ","")&amp;IF(AND($BE306&lt;&gt;"Yes",$BE306&lt;&gt;"N/A"),"Firmware Download, ","")&amp;IF(AND(OR($BE306="Yes",$BE306="N/A"),$BF306&lt;&gt;"Yes",$BF306&lt;&gt;"N/A"),"Firmware Install, ","")&amp;IF(AND($BJ306&lt;&gt;"Yes",$BJ306&lt;&gt;"N/A"),"Device ID, ","")&amp;IF(AND($BK306&lt;&gt;"Yes",$BK306&lt;&gt;"N/A"),"Epic Beans Relay, ",""))-2)))</f>
      </c>
      <c r="BM306">
        <f>IF($T306="","",IF($BL306="","Yes","Blocked"))</f>
      </c>
      <c r="BP306">
        <f>IF($BO306="","",IFERROR(VLOOKUP($BO306,'01_Warehouse_Ledger'!$A:$N,4,FALSE),""))</f>
      </c>
      <c r="BQ306">
        <f>IF($BO306="","",IFERROR(VLOOKUP($BO306,'01_Warehouse_Ledger'!$A:$N,5,FALSE),""))</f>
      </c>
      <c r="BR306">
        <f>IF($BO306="","",IFERROR(VLOOKUP($BO306,'01_Warehouse_Ledger'!$A:$N,13,FALSE),""))</f>
      </c>
    </row>
    <row r="307">
      <c r="D307">
        <f>IF($B307&lt;&gt;"Yes","",IF($C307="No","Yes",IF($C307="Yes","No","")))</f>
      </c>
      <c r="E307">
        <f>IF($A307="","",IF($A307="Neuron",IF(OR(AND($S307&lt;&gt;"",LOWER(TRIM($S307))&lt;&gt;"n/a",COUNTIF($S$2:$S$532,$S307)&gt;1),AND($T307&lt;&gt;"",LOWER(TRIM($T307))&lt;&gt;"n/a",COUNTIF($T$2:$T$532,$T307)&gt;1),AND($W307&lt;&gt;"",LOWER(TRIM($W307))&lt;&gt;"n/a",COUNTIF($W$2:$W$532,$W307)&gt;1)),"Yes","No"),IF($A307="Cybernet",IF(OR(AND($Y307&lt;&gt;"",LOWER(TRIM($Y307))&lt;&gt;"n/a",COUNTIF($Y$2:$Y$532,$Y307)&gt;1),AND($Z307&lt;&gt;"",LOWER(TRIM($Z307))&lt;&gt;"n/a",COUNTIF($Z$2:$Z$532,$Z307)&gt;1)),"Yes","No"),IF(AND($AL307&lt;&gt;"",LOWER(TRIM($AL307))&lt;&gt;"n/a",COUNTIF($AL$2:$AL$532,$AL307)&gt;1),"Yes","No"))))</f>
      </c>
      <c r="F307">
        <f>IF($B307&lt;&gt;"Yes","",
IF($A307="Neuron",
IF(OR(
AND($S307&lt;&gt;"",LOWER(TRIM($S307))&lt;&gt;"n/a",COUNTIFS($B$2:$B$532,"Yes",$A$2:$A$532,"Neuron",$S$2:$S$532,$S307)&gt;1),
AND($T307&lt;&gt;"",LOWER(TRIM($T307))&lt;&gt;"n/a",COUNTIFS($B$2:$B$532,"Yes",$A$2:$A$532,"Neuron",$T$2:$T$532,$T307)&gt;1),
AND($W307&lt;&gt;"",LOWER(TRIM($W307))&lt;&gt;"n/a",COUNTIFS($B$2:$B$532,"Yes",$A$2:$A$532,"Neuron",$W$2:$W$532,$W307)&gt;1)
),"Yes","No"),
IF($A307="Cybernet",
IF(OR(
AND($Y307&lt;&gt;"",LOWER(TRIM($Y307))&lt;&gt;"n/a",COUNTIFS($B$2:$B$532,"Yes",$A$2:$A$532,"Cybernet",$Y$2:$Y$532,$Y307)&gt;1),
AND($Z307&lt;&gt;"",LOWER(TRIM($Z307))&lt;&gt;"n/a",COUNTIFS($B$2:$B$532,"Yes",$A$2:$A$532,"Cybernet",$Z$2:$Z$532,$Z307)&gt;1)
),"Yes","No"),
IF(AND($AL307&lt;&gt;"",LOWER(TRIM($AL307))&lt;&gt;"n/a"),
IF(COUNTIFS($B$2:$B$532,"Yes",$A$2:$A$532,$A307,$AL$2:$AL$532,$AL307)&gt;1,"Yes","No"),
"No")
)
)
)</f>
      </c>
      <c r="BL307">
        <f>IF($T307="","",IF((IF(AND($AW307&lt;&gt;"Yes",$AW307&lt;&gt;"N/A"),"Power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",""))="","",LEFT(IF(AND($AW307&lt;&gt;"Yes",$AW307&lt;&gt;"N/A"),"Power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",""),LEN(IF(AND($AW307&lt;&gt;"Yes",$AW307&lt;&gt;"N/A"),"Power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",""))-2)))</f>
      </c>
      <c r="BM307">
        <f>IF($T307="","",IF($BL307="","Yes","Blocked"))</f>
      </c>
      <c r="BP307">
        <f>IF($BO307="","",IFERROR(VLOOKUP($BO307,'01_Warehouse_Ledger'!$A:$N,4,FALSE),""))</f>
      </c>
      <c r="BQ307">
        <f>IF($BO307="","",IFERROR(VLOOKUP($BO307,'01_Warehouse_Ledger'!$A:$N,5,FALSE),""))</f>
      </c>
      <c r="BR307">
        <f>IF($BO307="","",IFERROR(VLOOKUP($BO307,'01_Warehouse_Ledger'!$A:$N,13,FALSE),""))</f>
      </c>
    </row>
    <row r="308">
      <c r="D308">
        <f>IF($B308&lt;&gt;"Yes","",IF($C308="No","Yes",IF($C308="Yes","No","")))</f>
      </c>
      <c r="E308">
        <f>IF($A308="","",IF($A308="Neuron",IF(OR(AND($S308&lt;&gt;"",LOWER(TRIM($S308))&lt;&gt;"n/a",COUNTIF($S$2:$S$532,$S308)&gt;1),AND($T308&lt;&gt;"",LOWER(TRIM($T308))&lt;&gt;"n/a",COUNTIF($T$2:$T$532,$T308)&gt;1),AND($W308&lt;&gt;"",LOWER(TRIM($W308))&lt;&gt;"n/a",COUNTIF($W$2:$W$532,$W308)&gt;1)),"Yes","No"),IF($A308="Cybernet",IF(OR(AND($Y308&lt;&gt;"",LOWER(TRIM($Y308))&lt;&gt;"n/a",COUNTIF($Y$2:$Y$532,$Y308)&gt;1),AND($Z308&lt;&gt;"",LOWER(TRIM($Z308))&lt;&gt;"n/a",COUNTIF($Z$2:$Z$532,$Z308)&gt;1)),"Yes","No"),IF(AND($AL308&lt;&gt;"",LOWER(TRIM($AL308))&lt;&gt;"n/a",COUNTIF($AL$2:$AL$532,$AL308)&gt;1),"Yes","No"))))</f>
      </c>
      <c r="F308">
        <f>IF($B308&lt;&gt;"Yes","",
IF($A308="Neuron",
IF(OR(
AND($S308&lt;&gt;"",LOWER(TRIM($S308))&lt;&gt;"n/a",COUNTIFS($B$2:$B$532,"Yes",$A$2:$A$532,"Neuron",$S$2:$S$532,$S308)&gt;1),
AND($T308&lt;&gt;"",LOWER(TRIM($T308))&lt;&gt;"n/a",COUNTIFS($B$2:$B$532,"Yes",$A$2:$A$532,"Neuron",$T$2:$T$532,$T308)&gt;1),
AND($W308&lt;&gt;"",LOWER(TRIM($W308))&lt;&gt;"n/a",COUNTIFS($B$2:$B$532,"Yes",$A$2:$A$532,"Neuron",$W$2:$W$532,$W308)&gt;1)
),"Yes","No"),
IF($A308="Cybernet",
IF(OR(
AND($Y308&lt;&gt;"",LOWER(TRIM($Y308))&lt;&gt;"n/a",COUNTIFS($B$2:$B$532,"Yes",$A$2:$A$532,"Cybernet",$Y$2:$Y$532,$Y308)&gt;1),
AND($Z308&lt;&gt;"",LOWER(TRIM($Z308))&lt;&gt;"n/a",COUNTIFS($B$2:$B$532,"Yes",$A$2:$A$532,"Cybernet",$Z$2:$Z$532,$Z308)&gt;1)
),"Yes","No"),
IF(AND($AL308&lt;&gt;"",LOWER(TRIM($AL308))&lt;&gt;"n/a"),
IF(COUNTIFS($B$2:$B$532,"Yes",$A$2:$A$532,$A308,$AL$2:$AL$532,$AL308)&gt;1,"Yes","No"),
"No")
)
)
)</f>
      </c>
      <c r="BL308">
        <f>IF($T308="","",IF((IF(AND($AW308&lt;&gt;"Yes",$AW308&lt;&gt;"N/A"),"Power Cable, ","")&amp;IF(AND($AX308&lt;&gt;"Yes",$AX308&lt;&gt;"N/A"),"Battery, ","")&amp;IF(AND($BE308&lt;&gt;"Yes",$BE308&lt;&gt;"N/A"),"Firmware Download, ","")&amp;IF(AND(OR($BE308="Yes",$BE308="N/A"),$BF308&lt;&gt;"Yes",$BF308&lt;&gt;"N/A"),"Firmware Install, ","")&amp;IF(AND($BJ308&lt;&gt;"Yes",$BJ308&lt;&gt;"N/A"),"Device ID, ","")&amp;IF(AND($BK308&lt;&gt;"Yes",$BK308&lt;&gt;"N/A"),"Epic Beans Relay, ",""))="","",LEFT(IF(AND($AW308&lt;&gt;"Yes",$AW308&lt;&gt;"N/A"),"Power Cable, ","")&amp;IF(AND($AX308&lt;&gt;"Yes",$AX308&lt;&gt;"N/A"),"Battery, ","")&amp;IF(AND($BE308&lt;&gt;"Yes",$BE308&lt;&gt;"N/A"),"Firmware Download, ","")&amp;IF(AND(OR($BE308="Yes",$BE308="N/A"),$BF308&lt;&gt;"Yes",$BF308&lt;&gt;"N/A"),"Firmware Install, ","")&amp;IF(AND($BJ308&lt;&gt;"Yes",$BJ308&lt;&gt;"N/A"),"Device ID, ","")&amp;IF(AND($BK308&lt;&gt;"Yes",$BK308&lt;&gt;"N/A"),"Epic Beans Relay, ",""),LEN(IF(AND($AW308&lt;&gt;"Yes",$AW308&lt;&gt;"N/A"),"Power Cable, ","")&amp;IF(AND($AX308&lt;&gt;"Yes",$AX308&lt;&gt;"N/A"),"Battery, ","")&amp;IF(AND($BE308&lt;&gt;"Yes",$BE308&lt;&gt;"N/A"),"Firmware Download, ","")&amp;IF(AND(OR($BE308="Yes",$BE308="N/A"),$BF308&lt;&gt;"Yes",$BF308&lt;&gt;"N/A"),"Firmware Install, ","")&amp;IF(AND($BJ308&lt;&gt;"Yes",$BJ308&lt;&gt;"N/A"),"Device ID, ","")&amp;IF(AND($BK308&lt;&gt;"Yes",$BK308&lt;&gt;"N/A"),"Epic Beans Relay, ",""))-2)))</f>
      </c>
      <c r="BM308">
        <f>IF($T308="","",IF($BL308="","Yes","Blocked"))</f>
      </c>
      <c r="BP308">
        <f>IF($BO308="","",IFERROR(VLOOKUP($BO308,'01_Warehouse_Ledger'!$A:$N,4,FALSE),""))</f>
      </c>
      <c r="BQ308">
        <f>IF($BO308="","",IFERROR(VLOOKUP($BO308,'01_Warehouse_Ledger'!$A:$N,5,FALSE),""))</f>
      </c>
      <c r="BR308">
        <f>IF($BO308="","",IFERROR(VLOOKUP($BO308,'01_Warehouse_Ledger'!$A:$N,13,FALSE),""))</f>
      </c>
    </row>
    <row r="309">
      <c r="D309">
        <f>IF($B309&lt;&gt;"Yes","",IF($C309="No","Yes",IF($C309="Yes","No","")))</f>
      </c>
      <c r="E309">
        <f>IF($A309="","",IF($A309="Neuron",IF(OR(AND($S309&lt;&gt;"",LOWER(TRIM($S309))&lt;&gt;"n/a",COUNTIF($S$2:$S$532,$S309)&gt;1),AND($T309&lt;&gt;"",LOWER(TRIM($T309))&lt;&gt;"n/a",COUNTIF($T$2:$T$532,$T309)&gt;1),AND($W309&lt;&gt;"",LOWER(TRIM($W309))&lt;&gt;"n/a",COUNTIF($W$2:$W$532,$W309)&gt;1)),"Yes","No"),IF($A309="Cybernet",IF(OR(AND($Y309&lt;&gt;"",LOWER(TRIM($Y309))&lt;&gt;"n/a",COUNTIF($Y$2:$Y$532,$Y309)&gt;1),AND($Z309&lt;&gt;"",LOWER(TRIM($Z309))&lt;&gt;"n/a",COUNTIF($Z$2:$Z$532,$Z309)&gt;1)),"Yes","No"),IF(AND($AL309&lt;&gt;"",LOWER(TRIM($AL309))&lt;&gt;"n/a",COUNTIF($AL$2:$AL$532,$AL309)&gt;1),"Yes","No"))))</f>
      </c>
      <c r="F309">
        <f>IF($B309&lt;&gt;"Yes","",
IF($A309="Neuron",
IF(OR(
AND($S309&lt;&gt;"",LOWER(TRIM($S309))&lt;&gt;"n/a",COUNTIFS($B$2:$B$532,"Yes",$A$2:$A$532,"Neuron",$S$2:$S$532,$S309)&gt;1),
AND($T309&lt;&gt;"",LOWER(TRIM($T309))&lt;&gt;"n/a",COUNTIFS($B$2:$B$532,"Yes",$A$2:$A$532,"Neuron",$T$2:$T$532,$T309)&gt;1),
AND($W309&lt;&gt;"",LOWER(TRIM($W309))&lt;&gt;"n/a",COUNTIFS($B$2:$B$532,"Yes",$A$2:$A$532,"Neuron",$W$2:$W$532,$W309)&gt;1)
),"Yes","No"),
IF($A309="Cybernet",
IF(OR(
AND($Y309&lt;&gt;"",LOWER(TRIM($Y309))&lt;&gt;"n/a",COUNTIFS($B$2:$B$532,"Yes",$A$2:$A$532,"Cybernet",$Y$2:$Y$532,$Y309)&gt;1),
AND($Z309&lt;&gt;"",LOWER(TRIM($Z309))&lt;&gt;"n/a",COUNTIFS($B$2:$B$532,"Yes",$A$2:$A$532,"Cybernet",$Z$2:$Z$532,$Z309)&gt;1)
),"Yes","No"),
IF(AND($AL309&lt;&gt;"",LOWER(TRIM($AL309))&lt;&gt;"n/a"),
IF(COUNTIFS($B$2:$B$532,"Yes",$A$2:$A$532,$A309,$AL$2:$AL$532,$AL309)&gt;1,"Yes","No"),
"No")
)
)
)</f>
      </c>
      <c r="BL309">
        <f>IF($T309="","",IF((IF(AND($AW309&lt;&gt;"Yes",$AW309&lt;&gt;"N/A"),"Power Cable, ","")&amp;IF(AND($AX309&lt;&gt;"Yes",$AX309&lt;&gt;"N/A"),"Battery, ","")&amp;IF(AND($BE309&lt;&gt;"Yes",$BE309&lt;&gt;"N/A"),"Firmware Download, ","")&amp;IF(AND(OR($BE309="Yes",$BE309="N/A"),$BF309&lt;&gt;"Yes",$BF309&lt;&gt;"N/A"),"Firmware Install, ","")&amp;IF(AND($BJ309&lt;&gt;"Yes",$BJ309&lt;&gt;"N/A"),"Device ID, ","")&amp;IF(AND($BK309&lt;&gt;"Yes",$BK309&lt;&gt;"N/A"),"Epic Beans Relay, ",""))="","",LEFT(IF(AND($AW309&lt;&gt;"Yes",$AW309&lt;&gt;"N/A"),"Power Cable, ","")&amp;IF(AND($AX309&lt;&gt;"Yes",$AX309&lt;&gt;"N/A"),"Battery, ","")&amp;IF(AND($BE309&lt;&gt;"Yes",$BE309&lt;&gt;"N/A"),"Firmware Download, ","")&amp;IF(AND(OR($BE309="Yes",$BE309="N/A"),$BF309&lt;&gt;"Yes",$BF309&lt;&gt;"N/A"),"Firmware Install, ","")&amp;IF(AND($BJ309&lt;&gt;"Yes",$BJ309&lt;&gt;"N/A"),"Device ID, ","")&amp;IF(AND($BK309&lt;&gt;"Yes",$BK309&lt;&gt;"N/A"),"Epic Beans Relay, ",""),LEN(IF(AND($AW309&lt;&gt;"Yes",$AW309&lt;&gt;"N/A"),"Power Cable, ","")&amp;IF(AND($AX309&lt;&gt;"Yes",$AX309&lt;&gt;"N/A"),"Battery, ","")&amp;IF(AND($BE309&lt;&gt;"Yes",$BE309&lt;&gt;"N/A"),"Firmware Download, ","")&amp;IF(AND(OR($BE309="Yes",$BE309="N/A"),$BF309&lt;&gt;"Yes",$BF309&lt;&gt;"N/A"),"Firmware Install, ","")&amp;IF(AND($BJ309&lt;&gt;"Yes",$BJ309&lt;&gt;"N/A"),"Device ID, ","")&amp;IF(AND($BK309&lt;&gt;"Yes",$BK309&lt;&gt;"N/A"),"Epic Beans Relay, ",""))-2)))</f>
      </c>
      <c r="BM309">
        <f>IF($T309="","",IF($BL309="","Yes","Blocked"))</f>
      </c>
      <c r="BP309">
        <f>IF($BO309="","",IFERROR(VLOOKUP($BO309,'01_Warehouse_Ledger'!$A:$N,4,FALSE),""))</f>
      </c>
      <c r="BQ309">
        <f>IF($BO309="","",IFERROR(VLOOKUP($BO309,'01_Warehouse_Ledger'!$A:$N,5,FALSE),""))</f>
      </c>
      <c r="BR309">
        <f>IF($BO309="","",IFERROR(VLOOKUP($BO309,'01_Warehouse_Ledger'!$A:$N,13,FALSE),""))</f>
      </c>
    </row>
    <row r="310">
      <c r="D310">
        <f>IF($B310&lt;&gt;"Yes","",IF($C310="No","Yes",IF($C310="Yes","No","")))</f>
      </c>
      <c r="E310">
        <f>IF($A310="","",IF($A310="Neuron",IF(OR(AND($S310&lt;&gt;"",LOWER(TRIM($S310))&lt;&gt;"n/a",COUNTIF($S$2:$S$532,$S310)&gt;1),AND($T310&lt;&gt;"",LOWER(TRIM($T310))&lt;&gt;"n/a",COUNTIF($T$2:$T$532,$T310)&gt;1),AND($W310&lt;&gt;"",LOWER(TRIM($W310))&lt;&gt;"n/a",COUNTIF($W$2:$W$532,$W310)&gt;1)),"Yes","No"),IF($A310="Cybernet",IF(OR(AND($Y310&lt;&gt;"",LOWER(TRIM($Y310))&lt;&gt;"n/a",COUNTIF($Y$2:$Y$532,$Y310)&gt;1),AND($Z310&lt;&gt;"",LOWER(TRIM($Z310))&lt;&gt;"n/a",COUNTIF($Z$2:$Z$532,$Z310)&gt;1)),"Yes","No"),IF(AND($AL310&lt;&gt;"",LOWER(TRIM($AL310))&lt;&gt;"n/a",COUNTIF($AL$2:$AL$532,$AL310)&gt;1),"Yes","No"))))</f>
      </c>
      <c r="F310">
        <f>IF($B310&lt;&gt;"Yes","",
IF($A310="Neuron",
IF(OR(
AND($S310&lt;&gt;"",LOWER(TRIM($S310))&lt;&gt;"n/a",COUNTIFS($B$2:$B$532,"Yes",$A$2:$A$532,"Neuron",$S$2:$S$532,$S310)&gt;1),
AND($T310&lt;&gt;"",LOWER(TRIM($T310))&lt;&gt;"n/a",COUNTIFS($B$2:$B$532,"Yes",$A$2:$A$532,"Neuron",$T$2:$T$532,$T310)&gt;1),
AND($W310&lt;&gt;"",LOWER(TRIM($W310))&lt;&gt;"n/a",COUNTIFS($B$2:$B$532,"Yes",$A$2:$A$532,"Neuron",$W$2:$W$532,$W310)&gt;1)
),"Yes","No"),
IF($A310="Cybernet",
IF(OR(
AND($Y310&lt;&gt;"",LOWER(TRIM($Y310))&lt;&gt;"n/a",COUNTIFS($B$2:$B$532,"Yes",$A$2:$A$532,"Cybernet",$Y$2:$Y$532,$Y310)&gt;1),
AND($Z310&lt;&gt;"",LOWER(TRIM($Z310))&lt;&gt;"n/a",COUNTIFS($B$2:$B$532,"Yes",$A$2:$A$532,"Cybernet",$Z$2:$Z$532,$Z310)&gt;1)
),"Yes","No"),
IF(AND($AL310&lt;&gt;"",LOWER(TRIM($AL310))&lt;&gt;"n/a"),
IF(COUNTIFS($B$2:$B$532,"Yes",$A$2:$A$532,$A310,$AL$2:$AL$532,$AL310)&gt;1,"Yes","No"),
"No")
)
)
)</f>
      </c>
      <c r="BL310">
        <f>IF($T310="","",IF((IF(AND($AW310&lt;&gt;"Yes",$AW310&lt;&gt;"N/A"),"Power Cable, ","")&amp;IF(AND($AX310&lt;&gt;"Yes",$AX310&lt;&gt;"N/A"),"Battery, ","")&amp;IF(AND($BE310&lt;&gt;"Yes",$BE310&lt;&gt;"N/A"),"Firmware Download, ","")&amp;IF(AND(OR($BE310="Yes",$BE310="N/A"),$BF310&lt;&gt;"Yes",$BF310&lt;&gt;"N/A"),"Firmware Install, ","")&amp;IF(AND($BJ310&lt;&gt;"Yes",$BJ310&lt;&gt;"N/A"),"Device ID, ","")&amp;IF(AND($BK310&lt;&gt;"Yes",$BK310&lt;&gt;"N/A"),"Epic Beans Relay, ",""))="","",LEFT(IF(AND($AW310&lt;&gt;"Yes",$AW310&lt;&gt;"N/A"),"Power Cable, ","")&amp;IF(AND($AX310&lt;&gt;"Yes",$AX310&lt;&gt;"N/A"),"Battery, ","")&amp;IF(AND($BE310&lt;&gt;"Yes",$BE310&lt;&gt;"N/A"),"Firmware Download, ","")&amp;IF(AND(OR($BE310="Yes",$BE310="N/A"),$BF310&lt;&gt;"Yes",$BF310&lt;&gt;"N/A"),"Firmware Install, ","")&amp;IF(AND($BJ310&lt;&gt;"Yes",$BJ310&lt;&gt;"N/A"),"Device ID, ","")&amp;IF(AND($BK310&lt;&gt;"Yes",$BK310&lt;&gt;"N/A"),"Epic Beans Relay, ",""),LEN(IF(AND($AW310&lt;&gt;"Yes",$AW310&lt;&gt;"N/A"),"Power Cable, ","")&amp;IF(AND($AX310&lt;&gt;"Yes",$AX310&lt;&gt;"N/A"),"Battery, ","")&amp;IF(AND($BE310&lt;&gt;"Yes",$BE310&lt;&gt;"N/A"),"Firmware Download, ","")&amp;IF(AND(OR($BE310="Yes",$BE310="N/A"),$BF310&lt;&gt;"Yes",$BF310&lt;&gt;"N/A"),"Firmware Install, ","")&amp;IF(AND($BJ310&lt;&gt;"Yes",$BJ310&lt;&gt;"N/A"),"Device ID, ","")&amp;IF(AND($BK310&lt;&gt;"Yes",$BK310&lt;&gt;"N/A"),"Epic Beans Relay, ",""))-2)))</f>
      </c>
      <c r="BM310">
        <f>IF($T310="","",IF($BL310="","Yes","Blocked"))</f>
      </c>
      <c r="BP310">
        <f>IF($BO310="","",IFERROR(VLOOKUP($BO310,'01_Warehouse_Ledger'!$A:$N,4,FALSE),""))</f>
      </c>
      <c r="BQ310">
        <f>IF($BO310="","",IFERROR(VLOOKUP($BO310,'01_Warehouse_Ledger'!$A:$N,5,FALSE),""))</f>
      </c>
      <c r="BR310">
        <f>IF($BO310="","",IFERROR(VLOOKUP($BO310,'01_Warehouse_Ledger'!$A:$N,13,FALSE),""))</f>
      </c>
    </row>
    <row r="311">
      <c r="D311">
        <f>IF($B311&lt;&gt;"Yes","",IF($C311="No","Yes",IF($C311="Yes","No","")))</f>
      </c>
      <c r="E311">
        <f>IF($A311="","",IF($A311="Neuron",IF(OR(AND($S311&lt;&gt;"",LOWER(TRIM($S311))&lt;&gt;"n/a",COUNTIF($S$2:$S$532,$S311)&gt;1),AND($T311&lt;&gt;"",LOWER(TRIM($T311))&lt;&gt;"n/a",COUNTIF($T$2:$T$532,$T311)&gt;1),AND($W311&lt;&gt;"",LOWER(TRIM($W311))&lt;&gt;"n/a",COUNTIF($W$2:$W$532,$W311)&gt;1)),"Yes","No"),IF($A311="Cybernet",IF(OR(AND($Y311&lt;&gt;"",LOWER(TRIM($Y311))&lt;&gt;"n/a",COUNTIF($Y$2:$Y$532,$Y311)&gt;1),AND($Z311&lt;&gt;"",LOWER(TRIM($Z311))&lt;&gt;"n/a",COUNTIF($Z$2:$Z$532,$Z311)&gt;1)),"Yes","No"),IF(AND($AL311&lt;&gt;"",LOWER(TRIM($AL311))&lt;&gt;"n/a",COUNTIF($AL$2:$AL$532,$AL311)&gt;1),"Yes","No"))))</f>
      </c>
      <c r="F311">
        <f>IF($B311&lt;&gt;"Yes","",
IF($A311="Neuron",
IF(OR(
AND($S311&lt;&gt;"",LOWER(TRIM($S311))&lt;&gt;"n/a",COUNTIFS($B$2:$B$532,"Yes",$A$2:$A$532,"Neuron",$S$2:$S$532,$S311)&gt;1),
AND($T311&lt;&gt;"",LOWER(TRIM($T311))&lt;&gt;"n/a",COUNTIFS($B$2:$B$532,"Yes",$A$2:$A$532,"Neuron",$T$2:$T$532,$T311)&gt;1),
AND($W311&lt;&gt;"",LOWER(TRIM($W311))&lt;&gt;"n/a",COUNTIFS($B$2:$B$532,"Yes",$A$2:$A$532,"Neuron",$W$2:$W$532,$W311)&gt;1)
),"Yes","No"),
IF($A311="Cybernet",
IF(OR(
AND($Y311&lt;&gt;"",LOWER(TRIM($Y311))&lt;&gt;"n/a",COUNTIFS($B$2:$B$532,"Yes",$A$2:$A$532,"Cybernet",$Y$2:$Y$532,$Y311)&gt;1),
AND($Z311&lt;&gt;"",LOWER(TRIM($Z311))&lt;&gt;"n/a",COUNTIFS($B$2:$B$532,"Yes",$A$2:$A$532,"Cybernet",$Z$2:$Z$532,$Z311)&gt;1)
),"Yes","No"),
IF(AND($AL311&lt;&gt;"",LOWER(TRIM($AL311))&lt;&gt;"n/a"),
IF(COUNTIFS($B$2:$B$532,"Yes",$A$2:$A$532,$A311,$AL$2:$AL$532,$AL311)&gt;1,"Yes","No"),
"No")
)
)
)</f>
      </c>
      <c r="BL311">
        <f>IF($T311="","",IF((IF(AND($AW311&lt;&gt;"Yes",$AW311&lt;&gt;"N/A"),"Power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",""))="","",LEFT(IF(AND($AW311&lt;&gt;"Yes",$AW311&lt;&gt;"N/A"),"Power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",""),LEN(IF(AND($AW311&lt;&gt;"Yes",$AW311&lt;&gt;"N/A"),"Power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",""))-2)))</f>
      </c>
      <c r="BM311">
        <f>IF($T311="","",IF($BL311="","Yes","Blocked"))</f>
      </c>
      <c r="BP311">
        <f>IF($BO311="","",IFERROR(VLOOKUP($BO311,'01_Warehouse_Ledger'!$A:$N,4,FALSE),""))</f>
      </c>
      <c r="BQ311">
        <f>IF($BO311="","",IFERROR(VLOOKUP($BO311,'01_Warehouse_Ledger'!$A:$N,5,FALSE),""))</f>
      </c>
      <c r="BR311">
        <f>IF($BO311="","",IFERROR(VLOOKUP($BO311,'01_Warehouse_Ledger'!$A:$N,13,FALSE),""))</f>
      </c>
    </row>
    <row r="312">
      <c r="D312">
        <f>IF($B312&lt;&gt;"Yes","",IF($C312="No","Yes",IF($C312="Yes","No","")))</f>
      </c>
      <c r="E312">
        <f>IF($A312="","",IF($A312="Neuron",IF(OR(AND($S312&lt;&gt;"",LOWER(TRIM($S312))&lt;&gt;"n/a",COUNTIF($S$2:$S$532,$S312)&gt;1),AND($T312&lt;&gt;"",LOWER(TRIM($T312))&lt;&gt;"n/a",COUNTIF($T$2:$T$532,$T312)&gt;1),AND($W312&lt;&gt;"",LOWER(TRIM($W312))&lt;&gt;"n/a",COUNTIF($W$2:$W$532,$W312)&gt;1)),"Yes","No"),IF($A312="Cybernet",IF(OR(AND($Y312&lt;&gt;"",LOWER(TRIM($Y312))&lt;&gt;"n/a",COUNTIF($Y$2:$Y$532,$Y312)&gt;1),AND($Z312&lt;&gt;"",LOWER(TRIM($Z312))&lt;&gt;"n/a",COUNTIF($Z$2:$Z$532,$Z312)&gt;1)),"Yes","No"),IF(AND($AL312&lt;&gt;"",LOWER(TRIM($AL312))&lt;&gt;"n/a",COUNTIF($AL$2:$AL$532,$AL312)&gt;1),"Yes","No"))))</f>
      </c>
      <c r="F312">
        <f>IF($B312&lt;&gt;"Yes","",
IF($A312="Neuron",
IF(OR(
AND($S312&lt;&gt;"",LOWER(TRIM($S312))&lt;&gt;"n/a",COUNTIFS($B$2:$B$532,"Yes",$A$2:$A$532,"Neuron",$S$2:$S$532,$S312)&gt;1),
AND($T312&lt;&gt;"",LOWER(TRIM($T312))&lt;&gt;"n/a",COUNTIFS($B$2:$B$532,"Yes",$A$2:$A$532,"Neuron",$T$2:$T$532,$T312)&gt;1),
AND($W312&lt;&gt;"",LOWER(TRIM($W312))&lt;&gt;"n/a",COUNTIFS($B$2:$B$532,"Yes",$A$2:$A$532,"Neuron",$W$2:$W$532,$W312)&gt;1)
),"Yes","No"),
IF($A312="Cybernet",
IF(OR(
AND($Y312&lt;&gt;"",LOWER(TRIM($Y312))&lt;&gt;"n/a",COUNTIFS($B$2:$B$532,"Yes",$A$2:$A$532,"Cybernet",$Y$2:$Y$532,$Y312)&gt;1),
AND($Z312&lt;&gt;"",LOWER(TRIM($Z312))&lt;&gt;"n/a",COUNTIFS($B$2:$B$532,"Yes",$A$2:$A$532,"Cybernet",$Z$2:$Z$532,$Z312)&gt;1)
),"Yes","No"),
IF(AND($AL312&lt;&gt;"",LOWER(TRIM($AL312))&lt;&gt;"n/a"),
IF(COUNTIFS($B$2:$B$532,"Yes",$A$2:$A$532,$A312,$AL$2:$AL$532,$AL312)&gt;1,"Yes","No"),
"No")
)
)
)</f>
      </c>
      <c r="BL312">
        <f>IF($T312="","",IF((IF(AND($AW312&lt;&gt;"Yes",$AW312&lt;&gt;"N/A"),"Power Cable, ","")&amp;IF(AND($AX312&lt;&gt;"Yes",$AX312&lt;&gt;"N/A"),"Battery, ","")&amp;IF(AND($BE312&lt;&gt;"Yes",$BE312&lt;&gt;"N/A"),"Firmware Download, ","")&amp;IF(AND(OR($BE312="Yes",$BE312="N/A"),$BF312&lt;&gt;"Yes",$BF312&lt;&gt;"N/A"),"Firmware Install, ","")&amp;IF(AND($BJ312&lt;&gt;"Yes",$BJ312&lt;&gt;"N/A"),"Device ID, ","")&amp;IF(AND($BK312&lt;&gt;"Yes",$BK312&lt;&gt;"N/A"),"Epic Beans Relay, ",""))="","",LEFT(IF(AND($AW312&lt;&gt;"Yes",$AW312&lt;&gt;"N/A"),"Power Cable, ","")&amp;IF(AND($AX312&lt;&gt;"Yes",$AX312&lt;&gt;"N/A"),"Battery, ","")&amp;IF(AND($BE312&lt;&gt;"Yes",$BE312&lt;&gt;"N/A"),"Firmware Download, ","")&amp;IF(AND(OR($BE312="Yes",$BE312="N/A"),$BF312&lt;&gt;"Yes",$BF312&lt;&gt;"N/A"),"Firmware Install, ","")&amp;IF(AND($BJ312&lt;&gt;"Yes",$BJ312&lt;&gt;"N/A"),"Device ID, ","")&amp;IF(AND($BK312&lt;&gt;"Yes",$BK312&lt;&gt;"N/A"),"Epic Beans Relay, ",""),LEN(IF(AND($AW312&lt;&gt;"Yes",$AW312&lt;&gt;"N/A"),"Power Cable, ","")&amp;IF(AND($AX312&lt;&gt;"Yes",$AX312&lt;&gt;"N/A"),"Battery, ","")&amp;IF(AND($BE312&lt;&gt;"Yes",$BE312&lt;&gt;"N/A"),"Firmware Download, ","")&amp;IF(AND(OR($BE312="Yes",$BE312="N/A"),$BF312&lt;&gt;"Yes",$BF312&lt;&gt;"N/A"),"Firmware Install, ","")&amp;IF(AND($BJ312&lt;&gt;"Yes",$BJ312&lt;&gt;"N/A"),"Device ID, ","")&amp;IF(AND($BK312&lt;&gt;"Yes",$BK312&lt;&gt;"N/A"),"Epic Beans Relay, ",""))-2)))</f>
      </c>
      <c r="BM312">
        <f>IF($T312="","",IF($BL312="","Yes","Blocked"))</f>
      </c>
      <c r="BP312">
        <f>IF($BO312="","",IFERROR(VLOOKUP($BO312,'01_Warehouse_Ledger'!$A:$N,4,FALSE),""))</f>
      </c>
      <c r="BQ312">
        <f>IF($BO312="","",IFERROR(VLOOKUP($BO312,'01_Warehouse_Ledger'!$A:$N,5,FALSE),""))</f>
      </c>
      <c r="BR312">
        <f>IF($BO312="","",IFERROR(VLOOKUP($BO312,'01_Warehouse_Ledger'!$A:$N,13,FALSE),""))</f>
      </c>
    </row>
    <row r="313">
      <c r="D313">
        <f>IF($B313&lt;&gt;"Yes","",IF($C313="No","Yes",IF($C313="Yes","No","")))</f>
      </c>
      <c r="E313">
        <f>IF($A313="","",IF($A313="Neuron",IF(OR(AND($S313&lt;&gt;"",LOWER(TRIM($S313))&lt;&gt;"n/a",COUNTIF($S$2:$S$532,$S313)&gt;1),AND($T313&lt;&gt;"",LOWER(TRIM($T313))&lt;&gt;"n/a",COUNTIF($T$2:$T$532,$T313)&gt;1),AND($W313&lt;&gt;"",LOWER(TRIM($W313))&lt;&gt;"n/a",COUNTIF($W$2:$W$532,$W313)&gt;1)),"Yes","No"),IF($A313="Cybernet",IF(OR(AND($Y313&lt;&gt;"",LOWER(TRIM($Y313))&lt;&gt;"n/a",COUNTIF($Y$2:$Y$532,$Y313)&gt;1),AND($Z313&lt;&gt;"",LOWER(TRIM($Z313))&lt;&gt;"n/a",COUNTIF($Z$2:$Z$532,$Z313)&gt;1)),"Yes","No"),IF(AND($AL313&lt;&gt;"",LOWER(TRIM($AL313))&lt;&gt;"n/a",COUNTIF($AL$2:$AL$532,$AL313)&gt;1),"Yes","No"))))</f>
      </c>
      <c r="F313">
        <f>IF($B313&lt;&gt;"Yes","",
IF($A313="Neuron",
IF(OR(
AND($S313&lt;&gt;"",LOWER(TRIM($S313))&lt;&gt;"n/a",COUNTIFS($B$2:$B$532,"Yes",$A$2:$A$532,"Neuron",$S$2:$S$532,$S313)&gt;1),
AND($T313&lt;&gt;"",LOWER(TRIM($T313))&lt;&gt;"n/a",COUNTIFS($B$2:$B$532,"Yes",$A$2:$A$532,"Neuron",$T$2:$T$532,$T313)&gt;1),
AND($W313&lt;&gt;"",LOWER(TRIM($W313))&lt;&gt;"n/a",COUNTIFS($B$2:$B$532,"Yes",$A$2:$A$532,"Neuron",$W$2:$W$532,$W313)&gt;1)
),"Yes","No"),
IF($A313="Cybernet",
IF(OR(
AND($Y313&lt;&gt;"",LOWER(TRIM($Y313))&lt;&gt;"n/a",COUNTIFS($B$2:$B$532,"Yes",$A$2:$A$532,"Cybernet",$Y$2:$Y$532,$Y313)&gt;1),
AND($Z313&lt;&gt;"",LOWER(TRIM($Z313))&lt;&gt;"n/a",COUNTIFS($B$2:$B$532,"Yes",$A$2:$A$532,"Cybernet",$Z$2:$Z$532,$Z313)&gt;1)
),"Yes","No"),
IF(AND($AL313&lt;&gt;"",LOWER(TRIM($AL313))&lt;&gt;"n/a"),
IF(COUNTIFS($B$2:$B$532,"Yes",$A$2:$A$532,$A313,$AL$2:$AL$532,$AL313)&gt;1,"Yes","No"),
"No")
)
)
)</f>
      </c>
      <c r="BL313">
        <f>IF($T313="","",IF((IF(AND($AW313&lt;&gt;"Yes",$AW313&lt;&gt;"N/A"),"Power Cable, ","")&amp;IF(AND($AX313&lt;&gt;"Yes",$AX313&lt;&gt;"N/A"),"Battery, ","")&amp;IF(AND($BE313&lt;&gt;"Yes",$BE313&lt;&gt;"N/A"),"Firmware Download, ","")&amp;IF(AND(OR($BE313="Yes",$BE313="N/A"),$BF313&lt;&gt;"Yes",$BF313&lt;&gt;"N/A"),"Firmware Install, ","")&amp;IF(AND($BJ313&lt;&gt;"Yes",$BJ313&lt;&gt;"N/A"),"Device ID, ","")&amp;IF(AND($BK313&lt;&gt;"Yes",$BK313&lt;&gt;"N/A"),"Epic Beans Relay, ",""))="","",LEFT(IF(AND($AW313&lt;&gt;"Yes",$AW313&lt;&gt;"N/A"),"Power Cable, ","")&amp;IF(AND($AX313&lt;&gt;"Yes",$AX313&lt;&gt;"N/A"),"Battery, ","")&amp;IF(AND($BE313&lt;&gt;"Yes",$BE313&lt;&gt;"N/A"),"Firmware Download, ","")&amp;IF(AND(OR($BE313="Yes",$BE313="N/A"),$BF313&lt;&gt;"Yes",$BF313&lt;&gt;"N/A"),"Firmware Install, ","")&amp;IF(AND($BJ313&lt;&gt;"Yes",$BJ313&lt;&gt;"N/A"),"Device ID, ","")&amp;IF(AND($BK313&lt;&gt;"Yes",$BK313&lt;&gt;"N/A"),"Epic Beans Relay, ",""),LEN(IF(AND($AW313&lt;&gt;"Yes",$AW313&lt;&gt;"N/A"),"Power Cable, ","")&amp;IF(AND($AX313&lt;&gt;"Yes",$AX313&lt;&gt;"N/A"),"Battery, ","")&amp;IF(AND($BE313&lt;&gt;"Yes",$BE313&lt;&gt;"N/A"),"Firmware Download, ","")&amp;IF(AND(OR($BE313="Yes",$BE313="N/A"),$BF313&lt;&gt;"Yes",$BF313&lt;&gt;"N/A"),"Firmware Install, ","")&amp;IF(AND($BJ313&lt;&gt;"Yes",$BJ313&lt;&gt;"N/A"),"Device ID, ","")&amp;IF(AND($BK313&lt;&gt;"Yes",$BK313&lt;&gt;"N/A"),"Epic Beans Relay, ",""))-2)))</f>
      </c>
      <c r="BM313">
        <f>IF($T313="","",IF($BL313="","Yes","Blocked"))</f>
      </c>
      <c r="BP313">
        <f>IF($BO313="","",IFERROR(VLOOKUP($BO313,'01_Warehouse_Ledger'!$A:$N,4,FALSE),""))</f>
      </c>
      <c r="BQ313">
        <f>IF($BO313="","",IFERROR(VLOOKUP($BO313,'01_Warehouse_Ledger'!$A:$N,5,FALSE),""))</f>
      </c>
      <c r="BR313">
        <f>IF($BO313="","",IFERROR(VLOOKUP($BO313,'01_Warehouse_Ledger'!$A:$N,13,FALSE),""))</f>
      </c>
    </row>
    <row r="314">
      <c r="D314">
        <f>IF($B314&lt;&gt;"Yes","",IF($C314="No","Yes",IF($C314="Yes","No","")))</f>
      </c>
      <c r="E314">
        <f>IF($A314="","",IF($A314="Neuron",IF(OR(AND($S314&lt;&gt;"",LOWER(TRIM($S314))&lt;&gt;"n/a",COUNTIF($S$2:$S$532,$S314)&gt;1),AND($T314&lt;&gt;"",LOWER(TRIM($T314))&lt;&gt;"n/a",COUNTIF($T$2:$T$532,$T314)&gt;1),AND($W314&lt;&gt;"",LOWER(TRIM($W314))&lt;&gt;"n/a",COUNTIF($W$2:$W$532,$W314)&gt;1)),"Yes","No"),IF($A314="Cybernet",IF(OR(AND($Y314&lt;&gt;"",LOWER(TRIM($Y314))&lt;&gt;"n/a",COUNTIF($Y$2:$Y$532,$Y314)&gt;1),AND($Z314&lt;&gt;"",LOWER(TRIM($Z314))&lt;&gt;"n/a",COUNTIF($Z$2:$Z$532,$Z314)&gt;1)),"Yes","No"),IF(AND($AL314&lt;&gt;"",LOWER(TRIM($AL314))&lt;&gt;"n/a",COUNTIF($AL$2:$AL$532,$AL314)&gt;1),"Yes","No"))))</f>
      </c>
      <c r="F314">
        <f>IF($B314&lt;&gt;"Yes","",
IF($A314="Neuron",
IF(OR(
AND($S314&lt;&gt;"",LOWER(TRIM($S314))&lt;&gt;"n/a",COUNTIFS($B$2:$B$532,"Yes",$A$2:$A$532,"Neuron",$S$2:$S$532,$S314)&gt;1),
AND($T314&lt;&gt;"",LOWER(TRIM($T314))&lt;&gt;"n/a",COUNTIFS($B$2:$B$532,"Yes",$A$2:$A$532,"Neuron",$T$2:$T$532,$T314)&gt;1),
AND($W314&lt;&gt;"",LOWER(TRIM($W314))&lt;&gt;"n/a",COUNTIFS($B$2:$B$532,"Yes",$A$2:$A$532,"Neuron",$W$2:$W$532,$W314)&gt;1)
),"Yes","No"),
IF($A314="Cybernet",
IF(OR(
AND($Y314&lt;&gt;"",LOWER(TRIM($Y314))&lt;&gt;"n/a",COUNTIFS($B$2:$B$532,"Yes",$A$2:$A$532,"Cybernet",$Y$2:$Y$532,$Y314)&gt;1),
AND($Z314&lt;&gt;"",LOWER(TRIM($Z314))&lt;&gt;"n/a",COUNTIFS($B$2:$B$532,"Yes",$A$2:$A$532,"Cybernet",$Z$2:$Z$532,$Z314)&gt;1)
),"Yes","No"),
IF(AND($AL314&lt;&gt;"",LOWER(TRIM($AL314))&lt;&gt;"n/a"),
IF(COUNTIFS($B$2:$B$532,"Yes",$A$2:$A$532,$A314,$AL$2:$AL$532,$AL314)&gt;1,"Yes","No"),
"No")
)
)
)</f>
      </c>
      <c r="BL314">
        <f>IF($T314="","",IF((IF(AND($AW314&lt;&gt;"Yes",$AW314&lt;&gt;"N/A"),"Power Cable, ","")&amp;IF(AND($AX314&lt;&gt;"Yes",$AX314&lt;&gt;"N/A"),"Battery, ","")&amp;IF(AND($BE314&lt;&gt;"Yes",$BE314&lt;&gt;"N/A"),"Firmware Download, ","")&amp;IF(AND(OR($BE314="Yes",$BE314="N/A"),$BF314&lt;&gt;"Yes",$BF314&lt;&gt;"N/A"),"Firmware Install, ","")&amp;IF(AND($BJ314&lt;&gt;"Yes",$BJ314&lt;&gt;"N/A"),"Device ID, ","")&amp;IF(AND($BK314&lt;&gt;"Yes",$BK314&lt;&gt;"N/A"),"Epic Beans Relay, ",""))="","",LEFT(IF(AND($AW314&lt;&gt;"Yes",$AW314&lt;&gt;"N/A"),"Power Cable, ","")&amp;IF(AND($AX314&lt;&gt;"Yes",$AX314&lt;&gt;"N/A"),"Battery, ","")&amp;IF(AND($BE314&lt;&gt;"Yes",$BE314&lt;&gt;"N/A"),"Firmware Download, ","")&amp;IF(AND(OR($BE314="Yes",$BE314="N/A"),$BF314&lt;&gt;"Yes",$BF314&lt;&gt;"N/A"),"Firmware Install, ","")&amp;IF(AND($BJ314&lt;&gt;"Yes",$BJ314&lt;&gt;"N/A"),"Device ID, ","")&amp;IF(AND($BK314&lt;&gt;"Yes",$BK314&lt;&gt;"N/A"),"Epic Beans Relay, ",""),LEN(IF(AND($AW314&lt;&gt;"Yes",$AW314&lt;&gt;"N/A"),"Power Cable, ","")&amp;IF(AND($AX314&lt;&gt;"Yes",$AX314&lt;&gt;"N/A"),"Battery, ","")&amp;IF(AND($BE314&lt;&gt;"Yes",$BE314&lt;&gt;"N/A"),"Firmware Download, ","")&amp;IF(AND(OR($BE314="Yes",$BE314="N/A"),$BF314&lt;&gt;"Yes",$BF314&lt;&gt;"N/A"),"Firmware Install, ","")&amp;IF(AND($BJ314&lt;&gt;"Yes",$BJ314&lt;&gt;"N/A"),"Device ID, ","")&amp;IF(AND($BK314&lt;&gt;"Yes",$BK314&lt;&gt;"N/A"),"Epic Beans Relay, ",""))-2)))</f>
      </c>
      <c r="BM314">
        <f>IF($T314="","",IF($BL314="","Yes","Blocked"))</f>
      </c>
      <c r="BP314">
        <f>IF($BO314="","",IFERROR(VLOOKUP($BO314,'01_Warehouse_Ledger'!$A:$N,4,FALSE),""))</f>
      </c>
      <c r="BQ314">
        <f>IF($BO314="","",IFERROR(VLOOKUP($BO314,'01_Warehouse_Ledger'!$A:$N,5,FALSE),""))</f>
      </c>
      <c r="BR314">
        <f>IF($BO314="","",IFERROR(VLOOKUP($BO314,'01_Warehouse_Ledger'!$A:$N,13,FALSE),""))</f>
      </c>
    </row>
    <row r="315">
      <c r="D315">
        <f>IF($B315&lt;&gt;"Yes","",IF($C315="No","Yes",IF($C315="Yes","No","")))</f>
      </c>
      <c r="E315">
        <f>IF($A315="","",IF($A315="Neuron",IF(OR(AND($S315&lt;&gt;"",LOWER(TRIM($S315))&lt;&gt;"n/a",COUNTIF($S$2:$S$532,$S315)&gt;1),AND($T315&lt;&gt;"",LOWER(TRIM($T315))&lt;&gt;"n/a",COUNTIF($T$2:$T$532,$T315)&gt;1),AND($W315&lt;&gt;"",LOWER(TRIM($W315))&lt;&gt;"n/a",COUNTIF($W$2:$W$532,$W315)&gt;1)),"Yes","No"),IF($A315="Cybernet",IF(OR(AND($Y315&lt;&gt;"",LOWER(TRIM($Y315))&lt;&gt;"n/a",COUNTIF($Y$2:$Y$532,$Y315)&gt;1),AND($Z315&lt;&gt;"",LOWER(TRIM($Z315))&lt;&gt;"n/a",COUNTIF($Z$2:$Z$532,$Z315)&gt;1)),"Yes","No"),IF(AND($AL315&lt;&gt;"",LOWER(TRIM($AL315))&lt;&gt;"n/a",COUNTIF($AL$2:$AL$532,$AL315)&gt;1),"Yes","No"))))</f>
      </c>
      <c r="F315">
        <f>IF($B315&lt;&gt;"Yes","",
IF($A315="Neuron",
IF(OR(
AND($S315&lt;&gt;"",LOWER(TRIM($S315))&lt;&gt;"n/a",COUNTIFS($B$2:$B$532,"Yes",$A$2:$A$532,"Neuron",$S$2:$S$532,$S315)&gt;1),
AND($T315&lt;&gt;"",LOWER(TRIM($T315))&lt;&gt;"n/a",COUNTIFS($B$2:$B$532,"Yes",$A$2:$A$532,"Neuron",$T$2:$T$532,$T315)&gt;1),
AND($W315&lt;&gt;"",LOWER(TRIM($W315))&lt;&gt;"n/a",COUNTIFS($B$2:$B$532,"Yes",$A$2:$A$532,"Neuron",$W$2:$W$532,$W315)&gt;1)
),"Yes","No"),
IF($A315="Cybernet",
IF(OR(
AND($Y315&lt;&gt;"",LOWER(TRIM($Y315))&lt;&gt;"n/a",COUNTIFS($B$2:$B$532,"Yes",$A$2:$A$532,"Cybernet",$Y$2:$Y$532,$Y315)&gt;1),
AND($Z315&lt;&gt;"",LOWER(TRIM($Z315))&lt;&gt;"n/a",COUNTIFS($B$2:$B$532,"Yes",$A$2:$A$532,"Cybernet",$Z$2:$Z$532,$Z315)&gt;1)
),"Yes","No"),
IF(AND($AL315&lt;&gt;"",LOWER(TRIM($AL315))&lt;&gt;"n/a"),
IF(COUNTIFS($B$2:$B$532,"Yes",$A$2:$A$532,$A315,$AL$2:$AL$532,$AL315)&gt;1,"Yes","No"),
"No")
)
)
)</f>
      </c>
      <c r="BL315">
        <f>IF($T315="","",IF((IF(AND($AW315&lt;&gt;"Yes",$AW315&lt;&gt;"N/A"),"Power Cable, ","")&amp;IF(AND($AX315&lt;&gt;"Yes",$AX315&lt;&gt;"N/A"),"Battery, ","")&amp;IF(AND($BE315&lt;&gt;"Yes",$BE315&lt;&gt;"N/A"),"Firmware Download, ","")&amp;IF(AND(OR($BE315="Yes",$BE315="N/A"),$BF315&lt;&gt;"Yes",$BF315&lt;&gt;"N/A"),"Firmware Install, ","")&amp;IF(AND($BJ315&lt;&gt;"Yes",$BJ315&lt;&gt;"N/A"),"Device ID, ","")&amp;IF(AND($BK315&lt;&gt;"Yes",$BK315&lt;&gt;"N/A"),"Epic Beans Relay, ",""))="","",LEFT(IF(AND($AW315&lt;&gt;"Yes",$AW315&lt;&gt;"N/A"),"Power Cable, ","")&amp;IF(AND($AX315&lt;&gt;"Yes",$AX315&lt;&gt;"N/A"),"Battery, ","")&amp;IF(AND($BE315&lt;&gt;"Yes",$BE315&lt;&gt;"N/A"),"Firmware Download, ","")&amp;IF(AND(OR($BE315="Yes",$BE315="N/A"),$BF315&lt;&gt;"Yes",$BF315&lt;&gt;"N/A"),"Firmware Install, ","")&amp;IF(AND($BJ315&lt;&gt;"Yes",$BJ315&lt;&gt;"N/A"),"Device ID, ","")&amp;IF(AND($BK315&lt;&gt;"Yes",$BK315&lt;&gt;"N/A"),"Epic Beans Relay, ",""),LEN(IF(AND($AW315&lt;&gt;"Yes",$AW315&lt;&gt;"N/A"),"Power Cable, ","")&amp;IF(AND($AX315&lt;&gt;"Yes",$AX315&lt;&gt;"N/A"),"Battery, ","")&amp;IF(AND($BE315&lt;&gt;"Yes",$BE315&lt;&gt;"N/A"),"Firmware Download, ","")&amp;IF(AND(OR($BE315="Yes",$BE315="N/A"),$BF315&lt;&gt;"Yes",$BF315&lt;&gt;"N/A"),"Firmware Install, ","")&amp;IF(AND($BJ315&lt;&gt;"Yes",$BJ315&lt;&gt;"N/A"),"Device ID, ","")&amp;IF(AND($BK315&lt;&gt;"Yes",$BK315&lt;&gt;"N/A"),"Epic Beans Relay, ",""))-2)))</f>
      </c>
      <c r="BM315">
        <f>IF($T315="","",IF($BL315="","Yes","Blocked"))</f>
      </c>
      <c r="BP315">
        <f>IF($BO315="","",IFERROR(VLOOKUP($BO315,'01_Warehouse_Ledger'!$A:$N,4,FALSE),""))</f>
      </c>
      <c r="BQ315">
        <f>IF($BO315="","",IFERROR(VLOOKUP($BO315,'01_Warehouse_Ledger'!$A:$N,5,FALSE),""))</f>
      </c>
      <c r="BR315">
        <f>IF($BO315="","",IFERROR(VLOOKUP($BO315,'01_Warehouse_Ledger'!$A:$N,13,FALSE),""))</f>
      </c>
    </row>
    <row r="316">
      <c r="D316">
        <f>IF($B316&lt;&gt;"Yes","",IF($C316="No","Yes",IF($C316="Yes","No","")))</f>
      </c>
      <c r="E316">
        <f>IF($A316="","",IF($A316="Neuron",IF(OR(AND($S316&lt;&gt;"",LOWER(TRIM($S316))&lt;&gt;"n/a",COUNTIF($S$2:$S$532,$S316)&gt;1),AND($T316&lt;&gt;"",LOWER(TRIM($T316))&lt;&gt;"n/a",COUNTIF($T$2:$T$532,$T316)&gt;1),AND($W316&lt;&gt;"",LOWER(TRIM($W316))&lt;&gt;"n/a",COUNTIF($W$2:$W$532,$W316)&gt;1)),"Yes","No"),IF($A316="Cybernet",IF(OR(AND($Y316&lt;&gt;"",LOWER(TRIM($Y316))&lt;&gt;"n/a",COUNTIF($Y$2:$Y$532,$Y316)&gt;1),AND($Z316&lt;&gt;"",LOWER(TRIM($Z316))&lt;&gt;"n/a",COUNTIF($Z$2:$Z$532,$Z316)&gt;1)),"Yes","No"),IF(AND($AL316&lt;&gt;"",LOWER(TRIM($AL316))&lt;&gt;"n/a",COUNTIF($AL$2:$AL$532,$AL316)&gt;1),"Yes","No"))))</f>
      </c>
      <c r="F316">
        <f>IF($B316&lt;&gt;"Yes","",
IF($A316="Neuron",
IF(OR(
AND($S316&lt;&gt;"",LOWER(TRIM($S316))&lt;&gt;"n/a",COUNTIFS($B$2:$B$532,"Yes",$A$2:$A$532,"Neuron",$S$2:$S$532,$S316)&gt;1),
AND($T316&lt;&gt;"",LOWER(TRIM($T316))&lt;&gt;"n/a",COUNTIFS($B$2:$B$532,"Yes",$A$2:$A$532,"Neuron",$T$2:$T$532,$T316)&gt;1),
AND($W316&lt;&gt;"",LOWER(TRIM($W316))&lt;&gt;"n/a",COUNTIFS($B$2:$B$532,"Yes",$A$2:$A$532,"Neuron",$W$2:$W$532,$W316)&gt;1)
),"Yes","No"),
IF($A316="Cybernet",
IF(OR(
AND($Y316&lt;&gt;"",LOWER(TRIM($Y316))&lt;&gt;"n/a",COUNTIFS($B$2:$B$532,"Yes",$A$2:$A$532,"Cybernet",$Y$2:$Y$532,$Y316)&gt;1),
AND($Z316&lt;&gt;"",LOWER(TRIM($Z316))&lt;&gt;"n/a",COUNTIFS($B$2:$B$532,"Yes",$A$2:$A$532,"Cybernet",$Z$2:$Z$532,$Z316)&gt;1)
),"Yes","No"),
IF(AND($AL316&lt;&gt;"",LOWER(TRIM($AL316))&lt;&gt;"n/a"),
IF(COUNTIFS($B$2:$B$532,"Yes",$A$2:$A$532,$A316,$AL$2:$AL$532,$AL316)&gt;1,"Yes","No"),
"No")
)
)
)</f>
      </c>
      <c r="BL316">
        <f>IF($T316="","",IF((IF(AND($AW316&lt;&gt;"Yes",$AW316&lt;&gt;"N/A"),"Power Cable, ","")&amp;IF(AND($AX316&lt;&gt;"Yes",$AX316&lt;&gt;"N/A"),"Battery, ","")&amp;IF(AND($BE316&lt;&gt;"Yes",$BE316&lt;&gt;"N/A"),"Firmware Download, ","")&amp;IF(AND(OR($BE316="Yes",$BE316="N/A"),$BF316&lt;&gt;"Yes",$BF316&lt;&gt;"N/A"),"Firmware Install, ","")&amp;IF(AND($BJ316&lt;&gt;"Yes",$BJ316&lt;&gt;"N/A"),"Device ID, ","")&amp;IF(AND($BK316&lt;&gt;"Yes",$BK316&lt;&gt;"N/A"),"Epic Beans Relay, ",""))="","",LEFT(IF(AND($AW316&lt;&gt;"Yes",$AW316&lt;&gt;"N/A"),"Power Cable, ","")&amp;IF(AND($AX316&lt;&gt;"Yes",$AX316&lt;&gt;"N/A"),"Battery, ","")&amp;IF(AND($BE316&lt;&gt;"Yes",$BE316&lt;&gt;"N/A"),"Firmware Download, ","")&amp;IF(AND(OR($BE316="Yes",$BE316="N/A"),$BF316&lt;&gt;"Yes",$BF316&lt;&gt;"N/A"),"Firmware Install, ","")&amp;IF(AND($BJ316&lt;&gt;"Yes",$BJ316&lt;&gt;"N/A"),"Device ID, ","")&amp;IF(AND($BK316&lt;&gt;"Yes",$BK316&lt;&gt;"N/A"),"Epic Beans Relay, ",""),LEN(IF(AND($AW316&lt;&gt;"Yes",$AW316&lt;&gt;"N/A"),"Power Cable, ","")&amp;IF(AND($AX316&lt;&gt;"Yes",$AX316&lt;&gt;"N/A"),"Battery, ","")&amp;IF(AND($BE316&lt;&gt;"Yes",$BE316&lt;&gt;"N/A"),"Firmware Download, ","")&amp;IF(AND(OR($BE316="Yes",$BE316="N/A"),$BF316&lt;&gt;"Yes",$BF316&lt;&gt;"N/A"),"Firmware Install, ","")&amp;IF(AND($BJ316&lt;&gt;"Yes",$BJ316&lt;&gt;"N/A"),"Device ID, ","")&amp;IF(AND($BK316&lt;&gt;"Yes",$BK316&lt;&gt;"N/A"),"Epic Beans Relay, ",""))-2)))</f>
      </c>
      <c r="BM316">
        <f>IF($T316="","",IF($BL316="","Yes","Blocked"))</f>
      </c>
      <c r="BP316">
        <f>IF($BO316="","",IFERROR(VLOOKUP($BO316,'01_Warehouse_Ledger'!$A:$N,4,FALSE),""))</f>
      </c>
      <c r="BQ316">
        <f>IF($BO316="","",IFERROR(VLOOKUP($BO316,'01_Warehouse_Ledger'!$A:$N,5,FALSE),""))</f>
      </c>
      <c r="BR316">
        <f>IF($BO316="","",IFERROR(VLOOKUP($BO316,'01_Warehouse_Ledger'!$A:$N,13,FALSE),""))</f>
      </c>
    </row>
    <row r="317">
      <c r="D317">
        <f>IF($B317&lt;&gt;"Yes","",IF($C317="No","Yes",IF($C317="Yes","No","")))</f>
      </c>
      <c r="E317">
        <f>IF($A317="","",IF($A317="Neuron",IF(OR(AND($S317&lt;&gt;"",LOWER(TRIM($S317))&lt;&gt;"n/a",COUNTIF($S$2:$S$532,$S317)&gt;1),AND($T317&lt;&gt;"",LOWER(TRIM($T317))&lt;&gt;"n/a",COUNTIF($T$2:$T$532,$T317)&gt;1),AND($W317&lt;&gt;"",LOWER(TRIM($W317))&lt;&gt;"n/a",COUNTIF($W$2:$W$532,$W317)&gt;1)),"Yes","No"),IF($A317="Cybernet",IF(OR(AND($Y317&lt;&gt;"",LOWER(TRIM($Y317))&lt;&gt;"n/a",COUNTIF($Y$2:$Y$532,$Y317)&gt;1),AND($Z317&lt;&gt;"",LOWER(TRIM($Z317))&lt;&gt;"n/a",COUNTIF($Z$2:$Z$532,$Z317)&gt;1)),"Yes","No"),IF(AND($AL317&lt;&gt;"",LOWER(TRIM($AL317))&lt;&gt;"n/a",COUNTIF($AL$2:$AL$532,$AL317)&gt;1),"Yes","No"))))</f>
      </c>
      <c r="F317">
        <f>IF($B317&lt;&gt;"Yes","",
IF($A317="Neuron",
IF(OR(
AND($S317&lt;&gt;"",LOWER(TRIM($S317))&lt;&gt;"n/a",COUNTIFS($B$2:$B$532,"Yes",$A$2:$A$532,"Neuron",$S$2:$S$532,$S317)&gt;1),
AND($T317&lt;&gt;"",LOWER(TRIM($T317))&lt;&gt;"n/a",COUNTIFS($B$2:$B$532,"Yes",$A$2:$A$532,"Neuron",$T$2:$T$532,$T317)&gt;1),
AND($W317&lt;&gt;"",LOWER(TRIM($W317))&lt;&gt;"n/a",COUNTIFS($B$2:$B$532,"Yes",$A$2:$A$532,"Neuron",$W$2:$W$532,$W317)&gt;1)
),"Yes","No"),
IF($A317="Cybernet",
IF(OR(
AND($Y317&lt;&gt;"",LOWER(TRIM($Y317))&lt;&gt;"n/a",COUNTIFS($B$2:$B$532,"Yes",$A$2:$A$532,"Cybernet",$Y$2:$Y$532,$Y317)&gt;1),
AND($Z317&lt;&gt;"",LOWER(TRIM($Z317))&lt;&gt;"n/a",COUNTIFS($B$2:$B$532,"Yes",$A$2:$A$532,"Cybernet",$Z$2:$Z$532,$Z317)&gt;1)
),"Yes","No"),
IF(AND($AL317&lt;&gt;"",LOWER(TRIM($AL317))&lt;&gt;"n/a"),
IF(COUNTIFS($B$2:$B$532,"Yes",$A$2:$A$532,$A317,$AL$2:$AL$532,$AL317)&gt;1,"Yes","No"),
"No")
)
)
)</f>
      </c>
      <c r="BL317">
        <f>IF($T317="","",IF((IF(AND($AW317&lt;&gt;"Yes",$AW317&lt;&gt;"N/A"),"Power Cable, ","")&amp;IF(AND($AX317&lt;&gt;"Yes",$AX317&lt;&gt;"N/A"),"Battery, ","")&amp;IF(AND($BE317&lt;&gt;"Yes",$BE317&lt;&gt;"N/A"),"Firmware Download, ","")&amp;IF(AND(OR($BE317="Yes",$BE317="N/A"),$BF317&lt;&gt;"Yes",$BF317&lt;&gt;"N/A"),"Firmware Install, ","")&amp;IF(AND($BJ317&lt;&gt;"Yes",$BJ317&lt;&gt;"N/A"),"Device ID, ","")&amp;IF(AND($BK317&lt;&gt;"Yes",$BK317&lt;&gt;"N/A"),"Epic Beans Relay, ",""))="","",LEFT(IF(AND($AW317&lt;&gt;"Yes",$AW317&lt;&gt;"N/A"),"Power Cable, ","")&amp;IF(AND($AX317&lt;&gt;"Yes",$AX317&lt;&gt;"N/A"),"Battery, ","")&amp;IF(AND($BE317&lt;&gt;"Yes",$BE317&lt;&gt;"N/A"),"Firmware Download, ","")&amp;IF(AND(OR($BE317="Yes",$BE317="N/A"),$BF317&lt;&gt;"Yes",$BF317&lt;&gt;"N/A"),"Firmware Install, ","")&amp;IF(AND($BJ317&lt;&gt;"Yes",$BJ317&lt;&gt;"N/A"),"Device ID, ","")&amp;IF(AND($BK317&lt;&gt;"Yes",$BK317&lt;&gt;"N/A"),"Epic Beans Relay, ",""),LEN(IF(AND($AW317&lt;&gt;"Yes",$AW317&lt;&gt;"N/A"),"Power Cable, ","")&amp;IF(AND($AX317&lt;&gt;"Yes",$AX317&lt;&gt;"N/A"),"Battery, ","")&amp;IF(AND($BE317&lt;&gt;"Yes",$BE317&lt;&gt;"N/A"),"Firmware Download, ","")&amp;IF(AND(OR($BE317="Yes",$BE317="N/A"),$BF317&lt;&gt;"Yes",$BF317&lt;&gt;"N/A"),"Firmware Install, ","")&amp;IF(AND($BJ317&lt;&gt;"Yes",$BJ317&lt;&gt;"N/A"),"Device ID, ","")&amp;IF(AND($BK317&lt;&gt;"Yes",$BK317&lt;&gt;"N/A"),"Epic Beans Relay, ",""))-2)))</f>
      </c>
      <c r="BM317">
        <f>IF($T317="","",IF($BL317="","Yes","Blocked"))</f>
      </c>
      <c r="BP317">
        <f>IF($BO317="","",IFERROR(VLOOKUP($BO317,'01_Warehouse_Ledger'!$A:$N,4,FALSE),""))</f>
      </c>
      <c r="BQ317">
        <f>IF($BO317="","",IFERROR(VLOOKUP($BO317,'01_Warehouse_Ledger'!$A:$N,5,FALSE),""))</f>
      </c>
      <c r="BR317">
        <f>IF($BO317="","",IFERROR(VLOOKUP($BO317,'01_Warehouse_Ledger'!$A:$N,13,FALSE),""))</f>
      </c>
    </row>
    <row r="318">
      <c r="D318">
        <f>IF($B318&lt;&gt;"Yes","",IF($C318="No","Yes",IF($C318="Yes","No","")))</f>
      </c>
      <c r="E318">
        <f>IF($A318="","",IF($A318="Neuron",IF(OR(AND($S318&lt;&gt;"",LOWER(TRIM($S318))&lt;&gt;"n/a",COUNTIF($S$2:$S$532,$S318)&gt;1),AND($T318&lt;&gt;"",LOWER(TRIM($T318))&lt;&gt;"n/a",COUNTIF($T$2:$T$532,$T318)&gt;1),AND($W318&lt;&gt;"",LOWER(TRIM($W318))&lt;&gt;"n/a",COUNTIF($W$2:$W$532,$W318)&gt;1)),"Yes","No"),IF($A318="Cybernet",IF(OR(AND($Y318&lt;&gt;"",LOWER(TRIM($Y318))&lt;&gt;"n/a",COUNTIF($Y$2:$Y$532,$Y318)&gt;1),AND($Z318&lt;&gt;"",LOWER(TRIM($Z318))&lt;&gt;"n/a",COUNTIF($Z$2:$Z$532,$Z318)&gt;1)),"Yes","No"),IF(AND($AL318&lt;&gt;"",LOWER(TRIM($AL318))&lt;&gt;"n/a",COUNTIF($AL$2:$AL$532,$AL318)&gt;1),"Yes","No"))))</f>
      </c>
      <c r="F318">
        <f>IF($B318&lt;&gt;"Yes","",
IF($A318="Neuron",
IF(OR(
AND($S318&lt;&gt;"",LOWER(TRIM($S318))&lt;&gt;"n/a",COUNTIFS($B$2:$B$532,"Yes",$A$2:$A$532,"Neuron",$S$2:$S$532,$S318)&gt;1),
AND($T318&lt;&gt;"",LOWER(TRIM($T318))&lt;&gt;"n/a",COUNTIFS($B$2:$B$532,"Yes",$A$2:$A$532,"Neuron",$T$2:$T$532,$T318)&gt;1),
AND($W318&lt;&gt;"",LOWER(TRIM($W318))&lt;&gt;"n/a",COUNTIFS($B$2:$B$532,"Yes",$A$2:$A$532,"Neuron",$W$2:$W$532,$W318)&gt;1)
),"Yes","No"),
IF($A318="Cybernet",
IF(OR(
AND($Y318&lt;&gt;"",LOWER(TRIM($Y318))&lt;&gt;"n/a",COUNTIFS($B$2:$B$532,"Yes",$A$2:$A$532,"Cybernet",$Y$2:$Y$532,$Y318)&gt;1),
AND($Z318&lt;&gt;"",LOWER(TRIM($Z318))&lt;&gt;"n/a",COUNTIFS($B$2:$B$532,"Yes",$A$2:$A$532,"Cybernet",$Z$2:$Z$532,$Z318)&gt;1)
),"Yes","No"),
IF(AND($AL318&lt;&gt;"",LOWER(TRIM($AL318))&lt;&gt;"n/a"),
IF(COUNTIFS($B$2:$B$532,"Yes",$A$2:$A$532,$A318,$AL$2:$AL$532,$AL318)&gt;1,"Yes","No"),
"No")
)
)
)</f>
      </c>
      <c r="BL318">
        <f>IF($T318="","",IF((IF(AND($AW318&lt;&gt;"Yes",$AW318&lt;&gt;"N/A"),"Power Cable, ","")&amp;IF(AND($AX318&lt;&gt;"Yes",$AX318&lt;&gt;"N/A"),"Battery, ","")&amp;IF(AND($BE318&lt;&gt;"Yes",$BE318&lt;&gt;"N/A"),"Firmware Download, ","")&amp;IF(AND(OR($BE318="Yes",$BE318="N/A"),$BF318&lt;&gt;"Yes",$BF318&lt;&gt;"N/A"),"Firmware Install, ","")&amp;IF(AND($BJ318&lt;&gt;"Yes",$BJ318&lt;&gt;"N/A"),"Device ID, ","")&amp;IF(AND($BK318&lt;&gt;"Yes",$BK318&lt;&gt;"N/A"),"Epic Beans Relay, ",""))="","",LEFT(IF(AND($AW318&lt;&gt;"Yes",$AW318&lt;&gt;"N/A"),"Power Cable, ","")&amp;IF(AND($AX318&lt;&gt;"Yes",$AX318&lt;&gt;"N/A"),"Battery, ","")&amp;IF(AND($BE318&lt;&gt;"Yes",$BE318&lt;&gt;"N/A"),"Firmware Download, ","")&amp;IF(AND(OR($BE318="Yes",$BE318="N/A"),$BF318&lt;&gt;"Yes",$BF318&lt;&gt;"N/A"),"Firmware Install, ","")&amp;IF(AND($BJ318&lt;&gt;"Yes",$BJ318&lt;&gt;"N/A"),"Device ID, ","")&amp;IF(AND($BK318&lt;&gt;"Yes",$BK318&lt;&gt;"N/A"),"Epic Beans Relay, ",""),LEN(IF(AND($AW318&lt;&gt;"Yes",$AW318&lt;&gt;"N/A"),"Power Cable, ","")&amp;IF(AND($AX318&lt;&gt;"Yes",$AX318&lt;&gt;"N/A"),"Battery, ","")&amp;IF(AND($BE318&lt;&gt;"Yes",$BE318&lt;&gt;"N/A"),"Firmware Download, ","")&amp;IF(AND(OR($BE318="Yes",$BE318="N/A"),$BF318&lt;&gt;"Yes",$BF318&lt;&gt;"N/A"),"Firmware Install, ","")&amp;IF(AND($BJ318&lt;&gt;"Yes",$BJ318&lt;&gt;"N/A"),"Device ID, ","")&amp;IF(AND($BK318&lt;&gt;"Yes",$BK318&lt;&gt;"N/A"),"Epic Beans Relay, ",""))-2)))</f>
      </c>
      <c r="BM318">
        <f>IF($T318="","",IF($BL318="","Yes","Blocked"))</f>
      </c>
      <c r="BP318">
        <f>IF($BO318="","",IFERROR(VLOOKUP($BO318,'01_Warehouse_Ledger'!$A:$N,4,FALSE),""))</f>
      </c>
      <c r="BQ318">
        <f>IF($BO318="","",IFERROR(VLOOKUP($BO318,'01_Warehouse_Ledger'!$A:$N,5,FALSE),""))</f>
      </c>
      <c r="BR318">
        <f>IF($BO318="","",IFERROR(VLOOKUP($BO318,'01_Warehouse_Ledger'!$A:$N,13,FALSE),""))</f>
      </c>
    </row>
    <row r="319">
      <c r="D319">
        <f>IF($B319&lt;&gt;"Yes","",IF($C319="No","Yes",IF($C319="Yes","No","")))</f>
      </c>
      <c r="E319">
        <f>IF($A319="","",IF($A319="Neuron",IF(OR(AND($S319&lt;&gt;"",LOWER(TRIM($S319))&lt;&gt;"n/a",COUNTIF($S$2:$S$532,$S319)&gt;1),AND($T319&lt;&gt;"",LOWER(TRIM($T319))&lt;&gt;"n/a",COUNTIF($T$2:$T$532,$T319)&gt;1),AND($W319&lt;&gt;"",LOWER(TRIM($W319))&lt;&gt;"n/a",COUNTIF($W$2:$W$532,$W319)&gt;1)),"Yes","No"),IF($A319="Cybernet",IF(OR(AND($Y319&lt;&gt;"",LOWER(TRIM($Y319))&lt;&gt;"n/a",COUNTIF($Y$2:$Y$532,$Y319)&gt;1),AND($Z319&lt;&gt;"",LOWER(TRIM($Z319))&lt;&gt;"n/a",COUNTIF($Z$2:$Z$532,$Z319)&gt;1)),"Yes","No"),IF(AND($AL319&lt;&gt;"",LOWER(TRIM($AL319))&lt;&gt;"n/a",COUNTIF($AL$2:$AL$532,$AL319)&gt;1),"Yes","No"))))</f>
      </c>
      <c r="F319">
        <f>IF($B319&lt;&gt;"Yes","",
IF($A319="Neuron",
IF(OR(
AND($S319&lt;&gt;"",LOWER(TRIM($S319))&lt;&gt;"n/a",COUNTIFS($B$2:$B$532,"Yes",$A$2:$A$532,"Neuron",$S$2:$S$532,$S319)&gt;1),
AND($T319&lt;&gt;"",LOWER(TRIM($T319))&lt;&gt;"n/a",COUNTIFS($B$2:$B$532,"Yes",$A$2:$A$532,"Neuron",$T$2:$T$532,$T319)&gt;1),
AND($W319&lt;&gt;"",LOWER(TRIM($W319))&lt;&gt;"n/a",COUNTIFS($B$2:$B$532,"Yes",$A$2:$A$532,"Neuron",$W$2:$W$532,$W319)&gt;1)
),"Yes","No"),
IF($A319="Cybernet",
IF(OR(
AND($Y319&lt;&gt;"",LOWER(TRIM($Y319))&lt;&gt;"n/a",COUNTIFS($B$2:$B$532,"Yes",$A$2:$A$532,"Cybernet",$Y$2:$Y$532,$Y319)&gt;1),
AND($Z319&lt;&gt;"",LOWER(TRIM($Z319))&lt;&gt;"n/a",COUNTIFS($B$2:$B$532,"Yes",$A$2:$A$532,"Cybernet",$Z$2:$Z$532,$Z319)&gt;1)
),"Yes","No"),
IF(AND($AL319&lt;&gt;"",LOWER(TRIM($AL319))&lt;&gt;"n/a"),
IF(COUNTIFS($B$2:$B$532,"Yes",$A$2:$A$532,$A319,$AL$2:$AL$532,$AL319)&gt;1,"Yes","No"),
"No")
)
)
)</f>
      </c>
      <c r="BL319">
        <f>IF($T319="","",IF((IF(AND($AW319&lt;&gt;"Yes",$AW319&lt;&gt;"N/A"),"Power Cable, ","")&amp;IF(AND($AX319&lt;&gt;"Yes",$AX319&lt;&gt;"N/A"),"Battery, ","")&amp;IF(AND($BE319&lt;&gt;"Yes",$BE319&lt;&gt;"N/A"),"Firmware Download, ","")&amp;IF(AND(OR($BE319="Yes",$BE319="N/A"),$BF319&lt;&gt;"Yes",$BF319&lt;&gt;"N/A"),"Firmware Install, ","")&amp;IF(AND($BJ319&lt;&gt;"Yes",$BJ319&lt;&gt;"N/A"),"Device ID, ","")&amp;IF(AND($BK319&lt;&gt;"Yes",$BK319&lt;&gt;"N/A"),"Epic Beans Relay, ",""))="","",LEFT(IF(AND($AW319&lt;&gt;"Yes",$AW319&lt;&gt;"N/A"),"Power Cable, ","")&amp;IF(AND($AX319&lt;&gt;"Yes",$AX319&lt;&gt;"N/A"),"Battery, ","")&amp;IF(AND($BE319&lt;&gt;"Yes",$BE319&lt;&gt;"N/A"),"Firmware Download, ","")&amp;IF(AND(OR($BE319="Yes",$BE319="N/A"),$BF319&lt;&gt;"Yes",$BF319&lt;&gt;"N/A"),"Firmware Install, ","")&amp;IF(AND($BJ319&lt;&gt;"Yes",$BJ319&lt;&gt;"N/A"),"Device ID, ","")&amp;IF(AND($BK319&lt;&gt;"Yes",$BK319&lt;&gt;"N/A"),"Epic Beans Relay, ",""),LEN(IF(AND($AW319&lt;&gt;"Yes",$AW319&lt;&gt;"N/A"),"Power Cable, ","")&amp;IF(AND($AX319&lt;&gt;"Yes",$AX319&lt;&gt;"N/A"),"Battery, ","")&amp;IF(AND($BE319&lt;&gt;"Yes",$BE319&lt;&gt;"N/A"),"Firmware Download, ","")&amp;IF(AND(OR($BE319="Yes",$BE319="N/A"),$BF319&lt;&gt;"Yes",$BF319&lt;&gt;"N/A"),"Firmware Install, ","")&amp;IF(AND($BJ319&lt;&gt;"Yes",$BJ319&lt;&gt;"N/A"),"Device ID, ","")&amp;IF(AND($BK319&lt;&gt;"Yes",$BK319&lt;&gt;"N/A"),"Epic Beans Relay, ",""))-2)))</f>
      </c>
      <c r="BM319">
        <f>IF($T319="","",IF($BL319="","Yes","Blocked"))</f>
      </c>
      <c r="BP319">
        <f>IF($BO319="","",IFERROR(VLOOKUP($BO319,'01_Warehouse_Ledger'!$A:$N,4,FALSE),""))</f>
      </c>
      <c r="BQ319">
        <f>IF($BO319="","",IFERROR(VLOOKUP($BO319,'01_Warehouse_Ledger'!$A:$N,5,FALSE),""))</f>
      </c>
      <c r="BR319">
        <f>IF($BO319="","",IFERROR(VLOOKUP($BO319,'01_Warehouse_Ledger'!$A:$N,13,FALSE),""))</f>
      </c>
    </row>
    <row r="320">
      <c r="D320">
        <f>IF($B320&lt;&gt;"Yes","",IF($C320="No","Yes",IF($C320="Yes","No","")))</f>
      </c>
      <c r="E320">
        <f>IF($A320="","",IF($A320="Neuron",IF(OR(AND($S320&lt;&gt;"",LOWER(TRIM($S320))&lt;&gt;"n/a",COUNTIF($S$2:$S$532,$S320)&gt;1),AND($T320&lt;&gt;"",LOWER(TRIM($T320))&lt;&gt;"n/a",COUNTIF($T$2:$T$532,$T320)&gt;1),AND($W320&lt;&gt;"",LOWER(TRIM($W320))&lt;&gt;"n/a",COUNTIF($W$2:$W$532,$W320)&gt;1)),"Yes","No"),IF($A320="Cybernet",IF(OR(AND($Y320&lt;&gt;"",LOWER(TRIM($Y320))&lt;&gt;"n/a",COUNTIF($Y$2:$Y$532,$Y320)&gt;1),AND($Z320&lt;&gt;"",LOWER(TRIM($Z320))&lt;&gt;"n/a",COUNTIF($Z$2:$Z$532,$Z320)&gt;1)),"Yes","No"),IF(AND($AL320&lt;&gt;"",LOWER(TRIM($AL320))&lt;&gt;"n/a",COUNTIF($AL$2:$AL$532,$AL320)&gt;1),"Yes","No"))))</f>
      </c>
      <c r="F320">
        <f>IF($B320&lt;&gt;"Yes","",
IF($A320="Neuron",
IF(OR(
AND($S320&lt;&gt;"",LOWER(TRIM($S320))&lt;&gt;"n/a",COUNTIFS($B$2:$B$532,"Yes",$A$2:$A$532,"Neuron",$S$2:$S$532,$S320)&gt;1),
AND($T320&lt;&gt;"",LOWER(TRIM($T320))&lt;&gt;"n/a",COUNTIFS($B$2:$B$532,"Yes",$A$2:$A$532,"Neuron",$T$2:$T$532,$T320)&gt;1),
AND($W320&lt;&gt;"",LOWER(TRIM($W320))&lt;&gt;"n/a",COUNTIFS($B$2:$B$532,"Yes",$A$2:$A$532,"Neuron",$W$2:$W$532,$W320)&gt;1)
),"Yes","No"),
IF($A320="Cybernet",
IF(OR(
AND($Y320&lt;&gt;"",LOWER(TRIM($Y320))&lt;&gt;"n/a",COUNTIFS($B$2:$B$532,"Yes",$A$2:$A$532,"Cybernet",$Y$2:$Y$532,$Y320)&gt;1),
AND($Z320&lt;&gt;"",LOWER(TRIM($Z320))&lt;&gt;"n/a",COUNTIFS($B$2:$B$532,"Yes",$A$2:$A$532,"Cybernet",$Z$2:$Z$532,$Z320)&gt;1)
),"Yes","No"),
IF(AND($AL320&lt;&gt;"",LOWER(TRIM($AL320))&lt;&gt;"n/a"),
IF(COUNTIFS($B$2:$B$532,"Yes",$A$2:$A$532,$A320,$AL$2:$AL$532,$AL320)&gt;1,"Yes","No"),
"No")
)
)
)</f>
      </c>
      <c r="BL320">
        <f>IF($T320="","",IF((IF(AND($AW320&lt;&gt;"Yes",$AW320&lt;&gt;"N/A"),"Power Cable, ","")&amp;IF(AND($AX320&lt;&gt;"Yes",$AX320&lt;&gt;"N/A"),"Battery, ","")&amp;IF(AND($BE320&lt;&gt;"Yes",$BE320&lt;&gt;"N/A"),"Firmware Download, ","")&amp;IF(AND(OR($BE320="Yes",$BE320="N/A"),$BF320&lt;&gt;"Yes",$BF320&lt;&gt;"N/A"),"Firmware Install, ","")&amp;IF(AND($BJ320&lt;&gt;"Yes",$BJ320&lt;&gt;"N/A"),"Device ID, ","")&amp;IF(AND($BK320&lt;&gt;"Yes",$BK320&lt;&gt;"N/A"),"Epic Beans Relay, ",""))="","",LEFT(IF(AND($AW320&lt;&gt;"Yes",$AW320&lt;&gt;"N/A"),"Power Cable, ","")&amp;IF(AND($AX320&lt;&gt;"Yes",$AX320&lt;&gt;"N/A"),"Battery, ","")&amp;IF(AND($BE320&lt;&gt;"Yes",$BE320&lt;&gt;"N/A"),"Firmware Download, ","")&amp;IF(AND(OR($BE320="Yes",$BE320="N/A"),$BF320&lt;&gt;"Yes",$BF320&lt;&gt;"N/A"),"Firmware Install, ","")&amp;IF(AND($BJ320&lt;&gt;"Yes",$BJ320&lt;&gt;"N/A"),"Device ID, ","")&amp;IF(AND($BK320&lt;&gt;"Yes",$BK320&lt;&gt;"N/A"),"Epic Beans Relay, ",""),LEN(IF(AND($AW320&lt;&gt;"Yes",$AW320&lt;&gt;"N/A"),"Power Cable, ","")&amp;IF(AND($AX320&lt;&gt;"Yes",$AX320&lt;&gt;"N/A"),"Battery, ","")&amp;IF(AND($BE320&lt;&gt;"Yes",$BE320&lt;&gt;"N/A"),"Firmware Download, ","")&amp;IF(AND(OR($BE320="Yes",$BE320="N/A"),$BF320&lt;&gt;"Yes",$BF320&lt;&gt;"N/A"),"Firmware Install, ","")&amp;IF(AND($BJ320&lt;&gt;"Yes",$BJ320&lt;&gt;"N/A"),"Device ID, ","")&amp;IF(AND($BK320&lt;&gt;"Yes",$BK320&lt;&gt;"N/A"),"Epic Beans Relay, ",""))-2)))</f>
      </c>
      <c r="BM320">
        <f>IF($T320="","",IF($BL320="","Yes","Blocked"))</f>
      </c>
      <c r="BP320">
        <f>IF($BO320="","",IFERROR(VLOOKUP($BO320,'01_Warehouse_Ledger'!$A:$N,4,FALSE),""))</f>
      </c>
      <c r="BQ320">
        <f>IF($BO320="","",IFERROR(VLOOKUP($BO320,'01_Warehouse_Ledger'!$A:$N,5,FALSE),""))</f>
      </c>
      <c r="BR320">
        <f>IF($BO320="","",IFERROR(VLOOKUP($BO320,'01_Warehouse_Ledger'!$A:$N,13,FALSE),""))</f>
      </c>
    </row>
    <row r="321">
      <c r="D321">
        <f>IF($B321&lt;&gt;"Yes","",IF($C321="No","Yes",IF($C321="Yes","No","")))</f>
      </c>
      <c r="E321">
        <f>IF($A321="","",IF($A321="Neuron",IF(OR(AND($S321&lt;&gt;"",LOWER(TRIM($S321))&lt;&gt;"n/a",COUNTIF($S$2:$S$532,$S321)&gt;1),AND($T321&lt;&gt;"",LOWER(TRIM($T321))&lt;&gt;"n/a",COUNTIF($T$2:$T$532,$T321)&gt;1),AND($W321&lt;&gt;"",LOWER(TRIM($W321))&lt;&gt;"n/a",COUNTIF($W$2:$W$532,$W321)&gt;1)),"Yes","No"),IF($A321="Cybernet",IF(OR(AND($Y321&lt;&gt;"",LOWER(TRIM($Y321))&lt;&gt;"n/a",COUNTIF($Y$2:$Y$532,$Y321)&gt;1),AND($Z321&lt;&gt;"",LOWER(TRIM($Z321))&lt;&gt;"n/a",COUNTIF($Z$2:$Z$532,$Z321)&gt;1)),"Yes","No"),IF(AND($AL321&lt;&gt;"",LOWER(TRIM($AL321))&lt;&gt;"n/a",COUNTIF($AL$2:$AL$532,$AL321)&gt;1),"Yes","No"))))</f>
      </c>
      <c r="F321">
        <f>IF($B321&lt;&gt;"Yes","",
IF($A321="Neuron",
IF(OR(
AND($S321&lt;&gt;"",LOWER(TRIM($S321))&lt;&gt;"n/a",COUNTIFS($B$2:$B$532,"Yes",$A$2:$A$532,"Neuron",$S$2:$S$532,$S321)&gt;1),
AND($T321&lt;&gt;"",LOWER(TRIM($T321))&lt;&gt;"n/a",COUNTIFS($B$2:$B$532,"Yes",$A$2:$A$532,"Neuron",$T$2:$T$532,$T321)&gt;1),
AND($W321&lt;&gt;"",LOWER(TRIM($W321))&lt;&gt;"n/a",COUNTIFS($B$2:$B$532,"Yes",$A$2:$A$532,"Neuron",$W$2:$W$532,$W321)&gt;1)
),"Yes","No"),
IF($A321="Cybernet",
IF(OR(
AND($Y321&lt;&gt;"",LOWER(TRIM($Y321))&lt;&gt;"n/a",COUNTIFS($B$2:$B$532,"Yes",$A$2:$A$532,"Cybernet",$Y$2:$Y$532,$Y321)&gt;1),
AND($Z321&lt;&gt;"",LOWER(TRIM($Z321))&lt;&gt;"n/a",COUNTIFS($B$2:$B$532,"Yes",$A$2:$A$532,"Cybernet",$Z$2:$Z$532,$Z321)&gt;1)
),"Yes","No"),
IF(AND($AL321&lt;&gt;"",LOWER(TRIM($AL321))&lt;&gt;"n/a"),
IF(COUNTIFS($B$2:$B$532,"Yes",$A$2:$A$532,$A321,$AL$2:$AL$532,$AL321)&gt;1,"Yes","No"),
"No")
)
)
)</f>
      </c>
      <c r="BL321">
        <f>IF($T321="","",IF((IF(AND($AW321&lt;&gt;"Yes",$AW321&lt;&gt;"N/A"),"Power Cable, ","")&amp;IF(AND($AX321&lt;&gt;"Yes",$AX321&lt;&gt;"N/A"),"Battery, ","")&amp;IF(AND($BE321&lt;&gt;"Yes",$BE321&lt;&gt;"N/A"),"Firmware Download, ","")&amp;IF(AND(OR($BE321="Yes",$BE321="N/A"),$BF321&lt;&gt;"Yes",$BF321&lt;&gt;"N/A"),"Firmware Install, ","")&amp;IF(AND($BJ321&lt;&gt;"Yes",$BJ321&lt;&gt;"N/A"),"Device ID, ","")&amp;IF(AND($BK321&lt;&gt;"Yes",$BK321&lt;&gt;"N/A"),"Epic Beans Relay, ",""))="","",LEFT(IF(AND($AW321&lt;&gt;"Yes",$AW321&lt;&gt;"N/A"),"Power Cable, ","")&amp;IF(AND($AX321&lt;&gt;"Yes",$AX321&lt;&gt;"N/A"),"Battery, ","")&amp;IF(AND($BE321&lt;&gt;"Yes",$BE321&lt;&gt;"N/A"),"Firmware Download, ","")&amp;IF(AND(OR($BE321="Yes",$BE321="N/A"),$BF321&lt;&gt;"Yes",$BF321&lt;&gt;"N/A"),"Firmware Install, ","")&amp;IF(AND($BJ321&lt;&gt;"Yes",$BJ321&lt;&gt;"N/A"),"Device ID, ","")&amp;IF(AND($BK321&lt;&gt;"Yes",$BK321&lt;&gt;"N/A"),"Epic Beans Relay, ",""),LEN(IF(AND($AW321&lt;&gt;"Yes",$AW321&lt;&gt;"N/A"),"Power Cable, ","")&amp;IF(AND($AX321&lt;&gt;"Yes",$AX321&lt;&gt;"N/A"),"Battery, ","")&amp;IF(AND($BE321&lt;&gt;"Yes",$BE321&lt;&gt;"N/A"),"Firmware Download, ","")&amp;IF(AND(OR($BE321="Yes",$BE321="N/A"),$BF321&lt;&gt;"Yes",$BF321&lt;&gt;"N/A"),"Firmware Install, ","")&amp;IF(AND($BJ321&lt;&gt;"Yes",$BJ321&lt;&gt;"N/A"),"Device ID, ","")&amp;IF(AND($BK321&lt;&gt;"Yes",$BK321&lt;&gt;"N/A"),"Epic Beans Relay, ",""))-2)))</f>
      </c>
      <c r="BM321">
        <f>IF($T321="","",IF($BL321="","Yes","Blocked"))</f>
      </c>
      <c r="BP321">
        <f>IF($BO321="","",IFERROR(VLOOKUP($BO321,'01_Warehouse_Ledger'!$A:$N,4,FALSE),""))</f>
      </c>
      <c r="BQ321">
        <f>IF($BO321="","",IFERROR(VLOOKUP($BO321,'01_Warehouse_Ledger'!$A:$N,5,FALSE),""))</f>
      </c>
      <c r="BR321">
        <f>IF($BO321="","",IFERROR(VLOOKUP($BO321,'01_Warehouse_Ledger'!$A:$N,13,FALSE),""))</f>
      </c>
    </row>
    <row r="322">
      <c r="D322">
        <f>IF($B322&lt;&gt;"Yes","",IF($C322="No","Yes",IF($C322="Yes","No","")))</f>
      </c>
      <c r="E322">
        <f>IF($A322="","",IF($A322="Neuron",IF(OR(AND($S322&lt;&gt;"",LOWER(TRIM($S322))&lt;&gt;"n/a",COUNTIF($S$2:$S$532,$S322)&gt;1),AND($T322&lt;&gt;"",LOWER(TRIM($T322))&lt;&gt;"n/a",COUNTIF($T$2:$T$532,$T322)&gt;1),AND($W322&lt;&gt;"",LOWER(TRIM($W322))&lt;&gt;"n/a",COUNTIF($W$2:$W$532,$W322)&gt;1)),"Yes","No"),IF($A322="Cybernet",IF(OR(AND($Y322&lt;&gt;"",LOWER(TRIM($Y322))&lt;&gt;"n/a",COUNTIF($Y$2:$Y$532,$Y322)&gt;1),AND($Z322&lt;&gt;"",LOWER(TRIM($Z322))&lt;&gt;"n/a",COUNTIF($Z$2:$Z$532,$Z322)&gt;1)),"Yes","No"),IF(AND($AL322&lt;&gt;"",LOWER(TRIM($AL322))&lt;&gt;"n/a",COUNTIF($AL$2:$AL$532,$AL322)&gt;1),"Yes","No"))))</f>
      </c>
      <c r="F322">
        <f>IF($B322&lt;&gt;"Yes","",
IF($A322="Neuron",
IF(OR(
AND($S322&lt;&gt;"",LOWER(TRIM($S322))&lt;&gt;"n/a",COUNTIFS($B$2:$B$532,"Yes",$A$2:$A$532,"Neuron",$S$2:$S$532,$S322)&gt;1),
AND($T322&lt;&gt;"",LOWER(TRIM($T322))&lt;&gt;"n/a",COUNTIFS($B$2:$B$532,"Yes",$A$2:$A$532,"Neuron",$T$2:$T$532,$T322)&gt;1),
AND($W322&lt;&gt;"",LOWER(TRIM($W322))&lt;&gt;"n/a",COUNTIFS($B$2:$B$532,"Yes",$A$2:$A$532,"Neuron",$W$2:$W$532,$W322)&gt;1)
),"Yes","No"),
IF($A322="Cybernet",
IF(OR(
AND($Y322&lt;&gt;"",LOWER(TRIM($Y322))&lt;&gt;"n/a",COUNTIFS($B$2:$B$532,"Yes",$A$2:$A$532,"Cybernet",$Y$2:$Y$532,$Y322)&gt;1),
AND($Z322&lt;&gt;"",LOWER(TRIM($Z322))&lt;&gt;"n/a",COUNTIFS($B$2:$B$532,"Yes",$A$2:$A$532,"Cybernet",$Z$2:$Z$532,$Z322)&gt;1)
),"Yes","No"),
IF(AND($AL322&lt;&gt;"",LOWER(TRIM($AL322))&lt;&gt;"n/a"),
IF(COUNTIFS($B$2:$B$532,"Yes",$A$2:$A$532,$A322,$AL$2:$AL$532,$AL322)&gt;1,"Yes","No"),
"No")
)
)
)</f>
      </c>
      <c r="BL322">
        <f>IF($T322="","",IF((IF(AND($AW322&lt;&gt;"Yes",$AW322&lt;&gt;"N/A"),"Power Cable, ","")&amp;IF(AND($AX322&lt;&gt;"Yes",$AX322&lt;&gt;"N/A"),"Battery, ","")&amp;IF(AND($BE322&lt;&gt;"Yes",$BE322&lt;&gt;"N/A"),"Firmware Download, ","")&amp;IF(AND(OR($BE322="Yes",$BE322="N/A"),$BF322&lt;&gt;"Yes",$BF322&lt;&gt;"N/A"),"Firmware Install, ","")&amp;IF(AND($BJ322&lt;&gt;"Yes",$BJ322&lt;&gt;"N/A"),"Device ID, ","")&amp;IF(AND($BK322&lt;&gt;"Yes",$BK322&lt;&gt;"N/A"),"Epic Beans Relay, ",""))="","",LEFT(IF(AND($AW322&lt;&gt;"Yes",$AW322&lt;&gt;"N/A"),"Power Cable, ","")&amp;IF(AND($AX322&lt;&gt;"Yes",$AX322&lt;&gt;"N/A"),"Battery, ","")&amp;IF(AND($BE322&lt;&gt;"Yes",$BE322&lt;&gt;"N/A"),"Firmware Download, ","")&amp;IF(AND(OR($BE322="Yes",$BE322="N/A"),$BF322&lt;&gt;"Yes",$BF322&lt;&gt;"N/A"),"Firmware Install, ","")&amp;IF(AND($BJ322&lt;&gt;"Yes",$BJ322&lt;&gt;"N/A"),"Device ID, ","")&amp;IF(AND($BK322&lt;&gt;"Yes",$BK322&lt;&gt;"N/A"),"Epic Beans Relay, ",""),LEN(IF(AND($AW322&lt;&gt;"Yes",$AW322&lt;&gt;"N/A"),"Power Cable, ","")&amp;IF(AND($AX322&lt;&gt;"Yes",$AX322&lt;&gt;"N/A"),"Battery, ","")&amp;IF(AND($BE322&lt;&gt;"Yes",$BE322&lt;&gt;"N/A"),"Firmware Download, ","")&amp;IF(AND(OR($BE322="Yes",$BE322="N/A"),$BF322&lt;&gt;"Yes",$BF322&lt;&gt;"N/A"),"Firmware Install, ","")&amp;IF(AND($BJ322&lt;&gt;"Yes",$BJ322&lt;&gt;"N/A"),"Device ID, ","")&amp;IF(AND($BK322&lt;&gt;"Yes",$BK322&lt;&gt;"N/A"),"Epic Beans Relay, ",""))-2)))</f>
      </c>
      <c r="BM322">
        <f>IF($T322="","",IF($BL322="","Yes","Blocked"))</f>
      </c>
      <c r="BP322">
        <f>IF($BO322="","",IFERROR(VLOOKUP($BO322,'01_Warehouse_Ledger'!$A:$N,4,FALSE),""))</f>
      </c>
      <c r="BQ322">
        <f>IF($BO322="","",IFERROR(VLOOKUP($BO322,'01_Warehouse_Ledger'!$A:$N,5,FALSE),""))</f>
      </c>
      <c r="BR322">
        <f>IF($BO322="","",IFERROR(VLOOKUP($BO322,'01_Warehouse_Ledger'!$A:$N,13,FALSE),""))</f>
      </c>
    </row>
    <row r="323">
      <c r="D323">
        <f>IF($B323&lt;&gt;"Yes","",IF($C323="No","Yes",IF($C323="Yes","No","")))</f>
      </c>
      <c r="E323">
        <f>IF($A323="","",IF($A323="Neuron",IF(OR(AND($S323&lt;&gt;"",LOWER(TRIM($S323))&lt;&gt;"n/a",COUNTIF($S$2:$S$532,$S323)&gt;1),AND($T323&lt;&gt;"",LOWER(TRIM($T323))&lt;&gt;"n/a",COUNTIF($T$2:$T$532,$T323)&gt;1),AND($W323&lt;&gt;"",LOWER(TRIM($W323))&lt;&gt;"n/a",COUNTIF($W$2:$W$532,$W323)&gt;1)),"Yes","No"),IF($A323="Cybernet",IF(OR(AND($Y323&lt;&gt;"",LOWER(TRIM($Y323))&lt;&gt;"n/a",COUNTIF($Y$2:$Y$532,$Y323)&gt;1),AND($Z323&lt;&gt;"",LOWER(TRIM($Z323))&lt;&gt;"n/a",COUNTIF($Z$2:$Z$532,$Z323)&gt;1)),"Yes","No"),IF(AND($AL323&lt;&gt;"",LOWER(TRIM($AL323))&lt;&gt;"n/a",COUNTIF($AL$2:$AL$532,$AL323)&gt;1),"Yes","No"))))</f>
      </c>
      <c r="F323">
        <f>IF($B323&lt;&gt;"Yes","",
IF($A323="Neuron",
IF(OR(
AND($S323&lt;&gt;"",LOWER(TRIM($S323))&lt;&gt;"n/a",COUNTIFS($B$2:$B$532,"Yes",$A$2:$A$532,"Neuron",$S$2:$S$532,$S323)&gt;1),
AND($T323&lt;&gt;"",LOWER(TRIM($T323))&lt;&gt;"n/a",COUNTIFS($B$2:$B$532,"Yes",$A$2:$A$532,"Neuron",$T$2:$T$532,$T323)&gt;1),
AND($W323&lt;&gt;"",LOWER(TRIM($W323))&lt;&gt;"n/a",COUNTIFS($B$2:$B$532,"Yes",$A$2:$A$532,"Neuron",$W$2:$W$532,$W323)&gt;1)
),"Yes","No"),
IF($A323="Cybernet",
IF(OR(
AND($Y323&lt;&gt;"",LOWER(TRIM($Y323))&lt;&gt;"n/a",COUNTIFS($B$2:$B$532,"Yes",$A$2:$A$532,"Cybernet",$Y$2:$Y$532,$Y323)&gt;1),
AND($Z323&lt;&gt;"",LOWER(TRIM($Z323))&lt;&gt;"n/a",COUNTIFS($B$2:$B$532,"Yes",$A$2:$A$532,"Cybernet",$Z$2:$Z$532,$Z323)&gt;1)
),"Yes","No"),
IF(AND($AL323&lt;&gt;"",LOWER(TRIM($AL323))&lt;&gt;"n/a"),
IF(COUNTIFS($B$2:$B$532,"Yes",$A$2:$A$532,$A323,$AL$2:$AL$532,$AL323)&gt;1,"Yes","No"),
"No")
)
)
)</f>
      </c>
      <c r="BL323">
        <f>IF($T323="","",IF((IF(AND($AW323&lt;&gt;"Yes",$AW323&lt;&gt;"N/A"),"Power Cable, ","")&amp;IF(AND($AX323&lt;&gt;"Yes",$AX323&lt;&gt;"N/A"),"Battery, ","")&amp;IF(AND($BE323&lt;&gt;"Yes",$BE323&lt;&gt;"N/A"),"Firmware Download, ","")&amp;IF(AND(OR($BE323="Yes",$BE323="N/A"),$BF323&lt;&gt;"Yes",$BF323&lt;&gt;"N/A"),"Firmware Install, ","")&amp;IF(AND($BJ323&lt;&gt;"Yes",$BJ323&lt;&gt;"N/A"),"Device ID, ","")&amp;IF(AND($BK323&lt;&gt;"Yes",$BK323&lt;&gt;"N/A"),"Epic Beans Relay, ",""))="","",LEFT(IF(AND($AW323&lt;&gt;"Yes",$AW323&lt;&gt;"N/A"),"Power Cable, ","")&amp;IF(AND($AX323&lt;&gt;"Yes",$AX323&lt;&gt;"N/A"),"Battery, ","")&amp;IF(AND($BE323&lt;&gt;"Yes",$BE323&lt;&gt;"N/A"),"Firmware Download, ","")&amp;IF(AND(OR($BE323="Yes",$BE323="N/A"),$BF323&lt;&gt;"Yes",$BF323&lt;&gt;"N/A"),"Firmware Install, ","")&amp;IF(AND($BJ323&lt;&gt;"Yes",$BJ323&lt;&gt;"N/A"),"Device ID, ","")&amp;IF(AND($BK323&lt;&gt;"Yes",$BK323&lt;&gt;"N/A"),"Epic Beans Relay, ",""),LEN(IF(AND($AW323&lt;&gt;"Yes",$AW323&lt;&gt;"N/A"),"Power Cable, ","")&amp;IF(AND($AX323&lt;&gt;"Yes",$AX323&lt;&gt;"N/A"),"Battery, ","")&amp;IF(AND($BE323&lt;&gt;"Yes",$BE323&lt;&gt;"N/A"),"Firmware Download, ","")&amp;IF(AND(OR($BE323="Yes",$BE323="N/A"),$BF323&lt;&gt;"Yes",$BF323&lt;&gt;"N/A"),"Firmware Install, ","")&amp;IF(AND($BJ323&lt;&gt;"Yes",$BJ323&lt;&gt;"N/A"),"Device ID, ","")&amp;IF(AND($BK323&lt;&gt;"Yes",$BK323&lt;&gt;"N/A"),"Epic Beans Relay, ",""))-2)))</f>
      </c>
      <c r="BM323">
        <f>IF($T323="","",IF($BL323="","Yes","Blocked"))</f>
      </c>
      <c r="BP323">
        <f>IF($BO323="","",IFERROR(VLOOKUP($BO323,'01_Warehouse_Ledger'!$A:$N,4,FALSE),""))</f>
      </c>
      <c r="BQ323">
        <f>IF($BO323="","",IFERROR(VLOOKUP($BO323,'01_Warehouse_Ledger'!$A:$N,5,FALSE),""))</f>
      </c>
      <c r="BR323">
        <f>IF($BO323="","",IFERROR(VLOOKUP($BO323,'01_Warehouse_Ledger'!$A:$N,13,FALSE),""))</f>
      </c>
    </row>
    <row r="324">
      <c r="D324">
        <f>IF($B324&lt;&gt;"Yes","",IF($C324="No","Yes",IF($C324="Yes","No","")))</f>
      </c>
      <c r="E324">
        <f>IF($A324="","",IF($A324="Neuron",IF(OR(AND($S324&lt;&gt;"",LOWER(TRIM($S324))&lt;&gt;"n/a",COUNTIF($S$2:$S$532,$S324)&gt;1),AND($T324&lt;&gt;"",LOWER(TRIM($T324))&lt;&gt;"n/a",COUNTIF($T$2:$T$532,$T324)&gt;1),AND($W324&lt;&gt;"",LOWER(TRIM($W324))&lt;&gt;"n/a",COUNTIF($W$2:$W$532,$W324)&gt;1)),"Yes","No"),IF($A324="Cybernet",IF(OR(AND($Y324&lt;&gt;"",LOWER(TRIM($Y324))&lt;&gt;"n/a",COUNTIF($Y$2:$Y$532,$Y324)&gt;1),AND($Z324&lt;&gt;"",LOWER(TRIM($Z324))&lt;&gt;"n/a",COUNTIF($Z$2:$Z$532,$Z324)&gt;1)),"Yes","No"),IF(AND($AL324&lt;&gt;"",LOWER(TRIM($AL324))&lt;&gt;"n/a",COUNTIF($AL$2:$AL$532,$AL324)&gt;1),"Yes","No"))))</f>
      </c>
      <c r="F324">
        <f>IF($B324&lt;&gt;"Yes","",
IF($A324="Neuron",
IF(OR(
AND($S324&lt;&gt;"",LOWER(TRIM($S324))&lt;&gt;"n/a",COUNTIFS($B$2:$B$532,"Yes",$A$2:$A$532,"Neuron",$S$2:$S$532,$S324)&gt;1),
AND($T324&lt;&gt;"",LOWER(TRIM($T324))&lt;&gt;"n/a",COUNTIFS($B$2:$B$532,"Yes",$A$2:$A$532,"Neuron",$T$2:$T$532,$T324)&gt;1),
AND($W324&lt;&gt;"",LOWER(TRIM($W324))&lt;&gt;"n/a",COUNTIFS($B$2:$B$532,"Yes",$A$2:$A$532,"Neuron",$W$2:$W$532,$W324)&gt;1)
),"Yes","No"),
IF($A324="Cybernet",
IF(OR(
AND($Y324&lt;&gt;"",LOWER(TRIM($Y324))&lt;&gt;"n/a",COUNTIFS($B$2:$B$532,"Yes",$A$2:$A$532,"Cybernet",$Y$2:$Y$532,$Y324)&gt;1),
AND($Z324&lt;&gt;"",LOWER(TRIM($Z324))&lt;&gt;"n/a",COUNTIFS($B$2:$B$532,"Yes",$A$2:$A$532,"Cybernet",$Z$2:$Z$532,$Z324)&gt;1)
),"Yes","No"),
IF(AND($AL324&lt;&gt;"",LOWER(TRIM($AL324))&lt;&gt;"n/a"),
IF(COUNTIFS($B$2:$B$532,"Yes",$A$2:$A$532,$A324,$AL$2:$AL$532,$AL324)&gt;1,"Yes","No"),
"No")
)
)
)</f>
      </c>
      <c r="BL324">
        <f>IF($T324="","",IF((IF(AND($AW324&lt;&gt;"Yes",$AW324&lt;&gt;"N/A"),"Power Cable, ","")&amp;IF(AND($AX324&lt;&gt;"Yes",$AX324&lt;&gt;"N/A"),"Battery, ","")&amp;IF(AND($BE324&lt;&gt;"Yes",$BE324&lt;&gt;"N/A"),"Firmware Download, ","")&amp;IF(AND(OR($BE324="Yes",$BE324="N/A"),$BF324&lt;&gt;"Yes",$BF324&lt;&gt;"N/A"),"Firmware Install, ","")&amp;IF(AND($BJ324&lt;&gt;"Yes",$BJ324&lt;&gt;"N/A"),"Device ID, ","")&amp;IF(AND($BK324&lt;&gt;"Yes",$BK324&lt;&gt;"N/A"),"Epic Beans Relay, ",""))="","",LEFT(IF(AND($AW324&lt;&gt;"Yes",$AW324&lt;&gt;"N/A"),"Power Cable, ","")&amp;IF(AND($AX324&lt;&gt;"Yes",$AX324&lt;&gt;"N/A"),"Battery, ","")&amp;IF(AND($BE324&lt;&gt;"Yes",$BE324&lt;&gt;"N/A"),"Firmware Download, ","")&amp;IF(AND(OR($BE324="Yes",$BE324="N/A"),$BF324&lt;&gt;"Yes",$BF324&lt;&gt;"N/A"),"Firmware Install, ","")&amp;IF(AND($BJ324&lt;&gt;"Yes",$BJ324&lt;&gt;"N/A"),"Device ID, ","")&amp;IF(AND($BK324&lt;&gt;"Yes",$BK324&lt;&gt;"N/A"),"Epic Beans Relay, ",""),LEN(IF(AND($AW324&lt;&gt;"Yes",$AW324&lt;&gt;"N/A"),"Power Cable, ","")&amp;IF(AND($AX324&lt;&gt;"Yes",$AX324&lt;&gt;"N/A"),"Battery, ","")&amp;IF(AND($BE324&lt;&gt;"Yes",$BE324&lt;&gt;"N/A"),"Firmware Download, ","")&amp;IF(AND(OR($BE324="Yes",$BE324="N/A"),$BF324&lt;&gt;"Yes",$BF324&lt;&gt;"N/A"),"Firmware Install, ","")&amp;IF(AND($BJ324&lt;&gt;"Yes",$BJ324&lt;&gt;"N/A"),"Device ID, ","")&amp;IF(AND($BK324&lt;&gt;"Yes",$BK324&lt;&gt;"N/A"),"Epic Beans Relay, ",""))-2)))</f>
      </c>
      <c r="BM324">
        <f>IF($T324="","",IF($BL324="","Yes","Blocked"))</f>
      </c>
      <c r="BP324">
        <f>IF($BO324="","",IFERROR(VLOOKUP($BO324,'01_Warehouse_Ledger'!$A:$N,4,FALSE),""))</f>
      </c>
      <c r="BQ324">
        <f>IF($BO324="","",IFERROR(VLOOKUP($BO324,'01_Warehouse_Ledger'!$A:$N,5,FALSE),""))</f>
      </c>
      <c r="BR324">
        <f>IF($BO324="","",IFERROR(VLOOKUP($BO324,'01_Warehouse_Ledger'!$A:$N,13,FALSE),""))</f>
      </c>
    </row>
    <row r="325">
      <c r="D325">
        <f>IF($B325&lt;&gt;"Yes","",IF($C325="No","Yes",IF($C325="Yes","No","")))</f>
      </c>
      <c r="E325">
        <f>IF($A325="","",IF($A325="Neuron",IF(OR(AND($S325&lt;&gt;"",LOWER(TRIM($S325))&lt;&gt;"n/a",COUNTIF($S$2:$S$532,$S325)&gt;1),AND($T325&lt;&gt;"",LOWER(TRIM($T325))&lt;&gt;"n/a",COUNTIF($T$2:$T$532,$T325)&gt;1),AND($W325&lt;&gt;"",LOWER(TRIM($W325))&lt;&gt;"n/a",COUNTIF($W$2:$W$532,$W325)&gt;1)),"Yes","No"),IF($A325="Cybernet",IF(OR(AND($Y325&lt;&gt;"",LOWER(TRIM($Y325))&lt;&gt;"n/a",COUNTIF($Y$2:$Y$532,$Y325)&gt;1),AND($Z325&lt;&gt;"",LOWER(TRIM($Z325))&lt;&gt;"n/a",COUNTIF($Z$2:$Z$532,$Z325)&gt;1)),"Yes","No"),IF(AND($AL325&lt;&gt;"",LOWER(TRIM($AL325))&lt;&gt;"n/a",COUNTIF($AL$2:$AL$532,$AL325)&gt;1),"Yes","No"))))</f>
      </c>
      <c r="F325">
        <f>IF($B325&lt;&gt;"Yes","",
IF($A325="Neuron",
IF(OR(
AND($S325&lt;&gt;"",LOWER(TRIM($S325))&lt;&gt;"n/a",COUNTIFS($B$2:$B$532,"Yes",$A$2:$A$532,"Neuron",$S$2:$S$532,$S325)&gt;1),
AND($T325&lt;&gt;"",LOWER(TRIM($T325))&lt;&gt;"n/a",COUNTIFS($B$2:$B$532,"Yes",$A$2:$A$532,"Neuron",$T$2:$T$532,$T325)&gt;1),
AND($W325&lt;&gt;"",LOWER(TRIM($W325))&lt;&gt;"n/a",COUNTIFS($B$2:$B$532,"Yes",$A$2:$A$532,"Neuron",$W$2:$W$532,$W325)&gt;1)
),"Yes","No"),
IF($A325="Cybernet",
IF(OR(
AND($Y325&lt;&gt;"",LOWER(TRIM($Y325))&lt;&gt;"n/a",COUNTIFS($B$2:$B$532,"Yes",$A$2:$A$532,"Cybernet",$Y$2:$Y$532,$Y325)&gt;1),
AND($Z325&lt;&gt;"",LOWER(TRIM($Z325))&lt;&gt;"n/a",COUNTIFS($B$2:$B$532,"Yes",$A$2:$A$532,"Cybernet",$Z$2:$Z$532,$Z325)&gt;1)
),"Yes","No"),
IF(AND($AL325&lt;&gt;"",LOWER(TRIM($AL325))&lt;&gt;"n/a"),
IF(COUNTIFS($B$2:$B$532,"Yes",$A$2:$A$532,$A325,$AL$2:$AL$532,$AL325)&gt;1,"Yes","No"),
"No")
)
)
)</f>
      </c>
      <c r="BL325">
        <f>IF($T325="","",IF((IF(AND($AW325&lt;&gt;"Yes",$AW325&lt;&gt;"N/A"),"Power Cable, ","")&amp;IF(AND($AX325&lt;&gt;"Yes",$AX325&lt;&gt;"N/A"),"Battery, ","")&amp;IF(AND($BE325&lt;&gt;"Yes",$BE325&lt;&gt;"N/A"),"Firmware Download, ","")&amp;IF(AND(OR($BE325="Yes",$BE325="N/A"),$BF325&lt;&gt;"Yes",$BF325&lt;&gt;"N/A"),"Firmware Install, ","")&amp;IF(AND($BJ325&lt;&gt;"Yes",$BJ325&lt;&gt;"N/A"),"Device ID, ","")&amp;IF(AND($BK325&lt;&gt;"Yes",$BK325&lt;&gt;"N/A"),"Epic Beans Relay, ",""))="","",LEFT(IF(AND($AW325&lt;&gt;"Yes",$AW325&lt;&gt;"N/A"),"Power Cable, ","")&amp;IF(AND($AX325&lt;&gt;"Yes",$AX325&lt;&gt;"N/A"),"Battery, ","")&amp;IF(AND($BE325&lt;&gt;"Yes",$BE325&lt;&gt;"N/A"),"Firmware Download, ","")&amp;IF(AND(OR($BE325="Yes",$BE325="N/A"),$BF325&lt;&gt;"Yes",$BF325&lt;&gt;"N/A"),"Firmware Install, ","")&amp;IF(AND($BJ325&lt;&gt;"Yes",$BJ325&lt;&gt;"N/A"),"Device ID, ","")&amp;IF(AND($BK325&lt;&gt;"Yes",$BK325&lt;&gt;"N/A"),"Epic Beans Relay, ",""),LEN(IF(AND($AW325&lt;&gt;"Yes",$AW325&lt;&gt;"N/A"),"Power Cable, ","")&amp;IF(AND($AX325&lt;&gt;"Yes",$AX325&lt;&gt;"N/A"),"Battery, ","")&amp;IF(AND($BE325&lt;&gt;"Yes",$BE325&lt;&gt;"N/A"),"Firmware Download, ","")&amp;IF(AND(OR($BE325="Yes",$BE325="N/A"),$BF325&lt;&gt;"Yes",$BF325&lt;&gt;"N/A"),"Firmware Install, ","")&amp;IF(AND($BJ325&lt;&gt;"Yes",$BJ325&lt;&gt;"N/A"),"Device ID, ","")&amp;IF(AND($BK325&lt;&gt;"Yes",$BK325&lt;&gt;"N/A"),"Epic Beans Relay, ",""))-2)))</f>
      </c>
      <c r="BM325">
        <f>IF($T325="","",IF($BL325="","Yes","Blocked"))</f>
      </c>
      <c r="BP325">
        <f>IF($BO325="","",IFERROR(VLOOKUP($BO325,'01_Warehouse_Ledger'!$A:$N,4,FALSE),""))</f>
      </c>
      <c r="BQ325">
        <f>IF($BO325="","",IFERROR(VLOOKUP($BO325,'01_Warehouse_Ledger'!$A:$N,5,FALSE),""))</f>
      </c>
      <c r="BR325">
        <f>IF($BO325="","",IFERROR(VLOOKUP($BO325,'01_Warehouse_Ledger'!$A:$N,13,FALSE),""))</f>
      </c>
    </row>
    <row r="326">
      <c r="D326">
        <f>IF($B326&lt;&gt;"Yes","",IF($C326="No","Yes",IF($C326="Yes","No","")))</f>
      </c>
      <c r="E326">
        <f>IF($A326="","",IF($A326="Neuron",IF(OR(AND($S326&lt;&gt;"",LOWER(TRIM($S326))&lt;&gt;"n/a",COUNTIF($S$2:$S$532,$S326)&gt;1),AND($T326&lt;&gt;"",LOWER(TRIM($T326))&lt;&gt;"n/a",COUNTIF($T$2:$T$532,$T326)&gt;1),AND($W326&lt;&gt;"",LOWER(TRIM($W326))&lt;&gt;"n/a",COUNTIF($W$2:$W$532,$W326)&gt;1)),"Yes","No"),IF($A326="Cybernet",IF(OR(AND($Y326&lt;&gt;"",LOWER(TRIM($Y326))&lt;&gt;"n/a",COUNTIF($Y$2:$Y$532,$Y326)&gt;1),AND($Z326&lt;&gt;"",LOWER(TRIM($Z326))&lt;&gt;"n/a",COUNTIF($Z$2:$Z$532,$Z326)&gt;1)),"Yes","No"),IF(AND($AL326&lt;&gt;"",LOWER(TRIM($AL326))&lt;&gt;"n/a",COUNTIF($AL$2:$AL$532,$AL326)&gt;1),"Yes","No"))))</f>
      </c>
      <c r="F326">
        <f>IF($B326&lt;&gt;"Yes","",
IF($A326="Neuron",
IF(OR(
AND($S326&lt;&gt;"",LOWER(TRIM($S326))&lt;&gt;"n/a",COUNTIFS($B$2:$B$532,"Yes",$A$2:$A$532,"Neuron",$S$2:$S$532,$S326)&gt;1),
AND($T326&lt;&gt;"",LOWER(TRIM($T326))&lt;&gt;"n/a",COUNTIFS($B$2:$B$532,"Yes",$A$2:$A$532,"Neuron",$T$2:$T$532,$T326)&gt;1),
AND($W326&lt;&gt;"",LOWER(TRIM($W326))&lt;&gt;"n/a",COUNTIFS($B$2:$B$532,"Yes",$A$2:$A$532,"Neuron",$W$2:$W$532,$W326)&gt;1)
),"Yes","No"),
IF($A326="Cybernet",
IF(OR(
AND($Y326&lt;&gt;"",LOWER(TRIM($Y326))&lt;&gt;"n/a",COUNTIFS($B$2:$B$532,"Yes",$A$2:$A$532,"Cybernet",$Y$2:$Y$532,$Y326)&gt;1),
AND($Z326&lt;&gt;"",LOWER(TRIM($Z326))&lt;&gt;"n/a",COUNTIFS($B$2:$B$532,"Yes",$A$2:$A$532,"Cybernet",$Z$2:$Z$532,$Z326)&gt;1)
),"Yes","No"),
IF(AND($AL326&lt;&gt;"",LOWER(TRIM($AL326))&lt;&gt;"n/a"),
IF(COUNTIFS($B$2:$B$532,"Yes",$A$2:$A$532,$A326,$AL$2:$AL$532,$AL326)&gt;1,"Yes","No"),
"No")
)
)
)</f>
      </c>
      <c r="BL326">
        <f>IF($T326="","",IF((IF(AND($AW326&lt;&gt;"Yes",$AW326&lt;&gt;"N/A"),"Power Cable, ","")&amp;IF(AND($AX326&lt;&gt;"Yes",$AX326&lt;&gt;"N/A"),"Battery, ","")&amp;IF(AND($BE326&lt;&gt;"Yes",$BE326&lt;&gt;"N/A"),"Firmware Download, ","")&amp;IF(AND(OR($BE326="Yes",$BE326="N/A"),$BF326&lt;&gt;"Yes",$BF326&lt;&gt;"N/A"),"Firmware Install, ","")&amp;IF(AND($BJ326&lt;&gt;"Yes",$BJ326&lt;&gt;"N/A"),"Device ID, ","")&amp;IF(AND($BK326&lt;&gt;"Yes",$BK326&lt;&gt;"N/A"),"Epic Beans Relay, ",""))="","",LEFT(IF(AND($AW326&lt;&gt;"Yes",$AW326&lt;&gt;"N/A"),"Power Cable, ","")&amp;IF(AND($AX326&lt;&gt;"Yes",$AX326&lt;&gt;"N/A"),"Battery, ","")&amp;IF(AND($BE326&lt;&gt;"Yes",$BE326&lt;&gt;"N/A"),"Firmware Download, ","")&amp;IF(AND(OR($BE326="Yes",$BE326="N/A"),$BF326&lt;&gt;"Yes",$BF326&lt;&gt;"N/A"),"Firmware Install, ","")&amp;IF(AND($BJ326&lt;&gt;"Yes",$BJ326&lt;&gt;"N/A"),"Device ID, ","")&amp;IF(AND($BK326&lt;&gt;"Yes",$BK326&lt;&gt;"N/A"),"Epic Beans Relay, ",""),LEN(IF(AND($AW326&lt;&gt;"Yes",$AW326&lt;&gt;"N/A"),"Power Cable, ","")&amp;IF(AND($AX326&lt;&gt;"Yes",$AX326&lt;&gt;"N/A"),"Battery, ","")&amp;IF(AND($BE326&lt;&gt;"Yes",$BE326&lt;&gt;"N/A"),"Firmware Download, ","")&amp;IF(AND(OR($BE326="Yes",$BE326="N/A"),$BF326&lt;&gt;"Yes",$BF326&lt;&gt;"N/A"),"Firmware Install, ","")&amp;IF(AND($BJ326&lt;&gt;"Yes",$BJ326&lt;&gt;"N/A"),"Device ID, ","")&amp;IF(AND($BK326&lt;&gt;"Yes",$BK326&lt;&gt;"N/A"),"Epic Beans Relay, ",""))-2)))</f>
      </c>
      <c r="BM326">
        <f>IF($T326="","",IF($BL326="","Yes","Blocked"))</f>
      </c>
      <c r="BP326">
        <f>IF($BO326="","",IFERROR(VLOOKUP($BO326,'01_Warehouse_Ledger'!$A:$N,4,FALSE),""))</f>
      </c>
      <c r="BQ326">
        <f>IF($BO326="","",IFERROR(VLOOKUP($BO326,'01_Warehouse_Ledger'!$A:$N,5,FALSE),""))</f>
      </c>
      <c r="BR326">
        <f>IF($BO326="","",IFERROR(VLOOKUP($BO326,'01_Warehouse_Ledger'!$A:$N,13,FALSE),""))</f>
      </c>
    </row>
    <row r="327">
      <c r="D327">
        <f>IF($B327&lt;&gt;"Yes","",IF($C327="No","Yes",IF($C327="Yes","No","")))</f>
      </c>
      <c r="E327">
        <f>IF($A327="","",IF($A327="Neuron",IF(OR(AND($S327&lt;&gt;"",LOWER(TRIM($S327))&lt;&gt;"n/a",COUNTIF($S$2:$S$532,$S327)&gt;1),AND($T327&lt;&gt;"",LOWER(TRIM($T327))&lt;&gt;"n/a",COUNTIF($T$2:$T$532,$T327)&gt;1),AND($W327&lt;&gt;"",LOWER(TRIM($W327))&lt;&gt;"n/a",COUNTIF($W$2:$W$532,$W327)&gt;1)),"Yes","No"),IF($A327="Cybernet",IF(OR(AND($Y327&lt;&gt;"",LOWER(TRIM($Y327))&lt;&gt;"n/a",COUNTIF($Y$2:$Y$532,$Y327)&gt;1),AND($Z327&lt;&gt;"",LOWER(TRIM($Z327))&lt;&gt;"n/a",COUNTIF($Z$2:$Z$532,$Z327)&gt;1)),"Yes","No"),IF(AND($AL327&lt;&gt;"",LOWER(TRIM($AL327))&lt;&gt;"n/a",COUNTIF($AL$2:$AL$532,$AL327)&gt;1),"Yes","No"))))</f>
      </c>
      <c r="F327">
        <f>IF($B327&lt;&gt;"Yes","",
IF($A327="Neuron",
IF(OR(
AND($S327&lt;&gt;"",LOWER(TRIM($S327))&lt;&gt;"n/a",COUNTIFS($B$2:$B$532,"Yes",$A$2:$A$532,"Neuron",$S$2:$S$532,$S327)&gt;1),
AND($T327&lt;&gt;"",LOWER(TRIM($T327))&lt;&gt;"n/a",COUNTIFS($B$2:$B$532,"Yes",$A$2:$A$532,"Neuron",$T$2:$T$532,$T327)&gt;1),
AND($W327&lt;&gt;"",LOWER(TRIM($W327))&lt;&gt;"n/a",COUNTIFS($B$2:$B$532,"Yes",$A$2:$A$532,"Neuron",$W$2:$W$532,$W327)&gt;1)
),"Yes","No"),
IF($A327="Cybernet",
IF(OR(
AND($Y327&lt;&gt;"",LOWER(TRIM($Y327))&lt;&gt;"n/a",COUNTIFS($B$2:$B$532,"Yes",$A$2:$A$532,"Cybernet",$Y$2:$Y$532,$Y327)&gt;1),
AND($Z327&lt;&gt;"",LOWER(TRIM($Z327))&lt;&gt;"n/a",COUNTIFS($B$2:$B$532,"Yes",$A$2:$A$532,"Cybernet",$Z$2:$Z$532,$Z327)&gt;1)
),"Yes","No"),
IF(AND($AL327&lt;&gt;"",LOWER(TRIM($AL327))&lt;&gt;"n/a"),
IF(COUNTIFS($B$2:$B$532,"Yes",$A$2:$A$532,$A327,$AL$2:$AL$532,$AL327)&gt;1,"Yes","No"),
"No")
)
)
)</f>
      </c>
      <c r="BL327">
        <f>IF($T327="","",IF((IF(AND($AW327&lt;&gt;"Yes",$AW327&lt;&gt;"N/A"),"Power Cable, ","")&amp;IF(AND($AX327&lt;&gt;"Yes",$AX327&lt;&gt;"N/A"),"Battery, ","")&amp;IF(AND($BE327&lt;&gt;"Yes",$BE327&lt;&gt;"N/A"),"Firmware Download, ","")&amp;IF(AND(OR($BE327="Yes",$BE327="N/A"),$BF327&lt;&gt;"Yes",$BF327&lt;&gt;"N/A"),"Firmware Install, ","")&amp;IF(AND($BJ327&lt;&gt;"Yes",$BJ327&lt;&gt;"N/A"),"Device ID, ","")&amp;IF(AND($BK327&lt;&gt;"Yes",$BK327&lt;&gt;"N/A"),"Epic Beans Relay, ",""))="","",LEFT(IF(AND($AW327&lt;&gt;"Yes",$AW327&lt;&gt;"N/A"),"Power Cable, ","")&amp;IF(AND($AX327&lt;&gt;"Yes",$AX327&lt;&gt;"N/A"),"Battery, ","")&amp;IF(AND($BE327&lt;&gt;"Yes",$BE327&lt;&gt;"N/A"),"Firmware Download, ","")&amp;IF(AND(OR($BE327="Yes",$BE327="N/A"),$BF327&lt;&gt;"Yes",$BF327&lt;&gt;"N/A"),"Firmware Install, ","")&amp;IF(AND($BJ327&lt;&gt;"Yes",$BJ327&lt;&gt;"N/A"),"Device ID, ","")&amp;IF(AND($BK327&lt;&gt;"Yes",$BK327&lt;&gt;"N/A"),"Epic Beans Relay, ",""),LEN(IF(AND($AW327&lt;&gt;"Yes",$AW327&lt;&gt;"N/A"),"Power Cable, ","")&amp;IF(AND($AX327&lt;&gt;"Yes",$AX327&lt;&gt;"N/A"),"Battery, ","")&amp;IF(AND($BE327&lt;&gt;"Yes",$BE327&lt;&gt;"N/A"),"Firmware Download, ","")&amp;IF(AND(OR($BE327="Yes",$BE327="N/A"),$BF327&lt;&gt;"Yes",$BF327&lt;&gt;"N/A"),"Firmware Install, ","")&amp;IF(AND($BJ327&lt;&gt;"Yes",$BJ327&lt;&gt;"N/A"),"Device ID, ","")&amp;IF(AND($BK327&lt;&gt;"Yes",$BK327&lt;&gt;"N/A"),"Epic Beans Relay, ",""))-2)))</f>
      </c>
      <c r="BM327">
        <f>IF($T327="","",IF($BL327="","Yes","Blocked"))</f>
      </c>
      <c r="BP327">
        <f>IF($BO327="","",IFERROR(VLOOKUP($BO327,'01_Warehouse_Ledger'!$A:$N,4,FALSE),""))</f>
      </c>
      <c r="BQ327">
        <f>IF($BO327="","",IFERROR(VLOOKUP($BO327,'01_Warehouse_Ledger'!$A:$N,5,FALSE),""))</f>
      </c>
      <c r="BR327">
        <f>IF($BO327="","",IFERROR(VLOOKUP($BO327,'01_Warehouse_Ledger'!$A:$N,13,FALSE),""))</f>
      </c>
    </row>
    <row r="328">
      <c r="D328">
        <f>IF($B328&lt;&gt;"Yes","",IF($C328="No","Yes",IF($C328="Yes","No","")))</f>
      </c>
      <c r="E328">
        <f>IF($A328="","",IF($A328="Neuron",IF(OR(AND($S328&lt;&gt;"",LOWER(TRIM($S328))&lt;&gt;"n/a",COUNTIF($S$2:$S$532,$S328)&gt;1),AND($T328&lt;&gt;"",LOWER(TRIM($T328))&lt;&gt;"n/a",COUNTIF($T$2:$T$532,$T328)&gt;1),AND($W328&lt;&gt;"",LOWER(TRIM($W328))&lt;&gt;"n/a",COUNTIF($W$2:$W$532,$W328)&gt;1)),"Yes","No"),IF($A328="Cybernet",IF(OR(AND($Y328&lt;&gt;"",LOWER(TRIM($Y328))&lt;&gt;"n/a",COUNTIF($Y$2:$Y$532,$Y328)&gt;1),AND($Z328&lt;&gt;"",LOWER(TRIM($Z328))&lt;&gt;"n/a",COUNTIF($Z$2:$Z$532,$Z328)&gt;1)),"Yes","No"),IF(AND($AL328&lt;&gt;"",LOWER(TRIM($AL328))&lt;&gt;"n/a",COUNTIF($AL$2:$AL$532,$AL328)&gt;1),"Yes","No"))))</f>
      </c>
      <c r="F328">
        <f>IF($B328&lt;&gt;"Yes","",
IF($A328="Neuron",
IF(OR(
AND($S328&lt;&gt;"",LOWER(TRIM($S328))&lt;&gt;"n/a",COUNTIFS($B$2:$B$532,"Yes",$A$2:$A$532,"Neuron",$S$2:$S$532,$S328)&gt;1),
AND($T328&lt;&gt;"",LOWER(TRIM($T328))&lt;&gt;"n/a",COUNTIFS($B$2:$B$532,"Yes",$A$2:$A$532,"Neuron",$T$2:$T$532,$T328)&gt;1),
AND($W328&lt;&gt;"",LOWER(TRIM($W328))&lt;&gt;"n/a",COUNTIFS($B$2:$B$532,"Yes",$A$2:$A$532,"Neuron",$W$2:$W$532,$W328)&gt;1)
),"Yes","No"),
IF($A328="Cybernet",
IF(OR(
AND($Y328&lt;&gt;"",LOWER(TRIM($Y328))&lt;&gt;"n/a",COUNTIFS($B$2:$B$532,"Yes",$A$2:$A$532,"Cybernet",$Y$2:$Y$532,$Y328)&gt;1),
AND($Z328&lt;&gt;"",LOWER(TRIM($Z328))&lt;&gt;"n/a",COUNTIFS($B$2:$B$532,"Yes",$A$2:$A$532,"Cybernet",$Z$2:$Z$532,$Z328)&gt;1)
),"Yes","No"),
IF(AND($AL328&lt;&gt;"",LOWER(TRIM($AL328))&lt;&gt;"n/a"),
IF(COUNTIFS($B$2:$B$532,"Yes",$A$2:$A$532,$A328,$AL$2:$AL$532,$AL328)&gt;1,"Yes","No"),
"No")
)
)
)</f>
      </c>
      <c r="BL328">
        <f>IF($T328="","",IF((IF(AND($AW328&lt;&gt;"Yes",$AW328&lt;&gt;"N/A"),"Power Cable, ","")&amp;IF(AND($AX328&lt;&gt;"Yes",$AX328&lt;&gt;"N/A"),"Battery, ","")&amp;IF(AND($BE328&lt;&gt;"Yes",$BE328&lt;&gt;"N/A"),"Firmware Download, ","")&amp;IF(AND(OR($BE328="Yes",$BE328="N/A"),$BF328&lt;&gt;"Yes",$BF328&lt;&gt;"N/A"),"Firmware Install, ","")&amp;IF(AND($BJ328&lt;&gt;"Yes",$BJ328&lt;&gt;"N/A"),"Device ID, ","")&amp;IF(AND($BK328&lt;&gt;"Yes",$BK328&lt;&gt;"N/A"),"Epic Beans Relay, ",""))="","",LEFT(IF(AND($AW328&lt;&gt;"Yes",$AW328&lt;&gt;"N/A"),"Power Cable, ","")&amp;IF(AND($AX328&lt;&gt;"Yes",$AX328&lt;&gt;"N/A"),"Battery, ","")&amp;IF(AND($BE328&lt;&gt;"Yes",$BE328&lt;&gt;"N/A"),"Firmware Download, ","")&amp;IF(AND(OR($BE328="Yes",$BE328="N/A"),$BF328&lt;&gt;"Yes",$BF328&lt;&gt;"N/A"),"Firmware Install, ","")&amp;IF(AND($BJ328&lt;&gt;"Yes",$BJ328&lt;&gt;"N/A"),"Device ID, ","")&amp;IF(AND($BK328&lt;&gt;"Yes",$BK328&lt;&gt;"N/A"),"Epic Beans Relay, ",""),LEN(IF(AND($AW328&lt;&gt;"Yes",$AW328&lt;&gt;"N/A"),"Power Cable, ","")&amp;IF(AND($AX328&lt;&gt;"Yes",$AX328&lt;&gt;"N/A"),"Battery, ","")&amp;IF(AND($BE328&lt;&gt;"Yes",$BE328&lt;&gt;"N/A"),"Firmware Download, ","")&amp;IF(AND(OR($BE328="Yes",$BE328="N/A"),$BF328&lt;&gt;"Yes",$BF328&lt;&gt;"N/A"),"Firmware Install, ","")&amp;IF(AND($BJ328&lt;&gt;"Yes",$BJ328&lt;&gt;"N/A"),"Device ID, ","")&amp;IF(AND($BK328&lt;&gt;"Yes",$BK328&lt;&gt;"N/A"),"Epic Beans Relay, ",""))-2)))</f>
      </c>
      <c r="BM328">
        <f>IF($T328="","",IF($BL328="","Yes","Blocked"))</f>
      </c>
      <c r="BP328">
        <f>IF($BO328="","",IFERROR(VLOOKUP($BO328,'01_Warehouse_Ledger'!$A:$N,4,FALSE),""))</f>
      </c>
      <c r="BQ328">
        <f>IF($BO328="","",IFERROR(VLOOKUP($BO328,'01_Warehouse_Ledger'!$A:$N,5,FALSE),""))</f>
      </c>
      <c r="BR328">
        <f>IF($BO328="","",IFERROR(VLOOKUP($BO328,'01_Warehouse_Ledger'!$A:$N,13,FALSE),""))</f>
      </c>
    </row>
    <row r="329">
      <c r="D329">
        <f>IF($B329&lt;&gt;"Yes","",IF($C329="No","Yes",IF($C329="Yes","No","")))</f>
      </c>
      <c r="E329">
        <f>IF($A329="","",IF($A329="Neuron",IF(OR(AND($S329&lt;&gt;"",LOWER(TRIM($S329))&lt;&gt;"n/a",COUNTIF($S$2:$S$532,$S329)&gt;1),AND($T329&lt;&gt;"",LOWER(TRIM($T329))&lt;&gt;"n/a",COUNTIF($T$2:$T$532,$T329)&gt;1),AND($W329&lt;&gt;"",LOWER(TRIM($W329))&lt;&gt;"n/a",COUNTIF($W$2:$W$532,$W329)&gt;1)),"Yes","No"),IF($A329="Cybernet",IF(OR(AND($Y329&lt;&gt;"",LOWER(TRIM($Y329))&lt;&gt;"n/a",COUNTIF($Y$2:$Y$532,$Y329)&gt;1),AND($Z329&lt;&gt;"",LOWER(TRIM($Z329))&lt;&gt;"n/a",COUNTIF($Z$2:$Z$532,$Z329)&gt;1)),"Yes","No"),IF(AND($AL329&lt;&gt;"",LOWER(TRIM($AL329))&lt;&gt;"n/a",COUNTIF($AL$2:$AL$532,$AL329)&gt;1),"Yes","No"))))</f>
      </c>
      <c r="F329">
        <f>IF($B329&lt;&gt;"Yes","",
IF($A329="Neuron",
IF(OR(
AND($S329&lt;&gt;"",LOWER(TRIM($S329))&lt;&gt;"n/a",COUNTIFS($B$2:$B$532,"Yes",$A$2:$A$532,"Neuron",$S$2:$S$532,$S329)&gt;1),
AND($T329&lt;&gt;"",LOWER(TRIM($T329))&lt;&gt;"n/a",COUNTIFS($B$2:$B$532,"Yes",$A$2:$A$532,"Neuron",$T$2:$T$532,$T329)&gt;1),
AND($W329&lt;&gt;"",LOWER(TRIM($W329))&lt;&gt;"n/a",COUNTIFS($B$2:$B$532,"Yes",$A$2:$A$532,"Neuron",$W$2:$W$532,$W329)&gt;1)
),"Yes","No"),
IF($A329="Cybernet",
IF(OR(
AND($Y329&lt;&gt;"",LOWER(TRIM($Y329))&lt;&gt;"n/a",COUNTIFS($B$2:$B$532,"Yes",$A$2:$A$532,"Cybernet",$Y$2:$Y$532,$Y329)&gt;1),
AND($Z329&lt;&gt;"",LOWER(TRIM($Z329))&lt;&gt;"n/a",COUNTIFS($B$2:$B$532,"Yes",$A$2:$A$532,"Cybernet",$Z$2:$Z$532,$Z329)&gt;1)
),"Yes","No"),
IF(AND($AL329&lt;&gt;"",LOWER(TRIM($AL329))&lt;&gt;"n/a"),
IF(COUNTIFS($B$2:$B$532,"Yes",$A$2:$A$532,$A329,$AL$2:$AL$532,$AL329)&gt;1,"Yes","No"),
"No")
)
)
)</f>
      </c>
      <c r="BL329">
        <f>IF($T329="","",IF((IF(AND($AW329&lt;&gt;"Yes",$AW329&lt;&gt;"N/A"),"Power Cable, ","")&amp;IF(AND($AX329&lt;&gt;"Yes",$AX329&lt;&gt;"N/A"),"Battery, ","")&amp;IF(AND($BE329&lt;&gt;"Yes",$BE329&lt;&gt;"N/A"),"Firmware Download, ","")&amp;IF(AND(OR($BE329="Yes",$BE329="N/A"),$BF329&lt;&gt;"Yes",$BF329&lt;&gt;"N/A"),"Firmware Install, ","")&amp;IF(AND($BJ329&lt;&gt;"Yes",$BJ329&lt;&gt;"N/A"),"Device ID, ","")&amp;IF(AND($BK329&lt;&gt;"Yes",$BK329&lt;&gt;"N/A"),"Epic Beans Relay, ",""))="","",LEFT(IF(AND($AW329&lt;&gt;"Yes",$AW329&lt;&gt;"N/A"),"Power Cable, ","")&amp;IF(AND($AX329&lt;&gt;"Yes",$AX329&lt;&gt;"N/A"),"Battery, ","")&amp;IF(AND($BE329&lt;&gt;"Yes",$BE329&lt;&gt;"N/A"),"Firmware Download, ","")&amp;IF(AND(OR($BE329="Yes",$BE329="N/A"),$BF329&lt;&gt;"Yes",$BF329&lt;&gt;"N/A"),"Firmware Install, ","")&amp;IF(AND($BJ329&lt;&gt;"Yes",$BJ329&lt;&gt;"N/A"),"Device ID, ","")&amp;IF(AND($BK329&lt;&gt;"Yes",$BK329&lt;&gt;"N/A"),"Epic Beans Relay, ",""),LEN(IF(AND($AW329&lt;&gt;"Yes",$AW329&lt;&gt;"N/A"),"Power Cable, ","")&amp;IF(AND($AX329&lt;&gt;"Yes",$AX329&lt;&gt;"N/A"),"Battery, ","")&amp;IF(AND($BE329&lt;&gt;"Yes",$BE329&lt;&gt;"N/A"),"Firmware Download, ","")&amp;IF(AND(OR($BE329="Yes",$BE329="N/A"),$BF329&lt;&gt;"Yes",$BF329&lt;&gt;"N/A"),"Firmware Install, ","")&amp;IF(AND($BJ329&lt;&gt;"Yes",$BJ329&lt;&gt;"N/A"),"Device ID, ","")&amp;IF(AND($BK329&lt;&gt;"Yes",$BK329&lt;&gt;"N/A"),"Epic Beans Relay, ",""))-2)))</f>
      </c>
      <c r="BM329">
        <f>IF($T329="","",IF($BL329="","Yes","Blocked"))</f>
      </c>
      <c r="BP329">
        <f>IF($BO329="","",IFERROR(VLOOKUP($BO329,'01_Warehouse_Ledger'!$A:$N,4,FALSE),""))</f>
      </c>
      <c r="BQ329">
        <f>IF($BO329="","",IFERROR(VLOOKUP($BO329,'01_Warehouse_Ledger'!$A:$N,5,FALSE),""))</f>
      </c>
      <c r="BR329">
        <f>IF($BO329="","",IFERROR(VLOOKUP($BO329,'01_Warehouse_Ledger'!$A:$N,13,FALSE),""))</f>
      </c>
    </row>
    <row r="330">
      <c r="D330">
        <f>IF($B330&lt;&gt;"Yes","",IF($C330="No","Yes",IF($C330="Yes","No","")))</f>
      </c>
      <c r="E330">
        <f>IF($A330="","",IF($A330="Neuron",IF(OR(AND($S330&lt;&gt;"",LOWER(TRIM($S330))&lt;&gt;"n/a",COUNTIF($S$2:$S$532,$S330)&gt;1),AND($T330&lt;&gt;"",LOWER(TRIM($T330))&lt;&gt;"n/a",COUNTIF($T$2:$T$532,$T330)&gt;1),AND($W330&lt;&gt;"",LOWER(TRIM($W330))&lt;&gt;"n/a",COUNTIF($W$2:$W$532,$W330)&gt;1)),"Yes","No"),IF($A330="Cybernet",IF(OR(AND($Y330&lt;&gt;"",LOWER(TRIM($Y330))&lt;&gt;"n/a",COUNTIF($Y$2:$Y$532,$Y330)&gt;1),AND($Z330&lt;&gt;"",LOWER(TRIM($Z330))&lt;&gt;"n/a",COUNTIF($Z$2:$Z$532,$Z330)&gt;1)),"Yes","No"),IF(AND($AL330&lt;&gt;"",LOWER(TRIM($AL330))&lt;&gt;"n/a",COUNTIF($AL$2:$AL$532,$AL330)&gt;1),"Yes","No"))))</f>
      </c>
      <c r="F330">
        <f>IF($B330&lt;&gt;"Yes","",
IF($A330="Neuron",
IF(OR(
AND($S330&lt;&gt;"",LOWER(TRIM($S330))&lt;&gt;"n/a",COUNTIFS($B$2:$B$532,"Yes",$A$2:$A$532,"Neuron",$S$2:$S$532,$S330)&gt;1),
AND($T330&lt;&gt;"",LOWER(TRIM($T330))&lt;&gt;"n/a",COUNTIFS($B$2:$B$532,"Yes",$A$2:$A$532,"Neuron",$T$2:$T$532,$T330)&gt;1),
AND($W330&lt;&gt;"",LOWER(TRIM($W330))&lt;&gt;"n/a",COUNTIFS($B$2:$B$532,"Yes",$A$2:$A$532,"Neuron",$W$2:$W$532,$W330)&gt;1)
),"Yes","No"),
IF($A330="Cybernet",
IF(OR(
AND($Y330&lt;&gt;"",LOWER(TRIM($Y330))&lt;&gt;"n/a",COUNTIFS($B$2:$B$532,"Yes",$A$2:$A$532,"Cybernet",$Y$2:$Y$532,$Y330)&gt;1),
AND($Z330&lt;&gt;"",LOWER(TRIM($Z330))&lt;&gt;"n/a",COUNTIFS($B$2:$B$532,"Yes",$A$2:$A$532,"Cybernet",$Z$2:$Z$532,$Z330)&gt;1)
),"Yes","No"),
IF(AND($AL330&lt;&gt;"",LOWER(TRIM($AL330))&lt;&gt;"n/a"),
IF(COUNTIFS($B$2:$B$532,"Yes",$A$2:$A$532,$A330,$AL$2:$AL$532,$AL330)&gt;1,"Yes","No"),
"No")
)
)
)</f>
      </c>
      <c r="BL330">
        <f>IF($T330="","",IF((IF(AND($AW330&lt;&gt;"Yes",$AW330&lt;&gt;"N/A"),"Power Cable, ","")&amp;IF(AND($AX330&lt;&gt;"Yes",$AX330&lt;&gt;"N/A"),"Battery, ","")&amp;IF(AND($BE330&lt;&gt;"Yes",$BE330&lt;&gt;"N/A"),"Firmware Download, ","")&amp;IF(AND(OR($BE330="Yes",$BE330="N/A"),$BF330&lt;&gt;"Yes",$BF330&lt;&gt;"N/A"),"Firmware Install, ","")&amp;IF(AND($BJ330&lt;&gt;"Yes",$BJ330&lt;&gt;"N/A"),"Device ID, ","")&amp;IF(AND($BK330&lt;&gt;"Yes",$BK330&lt;&gt;"N/A"),"Epic Beans Relay, ",""))="","",LEFT(IF(AND($AW330&lt;&gt;"Yes",$AW330&lt;&gt;"N/A"),"Power Cable, ","")&amp;IF(AND($AX330&lt;&gt;"Yes",$AX330&lt;&gt;"N/A"),"Battery, ","")&amp;IF(AND($BE330&lt;&gt;"Yes",$BE330&lt;&gt;"N/A"),"Firmware Download, ","")&amp;IF(AND(OR($BE330="Yes",$BE330="N/A"),$BF330&lt;&gt;"Yes",$BF330&lt;&gt;"N/A"),"Firmware Install, ","")&amp;IF(AND($BJ330&lt;&gt;"Yes",$BJ330&lt;&gt;"N/A"),"Device ID, ","")&amp;IF(AND($BK330&lt;&gt;"Yes",$BK330&lt;&gt;"N/A"),"Epic Beans Relay, ",""),LEN(IF(AND($AW330&lt;&gt;"Yes",$AW330&lt;&gt;"N/A"),"Power Cable, ","")&amp;IF(AND($AX330&lt;&gt;"Yes",$AX330&lt;&gt;"N/A"),"Battery, ","")&amp;IF(AND($BE330&lt;&gt;"Yes",$BE330&lt;&gt;"N/A"),"Firmware Download, ","")&amp;IF(AND(OR($BE330="Yes",$BE330="N/A"),$BF330&lt;&gt;"Yes",$BF330&lt;&gt;"N/A"),"Firmware Install, ","")&amp;IF(AND($BJ330&lt;&gt;"Yes",$BJ330&lt;&gt;"N/A"),"Device ID, ","")&amp;IF(AND($BK330&lt;&gt;"Yes",$BK330&lt;&gt;"N/A"),"Epic Beans Relay, ",""))-2)))</f>
      </c>
      <c r="BM330">
        <f>IF($T330="","",IF($BL330="","Yes","Blocked"))</f>
      </c>
      <c r="BP330">
        <f>IF($BO330="","",IFERROR(VLOOKUP($BO330,'01_Warehouse_Ledger'!$A:$N,4,FALSE),""))</f>
      </c>
      <c r="BQ330">
        <f>IF($BO330="","",IFERROR(VLOOKUP($BO330,'01_Warehouse_Ledger'!$A:$N,5,FALSE),""))</f>
      </c>
      <c r="BR330">
        <f>IF($BO330="","",IFERROR(VLOOKUP($BO330,'01_Warehouse_Ledger'!$A:$N,13,FALSE),""))</f>
      </c>
    </row>
    <row r="331">
      <c r="D331">
        <f>IF($B331&lt;&gt;"Yes","",IF($C331="No","Yes",IF($C331="Yes","No","")))</f>
      </c>
      <c r="E331">
        <f>IF($A331="","",IF($A331="Neuron",IF(OR(AND($S331&lt;&gt;"",LOWER(TRIM($S331))&lt;&gt;"n/a",COUNTIF($S$2:$S$532,$S331)&gt;1),AND($T331&lt;&gt;"",LOWER(TRIM($T331))&lt;&gt;"n/a",COUNTIF($T$2:$T$532,$T331)&gt;1),AND($W331&lt;&gt;"",LOWER(TRIM($W331))&lt;&gt;"n/a",COUNTIF($W$2:$W$532,$W331)&gt;1)),"Yes","No"),IF($A331="Cybernet",IF(OR(AND($Y331&lt;&gt;"",LOWER(TRIM($Y331))&lt;&gt;"n/a",COUNTIF($Y$2:$Y$532,$Y331)&gt;1),AND($Z331&lt;&gt;"",LOWER(TRIM($Z331))&lt;&gt;"n/a",COUNTIF($Z$2:$Z$532,$Z331)&gt;1)),"Yes","No"),IF(AND($AL331&lt;&gt;"",LOWER(TRIM($AL331))&lt;&gt;"n/a",COUNTIF($AL$2:$AL$532,$AL331)&gt;1),"Yes","No"))))</f>
      </c>
      <c r="F331">
        <f>IF($B331&lt;&gt;"Yes","",
IF($A331="Neuron",
IF(OR(
AND($S331&lt;&gt;"",LOWER(TRIM($S331))&lt;&gt;"n/a",COUNTIFS($B$2:$B$532,"Yes",$A$2:$A$532,"Neuron",$S$2:$S$532,$S331)&gt;1),
AND($T331&lt;&gt;"",LOWER(TRIM($T331))&lt;&gt;"n/a",COUNTIFS($B$2:$B$532,"Yes",$A$2:$A$532,"Neuron",$T$2:$T$532,$T331)&gt;1),
AND($W331&lt;&gt;"",LOWER(TRIM($W331))&lt;&gt;"n/a",COUNTIFS($B$2:$B$532,"Yes",$A$2:$A$532,"Neuron",$W$2:$W$532,$W331)&gt;1)
),"Yes","No"),
IF($A331="Cybernet",
IF(OR(
AND($Y331&lt;&gt;"",LOWER(TRIM($Y331))&lt;&gt;"n/a",COUNTIFS($B$2:$B$532,"Yes",$A$2:$A$532,"Cybernet",$Y$2:$Y$532,$Y331)&gt;1),
AND($Z331&lt;&gt;"",LOWER(TRIM($Z331))&lt;&gt;"n/a",COUNTIFS($B$2:$B$532,"Yes",$A$2:$A$532,"Cybernet",$Z$2:$Z$532,$Z331)&gt;1)
),"Yes","No"),
IF(AND($AL331&lt;&gt;"",LOWER(TRIM($AL331))&lt;&gt;"n/a"),
IF(COUNTIFS($B$2:$B$532,"Yes",$A$2:$A$532,$A331,$AL$2:$AL$532,$AL331)&gt;1,"Yes","No"),
"No")
)
)
)</f>
      </c>
      <c r="BL331">
        <f>IF($T331="","",IF((IF(AND($AW331&lt;&gt;"Yes",$AW331&lt;&gt;"N/A"),"Power Cable, ","")&amp;IF(AND($AX331&lt;&gt;"Yes",$AX331&lt;&gt;"N/A"),"Battery, ","")&amp;IF(AND($BE331&lt;&gt;"Yes",$BE331&lt;&gt;"N/A"),"Firmware Download, ","")&amp;IF(AND(OR($BE331="Yes",$BE331="N/A"),$BF331&lt;&gt;"Yes",$BF331&lt;&gt;"N/A"),"Firmware Install, ","")&amp;IF(AND($BJ331&lt;&gt;"Yes",$BJ331&lt;&gt;"N/A"),"Device ID, ","")&amp;IF(AND($BK331&lt;&gt;"Yes",$BK331&lt;&gt;"N/A"),"Epic Beans Relay, ",""))="","",LEFT(IF(AND($AW331&lt;&gt;"Yes",$AW331&lt;&gt;"N/A"),"Power Cable, ","")&amp;IF(AND($AX331&lt;&gt;"Yes",$AX331&lt;&gt;"N/A"),"Battery, ","")&amp;IF(AND($BE331&lt;&gt;"Yes",$BE331&lt;&gt;"N/A"),"Firmware Download, ","")&amp;IF(AND(OR($BE331="Yes",$BE331="N/A"),$BF331&lt;&gt;"Yes",$BF331&lt;&gt;"N/A"),"Firmware Install, ","")&amp;IF(AND($BJ331&lt;&gt;"Yes",$BJ331&lt;&gt;"N/A"),"Device ID, ","")&amp;IF(AND($BK331&lt;&gt;"Yes",$BK331&lt;&gt;"N/A"),"Epic Beans Relay, ",""),LEN(IF(AND($AW331&lt;&gt;"Yes",$AW331&lt;&gt;"N/A"),"Power Cable, ","")&amp;IF(AND($AX331&lt;&gt;"Yes",$AX331&lt;&gt;"N/A"),"Battery, ","")&amp;IF(AND($BE331&lt;&gt;"Yes",$BE331&lt;&gt;"N/A"),"Firmware Download, ","")&amp;IF(AND(OR($BE331="Yes",$BE331="N/A"),$BF331&lt;&gt;"Yes",$BF331&lt;&gt;"N/A"),"Firmware Install, ","")&amp;IF(AND($BJ331&lt;&gt;"Yes",$BJ331&lt;&gt;"N/A"),"Device ID, ","")&amp;IF(AND($BK331&lt;&gt;"Yes",$BK331&lt;&gt;"N/A"),"Epic Beans Relay, ",""))-2)))</f>
      </c>
      <c r="BM331">
        <f>IF($T331="","",IF($BL331="","Yes","Blocked"))</f>
      </c>
      <c r="BP331">
        <f>IF($BO331="","",IFERROR(VLOOKUP($BO331,'01_Warehouse_Ledger'!$A:$N,4,FALSE),""))</f>
      </c>
      <c r="BQ331">
        <f>IF($BO331="","",IFERROR(VLOOKUP($BO331,'01_Warehouse_Ledger'!$A:$N,5,FALSE),""))</f>
      </c>
      <c r="BR331">
        <f>IF($BO331="","",IFERROR(VLOOKUP($BO331,'01_Warehouse_Ledger'!$A:$N,13,FALSE),""))</f>
      </c>
    </row>
    <row r="332">
      <c r="D332">
        <f>IF($B332&lt;&gt;"Yes","",IF($C332="No","Yes",IF($C332="Yes","No","")))</f>
      </c>
      <c r="E332">
        <f>IF($A332="","",IF($A332="Neuron",IF(OR(AND($S332&lt;&gt;"",LOWER(TRIM($S332))&lt;&gt;"n/a",COUNTIF($S$2:$S$532,$S332)&gt;1),AND($T332&lt;&gt;"",LOWER(TRIM($T332))&lt;&gt;"n/a",COUNTIF($T$2:$T$532,$T332)&gt;1),AND($W332&lt;&gt;"",LOWER(TRIM($W332))&lt;&gt;"n/a",COUNTIF($W$2:$W$532,$W332)&gt;1)),"Yes","No"),IF($A332="Cybernet",IF(OR(AND($Y332&lt;&gt;"",LOWER(TRIM($Y332))&lt;&gt;"n/a",COUNTIF($Y$2:$Y$532,$Y332)&gt;1),AND($Z332&lt;&gt;"",LOWER(TRIM($Z332))&lt;&gt;"n/a",COUNTIF($Z$2:$Z$532,$Z332)&gt;1)),"Yes","No"),IF(AND($AL332&lt;&gt;"",LOWER(TRIM($AL332))&lt;&gt;"n/a",COUNTIF($AL$2:$AL$532,$AL332)&gt;1),"Yes","No"))))</f>
      </c>
      <c r="F332">
        <f>IF($B332&lt;&gt;"Yes","",
IF($A332="Neuron",
IF(OR(
AND($S332&lt;&gt;"",LOWER(TRIM($S332))&lt;&gt;"n/a",COUNTIFS($B$2:$B$532,"Yes",$A$2:$A$532,"Neuron",$S$2:$S$532,$S332)&gt;1),
AND($T332&lt;&gt;"",LOWER(TRIM($T332))&lt;&gt;"n/a",COUNTIFS($B$2:$B$532,"Yes",$A$2:$A$532,"Neuron",$T$2:$T$532,$T332)&gt;1),
AND($W332&lt;&gt;"",LOWER(TRIM($W332))&lt;&gt;"n/a",COUNTIFS($B$2:$B$532,"Yes",$A$2:$A$532,"Neuron",$W$2:$W$532,$W332)&gt;1)
),"Yes","No"),
IF($A332="Cybernet",
IF(OR(
AND($Y332&lt;&gt;"",LOWER(TRIM($Y332))&lt;&gt;"n/a",COUNTIFS($B$2:$B$532,"Yes",$A$2:$A$532,"Cybernet",$Y$2:$Y$532,$Y332)&gt;1),
AND($Z332&lt;&gt;"",LOWER(TRIM($Z332))&lt;&gt;"n/a",COUNTIFS($B$2:$B$532,"Yes",$A$2:$A$532,"Cybernet",$Z$2:$Z$532,$Z332)&gt;1)
),"Yes","No"),
IF(AND($AL332&lt;&gt;"",LOWER(TRIM($AL332))&lt;&gt;"n/a"),
IF(COUNTIFS($B$2:$B$532,"Yes",$A$2:$A$532,$A332,$AL$2:$AL$532,$AL332)&gt;1,"Yes","No"),
"No")
)
)
)</f>
      </c>
      <c r="BL332">
        <f>IF($T332="","",IF((IF(AND($AW332&lt;&gt;"Yes",$AW332&lt;&gt;"N/A"),"Power Cable, ","")&amp;IF(AND($AX332&lt;&gt;"Yes",$AX332&lt;&gt;"N/A"),"Battery, ","")&amp;IF(AND($BE332&lt;&gt;"Yes",$BE332&lt;&gt;"N/A"),"Firmware Download, ","")&amp;IF(AND(OR($BE332="Yes",$BE332="N/A"),$BF332&lt;&gt;"Yes",$BF332&lt;&gt;"N/A"),"Firmware Install, ","")&amp;IF(AND($BJ332&lt;&gt;"Yes",$BJ332&lt;&gt;"N/A"),"Device ID, ","")&amp;IF(AND($BK332&lt;&gt;"Yes",$BK332&lt;&gt;"N/A"),"Epic Beans Relay, ",""))="","",LEFT(IF(AND($AW332&lt;&gt;"Yes",$AW332&lt;&gt;"N/A"),"Power Cable, ","")&amp;IF(AND($AX332&lt;&gt;"Yes",$AX332&lt;&gt;"N/A"),"Battery, ","")&amp;IF(AND($BE332&lt;&gt;"Yes",$BE332&lt;&gt;"N/A"),"Firmware Download, ","")&amp;IF(AND(OR($BE332="Yes",$BE332="N/A"),$BF332&lt;&gt;"Yes",$BF332&lt;&gt;"N/A"),"Firmware Install, ","")&amp;IF(AND($BJ332&lt;&gt;"Yes",$BJ332&lt;&gt;"N/A"),"Device ID, ","")&amp;IF(AND($BK332&lt;&gt;"Yes",$BK332&lt;&gt;"N/A"),"Epic Beans Relay, ",""),LEN(IF(AND($AW332&lt;&gt;"Yes",$AW332&lt;&gt;"N/A"),"Power Cable, ","")&amp;IF(AND($AX332&lt;&gt;"Yes",$AX332&lt;&gt;"N/A"),"Battery, ","")&amp;IF(AND($BE332&lt;&gt;"Yes",$BE332&lt;&gt;"N/A"),"Firmware Download, ","")&amp;IF(AND(OR($BE332="Yes",$BE332="N/A"),$BF332&lt;&gt;"Yes",$BF332&lt;&gt;"N/A"),"Firmware Install, ","")&amp;IF(AND($BJ332&lt;&gt;"Yes",$BJ332&lt;&gt;"N/A"),"Device ID, ","")&amp;IF(AND($BK332&lt;&gt;"Yes",$BK332&lt;&gt;"N/A"),"Epic Beans Relay, ",""))-2)))</f>
      </c>
      <c r="BM332">
        <f>IF($T332="","",IF($BL332="","Yes","Blocked"))</f>
      </c>
      <c r="BP332">
        <f>IF($BO332="","",IFERROR(VLOOKUP($BO332,'01_Warehouse_Ledger'!$A:$N,4,FALSE),""))</f>
      </c>
      <c r="BQ332">
        <f>IF($BO332="","",IFERROR(VLOOKUP($BO332,'01_Warehouse_Ledger'!$A:$N,5,FALSE),""))</f>
      </c>
      <c r="BR332">
        <f>IF($BO332="","",IFERROR(VLOOKUP($BO332,'01_Warehouse_Ledger'!$A:$N,13,FALSE),""))</f>
      </c>
    </row>
    <row r="333">
      <c r="D333">
        <f>IF($B333&lt;&gt;"Yes","",IF($C333="No","Yes",IF($C333="Yes","No","")))</f>
      </c>
      <c r="E333">
        <f>IF($A333="","",IF($A333="Neuron",IF(OR(AND($S333&lt;&gt;"",LOWER(TRIM($S333))&lt;&gt;"n/a",COUNTIF($S$2:$S$532,$S333)&gt;1),AND($T333&lt;&gt;"",LOWER(TRIM($T333))&lt;&gt;"n/a",COUNTIF($T$2:$T$532,$T333)&gt;1),AND($W333&lt;&gt;"",LOWER(TRIM($W333))&lt;&gt;"n/a",COUNTIF($W$2:$W$532,$W333)&gt;1)),"Yes","No"),IF($A333="Cybernet",IF(OR(AND($Y333&lt;&gt;"",LOWER(TRIM($Y333))&lt;&gt;"n/a",COUNTIF($Y$2:$Y$532,$Y333)&gt;1),AND($Z333&lt;&gt;"",LOWER(TRIM($Z333))&lt;&gt;"n/a",COUNTIF($Z$2:$Z$532,$Z333)&gt;1)),"Yes","No"),IF(AND($AL333&lt;&gt;"",LOWER(TRIM($AL333))&lt;&gt;"n/a",COUNTIF($AL$2:$AL$532,$AL333)&gt;1),"Yes","No"))))</f>
      </c>
      <c r="F333">
        <f>IF($B333&lt;&gt;"Yes","",
IF($A333="Neuron",
IF(OR(
AND($S333&lt;&gt;"",LOWER(TRIM($S333))&lt;&gt;"n/a",COUNTIFS($B$2:$B$532,"Yes",$A$2:$A$532,"Neuron",$S$2:$S$532,$S333)&gt;1),
AND($T333&lt;&gt;"",LOWER(TRIM($T333))&lt;&gt;"n/a",COUNTIFS($B$2:$B$532,"Yes",$A$2:$A$532,"Neuron",$T$2:$T$532,$T333)&gt;1),
AND($W333&lt;&gt;"",LOWER(TRIM($W333))&lt;&gt;"n/a",COUNTIFS($B$2:$B$532,"Yes",$A$2:$A$532,"Neuron",$W$2:$W$532,$W333)&gt;1)
),"Yes","No"),
IF($A333="Cybernet",
IF(OR(
AND($Y333&lt;&gt;"",LOWER(TRIM($Y333))&lt;&gt;"n/a",COUNTIFS($B$2:$B$532,"Yes",$A$2:$A$532,"Cybernet",$Y$2:$Y$532,$Y333)&gt;1),
AND($Z333&lt;&gt;"",LOWER(TRIM($Z333))&lt;&gt;"n/a",COUNTIFS($B$2:$B$532,"Yes",$A$2:$A$532,"Cybernet",$Z$2:$Z$532,$Z333)&gt;1)
),"Yes","No"),
IF(AND($AL333&lt;&gt;"",LOWER(TRIM($AL333))&lt;&gt;"n/a"),
IF(COUNTIFS($B$2:$B$532,"Yes",$A$2:$A$532,$A333,$AL$2:$AL$532,$AL333)&gt;1,"Yes","No"),
"No")
)
)
)</f>
      </c>
      <c r="BL333">
        <f>IF($T333="","",IF((IF(AND($AW333&lt;&gt;"Yes",$AW333&lt;&gt;"N/A"),"Power Cable, ","")&amp;IF(AND($AX333&lt;&gt;"Yes",$AX333&lt;&gt;"N/A"),"Battery, ","")&amp;IF(AND($BE333&lt;&gt;"Yes",$BE333&lt;&gt;"N/A"),"Firmware Download, ","")&amp;IF(AND(OR($BE333="Yes",$BE333="N/A"),$BF333&lt;&gt;"Yes",$BF333&lt;&gt;"N/A"),"Firmware Install, ","")&amp;IF(AND($BJ333&lt;&gt;"Yes",$BJ333&lt;&gt;"N/A"),"Device ID, ","")&amp;IF(AND($BK333&lt;&gt;"Yes",$BK333&lt;&gt;"N/A"),"Epic Beans Relay, ",""))="","",LEFT(IF(AND($AW333&lt;&gt;"Yes",$AW333&lt;&gt;"N/A"),"Power Cable, ","")&amp;IF(AND($AX333&lt;&gt;"Yes",$AX333&lt;&gt;"N/A"),"Battery, ","")&amp;IF(AND($BE333&lt;&gt;"Yes",$BE333&lt;&gt;"N/A"),"Firmware Download, ","")&amp;IF(AND(OR($BE333="Yes",$BE333="N/A"),$BF333&lt;&gt;"Yes",$BF333&lt;&gt;"N/A"),"Firmware Install, ","")&amp;IF(AND($BJ333&lt;&gt;"Yes",$BJ333&lt;&gt;"N/A"),"Device ID, ","")&amp;IF(AND($BK333&lt;&gt;"Yes",$BK333&lt;&gt;"N/A"),"Epic Beans Relay, ",""),LEN(IF(AND($AW333&lt;&gt;"Yes",$AW333&lt;&gt;"N/A"),"Power Cable, ","")&amp;IF(AND($AX333&lt;&gt;"Yes",$AX333&lt;&gt;"N/A"),"Battery, ","")&amp;IF(AND($BE333&lt;&gt;"Yes",$BE333&lt;&gt;"N/A"),"Firmware Download, ","")&amp;IF(AND(OR($BE333="Yes",$BE333="N/A"),$BF333&lt;&gt;"Yes",$BF333&lt;&gt;"N/A"),"Firmware Install, ","")&amp;IF(AND($BJ333&lt;&gt;"Yes",$BJ333&lt;&gt;"N/A"),"Device ID, ","")&amp;IF(AND($BK333&lt;&gt;"Yes",$BK333&lt;&gt;"N/A"),"Epic Beans Relay, ",""))-2)))</f>
      </c>
      <c r="BM333">
        <f>IF($T333="","",IF($BL333="","Yes","Blocked"))</f>
      </c>
      <c r="BP333">
        <f>IF($BO333="","",IFERROR(VLOOKUP($BO333,'01_Warehouse_Ledger'!$A:$N,4,FALSE),""))</f>
      </c>
      <c r="BQ333">
        <f>IF($BO333="","",IFERROR(VLOOKUP($BO333,'01_Warehouse_Ledger'!$A:$N,5,FALSE),""))</f>
      </c>
      <c r="BR333">
        <f>IF($BO333="","",IFERROR(VLOOKUP($BO333,'01_Warehouse_Ledger'!$A:$N,13,FALSE),""))</f>
      </c>
    </row>
    <row r="334">
      <c r="D334">
        <f>IF($B334&lt;&gt;"Yes","",IF($C334="No","Yes",IF($C334="Yes","No","")))</f>
      </c>
      <c r="E334">
        <f>IF($A334="","",IF($A334="Neuron",IF(OR(AND($S334&lt;&gt;"",LOWER(TRIM($S334))&lt;&gt;"n/a",COUNTIF($S$2:$S$532,$S334)&gt;1),AND($T334&lt;&gt;"",LOWER(TRIM($T334))&lt;&gt;"n/a",COUNTIF($T$2:$T$532,$T334)&gt;1),AND($W334&lt;&gt;"",LOWER(TRIM($W334))&lt;&gt;"n/a",COUNTIF($W$2:$W$532,$W334)&gt;1)),"Yes","No"),IF($A334="Cybernet",IF(OR(AND($Y334&lt;&gt;"",LOWER(TRIM($Y334))&lt;&gt;"n/a",COUNTIF($Y$2:$Y$532,$Y334)&gt;1),AND($Z334&lt;&gt;"",LOWER(TRIM($Z334))&lt;&gt;"n/a",COUNTIF($Z$2:$Z$532,$Z334)&gt;1)),"Yes","No"),IF(AND($AL334&lt;&gt;"",LOWER(TRIM($AL334))&lt;&gt;"n/a",COUNTIF($AL$2:$AL$532,$AL334)&gt;1),"Yes","No"))))</f>
      </c>
      <c r="F334">
        <f>IF($B334&lt;&gt;"Yes","",
IF($A334="Neuron",
IF(OR(
AND($S334&lt;&gt;"",LOWER(TRIM($S334))&lt;&gt;"n/a",COUNTIFS($B$2:$B$532,"Yes",$A$2:$A$532,"Neuron",$S$2:$S$532,$S334)&gt;1),
AND($T334&lt;&gt;"",LOWER(TRIM($T334))&lt;&gt;"n/a",COUNTIFS($B$2:$B$532,"Yes",$A$2:$A$532,"Neuron",$T$2:$T$532,$T334)&gt;1),
AND($W334&lt;&gt;"",LOWER(TRIM($W334))&lt;&gt;"n/a",COUNTIFS($B$2:$B$532,"Yes",$A$2:$A$532,"Neuron",$W$2:$W$532,$W334)&gt;1)
),"Yes","No"),
IF($A334="Cybernet",
IF(OR(
AND($Y334&lt;&gt;"",LOWER(TRIM($Y334))&lt;&gt;"n/a",COUNTIFS($B$2:$B$532,"Yes",$A$2:$A$532,"Cybernet",$Y$2:$Y$532,$Y334)&gt;1),
AND($Z334&lt;&gt;"",LOWER(TRIM($Z334))&lt;&gt;"n/a",COUNTIFS($B$2:$B$532,"Yes",$A$2:$A$532,"Cybernet",$Z$2:$Z$532,$Z334)&gt;1)
),"Yes","No"),
IF(AND($AL334&lt;&gt;"",LOWER(TRIM($AL334))&lt;&gt;"n/a"),
IF(COUNTIFS($B$2:$B$532,"Yes",$A$2:$A$532,$A334,$AL$2:$AL$532,$AL334)&gt;1,"Yes","No"),
"No")
)
)
)</f>
      </c>
      <c r="BL334">
        <f>IF($T334="","",IF((IF(AND($AW334&lt;&gt;"Yes",$AW334&lt;&gt;"N/A"),"Power Cable, ","")&amp;IF(AND($AX334&lt;&gt;"Yes",$AX334&lt;&gt;"N/A"),"Battery, ","")&amp;IF(AND($BE334&lt;&gt;"Yes",$BE334&lt;&gt;"N/A"),"Firmware Download, ","")&amp;IF(AND(OR($BE334="Yes",$BE334="N/A"),$BF334&lt;&gt;"Yes",$BF334&lt;&gt;"N/A"),"Firmware Install, ","")&amp;IF(AND($BJ334&lt;&gt;"Yes",$BJ334&lt;&gt;"N/A"),"Device ID, ","")&amp;IF(AND($BK334&lt;&gt;"Yes",$BK334&lt;&gt;"N/A"),"Epic Beans Relay, ",""))="","",LEFT(IF(AND($AW334&lt;&gt;"Yes",$AW334&lt;&gt;"N/A"),"Power Cable, ","")&amp;IF(AND($AX334&lt;&gt;"Yes",$AX334&lt;&gt;"N/A"),"Battery, ","")&amp;IF(AND($BE334&lt;&gt;"Yes",$BE334&lt;&gt;"N/A"),"Firmware Download, ","")&amp;IF(AND(OR($BE334="Yes",$BE334="N/A"),$BF334&lt;&gt;"Yes",$BF334&lt;&gt;"N/A"),"Firmware Install, ","")&amp;IF(AND($BJ334&lt;&gt;"Yes",$BJ334&lt;&gt;"N/A"),"Device ID, ","")&amp;IF(AND($BK334&lt;&gt;"Yes",$BK334&lt;&gt;"N/A"),"Epic Beans Relay, ",""),LEN(IF(AND($AW334&lt;&gt;"Yes",$AW334&lt;&gt;"N/A"),"Power Cable, ","")&amp;IF(AND($AX334&lt;&gt;"Yes",$AX334&lt;&gt;"N/A"),"Battery, ","")&amp;IF(AND($BE334&lt;&gt;"Yes",$BE334&lt;&gt;"N/A"),"Firmware Download, ","")&amp;IF(AND(OR($BE334="Yes",$BE334="N/A"),$BF334&lt;&gt;"Yes",$BF334&lt;&gt;"N/A"),"Firmware Install, ","")&amp;IF(AND($BJ334&lt;&gt;"Yes",$BJ334&lt;&gt;"N/A"),"Device ID, ","")&amp;IF(AND($BK334&lt;&gt;"Yes",$BK334&lt;&gt;"N/A"),"Epic Beans Relay, ",""))-2)))</f>
      </c>
      <c r="BM334">
        <f>IF($T334="","",IF($BL334="","Yes","Blocked"))</f>
      </c>
      <c r="BP334">
        <f>IF($BO334="","",IFERROR(VLOOKUP($BO334,'01_Warehouse_Ledger'!$A:$N,4,FALSE),""))</f>
      </c>
      <c r="BQ334">
        <f>IF($BO334="","",IFERROR(VLOOKUP($BO334,'01_Warehouse_Ledger'!$A:$N,5,FALSE),""))</f>
      </c>
      <c r="BR334">
        <f>IF($BO334="","",IFERROR(VLOOKUP($BO334,'01_Warehouse_Ledger'!$A:$N,13,FALSE),""))</f>
      </c>
    </row>
    <row r="335">
      <c r="D335">
        <f>IF($B335&lt;&gt;"Yes","",IF($C335="No","Yes",IF($C335="Yes","No","")))</f>
      </c>
      <c r="E335">
        <f>IF($A335="","",IF($A335="Neuron",IF(OR(AND($S335&lt;&gt;"",LOWER(TRIM($S335))&lt;&gt;"n/a",COUNTIF($S$2:$S$532,$S335)&gt;1),AND($T335&lt;&gt;"",LOWER(TRIM($T335))&lt;&gt;"n/a",COUNTIF($T$2:$T$532,$T335)&gt;1),AND($W335&lt;&gt;"",LOWER(TRIM($W335))&lt;&gt;"n/a",COUNTIF($W$2:$W$532,$W335)&gt;1)),"Yes","No"),IF($A335="Cybernet",IF(OR(AND($Y335&lt;&gt;"",LOWER(TRIM($Y335))&lt;&gt;"n/a",COUNTIF($Y$2:$Y$532,$Y335)&gt;1),AND($Z335&lt;&gt;"",LOWER(TRIM($Z335))&lt;&gt;"n/a",COUNTIF($Z$2:$Z$532,$Z335)&gt;1)),"Yes","No"),IF(AND($AL335&lt;&gt;"",LOWER(TRIM($AL335))&lt;&gt;"n/a",COUNTIF($AL$2:$AL$532,$AL335)&gt;1),"Yes","No"))))</f>
      </c>
      <c r="F335">
        <f>IF($B335&lt;&gt;"Yes","",
IF($A335="Neuron",
IF(OR(
AND($S335&lt;&gt;"",LOWER(TRIM($S335))&lt;&gt;"n/a",COUNTIFS($B$2:$B$532,"Yes",$A$2:$A$532,"Neuron",$S$2:$S$532,$S335)&gt;1),
AND($T335&lt;&gt;"",LOWER(TRIM($T335))&lt;&gt;"n/a",COUNTIFS($B$2:$B$532,"Yes",$A$2:$A$532,"Neuron",$T$2:$T$532,$T335)&gt;1),
AND($W335&lt;&gt;"",LOWER(TRIM($W335))&lt;&gt;"n/a",COUNTIFS($B$2:$B$532,"Yes",$A$2:$A$532,"Neuron",$W$2:$W$532,$W335)&gt;1)
),"Yes","No"),
IF($A335="Cybernet",
IF(OR(
AND($Y335&lt;&gt;"",LOWER(TRIM($Y335))&lt;&gt;"n/a",COUNTIFS($B$2:$B$532,"Yes",$A$2:$A$532,"Cybernet",$Y$2:$Y$532,$Y335)&gt;1),
AND($Z335&lt;&gt;"",LOWER(TRIM($Z335))&lt;&gt;"n/a",COUNTIFS($B$2:$B$532,"Yes",$A$2:$A$532,"Cybernet",$Z$2:$Z$532,$Z335)&gt;1)
),"Yes","No"),
IF(AND($AL335&lt;&gt;"",LOWER(TRIM($AL335))&lt;&gt;"n/a"),
IF(COUNTIFS($B$2:$B$532,"Yes",$A$2:$A$532,$A335,$AL$2:$AL$532,$AL335)&gt;1,"Yes","No"),
"No")
)
)
)</f>
      </c>
      <c r="BL335">
        <f>IF($T335="","",IF((IF(AND($AW335&lt;&gt;"Yes",$AW335&lt;&gt;"N/A"),"Power Cable, ","")&amp;IF(AND($AX335&lt;&gt;"Yes",$AX335&lt;&gt;"N/A"),"Battery, ","")&amp;IF(AND($BE335&lt;&gt;"Yes",$BE335&lt;&gt;"N/A"),"Firmware Download, ","")&amp;IF(AND(OR($BE335="Yes",$BE335="N/A"),$BF335&lt;&gt;"Yes",$BF335&lt;&gt;"N/A"),"Firmware Install, ","")&amp;IF(AND($BJ335&lt;&gt;"Yes",$BJ335&lt;&gt;"N/A"),"Device ID, ","")&amp;IF(AND($BK335&lt;&gt;"Yes",$BK335&lt;&gt;"N/A"),"Epic Beans Relay, ",""))="","",LEFT(IF(AND($AW335&lt;&gt;"Yes",$AW335&lt;&gt;"N/A"),"Power Cable, ","")&amp;IF(AND($AX335&lt;&gt;"Yes",$AX335&lt;&gt;"N/A"),"Battery, ","")&amp;IF(AND($BE335&lt;&gt;"Yes",$BE335&lt;&gt;"N/A"),"Firmware Download, ","")&amp;IF(AND(OR($BE335="Yes",$BE335="N/A"),$BF335&lt;&gt;"Yes",$BF335&lt;&gt;"N/A"),"Firmware Install, ","")&amp;IF(AND($BJ335&lt;&gt;"Yes",$BJ335&lt;&gt;"N/A"),"Device ID, ","")&amp;IF(AND($BK335&lt;&gt;"Yes",$BK335&lt;&gt;"N/A"),"Epic Beans Relay, ",""),LEN(IF(AND($AW335&lt;&gt;"Yes",$AW335&lt;&gt;"N/A"),"Power Cable, ","")&amp;IF(AND($AX335&lt;&gt;"Yes",$AX335&lt;&gt;"N/A"),"Battery, ","")&amp;IF(AND($BE335&lt;&gt;"Yes",$BE335&lt;&gt;"N/A"),"Firmware Download, ","")&amp;IF(AND(OR($BE335="Yes",$BE335="N/A"),$BF335&lt;&gt;"Yes",$BF335&lt;&gt;"N/A"),"Firmware Install, ","")&amp;IF(AND($BJ335&lt;&gt;"Yes",$BJ335&lt;&gt;"N/A"),"Device ID, ","")&amp;IF(AND($BK335&lt;&gt;"Yes",$BK335&lt;&gt;"N/A"),"Epic Beans Relay, ",""))-2)))</f>
      </c>
      <c r="BM335">
        <f>IF($T335="","",IF($BL335="","Yes","Blocked"))</f>
      </c>
      <c r="BP335">
        <f>IF($BO335="","",IFERROR(VLOOKUP($BO335,'01_Warehouse_Ledger'!$A:$N,4,FALSE),""))</f>
      </c>
      <c r="BQ335">
        <f>IF($BO335="","",IFERROR(VLOOKUP($BO335,'01_Warehouse_Ledger'!$A:$N,5,FALSE),""))</f>
      </c>
      <c r="BR335">
        <f>IF($BO335="","",IFERROR(VLOOKUP($BO335,'01_Warehouse_Ledger'!$A:$N,13,FALSE),""))</f>
      </c>
    </row>
    <row r="336">
      <c r="D336">
        <f>IF($B336&lt;&gt;"Yes","",IF($C336="No","Yes",IF($C336="Yes","No","")))</f>
      </c>
      <c r="E336">
        <f>IF($A336="","",IF($A336="Neuron",IF(OR(AND($S336&lt;&gt;"",LOWER(TRIM($S336))&lt;&gt;"n/a",COUNTIF($S$2:$S$532,$S336)&gt;1),AND($T336&lt;&gt;"",LOWER(TRIM($T336))&lt;&gt;"n/a",COUNTIF($T$2:$T$532,$T336)&gt;1),AND($W336&lt;&gt;"",LOWER(TRIM($W336))&lt;&gt;"n/a",COUNTIF($W$2:$W$532,$W336)&gt;1)),"Yes","No"),IF($A336="Cybernet",IF(OR(AND($Y336&lt;&gt;"",LOWER(TRIM($Y336))&lt;&gt;"n/a",COUNTIF($Y$2:$Y$532,$Y336)&gt;1),AND($Z336&lt;&gt;"",LOWER(TRIM($Z336))&lt;&gt;"n/a",COUNTIF($Z$2:$Z$532,$Z336)&gt;1)),"Yes","No"),IF(AND($AL336&lt;&gt;"",LOWER(TRIM($AL336))&lt;&gt;"n/a",COUNTIF($AL$2:$AL$532,$AL336)&gt;1),"Yes","No"))))</f>
      </c>
      <c r="F336">
        <f>IF($B336&lt;&gt;"Yes","",
IF($A336="Neuron",
IF(OR(
AND($S336&lt;&gt;"",LOWER(TRIM($S336))&lt;&gt;"n/a",COUNTIFS($B$2:$B$532,"Yes",$A$2:$A$532,"Neuron",$S$2:$S$532,$S336)&gt;1),
AND($T336&lt;&gt;"",LOWER(TRIM($T336))&lt;&gt;"n/a",COUNTIFS($B$2:$B$532,"Yes",$A$2:$A$532,"Neuron",$T$2:$T$532,$T336)&gt;1),
AND($W336&lt;&gt;"",LOWER(TRIM($W336))&lt;&gt;"n/a",COUNTIFS($B$2:$B$532,"Yes",$A$2:$A$532,"Neuron",$W$2:$W$532,$W336)&gt;1)
),"Yes","No"),
IF($A336="Cybernet",
IF(OR(
AND($Y336&lt;&gt;"",LOWER(TRIM($Y336))&lt;&gt;"n/a",COUNTIFS($B$2:$B$532,"Yes",$A$2:$A$532,"Cybernet",$Y$2:$Y$532,$Y336)&gt;1),
AND($Z336&lt;&gt;"",LOWER(TRIM($Z336))&lt;&gt;"n/a",COUNTIFS($B$2:$B$532,"Yes",$A$2:$A$532,"Cybernet",$Z$2:$Z$532,$Z336)&gt;1)
),"Yes","No"),
IF(AND($AL336&lt;&gt;"",LOWER(TRIM($AL336))&lt;&gt;"n/a"),
IF(COUNTIFS($B$2:$B$532,"Yes",$A$2:$A$532,$A336,$AL$2:$AL$532,$AL336)&gt;1,"Yes","No"),
"No")
)
)
)</f>
      </c>
      <c r="BL336">
        <f>IF($T336="","",IF((IF(AND($AW336&lt;&gt;"Yes",$AW336&lt;&gt;"N/A"),"Power Cable, ","")&amp;IF(AND($AX336&lt;&gt;"Yes",$AX336&lt;&gt;"N/A"),"Battery, ","")&amp;IF(AND($BE336&lt;&gt;"Yes",$BE336&lt;&gt;"N/A"),"Firmware Download, ","")&amp;IF(AND(OR($BE336="Yes",$BE336="N/A"),$BF336&lt;&gt;"Yes",$BF336&lt;&gt;"N/A"),"Firmware Install, ","")&amp;IF(AND($BJ336&lt;&gt;"Yes",$BJ336&lt;&gt;"N/A"),"Device ID, ","")&amp;IF(AND($BK336&lt;&gt;"Yes",$BK336&lt;&gt;"N/A"),"Epic Beans Relay, ",""))="","",LEFT(IF(AND($AW336&lt;&gt;"Yes",$AW336&lt;&gt;"N/A"),"Power Cable, ","")&amp;IF(AND($AX336&lt;&gt;"Yes",$AX336&lt;&gt;"N/A"),"Battery, ","")&amp;IF(AND($BE336&lt;&gt;"Yes",$BE336&lt;&gt;"N/A"),"Firmware Download, ","")&amp;IF(AND(OR($BE336="Yes",$BE336="N/A"),$BF336&lt;&gt;"Yes",$BF336&lt;&gt;"N/A"),"Firmware Install, ","")&amp;IF(AND($BJ336&lt;&gt;"Yes",$BJ336&lt;&gt;"N/A"),"Device ID, ","")&amp;IF(AND($BK336&lt;&gt;"Yes",$BK336&lt;&gt;"N/A"),"Epic Beans Relay, ",""),LEN(IF(AND($AW336&lt;&gt;"Yes",$AW336&lt;&gt;"N/A"),"Power Cable, ","")&amp;IF(AND($AX336&lt;&gt;"Yes",$AX336&lt;&gt;"N/A"),"Battery, ","")&amp;IF(AND($BE336&lt;&gt;"Yes",$BE336&lt;&gt;"N/A"),"Firmware Download, ","")&amp;IF(AND(OR($BE336="Yes",$BE336="N/A"),$BF336&lt;&gt;"Yes",$BF336&lt;&gt;"N/A"),"Firmware Install, ","")&amp;IF(AND($BJ336&lt;&gt;"Yes",$BJ336&lt;&gt;"N/A"),"Device ID, ","")&amp;IF(AND($BK336&lt;&gt;"Yes",$BK336&lt;&gt;"N/A"),"Epic Beans Relay, ",""))-2)))</f>
      </c>
      <c r="BM336">
        <f>IF($T336="","",IF($BL336="","Yes","Blocked"))</f>
      </c>
      <c r="BP336">
        <f>IF($BO336="","",IFERROR(VLOOKUP($BO336,'01_Warehouse_Ledger'!$A:$N,4,FALSE),""))</f>
      </c>
      <c r="BQ336">
        <f>IF($BO336="","",IFERROR(VLOOKUP($BO336,'01_Warehouse_Ledger'!$A:$N,5,FALSE),""))</f>
      </c>
      <c r="BR336">
        <f>IF($BO336="","",IFERROR(VLOOKUP($BO336,'01_Warehouse_Ledger'!$A:$N,13,FALSE),""))</f>
      </c>
    </row>
    <row r="337">
      <c r="D337">
        <f>IF($B337&lt;&gt;"Yes","",IF($C337="No","Yes",IF($C337="Yes","No","")))</f>
      </c>
      <c r="E337">
        <f>IF($A337="","",IF($A337="Neuron",IF(OR(AND($S337&lt;&gt;"",LOWER(TRIM($S337))&lt;&gt;"n/a",COUNTIF($S$2:$S$532,$S337)&gt;1),AND($T337&lt;&gt;"",LOWER(TRIM($T337))&lt;&gt;"n/a",COUNTIF($T$2:$T$532,$T337)&gt;1),AND($W337&lt;&gt;"",LOWER(TRIM($W337))&lt;&gt;"n/a",COUNTIF($W$2:$W$532,$W337)&gt;1)),"Yes","No"),IF($A337="Cybernet",IF(OR(AND($Y337&lt;&gt;"",LOWER(TRIM($Y337))&lt;&gt;"n/a",COUNTIF($Y$2:$Y$532,$Y337)&gt;1),AND($Z337&lt;&gt;"",LOWER(TRIM($Z337))&lt;&gt;"n/a",COUNTIF($Z$2:$Z$532,$Z337)&gt;1)),"Yes","No"),IF(AND($AL337&lt;&gt;"",LOWER(TRIM($AL337))&lt;&gt;"n/a",COUNTIF($AL$2:$AL$532,$AL337)&gt;1),"Yes","No"))))</f>
      </c>
      <c r="F337">
        <f>IF($B337&lt;&gt;"Yes","",
IF($A337="Neuron",
IF(OR(
AND($S337&lt;&gt;"",LOWER(TRIM($S337))&lt;&gt;"n/a",COUNTIFS($B$2:$B$532,"Yes",$A$2:$A$532,"Neuron",$S$2:$S$532,$S337)&gt;1),
AND($T337&lt;&gt;"",LOWER(TRIM($T337))&lt;&gt;"n/a",COUNTIFS($B$2:$B$532,"Yes",$A$2:$A$532,"Neuron",$T$2:$T$532,$T337)&gt;1),
AND($W337&lt;&gt;"",LOWER(TRIM($W337))&lt;&gt;"n/a",COUNTIFS($B$2:$B$532,"Yes",$A$2:$A$532,"Neuron",$W$2:$W$532,$W337)&gt;1)
),"Yes","No"),
IF($A337="Cybernet",
IF(OR(
AND($Y337&lt;&gt;"",LOWER(TRIM($Y337))&lt;&gt;"n/a",COUNTIFS($B$2:$B$532,"Yes",$A$2:$A$532,"Cybernet",$Y$2:$Y$532,$Y337)&gt;1),
AND($Z337&lt;&gt;"",LOWER(TRIM($Z337))&lt;&gt;"n/a",COUNTIFS($B$2:$B$532,"Yes",$A$2:$A$532,"Cybernet",$Z$2:$Z$532,$Z337)&gt;1)
),"Yes","No"),
IF(AND($AL337&lt;&gt;"",LOWER(TRIM($AL337))&lt;&gt;"n/a"),
IF(COUNTIFS($B$2:$B$532,"Yes",$A$2:$A$532,$A337,$AL$2:$AL$532,$AL337)&gt;1,"Yes","No"),
"No")
)
)
)</f>
      </c>
      <c r="BL337">
        <f>IF($T337="","",IF((IF(AND($AW337&lt;&gt;"Yes",$AW337&lt;&gt;"N/A"),"Power Cable, ","")&amp;IF(AND($AX337&lt;&gt;"Yes",$AX337&lt;&gt;"N/A"),"Battery, ","")&amp;IF(AND($BE337&lt;&gt;"Yes",$BE337&lt;&gt;"N/A"),"Firmware Download, ","")&amp;IF(AND(OR($BE337="Yes",$BE337="N/A"),$BF337&lt;&gt;"Yes",$BF337&lt;&gt;"N/A"),"Firmware Install, ","")&amp;IF(AND($BJ337&lt;&gt;"Yes",$BJ337&lt;&gt;"N/A"),"Device ID, ","")&amp;IF(AND($BK337&lt;&gt;"Yes",$BK337&lt;&gt;"N/A"),"Epic Beans Relay, ",""))="","",LEFT(IF(AND($AW337&lt;&gt;"Yes",$AW337&lt;&gt;"N/A"),"Power Cable, ","")&amp;IF(AND($AX337&lt;&gt;"Yes",$AX337&lt;&gt;"N/A"),"Battery, ","")&amp;IF(AND($BE337&lt;&gt;"Yes",$BE337&lt;&gt;"N/A"),"Firmware Download, ","")&amp;IF(AND(OR($BE337="Yes",$BE337="N/A"),$BF337&lt;&gt;"Yes",$BF337&lt;&gt;"N/A"),"Firmware Install, ","")&amp;IF(AND($BJ337&lt;&gt;"Yes",$BJ337&lt;&gt;"N/A"),"Device ID, ","")&amp;IF(AND($BK337&lt;&gt;"Yes",$BK337&lt;&gt;"N/A"),"Epic Beans Relay, ",""),LEN(IF(AND($AW337&lt;&gt;"Yes",$AW337&lt;&gt;"N/A"),"Power Cable, ","")&amp;IF(AND($AX337&lt;&gt;"Yes",$AX337&lt;&gt;"N/A"),"Battery, ","")&amp;IF(AND($BE337&lt;&gt;"Yes",$BE337&lt;&gt;"N/A"),"Firmware Download, ","")&amp;IF(AND(OR($BE337="Yes",$BE337="N/A"),$BF337&lt;&gt;"Yes",$BF337&lt;&gt;"N/A"),"Firmware Install, ","")&amp;IF(AND($BJ337&lt;&gt;"Yes",$BJ337&lt;&gt;"N/A"),"Device ID, ","")&amp;IF(AND($BK337&lt;&gt;"Yes",$BK337&lt;&gt;"N/A"),"Epic Beans Relay, ",""))-2)))</f>
      </c>
      <c r="BM337">
        <f>IF($T337="","",IF($BL337="","Yes","Blocked"))</f>
      </c>
      <c r="BP337">
        <f>IF($BO337="","",IFERROR(VLOOKUP($BO337,'01_Warehouse_Ledger'!$A:$N,4,FALSE),""))</f>
      </c>
      <c r="BQ337">
        <f>IF($BO337="","",IFERROR(VLOOKUP($BO337,'01_Warehouse_Ledger'!$A:$N,5,FALSE),""))</f>
      </c>
      <c r="BR337">
        <f>IF($BO337="","",IFERROR(VLOOKUP($BO337,'01_Warehouse_Ledger'!$A:$N,13,FALSE),""))</f>
      </c>
    </row>
    <row r="338">
      <c r="D338">
        <f>IF($B338&lt;&gt;"Yes","",IF($C338="No","Yes",IF($C338="Yes","No","")))</f>
      </c>
      <c r="E338">
        <f>IF($A338="","",IF($A338="Neuron",IF(OR(AND($S338&lt;&gt;"",LOWER(TRIM($S338))&lt;&gt;"n/a",COUNTIF($S$2:$S$532,$S338)&gt;1),AND($T338&lt;&gt;"",LOWER(TRIM($T338))&lt;&gt;"n/a",COUNTIF($T$2:$T$532,$T338)&gt;1),AND($W338&lt;&gt;"",LOWER(TRIM($W338))&lt;&gt;"n/a",COUNTIF($W$2:$W$532,$W338)&gt;1)),"Yes","No"),IF($A338="Cybernet",IF(OR(AND($Y338&lt;&gt;"",LOWER(TRIM($Y338))&lt;&gt;"n/a",COUNTIF($Y$2:$Y$532,$Y338)&gt;1),AND($Z338&lt;&gt;"",LOWER(TRIM($Z338))&lt;&gt;"n/a",COUNTIF($Z$2:$Z$532,$Z338)&gt;1)),"Yes","No"),IF(AND($AL338&lt;&gt;"",LOWER(TRIM($AL338))&lt;&gt;"n/a",COUNTIF($AL$2:$AL$532,$AL338)&gt;1),"Yes","No"))))</f>
      </c>
      <c r="F338">
        <f>IF($B338&lt;&gt;"Yes","",
IF($A338="Neuron",
IF(OR(
AND($S338&lt;&gt;"",LOWER(TRIM($S338))&lt;&gt;"n/a",COUNTIFS($B$2:$B$532,"Yes",$A$2:$A$532,"Neuron",$S$2:$S$532,$S338)&gt;1),
AND($T338&lt;&gt;"",LOWER(TRIM($T338))&lt;&gt;"n/a",COUNTIFS($B$2:$B$532,"Yes",$A$2:$A$532,"Neuron",$T$2:$T$532,$T338)&gt;1),
AND($W338&lt;&gt;"",LOWER(TRIM($W338))&lt;&gt;"n/a",COUNTIFS($B$2:$B$532,"Yes",$A$2:$A$532,"Neuron",$W$2:$W$532,$W338)&gt;1)
),"Yes","No"),
IF($A338="Cybernet",
IF(OR(
AND($Y338&lt;&gt;"",LOWER(TRIM($Y338))&lt;&gt;"n/a",COUNTIFS($B$2:$B$532,"Yes",$A$2:$A$532,"Cybernet",$Y$2:$Y$532,$Y338)&gt;1),
AND($Z338&lt;&gt;"",LOWER(TRIM($Z338))&lt;&gt;"n/a",COUNTIFS($B$2:$B$532,"Yes",$A$2:$A$532,"Cybernet",$Z$2:$Z$532,$Z338)&gt;1)
),"Yes","No"),
IF(AND($AL338&lt;&gt;"",LOWER(TRIM($AL338))&lt;&gt;"n/a"),
IF(COUNTIFS($B$2:$B$532,"Yes",$A$2:$A$532,$A338,$AL$2:$AL$532,$AL338)&gt;1,"Yes","No"),
"No")
)
)
)</f>
      </c>
      <c r="BL338">
        <f>IF($T338="","",IF((IF(AND($AW338&lt;&gt;"Yes",$AW338&lt;&gt;"N/A"),"Power Cable, ","")&amp;IF(AND($AX338&lt;&gt;"Yes",$AX338&lt;&gt;"N/A"),"Battery, ","")&amp;IF(AND($BE338&lt;&gt;"Yes",$BE338&lt;&gt;"N/A"),"Firmware Download, ","")&amp;IF(AND(OR($BE338="Yes",$BE338="N/A"),$BF338&lt;&gt;"Yes",$BF338&lt;&gt;"N/A"),"Firmware Install, ","")&amp;IF(AND($BJ338&lt;&gt;"Yes",$BJ338&lt;&gt;"N/A"),"Device ID, ","")&amp;IF(AND($BK338&lt;&gt;"Yes",$BK338&lt;&gt;"N/A"),"Epic Beans Relay, ",""))="","",LEFT(IF(AND($AW338&lt;&gt;"Yes",$AW338&lt;&gt;"N/A"),"Power Cable, ","")&amp;IF(AND($AX338&lt;&gt;"Yes",$AX338&lt;&gt;"N/A"),"Battery, ","")&amp;IF(AND($BE338&lt;&gt;"Yes",$BE338&lt;&gt;"N/A"),"Firmware Download, ","")&amp;IF(AND(OR($BE338="Yes",$BE338="N/A"),$BF338&lt;&gt;"Yes",$BF338&lt;&gt;"N/A"),"Firmware Install, ","")&amp;IF(AND($BJ338&lt;&gt;"Yes",$BJ338&lt;&gt;"N/A"),"Device ID, ","")&amp;IF(AND($BK338&lt;&gt;"Yes",$BK338&lt;&gt;"N/A"),"Epic Beans Relay, ",""),LEN(IF(AND($AW338&lt;&gt;"Yes",$AW338&lt;&gt;"N/A"),"Power Cable, ","")&amp;IF(AND($AX338&lt;&gt;"Yes",$AX338&lt;&gt;"N/A"),"Battery, ","")&amp;IF(AND($BE338&lt;&gt;"Yes",$BE338&lt;&gt;"N/A"),"Firmware Download, ","")&amp;IF(AND(OR($BE338="Yes",$BE338="N/A"),$BF338&lt;&gt;"Yes",$BF338&lt;&gt;"N/A"),"Firmware Install, ","")&amp;IF(AND($BJ338&lt;&gt;"Yes",$BJ338&lt;&gt;"N/A"),"Device ID, ","")&amp;IF(AND($BK338&lt;&gt;"Yes",$BK338&lt;&gt;"N/A"),"Epic Beans Relay, ",""))-2)))</f>
      </c>
      <c r="BM338">
        <f>IF($T338="","",IF($BL338="","Yes","Blocked"))</f>
      </c>
      <c r="BP338">
        <f>IF($BO338="","",IFERROR(VLOOKUP($BO338,'01_Warehouse_Ledger'!$A:$N,4,FALSE),""))</f>
      </c>
      <c r="BQ338">
        <f>IF($BO338="","",IFERROR(VLOOKUP($BO338,'01_Warehouse_Ledger'!$A:$N,5,FALSE),""))</f>
      </c>
      <c r="BR338">
        <f>IF($BO338="","",IFERROR(VLOOKUP($BO338,'01_Warehouse_Ledger'!$A:$N,13,FALSE),""))</f>
      </c>
    </row>
    <row r="339">
      <c r="D339">
        <f>IF($B339&lt;&gt;"Yes","",IF($C339="No","Yes",IF($C339="Yes","No","")))</f>
      </c>
      <c r="E339">
        <f>IF($A339="","",IF($A339="Neuron",IF(OR(AND($S339&lt;&gt;"",LOWER(TRIM($S339))&lt;&gt;"n/a",COUNTIF($S$2:$S$532,$S339)&gt;1),AND($T339&lt;&gt;"",LOWER(TRIM($T339))&lt;&gt;"n/a",COUNTIF($T$2:$T$532,$T339)&gt;1),AND($W339&lt;&gt;"",LOWER(TRIM($W339))&lt;&gt;"n/a",COUNTIF($W$2:$W$532,$W339)&gt;1)),"Yes","No"),IF($A339="Cybernet",IF(OR(AND($Y339&lt;&gt;"",LOWER(TRIM($Y339))&lt;&gt;"n/a",COUNTIF($Y$2:$Y$532,$Y339)&gt;1),AND($Z339&lt;&gt;"",LOWER(TRIM($Z339))&lt;&gt;"n/a",COUNTIF($Z$2:$Z$532,$Z339)&gt;1)),"Yes","No"),IF(AND($AL339&lt;&gt;"",LOWER(TRIM($AL339))&lt;&gt;"n/a",COUNTIF($AL$2:$AL$532,$AL339)&gt;1),"Yes","No"))))</f>
      </c>
      <c r="F339">
        <f>IF($B339&lt;&gt;"Yes","",
IF($A339="Neuron",
IF(OR(
AND($S339&lt;&gt;"",LOWER(TRIM($S339))&lt;&gt;"n/a",COUNTIFS($B$2:$B$532,"Yes",$A$2:$A$532,"Neuron",$S$2:$S$532,$S339)&gt;1),
AND($T339&lt;&gt;"",LOWER(TRIM($T339))&lt;&gt;"n/a",COUNTIFS($B$2:$B$532,"Yes",$A$2:$A$532,"Neuron",$T$2:$T$532,$T339)&gt;1),
AND($W339&lt;&gt;"",LOWER(TRIM($W339))&lt;&gt;"n/a",COUNTIFS($B$2:$B$532,"Yes",$A$2:$A$532,"Neuron",$W$2:$W$532,$W339)&gt;1)
),"Yes","No"),
IF($A339="Cybernet",
IF(OR(
AND($Y339&lt;&gt;"",LOWER(TRIM($Y339))&lt;&gt;"n/a",COUNTIFS($B$2:$B$532,"Yes",$A$2:$A$532,"Cybernet",$Y$2:$Y$532,$Y339)&gt;1),
AND($Z339&lt;&gt;"",LOWER(TRIM($Z339))&lt;&gt;"n/a",COUNTIFS($B$2:$B$532,"Yes",$A$2:$A$532,"Cybernet",$Z$2:$Z$532,$Z339)&gt;1)
),"Yes","No"),
IF(AND($AL339&lt;&gt;"",LOWER(TRIM($AL339))&lt;&gt;"n/a"),
IF(COUNTIFS($B$2:$B$532,"Yes",$A$2:$A$532,$A339,$AL$2:$AL$532,$AL339)&gt;1,"Yes","No"),
"No")
)
)
)</f>
      </c>
      <c r="BL339">
        <f>IF($T339="","",IF((IF(AND($AW339&lt;&gt;"Yes",$AW339&lt;&gt;"N/A"),"Power Cable, ","")&amp;IF(AND($AX339&lt;&gt;"Yes",$AX339&lt;&gt;"N/A"),"Battery, ","")&amp;IF(AND($BE339&lt;&gt;"Yes",$BE339&lt;&gt;"N/A"),"Firmware Download, ","")&amp;IF(AND(OR($BE339="Yes",$BE339="N/A"),$BF339&lt;&gt;"Yes",$BF339&lt;&gt;"N/A"),"Firmware Install, ","")&amp;IF(AND($BJ339&lt;&gt;"Yes",$BJ339&lt;&gt;"N/A"),"Device ID, ","")&amp;IF(AND($BK339&lt;&gt;"Yes",$BK339&lt;&gt;"N/A"),"Epic Beans Relay, ",""))="","",LEFT(IF(AND($AW339&lt;&gt;"Yes",$AW339&lt;&gt;"N/A"),"Power Cable, ","")&amp;IF(AND($AX339&lt;&gt;"Yes",$AX339&lt;&gt;"N/A"),"Battery, ","")&amp;IF(AND($BE339&lt;&gt;"Yes",$BE339&lt;&gt;"N/A"),"Firmware Download, ","")&amp;IF(AND(OR($BE339="Yes",$BE339="N/A"),$BF339&lt;&gt;"Yes",$BF339&lt;&gt;"N/A"),"Firmware Install, ","")&amp;IF(AND($BJ339&lt;&gt;"Yes",$BJ339&lt;&gt;"N/A"),"Device ID, ","")&amp;IF(AND($BK339&lt;&gt;"Yes",$BK339&lt;&gt;"N/A"),"Epic Beans Relay, ",""),LEN(IF(AND($AW339&lt;&gt;"Yes",$AW339&lt;&gt;"N/A"),"Power Cable, ","")&amp;IF(AND($AX339&lt;&gt;"Yes",$AX339&lt;&gt;"N/A"),"Battery, ","")&amp;IF(AND($BE339&lt;&gt;"Yes",$BE339&lt;&gt;"N/A"),"Firmware Download, ","")&amp;IF(AND(OR($BE339="Yes",$BE339="N/A"),$BF339&lt;&gt;"Yes",$BF339&lt;&gt;"N/A"),"Firmware Install, ","")&amp;IF(AND($BJ339&lt;&gt;"Yes",$BJ339&lt;&gt;"N/A"),"Device ID, ","")&amp;IF(AND($BK339&lt;&gt;"Yes",$BK339&lt;&gt;"N/A"),"Epic Beans Relay, ",""))-2)))</f>
      </c>
      <c r="BM339">
        <f>IF($T339="","",IF($BL339="","Yes","Blocked"))</f>
      </c>
      <c r="BP339">
        <f>IF($BO339="","",IFERROR(VLOOKUP($BO339,'01_Warehouse_Ledger'!$A:$N,4,FALSE),""))</f>
      </c>
      <c r="BQ339">
        <f>IF($BO339="","",IFERROR(VLOOKUP($BO339,'01_Warehouse_Ledger'!$A:$N,5,FALSE),""))</f>
      </c>
      <c r="BR339">
        <f>IF($BO339="","",IFERROR(VLOOKUP($BO339,'01_Warehouse_Ledger'!$A:$N,13,FALSE),""))</f>
      </c>
    </row>
    <row r="340">
      <c r="D340">
        <f>IF($B340&lt;&gt;"Yes","",IF($C340="No","Yes",IF($C340="Yes","No","")))</f>
      </c>
      <c r="E340">
        <f>IF($A340="","",IF($A340="Neuron",IF(OR(AND($S340&lt;&gt;"",LOWER(TRIM($S340))&lt;&gt;"n/a",COUNTIF($S$2:$S$532,$S340)&gt;1),AND($T340&lt;&gt;"",LOWER(TRIM($T340))&lt;&gt;"n/a",COUNTIF($T$2:$T$532,$T340)&gt;1),AND($W340&lt;&gt;"",LOWER(TRIM($W340))&lt;&gt;"n/a",COUNTIF($W$2:$W$532,$W340)&gt;1)),"Yes","No"),IF($A340="Cybernet",IF(OR(AND($Y340&lt;&gt;"",LOWER(TRIM($Y340))&lt;&gt;"n/a",COUNTIF($Y$2:$Y$532,$Y340)&gt;1),AND($Z340&lt;&gt;"",LOWER(TRIM($Z340))&lt;&gt;"n/a",COUNTIF($Z$2:$Z$532,$Z340)&gt;1)),"Yes","No"),IF(AND($AL340&lt;&gt;"",LOWER(TRIM($AL340))&lt;&gt;"n/a",COUNTIF($AL$2:$AL$532,$AL340)&gt;1),"Yes","No"))))</f>
      </c>
      <c r="F340">
        <f>IF($B340&lt;&gt;"Yes","",
IF($A340="Neuron",
IF(OR(
AND($S340&lt;&gt;"",LOWER(TRIM($S340))&lt;&gt;"n/a",COUNTIFS($B$2:$B$532,"Yes",$A$2:$A$532,"Neuron",$S$2:$S$532,$S340)&gt;1),
AND($T340&lt;&gt;"",LOWER(TRIM($T340))&lt;&gt;"n/a",COUNTIFS($B$2:$B$532,"Yes",$A$2:$A$532,"Neuron",$T$2:$T$532,$T340)&gt;1),
AND($W340&lt;&gt;"",LOWER(TRIM($W340))&lt;&gt;"n/a",COUNTIFS($B$2:$B$532,"Yes",$A$2:$A$532,"Neuron",$W$2:$W$532,$W340)&gt;1)
),"Yes","No"),
IF($A340="Cybernet",
IF(OR(
AND($Y340&lt;&gt;"",LOWER(TRIM($Y340))&lt;&gt;"n/a",COUNTIFS($B$2:$B$532,"Yes",$A$2:$A$532,"Cybernet",$Y$2:$Y$532,$Y340)&gt;1),
AND($Z340&lt;&gt;"",LOWER(TRIM($Z340))&lt;&gt;"n/a",COUNTIFS($B$2:$B$532,"Yes",$A$2:$A$532,"Cybernet",$Z$2:$Z$532,$Z340)&gt;1)
),"Yes","No"),
IF(AND($AL340&lt;&gt;"",LOWER(TRIM($AL340))&lt;&gt;"n/a"),
IF(COUNTIFS($B$2:$B$532,"Yes",$A$2:$A$532,$A340,$AL$2:$AL$532,$AL340)&gt;1,"Yes","No"),
"No")
)
)
)</f>
      </c>
      <c r="BL340">
        <f>IF($T340="","",IF((IF(AND($AW340&lt;&gt;"Yes",$AW340&lt;&gt;"N/A"),"Power Cable, ","")&amp;IF(AND($AX340&lt;&gt;"Yes",$AX340&lt;&gt;"N/A"),"Battery, ","")&amp;IF(AND($BE340&lt;&gt;"Yes",$BE340&lt;&gt;"N/A"),"Firmware Download, ","")&amp;IF(AND(OR($BE340="Yes",$BE340="N/A"),$BF340&lt;&gt;"Yes",$BF340&lt;&gt;"N/A"),"Firmware Install, ","")&amp;IF(AND($BJ340&lt;&gt;"Yes",$BJ340&lt;&gt;"N/A"),"Device ID, ","")&amp;IF(AND($BK340&lt;&gt;"Yes",$BK340&lt;&gt;"N/A"),"Epic Beans Relay, ",""))="","",LEFT(IF(AND($AW340&lt;&gt;"Yes",$AW340&lt;&gt;"N/A"),"Power Cable, ","")&amp;IF(AND($AX340&lt;&gt;"Yes",$AX340&lt;&gt;"N/A"),"Battery, ","")&amp;IF(AND($BE340&lt;&gt;"Yes",$BE340&lt;&gt;"N/A"),"Firmware Download, ","")&amp;IF(AND(OR($BE340="Yes",$BE340="N/A"),$BF340&lt;&gt;"Yes",$BF340&lt;&gt;"N/A"),"Firmware Install, ","")&amp;IF(AND($BJ340&lt;&gt;"Yes",$BJ340&lt;&gt;"N/A"),"Device ID, ","")&amp;IF(AND($BK340&lt;&gt;"Yes",$BK340&lt;&gt;"N/A"),"Epic Beans Relay, ",""),LEN(IF(AND($AW340&lt;&gt;"Yes",$AW340&lt;&gt;"N/A"),"Power Cable, ","")&amp;IF(AND($AX340&lt;&gt;"Yes",$AX340&lt;&gt;"N/A"),"Battery, ","")&amp;IF(AND($BE340&lt;&gt;"Yes",$BE340&lt;&gt;"N/A"),"Firmware Download, ","")&amp;IF(AND(OR($BE340="Yes",$BE340="N/A"),$BF340&lt;&gt;"Yes",$BF340&lt;&gt;"N/A"),"Firmware Install, ","")&amp;IF(AND($BJ340&lt;&gt;"Yes",$BJ340&lt;&gt;"N/A"),"Device ID, ","")&amp;IF(AND($BK340&lt;&gt;"Yes",$BK340&lt;&gt;"N/A"),"Epic Beans Relay, ",""))-2)))</f>
      </c>
      <c r="BM340">
        <f>IF($T340="","",IF($BL340="","Yes","Blocked"))</f>
      </c>
      <c r="BP340">
        <f>IF($BO340="","",IFERROR(VLOOKUP($BO340,'01_Warehouse_Ledger'!$A:$N,4,FALSE),""))</f>
      </c>
      <c r="BQ340">
        <f>IF($BO340="","",IFERROR(VLOOKUP($BO340,'01_Warehouse_Ledger'!$A:$N,5,FALSE),""))</f>
      </c>
      <c r="BR340">
        <f>IF($BO340="","",IFERROR(VLOOKUP($BO340,'01_Warehouse_Ledger'!$A:$N,13,FALSE),""))</f>
      </c>
    </row>
    <row r="341">
      <c r="D341">
        <f>IF($B341&lt;&gt;"Yes","",IF($C341="No","Yes",IF($C341="Yes","No","")))</f>
      </c>
      <c r="E341">
        <f>IF($A341="","",IF($A341="Neuron",IF(OR(AND($S341&lt;&gt;"",LOWER(TRIM($S341))&lt;&gt;"n/a",COUNTIF($S$2:$S$532,$S341)&gt;1),AND($T341&lt;&gt;"",LOWER(TRIM($T341))&lt;&gt;"n/a",COUNTIF($T$2:$T$532,$T341)&gt;1),AND($W341&lt;&gt;"",LOWER(TRIM($W341))&lt;&gt;"n/a",COUNTIF($W$2:$W$532,$W341)&gt;1)),"Yes","No"),IF($A341="Cybernet",IF(OR(AND($Y341&lt;&gt;"",LOWER(TRIM($Y341))&lt;&gt;"n/a",COUNTIF($Y$2:$Y$532,$Y341)&gt;1),AND($Z341&lt;&gt;"",LOWER(TRIM($Z341))&lt;&gt;"n/a",COUNTIF($Z$2:$Z$532,$Z341)&gt;1)),"Yes","No"),IF(AND($AL341&lt;&gt;"",LOWER(TRIM($AL341))&lt;&gt;"n/a",COUNTIF($AL$2:$AL$532,$AL341)&gt;1),"Yes","No"))))</f>
      </c>
      <c r="F341">
        <f>IF($B341&lt;&gt;"Yes","",
IF($A341="Neuron",
IF(OR(
AND($S341&lt;&gt;"",LOWER(TRIM($S341))&lt;&gt;"n/a",COUNTIFS($B$2:$B$532,"Yes",$A$2:$A$532,"Neuron",$S$2:$S$532,$S341)&gt;1),
AND($T341&lt;&gt;"",LOWER(TRIM($T341))&lt;&gt;"n/a",COUNTIFS($B$2:$B$532,"Yes",$A$2:$A$532,"Neuron",$T$2:$T$532,$T341)&gt;1),
AND($W341&lt;&gt;"",LOWER(TRIM($W341))&lt;&gt;"n/a",COUNTIFS($B$2:$B$532,"Yes",$A$2:$A$532,"Neuron",$W$2:$W$532,$W341)&gt;1)
),"Yes","No"),
IF($A341="Cybernet",
IF(OR(
AND($Y341&lt;&gt;"",LOWER(TRIM($Y341))&lt;&gt;"n/a",COUNTIFS($B$2:$B$532,"Yes",$A$2:$A$532,"Cybernet",$Y$2:$Y$532,$Y341)&gt;1),
AND($Z341&lt;&gt;"",LOWER(TRIM($Z341))&lt;&gt;"n/a",COUNTIFS($B$2:$B$532,"Yes",$A$2:$A$532,"Cybernet",$Z$2:$Z$532,$Z341)&gt;1)
),"Yes","No"),
IF(AND($AL341&lt;&gt;"",LOWER(TRIM($AL341))&lt;&gt;"n/a"),
IF(COUNTIFS($B$2:$B$532,"Yes",$A$2:$A$532,$A341,$AL$2:$AL$532,$AL341)&gt;1,"Yes","No"),
"No")
)
)
)</f>
      </c>
      <c r="BL341">
        <f>IF($T341="","",IF((IF(AND($AW341&lt;&gt;"Yes",$AW341&lt;&gt;"N/A"),"Power Cable, ","")&amp;IF(AND($AX341&lt;&gt;"Yes",$AX341&lt;&gt;"N/A"),"Battery, ","")&amp;IF(AND($BE341&lt;&gt;"Yes",$BE341&lt;&gt;"N/A"),"Firmware Download, ","")&amp;IF(AND(OR($BE341="Yes",$BE341="N/A"),$BF341&lt;&gt;"Yes",$BF341&lt;&gt;"N/A"),"Firmware Install, ","")&amp;IF(AND($BJ341&lt;&gt;"Yes",$BJ341&lt;&gt;"N/A"),"Device ID, ","")&amp;IF(AND($BK341&lt;&gt;"Yes",$BK341&lt;&gt;"N/A"),"Epic Beans Relay, ",""))="","",LEFT(IF(AND($AW341&lt;&gt;"Yes",$AW341&lt;&gt;"N/A"),"Power Cable, ","")&amp;IF(AND($AX341&lt;&gt;"Yes",$AX341&lt;&gt;"N/A"),"Battery, ","")&amp;IF(AND($BE341&lt;&gt;"Yes",$BE341&lt;&gt;"N/A"),"Firmware Download, ","")&amp;IF(AND(OR($BE341="Yes",$BE341="N/A"),$BF341&lt;&gt;"Yes",$BF341&lt;&gt;"N/A"),"Firmware Install, ","")&amp;IF(AND($BJ341&lt;&gt;"Yes",$BJ341&lt;&gt;"N/A"),"Device ID, ","")&amp;IF(AND($BK341&lt;&gt;"Yes",$BK341&lt;&gt;"N/A"),"Epic Beans Relay, ",""),LEN(IF(AND($AW341&lt;&gt;"Yes",$AW341&lt;&gt;"N/A"),"Power Cable, ","")&amp;IF(AND($AX341&lt;&gt;"Yes",$AX341&lt;&gt;"N/A"),"Battery, ","")&amp;IF(AND($BE341&lt;&gt;"Yes",$BE341&lt;&gt;"N/A"),"Firmware Download, ","")&amp;IF(AND(OR($BE341="Yes",$BE341="N/A"),$BF341&lt;&gt;"Yes",$BF341&lt;&gt;"N/A"),"Firmware Install, ","")&amp;IF(AND($BJ341&lt;&gt;"Yes",$BJ341&lt;&gt;"N/A"),"Device ID, ","")&amp;IF(AND($BK341&lt;&gt;"Yes",$BK341&lt;&gt;"N/A"),"Epic Beans Relay, ",""))-2)))</f>
      </c>
      <c r="BM341">
        <f>IF($T341="","",IF($BL341="","Yes","Blocked"))</f>
      </c>
      <c r="BP341">
        <f>IF($BO341="","",IFERROR(VLOOKUP($BO341,'01_Warehouse_Ledger'!$A:$N,4,FALSE),""))</f>
      </c>
      <c r="BQ341">
        <f>IF($BO341="","",IFERROR(VLOOKUP($BO341,'01_Warehouse_Ledger'!$A:$N,5,FALSE),""))</f>
      </c>
      <c r="BR341">
        <f>IF($BO341="","",IFERROR(VLOOKUP($BO341,'01_Warehouse_Ledger'!$A:$N,13,FALSE),""))</f>
      </c>
    </row>
    <row r="342">
      <c r="D342">
        <f>IF($B342&lt;&gt;"Yes","",IF($C342="No","Yes",IF($C342="Yes","No","")))</f>
      </c>
      <c r="E342">
        <f>IF($A342="","",IF($A342="Neuron",IF(OR(AND($S342&lt;&gt;"",LOWER(TRIM($S342))&lt;&gt;"n/a",COUNTIF($S$2:$S$532,$S342)&gt;1),AND($T342&lt;&gt;"",LOWER(TRIM($T342))&lt;&gt;"n/a",COUNTIF($T$2:$T$532,$T342)&gt;1),AND($W342&lt;&gt;"",LOWER(TRIM($W342))&lt;&gt;"n/a",COUNTIF($W$2:$W$532,$W342)&gt;1)),"Yes","No"),IF($A342="Cybernet",IF(OR(AND($Y342&lt;&gt;"",LOWER(TRIM($Y342))&lt;&gt;"n/a",COUNTIF($Y$2:$Y$532,$Y342)&gt;1),AND($Z342&lt;&gt;"",LOWER(TRIM($Z342))&lt;&gt;"n/a",COUNTIF($Z$2:$Z$532,$Z342)&gt;1)),"Yes","No"),IF(AND($AL342&lt;&gt;"",LOWER(TRIM($AL342))&lt;&gt;"n/a",COUNTIF($AL$2:$AL$532,$AL342)&gt;1),"Yes","No"))))</f>
      </c>
      <c r="F342">
        <f>IF($B342&lt;&gt;"Yes","",
IF($A342="Neuron",
IF(OR(
AND($S342&lt;&gt;"",LOWER(TRIM($S342))&lt;&gt;"n/a",COUNTIFS($B$2:$B$532,"Yes",$A$2:$A$532,"Neuron",$S$2:$S$532,$S342)&gt;1),
AND($T342&lt;&gt;"",LOWER(TRIM($T342))&lt;&gt;"n/a",COUNTIFS($B$2:$B$532,"Yes",$A$2:$A$532,"Neuron",$T$2:$T$532,$T342)&gt;1),
AND($W342&lt;&gt;"",LOWER(TRIM($W342))&lt;&gt;"n/a",COUNTIFS($B$2:$B$532,"Yes",$A$2:$A$532,"Neuron",$W$2:$W$532,$W342)&gt;1)
),"Yes","No"),
IF($A342="Cybernet",
IF(OR(
AND($Y342&lt;&gt;"",LOWER(TRIM($Y342))&lt;&gt;"n/a",COUNTIFS($B$2:$B$532,"Yes",$A$2:$A$532,"Cybernet",$Y$2:$Y$532,$Y342)&gt;1),
AND($Z342&lt;&gt;"",LOWER(TRIM($Z342))&lt;&gt;"n/a",COUNTIFS($B$2:$B$532,"Yes",$A$2:$A$532,"Cybernet",$Z$2:$Z$532,$Z342)&gt;1)
),"Yes","No"),
IF(AND($AL342&lt;&gt;"",LOWER(TRIM($AL342))&lt;&gt;"n/a"),
IF(COUNTIFS($B$2:$B$532,"Yes",$A$2:$A$532,$A342,$AL$2:$AL$532,$AL342)&gt;1,"Yes","No"),
"No")
)
)
)</f>
      </c>
      <c r="BL342">
        <f>IF($T342="","",IF((IF(AND($AW342&lt;&gt;"Yes",$AW342&lt;&gt;"N/A"),"Power Cable, ","")&amp;IF(AND($AX342&lt;&gt;"Yes",$AX342&lt;&gt;"N/A"),"Battery, ","")&amp;IF(AND($BE342&lt;&gt;"Yes",$BE342&lt;&gt;"N/A"),"Firmware Download, ","")&amp;IF(AND(OR($BE342="Yes",$BE342="N/A"),$BF342&lt;&gt;"Yes",$BF342&lt;&gt;"N/A"),"Firmware Install, ","")&amp;IF(AND($BJ342&lt;&gt;"Yes",$BJ342&lt;&gt;"N/A"),"Device ID, ","")&amp;IF(AND($BK342&lt;&gt;"Yes",$BK342&lt;&gt;"N/A"),"Epic Beans Relay, ",""))="","",LEFT(IF(AND($AW342&lt;&gt;"Yes",$AW342&lt;&gt;"N/A"),"Power Cable, ","")&amp;IF(AND($AX342&lt;&gt;"Yes",$AX342&lt;&gt;"N/A"),"Battery, ","")&amp;IF(AND($BE342&lt;&gt;"Yes",$BE342&lt;&gt;"N/A"),"Firmware Download, ","")&amp;IF(AND(OR($BE342="Yes",$BE342="N/A"),$BF342&lt;&gt;"Yes",$BF342&lt;&gt;"N/A"),"Firmware Install, ","")&amp;IF(AND($BJ342&lt;&gt;"Yes",$BJ342&lt;&gt;"N/A"),"Device ID, ","")&amp;IF(AND($BK342&lt;&gt;"Yes",$BK342&lt;&gt;"N/A"),"Epic Beans Relay, ",""),LEN(IF(AND($AW342&lt;&gt;"Yes",$AW342&lt;&gt;"N/A"),"Power Cable, ","")&amp;IF(AND($AX342&lt;&gt;"Yes",$AX342&lt;&gt;"N/A"),"Battery, ","")&amp;IF(AND($BE342&lt;&gt;"Yes",$BE342&lt;&gt;"N/A"),"Firmware Download, ","")&amp;IF(AND(OR($BE342="Yes",$BE342="N/A"),$BF342&lt;&gt;"Yes",$BF342&lt;&gt;"N/A"),"Firmware Install, ","")&amp;IF(AND($BJ342&lt;&gt;"Yes",$BJ342&lt;&gt;"N/A"),"Device ID, ","")&amp;IF(AND($BK342&lt;&gt;"Yes",$BK342&lt;&gt;"N/A"),"Epic Beans Relay, ",""))-2)))</f>
      </c>
      <c r="BM342">
        <f>IF($T342="","",IF($BL342="","Yes","Blocked"))</f>
      </c>
      <c r="BP342">
        <f>IF($BO342="","",IFERROR(VLOOKUP($BO342,'01_Warehouse_Ledger'!$A:$N,4,FALSE),""))</f>
      </c>
      <c r="BQ342">
        <f>IF($BO342="","",IFERROR(VLOOKUP($BO342,'01_Warehouse_Ledger'!$A:$N,5,FALSE),""))</f>
      </c>
      <c r="BR342">
        <f>IF($BO342="","",IFERROR(VLOOKUP($BO342,'01_Warehouse_Ledger'!$A:$N,13,FALSE),""))</f>
      </c>
    </row>
    <row r="343">
      <c r="D343">
        <f>IF($B343&lt;&gt;"Yes","",IF($C343="No","Yes",IF($C343="Yes","No","")))</f>
      </c>
      <c r="E343">
        <f>IF($A343="","",IF($A343="Neuron",IF(OR(AND($S343&lt;&gt;"",LOWER(TRIM($S343))&lt;&gt;"n/a",COUNTIF($S$2:$S$532,$S343)&gt;1),AND($T343&lt;&gt;"",LOWER(TRIM($T343))&lt;&gt;"n/a",COUNTIF($T$2:$T$532,$T343)&gt;1),AND($W343&lt;&gt;"",LOWER(TRIM($W343))&lt;&gt;"n/a",COUNTIF($W$2:$W$532,$W343)&gt;1)),"Yes","No"),IF($A343="Cybernet",IF(OR(AND($Y343&lt;&gt;"",LOWER(TRIM($Y343))&lt;&gt;"n/a",COUNTIF($Y$2:$Y$532,$Y343)&gt;1),AND($Z343&lt;&gt;"",LOWER(TRIM($Z343))&lt;&gt;"n/a",COUNTIF($Z$2:$Z$532,$Z343)&gt;1)),"Yes","No"),IF(AND($AL343&lt;&gt;"",LOWER(TRIM($AL343))&lt;&gt;"n/a",COUNTIF($AL$2:$AL$532,$AL343)&gt;1),"Yes","No"))))</f>
      </c>
      <c r="F343">
        <f>IF($B343&lt;&gt;"Yes","",
IF($A343="Neuron",
IF(OR(
AND($S343&lt;&gt;"",LOWER(TRIM($S343))&lt;&gt;"n/a",COUNTIFS($B$2:$B$532,"Yes",$A$2:$A$532,"Neuron",$S$2:$S$532,$S343)&gt;1),
AND($T343&lt;&gt;"",LOWER(TRIM($T343))&lt;&gt;"n/a",COUNTIFS($B$2:$B$532,"Yes",$A$2:$A$532,"Neuron",$T$2:$T$532,$T343)&gt;1),
AND($W343&lt;&gt;"",LOWER(TRIM($W343))&lt;&gt;"n/a",COUNTIFS($B$2:$B$532,"Yes",$A$2:$A$532,"Neuron",$W$2:$W$532,$W343)&gt;1)
),"Yes","No"),
IF($A343="Cybernet",
IF(OR(
AND($Y343&lt;&gt;"",LOWER(TRIM($Y343))&lt;&gt;"n/a",COUNTIFS($B$2:$B$532,"Yes",$A$2:$A$532,"Cybernet",$Y$2:$Y$532,$Y343)&gt;1),
AND($Z343&lt;&gt;"",LOWER(TRIM($Z343))&lt;&gt;"n/a",COUNTIFS($B$2:$B$532,"Yes",$A$2:$A$532,"Cybernet",$Z$2:$Z$532,$Z343)&gt;1)
),"Yes","No"),
IF(AND($AL343&lt;&gt;"",LOWER(TRIM($AL343))&lt;&gt;"n/a"),
IF(COUNTIFS($B$2:$B$532,"Yes",$A$2:$A$532,$A343,$AL$2:$AL$532,$AL343)&gt;1,"Yes","No"),
"No")
)
)
)</f>
      </c>
      <c r="BL343">
        <f>IF($T343="","",IF((IF(AND($AW343&lt;&gt;"Yes",$AW343&lt;&gt;"N/A"),"Power Cable, ","")&amp;IF(AND($AX343&lt;&gt;"Yes",$AX343&lt;&gt;"N/A"),"Battery, ","")&amp;IF(AND($BE343&lt;&gt;"Yes",$BE343&lt;&gt;"N/A"),"Firmware Download, ","")&amp;IF(AND(OR($BE343="Yes",$BE343="N/A"),$BF343&lt;&gt;"Yes",$BF343&lt;&gt;"N/A"),"Firmware Install, ","")&amp;IF(AND($BJ343&lt;&gt;"Yes",$BJ343&lt;&gt;"N/A"),"Device ID, ","")&amp;IF(AND($BK343&lt;&gt;"Yes",$BK343&lt;&gt;"N/A"),"Epic Beans Relay, ",""))="","",LEFT(IF(AND($AW343&lt;&gt;"Yes",$AW343&lt;&gt;"N/A"),"Power Cable, ","")&amp;IF(AND($AX343&lt;&gt;"Yes",$AX343&lt;&gt;"N/A"),"Battery, ","")&amp;IF(AND($BE343&lt;&gt;"Yes",$BE343&lt;&gt;"N/A"),"Firmware Download, ","")&amp;IF(AND(OR($BE343="Yes",$BE343="N/A"),$BF343&lt;&gt;"Yes",$BF343&lt;&gt;"N/A"),"Firmware Install, ","")&amp;IF(AND($BJ343&lt;&gt;"Yes",$BJ343&lt;&gt;"N/A"),"Device ID, ","")&amp;IF(AND($BK343&lt;&gt;"Yes",$BK343&lt;&gt;"N/A"),"Epic Beans Relay, ",""),LEN(IF(AND($AW343&lt;&gt;"Yes",$AW343&lt;&gt;"N/A"),"Power Cable, ","")&amp;IF(AND($AX343&lt;&gt;"Yes",$AX343&lt;&gt;"N/A"),"Battery, ","")&amp;IF(AND($BE343&lt;&gt;"Yes",$BE343&lt;&gt;"N/A"),"Firmware Download, ","")&amp;IF(AND(OR($BE343="Yes",$BE343="N/A"),$BF343&lt;&gt;"Yes",$BF343&lt;&gt;"N/A"),"Firmware Install, ","")&amp;IF(AND($BJ343&lt;&gt;"Yes",$BJ343&lt;&gt;"N/A"),"Device ID, ","")&amp;IF(AND($BK343&lt;&gt;"Yes",$BK343&lt;&gt;"N/A"),"Epic Beans Relay, ",""))-2)))</f>
      </c>
      <c r="BM343">
        <f>IF($T343="","",IF($BL343="","Yes","Blocked"))</f>
      </c>
      <c r="BP343">
        <f>IF($BO343="","",IFERROR(VLOOKUP($BO343,'01_Warehouse_Ledger'!$A:$N,4,FALSE),""))</f>
      </c>
      <c r="BQ343">
        <f>IF($BO343="","",IFERROR(VLOOKUP($BO343,'01_Warehouse_Ledger'!$A:$N,5,FALSE),""))</f>
      </c>
      <c r="BR343">
        <f>IF($BO343="","",IFERROR(VLOOKUP($BO343,'01_Warehouse_Ledger'!$A:$N,13,FALSE),""))</f>
      </c>
    </row>
    <row r="344">
      <c r="D344">
        <f>IF($B344&lt;&gt;"Yes","",IF($C344="No","Yes",IF($C344="Yes","No","")))</f>
      </c>
      <c r="E344">
        <f>IF($A344="","",IF($A344="Neuron",IF(OR(AND($S344&lt;&gt;"",LOWER(TRIM($S344))&lt;&gt;"n/a",COUNTIF($S$2:$S$532,$S344)&gt;1),AND($T344&lt;&gt;"",LOWER(TRIM($T344))&lt;&gt;"n/a",COUNTIF($T$2:$T$532,$T344)&gt;1),AND($W344&lt;&gt;"",LOWER(TRIM($W344))&lt;&gt;"n/a",COUNTIF($W$2:$W$532,$W344)&gt;1)),"Yes","No"),IF($A344="Cybernet",IF(OR(AND($Y344&lt;&gt;"",LOWER(TRIM($Y344))&lt;&gt;"n/a",COUNTIF($Y$2:$Y$532,$Y344)&gt;1),AND($Z344&lt;&gt;"",LOWER(TRIM($Z344))&lt;&gt;"n/a",COUNTIF($Z$2:$Z$532,$Z344)&gt;1)),"Yes","No"),IF(AND($AL344&lt;&gt;"",LOWER(TRIM($AL344))&lt;&gt;"n/a",COUNTIF($AL$2:$AL$532,$AL344)&gt;1),"Yes","No"))))</f>
      </c>
      <c r="F344">
        <f>IF($B344&lt;&gt;"Yes","",
IF($A344="Neuron",
IF(OR(
AND($S344&lt;&gt;"",LOWER(TRIM($S344))&lt;&gt;"n/a",COUNTIFS($B$2:$B$532,"Yes",$A$2:$A$532,"Neuron",$S$2:$S$532,$S344)&gt;1),
AND($T344&lt;&gt;"",LOWER(TRIM($T344))&lt;&gt;"n/a",COUNTIFS($B$2:$B$532,"Yes",$A$2:$A$532,"Neuron",$T$2:$T$532,$T344)&gt;1),
AND($W344&lt;&gt;"",LOWER(TRIM($W344))&lt;&gt;"n/a",COUNTIFS($B$2:$B$532,"Yes",$A$2:$A$532,"Neuron",$W$2:$W$532,$W344)&gt;1)
),"Yes","No"),
IF($A344="Cybernet",
IF(OR(
AND($Y344&lt;&gt;"",LOWER(TRIM($Y344))&lt;&gt;"n/a",COUNTIFS($B$2:$B$532,"Yes",$A$2:$A$532,"Cybernet",$Y$2:$Y$532,$Y344)&gt;1),
AND($Z344&lt;&gt;"",LOWER(TRIM($Z344))&lt;&gt;"n/a",COUNTIFS($B$2:$B$532,"Yes",$A$2:$A$532,"Cybernet",$Z$2:$Z$532,$Z344)&gt;1)
),"Yes","No"),
IF(AND($AL344&lt;&gt;"",LOWER(TRIM($AL344))&lt;&gt;"n/a"),
IF(COUNTIFS($B$2:$B$532,"Yes",$A$2:$A$532,$A344,$AL$2:$AL$532,$AL344)&gt;1,"Yes","No"),
"No")
)
)
)</f>
      </c>
      <c r="BL344">
        <f>IF($T344="","",IF((IF(AND($AW344&lt;&gt;"Yes",$AW344&lt;&gt;"N/A"),"Power Cable, ","")&amp;IF(AND($AX344&lt;&gt;"Yes",$AX344&lt;&gt;"N/A"),"Battery, ","")&amp;IF(AND($BE344&lt;&gt;"Yes",$BE344&lt;&gt;"N/A"),"Firmware Download, ","")&amp;IF(AND(OR($BE344="Yes",$BE344="N/A"),$BF344&lt;&gt;"Yes",$BF344&lt;&gt;"N/A"),"Firmware Install, ","")&amp;IF(AND($BJ344&lt;&gt;"Yes",$BJ344&lt;&gt;"N/A"),"Device ID, ","")&amp;IF(AND($BK344&lt;&gt;"Yes",$BK344&lt;&gt;"N/A"),"Epic Beans Relay, ",""))="","",LEFT(IF(AND($AW344&lt;&gt;"Yes",$AW344&lt;&gt;"N/A"),"Power Cable, ","")&amp;IF(AND($AX344&lt;&gt;"Yes",$AX344&lt;&gt;"N/A"),"Battery, ","")&amp;IF(AND($BE344&lt;&gt;"Yes",$BE344&lt;&gt;"N/A"),"Firmware Download, ","")&amp;IF(AND(OR($BE344="Yes",$BE344="N/A"),$BF344&lt;&gt;"Yes",$BF344&lt;&gt;"N/A"),"Firmware Install, ","")&amp;IF(AND($BJ344&lt;&gt;"Yes",$BJ344&lt;&gt;"N/A"),"Device ID, ","")&amp;IF(AND($BK344&lt;&gt;"Yes",$BK344&lt;&gt;"N/A"),"Epic Beans Relay, ",""),LEN(IF(AND($AW344&lt;&gt;"Yes",$AW344&lt;&gt;"N/A"),"Power Cable, ","")&amp;IF(AND($AX344&lt;&gt;"Yes",$AX344&lt;&gt;"N/A"),"Battery, ","")&amp;IF(AND($BE344&lt;&gt;"Yes",$BE344&lt;&gt;"N/A"),"Firmware Download, ","")&amp;IF(AND(OR($BE344="Yes",$BE344="N/A"),$BF344&lt;&gt;"Yes",$BF344&lt;&gt;"N/A"),"Firmware Install, ","")&amp;IF(AND($BJ344&lt;&gt;"Yes",$BJ344&lt;&gt;"N/A"),"Device ID, ","")&amp;IF(AND($BK344&lt;&gt;"Yes",$BK344&lt;&gt;"N/A"),"Epic Beans Relay, ",""))-2)))</f>
      </c>
      <c r="BM344">
        <f>IF($T344="","",IF($BL344="","Yes","Blocked"))</f>
      </c>
      <c r="BP344">
        <f>IF($BO344="","",IFERROR(VLOOKUP($BO344,'01_Warehouse_Ledger'!$A:$N,4,FALSE),""))</f>
      </c>
      <c r="BQ344">
        <f>IF($BO344="","",IFERROR(VLOOKUP($BO344,'01_Warehouse_Ledger'!$A:$N,5,FALSE),""))</f>
      </c>
      <c r="BR344">
        <f>IF($BO344="","",IFERROR(VLOOKUP($BO344,'01_Warehouse_Ledger'!$A:$N,13,FALSE),""))</f>
      </c>
    </row>
    <row r="345">
      <c r="D345">
        <f>IF($B345&lt;&gt;"Yes","",IF($C345="No","Yes",IF($C345="Yes","No","")))</f>
      </c>
      <c r="E345">
        <f>IF($A345="","",IF($A345="Neuron",IF(OR(AND($S345&lt;&gt;"",LOWER(TRIM($S345))&lt;&gt;"n/a",COUNTIF($S$2:$S$532,$S345)&gt;1),AND($T345&lt;&gt;"",LOWER(TRIM($T345))&lt;&gt;"n/a",COUNTIF($T$2:$T$532,$T345)&gt;1),AND($W345&lt;&gt;"",LOWER(TRIM($W345))&lt;&gt;"n/a",COUNTIF($W$2:$W$532,$W345)&gt;1)),"Yes","No"),IF($A345="Cybernet",IF(OR(AND($Y345&lt;&gt;"",LOWER(TRIM($Y345))&lt;&gt;"n/a",COUNTIF($Y$2:$Y$532,$Y345)&gt;1),AND($Z345&lt;&gt;"",LOWER(TRIM($Z345))&lt;&gt;"n/a",COUNTIF($Z$2:$Z$532,$Z345)&gt;1)),"Yes","No"),IF(AND($AL345&lt;&gt;"",LOWER(TRIM($AL345))&lt;&gt;"n/a",COUNTIF($AL$2:$AL$532,$AL345)&gt;1),"Yes","No"))))</f>
      </c>
      <c r="F345">
        <f>IF($B345&lt;&gt;"Yes","",
IF($A345="Neuron",
IF(OR(
AND($S345&lt;&gt;"",LOWER(TRIM($S345))&lt;&gt;"n/a",COUNTIFS($B$2:$B$532,"Yes",$A$2:$A$532,"Neuron",$S$2:$S$532,$S345)&gt;1),
AND($T345&lt;&gt;"",LOWER(TRIM($T345))&lt;&gt;"n/a",COUNTIFS($B$2:$B$532,"Yes",$A$2:$A$532,"Neuron",$T$2:$T$532,$T345)&gt;1),
AND($W345&lt;&gt;"",LOWER(TRIM($W345))&lt;&gt;"n/a",COUNTIFS($B$2:$B$532,"Yes",$A$2:$A$532,"Neuron",$W$2:$W$532,$W345)&gt;1)
),"Yes","No"),
IF($A345="Cybernet",
IF(OR(
AND($Y345&lt;&gt;"",LOWER(TRIM($Y345))&lt;&gt;"n/a",COUNTIFS($B$2:$B$532,"Yes",$A$2:$A$532,"Cybernet",$Y$2:$Y$532,$Y345)&gt;1),
AND($Z345&lt;&gt;"",LOWER(TRIM($Z345))&lt;&gt;"n/a",COUNTIFS($B$2:$B$532,"Yes",$A$2:$A$532,"Cybernet",$Z$2:$Z$532,$Z345)&gt;1)
),"Yes","No"),
IF(AND($AL345&lt;&gt;"",LOWER(TRIM($AL345))&lt;&gt;"n/a"),
IF(COUNTIFS($B$2:$B$532,"Yes",$A$2:$A$532,$A345,$AL$2:$AL$532,$AL345)&gt;1,"Yes","No"),
"No")
)
)
)</f>
      </c>
      <c r="BL345">
        <f>IF($T345="","",IF((IF(AND($AW345&lt;&gt;"Yes",$AW345&lt;&gt;"N/A"),"Power Cable, ","")&amp;IF(AND($AX345&lt;&gt;"Yes",$AX345&lt;&gt;"N/A"),"Battery, ","")&amp;IF(AND($BE345&lt;&gt;"Yes",$BE345&lt;&gt;"N/A"),"Firmware Download, ","")&amp;IF(AND(OR($BE345="Yes",$BE345="N/A"),$BF345&lt;&gt;"Yes",$BF345&lt;&gt;"N/A"),"Firmware Install, ","")&amp;IF(AND($BJ345&lt;&gt;"Yes",$BJ345&lt;&gt;"N/A"),"Device ID, ","")&amp;IF(AND($BK345&lt;&gt;"Yes",$BK345&lt;&gt;"N/A"),"Epic Beans Relay, ",""))="","",LEFT(IF(AND($AW345&lt;&gt;"Yes",$AW345&lt;&gt;"N/A"),"Power Cable, ","")&amp;IF(AND($AX345&lt;&gt;"Yes",$AX345&lt;&gt;"N/A"),"Battery, ","")&amp;IF(AND($BE345&lt;&gt;"Yes",$BE345&lt;&gt;"N/A"),"Firmware Download, ","")&amp;IF(AND(OR($BE345="Yes",$BE345="N/A"),$BF345&lt;&gt;"Yes",$BF345&lt;&gt;"N/A"),"Firmware Install, ","")&amp;IF(AND($BJ345&lt;&gt;"Yes",$BJ345&lt;&gt;"N/A"),"Device ID, ","")&amp;IF(AND($BK345&lt;&gt;"Yes",$BK345&lt;&gt;"N/A"),"Epic Beans Relay, ",""),LEN(IF(AND($AW345&lt;&gt;"Yes",$AW345&lt;&gt;"N/A"),"Power Cable, ","")&amp;IF(AND($AX345&lt;&gt;"Yes",$AX345&lt;&gt;"N/A"),"Battery, ","")&amp;IF(AND($BE345&lt;&gt;"Yes",$BE345&lt;&gt;"N/A"),"Firmware Download, ","")&amp;IF(AND(OR($BE345="Yes",$BE345="N/A"),$BF345&lt;&gt;"Yes",$BF345&lt;&gt;"N/A"),"Firmware Install, ","")&amp;IF(AND($BJ345&lt;&gt;"Yes",$BJ345&lt;&gt;"N/A"),"Device ID, ","")&amp;IF(AND($BK345&lt;&gt;"Yes",$BK345&lt;&gt;"N/A"),"Epic Beans Relay, ",""))-2)))</f>
      </c>
      <c r="BM345">
        <f>IF($T345="","",IF($BL345="","Yes","Blocked"))</f>
      </c>
      <c r="BP345">
        <f>IF($BO345="","",IFERROR(VLOOKUP($BO345,'01_Warehouse_Ledger'!$A:$N,4,FALSE),""))</f>
      </c>
      <c r="BQ345">
        <f>IF($BO345="","",IFERROR(VLOOKUP($BO345,'01_Warehouse_Ledger'!$A:$N,5,FALSE),""))</f>
      </c>
      <c r="BR345">
        <f>IF($BO345="","",IFERROR(VLOOKUP($BO345,'01_Warehouse_Ledger'!$A:$N,13,FALSE),""))</f>
      </c>
    </row>
    <row r="346">
      <c r="D346">
        <f>IF($B346&lt;&gt;"Yes","",IF($C346="No","Yes",IF($C346="Yes","No","")))</f>
      </c>
      <c r="E346">
        <f>IF($A346="","",IF($A346="Neuron",IF(OR(AND($S346&lt;&gt;"",LOWER(TRIM($S346))&lt;&gt;"n/a",COUNTIF($S$2:$S$532,$S346)&gt;1),AND($T346&lt;&gt;"",LOWER(TRIM($T346))&lt;&gt;"n/a",COUNTIF($T$2:$T$532,$T346)&gt;1),AND($W346&lt;&gt;"",LOWER(TRIM($W346))&lt;&gt;"n/a",COUNTIF($W$2:$W$532,$W346)&gt;1)),"Yes","No"),IF($A346="Cybernet",IF(OR(AND($Y346&lt;&gt;"",LOWER(TRIM($Y346))&lt;&gt;"n/a",COUNTIF($Y$2:$Y$532,$Y346)&gt;1),AND($Z346&lt;&gt;"",LOWER(TRIM($Z346))&lt;&gt;"n/a",COUNTIF($Z$2:$Z$532,$Z346)&gt;1)),"Yes","No"),IF(AND($AL346&lt;&gt;"",LOWER(TRIM($AL346))&lt;&gt;"n/a",COUNTIF($AL$2:$AL$532,$AL346)&gt;1),"Yes","No"))))</f>
      </c>
      <c r="F346">
        <f>IF($B346&lt;&gt;"Yes","",
IF($A346="Neuron",
IF(OR(
AND($S346&lt;&gt;"",LOWER(TRIM($S346))&lt;&gt;"n/a",COUNTIFS($B$2:$B$532,"Yes",$A$2:$A$532,"Neuron",$S$2:$S$532,$S346)&gt;1),
AND($T346&lt;&gt;"",LOWER(TRIM($T346))&lt;&gt;"n/a",COUNTIFS($B$2:$B$532,"Yes",$A$2:$A$532,"Neuron",$T$2:$T$532,$T346)&gt;1),
AND($W346&lt;&gt;"",LOWER(TRIM($W346))&lt;&gt;"n/a",COUNTIFS($B$2:$B$532,"Yes",$A$2:$A$532,"Neuron",$W$2:$W$532,$W346)&gt;1)
),"Yes","No"),
IF($A346="Cybernet",
IF(OR(
AND($Y346&lt;&gt;"",LOWER(TRIM($Y346))&lt;&gt;"n/a",COUNTIFS($B$2:$B$532,"Yes",$A$2:$A$532,"Cybernet",$Y$2:$Y$532,$Y346)&gt;1),
AND($Z346&lt;&gt;"",LOWER(TRIM($Z346))&lt;&gt;"n/a",COUNTIFS($B$2:$B$532,"Yes",$A$2:$A$532,"Cybernet",$Z$2:$Z$532,$Z346)&gt;1)
),"Yes","No"),
IF(AND($AL346&lt;&gt;"",LOWER(TRIM($AL346))&lt;&gt;"n/a"),
IF(COUNTIFS($B$2:$B$532,"Yes",$A$2:$A$532,$A346,$AL$2:$AL$532,$AL346)&gt;1,"Yes","No"),
"No")
)
)
)</f>
      </c>
      <c r="BL346">
        <f>IF($T346="","",IF((IF(AND($AW346&lt;&gt;"Yes",$AW346&lt;&gt;"N/A"),"Power Cable, ","")&amp;IF(AND($AX346&lt;&gt;"Yes",$AX346&lt;&gt;"N/A"),"Battery, ","")&amp;IF(AND($BE346&lt;&gt;"Yes",$BE346&lt;&gt;"N/A"),"Firmware Download, ","")&amp;IF(AND(OR($BE346="Yes",$BE346="N/A"),$BF346&lt;&gt;"Yes",$BF346&lt;&gt;"N/A"),"Firmware Install, ","")&amp;IF(AND($BJ346&lt;&gt;"Yes",$BJ346&lt;&gt;"N/A"),"Device ID, ","")&amp;IF(AND($BK346&lt;&gt;"Yes",$BK346&lt;&gt;"N/A"),"Epic Beans Relay, ",""))="","",LEFT(IF(AND($AW346&lt;&gt;"Yes",$AW346&lt;&gt;"N/A"),"Power Cable, ","")&amp;IF(AND($AX346&lt;&gt;"Yes",$AX346&lt;&gt;"N/A"),"Battery, ","")&amp;IF(AND($BE346&lt;&gt;"Yes",$BE346&lt;&gt;"N/A"),"Firmware Download, ","")&amp;IF(AND(OR($BE346="Yes",$BE346="N/A"),$BF346&lt;&gt;"Yes",$BF346&lt;&gt;"N/A"),"Firmware Install, ","")&amp;IF(AND($BJ346&lt;&gt;"Yes",$BJ346&lt;&gt;"N/A"),"Device ID, ","")&amp;IF(AND($BK346&lt;&gt;"Yes",$BK346&lt;&gt;"N/A"),"Epic Beans Relay, ",""),LEN(IF(AND($AW346&lt;&gt;"Yes",$AW346&lt;&gt;"N/A"),"Power Cable, ","")&amp;IF(AND($AX346&lt;&gt;"Yes",$AX346&lt;&gt;"N/A"),"Battery, ","")&amp;IF(AND($BE346&lt;&gt;"Yes",$BE346&lt;&gt;"N/A"),"Firmware Download, ","")&amp;IF(AND(OR($BE346="Yes",$BE346="N/A"),$BF346&lt;&gt;"Yes",$BF346&lt;&gt;"N/A"),"Firmware Install, ","")&amp;IF(AND($BJ346&lt;&gt;"Yes",$BJ346&lt;&gt;"N/A"),"Device ID, ","")&amp;IF(AND($BK346&lt;&gt;"Yes",$BK346&lt;&gt;"N/A"),"Epic Beans Relay, ",""))-2)))</f>
      </c>
      <c r="BM346">
        <f>IF($T346="","",IF($BL346="","Yes","Blocked"))</f>
      </c>
      <c r="BP346">
        <f>IF($BO346="","",IFERROR(VLOOKUP($BO346,'01_Warehouse_Ledger'!$A:$N,4,FALSE),""))</f>
      </c>
      <c r="BQ346">
        <f>IF($BO346="","",IFERROR(VLOOKUP($BO346,'01_Warehouse_Ledger'!$A:$N,5,FALSE),""))</f>
      </c>
      <c r="BR346">
        <f>IF($BO346="","",IFERROR(VLOOKUP($BO346,'01_Warehouse_Ledger'!$A:$N,13,FALSE),""))</f>
      </c>
    </row>
    <row r="347">
      <c r="D347">
        <f>IF($B347&lt;&gt;"Yes","",IF($C347="No","Yes",IF($C347="Yes","No","")))</f>
      </c>
      <c r="E347">
        <f>IF($A347="","",IF($A347="Neuron",IF(OR(AND($S347&lt;&gt;"",LOWER(TRIM($S347))&lt;&gt;"n/a",COUNTIF($S$2:$S$532,$S347)&gt;1),AND($T347&lt;&gt;"",LOWER(TRIM($T347))&lt;&gt;"n/a",COUNTIF($T$2:$T$532,$T347)&gt;1),AND($W347&lt;&gt;"",LOWER(TRIM($W347))&lt;&gt;"n/a",COUNTIF($W$2:$W$532,$W347)&gt;1)),"Yes","No"),IF($A347="Cybernet",IF(OR(AND($Y347&lt;&gt;"",LOWER(TRIM($Y347))&lt;&gt;"n/a",COUNTIF($Y$2:$Y$532,$Y347)&gt;1),AND($Z347&lt;&gt;"",LOWER(TRIM($Z347))&lt;&gt;"n/a",COUNTIF($Z$2:$Z$532,$Z347)&gt;1)),"Yes","No"),IF(AND($AL347&lt;&gt;"",LOWER(TRIM($AL347))&lt;&gt;"n/a",COUNTIF($AL$2:$AL$532,$AL347)&gt;1),"Yes","No"))))</f>
      </c>
      <c r="F347">
        <f>IF($B347&lt;&gt;"Yes","",
IF($A347="Neuron",
IF(OR(
AND($S347&lt;&gt;"",LOWER(TRIM($S347))&lt;&gt;"n/a",COUNTIFS($B$2:$B$532,"Yes",$A$2:$A$532,"Neuron",$S$2:$S$532,$S347)&gt;1),
AND($T347&lt;&gt;"",LOWER(TRIM($T347))&lt;&gt;"n/a",COUNTIFS($B$2:$B$532,"Yes",$A$2:$A$532,"Neuron",$T$2:$T$532,$T347)&gt;1),
AND($W347&lt;&gt;"",LOWER(TRIM($W347))&lt;&gt;"n/a",COUNTIFS($B$2:$B$532,"Yes",$A$2:$A$532,"Neuron",$W$2:$W$532,$W347)&gt;1)
),"Yes","No"),
IF($A347="Cybernet",
IF(OR(
AND($Y347&lt;&gt;"",LOWER(TRIM($Y347))&lt;&gt;"n/a",COUNTIFS($B$2:$B$532,"Yes",$A$2:$A$532,"Cybernet",$Y$2:$Y$532,$Y347)&gt;1),
AND($Z347&lt;&gt;"",LOWER(TRIM($Z347))&lt;&gt;"n/a",COUNTIFS($B$2:$B$532,"Yes",$A$2:$A$532,"Cybernet",$Z$2:$Z$532,$Z347)&gt;1)
),"Yes","No"),
IF(AND($AL347&lt;&gt;"",LOWER(TRIM($AL347))&lt;&gt;"n/a"),
IF(COUNTIFS($B$2:$B$532,"Yes",$A$2:$A$532,$A347,$AL$2:$AL$532,$AL347)&gt;1,"Yes","No"),
"No")
)
)
)</f>
      </c>
      <c r="BL347">
        <f>IF($T347="","",IF((IF(AND($AW347&lt;&gt;"Yes",$AW347&lt;&gt;"N/A"),"Power Cable, ","")&amp;IF(AND($AX347&lt;&gt;"Yes",$AX347&lt;&gt;"N/A"),"Battery, ","")&amp;IF(AND($BE347&lt;&gt;"Yes",$BE347&lt;&gt;"N/A"),"Firmware Download, ","")&amp;IF(AND(OR($BE347="Yes",$BE347="N/A"),$BF347&lt;&gt;"Yes",$BF347&lt;&gt;"N/A"),"Firmware Install, ","")&amp;IF(AND($BJ347&lt;&gt;"Yes",$BJ347&lt;&gt;"N/A"),"Device ID, ","")&amp;IF(AND($BK347&lt;&gt;"Yes",$BK347&lt;&gt;"N/A"),"Epic Beans Relay, ",""))="","",LEFT(IF(AND($AW347&lt;&gt;"Yes",$AW347&lt;&gt;"N/A"),"Power Cable, ","")&amp;IF(AND($AX347&lt;&gt;"Yes",$AX347&lt;&gt;"N/A"),"Battery, ","")&amp;IF(AND($BE347&lt;&gt;"Yes",$BE347&lt;&gt;"N/A"),"Firmware Download, ","")&amp;IF(AND(OR($BE347="Yes",$BE347="N/A"),$BF347&lt;&gt;"Yes",$BF347&lt;&gt;"N/A"),"Firmware Install, ","")&amp;IF(AND($BJ347&lt;&gt;"Yes",$BJ347&lt;&gt;"N/A"),"Device ID, ","")&amp;IF(AND($BK347&lt;&gt;"Yes",$BK347&lt;&gt;"N/A"),"Epic Beans Relay, ",""),LEN(IF(AND($AW347&lt;&gt;"Yes",$AW347&lt;&gt;"N/A"),"Power Cable, ","")&amp;IF(AND($AX347&lt;&gt;"Yes",$AX347&lt;&gt;"N/A"),"Battery, ","")&amp;IF(AND($BE347&lt;&gt;"Yes",$BE347&lt;&gt;"N/A"),"Firmware Download, ","")&amp;IF(AND(OR($BE347="Yes",$BE347="N/A"),$BF347&lt;&gt;"Yes",$BF347&lt;&gt;"N/A"),"Firmware Install, ","")&amp;IF(AND($BJ347&lt;&gt;"Yes",$BJ347&lt;&gt;"N/A"),"Device ID, ","")&amp;IF(AND($BK347&lt;&gt;"Yes",$BK347&lt;&gt;"N/A"),"Epic Beans Relay, ",""))-2)))</f>
      </c>
      <c r="BM347">
        <f>IF($T347="","",IF($BL347="","Yes","Blocked"))</f>
      </c>
      <c r="BP347">
        <f>IF($BO347="","",IFERROR(VLOOKUP($BO347,'01_Warehouse_Ledger'!$A:$N,4,FALSE),""))</f>
      </c>
      <c r="BQ347">
        <f>IF($BO347="","",IFERROR(VLOOKUP($BO347,'01_Warehouse_Ledger'!$A:$N,5,FALSE),""))</f>
      </c>
      <c r="BR347">
        <f>IF($BO347="","",IFERROR(VLOOKUP($BO347,'01_Warehouse_Ledger'!$A:$N,13,FALSE),""))</f>
      </c>
    </row>
    <row r="348">
      <c r="D348">
        <f>IF($B348&lt;&gt;"Yes","",IF($C348="No","Yes",IF($C348="Yes","No","")))</f>
      </c>
      <c r="E348">
        <f>IF($A348="","",IF($A348="Neuron",IF(OR(AND($S348&lt;&gt;"",LOWER(TRIM($S348))&lt;&gt;"n/a",COUNTIF($S$2:$S$532,$S348)&gt;1),AND($T348&lt;&gt;"",LOWER(TRIM($T348))&lt;&gt;"n/a",COUNTIF($T$2:$T$532,$T348)&gt;1),AND($W348&lt;&gt;"",LOWER(TRIM($W348))&lt;&gt;"n/a",COUNTIF($W$2:$W$532,$W348)&gt;1)),"Yes","No"),IF($A348="Cybernet",IF(OR(AND($Y348&lt;&gt;"",LOWER(TRIM($Y348))&lt;&gt;"n/a",COUNTIF($Y$2:$Y$532,$Y348)&gt;1),AND($Z348&lt;&gt;"",LOWER(TRIM($Z348))&lt;&gt;"n/a",COUNTIF($Z$2:$Z$532,$Z348)&gt;1)),"Yes","No"),IF(AND($AL348&lt;&gt;"",LOWER(TRIM($AL348))&lt;&gt;"n/a",COUNTIF($AL$2:$AL$532,$AL348)&gt;1),"Yes","No"))))</f>
      </c>
      <c r="F348">
        <f>IF($B348&lt;&gt;"Yes","",
IF($A348="Neuron",
IF(OR(
AND($S348&lt;&gt;"",LOWER(TRIM($S348))&lt;&gt;"n/a",COUNTIFS($B$2:$B$532,"Yes",$A$2:$A$532,"Neuron",$S$2:$S$532,$S348)&gt;1),
AND($T348&lt;&gt;"",LOWER(TRIM($T348))&lt;&gt;"n/a",COUNTIFS($B$2:$B$532,"Yes",$A$2:$A$532,"Neuron",$T$2:$T$532,$T348)&gt;1),
AND($W348&lt;&gt;"",LOWER(TRIM($W348))&lt;&gt;"n/a",COUNTIFS($B$2:$B$532,"Yes",$A$2:$A$532,"Neuron",$W$2:$W$532,$W348)&gt;1)
),"Yes","No"),
IF($A348="Cybernet",
IF(OR(
AND($Y348&lt;&gt;"",LOWER(TRIM($Y348))&lt;&gt;"n/a",COUNTIFS($B$2:$B$532,"Yes",$A$2:$A$532,"Cybernet",$Y$2:$Y$532,$Y348)&gt;1),
AND($Z348&lt;&gt;"",LOWER(TRIM($Z348))&lt;&gt;"n/a",COUNTIFS($B$2:$B$532,"Yes",$A$2:$A$532,"Cybernet",$Z$2:$Z$532,$Z348)&gt;1)
),"Yes","No"),
IF(AND($AL348&lt;&gt;"",LOWER(TRIM($AL348))&lt;&gt;"n/a"),
IF(COUNTIFS($B$2:$B$532,"Yes",$A$2:$A$532,$A348,$AL$2:$AL$532,$AL348)&gt;1,"Yes","No"),
"No")
)
)
)</f>
      </c>
      <c r="BL348">
        <f>IF($T348="","",IF((IF(AND($AW348&lt;&gt;"Yes",$AW348&lt;&gt;"N/A"),"Power Cable, ","")&amp;IF(AND($AX348&lt;&gt;"Yes",$AX348&lt;&gt;"N/A"),"Battery, ","")&amp;IF(AND($BE348&lt;&gt;"Yes",$BE348&lt;&gt;"N/A"),"Firmware Download, ","")&amp;IF(AND(OR($BE348="Yes",$BE348="N/A"),$BF348&lt;&gt;"Yes",$BF348&lt;&gt;"N/A"),"Firmware Install, ","")&amp;IF(AND($BJ348&lt;&gt;"Yes",$BJ348&lt;&gt;"N/A"),"Device ID, ","")&amp;IF(AND($BK348&lt;&gt;"Yes",$BK348&lt;&gt;"N/A"),"Epic Beans Relay, ",""))="","",LEFT(IF(AND($AW348&lt;&gt;"Yes",$AW348&lt;&gt;"N/A"),"Power Cable, ","")&amp;IF(AND($AX348&lt;&gt;"Yes",$AX348&lt;&gt;"N/A"),"Battery, ","")&amp;IF(AND($BE348&lt;&gt;"Yes",$BE348&lt;&gt;"N/A"),"Firmware Download, ","")&amp;IF(AND(OR($BE348="Yes",$BE348="N/A"),$BF348&lt;&gt;"Yes",$BF348&lt;&gt;"N/A"),"Firmware Install, ","")&amp;IF(AND($BJ348&lt;&gt;"Yes",$BJ348&lt;&gt;"N/A"),"Device ID, ","")&amp;IF(AND($BK348&lt;&gt;"Yes",$BK348&lt;&gt;"N/A"),"Epic Beans Relay, ",""),LEN(IF(AND($AW348&lt;&gt;"Yes",$AW348&lt;&gt;"N/A"),"Power Cable, ","")&amp;IF(AND($AX348&lt;&gt;"Yes",$AX348&lt;&gt;"N/A"),"Battery, ","")&amp;IF(AND($BE348&lt;&gt;"Yes",$BE348&lt;&gt;"N/A"),"Firmware Download, ","")&amp;IF(AND(OR($BE348="Yes",$BE348="N/A"),$BF348&lt;&gt;"Yes",$BF348&lt;&gt;"N/A"),"Firmware Install, ","")&amp;IF(AND($BJ348&lt;&gt;"Yes",$BJ348&lt;&gt;"N/A"),"Device ID, ","")&amp;IF(AND($BK348&lt;&gt;"Yes",$BK348&lt;&gt;"N/A"),"Epic Beans Relay, ",""))-2)))</f>
      </c>
      <c r="BM348">
        <f>IF($T348="","",IF($BL348="","Yes","Blocked"))</f>
      </c>
      <c r="BP348">
        <f>IF($BO348="","",IFERROR(VLOOKUP($BO348,'01_Warehouse_Ledger'!$A:$N,4,FALSE),""))</f>
      </c>
      <c r="BQ348">
        <f>IF($BO348="","",IFERROR(VLOOKUP($BO348,'01_Warehouse_Ledger'!$A:$N,5,FALSE),""))</f>
      </c>
      <c r="BR348">
        <f>IF($BO348="","",IFERROR(VLOOKUP($BO348,'01_Warehouse_Ledger'!$A:$N,13,FALSE),""))</f>
      </c>
    </row>
    <row r="349">
      <c r="D349">
        <f>IF($B349&lt;&gt;"Yes","",IF($C349="No","Yes",IF($C349="Yes","No","")))</f>
      </c>
      <c r="E349">
        <f>IF($A349="","",IF($A349="Neuron",IF(OR(AND($S349&lt;&gt;"",LOWER(TRIM($S349))&lt;&gt;"n/a",COUNTIF($S$2:$S$532,$S349)&gt;1),AND($T349&lt;&gt;"",LOWER(TRIM($T349))&lt;&gt;"n/a",COUNTIF($T$2:$T$532,$T349)&gt;1),AND($W349&lt;&gt;"",LOWER(TRIM($W349))&lt;&gt;"n/a",COUNTIF($W$2:$W$532,$W349)&gt;1)),"Yes","No"),IF($A349="Cybernet",IF(OR(AND($Y349&lt;&gt;"",LOWER(TRIM($Y349))&lt;&gt;"n/a",COUNTIF($Y$2:$Y$532,$Y349)&gt;1),AND($Z349&lt;&gt;"",LOWER(TRIM($Z349))&lt;&gt;"n/a",COUNTIF($Z$2:$Z$532,$Z349)&gt;1)),"Yes","No"),IF(AND($AL349&lt;&gt;"",LOWER(TRIM($AL349))&lt;&gt;"n/a",COUNTIF($AL$2:$AL$532,$AL349)&gt;1),"Yes","No"))))</f>
      </c>
      <c r="F349">
        <f>IF($B349&lt;&gt;"Yes","",
IF($A349="Neuron",
IF(OR(
AND($S349&lt;&gt;"",LOWER(TRIM($S349))&lt;&gt;"n/a",COUNTIFS($B$2:$B$532,"Yes",$A$2:$A$532,"Neuron",$S$2:$S$532,$S349)&gt;1),
AND($T349&lt;&gt;"",LOWER(TRIM($T349))&lt;&gt;"n/a",COUNTIFS($B$2:$B$532,"Yes",$A$2:$A$532,"Neuron",$T$2:$T$532,$T349)&gt;1),
AND($W349&lt;&gt;"",LOWER(TRIM($W349))&lt;&gt;"n/a",COUNTIFS($B$2:$B$532,"Yes",$A$2:$A$532,"Neuron",$W$2:$W$532,$W349)&gt;1)
),"Yes","No"),
IF($A349="Cybernet",
IF(OR(
AND($Y349&lt;&gt;"",LOWER(TRIM($Y349))&lt;&gt;"n/a",COUNTIFS($B$2:$B$532,"Yes",$A$2:$A$532,"Cybernet",$Y$2:$Y$532,$Y349)&gt;1),
AND($Z349&lt;&gt;"",LOWER(TRIM($Z349))&lt;&gt;"n/a",COUNTIFS($B$2:$B$532,"Yes",$A$2:$A$532,"Cybernet",$Z$2:$Z$532,$Z349)&gt;1)
),"Yes","No"),
IF(AND($AL349&lt;&gt;"",LOWER(TRIM($AL349))&lt;&gt;"n/a"),
IF(COUNTIFS($B$2:$B$532,"Yes",$A$2:$A$532,$A349,$AL$2:$AL$532,$AL349)&gt;1,"Yes","No"),
"No")
)
)
)</f>
      </c>
      <c r="BL349">
        <f>IF($T349="","",IF((IF(AND($AW349&lt;&gt;"Yes",$AW349&lt;&gt;"N/A"),"Power Cable, ","")&amp;IF(AND($AX349&lt;&gt;"Yes",$AX349&lt;&gt;"N/A"),"Battery, ","")&amp;IF(AND($BE349&lt;&gt;"Yes",$BE349&lt;&gt;"N/A"),"Firmware Download, ","")&amp;IF(AND(OR($BE349="Yes",$BE349="N/A"),$BF349&lt;&gt;"Yes",$BF349&lt;&gt;"N/A"),"Firmware Install, ","")&amp;IF(AND($BJ349&lt;&gt;"Yes",$BJ349&lt;&gt;"N/A"),"Device ID, ","")&amp;IF(AND($BK349&lt;&gt;"Yes",$BK349&lt;&gt;"N/A"),"Epic Beans Relay, ",""))="","",LEFT(IF(AND($AW349&lt;&gt;"Yes",$AW349&lt;&gt;"N/A"),"Power Cable, ","")&amp;IF(AND($AX349&lt;&gt;"Yes",$AX349&lt;&gt;"N/A"),"Battery, ","")&amp;IF(AND($BE349&lt;&gt;"Yes",$BE349&lt;&gt;"N/A"),"Firmware Download, ","")&amp;IF(AND(OR($BE349="Yes",$BE349="N/A"),$BF349&lt;&gt;"Yes",$BF349&lt;&gt;"N/A"),"Firmware Install, ","")&amp;IF(AND($BJ349&lt;&gt;"Yes",$BJ349&lt;&gt;"N/A"),"Device ID, ","")&amp;IF(AND($BK349&lt;&gt;"Yes",$BK349&lt;&gt;"N/A"),"Epic Beans Relay, ",""),LEN(IF(AND($AW349&lt;&gt;"Yes",$AW349&lt;&gt;"N/A"),"Power Cable, ","")&amp;IF(AND($AX349&lt;&gt;"Yes",$AX349&lt;&gt;"N/A"),"Battery, ","")&amp;IF(AND($BE349&lt;&gt;"Yes",$BE349&lt;&gt;"N/A"),"Firmware Download, ","")&amp;IF(AND(OR($BE349="Yes",$BE349="N/A"),$BF349&lt;&gt;"Yes",$BF349&lt;&gt;"N/A"),"Firmware Install, ","")&amp;IF(AND($BJ349&lt;&gt;"Yes",$BJ349&lt;&gt;"N/A"),"Device ID, ","")&amp;IF(AND($BK349&lt;&gt;"Yes",$BK349&lt;&gt;"N/A"),"Epic Beans Relay, ",""))-2)))</f>
      </c>
      <c r="BM349">
        <f>IF($T349="","",IF($BL349="","Yes","Blocked"))</f>
      </c>
      <c r="BP349">
        <f>IF($BO349="","",IFERROR(VLOOKUP($BO349,'01_Warehouse_Ledger'!$A:$N,4,FALSE),""))</f>
      </c>
      <c r="BQ349">
        <f>IF($BO349="","",IFERROR(VLOOKUP($BO349,'01_Warehouse_Ledger'!$A:$N,5,FALSE),""))</f>
      </c>
      <c r="BR349">
        <f>IF($BO349="","",IFERROR(VLOOKUP($BO349,'01_Warehouse_Ledger'!$A:$N,13,FALSE),""))</f>
      </c>
    </row>
    <row r="350">
      <c r="D350">
        <f>IF($B350&lt;&gt;"Yes","",IF($C350="No","Yes",IF($C350="Yes","No","")))</f>
      </c>
      <c r="E350">
        <f>IF($A350="","",IF($A350="Neuron",IF(OR(AND($S350&lt;&gt;"",LOWER(TRIM($S350))&lt;&gt;"n/a",COUNTIF($S$2:$S$532,$S350)&gt;1),AND($T350&lt;&gt;"",LOWER(TRIM($T350))&lt;&gt;"n/a",COUNTIF($T$2:$T$532,$T350)&gt;1),AND($W350&lt;&gt;"",LOWER(TRIM($W350))&lt;&gt;"n/a",COUNTIF($W$2:$W$532,$W350)&gt;1)),"Yes","No"),IF($A350="Cybernet",IF(OR(AND($Y350&lt;&gt;"",LOWER(TRIM($Y350))&lt;&gt;"n/a",COUNTIF($Y$2:$Y$532,$Y350)&gt;1),AND($Z350&lt;&gt;"",LOWER(TRIM($Z350))&lt;&gt;"n/a",COUNTIF($Z$2:$Z$532,$Z350)&gt;1)),"Yes","No"),IF(AND($AL350&lt;&gt;"",LOWER(TRIM($AL350))&lt;&gt;"n/a",COUNTIF($AL$2:$AL$532,$AL350)&gt;1),"Yes","No"))))</f>
      </c>
      <c r="F350">
        <f>IF($B350&lt;&gt;"Yes","",
IF($A350="Neuron",
IF(OR(
AND($S350&lt;&gt;"",LOWER(TRIM($S350))&lt;&gt;"n/a",COUNTIFS($B$2:$B$532,"Yes",$A$2:$A$532,"Neuron",$S$2:$S$532,$S350)&gt;1),
AND($T350&lt;&gt;"",LOWER(TRIM($T350))&lt;&gt;"n/a",COUNTIFS($B$2:$B$532,"Yes",$A$2:$A$532,"Neuron",$T$2:$T$532,$T350)&gt;1),
AND($W350&lt;&gt;"",LOWER(TRIM($W350))&lt;&gt;"n/a",COUNTIFS($B$2:$B$532,"Yes",$A$2:$A$532,"Neuron",$W$2:$W$532,$W350)&gt;1)
),"Yes","No"),
IF($A350="Cybernet",
IF(OR(
AND($Y350&lt;&gt;"",LOWER(TRIM($Y350))&lt;&gt;"n/a",COUNTIFS($B$2:$B$532,"Yes",$A$2:$A$532,"Cybernet",$Y$2:$Y$532,$Y350)&gt;1),
AND($Z350&lt;&gt;"",LOWER(TRIM($Z350))&lt;&gt;"n/a",COUNTIFS($B$2:$B$532,"Yes",$A$2:$A$532,"Cybernet",$Z$2:$Z$532,$Z350)&gt;1)
),"Yes","No"),
IF(AND($AL350&lt;&gt;"",LOWER(TRIM($AL350))&lt;&gt;"n/a"),
IF(COUNTIFS($B$2:$B$532,"Yes",$A$2:$A$532,$A350,$AL$2:$AL$532,$AL350)&gt;1,"Yes","No"),
"No")
)
)
)</f>
      </c>
      <c r="BL350">
        <f>IF($T350="","",IF((IF(AND($AW350&lt;&gt;"Yes",$AW350&lt;&gt;"N/A"),"Power Cable, ","")&amp;IF(AND($AX350&lt;&gt;"Yes",$AX350&lt;&gt;"N/A"),"Battery, ","")&amp;IF(AND($BE350&lt;&gt;"Yes",$BE350&lt;&gt;"N/A"),"Firmware Download, ","")&amp;IF(AND(OR($BE350="Yes",$BE350="N/A"),$BF350&lt;&gt;"Yes",$BF350&lt;&gt;"N/A"),"Firmware Install, ","")&amp;IF(AND($BJ350&lt;&gt;"Yes",$BJ350&lt;&gt;"N/A"),"Device ID, ","")&amp;IF(AND($BK350&lt;&gt;"Yes",$BK350&lt;&gt;"N/A"),"Epic Beans Relay, ",""))="","",LEFT(IF(AND($AW350&lt;&gt;"Yes",$AW350&lt;&gt;"N/A"),"Power Cable, ","")&amp;IF(AND($AX350&lt;&gt;"Yes",$AX350&lt;&gt;"N/A"),"Battery, ","")&amp;IF(AND($BE350&lt;&gt;"Yes",$BE350&lt;&gt;"N/A"),"Firmware Download, ","")&amp;IF(AND(OR($BE350="Yes",$BE350="N/A"),$BF350&lt;&gt;"Yes",$BF350&lt;&gt;"N/A"),"Firmware Install, ","")&amp;IF(AND($BJ350&lt;&gt;"Yes",$BJ350&lt;&gt;"N/A"),"Device ID, ","")&amp;IF(AND($BK350&lt;&gt;"Yes",$BK350&lt;&gt;"N/A"),"Epic Beans Relay, ",""),LEN(IF(AND($AW350&lt;&gt;"Yes",$AW350&lt;&gt;"N/A"),"Power Cable, ","")&amp;IF(AND($AX350&lt;&gt;"Yes",$AX350&lt;&gt;"N/A"),"Battery, ","")&amp;IF(AND($BE350&lt;&gt;"Yes",$BE350&lt;&gt;"N/A"),"Firmware Download, ","")&amp;IF(AND(OR($BE350="Yes",$BE350="N/A"),$BF350&lt;&gt;"Yes",$BF350&lt;&gt;"N/A"),"Firmware Install, ","")&amp;IF(AND($BJ350&lt;&gt;"Yes",$BJ350&lt;&gt;"N/A"),"Device ID, ","")&amp;IF(AND($BK350&lt;&gt;"Yes",$BK350&lt;&gt;"N/A"),"Epic Beans Relay, ",""))-2)))</f>
      </c>
      <c r="BM350">
        <f>IF($T350="","",IF($BL350="","Yes","Blocked"))</f>
      </c>
      <c r="BP350">
        <f>IF($BO350="","",IFERROR(VLOOKUP($BO350,'01_Warehouse_Ledger'!$A:$N,4,FALSE),""))</f>
      </c>
      <c r="BQ350">
        <f>IF($BO350="","",IFERROR(VLOOKUP($BO350,'01_Warehouse_Ledger'!$A:$N,5,FALSE),""))</f>
      </c>
      <c r="BR350">
        <f>IF($BO350="","",IFERROR(VLOOKUP($BO350,'01_Warehouse_Ledger'!$A:$N,13,FALSE),""))</f>
      </c>
    </row>
    <row r="351">
      <c r="D351">
        <f>IF($B351&lt;&gt;"Yes","",IF($C351="No","Yes",IF($C351="Yes","No","")))</f>
      </c>
      <c r="E351">
        <f>IF($A351="","",IF($A351="Neuron",IF(OR(AND($S351&lt;&gt;"",LOWER(TRIM($S351))&lt;&gt;"n/a",COUNTIF($S$2:$S$532,$S351)&gt;1),AND($T351&lt;&gt;"",LOWER(TRIM($T351))&lt;&gt;"n/a",COUNTIF($T$2:$T$532,$T351)&gt;1),AND($W351&lt;&gt;"",LOWER(TRIM($W351))&lt;&gt;"n/a",COUNTIF($W$2:$W$532,$W351)&gt;1)),"Yes","No"),IF($A351="Cybernet",IF(OR(AND($Y351&lt;&gt;"",LOWER(TRIM($Y351))&lt;&gt;"n/a",COUNTIF($Y$2:$Y$532,$Y351)&gt;1),AND($Z351&lt;&gt;"",LOWER(TRIM($Z351))&lt;&gt;"n/a",COUNTIF($Z$2:$Z$532,$Z351)&gt;1)),"Yes","No"),IF(AND($AL351&lt;&gt;"",LOWER(TRIM($AL351))&lt;&gt;"n/a",COUNTIF($AL$2:$AL$532,$AL351)&gt;1),"Yes","No"))))</f>
      </c>
      <c r="F351">
        <f>IF($B351&lt;&gt;"Yes","",
IF($A351="Neuron",
IF(OR(
AND($S351&lt;&gt;"",LOWER(TRIM($S351))&lt;&gt;"n/a",COUNTIFS($B$2:$B$532,"Yes",$A$2:$A$532,"Neuron",$S$2:$S$532,$S351)&gt;1),
AND($T351&lt;&gt;"",LOWER(TRIM($T351))&lt;&gt;"n/a",COUNTIFS($B$2:$B$532,"Yes",$A$2:$A$532,"Neuron",$T$2:$T$532,$T351)&gt;1),
AND($W351&lt;&gt;"",LOWER(TRIM($W351))&lt;&gt;"n/a",COUNTIFS($B$2:$B$532,"Yes",$A$2:$A$532,"Neuron",$W$2:$W$532,$W351)&gt;1)
),"Yes","No"),
IF($A351="Cybernet",
IF(OR(
AND($Y351&lt;&gt;"",LOWER(TRIM($Y351))&lt;&gt;"n/a",COUNTIFS($B$2:$B$532,"Yes",$A$2:$A$532,"Cybernet",$Y$2:$Y$532,$Y351)&gt;1),
AND($Z351&lt;&gt;"",LOWER(TRIM($Z351))&lt;&gt;"n/a",COUNTIFS($B$2:$B$532,"Yes",$A$2:$A$532,"Cybernet",$Z$2:$Z$532,$Z351)&gt;1)
),"Yes","No"),
IF(AND($AL351&lt;&gt;"",LOWER(TRIM($AL351))&lt;&gt;"n/a"),
IF(COUNTIFS($B$2:$B$532,"Yes",$A$2:$A$532,$A351,$AL$2:$AL$532,$AL351)&gt;1,"Yes","No"),
"No")
)
)
)</f>
      </c>
      <c r="BL351">
        <f>IF($T351="","",IF((IF(AND($AW351&lt;&gt;"Yes",$AW351&lt;&gt;"N/A"),"Power Cable, ","")&amp;IF(AND($AX351&lt;&gt;"Yes",$AX351&lt;&gt;"N/A"),"Battery, ","")&amp;IF(AND($BE351&lt;&gt;"Yes",$BE351&lt;&gt;"N/A"),"Firmware Download, ","")&amp;IF(AND(OR($BE351="Yes",$BE351="N/A"),$BF351&lt;&gt;"Yes",$BF351&lt;&gt;"N/A"),"Firmware Install, ","")&amp;IF(AND($BJ351&lt;&gt;"Yes",$BJ351&lt;&gt;"N/A"),"Device ID, ","")&amp;IF(AND($BK351&lt;&gt;"Yes",$BK351&lt;&gt;"N/A"),"Epic Beans Relay, ",""))="","",LEFT(IF(AND($AW351&lt;&gt;"Yes",$AW351&lt;&gt;"N/A"),"Power Cable, ","")&amp;IF(AND($AX351&lt;&gt;"Yes",$AX351&lt;&gt;"N/A"),"Battery, ","")&amp;IF(AND($BE351&lt;&gt;"Yes",$BE351&lt;&gt;"N/A"),"Firmware Download, ","")&amp;IF(AND(OR($BE351="Yes",$BE351="N/A"),$BF351&lt;&gt;"Yes",$BF351&lt;&gt;"N/A"),"Firmware Install, ","")&amp;IF(AND($BJ351&lt;&gt;"Yes",$BJ351&lt;&gt;"N/A"),"Device ID, ","")&amp;IF(AND($BK351&lt;&gt;"Yes",$BK351&lt;&gt;"N/A"),"Epic Beans Relay, ",""),LEN(IF(AND($AW351&lt;&gt;"Yes",$AW351&lt;&gt;"N/A"),"Power Cable, ","")&amp;IF(AND($AX351&lt;&gt;"Yes",$AX351&lt;&gt;"N/A"),"Battery, ","")&amp;IF(AND($BE351&lt;&gt;"Yes",$BE351&lt;&gt;"N/A"),"Firmware Download, ","")&amp;IF(AND(OR($BE351="Yes",$BE351="N/A"),$BF351&lt;&gt;"Yes",$BF351&lt;&gt;"N/A"),"Firmware Install, ","")&amp;IF(AND($BJ351&lt;&gt;"Yes",$BJ351&lt;&gt;"N/A"),"Device ID, ","")&amp;IF(AND($BK351&lt;&gt;"Yes",$BK351&lt;&gt;"N/A"),"Epic Beans Relay, ",""))-2)))</f>
      </c>
      <c r="BM351">
        <f>IF($T351="","",IF($BL351="","Yes","Blocked"))</f>
      </c>
      <c r="BP351">
        <f>IF($BO351="","",IFERROR(VLOOKUP($BO351,'01_Warehouse_Ledger'!$A:$N,4,FALSE),""))</f>
      </c>
      <c r="BQ351">
        <f>IF($BO351="","",IFERROR(VLOOKUP($BO351,'01_Warehouse_Ledger'!$A:$N,5,FALSE),""))</f>
      </c>
      <c r="BR351">
        <f>IF($BO351="","",IFERROR(VLOOKUP($BO351,'01_Warehouse_Ledger'!$A:$N,13,FALSE),""))</f>
      </c>
    </row>
    <row r="352">
      <c r="D352">
        <f>IF($B352&lt;&gt;"Yes","",IF($C352="No","Yes",IF($C352="Yes","No","")))</f>
      </c>
      <c r="E352">
        <f>IF($A352="","",IF($A352="Neuron",IF(OR(AND($S352&lt;&gt;"",LOWER(TRIM($S352))&lt;&gt;"n/a",COUNTIF($S$2:$S$532,$S352)&gt;1),AND($T352&lt;&gt;"",LOWER(TRIM($T352))&lt;&gt;"n/a",COUNTIF($T$2:$T$532,$T352)&gt;1),AND($W352&lt;&gt;"",LOWER(TRIM($W352))&lt;&gt;"n/a",COUNTIF($W$2:$W$532,$W352)&gt;1)),"Yes","No"),IF($A352="Cybernet",IF(OR(AND($Y352&lt;&gt;"",LOWER(TRIM($Y352))&lt;&gt;"n/a",COUNTIF($Y$2:$Y$532,$Y352)&gt;1),AND($Z352&lt;&gt;"",LOWER(TRIM($Z352))&lt;&gt;"n/a",COUNTIF($Z$2:$Z$532,$Z352)&gt;1)),"Yes","No"),IF(AND($AL352&lt;&gt;"",LOWER(TRIM($AL352))&lt;&gt;"n/a",COUNTIF($AL$2:$AL$532,$AL352)&gt;1),"Yes","No"))))</f>
      </c>
      <c r="F352">
        <f>IF($B352&lt;&gt;"Yes","",
IF($A352="Neuron",
IF(OR(
AND($S352&lt;&gt;"",LOWER(TRIM($S352))&lt;&gt;"n/a",COUNTIFS($B$2:$B$532,"Yes",$A$2:$A$532,"Neuron",$S$2:$S$532,$S352)&gt;1),
AND($T352&lt;&gt;"",LOWER(TRIM($T352))&lt;&gt;"n/a",COUNTIFS($B$2:$B$532,"Yes",$A$2:$A$532,"Neuron",$T$2:$T$532,$T352)&gt;1),
AND($W352&lt;&gt;"",LOWER(TRIM($W352))&lt;&gt;"n/a",COUNTIFS($B$2:$B$532,"Yes",$A$2:$A$532,"Neuron",$W$2:$W$532,$W352)&gt;1)
),"Yes","No"),
IF($A352="Cybernet",
IF(OR(
AND($Y352&lt;&gt;"",LOWER(TRIM($Y352))&lt;&gt;"n/a",COUNTIFS($B$2:$B$532,"Yes",$A$2:$A$532,"Cybernet",$Y$2:$Y$532,$Y352)&gt;1),
AND($Z352&lt;&gt;"",LOWER(TRIM($Z352))&lt;&gt;"n/a",COUNTIFS($B$2:$B$532,"Yes",$A$2:$A$532,"Cybernet",$Z$2:$Z$532,$Z352)&gt;1)
),"Yes","No"),
IF(AND($AL352&lt;&gt;"",LOWER(TRIM($AL352))&lt;&gt;"n/a"),
IF(COUNTIFS($B$2:$B$532,"Yes",$A$2:$A$532,$A352,$AL$2:$AL$532,$AL352)&gt;1,"Yes","No"),
"No")
)
)
)</f>
      </c>
      <c r="BL352">
        <f>IF($T352="","",IF((IF(AND($AW352&lt;&gt;"Yes",$AW352&lt;&gt;"N/A"),"Power Cable, ","")&amp;IF(AND($AX352&lt;&gt;"Yes",$AX352&lt;&gt;"N/A"),"Battery, ","")&amp;IF(AND($BE352&lt;&gt;"Yes",$BE352&lt;&gt;"N/A"),"Firmware Download, ","")&amp;IF(AND(OR($BE352="Yes",$BE352="N/A"),$BF352&lt;&gt;"Yes",$BF352&lt;&gt;"N/A"),"Firmware Install, ","")&amp;IF(AND($BJ352&lt;&gt;"Yes",$BJ352&lt;&gt;"N/A"),"Device ID, ","")&amp;IF(AND($BK352&lt;&gt;"Yes",$BK352&lt;&gt;"N/A"),"Epic Beans Relay, ",""))="","",LEFT(IF(AND($AW352&lt;&gt;"Yes",$AW352&lt;&gt;"N/A"),"Power Cable, ","")&amp;IF(AND($AX352&lt;&gt;"Yes",$AX352&lt;&gt;"N/A"),"Battery, ","")&amp;IF(AND($BE352&lt;&gt;"Yes",$BE352&lt;&gt;"N/A"),"Firmware Download, ","")&amp;IF(AND(OR($BE352="Yes",$BE352="N/A"),$BF352&lt;&gt;"Yes",$BF352&lt;&gt;"N/A"),"Firmware Install, ","")&amp;IF(AND($BJ352&lt;&gt;"Yes",$BJ352&lt;&gt;"N/A"),"Device ID, ","")&amp;IF(AND($BK352&lt;&gt;"Yes",$BK352&lt;&gt;"N/A"),"Epic Beans Relay, ",""),LEN(IF(AND($AW352&lt;&gt;"Yes",$AW352&lt;&gt;"N/A"),"Power Cable, ","")&amp;IF(AND($AX352&lt;&gt;"Yes",$AX352&lt;&gt;"N/A"),"Battery, ","")&amp;IF(AND($BE352&lt;&gt;"Yes",$BE352&lt;&gt;"N/A"),"Firmware Download, ","")&amp;IF(AND(OR($BE352="Yes",$BE352="N/A"),$BF352&lt;&gt;"Yes",$BF352&lt;&gt;"N/A"),"Firmware Install, ","")&amp;IF(AND($BJ352&lt;&gt;"Yes",$BJ352&lt;&gt;"N/A"),"Device ID, ","")&amp;IF(AND($BK352&lt;&gt;"Yes",$BK352&lt;&gt;"N/A"),"Epic Beans Relay, ",""))-2)))</f>
      </c>
      <c r="BM352">
        <f>IF($T352="","",IF($BL352="","Yes","Blocked"))</f>
      </c>
      <c r="BP352">
        <f>IF($BO352="","",IFERROR(VLOOKUP($BO352,'01_Warehouse_Ledger'!$A:$N,4,FALSE),""))</f>
      </c>
      <c r="BQ352">
        <f>IF($BO352="","",IFERROR(VLOOKUP($BO352,'01_Warehouse_Ledger'!$A:$N,5,FALSE),""))</f>
      </c>
      <c r="BR352">
        <f>IF($BO352="","",IFERROR(VLOOKUP($BO352,'01_Warehouse_Ledger'!$A:$N,13,FALSE),""))</f>
      </c>
    </row>
    <row r="353">
      <c r="D353">
        <f>IF($B353&lt;&gt;"Yes","",IF($C353="No","Yes",IF($C353="Yes","No","")))</f>
      </c>
      <c r="E353">
        <f>IF($A353="","",IF($A353="Neuron",IF(OR(AND($S353&lt;&gt;"",LOWER(TRIM($S353))&lt;&gt;"n/a",COUNTIF($S$2:$S$532,$S353)&gt;1),AND($T353&lt;&gt;"",LOWER(TRIM($T353))&lt;&gt;"n/a",COUNTIF($T$2:$T$532,$T353)&gt;1),AND($W353&lt;&gt;"",LOWER(TRIM($W353))&lt;&gt;"n/a",COUNTIF($W$2:$W$532,$W353)&gt;1)),"Yes","No"),IF($A353="Cybernet",IF(OR(AND($Y353&lt;&gt;"",LOWER(TRIM($Y353))&lt;&gt;"n/a",COUNTIF($Y$2:$Y$532,$Y353)&gt;1),AND($Z353&lt;&gt;"",LOWER(TRIM($Z353))&lt;&gt;"n/a",COUNTIF($Z$2:$Z$532,$Z353)&gt;1)),"Yes","No"),IF(AND($AL353&lt;&gt;"",LOWER(TRIM($AL353))&lt;&gt;"n/a",COUNTIF($AL$2:$AL$532,$AL353)&gt;1),"Yes","No"))))</f>
      </c>
      <c r="F353">
        <f>IF($B353&lt;&gt;"Yes","",
IF($A353="Neuron",
IF(OR(
AND($S353&lt;&gt;"",LOWER(TRIM($S353))&lt;&gt;"n/a",COUNTIFS($B$2:$B$532,"Yes",$A$2:$A$532,"Neuron",$S$2:$S$532,$S353)&gt;1),
AND($T353&lt;&gt;"",LOWER(TRIM($T353))&lt;&gt;"n/a",COUNTIFS($B$2:$B$532,"Yes",$A$2:$A$532,"Neuron",$T$2:$T$532,$T353)&gt;1),
AND($W353&lt;&gt;"",LOWER(TRIM($W353))&lt;&gt;"n/a",COUNTIFS($B$2:$B$532,"Yes",$A$2:$A$532,"Neuron",$W$2:$W$532,$W353)&gt;1)
),"Yes","No"),
IF($A353="Cybernet",
IF(OR(
AND($Y353&lt;&gt;"",LOWER(TRIM($Y353))&lt;&gt;"n/a",COUNTIFS($B$2:$B$532,"Yes",$A$2:$A$532,"Cybernet",$Y$2:$Y$532,$Y353)&gt;1),
AND($Z353&lt;&gt;"",LOWER(TRIM($Z353))&lt;&gt;"n/a",COUNTIFS($B$2:$B$532,"Yes",$A$2:$A$532,"Cybernet",$Z$2:$Z$532,$Z353)&gt;1)
),"Yes","No"),
IF(AND($AL353&lt;&gt;"",LOWER(TRIM($AL353))&lt;&gt;"n/a"),
IF(COUNTIFS($B$2:$B$532,"Yes",$A$2:$A$532,$A353,$AL$2:$AL$532,$AL353)&gt;1,"Yes","No"),
"No")
)
)
)</f>
      </c>
      <c r="BL353">
        <f>IF($T353="","",IF((IF(AND($AW353&lt;&gt;"Yes",$AW353&lt;&gt;"N/A"),"Power Cable, ","")&amp;IF(AND($AX353&lt;&gt;"Yes",$AX353&lt;&gt;"N/A"),"Battery, ","")&amp;IF(AND($BE353&lt;&gt;"Yes",$BE353&lt;&gt;"N/A"),"Firmware Download, ","")&amp;IF(AND(OR($BE353="Yes",$BE353="N/A"),$BF353&lt;&gt;"Yes",$BF353&lt;&gt;"N/A"),"Firmware Install, ","")&amp;IF(AND($BJ353&lt;&gt;"Yes",$BJ353&lt;&gt;"N/A"),"Device ID, ","")&amp;IF(AND($BK353&lt;&gt;"Yes",$BK353&lt;&gt;"N/A"),"Epic Beans Relay, ",""))="","",LEFT(IF(AND($AW353&lt;&gt;"Yes",$AW353&lt;&gt;"N/A"),"Power Cable, ","")&amp;IF(AND($AX353&lt;&gt;"Yes",$AX353&lt;&gt;"N/A"),"Battery, ","")&amp;IF(AND($BE353&lt;&gt;"Yes",$BE353&lt;&gt;"N/A"),"Firmware Download, ","")&amp;IF(AND(OR($BE353="Yes",$BE353="N/A"),$BF353&lt;&gt;"Yes",$BF353&lt;&gt;"N/A"),"Firmware Install, ","")&amp;IF(AND($BJ353&lt;&gt;"Yes",$BJ353&lt;&gt;"N/A"),"Device ID, ","")&amp;IF(AND($BK353&lt;&gt;"Yes",$BK353&lt;&gt;"N/A"),"Epic Beans Relay, ",""),LEN(IF(AND($AW353&lt;&gt;"Yes",$AW353&lt;&gt;"N/A"),"Power Cable, ","")&amp;IF(AND($AX353&lt;&gt;"Yes",$AX353&lt;&gt;"N/A"),"Battery, ","")&amp;IF(AND($BE353&lt;&gt;"Yes",$BE353&lt;&gt;"N/A"),"Firmware Download, ","")&amp;IF(AND(OR($BE353="Yes",$BE353="N/A"),$BF353&lt;&gt;"Yes",$BF353&lt;&gt;"N/A"),"Firmware Install, ","")&amp;IF(AND($BJ353&lt;&gt;"Yes",$BJ353&lt;&gt;"N/A"),"Device ID, ","")&amp;IF(AND($BK353&lt;&gt;"Yes",$BK353&lt;&gt;"N/A"),"Epic Beans Relay, ",""))-2)))</f>
      </c>
      <c r="BM353">
        <f>IF($T353="","",IF($BL353="","Yes","Blocked"))</f>
      </c>
      <c r="BP353">
        <f>IF($BO353="","",IFERROR(VLOOKUP($BO353,'01_Warehouse_Ledger'!$A:$N,4,FALSE),""))</f>
      </c>
      <c r="BQ353">
        <f>IF($BO353="","",IFERROR(VLOOKUP($BO353,'01_Warehouse_Ledger'!$A:$N,5,FALSE),""))</f>
      </c>
      <c r="BR353">
        <f>IF($BO353="","",IFERROR(VLOOKUP($BO353,'01_Warehouse_Ledger'!$A:$N,13,FALSE),""))</f>
      </c>
    </row>
    <row r="354">
      <c r="D354">
        <f>IF($B354&lt;&gt;"Yes","",IF($C354="No","Yes",IF($C354="Yes","No","")))</f>
      </c>
      <c r="E354">
        <f>IF($A354="","",IF($A354="Neuron",IF(OR(AND($S354&lt;&gt;"",LOWER(TRIM($S354))&lt;&gt;"n/a",COUNTIF($S$2:$S$532,$S354)&gt;1),AND($T354&lt;&gt;"",LOWER(TRIM($T354))&lt;&gt;"n/a",COUNTIF($T$2:$T$532,$T354)&gt;1),AND($W354&lt;&gt;"",LOWER(TRIM($W354))&lt;&gt;"n/a",COUNTIF($W$2:$W$532,$W354)&gt;1)),"Yes","No"),IF($A354="Cybernet",IF(OR(AND($Y354&lt;&gt;"",LOWER(TRIM($Y354))&lt;&gt;"n/a",COUNTIF($Y$2:$Y$532,$Y354)&gt;1),AND($Z354&lt;&gt;"",LOWER(TRIM($Z354))&lt;&gt;"n/a",COUNTIF($Z$2:$Z$532,$Z354)&gt;1)),"Yes","No"),IF(AND($AL354&lt;&gt;"",LOWER(TRIM($AL354))&lt;&gt;"n/a",COUNTIF($AL$2:$AL$532,$AL354)&gt;1),"Yes","No"))))</f>
      </c>
      <c r="F354">
        <f>IF($B354&lt;&gt;"Yes","",
IF($A354="Neuron",
IF(OR(
AND($S354&lt;&gt;"",LOWER(TRIM($S354))&lt;&gt;"n/a",COUNTIFS($B$2:$B$532,"Yes",$A$2:$A$532,"Neuron",$S$2:$S$532,$S354)&gt;1),
AND($T354&lt;&gt;"",LOWER(TRIM($T354))&lt;&gt;"n/a",COUNTIFS($B$2:$B$532,"Yes",$A$2:$A$532,"Neuron",$T$2:$T$532,$T354)&gt;1),
AND($W354&lt;&gt;"",LOWER(TRIM($W354))&lt;&gt;"n/a",COUNTIFS($B$2:$B$532,"Yes",$A$2:$A$532,"Neuron",$W$2:$W$532,$W354)&gt;1)
),"Yes","No"),
IF($A354="Cybernet",
IF(OR(
AND($Y354&lt;&gt;"",LOWER(TRIM($Y354))&lt;&gt;"n/a",COUNTIFS($B$2:$B$532,"Yes",$A$2:$A$532,"Cybernet",$Y$2:$Y$532,$Y354)&gt;1),
AND($Z354&lt;&gt;"",LOWER(TRIM($Z354))&lt;&gt;"n/a",COUNTIFS($B$2:$B$532,"Yes",$A$2:$A$532,"Cybernet",$Z$2:$Z$532,$Z354)&gt;1)
),"Yes","No"),
IF(AND($AL354&lt;&gt;"",LOWER(TRIM($AL354))&lt;&gt;"n/a"),
IF(COUNTIFS($B$2:$B$532,"Yes",$A$2:$A$532,$A354,$AL$2:$AL$532,$AL354)&gt;1,"Yes","No"),
"No")
)
)
)</f>
      </c>
      <c r="BL354">
        <f>IF($T354="","",IF((IF(AND($AW354&lt;&gt;"Yes",$AW354&lt;&gt;"N/A"),"Power Cable, ","")&amp;IF(AND($AX354&lt;&gt;"Yes",$AX354&lt;&gt;"N/A"),"Battery, ","")&amp;IF(AND($BE354&lt;&gt;"Yes",$BE354&lt;&gt;"N/A"),"Firmware Download, ","")&amp;IF(AND(OR($BE354="Yes",$BE354="N/A"),$BF354&lt;&gt;"Yes",$BF354&lt;&gt;"N/A"),"Firmware Install, ","")&amp;IF(AND($BJ354&lt;&gt;"Yes",$BJ354&lt;&gt;"N/A"),"Device ID, ","")&amp;IF(AND($BK354&lt;&gt;"Yes",$BK354&lt;&gt;"N/A"),"Epic Beans Relay, ",""))="","",LEFT(IF(AND($AW354&lt;&gt;"Yes",$AW354&lt;&gt;"N/A"),"Power Cable, ","")&amp;IF(AND($AX354&lt;&gt;"Yes",$AX354&lt;&gt;"N/A"),"Battery, ","")&amp;IF(AND($BE354&lt;&gt;"Yes",$BE354&lt;&gt;"N/A"),"Firmware Download, ","")&amp;IF(AND(OR($BE354="Yes",$BE354="N/A"),$BF354&lt;&gt;"Yes",$BF354&lt;&gt;"N/A"),"Firmware Install, ","")&amp;IF(AND($BJ354&lt;&gt;"Yes",$BJ354&lt;&gt;"N/A"),"Device ID, ","")&amp;IF(AND($BK354&lt;&gt;"Yes",$BK354&lt;&gt;"N/A"),"Epic Beans Relay, ",""),LEN(IF(AND($AW354&lt;&gt;"Yes",$AW354&lt;&gt;"N/A"),"Power Cable, ","")&amp;IF(AND($AX354&lt;&gt;"Yes",$AX354&lt;&gt;"N/A"),"Battery, ","")&amp;IF(AND($BE354&lt;&gt;"Yes",$BE354&lt;&gt;"N/A"),"Firmware Download, ","")&amp;IF(AND(OR($BE354="Yes",$BE354="N/A"),$BF354&lt;&gt;"Yes",$BF354&lt;&gt;"N/A"),"Firmware Install, ","")&amp;IF(AND($BJ354&lt;&gt;"Yes",$BJ354&lt;&gt;"N/A"),"Device ID, ","")&amp;IF(AND($BK354&lt;&gt;"Yes",$BK354&lt;&gt;"N/A"),"Epic Beans Relay, ",""))-2)))</f>
      </c>
      <c r="BM354">
        <f>IF($T354="","",IF($BL354="","Yes","Blocked"))</f>
      </c>
      <c r="BP354">
        <f>IF($BO354="","",IFERROR(VLOOKUP($BO354,'01_Warehouse_Ledger'!$A:$N,4,FALSE),""))</f>
      </c>
      <c r="BQ354">
        <f>IF($BO354="","",IFERROR(VLOOKUP($BO354,'01_Warehouse_Ledger'!$A:$N,5,FALSE),""))</f>
      </c>
      <c r="BR354">
        <f>IF($BO354="","",IFERROR(VLOOKUP($BO354,'01_Warehouse_Ledger'!$A:$N,13,FALSE),""))</f>
      </c>
    </row>
    <row r="355">
      <c r="D355">
        <f>IF($B355&lt;&gt;"Yes","",IF($C355="No","Yes",IF($C355="Yes","No","")))</f>
      </c>
      <c r="E355">
        <f>IF($A355="","",IF($A355="Neuron",IF(OR(AND($S355&lt;&gt;"",LOWER(TRIM($S355))&lt;&gt;"n/a",COUNTIF($S$2:$S$532,$S355)&gt;1),AND($T355&lt;&gt;"",LOWER(TRIM($T355))&lt;&gt;"n/a",COUNTIF($T$2:$T$532,$T355)&gt;1),AND($W355&lt;&gt;"",LOWER(TRIM($W355))&lt;&gt;"n/a",COUNTIF($W$2:$W$532,$W355)&gt;1)),"Yes","No"),IF($A355="Cybernet",IF(OR(AND($Y355&lt;&gt;"",LOWER(TRIM($Y355))&lt;&gt;"n/a",COUNTIF($Y$2:$Y$532,$Y355)&gt;1),AND($Z355&lt;&gt;"",LOWER(TRIM($Z355))&lt;&gt;"n/a",COUNTIF($Z$2:$Z$532,$Z355)&gt;1)),"Yes","No"),IF(AND($AL355&lt;&gt;"",LOWER(TRIM($AL355))&lt;&gt;"n/a",COUNTIF($AL$2:$AL$532,$AL355)&gt;1),"Yes","No"))))</f>
      </c>
      <c r="F355">
        <f>IF($B355&lt;&gt;"Yes","",
IF($A355="Neuron",
IF(OR(
AND($S355&lt;&gt;"",LOWER(TRIM($S355))&lt;&gt;"n/a",COUNTIFS($B$2:$B$532,"Yes",$A$2:$A$532,"Neuron",$S$2:$S$532,$S355)&gt;1),
AND($T355&lt;&gt;"",LOWER(TRIM($T355))&lt;&gt;"n/a",COUNTIFS($B$2:$B$532,"Yes",$A$2:$A$532,"Neuron",$T$2:$T$532,$T355)&gt;1),
AND($W355&lt;&gt;"",LOWER(TRIM($W355))&lt;&gt;"n/a",COUNTIFS($B$2:$B$532,"Yes",$A$2:$A$532,"Neuron",$W$2:$W$532,$W355)&gt;1)
),"Yes","No"),
IF($A355="Cybernet",
IF(OR(
AND($Y355&lt;&gt;"",LOWER(TRIM($Y355))&lt;&gt;"n/a",COUNTIFS($B$2:$B$532,"Yes",$A$2:$A$532,"Cybernet",$Y$2:$Y$532,$Y355)&gt;1),
AND($Z355&lt;&gt;"",LOWER(TRIM($Z355))&lt;&gt;"n/a",COUNTIFS($B$2:$B$532,"Yes",$A$2:$A$532,"Cybernet",$Z$2:$Z$532,$Z355)&gt;1)
),"Yes","No"),
IF(AND($AL355&lt;&gt;"",LOWER(TRIM($AL355))&lt;&gt;"n/a"),
IF(COUNTIFS($B$2:$B$532,"Yes",$A$2:$A$532,$A355,$AL$2:$AL$532,$AL355)&gt;1,"Yes","No"),
"No")
)
)
)</f>
      </c>
      <c r="BL355">
        <f>IF($T355="","",IF((IF(AND($AW355&lt;&gt;"Yes",$AW355&lt;&gt;"N/A"),"Power Cable, ","")&amp;IF(AND($AX355&lt;&gt;"Yes",$AX355&lt;&gt;"N/A"),"Battery, ","")&amp;IF(AND($BE355&lt;&gt;"Yes",$BE355&lt;&gt;"N/A"),"Firmware Download, ","")&amp;IF(AND(OR($BE355="Yes",$BE355="N/A"),$BF355&lt;&gt;"Yes",$BF355&lt;&gt;"N/A"),"Firmware Install, ","")&amp;IF(AND($BJ355&lt;&gt;"Yes",$BJ355&lt;&gt;"N/A"),"Device ID, ","")&amp;IF(AND($BK355&lt;&gt;"Yes",$BK355&lt;&gt;"N/A"),"Epic Beans Relay, ",""))="","",LEFT(IF(AND($AW355&lt;&gt;"Yes",$AW355&lt;&gt;"N/A"),"Power Cable, ","")&amp;IF(AND($AX355&lt;&gt;"Yes",$AX355&lt;&gt;"N/A"),"Battery, ","")&amp;IF(AND($BE355&lt;&gt;"Yes",$BE355&lt;&gt;"N/A"),"Firmware Download, ","")&amp;IF(AND(OR($BE355="Yes",$BE355="N/A"),$BF355&lt;&gt;"Yes",$BF355&lt;&gt;"N/A"),"Firmware Install, ","")&amp;IF(AND($BJ355&lt;&gt;"Yes",$BJ355&lt;&gt;"N/A"),"Device ID, ","")&amp;IF(AND($BK355&lt;&gt;"Yes",$BK355&lt;&gt;"N/A"),"Epic Beans Relay, ",""),LEN(IF(AND($AW355&lt;&gt;"Yes",$AW355&lt;&gt;"N/A"),"Power Cable, ","")&amp;IF(AND($AX355&lt;&gt;"Yes",$AX355&lt;&gt;"N/A"),"Battery, ","")&amp;IF(AND($BE355&lt;&gt;"Yes",$BE355&lt;&gt;"N/A"),"Firmware Download, ","")&amp;IF(AND(OR($BE355="Yes",$BE355="N/A"),$BF355&lt;&gt;"Yes",$BF355&lt;&gt;"N/A"),"Firmware Install, ","")&amp;IF(AND($BJ355&lt;&gt;"Yes",$BJ355&lt;&gt;"N/A"),"Device ID, ","")&amp;IF(AND($BK355&lt;&gt;"Yes",$BK355&lt;&gt;"N/A"),"Epic Beans Relay, ",""))-2)))</f>
      </c>
      <c r="BM355">
        <f>IF($T355="","",IF($BL355="","Yes","Blocked"))</f>
      </c>
      <c r="BP355">
        <f>IF($BO355="","",IFERROR(VLOOKUP($BO355,'01_Warehouse_Ledger'!$A:$N,4,FALSE),""))</f>
      </c>
      <c r="BQ355">
        <f>IF($BO355="","",IFERROR(VLOOKUP($BO355,'01_Warehouse_Ledger'!$A:$N,5,FALSE),""))</f>
      </c>
      <c r="BR355">
        <f>IF($BO355="","",IFERROR(VLOOKUP($BO355,'01_Warehouse_Ledger'!$A:$N,13,FALSE),""))</f>
      </c>
    </row>
    <row r="356">
      <c r="D356">
        <f>IF($B356&lt;&gt;"Yes","",IF($C356="No","Yes",IF($C356="Yes","No","")))</f>
      </c>
      <c r="E356">
        <f>IF($A356="","",IF($A356="Neuron",IF(OR(AND($S356&lt;&gt;"",LOWER(TRIM($S356))&lt;&gt;"n/a",COUNTIF($S$2:$S$532,$S356)&gt;1),AND($T356&lt;&gt;"",LOWER(TRIM($T356))&lt;&gt;"n/a",COUNTIF($T$2:$T$532,$T356)&gt;1),AND($W356&lt;&gt;"",LOWER(TRIM($W356))&lt;&gt;"n/a",COUNTIF($W$2:$W$532,$W356)&gt;1)),"Yes","No"),IF($A356="Cybernet",IF(OR(AND($Y356&lt;&gt;"",LOWER(TRIM($Y356))&lt;&gt;"n/a",COUNTIF($Y$2:$Y$532,$Y356)&gt;1),AND($Z356&lt;&gt;"",LOWER(TRIM($Z356))&lt;&gt;"n/a",COUNTIF($Z$2:$Z$532,$Z356)&gt;1)),"Yes","No"),IF(AND($AL356&lt;&gt;"",LOWER(TRIM($AL356))&lt;&gt;"n/a",COUNTIF($AL$2:$AL$532,$AL356)&gt;1),"Yes","No"))))</f>
      </c>
      <c r="F356">
        <f>IF($B356&lt;&gt;"Yes","",
IF($A356="Neuron",
IF(OR(
AND($S356&lt;&gt;"",LOWER(TRIM($S356))&lt;&gt;"n/a",COUNTIFS($B$2:$B$532,"Yes",$A$2:$A$532,"Neuron",$S$2:$S$532,$S356)&gt;1),
AND($T356&lt;&gt;"",LOWER(TRIM($T356))&lt;&gt;"n/a",COUNTIFS($B$2:$B$532,"Yes",$A$2:$A$532,"Neuron",$T$2:$T$532,$T356)&gt;1),
AND($W356&lt;&gt;"",LOWER(TRIM($W356))&lt;&gt;"n/a",COUNTIFS($B$2:$B$532,"Yes",$A$2:$A$532,"Neuron",$W$2:$W$532,$W356)&gt;1)
),"Yes","No"),
IF($A356="Cybernet",
IF(OR(
AND($Y356&lt;&gt;"",LOWER(TRIM($Y356))&lt;&gt;"n/a",COUNTIFS($B$2:$B$532,"Yes",$A$2:$A$532,"Cybernet",$Y$2:$Y$532,$Y356)&gt;1),
AND($Z356&lt;&gt;"",LOWER(TRIM($Z356))&lt;&gt;"n/a",COUNTIFS($B$2:$B$532,"Yes",$A$2:$A$532,"Cybernet",$Z$2:$Z$532,$Z356)&gt;1)
),"Yes","No"),
IF(AND($AL356&lt;&gt;"",LOWER(TRIM($AL356))&lt;&gt;"n/a"),
IF(COUNTIFS($B$2:$B$532,"Yes",$A$2:$A$532,$A356,$AL$2:$AL$532,$AL356)&gt;1,"Yes","No"),
"No")
)
)
)</f>
      </c>
      <c r="BL356">
        <f>IF($T356="","",IF((IF(AND($AW356&lt;&gt;"Yes",$AW356&lt;&gt;"N/A"),"Power Cable, ","")&amp;IF(AND($AX356&lt;&gt;"Yes",$AX356&lt;&gt;"N/A"),"Battery, ","")&amp;IF(AND($BE356&lt;&gt;"Yes",$BE356&lt;&gt;"N/A"),"Firmware Download, ","")&amp;IF(AND(OR($BE356="Yes",$BE356="N/A"),$BF356&lt;&gt;"Yes",$BF356&lt;&gt;"N/A"),"Firmware Install, ","")&amp;IF(AND($BJ356&lt;&gt;"Yes",$BJ356&lt;&gt;"N/A"),"Device ID, ","")&amp;IF(AND($BK356&lt;&gt;"Yes",$BK356&lt;&gt;"N/A"),"Epic Beans Relay, ",""))="","",LEFT(IF(AND($AW356&lt;&gt;"Yes",$AW356&lt;&gt;"N/A"),"Power Cable, ","")&amp;IF(AND($AX356&lt;&gt;"Yes",$AX356&lt;&gt;"N/A"),"Battery, ","")&amp;IF(AND($BE356&lt;&gt;"Yes",$BE356&lt;&gt;"N/A"),"Firmware Download, ","")&amp;IF(AND(OR($BE356="Yes",$BE356="N/A"),$BF356&lt;&gt;"Yes",$BF356&lt;&gt;"N/A"),"Firmware Install, ","")&amp;IF(AND($BJ356&lt;&gt;"Yes",$BJ356&lt;&gt;"N/A"),"Device ID, ","")&amp;IF(AND($BK356&lt;&gt;"Yes",$BK356&lt;&gt;"N/A"),"Epic Beans Relay, ",""),LEN(IF(AND($AW356&lt;&gt;"Yes",$AW356&lt;&gt;"N/A"),"Power Cable, ","")&amp;IF(AND($AX356&lt;&gt;"Yes",$AX356&lt;&gt;"N/A"),"Battery, ","")&amp;IF(AND($BE356&lt;&gt;"Yes",$BE356&lt;&gt;"N/A"),"Firmware Download, ","")&amp;IF(AND(OR($BE356="Yes",$BE356="N/A"),$BF356&lt;&gt;"Yes",$BF356&lt;&gt;"N/A"),"Firmware Install, ","")&amp;IF(AND($BJ356&lt;&gt;"Yes",$BJ356&lt;&gt;"N/A"),"Device ID, ","")&amp;IF(AND($BK356&lt;&gt;"Yes",$BK356&lt;&gt;"N/A"),"Epic Beans Relay, ",""))-2)))</f>
      </c>
      <c r="BM356">
        <f>IF($T356="","",IF($BL356="","Yes","Blocked"))</f>
      </c>
      <c r="BP356">
        <f>IF($BO356="","",IFERROR(VLOOKUP($BO356,'01_Warehouse_Ledger'!$A:$N,4,FALSE),""))</f>
      </c>
      <c r="BQ356">
        <f>IF($BO356="","",IFERROR(VLOOKUP($BO356,'01_Warehouse_Ledger'!$A:$N,5,FALSE),""))</f>
      </c>
      <c r="BR356">
        <f>IF($BO356="","",IFERROR(VLOOKUP($BO356,'01_Warehouse_Ledger'!$A:$N,13,FALSE),""))</f>
      </c>
    </row>
    <row r="357">
      <c r="D357">
        <f>IF($B357&lt;&gt;"Yes","",IF($C357="No","Yes",IF($C357="Yes","No","")))</f>
      </c>
      <c r="E357">
        <f>IF($A357="","",IF($A357="Neuron",IF(OR(AND($S357&lt;&gt;"",LOWER(TRIM($S357))&lt;&gt;"n/a",COUNTIF($S$2:$S$532,$S357)&gt;1),AND($T357&lt;&gt;"",LOWER(TRIM($T357))&lt;&gt;"n/a",COUNTIF($T$2:$T$532,$T357)&gt;1),AND($W357&lt;&gt;"",LOWER(TRIM($W357))&lt;&gt;"n/a",COUNTIF($W$2:$W$532,$W357)&gt;1)),"Yes","No"),IF($A357="Cybernet",IF(OR(AND($Y357&lt;&gt;"",LOWER(TRIM($Y357))&lt;&gt;"n/a",COUNTIF($Y$2:$Y$532,$Y357)&gt;1),AND($Z357&lt;&gt;"",LOWER(TRIM($Z357))&lt;&gt;"n/a",COUNTIF($Z$2:$Z$532,$Z357)&gt;1)),"Yes","No"),IF(AND($AL357&lt;&gt;"",LOWER(TRIM($AL357))&lt;&gt;"n/a",COUNTIF($AL$2:$AL$532,$AL357)&gt;1),"Yes","No"))))</f>
      </c>
      <c r="F357">
        <f>IF($B357&lt;&gt;"Yes","",
IF($A357="Neuron",
IF(OR(
AND($S357&lt;&gt;"",LOWER(TRIM($S357))&lt;&gt;"n/a",COUNTIFS($B$2:$B$532,"Yes",$A$2:$A$532,"Neuron",$S$2:$S$532,$S357)&gt;1),
AND($T357&lt;&gt;"",LOWER(TRIM($T357))&lt;&gt;"n/a",COUNTIFS($B$2:$B$532,"Yes",$A$2:$A$532,"Neuron",$T$2:$T$532,$T357)&gt;1),
AND($W357&lt;&gt;"",LOWER(TRIM($W357))&lt;&gt;"n/a",COUNTIFS($B$2:$B$532,"Yes",$A$2:$A$532,"Neuron",$W$2:$W$532,$W357)&gt;1)
),"Yes","No"),
IF($A357="Cybernet",
IF(OR(
AND($Y357&lt;&gt;"",LOWER(TRIM($Y357))&lt;&gt;"n/a",COUNTIFS($B$2:$B$532,"Yes",$A$2:$A$532,"Cybernet",$Y$2:$Y$532,$Y357)&gt;1),
AND($Z357&lt;&gt;"",LOWER(TRIM($Z357))&lt;&gt;"n/a",COUNTIFS($B$2:$B$532,"Yes",$A$2:$A$532,"Cybernet",$Z$2:$Z$532,$Z357)&gt;1)
),"Yes","No"),
IF(AND($AL357&lt;&gt;"",LOWER(TRIM($AL357))&lt;&gt;"n/a"),
IF(COUNTIFS($B$2:$B$532,"Yes",$A$2:$A$532,$A357,$AL$2:$AL$532,$AL357)&gt;1,"Yes","No"),
"No")
)
)
)</f>
      </c>
      <c r="BL357">
        <f>IF($T357="","",IF((IF(AND($AW357&lt;&gt;"Yes",$AW357&lt;&gt;"N/A"),"Power Cable, ","")&amp;IF(AND($AX357&lt;&gt;"Yes",$AX357&lt;&gt;"N/A"),"Battery, ","")&amp;IF(AND($BE357&lt;&gt;"Yes",$BE357&lt;&gt;"N/A"),"Firmware Download, ","")&amp;IF(AND(OR($BE357="Yes",$BE357="N/A"),$BF357&lt;&gt;"Yes",$BF357&lt;&gt;"N/A"),"Firmware Install, ","")&amp;IF(AND($BJ357&lt;&gt;"Yes",$BJ357&lt;&gt;"N/A"),"Device ID, ","")&amp;IF(AND($BK357&lt;&gt;"Yes",$BK357&lt;&gt;"N/A"),"Epic Beans Relay, ",""))="","",LEFT(IF(AND($AW357&lt;&gt;"Yes",$AW357&lt;&gt;"N/A"),"Power Cable, ","")&amp;IF(AND($AX357&lt;&gt;"Yes",$AX357&lt;&gt;"N/A"),"Battery, ","")&amp;IF(AND($BE357&lt;&gt;"Yes",$BE357&lt;&gt;"N/A"),"Firmware Download, ","")&amp;IF(AND(OR($BE357="Yes",$BE357="N/A"),$BF357&lt;&gt;"Yes",$BF357&lt;&gt;"N/A"),"Firmware Install, ","")&amp;IF(AND($BJ357&lt;&gt;"Yes",$BJ357&lt;&gt;"N/A"),"Device ID, ","")&amp;IF(AND($BK357&lt;&gt;"Yes",$BK357&lt;&gt;"N/A"),"Epic Beans Relay, ",""),LEN(IF(AND($AW357&lt;&gt;"Yes",$AW357&lt;&gt;"N/A"),"Power Cable, ","")&amp;IF(AND($AX357&lt;&gt;"Yes",$AX357&lt;&gt;"N/A"),"Battery, ","")&amp;IF(AND($BE357&lt;&gt;"Yes",$BE357&lt;&gt;"N/A"),"Firmware Download, ","")&amp;IF(AND(OR($BE357="Yes",$BE357="N/A"),$BF357&lt;&gt;"Yes",$BF357&lt;&gt;"N/A"),"Firmware Install, ","")&amp;IF(AND($BJ357&lt;&gt;"Yes",$BJ357&lt;&gt;"N/A"),"Device ID, ","")&amp;IF(AND($BK357&lt;&gt;"Yes",$BK357&lt;&gt;"N/A"),"Epic Beans Relay, ",""))-2)))</f>
      </c>
      <c r="BM357">
        <f>IF($T357="","",IF($BL357="","Yes","Blocked"))</f>
      </c>
      <c r="BP357">
        <f>IF($BO357="","",IFERROR(VLOOKUP($BO357,'01_Warehouse_Ledger'!$A:$N,4,FALSE),""))</f>
      </c>
      <c r="BQ357">
        <f>IF($BO357="","",IFERROR(VLOOKUP($BO357,'01_Warehouse_Ledger'!$A:$N,5,FALSE),""))</f>
      </c>
      <c r="BR357">
        <f>IF($BO357="","",IFERROR(VLOOKUP($BO357,'01_Warehouse_Ledger'!$A:$N,13,FALSE),""))</f>
      </c>
    </row>
    <row r="358">
      <c r="D358">
        <f>IF($B358&lt;&gt;"Yes","",IF($C358="No","Yes",IF($C358="Yes","No","")))</f>
      </c>
      <c r="E358">
        <f>IF($A358="","",IF($A358="Neuron",IF(OR(AND($S358&lt;&gt;"",LOWER(TRIM($S358))&lt;&gt;"n/a",COUNTIF($S$2:$S$532,$S358)&gt;1),AND($T358&lt;&gt;"",LOWER(TRIM($T358))&lt;&gt;"n/a",COUNTIF($T$2:$T$532,$T358)&gt;1),AND($W358&lt;&gt;"",LOWER(TRIM($W358))&lt;&gt;"n/a",COUNTIF($W$2:$W$532,$W358)&gt;1)),"Yes","No"),IF($A358="Cybernet",IF(OR(AND($Y358&lt;&gt;"",LOWER(TRIM($Y358))&lt;&gt;"n/a",COUNTIF($Y$2:$Y$532,$Y358)&gt;1),AND($Z358&lt;&gt;"",LOWER(TRIM($Z358))&lt;&gt;"n/a",COUNTIF($Z$2:$Z$532,$Z358)&gt;1)),"Yes","No"),IF(AND($AL358&lt;&gt;"",LOWER(TRIM($AL358))&lt;&gt;"n/a",COUNTIF($AL$2:$AL$532,$AL358)&gt;1),"Yes","No"))))</f>
      </c>
      <c r="F358">
        <f>IF($B358&lt;&gt;"Yes","",
IF($A358="Neuron",
IF(OR(
AND($S358&lt;&gt;"",LOWER(TRIM($S358))&lt;&gt;"n/a",COUNTIFS($B$2:$B$532,"Yes",$A$2:$A$532,"Neuron",$S$2:$S$532,$S358)&gt;1),
AND($T358&lt;&gt;"",LOWER(TRIM($T358))&lt;&gt;"n/a",COUNTIFS($B$2:$B$532,"Yes",$A$2:$A$532,"Neuron",$T$2:$T$532,$T358)&gt;1),
AND($W358&lt;&gt;"",LOWER(TRIM($W358))&lt;&gt;"n/a",COUNTIFS($B$2:$B$532,"Yes",$A$2:$A$532,"Neuron",$W$2:$W$532,$W358)&gt;1)
),"Yes","No"),
IF($A358="Cybernet",
IF(OR(
AND($Y358&lt;&gt;"",LOWER(TRIM($Y358))&lt;&gt;"n/a",COUNTIFS($B$2:$B$532,"Yes",$A$2:$A$532,"Cybernet",$Y$2:$Y$532,$Y358)&gt;1),
AND($Z358&lt;&gt;"",LOWER(TRIM($Z358))&lt;&gt;"n/a",COUNTIFS($B$2:$B$532,"Yes",$A$2:$A$532,"Cybernet",$Z$2:$Z$532,$Z358)&gt;1)
),"Yes","No"),
IF(AND($AL358&lt;&gt;"",LOWER(TRIM($AL358))&lt;&gt;"n/a"),
IF(COUNTIFS($B$2:$B$532,"Yes",$A$2:$A$532,$A358,$AL$2:$AL$532,$AL358)&gt;1,"Yes","No"),
"No")
)
)
)</f>
      </c>
      <c r="BL358">
        <f>IF($T358="","",IF((IF(AND($AW358&lt;&gt;"Yes",$AW358&lt;&gt;"N/A"),"Power Cable, ","")&amp;IF(AND($AX358&lt;&gt;"Yes",$AX358&lt;&gt;"N/A"),"Battery, ","")&amp;IF(AND($BE358&lt;&gt;"Yes",$BE358&lt;&gt;"N/A"),"Firmware Download, ","")&amp;IF(AND(OR($BE358="Yes",$BE358="N/A"),$BF358&lt;&gt;"Yes",$BF358&lt;&gt;"N/A"),"Firmware Install, ","")&amp;IF(AND($BJ358&lt;&gt;"Yes",$BJ358&lt;&gt;"N/A"),"Device ID, ","")&amp;IF(AND($BK358&lt;&gt;"Yes",$BK358&lt;&gt;"N/A"),"Epic Beans Relay, ",""))="","",LEFT(IF(AND($AW358&lt;&gt;"Yes",$AW358&lt;&gt;"N/A"),"Power Cable, ","")&amp;IF(AND($AX358&lt;&gt;"Yes",$AX358&lt;&gt;"N/A"),"Battery, ","")&amp;IF(AND($BE358&lt;&gt;"Yes",$BE358&lt;&gt;"N/A"),"Firmware Download, ","")&amp;IF(AND(OR($BE358="Yes",$BE358="N/A"),$BF358&lt;&gt;"Yes",$BF358&lt;&gt;"N/A"),"Firmware Install, ","")&amp;IF(AND($BJ358&lt;&gt;"Yes",$BJ358&lt;&gt;"N/A"),"Device ID, ","")&amp;IF(AND($BK358&lt;&gt;"Yes",$BK358&lt;&gt;"N/A"),"Epic Beans Relay, ",""),LEN(IF(AND($AW358&lt;&gt;"Yes",$AW358&lt;&gt;"N/A"),"Power Cable, ","")&amp;IF(AND($AX358&lt;&gt;"Yes",$AX358&lt;&gt;"N/A"),"Battery, ","")&amp;IF(AND($BE358&lt;&gt;"Yes",$BE358&lt;&gt;"N/A"),"Firmware Download, ","")&amp;IF(AND(OR($BE358="Yes",$BE358="N/A"),$BF358&lt;&gt;"Yes",$BF358&lt;&gt;"N/A"),"Firmware Install, ","")&amp;IF(AND($BJ358&lt;&gt;"Yes",$BJ358&lt;&gt;"N/A"),"Device ID, ","")&amp;IF(AND($BK358&lt;&gt;"Yes",$BK358&lt;&gt;"N/A"),"Epic Beans Relay, ",""))-2)))</f>
      </c>
      <c r="BM358">
        <f>IF($T358="","",IF($BL358="","Yes","Blocked"))</f>
      </c>
      <c r="BP358">
        <f>IF($BO358="","",IFERROR(VLOOKUP($BO358,'01_Warehouse_Ledger'!$A:$N,4,FALSE),""))</f>
      </c>
      <c r="BQ358">
        <f>IF($BO358="","",IFERROR(VLOOKUP($BO358,'01_Warehouse_Ledger'!$A:$N,5,FALSE),""))</f>
      </c>
      <c r="BR358">
        <f>IF($BO358="","",IFERROR(VLOOKUP($BO358,'01_Warehouse_Ledger'!$A:$N,13,FALSE),""))</f>
      </c>
    </row>
    <row r="359">
      <c r="D359">
        <f>IF($B359&lt;&gt;"Yes","",IF($C359="No","Yes",IF($C359="Yes","No","")))</f>
      </c>
      <c r="E359">
        <f>IF($A359="","",IF($A359="Neuron",IF(OR(AND($S359&lt;&gt;"",LOWER(TRIM($S359))&lt;&gt;"n/a",COUNTIF($S$2:$S$532,$S359)&gt;1),AND($T359&lt;&gt;"",LOWER(TRIM($T359))&lt;&gt;"n/a",COUNTIF($T$2:$T$532,$T359)&gt;1),AND($W359&lt;&gt;"",LOWER(TRIM($W359))&lt;&gt;"n/a",COUNTIF($W$2:$W$532,$W359)&gt;1)),"Yes","No"),IF($A359="Cybernet",IF(OR(AND($Y359&lt;&gt;"",LOWER(TRIM($Y359))&lt;&gt;"n/a",COUNTIF($Y$2:$Y$532,$Y359)&gt;1),AND($Z359&lt;&gt;"",LOWER(TRIM($Z359))&lt;&gt;"n/a",COUNTIF($Z$2:$Z$532,$Z359)&gt;1)),"Yes","No"),IF(AND($AL359&lt;&gt;"",LOWER(TRIM($AL359))&lt;&gt;"n/a",COUNTIF($AL$2:$AL$532,$AL359)&gt;1),"Yes","No"))))</f>
      </c>
      <c r="F359">
        <f>IF($B359&lt;&gt;"Yes","",
IF($A359="Neuron",
IF(OR(
AND($S359&lt;&gt;"",LOWER(TRIM($S359))&lt;&gt;"n/a",COUNTIFS($B$2:$B$532,"Yes",$A$2:$A$532,"Neuron",$S$2:$S$532,$S359)&gt;1),
AND($T359&lt;&gt;"",LOWER(TRIM($T359))&lt;&gt;"n/a",COUNTIFS($B$2:$B$532,"Yes",$A$2:$A$532,"Neuron",$T$2:$T$532,$T359)&gt;1),
AND($W359&lt;&gt;"",LOWER(TRIM($W359))&lt;&gt;"n/a",COUNTIFS($B$2:$B$532,"Yes",$A$2:$A$532,"Neuron",$W$2:$W$532,$W359)&gt;1)
),"Yes","No"),
IF($A359="Cybernet",
IF(OR(
AND($Y359&lt;&gt;"",LOWER(TRIM($Y359))&lt;&gt;"n/a",COUNTIFS($B$2:$B$532,"Yes",$A$2:$A$532,"Cybernet",$Y$2:$Y$532,$Y359)&gt;1),
AND($Z359&lt;&gt;"",LOWER(TRIM($Z359))&lt;&gt;"n/a",COUNTIFS($B$2:$B$532,"Yes",$A$2:$A$532,"Cybernet",$Z$2:$Z$532,$Z359)&gt;1)
),"Yes","No"),
IF(AND($AL359&lt;&gt;"",LOWER(TRIM($AL359))&lt;&gt;"n/a"),
IF(COUNTIFS($B$2:$B$532,"Yes",$A$2:$A$532,$A359,$AL$2:$AL$532,$AL359)&gt;1,"Yes","No"),
"No")
)
)
)</f>
      </c>
      <c r="BL359">
        <f>IF($T359="","",IF((IF(AND($AW359&lt;&gt;"Yes",$AW359&lt;&gt;"N/A"),"Power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</c>
      <c r="BM359">
        <f>IF($T359="","",IF($BL359="","Yes","Blocked"))</f>
      </c>
      <c r="BP359">
        <f>IF($BO359="","",IFERROR(VLOOKUP($BO359,'01_Warehouse_Ledger'!$A:$N,4,FALSE),""))</f>
      </c>
      <c r="BQ359">
        <f>IF($BO359="","",IFERROR(VLOOKUP($BO359,'01_Warehouse_Ledger'!$A:$N,5,FALSE),""))</f>
      </c>
      <c r="BR359">
        <f>IF($BO359="","",IFERROR(VLOOKUP($BO359,'01_Warehouse_Ledger'!$A:$N,13,FALSE),""))</f>
      </c>
    </row>
    <row r="360">
      <c r="D360">
        <f>IF($B360&lt;&gt;"Yes","",IF($C360="No","Yes",IF($C360="Yes","No","")))</f>
      </c>
      <c r="E360">
        <f>IF($A360="","",IF($A360="Neuron",IF(OR(AND($S360&lt;&gt;"",LOWER(TRIM($S360))&lt;&gt;"n/a",COUNTIF($S$2:$S$532,$S360)&gt;1),AND($T360&lt;&gt;"",LOWER(TRIM($T360))&lt;&gt;"n/a",COUNTIF($T$2:$T$532,$T360)&gt;1),AND($W360&lt;&gt;"",LOWER(TRIM($W360))&lt;&gt;"n/a",COUNTIF($W$2:$W$532,$W360)&gt;1)),"Yes","No"),IF($A360="Cybernet",IF(OR(AND($Y360&lt;&gt;"",LOWER(TRIM($Y360))&lt;&gt;"n/a",COUNTIF($Y$2:$Y$532,$Y360)&gt;1),AND($Z360&lt;&gt;"",LOWER(TRIM($Z360))&lt;&gt;"n/a",COUNTIF($Z$2:$Z$532,$Z360)&gt;1)),"Yes","No"),IF(AND($AL360&lt;&gt;"",LOWER(TRIM($AL360))&lt;&gt;"n/a",COUNTIF($AL$2:$AL$532,$AL360)&gt;1),"Yes","No"))))</f>
      </c>
      <c r="F360">
        <f>IF($B360&lt;&gt;"Yes","",
IF($A360="Neuron",
IF(OR(
AND($S360&lt;&gt;"",LOWER(TRIM($S360))&lt;&gt;"n/a",COUNTIFS($B$2:$B$532,"Yes",$A$2:$A$532,"Neuron",$S$2:$S$532,$S360)&gt;1),
AND($T360&lt;&gt;"",LOWER(TRIM($T360))&lt;&gt;"n/a",COUNTIFS($B$2:$B$532,"Yes",$A$2:$A$532,"Neuron",$T$2:$T$532,$T360)&gt;1),
AND($W360&lt;&gt;"",LOWER(TRIM($W360))&lt;&gt;"n/a",COUNTIFS($B$2:$B$532,"Yes",$A$2:$A$532,"Neuron",$W$2:$W$532,$W360)&gt;1)
),"Yes","No"),
IF($A360="Cybernet",
IF(OR(
AND($Y360&lt;&gt;"",LOWER(TRIM($Y360))&lt;&gt;"n/a",COUNTIFS($B$2:$B$532,"Yes",$A$2:$A$532,"Cybernet",$Y$2:$Y$532,$Y360)&gt;1),
AND($Z360&lt;&gt;"",LOWER(TRIM($Z360))&lt;&gt;"n/a",COUNTIFS($B$2:$B$532,"Yes",$A$2:$A$532,"Cybernet",$Z$2:$Z$532,$Z360)&gt;1)
),"Yes","No"),
IF(AND($AL360&lt;&gt;"",LOWER(TRIM($AL360))&lt;&gt;"n/a"),
IF(COUNTIFS($B$2:$B$532,"Yes",$A$2:$A$532,$A360,$AL$2:$AL$532,$AL360)&gt;1,"Yes","No"),
"No")
)
)
)</f>
      </c>
      <c r="BL360">
        <f>IF($T360="","",IF((IF(AND($AW360&lt;&gt;"Yes",$AW360&lt;&gt;"N/A"),"Power Cable, ","")&amp;IF(AND($AX360&lt;&gt;"Yes",$AX360&lt;&gt;"N/A"),"Battery, ","")&amp;IF(AND($BE360&lt;&gt;"Yes",$BE360&lt;&gt;"N/A"),"Firmware Download, ","")&amp;IF(AND(OR($BE360="Yes",$BE360="N/A"),$BF360&lt;&gt;"Yes",$BF360&lt;&gt;"N/A"),"Firmware Install, ","")&amp;IF(AND($BJ360&lt;&gt;"Yes",$BJ360&lt;&gt;"N/A"),"Device ID, ","")&amp;IF(AND($BK360&lt;&gt;"Yes",$BK360&lt;&gt;"N/A"),"Epic Beans Relay, ",""))="","",LEFT(IF(AND($AW360&lt;&gt;"Yes",$AW360&lt;&gt;"N/A"),"Power Cable, ","")&amp;IF(AND($AX360&lt;&gt;"Yes",$AX360&lt;&gt;"N/A"),"Battery, ","")&amp;IF(AND($BE360&lt;&gt;"Yes",$BE360&lt;&gt;"N/A"),"Firmware Download, ","")&amp;IF(AND(OR($BE360="Yes",$BE360="N/A"),$BF360&lt;&gt;"Yes",$BF360&lt;&gt;"N/A"),"Firmware Install, ","")&amp;IF(AND($BJ360&lt;&gt;"Yes",$BJ360&lt;&gt;"N/A"),"Device ID, ","")&amp;IF(AND($BK360&lt;&gt;"Yes",$BK360&lt;&gt;"N/A"),"Epic Beans Relay, ",""),LEN(IF(AND($AW360&lt;&gt;"Yes",$AW360&lt;&gt;"N/A"),"Power Cable, ","")&amp;IF(AND($AX360&lt;&gt;"Yes",$AX360&lt;&gt;"N/A"),"Battery, ","")&amp;IF(AND($BE360&lt;&gt;"Yes",$BE360&lt;&gt;"N/A"),"Firmware Download, ","")&amp;IF(AND(OR($BE360="Yes",$BE360="N/A"),$BF360&lt;&gt;"Yes",$BF360&lt;&gt;"N/A"),"Firmware Install, ","")&amp;IF(AND($BJ360&lt;&gt;"Yes",$BJ360&lt;&gt;"N/A"),"Device ID, ","")&amp;IF(AND($BK360&lt;&gt;"Yes",$BK360&lt;&gt;"N/A"),"Epic Beans Relay, ",""))-2)))</f>
      </c>
      <c r="BM360">
        <f>IF($T360="","",IF($BL360="","Yes","Blocked"))</f>
      </c>
      <c r="BP360">
        <f>IF($BO360="","",IFERROR(VLOOKUP($BO360,'01_Warehouse_Ledger'!$A:$N,4,FALSE),""))</f>
      </c>
      <c r="BQ360">
        <f>IF($BO360="","",IFERROR(VLOOKUP($BO360,'01_Warehouse_Ledger'!$A:$N,5,FALSE),""))</f>
      </c>
      <c r="BR360">
        <f>IF($BO360="","",IFERROR(VLOOKUP($BO360,'01_Warehouse_Ledger'!$A:$N,13,FALSE),""))</f>
      </c>
    </row>
    <row r="361">
      <c r="D361">
        <f>IF($B361&lt;&gt;"Yes","",IF($C361="No","Yes",IF($C361="Yes","No","")))</f>
      </c>
      <c r="E361">
        <f>IF($A361="","",IF($A361="Neuron",IF(OR(AND($S361&lt;&gt;"",LOWER(TRIM($S361))&lt;&gt;"n/a",COUNTIF($S$2:$S$532,$S361)&gt;1),AND($T361&lt;&gt;"",LOWER(TRIM($T361))&lt;&gt;"n/a",COUNTIF($T$2:$T$532,$T361)&gt;1),AND($W361&lt;&gt;"",LOWER(TRIM($W361))&lt;&gt;"n/a",COUNTIF($W$2:$W$532,$W361)&gt;1)),"Yes","No"),IF($A361="Cybernet",IF(OR(AND($Y361&lt;&gt;"",LOWER(TRIM($Y361))&lt;&gt;"n/a",COUNTIF($Y$2:$Y$532,$Y361)&gt;1),AND($Z361&lt;&gt;"",LOWER(TRIM($Z361))&lt;&gt;"n/a",COUNTIF($Z$2:$Z$532,$Z361)&gt;1)),"Yes","No"),IF(AND($AL361&lt;&gt;"",LOWER(TRIM($AL361))&lt;&gt;"n/a",COUNTIF($AL$2:$AL$532,$AL361)&gt;1),"Yes","No"))))</f>
      </c>
      <c r="F361">
        <f>IF($B361&lt;&gt;"Yes","",
IF($A361="Neuron",
IF(OR(
AND($S361&lt;&gt;"",LOWER(TRIM($S361))&lt;&gt;"n/a",COUNTIFS($B$2:$B$532,"Yes",$A$2:$A$532,"Neuron",$S$2:$S$532,$S361)&gt;1),
AND($T361&lt;&gt;"",LOWER(TRIM($T361))&lt;&gt;"n/a",COUNTIFS($B$2:$B$532,"Yes",$A$2:$A$532,"Neuron",$T$2:$T$532,$T361)&gt;1),
AND($W361&lt;&gt;"",LOWER(TRIM($W361))&lt;&gt;"n/a",COUNTIFS($B$2:$B$532,"Yes",$A$2:$A$532,"Neuron",$W$2:$W$532,$W361)&gt;1)
),"Yes","No"),
IF($A361="Cybernet",
IF(OR(
AND($Y361&lt;&gt;"",LOWER(TRIM($Y361))&lt;&gt;"n/a",COUNTIFS($B$2:$B$532,"Yes",$A$2:$A$532,"Cybernet",$Y$2:$Y$532,$Y361)&gt;1),
AND($Z361&lt;&gt;"",LOWER(TRIM($Z361))&lt;&gt;"n/a",COUNTIFS($B$2:$B$532,"Yes",$A$2:$A$532,"Cybernet",$Z$2:$Z$532,$Z361)&gt;1)
),"Yes","No"),
IF(AND($AL361&lt;&gt;"",LOWER(TRIM($AL361))&lt;&gt;"n/a"),
IF(COUNTIFS($B$2:$B$532,"Yes",$A$2:$A$532,$A361,$AL$2:$AL$532,$AL361)&gt;1,"Yes","No"),
"No")
)
)
)</f>
      </c>
      <c r="BL361">
        <f>IF($T361="","",IF((IF(AND($AW361&lt;&gt;"Yes",$AW361&lt;&gt;"N/A"),"Power Cable, ","")&amp;IF(AND($AX361&lt;&gt;"Yes",$AX361&lt;&gt;"N/A"),"Battery, ","")&amp;IF(AND($BE361&lt;&gt;"Yes",$BE361&lt;&gt;"N/A"),"Firmware Download, ","")&amp;IF(AND(OR($BE361="Yes",$BE361="N/A"),$BF361&lt;&gt;"Yes",$BF361&lt;&gt;"N/A"),"Firmware Install, ","")&amp;IF(AND($BJ361&lt;&gt;"Yes",$BJ361&lt;&gt;"N/A"),"Device ID, ","")&amp;IF(AND($BK361&lt;&gt;"Yes",$BK361&lt;&gt;"N/A"),"Epic Beans Relay, ",""))="","",LEFT(IF(AND($AW361&lt;&gt;"Yes",$AW361&lt;&gt;"N/A"),"Power Cable, ","")&amp;IF(AND($AX361&lt;&gt;"Yes",$AX361&lt;&gt;"N/A"),"Battery, ","")&amp;IF(AND($BE361&lt;&gt;"Yes",$BE361&lt;&gt;"N/A"),"Firmware Download, ","")&amp;IF(AND(OR($BE361="Yes",$BE361="N/A"),$BF361&lt;&gt;"Yes",$BF361&lt;&gt;"N/A"),"Firmware Install, ","")&amp;IF(AND($BJ361&lt;&gt;"Yes",$BJ361&lt;&gt;"N/A"),"Device ID, ","")&amp;IF(AND($BK361&lt;&gt;"Yes",$BK361&lt;&gt;"N/A"),"Epic Beans Relay, ",""),LEN(IF(AND($AW361&lt;&gt;"Yes",$AW361&lt;&gt;"N/A"),"Power Cable, ","")&amp;IF(AND($AX361&lt;&gt;"Yes",$AX361&lt;&gt;"N/A"),"Battery, ","")&amp;IF(AND($BE361&lt;&gt;"Yes",$BE361&lt;&gt;"N/A"),"Firmware Download, ","")&amp;IF(AND(OR($BE361="Yes",$BE361="N/A"),$BF361&lt;&gt;"Yes",$BF361&lt;&gt;"N/A"),"Firmware Install, ","")&amp;IF(AND($BJ361&lt;&gt;"Yes",$BJ361&lt;&gt;"N/A"),"Device ID, ","")&amp;IF(AND($BK361&lt;&gt;"Yes",$BK361&lt;&gt;"N/A"),"Epic Beans Relay, ",""))-2)))</f>
      </c>
      <c r="BM361">
        <f>IF($T361="","",IF($BL361="","Yes","Blocked"))</f>
      </c>
      <c r="BP361">
        <f>IF($BO361="","",IFERROR(VLOOKUP($BO361,'01_Warehouse_Ledger'!$A:$N,4,FALSE),""))</f>
      </c>
      <c r="BQ361">
        <f>IF($BO361="","",IFERROR(VLOOKUP($BO361,'01_Warehouse_Ledger'!$A:$N,5,FALSE),""))</f>
      </c>
      <c r="BR361">
        <f>IF($BO361="","",IFERROR(VLOOKUP($BO361,'01_Warehouse_Ledger'!$A:$N,13,FALSE),""))</f>
      </c>
    </row>
    <row r="362">
      <c r="D362">
        <f>IF($B362&lt;&gt;"Yes","",IF($C362="No","Yes",IF($C362="Yes","No","")))</f>
      </c>
      <c r="E362">
        <f>IF($A362="","",IF($A362="Neuron",IF(OR(AND($S362&lt;&gt;"",LOWER(TRIM($S362))&lt;&gt;"n/a",COUNTIF($S$2:$S$532,$S362)&gt;1),AND($T362&lt;&gt;"",LOWER(TRIM($T362))&lt;&gt;"n/a",COUNTIF($T$2:$T$532,$T362)&gt;1),AND($W362&lt;&gt;"",LOWER(TRIM($W362))&lt;&gt;"n/a",COUNTIF($W$2:$W$532,$W362)&gt;1)),"Yes","No"),IF($A362="Cybernet",IF(OR(AND($Y362&lt;&gt;"",LOWER(TRIM($Y362))&lt;&gt;"n/a",COUNTIF($Y$2:$Y$532,$Y362)&gt;1),AND($Z362&lt;&gt;"",LOWER(TRIM($Z362))&lt;&gt;"n/a",COUNTIF($Z$2:$Z$532,$Z362)&gt;1)),"Yes","No"),IF(AND($AL362&lt;&gt;"",LOWER(TRIM($AL362))&lt;&gt;"n/a",COUNTIF($AL$2:$AL$532,$AL362)&gt;1),"Yes","No"))))</f>
      </c>
      <c r="F362">
        <f>IF($B362&lt;&gt;"Yes","",
IF($A362="Neuron",
IF(OR(
AND($S362&lt;&gt;"",LOWER(TRIM($S362))&lt;&gt;"n/a",COUNTIFS($B$2:$B$532,"Yes",$A$2:$A$532,"Neuron",$S$2:$S$532,$S362)&gt;1),
AND($T362&lt;&gt;"",LOWER(TRIM($T362))&lt;&gt;"n/a",COUNTIFS($B$2:$B$532,"Yes",$A$2:$A$532,"Neuron",$T$2:$T$532,$T362)&gt;1),
AND($W362&lt;&gt;"",LOWER(TRIM($W362))&lt;&gt;"n/a",COUNTIFS($B$2:$B$532,"Yes",$A$2:$A$532,"Neuron",$W$2:$W$532,$W362)&gt;1)
),"Yes","No"),
IF($A362="Cybernet",
IF(OR(
AND($Y362&lt;&gt;"",LOWER(TRIM($Y362))&lt;&gt;"n/a",COUNTIFS($B$2:$B$532,"Yes",$A$2:$A$532,"Cybernet",$Y$2:$Y$532,$Y362)&gt;1),
AND($Z362&lt;&gt;"",LOWER(TRIM($Z362))&lt;&gt;"n/a",COUNTIFS($B$2:$B$532,"Yes",$A$2:$A$532,"Cybernet",$Z$2:$Z$532,$Z362)&gt;1)
),"Yes","No"),
IF(AND($AL362&lt;&gt;"",LOWER(TRIM($AL362))&lt;&gt;"n/a"),
IF(COUNTIFS($B$2:$B$532,"Yes",$A$2:$A$532,$A362,$AL$2:$AL$532,$AL362)&gt;1,"Yes","No"),
"No")
)
)
)</f>
      </c>
      <c r="BL362">
        <f>IF($T362="","",IF((IF(AND($AW362&lt;&gt;"Yes",$AW362&lt;&gt;"N/A"),"Power Cable, ","")&amp;IF(AND($AX362&lt;&gt;"Yes",$AX362&lt;&gt;"N/A"),"Battery, ","")&amp;IF(AND($BE362&lt;&gt;"Yes",$BE362&lt;&gt;"N/A"),"Firmware Download, ","")&amp;IF(AND(OR($BE362="Yes",$BE362="N/A"),$BF362&lt;&gt;"Yes",$BF362&lt;&gt;"N/A"),"Firmware Install, ","")&amp;IF(AND($BJ362&lt;&gt;"Yes",$BJ362&lt;&gt;"N/A"),"Device ID, ","")&amp;IF(AND($BK362&lt;&gt;"Yes",$BK362&lt;&gt;"N/A"),"Epic Beans Relay, ",""))="","",LEFT(IF(AND($AW362&lt;&gt;"Yes",$AW362&lt;&gt;"N/A"),"Power Cable, ","")&amp;IF(AND($AX362&lt;&gt;"Yes",$AX362&lt;&gt;"N/A"),"Battery, ","")&amp;IF(AND($BE362&lt;&gt;"Yes",$BE362&lt;&gt;"N/A"),"Firmware Download, ","")&amp;IF(AND(OR($BE362="Yes",$BE362="N/A"),$BF362&lt;&gt;"Yes",$BF362&lt;&gt;"N/A"),"Firmware Install, ","")&amp;IF(AND($BJ362&lt;&gt;"Yes",$BJ362&lt;&gt;"N/A"),"Device ID, ","")&amp;IF(AND($BK362&lt;&gt;"Yes",$BK362&lt;&gt;"N/A"),"Epic Beans Relay, ",""),LEN(IF(AND($AW362&lt;&gt;"Yes",$AW362&lt;&gt;"N/A"),"Power Cable, ","")&amp;IF(AND($AX362&lt;&gt;"Yes",$AX362&lt;&gt;"N/A"),"Battery, ","")&amp;IF(AND($BE362&lt;&gt;"Yes",$BE362&lt;&gt;"N/A"),"Firmware Download, ","")&amp;IF(AND(OR($BE362="Yes",$BE362="N/A"),$BF362&lt;&gt;"Yes",$BF362&lt;&gt;"N/A"),"Firmware Install, ","")&amp;IF(AND($BJ362&lt;&gt;"Yes",$BJ362&lt;&gt;"N/A"),"Device ID, ","")&amp;IF(AND($BK362&lt;&gt;"Yes",$BK362&lt;&gt;"N/A"),"Epic Beans Relay, ",""))-2)))</f>
      </c>
      <c r="BM362">
        <f>IF($T362="","",IF($BL362="","Yes","Blocked"))</f>
      </c>
      <c r="BP362">
        <f>IF($BO362="","",IFERROR(VLOOKUP($BO362,'01_Warehouse_Ledger'!$A:$N,4,FALSE),""))</f>
      </c>
      <c r="BQ362">
        <f>IF($BO362="","",IFERROR(VLOOKUP($BO362,'01_Warehouse_Ledger'!$A:$N,5,FALSE),""))</f>
      </c>
      <c r="BR362">
        <f>IF($BO362="","",IFERROR(VLOOKUP($BO362,'01_Warehouse_Ledger'!$A:$N,13,FALSE),""))</f>
      </c>
    </row>
    <row r="363">
      <c r="D363">
        <f>IF($B363&lt;&gt;"Yes","",IF($C363="No","Yes",IF($C363="Yes","No","")))</f>
      </c>
      <c r="E363">
        <f>IF($A363="","",IF($A363="Neuron",IF(OR(AND($S363&lt;&gt;"",LOWER(TRIM($S363))&lt;&gt;"n/a",COUNTIF($S$2:$S$532,$S363)&gt;1),AND($T363&lt;&gt;"",LOWER(TRIM($T363))&lt;&gt;"n/a",COUNTIF($T$2:$T$532,$T363)&gt;1),AND($W363&lt;&gt;"",LOWER(TRIM($W363))&lt;&gt;"n/a",COUNTIF($W$2:$W$532,$W363)&gt;1)),"Yes","No"),IF($A363="Cybernet",IF(OR(AND($Y363&lt;&gt;"",LOWER(TRIM($Y363))&lt;&gt;"n/a",COUNTIF($Y$2:$Y$532,$Y363)&gt;1),AND($Z363&lt;&gt;"",LOWER(TRIM($Z363))&lt;&gt;"n/a",COUNTIF($Z$2:$Z$532,$Z363)&gt;1)),"Yes","No"),IF(AND($AL363&lt;&gt;"",LOWER(TRIM($AL363))&lt;&gt;"n/a",COUNTIF($AL$2:$AL$532,$AL363)&gt;1),"Yes","No"))))</f>
      </c>
      <c r="F363">
        <f>IF($B363&lt;&gt;"Yes","",
IF($A363="Neuron",
IF(OR(
AND($S363&lt;&gt;"",LOWER(TRIM($S363))&lt;&gt;"n/a",COUNTIFS($B$2:$B$532,"Yes",$A$2:$A$532,"Neuron",$S$2:$S$532,$S363)&gt;1),
AND($T363&lt;&gt;"",LOWER(TRIM($T363))&lt;&gt;"n/a",COUNTIFS($B$2:$B$532,"Yes",$A$2:$A$532,"Neuron",$T$2:$T$532,$T363)&gt;1),
AND($W363&lt;&gt;"",LOWER(TRIM($W363))&lt;&gt;"n/a",COUNTIFS($B$2:$B$532,"Yes",$A$2:$A$532,"Neuron",$W$2:$W$532,$W363)&gt;1)
),"Yes","No"),
IF($A363="Cybernet",
IF(OR(
AND($Y363&lt;&gt;"",LOWER(TRIM($Y363))&lt;&gt;"n/a",COUNTIFS($B$2:$B$532,"Yes",$A$2:$A$532,"Cybernet",$Y$2:$Y$532,$Y363)&gt;1),
AND($Z363&lt;&gt;"",LOWER(TRIM($Z363))&lt;&gt;"n/a",COUNTIFS($B$2:$B$532,"Yes",$A$2:$A$532,"Cybernet",$Z$2:$Z$532,$Z363)&gt;1)
),"Yes","No"),
IF(AND($AL363&lt;&gt;"",LOWER(TRIM($AL363))&lt;&gt;"n/a"),
IF(COUNTIFS($B$2:$B$532,"Yes",$A$2:$A$532,$A363,$AL$2:$AL$532,$AL363)&gt;1,"Yes","No"),
"No")
)
)
)</f>
      </c>
      <c r="BL363">
        <f>IF($T363="","",IF((IF(AND($AW363&lt;&gt;"Yes",$AW363&lt;&gt;"N/A"),"Power Cable, ","")&amp;IF(AND($AX363&lt;&gt;"Yes",$AX363&lt;&gt;"N/A"),"Battery, ","")&amp;IF(AND($BE363&lt;&gt;"Yes",$BE363&lt;&gt;"N/A"),"Firmware Download, ","")&amp;IF(AND(OR($BE363="Yes",$BE363="N/A"),$BF363&lt;&gt;"Yes",$BF363&lt;&gt;"N/A"),"Firmware Install, ","")&amp;IF(AND($BJ363&lt;&gt;"Yes",$BJ363&lt;&gt;"N/A"),"Device ID, ","")&amp;IF(AND($BK363&lt;&gt;"Yes",$BK363&lt;&gt;"N/A"),"Epic Beans Relay, ",""))="","",LEFT(IF(AND($AW363&lt;&gt;"Yes",$AW363&lt;&gt;"N/A"),"Power Cable, ","")&amp;IF(AND($AX363&lt;&gt;"Yes",$AX363&lt;&gt;"N/A"),"Battery, ","")&amp;IF(AND($BE363&lt;&gt;"Yes",$BE363&lt;&gt;"N/A"),"Firmware Download, ","")&amp;IF(AND(OR($BE363="Yes",$BE363="N/A"),$BF363&lt;&gt;"Yes",$BF363&lt;&gt;"N/A"),"Firmware Install, ","")&amp;IF(AND($BJ363&lt;&gt;"Yes",$BJ363&lt;&gt;"N/A"),"Device ID, ","")&amp;IF(AND($BK363&lt;&gt;"Yes",$BK363&lt;&gt;"N/A"),"Epic Beans Relay, ",""),LEN(IF(AND($AW363&lt;&gt;"Yes",$AW363&lt;&gt;"N/A"),"Power Cable, ","")&amp;IF(AND($AX363&lt;&gt;"Yes",$AX363&lt;&gt;"N/A"),"Battery, ","")&amp;IF(AND($BE363&lt;&gt;"Yes",$BE363&lt;&gt;"N/A"),"Firmware Download, ","")&amp;IF(AND(OR($BE363="Yes",$BE363="N/A"),$BF363&lt;&gt;"Yes",$BF363&lt;&gt;"N/A"),"Firmware Install, ","")&amp;IF(AND($BJ363&lt;&gt;"Yes",$BJ363&lt;&gt;"N/A"),"Device ID, ","")&amp;IF(AND($BK363&lt;&gt;"Yes",$BK363&lt;&gt;"N/A"),"Epic Beans Relay, ",""))-2)))</f>
      </c>
      <c r="BM363">
        <f>IF($T363="","",IF($BL363="","Yes","Blocked"))</f>
      </c>
      <c r="BP363">
        <f>IF($BO363="","",IFERROR(VLOOKUP($BO363,'01_Warehouse_Ledger'!$A:$N,4,FALSE),""))</f>
      </c>
      <c r="BQ363">
        <f>IF($BO363="","",IFERROR(VLOOKUP($BO363,'01_Warehouse_Ledger'!$A:$N,5,FALSE),""))</f>
      </c>
      <c r="BR363">
        <f>IF($BO363="","",IFERROR(VLOOKUP($BO363,'01_Warehouse_Ledger'!$A:$N,13,FALSE),""))</f>
      </c>
    </row>
    <row r="364">
      <c r="D364">
        <f>IF($B364&lt;&gt;"Yes","",IF($C364="No","Yes",IF($C364="Yes","No","")))</f>
      </c>
      <c r="E364">
        <f>IF($A364="","",IF($A364="Neuron",IF(OR(AND($S364&lt;&gt;"",LOWER(TRIM($S364))&lt;&gt;"n/a",COUNTIF($S$2:$S$532,$S364)&gt;1),AND($T364&lt;&gt;"",LOWER(TRIM($T364))&lt;&gt;"n/a",COUNTIF($T$2:$T$532,$T364)&gt;1),AND($W364&lt;&gt;"",LOWER(TRIM($W364))&lt;&gt;"n/a",COUNTIF($W$2:$W$532,$W364)&gt;1)),"Yes","No"),IF($A364="Cybernet",IF(OR(AND($Y364&lt;&gt;"",LOWER(TRIM($Y364))&lt;&gt;"n/a",COUNTIF($Y$2:$Y$532,$Y364)&gt;1),AND($Z364&lt;&gt;"",LOWER(TRIM($Z364))&lt;&gt;"n/a",COUNTIF($Z$2:$Z$532,$Z364)&gt;1)),"Yes","No"),IF(AND($AL364&lt;&gt;"",LOWER(TRIM($AL364))&lt;&gt;"n/a",COUNTIF($AL$2:$AL$532,$AL364)&gt;1),"Yes","No"))))</f>
      </c>
      <c r="F364">
        <f>IF($B364&lt;&gt;"Yes","",
IF($A364="Neuron",
IF(OR(
AND($S364&lt;&gt;"",LOWER(TRIM($S364))&lt;&gt;"n/a",COUNTIFS($B$2:$B$532,"Yes",$A$2:$A$532,"Neuron",$S$2:$S$532,$S364)&gt;1),
AND($T364&lt;&gt;"",LOWER(TRIM($T364))&lt;&gt;"n/a",COUNTIFS($B$2:$B$532,"Yes",$A$2:$A$532,"Neuron",$T$2:$T$532,$T364)&gt;1),
AND($W364&lt;&gt;"",LOWER(TRIM($W364))&lt;&gt;"n/a",COUNTIFS($B$2:$B$532,"Yes",$A$2:$A$532,"Neuron",$W$2:$W$532,$W364)&gt;1)
),"Yes","No"),
IF($A364="Cybernet",
IF(OR(
AND($Y364&lt;&gt;"",LOWER(TRIM($Y364))&lt;&gt;"n/a",COUNTIFS($B$2:$B$532,"Yes",$A$2:$A$532,"Cybernet",$Y$2:$Y$532,$Y364)&gt;1),
AND($Z364&lt;&gt;"",LOWER(TRIM($Z364))&lt;&gt;"n/a",COUNTIFS($B$2:$B$532,"Yes",$A$2:$A$532,"Cybernet",$Z$2:$Z$532,$Z364)&gt;1)
),"Yes","No"),
IF(AND($AL364&lt;&gt;"",LOWER(TRIM($AL364))&lt;&gt;"n/a"),
IF(COUNTIFS($B$2:$B$532,"Yes",$A$2:$A$532,$A364,$AL$2:$AL$532,$AL364)&gt;1,"Yes","No"),
"No")
)
)
)</f>
      </c>
      <c r="BL364">
        <f>IF($T364="","",IF((IF(AND($AW364&lt;&gt;"Yes",$AW364&lt;&gt;"N/A"),"Power Cable, ","")&amp;IF(AND($AX364&lt;&gt;"Yes",$AX364&lt;&gt;"N/A"),"Battery, ","")&amp;IF(AND($BE364&lt;&gt;"Yes",$BE364&lt;&gt;"N/A"),"Firmware Download, ","")&amp;IF(AND(OR($BE364="Yes",$BE364="N/A"),$BF364&lt;&gt;"Yes",$BF364&lt;&gt;"N/A"),"Firmware Install, ","")&amp;IF(AND($BJ364&lt;&gt;"Yes",$BJ364&lt;&gt;"N/A"),"Device ID, ","")&amp;IF(AND($BK364&lt;&gt;"Yes",$BK364&lt;&gt;"N/A"),"Epic Beans Relay, ",""))="","",LEFT(IF(AND($AW364&lt;&gt;"Yes",$AW364&lt;&gt;"N/A"),"Power Cable, ","")&amp;IF(AND($AX364&lt;&gt;"Yes",$AX364&lt;&gt;"N/A"),"Battery, ","")&amp;IF(AND($BE364&lt;&gt;"Yes",$BE364&lt;&gt;"N/A"),"Firmware Download, ","")&amp;IF(AND(OR($BE364="Yes",$BE364="N/A"),$BF364&lt;&gt;"Yes",$BF364&lt;&gt;"N/A"),"Firmware Install, ","")&amp;IF(AND($BJ364&lt;&gt;"Yes",$BJ364&lt;&gt;"N/A"),"Device ID, ","")&amp;IF(AND($BK364&lt;&gt;"Yes",$BK364&lt;&gt;"N/A"),"Epic Beans Relay, ",""),LEN(IF(AND($AW364&lt;&gt;"Yes",$AW364&lt;&gt;"N/A"),"Power Cable, ","")&amp;IF(AND($AX364&lt;&gt;"Yes",$AX364&lt;&gt;"N/A"),"Battery, ","")&amp;IF(AND($BE364&lt;&gt;"Yes",$BE364&lt;&gt;"N/A"),"Firmware Download, ","")&amp;IF(AND(OR($BE364="Yes",$BE364="N/A"),$BF364&lt;&gt;"Yes",$BF364&lt;&gt;"N/A"),"Firmware Install, ","")&amp;IF(AND($BJ364&lt;&gt;"Yes",$BJ364&lt;&gt;"N/A"),"Device ID, ","")&amp;IF(AND($BK364&lt;&gt;"Yes",$BK364&lt;&gt;"N/A"),"Epic Beans Relay, ",""))-2)))</f>
      </c>
      <c r="BM364">
        <f>IF($T364="","",IF($BL364="","Yes","Blocked"))</f>
      </c>
      <c r="BP364">
        <f>IF($BO364="","",IFERROR(VLOOKUP($BO364,'01_Warehouse_Ledger'!$A:$N,4,FALSE),""))</f>
      </c>
      <c r="BQ364">
        <f>IF($BO364="","",IFERROR(VLOOKUP($BO364,'01_Warehouse_Ledger'!$A:$N,5,FALSE),""))</f>
      </c>
      <c r="BR364">
        <f>IF($BO364="","",IFERROR(VLOOKUP($BO364,'01_Warehouse_Ledger'!$A:$N,13,FALSE),""))</f>
      </c>
    </row>
    <row r="365">
      <c r="D365">
        <f>IF($B365&lt;&gt;"Yes","",IF($C365="No","Yes",IF($C365="Yes","No","")))</f>
      </c>
      <c r="E365">
        <f>IF($A365="","",IF($A365="Neuron",IF(OR(AND($S365&lt;&gt;"",LOWER(TRIM($S365))&lt;&gt;"n/a",COUNTIF($S$2:$S$532,$S365)&gt;1),AND($T365&lt;&gt;"",LOWER(TRIM($T365))&lt;&gt;"n/a",COUNTIF($T$2:$T$532,$T365)&gt;1),AND($W365&lt;&gt;"",LOWER(TRIM($W365))&lt;&gt;"n/a",COUNTIF($W$2:$W$532,$W365)&gt;1)),"Yes","No"),IF($A365="Cybernet",IF(OR(AND($Y365&lt;&gt;"",LOWER(TRIM($Y365))&lt;&gt;"n/a",COUNTIF($Y$2:$Y$532,$Y365)&gt;1),AND($Z365&lt;&gt;"",LOWER(TRIM($Z365))&lt;&gt;"n/a",COUNTIF($Z$2:$Z$532,$Z365)&gt;1)),"Yes","No"),IF(AND($AL365&lt;&gt;"",LOWER(TRIM($AL365))&lt;&gt;"n/a",COUNTIF($AL$2:$AL$532,$AL365)&gt;1),"Yes","No"))))</f>
      </c>
      <c r="F365">
        <f>IF($B365&lt;&gt;"Yes","",
IF($A365="Neuron",
IF(OR(
AND($S365&lt;&gt;"",LOWER(TRIM($S365))&lt;&gt;"n/a",COUNTIFS($B$2:$B$532,"Yes",$A$2:$A$532,"Neuron",$S$2:$S$532,$S365)&gt;1),
AND($T365&lt;&gt;"",LOWER(TRIM($T365))&lt;&gt;"n/a",COUNTIFS($B$2:$B$532,"Yes",$A$2:$A$532,"Neuron",$T$2:$T$532,$T365)&gt;1),
AND($W365&lt;&gt;"",LOWER(TRIM($W365))&lt;&gt;"n/a",COUNTIFS($B$2:$B$532,"Yes",$A$2:$A$532,"Neuron",$W$2:$W$532,$W365)&gt;1)
),"Yes","No"),
IF($A365="Cybernet",
IF(OR(
AND($Y365&lt;&gt;"",LOWER(TRIM($Y365))&lt;&gt;"n/a",COUNTIFS($B$2:$B$532,"Yes",$A$2:$A$532,"Cybernet",$Y$2:$Y$532,$Y365)&gt;1),
AND($Z365&lt;&gt;"",LOWER(TRIM($Z365))&lt;&gt;"n/a",COUNTIFS($B$2:$B$532,"Yes",$A$2:$A$532,"Cybernet",$Z$2:$Z$532,$Z365)&gt;1)
),"Yes","No"),
IF(AND($AL365&lt;&gt;"",LOWER(TRIM($AL365))&lt;&gt;"n/a"),
IF(COUNTIFS($B$2:$B$532,"Yes",$A$2:$A$532,$A365,$AL$2:$AL$532,$AL365)&gt;1,"Yes","No"),
"No")
)
)
)</f>
      </c>
      <c r="BL365">
        <f>IF($T365="","",IF((IF(AND($AW365&lt;&gt;"Yes",$AW365&lt;&gt;"N/A"),"Power Cable, ","")&amp;IF(AND($AX365&lt;&gt;"Yes",$AX365&lt;&gt;"N/A"),"Battery, ","")&amp;IF(AND($BE365&lt;&gt;"Yes",$BE365&lt;&gt;"N/A"),"Firmware Download, ","")&amp;IF(AND(OR($BE365="Yes",$BE365="N/A"),$BF365&lt;&gt;"Yes",$BF365&lt;&gt;"N/A"),"Firmware Install, ","")&amp;IF(AND($BJ365&lt;&gt;"Yes",$BJ365&lt;&gt;"N/A"),"Device ID, ","")&amp;IF(AND($BK365&lt;&gt;"Yes",$BK365&lt;&gt;"N/A"),"Epic Beans Relay, ",""))="","",LEFT(IF(AND($AW365&lt;&gt;"Yes",$AW365&lt;&gt;"N/A"),"Power Cable, ","")&amp;IF(AND($AX365&lt;&gt;"Yes",$AX365&lt;&gt;"N/A"),"Battery, ","")&amp;IF(AND($BE365&lt;&gt;"Yes",$BE365&lt;&gt;"N/A"),"Firmware Download, ","")&amp;IF(AND(OR($BE365="Yes",$BE365="N/A"),$BF365&lt;&gt;"Yes",$BF365&lt;&gt;"N/A"),"Firmware Install, ","")&amp;IF(AND($BJ365&lt;&gt;"Yes",$BJ365&lt;&gt;"N/A"),"Device ID, ","")&amp;IF(AND($BK365&lt;&gt;"Yes",$BK365&lt;&gt;"N/A"),"Epic Beans Relay, ",""),LEN(IF(AND($AW365&lt;&gt;"Yes",$AW365&lt;&gt;"N/A"),"Power Cable, ","")&amp;IF(AND($AX365&lt;&gt;"Yes",$AX365&lt;&gt;"N/A"),"Battery, ","")&amp;IF(AND($BE365&lt;&gt;"Yes",$BE365&lt;&gt;"N/A"),"Firmware Download, ","")&amp;IF(AND(OR($BE365="Yes",$BE365="N/A"),$BF365&lt;&gt;"Yes",$BF365&lt;&gt;"N/A"),"Firmware Install, ","")&amp;IF(AND($BJ365&lt;&gt;"Yes",$BJ365&lt;&gt;"N/A"),"Device ID, ","")&amp;IF(AND($BK365&lt;&gt;"Yes",$BK365&lt;&gt;"N/A"),"Epic Beans Relay, ",""))-2)))</f>
      </c>
      <c r="BM365">
        <f>IF($T365="","",IF($BL365="","Yes","Blocked"))</f>
      </c>
      <c r="BP365">
        <f>IF($BO365="","",IFERROR(VLOOKUP($BO365,'01_Warehouse_Ledger'!$A:$N,4,FALSE),""))</f>
      </c>
      <c r="BQ365">
        <f>IF($BO365="","",IFERROR(VLOOKUP($BO365,'01_Warehouse_Ledger'!$A:$N,5,FALSE),""))</f>
      </c>
      <c r="BR365">
        <f>IF($BO365="","",IFERROR(VLOOKUP($BO365,'01_Warehouse_Ledger'!$A:$N,13,FALSE),""))</f>
      </c>
    </row>
    <row r="366">
      <c r="D366">
        <f>IF($B366&lt;&gt;"Yes","",IF($C366="No","Yes",IF($C366="Yes","No","")))</f>
      </c>
      <c r="E366">
        <f>IF($A366="","",IF($A366="Neuron",IF(OR(AND($S366&lt;&gt;"",LOWER(TRIM($S366))&lt;&gt;"n/a",COUNTIF($S$2:$S$532,$S366)&gt;1),AND($T366&lt;&gt;"",LOWER(TRIM($T366))&lt;&gt;"n/a",COUNTIF($T$2:$T$532,$T366)&gt;1),AND($W366&lt;&gt;"",LOWER(TRIM($W366))&lt;&gt;"n/a",COUNTIF($W$2:$W$532,$W366)&gt;1)),"Yes","No"),IF($A366="Cybernet",IF(OR(AND($Y366&lt;&gt;"",LOWER(TRIM($Y366))&lt;&gt;"n/a",COUNTIF($Y$2:$Y$532,$Y366)&gt;1),AND($Z366&lt;&gt;"",LOWER(TRIM($Z366))&lt;&gt;"n/a",COUNTIF($Z$2:$Z$532,$Z366)&gt;1)),"Yes","No"),IF(AND($AL366&lt;&gt;"",LOWER(TRIM($AL366))&lt;&gt;"n/a",COUNTIF($AL$2:$AL$532,$AL366)&gt;1),"Yes","No"))))</f>
      </c>
      <c r="F366">
        <f>IF($B366&lt;&gt;"Yes","",
IF($A366="Neuron",
IF(OR(
AND($S366&lt;&gt;"",LOWER(TRIM($S366))&lt;&gt;"n/a",COUNTIFS($B$2:$B$532,"Yes",$A$2:$A$532,"Neuron",$S$2:$S$532,$S366)&gt;1),
AND($T366&lt;&gt;"",LOWER(TRIM($T366))&lt;&gt;"n/a",COUNTIFS($B$2:$B$532,"Yes",$A$2:$A$532,"Neuron",$T$2:$T$532,$T366)&gt;1),
AND($W366&lt;&gt;"",LOWER(TRIM($W366))&lt;&gt;"n/a",COUNTIFS($B$2:$B$532,"Yes",$A$2:$A$532,"Neuron",$W$2:$W$532,$W366)&gt;1)
),"Yes","No"),
IF($A366="Cybernet",
IF(OR(
AND($Y366&lt;&gt;"",LOWER(TRIM($Y366))&lt;&gt;"n/a",COUNTIFS($B$2:$B$532,"Yes",$A$2:$A$532,"Cybernet",$Y$2:$Y$532,$Y366)&gt;1),
AND($Z366&lt;&gt;"",LOWER(TRIM($Z366))&lt;&gt;"n/a",COUNTIFS($B$2:$B$532,"Yes",$A$2:$A$532,"Cybernet",$Z$2:$Z$532,$Z366)&gt;1)
),"Yes","No"),
IF(AND($AL366&lt;&gt;"",LOWER(TRIM($AL366))&lt;&gt;"n/a"),
IF(COUNTIFS($B$2:$B$532,"Yes",$A$2:$A$532,$A366,$AL$2:$AL$532,$AL366)&gt;1,"Yes","No"),
"No")
)
)
)</f>
      </c>
      <c r="BL366">
        <f>IF($T366="","",IF((IF(AND($AW366&lt;&gt;"Yes",$AW366&lt;&gt;"N/A"),"Power Cable, ","")&amp;IF(AND($AX366&lt;&gt;"Yes",$AX366&lt;&gt;"N/A"),"Battery, ","")&amp;IF(AND($BE366&lt;&gt;"Yes",$BE366&lt;&gt;"N/A"),"Firmware Download, ","")&amp;IF(AND(OR($BE366="Yes",$BE366="N/A"),$BF366&lt;&gt;"Yes",$BF366&lt;&gt;"N/A"),"Firmware Install, ","")&amp;IF(AND($BJ366&lt;&gt;"Yes",$BJ366&lt;&gt;"N/A"),"Device ID, ","")&amp;IF(AND($BK366&lt;&gt;"Yes",$BK366&lt;&gt;"N/A"),"Epic Beans Relay, ",""))="","",LEFT(IF(AND($AW366&lt;&gt;"Yes",$AW366&lt;&gt;"N/A"),"Power Cable, ","")&amp;IF(AND($AX366&lt;&gt;"Yes",$AX366&lt;&gt;"N/A"),"Battery, ","")&amp;IF(AND($BE366&lt;&gt;"Yes",$BE366&lt;&gt;"N/A"),"Firmware Download, ","")&amp;IF(AND(OR($BE366="Yes",$BE366="N/A"),$BF366&lt;&gt;"Yes",$BF366&lt;&gt;"N/A"),"Firmware Install, ","")&amp;IF(AND($BJ366&lt;&gt;"Yes",$BJ366&lt;&gt;"N/A"),"Device ID, ","")&amp;IF(AND($BK366&lt;&gt;"Yes",$BK366&lt;&gt;"N/A"),"Epic Beans Relay, ",""),LEN(IF(AND($AW366&lt;&gt;"Yes",$AW366&lt;&gt;"N/A"),"Power Cable, ","")&amp;IF(AND($AX366&lt;&gt;"Yes",$AX366&lt;&gt;"N/A"),"Battery, ","")&amp;IF(AND($BE366&lt;&gt;"Yes",$BE366&lt;&gt;"N/A"),"Firmware Download, ","")&amp;IF(AND(OR($BE366="Yes",$BE366="N/A"),$BF366&lt;&gt;"Yes",$BF366&lt;&gt;"N/A"),"Firmware Install, ","")&amp;IF(AND($BJ366&lt;&gt;"Yes",$BJ366&lt;&gt;"N/A"),"Device ID, ","")&amp;IF(AND($BK366&lt;&gt;"Yes",$BK366&lt;&gt;"N/A"),"Epic Beans Relay, ",""))-2)))</f>
      </c>
      <c r="BM366">
        <f>IF($T366="","",IF($BL366="","Yes","Blocked"))</f>
      </c>
      <c r="BP366">
        <f>IF($BO366="","",IFERROR(VLOOKUP($BO366,'01_Warehouse_Ledger'!$A:$N,4,FALSE),""))</f>
      </c>
      <c r="BQ366">
        <f>IF($BO366="","",IFERROR(VLOOKUP($BO366,'01_Warehouse_Ledger'!$A:$N,5,FALSE),""))</f>
      </c>
      <c r="BR366">
        <f>IF($BO366="","",IFERROR(VLOOKUP($BO366,'01_Warehouse_Ledger'!$A:$N,13,FALSE),""))</f>
      </c>
    </row>
    <row r="367">
      <c r="D367">
        <f>IF($B367&lt;&gt;"Yes","",IF($C367="No","Yes",IF($C367="Yes","No","")))</f>
      </c>
      <c r="E367">
        <f>IF($A367="","",IF($A367="Neuron",IF(OR(AND($S367&lt;&gt;"",LOWER(TRIM($S367))&lt;&gt;"n/a",COUNTIF($S$2:$S$532,$S367)&gt;1),AND($T367&lt;&gt;"",LOWER(TRIM($T367))&lt;&gt;"n/a",COUNTIF($T$2:$T$532,$T367)&gt;1),AND($W367&lt;&gt;"",LOWER(TRIM($W367))&lt;&gt;"n/a",COUNTIF($W$2:$W$532,$W367)&gt;1)),"Yes","No"),IF($A367="Cybernet",IF(OR(AND($Y367&lt;&gt;"",LOWER(TRIM($Y367))&lt;&gt;"n/a",COUNTIF($Y$2:$Y$532,$Y367)&gt;1),AND($Z367&lt;&gt;"",LOWER(TRIM($Z367))&lt;&gt;"n/a",COUNTIF($Z$2:$Z$532,$Z367)&gt;1)),"Yes","No"),IF(AND($AL367&lt;&gt;"",LOWER(TRIM($AL367))&lt;&gt;"n/a",COUNTIF($AL$2:$AL$532,$AL367)&gt;1),"Yes","No"))))</f>
      </c>
      <c r="F367">
        <f>IF($B367&lt;&gt;"Yes","",
IF($A367="Neuron",
IF(OR(
AND($S367&lt;&gt;"",LOWER(TRIM($S367))&lt;&gt;"n/a",COUNTIFS($B$2:$B$532,"Yes",$A$2:$A$532,"Neuron",$S$2:$S$532,$S367)&gt;1),
AND($T367&lt;&gt;"",LOWER(TRIM($T367))&lt;&gt;"n/a",COUNTIFS($B$2:$B$532,"Yes",$A$2:$A$532,"Neuron",$T$2:$T$532,$T367)&gt;1),
AND($W367&lt;&gt;"",LOWER(TRIM($W367))&lt;&gt;"n/a",COUNTIFS($B$2:$B$532,"Yes",$A$2:$A$532,"Neuron",$W$2:$W$532,$W367)&gt;1)
),"Yes","No"),
IF($A367="Cybernet",
IF(OR(
AND($Y367&lt;&gt;"",LOWER(TRIM($Y367))&lt;&gt;"n/a",COUNTIFS($B$2:$B$532,"Yes",$A$2:$A$532,"Cybernet",$Y$2:$Y$532,$Y367)&gt;1),
AND($Z367&lt;&gt;"",LOWER(TRIM($Z367))&lt;&gt;"n/a",COUNTIFS($B$2:$B$532,"Yes",$A$2:$A$532,"Cybernet",$Z$2:$Z$532,$Z367)&gt;1)
),"Yes","No"),
IF(AND($AL367&lt;&gt;"",LOWER(TRIM($AL367))&lt;&gt;"n/a"),
IF(COUNTIFS($B$2:$B$532,"Yes",$A$2:$A$532,$A367,$AL$2:$AL$532,$AL367)&gt;1,"Yes","No"),
"No")
)
)
)</f>
      </c>
      <c r="BL367">
        <f>IF($T367="","",IF((IF(AND($AW367&lt;&gt;"Yes",$AW367&lt;&gt;"N/A"),"Power Cable, ","")&amp;IF(AND($AX367&lt;&gt;"Yes",$AX367&lt;&gt;"N/A"),"Battery, ","")&amp;IF(AND($BE367&lt;&gt;"Yes",$BE367&lt;&gt;"N/A"),"Firmware Download, ","")&amp;IF(AND(OR($BE367="Yes",$BE367="N/A"),$BF367&lt;&gt;"Yes",$BF367&lt;&gt;"N/A"),"Firmware Install, ","")&amp;IF(AND($BJ367&lt;&gt;"Yes",$BJ367&lt;&gt;"N/A"),"Device ID, ","")&amp;IF(AND($BK367&lt;&gt;"Yes",$BK367&lt;&gt;"N/A"),"Epic Beans Relay, ",""))="","",LEFT(IF(AND($AW367&lt;&gt;"Yes",$AW367&lt;&gt;"N/A"),"Power Cable, ","")&amp;IF(AND($AX367&lt;&gt;"Yes",$AX367&lt;&gt;"N/A"),"Battery, ","")&amp;IF(AND($BE367&lt;&gt;"Yes",$BE367&lt;&gt;"N/A"),"Firmware Download, ","")&amp;IF(AND(OR($BE367="Yes",$BE367="N/A"),$BF367&lt;&gt;"Yes",$BF367&lt;&gt;"N/A"),"Firmware Install, ","")&amp;IF(AND($BJ367&lt;&gt;"Yes",$BJ367&lt;&gt;"N/A"),"Device ID, ","")&amp;IF(AND($BK367&lt;&gt;"Yes",$BK367&lt;&gt;"N/A"),"Epic Beans Relay, ",""),LEN(IF(AND($AW367&lt;&gt;"Yes",$AW367&lt;&gt;"N/A"),"Power Cable, ","")&amp;IF(AND($AX367&lt;&gt;"Yes",$AX367&lt;&gt;"N/A"),"Battery, ","")&amp;IF(AND($BE367&lt;&gt;"Yes",$BE367&lt;&gt;"N/A"),"Firmware Download, ","")&amp;IF(AND(OR($BE367="Yes",$BE367="N/A"),$BF367&lt;&gt;"Yes",$BF367&lt;&gt;"N/A"),"Firmware Install, ","")&amp;IF(AND($BJ367&lt;&gt;"Yes",$BJ367&lt;&gt;"N/A"),"Device ID, ","")&amp;IF(AND($BK367&lt;&gt;"Yes",$BK367&lt;&gt;"N/A"),"Epic Beans Relay, ",""))-2)))</f>
      </c>
      <c r="BM367">
        <f>IF($T367="","",IF($BL367="","Yes","Blocked"))</f>
      </c>
      <c r="BP367">
        <f>IF($BO367="","",IFERROR(VLOOKUP($BO367,'01_Warehouse_Ledger'!$A:$N,4,FALSE),""))</f>
      </c>
      <c r="BQ367">
        <f>IF($BO367="","",IFERROR(VLOOKUP($BO367,'01_Warehouse_Ledger'!$A:$N,5,FALSE),""))</f>
      </c>
      <c r="BR367">
        <f>IF($BO367="","",IFERROR(VLOOKUP($BO367,'01_Warehouse_Ledger'!$A:$N,13,FALSE),""))</f>
      </c>
    </row>
    <row r="368">
      <c r="D368">
        <f>IF($B368&lt;&gt;"Yes","",IF($C368="No","Yes",IF($C368="Yes","No","")))</f>
      </c>
      <c r="E368">
        <f>IF($A368="","",IF($A368="Neuron",IF(OR(AND($S368&lt;&gt;"",LOWER(TRIM($S368))&lt;&gt;"n/a",COUNTIF($S$2:$S$532,$S368)&gt;1),AND($T368&lt;&gt;"",LOWER(TRIM($T368))&lt;&gt;"n/a",COUNTIF($T$2:$T$532,$T368)&gt;1),AND($W368&lt;&gt;"",LOWER(TRIM($W368))&lt;&gt;"n/a",COUNTIF($W$2:$W$532,$W368)&gt;1)),"Yes","No"),IF($A368="Cybernet",IF(OR(AND($Y368&lt;&gt;"",LOWER(TRIM($Y368))&lt;&gt;"n/a",COUNTIF($Y$2:$Y$532,$Y368)&gt;1),AND($Z368&lt;&gt;"",LOWER(TRIM($Z368))&lt;&gt;"n/a",COUNTIF($Z$2:$Z$532,$Z368)&gt;1)),"Yes","No"),IF(AND($AL368&lt;&gt;"",LOWER(TRIM($AL368))&lt;&gt;"n/a",COUNTIF($AL$2:$AL$532,$AL368)&gt;1),"Yes","No"))))</f>
      </c>
      <c r="F368">
        <f>IF($B368&lt;&gt;"Yes","",
IF($A368="Neuron",
IF(OR(
AND($S368&lt;&gt;"",LOWER(TRIM($S368))&lt;&gt;"n/a",COUNTIFS($B$2:$B$532,"Yes",$A$2:$A$532,"Neuron",$S$2:$S$532,$S368)&gt;1),
AND($T368&lt;&gt;"",LOWER(TRIM($T368))&lt;&gt;"n/a",COUNTIFS($B$2:$B$532,"Yes",$A$2:$A$532,"Neuron",$T$2:$T$532,$T368)&gt;1),
AND($W368&lt;&gt;"",LOWER(TRIM($W368))&lt;&gt;"n/a",COUNTIFS($B$2:$B$532,"Yes",$A$2:$A$532,"Neuron",$W$2:$W$532,$W368)&gt;1)
),"Yes","No"),
IF($A368="Cybernet",
IF(OR(
AND($Y368&lt;&gt;"",LOWER(TRIM($Y368))&lt;&gt;"n/a",COUNTIFS($B$2:$B$532,"Yes",$A$2:$A$532,"Cybernet",$Y$2:$Y$532,$Y368)&gt;1),
AND($Z368&lt;&gt;"",LOWER(TRIM($Z368))&lt;&gt;"n/a",COUNTIFS($B$2:$B$532,"Yes",$A$2:$A$532,"Cybernet",$Z$2:$Z$532,$Z368)&gt;1)
),"Yes","No"),
IF(AND($AL368&lt;&gt;"",LOWER(TRIM($AL368))&lt;&gt;"n/a"),
IF(COUNTIFS($B$2:$B$532,"Yes",$A$2:$A$532,$A368,$AL$2:$AL$532,$AL368)&gt;1,"Yes","No"),
"No")
)
)
)</f>
      </c>
      <c r="BL368">
        <f>IF($T368="","",IF((IF(AND($AW368&lt;&gt;"Yes",$AW368&lt;&gt;"N/A"),"Power Cable, ","")&amp;IF(AND($AX368&lt;&gt;"Yes",$AX368&lt;&gt;"N/A"),"Battery, ","")&amp;IF(AND($BE368&lt;&gt;"Yes",$BE368&lt;&gt;"N/A"),"Firmware Download, ","")&amp;IF(AND(OR($BE368="Yes",$BE368="N/A"),$BF368&lt;&gt;"Yes",$BF368&lt;&gt;"N/A"),"Firmware Install, ","")&amp;IF(AND($BJ368&lt;&gt;"Yes",$BJ368&lt;&gt;"N/A"),"Device ID, ","")&amp;IF(AND($BK368&lt;&gt;"Yes",$BK368&lt;&gt;"N/A"),"Epic Beans Relay, ",""))="","",LEFT(IF(AND($AW368&lt;&gt;"Yes",$AW368&lt;&gt;"N/A"),"Power Cable, ","")&amp;IF(AND($AX368&lt;&gt;"Yes",$AX368&lt;&gt;"N/A"),"Battery, ","")&amp;IF(AND($BE368&lt;&gt;"Yes",$BE368&lt;&gt;"N/A"),"Firmware Download, ","")&amp;IF(AND(OR($BE368="Yes",$BE368="N/A"),$BF368&lt;&gt;"Yes",$BF368&lt;&gt;"N/A"),"Firmware Install, ","")&amp;IF(AND($BJ368&lt;&gt;"Yes",$BJ368&lt;&gt;"N/A"),"Device ID, ","")&amp;IF(AND($BK368&lt;&gt;"Yes",$BK368&lt;&gt;"N/A"),"Epic Beans Relay, ",""),LEN(IF(AND($AW368&lt;&gt;"Yes",$AW368&lt;&gt;"N/A"),"Power Cable, ","")&amp;IF(AND($AX368&lt;&gt;"Yes",$AX368&lt;&gt;"N/A"),"Battery, ","")&amp;IF(AND($BE368&lt;&gt;"Yes",$BE368&lt;&gt;"N/A"),"Firmware Download, ","")&amp;IF(AND(OR($BE368="Yes",$BE368="N/A"),$BF368&lt;&gt;"Yes",$BF368&lt;&gt;"N/A"),"Firmware Install, ","")&amp;IF(AND($BJ368&lt;&gt;"Yes",$BJ368&lt;&gt;"N/A"),"Device ID, ","")&amp;IF(AND($BK368&lt;&gt;"Yes",$BK368&lt;&gt;"N/A"),"Epic Beans Relay, ",""))-2)))</f>
      </c>
      <c r="BM368">
        <f>IF($T368="","",IF($BL368="","Yes","Blocked"))</f>
      </c>
      <c r="BP368">
        <f>IF($BO368="","",IFERROR(VLOOKUP($BO368,'01_Warehouse_Ledger'!$A:$N,4,FALSE),""))</f>
      </c>
      <c r="BQ368">
        <f>IF($BO368="","",IFERROR(VLOOKUP($BO368,'01_Warehouse_Ledger'!$A:$N,5,FALSE),""))</f>
      </c>
      <c r="BR368">
        <f>IF($BO368="","",IFERROR(VLOOKUP($BO368,'01_Warehouse_Ledger'!$A:$N,13,FALSE),""))</f>
      </c>
    </row>
    <row r="369">
      <c r="D369">
        <f>IF($B369&lt;&gt;"Yes","",IF($C369="No","Yes",IF($C369="Yes","No","")))</f>
      </c>
      <c r="E369">
        <f>IF($A369="","",IF($A369="Neuron",IF(OR(AND($S369&lt;&gt;"",LOWER(TRIM($S369))&lt;&gt;"n/a",COUNTIF($S$2:$S$532,$S369)&gt;1),AND($T369&lt;&gt;"",LOWER(TRIM($T369))&lt;&gt;"n/a",COUNTIF($T$2:$T$532,$T369)&gt;1),AND($W369&lt;&gt;"",LOWER(TRIM($W369))&lt;&gt;"n/a",COUNTIF($W$2:$W$532,$W369)&gt;1)),"Yes","No"),IF($A369="Cybernet",IF(OR(AND($Y369&lt;&gt;"",LOWER(TRIM($Y369))&lt;&gt;"n/a",COUNTIF($Y$2:$Y$532,$Y369)&gt;1),AND($Z369&lt;&gt;"",LOWER(TRIM($Z369))&lt;&gt;"n/a",COUNTIF($Z$2:$Z$532,$Z369)&gt;1)),"Yes","No"),IF(AND($AL369&lt;&gt;"",LOWER(TRIM($AL369))&lt;&gt;"n/a",COUNTIF($AL$2:$AL$532,$AL369)&gt;1),"Yes","No"))))</f>
      </c>
      <c r="F369">
        <f>IF($B369&lt;&gt;"Yes","",
IF($A369="Neuron",
IF(OR(
AND($S369&lt;&gt;"",LOWER(TRIM($S369))&lt;&gt;"n/a",COUNTIFS($B$2:$B$532,"Yes",$A$2:$A$532,"Neuron",$S$2:$S$532,$S369)&gt;1),
AND($T369&lt;&gt;"",LOWER(TRIM($T369))&lt;&gt;"n/a",COUNTIFS($B$2:$B$532,"Yes",$A$2:$A$532,"Neuron",$T$2:$T$532,$T369)&gt;1),
AND($W369&lt;&gt;"",LOWER(TRIM($W369))&lt;&gt;"n/a",COUNTIFS($B$2:$B$532,"Yes",$A$2:$A$532,"Neuron",$W$2:$W$532,$W369)&gt;1)
),"Yes","No"),
IF($A369="Cybernet",
IF(OR(
AND($Y369&lt;&gt;"",LOWER(TRIM($Y369))&lt;&gt;"n/a",COUNTIFS($B$2:$B$532,"Yes",$A$2:$A$532,"Cybernet",$Y$2:$Y$532,$Y369)&gt;1),
AND($Z369&lt;&gt;"",LOWER(TRIM($Z369))&lt;&gt;"n/a",COUNTIFS($B$2:$B$532,"Yes",$A$2:$A$532,"Cybernet",$Z$2:$Z$532,$Z369)&gt;1)
),"Yes","No"),
IF(AND($AL369&lt;&gt;"",LOWER(TRIM($AL369))&lt;&gt;"n/a"),
IF(COUNTIFS($B$2:$B$532,"Yes",$A$2:$A$532,$A369,$AL$2:$AL$532,$AL369)&gt;1,"Yes","No"),
"No")
)
)
)</f>
      </c>
      <c r="BL369">
        <f>IF($T369="","",IF((IF(AND($AW369&lt;&gt;"Yes",$AW369&lt;&gt;"N/A"),"Power Cable, ","")&amp;IF(AND($AX369&lt;&gt;"Yes",$AX369&lt;&gt;"N/A"),"Battery, ","")&amp;IF(AND($BE369&lt;&gt;"Yes",$BE369&lt;&gt;"N/A"),"Firmware Download, ","")&amp;IF(AND(OR($BE369="Yes",$BE369="N/A"),$BF369&lt;&gt;"Yes",$BF369&lt;&gt;"N/A"),"Firmware Install, ","")&amp;IF(AND($BJ369&lt;&gt;"Yes",$BJ369&lt;&gt;"N/A"),"Device ID, ","")&amp;IF(AND($BK369&lt;&gt;"Yes",$BK369&lt;&gt;"N/A"),"Epic Beans Relay, ",""))="","",LEFT(IF(AND($AW369&lt;&gt;"Yes",$AW369&lt;&gt;"N/A"),"Power Cable, ","")&amp;IF(AND($AX369&lt;&gt;"Yes",$AX369&lt;&gt;"N/A"),"Battery, ","")&amp;IF(AND($BE369&lt;&gt;"Yes",$BE369&lt;&gt;"N/A"),"Firmware Download, ","")&amp;IF(AND(OR($BE369="Yes",$BE369="N/A"),$BF369&lt;&gt;"Yes",$BF369&lt;&gt;"N/A"),"Firmware Install, ","")&amp;IF(AND($BJ369&lt;&gt;"Yes",$BJ369&lt;&gt;"N/A"),"Device ID, ","")&amp;IF(AND($BK369&lt;&gt;"Yes",$BK369&lt;&gt;"N/A"),"Epic Beans Relay, ",""),LEN(IF(AND($AW369&lt;&gt;"Yes",$AW369&lt;&gt;"N/A"),"Power Cable, ","")&amp;IF(AND($AX369&lt;&gt;"Yes",$AX369&lt;&gt;"N/A"),"Battery, ","")&amp;IF(AND($BE369&lt;&gt;"Yes",$BE369&lt;&gt;"N/A"),"Firmware Download, ","")&amp;IF(AND(OR($BE369="Yes",$BE369="N/A"),$BF369&lt;&gt;"Yes",$BF369&lt;&gt;"N/A"),"Firmware Install, ","")&amp;IF(AND($BJ369&lt;&gt;"Yes",$BJ369&lt;&gt;"N/A"),"Device ID, ","")&amp;IF(AND($BK369&lt;&gt;"Yes",$BK369&lt;&gt;"N/A"),"Epic Beans Relay, ",""))-2)))</f>
      </c>
      <c r="BM369">
        <f>IF($T369="","",IF($BL369="","Yes","Blocked"))</f>
      </c>
      <c r="BP369">
        <f>IF($BO369="","",IFERROR(VLOOKUP($BO369,'01_Warehouse_Ledger'!$A:$N,4,FALSE),""))</f>
      </c>
      <c r="BQ369">
        <f>IF($BO369="","",IFERROR(VLOOKUP($BO369,'01_Warehouse_Ledger'!$A:$N,5,FALSE),""))</f>
      </c>
      <c r="BR369">
        <f>IF($BO369="","",IFERROR(VLOOKUP($BO369,'01_Warehouse_Ledger'!$A:$N,13,FALSE),""))</f>
      </c>
    </row>
    <row r="370">
      <c r="D370">
        <f>IF($B370&lt;&gt;"Yes","",IF($C370="No","Yes",IF($C370="Yes","No","")))</f>
      </c>
      <c r="E370">
        <f>IF($A370="","",IF($A370="Neuron",IF(OR(AND($S370&lt;&gt;"",LOWER(TRIM($S370))&lt;&gt;"n/a",COUNTIF($S$2:$S$532,$S370)&gt;1),AND($T370&lt;&gt;"",LOWER(TRIM($T370))&lt;&gt;"n/a",COUNTIF($T$2:$T$532,$T370)&gt;1),AND($W370&lt;&gt;"",LOWER(TRIM($W370))&lt;&gt;"n/a",COUNTIF($W$2:$W$532,$W370)&gt;1)),"Yes","No"),IF($A370="Cybernet",IF(OR(AND($Y370&lt;&gt;"",LOWER(TRIM($Y370))&lt;&gt;"n/a",COUNTIF($Y$2:$Y$532,$Y370)&gt;1),AND($Z370&lt;&gt;"",LOWER(TRIM($Z370))&lt;&gt;"n/a",COUNTIF($Z$2:$Z$532,$Z370)&gt;1)),"Yes","No"),IF(AND($AL370&lt;&gt;"",LOWER(TRIM($AL370))&lt;&gt;"n/a",COUNTIF($AL$2:$AL$532,$AL370)&gt;1),"Yes","No"))))</f>
      </c>
      <c r="F370">
        <f>IF($B370&lt;&gt;"Yes","",
IF($A370="Neuron",
IF(OR(
AND($S370&lt;&gt;"",LOWER(TRIM($S370))&lt;&gt;"n/a",COUNTIFS($B$2:$B$532,"Yes",$A$2:$A$532,"Neuron",$S$2:$S$532,$S370)&gt;1),
AND($T370&lt;&gt;"",LOWER(TRIM($T370))&lt;&gt;"n/a",COUNTIFS($B$2:$B$532,"Yes",$A$2:$A$532,"Neuron",$T$2:$T$532,$T370)&gt;1),
AND($W370&lt;&gt;"",LOWER(TRIM($W370))&lt;&gt;"n/a",COUNTIFS($B$2:$B$532,"Yes",$A$2:$A$532,"Neuron",$W$2:$W$532,$W370)&gt;1)
),"Yes","No"),
IF($A370="Cybernet",
IF(OR(
AND($Y370&lt;&gt;"",LOWER(TRIM($Y370))&lt;&gt;"n/a",COUNTIFS($B$2:$B$532,"Yes",$A$2:$A$532,"Cybernet",$Y$2:$Y$532,$Y370)&gt;1),
AND($Z370&lt;&gt;"",LOWER(TRIM($Z370))&lt;&gt;"n/a",COUNTIFS($B$2:$B$532,"Yes",$A$2:$A$532,"Cybernet",$Z$2:$Z$532,$Z370)&gt;1)
),"Yes","No"),
IF(AND($AL370&lt;&gt;"",LOWER(TRIM($AL370))&lt;&gt;"n/a"),
IF(COUNTIFS($B$2:$B$532,"Yes",$A$2:$A$532,$A370,$AL$2:$AL$532,$AL370)&gt;1,"Yes","No"),
"No")
)
)
)</f>
      </c>
      <c r="BL370">
        <f>IF($T370="","",IF((IF(AND($AW370&lt;&gt;"Yes",$AW370&lt;&gt;"N/A"),"Power Cable, ","")&amp;IF(AND($AX370&lt;&gt;"Yes",$AX370&lt;&gt;"N/A"),"Battery, ","")&amp;IF(AND($BE370&lt;&gt;"Yes",$BE370&lt;&gt;"N/A"),"Firmware Download, ","")&amp;IF(AND(OR($BE370="Yes",$BE370="N/A"),$BF370&lt;&gt;"Yes",$BF370&lt;&gt;"N/A"),"Firmware Install, ","")&amp;IF(AND($BJ370&lt;&gt;"Yes",$BJ370&lt;&gt;"N/A"),"Device ID, ","")&amp;IF(AND($BK370&lt;&gt;"Yes",$BK370&lt;&gt;"N/A"),"Epic Beans Relay, ",""))="","",LEFT(IF(AND($AW370&lt;&gt;"Yes",$AW370&lt;&gt;"N/A"),"Power Cable, ","")&amp;IF(AND($AX370&lt;&gt;"Yes",$AX370&lt;&gt;"N/A"),"Battery, ","")&amp;IF(AND($BE370&lt;&gt;"Yes",$BE370&lt;&gt;"N/A"),"Firmware Download, ","")&amp;IF(AND(OR($BE370="Yes",$BE370="N/A"),$BF370&lt;&gt;"Yes",$BF370&lt;&gt;"N/A"),"Firmware Install, ","")&amp;IF(AND($BJ370&lt;&gt;"Yes",$BJ370&lt;&gt;"N/A"),"Device ID, ","")&amp;IF(AND($BK370&lt;&gt;"Yes",$BK370&lt;&gt;"N/A"),"Epic Beans Relay, ",""),LEN(IF(AND($AW370&lt;&gt;"Yes",$AW370&lt;&gt;"N/A"),"Power Cable, ","")&amp;IF(AND($AX370&lt;&gt;"Yes",$AX370&lt;&gt;"N/A"),"Battery, ","")&amp;IF(AND($BE370&lt;&gt;"Yes",$BE370&lt;&gt;"N/A"),"Firmware Download, ","")&amp;IF(AND(OR($BE370="Yes",$BE370="N/A"),$BF370&lt;&gt;"Yes",$BF370&lt;&gt;"N/A"),"Firmware Install, ","")&amp;IF(AND($BJ370&lt;&gt;"Yes",$BJ370&lt;&gt;"N/A"),"Device ID, ","")&amp;IF(AND($BK370&lt;&gt;"Yes",$BK370&lt;&gt;"N/A"),"Epic Beans Relay, ",""))-2)))</f>
      </c>
      <c r="BM370">
        <f>IF($T370="","",IF($BL370="","Yes","Blocked"))</f>
      </c>
      <c r="BP370">
        <f>IF($BO370="","",IFERROR(VLOOKUP($BO370,'01_Warehouse_Ledger'!$A:$N,4,FALSE),""))</f>
      </c>
      <c r="BQ370">
        <f>IF($BO370="","",IFERROR(VLOOKUP($BO370,'01_Warehouse_Ledger'!$A:$N,5,FALSE),""))</f>
      </c>
      <c r="BR370">
        <f>IF($BO370="","",IFERROR(VLOOKUP($BO370,'01_Warehouse_Ledger'!$A:$N,13,FALSE),""))</f>
      </c>
    </row>
    <row r="371">
      <c r="D371">
        <f>IF($B371&lt;&gt;"Yes","",IF($C371="No","Yes",IF($C371="Yes","No","")))</f>
      </c>
      <c r="E371">
        <f>IF($A371="","",IF($A371="Neuron",IF(OR(AND($S371&lt;&gt;"",LOWER(TRIM($S371))&lt;&gt;"n/a",COUNTIF($S$2:$S$532,$S371)&gt;1),AND($T371&lt;&gt;"",LOWER(TRIM($T371))&lt;&gt;"n/a",COUNTIF($T$2:$T$532,$T371)&gt;1),AND($W371&lt;&gt;"",LOWER(TRIM($W371))&lt;&gt;"n/a",COUNTIF($W$2:$W$532,$W371)&gt;1)),"Yes","No"),IF($A371="Cybernet",IF(OR(AND($Y371&lt;&gt;"",LOWER(TRIM($Y371))&lt;&gt;"n/a",COUNTIF($Y$2:$Y$532,$Y371)&gt;1),AND($Z371&lt;&gt;"",LOWER(TRIM($Z371))&lt;&gt;"n/a",COUNTIF($Z$2:$Z$532,$Z371)&gt;1)),"Yes","No"),IF(AND($AL371&lt;&gt;"",LOWER(TRIM($AL371))&lt;&gt;"n/a",COUNTIF($AL$2:$AL$532,$AL371)&gt;1),"Yes","No"))))</f>
      </c>
      <c r="F371">
        <f>IF($B371&lt;&gt;"Yes","",
IF($A371="Neuron",
IF(OR(
AND($S371&lt;&gt;"",LOWER(TRIM($S371))&lt;&gt;"n/a",COUNTIFS($B$2:$B$532,"Yes",$A$2:$A$532,"Neuron",$S$2:$S$532,$S371)&gt;1),
AND($T371&lt;&gt;"",LOWER(TRIM($T371))&lt;&gt;"n/a",COUNTIFS($B$2:$B$532,"Yes",$A$2:$A$532,"Neuron",$T$2:$T$532,$T371)&gt;1),
AND($W371&lt;&gt;"",LOWER(TRIM($W371))&lt;&gt;"n/a",COUNTIFS($B$2:$B$532,"Yes",$A$2:$A$532,"Neuron",$W$2:$W$532,$W371)&gt;1)
),"Yes","No"),
IF($A371="Cybernet",
IF(OR(
AND($Y371&lt;&gt;"",LOWER(TRIM($Y371))&lt;&gt;"n/a",COUNTIFS($B$2:$B$532,"Yes",$A$2:$A$532,"Cybernet",$Y$2:$Y$532,$Y371)&gt;1),
AND($Z371&lt;&gt;"",LOWER(TRIM($Z371))&lt;&gt;"n/a",COUNTIFS($B$2:$B$532,"Yes",$A$2:$A$532,"Cybernet",$Z$2:$Z$532,$Z371)&gt;1)
),"Yes","No"),
IF(AND($AL371&lt;&gt;"",LOWER(TRIM($AL371))&lt;&gt;"n/a"),
IF(COUNTIFS($B$2:$B$532,"Yes",$A$2:$A$532,$A371,$AL$2:$AL$532,$AL371)&gt;1,"Yes","No"),
"No")
)
)
)</f>
      </c>
      <c r="BL371">
        <f>IF($T371="","",IF((IF(AND($AW371&lt;&gt;"Yes",$AW371&lt;&gt;"N/A"),"Power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",""))="","",LEFT(IF(AND($AW371&lt;&gt;"Yes",$AW371&lt;&gt;"N/A"),"Power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",""),LEN(IF(AND($AW371&lt;&gt;"Yes",$AW371&lt;&gt;"N/A"),"Power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",""))-2)))</f>
      </c>
      <c r="BM371">
        <f>IF($T371="","",IF($BL371="","Yes","Blocked"))</f>
      </c>
      <c r="BP371">
        <f>IF($BO371="","",IFERROR(VLOOKUP($BO371,'01_Warehouse_Ledger'!$A:$N,4,FALSE),""))</f>
      </c>
      <c r="BQ371">
        <f>IF($BO371="","",IFERROR(VLOOKUP($BO371,'01_Warehouse_Ledger'!$A:$N,5,FALSE),""))</f>
      </c>
      <c r="BR371">
        <f>IF($BO371="","",IFERROR(VLOOKUP($BO371,'01_Warehouse_Ledger'!$A:$N,13,FALSE),""))</f>
      </c>
    </row>
    <row r="372">
      <c r="D372">
        <f>IF($B372&lt;&gt;"Yes","",IF($C372="No","Yes",IF($C372="Yes","No","")))</f>
      </c>
      <c r="E372">
        <f>IF($A372="","",IF($A372="Neuron",IF(OR(AND($S372&lt;&gt;"",LOWER(TRIM($S372))&lt;&gt;"n/a",COUNTIF($S$2:$S$532,$S372)&gt;1),AND($T372&lt;&gt;"",LOWER(TRIM($T372))&lt;&gt;"n/a",COUNTIF($T$2:$T$532,$T372)&gt;1),AND($W372&lt;&gt;"",LOWER(TRIM($W372))&lt;&gt;"n/a",COUNTIF($W$2:$W$532,$W372)&gt;1)),"Yes","No"),IF($A372="Cybernet",IF(OR(AND($Y372&lt;&gt;"",LOWER(TRIM($Y372))&lt;&gt;"n/a",COUNTIF($Y$2:$Y$532,$Y372)&gt;1),AND($Z372&lt;&gt;"",LOWER(TRIM($Z372))&lt;&gt;"n/a",COUNTIF($Z$2:$Z$532,$Z372)&gt;1)),"Yes","No"),IF(AND($AL372&lt;&gt;"",LOWER(TRIM($AL372))&lt;&gt;"n/a",COUNTIF($AL$2:$AL$532,$AL372)&gt;1),"Yes","No"))))</f>
      </c>
      <c r="F372">
        <f>IF($B372&lt;&gt;"Yes","",
IF($A372="Neuron",
IF(OR(
AND($S372&lt;&gt;"",LOWER(TRIM($S372))&lt;&gt;"n/a",COUNTIFS($B$2:$B$532,"Yes",$A$2:$A$532,"Neuron",$S$2:$S$532,$S372)&gt;1),
AND($T372&lt;&gt;"",LOWER(TRIM($T372))&lt;&gt;"n/a",COUNTIFS($B$2:$B$532,"Yes",$A$2:$A$532,"Neuron",$T$2:$T$532,$T372)&gt;1),
AND($W372&lt;&gt;"",LOWER(TRIM($W372))&lt;&gt;"n/a",COUNTIFS($B$2:$B$532,"Yes",$A$2:$A$532,"Neuron",$W$2:$W$532,$W372)&gt;1)
),"Yes","No"),
IF($A372="Cybernet",
IF(OR(
AND($Y372&lt;&gt;"",LOWER(TRIM($Y372))&lt;&gt;"n/a",COUNTIFS($B$2:$B$532,"Yes",$A$2:$A$532,"Cybernet",$Y$2:$Y$532,$Y372)&gt;1),
AND($Z372&lt;&gt;"",LOWER(TRIM($Z372))&lt;&gt;"n/a",COUNTIFS($B$2:$B$532,"Yes",$A$2:$A$532,"Cybernet",$Z$2:$Z$532,$Z372)&gt;1)
),"Yes","No"),
IF(AND($AL372&lt;&gt;"",LOWER(TRIM($AL372))&lt;&gt;"n/a"),
IF(COUNTIFS($B$2:$B$532,"Yes",$A$2:$A$532,$A372,$AL$2:$AL$532,$AL372)&gt;1,"Yes","No"),
"No")
)
)
)</f>
      </c>
      <c r="BL372">
        <f>IF($T372="","",IF((IF(AND($AW372&lt;&gt;"Yes",$AW372&lt;&gt;"N/A"),"Power Cable, ","")&amp;IF(AND($AX372&lt;&gt;"Yes",$AX372&lt;&gt;"N/A"),"Battery, ","")&amp;IF(AND($BE372&lt;&gt;"Yes",$BE372&lt;&gt;"N/A"),"Firmware Download, ","")&amp;IF(AND(OR($BE372="Yes",$BE372="N/A"),$BF372&lt;&gt;"Yes",$BF372&lt;&gt;"N/A"),"Firmware Install, ","")&amp;IF(AND($BJ372&lt;&gt;"Yes",$BJ372&lt;&gt;"N/A"),"Device ID, ","")&amp;IF(AND($BK372&lt;&gt;"Yes",$BK372&lt;&gt;"N/A"),"Epic Beans Relay, ",""))="","",LEFT(IF(AND($AW372&lt;&gt;"Yes",$AW372&lt;&gt;"N/A"),"Power Cable, ","")&amp;IF(AND($AX372&lt;&gt;"Yes",$AX372&lt;&gt;"N/A"),"Battery, ","")&amp;IF(AND($BE372&lt;&gt;"Yes",$BE372&lt;&gt;"N/A"),"Firmware Download, ","")&amp;IF(AND(OR($BE372="Yes",$BE372="N/A"),$BF372&lt;&gt;"Yes",$BF372&lt;&gt;"N/A"),"Firmware Install, ","")&amp;IF(AND($BJ372&lt;&gt;"Yes",$BJ372&lt;&gt;"N/A"),"Device ID, ","")&amp;IF(AND($BK372&lt;&gt;"Yes",$BK372&lt;&gt;"N/A"),"Epic Beans Relay, ",""),LEN(IF(AND($AW372&lt;&gt;"Yes",$AW372&lt;&gt;"N/A"),"Power Cable, ","")&amp;IF(AND($AX372&lt;&gt;"Yes",$AX372&lt;&gt;"N/A"),"Battery, ","")&amp;IF(AND($BE372&lt;&gt;"Yes",$BE372&lt;&gt;"N/A"),"Firmware Download, ","")&amp;IF(AND(OR($BE372="Yes",$BE372="N/A"),$BF372&lt;&gt;"Yes",$BF372&lt;&gt;"N/A"),"Firmware Install, ","")&amp;IF(AND($BJ372&lt;&gt;"Yes",$BJ372&lt;&gt;"N/A"),"Device ID, ","")&amp;IF(AND($BK372&lt;&gt;"Yes",$BK372&lt;&gt;"N/A"),"Epic Beans Relay, ",""))-2)))</f>
      </c>
      <c r="BM372">
        <f>IF($T372="","",IF($BL372="","Yes","Blocked"))</f>
      </c>
      <c r="BP372">
        <f>IF($BO372="","",IFERROR(VLOOKUP($BO372,'01_Warehouse_Ledger'!$A:$N,4,FALSE),""))</f>
      </c>
      <c r="BQ372">
        <f>IF($BO372="","",IFERROR(VLOOKUP($BO372,'01_Warehouse_Ledger'!$A:$N,5,FALSE),""))</f>
      </c>
      <c r="BR372">
        <f>IF($BO372="","",IFERROR(VLOOKUP($BO372,'01_Warehouse_Ledger'!$A:$N,13,FALSE),""))</f>
      </c>
    </row>
    <row r="373">
      <c r="D373">
        <f>IF($B373&lt;&gt;"Yes","",IF($C373="No","Yes",IF($C373="Yes","No","")))</f>
      </c>
      <c r="E373">
        <f>IF($A373="","",IF($A373="Neuron",IF(OR(AND($S373&lt;&gt;"",LOWER(TRIM($S373))&lt;&gt;"n/a",COUNTIF($S$2:$S$532,$S373)&gt;1),AND($T373&lt;&gt;"",LOWER(TRIM($T373))&lt;&gt;"n/a",COUNTIF($T$2:$T$532,$T373)&gt;1),AND($W373&lt;&gt;"",LOWER(TRIM($W373))&lt;&gt;"n/a",COUNTIF($W$2:$W$532,$W373)&gt;1)),"Yes","No"),IF($A373="Cybernet",IF(OR(AND($Y373&lt;&gt;"",LOWER(TRIM($Y373))&lt;&gt;"n/a",COUNTIF($Y$2:$Y$532,$Y373)&gt;1),AND($Z373&lt;&gt;"",LOWER(TRIM($Z373))&lt;&gt;"n/a",COUNTIF($Z$2:$Z$532,$Z373)&gt;1)),"Yes","No"),IF(AND($AL373&lt;&gt;"",LOWER(TRIM($AL373))&lt;&gt;"n/a",COUNTIF($AL$2:$AL$532,$AL373)&gt;1),"Yes","No"))))</f>
      </c>
      <c r="F373">
        <f>IF($B373&lt;&gt;"Yes","",
IF($A373="Neuron",
IF(OR(
AND($S373&lt;&gt;"",LOWER(TRIM($S373))&lt;&gt;"n/a",COUNTIFS($B$2:$B$532,"Yes",$A$2:$A$532,"Neuron",$S$2:$S$532,$S373)&gt;1),
AND($T373&lt;&gt;"",LOWER(TRIM($T373))&lt;&gt;"n/a",COUNTIFS($B$2:$B$532,"Yes",$A$2:$A$532,"Neuron",$T$2:$T$532,$T373)&gt;1),
AND($W373&lt;&gt;"",LOWER(TRIM($W373))&lt;&gt;"n/a",COUNTIFS($B$2:$B$532,"Yes",$A$2:$A$532,"Neuron",$W$2:$W$532,$W373)&gt;1)
),"Yes","No"),
IF($A373="Cybernet",
IF(OR(
AND($Y373&lt;&gt;"",LOWER(TRIM($Y373))&lt;&gt;"n/a",COUNTIFS($B$2:$B$532,"Yes",$A$2:$A$532,"Cybernet",$Y$2:$Y$532,$Y373)&gt;1),
AND($Z373&lt;&gt;"",LOWER(TRIM($Z373))&lt;&gt;"n/a",COUNTIFS($B$2:$B$532,"Yes",$A$2:$A$532,"Cybernet",$Z$2:$Z$532,$Z373)&gt;1)
),"Yes","No"),
IF(AND($AL373&lt;&gt;"",LOWER(TRIM($AL373))&lt;&gt;"n/a"),
IF(COUNTIFS($B$2:$B$532,"Yes",$A$2:$A$532,$A373,$AL$2:$AL$532,$AL373)&gt;1,"Yes","No"),
"No")
)
)
)</f>
      </c>
      <c r="BL373">
        <f>IF($T373="","",IF((IF(AND($AW373&lt;&gt;"Yes",$AW373&lt;&gt;"N/A"),"Power Cable, ","")&amp;IF(AND($AX373&lt;&gt;"Yes",$AX373&lt;&gt;"N/A"),"Battery, ","")&amp;IF(AND($BE373&lt;&gt;"Yes",$BE373&lt;&gt;"N/A"),"Firmware Download, ","")&amp;IF(AND(OR($BE373="Yes",$BE373="N/A"),$BF373&lt;&gt;"Yes",$BF373&lt;&gt;"N/A"),"Firmware Install, ","")&amp;IF(AND($BJ373&lt;&gt;"Yes",$BJ373&lt;&gt;"N/A"),"Device ID, ","")&amp;IF(AND($BK373&lt;&gt;"Yes",$BK373&lt;&gt;"N/A"),"Epic Beans Relay, ",""))="","",LEFT(IF(AND($AW373&lt;&gt;"Yes",$AW373&lt;&gt;"N/A"),"Power Cable, ","")&amp;IF(AND($AX373&lt;&gt;"Yes",$AX373&lt;&gt;"N/A"),"Battery, ","")&amp;IF(AND($BE373&lt;&gt;"Yes",$BE373&lt;&gt;"N/A"),"Firmware Download, ","")&amp;IF(AND(OR($BE373="Yes",$BE373="N/A"),$BF373&lt;&gt;"Yes",$BF373&lt;&gt;"N/A"),"Firmware Install, ","")&amp;IF(AND($BJ373&lt;&gt;"Yes",$BJ373&lt;&gt;"N/A"),"Device ID, ","")&amp;IF(AND($BK373&lt;&gt;"Yes",$BK373&lt;&gt;"N/A"),"Epic Beans Relay, ",""),LEN(IF(AND($AW373&lt;&gt;"Yes",$AW373&lt;&gt;"N/A"),"Power Cable, ","")&amp;IF(AND($AX373&lt;&gt;"Yes",$AX373&lt;&gt;"N/A"),"Battery, ","")&amp;IF(AND($BE373&lt;&gt;"Yes",$BE373&lt;&gt;"N/A"),"Firmware Download, ","")&amp;IF(AND(OR($BE373="Yes",$BE373="N/A"),$BF373&lt;&gt;"Yes",$BF373&lt;&gt;"N/A"),"Firmware Install, ","")&amp;IF(AND($BJ373&lt;&gt;"Yes",$BJ373&lt;&gt;"N/A"),"Device ID, ","")&amp;IF(AND($BK373&lt;&gt;"Yes",$BK373&lt;&gt;"N/A"),"Epic Beans Relay, ",""))-2)))</f>
      </c>
      <c r="BM373">
        <f>IF($T373="","",IF($BL373="","Yes","Blocked"))</f>
      </c>
      <c r="BP373">
        <f>IF($BO373="","",IFERROR(VLOOKUP($BO373,'01_Warehouse_Ledger'!$A:$N,4,FALSE),""))</f>
      </c>
      <c r="BQ373">
        <f>IF($BO373="","",IFERROR(VLOOKUP($BO373,'01_Warehouse_Ledger'!$A:$N,5,FALSE),""))</f>
      </c>
      <c r="BR373">
        <f>IF($BO373="","",IFERROR(VLOOKUP($BO373,'01_Warehouse_Ledger'!$A:$N,13,FALSE),""))</f>
      </c>
    </row>
    <row r="374">
      <c r="D374">
        <f>IF($B374&lt;&gt;"Yes","",IF($C374="No","Yes",IF($C374="Yes","No","")))</f>
      </c>
      <c r="E374">
        <f>IF($A374="","",IF($A374="Neuron",IF(OR(AND($S374&lt;&gt;"",LOWER(TRIM($S374))&lt;&gt;"n/a",COUNTIF($S$2:$S$532,$S374)&gt;1),AND($T374&lt;&gt;"",LOWER(TRIM($T374))&lt;&gt;"n/a",COUNTIF($T$2:$T$532,$T374)&gt;1),AND($W374&lt;&gt;"",LOWER(TRIM($W374))&lt;&gt;"n/a",COUNTIF($W$2:$W$532,$W374)&gt;1)),"Yes","No"),IF($A374="Cybernet",IF(OR(AND($Y374&lt;&gt;"",LOWER(TRIM($Y374))&lt;&gt;"n/a",COUNTIF($Y$2:$Y$532,$Y374)&gt;1),AND($Z374&lt;&gt;"",LOWER(TRIM($Z374))&lt;&gt;"n/a",COUNTIF($Z$2:$Z$532,$Z374)&gt;1)),"Yes","No"),IF(AND($AL374&lt;&gt;"",LOWER(TRIM($AL374))&lt;&gt;"n/a",COUNTIF($AL$2:$AL$532,$AL374)&gt;1),"Yes","No"))))</f>
      </c>
      <c r="F374">
        <f>IF($B374&lt;&gt;"Yes","",
IF($A374="Neuron",
IF(OR(
AND($S374&lt;&gt;"",LOWER(TRIM($S374))&lt;&gt;"n/a",COUNTIFS($B$2:$B$532,"Yes",$A$2:$A$532,"Neuron",$S$2:$S$532,$S374)&gt;1),
AND($T374&lt;&gt;"",LOWER(TRIM($T374))&lt;&gt;"n/a",COUNTIFS($B$2:$B$532,"Yes",$A$2:$A$532,"Neuron",$T$2:$T$532,$T374)&gt;1),
AND($W374&lt;&gt;"",LOWER(TRIM($W374))&lt;&gt;"n/a",COUNTIFS($B$2:$B$532,"Yes",$A$2:$A$532,"Neuron",$W$2:$W$532,$W374)&gt;1)
),"Yes","No"),
IF($A374="Cybernet",
IF(OR(
AND($Y374&lt;&gt;"",LOWER(TRIM($Y374))&lt;&gt;"n/a",COUNTIFS($B$2:$B$532,"Yes",$A$2:$A$532,"Cybernet",$Y$2:$Y$532,$Y374)&gt;1),
AND($Z374&lt;&gt;"",LOWER(TRIM($Z374))&lt;&gt;"n/a",COUNTIFS($B$2:$B$532,"Yes",$A$2:$A$532,"Cybernet",$Z$2:$Z$532,$Z374)&gt;1)
),"Yes","No"),
IF(AND($AL374&lt;&gt;"",LOWER(TRIM($AL374))&lt;&gt;"n/a"),
IF(COUNTIFS($B$2:$B$532,"Yes",$A$2:$A$532,$A374,$AL$2:$AL$532,$AL374)&gt;1,"Yes","No"),
"No")
)
)
)</f>
      </c>
      <c r="BL374">
        <f>IF($T374="","",IF((IF(AND($AW374&lt;&gt;"Yes",$AW374&lt;&gt;"N/A"),"Power Cable, ","")&amp;IF(AND($AX374&lt;&gt;"Yes",$AX374&lt;&gt;"N/A"),"Battery, ","")&amp;IF(AND($BE374&lt;&gt;"Yes",$BE374&lt;&gt;"N/A"),"Firmware Download, ","")&amp;IF(AND(OR($BE374="Yes",$BE374="N/A"),$BF374&lt;&gt;"Yes",$BF374&lt;&gt;"N/A"),"Firmware Install, ","")&amp;IF(AND($BJ374&lt;&gt;"Yes",$BJ374&lt;&gt;"N/A"),"Device ID, ","")&amp;IF(AND($BK374&lt;&gt;"Yes",$BK374&lt;&gt;"N/A"),"Epic Beans Relay, ",""))="","",LEFT(IF(AND($AW374&lt;&gt;"Yes",$AW374&lt;&gt;"N/A"),"Power Cable, ","")&amp;IF(AND($AX374&lt;&gt;"Yes",$AX374&lt;&gt;"N/A"),"Battery, ","")&amp;IF(AND($BE374&lt;&gt;"Yes",$BE374&lt;&gt;"N/A"),"Firmware Download, ","")&amp;IF(AND(OR($BE374="Yes",$BE374="N/A"),$BF374&lt;&gt;"Yes",$BF374&lt;&gt;"N/A"),"Firmware Install, ","")&amp;IF(AND($BJ374&lt;&gt;"Yes",$BJ374&lt;&gt;"N/A"),"Device ID, ","")&amp;IF(AND($BK374&lt;&gt;"Yes",$BK374&lt;&gt;"N/A"),"Epic Beans Relay, ",""),LEN(IF(AND($AW374&lt;&gt;"Yes",$AW374&lt;&gt;"N/A"),"Power Cable, ","")&amp;IF(AND($AX374&lt;&gt;"Yes",$AX374&lt;&gt;"N/A"),"Battery, ","")&amp;IF(AND($BE374&lt;&gt;"Yes",$BE374&lt;&gt;"N/A"),"Firmware Download, ","")&amp;IF(AND(OR($BE374="Yes",$BE374="N/A"),$BF374&lt;&gt;"Yes",$BF374&lt;&gt;"N/A"),"Firmware Install, ","")&amp;IF(AND($BJ374&lt;&gt;"Yes",$BJ374&lt;&gt;"N/A"),"Device ID, ","")&amp;IF(AND($BK374&lt;&gt;"Yes",$BK374&lt;&gt;"N/A"),"Epic Beans Relay, ",""))-2)))</f>
      </c>
      <c r="BM374">
        <f>IF($T374="","",IF($BL374="","Yes","Blocked"))</f>
      </c>
      <c r="BP374">
        <f>IF($BO374="","",IFERROR(VLOOKUP($BO374,'01_Warehouse_Ledger'!$A:$N,4,FALSE),""))</f>
      </c>
      <c r="BQ374">
        <f>IF($BO374="","",IFERROR(VLOOKUP($BO374,'01_Warehouse_Ledger'!$A:$N,5,FALSE),""))</f>
      </c>
      <c r="BR374">
        <f>IF($BO374="","",IFERROR(VLOOKUP($BO374,'01_Warehouse_Ledger'!$A:$N,13,FALSE),""))</f>
      </c>
    </row>
    <row r="375">
      <c r="D375">
        <f>IF($B375&lt;&gt;"Yes","",IF($C375="No","Yes",IF($C375="Yes","No","")))</f>
      </c>
      <c r="E375">
        <f>IF($A375="","",IF($A375="Neuron",IF(OR(AND($S375&lt;&gt;"",LOWER(TRIM($S375))&lt;&gt;"n/a",COUNTIF($S$2:$S$532,$S375)&gt;1),AND($T375&lt;&gt;"",LOWER(TRIM($T375))&lt;&gt;"n/a",COUNTIF($T$2:$T$532,$T375)&gt;1),AND($W375&lt;&gt;"",LOWER(TRIM($W375))&lt;&gt;"n/a",COUNTIF($W$2:$W$532,$W375)&gt;1)),"Yes","No"),IF($A375="Cybernet",IF(OR(AND($Y375&lt;&gt;"",LOWER(TRIM($Y375))&lt;&gt;"n/a",COUNTIF($Y$2:$Y$532,$Y375)&gt;1),AND($Z375&lt;&gt;"",LOWER(TRIM($Z375))&lt;&gt;"n/a",COUNTIF($Z$2:$Z$532,$Z375)&gt;1)),"Yes","No"),IF(AND($AL375&lt;&gt;"",LOWER(TRIM($AL375))&lt;&gt;"n/a",COUNTIF($AL$2:$AL$532,$AL375)&gt;1),"Yes","No"))))</f>
      </c>
      <c r="F375">
        <f>IF($B375&lt;&gt;"Yes","",
IF($A375="Neuron",
IF(OR(
AND($S375&lt;&gt;"",LOWER(TRIM($S375))&lt;&gt;"n/a",COUNTIFS($B$2:$B$532,"Yes",$A$2:$A$532,"Neuron",$S$2:$S$532,$S375)&gt;1),
AND($T375&lt;&gt;"",LOWER(TRIM($T375))&lt;&gt;"n/a",COUNTIFS($B$2:$B$532,"Yes",$A$2:$A$532,"Neuron",$T$2:$T$532,$T375)&gt;1),
AND($W375&lt;&gt;"",LOWER(TRIM($W375))&lt;&gt;"n/a",COUNTIFS($B$2:$B$532,"Yes",$A$2:$A$532,"Neuron",$W$2:$W$532,$W375)&gt;1)
),"Yes","No"),
IF($A375="Cybernet",
IF(OR(
AND($Y375&lt;&gt;"",LOWER(TRIM($Y375))&lt;&gt;"n/a",COUNTIFS($B$2:$B$532,"Yes",$A$2:$A$532,"Cybernet",$Y$2:$Y$532,$Y375)&gt;1),
AND($Z375&lt;&gt;"",LOWER(TRIM($Z375))&lt;&gt;"n/a",COUNTIFS($B$2:$B$532,"Yes",$A$2:$A$532,"Cybernet",$Z$2:$Z$532,$Z375)&gt;1)
),"Yes","No"),
IF(AND($AL375&lt;&gt;"",LOWER(TRIM($AL375))&lt;&gt;"n/a"),
IF(COUNTIFS($B$2:$B$532,"Yes",$A$2:$A$532,$A375,$AL$2:$AL$532,$AL375)&gt;1,"Yes","No"),
"No")
)
)
)</f>
      </c>
      <c r="BL375">
        <f>IF($T375="","",IF((IF(AND($AW375&lt;&gt;"Yes",$AW375&lt;&gt;"N/A"),"Power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",""))="","",LEFT(IF(AND($AW375&lt;&gt;"Yes",$AW375&lt;&gt;"N/A"),"Power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",""),LEN(IF(AND($AW375&lt;&gt;"Yes",$AW375&lt;&gt;"N/A"),"Power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",""))-2)))</f>
      </c>
      <c r="BM375">
        <f>IF($T375="","",IF($BL375="","Yes","Blocked"))</f>
      </c>
      <c r="BP375">
        <f>IF($BO375="","",IFERROR(VLOOKUP($BO375,'01_Warehouse_Ledger'!$A:$N,4,FALSE),""))</f>
      </c>
      <c r="BQ375">
        <f>IF($BO375="","",IFERROR(VLOOKUP($BO375,'01_Warehouse_Ledger'!$A:$N,5,FALSE),""))</f>
      </c>
      <c r="BR375">
        <f>IF($BO375="","",IFERROR(VLOOKUP($BO375,'01_Warehouse_Ledger'!$A:$N,13,FALSE),""))</f>
      </c>
    </row>
    <row r="376">
      <c r="D376">
        <f>IF($B376&lt;&gt;"Yes","",IF($C376="No","Yes",IF($C376="Yes","No","")))</f>
      </c>
      <c r="E376">
        <f>IF($A376="","",IF($A376="Neuron",IF(OR(AND($S376&lt;&gt;"",LOWER(TRIM($S376))&lt;&gt;"n/a",COUNTIF($S$2:$S$532,$S376)&gt;1),AND($T376&lt;&gt;"",LOWER(TRIM($T376))&lt;&gt;"n/a",COUNTIF($T$2:$T$532,$T376)&gt;1),AND($W376&lt;&gt;"",LOWER(TRIM($W376))&lt;&gt;"n/a",COUNTIF($W$2:$W$532,$W376)&gt;1)),"Yes","No"),IF($A376="Cybernet",IF(OR(AND($Y376&lt;&gt;"",LOWER(TRIM($Y376))&lt;&gt;"n/a",COUNTIF($Y$2:$Y$532,$Y376)&gt;1),AND($Z376&lt;&gt;"",LOWER(TRIM($Z376))&lt;&gt;"n/a",COUNTIF($Z$2:$Z$532,$Z376)&gt;1)),"Yes","No"),IF(AND($AL376&lt;&gt;"",LOWER(TRIM($AL376))&lt;&gt;"n/a",COUNTIF($AL$2:$AL$532,$AL376)&gt;1),"Yes","No"))))</f>
      </c>
      <c r="F376">
        <f>IF($B376&lt;&gt;"Yes","",
IF($A376="Neuron",
IF(OR(
AND($S376&lt;&gt;"",LOWER(TRIM($S376))&lt;&gt;"n/a",COUNTIFS($B$2:$B$532,"Yes",$A$2:$A$532,"Neuron",$S$2:$S$532,$S376)&gt;1),
AND($T376&lt;&gt;"",LOWER(TRIM($T376))&lt;&gt;"n/a",COUNTIFS($B$2:$B$532,"Yes",$A$2:$A$532,"Neuron",$T$2:$T$532,$T376)&gt;1),
AND($W376&lt;&gt;"",LOWER(TRIM($W376))&lt;&gt;"n/a",COUNTIFS($B$2:$B$532,"Yes",$A$2:$A$532,"Neuron",$W$2:$W$532,$W376)&gt;1)
),"Yes","No"),
IF($A376="Cybernet",
IF(OR(
AND($Y376&lt;&gt;"",LOWER(TRIM($Y376))&lt;&gt;"n/a",COUNTIFS($B$2:$B$532,"Yes",$A$2:$A$532,"Cybernet",$Y$2:$Y$532,$Y376)&gt;1),
AND($Z376&lt;&gt;"",LOWER(TRIM($Z376))&lt;&gt;"n/a",COUNTIFS($B$2:$B$532,"Yes",$A$2:$A$532,"Cybernet",$Z$2:$Z$532,$Z376)&gt;1)
),"Yes","No"),
IF(AND($AL376&lt;&gt;"",LOWER(TRIM($AL376))&lt;&gt;"n/a"),
IF(COUNTIFS($B$2:$B$532,"Yes",$A$2:$A$532,$A376,$AL$2:$AL$532,$AL376)&gt;1,"Yes","No"),
"No")
)
)
)</f>
      </c>
      <c r="BL376">
        <f>IF($T376="","",IF((IF(AND($AW376&lt;&gt;"Yes",$AW376&lt;&gt;"N/A"),"Power Cable, ","")&amp;IF(AND($AX376&lt;&gt;"Yes",$AX376&lt;&gt;"N/A"),"Battery, ","")&amp;IF(AND($BE376&lt;&gt;"Yes",$BE376&lt;&gt;"N/A"),"Firmware Download, ","")&amp;IF(AND(OR($BE376="Yes",$BE376="N/A"),$BF376&lt;&gt;"Yes",$BF376&lt;&gt;"N/A"),"Firmware Install, ","")&amp;IF(AND($BJ376&lt;&gt;"Yes",$BJ376&lt;&gt;"N/A"),"Device ID, ","")&amp;IF(AND($BK376&lt;&gt;"Yes",$BK376&lt;&gt;"N/A"),"Epic Beans Relay, ",""))="","",LEFT(IF(AND($AW376&lt;&gt;"Yes",$AW376&lt;&gt;"N/A"),"Power Cable, ","")&amp;IF(AND($AX376&lt;&gt;"Yes",$AX376&lt;&gt;"N/A"),"Battery, ","")&amp;IF(AND($BE376&lt;&gt;"Yes",$BE376&lt;&gt;"N/A"),"Firmware Download, ","")&amp;IF(AND(OR($BE376="Yes",$BE376="N/A"),$BF376&lt;&gt;"Yes",$BF376&lt;&gt;"N/A"),"Firmware Install, ","")&amp;IF(AND($BJ376&lt;&gt;"Yes",$BJ376&lt;&gt;"N/A"),"Device ID, ","")&amp;IF(AND($BK376&lt;&gt;"Yes",$BK376&lt;&gt;"N/A"),"Epic Beans Relay, ",""),LEN(IF(AND($AW376&lt;&gt;"Yes",$AW376&lt;&gt;"N/A"),"Power Cable, ","")&amp;IF(AND($AX376&lt;&gt;"Yes",$AX376&lt;&gt;"N/A"),"Battery, ","")&amp;IF(AND($BE376&lt;&gt;"Yes",$BE376&lt;&gt;"N/A"),"Firmware Download, ","")&amp;IF(AND(OR($BE376="Yes",$BE376="N/A"),$BF376&lt;&gt;"Yes",$BF376&lt;&gt;"N/A"),"Firmware Install, ","")&amp;IF(AND($BJ376&lt;&gt;"Yes",$BJ376&lt;&gt;"N/A"),"Device ID, ","")&amp;IF(AND($BK376&lt;&gt;"Yes",$BK376&lt;&gt;"N/A"),"Epic Beans Relay, ",""))-2)))</f>
      </c>
      <c r="BM376">
        <f>IF($T376="","",IF($BL376="","Yes","Blocked"))</f>
      </c>
      <c r="BP376">
        <f>IF($BO376="","",IFERROR(VLOOKUP($BO376,'01_Warehouse_Ledger'!$A:$N,4,FALSE),""))</f>
      </c>
      <c r="BQ376">
        <f>IF($BO376="","",IFERROR(VLOOKUP($BO376,'01_Warehouse_Ledger'!$A:$N,5,FALSE),""))</f>
      </c>
      <c r="BR376">
        <f>IF($BO376="","",IFERROR(VLOOKUP($BO376,'01_Warehouse_Ledger'!$A:$N,13,FALSE),""))</f>
      </c>
    </row>
    <row r="377">
      <c r="D377">
        <f>IF($B377&lt;&gt;"Yes","",IF($C377="No","Yes",IF($C377="Yes","No","")))</f>
      </c>
      <c r="E377">
        <f>IF($A377="","",IF($A377="Neuron",IF(OR(AND($S377&lt;&gt;"",LOWER(TRIM($S377))&lt;&gt;"n/a",COUNTIF($S$2:$S$532,$S377)&gt;1),AND($T377&lt;&gt;"",LOWER(TRIM($T377))&lt;&gt;"n/a",COUNTIF($T$2:$T$532,$T377)&gt;1),AND($W377&lt;&gt;"",LOWER(TRIM($W377))&lt;&gt;"n/a",COUNTIF($W$2:$W$532,$W377)&gt;1)),"Yes","No"),IF($A377="Cybernet",IF(OR(AND($Y377&lt;&gt;"",LOWER(TRIM($Y377))&lt;&gt;"n/a",COUNTIF($Y$2:$Y$532,$Y377)&gt;1),AND($Z377&lt;&gt;"",LOWER(TRIM($Z377))&lt;&gt;"n/a",COUNTIF($Z$2:$Z$532,$Z377)&gt;1)),"Yes","No"),IF(AND($AL377&lt;&gt;"",LOWER(TRIM($AL377))&lt;&gt;"n/a",COUNTIF($AL$2:$AL$532,$AL377)&gt;1),"Yes","No"))))</f>
      </c>
      <c r="F377">
        <f>IF($B377&lt;&gt;"Yes","",
IF($A377="Neuron",
IF(OR(
AND($S377&lt;&gt;"",LOWER(TRIM($S377))&lt;&gt;"n/a",COUNTIFS($B$2:$B$532,"Yes",$A$2:$A$532,"Neuron",$S$2:$S$532,$S377)&gt;1),
AND($T377&lt;&gt;"",LOWER(TRIM($T377))&lt;&gt;"n/a",COUNTIFS($B$2:$B$532,"Yes",$A$2:$A$532,"Neuron",$T$2:$T$532,$T377)&gt;1),
AND($W377&lt;&gt;"",LOWER(TRIM($W377))&lt;&gt;"n/a",COUNTIFS($B$2:$B$532,"Yes",$A$2:$A$532,"Neuron",$W$2:$W$532,$W377)&gt;1)
),"Yes","No"),
IF($A377="Cybernet",
IF(OR(
AND($Y377&lt;&gt;"",LOWER(TRIM($Y377))&lt;&gt;"n/a",COUNTIFS($B$2:$B$532,"Yes",$A$2:$A$532,"Cybernet",$Y$2:$Y$532,$Y377)&gt;1),
AND($Z377&lt;&gt;"",LOWER(TRIM($Z377))&lt;&gt;"n/a",COUNTIFS($B$2:$B$532,"Yes",$A$2:$A$532,"Cybernet",$Z$2:$Z$532,$Z377)&gt;1)
),"Yes","No"),
IF(AND($AL377&lt;&gt;"",LOWER(TRIM($AL377))&lt;&gt;"n/a"),
IF(COUNTIFS($B$2:$B$532,"Yes",$A$2:$A$532,$A377,$AL$2:$AL$532,$AL377)&gt;1,"Yes","No"),
"No")
)
)
)</f>
      </c>
      <c r="BL377">
        <f>IF($T377="","",IF((IF(AND($AW377&lt;&gt;"Yes",$AW377&lt;&gt;"N/A"),"Power Cable, ","")&amp;IF(AND($AX377&lt;&gt;"Yes",$AX377&lt;&gt;"N/A"),"Battery, ","")&amp;IF(AND($BE377&lt;&gt;"Yes",$BE377&lt;&gt;"N/A"),"Firmware Download, ","")&amp;IF(AND(OR($BE377="Yes",$BE377="N/A"),$BF377&lt;&gt;"Yes",$BF377&lt;&gt;"N/A"),"Firmware Install, ","")&amp;IF(AND($BJ377&lt;&gt;"Yes",$BJ377&lt;&gt;"N/A"),"Device ID, ","")&amp;IF(AND($BK377&lt;&gt;"Yes",$BK377&lt;&gt;"N/A"),"Epic Beans Relay, ",""))="","",LEFT(IF(AND($AW377&lt;&gt;"Yes",$AW377&lt;&gt;"N/A"),"Power Cable, ","")&amp;IF(AND($AX377&lt;&gt;"Yes",$AX377&lt;&gt;"N/A"),"Battery, ","")&amp;IF(AND($BE377&lt;&gt;"Yes",$BE377&lt;&gt;"N/A"),"Firmware Download, ","")&amp;IF(AND(OR($BE377="Yes",$BE377="N/A"),$BF377&lt;&gt;"Yes",$BF377&lt;&gt;"N/A"),"Firmware Install, ","")&amp;IF(AND($BJ377&lt;&gt;"Yes",$BJ377&lt;&gt;"N/A"),"Device ID, ","")&amp;IF(AND($BK377&lt;&gt;"Yes",$BK377&lt;&gt;"N/A"),"Epic Beans Relay, ",""),LEN(IF(AND($AW377&lt;&gt;"Yes",$AW377&lt;&gt;"N/A"),"Power Cable, ","")&amp;IF(AND($AX377&lt;&gt;"Yes",$AX377&lt;&gt;"N/A"),"Battery, ","")&amp;IF(AND($BE377&lt;&gt;"Yes",$BE377&lt;&gt;"N/A"),"Firmware Download, ","")&amp;IF(AND(OR($BE377="Yes",$BE377="N/A"),$BF377&lt;&gt;"Yes",$BF377&lt;&gt;"N/A"),"Firmware Install, ","")&amp;IF(AND($BJ377&lt;&gt;"Yes",$BJ377&lt;&gt;"N/A"),"Device ID, ","")&amp;IF(AND($BK377&lt;&gt;"Yes",$BK377&lt;&gt;"N/A"),"Epic Beans Relay, ",""))-2)))</f>
      </c>
      <c r="BM377">
        <f>IF($T377="","",IF($BL377="","Yes","Blocked"))</f>
      </c>
      <c r="BP377">
        <f>IF($BO377="","",IFERROR(VLOOKUP($BO377,'01_Warehouse_Ledger'!$A:$N,4,FALSE),""))</f>
      </c>
      <c r="BQ377">
        <f>IF($BO377="","",IFERROR(VLOOKUP($BO377,'01_Warehouse_Ledger'!$A:$N,5,FALSE),""))</f>
      </c>
      <c r="BR377">
        <f>IF($BO377="","",IFERROR(VLOOKUP($BO377,'01_Warehouse_Ledger'!$A:$N,13,FALSE),""))</f>
      </c>
    </row>
    <row r="378">
      <c r="D378">
        <f>IF($B378&lt;&gt;"Yes","",IF($C378="No","Yes",IF($C378="Yes","No","")))</f>
      </c>
      <c r="E378">
        <f>IF($A378="","",IF($A378="Neuron",IF(OR(AND($S378&lt;&gt;"",LOWER(TRIM($S378))&lt;&gt;"n/a",COUNTIF($S$2:$S$532,$S378)&gt;1),AND($T378&lt;&gt;"",LOWER(TRIM($T378))&lt;&gt;"n/a",COUNTIF($T$2:$T$532,$T378)&gt;1),AND($W378&lt;&gt;"",LOWER(TRIM($W378))&lt;&gt;"n/a",COUNTIF($W$2:$W$532,$W378)&gt;1)),"Yes","No"),IF($A378="Cybernet",IF(OR(AND($Y378&lt;&gt;"",LOWER(TRIM($Y378))&lt;&gt;"n/a",COUNTIF($Y$2:$Y$532,$Y378)&gt;1),AND($Z378&lt;&gt;"",LOWER(TRIM($Z378))&lt;&gt;"n/a",COUNTIF($Z$2:$Z$532,$Z378)&gt;1)),"Yes","No"),IF(AND($AL378&lt;&gt;"",LOWER(TRIM($AL378))&lt;&gt;"n/a",COUNTIF($AL$2:$AL$532,$AL378)&gt;1),"Yes","No"))))</f>
      </c>
      <c r="F378">
        <f>IF($B378&lt;&gt;"Yes","",
IF($A378="Neuron",
IF(OR(
AND($S378&lt;&gt;"",LOWER(TRIM($S378))&lt;&gt;"n/a",COUNTIFS($B$2:$B$532,"Yes",$A$2:$A$532,"Neuron",$S$2:$S$532,$S378)&gt;1),
AND($T378&lt;&gt;"",LOWER(TRIM($T378))&lt;&gt;"n/a",COUNTIFS($B$2:$B$532,"Yes",$A$2:$A$532,"Neuron",$T$2:$T$532,$T378)&gt;1),
AND($W378&lt;&gt;"",LOWER(TRIM($W378))&lt;&gt;"n/a",COUNTIFS($B$2:$B$532,"Yes",$A$2:$A$532,"Neuron",$W$2:$W$532,$W378)&gt;1)
),"Yes","No"),
IF($A378="Cybernet",
IF(OR(
AND($Y378&lt;&gt;"",LOWER(TRIM($Y378))&lt;&gt;"n/a",COUNTIFS($B$2:$B$532,"Yes",$A$2:$A$532,"Cybernet",$Y$2:$Y$532,$Y378)&gt;1),
AND($Z378&lt;&gt;"",LOWER(TRIM($Z378))&lt;&gt;"n/a",COUNTIFS($B$2:$B$532,"Yes",$A$2:$A$532,"Cybernet",$Z$2:$Z$532,$Z378)&gt;1)
),"Yes","No"),
IF(AND($AL378&lt;&gt;"",LOWER(TRIM($AL378))&lt;&gt;"n/a"),
IF(COUNTIFS($B$2:$B$532,"Yes",$A$2:$A$532,$A378,$AL$2:$AL$532,$AL378)&gt;1,"Yes","No"),
"No")
)
)
)</f>
      </c>
      <c r="BL378">
        <f>IF($T378="","",IF((IF(AND($AW378&lt;&gt;"Yes",$AW378&lt;&gt;"N/A"),"Power Cable, ","")&amp;IF(AND($AX378&lt;&gt;"Yes",$AX378&lt;&gt;"N/A"),"Battery, ","")&amp;IF(AND($BE378&lt;&gt;"Yes",$BE378&lt;&gt;"N/A"),"Firmware Download, ","")&amp;IF(AND(OR($BE378="Yes",$BE378="N/A"),$BF378&lt;&gt;"Yes",$BF378&lt;&gt;"N/A"),"Firmware Install, ","")&amp;IF(AND($BJ378&lt;&gt;"Yes",$BJ378&lt;&gt;"N/A"),"Device ID, ","")&amp;IF(AND($BK378&lt;&gt;"Yes",$BK378&lt;&gt;"N/A"),"Epic Beans Relay, ",""))="","",LEFT(IF(AND($AW378&lt;&gt;"Yes",$AW378&lt;&gt;"N/A"),"Power Cable, ","")&amp;IF(AND($AX378&lt;&gt;"Yes",$AX378&lt;&gt;"N/A"),"Battery, ","")&amp;IF(AND($BE378&lt;&gt;"Yes",$BE378&lt;&gt;"N/A"),"Firmware Download, ","")&amp;IF(AND(OR($BE378="Yes",$BE378="N/A"),$BF378&lt;&gt;"Yes",$BF378&lt;&gt;"N/A"),"Firmware Install, ","")&amp;IF(AND($BJ378&lt;&gt;"Yes",$BJ378&lt;&gt;"N/A"),"Device ID, ","")&amp;IF(AND($BK378&lt;&gt;"Yes",$BK378&lt;&gt;"N/A"),"Epic Beans Relay, ",""),LEN(IF(AND($AW378&lt;&gt;"Yes",$AW378&lt;&gt;"N/A"),"Power Cable, ","")&amp;IF(AND($AX378&lt;&gt;"Yes",$AX378&lt;&gt;"N/A"),"Battery, ","")&amp;IF(AND($BE378&lt;&gt;"Yes",$BE378&lt;&gt;"N/A"),"Firmware Download, ","")&amp;IF(AND(OR($BE378="Yes",$BE378="N/A"),$BF378&lt;&gt;"Yes",$BF378&lt;&gt;"N/A"),"Firmware Install, ","")&amp;IF(AND($BJ378&lt;&gt;"Yes",$BJ378&lt;&gt;"N/A"),"Device ID, ","")&amp;IF(AND($BK378&lt;&gt;"Yes",$BK378&lt;&gt;"N/A"),"Epic Beans Relay, ",""))-2)))</f>
      </c>
      <c r="BM378">
        <f>IF($T378="","",IF($BL378="","Yes","Blocked"))</f>
      </c>
      <c r="BP378">
        <f>IF($BO378="","",IFERROR(VLOOKUP($BO378,'01_Warehouse_Ledger'!$A:$N,4,FALSE),""))</f>
      </c>
      <c r="BQ378">
        <f>IF($BO378="","",IFERROR(VLOOKUP($BO378,'01_Warehouse_Ledger'!$A:$N,5,FALSE),""))</f>
      </c>
      <c r="BR378">
        <f>IF($BO378="","",IFERROR(VLOOKUP($BO378,'01_Warehouse_Ledger'!$A:$N,13,FALSE),""))</f>
      </c>
    </row>
    <row r="379">
      <c r="D379">
        <f>IF($B379&lt;&gt;"Yes","",IF($C379="No","Yes",IF($C379="Yes","No","")))</f>
      </c>
      <c r="E379">
        <f>IF($A379="","",IF($A379="Neuron",IF(OR(AND($S379&lt;&gt;"",LOWER(TRIM($S379))&lt;&gt;"n/a",COUNTIF($S$2:$S$532,$S379)&gt;1),AND($T379&lt;&gt;"",LOWER(TRIM($T379))&lt;&gt;"n/a",COUNTIF($T$2:$T$532,$T379)&gt;1),AND($W379&lt;&gt;"",LOWER(TRIM($W379))&lt;&gt;"n/a",COUNTIF($W$2:$W$532,$W379)&gt;1)),"Yes","No"),IF($A379="Cybernet",IF(OR(AND($Y379&lt;&gt;"",LOWER(TRIM($Y379))&lt;&gt;"n/a",COUNTIF($Y$2:$Y$532,$Y379)&gt;1),AND($Z379&lt;&gt;"",LOWER(TRIM($Z379))&lt;&gt;"n/a",COUNTIF($Z$2:$Z$532,$Z379)&gt;1)),"Yes","No"),IF(AND($AL379&lt;&gt;"",LOWER(TRIM($AL379))&lt;&gt;"n/a",COUNTIF($AL$2:$AL$532,$AL379)&gt;1),"Yes","No"))))</f>
      </c>
      <c r="F379">
        <f>IF($B379&lt;&gt;"Yes","",
IF($A379="Neuron",
IF(OR(
AND($S379&lt;&gt;"",LOWER(TRIM($S379))&lt;&gt;"n/a",COUNTIFS($B$2:$B$532,"Yes",$A$2:$A$532,"Neuron",$S$2:$S$532,$S379)&gt;1),
AND($T379&lt;&gt;"",LOWER(TRIM($T379))&lt;&gt;"n/a",COUNTIFS($B$2:$B$532,"Yes",$A$2:$A$532,"Neuron",$T$2:$T$532,$T379)&gt;1),
AND($W379&lt;&gt;"",LOWER(TRIM($W379))&lt;&gt;"n/a",COUNTIFS($B$2:$B$532,"Yes",$A$2:$A$532,"Neuron",$W$2:$W$532,$W379)&gt;1)
),"Yes","No"),
IF($A379="Cybernet",
IF(OR(
AND($Y379&lt;&gt;"",LOWER(TRIM($Y379))&lt;&gt;"n/a",COUNTIFS($B$2:$B$532,"Yes",$A$2:$A$532,"Cybernet",$Y$2:$Y$532,$Y379)&gt;1),
AND($Z379&lt;&gt;"",LOWER(TRIM($Z379))&lt;&gt;"n/a",COUNTIFS($B$2:$B$532,"Yes",$A$2:$A$532,"Cybernet",$Z$2:$Z$532,$Z379)&gt;1)
),"Yes","No"),
IF(AND($AL379&lt;&gt;"",LOWER(TRIM($AL379))&lt;&gt;"n/a"),
IF(COUNTIFS($B$2:$B$532,"Yes",$A$2:$A$532,$A379,$AL$2:$AL$532,$AL379)&gt;1,"Yes","No"),
"No")
)
)
)</f>
      </c>
      <c r="BL379">
        <f>IF($T379="","",IF((IF(AND($AW379&lt;&gt;"Yes",$AW379&lt;&gt;"N/A"),"Power Cable, ","")&amp;IF(AND($AX379&lt;&gt;"Yes",$AX379&lt;&gt;"N/A"),"Battery, ","")&amp;IF(AND($BE379&lt;&gt;"Yes",$BE379&lt;&gt;"N/A"),"Firmware Download, ","")&amp;IF(AND(OR($BE379="Yes",$BE379="N/A"),$BF379&lt;&gt;"Yes",$BF379&lt;&gt;"N/A"),"Firmware Install, ","")&amp;IF(AND($BJ379&lt;&gt;"Yes",$BJ379&lt;&gt;"N/A"),"Device ID, ","")&amp;IF(AND($BK379&lt;&gt;"Yes",$BK379&lt;&gt;"N/A"),"Epic Beans Relay, ",""))="","",LEFT(IF(AND($AW379&lt;&gt;"Yes",$AW379&lt;&gt;"N/A"),"Power Cable, ","")&amp;IF(AND($AX379&lt;&gt;"Yes",$AX379&lt;&gt;"N/A"),"Battery, ","")&amp;IF(AND($BE379&lt;&gt;"Yes",$BE379&lt;&gt;"N/A"),"Firmware Download, ","")&amp;IF(AND(OR($BE379="Yes",$BE379="N/A"),$BF379&lt;&gt;"Yes",$BF379&lt;&gt;"N/A"),"Firmware Install, ","")&amp;IF(AND($BJ379&lt;&gt;"Yes",$BJ379&lt;&gt;"N/A"),"Device ID, ","")&amp;IF(AND($BK379&lt;&gt;"Yes",$BK379&lt;&gt;"N/A"),"Epic Beans Relay, ",""),LEN(IF(AND($AW379&lt;&gt;"Yes",$AW379&lt;&gt;"N/A"),"Power Cable, ","")&amp;IF(AND($AX379&lt;&gt;"Yes",$AX379&lt;&gt;"N/A"),"Battery, ","")&amp;IF(AND($BE379&lt;&gt;"Yes",$BE379&lt;&gt;"N/A"),"Firmware Download, ","")&amp;IF(AND(OR($BE379="Yes",$BE379="N/A"),$BF379&lt;&gt;"Yes",$BF379&lt;&gt;"N/A"),"Firmware Install, ","")&amp;IF(AND($BJ379&lt;&gt;"Yes",$BJ379&lt;&gt;"N/A"),"Device ID, ","")&amp;IF(AND($BK379&lt;&gt;"Yes",$BK379&lt;&gt;"N/A"),"Epic Beans Relay, ",""))-2)))</f>
      </c>
      <c r="BM379">
        <f>IF($T379="","",IF($BL379="","Yes","Blocked"))</f>
      </c>
      <c r="BP379">
        <f>IF($BO379="","",IFERROR(VLOOKUP($BO379,'01_Warehouse_Ledger'!$A:$N,4,FALSE),""))</f>
      </c>
      <c r="BQ379">
        <f>IF($BO379="","",IFERROR(VLOOKUP($BO379,'01_Warehouse_Ledger'!$A:$N,5,FALSE),""))</f>
      </c>
      <c r="BR379">
        <f>IF($BO379="","",IFERROR(VLOOKUP($BO379,'01_Warehouse_Ledger'!$A:$N,13,FALSE),""))</f>
      </c>
    </row>
    <row r="380">
      <c r="D380">
        <f>IF($B380&lt;&gt;"Yes","",IF($C380="No","Yes",IF($C380="Yes","No","")))</f>
      </c>
      <c r="E380">
        <f>IF($A380="","",IF($A380="Neuron",IF(OR(AND($S380&lt;&gt;"",LOWER(TRIM($S380))&lt;&gt;"n/a",COUNTIF($S$2:$S$532,$S380)&gt;1),AND($T380&lt;&gt;"",LOWER(TRIM($T380))&lt;&gt;"n/a",COUNTIF($T$2:$T$532,$T380)&gt;1),AND($W380&lt;&gt;"",LOWER(TRIM($W380))&lt;&gt;"n/a",COUNTIF($W$2:$W$532,$W380)&gt;1)),"Yes","No"),IF($A380="Cybernet",IF(OR(AND($Y380&lt;&gt;"",LOWER(TRIM($Y380))&lt;&gt;"n/a",COUNTIF($Y$2:$Y$532,$Y380)&gt;1),AND($Z380&lt;&gt;"",LOWER(TRIM($Z380))&lt;&gt;"n/a",COUNTIF($Z$2:$Z$532,$Z380)&gt;1)),"Yes","No"),IF(AND($AL380&lt;&gt;"",LOWER(TRIM($AL380))&lt;&gt;"n/a",COUNTIF($AL$2:$AL$532,$AL380)&gt;1),"Yes","No"))))</f>
      </c>
      <c r="F380">
        <f>IF($B380&lt;&gt;"Yes","",
IF($A380="Neuron",
IF(OR(
AND($S380&lt;&gt;"",LOWER(TRIM($S380))&lt;&gt;"n/a",COUNTIFS($B$2:$B$532,"Yes",$A$2:$A$532,"Neuron",$S$2:$S$532,$S380)&gt;1),
AND($T380&lt;&gt;"",LOWER(TRIM($T380))&lt;&gt;"n/a",COUNTIFS($B$2:$B$532,"Yes",$A$2:$A$532,"Neuron",$T$2:$T$532,$T380)&gt;1),
AND($W380&lt;&gt;"",LOWER(TRIM($W380))&lt;&gt;"n/a",COUNTIFS($B$2:$B$532,"Yes",$A$2:$A$532,"Neuron",$W$2:$W$532,$W380)&gt;1)
),"Yes","No"),
IF($A380="Cybernet",
IF(OR(
AND($Y380&lt;&gt;"",LOWER(TRIM($Y380))&lt;&gt;"n/a",COUNTIFS($B$2:$B$532,"Yes",$A$2:$A$532,"Cybernet",$Y$2:$Y$532,$Y380)&gt;1),
AND($Z380&lt;&gt;"",LOWER(TRIM($Z380))&lt;&gt;"n/a",COUNTIFS($B$2:$B$532,"Yes",$A$2:$A$532,"Cybernet",$Z$2:$Z$532,$Z380)&gt;1)
),"Yes","No"),
IF(AND($AL380&lt;&gt;"",LOWER(TRIM($AL380))&lt;&gt;"n/a"),
IF(COUNTIFS($B$2:$B$532,"Yes",$A$2:$A$532,$A380,$AL$2:$AL$532,$AL380)&gt;1,"Yes","No"),
"No")
)
)
)</f>
      </c>
      <c r="BL380">
        <f>IF($T380="","",IF((IF(AND($AW380&lt;&gt;"Yes",$AW380&lt;&gt;"N/A"),"Power Cable, ","")&amp;IF(AND($AX380&lt;&gt;"Yes",$AX380&lt;&gt;"N/A"),"Battery, ","")&amp;IF(AND($BE380&lt;&gt;"Yes",$BE380&lt;&gt;"N/A"),"Firmware Download, ","")&amp;IF(AND(OR($BE380="Yes",$BE380="N/A"),$BF380&lt;&gt;"Yes",$BF380&lt;&gt;"N/A"),"Firmware Install, ","")&amp;IF(AND($BJ380&lt;&gt;"Yes",$BJ380&lt;&gt;"N/A"),"Device ID, ","")&amp;IF(AND($BK380&lt;&gt;"Yes",$BK380&lt;&gt;"N/A"),"Epic Beans Relay, ",""))="","",LEFT(IF(AND($AW380&lt;&gt;"Yes",$AW380&lt;&gt;"N/A"),"Power Cable, ","")&amp;IF(AND($AX380&lt;&gt;"Yes",$AX380&lt;&gt;"N/A"),"Battery, ","")&amp;IF(AND($BE380&lt;&gt;"Yes",$BE380&lt;&gt;"N/A"),"Firmware Download, ","")&amp;IF(AND(OR($BE380="Yes",$BE380="N/A"),$BF380&lt;&gt;"Yes",$BF380&lt;&gt;"N/A"),"Firmware Install, ","")&amp;IF(AND($BJ380&lt;&gt;"Yes",$BJ380&lt;&gt;"N/A"),"Device ID, ","")&amp;IF(AND($BK380&lt;&gt;"Yes",$BK380&lt;&gt;"N/A"),"Epic Beans Relay, ",""),LEN(IF(AND($AW380&lt;&gt;"Yes",$AW380&lt;&gt;"N/A"),"Power Cable, ","")&amp;IF(AND($AX380&lt;&gt;"Yes",$AX380&lt;&gt;"N/A"),"Battery, ","")&amp;IF(AND($BE380&lt;&gt;"Yes",$BE380&lt;&gt;"N/A"),"Firmware Download, ","")&amp;IF(AND(OR($BE380="Yes",$BE380="N/A"),$BF380&lt;&gt;"Yes",$BF380&lt;&gt;"N/A"),"Firmware Install, ","")&amp;IF(AND($BJ380&lt;&gt;"Yes",$BJ380&lt;&gt;"N/A"),"Device ID, ","")&amp;IF(AND($BK380&lt;&gt;"Yes",$BK380&lt;&gt;"N/A"),"Epic Beans Relay, ",""))-2)))</f>
      </c>
      <c r="BM380">
        <f>IF($T380="","",IF($BL380="","Yes","Blocked"))</f>
      </c>
      <c r="BP380">
        <f>IF($BO380="","",IFERROR(VLOOKUP($BO380,'01_Warehouse_Ledger'!$A:$N,4,FALSE),""))</f>
      </c>
      <c r="BQ380">
        <f>IF($BO380="","",IFERROR(VLOOKUP($BO380,'01_Warehouse_Ledger'!$A:$N,5,FALSE),""))</f>
      </c>
      <c r="BR380">
        <f>IF($BO380="","",IFERROR(VLOOKUP($BO380,'01_Warehouse_Ledger'!$A:$N,13,FALSE),""))</f>
      </c>
    </row>
    <row r="381">
      <c r="D381">
        <f>IF($B381&lt;&gt;"Yes","",IF($C381="No","Yes",IF($C381="Yes","No","")))</f>
      </c>
      <c r="E381">
        <f>IF($A381="","",IF($A381="Neuron",IF(OR(AND($S381&lt;&gt;"",LOWER(TRIM($S381))&lt;&gt;"n/a",COUNTIF($S$2:$S$532,$S381)&gt;1),AND($T381&lt;&gt;"",LOWER(TRIM($T381))&lt;&gt;"n/a",COUNTIF($T$2:$T$532,$T381)&gt;1),AND($W381&lt;&gt;"",LOWER(TRIM($W381))&lt;&gt;"n/a",COUNTIF($W$2:$W$532,$W381)&gt;1)),"Yes","No"),IF($A381="Cybernet",IF(OR(AND($Y381&lt;&gt;"",LOWER(TRIM($Y381))&lt;&gt;"n/a",COUNTIF($Y$2:$Y$532,$Y381)&gt;1),AND($Z381&lt;&gt;"",LOWER(TRIM($Z381))&lt;&gt;"n/a",COUNTIF($Z$2:$Z$532,$Z381)&gt;1)),"Yes","No"),IF(AND($AL381&lt;&gt;"",LOWER(TRIM($AL381))&lt;&gt;"n/a",COUNTIF($AL$2:$AL$532,$AL381)&gt;1),"Yes","No"))))</f>
      </c>
      <c r="F381">
        <f>IF($B381&lt;&gt;"Yes","",
IF($A381="Neuron",
IF(OR(
AND($S381&lt;&gt;"",LOWER(TRIM($S381))&lt;&gt;"n/a",COUNTIFS($B$2:$B$532,"Yes",$A$2:$A$532,"Neuron",$S$2:$S$532,$S381)&gt;1),
AND($T381&lt;&gt;"",LOWER(TRIM($T381))&lt;&gt;"n/a",COUNTIFS($B$2:$B$532,"Yes",$A$2:$A$532,"Neuron",$T$2:$T$532,$T381)&gt;1),
AND($W381&lt;&gt;"",LOWER(TRIM($W381))&lt;&gt;"n/a",COUNTIFS($B$2:$B$532,"Yes",$A$2:$A$532,"Neuron",$W$2:$W$532,$W381)&gt;1)
),"Yes","No"),
IF($A381="Cybernet",
IF(OR(
AND($Y381&lt;&gt;"",LOWER(TRIM($Y381))&lt;&gt;"n/a",COUNTIFS($B$2:$B$532,"Yes",$A$2:$A$532,"Cybernet",$Y$2:$Y$532,$Y381)&gt;1),
AND($Z381&lt;&gt;"",LOWER(TRIM($Z381))&lt;&gt;"n/a",COUNTIFS($B$2:$B$532,"Yes",$A$2:$A$532,"Cybernet",$Z$2:$Z$532,$Z381)&gt;1)
),"Yes","No"),
IF(AND($AL381&lt;&gt;"",LOWER(TRIM($AL381))&lt;&gt;"n/a"),
IF(COUNTIFS($B$2:$B$532,"Yes",$A$2:$A$532,$A381,$AL$2:$AL$532,$AL381)&gt;1,"Yes","No"),
"No")
)
)
)</f>
      </c>
      <c r="BL381">
        <f>IF($T381="","",IF((IF(AND($AW381&lt;&gt;"Yes",$AW381&lt;&gt;"N/A"),"Power Cable, ","")&amp;IF(AND($AX381&lt;&gt;"Yes",$AX381&lt;&gt;"N/A"),"Battery, ","")&amp;IF(AND($BE381&lt;&gt;"Yes",$BE381&lt;&gt;"N/A"),"Firmware Download, ","")&amp;IF(AND(OR($BE381="Yes",$BE381="N/A"),$BF381&lt;&gt;"Yes",$BF381&lt;&gt;"N/A"),"Firmware Install, ","")&amp;IF(AND($BJ381&lt;&gt;"Yes",$BJ381&lt;&gt;"N/A"),"Device ID, ","")&amp;IF(AND($BK381&lt;&gt;"Yes",$BK381&lt;&gt;"N/A"),"Epic Beans Relay, ",""))="","",LEFT(IF(AND($AW381&lt;&gt;"Yes",$AW381&lt;&gt;"N/A"),"Power Cable, ","")&amp;IF(AND($AX381&lt;&gt;"Yes",$AX381&lt;&gt;"N/A"),"Battery, ","")&amp;IF(AND($BE381&lt;&gt;"Yes",$BE381&lt;&gt;"N/A"),"Firmware Download, ","")&amp;IF(AND(OR($BE381="Yes",$BE381="N/A"),$BF381&lt;&gt;"Yes",$BF381&lt;&gt;"N/A"),"Firmware Install, ","")&amp;IF(AND($BJ381&lt;&gt;"Yes",$BJ381&lt;&gt;"N/A"),"Device ID, ","")&amp;IF(AND($BK381&lt;&gt;"Yes",$BK381&lt;&gt;"N/A"),"Epic Beans Relay, ",""),LEN(IF(AND($AW381&lt;&gt;"Yes",$AW381&lt;&gt;"N/A"),"Power Cable, ","")&amp;IF(AND($AX381&lt;&gt;"Yes",$AX381&lt;&gt;"N/A"),"Battery, ","")&amp;IF(AND($BE381&lt;&gt;"Yes",$BE381&lt;&gt;"N/A"),"Firmware Download, ","")&amp;IF(AND(OR($BE381="Yes",$BE381="N/A"),$BF381&lt;&gt;"Yes",$BF381&lt;&gt;"N/A"),"Firmware Install, ","")&amp;IF(AND($BJ381&lt;&gt;"Yes",$BJ381&lt;&gt;"N/A"),"Device ID, ","")&amp;IF(AND($BK381&lt;&gt;"Yes",$BK381&lt;&gt;"N/A"),"Epic Beans Relay, ",""))-2)))</f>
      </c>
      <c r="BM381">
        <f>IF($T381="","",IF($BL381="","Yes","Blocked"))</f>
      </c>
      <c r="BP381">
        <f>IF($BO381="","",IFERROR(VLOOKUP($BO381,'01_Warehouse_Ledger'!$A:$N,4,FALSE),""))</f>
      </c>
      <c r="BQ381">
        <f>IF($BO381="","",IFERROR(VLOOKUP($BO381,'01_Warehouse_Ledger'!$A:$N,5,FALSE),""))</f>
      </c>
      <c r="BR381">
        <f>IF($BO381="","",IFERROR(VLOOKUP($BO381,'01_Warehouse_Ledger'!$A:$N,13,FALSE),""))</f>
      </c>
    </row>
    <row r="382">
      <c r="D382">
        <f>IF($B382&lt;&gt;"Yes","",IF($C382="No","Yes",IF($C382="Yes","No","")))</f>
      </c>
      <c r="E382">
        <f>IF($A382="","",IF($A382="Neuron",IF(OR(AND($S382&lt;&gt;"",LOWER(TRIM($S382))&lt;&gt;"n/a",COUNTIF($S$2:$S$532,$S382)&gt;1),AND($T382&lt;&gt;"",LOWER(TRIM($T382))&lt;&gt;"n/a",COUNTIF($T$2:$T$532,$T382)&gt;1),AND($W382&lt;&gt;"",LOWER(TRIM($W382))&lt;&gt;"n/a",COUNTIF($W$2:$W$532,$W382)&gt;1)),"Yes","No"),IF($A382="Cybernet",IF(OR(AND($Y382&lt;&gt;"",LOWER(TRIM($Y382))&lt;&gt;"n/a",COUNTIF($Y$2:$Y$532,$Y382)&gt;1),AND($Z382&lt;&gt;"",LOWER(TRIM($Z382))&lt;&gt;"n/a",COUNTIF($Z$2:$Z$532,$Z382)&gt;1)),"Yes","No"),IF(AND($AL382&lt;&gt;"",LOWER(TRIM($AL382))&lt;&gt;"n/a",COUNTIF($AL$2:$AL$532,$AL382)&gt;1),"Yes","No"))))</f>
      </c>
      <c r="F382">
        <f>IF($B382&lt;&gt;"Yes","",
IF($A382="Neuron",
IF(OR(
AND($S382&lt;&gt;"",LOWER(TRIM($S382))&lt;&gt;"n/a",COUNTIFS($B$2:$B$532,"Yes",$A$2:$A$532,"Neuron",$S$2:$S$532,$S382)&gt;1),
AND($T382&lt;&gt;"",LOWER(TRIM($T382))&lt;&gt;"n/a",COUNTIFS($B$2:$B$532,"Yes",$A$2:$A$532,"Neuron",$T$2:$T$532,$T382)&gt;1),
AND($W382&lt;&gt;"",LOWER(TRIM($W382))&lt;&gt;"n/a",COUNTIFS($B$2:$B$532,"Yes",$A$2:$A$532,"Neuron",$W$2:$W$532,$W382)&gt;1)
),"Yes","No"),
IF($A382="Cybernet",
IF(OR(
AND($Y382&lt;&gt;"",LOWER(TRIM($Y382))&lt;&gt;"n/a",COUNTIFS($B$2:$B$532,"Yes",$A$2:$A$532,"Cybernet",$Y$2:$Y$532,$Y382)&gt;1),
AND($Z382&lt;&gt;"",LOWER(TRIM($Z382))&lt;&gt;"n/a",COUNTIFS($B$2:$B$532,"Yes",$A$2:$A$532,"Cybernet",$Z$2:$Z$532,$Z382)&gt;1)
),"Yes","No"),
IF(AND($AL382&lt;&gt;"",LOWER(TRIM($AL382))&lt;&gt;"n/a"),
IF(COUNTIFS($B$2:$B$532,"Yes",$A$2:$A$532,$A382,$AL$2:$AL$532,$AL382)&gt;1,"Yes","No"),
"No")
)
)
)</f>
      </c>
      <c r="BL382">
        <f>IF($T382="","",IF((IF(AND($AW382&lt;&gt;"Yes",$AW382&lt;&gt;"N/A"),"Power Cable, ","")&amp;IF(AND($AX382&lt;&gt;"Yes",$AX382&lt;&gt;"N/A"),"Battery, ","")&amp;IF(AND($BE382&lt;&gt;"Yes",$BE382&lt;&gt;"N/A"),"Firmware Download, ","")&amp;IF(AND(OR($BE382="Yes",$BE382="N/A"),$BF382&lt;&gt;"Yes",$BF382&lt;&gt;"N/A"),"Firmware Install, ","")&amp;IF(AND($BJ382&lt;&gt;"Yes",$BJ382&lt;&gt;"N/A"),"Device ID, ","")&amp;IF(AND($BK382&lt;&gt;"Yes",$BK382&lt;&gt;"N/A"),"Epic Beans Relay, ",""))="","",LEFT(IF(AND($AW382&lt;&gt;"Yes",$AW382&lt;&gt;"N/A"),"Power Cable, ","")&amp;IF(AND($AX382&lt;&gt;"Yes",$AX382&lt;&gt;"N/A"),"Battery, ","")&amp;IF(AND($BE382&lt;&gt;"Yes",$BE382&lt;&gt;"N/A"),"Firmware Download, ","")&amp;IF(AND(OR($BE382="Yes",$BE382="N/A"),$BF382&lt;&gt;"Yes",$BF382&lt;&gt;"N/A"),"Firmware Install, ","")&amp;IF(AND($BJ382&lt;&gt;"Yes",$BJ382&lt;&gt;"N/A"),"Device ID, ","")&amp;IF(AND($BK382&lt;&gt;"Yes",$BK382&lt;&gt;"N/A"),"Epic Beans Relay, ",""),LEN(IF(AND($AW382&lt;&gt;"Yes",$AW382&lt;&gt;"N/A"),"Power Cable, ","")&amp;IF(AND($AX382&lt;&gt;"Yes",$AX382&lt;&gt;"N/A"),"Battery, ","")&amp;IF(AND($BE382&lt;&gt;"Yes",$BE382&lt;&gt;"N/A"),"Firmware Download, ","")&amp;IF(AND(OR($BE382="Yes",$BE382="N/A"),$BF382&lt;&gt;"Yes",$BF382&lt;&gt;"N/A"),"Firmware Install, ","")&amp;IF(AND($BJ382&lt;&gt;"Yes",$BJ382&lt;&gt;"N/A"),"Device ID, ","")&amp;IF(AND($BK382&lt;&gt;"Yes",$BK382&lt;&gt;"N/A"),"Epic Beans Relay, ",""))-2)))</f>
      </c>
      <c r="BM382">
        <f>IF($T382="","",IF($BL382="","Yes","Blocked"))</f>
      </c>
      <c r="BP382">
        <f>IF($BO382="","",IFERROR(VLOOKUP($BO382,'01_Warehouse_Ledger'!$A:$N,4,FALSE),""))</f>
      </c>
      <c r="BQ382">
        <f>IF($BO382="","",IFERROR(VLOOKUP($BO382,'01_Warehouse_Ledger'!$A:$N,5,FALSE),""))</f>
      </c>
      <c r="BR382">
        <f>IF($BO382="","",IFERROR(VLOOKUP($BO382,'01_Warehouse_Ledger'!$A:$N,13,FALSE),""))</f>
      </c>
    </row>
    <row r="383">
      <c r="D383">
        <f>IF($B383&lt;&gt;"Yes","",IF($C383="No","Yes",IF($C383="Yes","No","")))</f>
      </c>
      <c r="E383">
        <f>IF($A383="","",IF($A383="Neuron",IF(OR(AND($S383&lt;&gt;"",LOWER(TRIM($S383))&lt;&gt;"n/a",COUNTIF($S$2:$S$532,$S383)&gt;1),AND($T383&lt;&gt;"",LOWER(TRIM($T383))&lt;&gt;"n/a",COUNTIF($T$2:$T$532,$T383)&gt;1),AND($W383&lt;&gt;"",LOWER(TRIM($W383))&lt;&gt;"n/a",COUNTIF($W$2:$W$532,$W383)&gt;1)),"Yes","No"),IF($A383="Cybernet",IF(OR(AND($Y383&lt;&gt;"",LOWER(TRIM($Y383))&lt;&gt;"n/a",COUNTIF($Y$2:$Y$532,$Y383)&gt;1),AND($Z383&lt;&gt;"",LOWER(TRIM($Z383))&lt;&gt;"n/a",COUNTIF($Z$2:$Z$532,$Z383)&gt;1)),"Yes","No"),IF(AND($AL383&lt;&gt;"",LOWER(TRIM($AL383))&lt;&gt;"n/a",COUNTIF($AL$2:$AL$532,$AL383)&gt;1),"Yes","No"))))</f>
      </c>
      <c r="F383">
        <f>IF($B383&lt;&gt;"Yes","",
IF($A383="Neuron",
IF(OR(
AND($S383&lt;&gt;"",LOWER(TRIM($S383))&lt;&gt;"n/a",COUNTIFS($B$2:$B$532,"Yes",$A$2:$A$532,"Neuron",$S$2:$S$532,$S383)&gt;1),
AND($T383&lt;&gt;"",LOWER(TRIM($T383))&lt;&gt;"n/a",COUNTIFS($B$2:$B$532,"Yes",$A$2:$A$532,"Neuron",$T$2:$T$532,$T383)&gt;1),
AND($W383&lt;&gt;"",LOWER(TRIM($W383))&lt;&gt;"n/a",COUNTIFS($B$2:$B$532,"Yes",$A$2:$A$532,"Neuron",$W$2:$W$532,$W383)&gt;1)
),"Yes","No"),
IF($A383="Cybernet",
IF(OR(
AND($Y383&lt;&gt;"",LOWER(TRIM($Y383))&lt;&gt;"n/a",COUNTIFS($B$2:$B$532,"Yes",$A$2:$A$532,"Cybernet",$Y$2:$Y$532,$Y383)&gt;1),
AND($Z383&lt;&gt;"",LOWER(TRIM($Z383))&lt;&gt;"n/a",COUNTIFS($B$2:$B$532,"Yes",$A$2:$A$532,"Cybernet",$Z$2:$Z$532,$Z383)&gt;1)
),"Yes","No"),
IF(AND($AL383&lt;&gt;"",LOWER(TRIM($AL383))&lt;&gt;"n/a"),
IF(COUNTIFS($B$2:$B$532,"Yes",$A$2:$A$532,$A383,$AL$2:$AL$532,$AL383)&gt;1,"Yes","No"),
"No")
)
)
)</f>
      </c>
      <c r="BL383">
        <f>IF($T383="","",IF((IF(AND($AW383&lt;&gt;"Yes",$AW383&lt;&gt;"N/A"),"Power Cable, ","")&amp;IF(AND($AX383&lt;&gt;"Yes",$AX383&lt;&gt;"N/A"),"Battery, ","")&amp;IF(AND($BE383&lt;&gt;"Yes",$BE383&lt;&gt;"N/A"),"Firmware Download, ","")&amp;IF(AND(OR($BE383="Yes",$BE383="N/A"),$BF383&lt;&gt;"Yes",$BF383&lt;&gt;"N/A"),"Firmware Install, ","")&amp;IF(AND($BJ383&lt;&gt;"Yes",$BJ383&lt;&gt;"N/A"),"Device ID, ","")&amp;IF(AND($BK383&lt;&gt;"Yes",$BK383&lt;&gt;"N/A"),"Epic Beans Relay, ",""))="","",LEFT(IF(AND($AW383&lt;&gt;"Yes",$AW383&lt;&gt;"N/A"),"Power Cable, ","")&amp;IF(AND($AX383&lt;&gt;"Yes",$AX383&lt;&gt;"N/A"),"Battery, ","")&amp;IF(AND($BE383&lt;&gt;"Yes",$BE383&lt;&gt;"N/A"),"Firmware Download, ","")&amp;IF(AND(OR($BE383="Yes",$BE383="N/A"),$BF383&lt;&gt;"Yes",$BF383&lt;&gt;"N/A"),"Firmware Install, ","")&amp;IF(AND($BJ383&lt;&gt;"Yes",$BJ383&lt;&gt;"N/A"),"Device ID, ","")&amp;IF(AND($BK383&lt;&gt;"Yes",$BK383&lt;&gt;"N/A"),"Epic Beans Relay, ",""),LEN(IF(AND($AW383&lt;&gt;"Yes",$AW383&lt;&gt;"N/A"),"Power Cable, ","")&amp;IF(AND($AX383&lt;&gt;"Yes",$AX383&lt;&gt;"N/A"),"Battery, ","")&amp;IF(AND($BE383&lt;&gt;"Yes",$BE383&lt;&gt;"N/A"),"Firmware Download, ","")&amp;IF(AND(OR($BE383="Yes",$BE383="N/A"),$BF383&lt;&gt;"Yes",$BF383&lt;&gt;"N/A"),"Firmware Install, ","")&amp;IF(AND($BJ383&lt;&gt;"Yes",$BJ383&lt;&gt;"N/A"),"Device ID, ","")&amp;IF(AND($BK383&lt;&gt;"Yes",$BK383&lt;&gt;"N/A"),"Epic Beans Relay, ",""))-2)))</f>
      </c>
      <c r="BM383">
        <f>IF($T383="","",IF($BL383="","Yes","Blocked"))</f>
      </c>
      <c r="BP383">
        <f>IF($BO383="","",IFERROR(VLOOKUP($BO383,'01_Warehouse_Ledger'!$A:$N,4,FALSE),""))</f>
      </c>
      <c r="BQ383">
        <f>IF($BO383="","",IFERROR(VLOOKUP($BO383,'01_Warehouse_Ledger'!$A:$N,5,FALSE),""))</f>
      </c>
      <c r="BR383">
        <f>IF($BO383="","",IFERROR(VLOOKUP($BO383,'01_Warehouse_Ledger'!$A:$N,13,FALSE),""))</f>
      </c>
    </row>
    <row r="384">
      <c r="D384">
        <f>IF($B384&lt;&gt;"Yes","",IF($C384="No","Yes",IF($C384="Yes","No","")))</f>
      </c>
      <c r="E384">
        <f>IF($A384="","",IF($A384="Neuron",IF(OR(AND($S384&lt;&gt;"",LOWER(TRIM($S384))&lt;&gt;"n/a",COUNTIF($S$2:$S$532,$S384)&gt;1),AND($T384&lt;&gt;"",LOWER(TRIM($T384))&lt;&gt;"n/a",COUNTIF($T$2:$T$532,$T384)&gt;1),AND($W384&lt;&gt;"",LOWER(TRIM($W384))&lt;&gt;"n/a",COUNTIF($W$2:$W$532,$W384)&gt;1)),"Yes","No"),IF($A384="Cybernet",IF(OR(AND($Y384&lt;&gt;"",LOWER(TRIM($Y384))&lt;&gt;"n/a",COUNTIF($Y$2:$Y$532,$Y384)&gt;1),AND($Z384&lt;&gt;"",LOWER(TRIM($Z384))&lt;&gt;"n/a",COUNTIF($Z$2:$Z$532,$Z384)&gt;1)),"Yes","No"),IF(AND($AL384&lt;&gt;"",LOWER(TRIM($AL384))&lt;&gt;"n/a",COUNTIF($AL$2:$AL$532,$AL384)&gt;1),"Yes","No"))))</f>
      </c>
      <c r="F384">
        <f>IF($B384&lt;&gt;"Yes","",
IF($A384="Neuron",
IF(OR(
AND($S384&lt;&gt;"",LOWER(TRIM($S384))&lt;&gt;"n/a",COUNTIFS($B$2:$B$532,"Yes",$A$2:$A$532,"Neuron",$S$2:$S$532,$S384)&gt;1),
AND($T384&lt;&gt;"",LOWER(TRIM($T384))&lt;&gt;"n/a",COUNTIFS($B$2:$B$532,"Yes",$A$2:$A$532,"Neuron",$T$2:$T$532,$T384)&gt;1),
AND($W384&lt;&gt;"",LOWER(TRIM($W384))&lt;&gt;"n/a",COUNTIFS($B$2:$B$532,"Yes",$A$2:$A$532,"Neuron",$W$2:$W$532,$W384)&gt;1)
),"Yes","No"),
IF($A384="Cybernet",
IF(OR(
AND($Y384&lt;&gt;"",LOWER(TRIM($Y384))&lt;&gt;"n/a",COUNTIFS($B$2:$B$532,"Yes",$A$2:$A$532,"Cybernet",$Y$2:$Y$532,$Y384)&gt;1),
AND($Z384&lt;&gt;"",LOWER(TRIM($Z384))&lt;&gt;"n/a",COUNTIFS($B$2:$B$532,"Yes",$A$2:$A$532,"Cybernet",$Z$2:$Z$532,$Z384)&gt;1)
),"Yes","No"),
IF(AND($AL384&lt;&gt;"",LOWER(TRIM($AL384))&lt;&gt;"n/a"),
IF(COUNTIFS($B$2:$B$532,"Yes",$A$2:$A$532,$A384,$AL$2:$AL$532,$AL384)&gt;1,"Yes","No"),
"No")
)
)
)</f>
      </c>
      <c r="BL384">
        <f>IF($T384="","",IF((IF(AND($AW384&lt;&gt;"Yes",$AW384&lt;&gt;"N/A"),"Power Cable, ","")&amp;IF(AND($AX384&lt;&gt;"Yes",$AX384&lt;&gt;"N/A"),"Battery, ","")&amp;IF(AND($BE384&lt;&gt;"Yes",$BE384&lt;&gt;"N/A"),"Firmware Download, ","")&amp;IF(AND(OR($BE384="Yes",$BE384="N/A"),$BF384&lt;&gt;"Yes",$BF384&lt;&gt;"N/A"),"Firmware Install, ","")&amp;IF(AND($BJ384&lt;&gt;"Yes",$BJ384&lt;&gt;"N/A"),"Device ID, ","")&amp;IF(AND($BK384&lt;&gt;"Yes",$BK384&lt;&gt;"N/A"),"Epic Beans Relay, ",""))="","",LEFT(IF(AND($AW384&lt;&gt;"Yes",$AW384&lt;&gt;"N/A"),"Power Cable, ","")&amp;IF(AND($AX384&lt;&gt;"Yes",$AX384&lt;&gt;"N/A"),"Battery, ","")&amp;IF(AND($BE384&lt;&gt;"Yes",$BE384&lt;&gt;"N/A"),"Firmware Download, ","")&amp;IF(AND(OR($BE384="Yes",$BE384="N/A"),$BF384&lt;&gt;"Yes",$BF384&lt;&gt;"N/A"),"Firmware Install, ","")&amp;IF(AND($BJ384&lt;&gt;"Yes",$BJ384&lt;&gt;"N/A"),"Device ID, ","")&amp;IF(AND($BK384&lt;&gt;"Yes",$BK384&lt;&gt;"N/A"),"Epic Beans Relay, ",""),LEN(IF(AND($AW384&lt;&gt;"Yes",$AW384&lt;&gt;"N/A"),"Power Cable, ","")&amp;IF(AND($AX384&lt;&gt;"Yes",$AX384&lt;&gt;"N/A"),"Battery, ","")&amp;IF(AND($BE384&lt;&gt;"Yes",$BE384&lt;&gt;"N/A"),"Firmware Download, ","")&amp;IF(AND(OR($BE384="Yes",$BE384="N/A"),$BF384&lt;&gt;"Yes",$BF384&lt;&gt;"N/A"),"Firmware Install, ","")&amp;IF(AND($BJ384&lt;&gt;"Yes",$BJ384&lt;&gt;"N/A"),"Device ID, ","")&amp;IF(AND($BK384&lt;&gt;"Yes",$BK384&lt;&gt;"N/A"),"Epic Beans Relay, ",""))-2)))</f>
      </c>
      <c r="BM384">
        <f>IF($T384="","",IF($BL384="","Yes","Blocked"))</f>
      </c>
      <c r="BP384">
        <f>IF($BO384="","",IFERROR(VLOOKUP($BO384,'01_Warehouse_Ledger'!$A:$N,4,FALSE),""))</f>
      </c>
      <c r="BQ384">
        <f>IF($BO384="","",IFERROR(VLOOKUP($BO384,'01_Warehouse_Ledger'!$A:$N,5,FALSE),""))</f>
      </c>
      <c r="BR384">
        <f>IF($BO384="","",IFERROR(VLOOKUP($BO384,'01_Warehouse_Ledger'!$A:$N,13,FALSE),""))</f>
      </c>
    </row>
    <row r="385">
      <c r="D385">
        <f>IF($B385&lt;&gt;"Yes","",IF($C385="No","Yes",IF($C385="Yes","No","")))</f>
      </c>
      <c r="E385">
        <f>IF($A385="","",IF($A385="Neuron",IF(OR(AND($S385&lt;&gt;"",LOWER(TRIM($S385))&lt;&gt;"n/a",COUNTIF($S$2:$S$532,$S385)&gt;1),AND($T385&lt;&gt;"",LOWER(TRIM($T385))&lt;&gt;"n/a",COUNTIF($T$2:$T$532,$T385)&gt;1),AND($W385&lt;&gt;"",LOWER(TRIM($W385))&lt;&gt;"n/a",COUNTIF($W$2:$W$532,$W385)&gt;1)),"Yes","No"),IF($A385="Cybernet",IF(OR(AND($Y385&lt;&gt;"",LOWER(TRIM($Y385))&lt;&gt;"n/a",COUNTIF($Y$2:$Y$532,$Y385)&gt;1),AND($Z385&lt;&gt;"",LOWER(TRIM($Z385))&lt;&gt;"n/a",COUNTIF($Z$2:$Z$532,$Z385)&gt;1)),"Yes","No"),IF(AND($AL385&lt;&gt;"",LOWER(TRIM($AL385))&lt;&gt;"n/a",COUNTIF($AL$2:$AL$532,$AL385)&gt;1),"Yes","No"))))</f>
      </c>
      <c r="F385">
        <f>IF($B385&lt;&gt;"Yes","",
IF($A385="Neuron",
IF(OR(
AND($S385&lt;&gt;"",LOWER(TRIM($S385))&lt;&gt;"n/a",COUNTIFS($B$2:$B$532,"Yes",$A$2:$A$532,"Neuron",$S$2:$S$532,$S385)&gt;1),
AND($T385&lt;&gt;"",LOWER(TRIM($T385))&lt;&gt;"n/a",COUNTIFS($B$2:$B$532,"Yes",$A$2:$A$532,"Neuron",$T$2:$T$532,$T385)&gt;1),
AND($W385&lt;&gt;"",LOWER(TRIM($W385))&lt;&gt;"n/a",COUNTIFS($B$2:$B$532,"Yes",$A$2:$A$532,"Neuron",$W$2:$W$532,$W385)&gt;1)
),"Yes","No"),
IF($A385="Cybernet",
IF(OR(
AND($Y385&lt;&gt;"",LOWER(TRIM($Y385))&lt;&gt;"n/a",COUNTIFS($B$2:$B$532,"Yes",$A$2:$A$532,"Cybernet",$Y$2:$Y$532,$Y385)&gt;1),
AND($Z385&lt;&gt;"",LOWER(TRIM($Z385))&lt;&gt;"n/a",COUNTIFS($B$2:$B$532,"Yes",$A$2:$A$532,"Cybernet",$Z$2:$Z$532,$Z385)&gt;1)
),"Yes","No"),
IF(AND($AL385&lt;&gt;"",LOWER(TRIM($AL385))&lt;&gt;"n/a"),
IF(COUNTIFS($B$2:$B$532,"Yes",$A$2:$A$532,$A385,$AL$2:$AL$532,$AL385)&gt;1,"Yes","No"),
"No")
)
)
)</f>
      </c>
      <c r="BL385">
        <f>IF($T385="","",IF((IF(AND($AW385&lt;&gt;"Yes",$AW385&lt;&gt;"N/A"),"Power Cable, ","")&amp;IF(AND($AX385&lt;&gt;"Yes",$AX385&lt;&gt;"N/A"),"Battery, ","")&amp;IF(AND($BE385&lt;&gt;"Yes",$BE385&lt;&gt;"N/A"),"Firmware Download, ","")&amp;IF(AND(OR($BE385="Yes",$BE385="N/A"),$BF385&lt;&gt;"Yes",$BF385&lt;&gt;"N/A"),"Firmware Install, ","")&amp;IF(AND($BJ385&lt;&gt;"Yes",$BJ385&lt;&gt;"N/A"),"Device ID, ","")&amp;IF(AND($BK385&lt;&gt;"Yes",$BK385&lt;&gt;"N/A"),"Epic Beans Relay, ",""))="","",LEFT(IF(AND($AW385&lt;&gt;"Yes",$AW385&lt;&gt;"N/A"),"Power Cable, ","")&amp;IF(AND($AX385&lt;&gt;"Yes",$AX385&lt;&gt;"N/A"),"Battery, ","")&amp;IF(AND($BE385&lt;&gt;"Yes",$BE385&lt;&gt;"N/A"),"Firmware Download, ","")&amp;IF(AND(OR($BE385="Yes",$BE385="N/A"),$BF385&lt;&gt;"Yes",$BF385&lt;&gt;"N/A"),"Firmware Install, ","")&amp;IF(AND($BJ385&lt;&gt;"Yes",$BJ385&lt;&gt;"N/A"),"Device ID, ","")&amp;IF(AND($BK385&lt;&gt;"Yes",$BK385&lt;&gt;"N/A"),"Epic Beans Relay, ",""),LEN(IF(AND($AW385&lt;&gt;"Yes",$AW385&lt;&gt;"N/A"),"Power Cable, ","")&amp;IF(AND($AX385&lt;&gt;"Yes",$AX385&lt;&gt;"N/A"),"Battery, ","")&amp;IF(AND($BE385&lt;&gt;"Yes",$BE385&lt;&gt;"N/A"),"Firmware Download, ","")&amp;IF(AND(OR($BE385="Yes",$BE385="N/A"),$BF385&lt;&gt;"Yes",$BF385&lt;&gt;"N/A"),"Firmware Install, ","")&amp;IF(AND($BJ385&lt;&gt;"Yes",$BJ385&lt;&gt;"N/A"),"Device ID, ","")&amp;IF(AND($BK385&lt;&gt;"Yes",$BK385&lt;&gt;"N/A"),"Epic Beans Relay, ",""))-2)))</f>
      </c>
      <c r="BM385">
        <f>IF($T385="","",IF($BL385="","Yes","Blocked"))</f>
      </c>
      <c r="BP385">
        <f>IF($BO385="","",IFERROR(VLOOKUP($BO385,'01_Warehouse_Ledger'!$A:$N,4,FALSE),""))</f>
      </c>
      <c r="BQ385">
        <f>IF($BO385="","",IFERROR(VLOOKUP($BO385,'01_Warehouse_Ledger'!$A:$N,5,FALSE),""))</f>
      </c>
      <c r="BR385">
        <f>IF($BO385="","",IFERROR(VLOOKUP($BO385,'01_Warehouse_Ledger'!$A:$N,13,FALSE),""))</f>
      </c>
    </row>
    <row r="386">
      <c r="D386">
        <f>IF($B386&lt;&gt;"Yes","",IF($C386="No","Yes",IF($C386="Yes","No","")))</f>
      </c>
      <c r="E386">
        <f>IF($A386="","",IF($A386="Neuron",IF(OR(AND($S386&lt;&gt;"",LOWER(TRIM($S386))&lt;&gt;"n/a",COUNTIF($S$2:$S$532,$S386)&gt;1),AND($T386&lt;&gt;"",LOWER(TRIM($T386))&lt;&gt;"n/a",COUNTIF($T$2:$T$532,$T386)&gt;1),AND($W386&lt;&gt;"",LOWER(TRIM($W386))&lt;&gt;"n/a",COUNTIF($W$2:$W$532,$W386)&gt;1)),"Yes","No"),IF($A386="Cybernet",IF(OR(AND($Y386&lt;&gt;"",LOWER(TRIM($Y386))&lt;&gt;"n/a",COUNTIF($Y$2:$Y$532,$Y386)&gt;1),AND($Z386&lt;&gt;"",LOWER(TRIM($Z386))&lt;&gt;"n/a",COUNTIF($Z$2:$Z$532,$Z386)&gt;1)),"Yes","No"),IF(AND($AL386&lt;&gt;"",LOWER(TRIM($AL386))&lt;&gt;"n/a",COUNTIF($AL$2:$AL$532,$AL386)&gt;1),"Yes","No"))))</f>
      </c>
      <c r="F386">
        <f>IF($B386&lt;&gt;"Yes","",
IF($A386="Neuron",
IF(OR(
AND($S386&lt;&gt;"",LOWER(TRIM($S386))&lt;&gt;"n/a",COUNTIFS($B$2:$B$532,"Yes",$A$2:$A$532,"Neuron",$S$2:$S$532,$S386)&gt;1),
AND($T386&lt;&gt;"",LOWER(TRIM($T386))&lt;&gt;"n/a",COUNTIFS($B$2:$B$532,"Yes",$A$2:$A$532,"Neuron",$T$2:$T$532,$T386)&gt;1),
AND($W386&lt;&gt;"",LOWER(TRIM($W386))&lt;&gt;"n/a",COUNTIFS($B$2:$B$532,"Yes",$A$2:$A$532,"Neuron",$W$2:$W$532,$W386)&gt;1)
),"Yes","No"),
IF($A386="Cybernet",
IF(OR(
AND($Y386&lt;&gt;"",LOWER(TRIM($Y386))&lt;&gt;"n/a",COUNTIFS($B$2:$B$532,"Yes",$A$2:$A$532,"Cybernet",$Y$2:$Y$532,$Y386)&gt;1),
AND($Z386&lt;&gt;"",LOWER(TRIM($Z386))&lt;&gt;"n/a",COUNTIFS($B$2:$B$532,"Yes",$A$2:$A$532,"Cybernet",$Z$2:$Z$532,$Z386)&gt;1)
),"Yes","No"),
IF(AND($AL386&lt;&gt;"",LOWER(TRIM($AL386))&lt;&gt;"n/a"),
IF(COUNTIFS($B$2:$B$532,"Yes",$A$2:$A$532,$A386,$AL$2:$AL$532,$AL386)&gt;1,"Yes","No"),
"No")
)
)
)</f>
      </c>
      <c r="BL386">
        <f>IF($T386="","",IF((IF(AND($AW386&lt;&gt;"Yes",$AW386&lt;&gt;"N/A"),"Power Cable, ","")&amp;IF(AND($AX386&lt;&gt;"Yes",$AX386&lt;&gt;"N/A"),"Battery, ","")&amp;IF(AND($BE386&lt;&gt;"Yes",$BE386&lt;&gt;"N/A"),"Firmware Download, ","")&amp;IF(AND(OR($BE386="Yes",$BE386="N/A"),$BF386&lt;&gt;"Yes",$BF386&lt;&gt;"N/A"),"Firmware Install, ","")&amp;IF(AND($BJ386&lt;&gt;"Yes",$BJ386&lt;&gt;"N/A"),"Device ID, ","")&amp;IF(AND($BK386&lt;&gt;"Yes",$BK386&lt;&gt;"N/A"),"Epic Beans Relay, ",""))="","",LEFT(IF(AND($AW386&lt;&gt;"Yes",$AW386&lt;&gt;"N/A"),"Power Cable, ","")&amp;IF(AND($AX386&lt;&gt;"Yes",$AX386&lt;&gt;"N/A"),"Battery, ","")&amp;IF(AND($BE386&lt;&gt;"Yes",$BE386&lt;&gt;"N/A"),"Firmware Download, ","")&amp;IF(AND(OR($BE386="Yes",$BE386="N/A"),$BF386&lt;&gt;"Yes",$BF386&lt;&gt;"N/A"),"Firmware Install, ","")&amp;IF(AND($BJ386&lt;&gt;"Yes",$BJ386&lt;&gt;"N/A"),"Device ID, ","")&amp;IF(AND($BK386&lt;&gt;"Yes",$BK386&lt;&gt;"N/A"),"Epic Beans Relay, ",""),LEN(IF(AND($AW386&lt;&gt;"Yes",$AW386&lt;&gt;"N/A"),"Power Cable, ","")&amp;IF(AND($AX386&lt;&gt;"Yes",$AX386&lt;&gt;"N/A"),"Battery, ","")&amp;IF(AND($BE386&lt;&gt;"Yes",$BE386&lt;&gt;"N/A"),"Firmware Download, ","")&amp;IF(AND(OR($BE386="Yes",$BE386="N/A"),$BF386&lt;&gt;"Yes",$BF386&lt;&gt;"N/A"),"Firmware Install, ","")&amp;IF(AND($BJ386&lt;&gt;"Yes",$BJ386&lt;&gt;"N/A"),"Device ID, ","")&amp;IF(AND($BK386&lt;&gt;"Yes",$BK386&lt;&gt;"N/A"),"Epic Beans Relay, ",""))-2)))</f>
      </c>
      <c r="BM386">
        <f>IF($T386="","",IF($BL386="","Yes","Blocked"))</f>
      </c>
      <c r="BP386">
        <f>IF($BO386="","",IFERROR(VLOOKUP($BO386,'01_Warehouse_Ledger'!$A:$N,4,FALSE),""))</f>
      </c>
      <c r="BQ386">
        <f>IF($BO386="","",IFERROR(VLOOKUP($BO386,'01_Warehouse_Ledger'!$A:$N,5,FALSE),""))</f>
      </c>
      <c r="BR386">
        <f>IF($BO386="","",IFERROR(VLOOKUP($BO386,'01_Warehouse_Ledger'!$A:$N,13,FALSE),""))</f>
      </c>
    </row>
    <row r="387">
      <c r="D387">
        <f>IF($B387&lt;&gt;"Yes","",IF($C387="No","Yes",IF($C387="Yes","No","")))</f>
      </c>
      <c r="E387">
        <f>IF($A387="","",IF($A387="Neuron",IF(OR(AND($S387&lt;&gt;"",LOWER(TRIM($S387))&lt;&gt;"n/a",COUNTIF($S$2:$S$532,$S387)&gt;1),AND($T387&lt;&gt;"",LOWER(TRIM($T387))&lt;&gt;"n/a",COUNTIF($T$2:$T$532,$T387)&gt;1),AND($W387&lt;&gt;"",LOWER(TRIM($W387))&lt;&gt;"n/a",COUNTIF($W$2:$W$532,$W387)&gt;1)),"Yes","No"),IF($A387="Cybernet",IF(OR(AND($Y387&lt;&gt;"",LOWER(TRIM($Y387))&lt;&gt;"n/a",COUNTIF($Y$2:$Y$532,$Y387)&gt;1),AND($Z387&lt;&gt;"",LOWER(TRIM($Z387))&lt;&gt;"n/a",COUNTIF($Z$2:$Z$532,$Z387)&gt;1)),"Yes","No"),IF(AND($AL387&lt;&gt;"",LOWER(TRIM($AL387))&lt;&gt;"n/a",COUNTIF($AL$2:$AL$532,$AL387)&gt;1),"Yes","No"))))</f>
      </c>
      <c r="F387">
        <f>IF($B387&lt;&gt;"Yes","",
IF($A387="Neuron",
IF(OR(
AND($S387&lt;&gt;"",LOWER(TRIM($S387))&lt;&gt;"n/a",COUNTIFS($B$2:$B$532,"Yes",$A$2:$A$532,"Neuron",$S$2:$S$532,$S387)&gt;1),
AND($T387&lt;&gt;"",LOWER(TRIM($T387))&lt;&gt;"n/a",COUNTIFS($B$2:$B$532,"Yes",$A$2:$A$532,"Neuron",$T$2:$T$532,$T387)&gt;1),
AND($W387&lt;&gt;"",LOWER(TRIM($W387))&lt;&gt;"n/a",COUNTIFS($B$2:$B$532,"Yes",$A$2:$A$532,"Neuron",$W$2:$W$532,$W387)&gt;1)
),"Yes","No"),
IF($A387="Cybernet",
IF(OR(
AND($Y387&lt;&gt;"",LOWER(TRIM($Y387))&lt;&gt;"n/a",COUNTIFS($B$2:$B$532,"Yes",$A$2:$A$532,"Cybernet",$Y$2:$Y$532,$Y387)&gt;1),
AND($Z387&lt;&gt;"",LOWER(TRIM($Z387))&lt;&gt;"n/a",COUNTIFS($B$2:$B$532,"Yes",$A$2:$A$532,"Cybernet",$Z$2:$Z$532,$Z387)&gt;1)
),"Yes","No"),
IF(AND($AL387&lt;&gt;"",LOWER(TRIM($AL387))&lt;&gt;"n/a"),
IF(COUNTIFS($B$2:$B$532,"Yes",$A$2:$A$532,$A387,$AL$2:$AL$532,$AL387)&gt;1,"Yes","No"),
"No")
)
)
)</f>
      </c>
      <c r="BL387">
        <f>IF($T387="","",IF((IF(AND($AW387&lt;&gt;"Yes",$AW387&lt;&gt;"N/A"),"Power Cable, ","")&amp;IF(AND($AX387&lt;&gt;"Yes",$AX387&lt;&gt;"N/A"),"Battery, ","")&amp;IF(AND($BE387&lt;&gt;"Yes",$BE387&lt;&gt;"N/A"),"Firmware Download, ","")&amp;IF(AND(OR($BE387="Yes",$BE387="N/A"),$BF387&lt;&gt;"Yes",$BF387&lt;&gt;"N/A"),"Firmware Install, ","")&amp;IF(AND($BJ387&lt;&gt;"Yes",$BJ387&lt;&gt;"N/A"),"Device ID, ","")&amp;IF(AND($BK387&lt;&gt;"Yes",$BK387&lt;&gt;"N/A"),"Epic Beans Relay, ",""))="","",LEFT(IF(AND($AW387&lt;&gt;"Yes",$AW387&lt;&gt;"N/A"),"Power Cable, ","")&amp;IF(AND($AX387&lt;&gt;"Yes",$AX387&lt;&gt;"N/A"),"Battery, ","")&amp;IF(AND($BE387&lt;&gt;"Yes",$BE387&lt;&gt;"N/A"),"Firmware Download, ","")&amp;IF(AND(OR($BE387="Yes",$BE387="N/A"),$BF387&lt;&gt;"Yes",$BF387&lt;&gt;"N/A"),"Firmware Install, ","")&amp;IF(AND($BJ387&lt;&gt;"Yes",$BJ387&lt;&gt;"N/A"),"Device ID, ","")&amp;IF(AND($BK387&lt;&gt;"Yes",$BK387&lt;&gt;"N/A"),"Epic Beans Relay, ",""),LEN(IF(AND($AW387&lt;&gt;"Yes",$AW387&lt;&gt;"N/A"),"Power Cable, ","")&amp;IF(AND($AX387&lt;&gt;"Yes",$AX387&lt;&gt;"N/A"),"Battery, ","")&amp;IF(AND($BE387&lt;&gt;"Yes",$BE387&lt;&gt;"N/A"),"Firmware Download, ","")&amp;IF(AND(OR($BE387="Yes",$BE387="N/A"),$BF387&lt;&gt;"Yes",$BF387&lt;&gt;"N/A"),"Firmware Install, ","")&amp;IF(AND($BJ387&lt;&gt;"Yes",$BJ387&lt;&gt;"N/A"),"Device ID, ","")&amp;IF(AND($BK387&lt;&gt;"Yes",$BK387&lt;&gt;"N/A"),"Epic Beans Relay, ",""))-2)))</f>
      </c>
      <c r="BM387">
        <f>IF($T387="","",IF($BL387="","Yes","Blocked"))</f>
      </c>
      <c r="BP387">
        <f>IF($BO387="","",IFERROR(VLOOKUP($BO387,'01_Warehouse_Ledger'!$A:$N,4,FALSE),""))</f>
      </c>
      <c r="BQ387">
        <f>IF($BO387="","",IFERROR(VLOOKUP($BO387,'01_Warehouse_Ledger'!$A:$N,5,FALSE),""))</f>
      </c>
      <c r="BR387">
        <f>IF($BO387="","",IFERROR(VLOOKUP($BO387,'01_Warehouse_Ledger'!$A:$N,13,FALSE),""))</f>
      </c>
    </row>
    <row r="388">
      <c r="D388">
        <f>IF($B388&lt;&gt;"Yes","",IF($C388="No","Yes",IF($C388="Yes","No","")))</f>
      </c>
      <c r="E388">
        <f>IF($A388="","",IF($A388="Neuron",IF(OR(AND($S388&lt;&gt;"",LOWER(TRIM($S388))&lt;&gt;"n/a",COUNTIF($S$2:$S$532,$S388)&gt;1),AND($T388&lt;&gt;"",LOWER(TRIM($T388))&lt;&gt;"n/a",COUNTIF($T$2:$T$532,$T388)&gt;1),AND($W388&lt;&gt;"",LOWER(TRIM($W388))&lt;&gt;"n/a",COUNTIF($W$2:$W$532,$W388)&gt;1)),"Yes","No"),IF($A388="Cybernet",IF(OR(AND($Y388&lt;&gt;"",LOWER(TRIM($Y388))&lt;&gt;"n/a",COUNTIF($Y$2:$Y$532,$Y388)&gt;1),AND($Z388&lt;&gt;"",LOWER(TRIM($Z388))&lt;&gt;"n/a",COUNTIF($Z$2:$Z$532,$Z388)&gt;1)),"Yes","No"),IF(AND($AL388&lt;&gt;"",LOWER(TRIM($AL388))&lt;&gt;"n/a",COUNTIF($AL$2:$AL$532,$AL388)&gt;1),"Yes","No"))))</f>
      </c>
      <c r="F388">
        <f>IF($B388&lt;&gt;"Yes","",
IF($A388="Neuron",
IF(OR(
AND($S388&lt;&gt;"",LOWER(TRIM($S388))&lt;&gt;"n/a",COUNTIFS($B$2:$B$532,"Yes",$A$2:$A$532,"Neuron",$S$2:$S$532,$S388)&gt;1),
AND($T388&lt;&gt;"",LOWER(TRIM($T388))&lt;&gt;"n/a",COUNTIFS($B$2:$B$532,"Yes",$A$2:$A$532,"Neuron",$T$2:$T$532,$T388)&gt;1),
AND($W388&lt;&gt;"",LOWER(TRIM($W388))&lt;&gt;"n/a",COUNTIFS($B$2:$B$532,"Yes",$A$2:$A$532,"Neuron",$W$2:$W$532,$W388)&gt;1)
),"Yes","No"),
IF($A388="Cybernet",
IF(OR(
AND($Y388&lt;&gt;"",LOWER(TRIM($Y388))&lt;&gt;"n/a",COUNTIFS($B$2:$B$532,"Yes",$A$2:$A$532,"Cybernet",$Y$2:$Y$532,$Y388)&gt;1),
AND($Z388&lt;&gt;"",LOWER(TRIM($Z388))&lt;&gt;"n/a",COUNTIFS($B$2:$B$532,"Yes",$A$2:$A$532,"Cybernet",$Z$2:$Z$532,$Z388)&gt;1)
),"Yes","No"),
IF(AND($AL388&lt;&gt;"",LOWER(TRIM($AL388))&lt;&gt;"n/a"),
IF(COUNTIFS($B$2:$B$532,"Yes",$A$2:$A$532,$A388,$AL$2:$AL$532,$AL388)&gt;1,"Yes","No"),
"No")
)
)
)</f>
      </c>
      <c r="BL388">
        <f>IF($T388="","",IF((IF(AND($AW388&lt;&gt;"Yes",$AW388&lt;&gt;"N/A"),"Power Cable, ","")&amp;IF(AND($AX388&lt;&gt;"Yes",$AX388&lt;&gt;"N/A"),"Battery, ","")&amp;IF(AND($BE388&lt;&gt;"Yes",$BE388&lt;&gt;"N/A"),"Firmware Download, ","")&amp;IF(AND(OR($BE388="Yes",$BE388="N/A"),$BF388&lt;&gt;"Yes",$BF388&lt;&gt;"N/A"),"Firmware Install, ","")&amp;IF(AND($BJ388&lt;&gt;"Yes",$BJ388&lt;&gt;"N/A"),"Device ID, ","")&amp;IF(AND($BK388&lt;&gt;"Yes",$BK388&lt;&gt;"N/A"),"Epic Beans Relay, ",""))="","",LEFT(IF(AND($AW388&lt;&gt;"Yes",$AW388&lt;&gt;"N/A"),"Power Cable, ","")&amp;IF(AND($AX388&lt;&gt;"Yes",$AX388&lt;&gt;"N/A"),"Battery, ","")&amp;IF(AND($BE388&lt;&gt;"Yes",$BE388&lt;&gt;"N/A"),"Firmware Download, ","")&amp;IF(AND(OR($BE388="Yes",$BE388="N/A"),$BF388&lt;&gt;"Yes",$BF388&lt;&gt;"N/A"),"Firmware Install, ","")&amp;IF(AND($BJ388&lt;&gt;"Yes",$BJ388&lt;&gt;"N/A"),"Device ID, ","")&amp;IF(AND($BK388&lt;&gt;"Yes",$BK388&lt;&gt;"N/A"),"Epic Beans Relay, ",""),LEN(IF(AND($AW388&lt;&gt;"Yes",$AW388&lt;&gt;"N/A"),"Power Cable, ","")&amp;IF(AND($AX388&lt;&gt;"Yes",$AX388&lt;&gt;"N/A"),"Battery, ","")&amp;IF(AND($BE388&lt;&gt;"Yes",$BE388&lt;&gt;"N/A"),"Firmware Download, ","")&amp;IF(AND(OR($BE388="Yes",$BE388="N/A"),$BF388&lt;&gt;"Yes",$BF388&lt;&gt;"N/A"),"Firmware Install, ","")&amp;IF(AND($BJ388&lt;&gt;"Yes",$BJ388&lt;&gt;"N/A"),"Device ID, ","")&amp;IF(AND($BK388&lt;&gt;"Yes",$BK388&lt;&gt;"N/A"),"Epic Beans Relay, ",""))-2)))</f>
      </c>
      <c r="BM388">
        <f>IF($T388="","",IF($BL388="","Yes","Blocked"))</f>
      </c>
      <c r="BP388">
        <f>IF($BO388="","",IFERROR(VLOOKUP($BO388,'01_Warehouse_Ledger'!$A:$N,4,FALSE),""))</f>
      </c>
      <c r="BQ388">
        <f>IF($BO388="","",IFERROR(VLOOKUP($BO388,'01_Warehouse_Ledger'!$A:$N,5,FALSE),""))</f>
      </c>
      <c r="BR388">
        <f>IF($BO388="","",IFERROR(VLOOKUP($BO388,'01_Warehouse_Ledger'!$A:$N,13,FALSE),""))</f>
      </c>
    </row>
    <row r="389">
      <c r="D389">
        <f>IF($B389&lt;&gt;"Yes","",IF($C389="No","Yes",IF($C389="Yes","No","")))</f>
      </c>
      <c r="E389">
        <f>IF($A389="","",IF($A389="Neuron",IF(OR(AND($S389&lt;&gt;"",LOWER(TRIM($S389))&lt;&gt;"n/a",COUNTIF($S$2:$S$532,$S389)&gt;1),AND($T389&lt;&gt;"",LOWER(TRIM($T389))&lt;&gt;"n/a",COUNTIF($T$2:$T$532,$T389)&gt;1),AND($W389&lt;&gt;"",LOWER(TRIM($W389))&lt;&gt;"n/a",COUNTIF($W$2:$W$532,$W389)&gt;1)),"Yes","No"),IF($A389="Cybernet",IF(OR(AND($Y389&lt;&gt;"",LOWER(TRIM($Y389))&lt;&gt;"n/a",COUNTIF($Y$2:$Y$532,$Y389)&gt;1),AND($Z389&lt;&gt;"",LOWER(TRIM($Z389))&lt;&gt;"n/a",COUNTIF($Z$2:$Z$532,$Z389)&gt;1)),"Yes","No"),IF(AND($AL389&lt;&gt;"",LOWER(TRIM($AL389))&lt;&gt;"n/a",COUNTIF($AL$2:$AL$532,$AL389)&gt;1),"Yes","No"))))</f>
      </c>
      <c r="F389">
        <f>IF($B389&lt;&gt;"Yes","",
IF($A389="Neuron",
IF(OR(
AND($S389&lt;&gt;"",LOWER(TRIM($S389))&lt;&gt;"n/a",COUNTIFS($B$2:$B$532,"Yes",$A$2:$A$532,"Neuron",$S$2:$S$532,$S389)&gt;1),
AND($T389&lt;&gt;"",LOWER(TRIM($T389))&lt;&gt;"n/a",COUNTIFS($B$2:$B$532,"Yes",$A$2:$A$532,"Neuron",$T$2:$T$532,$T389)&gt;1),
AND($W389&lt;&gt;"",LOWER(TRIM($W389))&lt;&gt;"n/a",COUNTIFS($B$2:$B$532,"Yes",$A$2:$A$532,"Neuron",$W$2:$W$532,$W389)&gt;1)
),"Yes","No"),
IF($A389="Cybernet",
IF(OR(
AND($Y389&lt;&gt;"",LOWER(TRIM($Y389))&lt;&gt;"n/a",COUNTIFS($B$2:$B$532,"Yes",$A$2:$A$532,"Cybernet",$Y$2:$Y$532,$Y389)&gt;1),
AND($Z389&lt;&gt;"",LOWER(TRIM($Z389))&lt;&gt;"n/a",COUNTIFS($B$2:$B$532,"Yes",$A$2:$A$532,"Cybernet",$Z$2:$Z$532,$Z389)&gt;1)
),"Yes","No"),
IF(AND($AL389&lt;&gt;"",LOWER(TRIM($AL389))&lt;&gt;"n/a"),
IF(COUNTIFS($B$2:$B$532,"Yes",$A$2:$A$532,$A389,$AL$2:$AL$532,$AL389)&gt;1,"Yes","No"),
"No")
)
)
)</f>
      </c>
      <c r="BL389">
        <f>IF($T389="","",IF((IF(AND($AW389&lt;&gt;"Yes",$AW389&lt;&gt;"N/A"),"Power Cable, ","")&amp;IF(AND($AX389&lt;&gt;"Yes",$AX389&lt;&gt;"N/A"),"Battery, ","")&amp;IF(AND($BE389&lt;&gt;"Yes",$BE389&lt;&gt;"N/A"),"Firmware Download, ","")&amp;IF(AND(OR($BE389="Yes",$BE389="N/A"),$BF389&lt;&gt;"Yes",$BF389&lt;&gt;"N/A"),"Firmware Install, ","")&amp;IF(AND($BJ389&lt;&gt;"Yes",$BJ389&lt;&gt;"N/A"),"Device ID, ","")&amp;IF(AND($BK389&lt;&gt;"Yes",$BK389&lt;&gt;"N/A"),"Epic Beans Relay, ",""))="","",LEFT(IF(AND($AW389&lt;&gt;"Yes",$AW389&lt;&gt;"N/A"),"Power Cable, ","")&amp;IF(AND($AX389&lt;&gt;"Yes",$AX389&lt;&gt;"N/A"),"Battery, ","")&amp;IF(AND($BE389&lt;&gt;"Yes",$BE389&lt;&gt;"N/A"),"Firmware Download, ","")&amp;IF(AND(OR($BE389="Yes",$BE389="N/A"),$BF389&lt;&gt;"Yes",$BF389&lt;&gt;"N/A"),"Firmware Install, ","")&amp;IF(AND($BJ389&lt;&gt;"Yes",$BJ389&lt;&gt;"N/A"),"Device ID, ","")&amp;IF(AND($BK389&lt;&gt;"Yes",$BK389&lt;&gt;"N/A"),"Epic Beans Relay, ",""),LEN(IF(AND($AW389&lt;&gt;"Yes",$AW389&lt;&gt;"N/A"),"Power Cable, ","")&amp;IF(AND($AX389&lt;&gt;"Yes",$AX389&lt;&gt;"N/A"),"Battery, ","")&amp;IF(AND($BE389&lt;&gt;"Yes",$BE389&lt;&gt;"N/A"),"Firmware Download, ","")&amp;IF(AND(OR($BE389="Yes",$BE389="N/A"),$BF389&lt;&gt;"Yes",$BF389&lt;&gt;"N/A"),"Firmware Install, ","")&amp;IF(AND($BJ389&lt;&gt;"Yes",$BJ389&lt;&gt;"N/A"),"Device ID, ","")&amp;IF(AND($BK389&lt;&gt;"Yes",$BK389&lt;&gt;"N/A"),"Epic Beans Relay, ",""))-2)))</f>
      </c>
      <c r="BM389">
        <f>IF($T389="","",IF($BL389="","Yes","Blocked"))</f>
      </c>
      <c r="BP389">
        <f>IF($BO389="","",IFERROR(VLOOKUP($BO389,'01_Warehouse_Ledger'!$A:$N,4,FALSE),""))</f>
      </c>
      <c r="BQ389">
        <f>IF($BO389="","",IFERROR(VLOOKUP($BO389,'01_Warehouse_Ledger'!$A:$N,5,FALSE),""))</f>
      </c>
      <c r="BR389">
        <f>IF($BO389="","",IFERROR(VLOOKUP($BO389,'01_Warehouse_Ledger'!$A:$N,13,FALSE),""))</f>
      </c>
    </row>
    <row r="390">
      <c r="D390">
        <f>IF($B390&lt;&gt;"Yes","",IF($C390="No","Yes",IF($C390="Yes","No","")))</f>
      </c>
      <c r="E390">
        <f>IF($A390="","",IF($A390="Neuron",IF(OR(AND($S390&lt;&gt;"",LOWER(TRIM($S390))&lt;&gt;"n/a",COUNTIF($S$2:$S$532,$S390)&gt;1),AND($T390&lt;&gt;"",LOWER(TRIM($T390))&lt;&gt;"n/a",COUNTIF($T$2:$T$532,$T390)&gt;1),AND($W390&lt;&gt;"",LOWER(TRIM($W390))&lt;&gt;"n/a",COUNTIF($W$2:$W$532,$W390)&gt;1)),"Yes","No"),IF($A390="Cybernet",IF(OR(AND($Y390&lt;&gt;"",LOWER(TRIM($Y390))&lt;&gt;"n/a",COUNTIF($Y$2:$Y$532,$Y390)&gt;1),AND($Z390&lt;&gt;"",LOWER(TRIM($Z390))&lt;&gt;"n/a",COUNTIF($Z$2:$Z$532,$Z390)&gt;1)),"Yes","No"),IF(AND($AL390&lt;&gt;"",LOWER(TRIM($AL390))&lt;&gt;"n/a",COUNTIF($AL$2:$AL$532,$AL390)&gt;1),"Yes","No"))))</f>
      </c>
      <c r="F390">
        <f>IF($B390&lt;&gt;"Yes","",
IF($A390="Neuron",
IF(OR(
AND($S390&lt;&gt;"",LOWER(TRIM($S390))&lt;&gt;"n/a",COUNTIFS($B$2:$B$532,"Yes",$A$2:$A$532,"Neuron",$S$2:$S$532,$S390)&gt;1),
AND($T390&lt;&gt;"",LOWER(TRIM($T390))&lt;&gt;"n/a",COUNTIFS($B$2:$B$532,"Yes",$A$2:$A$532,"Neuron",$T$2:$T$532,$T390)&gt;1),
AND($W390&lt;&gt;"",LOWER(TRIM($W390))&lt;&gt;"n/a",COUNTIFS($B$2:$B$532,"Yes",$A$2:$A$532,"Neuron",$W$2:$W$532,$W390)&gt;1)
),"Yes","No"),
IF($A390="Cybernet",
IF(OR(
AND($Y390&lt;&gt;"",LOWER(TRIM($Y390))&lt;&gt;"n/a",COUNTIFS($B$2:$B$532,"Yes",$A$2:$A$532,"Cybernet",$Y$2:$Y$532,$Y390)&gt;1),
AND($Z390&lt;&gt;"",LOWER(TRIM($Z390))&lt;&gt;"n/a",COUNTIFS($B$2:$B$532,"Yes",$A$2:$A$532,"Cybernet",$Z$2:$Z$532,$Z390)&gt;1)
),"Yes","No"),
IF(AND($AL390&lt;&gt;"",LOWER(TRIM($AL390))&lt;&gt;"n/a"),
IF(COUNTIFS($B$2:$B$532,"Yes",$A$2:$A$532,$A390,$AL$2:$AL$532,$AL390)&gt;1,"Yes","No"),
"No")
)
)
)</f>
      </c>
      <c r="BL390">
        <f>IF($T390="","",IF((IF(AND($AW390&lt;&gt;"Yes",$AW390&lt;&gt;"N/A"),"Power Cable, ","")&amp;IF(AND($AX390&lt;&gt;"Yes",$AX390&lt;&gt;"N/A"),"Battery, ","")&amp;IF(AND($BE390&lt;&gt;"Yes",$BE390&lt;&gt;"N/A"),"Firmware Download, ","")&amp;IF(AND(OR($BE390="Yes",$BE390="N/A"),$BF390&lt;&gt;"Yes",$BF390&lt;&gt;"N/A"),"Firmware Install, ","")&amp;IF(AND($BJ390&lt;&gt;"Yes",$BJ390&lt;&gt;"N/A"),"Device ID, ","")&amp;IF(AND($BK390&lt;&gt;"Yes",$BK390&lt;&gt;"N/A"),"Epic Beans Relay, ",""))="","",LEFT(IF(AND($AW390&lt;&gt;"Yes",$AW390&lt;&gt;"N/A"),"Power Cable, ","")&amp;IF(AND($AX390&lt;&gt;"Yes",$AX390&lt;&gt;"N/A"),"Battery, ","")&amp;IF(AND($BE390&lt;&gt;"Yes",$BE390&lt;&gt;"N/A"),"Firmware Download, ","")&amp;IF(AND(OR($BE390="Yes",$BE390="N/A"),$BF390&lt;&gt;"Yes",$BF390&lt;&gt;"N/A"),"Firmware Install, ","")&amp;IF(AND($BJ390&lt;&gt;"Yes",$BJ390&lt;&gt;"N/A"),"Device ID, ","")&amp;IF(AND($BK390&lt;&gt;"Yes",$BK390&lt;&gt;"N/A"),"Epic Beans Relay, ",""),LEN(IF(AND($AW390&lt;&gt;"Yes",$AW390&lt;&gt;"N/A"),"Power Cable, ","")&amp;IF(AND($AX390&lt;&gt;"Yes",$AX390&lt;&gt;"N/A"),"Battery, ","")&amp;IF(AND($BE390&lt;&gt;"Yes",$BE390&lt;&gt;"N/A"),"Firmware Download, ","")&amp;IF(AND(OR($BE390="Yes",$BE390="N/A"),$BF390&lt;&gt;"Yes",$BF390&lt;&gt;"N/A"),"Firmware Install, ","")&amp;IF(AND($BJ390&lt;&gt;"Yes",$BJ390&lt;&gt;"N/A"),"Device ID, ","")&amp;IF(AND($BK390&lt;&gt;"Yes",$BK390&lt;&gt;"N/A"),"Epic Beans Relay, ",""))-2)))</f>
      </c>
      <c r="BM390">
        <f>IF($T390="","",IF($BL390="","Yes","Blocked"))</f>
      </c>
      <c r="BP390">
        <f>IF($BO390="","",IFERROR(VLOOKUP($BO390,'01_Warehouse_Ledger'!$A:$N,4,FALSE),""))</f>
      </c>
      <c r="BQ390">
        <f>IF($BO390="","",IFERROR(VLOOKUP($BO390,'01_Warehouse_Ledger'!$A:$N,5,FALSE),""))</f>
      </c>
      <c r="BR390">
        <f>IF($BO390="","",IFERROR(VLOOKUP($BO390,'01_Warehouse_Ledger'!$A:$N,13,FALSE),""))</f>
      </c>
    </row>
    <row r="391">
      <c r="D391">
        <f>IF($B391&lt;&gt;"Yes","",IF($C391="No","Yes",IF($C391="Yes","No","")))</f>
      </c>
      <c r="E391">
        <f>IF($A391="","",IF($A391="Neuron",IF(OR(AND($S391&lt;&gt;"",LOWER(TRIM($S391))&lt;&gt;"n/a",COUNTIF($S$2:$S$532,$S391)&gt;1),AND($T391&lt;&gt;"",LOWER(TRIM($T391))&lt;&gt;"n/a",COUNTIF($T$2:$T$532,$T391)&gt;1),AND($W391&lt;&gt;"",LOWER(TRIM($W391))&lt;&gt;"n/a",COUNTIF($W$2:$W$532,$W391)&gt;1)),"Yes","No"),IF($A391="Cybernet",IF(OR(AND($Y391&lt;&gt;"",LOWER(TRIM($Y391))&lt;&gt;"n/a",COUNTIF($Y$2:$Y$532,$Y391)&gt;1),AND($Z391&lt;&gt;"",LOWER(TRIM($Z391))&lt;&gt;"n/a",COUNTIF($Z$2:$Z$532,$Z391)&gt;1)),"Yes","No"),IF(AND($AL391&lt;&gt;"",LOWER(TRIM($AL391))&lt;&gt;"n/a",COUNTIF($AL$2:$AL$532,$AL391)&gt;1),"Yes","No"))))</f>
      </c>
      <c r="F391">
        <f>IF($B391&lt;&gt;"Yes","",
IF($A391="Neuron",
IF(OR(
AND($S391&lt;&gt;"",LOWER(TRIM($S391))&lt;&gt;"n/a",COUNTIFS($B$2:$B$532,"Yes",$A$2:$A$532,"Neuron",$S$2:$S$532,$S391)&gt;1),
AND($T391&lt;&gt;"",LOWER(TRIM($T391))&lt;&gt;"n/a",COUNTIFS($B$2:$B$532,"Yes",$A$2:$A$532,"Neuron",$T$2:$T$532,$T391)&gt;1),
AND($W391&lt;&gt;"",LOWER(TRIM($W391))&lt;&gt;"n/a",COUNTIFS($B$2:$B$532,"Yes",$A$2:$A$532,"Neuron",$W$2:$W$532,$W391)&gt;1)
),"Yes","No"),
IF($A391="Cybernet",
IF(OR(
AND($Y391&lt;&gt;"",LOWER(TRIM($Y391))&lt;&gt;"n/a",COUNTIFS($B$2:$B$532,"Yes",$A$2:$A$532,"Cybernet",$Y$2:$Y$532,$Y391)&gt;1),
AND($Z391&lt;&gt;"",LOWER(TRIM($Z391))&lt;&gt;"n/a",COUNTIFS($B$2:$B$532,"Yes",$A$2:$A$532,"Cybernet",$Z$2:$Z$532,$Z391)&gt;1)
),"Yes","No"),
IF(AND($AL391&lt;&gt;"",LOWER(TRIM($AL391))&lt;&gt;"n/a"),
IF(COUNTIFS($B$2:$B$532,"Yes",$A$2:$A$532,$A391,$AL$2:$AL$532,$AL391)&gt;1,"Yes","No"),
"No")
)
)
)</f>
      </c>
      <c r="BL391">
        <f>IF($T391="","",IF((IF(AND($AW391&lt;&gt;"Yes",$AW391&lt;&gt;"N/A"),"Power Cable, ","")&amp;IF(AND($AX391&lt;&gt;"Yes",$AX391&lt;&gt;"N/A"),"Battery, ","")&amp;IF(AND($BE391&lt;&gt;"Yes",$BE391&lt;&gt;"N/A"),"Firmware Download, ","")&amp;IF(AND(OR($BE391="Yes",$BE391="N/A"),$BF391&lt;&gt;"Yes",$BF391&lt;&gt;"N/A"),"Firmware Install, ","")&amp;IF(AND($BJ391&lt;&gt;"Yes",$BJ391&lt;&gt;"N/A"),"Device ID, ","")&amp;IF(AND($BK391&lt;&gt;"Yes",$BK391&lt;&gt;"N/A"),"Epic Beans Relay, ",""))="","",LEFT(IF(AND($AW391&lt;&gt;"Yes",$AW391&lt;&gt;"N/A"),"Power Cable, ","")&amp;IF(AND($AX391&lt;&gt;"Yes",$AX391&lt;&gt;"N/A"),"Battery, ","")&amp;IF(AND($BE391&lt;&gt;"Yes",$BE391&lt;&gt;"N/A"),"Firmware Download, ","")&amp;IF(AND(OR($BE391="Yes",$BE391="N/A"),$BF391&lt;&gt;"Yes",$BF391&lt;&gt;"N/A"),"Firmware Install, ","")&amp;IF(AND($BJ391&lt;&gt;"Yes",$BJ391&lt;&gt;"N/A"),"Device ID, ","")&amp;IF(AND($BK391&lt;&gt;"Yes",$BK391&lt;&gt;"N/A"),"Epic Beans Relay, ",""),LEN(IF(AND($AW391&lt;&gt;"Yes",$AW391&lt;&gt;"N/A"),"Power Cable, ","")&amp;IF(AND($AX391&lt;&gt;"Yes",$AX391&lt;&gt;"N/A"),"Battery, ","")&amp;IF(AND($BE391&lt;&gt;"Yes",$BE391&lt;&gt;"N/A"),"Firmware Download, ","")&amp;IF(AND(OR($BE391="Yes",$BE391="N/A"),$BF391&lt;&gt;"Yes",$BF391&lt;&gt;"N/A"),"Firmware Install, ","")&amp;IF(AND($BJ391&lt;&gt;"Yes",$BJ391&lt;&gt;"N/A"),"Device ID, ","")&amp;IF(AND($BK391&lt;&gt;"Yes",$BK391&lt;&gt;"N/A"),"Epic Beans Relay, ",""))-2)))</f>
      </c>
      <c r="BM391">
        <f>IF($T391="","",IF($BL391="","Yes","Blocked"))</f>
      </c>
      <c r="BP391">
        <f>IF($BO391="","",IFERROR(VLOOKUP($BO391,'01_Warehouse_Ledger'!$A:$N,4,FALSE),""))</f>
      </c>
      <c r="BQ391">
        <f>IF($BO391="","",IFERROR(VLOOKUP($BO391,'01_Warehouse_Ledger'!$A:$N,5,FALSE),""))</f>
      </c>
      <c r="BR391">
        <f>IF($BO391="","",IFERROR(VLOOKUP($BO391,'01_Warehouse_Ledger'!$A:$N,13,FALSE),""))</f>
      </c>
    </row>
    <row r="392">
      <c r="D392">
        <f>IF($B392&lt;&gt;"Yes","",IF($C392="No","Yes",IF($C392="Yes","No","")))</f>
      </c>
      <c r="E392">
        <f>IF($A392="","",IF($A392="Neuron",IF(OR(AND($S392&lt;&gt;"",LOWER(TRIM($S392))&lt;&gt;"n/a",COUNTIF($S$2:$S$532,$S392)&gt;1),AND($T392&lt;&gt;"",LOWER(TRIM($T392))&lt;&gt;"n/a",COUNTIF($T$2:$T$532,$T392)&gt;1),AND($W392&lt;&gt;"",LOWER(TRIM($W392))&lt;&gt;"n/a",COUNTIF($W$2:$W$532,$W392)&gt;1)),"Yes","No"),IF($A392="Cybernet",IF(OR(AND($Y392&lt;&gt;"",LOWER(TRIM($Y392))&lt;&gt;"n/a",COUNTIF($Y$2:$Y$532,$Y392)&gt;1),AND($Z392&lt;&gt;"",LOWER(TRIM($Z392))&lt;&gt;"n/a",COUNTIF($Z$2:$Z$532,$Z392)&gt;1)),"Yes","No"),IF(AND($AL392&lt;&gt;"",LOWER(TRIM($AL392))&lt;&gt;"n/a",COUNTIF($AL$2:$AL$532,$AL392)&gt;1),"Yes","No"))))</f>
      </c>
      <c r="F392">
        <f>IF($B392&lt;&gt;"Yes","",
IF($A392="Neuron",
IF(OR(
AND($S392&lt;&gt;"",LOWER(TRIM($S392))&lt;&gt;"n/a",COUNTIFS($B$2:$B$532,"Yes",$A$2:$A$532,"Neuron",$S$2:$S$532,$S392)&gt;1),
AND($T392&lt;&gt;"",LOWER(TRIM($T392))&lt;&gt;"n/a",COUNTIFS($B$2:$B$532,"Yes",$A$2:$A$532,"Neuron",$T$2:$T$532,$T392)&gt;1),
AND($W392&lt;&gt;"",LOWER(TRIM($W392))&lt;&gt;"n/a",COUNTIFS($B$2:$B$532,"Yes",$A$2:$A$532,"Neuron",$W$2:$W$532,$W392)&gt;1)
),"Yes","No"),
IF($A392="Cybernet",
IF(OR(
AND($Y392&lt;&gt;"",LOWER(TRIM($Y392))&lt;&gt;"n/a",COUNTIFS($B$2:$B$532,"Yes",$A$2:$A$532,"Cybernet",$Y$2:$Y$532,$Y392)&gt;1),
AND($Z392&lt;&gt;"",LOWER(TRIM($Z392))&lt;&gt;"n/a",COUNTIFS($B$2:$B$532,"Yes",$A$2:$A$532,"Cybernet",$Z$2:$Z$532,$Z392)&gt;1)
),"Yes","No"),
IF(AND($AL392&lt;&gt;"",LOWER(TRIM($AL392))&lt;&gt;"n/a"),
IF(COUNTIFS($B$2:$B$532,"Yes",$A$2:$A$532,$A392,$AL$2:$AL$532,$AL392)&gt;1,"Yes","No"),
"No")
)
)
)</f>
      </c>
      <c r="BL392">
        <f>IF($T392="","",IF((IF(AND($AW392&lt;&gt;"Yes",$AW392&lt;&gt;"N/A"),"Power Cable, ","")&amp;IF(AND($AX392&lt;&gt;"Yes",$AX392&lt;&gt;"N/A"),"Battery, ","")&amp;IF(AND($BE392&lt;&gt;"Yes",$BE392&lt;&gt;"N/A"),"Firmware Download, ","")&amp;IF(AND(OR($BE392="Yes",$BE392="N/A"),$BF392&lt;&gt;"Yes",$BF392&lt;&gt;"N/A"),"Firmware Install, ","")&amp;IF(AND($BJ392&lt;&gt;"Yes",$BJ392&lt;&gt;"N/A"),"Device ID, ","")&amp;IF(AND($BK392&lt;&gt;"Yes",$BK392&lt;&gt;"N/A"),"Epic Beans Relay, ",""))="","",LEFT(IF(AND($AW392&lt;&gt;"Yes",$AW392&lt;&gt;"N/A"),"Power Cable, ","")&amp;IF(AND($AX392&lt;&gt;"Yes",$AX392&lt;&gt;"N/A"),"Battery, ","")&amp;IF(AND($BE392&lt;&gt;"Yes",$BE392&lt;&gt;"N/A"),"Firmware Download, ","")&amp;IF(AND(OR($BE392="Yes",$BE392="N/A"),$BF392&lt;&gt;"Yes",$BF392&lt;&gt;"N/A"),"Firmware Install, ","")&amp;IF(AND($BJ392&lt;&gt;"Yes",$BJ392&lt;&gt;"N/A"),"Device ID, ","")&amp;IF(AND($BK392&lt;&gt;"Yes",$BK392&lt;&gt;"N/A"),"Epic Beans Relay, ",""),LEN(IF(AND($AW392&lt;&gt;"Yes",$AW392&lt;&gt;"N/A"),"Power Cable, ","")&amp;IF(AND($AX392&lt;&gt;"Yes",$AX392&lt;&gt;"N/A"),"Battery, ","")&amp;IF(AND($BE392&lt;&gt;"Yes",$BE392&lt;&gt;"N/A"),"Firmware Download, ","")&amp;IF(AND(OR($BE392="Yes",$BE392="N/A"),$BF392&lt;&gt;"Yes",$BF392&lt;&gt;"N/A"),"Firmware Install, ","")&amp;IF(AND($BJ392&lt;&gt;"Yes",$BJ392&lt;&gt;"N/A"),"Device ID, ","")&amp;IF(AND($BK392&lt;&gt;"Yes",$BK392&lt;&gt;"N/A"),"Epic Beans Relay, ",""))-2)))</f>
      </c>
      <c r="BM392">
        <f>IF($T392="","",IF($BL392="","Yes","Blocked"))</f>
      </c>
      <c r="BP392">
        <f>IF($BO392="","",IFERROR(VLOOKUP($BO392,'01_Warehouse_Ledger'!$A:$N,4,FALSE),""))</f>
      </c>
      <c r="BQ392">
        <f>IF($BO392="","",IFERROR(VLOOKUP($BO392,'01_Warehouse_Ledger'!$A:$N,5,FALSE),""))</f>
      </c>
      <c r="BR392">
        <f>IF($BO392="","",IFERROR(VLOOKUP($BO392,'01_Warehouse_Ledger'!$A:$N,13,FALSE),""))</f>
      </c>
    </row>
    <row r="393">
      <c r="D393">
        <f>IF($B393&lt;&gt;"Yes","",IF($C393="No","Yes",IF($C393="Yes","No","")))</f>
      </c>
      <c r="E393">
        <f>IF($A393="","",IF($A393="Neuron",IF(OR(AND($S393&lt;&gt;"",LOWER(TRIM($S393))&lt;&gt;"n/a",COUNTIF($S$2:$S$532,$S393)&gt;1),AND($T393&lt;&gt;"",LOWER(TRIM($T393))&lt;&gt;"n/a",COUNTIF($T$2:$T$532,$T393)&gt;1),AND($W393&lt;&gt;"",LOWER(TRIM($W393))&lt;&gt;"n/a",COUNTIF($W$2:$W$532,$W393)&gt;1)),"Yes","No"),IF($A393="Cybernet",IF(OR(AND($Y393&lt;&gt;"",LOWER(TRIM($Y393))&lt;&gt;"n/a",COUNTIF($Y$2:$Y$532,$Y393)&gt;1),AND($Z393&lt;&gt;"",LOWER(TRIM($Z393))&lt;&gt;"n/a",COUNTIF($Z$2:$Z$532,$Z393)&gt;1)),"Yes","No"),IF(AND($AL393&lt;&gt;"",LOWER(TRIM($AL393))&lt;&gt;"n/a",COUNTIF($AL$2:$AL$532,$AL393)&gt;1),"Yes","No"))))</f>
      </c>
      <c r="F393">
        <f>IF($B393&lt;&gt;"Yes","",
IF($A393="Neuron",
IF(OR(
AND($S393&lt;&gt;"",LOWER(TRIM($S393))&lt;&gt;"n/a",COUNTIFS($B$2:$B$532,"Yes",$A$2:$A$532,"Neuron",$S$2:$S$532,$S393)&gt;1),
AND($T393&lt;&gt;"",LOWER(TRIM($T393))&lt;&gt;"n/a",COUNTIFS($B$2:$B$532,"Yes",$A$2:$A$532,"Neuron",$T$2:$T$532,$T393)&gt;1),
AND($W393&lt;&gt;"",LOWER(TRIM($W393))&lt;&gt;"n/a",COUNTIFS($B$2:$B$532,"Yes",$A$2:$A$532,"Neuron",$W$2:$W$532,$W393)&gt;1)
),"Yes","No"),
IF($A393="Cybernet",
IF(OR(
AND($Y393&lt;&gt;"",LOWER(TRIM($Y393))&lt;&gt;"n/a",COUNTIFS($B$2:$B$532,"Yes",$A$2:$A$532,"Cybernet",$Y$2:$Y$532,$Y393)&gt;1),
AND($Z393&lt;&gt;"",LOWER(TRIM($Z393))&lt;&gt;"n/a",COUNTIFS($B$2:$B$532,"Yes",$A$2:$A$532,"Cybernet",$Z$2:$Z$532,$Z393)&gt;1)
),"Yes","No"),
IF(AND($AL393&lt;&gt;"",LOWER(TRIM($AL393))&lt;&gt;"n/a"),
IF(COUNTIFS($B$2:$B$532,"Yes",$A$2:$A$532,$A393,$AL$2:$AL$532,$AL393)&gt;1,"Yes","No"),
"No")
)
)
)</f>
      </c>
      <c r="BL393">
        <f>IF($T393="","",IF((IF(AND($AW393&lt;&gt;"Yes",$AW393&lt;&gt;"N/A"),"Power Cable, ","")&amp;IF(AND($AX393&lt;&gt;"Yes",$AX393&lt;&gt;"N/A"),"Battery, ","")&amp;IF(AND($BE393&lt;&gt;"Yes",$BE393&lt;&gt;"N/A"),"Firmware Download, ","")&amp;IF(AND(OR($BE393="Yes",$BE393="N/A"),$BF393&lt;&gt;"Yes",$BF393&lt;&gt;"N/A"),"Firmware Install, ","")&amp;IF(AND($BJ393&lt;&gt;"Yes",$BJ393&lt;&gt;"N/A"),"Device ID, ","")&amp;IF(AND($BK393&lt;&gt;"Yes",$BK393&lt;&gt;"N/A"),"Epic Beans Relay, ",""))="","",LEFT(IF(AND($AW393&lt;&gt;"Yes",$AW393&lt;&gt;"N/A"),"Power Cable, ","")&amp;IF(AND($AX393&lt;&gt;"Yes",$AX393&lt;&gt;"N/A"),"Battery, ","")&amp;IF(AND($BE393&lt;&gt;"Yes",$BE393&lt;&gt;"N/A"),"Firmware Download, ","")&amp;IF(AND(OR($BE393="Yes",$BE393="N/A"),$BF393&lt;&gt;"Yes",$BF393&lt;&gt;"N/A"),"Firmware Install, ","")&amp;IF(AND($BJ393&lt;&gt;"Yes",$BJ393&lt;&gt;"N/A"),"Device ID, ","")&amp;IF(AND($BK393&lt;&gt;"Yes",$BK393&lt;&gt;"N/A"),"Epic Beans Relay, ",""),LEN(IF(AND($AW393&lt;&gt;"Yes",$AW393&lt;&gt;"N/A"),"Power Cable, ","")&amp;IF(AND($AX393&lt;&gt;"Yes",$AX393&lt;&gt;"N/A"),"Battery, ","")&amp;IF(AND($BE393&lt;&gt;"Yes",$BE393&lt;&gt;"N/A"),"Firmware Download, ","")&amp;IF(AND(OR($BE393="Yes",$BE393="N/A"),$BF393&lt;&gt;"Yes",$BF393&lt;&gt;"N/A"),"Firmware Install, ","")&amp;IF(AND($BJ393&lt;&gt;"Yes",$BJ393&lt;&gt;"N/A"),"Device ID, ","")&amp;IF(AND($BK393&lt;&gt;"Yes",$BK393&lt;&gt;"N/A"),"Epic Beans Relay, ",""))-2)))</f>
      </c>
      <c r="BM393">
        <f>IF($T393="","",IF($BL393="","Yes","Blocked"))</f>
      </c>
      <c r="BP393">
        <f>IF($BO393="","",IFERROR(VLOOKUP($BO393,'01_Warehouse_Ledger'!$A:$N,4,FALSE),""))</f>
      </c>
      <c r="BQ393">
        <f>IF($BO393="","",IFERROR(VLOOKUP($BO393,'01_Warehouse_Ledger'!$A:$N,5,FALSE),""))</f>
      </c>
      <c r="BR393">
        <f>IF($BO393="","",IFERROR(VLOOKUP($BO393,'01_Warehouse_Ledger'!$A:$N,13,FALSE),""))</f>
      </c>
    </row>
    <row r="394">
      <c r="D394">
        <f>IF($B394&lt;&gt;"Yes","",IF($C394="No","Yes",IF($C394="Yes","No","")))</f>
      </c>
      <c r="E394">
        <f>IF($A394="","",IF($A394="Neuron",IF(OR(AND($S394&lt;&gt;"",LOWER(TRIM($S394))&lt;&gt;"n/a",COUNTIF($S$2:$S$532,$S394)&gt;1),AND($T394&lt;&gt;"",LOWER(TRIM($T394))&lt;&gt;"n/a",COUNTIF($T$2:$T$532,$T394)&gt;1),AND($W394&lt;&gt;"",LOWER(TRIM($W394))&lt;&gt;"n/a",COUNTIF($W$2:$W$532,$W394)&gt;1)),"Yes","No"),IF($A394="Cybernet",IF(OR(AND($Y394&lt;&gt;"",LOWER(TRIM($Y394))&lt;&gt;"n/a",COUNTIF($Y$2:$Y$532,$Y394)&gt;1),AND($Z394&lt;&gt;"",LOWER(TRIM($Z394))&lt;&gt;"n/a",COUNTIF($Z$2:$Z$532,$Z394)&gt;1)),"Yes","No"),IF(AND($AL394&lt;&gt;"",LOWER(TRIM($AL394))&lt;&gt;"n/a",COUNTIF($AL$2:$AL$532,$AL394)&gt;1),"Yes","No"))))</f>
      </c>
      <c r="F394">
        <f>IF($B394&lt;&gt;"Yes","",
IF($A394="Neuron",
IF(OR(
AND($S394&lt;&gt;"",LOWER(TRIM($S394))&lt;&gt;"n/a",COUNTIFS($B$2:$B$532,"Yes",$A$2:$A$532,"Neuron",$S$2:$S$532,$S394)&gt;1),
AND($T394&lt;&gt;"",LOWER(TRIM($T394))&lt;&gt;"n/a",COUNTIFS($B$2:$B$532,"Yes",$A$2:$A$532,"Neuron",$T$2:$T$532,$T394)&gt;1),
AND($W394&lt;&gt;"",LOWER(TRIM($W394))&lt;&gt;"n/a",COUNTIFS($B$2:$B$532,"Yes",$A$2:$A$532,"Neuron",$W$2:$W$532,$W394)&gt;1)
),"Yes","No"),
IF($A394="Cybernet",
IF(OR(
AND($Y394&lt;&gt;"",LOWER(TRIM($Y394))&lt;&gt;"n/a",COUNTIFS($B$2:$B$532,"Yes",$A$2:$A$532,"Cybernet",$Y$2:$Y$532,$Y394)&gt;1),
AND($Z394&lt;&gt;"",LOWER(TRIM($Z394))&lt;&gt;"n/a",COUNTIFS($B$2:$B$532,"Yes",$A$2:$A$532,"Cybernet",$Z$2:$Z$532,$Z394)&gt;1)
),"Yes","No"),
IF(AND($AL394&lt;&gt;"",LOWER(TRIM($AL394))&lt;&gt;"n/a"),
IF(COUNTIFS($B$2:$B$532,"Yes",$A$2:$A$532,$A394,$AL$2:$AL$532,$AL394)&gt;1,"Yes","No"),
"No")
)
)
)</f>
      </c>
      <c r="BL394">
        <f>IF($T394="","",IF((IF(AND($AW394&lt;&gt;"Yes",$AW394&lt;&gt;"N/A"),"Power Cable, ","")&amp;IF(AND($AX394&lt;&gt;"Yes",$AX394&lt;&gt;"N/A"),"Battery, ","")&amp;IF(AND($BE394&lt;&gt;"Yes",$BE394&lt;&gt;"N/A"),"Firmware Download, ","")&amp;IF(AND(OR($BE394="Yes",$BE394="N/A"),$BF394&lt;&gt;"Yes",$BF394&lt;&gt;"N/A"),"Firmware Install, ","")&amp;IF(AND($BJ394&lt;&gt;"Yes",$BJ394&lt;&gt;"N/A"),"Device ID, ","")&amp;IF(AND($BK394&lt;&gt;"Yes",$BK394&lt;&gt;"N/A"),"Epic Beans Relay, ",""))="","",LEFT(IF(AND($AW394&lt;&gt;"Yes",$AW394&lt;&gt;"N/A"),"Power Cable, ","")&amp;IF(AND($AX394&lt;&gt;"Yes",$AX394&lt;&gt;"N/A"),"Battery, ","")&amp;IF(AND($BE394&lt;&gt;"Yes",$BE394&lt;&gt;"N/A"),"Firmware Download, ","")&amp;IF(AND(OR($BE394="Yes",$BE394="N/A"),$BF394&lt;&gt;"Yes",$BF394&lt;&gt;"N/A"),"Firmware Install, ","")&amp;IF(AND($BJ394&lt;&gt;"Yes",$BJ394&lt;&gt;"N/A"),"Device ID, ","")&amp;IF(AND($BK394&lt;&gt;"Yes",$BK394&lt;&gt;"N/A"),"Epic Beans Relay, ",""),LEN(IF(AND($AW394&lt;&gt;"Yes",$AW394&lt;&gt;"N/A"),"Power Cable, ","")&amp;IF(AND($AX394&lt;&gt;"Yes",$AX394&lt;&gt;"N/A"),"Battery, ","")&amp;IF(AND($BE394&lt;&gt;"Yes",$BE394&lt;&gt;"N/A"),"Firmware Download, ","")&amp;IF(AND(OR($BE394="Yes",$BE394="N/A"),$BF394&lt;&gt;"Yes",$BF394&lt;&gt;"N/A"),"Firmware Install, ","")&amp;IF(AND($BJ394&lt;&gt;"Yes",$BJ394&lt;&gt;"N/A"),"Device ID, ","")&amp;IF(AND($BK394&lt;&gt;"Yes",$BK394&lt;&gt;"N/A"),"Epic Beans Relay, ",""))-2)))</f>
      </c>
      <c r="BM394">
        <f>IF($T394="","",IF($BL394="","Yes","Blocked"))</f>
      </c>
      <c r="BP394">
        <f>IF($BO394="","",IFERROR(VLOOKUP($BO394,'01_Warehouse_Ledger'!$A:$N,4,FALSE),""))</f>
      </c>
      <c r="BQ394">
        <f>IF($BO394="","",IFERROR(VLOOKUP($BO394,'01_Warehouse_Ledger'!$A:$N,5,FALSE),""))</f>
      </c>
      <c r="BR394">
        <f>IF($BO394="","",IFERROR(VLOOKUP($BO394,'01_Warehouse_Ledger'!$A:$N,13,FALSE),""))</f>
      </c>
    </row>
    <row r="395">
      <c r="D395">
        <f>IF($B395&lt;&gt;"Yes","",IF($C395="No","Yes",IF($C395="Yes","No","")))</f>
      </c>
      <c r="E395">
        <f>IF($A395="","",IF($A395="Neuron",IF(OR(AND($S395&lt;&gt;"",LOWER(TRIM($S395))&lt;&gt;"n/a",COUNTIF($S$2:$S$532,$S395)&gt;1),AND($T395&lt;&gt;"",LOWER(TRIM($T395))&lt;&gt;"n/a",COUNTIF($T$2:$T$532,$T395)&gt;1),AND($W395&lt;&gt;"",LOWER(TRIM($W395))&lt;&gt;"n/a",COUNTIF($W$2:$W$532,$W395)&gt;1)),"Yes","No"),IF($A395="Cybernet",IF(OR(AND($Y395&lt;&gt;"",LOWER(TRIM($Y395))&lt;&gt;"n/a",COUNTIF($Y$2:$Y$532,$Y395)&gt;1),AND($Z395&lt;&gt;"",LOWER(TRIM($Z395))&lt;&gt;"n/a",COUNTIF($Z$2:$Z$532,$Z395)&gt;1)),"Yes","No"),IF(AND($AL395&lt;&gt;"",LOWER(TRIM($AL395))&lt;&gt;"n/a",COUNTIF($AL$2:$AL$532,$AL395)&gt;1),"Yes","No"))))</f>
      </c>
      <c r="F395">
        <f>IF($B395&lt;&gt;"Yes","",
IF($A395="Neuron",
IF(OR(
AND($S395&lt;&gt;"",LOWER(TRIM($S395))&lt;&gt;"n/a",COUNTIFS($B$2:$B$532,"Yes",$A$2:$A$532,"Neuron",$S$2:$S$532,$S395)&gt;1),
AND($T395&lt;&gt;"",LOWER(TRIM($T395))&lt;&gt;"n/a",COUNTIFS($B$2:$B$532,"Yes",$A$2:$A$532,"Neuron",$T$2:$T$532,$T395)&gt;1),
AND($W395&lt;&gt;"",LOWER(TRIM($W395))&lt;&gt;"n/a",COUNTIFS($B$2:$B$532,"Yes",$A$2:$A$532,"Neuron",$W$2:$W$532,$W395)&gt;1)
),"Yes","No"),
IF($A395="Cybernet",
IF(OR(
AND($Y395&lt;&gt;"",LOWER(TRIM($Y395))&lt;&gt;"n/a",COUNTIFS($B$2:$B$532,"Yes",$A$2:$A$532,"Cybernet",$Y$2:$Y$532,$Y395)&gt;1),
AND($Z395&lt;&gt;"",LOWER(TRIM($Z395))&lt;&gt;"n/a",COUNTIFS($B$2:$B$532,"Yes",$A$2:$A$532,"Cybernet",$Z$2:$Z$532,$Z395)&gt;1)
),"Yes","No"),
IF(AND($AL395&lt;&gt;"",LOWER(TRIM($AL395))&lt;&gt;"n/a"),
IF(COUNTIFS($B$2:$B$532,"Yes",$A$2:$A$532,$A395,$AL$2:$AL$532,$AL395)&gt;1,"Yes","No"),
"No")
)
)
)</f>
      </c>
      <c r="BL395">
        <f>IF($T395="","",IF((IF(AND($AW395&lt;&gt;"Yes",$AW395&lt;&gt;"N/A"),"Power Cable, ","")&amp;IF(AND($AX395&lt;&gt;"Yes",$AX395&lt;&gt;"N/A"),"Battery, ","")&amp;IF(AND($BE395&lt;&gt;"Yes",$BE395&lt;&gt;"N/A"),"Firmware Download, ","")&amp;IF(AND(OR($BE395="Yes",$BE395="N/A"),$BF395&lt;&gt;"Yes",$BF395&lt;&gt;"N/A"),"Firmware Install, ","")&amp;IF(AND($BJ395&lt;&gt;"Yes",$BJ395&lt;&gt;"N/A"),"Device ID, ","")&amp;IF(AND($BK395&lt;&gt;"Yes",$BK395&lt;&gt;"N/A"),"Epic Beans Relay, ",""))="","",LEFT(IF(AND($AW395&lt;&gt;"Yes",$AW395&lt;&gt;"N/A"),"Power Cable, ","")&amp;IF(AND($AX395&lt;&gt;"Yes",$AX395&lt;&gt;"N/A"),"Battery, ","")&amp;IF(AND($BE395&lt;&gt;"Yes",$BE395&lt;&gt;"N/A"),"Firmware Download, ","")&amp;IF(AND(OR($BE395="Yes",$BE395="N/A"),$BF395&lt;&gt;"Yes",$BF395&lt;&gt;"N/A"),"Firmware Install, ","")&amp;IF(AND($BJ395&lt;&gt;"Yes",$BJ395&lt;&gt;"N/A"),"Device ID, ","")&amp;IF(AND($BK395&lt;&gt;"Yes",$BK395&lt;&gt;"N/A"),"Epic Beans Relay, ",""),LEN(IF(AND($AW395&lt;&gt;"Yes",$AW395&lt;&gt;"N/A"),"Power Cable, ","")&amp;IF(AND($AX395&lt;&gt;"Yes",$AX395&lt;&gt;"N/A"),"Battery, ","")&amp;IF(AND($BE395&lt;&gt;"Yes",$BE395&lt;&gt;"N/A"),"Firmware Download, ","")&amp;IF(AND(OR($BE395="Yes",$BE395="N/A"),$BF395&lt;&gt;"Yes",$BF395&lt;&gt;"N/A"),"Firmware Install, ","")&amp;IF(AND($BJ395&lt;&gt;"Yes",$BJ395&lt;&gt;"N/A"),"Device ID, ","")&amp;IF(AND($BK395&lt;&gt;"Yes",$BK395&lt;&gt;"N/A"),"Epic Beans Relay, ",""))-2)))</f>
      </c>
      <c r="BM395">
        <f>IF($T395="","",IF($BL395="","Yes","Blocked"))</f>
      </c>
      <c r="BP395">
        <f>IF($BO395="","",IFERROR(VLOOKUP($BO395,'01_Warehouse_Ledger'!$A:$N,4,FALSE),""))</f>
      </c>
      <c r="BQ395">
        <f>IF($BO395="","",IFERROR(VLOOKUP($BO395,'01_Warehouse_Ledger'!$A:$N,5,FALSE),""))</f>
      </c>
      <c r="BR395">
        <f>IF($BO395="","",IFERROR(VLOOKUP($BO395,'01_Warehouse_Ledger'!$A:$N,13,FALSE),""))</f>
      </c>
    </row>
    <row r="396">
      <c r="D396">
        <f>IF($B396&lt;&gt;"Yes","",IF($C396="No","Yes",IF($C396="Yes","No","")))</f>
      </c>
      <c r="E396">
        <f>IF($A396="","",IF($A396="Neuron",IF(OR(AND($S396&lt;&gt;"",LOWER(TRIM($S396))&lt;&gt;"n/a",COUNTIF($S$2:$S$532,$S396)&gt;1),AND($T396&lt;&gt;"",LOWER(TRIM($T396))&lt;&gt;"n/a",COUNTIF($T$2:$T$532,$T396)&gt;1),AND($W396&lt;&gt;"",LOWER(TRIM($W396))&lt;&gt;"n/a",COUNTIF($W$2:$W$532,$W396)&gt;1)),"Yes","No"),IF($A396="Cybernet",IF(OR(AND($Y396&lt;&gt;"",LOWER(TRIM($Y396))&lt;&gt;"n/a",COUNTIF($Y$2:$Y$532,$Y396)&gt;1),AND($Z396&lt;&gt;"",LOWER(TRIM($Z396))&lt;&gt;"n/a",COUNTIF($Z$2:$Z$532,$Z396)&gt;1)),"Yes","No"),IF(AND($AL396&lt;&gt;"",LOWER(TRIM($AL396))&lt;&gt;"n/a",COUNTIF($AL$2:$AL$532,$AL396)&gt;1),"Yes","No"))))</f>
      </c>
      <c r="F396">
        <f>IF($B396&lt;&gt;"Yes","",
IF($A396="Neuron",
IF(OR(
AND($S396&lt;&gt;"",LOWER(TRIM($S396))&lt;&gt;"n/a",COUNTIFS($B$2:$B$532,"Yes",$A$2:$A$532,"Neuron",$S$2:$S$532,$S396)&gt;1),
AND($T396&lt;&gt;"",LOWER(TRIM($T396))&lt;&gt;"n/a",COUNTIFS($B$2:$B$532,"Yes",$A$2:$A$532,"Neuron",$T$2:$T$532,$T396)&gt;1),
AND($W396&lt;&gt;"",LOWER(TRIM($W396))&lt;&gt;"n/a",COUNTIFS($B$2:$B$532,"Yes",$A$2:$A$532,"Neuron",$W$2:$W$532,$W396)&gt;1)
),"Yes","No"),
IF($A396="Cybernet",
IF(OR(
AND($Y396&lt;&gt;"",LOWER(TRIM($Y396))&lt;&gt;"n/a",COUNTIFS($B$2:$B$532,"Yes",$A$2:$A$532,"Cybernet",$Y$2:$Y$532,$Y396)&gt;1),
AND($Z396&lt;&gt;"",LOWER(TRIM($Z396))&lt;&gt;"n/a",COUNTIFS($B$2:$B$532,"Yes",$A$2:$A$532,"Cybernet",$Z$2:$Z$532,$Z396)&gt;1)
),"Yes","No"),
IF(AND($AL396&lt;&gt;"",LOWER(TRIM($AL396))&lt;&gt;"n/a"),
IF(COUNTIFS($B$2:$B$532,"Yes",$A$2:$A$532,$A396,$AL$2:$AL$532,$AL396)&gt;1,"Yes","No"),
"No")
)
)
)</f>
      </c>
      <c r="BL396">
        <f>IF($T396="","",IF((IF(AND($AW396&lt;&gt;"Yes",$AW396&lt;&gt;"N/A"),"Power Cable, ","")&amp;IF(AND($AX396&lt;&gt;"Yes",$AX396&lt;&gt;"N/A"),"Battery, ","")&amp;IF(AND($BE396&lt;&gt;"Yes",$BE396&lt;&gt;"N/A"),"Firmware Download, ","")&amp;IF(AND(OR($BE396="Yes",$BE396="N/A"),$BF396&lt;&gt;"Yes",$BF396&lt;&gt;"N/A"),"Firmware Install, ","")&amp;IF(AND($BJ396&lt;&gt;"Yes",$BJ396&lt;&gt;"N/A"),"Device ID, ","")&amp;IF(AND($BK396&lt;&gt;"Yes",$BK396&lt;&gt;"N/A"),"Epic Beans Relay, ",""))="","",LEFT(IF(AND($AW396&lt;&gt;"Yes",$AW396&lt;&gt;"N/A"),"Power Cable, ","")&amp;IF(AND($AX396&lt;&gt;"Yes",$AX396&lt;&gt;"N/A"),"Battery, ","")&amp;IF(AND($BE396&lt;&gt;"Yes",$BE396&lt;&gt;"N/A"),"Firmware Download, ","")&amp;IF(AND(OR($BE396="Yes",$BE396="N/A"),$BF396&lt;&gt;"Yes",$BF396&lt;&gt;"N/A"),"Firmware Install, ","")&amp;IF(AND($BJ396&lt;&gt;"Yes",$BJ396&lt;&gt;"N/A"),"Device ID, ","")&amp;IF(AND($BK396&lt;&gt;"Yes",$BK396&lt;&gt;"N/A"),"Epic Beans Relay, ",""),LEN(IF(AND($AW396&lt;&gt;"Yes",$AW396&lt;&gt;"N/A"),"Power Cable, ","")&amp;IF(AND($AX396&lt;&gt;"Yes",$AX396&lt;&gt;"N/A"),"Battery, ","")&amp;IF(AND($BE396&lt;&gt;"Yes",$BE396&lt;&gt;"N/A"),"Firmware Download, ","")&amp;IF(AND(OR($BE396="Yes",$BE396="N/A"),$BF396&lt;&gt;"Yes",$BF396&lt;&gt;"N/A"),"Firmware Install, ","")&amp;IF(AND($BJ396&lt;&gt;"Yes",$BJ396&lt;&gt;"N/A"),"Device ID, ","")&amp;IF(AND($BK396&lt;&gt;"Yes",$BK396&lt;&gt;"N/A"),"Epic Beans Relay, ",""))-2)))</f>
      </c>
      <c r="BM396">
        <f>IF($T396="","",IF($BL396="","Yes","Blocked"))</f>
      </c>
      <c r="BP396">
        <f>IF($BO396="","",IFERROR(VLOOKUP($BO396,'01_Warehouse_Ledger'!$A:$N,4,FALSE),""))</f>
      </c>
      <c r="BQ396">
        <f>IF($BO396="","",IFERROR(VLOOKUP($BO396,'01_Warehouse_Ledger'!$A:$N,5,FALSE),""))</f>
      </c>
      <c r="BR396">
        <f>IF($BO396="","",IFERROR(VLOOKUP($BO396,'01_Warehouse_Ledger'!$A:$N,13,FALSE),""))</f>
      </c>
    </row>
    <row r="397">
      <c r="D397">
        <f>IF($B397&lt;&gt;"Yes","",IF($C397="No","Yes",IF($C397="Yes","No","")))</f>
      </c>
      <c r="E397">
        <f>IF($A397="","",IF($A397="Neuron",IF(OR(AND($S397&lt;&gt;"",LOWER(TRIM($S397))&lt;&gt;"n/a",COUNTIF($S$2:$S$532,$S397)&gt;1),AND($T397&lt;&gt;"",LOWER(TRIM($T397))&lt;&gt;"n/a",COUNTIF($T$2:$T$532,$T397)&gt;1),AND($W397&lt;&gt;"",LOWER(TRIM($W397))&lt;&gt;"n/a",COUNTIF($W$2:$W$532,$W397)&gt;1)),"Yes","No"),IF($A397="Cybernet",IF(OR(AND($Y397&lt;&gt;"",LOWER(TRIM($Y397))&lt;&gt;"n/a",COUNTIF($Y$2:$Y$532,$Y397)&gt;1),AND($Z397&lt;&gt;"",LOWER(TRIM($Z397))&lt;&gt;"n/a",COUNTIF($Z$2:$Z$532,$Z397)&gt;1)),"Yes","No"),IF(AND($AL397&lt;&gt;"",LOWER(TRIM($AL397))&lt;&gt;"n/a",COUNTIF($AL$2:$AL$532,$AL397)&gt;1),"Yes","No"))))</f>
      </c>
      <c r="F397">
        <f>IF($B397&lt;&gt;"Yes","",
IF($A397="Neuron",
IF(OR(
AND($S397&lt;&gt;"",LOWER(TRIM($S397))&lt;&gt;"n/a",COUNTIFS($B$2:$B$532,"Yes",$A$2:$A$532,"Neuron",$S$2:$S$532,$S397)&gt;1),
AND($T397&lt;&gt;"",LOWER(TRIM($T397))&lt;&gt;"n/a",COUNTIFS($B$2:$B$532,"Yes",$A$2:$A$532,"Neuron",$T$2:$T$532,$T397)&gt;1),
AND($W397&lt;&gt;"",LOWER(TRIM($W397))&lt;&gt;"n/a",COUNTIFS($B$2:$B$532,"Yes",$A$2:$A$532,"Neuron",$W$2:$W$532,$W397)&gt;1)
),"Yes","No"),
IF($A397="Cybernet",
IF(OR(
AND($Y397&lt;&gt;"",LOWER(TRIM($Y397))&lt;&gt;"n/a",COUNTIFS($B$2:$B$532,"Yes",$A$2:$A$532,"Cybernet",$Y$2:$Y$532,$Y397)&gt;1),
AND($Z397&lt;&gt;"",LOWER(TRIM($Z397))&lt;&gt;"n/a",COUNTIFS($B$2:$B$532,"Yes",$A$2:$A$532,"Cybernet",$Z$2:$Z$532,$Z397)&gt;1)
),"Yes","No"),
IF(AND($AL397&lt;&gt;"",LOWER(TRIM($AL397))&lt;&gt;"n/a"),
IF(COUNTIFS($B$2:$B$532,"Yes",$A$2:$A$532,$A397,$AL$2:$AL$532,$AL397)&gt;1,"Yes","No"),
"No")
)
)
)</f>
      </c>
      <c r="BL397">
        <f>IF($T397="","",IF((IF(AND($AW397&lt;&gt;"Yes",$AW397&lt;&gt;"N/A"),"Power Cable, ","")&amp;IF(AND($AX397&lt;&gt;"Yes",$AX397&lt;&gt;"N/A"),"Battery, ","")&amp;IF(AND($BE397&lt;&gt;"Yes",$BE397&lt;&gt;"N/A"),"Firmware Download, ","")&amp;IF(AND(OR($BE397="Yes",$BE397="N/A"),$BF397&lt;&gt;"Yes",$BF397&lt;&gt;"N/A"),"Firmware Install, ","")&amp;IF(AND($BJ397&lt;&gt;"Yes",$BJ397&lt;&gt;"N/A"),"Device ID, ","")&amp;IF(AND($BK397&lt;&gt;"Yes",$BK397&lt;&gt;"N/A"),"Epic Beans Relay, ",""))="","",LEFT(IF(AND($AW397&lt;&gt;"Yes",$AW397&lt;&gt;"N/A"),"Power Cable, ","")&amp;IF(AND($AX397&lt;&gt;"Yes",$AX397&lt;&gt;"N/A"),"Battery, ","")&amp;IF(AND($BE397&lt;&gt;"Yes",$BE397&lt;&gt;"N/A"),"Firmware Download, ","")&amp;IF(AND(OR($BE397="Yes",$BE397="N/A"),$BF397&lt;&gt;"Yes",$BF397&lt;&gt;"N/A"),"Firmware Install, ","")&amp;IF(AND($BJ397&lt;&gt;"Yes",$BJ397&lt;&gt;"N/A"),"Device ID, ","")&amp;IF(AND($BK397&lt;&gt;"Yes",$BK397&lt;&gt;"N/A"),"Epic Beans Relay, ",""),LEN(IF(AND($AW397&lt;&gt;"Yes",$AW397&lt;&gt;"N/A"),"Power Cable, ","")&amp;IF(AND($AX397&lt;&gt;"Yes",$AX397&lt;&gt;"N/A"),"Battery, ","")&amp;IF(AND($BE397&lt;&gt;"Yes",$BE397&lt;&gt;"N/A"),"Firmware Download, ","")&amp;IF(AND(OR($BE397="Yes",$BE397="N/A"),$BF397&lt;&gt;"Yes",$BF397&lt;&gt;"N/A"),"Firmware Install, ","")&amp;IF(AND($BJ397&lt;&gt;"Yes",$BJ397&lt;&gt;"N/A"),"Device ID, ","")&amp;IF(AND($BK397&lt;&gt;"Yes",$BK397&lt;&gt;"N/A"),"Epic Beans Relay, ",""))-2)))</f>
      </c>
      <c r="BM397">
        <f>IF($T397="","",IF($BL397="","Yes","Blocked"))</f>
      </c>
      <c r="BP397">
        <f>IF($BO397="","",IFERROR(VLOOKUP($BO397,'01_Warehouse_Ledger'!$A:$N,4,FALSE),""))</f>
      </c>
      <c r="BQ397">
        <f>IF($BO397="","",IFERROR(VLOOKUP($BO397,'01_Warehouse_Ledger'!$A:$N,5,FALSE),""))</f>
      </c>
      <c r="BR397">
        <f>IF($BO397="","",IFERROR(VLOOKUP($BO397,'01_Warehouse_Ledger'!$A:$N,13,FALSE),""))</f>
      </c>
    </row>
    <row r="398">
      <c r="D398">
        <f>IF($B398&lt;&gt;"Yes","",IF($C398="No","Yes",IF($C398="Yes","No","")))</f>
      </c>
      <c r="E398">
        <f>IF($A398="","",IF($A398="Neuron",IF(OR(AND($S398&lt;&gt;"",LOWER(TRIM($S398))&lt;&gt;"n/a",COUNTIF($S$2:$S$532,$S398)&gt;1),AND($T398&lt;&gt;"",LOWER(TRIM($T398))&lt;&gt;"n/a",COUNTIF($T$2:$T$532,$T398)&gt;1),AND($W398&lt;&gt;"",LOWER(TRIM($W398))&lt;&gt;"n/a",COUNTIF($W$2:$W$532,$W398)&gt;1)),"Yes","No"),IF($A398="Cybernet",IF(OR(AND($Y398&lt;&gt;"",LOWER(TRIM($Y398))&lt;&gt;"n/a",COUNTIF($Y$2:$Y$532,$Y398)&gt;1),AND($Z398&lt;&gt;"",LOWER(TRIM($Z398))&lt;&gt;"n/a",COUNTIF($Z$2:$Z$532,$Z398)&gt;1)),"Yes","No"),IF(AND($AL398&lt;&gt;"",LOWER(TRIM($AL398))&lt;&gt;"n/a",COUNTIF($AL$2:$AL$532,$AL398)&gt;1),"Yes","No"))))</f>
      </c>
      <c r="F398">
        <f>IF($B398&lt;&gt;"Yes","",
IF($A398="Neuron",
IF(OR(
AND($S398&lt;&gt;"",LOWER(TRIM($S398))&lt;&gt;"n/a",COUNTIFS($B$2:$B$532,"Yes",$A$2:$A$532,"Neuron",$S$2:$S$532,$S398)&gt;1),
AND($T398&lt;&gt;"",LOWER(TRIM($T398))&lt;&gt;"n/a",COUNTIFS($B$2:$B$532,"Yes",$A$2:$A$532,"Neuron",$T$2:$T$532,$T398)&gt;1),
AND($W398&lt;&gt;"",LOWER(TRIM($W398))&lt;&gt;"n/a",COUNTIFS($B$2:$B$532,"Yes",$A$2:$A$532,"Neuron",$W$2:$W$532,$W398)&gt;1)
),"Yes","No"),
IF($A398="Cybernet",
IF(OR(
AND($Y398&lt;&gt;"",LOWER(TRIM($Y398))&lt;&gt;"n/a",COUNTIFS($B$2:$B$532,"Yes",$A$2:$A$532,"Cybernet",$Y$2:$Y$532,$Y398)&gt;1),
AND($Z398&lt;&gt;"",LOWER(TRIM($Z398))&lt;&gt;"n/a",COUNTIFS($B$2:$B$532,"Yes",$A$2:$A$532,"Cybernet",$Z$2:$Z$532,$Z398)&gt;1)
),"Yes","No"),
IF(AND($AL398&lt;&gt;"",LOWER(TRIM($AL398))&lt;&gt;"n/a"),
IF(COUNTIFS($B$2:$B$532,"Yes",$A$2:$A$532,$A398,$AL$2:$AL$532,$AL398)&gt;1,"Yes","No"),
"No")
)
)
)</f>
      </c>
      <c r="BL398">
        <f>IF($T398="","",IF((IF(AND($AW398&lt;&gt;"Yes",$AW398&lt;&gt;"N/A"),"Power Cable, ","")&amp;IF(AND($AX398&lt;&gt;"Yes",$AX398&lt;&gt;"N/A"),"Battery, ","")&amp;IF(AND($BE398&lt;&gt;"Yes",$BE398&lt;&gt;"N/A"),"Firmware Download, ","")&amp;IF(AND(OR($BE398="Yes",$BE398="N/A"),$BF398&lt;&gt;"Yes",$BF398&lt;&gt;"N/A"),"Firmware Install, ","")&amp;IF(AND($BJ398&lt;&gt;"Yes",$BJ398&lt;&gt;"N/A"),"Device ID, ","")&amp;IF(AND($BK398&lt;&gt;"Yes",$BK398&lt;&gt;"N/A"),"Epic Beans Relay, ",""))="","",LEFT(IF(AND($AW398&lt;&gt;"Yes",$AW398&lt;&gt;"N/A"),"Power Cable, ","")&amp;IF(AND($AX398&lt;&gt;"Yes",$AX398&lt;&gt;"N/A"),"Battery, ","")&amp;IF(AND($BE398&lt;&gt;"Yes",$BE398&lt;&gt;"N/A"),"Firmware Download, ","")&amp;IF(AND(OR($BE398="Yes",$BE398="N/A"),$BF398&lt;&gt;"Yes",$BF398&lt;&gt;"N/A"),"Firmware Install, ","")&amp;IF(AND($BJ398&lt;&gt;"Yes",$BJ398&lt;&gt;"N/A"),"Device ID, ","")&amp;IF(AND($BK398&lt;&gt;"Yes",$BK398&lt;&gt;"N/A"),"Epic Beans Relay, ",""),LEN(IF(AND($AW398&lt;&gt;"Yes",$AW398&lt;&gt;"N/A"),"Power Cable, ","")&amp;IF(AND($AX398&lt;&gt;"Yes",$AX398&lt;&gt;"N/A"),"Battery, ","")&amp;IF(AND($BE398&lt;&gt;"Yes",$BE398&lt;&gt;"N/A"),"Firmware Download, ","")&amp;IF(AND(OR($BE398="Yes",$BE398="N/A"),$BF398&lt;&gt;"Yes",$BF398&lt;&gt;"N/A"),"Firmware Install, ","")&amp;IF(AND($BJ398&lt;&gt;"Yes",$BJ398&lt;&gt;"N/A"),"Device ID, ","")&amp;IF(AND($BK398&lt;&gt;"Yes",$BK398&lt;&gt;"N/A"),"Epic Beans Relay, ",""))-2)))</f>
      </c>
      <c r="BM398">
        <f>IF($T398="","",IF($BL398="","Yes","Blocked"))</f>
      </c>
      <c r="BP398">
        <f>IF($BO398="","",IFERROR(VLOOKUP($BO398,'01_Warehouse_Ledger'!$A:$N,4,FALSE),""))</f>
      </c>
      <c r="BQ398">
        <f>IF($BO398="","",IFERROR(VLOOKUP($BO398,'01_Warehouse_Ledger'!$A:$N,5,FALSE),""))</f>
      </c>
      <c r="BR398">
        <f>IF($BO398="","",IFERROR(VLOOKUP($BO398,'01_Warehouse_Ledger'!$A:$N,13,FALSE),""))</f>
      </c>
    </row>
    <row r="399">
      <c r="D399">
        <f>IF($B399&lt;&gt;"Yes","",IF($C399="No","Yes",IF($C399="Yes","No","")))</f>
      </c>
      <c r="E399">
        <f>IF($A399="","",IF($A399="Neuron",IF(OR(AND($S399&lt;&gt;"",LOWER(TRIM($S399))&lt;&gt;"n/a",COUNTIF($S$2:$S$532,$S399)&gt;1),AND($T399&lt;&gt;"",LOWER(TRIM($T399))&lt;&gt;"n/a",COUNTIF($T$2:$T$532,$T399)&gt;1),AND($W399&lt;&gt;"",LOWER(TRIM($W399))&lt;&gt;"n/a",COUNTIF($W$2:$W$532,$W399)&gt;1)),"Yes","No"),IF($A399="Cybernet",IF(OR(AND($Y399&lt;&gt;"",LOWER(TRIM($Y399))&lt;&gt;"n/a",COUNTIF($Y$2:$Y$532,$Y399)&gt;1),AND($Z399&lt;&gt;"",LOWER(TRIM($Z399))&lt;&gt;"n/a",COUNTIF($Z$2:$Z$532,$Z399)&gt;1)),"Yes","No"),IF(AND($AL399&lt;&gt;"",LOWER(TRIM($AL399))&lt;&gt;"n/a",COUNTIF($AL$2:$AL$532,$AL399)&gt;1),"Yes","No"))))</f>
      </c>
      <c r="F399">
        <f>IF($B399&lt;&gt;"Yes","",
IF($A399="Neuron",
IF(OR(
AND($S399&lt;&gt;"",LOWER(TRIM($S399))&lt;&gt;"n/a",COUNTIFS($B$2:$B$532,"Yes",$A$2:$A$532,"Neuron",$S$2:$S$532,$S399)&gt;1),
AND($T399&lt;&gt;"",LOWER(TRIM($T399))&lt;&gt;"n/a",COUNTIFS($B$2:$B$532,"Yes",$A$2:$A$532,"Neuron",$T$2:$T$532,$T399)&gt;1),
AND($W399&lt;&gt;"",LOWER(TRIM($W399))&lt;&gt;"n/a",COUNTIFS($B$2:$B$532,"Yes",$A$2:$A$532,"Neuron",$W$2:$W$532,$W399)&gt;1)
),"Yes","No"),
IF($A399="Cybernet",
IF(OR(
AND($Y399&lt;&gt;"",LOWER(TRIM($Y399))&lt;&gt;"n/a",COUNTIFS($B$2:$B$532,"Yes",$A$2:$A$532,"Cybernet",$Y$2:$Y$532,$Y399)&gt;1),
AND($Z399&lt;&gt;"",LOWER(TRIM($Z399))&lt;&gt;"n/a",COUNTIFS($B$2:$B$532,"Yes",$A$2:$A$532,"Cybernet",$Z$2:$Z$532,$Z399)&gt;1)
),"Yes","No"),
IF(AND($AL399&lt;&gt;"",LOWER(TRIM($AL399))&lt;&gt;"n/a"),
IF(COUNTIFS($B$2:$B$532,"Yes",$A$2:$A$532,$A399,$AL$2:$AL$532,$AL399)&gt;1,"Yes","No"),
"No")
)
)
)</f>
      </c>
      <c r="BL399">
        <f>IF($T399="","",IF((IF(AND($AW399&lt;&gt;"Yes",$AW399&lt;&gt;"N/A"),"Power Cable, ","")&amp;IF(AND($AX399&lt;&gt;"Yes",$AX399&lt;&gt;"N/A"),"Battery, ","")&amp;IF(AND($BE399&lt;&gt;"Yes",$BE399&lt;&gt;"N/A"),"Firmware Download, ","")&amp;IF(AND(OR($BE399="Yes",$BE399="N/A"),$BF399&lt;&gt;"Yes",$BF399&lt;&gt;"N/A"),"Firmware Install, ","")&amp;IF(AND($BJ399&lt;&gt;"Yes",$BJ399&lt;&gt;"N/A"),"Device ID, ","")&amp;IF(AND($BK399&lt;&gt;"Yes",$BK399&lt;&gt;"N/A"),"Epic Beans Relay, ",""))="","",LEFT(IF(AND($AW399&lt;&gt;"Yes",$AW399&lt;&gt;"N/A"),"Power Cable, ","")&amp;IF(AND($AX399&lt;&gt;"Yes",$AX399&lt;&gt;"N/A"),"Battery, ","")&amp;IF(AND($BE399&lt;&gt;"Yes",$BE399&lt;&gt;"N/A"),"Firmware Download, ","")&amp;IF(AND(OR($BE399="Yes",$BE399="N/A"),$BF399&lt;&gt;"Yes",$BF399&lt;&gt;"N/A"),"Firmware Install, ","")&amp;IF(AND($BJ399&lt;&gt;"Yes",$BJ399&lt;&gt;"N/A"),"Device ID, ","")&amp;IF(AND($BK399&lt;&gt;"Yes",$BK399&lt;&gt;"N/A"),"Epic Beans Relay, ",""),LEN(IF(AND($AW399&lt;&gt;"Yes",$AW399&lt;&gt;"N/A"),"Power Cable, ","")&amp;IF(AND($AX399&lt;&gt;"Yes",$AX399&lt;&gt;"N/A"),"Battery, ","")&amp;IF(AND($BE399&lt;&gt;"Yes",$BE399&lt;&gt;"N/A"),"Firmware Download, ","")&amp;IF(AND(OR($BE399="Yes",$BE399="N/A"),$BF399&lt;&gt;"Yes",$BF399&lt;&gt;"N/A"),"Firmware Install, ","")&amp;IF(AND($BJ399&lt;&gt;"Yes",$BJ399&lt;&gt;"N/A"),"Device ID, ","")&amp;IF(AND($BK399&lt;&gt;"Yes",$BK399&lt;&gt;"N/A"),"Epic Beans Relay, ",""))-2)))</f>
      </c>
      <c r="BM399">
        <f>IF($T399="","",IF($BL399="","Yes","Blocked"))</f>
      </c>
      <c r="BP399">
        <f>IF($BO399="","",IFERROR(VLOOKUP($BO399,'01_Warehouse_Ledger'!$A:$N,4,FALSE),""))</f>
      </c>
      <c r="BQ399">
        <f>IF($BO399="","",IFERROR(VLOOKUP($BO399,'01_Warehouse_Ledger'!$A:$N,5,FALSE),""))</f>
      </c>
      <c r="BR399">
        <f>IF($BO399="","",IFERROR(VLOOKUP($BO399,'01_Warehouse_Ledger'!$A:$N,13,FALSE),""))</f>
      </c>
    </row>
    <row r="400">
      <c r="D400">
        <f>IF($B400&lt;&gt;"Yes","",IF($C400="No","Yes",IF($C400="Yes","No","")))</f>
      </c>
      <c r="E400">
        <f>IF($A400="","",IF($A400="Neuron",IF(OR(AND($S400&lt;&gt;"",LOWER(TRIM($S400))&lt;&gt;"n/a",COUNTIF($S$2:$S$532,$S400)&gt;1),AND($T400&lt;&gt;"",LOWER(TRIM($T400))&lt;&gt;"n/a",COUNTIF($T$2:$T$532,$T400)&gt;1),AND($W400&lt;&gt;"",LOWER(TRIM($W400))&lt;&gt;"n/a",COUNTIF($W$2:$W$532,$W400)&gt;1)),"Yes","No"),IF($A400="Cybernet",IF(OR(AND($Y400&lt;&gt;"",LOWER(TRIM($Y400))&lt;&gt;"n/a",COUNTIF($Y$2:$Y$532,$Y400)&gt;1),AND($Z400&lt;&gt;"",LOWER(TRIM($Z400))&lt;&gt;"n/a",COUNTIF($Z$2:$Z$532,$Z400)&gt;1)),"Yes","No"),IF(AND($AL400&lt;&gt;"",LOWER(TRIM($AL400))&lt;&gt;"n/a",COUNTIF($AL$2:$AL$532,$AL400)&gt;1),"Yes","No"))))</f>
      </c>
      <c r="F400">
        <f>IF($B400&lt;&gt;"Yes","",
IF($A400="Neuron",
IF(OR(
AND($S400&lt;&gt;"",LOWER(TRIM($S400))&lt;&gt;"n/a",COUNTIFS($B$2:$B$532,"Yes",$A$2:$A$532,"Neuron",$S$2:$S$532,$S400)&gt;1),
AND($T400&lt;&gt;"",LOWER(TRIM($T400))&lt;&gt;"n/a",COUNTIFS($B$2:$B$532,"Yes",$A$2:$A$532,"Neuron",$T$2:$T$532,$T400)&gt;1),
AND($W400&lt;&gt;"",LOWER(TRIM($W400))&lt;&gt;"n/a",COUNTIFS($B$2:$B$532,"Yes",$A$2:$A$532,"Neuron",$W$2:$W$532,$W400)&gt;1)
),"Yes","No"),
IF($A400="Cybernet",
IF(OR(
AND($Y400&lt;&gt;"",LOWER(TRIM($Y400))&lt;&gt;"n/a",COUNTIFS($B$2:$B$532,"Yes",$A$2:$A$532,"Cybernet",$Y$2:$Y$532,$Y400)&gt;1),
AND($Z400&lt;&gt;"",LOWER(TRIM($Z400))&lt;&gt;"n/a",COUNTIFS($B$2:$B$532,"Yes",$A$2:$A$532,"Cybernet",$Z$2:$Z$532,$Z400)&gt;1)
),"Yes","No"),
IF(AND($AL400&lt;&gt;"",LOWER(TRIM($AL400))&lt;&gt;"n/a"),
IF(COUNTIFS($B$2:$B$532,"Yes",$A$2:$A$532,$A400,$AL$2:$AL$532,$AL400)&gt;1,"Yes","No"),
"No")
)
)
)</f>
      </c>
      <c r="BL400">
        <f>IF($T400="","",IF((IF(AND($AW400&lt;&gt;"Yes",$AW400&lt;&gt;"N/A"),"Power Cable, ","")&amp;IF(AND($AX400&lt;&gt;"Yes",$AX400&lt;&gt;"N/A"),"Battery, ","")&amp;IF(AND($BE400&lt;&gt;"Yes",$BE400&lt;&gt;"N/A"),"Firmware Download, ","")&amp;IF(AND(OR($BE400="Yes",$BE400="N/A"),$BF400&lt;&gt;"Yes",$BF400&lt;&gt;"N/A"),"Firmware Install, ","")&amp;IF(AND($BJ400&lt;&gt;"Yes",$BJ400&lt;&gt;"N/A"),"Device ID, ","")&amp;IF(AND($BK400&lt;&gt;"Yes",$BK400&lt;&gt;"N/A"),"Epic Beans Relay, ",""))="","",LEFT(IF(AND($AW400&lt;&gt;"Yes",$AW400&lt;&gt;"N/A"),"Power Cable, ","")&amp;IF(AND($AX400&lt;&gt;"Yes",$AX400&lt;&gt;"N/A"),"Battery, ","")&amp;IF(AND($BE400&lt;&gt;"Yes",$BE400&lt;&gt;"N/A"),"Firmware Download, ","")&amp;IF(AND(OR($BE400="Yes",$BE400="N/A"),$BF400&lt;&gt;"Yes",$BF400&lt;&gt;"N/A"),"Firmware Install, ","")&amp;IF(AND($BJ400&lt;&gt;"Yes",$BJ400&lt;&gt;"N/A"),"Device ID, ","")&amp;IF(AND($BK400&lt;&gt;"Yes",$BK400&lt;&gt;"N/A"),"Epic Beans Relay, ",""),LEN(IF(AND($AW400&lt;&gt;"Yes",$AW400&lt;&gt;"N/A"),"Power Cable, ","")&amp;IF(AND($AX400&lt;&gt;"Yes",$AX400&lt;&gt;"N/A"),"Battery, ","")&amp;IF(AND($BE400&lt;&gt;"Yes",$BE400&lt;&gt;"N/A"),"Firmware Download, ","")&amp;IF(AND(OR($BE400="Yes",$BE400="N/A"),$BF400&lt;&gt;"Yes",$BF400&lt;&gt;"N/A"),"Firmware Install, ","")&amp;IF(AND($BJ400&lt;&gt;"Yes",$BJ400&lt;&gt;"N/A"),"Device ID, ","")&amp;IF(AND($BK400&lt;&gt;"Yes",$BK400&lt;&gt;"N/A"),"Epic Beans Relay, ",""))-2)))</f>
      </c>
      <c r="BM400">
        <f>IF($T400="","",IF($BL400="","Yes","Blocked"))</f>
      </c>
      <c r="BP400">
        <f>IF($BO400="","",IFERROR(VLOOKUP($BO400,'01_Warehouse_Ledger'!$A:$N,4,FALSE),""))</f>
      </c>
      <c r="BQ400">
        <f>IF($BO400="","",IFERROR(VLOOKUP($BO400,'01_Warehouse_Ledger'!$A:$N,5,FALSE),""))</f>
      </c>
      <c r="BR400">
        <f>IF($BO400="","",IFERROR(VLOOKUP($BO400,'01_Warehouse_Ledger'!$A:$N,13,FALSE),""))</f>
      </c>
    </row>
    <row r="401">
      <c r="D401">
        <f>IF($B401&lt;&gt;"Yes","",IF($C401="No","Yes",IF($C401="Yes","No","")))</f>
      </c>
      <c r="E401">
        <f>IF($A401="","",IF($A401="Neuron",IF(OR(AND($S401&lt;&gt;"",LOWER(TRIM($S401))&lt;&gt;"n/a",COUNTIF($S$2:$S$532,$S401)&gt;1),AND($T401&lt;&gt;"",LOWER(TRIM($T401))&lt;&gt;"n/a",COUNTIF($T$2:$T$532,$T401)&gt;1),AND($W401&lt;&gt;"",LOWER(TRIM($W401))&lt;&gt;"n/a",COUNTIF($W$2:$W$532,$W401)&gt;1)),"Yes","No"),IF($A401="Cybernet",IF(OR(AND($Y401&lt;&gt;"",LOWER(TRIM($Y401))&lt;&gt;"n/a",COUNTIF($Y$2:$Y$532,$Y401)&gt;1),AND($Z401&lt;&gt;"",LOWER(TRIM($Z401))&lt;&gt;"n/a",COUNTIF($Z$2:$Z$532,$Z401)&gt;1)),"Yes","No"),IF(AND($AL401&lt;&gt;"",LOWER(TRIM($AL401))&lt;&gt;"n/a",COUNTIF($AL$2:$AL$532,$AL401)&gt;1),"Yes","No"))))</f>
      </c>
      <c r="F401">
        <f>IF($B401&lt;&gt;"Yes","",
IF($A401="Neuron",
IF(OR(
AND($S401&lt;&gt;"",LOWER(TRIM($S401))&lt;&gt;"n/a",COUNTIFS($B$2:$B$532,"Yes",$A$2:$A$532,"Neuron",$S$2:$S$532,$S401)&gt;1),
AND($T401&lt;&gt;"",LOWER(TRIM($T401))&lt;&gt;"n/a",COUNTIFS($B$2:$B$532,"Yes",$A$2:$A$532,"Neuron",$T$2:$T$532,$T401)&gt;1),
AND($W401&lt;&gt;"",LOWER(TRIM($W401))&lt;&gt;"n/a",COUNTIFS($B$2:$B$532,"Yes",$A$2:$A$532,"Neuron",$W$2:$W$532,$W401)&gt;1)
),"Yes","No"),
IF($A401="Cybernet",
IF(OR(
AND($Y401&lt;&gt;"",LOWER(TRIM($Y401))&lt;&gt;"n/a",COUNTIFS($B$2:$B$532,"Yes",$A$2:$A$532,"Cybernet",$Y$2:$Y$532,$Y401)&gt;1),
AND($Z401&lt;&gt;"",LOWER(TRIM($Z401))&lt;&gt;"n/a",COUNTIFS($B$2:$B$532,"Yes",$A$2:$A$532,"Cybernet",$Z$2:$Z$532,$Z401)&gt;1)
),"Yes","No"),
IF(AND($AL401&lt;&gt;"",LOWER(TRIM($AL401))&lt;&gt;"n/a"),
IF(COUNTIFS($B$2:$B$532,"Yes",$A$2:$A$532,$A401,$AL$2:$AL$532,$AL401)&gt;1,"Yes","No"),
"No")
)
)
)</f>
      </c>
      <c r="BL401">
        <f>IF($T401="","",IF((IF(AND($AW401&lt;&gt;"Yes",$AW401&lt;&gt;"N/A"),"Power Cable, ","")&amp;IF(AND($AX401&lt;&gt;"Yes",$AX401&lt;&gt;"N/A"),"Battery, ","")&amp;IF(AND($BE401&lt;&gt;"Yes",$BE401&lt;&gt;"N/A"),"Firmware Download, ","")&amp;IF(AND(OR($BE401="Yes",$BE401="N/A"),$BF401&lt;&gt;"Yes",$BF401&lt;&gt;"N/A"),"Firmware Install, ","")&amp;IF(AND($BJ401&lt;&gt;"Yes",$BJ401&lt;&gt;"N/A"),"Device ID, ","")&amp;IF(AND($BK401&lt;&gt;"Yes",$BK401&lt;&gt;"N/A"),"Epic Beans Relay, ",""))="","",LEFT(IF(AND($AW401&lt;&gt;"Yes",$AW401&lt;&gt;"N/A"),"Power Cable, ","")&amp;IF(AND($AX401&lt;&gt;"Yes",$AX401&lt;&gt;"N/A"),"Battery, ","")&amp;IF(AND($BE401&lt;&gt;"Yes",$BE401&lt;&gt;"N/A"),"Firmware Download, ","")&amp;IF(AND(OR($BE401="Yes",$BE401="N/A"),$BF401&lt;&gt;"Yes",$BF401&lt;&gt;"N/A"),"Firmware Install, ","")&amp;IF(AND($BJ401&lt;&gt;"Yes",$BJ401&lt;&gt;"N/A"),"Device ID, ","")&amp;IF(AND($BK401&lt;&gt;"Yes",$BK401&lt;&gt;"N/A"),"Epic Beans Relay, ",""),LEN(IF(AND($AW401&lt;&gt;"Yes",$AW401&lt;&gt;"N/A"),"Power Cable, ","")&amp;IF(AND($AX401&lt;&gt;"Yes",$AX401&lt;&gt;"N/A"),"Battery, ","")&amp;IF(AND($BE401&lt;&gt;"Yes",$BE401&lt;&gt;"N/A"),"Firmware Download, ","")&amp;IF(AND(OR($BE401="Yes",$BE401="N/A"),$BF401&lt;&gt;"Yes",$BF401&lt;&gt;"N/A"),"Firmware Install, ","")&amp;IF(AND($BJ401&lt;&gt;"Yes",$BJ401&lt;&gt;"N/A"),"Device ID, ","")&amp;IF(AND($BK401&lt;&gt;"Yes",$BK401&lt;&gt;"N/A"),"Epic Beans Relay, ",""))-2)))</f>
      </c>
      <c r="BM401">
        <f>IF($T401="","",IF($BL401="","Yes","Blocked"))</f>
      </c>
      <c r="BP401">
        <f>IF($BO401="","",IFERROR(VLOOKUP($BO401,'01_Warehouse_Ledger'!$A:$N,4,FALSE),""))</f>
      </c>
      <c r="BQ401">
        <f>IF($BO401="","",IFERROR(VLOOKUP($BO401,'01_Warehouse_Ledger'!$A:$N,5,FALSE),""))</f>
      </c>
      <c r="BR401">
        <f>IF($BO401="","",IFERROR(VLOOKUP($BO401,'01_Warehouse_Ledger'!$A:$N,13,FALSE),""))</f>
      </c>
    </row>
    <row r="402">
      <c r="D402">
        <f>IF($B402&lt;&gt;"Yes","",IF($C402="No","Yes",IF($C402="Yes","No","")))</f>
      </c>
      <c r="E402">
        <f>IF($A402="","",IF($A402="Neuron",IF(OR(AND($S402&lt;&gt;"",LOWER(TRIM($S402))&lt;&gt;"n/a",COUNTIF($S$2:$S$532,$S402)&gt;1),AND($T402&lt;&gt;"",LOWER(TRIM($T402))&lt;&gt;"n/a",COUNTIF($T$2:$T$532,$T402)&gt;1),AND($W402&lt;&gt;"",LOWER(TRIM($W402))&lt;&gt;"n/a",COUNTIF($W$2:$W$532,$W402)&gt;1)),"Yes","No"),IF($A402="Cybernet",IF(OR(AND($Y402&lt;&gt;"",LOWER(TRIM($Y402))&lt;&gt;"n/a",COUNTIF($Y$2:$Y$532,$Y402)&gt;1),AND($Z402&lt;&gt;"",LOWER(TRIM($Z402))&lt;&gt;"n/a",COUNTIF($Z$2:$Z$532,$Z402)&gt;1)),"Yes","No"),IF(AND($AL402&lt;&gt;"",LOWER(TRIM($AL402))&lt;&gt;"n/a",COUNTIF($AL$2:$AL$532,$AL402)&gt;1),"Yes","No"))))</f>
      </c>
      <c r="F402">
        <f>IF($B402&lt;&gt;"Yes","",
IF($A402="Neuron",
IF(OR(
AND($S402&lt;&gt;"",LOWER(TRIM($S402))&lt;&gt;"n/a",COUNTIFS($B$2:$B$532,"Yes",$A$2:$A$532,"Neuron",$S$2:$S$532,$S402)&gt;1),
AND($T402&lt;&gt;"",LOWER(TRIM($T402))&lt;&gt;"n/a",COUNTIFS($B$2:$B$532,"Yes",$A$2:$A$532,"Neuron",$T$2:$T$532,$T402)&gt;1),
AND($W402&lt;&gt;"",LOWER(TRIM($W402))&lt;&gt;"n/a",COUNTIFS($B$2:$B$532,"Yes",$A$2:$A$532,"Neuron",$W$2:$W$532,$W402)&gt;1)
),"Yes","No"),
IF($A402="Cybernet",
IF(OR(
AND($Y402&lt;&gt;"",LOWER(TRIM($Y402))&lt;&gt;"n/a",COUNTIFS($B$2:$B$532,"Yes",$A$2:$A$532,"Cybernet",$Y$2:$Y$532,$Y402)&gt;1),
AND($Z402&lt;&gt;"",LOWER(TRIM($Z402))&lt;&gt;"n/a",COUNTIFS($B$2:$B$532,"Yes",$A$2:$A$532,"Cybernet",$Z$2:$Z$532,$Z402)&gt;1)
),"Yes","No"),
IF(AND($AL402&lt;&gt;"",LOWER(TRIM($AL402))&lt;&gt;"n/a"),
IF(COUNTIFS($B$2:$B$532,"Yes",$A$2:$A$532,$A402,$AL$2:$AL$532,$AL402)&gt;1,"Yes","No"),
"No")
)
)
)</f>
      </c>
      <c r="BL402">
        <f>IF($T402="","",IF((IF(AND($AW402&lt;&gt;"Yes",$AW402&lt;&gt;"N/A"),"Power Cable, ","")&amp;IF(AND($AX402&lt;&gt;"Yes",$AX402&lt;&gt;"N/A"),"Battery, ","")&amp;IF(AND($BE402&lt;&gt;"Yes",$BE402&lt;&gt;"N/A"),"Firmware Download, ","")&amp;IF(AND(OR($BE402="Yes",$BE402="N/A"),$BF402&lt;&gt;"Yes",$BF402&lt;&gt;"N/A"),"Firmware Install, ","")&amp;IF(AND($BJ402&lt;&gt;"Yes",$BJ402&lt;&gt;"N/A"),"Device ID, ","")&amp;IF(AND($BK402&lt;&gt;"Yes",$BK402&lt;&gt;"N/A"),"Epic Beans Relay, ",""))="","",LEFT(IF(AND($AW402&lt;&gt;"Yes",$AW402&lt;&gt;"N/A"),"Power Cable, ","")&amp;IF(AND($AX402&lt;&gt;"Yes",$AX402&lt;&gt;"N/A"),"Battery, ","")&amp;IF(AND($BE402&lt;&gt;"Yes",$BE402&lt;&gt;"N/A"),"Firmware Download, ","")&amp;IF(AND(OR($BE402="Yes",$BE402="N/A"),$BF402&lt;&gt;"Yes",$BF402&lt;&gt;"N/A"),"Firmware Install, ","")&amp;IF(AND($BJ402&lt;&gt;"Yes",$BJ402&lt;&gt;"N/A"),"Device ID, ","")&amp;IF(AND($BK402&lt;&gt;"Yes",$BK402&lt;&gt;"N/A"),"Epic Beans Relay, ",""),LEN(IF(AND($AW402&lt;&gt;"Yes",$AW402&lt;&gt;"N/A"),"Power Cable, ","")&amp;IF(AND($AX402&lt;&gt;"Yes",$AX402&lt;&gt;"N/A"),"Battery, ","")&amp;IF(AND($BE402&lt;&gt;"Yes",$BE402&lt;&gt;"N/A"),"Firmware Download, ","")&amp;IF(AND(OR($BE402="Yes",$BE402="N/A"),$BF402&lt;&gt;"Yes",$BF402&lt;&gt;"N/A"),"Firmware Install, ","")&amp;IF(AND($BJ402&lt;&gt;"Yes",$BJ402&lt;&gt;"N/A"),"Device ID, ","")&amp;IF(AND($BK402&lt;&gt;"Yes",$BK402&lt;&gt;"N/A"),"Epic Beans Relay, ",""))-2)))</f>
      </c>
      <c r="BM402">
        <f>IF($T402="","",IF($BL402="","Yes","Blocked"))</f>
      </c>
      <c r="BP402">
        <f>IF($BO402="","",IFERROR(VLOOKUP($BO402,'01_Warehouse_Ledger'!$A:$N,4,FALSE),""))</f>
      </c>
      <c r="BQ402">
        <f>IF($BO402="","",IFERROR(VLOOKUP($BO402,'01_Warehouse_Ledger'!$A:$N,5,FALSE),""))</f>
      </c>
      <c r="BR402">
        <f>IF($BO402="","",IFERROR(VLOOKUP($BO402,'01_Warehouse_Ledger'!$A:$N,13,FALSE),""))</f>
      </c>
    </row>
    <row r="403">
      <c r="D403">
        <f>IF($B403&lt;&gt;"Yes","",IF($C403="No","Yes",IF($C403="Yes","No","")))</f>
      </c>
      <c r="E403">
        <f>IF($A403="","",IF($A403="Neuron",IF(OR(AND($S403&lt;&gt;"",LOWER(TRIM($S403))&lt;&gt;"n/a",COUNTIF($S$2:$S$532,$S403)&gt;1),AND($T403&lt;&gt;"",LOWER(TRIM($T403))&lt;&gt;"n/a",COUNTIF($T$2:$T$532,$T403)&gt;1),AND($W403&lt;&gt;"",LOWER(TRIM($W403))&lt;&gt;"n/a",COUNTIF($W$2:$W$532,$W403)&gt;1)),"Yes","No"),IF($A403="Cybernet",IF(OR(AND($Y403&lt;&gt;"",LOWER(TRIM($Y403))&lt;&gt;"n/a",COUNTIF($Y$2:$Y$532,$Y403)&gt;1),AND($Z403&lt;&gt;"",LOWER(TRIM($Z403))&lt;&gt;"n/a",COUNTIF($Z$2:$Z$532,$Z403)&gt;1)),"Yes","No"),IF(AND($AL403&lt;&gt;"",LOWER(TRIM($AL403))&lt;&gt;"n/a",COUNTIF($AL$2:$AL$532,$AL403)&gt;1),"Yes","No"))))</f>
      </c>
      <c r="F403">
        <f>IF($B403&lt;&gt;"Yes","",
IF($A403="Neuron",
IF(OR(
AND($S403&lt;&gt;"",LOWER(TRIM($S403))&lt;&gt;"n/a",COUNTIFS($B$2:$B$532,"Yes",$A$2:$A$532,"Neuron",$S$2:$S$532,$S403)&gt;1),
AND($T403&lt;&gt;"",LOWER(TRIM($T403))&lt;&gt;"n/a",COUNTIFS($B$2:$B$532,"Yes",$A$2:$A$532,"Neuron",$T$2:$T$532,$T403)&gt;1),
AND($W403&lt;&gt;"",LOWER(TRIM($W403))&lt;&gt;"n/a",COUNTIFS($B$2:$B$532,"Yes",$A$2:$A$532,"Neuron",$W$2:$W$532,$W403)&gt;1)
),"Yes","No"),
IF($A403="Cybernet",
IF(OR(
AND($Y403&lt;&gt;"",LOWER(TRIM($Y403))&lt;&gt;"n/a",COUNTIFS($B$2:$B$532,"Yes",$A$2:$A$532,"Cybernet",$Y$2:$Y$532,$Y403)&gt;1),
AND($Z403&lt;&gt;"",LOWER(TRIM($Z403))&lt;&gt;"n/a",COUNTIFS($B$2:$B$532,"Yes",$A$2:$A$532,"Cybernet",$Z$2:$Z$532,$Z403)&gt;1)
),"Yes","No"),
IF(AND($AL403&lt;&gt;"",LOWER(TRIM($AL403))&lt;&gt;"n/a"),
IF(COUNTIFS($B$2:$B$532,"Yes",$A$2:$A$532,$A403,$AL$2:$AL$532,$AL403)&gt;1,"Yes","No"),
"No")
)
)
)</f>
      </c>
      <c r="BL403">
        <f>IF($T403="","",IF((IF(AND($AW403&lt;&gt;"Yes",$AW403&lt;&gt;"N/A"),"Power Cable, ","")&amp;IF(AND($AX403&lt;&gt;"Yes",$AX403&lt;&gt;"N/A"),"Battery, ","")&amp;IF(AND($BE403&lt;&gt;"Yes",$BE403&lt;&gt;"N/A"),"Firmware Download, ","")&amp;IF(AND(OR($BE403="Yes",$BE403="N/A"),$BF403&lt;&gt;"Yes",$BF403&lt;&gt;"N/A"),"Firmware Install, ","")&amp;IF(AND($BJ403&lt;&gt;"Yes",$BJ403&lt;&gt;"N/A"),"Device ID, ","")&amp;IF(AND($BK403&lt;&gt;"Yes",$BK403&lt;&gt;"N/A"),"Epic Beans Relay, ",""))="","",LEFT(IF(AND($AW403&lt;&gt;"Yes",$AW403&lt;&gt;"N/A"),"Power Cable, ","")&amp;IF(AND($AX403&lt;&gt;"Yes",$AX403&lt;&gt;"N/A"),"Battery, ","")&amp;IF(AND($BE403&lt;&gt;"Yes",$BE403&lt;&gt;"N/A"),"Firmware Download, ","")&amp;IF(AND(OR($BE403="Yes",$BE403="N/A"),$BF403&lt;&gt;"Yes",$BF403&lt;&gt;"N/A"),"Firmware Install, ","")&amp;IF(AND($BJ403&lt;&gt;"Yes",$BJ403&lt;&gt;"N/A"),"Device ID, ","")&amp;IF(AND($BK403&lt;&gt;"Yes",$BK403&lt;&gt;"N/A"),"Epic Beans Relay, ",""),LEN(IF(AND($AW403&lt;&gt;"Yes",$AW403&lt;&gt;"N/A"),"Power Cable, ","")&amp;IF(AND($AX403&lt;&gt;"Yes",$AX403&lt;&gt;"N/A"),"Battery, ","")&amp;IF(AND($BE403&lt;&gt;"Yes",$BE403&lt;&gt;"N/A"),"Firmware Download, ","")&amp;IF(AND(OR($BE403="Yes",$BE403="N/A"),$BF403&lt;&gt;"Yes",$BF403&lt;&gt;"N/A"),"Firmware Install, ","")&amp;IF(AND($BJ403&lt;&gt;"Yes",$BJ403&lt;&gt;"N/A"),"Device ID, ","")&amp;IF(AND($BK403&lt;&gt;"Yes",$BK403&lt;&gt;"N/A"),"Epic Beans Relay, ",""))-2)))</f>
      </c>
      <c r="BM403">
        <f>IF($T403="","",IF($BL403="","Yes","Blocked"))</f>
      </c>
      <c r="BP403">
        <f>IF($BO403="","",IFERROR(VLOOKUP($BO403,'01_Warehouse_Ledger'!$A:$N,4,FALSE),""))</f>
      </c>
      <c r="BQ403">
        <f>IF($BO403="","",IFERROR(VLOOKUP($BO403,'01_Warehouse_Ledger'!$A:$N,5,FALSE),""))</f>
      </c>
      <c r="BR403">
        <f>IF($BO403="","",IFERROR(VLOOKUP($BO403,'01_Warehouse_Ledger'!$A:$N,13,FALSE),""))</f>
      </c>
    </row>
    <row r="404">
      <c r="D404">
        <f>IF($B404&lt;&gt;"Yes","",IF($C404="No","Yes",IF($C404="Yes","No","")))</f>
      </c>
      <c r="E404">
        <f>IF($A404="","",IF($A404="Neuron",IF(OR(AND($S404&lt;&gt;"",LOWER(TRIM($S404))&lt;&gt;"n/a",COUNTIF($S$2:$S$532,$S404)&gt;1),AND($T404&lt;&gt;"",LOWER(TRIM($T404))&lt;&gt;"n/a",COUNTIF($T$2:$T$532,$T404)&gt;1),AND($W404&lt;&gt;"",LOWER(TRIM($W404))&lt;&gt;"n/a",COUNTIF($W$2:$W$532,$W404)&gt;1)),"Yes","No"),IF($A404="Cybernet",IF(OR(AND($Y404&lt;&gt;"",LOWER(TRIM($Y404))&lt;&gt;"n/a",COUNTIF($Y$2:$Y$532,$Y404)&gt;1),AND($Z404&lt;&gt;"",LOWER(TRIM($Z404))&lt;&gt;"n/a",COUNTIF($Z$2:$Z$532,$Z404)&gt;1)),"Yes","No"),IF(AND($AL404&lt;&gt;"",LOWER(TRIM($AL404))&lt;&gt;"n/a",COUNTIF($AL$2:$AL$532,$AL404)&gt;1),"Yes","No"))))</f>
      </c>
      <c r="F404">
        <f>IF($B404&lt;&gt;"Yes","",
IF($A404="Neuron",
IF(OR(
AND($S404&lt;&gt;"",LOWER(TRIM($S404))&lt;&gt;"n/a",COUNTIFS($B$2:$B$532,"Yes",$A$2:$A$532,"Neuron",$S$2:$S$532,$S404)&gt;1),
AND($T404&lt;&gt;"",LOWER(TRIM($T404))&lt;&gt;"n/a",COUNTIFS($B$2:$B$532,"Yes",$A$2:$A$532,"Neuron",$T$2:$T$532,$T404)&gt;1),
AND($W404&lt;&gt;"",LOWER(TRIM($W404))&lt;&gt;"n/a",COUNTIFS($B$2:$B$532,"Yes",$A$2:$A$532,"Neuron",$W$2:$W$532,$W404)&gt;1)
),"Yes","No"),
IF($A404="Cybernet",
IF(OR(
AND($Y404&lt;&gt;"",LOWER(TRIM($Y404))&lt;&gt;"n/a",COUNTIFS($B$2:$B$532,"Yes",$A$2:$A$532,"Cybernet",$Y$2:$Y$532,$Y404)&gt;1),
AND($Z404&lt;&gt;"",LOWER(TRIM($Z404))&lt;&gt;"n/a",COUNTIFS($B$2:$B$532,"Yes",$A$2:$A$532,"Cybernet",$Z$2:$Z$532,$Z404)&gt;1)
),"Yes","No"),
IF(AND($AL404&lt;&gt;"",LOWER(TRIM($AL404))&lt;&gt;"n/a"),
IF(COUNTIFS($B$2:$B$532,"Yes",$A$2:$A$532,$A404,$AL$2:$AL$532,$AL404)&gt;1,"Yes","No"),
"No")
)
)
)</f>
      </c>
      <c r="BL404">
        <f>IF($T404="","",IF((IF(AND($AW404&lt;&gt;"Yes",$AW404&lt;&gt;"N/A"),"Power Cable, ","")&amp;IF(AND($AX404&lt;&gt;"Yes",$AX404&lt;&gt;"N/A"),"Battery, ","")&amp;IF(AND($BE404&lt;&gt;"Yes",$BE404&lt;&gt;"N/A"),"Firmware Download, ","")&amp;IF(AND(OR($BE404="Yes",$BE404="N/A"),$BF404&lt;&gt;"Yes",$BF404&lt;&gt;"N/A"),"Firmware Install, ","")&amp;IF(AND($BJ404&lt;&gt;"Yes",$BJ404&lt;&gt;"N/A"),"Device ID, ","")&amp;IF(AND($BK404&lt;&gt;"Yes",$BK404&lt;&gt;"N/A"),"Epic Beans Relay, ",""))="","",LEFT(IF(AND($AW404&lt;&gt;"Yes",$AW404&lt;&gt;"N/A"),"Power Cable, ","")&amp;IF(AND($AX404&lt;&gt;"Yes",$AX404&lt;&gt;"N/A"),"Battery, ","")&amp;IF(AND($BE404&lt;&gt;"Yes",$BE404&lt;&gt;"N/A"),"Firmware Download, ","")&amp;IF(AND(OR($BE404="Yes",$BE404="N/A"),$BF404&lt;&gt;"Yes",$BF404&lt;&gt;"N/A"),"Firmware Install, ","")&amp;IF(AND($BJ404&lt;&gt;"Yes",$BJ404&lt;&gt;"N/A"),"Device ID, ","")&amp;IF(AND($BK404&lt;&gt;"Yes",$BK404&lt;&gt;"N/A"),"Epic Beans Relay, ",""),LEN(IF(AND($AW404&lt;&gt;"Yes",$AW404&lt;&gt;"N/A"),"Power Cable, ","")&amp;IF(AND($AX404&lt;&gt;"Yes",$AX404&lt;&gt;"N/A"),"Battery, ","")&amp;IF(AND($BE404&lt;&gt;"Yes",$BE404&lt;&gt;"N/A"),"Firmware Download, ","")&amp;IF(AND(OR($BE404="Yes",$BE404="N/A"),$BF404&lt;&gt;"Yes",$BF404&lt;&gt;"N/A"),"Firmware Install, ","")&amp;IF(AND($BJ404&lt;&gt;"Yes",$BJ404&lt;&gt;"N/A"),"Device ID, ","")&amp;IF(AND($BK404&lt;&gt;"Yes",$BK404&lt;&gt;"N/A"),"Epic Beans Relay, ",""))-2)))</f>
      </c>
      <c r="BM404">
        <f>IF($T404="","",IF($BL404="","Yes","Blocked"))</f>
      </c>
      <c r="BP404">
        <f>IF($BO404="","",IFERROR(VLOOKUP($BO404,'01_Warehouse_Ledger'!$A:$N,4,FALSE),""))</f>
      </c>
      <c r="BQ404">
        <f>IF($BO404="","",IFERROR(VLOOKUP($BO404,'01_Warehouse_Ledger'!$A:$N,5,FALSE),""))</f>
      </c>
      <c r="BR404">
        <f>IF($BO404="","",IFERROR(VLOOKUP($BO404,'01_Warehouse_Ledger'!$A:$N,13,FALSE),""))</f>
      </c>
    </row>
    <row r="405">
      <c r="D405">
        <f>IF($B405&lt;&gt;"Yes","",IF($C405="No","Yes",IF($C405="Yes","No","")))</f>
      </c>
      <c r="E405">
        <f>IF($A405="","",IF($A405="Neuron",IF(OR(AND($S405&lt;&gt;"",LOWER(TRIM($S405))&lt;&gt;"n/a",COUNTIF($S$2:$S$532,$S405)&gt;1),AND($T405&lt;&gt;"",LOWER(TRIM($T405))&lt;&gt;"n/a",COUNTIF($T$2:$T$532,$T405)&gt;1),AND($W405&lt;&gt;"",LOWER(TRIM($W405))&lt;&gt;"n/a",COUNTIF($W$2:$W$532,$W405)&gt;1)),"Yes","No"),IF($A405="Cybernet",IF(OR(AND($Y405&lt;&gt;"",LOWER(TRIM($Y405))&lt;&gt;"n/a",COUNTIF($Y$2:$Y$532,$Y405)&gt;1),AND($Z405&lt;&gt;"",LOWER(TRIM($Z405))&lt;&gt;"n/a",COUNTIF($Z$2:$Z$532,$Z405)&gt;1)),"Yes","No"),IF(AND($AL405&lt;&gt;"",LOWER(TRIM($AL405))&lt;&gt;"n/a",COUNTIF($AL$2:$AL$532,$AL405)&gt;1),"Yes","No"))))</f>
      </c>
      <c r="F405">
        <f>IF($B405&lt;&gt;"Yes","",
IF($A405="Neuron",
IF(OR(
AND($S405&lt;&gt;"",LOWER(TRIM($S405))&lt;&gt;"n/a",COUNTIFS($B$2:$B$532,"Yes",$A$2:$A$532,"Neuron",$S$2:$S$532,$S405)&gt;1),
AND($T405&lt;&gt;"",LOWER(TRIM($T405))&lt;&gt;"n/a",COUNTIFS($B$2:$B$532,"Yes",$A$2:$A$532,"Neuron",$T$2:$T$532,$T405)&gt;1),
AND($W405&lt;&gt;"",LOWER(TRIM($W405))&lt;&gt;"n/a",COUNTIFS($B$2:$B$532,"Yes",$A$2:$A$532,"Neuron",$W$2:$W$532,$W405)&gt;1)
),"Yes","No"),
IF($A405="Cybernet",
IF(OR(
AND($Y405&lt;&gt;"",LOWER(TRIM($Y405))&lt;&gt;"n/a",COUNTIFS($B$2:$B$532,"Yes",$A$2:$A$532,"Cybernet",$Y$2:$Y$532,$Y405)&gt;1),
AND($Z405&lt;&gt;"",LOWER(TRIM($Z405))&lt;&gt;"n/a",COUNTIFS($B$2:$B$532,"Yes",$A$2:$A$532,"Cybernet",$Z$2:$Z$532,$Z405)&gt;1)
),"Yes","No"),
IF(AND($AL405&lt;&gt;"",LOWER(TRIM($AL405))&lt;&gt;"n/a"),
IF(COUNTIFS($B$2:$B$532,"Yes",$A$2:$A$532,$A405,$AL$2:$AL$532,$AL405)&gt;1,"Yes","No"),
"No")
)
)
)</f>
      </c>
      <c r="BL405">
        <f>IF($T405="","",IF((IF(AND($AW405&lt;&gt;"Yes",$AW405&lt;&gt;"N/A"),"Power Cable, ","")&amp;IF(AND($AX405&lt;&gt;"Yes",$AX405&lt;&gt;"N/A"),"Battery, ","")&amp;IF(AND($BE405&lt;&gt;"Yes",$BE405&lt;&gt;"N/A"),"Firmware Download, ","")&amp;IF(AND(OR($BE405="Yes",$BE405="N/A"),$BF405&lt;&gt;"Yes",$BF405&lt;&gt;"N/A"),"Firmware Install, ","")&amp;IF(AND($BJ405&lt;&gt;"Yes",$BJ405&lt;&gt;"N/A"),"Device ID, ","")&amp;IF(AND($BK405&lt;&gt;"Yes",$BK405&lt;&gt;"N/A"),"Epic Beans Relay, ",""))="","",LEFT(IF(AND($AW405&lt;&gt;"Yes",$AW405&lt;&gt;"N/A"),"Power Cable, ","")&amp;IF(AND($AX405&lt;&gt;"Yes",$AX405&lt;&gt;"N/A"),"Battery, ","")&amp;IF(AND($BE405&lt;&gt;"Yes",$BE405&lt;&gt;"N/A"),"Firmware Download, ","")&amp;IF(AND(OR($BE405="Yes",$BE405="N/A"),$BF405&lt;&gt;"Yes",$BF405&lt;&gt;"N/A"),"Firmware Install, ","")&amp;IF(AND($BJ405&lt;&gt;"Yes",$BJ405&lt;&gt;"N/A"),"Device ID, ","")&amp;IF(AND($BK405&lt;&gt;"Yes",$BK405&lt;&gt;"N/A"),"Epic Beans Relay, ",""),LEN(IF(AND($AW405&lt;&gt;"Yes",$AW405&lt;&gt;"N/A"),"Power Cable, ","")&amp;IF(AND($AX405&lt;&gt;"Yes",$AX405&lt;&gt;"N/A"),"Battery, ","")&amp;IF(AND($BE405&lt;&gt;"Yes",$BE405&lt;&gt;"N/A"),"Firmware Download, ","")&amp;IF(AND(OR($BE405="Yes",$BE405="N/A"),$BF405&lt;&gt;"Yes",$BF405&lt;&gt;"N/A"),"Firmware Install, ","")&amp;IF(AND($BJ405&lt;&gt;"Yes",$BJ405&lt;&gt;"N/A"),"Device ID, ","")&amp;IF(AND($BK405&lt;&gt;"Yes",$BK405&lt;&gt;"N/A"),"Epic Beans Relay, ",""))-2)))</f>
      </c>
      <c r="BM405">
        <f>IF($T405="","",IF($BL405="","Yes","Blocked"))</f>
      </c>
      <c r="BP405">
        <f>IF($BO405="","",IFERROR(VLOOKUP($BO405,'01_Warehouse_Ledger'!$A:$N,4,FALSE),""))</f>
      </c>
      <c r="BQ405">
        <f>IF($BO405="","",IFERROR(VLOOKUP($BO405,'01_Warehouse_Ledger'!$A:$N,5,FALSE),""))</f>
      </c>
      <c r="BR405">
        <f>IF($BO405="","",IFERROR(VLOOKUP($BO405,'01_Warehouse_Ledger'!$A:$N,13,FALSE),""))</f>
      </c>
    </row>
    <row r="406">
      <c r="D406">
        <f>IF($B406&lt;&gt;"Yes","",IF($C406="No","Yes",IF($C406="Yes","No","")))</f>
      </c>
      <c r="E406">
        <f>IF($A406="","",IF($A406="Neuron",IF(OR(AND($S406&lt;&gt;"",LOWER(TRIM($S406))&lt;&gt;"n/a",COUNTIF($S$2:$S$532,$S406)&gt;1),AND($T406&lt;&gt;"",LOWER(TRIM($T406))&lt;&gt;"n/a",COUNTIF($T$2:$T$532,$T406)&gt;1),AND($W406&lt;&gt;"",LOWER(TRIM($W406))&lt;&gt;"n/a",COUNTIF($W$2:$W$532,$W406)&gt;1)),"Yes","No"),IF($A406="Cybernet",IF(OR(AND($Y406&lt;&gt;"",LOWER(TRIM($Y406))&lt;&gt;"n/a",COUNTIF($Y$2:$Y$532,$Y406)&gt;1),AND($Z406&lt;&gt;"",LOWER(TRIM($Z406))&lt;&gt;"n/a",COUNTIF($Z$2:$Z$532,$Z406)&gt;1)),"Yes","No"),IF(AND($AL406&lt;&gt;"",LOWER(TRIM($AL406))&lt;&gt;"n/a",COUNTIF($AL$2:$AL$532,$AL406)&gt;1),"Yes","No"))))</f>
      </c>
      <c r="F406">
        <f>IF($B406&lt;&gt;"Yes","",
IF($A406="Neuron",
IF(OR(
AND($S406&lt;&gt;"",LOWER(TRIM($S406))&lt;&gt;"n/a",COUNTIFS($B$2:$B$532,"Yes",$A$2:$A$532,"Neuron",$S$2:$S$532,$S406)&gt;1),
AND($T406&lt;&gt;"",LOWER(TRIM($T406))&lt;&gt;"n/a",COUNTIFS($B$2:$B$532,"Yes",$A$2:$A$532,"Neuron",$T$2:$T$532,$T406)&gt;1),
AND($W406&lt;&gt;"",LOWER(TRIM($W406))&lt;&gt;"n/a",COUNTIFS($B$2:$B$532,"Yes",$A$2:$A$532,"Neuron",$W$2:$W$532,$W406)&gt;1)
),"Yes","No"),
IF($A406="Cybernet",
IF(OR(
AND($Y406&lt;&gt;"",LOWER(TRIM($Y406))&lt;&gt;"n/a",COUNTIFS($B$2:$B$532,"Yes",$A$2:$A$532,"Cybernet",$Y$2:$Y$532,$Y406)&gt;1),
AND($Z406&lt;&gt;"",LOWER(TRIM($Z406))&lt;&gt;"n/a",COUNTIFS($B$2:$B$532,"Yes",$A$2:$A$532,"Cybernet",$Z$2:$Z$532,$Z406)&gt;1)
),"Yes","No"),
IF(AND($AL406&lt;&gt;"",LOWER(TRIM($AL406))&lt;&gt;"n/a"),
IF(COUNTIFS($B$2:$B$532,"Yes",$A$2:$A$532,$A406,$AL$2:$AL$532,$AL406)&gt;1,"Yes","No"),
"No")
)
)
)</f>
      </c>
      <c r="BL406">
        <f>IF($T406="","",IF((IF(AND($AW406&lt;&gt;"Yes",$AW406&lt;&gt;"N/A"),"Power Cable, ","")&amp;IF(AND($AX406&lt;&gt;"Yes",$AX406&lt;&gt;"N/A"),"Battery, ","")&amp;IF(AND($BE406&lt;&gt;"Yes",$BE406&lt;&gt;"N/A"),"Firmware Download, ","")&amp;IF(AND(OR($BE406="Yes",$BE406="N/A"),$BF406&lt;&gt;"Yes",$BF406&lt;&gt;"N/A"),"Firmware Install, ","")&amp;IF(AND($BJ406&lt;&gt;"Yes",$BJ406&lt;&gt;"N/A"),"Device ID, ","")&amp;IF(AND($BK406&lt;&gt;"Yes",$BK406&lt;&gt;"N/A"),"Epic Beans Relay, ",""))="","",LEFT(IF(AND($AW406&lt;&gt;"Yes",$AW406&lt;&gt;"N/A"),"Power Cable, ","")&amp;IF(AND($AX406&lt;&gt;"Yes",$AX406&lt;&gt;"N/A"),"Battery, ","")&amp;IF(AND($BE406&lt;&gt;"Yes",$BE406&lt;&gt;"N/A"),"Firmware Download, ","")&amp;IF(AND(OR($BE406="Yes",$BE406="N/A"),$BF406&lt;&gt;"Yes",$BF406&lt;&gt;"N/A"),"Firmware Install, ","")&amp;IF(AND($BJ406&lt;&gt;"Yes",$BJ406&lt;&gt;"N/A"),"Device ID, ","")&amp;IF(AND($BK406&lt;&gt;"Yes",$BK406&lt;&gt;"N/A"),"Epic Beans Relay, ",""),LEN(IF(AND($AW406&lt;&gt;"Yes",$AW406&lt;&gt;"N/A"),"Power Cable, ","")&amp;IF(AND($AX406&lt;&gt;"Yes",$AX406&lt;&gt;"N/A"),"Battery, ","")&amp;IF(AND($BE406&lt;&gt;"Yes",$BE406&lt;&gt;"N/A"),"Firmware Download, ","")&amp;IF(AND(OR($BE406="Yes",$BE406="N/A"),$BF406&lt;&gt;"Yes",$BF406&lt;&gt;"N/A"),"Firmware Install, ","")&amp;IF(AND($BJ406&lt;&gt;"Yes",$BJ406&lt;&gt;"N/A"),"Device ID, ","")&amp;IF(AND($BK406&lt;&gt;"Yes",$BK406&lt;&gt;"N/A"),"Epic Beans Relay, ",""))-2)))</f>
      </c>
      <c r="BM406">
        <f>IF($T406="","",IF($BL406="","Yes","Blocked"))</f>
      </c>
      <c r="BP406">
        <f>IF($BO406="","",IFERROR(VLOOKUP($BO406,'01_Warehouse_Ledger'!$A:$N,4,FALSE),""))</f>
      </c>
      <c r="BQ406">
        <f>IF($BO406="","",IFERROR(VLOOKUP($BO406,'01_Warehouse_Ledger'!$A:$N,5,FALSE),""))</f>
      </c>
      <c r="BR406">
        <f>IF($BO406="","",IFERROR(VLOOKUP($BO406,'01_Warehouse_Ledger'!$A:$N,13,FALSE),""))</f>
      </c>
    </row>
    <row r="407">
      <c r="D407">
        <f>IF($B407&lt;&gt;"Yes","",IF($C407="No","Yes",IF($C407="Yes","No","")))</f>
      </c>
      <c r="E407">
        <f>IF($A407="","",IF($A407="Neuron",IF(OR(AND($S407&lt;&gt;"",LOWER(TRIM($S407))&lt;&gt;"n/a",COUNTIF($S$2:$S$532,$S407)&gt;1),AND($T407&lt;&gt;"",LOWER(TRIM($T407))&lt;&gt;"n/a",COUNTIF($T$2:$T$532,$T407)&gt;1),AND($W407&lt;&gt;"",LOWER(TRIM($W407))&lt;&gt;"n/a",COUNTIF($W$2:$W$532,$W407)&gt;1)),"Yes","No"),IF($A407="Cybernet",IF(OR(AND($Y407&lt;&gt;"",LOWER(TRIM($Y407))&lt;&gt;"n/a",COUNTIF($Y$2:$Y$532,$Y407)&gt;1),AND($Z407&lt;&gt;"",LOWER(TRIM($Z407))&lt;&gt;"n/a",COUNTIF($Z$2:$Z$532,$Z407)&gt;1)),"Yes","No"),IF(AND($AL407&lt;&gt;"",LOWER(TRIM($AL407))&lt;&gt;"n/a",COUNTIF($AL$2:$AL$532,$AL407)&gt;1),"Yes","No"))))</f>
      </c>
      <c r="F407">
        <f>IF($B407&lt;&gt;"Yes","",
IF($A407="Neuron",
IF(OR(
AND($S407&lt;&gt;"",LOWER(TRIM($S407))&lt;&gt;"n/a",COUNTIFS($B$2:$B$532,"Yes",$A$2:$A$532,"Neuron",$S$2:$S$532,$S407)&gt;1),
AND($T407&lt;&gt;"",LOWER(TRIM($T407))&lt;&gt;"n/a",COUNTIFS($B$2:$B$532,"Yes",$A$2:$A$532,"Neuron",$T$2:$T$532,$T407)&gt;1),
AND($W407&lt;&gt;"",LOWER(TRIM($W407))&lt;&gt;"n/a",COUNTIFS($B$2:$B$532,"Yes",$A$2:$A$532,"Neuron",$W$2:$W$532,$W407)&gt;1)
),"Yes","No"),
IF($A407="Cybernet",
IF(OR(
AND($Y407&lt;&gt;"",LOWER(TRIM($Y407))&lt;&gt;"n/a",COUNTIFS($B$2:$B$532,"Yes",$A$2:$A$532,"Cybernet",$Y$2:$Y$532,$Y407)&gt;1),
AND($Z407&lt;&gt;"",LOWER(TRIM($Z407))&lt;&gt;"n/a",COUNTIFS($B$2:$B$532,"Yes",$A$2:$A$532,"Cybernet",$Z$2:$Z$532,$Z407)&gt;1)
),"Yes","No"),
IF(AND($AL407&lt;&gt;"",LOWER(TRIM($AL407))&lt;&gt;"n/a"),
IF(COUNTIFS($B$2:$B$532,"Yes",$A$2:$A$532,$A407,$AL$2:$AL$532,$AL407)&gt;1,"Yes","No"),
"No")
)
)
)</f>
      </c>
      <c r="BL407">
        <f>IF($T407="","",IF((IF(AND($AW407&lt;&gt;"Yes",$AW407&lt;&gt;"N/A"),"Power Cable, ","")&amp;IF(AND($AX407&lt;&gt;"Yes",$AX407&lt;&gt;"N/A"),"Battery, ","")&amp;IF(AND($BE407&lt;&gt;"Yes",$BE407&lt;&gt;"N/A"),"Firmware Download, ","")&amp;IF(AND(OR($BE407="Yes",$BE407="N/A"),$BF407&lt;&gt;"Yes",$BF407&lt;&gt;"N/A"),"Firmware Install, ","")&amp;IF(AND($BJ407&lt;&gt;"Yes",$BJ407&lt;&gt;"N/A"),"Device ID, ","")&amp;IF(AND($BK407&lt;&gt;"Yes",$BK407&lt;&gt;"N/A"),"Epic Beans Relay, ",""))="","",LEFT(IF(AND($AW407&lt;&gt;"Yes",$AW407&lt;&gt;"N/A"),"Power Cable, ","")&amp;IF(AND($AX407&lt;&gt;"Yes",$AX407&lt;&gt;"N/A"),"Battery, ","")&amp;IF(AND($BE407&lt;&gt;"Yes",$BE407&lt;&gt;"N/A"),"Firmware Download, ","")&amp;IF(AND(OR($BE407="Yes",$BE407="N/A"),$BF407&lt;&gt;"Yes",$BF407&lt;&gt;"N/A"),"Firmware Install, ","")&amp;IF(AND($BJ407&lt;&gt;"Yes",$BJ407&lt;&gt;"N/A"),"Device ID, ","")&amp;IF(AND($BK407&lt;&gt;"Yes",$BK407&lt;&gt;"N/A"),"Epic Beans Relay, ",""),LEN(IF(AND($AW407&lt;&gt;"Yes",$AW407&lt;&gt;"N/A"),"Power Cable, ","")&amp;IF(AND($AX407&lt;&gt;"Yes",$AX407&lt;&gt;"N/A"),"Battery, ","")&amp;IF(AND($BE407&lt;&gt;"Yes",$BE407&lt;&gt;"N/A"),"Firmware Download, ","")&amp;IF(AND(OR($BE407="Yes",$BE407="N/A"),$BF407&lt;&gt;"Yes",$BF407&lt;&gt;"N/A"),"Firmware Install, ","")&amp;IF(AND($BJ407&lt;&gt;"Yes",$BJ407&lt;&gt;"N/A"),"Device ID, ","")&amp;IF(AND($BK407&lt;&gt;"Yes",$BK407&lt;&gt;"N/A"),"Epic Beans Relay, ",""))-2)))</f>
      </c>
      <c r="BM407">
        <f>IF($T407="","",IF($BL407="","Yes","Blocked"))</f>
      </c>
      <c r="BP407">
        <f>IF($BO407="","",IFERROR(VLOOKUP($BO407,'01_Warehouse_Ledger'!$A:$N,4,FALSE),""))</f>
      </c>
      <c r="BQ407">
        <f>IF($BO407="","",IFERROR(VLOOKUP($BO407,'01_Warehouse_Ledger'!$A:$N,5,FALSE),""))</f>
      </c>
      <c r="BR407">
        <f>IF($BO407="","",IFERROR(VLOOKUP($BO407,'01_Warehouse_Ledger'!$A:$N,13,FALSE),""))</f>
      </c>
    </row>
    <row r="408">
      <c r="D408">
        <f>IF($B408&lt;&gt;"Yes","",IF($C408="No","Yes",IF($C408="Yes","No","")))</f>
      </c>
      <c r="E408">
        <f>IF($A408="","",IF($A408="Neuron",IF(OR(AND($S408&lt;&gt;"",LOWER(TRIM($S408))&lt;&gt;"n/a",COUNTIF($S$2:$S$532,$S408)&gt;1),AND($T408&lt;&gt;"",LOWER(TRIM($T408))&lt;&gt;"n/a",COUNTIF($T$2:$T$532,$T408)&gt;1),AND($W408&lt;&gt;"",LOWER(TRIM($W408))&lt;&gt;"n/a",COUNTIF($W$2:$W$532,$W408)&gt;1)),"Yes","No"),IF($A408="Cybernet",IF(OR(AND($Y408&lt;&gt;"",LOWER(TRIM($Y408))&lt;&gt;"n/a",COUNTIF($Y$2:$Y$532,$Y408)&gt;1),AND($Z408&lt;&gt;"",LOWER(TRIM($Z408))&lt;&gt;"n/a",COUNTIF($Z$2:$Z$532,$Z408)&gt;1)),"Yes","No"),IF(AND($AL408&lt;&gt;"",LOWER(TRIM($AL408))&lt;&gt;"n/a",COUNTIF($AL$2:$AL$532,$AL408)&gt;1),"Yes","No"))))</f>
      </c>
      <c r="F408">
        <f>IF($B408&lt;&gt;"Yes","",
IF($A408="Neuron",
IF(OR(
AND($S408&lt;&gt;"",LOWER(TRIM($S408))&lt;&gt;"n/a",COUNTIFS($B$2:$B$532,"Yes",$A$2:$A$532,"Neuron",$S$2:$S$532,$S408)&gt;1),
AND($T408&lt;&gt;"",LOWER(TRIM($T408))&lt;&gt;"n/a",COUNTIFS($B$2:$B$532,"Yes",$A$2:$A$532,"Neuron",$T$2:$T$532,$T408)&gt;1),
AND($W408&lt;&gt;"",LOWER(TRIM($W408))&lt;&gt;"n/a",COUNTIFS($B$2:$B$532,"Yes",$A$2:$A$532,"Neuron",$W$2:$W$532,$W408)&gt;1)
),"Yes","No"),
IF($A408="Cybernet",
IF(OR(
AND($Y408&lt;&gt;"",LOWER(TRIM($Y408))&lt;&gt;"n/a",COUNTIFS($B$2:$B$532,"Yes",$A$2:$A$532,"Cybernet",$Y$2:$Y$532,$Y408)&gt;1),
AND($Z408&lt;&gt;"",LOWER(TRIM($Z408))&lt;&gt;"n/a",COUNTIFS($B$2:$B$532,"Yes",$A$2:$A$532,"Cybernet",$Z$2:$Z$532,$Z408)&gt;1)
),"Yes","No"),
IF(AND($AL408&lt;&gt;"",LOWER(TRIM($AL408))&lt;&gt;"n/a"),
IF(COUNTIFS($B$2:$B$532,"Yes",$A$2:$A$532,$A408,$AL$2:$AL$532,$AL408)&gt;1,"Yes","No"),
"No")
)
)
)</f>
      </c>
      <c r="BL408">
        <f>IF($T408="","",IF((IF(AND($AW408&lt;&gt;"Yes",$AW408&lt;&gt;"N/A"),"Power Cable, ","")&amp;IF(AND($AX408&lt;&gt;"Yes",$AX408&lt;&gt;"N/A"),"Battery, ","")&amp;IF(AND($BE408&lt;&gt;"Yes",$BE408&lt;&gt;"N/A"),"Firmware Download, ","")&amp;IF(AND(OR($BE408="Yes",$BE408="N/A"),$BF408&lt;&gt;"Yes",$BF408&lt;&gt;"N/A"),"Firmware Install, ","")&amp;IF(AND($BJ408&lt;&gt;"Yes",$BJ408&lt;&gt;"N/A"),"Device ID, ","")&amp;IF(AND($BK408&lt;&gt;"Yes",$BK408&lt;&gt;"N/A"),"Epic Beans Relay, ",""))="","",LEFT(IF(AND($AW408&lt;&gt;"Yes",$AW408&lt;&gt;"N/A"),"Power Cable, ","")&amp;IF(AND($AX408&lt;&gt;"Yes",$AX408&lt;&gt;"N/A"),"Battery, ","")&amp;IF(AND($BE408&lt;&gt;"Yes",$BE408&lt;&gt;"N/A"),"Firmware Download, ","")&amp;IF(AND(OR($BE408="Yes",$BE408="N/A"),$BF408&lt;&gt;"Yes",$BF408&lt;&gt;"N/A"),"Firmware Install, ","")&amp;IF(AND($BJ408&lt;&gt;"Yes",$BJ408&lt;&gt;"N/A"),"Device ID, ","")&amp;IF(AND($BK408&lt;&gt;"Yes",$BK408&lt;&gt;"N/A"),"Epic Beans Relay, ",""),LEN(IF(AND($AW408&lt;&gt;"Yes",$AW408&lt;&gt;"N/A"),"Power Cable, ","")&amp;IF(AND($AX408&lt;&gt;"Yes",$AX408&lt;&gt;"N/A"),"Battery, ","")&amp;IF(AND($BE408&lt;&gt;"Yes",$BE408&lt;&gt;"N/A"),"Firmware Download, ","")&amp;IF(AND(OR($BE408="Yes",$BE408="N/A"),$BF408&lt;&gt;"Yes",$BF408&lt;&gt;"N/A"),"Firmware Install, ","")&amp;IF(AND($BJ408&lt;&gt;"Yes",$BJ408&lt;&gt;"N/A"),"Device ID, ","")&amp;IF(AND($BK408&lt;&gt;"Yes",$BK408&lt;&gt;"N/A"),"Epic Beans Relay, ",""))-2)))</f>
      </c>
      <c r="BM408">
        <f>IF($T408="","",IF($BL408="","Yes","Blocked"))</f>
      </c>
      <c r="BP408">
        <f>IF($BO408="","",IFERROR(VLOOKUP($BO408,'01_Warehouse_Ledger'!$A:$N,4,FALSE),""))</f>
      </c>
      <c r="BQ408">
        <f>IF($BO408="","",IFERROR(VLOOKUP($BO408,'01_Warehouse_Ledger'!$A:$N,5,FALSE),""))</f>
      </c>
      <c r="BR408">
        <f>IF($BO408="","",IFERROR(VLOOKUP($BO408,'01_Warehouse_Ledger'!$A:$N,13,FALSE),""))</f>
      </c>
    </row>
    <row r="409">
      <c r="D409">
        <f>IF($B409&lt;&gt;"Yes","",IF($C409="No","Yes",IF($C409="Yes","No","")))</f>
      </c>
      <c r="E409">
        <f>IF($A409="","",IF($A409="Neuron",IF(OR(AND($S409&lt;&gt;"",LOWER(TRIM($S409))&lt;&gt;"n/a",COUNTIF($S$2:$S$532,$S409)&gt;1),AND($T409&lt;&gt;"",LOWER(TRIM($T409))&lt;&gt;"n/a",COUNTIF($T$2:$T$532,$T409)&gt;1),AND($W409&lt;&gt;"",LOWER(TRIM($W409))&lt;&gt;"n/a",COUNTIF($W$2:$W$532,$W409)&gt;1)),"Yes","No"),IF($A409="Cybernet",IF(OR(AND($Y409&lt;&gt;"",LOWER(TRIM($Y409))&lt;&gt;"n/a",COUNTIF($Y$2:$Y$532,$Y409)&gt;1),AND($Z409&lt;&gt;"",LOWER(TRIM($Z409))&lt;&gt;"n/a",COUNTIF($Z$2:$Z$532,$Z409)&gt;1)),"Yes","No"),IF(AND($AL409&lt;&gt;"",LOWER(TRIM($AL409))&lt;&gt;"n/a",COUNTIF($AL$2:$AL$532,$AL409)&gt;1),"Yes","No"))))</f>
      </c>
      <c r="F409">
        <f>IF($B409&lt;&gt;"Yes","",
IF($A409="Neuron",
IF(OR(
AND($S409&lt;&gt;"",LOWER(TRIM($S409))&lt;&gt;"n/a",COUNTIFS($B$2:$B$532,"Yes",$A$2:$A$532,"Neuron",$S$2:$S$532,$S409)&gt;1),
AND($T409&lt;&gt;"",LOWER(TRIM($T409))&lt;&gt;"n/a",COUNTIFS($B$2:$B$532,"Yes",$A$2:$A$532,"Neuron",$T$2:$T$532,$T409)&gt;1),
AND($W409&lt;&gt;"",LOWER(TRIM($W409))&lt;&gt;"n/a",COUNTIFS($B$2:$B$532,"Yes",$A$2:$A$532,"Neuron",$W$2:$W$532,$W409)&gt;1)
),"Yes","No"),
IF($A409="Cybernet",
IF(OR(
AND($Y409&lt;&gt;"",LOWER(TRIM($Y409))&lt;&gt;"n/a",COUNTIFS($B$2:$B$532,"Yes",$A$2:$A$532,"Cybernet",$Y$2:$Y$532,$Y409)&gt;1),
AND($Z409&lt;&gt;"",LOWER(TRIM($Z409))&lt;&gt;"n/a",COUNTIFS($B$2:$B$532,"Yes",$A$2:$A$532,"Cybernet",$Z$2:$Z$532,$Z409)&gt;1)
),"Yes","No"),
IF(AND($AL409&lt;&gt;"",LOWER(TRIM($AL409))&lt;&gt;"n/a"),
IF(COUNTIFS($B$2:$B$532,"Yes",$A$2:$A$532,$A409,$AL$2:$AL$532,$AL409)&gt;1,"Yes","No"),
"No")
)
)
)</f>
      </c>
      <c r="BL409">
        <f>IF($T409="","",IF((IF(AND($AW409&lt;&gt;"Yes",$AW409&lt;&gt;"N/A"),"Power Cable, ","")&amp;IF(AND($AX409&lt;&gt;"Yes",$AX409&lt;&gt;"N/A"),"Battery, ","")&amp;IF(AND($BE409&lt;&gt;"Yes",$BE409&lt;&gt;"N/A"),"Firmware Download, ","")&amp;IF(AND(OR($BE409="Yes",$BE409="N/A"),$BF409&lt;&gt;"Yes",$BF409&lt;&gt;"N/A"),"Firmware Install, ","")&amp;IF(AND($BJ409&lt;&gt;"Yes",$BJ409&lt;&gt;"N/A"),"Device ID, ","")&amp;IF(AND($BK409&lt;&gt;"Yes",$BK409&lt;&gt;"N/A"),"Epic Beans Relay, ",""))="","",LEFT(IF(AND($AW409&lt;&gt;"Yes",$AW409&lt;&gt;"N/A"),"Power Cable, ","")&amp;IF(AND($AX409&lt;&gt;"Yes",$AX409&lt;&gt;"N/A"),"Battery, ","")&amp;IF(AND($BE409&lt;&gt;"Yes",$BE409&lt;&gt;"N/A"),"Firmware Download, ","")&amp;IF(AND(OR($BE409="Yes",$BE409="N/A"),$BF409&lt;&gt;"Yes",$BF409&lt;&gt;"N/A"),"Firmware Install, ","")&amp;IF(AND($BJ409&lt;&gt;"Yes",$BJ409&lt;&gt;"N/A"),"Device ID, ","")&amp;IF(AND($BK409&lt;&gt;"Yes",$BK409&lt;&gt;"N/A"),"Epic Beans Relay, ",""),LEN(IF(AND($AW409&lt;&gt;"Yes",$AW409&lt;&gt;"N/A"),"Power Cable, ","")&amp;IF(AND($AX409&lt;&gt;"Yes",$AX409&lt;&gt;"N/A"),"Battery, ","")&amp;IF(AND($BE409&lt;&gt;"Yes",$BE409&lt;&gt;"N/A"),"Firmware Download, ","")&amp;IF(AND(OR($BE409="Yes",$BE409="N/A"),$BF409&lt;&gt;"Yes",$BF409&lt;&gt;"N/A"),"Firmware Install, ","")&amp;IF(AND($BJ409&lt;&gt;"Yes",$BJ409&lt;&gt;"N/A"),"Device ID, ","")&amp;IF(AND($BK409&lt;&gt;"Yes",$BK409&lt;&gt;"N/A"),"Epic Beans Relay, ",""))-2)))</f>
      </c>
      <c r="BM409">
        <f>IF($T409="","",IF($BL409="","Yes","Blocked"))</f>
      </c>
      <c r="BP409">
        <f>IF($BO409="","",IFERROR(VLOOKUP($BO409,'01_Warehouse_Ledger'!$A:$N,4,FALSE),""))</f>
      </c>
      <c r="BQ409">
        <f>IF($BO409="","",IFERROR(VLOOKUP($BO409,'01_Warehouse_Ledger'!$A:$N,5,FALSE),""))</f>
      </c>
      <c r="BR409">
        <f>IF($BO409="","",IFERROR(VLOOKUP($BO409,'01_Warehouse_Ledger'!$A:$N,13,FALSE),""))</f>
      </c>
    </row>
    <row r="410">
      <c r="D410">
        <f>IF($B410&lt;&gt;"Yes","",IF($C410="No","Yes",IF($C410="Yes","No","")))</f>
      </c>
      <c r="E410">
        <f>IF($A410="","",IF($A410="Neuron",IF(OR(AND($S410&lt;&gt;"",LOWER(TRIM($S410))&lt;&gt;"n/a",COUNTIF($S$2:$S$532,$S410)&gt;1),AND($T410&lt;&gt;"",LOWER(TRIM($T410))&lt;&gt;"n/a",COUNTIF($T$2:$T$532,$T410)&gt;1),AND($W410&lt;&gt;"",LOWER(TRIM($W410))&lt;&gt;"n/a",COUNTIF($W$2:$W$532,$W410)&gt;1)),"Yes","No"),IF($A410="Cybernet",IF(OR(AND($Y410&lt;&gt;"",LOWER(TRIM($Y410))&lt;&gt;"n/a",COUNTIF($Y$2:$Y$532,$Y410)&gt;1),AND($Z410&lt;&gt;"",LOWER(TRIM($Z410))&lt;&gt;"n/a",COUNTIF($Z$2:$Z$532,$Z410)&gt;1)),"Yes","No"),IF(AND($AL410&lt;&gt;"",LOWER(TRIM($AL410))&lt;&gt;"n/a",COUNTIF($AL$2:$AL$532,$AL410)&gt;1),"Yes","No"))))</f>
      </c>
      <c r="F410">
        <f>IF($B410&lt;&gt;"Yes","",
IF($A410="Neuron",
IF(OR(
AND($S410&lt;&gt;"",LOWER(TRIM($S410))&lt;&gt;"n/a",COUNTIFS($B$2:$B$532,"Yes",$A$2:$A$532,"Neuron",$S$2:$S$532,$S410)&gt;1),
AND($T410&lt;&gt;"",LOWER(TRIM($T410))&lt;&gt;"n/a",COUNTIFS($B$2:$B$532,"Yes",$A$2:$A$532,"Neuron",$T$2:$T$532,$T410)&gt;1),
AND($W410&lt;&gt;"",LOWER(TRIM($W410))&lt;&gt;"n/a",COUNTIFS($B$2:$B$532,"Yes",$A$2:$A$532,"Neuron",$W$2:$W$532,$W410)&gt;1)
),"Yes","No"),
IF($A410="Cybernet",
IF(OR(
AND($Y410&lt;&gt;"",LOWER(TRIM($Y410))&lt;&gt;"n/a",COUNTIFS($B$2:$B$532,"Yes",$A$2:$A$532,"Cybernet",$Y$2:$Y$532,$Y410)&gt;1),
AND($Z410&lt;&gt;"",LOWER(TRIM($Z410))&lt;&gt;"n/a",COUNTIFS($B$2:$B$532,"Yes",$A$2:$A$532,"Cybernet",$Z$2:$Z$532,$Z410)&gt;1)
),"Yes","No"),
IF(AND($AL410&lt;&gt;"",LOWER(TRIM($AL410))&lt;&gt;"n/a"),
IF(COUNTIFS($B$2:$B$532,"Yes",$A$2:$A$532,$A410,$AL$2:$AL$532,$AL410)&gt;1,"Yes","No"),
"No")
)
)
)</f>
      </c>
      <c r="BL410">
        <f>IF($T410="","",IF((IF(AND($AW410&lt;&gt;"Yes",$AW410&lt;&gt;"N/A"),"Power Cable, ","")&amp;IF(AND($AX410&lt;&gt;"Yes",$AX410&lt;&gt;"N/A"),"Battery, ","")&amp;IF(AND($BE410&lt;&gt;"Yes",$BE410&lt;&gt;"N/A"),"Firmware Download, ","")&amp;IF(AND(OR($BE410="Yes",$BE410="N/A"),$BF410&lt;&gt;"Yes",$BF410&lt;&gt;"N/A"),"Firmware Install, ","")&amp;IF(AND($BJ410&lt;&gt;"Yes",$BJ410&lt;&gt;"N/A"),"Device ID, ","")&amp;IF(AND($BK410&lt;&gt;"Yes",$BK410&lt;&gt;"N/A"),"Epic Beans Relay, ",""))="","",LEFT(IF(AND($AW410&lt;&gt;"Yes",$AW410&lt;&gt;"N/A"),"Power Cable, ","")&amp;IF(AND($AX410&lt;&gt;"Yes",$AX410&lt;&gt;"N/A"),"Battery, ","")&amp;IF(AND($BE410&lt;&gt;"Yes",$BE410&lt;&gt;"N/A"),"Firmware Download, ","")&amp;IF(AND(OR($BE410="Yes",$BE410="N/A"),$BF410&lt;&gt;"Yes",$BF410&lt;&gt;"N/A"),"Firmware Install, ","")&amp;IF(AND($BJ410&lt;&gt;"Yes",$BJ410&lt;&gt;"N/A"),"Device ID, ","")&amp;IF(AND($BK410&lt;&gt;"Yes",$BK410&lt;&gt;"N/A"),"Epic Beans Relay, ",""),LEN(IF(AND($AW410&lt;&gt;"Yes",$AW410&lt;&gt;"N/A"),"Power Cable, ","")&amp;IF(AND($AX410&lt;&gt;"Yes",$AX410&lt;&gt;"N/A"),"Battery, ","")&amp;IF(AND($BE410&lt;&gt;"Yes",$BE410&lt;&gt;"N/A"),"Firmware Download, ","")&amp;IF(AND(OR($BE410="Yes",$BE410="N/A"),$BF410&lt;&gt;"Yes",$BF410&lt;&gt;"N/A"),"Firmware Install, ","")&amp;IF(AND($BJ410&lt;&gt;"Yes",$BJ410&lt;&gt;"N/A"),"Device ID, ","")&amp;IF(AND($BK410&lt;&gt;"Yes",$BK410&lt;&gt;"N/A"),"Epic Beans Relay, ",""))-2)))</f>
      </c>
      <c r="BM410">
        <f>IF($T410="","",IF($BL410="","Yes","Blocked"))</f>
      </c>
      <c r="BP410">
        <f>IF($BO410="","",IFERROR(VLOOKUP($BO410,'01_Warehouse_Ledger'!$A:$N,4,FALSE),""))</f>
      </c>
      <c r="BQ410">
        <f>IF($BO410="","",IFERROR(VLOOKUP($BO410,'01_Warehouse_Ledger'!$A:$N,5,FALSE),""))</f>
      </c>
      <c r="BR410">
        <f>IF($BO410="","",IFERROR(VLOOKUP($BO410,'01_Warehouse_Ledger'!$A:$N,13,FALSE),""))</f>
      </c>
    </row>
    <row r="411">
      <c r="D411">
        <f>IF($B411&lt;&gt;"Yes","",IF($C411="No","Yes",IF($C411="Yes","No","")))</f>
      </c>
      <c r="E411">
        <f>IF($A411="","",IF($A411="Neuron",IF(OR(AND($S411&lt;&gt;"",LOWER(TRIM($S411))&lt;&gt;"n/a",COUNTIF($S$2:$S$532,$S411)&gt;1),AND($T411&lt;&gt;"",LOWER(TRIM($T411))&lt;&gt;"n/a",COUNTIF($T$2:$T$532,$T411)&gt;1),AND($W411&lt;&gt;"",LOWER(TRIM($W411))&lt;&gt;"n/a",COUNTIF($W$2:$W$532,$W411)&gt;1)),"Yes","No"),IF($A411="Cybernet",IF(OR(AND($Y411&lt;&gt;"",LOWER(TRIM($Y411))&lt;&gt;"n/a",COUNTIF($Y$2:$Y$532,$Y411)&gt;1),AND($Z411&lt;&gt;"",LOWER(TRIM($Z411))&lt;&gt;"n/a",COUNTIF($Z$2:$Z$532,$Z411)&gt;1)),"Yes","No"),IF(AND($AL411&lt;&gt;"",LOWER(TRIM($AL411))&lt;&gt;"n/a",COUNTIF($AL$2:$AL$532,$AL411)&gt;1),"Yes","No"))))</f>
      </c>
      <c r="F411">
        <f>IF($B411&lt;&gt;"Yes","",
IF($A411="Neuron",
IF(OR(
AND($S411&lt;&gt;"",LOWER(TRIM($S411))&lt;&gt;"n/a",COUNTIFS($B$2:$B$532,"Yes",$A$2:$A$532,"Neuron",$S$2:$S$532,$S411)&gt;1),
AND($T411&lt;&gt;"",LOWER(TRIM($T411))&lt;&gt;"n/a",COUNTIFS($B$2:$B$532,"Yes",$A$2:$A$532,"Neuron",$T$2:$T$532,$T411)&gt;1),
AND($W411&lt;&gt;"",LOWER(TRIM($W411))&lt;&gt;"n/a",COUNTIFS($B$2:$B$532,"Yes",$A$2:$A$532,"Neuron",$W$2:$W$532,$W411)&gt;1)
),"Yes","No"),
IF($A411="Cybernet",
IF(OR(
AND($Y411&lt;&gt;"",LOWER(TRIM($Y411))&lt;&gt;"n/a",COUNTIFS($B$2:$B$532,"Yes",$A$2:$A$532,"Cybernet",$Y$2:$Y$532,$Y411)&gt;1),
AND($Z411&lt;&gt;"",LOWER(TRIM($Z411))&lt;&gt;"n/a",COUNTIFS($B$2:$B$532,"Yes",$A$2:$A$532,"Cybernet",$Z$2:$Z$532,$Z411)&gt;1)
),"Yes","No"),
IF(AND($AL411&lt;&gt;"",LOWER(TRIM($AL411))&lt;&gt;"n/a"),
IF(COUNTIFS($B$2:$B$532,"Yes",$A$2:$A$532,$A411,$AL$2:$AL$532,$AL411)&gt;1,"Yes","No"),
"No")
)
)
)</f>
      </c>
      <c r="BL411">
        <f>IF($T411="","",IF((IF(AND($AW411&lt;&gt;"Yes",$AW411&lt;&gt;"N/A"),"Power Cable, ","")&amp;IF(AND($AX411&lt;&gt;"Yes",$AX411&lt;&gt;"N/A"),"Battery, ","")&amp;IF(AND($BE411&lt;&gt;"Yes",$BE411&lt;&gt;"N/A"),"Firmware Download, ","")&amp;IF(AND(OR($BE411="Yes",$BE411="N/A"),$BF411&lt;&gt;"Yes",$BF411&lt;&gt;"N/A"),"Firmware Install, ","")&amp;IF(AND($BJ411&lt;&gt;"Yes",$BJ411&lt;&gt;"N/A"),"Device ID, ","")&amp;IF(AND($BK411&lt;&gt;"Yes",$BK411&lt;&gt;"N/A"),"Epic Beans Relay, ",""))="","",LEFT(IF(AND($AW411&lt;&gt;"Yes",$AW411&lt;&gt;"N/A"),"Power Cable, ","")&amp;IF(AND($AX411&lt;&gt;"Yes",$AX411&lt;&gt;"N/A"),"Battery, ","")&amp;IF(AND($BE411&lt;&gt;"Yes",$BE411&lt;&gt;"N/A"),"Firmware Download, ","")&amp;IF(AND(OR($BE411="Yes",$BE411="N/A"),$BF411&lt;&gt;"Yes",$BF411&lt;&gt;"N/A"),"Firmware Install, ","")&amp;IF(AND($BJ411&lt;&gt;"Yes",$BJ411&lt;&gt;"N/A"),"Device ID, ","")&amp;IF(AND($BK411&lt;&gt;"Yes",$BK411&lt;&gt;"N/A"),"Epic Beans Relay, ",""),LEN(IF(AND($AW411&lt;&gt;"Yes",$AW411&lt;&gt;"N/A"),"Power Cable, ","")&amp;IF(AND($AX411&lt;&gt;"Yes",$AX411&lt;&gt;"N/A"),"Battery, ","")&amp;IF(AND($BE411&lt;&gt;"Yes",$BE411&lt;&gt;"N/A"),"Firmware Download, ","")&amp;IF(AND(OR($BE411="Yes",$BE411="N/A"),$BF411&lt;&gt;"Yes",$BF411&lt;&gt;"N/A"),"Firmware Install, ","")&amp;IF(AND($BJ411&lt;&gt;"Yes",$BJ411&lt;&gt;"N/A"),"Device ID, ","")&amp;IF(AND($BK411&lt;&gt;"Yes",$BK411&lt;&gt;"N/A"),"Epic Beans Relay, ",""))-2)))</f>
      </c>
      <c r="BM411">
        <f>IF($T411="","",IF($BL411="","Yes","Blocked"))</f>
      </c>
      <c r="BP411">
        <f>IF($BO411="","",IFERROR(VLOOKUP($BO411,'01_Warehouse_Ledger'!$A:$N,4,FALSE),""))</f>
      </c>
      <c r="BQ411">
        <f>IF($BO411="","",IFERROR(VLOOKUP($BO411,'01_Warehouse_Ledger'!$A:$N,5,FALSE),""))</f>
      </c>
      <c r="BR411">
        <f>IF($BO411="","",IFERROR(VLOOKUP($BO411,'01_Warehouse_Ledger'!$A:$N,13,FALSE),""))</f>
      </c>
    </row>
    <row r="412">
      <c r="D412">
        <f>IF($B412&lt;&gt;"Yes","",IF($C412="No","Yes",IF($C412="Yes","No","")))</f>
      </c>
      <c r="E412">
        <f>IF($A412="","",IF($A412="Neuron",IF(OR(AND($S412&lt;&gt;"",LOWER(TRIM($S412))&lt;&gt;"n/a",COUNTIF($S$2:$S$532,$S412)&gt;1),AND($T412&lt;&gt;"",LOWER(TRIM($T412))&lt;&gt;"n/a",COUNTIF($T$2:$T$532,$T412)&gt;1),AND($W412&lt;&gt;"",LOWER(TRIM($W412))&lt;&gt;"n/a",COUNTIF($W$2:$W$532,$W412)&gt;1)),"Yes","No"),IF($A412="Cybernet",IF(OR(AND($Y412&lt;&gt;"",LOWER(TRIM($Y412))&lt;&gt;"n/a",COUNTIF($Y$2:$Y$532,$Y412)&gt;1),AND($Z412&lt;&gt;"",LOWER(TRIM($Z412))&lt;&gt;"n/a",COUNTIF($Z$2:$Z$532,$Z412)&gt;1)),"Yes","No"),IF(AND($AL412&lt;&gt;"",LOWER(TRIM($AL412))&lt;&gt;"n/a",COUNTIF($AL$2:$AL$532,$AL412)&gt;1),"Yes","No"))))</f>
      </c>
      <c r="F412">
        <f>IF($B412&lt;&gt;"Yes","",
IF($A412="Neuron",
IF(OR(
AND($S412&lt;&gt;"",LOWER(TRIM($S412))&lt;&gt;"n/a",COUNTIFS($B$2:$B$532,"Yes",$A$2:$A$532,"Neuron",$S$2:$S$532,$S412)&gt;1),
AND($T412&lt;&gt;"",LOWER(TRIM($T412))&lt;&gt;"n/a",COUNTIFS($B$2:$B$532,"Yes",$A$2:$A$532,"Neuron",$T$2:$T$532,$T412)&gt;1),
AND($W412&lt;&gt;"",LOWER(TRIM($W412))&lt;&gt;"n/a",COUNTIFS($B$2:$B$532,"Yes",$A$2:$A$532,"Neuron",$W$2:$W$532,$W412)&gt;1)
),"Yes","No"),
IF($A412="Cybernet",
IF(OR(
AND($Y412&lt;&gt;"",LOWER(TRIM($Y412))&lt;&gt;"n/a",COUNTIFS($B$2:$B$532,"Yes",$A$2:$A$532,"Cybernet",$Y$2:$Y$532,$Y412)&gt;1),
AND($Z412&lt;&gt;"",LOWER(TRIM($Z412))&lt;&gt;"n/a",COUNTIFS($B$2:$B$532,"Yes",$A$2:$A$532,"Cybernet",$Z$2:$Z$532,$Z412)&gt;1)
),"Yes","No"),
IF(AND($AL412&lt;&gt;"",LOWER(TRIM($AL412))&lt;&gt;"n/a"),
IF(COUNTIFS($B$2:$B$532,"Yes",$A$2:$A$532,$A412,$AL$2:$AL$532,$AL412)&gt;1,"Yes","No"),
"No")
)
)
)</f>
      </c>
      <c r="BL412">
        <f>IF($T412="","",IF((IF(AND($AW412&lt;&gt;"Yes",$AW412&lt;&gt;"N/A"),"Power Cable, ","")&amp;IF(AND($AX412&lt;&gt;"Yes",$AX412&lt;&gt;"N/A"),"Battery, ","")&amp;IF(AND($BE412&lt;&gt;"Yes",$BE412&lt;&gt;"N/A"),"Firmware Download, ","")&amp;IF(AND(OR($BE412="Yes",$BE412="N/A"),$BF412&lt;&gt;"Yes",$BF412&lt;&gt;"N/A"),"Firmware Install, ","")&amp;IF(AND($BJ412&lt;&gt;"Yes",$BJ412&lt;&gt;"N/A"),"Device ID, ","")&amp;IF(AND($BK412&lt;&gt;"Yes",$BK412&lt;&gt;"N/A"),"Epic Beans Relay, ",""))="","",LEFT(IF(AND($AW412&lt;&gt;"Yes",$AW412&lt;&gt;"N/A"),"Power Cable, ","")&amp;IF(AND($AX412&lt;&gt;"Yes",$AX412&lt;&gt;"N/A"),"Battery, ","")&amp;IF(AND($BE412&lt;&gt;"Yes",$BE412&lt;&gt;"N/A"),"Firmware Download, ","")&amp;IF(AND(OR($BE412="Yes",$BE412="N/A"),$BF412&lt;&gt;"Yes",$BF412&lt;&gt;"N/A"),"Firmware Install, ","")&amp;IF(AND($BJ412&lt;&gt;"Yes",$BJ412&lt;&gt;"N/A"),"Device ID, ","")&amp;IF(AND($BK412&lt;&gt;"Yes",$BK412&lt;&gt;"N/A"),"Epic Beans Relay, ",""),LEN(IF(AND($AW412&lt;&gt;"Yes",$AW412&lt;&gt;"N/A"),"Power Cable, ","")&amp;IF(AND($AX412&lt;&gt;"Yes",$AX412&lt;&gt;"N/A"),"Battery, ","")&amp;IF(AND($BE412&lt;&gt;"Yes",$BE412&lt;&gt;"N/A"),"Firmware Download, ","")&amp;IF(AND(OR($BE412="Yes",$BE412="N/A"),$BF412&lt;&gt;"Yes",$BF412&lt;&gt;"N/A"),"Firmware Install, ","")&amp;IF(AND($BJ412&lt;&gt;"Yes",$BJ412&lt;&gt;"N/A"),"Device ID, ","")&amp;IF(AND($BK412&lt;&gt;"Yes",$BK412&lt;&gt;"N/A"),"Epic Beans Relay, ",""))-2)))</f>
      </c>
      <c r="BM412">
        <f>IF($T412="","",IF($BL412="","Yes","Blocked"))</f>
      </c>
      <c r="BP412">
        <f>IF($BO412="","",IFERROR(VLOOKUP($BO412,'01_Warehouse_Ledger'!$A:$N,4,FALSE),""))</f>
      </c>
      <c r="BQ412">
        <f>IF($BO412="","",IFERROR(VLOOKUP($BO412,'01_Warehouse_Ledger'!$A:$N,5,FALSE),""))</f>
      </c>
      <c r="BR412">
        <f>IF($BO412="","",IFERROR(VLOOKUP($BO412,'01_Warehouse_Ledger'!$A:$N,13,FALSE),""))</f>
      </c>
    </row>
    <row r="413">
      <c r="D413">
        <f>IF($B413&lt;&gt;"Yes","",IF($C413="No","Yes",IF($C413="Yes","No","")))</f>
      </c>
      <c r="E413">
        <f>IF($A413="","",IF($A413="Neuron",IF(OR(AND($S413&lt;&gt;"",LOWER(TRIM($S413))&lt;&gt;"n/a",COUNTIF($S$2:$S$532,$S413)&gt;1),AND($T413&lt;&gt;"",LOWER(TRIM($T413))&lt;&gt;"n/a",COUNTIF($T$2:$T$532,$T413)&gt;1),AND($W413&lt;&gt;"",LOWER(TRIM($W413))&lt;&gt;"n/a",COUNTIF($W$2:$W$532,$W413)&gt;1)),"Yes","No"),IF($A413="Cybernet",IF(OR(AND($Y413&lt;&gt;"",LOWER(TRIM($Y413))&lt;&gt;"n/a",COUNTIF($Y$2:$Y$532,$Y413)&gt;1),AND($Z413&lt;&gt;"",LOWER(TRIM($Z413))&lt;&gt;"n/a",COUNTIF($Z$2:$Z$532,$Z413)&gt;1)),"Yes","No"),IF(AND($AL413&lt;&gt;"",LOWER(TRIM($AL413))&lt;&gt;"n/a",COUNTIF($AL$2:$AL$532,$AL413)&gt;1),"Yes","No"))))</f>
      </c>
      <c r="F413">
        <f>IF($B413&lt;&gt;"Yes","",
IF($A413="Neuron",
IF(OR(
AND($S413&lt;&gt;"",LOWER(TRIM($S413))&lt;&gt;"n/a",COUNTIFS($B$2:$B$532,"Yes",$A$2:$A$532,"Neuron",$S$2:$S$532,$S413)&gt;1),
AND($T413&lt;&gt;"",LOWER(TRIM($T413))&lt;&gt;"n/a",COUNTIFS($B$2:$B$532,"Yes",$A$2:$A$532,"Neuron",$T$2:$T$532,$T413)&gt;1),
AND($W413&lt;&gt;"",LOWER(TRIM($W413))&lt;&gt;"n/a",COUNTIFS($B$2:$B$532,"Yes",$A$2:$A$532,"Neuron",$W$2:$W$532,$W413)&gt;1)
),"Yes","No"),
IF($A413="Cybernet",
IF(OR(
AND($Y413&lt;&gt;"",LOWER(TRIM($Y413))&lt;&gt;"n/a",COUNTIFS($B$2:$B$532,"Yes",$A$2:$A$532,"Cybernet",$Y$2:$Y$532,$Y413)&gt;1),
AND($Z413&lt;&gt;"",LOWER(TRIM($Z413))&lt;&gt;"n/a",COUNTIFS($B$2:$B$532,"Yes",$A$2:$A$532,"Cybernet",$Z$2:$Z$532,$Z413)&gt;1)
),"Yes","No"),
IF(AND($AL413&lt;&gt;"",LOWER(TRIM($AL413))&lt;&gt;"n/a"),
IF(COUNTIFS($B$2:$B$532,"Yes",$A$2:$A$532,$A413,$AL$2:$AL$532,$AL413)&gt;1,"Yes","No"),
"No")
)
)
)</f>
      </c>
      <c r="BL413">
        <f>IF($T413="","",IF((IF(AND($AW413&lt;&gt;"Yes",$AW413&lt;&gt;"N/A"),"Power Cable, ","")&amp;IF(AND($AX413&lt;&gt;"Yes",$AX413&lt;&gt;"N/A"),"Battery, ","")&amp;IF(AND($BE413&lt;&gt;"Yes",$BE413&lt;&gt;"N/A"),"Firmware Download, ","")&amp;IF(AND(OR($BE413="Yes",$BE413="N/A"),$BF413&lt;&gt;"Yes",$BF413&lt;&gt;"N/A"),"Firmware Install, ","")&amp;IF(AND($BJ413&lt;&gt;"Yes",$BJ413&lt;&gt;"N/A"),"Device ID, ","")&amp;IF(AND($BK413&lt;&gt;"Yes",$BK413&lt;&gt;"N/A"),"Epic Beans Relay, ",""))="","",LEFT(IF(AND($AW413&lt;&gt;"Yes",$AW413&lt;&gt;"N/A"),"Power Cable, ","")&amp;IF(AND($AX413&lt;&gt;"Yes",$AX413&lt;&gt;"N/A"),"Battery, ","")&amp;IF(AND($BE413&lt;&gt;"Yes",$BE413&lt;&gt;"N/A"),"Firmware Download, ","")&amp;IF(AND(OR($BE413="Yes",$BE413="N/A"),$BF413&lt;&gt;"Yes",$BF413&lt;&gt;"N/A"),"Firmware Install, ","")&amp;IF(AND($BJ413&lt;&gt;"Yes",$BJ413&lt;&gt;"N/A"),"Device ID, ","")&amp;IF(AND($BK413&lt;&gt;"Yes",$BK413&lt;&gt;"N/A"),"Epic Beans Relay, ",""),LEN(IF(AND($AW413&lt;&gt;"Yes",$AW413&lt;&gt;"N/A"),"Power Cable, ","")&amp;IF(AND($AX413&lt;&gt;"Yes",$AX413&lt;&gt;"N/A"),"Battery, ","")&amp;IF(AND($BE413&lt;&gt;"Yes",$BE413&lt;&gt;"N/A"),"Firmware Download, ","")&amp;IF(AND(OR($BE413="Yes",$BE413="N/A"),$BF413&lt;&gt;"Yes",$BF413&lt;&gt;"N/A"),"Firmware Install, ","")&amp;IF(AND($BJ413&lt;&gt;"Yes",$BJ413&lt;&gt;"N/A"),"Device ID, ","")&amp;IF(AND($BK413&lt;&gt;"Yes",$BK413&lt;&gt;"N/A"),"Epic Beans Relay, ",""))-2)))</f>
      </c>
      <c r="BM413">
        <f>IF($T413="","",IF($BL413="","Yes","Blocked"))</f>
      </c>
      <c r="BP413">
        <f>IF($BO413="","",IFERROR(VLOOKUP($BO413,'01_Warehouse_Ledger'!$A:$N,4,FALSE),""))</f>
      </c>
      <c r="BQ413">
        <f>IF($BO413="","",IFERROR(VLOOKUP($BO413,'01_Warehouse_Ledger'!$A:$N,5,FALSE),""))</f>
      </c>
      <c r="BR413">
        <f>IF($BO413="","",IFERROR(VLOOKUP($BO413,'01_Warehouse_Ledger'!$A:$N,13,FALSE),""))</f>
      </c>
    </row>
    <row r="414">
      <c r="D414">
        <f>IF($B414&lt;&gt;"Yes","",IF($C414="No","Yes",IF($C414="Yes","No","")))</f>
      </c>
      <c r="E414">
        <f>IF($A414="","",IF($A414="Neuron",IF(OR(AND($S414&lt;&gt;"",LOWER(TRIM($S414))&lt;&gt;"n/a",COUNTIF($S$2:$S$532,$S414)&gt;1),AND($T414&lt;&gt;"",LOWER(TRIM($T414))&lt;&gt;"n/a",COUNTIF($T$2:$T$532,$T414)&gt;1),AND($W414&lt;&gt;"",LOWER(TRIM($W414))&lt;&gt;"n/a",COUNTIF($W$2:$W$532,$W414)&gt;1)),"Yes","No"),IF($A414="Cybernet",IF(OR(AND($Y414&lt;&gt;"",LOWER(TRIM($Y414))&lt;&gt;"n/a",COUNTIF($Y$2:$Y$532,$Y414)&gt;1),AND($Z414&lt;&gt;"",LOWER(TRIM($Z414))&lt;&gt;"n/a",COUNTIF($Z$2:$Z$532,$Z414)&gt;1)),"Yes","No"),IF(AND($AL414&lt;&gt;"",LOWER(TRIM($AL414))&lt;&gt;"n/a",COUNTIF($AL$2:$AL$532,$AL414)&gt;1),"Yes","No"))))</f>
      </c>
      <c r="F414">
        <f>IF($B414&lt;&gt;"Yes","",
IF($A414="Neuron",
IF(OR(
AND($S414&lt;&gt;"",LOWER(TRIM($S414))&lt;&gt;"n/a",COUNTIFS($B$2:$B$532,"Yes",$A$2:$A$532,"Neuron",$S$2:$S$532,$S414)&gt;1),
AND($T414&lt;&gt;"",LOWER(TRIM($T414))&lt;&gt;"n/a",COUNTIFS($B$2:$B$532,"Yes",$A$2:$A$532,"Neuron",$T$2:$T$532,$T414)&gt;1),
AND($W414&lt;&gt;"",LOWER(TRIM($W414))&lt;&gt;"n/a",COUNTIFS($B$2:$B$532,"Yes",$A$2:$A$532,"Neuron",$W$2:$W$532,$W414)&gt;1)
),"Yes","No"),
IF($A414="Cybernet",
IF(OR(
AND($Y414&lt;&gt;"",LOWER(TRIM($Y414))&lt;&gt;"n/a",COUNTIFS($B$2:$B$532,"Yes",$A$2:$A$532,"Cybernet",$Y$2:$Y$532,$Y414)&gt;1),
AND($Z414&lt;&gt;"",LOWER(TRIM($Z414))&lt;&gt;"n/a",COUNTIFS($B$2:$B$532,"Yes",$A$2:$A$532,"Cybernet",$Z$2:$Z$532,$Z414)&gt;1)
),"Yes","No"),
IF(AND($AL414&lt;&gt;"",LOWER(TRIM($AL414))&lt;&gt;"n/a"),
IF(COUNTIFS($B$2:$B$532,"Yes",$A$2:$A$532,$A414,$AL$2:$AL$532,$AL414)&gt;1,"Yes","No"),
"No")
)
)
)</f>
      </c>
      <c r="BL414">
        <f>IF($T414="","",IF((IF(AND($AW414&lt;&gt;"Yes",$AW414&lt;&gt;"N/A"),"Power Cable, ","")&amp;IF(AND($AX414&lt;&gt;"Yes",$AX414&lt;&gt;"N/A"),"Battery, ","")&amp;IF(AND($BE414&lt;&gt;"Yes",$BE414&lt;&gt;"N/A"),"Firmware Download, ","")&amp;IF(AND(OR($BE414="Yes",$BE414="N/A"),$BF414&lt;&gt;"Yes",$BF414&lt;&gt;"N/A"),"Firmware Install, ","")&amp;IF(AND($BJ414&lt;&gt;"Yes",$BJ414&lt;&gt;"N/A"),"Device ID, ","")&amp;IF(AND($BK414&lt;&gt;"Yes",$BK414&lt;&gt;"N/A"),"Epic Beans Relay, ",""))="","",LEFT(IF(AND($AW414&lt;&gt;"Yes",$AW414&lt;&gt;"N/A"),"Power Cable, ","")&amp;IF(AND($AX414&lt;&gt;"Yes",$AX414&lt;&gt;"N/A"),"Battery, ","")&amp;IF(AND($BE414&lt;&gt;"Yes",$BE414&lt;&gt;"N/A"),"Firmware Download, ","")&amp;IF(AND(OR($BE414="Yes",$BE414="N/A"),$BF414&lt;&gt;"Yes",$BF414&lt;&gt;"N/A"),"Firmware Install, ","")&amp;IF(AND($BJ414&lt;&gt;"Yes",$BJ414&lt;&gt;"N/A"),"Device ID, ","")&amp;IF(AND($BK414&lt;&gt;"Yes",$BK414&lt;&gt;"N/A"),"Epic Beans Relay, ",""),LEN(IF(AND($AW414&lt;&gt;"Yes",$AW414&lt;&gt;"N/A"),"Power Cable, ","")&amp;IF(AND($AX414&lt;&gt;"Yes",$AX414&lt;&gt;"N/A"),"Battery, ","")&amp;IF(AND($BE414&lt;&gt;"Yes",$BE414&lt;&gt;"N/A"),"Firmware Download, ","")&amp;IF(AND(OR($BE414="Yes",$BE414="N/A"),$BF414&lt;&gt;"Yes",$BF414&lt;&gt;"N/A"),"Firmware Install, ","")&amp;IF(AND($BJ414&lt;&gt;"Yes",$BJ414&lt;&gt;"N/A"),"Device ID, ","")&amp;IF(AND($BK414&lt;&gt;"Yes",$BK414&lt;&gt;"N/A"),"Epic Beans Relay, ",""))-2)))</f>
      </c>
      <c r="BM414">
        <f>IF($T414="","",IF($BL414="","Yes","Blocked"))</f>
      </c>
      <c r="BP414">
        <f>IF($BO414="","",IFERROR(VLOOKUP($BO414,'01_Warehouse_Ledger'!$A:$N,4,FALSE),""))</f>
      </c>
      <c r="BQ414">
        <f>IF($BO414="","",IFERROR(VLOOKUP($BO414,'01_Warehouse_Ledger'!$A:$N,5,FALSE),""))</f>
      </c>
      <c r="BR414">
        <f>IF($BO414="","",IFERROR(VLOOKUP($BO414,'01_Warehouse_Ledger'!$A:$N,13,FALSE),""))</f>
      </c>
    </row>
    <row r="415">
      <c r="D415">
        <f>IF($B415&lt;&gt;"Yes","",IF($C415="No","Yes",IF($C415="Yes","No","")))</f>
      </c>
      <c r="E415">
        <f>IF($A415="","",IF($A415="Neuron",IF(OR(AND($S415&lt;&gt;"",LOWER(TRIM($S415))&lt;&gt;"n/a",COUNTIF($S$2:$S$532,$S415)&gt;1),AND($T415&lt;&gt;"",LOWER(TRIM($T415))&lt;&gt;"n/a",COUNTIF($T$2:$T$532,$T415)&gt;1),AND($W415&lt;&gt;"",LOWER(TRIM($W415))&lt;&gt;"n/a",COUNTIF($W$2:$W$532,$W415)&gt;1)),"Yes","No"),IF($A415="Cybernet",IF(OR(AND($Y415&lt;&gt;"",LOWER(TRIM($Y415))&lt;&gt;"n/a",COUNTIF($Y$2:$Y$532,$Y415)&gt;1),AND($Z415&lt;&gt;"",LOWER(TRIM($Z415))&lt;&gt;"n/a",COUNTIF($Z$2:$Z$532,$Z415)&gt;1)),"Yes","No"),IF(AND($AL415&lt;&gt;"",LOWER(TRIM($AL415))&lt;&gt;"n/a",COUNTIF($AL$2:$AL$532,$AL415)&gt;1),"Yes","No"))))</f>
      </c>
      <c r="F415">
        <f>IF($B415&lt;&gt;"Yes","",
IF($A415="Neuron",
IF(OR(
AND($S415&lt;&gt;"",LOWER(TRIM($S415))&lt;&gt;"n/a",COUNTIFS($B$2:$B$532,"Yes",$A$2:$A$532,"Neuron",$S$2:$S$532,$S415)&gt;1),
AND($T415&lt;&gt;"",LOWER(TRIM($T415))&lt;&gt;"n/a",COUNTIFS($B$2:$B$532,"Yes",$A$2:$A$532,"Neuron",$T$2:$T$532,$T415)&gt;1),
AND($W415&lt;&gt;"",LOWER(TRIM($W415))&lt;&gt;"n/a",COUNTIFS($B$2:$B$532,"Yes",$A$2:$A$532,"Neuron",$W$2:$W$532,$W415)&gt;1)
),"Yes","No"),
IF($A415="Cybernet",
IF(OR(
AND($Y415&lt;&gt;"",LOWER(TRIM($Y415))&lt;&gt;"n/a",COUNTIFS($B$2:$B$532,"Yes",$A$2:$A$532,"Cybernet",$Y$2:$Y$532,$Y415)&gt;1),
AND($Z415&lt;&gt;"",LOWER(TRIM($Z415))&lt;&gt;"n/a",COUNTIFS($B$2:$B$532,"Yes",$A$2:$A$532,"Cybernet",$Z$2:$Z$532,$Z415)&gt;1)
),"Yes","No"),
IF(AND($AL415&lt;&gt;"",LOWER(TRIM($AL415))&lt;&gt;"n/a"),
IF(COUNTIFS($B$2:$B$532,"Yes",$A$2:$A$532,$A415,$AL$2:$AL$532,$AL415)&gt;1,"Yes","No"),
"No")
)
)
)</f>
      </c>
      <c r="BL415">
        <f>IF($T415="","",IF((IF(AND($AW415&lt;&gt;"Yes",$AW415&lt;&gt;"N/A"),"Power Cable, ","")&amp;IF(AND($AX415&lt;&gt;"Yes",$AX415&lt;&gt;"N/A"),"Battery, ","")&amp;IF(AND($BE415&lt;&gt;"Yes",$BE415&lt;&gt;"N/A"),"Firmware Download, ","")&amp;IF(AND(OR($BE415="Yes",$BE415="N/A"),$BF415&lt;&gt;"Yes",$BF415&lt;&gt;"N/A"),"Firmware Install, ","")&amp;IF(AND($BJ415&lt;&gt;"Yes",$BJ415&lt;&gt;"N/A"),"Device ID, ","")&amp;IF(AND($BK415&lt;&gt;"Yes",$BK415&lt;&gt;"N/A"),"Epic Beans Relay, ",""))="","",LEFT(IF(AND($AW415&lt;&gt;"Yes",$AW415&lt;&gt;"N/A"),"Power Cable, ","")&amp;IF(AND($AX415&lt;&gt;"Yes",$AX415&lt;&gt;"N/A"),"Battery, ","")&amp;IF(AND($BE415&lt;&gt;"Yes",$BE415&lt;&gt;"N/A"),"Firmware Download, ","")&amp;IF(AND(OR($BE415="Yes",$BE415="N/A"),$BF415&lt;&gt;"Yes",$BF415&lt;&gt;"N/A"),"Firmware Install, ","")&amp;IF(AND($BJ415&lt;&gt;"Yes",$BJ415&lt;&gt;"N/A"),"Device ID, ","")&amp;IF(AND($BK415&lt;&gt;"Yes",$BK415&lt;&gt;"N/A"),"Epic Beans Relay, ",""),LEN(IF(AND($AW415&lt;&gt;"Yes",$AW415&lt;&gt;"N/A"),"Power Cable, ","")&amp;IF(AND($AX415&lt;&gt;"Yes",$AX415&lt;&gt;"N/A"),"Battery, ","")&amp;IF(AND($BE415&lt;&gt;"Yes",$BE415&lt;&gt;"N/A"),"Firmware Download, ","")&amp;IF(AND(OR($BE415="Yes",$BE415="N/A"),$BF415&lt;&gt;"Yes",$BF415&lt;&gt;"N/A"),"Firmware Install, ","")&amp;IF(AND($BJ415&lt;&gt;"Yes",$BJ415&lt;&gt;"N/A"),"Device ID, ","")&amp;IF(AND($BK415&lt;&gt;"Yes",$BK415&lt;&gt;"N/A"),"Epic Beans Relay, ",""))-2)))</f>
      </c>
      <c r="BM415">
        <f>IF($T415="","",IF($BL415="","Yes","Blocked"))</f>
      </c>
      <c r="BP415">
        <f>IF($BO415="","",IFERROR(VLOOKUP($BO415,'01_Warehouse_Ledger'!$A:$N,4,FALSE),""))</f>
      </c>
      <c r="BQ415">
        <f>IF($BO415="","",IFERROR(VLOOKUP($BO415,'01_Warehouse_Ledger'!$A:$N,5,FALSE),""))</f>
      </c>
      <c r="BR415">
        <f>IF($BO415="","",IFERROR(VLOOKUP($BO415,'01_Warehouse_Ledger'!$A:$N,13,FALSE),""))</f>
      </c>
    </row>
    <row r="416">
      <c r="D416">
        <f>IF($B416&lt;&gt;"Yes","",IF($C416="No","Yes",IF($C416="Yes","No","")))</f>
      </c>
      <c r="E416">
        <f>IF($A416="","",IF($A416="Neuron",IF(OR(AND($S416&lt;&gt;"",LOWER(TRIM($S416))&lt;&gt;"n/a",COUNTIF($S$2:$S$532,$S416)&gt;1),AND($T416&lt;&gt;"",LOWER(TRIM($T416))&lt;&gt;"n/a",COUNTIF($T$2:$T$532,$T416)&gt;1),AND($W416&lt;&gt;"",LOWER(TRIM($W416))&lt;&gt;"n/a",COUNTIF($W$2:$W$532,$W416)&gt;1)),"Yes","No"),IF($A416="Cybernet",IF(OR(AND($Y416&lt;&gt;"",LOWER(TRIM($Y416))&lt;&gt;"n/a",COUNTIF($Y$2:$Y$532,$Y416)&gt;1),AND($Z416&lt;&gt;"",LOWER(TRIM($Z416))&lt;&gt;"n/a",COUNTIF($Z$2:$Z$532,$Z416)&gt;1)),"Yes","No"),IF(AND($AL416&lt;&gt;"",LOWER(TRIM($AL416))&lt;&gt;"n/a",COUNTIF($AL$2:$AL$532,$AL416)&gt;1),"Yes","No"))))</f>
      </c>
      <c r="F416">
        <f>IF($B416&lt;&gt;"Yes","",
IF($A416="Neuron",
IF(OR(
AND($S416&lt;&gt;"",LOWER(TRIM($S416))&lt;&gt;"n/a",COUNTIFS($B$2:$B$532,"Yes",$A$2:$A$532,"Neuron",$S$2:$S$532,$S416)&gt;1),
AND($T416&lt;&gt;"",LOWER(TRIM($T416))&lt;&gt;"n/a",COUNTIFS($B$2:$B$532,"Yes",$A$2:$A$532,"Neuron",$T$2:$T$532,$T416)&gt;1),
AND($W416&lt;&gt;"",LOWER(TRIM($W416))&lt;&gt;"n/a",COUNTIFS($B$2:$B$532,"Yes",$A$2:$A$532,"Neuron",$W$2:$W$532,$W416)&gt;1)
),"Yes","No"),
IF($A416="Cybernet",
IF(OR(
AND($Y416&lt;&gt;"",LOWER(TRIM($Y416))&lt;&gt;"n/a",COUNTIFS($B$2:$B$532,"Yes",$A$2:$A$532,"Cybernet",$Y$2:$Y$532,$Y416)&gt;1),
AND($Z416&lt;&gt;"",LOWER(TRIM($Z416))&lt;&gt;"n/a",COUNTIFS($B$2:$B$532,"Yes",$A$2:$A$532,"Cybernet",$Z$2:$Z$532,$Z416)&gt;1)
),"Yes","No"),
IF(AND($AL416&lt;&gt;"",LOWER(TRIM($AL416))&lt;&gt;"n/a"),
IF(COUNTIFS($B$2:$B$532,"Yes",$A$2:$A$532,$A416,$AL$2:$AL$532,$AL416)&gt;1,"Yes","No"),
"No")
)
)
)</f>
      </c>
      <c r="BL416">
        <f>IF($T416="","",IF((IF(AND($AW416&lt;&gt;"Yes",$AW416&lt;&gt;"N/A"),"Power Cable, ","")&amp;IF(AND($AX416&lt;&gt;"Yes",$AX416&lt;&gt;"N/A"),"Battery, ","")&amp;IF(AND($BE416&lt;&gt;"Yes",$BE416&lt;&gt;"N/A"),"Firmware Download, ","")&amp;IF(AND(OR($BE416="Yes",$BE416="N/A"),$BF416&lt;&gt;"Yes",$BF416&lt;&gt;"N/A"),"Firmware Install, ","")&amp;IF(AND($BJ416&lt;&gt;"Yes",$BJ416&lt;&gt;"N/A"),"Device ID, ","")&amp;IF(AND($BK416&lt;&gt;"Yes",$BK416&lt;&gt;"N/A"),"Epic Beans Relay, ",""))="","",LEFT(IF(AND($AW416&lt;&gt;"Yes",$AW416&lt;&gt;"N/A"),"Power Cable, ","")&amp;IF(AND($AX416&lt;&gt;"Yes",$AX416&lt;&gt;"N/A"),"Battery, ","")&amp;IF(AND($BE416&lt;&gt;"Yes",$BE416&lt;&gt;"N/A"),"Firmware Download, ","")&amp;IF(AND(OR($BE416="Yes",$BE416="N/A"),$BF416&lt;&gt;"Yes",$BF416&lt;&gt;"N/A"),"Firmware Install, ","")&amp;IF(AND($BJ416&lt;&gt;"Yes",$BJ416&lt;&gt;"N/A"),"Device ID, ","")&amp;IF(AND($BK416&lt;&gt;"Yes",$BK416&lt;&gt;"N/A"),"Epic Beans Relay, ",""),LEN(IF(AND($AW416&lt;&gt;"Yes",$AW416&lt;&gt;"N/A"),"Power Cable, ","")&amp;IF(AND($AX416&lt;&gt;"Yes",$AX416&lt;&gt;"N/A"),"Battery, ","")&amp;IF(AND($BE416&lt;&gt;"Yes",$BE416&lt;&gt;"N/A"),"Firmware Download, ","")&amp;IF(AND(OR($BE416="Yes",$BE416="N/A"),$BF416&lt;&gt;"Yes",$BF416&lt;&gt;"N/A"),"Firmware Install, ","")&amp;IF(AND($BJ416&lt;&gt;"Yes",$BJ416&lt;&gt;"N/A"),"Device ID, ","")&amp;IF(AND($BK416&lt;&gt;"Yes",$BK416&lt;&gt;"N/A"),"Epic Beans Relay, ",""))-2)))</f>
      </c>
      <c r="BM416">
        <f>IF($T416="","",IF($BL416="","Yes","Blocked"))</f>
      </c>
      <c r="BP416">
        <f>IF($BO416="","",IFERROR(VLOOKUP($BO416,'01_Warehouse_Ledger'!$A:$N,4,FALSE),""))</f>
      </c>
      <c r="BQ416">
        <f>IF($BO416="","",IFERROR(VLOOKUP($BO416,'01_Warehouse_Ledger'!$A:$N,5,FALSE),""))</f>
      </c>
      <c r="BR416">
        <f>IF($BO416="","",IFERROR(VLOOKUP($BO416,'01_Warehouse_Ledger'!$A:$N,13,FALSE),""))</f>
      </c>
    </row>
    <row r="417">
      <c r="D417">
        <f>IF($B417&lt;&gt;"Yes","",IF($C417="No","Yes",IF($C417="Yes","No","")))</f>
      </c>
      <c r="E417">
        <f>IF($A417="","",IF($A417="Neuron",IF(OR(AND($S417&lt;&gt;"",LOWER(TRIM($S417))&lt;&gt;"n/a",COUNTIF($S$2:$S$532,$S417)&gt;1),AND($T417&lt;&gt;"",LOWER(TRIM($T417))&lt;&gt;"n/a",COUNTIF($T$2:$T$532,$T417)&gt;1),AND($W417&lt;&gt;"",LOWER(TRIM($W417))&lt;&gt;"n/a",COUNTIF($W$2:$W$532,$W417)&gt;1)),"Yes","No"),IF($A417="Cybernet",IF(OR(AND($Y417&lt;&gt;"",LOWER(TRIM($Y417))&lt;&gt;"n/a",COUNTIF($Y$2:$Y$532,$Y417)&gt;1),AND($Z417&lt;&gt;"",LOWER(TRIM($Z417))&lt;&gt;"n/a",COUNTIF($Z$2:$Z$532,$Z417)&gt;1)),"Yes","No"),IF(AND($AL417&lt;&gt;"",LOWER(TRIM($AL417))&lt;&gt;"n/a",COUNTIF($AL$2:$AL$532,$AL417)&gt;1),"Yes","No"))))</f>
      </c>
      <c r="F417">
        <f>IF($B417&lt;&gt;"Yes","",
IF($A417="Neuron",
IF(OR(
AND($S417&lt;&gt;"",LOWER(TRIM($S417))&lt;&gt;"n/a",COUNTIFS($B$2:$B$532,"Yes",$A$2:$A$532,"Neuron",$S$2:$S$532,$S417)&gt;1),
AND($T417&lt;&gt;"",LOWER(TRIM($T417))&lt;&gt;"n/a",COUNTIFS($B$2:$B$532,"Yes",$A$2:$A$532,"Neuron",$T$2:$T$532,$T417)&gt;1),
AND($W417&lt;&gt;"",LOWER(TRIM($W417))&lt;&gt;"n/a",COUNTIFS($B$2:$B$532,"Yes",$A$2:$A$532,"Neuron",$W$2:$W$532,$W417)&gt;1)
),"Yes","No"),
IF($A417="Cybernet",
IF(OR(
AND($Y417&lt;&gt;"",LOWER(TRIM($Y417))&lt;&gt;"n/a",COUNTIFS($B$2:$B$532,"Yes",$A$2:$A$532,"Cybernet",$Y$2:$Y$532,$Y417)&gt;1),
AND($Z417&lt;&gt;"",LOWER(TRIM($Z417))&lt;&gt;"n/a",COUNTIFS($B$2:$B$532,"Yes",$A$2:$A$532,"Cybernet",$Z$2:$Z$532,$Z417)&gt;1)
),"Yes","No"),
IF(AND($AL417&lt;&gt;"",LOWER(TRIM($AL417))&lt;&gt;"n/a"),
IF(COUNTIFS($B$2:$B$532,"Yes",$A$2:$A$532,$A417,$AL$2:$AL$532,$AL417)&gt;1,"Yes","No"),
"No")
)
)
)</f>
      </c>
      <c r="BL417">
        <f>IF($T417="","",IF((IF(AND($AW417&lt;&gt;"Yes",$AW417&lt;&gt;"N/A"),"Power Cable, ","")&amp;IF(AND($AX417&lt;&gt;"Yes",$AX417&lt;&gt;"N/A"),"Battery, ","")&amp;IF(AND($BE417&lt;&gt;"Yes",$BE417&lt;&gt;"N/A"),"Firmware Download, ","")&amp;IF(AND(OR($BE417="Yes",$BE417="N/A"),$BF417&lt;&gt;"Yes",$BF417&lt;&gt;"N/A"),"Firmware Install, ","")&amp;IF(AND($BJ417&lt;&gt;"Yes",$BJ417&lt;&gt;"N/A"),"Device ID, ","")&amp;IF(AND($BK417&lt;&gt;"Yes",$BK417&lt;&gt;"N/A"),"Epic Beans Relay, ",""))="","",LEFT(IF(AND($AW417&lt;&gt;"Yes",$AW417&lt;&gt;"N/A"),"Power Cable, ","")&amp;IF(AND($AX417&lt;&gt;"Yes",$AX417&lt;&gt;"N/A"),"Battery, ","")&amp;IF(AND($BE417&lt;&gt;"Yes",$BE417&lt;&gt;"N/A"),"Firmware Download, ","")&amp;IF(AND(OR($BE417="Yes",$BE417="N/A"),$BF417&lt;&gt;"Yes",$BF417&lt;&gt;"N/A"),"Firmware Install, ","")&amp;IF(AND($BJ417&lt;&gt;"Yes",$BJ417&lt;&gt;"N/A"),"Device ID, ","")&amp;IF(AND($BK417&lt;&gt;"Yes",$BK417&lt;&gt;"N/A"),"Epic Beans Relay, ",""),LEN(IF(AND($AW417&lt;&gt;"Yes",$AW417&lt;&gt;"N/A"),"Power Cable, ","")&amp;IF(AND($AX417&lt;&gt;"Yes",$AX417&lt;&gt;"N/A"),"Battery, ","")&amp;IF(AND($BE417&lt;&gt;"Yes",$BE417&lt;&gt;"N/A"),"Firmware Download, ","")&amp;IF(AND(OR($BE417="Yes",$BE417="N/A"),$BF417&lt;&gt;"Yes",$BF417&lt;&gt;"N/A"),"Firmware Install, ","")&amp;IF(AND($BJ417&lt;&gt;"Yes",$BJ417&lt;&gt;"N/A"),"Device ID, ","")&amp;IF(AND($BK417&lt;&gt;"Yes",$BK417&lt;&gt;"N/A"),"Epic Beans Relay, ",""))-2)))</f>
      </c>
      <c r="BM417">
        <f>IF($T417="","",IF($BL417="","Yes","Blocked"))</f>
      </c>
      <c r="BP417">
        <f>IF($BO417="","",IFERROR(VLOOKUP($BO417,'01_Warehouse_Ledger'!$A:$N,4,FALSE),""))</f>
      </c>
      <c r="BQ417">
        <f>IF($BO417="","",IFERROR(VLOOKUP($BO417,'01_Warehouse_Ledger'!$A:$N,5,FALSE),""))</f>
      </c>
      <c r="BR417">
        <f>IF($BO417="","",IFERROR(VLOOKUP($BO417,'01_Warehouse_Ledger'!$A:$N,13,FALSE),""))</f>
      </c>
    </row>
    <row r="418">
      <c r="D418">
        <f>IF($B418&lt;&gt;"Yes","",IF($C418="No","Yes",IF($C418="Yes","No","")))</f>
      </c>
      <c r="E418">
        <f>IF($A418="","",IF($A418="Neuron",IF(OR(AND($S418&lt;&gt;"",LOWER(TRIM($S418))&lt;&gt;"n/a",COUNTIF($S$2:$S$532,$S418)&gt;1),AND($T418&lt;&gt;"",LOWER(TRIM($T418))&lt;&gt;"n/a",COUNTIF($T$2:$T$532,$T418)&gt;1),AND($W418&lt;&gt;"",LOWER(TRIM($W418))&lt;&gt;"n/a",COUNTIF($W$2:$W$532,$W418)&gt;1)),"Yes","No"),IF($A418="Cybernet",IF(OR(AND($Y418&lt;&gt;"",LOWER(TRIM($Y418))&lt;&gt;"n/a",COUNTIF($Y$2:$Y$532,$Y418)&gt;1),AND($Z418&lt;&gt;"",LOWER(TRIM($Z418))&lt;&gt;"n/a",COUNTIF($Z$2:$Z$532,$Z418)&gt;1)),"Yes","No"),IF(AND($AL418&lt;&gt;"",LOWER(TRIM($AL418))&lt;&gt;"n/a",COUNTIF($AL$2:$AL$532,$AL418)&gt;1),"Yes","No"))))</f>
      </c>
      <c r="F418">
        <f>IF($B418&lt;&gt;"Yes","",
IF($A418="Neuron",
IF(OR(
AND($S418&lt;&gt;"",LOWER(TRIM($S418))&lt;&gt;"n/a",COUNTIFS($B$2:$B$532,"Yes",$A$2:$A$532,"Neuron",$S$2:$S$532,$S418)&gt;1),
AND($T418&lt;&gt;"",LOWER(TRIM($T418))&lt;&gt;"n/a",COUNTIFS($B$2:$B$532,"Yes",$A$2:$A$532,"Neuron",$T$2:$T$532,$T418)&gt;1),
AND($W418&lt;&gt;"",LOWER(TRIM($W418))&lt;&gt;"n/a",COUNTIFS($B$2:$B$532,"Yes",$A$2:$A$532,"Neuron",$W$2:$W$532,$W418)&gt;1)
),"Yes","No"),
IF($A418="Cybernet",
IF(OR(
AND($Y418&lt;&gt;"",LOWER(TRIM($Y418))&lt;&gt;"n/a",COUNTIFS($B$2:$B$532,"Yes",$A$2:$A$532,"Cybernet",$Y$2:$Y$532,$Y418)&gt;1),
AND($Z418&lt;&gt;"",LOWER(TRIM($Z418))&lt;&gt;"n/a",COUNTIFS($B$2:$B$532,"Yes",$A$2:$A$532,"Cybernet",$Z$2:$Z$532,$Z418)&gt;1)
),"Yes","No"),
IF(AND($AL418&lt;&gt;"",LOWER(TRIM($AL418))&lt;&gt;"n/a"),
IF(COUNTIFS($B$2:$B$532,"Yes",$A$2:$A$532,$A418,$AL$2:$AL$532,$AL418)&gt;1,"Yes","No"),
"No")
)
)
)</f>
      </c>
      <c r="BL418">
        <f>IF($T418="","",IF((IF(AND($AW418&lt;&gt;"Yes",$AW418&lt;&gt;"N/A"),"Power Cable, ","")&amp;IF(AND($AX418&lt;&gt;"Yes",$AX418&lt;&gt;"N/A"),"Battery, ","")&amp;IF(AND($BE418&lt;&gt;"Yes",$BE418&lt;&gt;"N/A"),"Firmware Download, ","")&amp;IF(AND(OR($BE418="Yes",$BE418="N/A"),$BF418&lt;&gt;"Yes",$BF418&lt;&gt;"N/A"),"Firmware Install, ","")&amp;IF(AND($BJ418&lt;&gt;"Yes",$BJ418&lt;&gt;"N/A"),"Device ID, ","")&amp;IF(AND($BK418&lt;&gt;"Yes",$BK418&lt;&gt;"N/A"),"Epic Beans Relay, ",""))="","",LEFT(IF(AND($AW418&lt;&gt;"Yes",$AW418&lt;&gt;"N/A"),"Power Cable, ","")&amp;IF(AND($AX418&lt;&gt;"Yes",$AX418&lt;&gt;"N/A"),"Battery, ","")&amp;IF(AND($BE418&lt;&gt;"Yes",$BE418&lt;&gt;"N/A"),"Firmware Download, ","")&amp;IF(AND(OR($BE418="Yes",$BE418="N/A"),$BF418&lt;&gt;"Yes",$BF418&lt;&gt;"N/A"),"Firmware Install, ","")&amp;IF(AND($BJ418&lt;&gt;"Yes",$BJ418&lt;&gt;"N/A"),"Device ID, ","")&amp;IF(AND($BK418&lt;&gt;"Yes",$BK418&lt;&gt;"N/A"),"Epic Beans Relay, ",""),LEN(IF(AND($AW418&lt;&gt;"Yes",$AW418&lt;&gt;"N/A"),"Power Cable, ","")&amp;IF(AND($AX418&lt;&gt;"Yes",$AX418&lt;&gt;"N/A"),"Battery, ","")&amp;IF(AND($BE418&lt;&gt;"Yes",$BE418&lt;&gt;"N/A"),"Firmware Download, ","")&amp;IF(AND(OR($BE418="Yes",$BE418="N/A"),$BF418&lt;&gt;"Yes",$BF418&lt;&gt;"N/A"),"Firmware Install, ","")&amp;IF(AND($BJ418&lt;&gt;"Yes",$BJ418&lt;&gt;"N/A"),"Device ID, ","")&amp;IF(AND($BK418&lt;&gt;"Yes",$BK418&lt;&gt;"N/A"),"Epic Beans Relay, ",""))-2)))</f>
      </c>
      <c r="BM418">
        <f>IF($T418="","",IF($BL418="","Yes","Blocked"))</f>
      </c>
      <c r="BP418">
        <f>IF($BO418="","",IFERROR(VLOOKUP($BO418,'01_Warehouse_Ledger'!$A:$N,4,FALSE),""))</f>
      </c>
      <c r="BQ418">
        <f>IF($BO418="","",IFERROR(VLOOKUP($BO418,'01_Warehouse_Ledger'!$A:$N,5,FALSE),""))</f>
      </c>
      <c r="BR418">
        <f>IF($BO418="","",IFERROR(VLOOKUP($BO418,'01_Warehouse_Ledger'!$A:$N,13,FALSE),""))</f>
      </c>
    </row>
    <row r="419">
      <c r="D419">
        <f>IF($B419&lt;&gt;"Yes","",IF($C419="No","Yes",IF($C419="Yes","No","")))</f>
      </c>
      <c r="E419">
        <f>IF($A419="","",IF($A419="Neuron",IF(OR(AND($S419&lt;&gt;"",LOWER(TRIM($S419))&lt;&gt;"n/a",COUNTIF($S$2:$S$532,$S419)&gt;1),AND($T419&lt;&gt;"",LOWER(TRIM($T419))&lt;&gt;"n/a",COUNTIF($T$2:$T$532,$T419)&gt;1),AND($W419&lt;&gt;"",LOWER(TRIM($W419))&lt;&gt;"n/a",COUNTIF($W$2:$W$532,$W419)&gt;1)),"Yes","No"),IF($A419="Cybernet",IF(OR(AND($Y419&lt;&gt;"",LOWER(TRIM($Y419))&lt;&gt;"n/a",COUNTIF($Y$2:$Y$532,$Y419)&gt;1),AND($Z419&lt;&gt;"",LOWER(TRIM($Z419))&lt;&gt;"n/a",COUNTIF($Z$2:$Z$532,$Z419)&gt;1)),"Yes","No"),IF(AND($AL419&lt;&gt;"",LOWER(TRIM($AL419))&lt;&gt;"n/a",COUNTIF($AL$2:$AL$532,$AL419)&gt;1),"Yes","No"))))</f>
      </c>
      <c r="F419">
        <f>IF($B419&lt;&gt;"Yes","",
IF($A419="Neuron",
IF(OR(
AND($S419&lt;&gt;"",LOWER(TRIM($S419))&lt;&gt;"n/a",COUNTIFS($B$2:$B$532,"Yes",$A$2:$A$532,"Neuron",$S$2:$S$532,$S419)&gt;1),
AND($T419&lt;&gt;"",LOWER(TRIM($T419))&lt;&gt;"n/a",COUNTIFS($B$2:$B$532,"Yes",$A$2:$A$532,"Neuron",$T$2:$T$532,$T419)&gt;1),
AND($W419&lt;&gt;"",LOWER(TRIM($W419))&lt;&gt;"n/a",COUNTIFS($B$2:$B$532,"Yes",$A$2:$A$532,"Neuron",$W$2:$W$532,$W419)&gt;1)
),"Yes","No"),
IF($A419="Cybernet",
IF(OR(
AND($Y419&lt;&gt;"",LOWER(TRIM($Y419))&lt;&gt;"n/a",COUNTIFS($B$2:$B$532,"Yes",$A$2:$A$532,"Cybernet",$Y$2:$Y$532,$Y419)&gt;1),
AND($Z419&lt;&gt;"",LOWER(TRIM($Z419))&lt;&gt;"n/a",COUNTIFS($B$2:$B$532,"Yes",$A$2:$A$532,"Cybernet",$Z$2:$Z$532,$Z419)&gt;1)
),"Yes","No"),
IF(AND($AL419&lt;&gt;"",LOWER(TRIM($AL419))&lt;&gt;"n/a"),
IF(COUNTIFS($B$2:$B$532,"Yes",$A$2:$A$532,$A419,$AL$2:$AL$532,$AL419)&gt;1,"Yes","No"),
"No")
)
)
)</f>
      </c>
      <c r="BL419">
        <f>IF($T419="","",IF((IF(AND($AW419&lt;&gt;"Yes",$AW419&lt;&gt;"N/A"),"Power Cable, ","")&amp;IF(AND($AX419&lt;&gt;"Yes",$AX419&lt;&gt;"N/A"),"Battery, ","")&amp;IF(AND($BE419&lt;&gt;"Yes",$BE419&lt;&gt;"N/A"),"Firmware Download, ","")&amp;IF(AND(OR($BE419="Yes",$BE419="N/A"),$BF419&lt;&gt;"Yes",$BF419&lt;&gt;"N/A"),"Firmware Install, ","")&amp;IF(AND($BJ419&lt;&gt;"Yes",$BJ419&lt;&gt;"N/A"),"Device ID, ","")&amp;IF(AND($BK419&lt;&gt;"Yes",$BK419&lt;&gt;"N/A"),"Epic Beans Relay, ",""))="","",LEFT(IF(AND($AW419&lt;&gt;"Yes",$AW419&lt;&gt;"N/A"),"Power Cable, ","")&amp;IF(AND($AX419&lt;&gt;"Yes",$AX419&lt;&gt;"N/A"),"Battery, ","")&amp;IF(AND($BE419&lt;&gt;"Yes",$BE419&lt;&gt;"N/A"),"Firmware Download, ","")&amp;IF(AND(OR($BE419="Yes",$BE419="N/A"),$BF419&lt;&gt;"Yes",$BF419&lt;&gt;"N/A"),"Firmware Install, ","")&amp;IF(AND($BJ419&lt;&gt;"Yes",$BJ419&lt;&gt;"N/A"),"Device ID, ","")&amp;IF(AND($BK419&lt;&gt;"Yes",$BK419&lt;&gt;"N/A"),"Epic Beans Relay, ",""),LEN(IF(AND($AW419&lt;&gt;"Yes",$AW419&lt;&gt;"N/A"),"Power Cable, ","")&amp;IF(AND($AX419&lt;&gt;"Yes",$AX419&lt;&gt;"N/A"),"Battery, ","")&amp;IF(AND($BE419&lt;&gt;"Yes",$BE419&lt;&gt;"N/A"),"Firmware Download, ","")&amp;IF(AND(OR($BE419="Yes",$BE419="N/A"),$BF419&lt;&gt;"Yes",$BF419&lt;&gt;"N/A"),"Firmware Install, ","")&amp;IF(AND($BJ419&lt;&gt;"Yes",$BJ419&lt;&gt;"N/A"),"Device ID, ","")&amp;IF(AND($BK419&lt;&gt;"Yes",$BK419&lt;&gt;"N/A"),"Epic Beans Relay, ",""))-2)))</f>
      </c>
      <c r="BM419">
        <f>IF($T419="","",IF($BL419="","Yes","Blocked"))</f>
      </c>
      <c r="BP419">
        <f>IF($BO419="","",IFERROR(VLOOKUP($BO419,'01_Warehouse_Ledger'!$A:$N,4,FALSE),""))</f>
      </c>
      <c r="BQ419">
        <f>IF($BO419="","",IFERROR(VLOOKUP($BO419,'01_Warehouse_Ledger'!$A:$N,5,FALSE),""))</f>
      </c>
      <c r="BR419">
        <f>IF($BO419="","",IFERROR(VLOOKUP($BO419,'01_Warehouse_Ledger'!$A:$N,13,FALSE),""))</f>
      </c>
    </row>
    <row r="420">
      <c r="D420">
        <f>IF($B420&lt;&gt;"Yes","",IF($C420="No","Yes",IF($C420="Yes","No","")))</f>
      </c>
      <c r="E420">
        <f>IF($A420="","",IF($A420="Neuron",IF(OR(AND($S420&lt;&gt;"",LOWER(TRIM($S420))&lt;&gt;"n/a",COUNTIF($S$2:$S$532,$S420)&gt;1),AND($T420&lt;&gt;"",LOWER(TRIM($T420))&lt;&gt;"n/a",COUNTIF($T$2:$T$532,$T420)&gt;1),AND($W420&lt;&gt;"",LOWER(TRIM($W420))&lt;&gt;"n/a",COUNTIF($W$2:$W$532,$W420)&gt;1)),"Yes","No"),IF($A420="Cybernet",IF(OR(AND($Y420&lt;&gt;"",LOWER(TRIM($Y420))&lt;&gt;"n/a",COUNTIF($Y$2:$Y$532,$Y420)&gt;1),AND($Z420&lt;&gt;"",LOWER(TRIM($Z420))&lt;&gt;"n/a",COUNTIF($Z$2:$Z$532,$Z420)&gt;1)),"Yes","No"),IF(AND($AL420&lt;&gt;"",LOWER(TRIM($AL420))&lt;&gt;"n/a",COUNTIF($AL$2:$AL$532,$AL420)&gt;1),"Yes","No"))))</f>
      </c>
      <c r="F420">
        <f>IF($B420&lt;&gt;"Yes","",
IF($A420="Neuron",
IF(OR(
AND($S420&lt;&gt;"",LOWER(TRIM($S420))&lt;&gt;"n/a",COUNTIFS($B$2:$B$532,"Yes",$A$2:$A$532,"Neuron",$S$2:$S$532,$S420)&gt;1),
AND($T420&lt;&gt;"",LOWER(TRIM($T420))&lt;&gt;"n/a",COUNTIFS($B$2:$B$532,"Yes",$A$2:$A$532,"Neuron",$T$2:$T$532,$T420)&gt;1),
AND($W420&lt;&gt;"",LOWER(TRIM($W420))&lt;&gt;"n/a",COUNTIFS($B$2:$B$532,"Yes",$A$2:$A$532,"Neuron",$W$2:$W$532,$W420)&gt;1)
),"Yes","No"),
IF($A420="Cybernet",
IF(OR(
AND($Y420&lt;&gt;"",LOWER(TRIM($Y420))&lt;&gt;"n/a",COUNTIFS($B$2:$B$532,"Yes",$A$2:$A$532,"Cybernet",$Y$2:$Y$532,$Y420)&gt;1),
AND($Z420&lt;&gt;"",LOWER(TRIM($Z420))&lt;&gt;"n/a",COUNTIFS($B$2:$B$532,"Yes",$A$2:$A$532,"Cybernet",$Z$2:$Z$532,$Z420)&gt;1)
),"Yes","No"),
IF(AND($AL420&lt;&gt;"",LOWER(TRIM($AL420))&lt;&gt;"n/a"),
IF(COUNTIFS($B$2:$B$532,"Yes",$A$2:$A$532,$A420,$AL$2:$AL$532,$AL420)&gt;1,"Yes","No"),
"No")
)
)
)</f>
      </c>
      <c r="BL420">
        <f>IF($T420="","",IF((IF(AND($AW420&lt;&gt;"Yes",$AW420&lt;&gt;"N/A"),"Power Cable, ","")&amp;IF(AND($AX420&lt;&gt;"Yes",$AX420&lt;&gt;"N/A"),"Battery, ","")&amp;IF(AND($BE420&lt;&gt;"Yes",$BE420&lt;&gt;"N/A"),"Firmware Download, ","")&amp;IF(AND(OR($BE420="Yes",$BE420="N/A"),$BF420&lt;&gt;"Yes",$BF420&lt;&gt;"N/A"),"Firmware Install, ","")&amp;IF(AND($BJ420&lt;&gt;"Yes",$BJ420&lt;&gt;"N/A"),"Device ID, ","")&amp;IF(AND($BK420&lt;&gt;"Yes",$BK420&lt;&gt;"N/A"),"Epic Beans Relay, ",""))="","",LEFT(IF(AND($AW420&lt;&gt;"Yes",$AW420&lt;&gt;"N/A"),"Power Cable, ","")&amp;IF(AND($AX420&lt;&gt;"Yes",$AX420&lt;&gt;"N/A"),"Battery, ","")&amp;IF(AND($BE420&lt;&gt;"Yes",$BE420&lt;&gt;"N/A"),"Firmware Download, ","")&amp;IF(AND(OR($BE420="Yes",$BE420="N/A"),$BF420&lt;&gt;"Yes",$BF420&lt;&gt;"N/A"),"Firmware Install, ","")&amp;IF(AND($BJ420&lt;&gt;"Yes",$BJ420&lt;&gt;"N/A"),"Device ID, ","")&amp;IF(AND($BK420&lt;&gt;"Yes",$BK420&lt;&gt;"N/A"),"Epic Beans Relay, ",""),LEN(IF(AND($AW420&lt;&gt;"Yes",$AW420&lt;&gt;"N/A"),"Power Cable, ","")&amp;IF(AND($AX420&lt;&gt;"Yes",$AX420&lt;&gt;"N/A"),"Battery, ","")&amp;IF(AND($BE420&lt;&gt;"Yes",$BE420&lt;&gt;"N/A"),"Firmware Download, ","")&amp;IF(AND(OR($BE420="Yes",$BE420="N/A"),$BF420&lt;&gt;"Yes",$BF420&lt;&gt;"N/A"),"Firmware Install, ","")&amp;IF(AND($BJ420&lt;&gt;"Yes",$BJ420&lt;&gt;"N/A"),"Device ID, ","")&amp;IF(AND($BK420&lt;&gt;"Yes",$BK420&lt;&gt;"N/A"),"Epic Beans Relay, ",""))-2)))</f>
      </c>
      <c r="BM420">
        <f>IF($T420="","",IF($BL420="","Yes","Blocked"))</f>
      </c>
      <c r="BP420">
        <f>IF($BO420="","",IFERROR(VLOOKUP($BO420,'01_Warehouse_Ledger'!$A:$N,4,FALSE),""))</f>
      </c>
      <c r="BQ420">
        <f>IF($BO420="","",IFERROR(VLOOKUP($BO420,'01_Warehouse_Ledger'!$A:$N,5,FALSE),""))</f>
      </c>
      <c r="BR420">
        <f>IF($BO420="","",IFERROR(VLOOKUP($BO420,'01_Warehouse_Ledger'!$A:$N,13,FALSE),""))</f>
      </c>
    </row>
    <row r="421">
      <c r="D421">
        <f>IF($B421&lt;&gt;"Yes","",IF($C421="No","Yes",IF($C421="Yes","No","")))</f>
      </c>
      <c r="E421">
        <f>IF($A421="","",IF($A421="Neuron",IF(OR(AND($S421&lt;&gt;"",LOWER(TRIM($S421))&lt;&gt;"n/a",COUNTIF($S$2:$S$532,$S421)&gt;1),AND($T421&lt;&gt;"",LOWER(TRIM($T421))&lt;&gt;"n/a",COUNTIF($T$2:$T$532,$T421)&gt;1),AND($W421&lt;&gt;"",LOWER(TRIM($W421))&lt;&gt;"n/a",COUNTIF($W$2:$W$532,$W421)&gt;1)),"Yes","No"),IF($A421="Cybernet",IF(OR(AND($Y421&lt;&gt;"",LOWER(TRIM($Y421))&lt;&gt;"n/a",COUNTIF($Y$2:$Y$532,$Y421)&gt;1),AND($Z421&lt;&gt;"",LOWER(TRIM($Z421))&lt;&gt;"n/a",COUNTIF($Z$2:$Z$532,$Z421)&gt;1)),"Yes","No"),IF(AND($AL421&lt;&gt;"",LOWER(TRIM($AL421))&lt;&gt;"n/a",COUNTIF($AL$2:$AL$532,$AL421)&gt;1),"Yes","No"))))</f>
      </c>
      <c r="F421">
        <f>IF($B421&lt;&gt;"Yes","",
IF($A421="Neuron",
IF(OR(
AND($S421&lt;&gt;"",LOWER(TRIM($S421))&lt;&gt;"n/a",COUNTIFS($B$2:$B$532,"Yes",$A$2:$A$532,"Neuron",$S$2:$S$532,$S421)&gt;1),
AND($T421&lt;&gt;"",LOWER(TRIM($T421))&lt;&gt;"n/a",COUNTIFS($B$2:$B$532,"Yes",$A$2:$A$532,"Neuron",$T$2:$T$532,$T421)&gt;1),
AND($W421&lt;&gt;"",LOWER(TRIM($W421))&lt;&gt;"n/a",COUNTIFS($B$2:$B$532,"Yes",$A$2:$A$532,"Neuron",$W$2:$W$532,$W421)&gt;1)
),"Yes","No"),
IF($A421="Cybernet",
IF(OR(
AND($Y421&lt;&gt;"",LOWER(TRIM($Y421))&lt;&gt;"n/a",COUNTIFS($B$2:$B$532,"Yes",$A$2:$A$532,"Cybernet",$Y$2:$Y$532,$Y421)&gt;1),
AND($Z421&lt;&gt;"",LOWER(TRIM($Z421))&lt;&gt;"n/a",COUNTIFS($B$2:$B$532,"Yes",$A$2:$A$532,"Cybernet",$Z$2:$Z$532,$Z421)&gt;1)
),"Yes","No"),
IF(AND($AL421&lt;&gt;"",LOWER(TRIM($AL421))&lt;&gt;"n/a"),
IF(COUNTIFS($B$2:$B$532,"Yes",$A$2:$A$532,$A421,$AL$2:$AL$532,$AL421)&gt;1,"Yes","No"),
"No")
)
)
)</f>
      </c>
      <c r="BL421">
        <f>IF($T421="","",IF((IF(AND($AW421&lt;&gt;"Yes",$AW421&lt;&gt;"N/A"),"Power Cable, ","")&amp;IF(AND($AX421&lt;&gt;"Yes",$AX421&lt;&gt;"N/A"),"Battery, ","")&amp;IF(AND($BE421&lt;&gt;"Yes",$BE421&lt;&gt;"N/A"),"Firmware Download, ","")&amp;IF(AND(OR($BE421="Yes",$BE421="N/A"),$BF421&lt;&gt;"Yes",$BF421&lt;&gt;"N/A"),"Firmware Install, ","")&amp;IF(AND($BJ421&lt;&gt;"Yes",$BJ421&lt;&gt;"N/A"),"Device ID, ","")&amp;IF(AND($BK421&lt;&gt;"Yes",$BK421&lt;&gt;"N/A"),"Epic Beans Relay, ",""))="","",LEFT(IF(AND($AW421&lt;&gt;"Yes",$AW421&lt;&gt;"N/A"),"Power Cable, ","")&amp;IF(AND($AX421&lt;&gt;"Yes",$AX421&lt;&gt;"N/A"),"Battery, ","")&amp;IF(AND($BE421&lt;&gt;"Yes",$BE421&lt;&gt;"N/A"),"Firmware Download, ","")&amp;IF(AND(OR($BE421="Yes",$BE421="N/A"),$BF421&lt;&gt;"Yes",$BF421&lt;&gt;"N/A"),"Firmware Install, ","")&amp;IF(AND($BJ421&lt;&gt;"Yes",$BJ421&lt;&gt;"N/A"),"Device ID, ","")&amp;IF(AND($BK421&lt;&gt;"Yes",$BK421&lt;&gt;"N/A"),"Epic Beans Relay, ",""),LEN(IF(AND($AW421&lt;&gt;"Yes",$AW421&lt;&gt;"N/A"),"Power Cable, ","")&amp;IF(AND($AX421&lt;&gt;"Yes",$AX421&lt;&gt;"N/A"),"Battery, ","")&amp;IF(AND($BE421&lt;&gt;"Yes",$BE421&lt;&gt;"N/A"),"Firmware Download, ","")&amp;IF(AND(OR($BE421="Yes",$BE421="N/A"),$BF421&lt;&gt;"Yes",$BF421&lt;&gt;"N/A"),"Firmware Install, ","")&amp;IF(AND($BJ421&lt;&gt;"Yes",$BJ421&lt;&gt;"N/A"),"Device ID, ","")&amp;IF(AND($BK421&lt;&gt;"Yes",$BK421&lt;&gt;"N/A"),"Epic Beans Relay, ",""))-2)))</f>
      </c>
      <c r="BM421">
        <f>IF($T421="","",IF($BL421="","Yes","Blocked"))</f>
      </c>
      <c r="BP421">
        <f>IF($BO421="","",IFERROR(VLOOKUP($BO421,'01_Warehouse_Ledger'!$A:$N,4,FALSE),""))</f>
      </c>
      <c r="BQ421">
        <f>IF($BO421="","",IFERROR(VLOOKUP($BO421,'01_Warehouse_Ledger'!$A:$N,5,FALSE),""))</f>
      </c>
      <c r="BR421">
        <f>IF($BO421="","",IFERROR(VLOOKUP($BO421,'01_Warehouse_Ledger'!$A:$N,13,FALSE),""))</f>
      </c>
    </row>
    <row r="422">
      <c r="D422">
        <f>IF($B422&lt;&gt;"Yes","",IF($C422="No","Yes",IF($C422="Yes","No","")))</f>
      </c>
      <c r="E422">
        <f>IF($A422="","",IF($A422="Neuron",IF(OR(AND($S422&lt;&gt;"",LOWER(TRIM($S422))&lt;&gt;"n/a",COUNTIF($S$2:$S$532,$S422)&gt;1),AND($T422&lt;&gt;"",LOWER(TRIM($T422))&lt;&gt;"n/a",COUNTIF($T$2:$T$532,$T422)&gt;1),AND($W422&lt;&gt;"",LOWER(TRIM($W422))&lt;&gt;"n/a",COUNTIF($W$2:$W$532,$W422)&gt;1)),"Yes","No"),IF($A422="Cybernet",IF(OR(AND($Y422&lt;&gt;"",LOWER(TRIM($Y422))&lt;&gt;"n/a",COUNTIF($Y$2:$Y$532,$Y422)&gt;1),AND($Z422&lt;&gt;"",LOWER(TRIM($Z422))&lt;&gt;"n/a",COUNTIF($Z$2:$Z$532,$Z422)&gt;1)),"Yes","No"),IF(AND($AL422&lt;&gt;"",LOWER(TRIM($AL422))&lt;&gt;"n/a",COUNTIF($AL$2:$AL$532,$AL422)&gt;1),"Yes","No"))))</f>
      </c>
      <c r="F422">
        <f>IF($B422&lt;&gt;"Yes","",
IF($A422="Neuron",
IF(OR(
AND($S422&lt;&gt;"",LOWER(TRIM($S422))&lt;&gt;"n/a",COUNTIFS($B$2:$B$532,"Yes",$A$2:$A$532,"Neuron",$S$2:$S$532,$S422)&gt;1),
AND($T422&lt;&gt;"",LOWER(TRIM($T422))&lt;&gt;"n/a",COUNTIFS($B$2:$B$532,"Yes",$A$2:$A$532,"Neuron",$T$2:$T$532,$T422)&gt;1),
AND($W422&lt;&gt;"",LOWER(TRIM($W422))&lt;&gt;"n/a",COUNTIFS($B$2:$B$532,"Yes",$A$2:$A$532,"Neuron",$W$2:$W$532,$W422)&gt;1)
),"Yes","No"),
IF($A422="Cybernet",
IF(OR(
AND($Y422&lt;&gt;"",LOWER(TRIM($Y422))&lt;&gt;"n/a",COUNTIFS($B$2:$B$532,"Yes",$A$2:$A$532,"Cybernet",$Y$2:$Y$532,$Y422)&gt;1),
AND($Z422&lt;&gt;"",LOWER(TRIM($Z422))&lt;&gt;"n/a",COUNTIFS($B$2:$B$532,"Yes",$A$2:$A$532,"Cybernet",$Z$2:$Z$532,$Z422)&gt;1)
),"Yes","No"),
IF(AND($AL422&lt;&gt;"",LOWER(TRIM($AL422))&lt;&gt;"n/a"),
IF(COUNTIFS($B$2:$B$532,"Yes",$A$2:$A$532,$A422,$AL$2:$AL$532,$AL422)&gt;1,"Yes","No"),
"No")
)
)
)</f>
      </c>
      <c r="BL422">
        <f>IF($T422="","",IF((IF(AND($AW422&lt;&gt;"Yes",$AW422&lt;&gt;"N/A"),"Power Cable, ","")&amp;IF(AND($AX422&lt;&gt;"Yes",$AX422&lt;&gt;"N/A"),"Battery, ","")&amp;IF(AND($BE422&lt;&gt;"Yes",$BE422&lt;&gt;"N/A"),"Firmware Download, ","")&amp;IF(AND(OR($BE422="Yes",$BE422="N/A"),$BF422&lt;&gt;"Yes",$BF422&lt;&gt;"N/A"),"Firmware Install, ","")&amp;IF(AND($BJ422&lt;&gt;"Yes",$BJ422&lt;&gt;"N/A"),"Device ID, ","")&amp;IF(AND($BK422&lt;&gt;"Yes",$BK422&lt;&gt;"N/A"),"Epic Beans Relay, ",""))="","",LEFT(IF(AND($AW422&lt;&gt;"Yes",$AW422&lt;&gt;"N/A"),"Power Cable, ","")&amp;IF(AND($AX422&lt;&gt;"Yes",$AX422&lt;&gt;"N/A"),"Battery, ","")&amp;IF(AND($BE422&lt;&gt;"Yes",$BE422&lt;&gt;"N/A"),"Firmware Download, ","")&amp;IF(AND(OR($BE422="Yes",$BE422="N/A"),$BF422&lt;&gt;"Yes",$BF422&lt;&gt;"N/A"),"Firmware Install, ","")&amp;IF(AND($BJ422&lt;&gt;"Yes",$BJ422&lt;&gt;"N/A"),"Device ID, ","")&amp;IF(AND($BK422&lt;&gt;"Yes",$BK422&lt;&gt;"N/A"),"Epic Beans Relay, ",""),LEN(IF(AND($AW422&lt;&gt;"Yes",$AW422&lt;&gt;"N/A"),"Power Cable, ","")&amp;IF(AND($AX422&lt;&gt;"Yes",$AX422&lt;&gt;"N/A"),"Battery, ","")&amp;IF(AND($BE422&lt;&gt;"Yes",$BE422&lt;&gt;"N/A"),"Firmware Download, ","")&amp;IF(AND(OR($BE422="Yes",$BE422="N/A"),$BF422&lt;&gt;"Yes",$BF422&lt;&gt;"N/A"),"Firmware Install, ","")&amp;IF(AND($BJ422&lt;&gt;"Yes",$BJ422&lt;&gt;"N/A"),"Device ID, ","")&amp;IF(AND($BK422&lt;&gt;"Yes",$BK422&lt;&gt;"N/A"),"Epic Beans Relay, ",""))-2)))</f>
      </c>
      <c r="BM422">
        <f>IF($T422="","",IF($BL422="","Yes","Blocked"))</f>
      </c>
      <c r="BP422">
        <f>IF($BO422="","",IFERROR(VLOOKUP($BO422,'01_Warehouse_Ledger'!$A:$N,4,FALSE),""))</f>
      </c>
      <c r="BQ422">
        <f>IF($BO422="","",IFERROR(VLOOKUP($BO422,'01_Warehouse_Ledger'!$A:$N,5,FALSE),""))</f>
      </c>
      <c r="BR422">
        <f>IF($BO422="","",IFERROR(VLOOKUP($BO422,'01_Warehouse_Ledger'!$A:$N,13,FALSE),""))</f>
      </c>
    </row>
    <row r="423">
      <c r="D423">
        <f>IF($B423&lt;&gt;"Yes","",IF($C423="No","Yes",IF($C423="Yes","No","")))</f>
      </c>
      <c r="E423">
        <f>IF($A423="","",IF($A423="Neuron",IF(OR(AND($S423&lt;&gt;"",LOWER(TRIM($S423))&lt;&gt;"n/a",COUNTIF($S$2:$S$532,$S423)&gt;1),AND($T423&lt;&gt;"",LOWER(TRIM($T423))&lt;&gt;"n/a",COUNTIF($T$2:$T$532,$T423)&gt;1),AND($W423&lt;&gt;"",LOWER(TRIM($W423))&lt;&gt;"n/a",COUNTIF($W$2:$W$532,$W423)&gt;1)),"Yes","No"),IF($A423="Cybernet",IF(OR(AND($Y423&lt;&gt;"",LOWER(TRIM($Y423))&lt;&gt;"n/a",COUNTIF($Y$2:$Y$532,$Y423)&gt;1),AND($Z423&lt;&gt;"",LOWER(TRIM($Z423))&lt;&gt;"n/a",COUNTIF($Z$2:$Z$532,$Z423)&gt;1)),"Yes","No"),IF(AND($AL423&lt;&gt;"",LOWER(TRIM($AL423))&lt;&gt;"n/a",COUNTIF($AL$2:$AL$532,$AL423)&gt;1),"Yes","No"))))</f>
      </c>
      <c r="F423">
        <f>IF($B423&lt;&gt;"Yes","",
IF($A423="Neuron",
IF(OR(
AND($S423&lt;&gt;"",LOWER(TRIM($S423))&lt;&gt;"n/a",COUNTIFS($B$2:$B$532,"Yes",$A$2:$A$532,"Neuron",$S$2:$S$532,$S423)&gt;1),
AND($T423&lt;&gt;"",LOWER(TRIM($T423))&lt;&gt;"n/a",COUNTIFS($B$2:$B$532,"Yes",$A$2:$A$532,"Neuron",$T$2:$T$532,$T423)&gt;1),
AND($W423&lt;&gt;"",LOWER(TRIM($W423))&lt;&gt;"n/a",COUNTIFS($B$2:$B$532,"Yes",$A$2:$A$532,"Neuron",$W$2:$W$532,$W423)&gt;1)
),"Yes","No"),
IF($A423="Cybernet",
IF(OR(
AND($Y423&lt;&gt;"",LOWER(TRIM($Y423))&lt;&gt;"n/a",COUNTIFS($B$2:$B$532,"Yes",$A$2:$A$532,"Cybernet",$Y$2:$Y$532,$Y423)&gt;1),
AND($Z423&lt;&gt;"",LOWER(TRIM($Z423))&lt;&gt;"n/a",COUNTIFS($B$2:$B$532,"Yes",$A$2:$A$532,"Cybernet",$Z$2:$Z$532,$Z423)&gt;1)
),"Yes","No"),
IF(AND($AL423&lt;&gt;"",LOWER(TRIM($AL423))&lt;&gt;"n/a"),
IF(COUNTIFS($B$2:$B$532,"Yes",$A$2:$A$532,$A423,$AL$2:$AL$532,$AL423)&gt;1,"Yes","No"),
"No")
)
)
)</f>
      </c>
      <c r="BL423">
        <f>IF($T423="","",IF((IF(AND($AW423&lt;&gt;"Yes",$AW423&lt;&gt;"N/A"),"Power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</c>
      <c r="BM423">
        <f>IF($T423="","",IF($BL423="","Yes","Blocked"))</f>
      </c>
      <c r="BP423">
        <f>IF($BO423="","",IFERROR(VLOOKUP($BO423,'01_Warehouse_Ledger'!$A:$N,4,FALSE),""))</f>
      </c>
      <c r="BQ423">
        <f>IF($BO423="","",IFERROR(VLOOKUP($BO423,'01_Warehouse_Ledger'!$A:$N,5,FALSE),""))</f>
      </c>
      <c r="BR423">
        <f>IF($BO423="","",IFERROR(VLOOKUP($BO423,'01_Warehouse_Ledger'!$A:$N,13,FALSE),""))</f>
      </c>
    </row>
    <row r="424">
      <c r="D424">
        <f>IF($B424&lt;&gt;"Yes","",IF($C424="No","Yes",IF($C424="Yes","No","")))</f>
      </c>
      <c r="E424">
        <f>IF($A424="","",IF($A424="Neuron",IF(OR(AND($S424&lt;&gt;"",LOWER(TRIM($S424))&lt;&gt;"n/a",COUNTIF($S$2:$S$532,$S424)&gt;1),AND($T424&lt;&gt;"",LOWER(TRIM($T424))&lt;&gt;"n/a",COUNTIF($T$2:$T$532,$T424)&gt;1),AND($W424&lt;&gt;"",LOWER(TRIM($W424))&lt;&gt;"n/a",COUNTIF($W$2:$W$532,$W424)&gt;1)),"Yes","No"),IF($A424="Cybernet",IF(OR(AND($Y424&lt;&gt;"",LOWER(TRIM($Y424))&lt;&gt;"n/a",COUNTIF($Y$2:$Y$532,$Y424)&gt;1),AND($Z424&lt;&gt;"",LOWER(TRIM($Z424))&lt;&gt;"n/a",COUNTIF($Z$2:$Z$532,$Z424)&gt;1)),"Yes","No"),IF(AND($AL424&lt;&gt;"",LOWER(TRIM($AL424))&lt;&gt;"n/a",COUNTIF($AL$2:$AL$532,$AL424)&gt;1),"Yes","No"))))</f>
      </c>
      <c r="F424">
        <f>IF($B424&lt;&gt;"Yes","",
IF($A424="Neuron",
IF(OR(
AND($S424&lt;&gt;"",LOWER(TRIM($S424))&lt;&gt;"n/a",COUNTIFS($B$2:$B$532,"Yes",$A$2:$A$532,"Neuron",$S$2:$S$532,$S424)&gt;1),
AND($T424&lt;&gt;"",LOWER(TRIM($T424))&lt;&gt;"n/a",COUNTIFS($B$2:$B$532,"Yes",$A$2:$A$532,"Neuron",$T$2:$T$532,$T424)&gt;1),
AND($W424&lt;&gt;"",LOWER(TRIM($W424))&lt;&gt;"n/a",COUNTIFS($B$2:$B$532,"Yes",$A$2:$A$532,"Neuron",$W$2:$W$532,$W424)&gt;1)
),"Yes","No"),
IF($A424="Cybernet",
IF(OR(
AND($Y424&lt;&gt;"",LOWER(TRIM($Y424))&lt;&gt;"n/a",COUNTIFS($B$2:$B$532,"Yes",$A$2:$A$532,"Cybernet",$Y$2:$Y$532,$Y424)&gt;1),
AND($Z424&lt;&gt;"",LOWER(TRIM($Z424))&lt;&gt;"n/a",COUNTIFS($B$2:$B$532,"Yes",$A$2:$A$532,"Cybernet",$Z$2:$Z$532,$Z424)&gt;1)
),"Yes","No"),
IF(AND($AL424&lt;&gt;"",LOWER(TRIM($AL424))&lt;&gt;"n/a"),
IF(COUNTIFS($B$2:$B$532,"Yes",$A$2:$A$532,$A424,$AL$2:$AL$532,$AL424)&gt;1,"Yes","No"),
"No")
)
)
)</f>
      </c>
      <c r="BL424">
        <f>IF($T424="","",IF((IF(AND($AW424&lt;&gt;"Yes",$AW424&lt;&gt;"N/A"),"Power Cable, ","")&amp;IF(AND($AX424&lt;&gt;"Yes",$AX424&lt;&gt;"N/A"),"Battery, ","")&amp;IF(AND($BE424&lt;&gt;"Yes",$BE424&lt;&gt;"N/A"),"Firmware Download, ","")&amp;IF(AND(OR($BE424="Yes",$BE424="N/A"),$BF424&lt;&gt;"Yes",$BF424&lt;&gt;"N/A"),"Firmware Install, ","")&amp;IF(AND($BJ424&lt;&gt;"Yes",$BJ424&lt;&gt;"N/A"),"Device ID, ","")&amp;IF(AND($BK424&lt;&gt;"Yes",$BK424&lt;&gt;"N/A"),"Epic Beans Relay, ",""))="","",LEFT(IF(AND($AW424&lt;&gt;"Yes",$AW424&lt;&gt;"N/A"),"Power Cable, ","")&amp;IF(AND($AX424&lt;&gt;"Yes",$AX424&lt;&gt;"N/A"),"Battery, ","")&amp;IF(AND($BE424&lt;&gt;"Yes",$BE424&lt;&gt;"N/A"),"Firmware Download, ","")&amp;IF(AND(OR($BE424="Yes",$BE424="N/A"),$BF424&lt;&gt;"Yes",$BF424&lt;&gt;"N/A"),"Firmware Install, ","")&amp;IF(AND($BJ424&lt;&gt;"Yes",$BJ424&lt;&gt;"N/A"),"Device ID, ","")&amp;IF(AND($BK424&lt;&gt;"Yes",$BK424&lt;&gt;"N/A"),"Epic Beans Relay, ",""),LEN(IF(AND($AW424&lt;&gt;"Yes",$AW424&lt;&gt;"N/A"),"Power Cable, ","")&amp;IF(AND($AX424&lt;&gt;"Yes",$AX424&lt;&gt;"N/A"),"Battery, ","")&amp;IF(AND($BE424&lt;&gt;"Yes",$BE424&lt;&gt;"N/A"),"Firmware Download, ","")&amp;IF(AND(OR($BE424="Yes",$BE424="N/A"),$BF424&lt;&gt;"Yes",$BF424&lt;&gt;"N/A"),"Firmware Install, ","")&amp;IF(AND($BJ424&lt;&gt;"Yes",$BJ424&lt;&gt;"N/A"),"Device ID, ","")&amp;IF(AND($BK424&lt;&gt;"Yes",$BK424&lt;&gt;"N/A"),"Epic Beans Relay, ",""))-2)))</f>
      </c>
      <c r="BM424">
        <f>IF($T424="","",IF($BL424="","Yes","Blocked"))</f>
      </c>
      <c r="BP424">
        <f>IF($BO424="","",IFERROR(VLOOKUP($BO424,'01_Warehouse_Ledger'!$A:$N,4,FALSE),""))</f>
      </c>
      <c r="BQ424">
        <f>IF($BO424="","",IFERROR(VLOOKUP($BO424,'01_Warehouse_Ledger'!$A:$N,5,FALSE),""))</f>
      </c>
      <c r="BR424">
        <f>IF($BO424="","",IFERROR(VLOOKUP($BO424,'01_Warehouse_Ledger'!$A:$N,13,FALSE),""))</f>
      </c>
    </row>
    <row r="425">
      <c r="D425">
        <f>IF($B425&lt;&gt;"Yes","",IF($C425="No","Yes",IF($C425="Yes","No","")))</f>
      </c>
      <c r="E425">
        <f>IF($A425="","",IF($A425="Neuron",IF(OR(AND($S425&lt;&gt;"",LOWER(TRIM($S425))&lt;&gt;"n/a",COUNTIF($S$2:$S$532,$S425)&gt;1),AND($T425&lt;&gt;"",LOWER(TRIM($T425))&lt;&gt;"n/a",COUNTIF($T$2:$T$532,$T425)&gt;1),AND($W425&lt;&gt;"",LOWER(TRIM($W425))&lt;&gt;"n/a",COUNTIF($W$2:$W$532,$W425)&gt;1)),"Yes","No"),IF($A425="Cybernet",IF(OR(AND($Y425&lt;&gt;"",LOWER(TRIM($Y425))&lt;&gt;"n/a",COUNTIF($Y$2:$Y$532,$Y425)&gt;1),AND($Z425&lt;&gt;"",LOWER(TRIM($Z425))&lt;&gt;"n/a",COUNTIF($Z$2:$Z$532,$Z425)&gt;1)),"Yes","No"),IF(AND($AL425&lt;&gt;"",LOWER(TRIM($AL425))&lt;&gt;"n/a",COUNTIF($AL$2:$AL$532,$AL425)&gt;1),"Yes","No"))))</f>
      </c>
      <c r="F425">
        <f>IF($B425&lt;&gt;"Yes","",
IF($A425="Neuron",
IF(OR(
AND($S425&lt;&gt;"",LOWER(TRIM($S425))&lt;&gt;"n/a",COUNTIFS($B$2:$B$532,"Yes",$A$2:$A$532,"Neuron",$S$2:$S$532,$S425)&gt;1),
AND($T425&lt;&gt;"",LOWER(TRIM($T425))&lt;&gt;"n/a",COUNTIFS($B$2:$B$532,"Yes",$A$2:$A$532,"Neuron",$T$2:$T$532,$T425)&gt;1),
AND($W425&lt;&gt;"",LOWER(TRIM($W425))&lt;&gt;"n/a",COUNTIFS($B$2:$B$532,"Yes",$A$2:$A$532,"Neuron",$W$2:$W$532,$W425)&gt;1)
),"Yes","No"),
IF($A425="Cybernet",
IF(OR(
AND($Y425&lt;&gt;"",LOWER(TRIM($Y425))&lt;&gt;"n/a",COUNTIFS($B$2:$B$532,"Yes",$A$2:$A$532,"Cybernet",$Y$2:$Y$532,$Y425)&gt;1),
AND($Z425&lt;&gt;"",LOWER(TRIM($Z425))&lt;&gt;"n/a",COUNTIFS($B$2:$B$532,"Yes",$A$2:$A$532,"Cybernet",$Z$2:$Z$532,$Z425)&gt;1)
),"Yes","No"),
IF(AND($AL425&lt;&gt;"",LOWER(TRIM($AL425))&lt;&gt;"n/a"),
IF(COUNTIFS($B$2:$B$532,"Yes",$A$2:$A$532,$A425,$AL$2:$AL$532,$AL425)&gt;1,"Yes","No"),
"No")
)
)
)</f>
      </c>
      <c r="BL425">
        <f>IF($T425="","",IF((IF(AND($AW425&lt;&gt;"Yes",$AW425&lt;&gt;"N/A"),"Power Cable, ","")&amp;IF(AND($AX425&lt;&gt;"Yes",$AX425&lt;&gt;"N/A"),"Battery, ","")&amp;IF(AND($BE425&lt;&gt;"Yes",$BE425&lt;&gt;"N/A"),"Firmware Download, ","")&amp;IF(AND(OR($BE425="Yes",$BE425="N/A"),$BF425&lt;&gt;"Yes",$BF425&lt;&gt;"N/A"),"Firmware Install, ","")&amp;IF(AND($BJ425&lt;&gt;"Yes",$BJ425&lt;&gt;"N/A"),"Device ID, ","")&amp;IF(AND($BK425&lt;&gt;"Yes",$BK425&lt;&gt;"N/A"),"Epic Beans Relay, ",""))="","",LEFT(IF(AND($AW425&lt;&gt;"Yes",$AW425&lt;&gt;"N/A"),"Power Cable, ","")&amp;IF(AND($AX425&lt;&gt;"Yes",$AX425&lt;&gt;"N/A"),"Battery, ","")&amp;IF(AND($BE425&lt;&gt;"Yes",$BE425&lt;&gt;"N/A"),"Firmware Download, ","")&amp;IF(AND(OR($BE425="Yes",$BE425="N/A"),$BF425&lt;&gt;"Yes",$BF425&lt;&gt;"N/A"),"Firmware Install, ","")&amp;IF(AND($BJ425&lt;&gt;"Yes",$BJ425&lt;&gt;"N/A"),"Device ID, ","")&amp;IF(AND($BK425&lt;&gt;"Yes",$BK425&lt;&gt;"N/A"),"Epic Beans Relay, ",""),LEN(IF(AND($AW425&lt;&gt;"Yes",$AW425&lt;&gt;"N/A"),"Power Cable, ","")&amp;IF(AND($AX425&lt;&gt;"Yes",$AX425&lt;&gt;"N/A"),"Battery, ","")&amp;IF(AND($BE425&lt;&gt;"Yes",$BE425&lt;&gt;"N/A"),"Firmware Download, ","")&amp;IF(AND(OR($BE425="Yes",$BE425="N/A"),$BF425&lt;&gt;"Yes",$BF425&lt;&gt;"N/A"),"Firmware Install, ","")&amp;IF(AND($BJ425&lt;&gt;"Yes",$BJ425&lt;&gt;"N/A"),"Device ID, ","")&amp;IF(AND($BK425&lt;&gt;"Yes",$BK425&lt;&gt;"N/A"),"Epic Beans Relay, ",""))-2)))</f>
      </c>
      <c r="BM425">
        <f>IF($T425="","",IF($BL425="","Yes","Blocked"))</f>
      </c>
      <c r="BP425">
        <f>IF($BO425="","",IFERROR(VLOOKUP($BO425,'01_Warehouse_Ledger'!$A:$N,4,FALSE),""))</f>
      </c>
      <c r="BQ425">
        <f>IF($BO425="","",IFERROR(VLOOKUP($BO425,'01_Warehouse_Ledger'!$A:$N,5,FALSE),""))</f>
      </c>
      <c r="BR425">
        <f>IF($BO425="","",IFERROR(VLOOKUP($BO425,'01_Warehouse_Ledger'!$A:$N,13,FALSE),""))</f>
      </c>
    </row>
    <row r="426">
      <c r="D426">
        <f>IF($B426&lt;&gt;"Yes","",IF($C426="No","Yes",IF($C426="Yes","No","")))</f>
      </c>
      <c r="E426">
        <f>IF($A426="","",IF($A426="Neuron",IF(OR(AND($S426&lt;&gt;"",LOWER(TRIM($S426))&lt;&gt;"n/a",COUNTIF($S$2:$S$532,$S426)&gt;1),AND($T426&lt;&gt;"",LOWER(TRIM($T426))&lt;&gt;"n/a",COUNTIF($T$2:$T$532,$T426)&gt;1),AND($W426&lt;&gt;"",LOWER(TRIM($W426))&lt;&gt;"n/a",COUNTIF($W$2:$W$532,$W426)&gt;1)),"Yes","No"),IF($A426="Cybernet",IF(OR(AND($Y426&lt;&gt;"",LOWER(TRIM($Y426))&lt;&gt;"n/a",COUNTIF($Y$2:$Y$532,$Y426)&gt;1),AND($Z426&lt;&gt;"",LOWER(TRIM($Z426))&lt;&gt;"n/a",COUNTIF($Z$2:$Z$532,$Z426)&gt;1)),"Yes","No"),IF(AND($AL426&lt;&gt;"",LOWER(TRIM($AL426))&lt;&gt;"n/a",COUNTIF($AL$2:$AL$532,$AL426)&gt;1),"Yes","No"))))</f>
      </c>
      <c r="F426">
        <f>IF($B426&lt;&gt;"Yes","",
IF($A426="Neuron",
IF(OR(
AND($S426&lt;&gt;"",LOWER(TRIM($S426))&lt;&gt;"n/a",COUNTIFS($B$2:$B$532,"Yes",$A$2:$A$532,"Neuron",$S$2:$S$532,$S426)&gt;1),
AND($T426&lt;&gt;"",LOWER(TRIM($T426))&lt;&gt;"n/a",COUNTIFS($B$2:$B$532,"Yes",$A$2:$A$532,"Neuron",$T$2:$T$532,$T426)&gt;1),
AND($W426&lt;&gt;"",LOWER(TRIM($W426))&lt;&gt;"n/a",COUNTIFS($B$2:$B$532,"Yes",$A$2:$A$532,"Neuron",$W$2:$W$532,$W426)&gt;1)
),"Yes","No"),
IF($A426="Cybernet",
IF(OR(
AND($Y426&lt;&gt;"",LOWER(TRIM($Y426))&lt;&gt;"n/a",COUNTIFS($B$2:$B$532,"Yes",$A$2:$A$532,"Cybernet",$Y$2:$Y$532,$Y426)&gt;1),
AND($Z426&lt;&gt;"",LOWER(TRIM($Z426))&lt;&gt;"n/a",COUNTIFS($B$2:$B$532,"Yes",$A$2:$A$532,"Cybernet",$Z$2:$Z$532,$Z426)&gt;1)
),"Yes","No"),
IF(AND($AL426&lt;&gt;"",LOWER(TRIM($AL426))&lt;&gt;"n/a"),
IF(COUNTIFS($B$2:$B$532,"Yes",$A$2:$A$532,$A426,$AL$2:$AL$532,$AL426)&gt;1,"Yes","No"),
"No")
)
)
)</f>
      </c>
      <c r="BL426">
        <f>IF($T426="","",IF((IF(AND($AW426&lt;&gt;"Yes",$AW426&lt;&gt;"N/A"),"Power Cable, ","")&amp;IF(AND($AX426&lt;&gt;"Yes",$AX426&lt;&gt;"N/A"),"Battery, ","")&amp;IF(AND($BE426&lt;&gt;"Yes",$BE426&lt;&gt;"N/A"),"Firmware Download, ","")&amp;IF(AND(OR($BE426="Yes",$BE426="N/A"),$BF426&lt;&gt;"Yes",$BF426&lt;&gt;"N/A"),"Firmware Install, ","")&amp;IF(AND($BJ426&lt;&gt;"Yes",$BJ426&lt;&gt;"N/A"),"Device ID, ","")&amp;IF(AND($BK426&lt;&gt;"Yes",$BK426&lt;&gt;"N/A"),"Epic Beans Relay, ",""))="","",LEFT(IF(AND($AW426&lt;&gt;"Yes",$AW426&lt;&gt;"N/A"),"Power Cable, ","")&amp;IF(AND($AX426&lt;&gt;"Yes",$AX426&lt;&gt;"N/A"),"Battery, ","")&amp;IF(AND($BE426&lt;&gt;"Yes",$BE426&lt;&gt;"N/A"),"Firmware Download, ","")&amp;IF(AND(OR($BE426="Yes",$BE426="N/A"),$BF426&lt;&gt;"Yes",$BF426&lt;&gt;"N/A"),"Firmware Install, ","")&amp;IF(AND($BJ426&lt;&gt;"Yes",$BJ426&lt;&gt;"N/A"),"Device ID, ","")&amp;IF(AND($BK426&lt;&gt;"Yes",$BK426&lt;&gt;"N/A"),"Epic Beans Relay, ",""),LEN(IF(AND($AW426&lt;&gt;"Yes",$AW426&lt;&gt;"N/A"),"Power Cable, ","")&amp;IF(AND($AX426&lt;&gt;"Yes",$AX426&lt;&gt;"N/A"),"Battery, ","")&amp;IF(AND($BE426&lt;&gt;"Yes",$BE426&lt;&gt;"N/A"),"Firmware Download, ","")&amp;IF(AND(OR($BE426="Yes",$BE426="N/A"),$BF426&lt;&gt;"Yes",$BF426&lt;&gt;"N/A"),"Firmware Install, ","")&amp;IF(AND($BJ426&lt;&gt;"Yes",$BJ426&lt;&gt;"N/A"),"Device ID, ","")&amp;IF(AND($BK426&lt;&gt;"Yes",$BK426&lt;&gt;"N/A"),"Epic Beans Relay, ",""))-2)))</f>
      </c>
      <c r="BM426">
        <f>IF($T426="","",IF($BL426="","Yes","Blocked"))</f>
      </c>
      <c r="BP426">
        <f>IF($BO426="","",IFERROR(VLOOKUP($BO426,'01_Warehouse_Ledger'!$A:$N,4,FALSE),""))</f>
      </c>
      <c r="BQ426">
        <f>IF($BO426="","",IFERROR(VLOOKUP($BO426,'01_Warehouse_Ledger'!$A:$N,5,FALSE),""))</f>
      </c>
      <c r="BR426">
        <f>IF($BO426="","",IFERROR(VLOOKUP($BO426,'01_Warehouse_Ledger'!$A:$N,13,FALSE),""))</f>
      </c>
    </row>
    <row r="427">
      <c r="D427">
        <f>IF($B427&lt;&gt;"Yes","",IF($C427="No","Yes",IF($C427="Yes","No","")))</f>
      </c>
      <c r="E427">
        <f>IF($A427="","",IF($A427="Neuron",IF(OR(AND($S427&lt;&gt;"",LOWER(TRIM($S427))&lt;&gt;"n/a",COUNTIF($S$2:$S$532,$S427)&gt;1),AND($T427&lt;&gt;"",LOWER(TRIM($T427))&lt;&gt;"n/a",COUNTIF($T$2:$T$532,$T427)&gt;1),AND($W427&lt;&gt;"",LOWER(TRIM($W427))&lt;&gt;"n/a",COUNTIF($W$2:$W$532,$W427)&gt;1)),"Yes","No"),IF($A427="Cybernet",IF(OR(AND($Y427&lt;&gt;"",LOWER(TRIM($Y427))&lt;&gt;"n/a",COUNTIF($Y$2:$Y$532,$Y427)&gt;1),AND($Z427&lt;&gt;"",LOWER(TRIM($Z427))&lt;&gt;"n/a",COUNTIF($Z$2:$Z$532,$Z427)&gt;1)),"Yes","No"),IF(AND($AL427&lt;&gt;"",LOWER(TRIM($AL427))&lt;&gt;"n/a",COUNTIF($AL$2:$AL$532,$AL427)&gt;1),"Yes","No"))))</f>
      </c>
      <c r="F427">
        <f>IF($B427&lt;&gt;"Yes","",
IF($A427="Neuron",
IF(OR(
AND($S427&lt;&gt;"",LOWER(TRIM($S427))&lt;&gt;"n/a",COUNTIFS($B$2:$B$532,"Yes",$A$2:$A$532,"Neuron",$S$2:$S$532,$S427)&gt;1),
AND($T427&lt;&gt;"",LOWER(TRIM($T427))&lt;&gt;"n/a",COUNTIFS($B$2:$B$532,"Yes",$A$2:$A$532,"Neuron",$T$2:$T$532,$T427)&gt;1),
AND($W427&lt;&gt;"",LOWER(TRIM($W427))&lt;&gt;"n/a",COUNTIFS($B$2:$B$532,"Yes",$A$2:$A$532,"Neuron",$W$2:$W$532,$W427)&gt;1)
),"Yes","No"),
IF($A427="Cybernet",
IF(OR(
AND($Y427&lt;&gt;"",LOWER(TRIM($Y427))&lt;&gt;"n/a",COUNTIFS($B$2:$B$532,"Yes",$A$2:$A$532,"Cybernet",$Y$2:$Y$532,$Y427)&gt;1),
AND($Z427&lt;&gt;"",LOWER(TRIM($Z427))&lt;&gt;"n/a",COUNTIFS($B$2:$B$532,"Yes",$A$2:$A$532,"Cybernet",$Z$2:$Z$532,$Z427)&gt;1)
),"Yes","No"),
IF(AND($AL427&lt;&gt;"",LOWER(TRIM($AL427))&lt;&gt;"n/a"),
IF(COUNTIFS($B$2:$B$532,"Yes",$A$2:$A$532,$A427,$AL$2:$AL$532,$AL427)&gt;1,"Yes","No"),
"No")
)
)
)</f>
      </c>
      <c r="BL427">
        <f>IF($T427="","",IF((IF(AND($AW427&lt;&gt;"Yes",$AW427&lt;&gt;"N/A"),"Power Cable, ","")&amp;IF(AND($AX427&lt;&gt;"Yes",$AX427&lt;&gt;"N/A"),"Battery, ","")&amp;IF(AND($BE427&lt;&gt;"Yes",$BE427&lt;&gt;"N/A"),"Firmware Download, ","")&amp;IF(AND(OR($BE427="Yes",$BE427="N/A"),$BF427&lt;&gt;"Yes",$BF427&lt;&gt;"N/A"),"Firmware Install, ","")&amp;IF(AND($BJ427&lt;&gt;"Yes",$BJ427&lt;&gt;"N/A"),"Device ID, ","")&amp;IF(AND($BK427&lt;&gt;"Yes",$BK427&lt;&gt;"N/A"),"Epic Beans Relay, ",""))="","",LEFT(IF(AND($AW427&lt;&gt;"Yes",$AW427&lt;&gt;"N/A"),"Power Cable, ","")&amp;IF(AND($AX427&lt;&gt;"Yes",$AX427&lt;&gt;"N/A"),"Battery, ","")&amp;IF(AND($BE427&lt;&gt;"Yes",$BE427&lt;&gt;"N/A"),"Firmware Download, ","")&amp;IF(AND(OR($BE427="Yes",$BE427="N/A"),$BF427&lt;&gt;"Yes",$BF427&lt;&gt;"N/A"),"Firmware Install, ","")&amp;IF(AND($BJ427&lt;&gt;"Yes",$BJ427&lt;&gt;"N/A"),"Device ID, ","")&amp;IF(AND($BK427&lt;&gt;"Yes",$BK427&lt;&gt;"N/A"),"Epic Beans Relay, ",""),LEN(IF(AND($AW427&lt;&gt;"Yes",$AW427&lt;&gt;"N/A"),"Power Cable, ","")&amp;IF(AND($AX427&lt;&gt;"Yes",$AX427&lt;&gt;"N/A"),"Battery, ","")&amp;IF(AND($BE427&lt;&gt;"Yes",$BE427&lt;&gt;"N/A"),"Firmware Download, ","")&amp;IF(AND(OR($BE427="Yes",$BE427="N/A"),$BF427&lt;&gt;"Yes",$BF427&lt;&gt;"N/A"),"Firmware Install, ","")&amp;IF(AND($BJ427&lt;&gt;"Yes",$BJ427&lt;&gt;"N/A"),"Device ID, ","")&amp;IF(AND($BK427&lt;&gt;"Yes",$BK427&lt;&gt;"N/A"),"Epic Beans Relay, ",""))-2)))</f>
      </c>
      <c r="BM427">
        <f>IF($T427="","",IF($BL427="","Yes","Blocked"))</f>
      </c>
      <c r="BP427">
        <f>IF($BO427="","",IFERROR(VLOOKUP($BO427,'01_Warehouse_Ledger'!$A:$N,4,FALSE),""))</f>
      </c>
      <c r="BQ427">
        <f>IF($BO427="","",IFERROR(VLOOKUP($BO427,'01_Warehouse_Ledger'!$A:$N,5,FALSE),""))</f>
      </c>
      <c r="BR427">
        <f>IF($BO427="","",IFERROR(VLOOKUP($BO427,'01_Warehouse_Ledger'!$A:$N,13,FALSE),""))</f>
      </c>
    </row>
    <row r="428">
      <c r="D428">
        <f>IF($B428&lt;&gt;"Yes","",IF($C428="No","Yes",IF($C428="Yes","No","")))</f>
      </c>
      <c r="E428">
        <f>IF($A428="","",IF($A428="Neuron",IF(OR(AND($S428&lt;&gt;"",LOWER(TRIM($S428))&lt;&gt;"n/a",COUNTIF($S$2:$S$532,$S428)&gt;1),AND($T428&lt;&gt;"",LOWER(TRIM($T428))&lt;&gt;"n/a",COUNTIF($T$2:$T$532,$T428)&gt;1),AND($W428&lt;&gt;"",LOWER(TRIM($W428))&lt;&gt;"n/a",COUNTIF($W$2:$W$532,$W428)&gt;1)),"Yes","No"),IF($A428="Cybernet",IF(OR(AND($Y428&lt;&gt;"",LOWER(TRIM($Y428))&lt;&gt;"n/a",COUNTIF($Y$2:$Y$532,$Y428)&gt;1),AND($Z428&lt;&gt;"",LOWER(TRIM($Z428))&lt;&gt;"n/a",COUNTIF($Z$2:$Z$532,$Z428)&gt;1)),"Yes","No"),IF(AND($AL428&lt;&gt;"",LOWER(TRIM($AL428))&lt;&gt;"n/a",COUNTIF($AL$2:$AL$532,$AL428)&gt;1),"Yes","No"))))</f>
      </c>
      <c r="F428">
        <f>IF($B428&lt;&gt;"Yes","",
IF($A428="Neuron",
IF(OR(
AND($S428&lt;&gt;"",LOWER(TRIM($S428))&lt;&gt;"n/a",COUNTIFS($B$2:$B$532,"Yes",$A$2:$A$532,"Neuron",$S$2:$S$532,$S428)&gt;1),
AND($T428&lt;&gt;"",LOWER(TRIM($T428))&lt;&gt;"n/a",COUNTIFS($B$2:$B$532,"Yes",$A$2:$A$532,"Neuron",$T$2:$T$532,$T428)&gt;1),
AND($W428&lt;&gt;"",LOWER(TRIM($W428))&lt;&gt;"n/a",COUNTIFS($B$2:$B$532,"Yes",$A$2:$A$532,"Neuron",$W$2:$W$532,$W428)&gt;1)
),"Yes","No"),
IF($A428="Cybernet",
IF(OR(
AND($Y428&lt;&gt;"",LOWER(TRIM($Y428))&lt;&gt;"n/a",COUNTIFS($B$2:$B$532,"Yes",$A$2:$A$532,"Cybernet",$Y$2:$Y$532,$Y428)&gt;1),
AND($Z428&lt;&gt;"",LOWER(TRIM($Z428))&lt;&gt;"n/a",COUNTIFS($B$2:$B$532,"Yes",$A$2:$A$532,"Cybernet",$Z$2:$Z$532,$Z428)&gt;1)
),"Yes","No"),
IF(AND($AL428&lt;&gt;"",LOWER(TRIM($AL428))&lt;&gt;"n/a"),
IF(COUNTIFS($B$2:$B$532,"Yes",$A$2:$A$532,$A428,$AL$2:$AL$532,$AL428)&gt;1,"Yes","No"),
"No")
)
)
)</f>
      </c>
      <c r="BL428">
        <f>IF($T428="","",IF((IF(AND($AW428&lt;&gt;"Yes",$AW428&lt;&gt;"N/A"),"Power Cable, ","")&amp;IF(AND($AX428&lt;&gt;"Yes",$AX428&lt;&gt;"N/A"),"Battery, ","")&amp;IF(AND($BE428&lt;&gt;"Yes",$BE428&lt;&gt;"N/A"),"Firmware Download, ","")&amp;IF(AND(OR($BE428="Yes",$BE428="N/A"),$BF428&lt;&gt;"Yes",$BF428&lt;&gt;"N/A"),"Firmware Install, ","")&amp;IF(AND($BJ428&lt;&gt;"Yes",$BJ428&lt;&gt;"N/A"),"Device ID, ","")&amp;IF(AND($BK428&lt;&gt;"Yes",$BK428&lt;&gt;"N/A"),"Epic Beans Relay, ",""))="","",LEFT(IF(AND($AW428&lt;&gt;"Yes",$AW428&lt;&gt;"N/A"),"Power Cable, ","")&amp;IF(AND($AX428&lt;&gt;"Yes",$AX428&lt;&gt;"N/A"),"Battery, ","")&amp;IF(AND($BE428&lt;&gt;"Yes",$BE428&lt;&gt;"N/A"),"Firmware Download, ","")&amp;IF(AND(OR($BE428="Yes",$BE428="N/A"),$BF428&lt;&gt;"Yes",$BF428&lt;&gt;"N/A"),"Firmware Install, ","")&amp;IF(AND($BJ428&lt;&gt;"Yes",$BJ428&lt;&gt;"N/A"),"Device ID, ","")&amp;IF(AND($BK428&lt;&gt;"Yes",$BK428&lt;&gt;"N/A"),"Epic Beans Relay, ",""),LEN(IF(AND($AW428&lt;&gt;"Yes",$AW428&lt;&gt;"N/A"),"Power Cable, ","")&amp;IF(AND($AX428&lt;&gt;"Yes",$AX428&lt;&gt;"N/A"),"Battery, ","")&amp;IF(AND($BE428&lt;&gt;"Yes",$BE428&lt;&gt;"N/A"),"Firmware Download, ","")&amp;IF(AND(OR($BE428="Yes",$BE428="N/A"),$BF428&lt;&gt;"Yes",$BF428&lt;&gt;"N/A"),"Firmware Install, ","")&amp;IF(AND($BJ428&lt;&gt;"Yes",$BJ428&lt;&gt;"N/A"),"Device ID, ","")&amp;IF(AND($BK428&lt;&gt;"Yes",$BK428&lt;&gt;"N/A"),"Epic Beans Relay, ",""))-2)))</f>
      </c>
      <c r="BM428">
        <f>IF($T428="","",IF($BL428="","Yes","Blocked"))</f>
      </c>
      <c r="BP428">
        <f>IF($BO428="","",IFERROR(VLOOKUP($BO428,'01_Warehouse_Ledger'!$A:$N,4,FALSE),""))</f>
      </c>
      <c r="BQ428">
        <f>IF($BO428="","",IFERROR(VLOOKUP($BO428,'01_Warehouse_Ledger'!$A:$N,5,FALSE),""))</f>
      </c>
      <c r="BR428">
        <f>IF($BO428="","",IFERROR(VLOOKUP($BO428,'01_Warehouse_Ledger'!$A:$N,13,FALSE),""))</f>
      </c>
    </row>
    <row r="429">
      <c r="D429">
        <f>IF($B429&lt;&gt;"Yes","",IF($C429="No","Yes",IF($C429="Yes","No","")))</f>
      </c>
      <c r="E429">
        <f>IF($A429="","",IF($A429="Neuron",IF(OR(AND($S429&lt;&gt;"",LOWER(TRIM($S429))&lt;&gt;"n/a",COUNTIF($S$2:$S$532,$S429)&gt;1),AND($T429&lt;&gt;"",LOWER(TRIM($T429))&lt;&gt;"n/a",COUNTIF($T$2:$T$532,$T429)&gt;1),AND($W429&lt;&gt;"",LOWER(TRIM($W429))&lt;&gt;"n/a",COUNTIF($W$2:$W$532,$W429)&gt;1)),"Yes","No"),IF($A429="Cybernet",IF(OR(AND($Y429&lt;&gt;"",LOWER(TRIM($Y429))&lt;&gt;"n/a",COUNTIF($Y$2:$Y$532,$Y429)&gt;1),AND($Z429&lt;&gt;"",LOWER(TRIM($Z429))&lt;&gt;"n/a",COUNTIF($Z$2:$Z$532,$Z429)&gt;1)),"Yes","No"),IF(AND($AL429&lt;&gt;"",LOWER(TRIM($AL429))&lt;&gt;"n/a",COUNTIF($AL$2:$AL$532,$AL429)&gt;1),"Yes","No"))))</f>
      </c>
      <c r="F429">
        <f>IF($B429&lt;&gt;"Yes","",
IF($A429="Neuron",
IF(OR(
AND($S429&lt;&gt;"",LOWER(TRIM($S429))&lt;&gt;"n/a",COUNTIFS($B$2:$B$532,"Yes",$A$2:$A$532,"Neuron",$S$2:$S$532,$S429)&gt;1),
AND($T429&lt;&gt;"",LOWER(TRIM($T429))&lt;&gt;"n/a",COUNTIFS($B$2:$B$532,"Yes",$A$2:$A$532,"Neuron",$T$2:$T$532,$T429)&gt;1),
AND($W429&lt;&gt;"",LOWER(TRIM($W429))&lt;&gt;"n/a",COUNTIFS($B$2:$B$532,"Yes",$A$2:$A$532,"Neuron",$W$2:$W$532,$W429)&gt;1)
),"Yes","No"),
IF($A429="Cybernet",
IF(OR(
AND($Y429&lt;&gt;"",LOWER(TRIM($Y429))&lt;&gt;"n/a",COUNTIFS($B$2:$B$532,"Yes",$A$2:$A$532,"Cybernet",$Y$2:$Y$532,$Y429)&gt;1),
AND($Z429&lt;&gt;"",LOWER(TRIM($Z429))&lt;&gt;"n/a",COUNTIFS($B$2:$B$532,"Yes",$A$2:$A$532,"Cybernet",$Z$2:$Z$532,$Z429)&gt;1)
),"Yes","No"),
IF(AND($AL429&lt;&gt;"",LOWER(TRIM($AL429))&lt;&gt;"n/a"),
IF(COUNTIFS($B$2:$B$532,"Yes",$A$2:$A$532,$A429,$AL$2:$AL$532,$AL429)&gt;1,"Yes","No"),
"No")
)
)
)</f>
      </c>
      <c r="BL429">
        <f>IF($T429="","",IF((IF(AND($AW429&lt;&gt;"Yes",$AW429&lt;&gt;"N/A"),"Power Cable, ","")&amp;IF(AND($AX429&lt;&gt;"Yes",$AX429&lt;&gt;"N/A"),"Battery, ","")&amp;IF(AND($BE429&lt;&gt;"Yes",$BE429&lt;&gt;"N/A"),"Firmware Download, ","")&amp;IF(AND(OR($BE429="Yes",$BE429="N/A"),$BF429&lt;&gt;"Yes",$BF429&lt;&gt;"N/A"),"Firmware Install, ","")&amp;IF(AND($BJ429&lt;&gt;"Yes",$BJ429&lt;&gt;"N/A"),"Device ID, ","")&amp;IF(AND($BK429&lt;&gt;"Yes",$BK429&lt;&gt;"N/A"),"Epic Beans Relay, ",""))="","",LEFT(IF(AND($AW429&lt;&gt;"Yes",$AW429&lt;&gt;"N/A"),"Power Cable, ","")&amp;IF(AND($AX429&lt;&gt;"Yes",$AX429&lt;&gt;"N/A"),"Battery, ","")&amp;IF(AND($BE429&lt;&gt;"Yes",$BE429&lt;&gt;"N/A"),"Firmware Download, ","")&amp;IF(AND(OR($BE429="Yes",$BE429="N/A"),$BF429&lt;&gt;"Yes",$BF429&lt;&gt;"N/A"),"Firmware Install, ","")&amp;IF(AND($BJ429&lt;&gt;"Yes",$BJ429&lt;&gt;"N/A"),"Device ID, ","")&amp;IF(AND($BK429&lt;&gt;"Yes",$BK429&lt;&gt;"N/A"),"Epic Beans Relay, ",""),LEN(IF(AND($AW429&lt;&gt;"Yes",$AW429&lt;&gt;"N/A"),"Power Cable, ","")&amp;IF(AND($AX429&lt;&gt;"Yes",$AX429&lt;&gt;"N/A"),"Battery, ","")&amp;IF(AND($BE429&lt;&gt;"Yes",$BE429&lt;&gt;"N/A"),"Firmware Download, ","")&amp;IF(AND(OR($BE429="Yes",$BE429="N/A"),$BF429&lt;&gt;"Yes",$BF429&lt;&gt;"N/A"),"Firmware Install, ","")&amp;IF(AND($BJ429&lt;&gt;"Yes",$BJ429&lt;&gt;"N/A"),"Device ID, ","")&amp;IF(AND($BK429&lt;&gt;"Yes",$BK429&lt;&gt;"N/A"),"Epic Beans Relay, ",""))-2)))</f>
      </c>
      <c r="BM429">
        <f>IF($T429="","",IF($BL429="","Yes","Blocked"))</f>
      </c>
      <c r="BP429">
        <f>IF($BO429="","",IFERROR(VLOOKUP($BO429,'01_Warehouse_Ledger'!$A:$N,4,FALSE),""))</f>
      </c>
      <c r="BQ429">
        <f>IF($BO429="","",IFERROR(VLOOKUP($BO429,'01_Warehouse_Ledger'!$A:$N,5,FALSE),""))</f>
      </c>
      <c r="BR429">
        <f>IF($BO429="","",IFERROR(VLOOKUP($BO429,'01_Warehouse_Ledger'!$A:$N,13,FALSE),""))</f>
      </c>
    </row>
    <row r="430">
      <c r="D430">
        <f>IF($B430&lt;&gt;"Yes","",IF($C430="No","Yes",IF($C430="Yes","No","")))</f>
      </c>
      <c r="E430">
        <f>IF($A430="","",IF($A430="Neuron",IF(OR(AND($S430&lt;&gt;"",LOWER(TRIM($S430))&lt;&gt;"n/a",COUNTIF($S$2:$S$532,$S430)&gt;1),AND($T430&lt;&gt;"",LOWER(TRIM($T430))&lt;&gt;"n/a",COUNTIF($T$2:$T$532,$T430)&gt;1),AND($W430&lt;&gt;"",LOWER(TRIM($W430))&lt;&gt;"n/a",COUNTIF($W$2:$W$532,$W430)&gt;1)),"Yes","No"),IF($A430="Cybernet",IF(OR(AND($Y430&lt;&gt;"",LOWER(TRIM($Y430))&lt;&gt;"n/a",COUNTIF($Y$2:$Y$532,$Y430)&gt;1),AND($Z430&lt;&gt;"",LOWER(TRIM($Z430))&lt;&gt;"n/a",COUNTIF($Z$2:$Z$532,$Z430)&gt;1)),"Yes","No"),IF(AND($AL430&lt;&gt;"",LOWER(TRIM($AL430))&lt;&gt;"n/a",COUNTIF($AL$2:$AL$532,$AL430)&gt;1),"Yes","No"))))</f>
      </c>
      <c r="F430">
        <f>IF($B430&lt;&gt;"Yes","",
IF($A430="Neuron",
IF(OR(
AND($S430&lt;&gt;"",LOWER(TRIM($S430))&lt;&gt;"n/a",COUNTIFS($B$2:$B$532,"Yes",$A$2:$A$532,"Neuron",$S$2:$S$532,$S430)&gt;1),
AND($T430&lt;&gt;"",LOWER(TRIM($T430))&lt;&gt;"n/a",COUNTIFS($B$2:$B$532,"Yes",$A$2:$A$532,"Neuron",$T$2:$T$532,$T430)&gt;1),
AND($W430&lt;&gt;"",LOWER(TRIM($W430))&lt;&gt;"n/a",COUNTIFS($B$2:$B$532,"Yes",$A$2:$A$532,"Neuron",$W$2:$W$532,$W430)&gt;1)
),"Yes","No"),
IF($A430="Cybernet",
IF(OR(
AND($Y430&lt;&gt;"",LOWER(TRIM($Y430))&lt;&gt;"n/a",COUNTIFS($B$2:$B$532,"Yes",$A$2:$A$532,"Cybernet",$Y$2:$Y$532,$Y430)&gt;1),
AND($Z430&lt;&gt;"",LOWER(TRIM($Z430))&lt;&gt;"n/a",COUNTIFS($B$2:$B$532,"Yes",$A$2:$A$532,"Cybernet",$Z$2:$Z$532,$Z430)&gt;1)
),"Yes","No"),
IF(AND($AL430&lt;&gt;"",LOWER(TRIM($AL430))&lt;&gt;"n/a"),
IF(COUNTIFS($B$2:$B$532,"Yes",$A$2:$A$532,$A430,$AL$2:$AL$532,$AL430)&gt;1,"Yes","No"),
"No")
)
)
)</f>
      </c>
      <c r="BL430">
        <f>IF($T430="","",IF((IF(AND($AW430&lt;&gt;"Yes",$AW430&lt;&gt;"N/A"),"Power Cable, ","")&amp;IF(AND($AX430&lt;&gt;"Yes",$AX430&lt;&gt;"N/A"),"Battery, ","")&amp;IF(AND($BE430&lt;&gt;"Yes",$BE430&lt;&gt;"N/A"),"Firmware Download, ","")&amp;IF(AND(OR($BE430="Yes",$BE430="N/A"),$BF430&lt;&gt;"Yes",$BF430&lt;&gt;"N/A"),"Firmware Install, ","")&amp;IF(AND($BJ430&lt;&gt;"Yes",$BJ430&lt;&gt;"N/A"),"Device ID, ","")&amp;IF(AND($BK430&lt;&gt;"Yes",$BK430&lt;&gt;"N/A"),"Epic Beans Relay, ",""))="","",LEFT(IF(AND($AW430&lt;&gt;"Yes",$AW430&lt;&gt;"N/A"),"Power Cable, ","")&amp;IF(AND($AX430&lt;&gt;"Yes",$AX430&lt;&gt;"N/A"),"Battery, ","")&amp;IF(AND($BE430&lt;&gt;"Yes",$BE430&lt;&gt;"N/A"),"Firmware Download, ","")&amp;IF(AND(OR($BE430="Yes",$BE430="N/A"),$BF430&lt;&gt;"Yes",$BF430&lt;&gt;"N/A"),"Firmware Install, ","")&amp;IF(AND($BJ430&lt;&gt;"Yes",$BJ430&lt;&gt;"N/A"),"Device ID, ","")&amp;IF(AND($BK430&lt;&gt;"Yes",$BK430&lt;&gt;"N/A"),"Epic Beans Relay, ",""),LEN(IF(AND($AW430&lt;&gt;"Yes",$AW430&lt;&gt;"N/A"),"Power Cable, ","")&amp;IF(AND($AX430&lt;&gt;"Yes",$AX430&lt;&gt;"N/A"),"Battery, ","")&amp;IF(AND($BE430&lt;&gt;"Yes",$BE430&lt;&gt;"N/A"),"Firmware Download, ","")&amp;IF(AND(OR($BE430="Yes",$BE430="N/A"),$BF430&lt;&gt;"Yes",$BF430&lt;&gt;"N/A"),"Firmware Install, ","")&amp;IF(AND($BJ430&lt;&gt;"Yes",$BJ430&lt;&gt;"N/A"),"Device ID, ","")&amp;IF(AND($BK430&lt;&gt;"Yes",$BK430&lt;&gt;"N/A"),"Epic Beans Relay, ",""))-2)))</f>
      </c>
      <c r="BM430">
        <f>IF($T430="","",IF($BL430="","Yes","Blocked"))</f>
      </c>
      <c r="BP430">
        <f>IF($BO430="","",IFERROR(VLOOKUP($BO430,'01_Warehouse_Ledger'!$A:$N,4,FALSE),""))</f>
      </c>
      <c r="BQ430">
        <f>IF($BO430="","",IFERROR(VLOOKUP($BO430,'01_Warehouse_Ledger'!$A:$N,5,FALSE),""))</f>
      </c>
      <c r="BR430">
        <f>IF($BO430="","",IFERROR(VLOOKUP($BO430,'01_Warehouse_Ledger'!$A:$N,13,FALSE),""))</f>
      </c>
    </row>
    <row r="431">
      <c r="D431">
        <f>IF($B431&lt;&gt;"Yes","",IF($C431="No","Yes",IF($C431="Yes","No","")))</f>
      </c>
      <c r="E431">
        <f>IF($A431="","",IF($A431="Neuron",IF(OR(AND($S431&lt;&gt;"",LOWER(TRIM($S431))&lt;&gt;"n/a",COUNTIF($S$2:$S$532,$S431)&gt;1),AND($T431&lt;&gt;"",LOWER(TRIM($T431))&lt;&gt;"n/a",COUNTIF($T$2:$T$532,$T431)&gt;1),AND($W431&lt;&gt;"",LOWER(TRIM($W431))&lt;&gt;"n/a",COUNTIF($W$2:$W$532,$W431)&gt;1)),"Yes","No"),IF($A431="Cybernet",IF(OR(AND($Y431&lt;&gt;"",LOWER(TRIM($Y431))&lt;&gt;"n/a",COUNTIF($Y$2:$Y$532,$Y431)&gt;1),AND($Z431&lt;&gt;"",LOWER(TRIM($Z431))&lt;&gt;"n/a",COUNTIF($Z$2:$Z$532,$Z431)&gt;1)),"Yes","No"),IF(AND($AL431&lt;&gt;"",LOWER(TRIM($AL431))&lt;&gt;"n/a",COUNTIF($AL$2:$AL$532,$AL431)&gt;1),"Yes","No"))))</f>
      </c>
      <c r="F431">
        <f>IF($B431&lt;&gt;"Yes","",
IF($A431="Neuron",
IF(OR(
AND($S431&lt;&gt;"",LOWER(TRIM($S431))&lt;&gt;"n/a",COUNTIFS($B$2:$B$532,"Yes",$A$2:$A$532,"Neuron",$S$2:$S$532,$S431)&gt;1),
AND($T431&lt;&gt;"",LOWER(TRIM($T431))&lt;&gt;"n/a",COUNTIFS($B$2:$B$532,"Yes",$A$2:$A$532,"Neuron",$T$2:$T$532,$T431)&gt;1),
AND($W431&lt;&gt;"",LOWER(TRIM($W431))&lt;&gt;"n/a",COUNTIFS($B$2:$B$532,"Yes",$A$2:$A$532,"Neuron",$W$2:$W$532,$W431)&gt;1)
),"Yes","No"),
IF($A431="Cybernet",
IF(OR(
AND($Y431&lt;&gt;"",LOWER(TRIM($Y431))&lt;&gt;"n/a",COUNTIFS($B$2:$B$532,"Yes",$A$2:$A$532,"Cybernet",$Y$2:$Y$532,$Y431)&gt;1),
AND($Z431&lt;&gt;"",LOWER(TRIM($Z431))&lt;&gt;"n/a",COUNTIFS($B$2:$B$532,"Yes",$A$2:$A$532,"Cybernet",$Z$2:$Z$532,$Z431)&gt;1)
),"Yes","No"),
IF(AND($AL431&lt;&gt;"",LOWER(TRIM($AL431))&lt;&gt;"n/a"),
IF(COUNTIFS($B$2:$B$532,"Yes",$A$2:$A$532,$A431,$AL$2:$AL$532,$AL431)&gt;1,"Yes","No"),
"No")
)
)
)</f>
      </c>
      <c r="BL431">
        <f>IF($T431="","",IF((IF(AND($AW431&lt;&gt;"Yes",$AW431&lt;&gt;"N/A"),"Power Cable, ","")&amp;IF(AND($AX431&lt;&gt;"Yes",$AX431&lt;&gt;"N/A"),"Battery, ","")&amp;IF(AND($BE431&lt;&gt;"Yes",$BE431&lt;&gt;"N/A"),"Firmware Download, ","")&amp;IF(AND(OR($BE431="Yes",$BE431="N/A"),$BF431&lt;&gt;"Yes",$BF431&lt;&gt;"N/A"),"Firmware Install, ","")&amp;IF(AND($BJ431&lt;&gt;"Yes",$BJ431&lt;&gt;"N/A"),"Device ID, ","")&amp;IF(AND($BK431&lt;&gt;"Yes",$BK431&lt;&gt;"N/A"),"Epic Beans Relay, ",""))="","",LEFT(IF(AND($AW431&lt;&gt;"Yes",$AW431&lt;&gt;"N/A"),"Power Cable, ","")&amp;IF(AND($AX431&lt;&gt;"Yes",$AX431&lt;&gt;"N/A"),"Battery, ","")&amp;IF(AND($BE431&lt;&gt;"Yes",$BE431&lt;&gt;"N/A"),"Firmware Download, ","")&amp;IF(AND(OR($BE431="Yes",$BE431="N/A"),$BF431&lt;&gt;"Yes",$BF431&lt;&gt;"N/A"),"Firmware Install, ","")&amp;IF(AND($BJ431&lt;&gt;"Yes",$BJ431&lt;&gt;"N/A"),"Device ID, ","")&amp;IF(AND($BK431&lt;&gt;"Yes",$BK431&lt;&gt;"N/A"),"Epic Beans Relay, ",""),LEN(IF(AND($AW431&lt;&gt;"Yes",$AW431&lt;&gt;"N/A"),"Power Cable, ","")&amp;IF(AND($AX431&lt;&gt;"Yes",$AX431&lt;&gt;"N/A"),"Battery, ","")&amp;IF(AND($BE431&lt;&gt;"Yes",$BE431&lt;&gt;"N/A"),"Firmware Download, ","")&amp;IF(AND(OR($BE431="Yes",$BE431="N/A"),$BF431&lt;&gt;"Yes",$BF431&lt;&gt;"N/A"),"Firmware Install, ","")&amp;IF(AND($BJ431&lt;&gt;"Yes",$BJ431&lt;&gt;"N/A"),"Device ID, ","")&amp;IF(AND($BK431&lt;&gt;"Yes",$BK431&lt;&gt;"N/A"),"Epic Beans Relay, ",""))-2)))</f>
      </c>
      <c r="BM431">
        <f>IF($T431="","",IF($BL431="","Yes","Blocked"))</f>
      </c>
      <c r="BP431">
        <f>IF($BO431="","",IFERROR(VLOOKUP($BO431,'01_Warehouse_Ledger'!$A:$N,4,FALSE),""))</f>
      </c>
      <c r="BQ431">
        <f>IF($BO431="","",IFERROR(VLOOKUP($BO431,'01_Warehouse_Ledger'!$A:$N,5,FALSE),""))</f>
      </c>
      <c r="BR431">
        <f>IF($BO431="","",IFERROR(VLOOKUP($BO431,'01_Warehouse_Ledger'!$A:$N,13,FALSE),""))</f>
      </c>
    </row>
    <row r="432">
      <c r="D432">
        <f>IF($B432&lt;&gt;"Yes","",IF($C432="No","Yes",IF($C432="Yes","No","")))</f>
      </c>
      <c r="E432">
        <f>IF($A432="","",IF($A432="Neuron",IF(OR(AND($S432&lt;&gt;"",LOWER(TRIM($S432))&lt;&gt;"n/a",COUNTIF($S$2:$S$532,$S432)&gt;1),AND($T432&lt;&gt;"",LOWER(TRIM($T432))&lt;&gt;"n/a",COUNTIF($T$2:$T$532,$T432)&gt;1),AND($W432&lt;&gt;"",LOWER(TRIM($W432))&lt;&gt;"n/a",COUNTIF($W$2:$W$532,$W432)&gt;1)),"Yes","No"),IF($A432="Cybernet",IF(OR(AND($Y432&lt;&gt;"",LOWER(TRIM($Y432))&lt;&gt;"n/a",COUNTIF($Y$2:$Y$532,$Y432)&gt;1),AND($Z432&lt;&gt;"",LOWER(TRIM($Z432))&lt;&gt;"n/a",COUNTIF($Z$2:$Z$532,$Z432)&gt;1)),"Yes","No"),IF(AND($AL432&lt;&gt;"",LOWER(TRIM($AL432))&lt;&gt;"n/a",COUNTIF($AL$2:$AL$532,$AL432)&gt;1),"Yes","No"))))</f>
      </c>
      <c r="F432">
        <f>IF($B432&lt;&gt;"Yes","",
IF($A432="Neuron",
IF(OR(
AND($S432&lt;&gt;"",LOWER(TRIM($S432))&lt;&gt;"n/a",COUNTIFS($B$2:$B$532,"Yes",$A$2:$A$532,"Neuron",$S$2:$S$532,$S432)&gt;1),
AND($T432&lt;&gt;"",LOWER(TRIM($T432))&lt;&gt;"n/a",COUNTIFS($B$2:$B$532,"Yes",$A$2:$A$532,"Neuron",$T$2:$T$532,$T432)&gt;1),
AND($W432&lt;&gt;"",LOWER(TRIM($W432))&lt;&gt;"n/a",COUNTIFS($B$2:$B$532,"Yes",$A$2:$A$532,"Neuron",$W$2:$W$532,$W432)&gt;1)
),"Yes","No"),
IF($A432="Cybernet",
IF(OR(
AND($Y432&lt;&gt;"",LOWER(TRIM($Y432))&lt;&gt;"n/a",COUNTIFS($B$2:$B$532,"Yes",$A$2:$A$532,"Cybernet",$Y$2:$Y$532,$Y432)&gt;1),
AND($Z432&lt;&gt;"",LOWER(TRIM($Z432))&lt;&gt;"n/a",COUNTIFS($B$2:$B$532,"Yes",$A$2:$A$532,"Cybernet",$Z$2:$Z$532,$Z432)&gt;1)
),"Yes","No"),
IF(AND($AL432&lt;&gt;"",LOWER(TRIM($AL432))&lt;&gt;"n/a"),
IF(COUNTIFS($B$2:$B$532,"Yes",$A$2:$A$532,$A432,$AL$2:$AL$532,$AL432)&gt;1,"Yes","No"),
"No")
)
)
)</f>
      </c>
      <c r="BL432">
        <f>IF($T432="","",IF((IF(AND($AW432&lt;&gt;"Yes",$AW432&lt;&gt;"N/A"),"Power Cable, ","")&amp;IF(AND($AX432&lt;&gt;"Yes",$AX432&lt;&gt;"N/A"),"Battery, ","")&amp;IF(AND($BE432&lt;&gt;"Yes",$BE432&lt;&gt;"N/A"),"Firmware Download, ","")&amp;IF(AND(OR($BE432="Yes",$BE432="N/A"),$BF432&lt;&gt;"Yes",$BF432&lt;&gt;"N/A"),"Firmware Install, ","")&amp;IF(AND($BJ432&lt;&gt;"Yes",$BJ432&lt;&gt;"N/A"),"Device ID, ","")&amp;IF(AND($BK432&lt;&gt;"Yes",$BK432&lt;&gt;"N/A"),"Epic Beans Relay, ",""))="","",LEFT(IF(AND($AW432&lt;&gt;"Yes",$AW432&lt;&gt;"N/A"),"Power Cable, ","")&amp;IF(AND($AX432&lt;&gt;"Yes",$AX432&lt;&gt;"N/A"),"Battery, ","")&amp;IF(AND($BE432&lt;&gt;"Yes",$BE432&lt;&gt;"N/A"),"Firmware Download, ","")&amp;IF(AND(OR($BE432="Yes",$BE432="N/A"),$BF432&lt;&gt;"Yes",$BF432&lt;&gt;"N/A"),"Firmware Install, ","")&amp;IF(AND($BJ432&lt;&gt;"Yes",$BJ432&lt;&gt;"N/A"),"Device ID, ","")&amp;IF(AND($BK432&lt;&gt;"Yes",$BK432&lt;&gt;"N/A"),"Epic Beans Relay, ",""),LEN(IF(AND($AW432&lt;&gt;"Yes",$AW432&lt;&gt;"N/A"),"Power Cable, ","")&amp;IF(AND($AX432&lt;&gt;"Yes",$AX432&lt;&gt;"N/A"),"Battery, ","")&amp;IF(AND($BE432&lt;&gt;"Yes",$BE432&lt;&gt;"N/A"),"Firmware Download, ","")&amp;IF(AND(OR($BE432="Yes",$BE432="N/A"),$BF432&lt;&gt;"Yes",$BF432&lt;&gt;"N/A"),"Firmware Install, ","")&amp;IF(AND($BJ432&lt;&gt;"Yes",$BJ432&lt;&gt;"N/A"),"Device ID, ","")&amp;IF(AND($BK432&lt;&gt;"Yes",$BK432&lt;&gt;"N/A"),"Epic Beans Relay, ",""))-2)))</f>
      </c>
      <c r="BM432">
        <f>IF($T432="","",IF($BL432="","Yes","Blocked"))</f>
      </c>
      <c r="BP432">
        <f>IF($BO432="","",IFERROR(VLOOKUP($BO432,'01_Warehouse_Ledger'!$A:$N,4,FALSE),""))</f>
      </c>
      <c r="BQ432">
        <f>IF($BO432="","",IFERROR(VLOOKUP($BO432,'01_Warehouse_Ledger'!$A:$N,5,FALSE),""))</f>
      </c>
      <c r="BR432">
        <f>IF($BO432="","",IFERROR(VLOOKUP($BO432,'01_Warehouse_Ledger'!$A:$N,13,FALSE),""))</f>
      </c>
    </row>
    <row r="433">
      <c r="D433">
        <f>IF($B433&lt;&gt;"Yes","",IF($C433="No","Yes",IF($C433="Yes","No","")))</f>
      </c>
      <c r="E433">
        <f>IF($A433="","",IF($A433="Neuron",IF(OR(AND($S433&lt;&gt;"",LOWER(TRIM($S433))&lt;&gt;"n/a",COUNTIF($S$2:$S$532,$S433)&gt;1),AND($T433&lt;&gt;"",LOWER(TRIM($T433))&lt;&gt;"n/a",COUNTIF($T$2:$T$532,$T433)&gt;1),AND($W433&lt;&gt;"",LOWER(TRIM($W433))&lt;&gt;"n/a",COUNTIF($W$2:$W$532,$W433)&gt;1)),"Yes","No"),IF($A433="Cybernet",IF(OR(AND($Y433&lt;&gt;"",LOWER(TRIM($Y433))&lt;&gt;"n/a",COUNTIF($Y$2:$Y$532,$Y433)&gt;1),AND($Z433&lt;&gt;"",LOWER(TRIM($Z433))&lt;&gt;"n/a",COUNTIF($Z$2:$Z$532,$Z433)&gt;1)),"Yes","No"),IF(AND($AL433&lt;&gt;"",LOWER(TRIM($AL433))&lt;&gt;"n/a",COUNTIF($AL$2:$AL$532,$AL433)&gt;1),"Yes","No"))))</f>
      </c>
      <c r="F433">
        <f>IF($B433&lt;&gt;"Yes","",
IF($A433="Neuron",
IF(OR(
AND($S433&lt;&gt;"",LOWER(TRIM($S433))&lt;&gt;"n/a",COUNTIFS($B$2:$B$532,"Yes",$A$2:$A$532,"Neuron",$S$2:$S$532,$S433)&gt;1),
AND($T433&lt;&gt;"",LOWER(TRIM($T433))&lt;&gt;"n/a",COUNTIFS($B$2:$B$532,"Yes",$A$2:$A$532,"Neuron",$T$2:$T$532,$T433)&gt;1),
AND($W433&lt;&gt;"",LOWER(TRIM($W433))&lt;&gt;"n/a",COUNTIFS($B$2:$B$532,"Yes",$A$2:$A$532,"Neuron",$W$2:$W$532,$W433)&gt;1)
),"Yes","No"),
IF($A433="Cybernet",
IF(OR(
AND($Y433&lt;&gt;"",LOWER(TRIM($Y433))&lt;&gt;"n/a",COUNTIFS($B$2:$B$532,"Yes",$A$2:$A$532,"Cybernet",$Y$2:$Y$532,$Y433)&gt;1),
AND($Z433&lt;&gt;"",LOWER(TRIM($Z433))&lt;&gt;"n/a",COUNTIFS($B$2:$B$532,"Yes",$A$2:$A$532,"Cybernet",$Z$2:$Z$532,$Z433)&gt;1)
),"Yes","No"),
IF(AND($AL433&lt;&gt;"",LOWER(TRIM($AL433))&lt;&gt;"n/a"),
IF(COUNTIFS($B$2:$B$532,"Yes",$A$2:$A$532,$A433,$AL$2:$AL$532,$AL433)&gt;1,"Yes","No"),
"No")
)
)
)</f>
      </c>
      <c r="BL433">
        <f>IF($T433="","",IF((IF(AND($AW433&lt;&gt;"Yes",$AW433&lt;&gt;"N/A"),"Power Cable, ","")&amp;IF(AND($AX433&lt;&gt;"Yes",$AX433&lt;&gt;"N/A"),"Battery, ","")&amp;IF(AND($BE433&lt;&gt;"Yes",$BE433&lt;&gt;"N/A"),"Firmware Download, ","")&amp;IF(AND(OR($BE433="Yes",$BE433="N/A"),$BF433&lt;&gt;"Yes",$BF433&lt;&gt;"N/A"),"Firmware Install, ","")&amp;IF(AND($BJ433&lt;&gt;"Yes",$BJ433&lt;&gt;"N/A"),"Device ID, ","")&amp;IF(AND($BK433&lt;&gt;"Yes",$BK433&lt;&gt;"N/A"),"Epic Beans Relay, ",""))="","",LEFT(IF(AND($AW433&lt;&gt;"Yes",$AW433&lt;&gt;"N/A"),"Power Cable, ","")&amp;IF(AND($AX433&lt;&gt;"Yes",$AX433&lt;&gt;"N/A"),"Battery, ","")&amp;IF(AND($BE433&lt;&gt;"Yes",$BE433&lt;&gt;"N/A"),"Firmware Download, ","")&amp;IF(AND(OR($BE433="Yes",$BE433="N/A"),$BF433&lt;&gt;"Yes",$BF433&lt;&gt;"N/A"),"Firmware Install, ","")&amp;IF(AND($BJ433&lt;&gt;"Yes",$BJ433&lt;&gt;"N/A"),"Device ID, ","")&amp;IF(AND($BK433&lt;&gt;"Yes",$BK433&lt;&gt;"N/A"),"Epic Beans Relay, ",""),LEN(IF(AND($AW433&lt;&gt;"Yes",$AW433&lt;&gt;"N/A"),"Power Cable, ","")&amp;IF(AND($AX433&lt;&gt;"Yes",$AX433&lt;&gt;"N/A"),"Battery, ","")&amp;IF(AND($BE433&lt;&gt;"Yes",$BE433&lt;&gt;"N/A"),"Firmware Download, ","")&amp;IF(AND(OR($BE433="Yes",$BE433="N/A"),$BF433&lt;&gt;"Yes",$BF433&lt;&gt;"N/A"),"Firmware Install, ","")&amp;IF(AND($BJ433&lt;&gt;"Yes",$BJ433&lt;&gt;"N/A"),"Device ID, ","")&amp;IF(AND($BK433&lt;&gt;"Yes",$BK433&lt;&gt;"N/A"),"Epic Beans Relay, ",""))-2)))</f>
      </c>
      <c r="BM433">
        <f>IF($T433="","",IF($BL433="","Yes","Blocked"))</f>
      </c>
      <c r="BP433">
        <f>IF($BO433="","",IFERROR(VLOOKUP($BO433,'01_Warehouse_Ledger'!$A:$N,4,FALSE),""))</f>
      </c>
      <c r="BQ433">
        <f>IF($BO433="","",IFERROR(VLOOKUP($BO433,'01_Warehouse_Ledger'!$A:$N,5,FALSE),""))</f>
      </c>
      <c r="BR433">
        <f>IF($BO433="","",IFERROR(VLOOKUP($BO433,'01_Warehouse_Ledger'!$A:$N,13,FALSE),""))</f>
      </c>
    </row>
    <row r="434">
      <c r="D434">
        <f>IF($B434&lt;&gt;"Yes","",IF($C434="No","Yes",IF($C434="Yes","No","")))</f>
      </c>
      <c r="E434">
        <f>IF($A434="","",IF($A434="Neuron",IF(OR(AND($S434&lt;&gt;"",LOWER(TRIM($S434))&lt;&gt;"n/a",COUNTIF($S$2:$S$532,$S434)&gt;1),AND($T434&lt;&gt;"",LOWER(TRIM($T434))&lt;&gt;"n/a",COUNTIF($T$2:$T$532,$T434)&gt;1),AND($W434&lt;&gt;"",LOWER(TRIM($W434))&lt;&gt;"n/a",COUNTIF($W$2:$W$532,$W434)&gt;1)),"Yes","No"),IF($A434="Cybernet",IF(OR(AND($Y434&lt;&gt;"",LOWER(TRIM($Y434))&lt;&gt;"n/a",COUNTIF($Y$2:$Y$532,$Y434)&gt;1),AND($Z434&lt;&gt;"",LOWER(TRIM($Z434))&lt;&gt;"n/a",COUNTIF($Z$2:$Z$532,$Z434)&gt;1)),"Yes","No"),IF(AND($AL434&lt;&gt;"",LOWER(TRIM($AL434))&lt;&gt;"n/a",COUNTIF($AL$2:$AL$532,$AL434)&gt;1),"Yes","No"))))</f>
      </c>
      <c r="F434">
        <f>IF($B434&lt;&gt;"Yes","",
IF($A434="Neuron",
IF(OR(
AND($S434&lt;&gt;"",LOWER(TRIM($S434))&lt;&gt;"n/a",COUNTIFS($B$2:$B$532,"Yes",$A$2:$A$532,"Neuron",$S$2:$S$532,$S434)&gt;1),
AND($T434&lt;&gt;"",LOWER(TRIM($T434))&lt;&gt;"n/a",COUNTIFS($B$2:$B$532,"Yes",$A$2:$A$532,"Neuron",$T$2:$T$532,$T434)&gt;1),
AND($W434&lt;&gt;"",LOWER(TRIM($W434))&lt;&gt;"n/a",COUNTIFS($B$2:$B$532,"Yes",$A$2:$A$532,"Neuron",$W$2:$W$532,$W434)&gt;1)
),"Yes","No"),
IF($A434="Cybernet",
IF(OR(
AND($Y434&lt;&gt;"",LOWER(TRIM($Y434))&lt;&gt;"n/a",COUNTIFS($B$2:$B$532,"Yes",$A$2:$A$532,"Cybernet",$Y$2:$Y$532,$Y434)&gt;1),
AND($Z434&lt;&gt;"",LOWER(TRIM($Z434))&lt;&gt;"n/a",COUNTIFS($B$2:$B$532,"Yes",$A$2:$A$532,"Cybernet",$Z$2:$Z$532,$Z434)&gt;1)
),"Yes","No"),
IF(AND($AL434&lt;&gt;"",LOWER(TRIM($AL434))&lt;&gt;"n/a"),
IF(COUNTIFS($B$2:$B$532,"Yes",$A$2:$A$532,$A434,$AL$2:$AL$532,$AL434)&gt;1,"Yes","No"),
"No")
)
)
)</f>
      </c>
      <c r="BL434">
        <f>IF($T434="","",IF((IF(AND($AW434&lt;&gt;"Yes",$AW434&lt;&gt;"N/A"),"Power Cable, ","")&amp;IF(AND($AX434&lt;&gt;"Yes",$AX434&lt;&gt;"N/A"),"Battery, ","")&amp;IF(AND($BE434&lt;&gt;"Yes",$BE434&lt;&gt;"N/A"),"Firmware Download, ","")&amp;IF(AND(OR($BE434="Yes",$BE434="N/A"),$BF434&lt;&gt;"Yes",$BF434&lt;&gt;"N/A"),"Firmware Install, ","")&amp;IF(AND($BJ434&lt;&gt;"Yes",$BJ434&lt;&gt;"N/A"),"Device ID, ","")&amp;IF(AND($BK434&lt;&gt;"Yes",$BK434&lt;&gt;"N/A"),"Epic Beans Relay, ",""))="","",LEFT(IF(AND($AW434&lt;&gt;"Yes",$AW434&lt;&gt;"N/A"),"Power Cable, ","")&amp;IF(AND($AX434&lt;&gt;"Yes",$AX434&lt;&gt;"N/A"),"Battery, ","")&amp;IF(AND($BE434&lt;&gt;"Yes",$BE434&lt;&gt;"N/A"),"Firmware Download, ","")&amp;IF(AND(OR($BE434="Yes",$BE434="N/A"),$BF434&lt;&gt;"Yes",$BF434&lt;&gt;"N/A"),"Firmware Install, ","")&amp;IF(AND($BJ434&lt;&gt;"Yes",$BJ434&lt;&gt;"N/A"),"Device ID, ","")&amp;IF(AND($BK434&lt;&gt;"Yes",$BK434&lt;&gt;"N/A"),"Epic Beans Relay, ",""),LEN(IF(AND($AW434&lt;&gt;"Yes",$AW434&lt;&gt;"N/A"),"Power Cable, ","")&amp;IF(AND($AX434&lt;&gt;"Yes",$AX434&lt;&gt;"N/A"),"Battery, ","")&amp;IF(AND($BE434&lt;&gt;"Yes",$BE434&lt;&gt;"N/A"),"Firmware Download, ","")&amp;IF(AND(OR($BE434="Yes",$BE434="N/A"),$BF434&lt;&gt;"Yes",$BF434&lt;&gt;"N/A"),"Firmware Install, ","")&amp;IF(AND($BJ434&lt;&gt;"Yes",$BJ434&lt;&gt;"N/A"),"Device ID, ","")&amp;IF(AND($BK434&lt;&gt;"Yes",$BK434&lt;&gt;"N/A"),"Epic Beans Relay, ",""))-2)))</f>
      </c>
      <c r="BM434">
        <f>IF($T434="","",IF($BL434="","Yes","Blocked"))</f>
      </c>
      <c r="BP434">
        <f>IF($BO434="","",IFERROR(VLOOKUP($BO434,'01_Warehouse_Ledger'!$A:$N,4,FALSE),""))</f>
      </c>
      <c r="BQ434">
        <f>IF($BO434="","",IFERROR(VLOOKUP($BO434,'01_Warehouse_Ledger'!$A:$N,5,FALSE),""))</f>
      </c>
      <c r="BR434">
        <f>IF($BO434="","",IFERROR(VLOOKUP($BO434,'01_Warehouse_Ledger'!$A:$N,13,FALSE),""))</f>
      </c>
    </row>
    <row r="435">
      <c r="D435">
        <f>IF($B435&lt;&gt;"Yes","",IF($C435="No","Yes",IF($C435="Yes","No","")))</f>
      </c>
      <c r="E435">
        <f>IF($A435="","",IF($A435="Neuron",IF(OR(AND($S435&lt;&gt;"",LOWER(TRIM($S435))&lt;&gt;"n/a",COUNTIF($S$2:$S$532,$S435)&gt;1),AND($T435&lt;&gt;"",LOWER(TRIM($T435))&lt;&gt;"n/a",COUNTIF($T$2:$T$532,$T435)&gt;1),AND($W435&lt;&gt;"",LOWER(TRIM($W435))&lt;&gt;"n/a",COUNTIF($W$2:$W$532,$W435)&gt;1)),"Yes","No"),IF($A435="Cybernet",IF(OR(AND($Y435&lt;&gt;"",LOWER(TRIM($Y435))&lt;&gt;"n/a",COUNTIF($Y$2:$Y$532,$Y435)&gt;1),AND($Z435&lt;&gt;"",LOWER(TRIM($Z435))&lt;&gt;"n/a",COUNTIF($Z$2:$Z$532,$Z435)&gt;1)),"Yes","No"),IF(AND($AL435&lt;&gt;"",LOWER(TRIM($AL435))&lt;&gt;"n/a",COUNTIF($AL$2:$AL$532,$AL435)&gt;1),"Yes","No"))))</f>
      </c>
      <c r="F435">
        <f>IF($B435&lt;&gt;"Yes","",
IF($A435="Neuron",
IF(OR(
AND($S435&lt;&gt;"",LOWER(TRIM($S435))&lt;&gt;"n/a",COUNTIFS($B$2:$B$532,"Yes",$A$2:$A$532,"Neuron",$S$2:$S$532,$S435)&gt;1),
AND($T435&lt;&gt;"",LOWER(TRIM($T435))&lt;&gt;"n/a",COUNTIFS($B$2:$B$532,"Yes",$A$2:$A$532,"Neuron",$T$2:$T$532,$T435)&gt;1),
AND($W435&lt;&gt;"",LOWER(TRIM($W435))&lt;&gt;"n/a",COUNTIFS($B$2:$B$532,"Yes",$A$2:$A$532,"Neuron",$W$2:$W$532,$W435)&gt;1)
),"Yes","No"),
IF($A435="Cybernet",
IF(OR(
AND($Y435&lt;&gt;"",LOWER(TRIM($Y435))&lt;&gt;"n/a",COUNTIFS($B$2:$B$532,"Yes",$A$2:$A$532,"Cybernet",$Y$2:$Y$532,$Y435)&gt;1),
AND($Z435&lt;&gt;"",LOWER(TRIM($Z435))&lt;&gt;"n/a",COUNTIFS($B$2:$B$532,"Yes",$A$2:$A$532,"Cybernet",$Z$2:$Z$532,$Z435)&gt;1)
),"Yes","No"),
IF(AND($AL435&lt;&gt;"",LOWER(TRIM($AL435))&lt;&gt;"n/a"),
IF(COUNTIFS($B$2:$B$532,"Yes",$A$2:$A$532,$A435,$AL$2:$AL$532,$AL435)&gt;1,"Yes","No"),
"No")
)
)
)</f>
      </c>
      <c r="BL435">
        <f>IF($T435="","",IF((IF(AND($AW435&lt;&gt;"Yes",$AW435&lt;&gt;"N/A"),"Power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",""))="","",LEFT(IF(AND($AW435&lt;&gt;"Yes",$AW435&lt;&gt;"N/A"),"Power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",""),LEN(IF(AND($AW435&lt;&gt;"Yes",$AW435&lt;&gt;"N/A"),"Power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",""))-2)))</f>
      </c>
      <c r="BM435">
        <f>IF($T435="","",IF($BL435="","Yes","Blocked"))</f>
      </c>
      <c r="BP435">
        <f>IF($BO435="","",IFERROR(VLOOKUP($BO435,'01_Warehouse_Ledger'!$A:$N,4,FALSE),""))</f>
      </c>
      <c r="BQ435">
        <f>IF($BO435="","",IFERROR(VLOOKUP($BO435,'01_Warehouse_Ledger'!$A:$N,5,FALSE),""))</f>
      </c>
      <c r="BR435">
        <f>IF($BO435="","",IFERROR(VLOOKUP($BO435,'01_Warehouse_Ledger'!$A:$N,13,FALSE),""))</f>
      </c>
    </row>
    <row r="436">
      <c r="D436">
        <f>IF($B436&lt;&gt;"Yes","",IF($C436="No","Yes",IF($C436="Yes","No","")))</f>
      </c>
      <c r="E436">
        <f>IF($A436="","",IF($A436="Neuron",IF(OR(AND($S436&lt;&gt;"",LOWER(TRIM($S436))&lt;&gt;"n/a",COUNTIF($S$2:$S$532,$S436)&gt;1),AND($T436&lt;&gt;"",LOWER(TRIM($T436))&lt;&gt;"n/a",COUNTIF($T$2:$T$532,$T436)&gt;1),AND($W436&lt;&gt;"",LOWER(TRIM($W436))&lt;&gt;"n/a",COUNTIF($W$2:$W$532,$W436)&gt;1)),"Yes","No"),IF($A436="Cybernet",IF(OR(AND($Y436&lt;&gt;"",LOWER(TRIM($Y436))&lt;&gt;"n/a",COUNTIF($Y$2:$Y$532,$Y436)&gt;1),AND($Z436&lt;&gt;"",LOWER(TRIM($Z436))&lt;&gt;"n/a",COUNTIF($Z$2:$Z$532,$Z436)&gt;1)),"Yes","No"),IF(AND($AL436&lt;&gt;"",LOWER(TRIM($AL436))&lt;&gt;"n/a",COUNTIF($AL$2:$AL$532,$AL436)&gt;1),"Yes","No"))))</f>
      </c>
      <c r="F436">
        <f>IF($B436&lt;&gt;"Yes","",
IF($A436="Neuron",
IF(OR(
AND($S436&lt;&gt;"",LOWER(TRIM($S436))&lt;&gt;"n/a",COUNTIFS($B$2:$B$532,"Yes",$A$2:$A$532,"Neuron",$S$2:$S$532,$S436)&gt;1),
AND($T436&lt;&gt;"",LOWER(TRIM($T436))&lt;&gt;"n/a",COUNTIFS($B$2:$B$532,"Yes",$A$2:$A$532,"Neuron",$T$2:$T$532,$T436)&gt;1),
AND($W436&lt;&gt;"",LOWER(TRIM($W436))&lt;&gt;"n/a",COUNTIFS($B$2:$B$532,"Yes",$A$2:$A$532,"Neuron",$W$2:$W$532,$W436)&gt;1)
),"Yes","No"),
IF($A436="Cybernet",
IF(OR(
AND($Y436&lt;&gt;"",LOWER(TRIM($Y436))&lt;&gt;"n/a",COUNTIFS($B$2:$B$532,"Yes",$A$2:$A$532,"Cybernet",$Y$2:$Y$532,$Y436)&gt;1),
AND($Z436&lt;&gt;"",LOWER(TRIM($Z436))&lt;&gt;"n/a",COUNTIFS($B$2:$B$532,"Yes",$A$2:$A$532,"Cybernet",$Z$2:$Z$532,$Z436)&gt;1)
),"Yes","No"),
IF(AND($AL436&lt;&gt;"",LOWER(TRIM($AL436))&lt;&gt;"n/a"),
IF(COUNTIFS($B$2:$B$532,"Yes",$A$2:$A$532,$A436,$AL$2:$AL$532,$AL436)&gt;1,"Yes","No"),
"No")
)
)
)</f>
      </c>
      <c r="BL436">
        <f>IF($T436="","",IF((IF(AND($AW436&lt;&gt;"Yes",$AW436&lt;&gt;"N/A"),"Power Cable, ","")&amp;IF(AND($AX436&lt;&gt;"Yes",$AX436&lt;&gt;"N/A"),"Battery, ","")&amp;IF(AND($BE436&lt;&gt;"Yes",$BE436&lt;&gt;"N/A"),"Firmware Download, ","")&amp;IF(AND(OR($BE436="Yes",$BE436="N/A"),$BF436&lt;&gt;"Yes",$BF436&lt;&gt;"N/A"),"Firmware Install, ","")&amp;IF(AND($BJ436&lt;&gt;"Yes",$BJ436&lt;&gt;"N/A"),"Device ID, ","")&amp;IF(AND($BK436&lt;&gt;"Yes",$BK436&lt;&gt;"N/A"),"Epic Beans Relay, ",""))="","",LEFT(IF(AND($AW436&lt;&gt;"Yes",$AW436&lt;&gt;"N/A"),"Power Cable, ","")&amp;IF(AND($AX436&lt;&gt;"Yes",$AX436&lt;&gt;"N/A"),"Battery, ","")&amp;IF(AND($BE436&lt;&gt;"Yes",$BE436&lt;&gt;"N/A"),"Firmware Download, ","")&amp;IF(AND(OR($BE436="Yes",$BE436="N/A"),$BF436&lt;&gt;"Yes",$BF436&lt;&gt;"N/A"),"Firmware Install, ","")&amp;IF(AND($BJ436&lt;&gt;"Yes",$BJ436&lt;&gt;"N/A"),"Device ID, ","")&amp;IF(AND($BK436&lt;&gt;"Yes",$BK436&lt;&gt;"N/A"),"Epic Beans Relay, ",""),LEN(IF(AND($AW436&lt;&gt;"Yes",$AW436&lt;&gt;"N/A"),"Power Cable, ","")&amp;IF(AND($AX436&lt;&gt;"Yes",$AX436&lt;&gt;"N/A"),"Battery, ","")&amp;IF(AND($BE436&lt;&gt;"Yes",$BE436&lt;&gt;"N/A"),"Firmware Download, ","")&amp;IF(AND(OR($BE436="Yes",$BE436="N/A"),$BF436&lt;&gt;"Yes",$BF436&lt;&gt;"N/A"),"Firmware Install, ","")&amp;IF(AND($BJ436&lt;&gt;"Yes",$BJ436&lt;&gt;"N/A"),"Device ID, ","")&amp;IF(AND($BK436&lt;&gt;"Yes",$BK436&lt;&gt;"N/A"),"Epic Beans Relay, ",""))-2)))</f>
      </c>
      <c r="BM436">
        <f>IF($T436="","",IF($BL436="","Yes","Blocked"))</f>
      </c>
      <c r="BP436">
        <f>IF($BO436="","",IFERROR(VLOOKUP($BO436,'01_Warehouse_Ledger'!$A:$N,4,FALSE),""))</f>
      </c>
      <c r="BQ436">
        <f>IF($BO436="","",IFERROR(VLOOKUP($BO436,'01_Warehouse_Ledger'!$A:$N,5,FALSE),""))</f>
      </c>
      <c r="BR436">
        <f>IF($BO436="","",IFERROR(VLOOKUP($BO436,'01_Warehouse_Ledger'!$A:$N,13,FALSE),""))</f>
      </c>
    </row>
    <row r="437">
      <c r="D437">
        <f>IF($B437&lt;&gt;"Yes","",IF($C437="No","Yes",IF($C437="Yes","No","")))</f>
      </c>
      <c r="E437">
        <f>IF($A437="","",IF($A437="Neuron",IF(OR(AND($S437&lt;&gt;"",LOWER(TRIM($S437))&lt;&gt;"n/a",COUNTIF($S$2:$S$532,$S437)&gt;1),AND($T437&lt;&gt;"",LOWER(TRIM($T437))&lt;&gt;"n/a",COUNTIF($T$2:$T$532,$T437)&gt;1),AND($W437&lt;&gt;"",LOWER(TRIM($W437))&lt;&gt;"n/a",COUNTIF($W$2:$W$532,$W437)&gt;1)),"Yes","No"),IF($A437="Cybernet",IF(OR(AND($Y437&lt;&gt;"",LOWER(TRIM($Y437))&lt;&gt;"n/a",COUNTIF($Y$2:$Y$532,$Y437)&gt;1),AND($Z437&lt;&gt;"",LOWER(TRIM($Z437))&lt;&gt;"n/a",COUNTIF($Z$2:$Z$532,$Z437)&gt;1)),"Yes","No"),IF(AND($AL437&lt;&gt;"",LOWER(TRIM($AL437))&lt;&gt;"n/a",COUNTIF($AL$2:$AL$532,$AL437)&gt;1),"Yes","No"))))</f>
      </c>
      <c r="F437">
        <f>IF($B437&lt;&gt;"Yes","",
IF($A437="Neuron",
IF(OR(
AND($S437&lt;&gt;"",LOWER(TRIM($S437))&lt;&gt;"n/a",COUNTIFS($B$2:$B$532,"Yes",$A$2:$A$532,"Neuron",$S$2:$S$532,$S437)&gt;1),
AND($T437&lt;&gt;"",LOWER(TRIM($T437))&lt;&gt;"n/a",COUNTIFS($B$2:$B$532,"Yes",$A$2:$A$532,"Neuron",$T$2:$T$532,$T437)&gt;1),
AND($W437&lt;&gt;"",LOWER(TRIM($W437))&lt;&gt;"n/a",COUNTIFS($B$2:$B$532,"Yes",$A$2:$A$532,"Neuron",$W$2:$W$532,$W437)&gt;1)
),"Yes","No"),
IF($A437="Cybernet",
IF(OR(
AND($Y437&lt;&gt;"",LOWER(TRIM($Y437))&lt;&gt;"n/a",COUNTIFS($B$2:$B$532,"Yes",$A$2:$A$532,"Cybernet",$Y$2:$Y$532,$Y437)&gt;1),
AND($Z437&lt;&gt;"",LOWER(TRIM($Z437))&lt;&gt;"n/a",COUNTIFS($B$2:$B$532,"Yes",$A$2:$A$532,"Cybernet",$Z$2:$Z$532,$Z437)&gt;1)
),"Yes","No"),
IF(AND($AL437&lt;&gt;"",LOWER(TRIM($AL437))&lt;&gt;"n/a"),
IF(COUNTIFS($B$2:$B$532,"Yes",$A$2:$A$532,$A437,$AL$2:$AL$532,$AL437)&gt;1,"Yes","No"),
"No")
)
)
)</f>
      </c>
      <c r="BL437">
        <f>IF($T437="","",IF((IF(AND($AW437&lt;&gt;"Yes",$AW437&lt;&gt;"N/A"),"Power Cable, ","")&amp;IF(AND($AX437&lt;&gt;"Yes",$AX437&lt;&gt;"N/A"),"Battery, ","")&amp;IF(AND($BE437&lt;&gt;"Yes",$BE437&lt;&gt;"N/A"),"Firmware Download, ","")&amp;IF(AND(OR($BE437="Yes",$BE437="N/A"),$BF437&lt;&gt;"Yes",$BF437&lt;&gt;"N/A"),"Firmware Install, ","")&amp;IF(AND($BJ437&lt;&gt;"Yes",$BJ437&lt;&gt;"N/A"),"Device ID, ","")&amp;IF(AND($BK437&lt;&gt;"Yes",$BK437&lt;&gt;"N/A"),"Epic Beans Relay, ",""))="","",LEFT(IF(AND($AW437&lt;&gt;"Yes",$AW437&lt;&gt;"N/A"),"Power Cable, ","")&amp;IF(AND($AX437&lt;&gt;"Yes",$AX437&lt;&gt;"N/A"),"Battery, ","")&amp;IF(AND($BE437&lt;&gt;"Yes",$BE437&lt;&gt;"N/A"),"Firmware Download, ","")&amp;IF(AND(OR($BE437="Yes",$BE437="N/A"),$BF437&lt;&gt;"Yes",$BF437&lt;&gt;"N/A"),"Firmware Install, ","")&amp;IF(AND($BJ437&lt;&gt;"Yes",$BJ437&lt;&gt;"N/A"),"Device ID, ","")&amp;IF(AND($BK437&lt;&gt;"Yes",$BK437&lt;&gt;"N/A"),"Epic Beans Relay, ",""),LEN(IF(AND($AW437&lt;&gt;"Yes",$AW437&lt;&gt;"N/A"),"Power Cable, ","")&amp;IF(AND($AX437&lt;&gt;"Yes",$AX437&lt;&gt;"N/A"),"Battery, ","")&amp;IF(AND($BE437&lt;&gt;"Yes",$BE437&lt;&gt;"N/A"),"Firmware Download, ","")&amp;IF(AND(OR($BE437="Yes",$BE437="N/A"),$BF437&lt;&gt;"Yes",$BF437&lt;&gt;"N/A"),"Firmware Install, ","")&amp;IF(AND($BJ437&lt;&gt;"Yes",$BJ437&lt;&gt;"N/A"),"Device ID, ","")&amp;IF(AND($BK437&lt;&gt;"Yes",$BK437&lt;&gt;"N/A"),"Epic Beans Relay, ",""))-2)))</f>
      </c>
      <c r="BM437">
        <f>IF($T437="","",IF($BL437="","Yes","Blocked"))</f>
      </c>
      <c r="BP437">
        <f>IF($BO437="","",IFERROR(VLOOKUP($BO437,'01_Warehouse_Ledger'!$A:$N,4,FALSE),""))</f>
      </c>
      <c r="BQ437">
        <f>IF($BO437="","",IFERROR(VLOOKUP($BO437,'01_Warehouse_Ledger'!$A:$N,5,FALSE),""))</f>
      </c>
      <c r="BR437">
        <f>IF($BO437="","",IFERROR(VLOOKUP($BO437,'01_Warehouse_Ledger'!$A:$N,13,FALSE),""))</f>
      </c>
    </row>
    <row r="438">
      <c r="D438">
        <f>IF($B438&lt;&gt;"Yes","",IF($C438="No","Yes",IF($C438="Yes","No","")))</f>
      </c>
      <c r="E438">
        <f>IF($A438="","",IF($A438="Neuron",IF(OR(AND($S438&lt;&gt;"",LOWER(TRIM($S438))&lt;&gt;"n/a",COUNTIF($S$2:$S$532,$S438)&gt;1),AND($T438&lt;&gt;"",LOWER(TRIM($T438))&lt;&gt;"n/a",COUNTIF($T$2:$T$532,$T438)&gt;1),AND($W438&lt;&gt;"",LOWER(TRIM($W438))&lt;&gt;"n/a",COUNTIF($W$2:$W$532,$W438)&gt;1)),"Yes","No"),IF($A438="Cybernet",IF(OR(AND($Y438&lt;&gt;"",LOWER(TRIM($Y438))&lt;&gt;"n/a",COUNTIF($Y$2:$Y$532,$Y438)&gt;1),AND($Z438&lt;&gt;"",LOWER(TRIM($Z438))&lt;&gt;"n/a",COUNTIF($Z$2:$Z$532,$Z438)&gt;1)),"Yes","No"),IF(AND($AL438&lt;&gt;"",LOWER(TRIM($AL438))&lt;&gt;"n/a",COUNTIF($AL$2:$AL$532,$AL438)&gt;1),"Yes","No"))))</f>
      </c>
      <c r="F438">
        <f>IF($B438&lt;&gt;"Yes","",
IF($A438="Neuron",
IF(OR(
AND($S438&lt;&gt;"",LOWER(TRIM($S438))&lt;&gt;"n/a",COUNTIFS($B$2:$B$532,"Yes",$A$2:$A$532,"Neuron",$S$2:$S$532,$S438)&gt;1),
AND($T438&lt;&gt;"",LOWER(TRIM($T438))&lt;&gt;"n/a",COUNTIFS($B$2:$B$532,"Yes",$A$2:$A$532,"Neuron",$T$2:$T$532,$T438)&gt;1),
AND($W438&lt;&gt;"",LOWER(TRIM($W438))&lt;&gt;"n/a",COUNTIFS($B$2:$B$532,"Yes",$A$2:$A$532,"Neuron",$W$2:$W$532,$W438)&gt;1)
),"Yes","No"),
IF($A438="Cybernet",
IF(OR(
AND($Y438&lt;&gt;"",LOWER(TRIM($Y438))&lt;&gt;"n/a",COUNTIFS($B$2:$B$532,"Yes",$A$2:$A$532,"Cybernet",$Y$2:$Y$532,$Y438)&gt;1),
AND($Z438&lt;&gt;"",LOWER(TRIM($Z438))&lt;&gt;"n/a",COUNTIFS($B$2:$B$532,"Yes",$A$2:$A$532,"Cybernet",$Z$2:$Z$532,$Z438)&gt;1)
),"Yes","No"),
IF(AND($AL438&lt;&gt;"",LOWER(TRIM($AL438))&lt;&gt;"n/a"),
IF(COUNTIFS($B$2:$B$532,"Yes",$A$2:$A$532,$A438,$AL$2:$AL$532,$AL438)&gt;1,"Yes","No"),
"No")
)
)
)</f>
      </c>
      <c r="BL438">
        <f>IF($T438="","",IF((IF(AND($AW438&lt;&gt;"Yes",$AW438&lt;&gt;"N/A"),"Power Cable, ","")&amp;IF(AND($AX438&lt;&gt;"Yes",$AX438&lt;&gt;"N/A"),"Battery, ","")&amp;IF(AND($BE438&lt;&gt;"Yes",$BE438&lt;&gt;"N/A"),"Firmware Download, ","")&amp;IF(AND(OR($BE438="Yes",$BE438="N/A"),$BF438&lt;&gt;"Yes",$BF438&lt;&gt;"N/A"),"Firmware Install, ","")&amp;IF(AND($BJ438&lt;&gt;"Yes",$BJ438&lt;&gt;"N/A"),"Device ID, ","")&amp;IF(AND($BK438&lt;&gt;"Yes",$BK438&lt;&gt;"N/A"),"Epic Beans Relay, ",""))="","",LEFT(IF(AND($AW438&lt;&gt;"Yes",$AW438&lt;&gt;"N/A"),"Power Cable, ","")&amp;IF(AND($AX438&lt;&gt;"Yes",$AX438&lt;&gt;"N/A"),"Battery, ","")&amp;IF(AND($BE438&lt;&gt;"Yes",$BE438&lt;&gt;"N/A"),"Firmware Download, ","")&amp;IF(AND(OR($BE438="Yes",$BE438="N/A"),$BF438&lt;&gt;"Yes",$BF438&lt;&gt;"N/A"),"Firmware Install, ","")&amp;IF(AND($BJ438&lt;&gt;"Yes",$BJ438&lt;&gt;"N/A"),"Device ID, ","")&amp;IF(AND($BK438&lt;&gt;"Yes",$BK438&lt;&gt;"N/A"),"Epic Beans Relay, ",""),LEN(IF(AND($AW438&lt;&gt;"Yes",$AW438&lt;&gt;"N/A"),"Power Cable, ","")&amp;IF(AND($AX438&lt;&gt;"Yes",$AX438&lt;&gt;"N/A"),"Battery, ","")&amp;IF(AND($BE438&lt;&gt;"Yes",$BE438&lt;&gt;"N/A"),"Firmware Download, ","")&amp;IF(AND(OR($BE438="Yes",$BE438="N/A"),$BF438&lt;&gt;"Yes",$BF438&lt;&gt;"N/A"),"Firmware Install, ","")&amp;IF(AND($BJ438&lt;&gt;"Yes",$BJ438&lt;&gt;"N/A"),"Device ID, ","")&amp;IF(AND($BK438&lt;&gt;"Yes",$BK438&lt;&gt;"N/A"),"Epic Beans Relay, ",""))-2)))</f>
      </c>
      <c r="BM438">
        <f>IF($T438="","",IF($BL438="","Yes","Blocked"))</f>
      </c>
      <c r="BP438">
        <f>IF($BO438="","",IFERROR(VLOOKUP($BO438,'01_Warehouse_Ledger'!$A:$N,4,FALSE),""))</f>
      </c>
      <c r="BQ438">
        <f>IF($BO438="","",IFERROR(VLOOKUP($BO438,'01_Warehouse_Ledger'!$A:$N,5,FALSE),""))</f>
      </c>
      <c r="BR438">
        <f>IF($BO438="","",IFERROR(VLOOKUP($BO438,'01_Warehouse_Ledger'!$A:$N,13,FALSE),""))</f>
      </c>
    </row>
    <row r="439">
      <c r="D439">
        <f>IF($B439&lt;&gt;"Yes","",IF($C439="No","Yes",IF($C439="Yes","No","")))</f>
      </c>
      <c r="E439">
        <f>IF($A439="","",IF($A439="Neuron",IF(OR(AND($S439&lt;&gt;"",LOWER(TRIM($S439))&lt;&gt;"n/a",COUNTIF($S$2:$S$532,$S439)&gt;1),AND($T439&lt;&gt;"",LOWER(TRIM($T439))&lt;&gt;"n/a",COUNTIF($T$2:$T$532,$T439)&gt;1),AND($W439&lt;&gt;"",LOWER(TRIM($W439))&lt;&gt;"n/a",COUNTIF($W$2:$W$532,$W439)&gt;1)),"Yes","No"),IF($A439="Cybernet",IF(OR(AND($Y439&lt;&gt;"",LOWER(TRIM($Y439))&lt;&gt;"n/a",COUNTIF($Y$2:$Y$532,$Y439)&gt;1),AND($Z439&lt;&gt;"",LOWER(TRIM($Z439))&lt;&gt;"n/a",COUNTIF($Z$2:$Z$532,$Z439)&gt;1)),"Yes","No"),IF(AND($AL439&lt;&gt;"",LOWER(TRIM($AL439))&lt;&gt;"n/a",COUNTIF($AL$2:$AL$532,$AL439)&gt;1),"Yes","No"))))</f>
      </c>
      <c r="F439">
        <f>IF($B439&lt;&gt;"Yes","",
IF($A439="Neuron",
IF(OR(
AND($S439&lt;&gt;"",LOWER(TRIM($S439))&lt;&gt;"n/a",COUNTIFS($B$2:$B$532,"Yes",$A$2:$A$532,"Neuron",$S$2:$S$532,$S439)&gt;1),
AND($T439&lt;&gt;"",LOWER(TRIM($T439))&lt;&gt;"n/a",COUNTIFS($B$2:$B$532,"Yes",$A$2:$A$532,"Neuron",$T$2:$T$532,$T439)&gt;1),
AND($W439&lt;&gt;"",LOWER(TRIM($W439))&lt;&gt;"n/a",COUNTIFS($B$2:$B$532,"Yes",$A$2:$A$532,"Neuron",$W$2:$W$532,$W439)&gt;1)
),"Yes","No"),
IF($A439="Cybernet",
IF(OR(
AND($Y439&lt;&gt;"",LOWER(TRIM($Y439))&lt;&gt;"n/a",COUNTIFS($B$2:$B$532,"Yes",$A$2:$A$532,"Cybernet",$Y$2:$Y$532,$Y439)&gt;1),
AND($Z439&lt;&gt;"",LOWER(TRIM($Z439))&lt;&gt;"n/a",COUNTIFS($B$2:$B$532,"Yes",$A$2:$A$532,"Cybernet",$Z$2:$Z$532,$Z439)&gt;1)
),"Yes","No"),
IF(AND($AL439&lt;&gt;"",LOWER(TRIM($AL439))&lt;&gt;"n/a"),
IF(COUNTIFS($B$2:$B$532,"Yes",$A$2:$A$532,$A439,$AL$2:$AL$532,$AL439)&gt;1,"Yes","No"),
"No")
)
)
)</f>
      </c>
      <c r="BL439">
        <f>IF($T439="","",IF((IF(AND($AW439&lt;&gt;"Yes",$AW439&lt;&gt;"N/A"),"Power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",""))="","",LEFT(IF(AND($AW439&lt;&gt;"Yes",$AW439&lt;&gt;"N/A"),"Power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",""),LEN(IF(AND($AW439&lt;&gt;"Yes",$AW439&lt;&gt;"N/A"),"Power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",""))-2)))</f>
      </c>
      <c r="BM439">
        <f>IF($T439="","",IF($BL439="","Yes","Blocked"))</f>
      </c>
      <c r="BP439">
        <f>IF($BO439="","",IFERROR(VLOOKUP($BO439,'01_Warehouse_Ledger'!$A:$N,4,FALSE),""))</f>
      </c>
      <c r="BQ439">
        <f>IF($BO439="","",IFERROR(VLOOKUP($BO439,'01_Warehouse_Ledger'!$A:$N,5,FALSE),""))</f>
      </c>
      <c r="BR439">
        <f>IF($BO439="","",IFERROR(VLOOKUP($BO439,'01_Warehouse_Ledger'!$A:$N,13,FALSE),""))</f>
      </c>
    </row>
    <row r="440">
      <c r="D440">
        <f>IF($B440&lt;&gt;"Yes","",IF($C440="No","Yes",IF($C440="Yes","No","")))</f>
      </c>
      <c r="E440">
        <f>IF($A440="","",IF($A440="Neuron",IF(OR(AND($S440&lt;&gt;"",LOWER(TRIM($S440))&lt;&gt;"n/a",COUNTIF($S$2:$S$532,$S440)&gt;1),AND($T440&lt;&gt;"",LOWER(TRIM($T440))&lt;&gt;"n/a",COUNTIF($T$2:$T$532,$T440)&gt;1),AND($W440&lt;&gt;"",LOWER(TRIM($W440))&lt;&gt;"n/a",COUNTIF($W$2:$W$532,$W440)&gt;1)),"Yes","No"),IF($A440="Cybernet",IF(OR(AND($Y440&lt;&gt;"",LOWER(TRIM($Y440))&lt;&gt;"n/a",COUNTIF($Y$2:$Y$532,$Y440)&gt;1),AND($Z440&lt;&gt;"",LOWER(TRIM($Z440))&lt;&gt;"n/a",COUNTIF($Z$2:$Z$532,$Z440)&gt;1)),"Yes","No"),IF(AND($AL440&lt;&gt;"",LOWER(TRIM($AL440))&lt;&gt;"n/a",COUNTIF($AL$2:$AL$532,$AL440)&gt;1),"Yes","No"))))</f>
      </c>
      <c r="F440">
        <f>IF($B440&lt;&gt;"Yes","",
IF($A440="Neuron",
IF(OR(
AND($S440&lt;&gt;"",LOWER(TRIM($S440))&lt;&gt;"n/a",COUNTIFS($B$2:$B$532,"Yes",$A$2:$A$532,"Neuron",$S$2:$S$532,$S440)&gt;1),
AND($T440&lt;&gt;"",LOWER(TRIM($T440))&lt;&gt;"n/a",COUNTIFS($B$2:$B$532,"Yes",$A$2:$A$532,"Neuron",$T$2:$T$532,$T440)&gt;1),
AND($W440&lt;&gt;"",LOWER(TRIM($W440))&lt;&gt;"n/a",COUNTIFS($B$2:$B$532,"Yes",$A$2:$A$532,"Neuron",$W$2:$W$532,$W440)&gt;1)
),"Yes","No"),
IF($A440="Cybernet",
IF(OR(
AND($Y440&lt;&gt;"",LOWER(TRIM($Y440))&lt;&gt;"n/a",COUNTIFS($B$2:$B$532,"Yes",$A$2:$A$532,"Cybernet",$Y$2:$Y$532,$Y440)&gt;1),
AND($Z440&lt;&gt;"",LOWER(TRIM($Z440))&lt;&gt;"n/a",COUNTIFS($B$2:$B$532,"Yes",$A$2:$A$532,"Cybernet",$Z$2:$Z$532,$Z440)&gt;1)
),"Yes","No"),
IF(AND($AL440&lt;&gt;"",LOWER(TRIM($AL440))&lt;&gt;"n/a"),
IF(COUNTIFS($B$2:$B$532,"Yes",$A$2:$A$532,$A440,$AL$2:$AL$532,$AL440)&gt;1,"Yes","No"),
"No")
)
)
)</f>
      </c>
      <c r="BL440">
        <f>IF($T440="","",IF((IF(AND($AW440&lt;&gt;"Yes",$AW440&lt;&gt;"N/A"),"Power Cable, ","")&amp;IF(AND($AX440&lt;&gt;"Yes",$AX440&lt;&gt;"N/A"),"Battery, ","")&amp;IF(AND($BE440&lt;&gt;"Yes",$BE440&lt;&gt;"N/A"),"Firmware Download, ","")&amp;IF(AND(OR($BE440="Yes",$BE440="N/A"),$BF440&lt;&gt;"Yes",$BF440&lt;&gt;"N/A"),"Firmware Install, ","")&amp;IF(AND($BJ440&lt;&gt;"Yes",$BJ440&lt;&gt;"N/A"),"Device ID, ","")&amp;IF(AND($BK440&lt;&gt;"Yes",$BK440&lt;&gt;"N/A"),"Epic Beans Relay, ",""))="","",LEFT(IF(AND($AW440&lt;&gt;"Yes",$AW440&lt;&gt;"N/A"),"Power Cable, ","")&amp;IF(AND($AX440&lt;&gt;"Yes",$AX440&lt;&gt;"N/A"),"Battery, ","")&amp;IF(AND($BE440&lt;&gt;"Yes",$BE440&lt;&gt;"N/A"),"Firmware Download, ","")&amp;IF(AND(OR($BE440="Yes",$BE440="N/A"),$BF440&lt;&gt;"Yes",$BF440&lt;&gt;"N/A"),"Firmware Install, ","")&amp;IF(AND($BJ440&lt;&gt;"Yes",$BJ440&lt;&gt;"N/A"),"Device ID, ","")&amp;IF(AND($BK440&lt;&gt;"Yes",$BK440&lt;&gt;"N/A"),"Epic Beans Relay, ",""),LEN(IF(AND($AW440&lt;&gt;"Yes",$AW440&lt;&gt;"N/A"),"Power Cable, ","")&amp;IF(AND($AX440&lt;&gt;"Yes",$AX440&lt;&gt;"N/A"),"Battery, ","")&amp;IF(AND($BE440&lt;&gt;"Yes",$BE440&lt;&gt;"N/A"),"Firmware Download, ","")&amp;IF(AND(OR($BE440="Yes",$BE440="N/A"),$BF440&lt;&gt;"Yes",$BF440&lt;&gt;"N/A"),"Firmware Install, ","")&amp;IF(AND($BJ440&lt;&gt;"Yes",$BJ440&lt;&gt;"N/A"),"Device ID, ","")&amp;IF(AND($BK440&lt;&gt;"Yes",$BK440&lt;&gt;"N/A"),"Epic Beans Relay, ",""))-2)))</f>
      </c>
      <c r="BM440">
        <f>IF($T440="","",IF($BL440="","Yes","Blocked"))</f>
      </c>
      <c r="BP440">
        <f>IF($BO440="","",IFERROR(VLOOKUP($BO440,'01_Warehouse_Ledger'!$A:$N,4,FALSE),""))</f>
      </c>
      <c r="BQ440">
        <f>IF($BO440="","",IFERROR(VLOOKUP($BO440,'01_Warehouse_Ledger'!$A:$N,5,FALSE),""))</f>
      </c>
      <c r="BR440">
        <f>IF($BO440="","",IFERROR(VLOOKUP($BO440,'01_Warehouse_Ledger'!$A:$N,13,FALSE),""))</f>
      </c>
    </row>
    <row r="441">
      <c r="D441">
        <f>IF($B441&lt;&gt;"Yes","",IF($C441="No","Yes",IF($C441="Yes","No","")))</f>
      </c>
      <c r="E441">
        <f>IF($A441="","",IF($A441="Neuron",IF(OR(AND($S441&lt;&gt;"",LOWER(TRIM($S441))&lt;&gt;"n/a",COUNTIF($S$2:$S$532,$S441)&gt;1),AND($T441&lt;&gt;"",LOWER(TRIM($T441))&lt;&gt;"n/a",COUNTIF($T$2:$T$532,$T441)&gt;1),AND($W441&lt;&gt;"",LOWER(TRIM($W441))&lt;&gt;"n/a",COUNTIF($W$2:$W$532,$W441)&gt;1)),"Yes","No"),IF($A441="Cybernet",IF(OR(AND($Y441&lt;&gt;"",LOWER(TRIM($Y441))&lt;&gt;"n/a",COUNTIF($Y$2:$Y$532,$Y441)&gt;1),AND($Z441&lt;&gt;"",LOWER(TRIM($Z441))&lt;&gt;"n/a",COUNTIF($Z$2:$Z$532,$Z441)&gt;1)),"Yes","No"),IF(AND($AL441&lt;&gt;"",LOWER(TRIM($AL441))&lt;&gt;"n/a",COUNTIF($AL$2:$AL$532,$AL441)&gt;1),"Yes","No"))))</f>
      </c>
      <c r="F441">
        <f>IF($B441&lt;&gt;"Yes","",
IF($A441="Neuron",
IF(OR(
AND($S441&lt;&gt;"",LOWER(TRIM($S441))&lt;&gt;"n/a",COUNTIFS($B$2:$B$532,"Yes",$A$2:$A$532,"Neuron",$S$2:$S$532,$S441)&gt;1),
AND($T441&lt;&gt;"",LOWER(TRIM($T441))&lt;&gt;"n/a",COUNTIFS($B$2:$B$532,"Yes",$A$2:$A$532,"Neuron",$T$2:$T$532,$T441)&gt;1),
AND($W441&lt;&gt;"",LOWER(TRIM($W441))&lt;&gt;"n/a",COUNTIFS($B$2:$B$532,"Yes",$A$2:$A$532,"Neuron",$W$2:$W$532,$W441)&gt;1)
),"Yes","No"),
IF($A441="Cybernet",
IF(OR(
AND($Y441&lt;&gt;"",LOWER(TRIM($Y441))&lt;&gt;"n/a",COUNTIFS($B$2:$B$532,"Yes",$A$2:$A$532,"Cybernet",$Y$2:$Y$532,$Y441)&gt;1),
AND($Z441&lt;&gt;"",LOWER(TRIM($Z441))&lt;&gt;"n/a",COUNTIFS($B$2:$B$532,"Yes",$A$2:$A$532,"Cybernet",$Z$2:$Z$532,$Z441)&gt;1)
),"Yes","No"),
IF(AND($AL441&lt;&gt;"",LOWER(TRIM($AL441))&lt;&gt;"n/a"),
IF(COUNTIFS($B$2:$B$532,"Yes",$A$2:$A$532,$A441,$AL$2:$AL$532,$AL441)&gt;1,"Yes","No"),
"No")
)
)
)</f>
      </c>
      <c r="BL441">
        <f>IF($T441="","",IF((IF(AND($AW441&lt;&gt;"Yes",$AW441&lt;&gt;"N/A"),"Power Cable, ","")&amp;IF(AND($AX441&lt;&gt;"Yes",$AX441&lt;&gt;"N/A"),"Battery, ","")&amp;IF(AND($BE441&lt;&gt;"Yes",$BE441&lt;&gt;"N/A"),"Firmware Download, ","")&amp;IF(AND(OR($BE441="Yes",$BE441="N/A"),$BF441&lt;&gt;"Yes",$BF441&lt;&gt;"N/A"),"Firmware Install, ","")&amp;IF(AND($BJ441&lt;&gt;"Yes",$BJ441&lt;&gt;"N/A"),"Device ID, ","")&amp;IF(AND($BK441&lt;&gt;"Yes",$BK441&lt;&gt;"N/A"),"Epic Beans Relay, ",""))="","",LEFT(IF(AND($AW441&lt;&gt;"Yes",$AW441&lt;&gt;"N/A"),"Power Cable, ","")&amp;IF(AND($AX441&lt;&gt;"Yes",$AX441&lt;&gt;"N/A"),"Battery, ","")&amp;IF(AND($BE441&lt;&gt;"Yes",$BE441&lt;&gt;"N/A"),"Firmware Download, ","")&amp;IF(AND(OR($BE441="Yes",$BE441="N/A"),$BF441&lt;&gt;"Yes",$BF441&lt;&gt;"N/A"),"Firmware Install, ","")&amp;IF(AND($BJ441&lt;&gt;"Yes",$BJ441&lt;&gt;"N/A"),"Device ID, ","")&amp;IF(AND($BK441&lt;&gt;"Yes",$BK441&lt;&gt;"N/A"),"Epic Beans Relay, ",""),LEN(IF(AND($AW441&lt;&gt;"Yes",$AW441&lt;&gt;"N/A"),"Power Cable, ","")&amp;IF(AND($AX441&lt;&gt;"Yes",$AX441&lt;&gt;"N/A"),"Battery, ","")&amp;IF(AND($BE441&lt;&gt;"Yes",$BE441&lt;&gt;"N/A"),"Firmware Download, ","")&amp;IF(AND(OR($BE441="Yes",$BE441="N/A"),$BF441&lt;&gt;"Yes",$BF441&lt;&gt;"N/A"),"Firmware Install, ","")&amp;IF(AND($BJ441&lt;&gt;"Yes",$BJ441&lt;&gt;"N/A"),"Device ID, ","")&amp;IF(AND($BK441&lt;&gt;"Yes",$BK441&lt;&gt;"N/A"),"Epic Beans Relay, ",""))-2)))</f>
      </c>
      <c r="BM441">
        <f>IF($T441="","",IF($BL441="","Yes","Blocked"))</f>
      </c>
      <c r="BP441">
        <f>IF($BO441="","",IFERROR(VLOOKUP($BO441,'01_Warehouse_Ledger'!$A:$N,4,FALSE),""))</f>
      </c>
      <c r="BQ441">
        <f>IF($BO441="","",IFERROR(VLOOKUP($BO441,'01_Warehouse_Ledger'!$A:$N,5,FALSE),""))</f>
      </c>
      <c r="BR441">
        <f>IF($BO441="","",IFERROR(VLOOKUP($BO441,'01_Warehouse_Ledger'!$A:$N,13,FALSE),""))</f>
      </c>
    </row>
    <row r="442">
      <c r="D442">
        <f>IF($B442&lt;&gt;"Yes","",IF($C442="No","Yes",IF($C442="Yes","No","")))</f>
      </c>
      <c r="E442">
        <f>IF($A442="","",IF($A442="Neuron",IF(OR(AND($S442&lt;&gt;"",LOWER(TRIM($S442))&lt;&gt;"n/a",COUNTIF($S$2:$S$532,$S442)&gt;1),AND($T442&lt;&gt;"",LOWER(TRIM($T442))&lt;&gt;"n/a",COUNTIF($T$2:$T$532,$T442)&gt;1),AND($W442&lt;&gt;"",LOWER(TRIM($W442))&lt;&gt;"n/a",COUNTIF($W$2:$W$532,$W442)&gt;1)),"Yes","No"),IF($A442="Cybernet",IF(OR(AND($Y442&lt;&gt;"",LOWER(TRIM($Y442))&lt;&gt;"n/a",COUNTIF($Y$2:$Y$532,$Y442)&gt;1),AND($Z442&lt;&gt;"",LOWER(TRIM($Z442))&lt;&gt;"n/a",COUNTIF($Z$2:$Z$532,$Z442)&gt;1)),"Yes","No"),IF(AND($AL442&lt;&gt;"",LOWER(TRIM($AL442))&lt;&gt;"n/a",COUNTIF($AL$2:$AL$532,$AL442)&gt;1),"Yes","No"))))</f>
      </c>
      <c r="F442">
        <f>IF($B442&lt;&gt;"Yes","",
IF($A442="Neuron",
IF(OR(
AND($S442&lt;&gt;"",LOWER(TRIM($S442))&lt;&gt;"n/a",COUNTIFS($B$2:$B$532,"Yes",$A$2:$A$532,"Neuron",$S$2:$S$532,$S442)&gt;1),
AND($T442&lt;&gt;"",LOWER(TRIM($T442))&lt;&gt;"n/a",COUNTIFS($B$2:$B$532,"Yes",$A$2:$A$532,"Neuron",$T$2:$T$532,$T442)&gt;1),
AND($W442&lt;&gt;"",LOWER(TRIM($W442))&lt;&gt;"n/a",COUNTIFS($B$2:$B$532,"Yes",$A$2:$A$532,"Neuron",$W$2:$W$532,$W442)&gt;1)
),"Yes","No"),
IF($A442="Cybernet",
IF(OR(
AND($Y442&lt;&gt;"",LOWER(TRIM($Y442))&lt;&gt;"n/a",COUNTIFS($B$2:$B$532,"Yes",$A$2:$A$532,"Cybernet",$Y$2:$Y$532,$Y442)&gt;1),
AND($Z442&lt;&gt;"",LOWER(TRIM($Z442))&lt;&gt;"n/a",COUNTIFS($B$2:$B$532,"Yes",$A$2:$A$532,"Cybernet",$Z$2:$Z$532,$Z442)&gt;1)
),"Yes","No"),
IF(AND($AL442&lt;&gt;"",LOWER(TRIM($AL442))&lt;&gt;"n/a"),
IF(COUNTIFS($B$2:$B$532,"Yes",$A$2:$A$532,$A442,$AL$2:$AL$532,$AL442)&gt;1,"Yes","No"),
"No")
)
)
)</f>
      </c>
      <c r="BL442">
        <f>IF($T442="","",IF((IF(AND($AW442&lt;&gt;"Yes",$AW442&lt;&gt;"N/A"),"Power Cable, ","")&amp;IF(AND($AX442&lt;&gt;"Yes",$AX442&lt;&gt;"N/A"),"Battery, ","")&amp;IF(AND($BE442&lt;&gt;"Yes",$BE442&lt;&gt;"N/A"),"Firmware Download, ","")&amp;IF(AND(OR($BE442="Yes",$BE442="N/A"),$BF442&lt;&gt;"Yes",$BF442&lt;&gt;"N/A"),"Firmware Install, ","")&amp;IF(AND($BJ442&lt;&gt;"Yes",$BJ442&lt;&gt;"N/A"),"Device ID, ","")&amp;IF(AND($BK442&lt;&gt;"Yes",$BK442&lt;&gt;"N/A"),"Epic Beans Relay, ",""))="","",LEFT(IF(AND($AW442&lt;&gt;"Yes",$AW442&lt;&gt;"N/A"),"Power Cable, ","")&amp;IF(AND($AX442&lt;&gt;"Yes",$AX442&lt;&gt;"N/A"),"Battery, ","")&amp;IF(AND($BE442&lt;&gt;"Yes",$BE442&lt;&gt;"N/A"),"Firmware Download, ","")&amp;IF(AND(OR($BE442="Yes",$BE442="N/A"),$BF442&lt;&gt;"Yes",$BF442&lt;&gt;"N/A"),"Firmware Install, ","")&amp;IF(AND($BJ442&lt;&gt;"Yes",$BJ442&lt;&gt;"N/A"),"Device ID, ","")&amp;IF(AND($BK442&lt;&gt;"Yes",$BK442&lt;&gt;"N/A"),"Epic Beans Relay, ",""),LEN(IF(AND($AW442&lt;&gt;"Yes",$AW442&lt;&gt;"N/A"),"Power Cable, ","")&amp;IF(AND($AX442&lt;&gt;"Yes",$AX442&lt;&gt;"N/A"),"Battery, ","")&amp;IF(AND($BE442&lt;&gt;"Yes",$BE442&lt;&gt;"N/A"),"Firmware Download, ","")&amp;IF(AND(OR($BE442="Yes",$BE442="N/A"),$BF442&lt;&gt;"Yes",$BF442&lt;&gt;"N/A"),"Firmware Install, ","")&amp;IF(AND($BJ442&lt;&gt;"Yes",$BJ442&lt;&gt;"N/A"),"Device ID, ","")&amp;IF(AND($BK442&lt;&gt;"Yes",$BK442&lt;&gt;"N/A"),"Epic Beans Relay, ",""))-2)))</f>
      </c>
      <c r="BM442">
        <f>IF($T442="","",IF($BL442="","Yes","Blocked"))</f>
      </c>
      <c r="BP442">
        <f>IF($BO442="","",IFERROR(VLOOKUP($BO442,'01_Warehouse_Ledger'!$A:$N,4,FALSE),""))</f>
      </c>
      <c r="BQ442">
        <f>IF($BO442="","",IFERROR(VLOOKUP($BO442,'01_Warehouse_Ledger'!$A:$N,5,FALSE),""))</f>
      </c>
      <c r="BR442">
        <f>IF($BO442="","",IFERROR(VLOOKUP($BO442,'01_Warehouse_Ledger'!$A:$N,13,FALSE),""))</f>
      </c>
    </row>
    <row r="443">
      <c r="D443">
        <f>IF($B443&lt;&gt;"Yes","",IF($C443="No","Yes",IF($C443="Yes","No","")))</f>
      </c>
      <c r="E443">
        <f>IF($A443="","",IF($A443="Neuron",IF(OR(AND($S443&lt;&gt;"",LOWER(TRIM($S443))&lt;&gt;"n/a",COUNTIF($S$2:$S$532,$S443)&gt;1),AND($T443&lt;&gt;"",LOWER(TRIM($T443))&lt;&gt;"n/a",COUNTIF($T$2:$T$532,$T443)&gt;1),AND($W443&lt;&gt;"",LOWER(TRIM($W443))&lt;&gt;"n/a",COUNTIF($W$2:$W$532,$W443)&gt;1)),"Yes","No"),IF($A443="Cybernet",IF(OR(AND($Y443&lt;&gt;"",LOWER(TRIM($Y443))&lt;&gt;"n/a",COUNTIF($Y$2:$Y$532,$Y443)&gt;1),AND($Z443&lt;&gt;"",LOWER(TRIM($Z443))&lt;&gt;"n/a",COUNTIF($Z$2:$Z$532,$Z443)&gt;1)),"Yes","No"),IF(AND($AL443&lt;&gt;"",LOWER(TRIM($AL443))&lt;&gt;"n/a",COUNTIF($AL$2:$AL$532,$AL443)&gt;1),"Yes","No"))))</f>
      </c>
      <c r="F443">
        <f>IF($B443&lt;&gt;"Yes","",
IF($A443="Neuron",
IF(OR(
AND($S443&lt;&gt;"",LOWER(TRIM($S443))&lt;&gt;"n/a",COUNTIFS($B$2:$B$532,"Yes",$A$2:$A$532,"Neuron",$S$2:$S$532,$S443)&gt;1),
AND($T443&lt;&gt;"",LOWER(TRIM($T443))&lt;&gt;"n/a",COUNTIFS($B$2:$B$532,"Yes",$A$2:$A$532,"Neuron",$T$2:$T$532,$T443)&gt;1),
AND($W443&lt;&gt;"",LOWER(TRIM($W443))&lt;&gt;"n/a",COUNTIFS($B$2:$B$532,"Yes",$A$2:$A$532,"Neuron",$W$2:$W$532,$W443)&gt;1)
),"Yes","No"),
IF($A443="Cybernet",
IF(OR(
AND($Y443&lt;&gt;"",LOWER(TRIM($Y443))&lt;&gt;"n/a",COUNTIFS($B$2:$B$532,"Yes",$A$2:$A$532,"Cybernet",$Y$2:$Y$532,$Y443)&gt;1),
AND($Z443&lt;&gt;"",LOWER(TRIM($Z443))&lt;&gt;"n/a",COUNTIFS($B$2:$B$532,"Yes",$A$2:$A$532,"Cybernet",$Z$2:$Z$532,$Z443)&gt;1)
),"Yes","No"),
IF(AND($AL443&lt;&gt;"",LOWER(TRIM($AL443))&lt;&gt;"n/a"),
IF(COUNTIFS($B$2:$B$532,"Yes",$A$2:$A$532,$A443,$AL$2:$AL$532,$AL443)&gt;1,"Yes","No"),
"No")
)
)
)</f>
      </c>
      <c r="BL443">
        <f>IF($T443="","",IF((IF(AND($AW443&lt;&gt;"Yes",$AW443&lt;&gt;"N/A"),"Power Cable, ","")&amp;IF(AND($AX443&lt;&gt;"Yes",$AX443&lt;&gt;"N/A"),"Battery, ","")&amp;IF(AND($BE443&lt;&gt;"Yes",$BE443&lt;&gt;"N/A"),"Firmware Download, ","")&amp;IF(AND(OR($BE443="Yes",$BE443="N/A"),$BF443&lt;&gt;"Yes",$BF443&lt;&gt;"N/A"),"Firmware Install, ","")&amp;IF(AND($BJ443&lt;&gt;"Yes",$BJ443&lt;&gt;"N/A"),"Device ID, ","")&amp;IF(AND($BK443&lt;&gt;"Yes",$BK443&lt;&gt;"N/A"),"Epic Beans Relay, ",""))="","",LEFT(IF(AND($AW443&lt;&gt;"Yes",$AW443&lt;&gt;"N/A"),"Power Cable, ","")&amp;IF(AND($AX443&lt;&gt;"Yes",$AX443&lt;&gt;"N/A"),"Battery, ","")&amp;IF(AND($BE443&lt;&gt;"Yes",$BE443&lt;&gt;"N/A"),"Firmware Download, ","")&amp;IF(AND(OR($BE443="Yes",$BE443="N/A"),$BF443&lt;&gt;"Yes",$BF443&lt;&gt;"N/A"),"Firmware Install, ","")&amp;IF(AND($BJ443&lt;&gt;"Yes",$BJ443&lt;&gt;"N/A"),"Device ID, ","")&amp;IF(AND($BK443&lt;&gt;"Yes",$BK443&lt;&gt;"N/A"),"Epic Beans Relay, ",""),LEN(IF(AND($AW443&lt;&gt;"Yes",$AW443&lt;&gt;"N/A"),"Power Cable, ","")&amp;IF(AND($AX443&lt;&gt;"Yes",$AX443&lt;&gt;"N/A"),"Battery, ","")&amp;IF(AND($BE443&lt;&gt;"Yes",$BE443&lt;&gt;"N/A"),"Firmware Download, ","")&amp;IF(AND(OR($BE443="Yes",$BE443="N/A"),$BF443&lt;&gt;"Yes",$BF443&lt;&gt;"N/A"),"Firmware Install, ","")&amp;IF(AND($BJ443&lt;&gt;"Yes",$BJ443&lt;&gt;"N/A"),"Device ID, ","")&amp;IF(AND($BK443&lt;&gt;"Yes",$BK443&lt;&gt;"N/A"),"Epic Beans Relay, ",""))-2)))</f>
      </c>
      <c r="BM443">
        <f>IF($T443="","",IF($BL443="","Yes","Blocked"))</f>
      </c>
      <c r="BP443">
        <f>IF($BO443="","",IFERROR(VLOOKUP($BO443,'01_Warehouse_Ledger'!$A:$N,4,FALSE),""))</f>
      </c>
      <c r="BQ443">
        <f>IF($BO443="","",IFERROR(VLOOKUP($BO443,'01_Warehouse_Ledger'!$A:$N,5,FALSE),""))</f>
      </c>
      <c r="BR443">
        <f>IF($BO443="","",IFERROR(VLOOKUP($BO443,'01_Warehouse_Ledger'!$A:$N,13,FALSE),""))</f>
      </c>
    </row>
    <row r="444">
      <c r="D444">
        <f>IF($B444&lt;&gt;"Yes","",IF($C444="No","Yes",IF($C444="Yes","No","")))</f>
      </c>
      <c r="E444">
        <f>IF($A444="","",IF($A444="Neuron",IF(OR(AND($S444&lt;&gt;"",LOWER(TRIM($S444))&lt;&gt;"n/a",COUNTIF($S$2:$S$532,$S444)&gt;1),AND($T444&lt;&gt;"",LOWER(TRIM($T444))&lt;&gt;"n/a",COUNTIF($T$2:$T$532,$T444)&gt;1),AND($W444&lt;&gt;"",LOWER(TRIM($W444))&lt;&gt;"n/a",COUNTIF($W$2:$W$532,$W444)&gt;1)),"Yes","No"),IF($A444="Cybernet",IF(OR(AND($Y444&lt;&gt;"",LOWER(TRIM($Y444))&lt;&gt;"n/a",COUNTIF($Y$2:$Y$532,$Y444)&gt;1),AND($Z444&lt;&gt;"",LOWER(TRIM($Z444))&lt;&gt;"n/a",COUNTIF($Z$2:$Z$532,$Z444)&gt;1)),"Yes","No"),IF(AND($AL444&lt;&gt;"",LOWER(TRIM($AL444))&lt;&gt;"n/a",COUNTIF($AL$2:$AL$532,$AL444)&gt;1),"Yes","No"))))</f>
      </c>
      <c r="F444">
        <f>IF($B444&lt;&gt;"Yes","",
IF($A444="Neuron",
IF(OR(
AND($S444&lt;&gt;"",LOWER(TRIM($S444))&lt;&gt;"n/a",COUNTIFS($B$2:$B$532,"Yes",$A$2:$A$532,"Neuron",$S$2:$S$532,$S444)&gt;1),
AND($T444&lt;&gt;"",LOWER(TRIM($T444))&lt;&gt;"n/a",COUNTIFS($B$2:$B$532,"Yes",$A$2:$A$532,"Neuron",$T$2:$T$532,$T444)&gt;1),
AND($W444&lt;&gt;"",LOWER(TRIM($W444))&lt;&gt;"n/a",COUNTIFS($B$2:$B$532,"Yes",$A$2:$A$532,"Neuron",$W$2:$W$532,$W444)&gt;1)
),"Yes","No"),
IF($A444="Cybernet",
IF(OR(
AND($Y444&lt;&gt;"",LOWER(TRIM($Y444))&lt;&gt;"n/a",COUNTIFS($B$2:$B$532,"Yes",$A$2:$A$532,"Cybernet",$Y$2:$Y$532,$Y444)&gt;1),
AND($Z444&lt;&gt;"",LOWER(TRIM($Z444))&lt;&gt;"n/a",COUNTIFS($B$2:$B$532,"Yes",$A$2:$A$532,"Cybernet",$Z$2:$Z$532,$Z444)&gt;1)
),"Yes","No"),
IF(AND($AL444&lt;&gt;"",LOWER(TRIM($AL444))&lt;&gt;"n/a"),
IF(COUNTIFS($B$2:$B$532,"Yes",$A$2:$A$532,$A444,$AL$2:$AL$532,$AL444)&gt;1,"Yes","No"),
"No")
)
)
)</f>
      </c>
      <c r="BL444">
        <f>IF($T444="","",IF((IF(AND($AW444&lt;&gt;"Yes",$AW444&lt;&gt;"N/A"),"Power Cable, ","")&amp;IF(AND($AX444&lt;&gt;"Yes",$AX444&lt;&gt;"N/A"),"Battery, ","")&amp;IF(AND($BE444&lt;&gt;"Yes",$BE444&lt;&gt;"N/A"),"Firmware Download, ","")&amp;IF(AND(OR($BE444="Yes",$BE444="N/A"),$BF444&lt;&gt;"Yes",$BF444&lt;&gt;"N/A"),"Firmware Install, ","")&amp;IF(AND($BJ444&lt;&gt;"Yes",$BJ444&lt;&gt;"N/A"),"Device ID, ","")&amp;IF(AND($BK444&lt;&gt;"Yes",$BK444&lt;&gt;"N/A"),"Epic Beans Relay, ",""))="","",LEFT(IF(AND($AW444&lt;&gt;"Yes",$AW444&lt;&gt;"N/A"),"Power Cable, ","")&amp;IF(AND($AX444&lt;&gt;"Yes",$AX444&lt;&gt;"N/A"),"Battery, ","")&amp;IF(AND($BE444&lt;&gt;"Yes",$BE444&lt;&gt;"N/A"),"Firmware Download, ","")&amp;IF(AND(OR($BE444="Yes",$BE444="N/A"),$BF444&lt;&gt;"Yes",$BF444&lt;&gt;"N/A"),"Firmware Install, ","")&amp;IF(AND($BJ444&lt;&gt;"Yes",$BJ444&lt;&gt;"N/A"),"Device ID, ","")&amp;IF(AND($BK444&lt;&gt;"Yes",$BK444&lt;&gt;"N/A"),"Epic Beans Relay, ",""),LEN(IF(AND($AW444&lt;&gt;"Yes",$AW444&lt;&gt;"N/A"),"Power Cable, ","")&amp;IF(AND($AX444&lt;&gt;"Yes",$AX444&lt;&gt;"N/A"),"Battery, ","")&amp;IF(AND($BE444&lt;&gt;"Yes",$BE444&lt;&gt;"N/A"),"Firmware Download, ","")&amp;IF(AND(OR($BE444="Yes",$BE444="N/A"),$BF444&lt;&gt;"Yes",$BF444&lt;&gt;"N/A"),"Firmware Install, ","")&amp;IF(AND($BJ444&lt;&gt;"Yes",$BJ444&lt;&gt;"N/A"),"Device ID, ","")&amp;IF(AND($BK444&lt;&gt;"Yes",$BK444&lt;&gt;"N/A"),"Epic Beans Relay, ",""))-2)))</f>
      </c>
      <c r="BM444">
        <f>IF($T444="","",IF($BL444="","Yes","Blocked"))</f>
      </c>
      <c r="BP444">
        <f>IF($BO444="","",IFERROR(VLOOKUP($BO444,'01_Warehouse_Ledger'!$A:$N,4,FALSE),""))</f>
      </c>
      <c r="BQ444">
        <f>IF($BO444="","",IFERROR(VLOOKUP($BO444,'01_Warehouse_Ledger'!$A:$N,5,FALSE),""))</f>
      </c>
      <c r="BR444">
        <f>IF($BO444="","",IFERROR(VLOOKUP($BO444,'01_Warehouse_Ledger'!$A:$N,13,FALSE),""))</f>
      </c>
    </row>
    <row r="445">
      <c r="D445">
        <f>IF($B445&lt;&gt;"Yes","",IF($C445="No","Yes",IF($C445="Yes","No","")))</f>
      </c>
      <c r="E445">
        <f>IF($A445="","",IF($A445="Neuron",IF(OR(AND($S445&lt;&gt;"",LOWER(TRIM($S445))&lt;&gt;"n/a",COUNTIF($S$2:$S$532,$S445)&gt;1),AND($T445&lt;&gt;"",LOWER(TRIM($T445))&lt;&gt;"n/a",COUNTIF($T$2:$T$532,$T445)&gt;1),AND($W445&lt;&gt;"",LOWER(TRIM($W445))&lt;&gt;"n/a",COUNTIF($W$2:$W$532,$W445)&gt;1)),"Yes","No"),IF($A445="Cybernet",IF(OR(AND($Y445&lt;&gt;"",LOWER(TRIM($Y445))&lt;&gt;"n/a",COUNTIF($Y$2:$Y$532,$Y445)&gt;1),AND($Z445&lt;&gt;"",LOWER(TRIM($Z445))&lt;&gt;"n/a",COUNTIF($Z$2:$Z$532,$Z445)&gt;1)),"Yes","No"),IF(AND($AL445&lt;&gt;"",LOWER(TRIM($AL445))&lt;&gt;"n/a",COUNTIF($AL$2:$AL$532,$AL445)&gt;1),"Yes","No"))))</f>
      </c>
      <c r="F445">
        <f>IF($B445&lt;&gt;"Yes","",
IF($A445="Neuron",
IF(OR(
AND($S445&lt;&gt;"",LOWER(TRIM($S445))&lt;&gt;"n/a",COUNTIFS($B$2:$B$532,"Yes",$A$2:$A$532,"Neuron",$S$2:$S$532,$S445)&gt;1),
AND($T445&lt;&gt;"",LOWER(TRIM($T445))&lt;&gt;"n/a",COUNTIFS($B$2:$B$532,"Yes",$A$2:$A$532,"Neuron",$T$2:$T$532,$T445)&gt;1),
AND($W445&lt;&gt;"",LOWER(TRIM($W445))&lt;&gt;"n/a",COUNTIFS($B$2:$B$532,"Yes",$A$2:$A$532,"Neuron",$W$2:$W$532,$W445)&gt;1)
),"Yes","No"),
IF($A445="Cybernet",
IF(OR(
AND($Y445&lt;&gt;"",LOWER(TRIM($Y445))&lt;&gt;"n/a",COUNTIFS($B$2:$B$532,"Yes",$A$2:$A$532,"Cybernet",$Y$2:$Y$532,$Y445)&gt;1),
AND($Z445&lt;&gt;"",LOWER(TRIM($Z445))&lt;&gt;"n/a",COUNTIFS($B$2:$B$532,"Yes",$A$2:$A$532,"Cybernet",$Z$2:$Z$532,$Z445)&gt;1)
),"Yes","No"),
IF(AND($AL445&lt;&gt;"",LOWER(TRIM($AL445))&lt;&gt;"n/a"),
IF(COUNTIFS($B$2:$B$532,"Yes",$A$2:$A$532,$A445,$AL$2:$AL$532,$AL445)&gt;1,"Yes","No"),
"No")
)
)
)</f>
      </c>
      <c r="BL445">
        <f>IF($T445="","",IF((IF(AND($AW445&lt;&gt;"Yes",$AW445&lt;&gt;"N/A"),"Power Cable, ","")&amp;IF(AND($AX445&lt;&gt;"Yes",$AX445&lt;&gt;"N/A"),"Battery, ","")&amp;IF(AND($BE445&lt;&gt;"Yes",$BE445&lt;&gt;"N/A"),"Firmware Download, ","")&amp;IF(AND(OR($BE445="Yes",$BE445="N/A"),$BF445&lt;&gt;"Yes",$BF445&lt;&gt;"N/A"),"Firmware Install, ","")&amp;IF(AND($BJ445&lt;&gt;"Yes",$BJ445&lt;&gt;"N/A"),"Device ID, ","")&amp;IF(AND($BK445&lt;&gt;"Yes",$BK445&lt;&gt;"N/A"),"Epic Beans Relay, ",""))="","",LEFT(IF(AND($AW445&lt;&gt;"Yes",$AW445&lt;&gt;"N/A"),"Power Cable, ","")&amp;IF(AND($AX445&lt;&gt;"Yes",$AX445&lt;&gt;"N/A"),"Battery, ","")&amp;IF(AND($BE445&lt;&gt;"Yes",$BE445&lt;&gt;"N/A"),"Firmware Download, ","")&amp;IF(AND(OR($BE445="Yes",$BE445="N/A"),$BF445&lt;&gt;"Yes",$BF445&lt;&gt;"N/A"),"Firmware Install, ","")&amp;IF(AND($BJ445&lt;&gt;"Yes",$BJ445&lt;&gt;"N/A"),"Device ID, ","")&amp;IF(AND($BK445&lt;&gt;"Yes",$BK445&lt;&gt;"N/A"),"Epic Beans Relay, ",""),LEN(IF(AND($AW445&lt;&gt;"Yes",$AW445&lt;&gt;"N/A"),"Power Cable, ","")&amp;IF(AND($AX445&lt;&gt;"Yes",$AX445&lt;&gt;"N/A"),"Battery, ","")&amp;IF(AND($BE445&lt;&gt;"Yes",$BE445&lt;&gt;"N/A"),"Firmware Download, ","")&amp;IF(AND(OR($BE445="Yes",$BE445="N/A"),$BF445&lt;&gt;"Yes",$BF445&lt;&gt;"N/A"),"Firmware Install, ","")&amp;IF(AND($BJ445&lt;&gt;"Yes",$BJ445&lt;&gt;"N/A"),"Device ID, ","")&amp;IF(AND($BK445&lt;&gt;"Yes",$BK445&lt;&gt;"N/A"),"Epic Beans Relay, ",""))-2)))</f>
      </c>
      <c r="BM445">
        <f>IF($T445="","",IF($BL445="","Yes","Blocked"))</f>
      </c>
      <c r="BP445">
        <f>IF($BO445="","",IFERROR(VLOOKUP($BO445,'01_Warehouse_Ledger'!$A:$N,4,FALSE),""))</f>
      </c>
      <c r="BQ445">
        <f>IF($BO445="","",IFERROR(VLOOKUP($BO445,'01_Warehouse_Ledger'!$A:$N,5,FALSE),""))</f>
      </c>
      <c r="BR445">
        <f>IF($BO445="","",IFERROR(VLOOKUP($BO445,'01_Warehouse_Ledger'!$A:$N,13,FALSE),""))</f>
      </c>
    </row>
    <row r="446">
      <c r="D446">
        <f>IF($B446&lt;&gt;"Yes","",IF($C446="No","Yes",IF($C446="Yes","No","")))</f>
      </c>
      <c r="E446">
        <f>IF($A446="","",IF($A446="Neuron",IF(OR(AND($S446&lt;&gt;"",LOWER(TRIM($S446))&lt;&gt;"n/a",COUNTIF($S$2:$S$532,$S446)&gt;1),AND($T446&lt;&gt;"",LOWER(TRIM($T446))&lt;&gt;"n/a",COUNTIF($T$2:$T$532,$T446)&gt;1),AND($W446&lt;&gt;"",LOWER(TRIM($W446))&lt;&gt;"n/a",COUNTIF($W$2:$W$532,$W446)&gt;1)),"Yes","No"),IF($A446="Cybernet",IF(OR(AND($Y446&lt;&gt;"",LOWER(TRIM($Y446))&lt;&gt;"n/a",COUNTIF($Y$2:$Y$532,$Y446)&gt;1),AND($Z446&lt;&gt;"",LOWER(TRIM($Z446))&lt;&gt;"n/a",COUNTIF($Z$2:$Z$532,$Z446)&gt;1)),"Yes","No"),IF(AND($AL446&lt;&gt;"",LOWER(TRIM($AL446))&lt;&gt;"n/a",COUNTIF($AL$2:$AL$532,$AL446)&gt;1),"Yes","No"))))</f>
      </c>
      <c r="F446">
        <f>IF($B446&lt;&gt;"Yes","",
IF($A446="Neuron",
IF(OR(
AND($S446&lt;&gt;"",LOWER(TRIM($S446))&lt;&gt;"n/a",COUNTIFS($B$2:$B$532,"Yes",$A$2:$A$532,"Neuron",$S$2:$S$532,$S446)&gt;1),
AND($T446&lt;&gt;"",LOWER(TRIM($T446))&lt;&gt;"n/a",COUNTIFS($B$2:$B$532,"Yes",$A$2:$A$532,"Neuron",$T$2:$T$532,$T446)&gt;1),
AND($W446&lt;&gt;"",LOWER(TRIM($W446))&lt;&gt;"n/a",COUNTIFS($B$2:$B$532,"Yes",$A$2:$A$532,"Neuron",$W$2:$W$532,$W446)&gt;1)
),"Yes","No"),
IF($A446="Cybernet",
IF(OR(
AND($Y446&lt;&gt;"",LOWER(TRIM($Y446))&lt;&gt;"n/a",COUNTIFS($B$2:$B$532,"Yes",$A$2:$A$532,"Cybernet",$Y$2:$Y$532,$Y446)&gt;1),
AND($Z446&lt;&gt;"",LOWER(TRIM($Z446))&lt;&gt;"n/a",COUNTIFS($B$2:$B$532,"Yes",$A$2:$A$532,"Cybernet",$Z$2:$Z$532,$Z446)&gt;1)
),"Yes","No"),
IF(AND($AL446&lt;&gt;"",LOWER(TRIM($AL446))&lt;&gt;"n/a"),
IF(COUNTIFS($B$2:$B$532,"Yes",$A$2:$A$532,$A446,$AL$2:$AL$532,$AL446)&gt;1,"Yes","No"),
"No")
)
)
)</f>
      </c>
      <c r="BL446">
        <f>IF($T446="","",IF((IF(AND($AW446&lt;&gt;"Yes",$AW446&lt;&gt;"N/A"),"Power Cable, ","")&amp;IF(AND($AX446&lt;&gt;"Yes",$AX446&lt;&gt;"N/A"),"Battery, ","")&amp;IF(AND($BE446&lt;&gt;"Yes",$BE446&lt;&gt;"N/A"),"Firmware Download, ","")&amp;IF(AND(OR($BE446="Yes",$BE446="N/A"),$BF446&lt;&gt;"Yes",$BF446&lt;&gt;"N/A"),"Firmware Install, ","")&amp;IF(AND($BJ446&lt;&gt;"Yes",$BJ446&lt;&gt;"N/A"),"Device ID, ","")&amp;IF(AND($BK446&lt;&gt;"Yes",$BK446&lt;&gt;"N/A"),"Epic Beans Relay, ",""))="","",LEFT(IF(AND($AW446&lt;&gt;"Yes",$AW446&lt;&gt;"N/A"),"Power Cable, ","")&amp;IF(AND($AX446&lt;&gt;"Yes",$AX446&lt;&gt;"N/A"),"Battery, ","")&amp;IF(AND($BE446&lt;&gt;"Yes",$BE446&lt;&gt;"N/A"),"Firmware Download, ","")&amp;IF(AND(OR($BE446="Yes",$BE446="N/A"),$BF446&lt;&gt;"Yes",$BF446&lt;&gt;"N/A"),"Firmware Install, ","")&amp;IF(AND($BJ446&lt;&gt;"Yes",$BJ446&lt;&gt;"N/A"),"Device ID, ","")&amp;IF(AND($BK446&lt;&gt;"Yes",$BK446&lt;&gt;"N/A"),"Epic Beans Relay, ",""),LEN(IF(AND($AW446&lt;&gt;"Yes",$AW446&lt;&gt;"N/A"),"Power Cable, ","")&amp;IF(AND($AX446&lt;&gt;"Yes",$AX446&lt;&gt;"N/A"),"Battery, ","")&amp;IF(AND($BE446&lt;&gt;"Yes",$BE446&lt;&gt;"N/A"),"Firmware Download, ","")&amp;IF(AND(OR($BE446="Yes",$BE446="N/A"),$BF446&lt;&gt;"Yes",$BF446&lt;&gt;"N/A"),"Firmware Install, ","")&amp;IF(AND($BJ446&lt;&gt;"Yes",$BJ446&lt;&gt;"N/A"),"Device ID, ","")&amp;IF(AND($BK446&lt;&gt;"Yes",$BK446&lt;&gt;"N/A"),"Epic Beans Relay, ",""))-2)))</f>
      </c>
      <c r="BM446">
        <f>IF($T446="","",IF($BL446="","Yes","Blocked"))</f>
      </c>
      <c r="BP446">
        <f>IF($BO446="","",IFERROR(VLOOKUP($BO446,'01_Warehouse_Ledger'!$A:$N,4,FALSE),""))</f>
      </c>
      <c r="BQ446">
        <f>IF($BO446="","",IFERROR(VLOOKUP($BO446,'01_Warehouse_Ledger'!$A:$N,5,FALSE),""))</f>
      </c>
      <c r="BR446">
        <f>IF($BO446="","",IFERROR(VLOOKUP($BO446,'01_Warehouse_Ledger'!$A:$N,13,FALSE),""))</f>
      </c>
    </row>
    <row r="447">
      <c r="D447">
        <f>IF($B447&lt;&gt;"Yes","",IF($C447="No","Yes",IF($C447="Yes","No","")))</f>
      </c>
      <c r="E447">
        <f>IF($A447="","",IF($A447="Neuron",IF(OR(AND($S447&lt;&gt;"",LOWER(TRIM($S447))&lt;&gt;"n/a",COUNTIF($S$2:$S$532,$S447)&gt;1),AND($T447&lt;&gt;"",LOWER(TRIM($T447))&lt;&gt;"n/a",COUNTIF($T$2:$T$532,$T447)&gt;1),AND($W447&lt;&gt;"",LOWER(TRIM($W447))&lt;&gt;"n/a",COUNTIF($W$2:$W$532,$W447)&gt;1)),"Yes","No"),IF($A447="Cybernet",IF(OR(AND($Y447&lt;&gt;"",LOWER(TRIM($Y447))&lt;&gt;"n/a",COUNTIF($Y$2:$Y$532,$Y447)&gt;1),AND($Z447&lt;&gt;"",LOWER(TRIM($Z447))&lt;&gt;"n/a",COUNTIF($Z$2:$Z$532,$Z447)&gt;1)),"Yes","No"),IF(AND($AL447&lt;&gt;"",LOWER(TRIM($AL447))&lt;&gt;"n/a",COUNTIF($AL$2:$AL$532,$AL447)&gt;1),"Yes","No"))))</f>
      </c>
      <c r="F447">
        <f>IF($B447&lt;&gt;"Yes","",
IF($A447="Neuron",
IF(OR(
AND($S447&lt;&gt;"",LOWER(TRIM($S447))&lt;&gt;"n/a",COUNTIFS($B$2:$B$532,"Yes",$A$2:$A$532,"Neuron",$S$2:$S$532,$S447)&gt;1),
AND($T447&lt;&gt;"",LOWER(TRIM($T447))&lt;&gt;"n/a",COUNTIFS($B$2:$B$532,"Yes",$A$2:$A$532,"Neuron",$T$2:$T$532,$T447)&gt;1),
AND($W447&lt;&gt;"",LOWER(TRIM($W447))&lt;&gt;"n/a",COUNTIFS($B$2:$B$532,"Yes",$A$2:$A$532,"Neuron",$W$2:$W$532,$W447)&gt;1)
),"Yes","No"),
IF($A447="Cybernet",
IF(OR(
AND($Y447&lt;&gt;"",LOWER(TRIM($Y447))&lt;&gt;"n/a",COUNTIFS($B$2:$B$532,"Yes",$A$2:$A$532,"Cybernet",$Y$2:$Y$532,$Y447)&gt;1),
AND($Z447&lt;&gt;"",LOWER(TRIM($Z447))&lt;&gt;"n/a",COUNTIFS($B$2:$B$532,"Yes",$A$2:$A$532,"Cybernet",$Z$2:$Z$532,$Z447)&gt;1)
),"Yes","No"),
IF(AND($AL447&lt;&gt;"",LOWER(TRIM($AL447))&lt;&gt;"n/a"),
IF(COUNTIFS($B$2:$B$532,"Yes",$A$2:$A$532,$A447,$AL$2:$AL$532,$AL447)&gt;1,"Yes","No"),
"No")
)
)
)</f>
      </c>
      <c r="BL447">
        <f>IF($T447="","",IF((IF(AND($AW447&lt;&gt;"Yes",$AW447&lt;&gt;"N/A"),"Power Cable, ","")&amp;IF(AND($AX447&lt;&gt;"Yes",$AX447&lt;&gt;"N/A"),"Battery, ","")&amp;IF(AND($BE447&lt;&gt;"Yes",$BE447&lt;&gt;"N/A"),"Firmware Download, ","")&amp;IF(AND(OR($BE447="Yes",$BE447="N/A"),$BF447&lt;&gt;"Yes",$BF447&lt;&gt;"N/A"),"Firmware Install, ","")&amp;IF(AND($BJ447&lt;&gt;"Yes",$BJ447&lt;&gt;"N/A"),"Device ID, ","")&amp;IF(AND($BK447&lt;&gt;"Yes",$BK447&lt;&gt;"N/A"),"Epic Beans Relay, ",""))="","",LEFT(IF(AND($AW447&lt;&gt;"Yes",$AW447&lt;&gt;"N/A"),"Power Cable, ","")&amp;IF(AND($AX447&lt;&gt;"Yes",$AX447&lt;&gt;"N/A"),"Battery, ","")&amp;IF(AND($BE447&lt;&gt;"Yes",$BE447&lt;&gt;"N/A"),"Firmware Download, ","")&amp;IF(AND(OR($BE447="Yes",$BE447="N/A"),$BF447&lt;&gt;"Yes",$BF447&lt;&gt;"N/A"),"Firmware Install, ","")&amp;IF(AND($BJ447&lt;&gt;"Yes",$BJ447&lt;&gt;"N/A"),"Device ID, ","")&amp;IF(AND($BK447&lt;&gt;"Yes",$BK447&lt;&gt;"N/A"),"Epic Beans Relay, ",""),LEN(IF(AND($AW447&lt;&gt;"Yes",$AW447&lt;&gt;"N/A"),"Power Cable, ","")&amp;IF(AND($AX447&lt;&gt;"Yes",$AX447&lt;&gt;"N/A"),"Battery, ","")&amp;IF(AND($BE447&lt;&gt;"Yes",$BE447&lt;&gt;"N/A"),"Firmware Download, ","")&amp;IF(AND(OR($BE447="Yes",$BE447="N/A"),$BF447&lt;&gt;"Yes",$BF447&lt;&gt;"N/A"),"Firmware Install, ","")&amp;IF(AND($BJ447&lt;&gt;"Yes",$BJ447&lt;&gt;"N/A"),"Device ID, ","")&amp;IF(AND($BK447&lt;&gt;"Yes",$BK447&lt;&gt;"N/A"),"Epic Beans Relay, ",""))-2)))</f>
      </c>
      <c r="BM447">
        <f>IF($T447="","",IF($BL447="","Yes","Blocked"))</f>
      </c>
      <c r="BP447">
        <f>IF($BO447="","",IFERROR(VLOOKUP($BO447,'01_Warehouse_Ledger'!$A:$N,4,FALSE),""))</f>
      </c>
      <c r="BQ447">
        <f>IF($BO447="","",IFERROR(VLOOKUP($BO447,'01_Warehouse_Ledger'!$A:$N,5,FALSE),""))</f>
      </c>
      <c r="BR447">
        <f>IF($BO447="","",IFERROR(VLOOKUP($BO447,'01_Warehouse_Ledger'!$A:$N,13,FALSE),""))</f>
      </c>
    </row>
    <row r="448">
      <c r="D448">
        <f>IF($B448&lt;&gt;"Yes","",IF($C448="No","Yes",IF($C448="Yes","No","")))</f>
      </c>
      <c r="E448">
        <f>IF($A448="","",IF($A448="Neuron",IF(OR(AND($S448&lt;&gt;"",LOWER(TRIM($S448))&lt;&gt;"n/a",COUNTIF($S$2:$S$532,$S448)&gt;1),AND($T448&lt;&gt;"",LOWER(TRIM($T448))&lt;&gt;"n/a",COUNTIF($T$2:$T$532,$T448)&gt;1),AND($W448&lt;&gt;"",LOWER(TRIM($W448))&lt;&gt;"n/a",COUNTIF($W$2:$W$532,$W448)&gt;1)),"Yes","No"),IF($A448="Cybernet",IF(OR(AND($Y448&lt;&gt;"",LOWER(TRIM($Y448))&lt;&gt;"n/a",COUNTIF($Y$2:$Y$532,$Y448)&gt;1),AND($Z448&lt;&gt;"",LOWER(TRIM($Z448))&lt;&gt;"n/a",COUNTIF($Z$2:$Z$532,$Z448)&gt;1)),"Yes","No"),IF(AND($AL448&lt;&gt;"",LOWER(TRIM($AL448))&lt;&gt;"n/a",COUNTIF($AL$2:$AL$532,$AL448)&gt;1),"Yes","No"))))</f>
      </c>
      <c r="F448">
        <f>IF($B448&lt;&gt;"Yes","",
IF($A448="Neuron",
IF(OR(
AND($S448&lt;&gt;"",LOWER(TRIM($S448))&lt;&gt;"n/a",COUNTIFS($B$2:$B$532,"Yes",$A$2:$A$532,"Neuron",$S$2:$S$532,$S448)&gt;1),
AND($T448&lt;&gt;"",LOWER(TRIM($T448))&lt;&gt;"n/a",COUNTIFS($B$2:$B$532,"Yes",$A$2:$A$532,"Neuron",$T$2:$T$532,$T448)&gt;1),
AND($W448&lt;&gt;"",LOWER(TRIM($W448))&lt;&gt;"n/a",COUNTIFS($B$2:$B$532,"Yes",$A$2:$A$532,"Neuron",$W$2:$W$532,$W448)&gt;1)
),"Yes","No"),
IF($A448="Cybernet",
IF(OR(
AND($Y448&lt;&gt;"",LOWER(TRIM($Y448))&lt;&gt;"n/a",COUNTIFS($B$2:$B$532,"Yes",$A$2:$A$532,"Cybernet",$Y$2:$Y$532,$Y448)&gt;1),
AND($Z448&lt;&gt;"",LOWER(TRIM($Z448))&lt;&gt;"n/a",COUNTIFS($B$2:$B$532,"Yes",$A$2:$A$532,"Cybernet",$Z$2:$Z$532,$Z448)&gt;1)
),"Yes","No"),
IF(AND($AL448&lt;&gt;"",LOWER(TRIM($AL448))&lt;&gt;"n/a"),
IF(COUNTIFS($B$2:$B$532,"Yes",$A$2:$A$532,$A448,$AL$2:$AL$532,$AL448)&gt;1,"Yes","No"),
"No")
)
)
)</f>
      </c>
      <c r="BL448">
        <f>IF($T448="","",IF((IF(AND($AW448&lt;&gt;"Yes",$AW448&lt;&gt;"N/A"),"Power Cable, ","")&amp;IF(AND($AX448&lt;&gt;"Yes",$AX448&lt;&gt;"N/A"),"Battery, ","")&amp;IF(AND($BE448&lt;&gt;"Yes",$BE448&lt;&gt;"N/A"),"Firmware Download, ","")&amp;IF(AND(OR($BE448="Yes",$BE448="N/A"),$BF448&lt;&gt;"Yes",$BF448&lt;&gt;"N/A"),"Firmware Install, ","")&amp;IF(AND($BJ448&lt;&gt;"Yes",$BJ448&lt;&gt;"N/A"),"Device ID, ","")&amp;IF(AND($BK448&lt;&gt;"Yes",$BK448&lt;&gt;"N/A"),"Epic Beans Relay, ",""))="","",LEFT(IF(AND($AW448&lt;&gt;"Yes",$AW448&lt;&gt;"N/A"),"Power Cable, ","")&amp;IF(AND($AX448&lt;&gt;"Yes",$AX448&lt;&gt;"N/A"),"Battery, ","")&amp;IF(AND($BE448&lt;&gt;"Yes",$BE448&lt;&gt;"N/A"),"Firmware Download, ","")&amp;IF(AND(OR($BE448="Yes",$BE448="N/A"),$BF448&lt;&gt;"Yes",$BF448&lt;&gt;"N/A"),"Firmware Install, ","")&amp;IF(AND($BJ448&lt;&gt;"Yes",$BJ448&lt;&gt;"N/A"),"Device ID, ","")&amp;IF(AND($BK448&lt;&gt;"Yes",$BK448&lt;&gt;"N/A"),"Epic Beans Relay, ",""),LEN(IF(AND($AW448&lt;&gt;"Yes",$AW448&lt;&gt;"N/A"),"Power Cable, ","")&amp;IF(AND($AX448&lt;&gt;"Yes",$AX448&lt;&gt;"N/A"),"Battery, ","")&amp;IF(AND($BE448&lt;&gt;"Yes",$BE448&lt;&gt;"N/A"),"Firmware Download, ","")&amp;IF(AND(OR($BE448="Yes",$BE448="N/A"),$BF448&lt;&gt;"Yes",$BF448&lt;&gt;"N/A"),"Firmware Install, ","")&amp;IF(AND($BJ448&lt;&gt;"Yes",$BJ448&lt;&gt;"N/A"),"Device ID, ","")&amp;IF(AND($BK448&lt;&gt;"Yes",$BK448&lt;&gt;"N/A"),"Epic Beans Relay, ",""))-2)))</f>
      </c>
      <c r="BM448">
        <f>IF($T448="","",IF($BL448="","Yes","Blocked"))</f>
      </c>
      <c r="BP448">
        <f>IF($BO448="","",IFERROR(VLOOKUP($BO448,'01_Warehouse_Ledger'!$A:$N,4,FALSE),""))</f>
      </c>
      <c r="BQ448">
        <f>IF($BO448="","",IFERROR(VLOOKUP($BO448,'01_Warehouse_Ledger'!$A:$N,5,FALSE),""))</f>
      </c>
      <c r="BR448">
        <f>IF($BO448="","",IFERROR(VLOOKUP($BO448,'01_Warehouse_Ledger'!$A:$N,13,FALSE),""))</f>
      </c>
    </row>
    <row r="449">
      <c r="D449">
        <f>IF($B449&lt;&gt;"Yes","",IF($C449="No","Yes",IF($C449="Yes","No","")))</f>
      </c>
      <c r="E449">
        <f>IF($A449="","",IF($A449="Neuron",IF(OR(AND($S449&lt;&gt;"",LOWER(TRIM($S449))&lt;&gt;"n/a",COUNTIF($S$2:$S$532,$S449)&gt;1),AND($T449&lt;&gt;"",LOWER(TRIM($T449))&lt;&gt;"n/a",COUNTIF($T$2:$T$532,$T449)&gt;1),AND($W449&lt;&gt;"",LOWER(TRIM($W449))&lt;&gt;"n/a",COUNTIF($W$2:$W$532,$W449)&gt;1)),"Yes","No"),IF($A449="Cybernet",IF(OR(AND($Y449&lt;&gt;"",LOWER(TRIM($Y449))&lt;&gt;"n/a",COUNTIF($Y$2:$Y$532,$Y449)&gt;1),AND($Z449&lt;&gt;"",LOWER(TRIM($Z449))&lt;&gt;"n/a",COUNTIF($Z$2:$Z$532,$Z449)&gt;1)),"Yes","No"),IF(AND($AL449&lt;&gt;"",LOWER(TRIM($AL449))&lt;&gt;"n/a",COUNTIF($AL$2:$AL$532,$AL449)&gt;1),"Yes","No"))))</f>
      </c>
      <c r="F449">
        <f>IF($B449&lt;&gt;"Yes","",
IF($A449="Neuron",
IF(OR(
AND($S449&lt;&gt;"",LOWER(TRIM($S449))&lt;&gt;"n/a",COUNTIFS($B$2:$B$532,"Yes",$A$2:$A$532,"Neuron",$S$2:$S$532,$S449)&gt;1),
AND($T449&lt;&gt;"",LOWER(TRIM($T449))&lt;&gt;"n/a",COUNTIFS($B$2:$B$532,"Yes",$A$2:$A$532,"Neuron",$T$2:$T$532,$T449)&gt;1),
AND($W449&lt;&gt;"",LOWER(TRIM($W449))&lt;&gt;"n/a",COUNTIFS($B$2:$B$532,"Yes",$A$2:$A$532,"Neuron",$W$2:$W$532,$W449)&gt;1)
),"Yes","No"),
IF($A449="Cybernet",
IF(OR(
AND($Y449&lt;&gt;"",LOWER(TRIM($Y449))&lt;&gt;"n/a",COUNTIFS($B$2:$B$532,"Yes",$A$2:$A$532,"Cybernet",$Y$2:$Y$532,$Y449)&gt;1),
AND($Z449&lt;&gt;"",LOWER(TRIM($Z449))&lt;&gt;"n/a",COUNTIFS($B$2:$B$532,"Yes",$A$2:$A$532,"Cybernet",$Z$2:$Z$532,$Z449)&gt;1)
),"Yes","No"),
IF(AND($AL449&lt;&gt;"",LOWER(TRIM($AL449))&lt;&gt;"n/a"),
IF(COUNTIFS($B$2:$B$532,"Yes",$A$2:$A$532,$A449,$AL$2:$AL$532,$AL449)&gt;1,"Yes","No"),
"No")
)
)
)</f>
      </c>
      <c r="BL449">
        <f>IF($T449="","",IF((IF(AND($AW449&lt;&gt;"Yes",$AW449&lt;&gt;"N/A"),"Power Cable, ","")&amp;IF(AND($AX449&lt;&gt;"Yes",$AX449&lt;&gt;"N/A"),"Battery, ","")&amp;IF(AND($BE449&lt;&gt;"Yes",$BE449&lt;&gt;"N/A"),"Firmware Download, ","")&amp;IF(AND(OR($BE449="Yes",$BE449="N/A"),$BF449&lt;&gt;"Yes",$BF449&lt;&gt;"N/A"),"Firmware Install, ","")&amp;IF(AND($BJ449&lt;&gt;"Yes",$BJ449&lt;&gt;"N/A"),"Device ID, ","")&amp;IF(AND($BK449&lt;&gt;"Yes",$BK449&lt;&gt;"N/A"),"Epic Beans Relay, ",""))="","",LEFT(IF(AND($AW449&lt;&gt;"Yes",$AW449&lt;&gt;"N/A"),"Power Cable, ","")&amp;IF(AND($AX449&lt;&gt;"Yes",$AX449&lt;&gt;"N/A"),"Battery, ","")&amp;IF(AND($BE449&lt;&gt;"Yes",$BE449&lt;&gt;"N/A"),"Firmware Download, ","")&amp;IF(AND(OR($BE449="Yes",$BE449="N/A"),$BF449&lt;&gt;"Yes",$BF449&lt;&gt;"N/A"),"Firmware Install, ","")&amp;IF(AND($BJ449&lt;&gt;"Yes",$BJ449&lt;&gt;"N/A"),"Device ID, ","")&amp;IF(AND($BK449&lt;&gt;"Yes",$BK449&lt;&gt;"N/A"),"Epic Beans Relay, ",""),LEN(IF(AND($AW449&lt;&gt;"Yes",$AW449&lt;&gt;"N/A"),"Power Cable, ","")&amp;IF(AND($AX449&lt;&gt;"Yes",$AX449&lt;&gt;"N/A"),"Battery, ","")&amp;IF(AND($BE449&lt;&gt;"Yes",$BE449&lt;&gt;"N/A"),"Firmware Download, ","")&amp;IF(AND(OR($BE449="Yes",$BE449="N/A"),$BF449&lt;&gt;"Yes",$BF449&lt;&gt;"N/A"),"Firmware Install, ","")&amp;IF(AND($BJ449&lt;&gt;"Yes",$BJ449&lt;&gt;"N/A"),"Device ID, ","")&amp;IF(AND($BK449&lt;&gt;"Yes",$BK449&lt;&gt;"N/A"),"Epic Beans Relay, ",""))-2)))</f>
      </c>
      <c r="BM449">
        <f>IF($T449="","",IF($BL449="","Yes","Blocked"))</f>
      </c>
      <c r="BP449">
        <f>IF($BO449="","",IFERROR(VLOOKUP($BO449,'01_Warehouse_Ledger'!$A:$N,4,FALSE),""))</f>
      </c>
      <c r="BQ449">
        <f>IF($BO449="","",IFERROR(VLOOKUP($BO449,'01_Warehouse_Ledger'!$A:$N,5,FALSE),""))</f>
      </c>
      <c r="BR449">
        <f>IF($BO449="","",IFERROR(VLOOKUP($BO449,'01_Warehouse_Ledger'!$A:$N,13,FALSE),""))</f>
      </c>
    </row>
    <row r="450">
      <c r="D450">
        <f>IF($B450&lt;&gt;"Yes","",IF($C450="No","Yes",IF($C450="Yes","No","")))</f>
      </c>
      <c r="E450">
        <f>IF($A450="","",IF($A450="Neuron",IF(OR(AND($S450&lt;&gt;"",LOWER(TRIM($S450))&lt;&gt;"n/a",COUNTIF($S$2:$S$532,$S450)&gt;1),AND($T450&lt;&gt;"",LOWER(TRIM($T450))&lt;&gt;"n/a",COUNTIF($T$2:$T$532,$T450)&gt;1),AND($W450&lt;&gt;"",LOWER(TRIM($W450))&lt;&gt;"n/a",COUNTIF($W$2:$W$532,$W450)&gt;1)),"Yes","No"),IF($A450="Cybernet",IF(OR(AND($Y450&lt;&gt;"",LOWER(TRIM($Y450))&lt;&gt;"n/a",COUNTIF($Y$2:$Y$532,$Y450)&gt;1),AND($Z450&lt;&gt;"",LOWER(TRIM($Z450))&lt;&gt;"n/a",COUNTIF($Z$2:$Z$532,$Z450)&gt;1)),"Yes","No"),IF(AND($AL450&lt;&gt;"",LOWER(TRIM($AL450))&lt;&gt;"n/a",COUNTIF($AL$2:$AL$532,$AL450)&gt;1),"Yes","No"))))</f>
      </c>
      <c r="F450">
        <f>IF($B450&lt;&gt;"Yes","",
IF($A450="Neuron",
IF(OR(
AND($S450&lt;&gt;"",LOWER(TRIM($S450))&lt;&gt;"n/a",COUNTIFS($B$2:$B$532,"Yes",$A$2:$A$532,"Neuron",$S$2:$S$532,$S450)&gt;1),
AND($T450&lt;&gt;"",LOWER(TRIM($T450))&lt;&gt;"n/a",COUNTIFS($B$2:$B$532,"Yes",$A$2:$A$532,"Neuron",$T$2:$T$532,$T450)&gt;1),
AND($W450&lt;&gt;"",LOWER(TRIM($W450))&lt;&gt;"n/a",COUNTIFS($B$2:$B$532,"Yes",$A$2:$A$532,"Neuron",$W$2:$W$532,$W450)&gt;1)
),"Yes","No"),
IF($A450="Cybernet",
IF(OR(
AND($Y450&lt;&gt;"",LOWER(TRIM($Y450))&lt;&gt;"n/a",COUNTIFS($B$2:$B$532,"Yes",$A$2:$A$532,"Cybernet",$Y$2:$Y$532,$Y450)&gt;1),
AND($Z450&lt;&gt;"",LOWER(TRIM($Z450))&lt;&gt;"n/a",COUNTIFS($B$2:$B$532,"Yes",$A$2:$A$532,"Cybernet",$Z$2:$Z$532,$Z450)&gt;1)
),"Yes","No"),
IF(AND($AL450&lt;&gt;"",LOWER(TRIM($AL450))&lt;&gt;"n/a"),
IF(COUNTIFS($B$2:$B$532,"Yes",$A$2:$A$532,$A450,$AL$2:$AL$532,$AL450)&gt;1,"Yes","No"),
"No")
)
)
)</f>
      </c>
      <c r="BL450">
        <f>IF($T450="","",IF((IF(AND($AW450&lt;&gt;"Yes",$AW450&lt;&gt;"N/A"),"Power Cable, ","")&amp;IF(AND($AX450&lt;&gt;"Yes",$AX450&lt;&gt;"N/A"),"Battery, ","")&amp;IF(AND($BE450&lt;&gt;"Yes",$BE450&lt;&gt;"N/A"),"Firmware Download, ","")&amp;IF(AND(OR($BE450="Yes",$BE450="N/A"),$BF450&lt;&gt;"Yes",$BF450&lt;&gt;"N/A"),"Firmware Install, ","")&amp;IF(AND($BJ450&lt;&gt;"Yes",$BJ450&lt;&gt;"N/A"),"Device ID, ","")&amp;IF(AND($BK450&lt;&gt;"Yes",$BK450&lt;&gt;"N/A"),"Epic Beans Relay, ",""))="","",LEFT(IF(AND($AW450&lt;&gt;"Yes",$AW450&lt;&gt;"N/A"),"Power Cable, ","")&amp;IF(AND($AX450&lt;&gt;"Yes",$AX450&lt;&gt;"N/A"),"Battery, ","")&amp;IF(AND($BE450&lt;&gt;"Yes",$BE450&lt;&gt;"N/A"),"Firmware Download, ","")&amp;IF(AND(OR($BE450="Yes",$BE450="N/A"),$BF450&lt;&gt;"Yes",$BF450&lt;&gt;"N/A"),"Firmware Install, ","")&amp;IF(AND($BJ450&lt;&gt;"Yes",$BJ450&lt;&gt;"N/A"),"Device ID, ","")&amp;IF(AND($BK450&lt;&gt;"Yes",$BK450&lt;&gt;"N/A"),"Epic Beans Relay, ",""),LEN(IF(AND($AW450&lt;&gt;"Yes",$AW450&lt;&gt;"N/A"),"Power Cable, ","")&amp;IF(AND($AX450&lt;&gt;"Yes",$AX450&lt;&gt;"N/A"),"Battery, ","")&amp;IF(AND($BE450&lt;&gt;"Yes",$BE450&lt;&gt;"N/A"),"Firmware Download, ","")&amp;IF(AND(OR($BE450="Yes",$BE450="N/A"),$BF450&lt;&gt;"Yes",$BF450&lt;&gt;"N/A"),"Firmware Install, ","")&amp;IF(AND($BJ450&lt;&gt;"Yes",$BJ450&lt;&gt;"N/A"),"Device ID, ","")&amp;IF(AND($BK450&lt;&gt;"Yes",$BK450&lt;&gt;"N/A"),"Epic Beans Relay, ",""))-2)))</f>
      </c>
      <c r="BM450">
        <f>IF($T450="","",IF($BL450="","Yes","Blocked"))</f>
      </c>
      <c r="BP450">
        <f>IF($BO450="","",IFERROR(VLOOKUP($BO450,'01_Warehouse_Ledger'!$A:$N,4,FALSE),""))</f>
      </c>
      <c r="BQ450">
        <f>IF($BO450="","",IFERROR(VLOOKUP($BO450,'01_Warehouse_Ledger'!$A:$N,5,FALSE),""))</f>
      </c>
      <c r="BR450">
        <f>IF($BO450="","",IFERROR(VLOOKUP($BO450,'01_Warehouse_Ledger'!$A:$N,13,FALSE),""))</f>
      </c>
    </row>
    <row r="451">
      <c r="D451">
        <f>IF($B451&lt;&gt;"Yes","",IF($C451="No","Yes",IF($C451="Yes","No","")))</f>
      </c>
      <c r="E451">
        <f>IF($A451="","",IF($A451="Neuron",IF(OR(AND($S451&lt;&gt;"",LOWER(TRIM($S451))&lt;&gt;"n/a",COUNTIF($S$2:$S$532,$S451)&gt;1),AND($T451&lt;&gt;"",LOWER(TRIM($T451))&lt;&gt;"n/a",COUNTIF($T$2:$T$532,$T451)&gt;1),AND($W451&lt;&gt;"",LOWER(TRIM($W451))&lt;&gt;"n/a",COUNTIF($W$2:$W$532,$W451)&gt;1)),"Yes","No"),IF($A451="Cybernet",IF(OR(AND($Y451&lt;&gt;"",LOWER(TRIM($Y451))&lt;&gt;"n/a",COUNTIF($Y$2:$Y$532,$Y451)&gt;1),AND($Z451&lt;&gt;"",LOWER(TRIM($Z451))&lt;&gt;"n/a",COUNTIF($Z$2:$Z$532,$Z451)&gt;1)),"Yes","No"),IF(AND($AL451&lt;&gt;"",LOWER(TRIM($AL451))&lt;&gt;"n/a",COUNTIF($AL$2:$AL$532,$AL451)&gt;1),"Yes","No"))))</f>
      </c>
      <c r="F451">
        <f>IF($B451&lt;&gt;"Yes","",
IF($A451="Neuron",
IF(OR(
AND($S451&lt;&gt;"",LOWER(TRIM($S451))&lt;&gt;"n/a",COUNTIFS($B$2:$B$532,"Yes",$A$2:$A$532,"Neuron",$S$2:$S$532,$S451)&gt;1),
AND($T451&lt;&gt;"",LOWER(TRIM($T451))&lt;&gt;"n/a",COUNTIFS($B$2:$B$532,"Yes",$A$2:$A$532,"Neuron",$T$2:$T$532,$T451)&gt;1),
AND($W451&lt;&gt;"",LOWER(TRIM($W451))&lt;&gt;"n/a",COUNTIFS($B$2:$B$532,"Yes",$A$2:$A$532,"Neuron",$W$2:$W$532,$W451)&gt;1)
),"Yes","No"),
IF($A451="Cybernet",
IF(OR(
AND($Y451&lt;&gt;"",LOWER(TRIM($Y451))&lt;&gt;"n/a",COUNTIFS($B$2:$B$532,"Yes",$A$2:$A$532,"Cybernet",$Y$2:$Y$532,$Y451)&gt;1),
AND($Z451&lt;&gt;"",LOWER(TRIM($Z451))&lt;&gt;"n/a",COUNTIFS($B$2:$B$532,"Yes",$A$2:$A$532,"Cybernet",$Z$2:$Z$532,$Z451)&gt;1)
),"Yes","No"),
IF(AND($AL451&lt;&gt;"",LOWER(TRIM($AL451))&lt;&gt;"n/a"),
IF(COUNTIFS($B$2:$B$532,"Yes",$A$2:$A$532,$A451,$AL$2:$AL$532,$AL451)&gt;1,"Yes","No"),
"No")
)
)
)</f>
      </c>
      <c r="BL451">
        <f>IF($T451="","",IF((IF(AND($AW451&lt;&gt;"Yes",$AW451&lt;&gt;"N/A"),"Power Cable, ","")&amp;IF(AND($AX451&lt;&gt;"Yes",$AX451&lt;&gt;"N/A"),"Battery, ","")&amp;IF(AND($BE451&lt;&gt;"Yes",$BE451&lt;&gt;"N/A"),"Firmware Download, ","")&amp;IF(AND(OR($BE451="Yes",$BE451="N/A"),$BF451&lt;&gt;"Yes",$BF451&lt;&gt;"N/A"),"Firmware Install, ","")&amp;IF(AND($BJ451&lt;&gt;"Yes",$BJ451&lt;&gt;"N/A"),"Device ID, ","")&amp;IF(AND($BK451&lt;&gt;"Yes",$BK451&lt;&gt;"N/A"),"Epic Beans Relay, ",""))="","",LEFT(IF(AND($AW451&lt;&gt;"Yes",$AW451&lt;&gt;"N/A"),"Power Cable, ","")&amp;IF(AND($AX451&lt;&gt;"Yes",$AX451&lt;&gt;"N/A"),"Battery, ","")&amp;IF(AND($BE451&lt;&gt;"Yes",$BE451&lt;&gt;"N/A"),"Firmware Download, ","")&amp;IF(AND(OR($BE451="Yes",$BE451="N/A"),$BF451&lt;&gt;"Yes",$BF451&lt;&gt;"N/A"),"Firmware Install, ","")&amp;IF(AND($BJ451&lt;&gt;"Yes",$BJ451&lt;&gt;"N/A"),"Device ID, ","")&amp;IF(AND($BK451&lt;&gt;"Yes",$BK451&lt;&gt;"N/A"),"Epic Beans Relay, ",""),LEN(IF(AND($AW451&lt;&gt;"Yes",$AW451&lt;&gt;"N/A"),"Power Cable, ","")&amp;IF(AND($AX451&lt;&gt;"Yes",$AX451&lt;&gt;"N/A"),"Battery, ","")&amp;IF(AND($BE451&lt;&gt;"Yes",$BE451&lt;&gt;"N/A"),"Firmware Download, ","")&amp;IF(AND(OR($BE451="Yes",$BE451="N/A"),$BF451&lt;&gt;"Yes",$BF451&lt;&gt;"N/A"),"Firmware Install, ","")&amp;IF(AND($BJ451&lt;&gt;"Yes",$BJ451&lt;&gt;"N/A"),"Device ID, ","")&amp;IF(AND($BK451&lt;&gt;"Yes",$BK451&lt;&gt;"N/A"),"Epic Beans Relay, ",""))-2)))</f>
      </c>
      <c r="BM451">
        <f>IF($T451="","",IF($BL451="","Yes","Blocked"))</f>
      </c>
      <c r="BP451">
        <f>IF($BO451="","",IFERROR(VLOOKUP($BO451,'01_Warehouse_Ledger'!$A:$N,4,FALSE),""))</f>
      </c>
      <c r="BQ451">
        <f>IF($BO451="","",IFERROR(VLOOKUP($BO451,'01_Warehouse_Ledger'!$A:$N,5,FALSE),""))</f>
      </c>
      <c r="BR451">
        <f>IF($BO451="","",IFERROR(VLOOKUP($BO451,'01_Warehouse_Ledger'!$A:$N,13,FALSE),""))</f>
      </c>
    </row>
    <row r="452">
      <c r="D452">
        <f>IF($B452&lt;&gt;"Yes","",IF($C452="No","Yes",IF($C452="Yes","No","")))</f>
      </c>
      <c r="E452">
        <f>IF($A452="","",IF($A452="Neuron",IF(OR(AND($S452&lt;&gt;"",LOWER(TRIM($S452))&lt;&gt;"n/a",COUNTIF($S$2:$S$532,$S452)&gt;1),AND($T452&lt;&gt;"",LOWER(TRIM($T452))&lt;&gt;"n/a",COUNTIF($T$2:$T$532,$T452)&gt;1),AND($W452&lt;&gt;"",LOWER(TRIM($W452))&lt;&gt;"n/a",COUNTIF($W$2:$W$532,$W452)&gt;1)),"Yes","No"),IF($A452="Cybernet",IF(OR(AND($Y452&lt;&gt;"",LOWER(TRIM($Y452))&lt;&gt;"n/a",COUNTIF($Y$2:$Y$532,$Y452)&gt;1),AND($Z452&lt;&gt;"",LOWER(TRIM($Z452))&lt;&gt;"n/a",COUNTIF($Z$2:$Z$532,$Z452)&gt;1)),"Yes","No"),IF(AND($AL452&lt;&gt;"",LOWER(TRIM($AL452))&lt;&gt;"n/a",COUNTIF($AL$2:$AL$532,$AL452)&gt;1),"Yes","No"))))</f>
      </c>
      <c r="F452">
        <f>IF($B452&lt;&gt;"Yes","",
IF($A452="Neuron",
IF(OR(
AND($S452&lt;&gt;"",LOWER(TRIM($S452))&lt;&gt;"n/a",COUNTIFS($B$2:$B$532,"Yes",$A$2:$A$532,"Neuron",$S$2:$S$532,$S452)&gt;1),
AND($T452&lt;&gt;"",LOWER(TRIM($T452))&lt;&gt;"n/a",COUNTIFS($B$2:$B$532,"Yes",$A$2:$A$532,"Neuron",$T$2:$T$532,$T452)&gt;1),
AND($W452&lt;&gt;"",LOWER(TRIM($W452))&lt;&gt;"n/a",COUNTIFS($B$2:$B$532,"Yes",$A$2:$A$532,"Neuron",$W$2:$W$532,$W452)&gt;1)
),"Yes","No"),
IF($A452="Cybernet",
IF(OR(
AND($Y452&lt;&gt;"",LOWER(TRIM($Y452))&lt;&gt;"n/a",COUNTIFS($B$2:$B$532,"Yes",$A$2:$A$532,"Cybernet",$Y$2:$Y$532,$Y452)&gt;1),
AND($Z452&lt;&gt;"",LOWER(TRIM($Z452))&lt;&gt;"n/a",COUNTIFS($B$2:$B$532,"Yes",$A$2:$A$532,"Cybernet",$Z$2:$Z$532,$Z452)&gt;1)
),"Yes","No"),
IF(AND($AL452&lt;&gt;"",LOWER(TRIM($AL452))&lt;&gt;"n/a"),
IF(COUNTIFS($B$2:$B$532,"Yes",$A$2:$A$532,$A452,$AL$2:$AL$532,$AL452)&gt;1,"Yes","No"),
"No")
)
)
)</f>
      </c>
      <c r="BL452">
        <f>IF($T452="","",IF((IF(AND($AW452&lt;&gt;"Yes",$AW452&lt;&gt;"N/A"),"Power Cable, ","")&amp;IF(AND($AX452&lt;&gt;"Yes",$AX452&lt;&gt;"N/A"),"Battery, ","")&amp;IF(AND($BE452&lt;&gt;"Yes",$BE452&lt;&gt;"N/A"),"Firmware Download, ","")&amp;IF(AND(OR($BE452="Yes",$BE452="N/A"),$BF452&lt;&gt;"Yes",$BF452&lt;&gt;"N/A"),"Firmware Install, ","")&amp;IF(AND($BJ452&lt;&gt;"Yes",$BJ452&lt;&gt;"N/A"),"Device ID, ","")&amp;IF(AND($BK452&lt;&gt;"Yes",$BK452&lt;&gt;"N/A"),"Epic Beans Relay, ",""))="","",LEFT(IF(AND($AW452&lt;&gt;"Yes",$AW452&lt;&gt;"N/A"),"Power Cable, ","")&amp;IF(AND($AX452&lt;&gt;"Yes",$AX452&lt;&gt;"N/A"),"Battery, ","")&amp;IF(AND($BE452&lt;&gt;"Yes",$BE452&lt;&gt;"N/A"),"Firmware Download, ","")&amp;IF(AND(OR($BE452="Yes",$BE452="N/A"),$BF452&lt;&gt;"Yes",$BF452&lt;&gt;"N/A"),"Firmware Install, ","")&amp;IF(AND($BJ452&lt;&gt;"Yes",$BJ452&lt;&gt;"N/A"),"Device ID, ","")&amp;IF(AND($BK452&lt;&gt;"Yes",$BK452&lt;&gt;"N/A"),"Epic Beans Relay, ",""),LEN(IF(AND($AW452&lt;&gt;"Yes",$AW452&lt;&gt;"N/A"),"Power Cable, ","")&amp;IF(AND($AX452&lt;&gt;"Yes",$AX452&lt;&gt;"N/A"),"Battery, ","")&amp;IF(AND($BE452&lt;&gt;"Yes",$BE452&lt;&gt;"N/A"),"Firmware Download, ","")&amp;IF(AND(OR($BE452="Yes",$BE452="N/A"),$BF452&lt;&gt;"Yes",$BF452&lt;&gt;"N/A"),"Firmware Install, ","")&amp;IF(AND($BJ452&lt;&gt;"Yes",$BJ452&lt;&gt;"N/A"),"Device ID, ","")&amp;IF(AND($BK452&lt;&gt;"Yes",$BK452&lt;&gt;"N/A"),"Epic Beans Relay, ",""))-2)))</f>
      </c>
      <c r="BM452">
        <f>IF($T452="","",IF($BL452="","Yes","Blocked"))</f>
      </c>
      <c r="BP452">
        <f>IF($BO452="","",IFERROR(VLOOKUP($BO452,'01_Warehouse_Ledger'!$A:$N,4,FALSE),""))</f>
      </c>
      <c r="BQ452">
        <f>IF($BO452="","",IFERROR(VLOOKUP($BO452,'01_Warehouse_Ledger'!$A:$N,5,FALSE),""))</f>
      </c>
      <c r="BR452">
        <f>IF($BO452="","",IFERROR(VLOOKUP($BO452,'01_Warehouse_Ledger'!$A:$N,13,FALSE),""))</f>
      </c>
    </row>
    <row r="453">
      <c r="D453">
        <f>IF($B453&lt;&gt;"Yes","",IF($C453="No","Yes",IF($C453="Yes","No","")))</f>
      </c>
      <c r="E453">
        <f>IF($A453="","",IF($A453="Neuron",IF(OR(AND($S453&lt;&gt;"",LOWER(TRIM($S453))&lt;&gt;"n/a",COUNTIF($S$2:$S$532,$S453)&gt;1),AND($T453&lt;&gt;"",LOWER(TRIM($T453))&lt;&gt;"n/a",COUNTIF($T$2:$T$532,$T453)&gt;1),AND($W453&lt;&gt;"",LOWER(TRIM($W453))&lt;&gt;"n/a",COUNTIF($W$2:$W$532,$W453)&gt;1)),"Yes","No"),IF($A453="Cybernet",IF(OR(AND($Y453&lt;&gt;"",LOWER(TRIM($Y453))&lt;&gt;"n/a",COUNTIF($Y$2:$Y$532,$Y453)&gt;1),AND($Z453&lt;&gt;"",LOWER(TRIM($Z453))&lt;&gt;"n/a",COUNTIF($Z$2:$Z$532,$Z453)&gt;1)),"Yes","No"),IF(AND($AL453&lt;&gt;"",LOWER(TRIM($AL453))&lt;&gt;"n/a",COUNTIF($AL$2:$AL$532,$AL453)&gt;1),"Yes","No"))))</f>
      </c>
      <c r="F453">
        <f>IF($B453&lt;&gt;"Yes","",
IF($A453="Neuron",
IF(OR(
AND($S453&lt;&gt;"",LOWER(TRIM($S453))&lt;&gt;"n/a",COUNTIFS($B$2:$B$532,"Yes",$A$2:$A$532,"Neuron",$S$2:$S$532,$S453)&gt;1),
AND($T453&lt;&gt;"",LOWER(TRIM($T453))&lt;&gt;"n/a",COUNTIFS($B$2:$B$532,"Yes",$A$2:$A$532,"Neuron",$T$2:$T$532,$T453)&gt;1),
AND($W453&lt;&gt;"",LOWER(TRIM($W453))&lt;&gt;"n/a",COUNTIFS($B$2:$B$532,"Yes",$A$2:$A$532,"Neuron",$W$2:$W$532,$W453)&gt;1)
),"Yes","No"),
IF($A453="Cybernet",
IF(OR(
AND($Y453&lt;&gt;"",LOWER(TRIM($Y453))&lt;&gt;"n/a",COUNTIFS($B$2:$B$532,"Yes",$A$2:$A$532,"Cybernet",$Y$2:$Y$532,$Y453)&gt;1),
AND($Z453&lt;&gt;"",LOWER(TRIM($Z453))&lt;&gt;"n/a",COUNTIFS($B$2:$B$532,"Yes",$A$2:$A$532,"Cybernet",$Z$2:$Z$532,$Z453)&gt;1)
),"Yes","No"),
IF(AND($AL453&lt;&gt;"",LOWER(TRIM($AL453))&lt;&gt;"n/a"),
IF(COUNTIFS($B$2:$B$532,"Yes",$A$2:$A$532,$A453,$AL$2:$AL$532,$AL453)&gt;1,"Yes","No"),
"No")
)
)
)</f>
      </c>
      <c r="BL453">
        <f>IF($T453="","",IF((IF(AND($AW453&lt;&gt;"Yes",$AW453&lt;&gt;"N/A"),"Power Cable, ","")&amp;IF(AND($AX453&lt;&gt;"Yes",$AX453&lt;&gt;"N/A"),"Battery, ","")&amp;IF(AND($BE453&lt;&gt;"Yes",$BE453&lt;&gt;"N/A"),"Firmware Download, ","")&amp;IF(AND(OR($BE453="Yes",$BE453="N/A"),$BF453&lt;&gt;"Yes",$BF453&lt;&gt;"N/A"),"Firmware Install, ","")&amp;IF(AND($BJ453&lt;&gt;"Yes",$BJ453&lt;&gt;"N/A"),"Device ID, ","")&amp;IF(AND($BK453&lt;&gt;"Yes",$BK453&lt;&gt;"N/A"),"Epic Beans Relay, ",""))="","",LEFT(IF(AND($AW453&lt;&gt;"Yes",$AW453&lt;&gt;"N/A"),"Power Cable, ","")&amp;IF(AND($AX453&lt;&gt;"Yes",$AX453&lt;&gt;"N/A"),"Battery, ","")&amp;IF(AND($BE453&lt;&gt;"Yes",$BE453&lt;&gt;"N/A"),"Firmware Download, ","")&amp;IF(AND(OR($BE453="Yes",$BE453="N/A"),$BF453&lt;&gt;"Yes",$BF453&lt;&gt;"N/A"),"Firmware Install, ","")&amp;IF(AND($BJ453&lt;&gt;"Yes",$BJ453&lt;&gt;"N/A"),"Device ID, ","")&amp;IF(AND($BK453&lt;&gt;"Yes",$BK453&lt;&gt;"N/A"),"Epic Beans Relay, ",""),LEN(IF(AND($AW453&lt;&gt;"Yes",$AW453&lt;&gt;"N/A"),"Power Cable, ","")&amp;IF(AND($AX453&lt;&gt;"Yes",$AX453&lt;&gt;"N/A"),"Battery, ","")&amp;IF(AND($BE453&lt;&gt;"Yes",$BE453&lt;&gt;"N/A"),"Firmware Download, ","")&amp;IF(AND(OR($BE453="Yes",$BE453="N/A"),$BF453&lt;&gt;"Yes",$BF453&lt;&gt;"N/A"),"Firmware Install, ","")&amp;IF(AND($BJ453&lt;&gt;"Yes",$BJ453&lt;&gt;"N/A"),"Device ID, ","")&amp;IF(AND($BK453&lt;&gt;"Yes",$BK453&lt;&gt;"N/A"),"Epic Beans Relay, ",""))-2)))</f>
      </c>
      <c r="BM453">
        <f>IF($T453="","",IF($BL453="","Yes","Blocked"))</f>
      </c>
      <c r="BP453">
        <f>IF($BO453="","",IFERROR(VLOOKUP($BO453,'01_Warehouse_Ledger'!$A:$N,4,FALSE),""))</f>
      </c>
      <c r="BQ453">
        <f>IF($BO453="","",IFERROR(VLOOKUP($BO453,'01_Warehouse_Ledger'!$A:$N,5,FALSE),""))</f>
      </c>
      <c r="BR453">
        <f>IF($BO453="","",IFERROR(VLOOKUP($BO453,'01_Warehouse_Ledger'!$A:$N,13,FALSE),""))</f>
      </c>
    </row>
    <row r="454">
      <c r="D454">
        <f>IF($B454&lt;&gt;"Yes","",IF($C454="No","Yes",IF($C454="Yes","No","")))</f>
      </c>
      <c r="E454">
        <f>IF($A454="","",IF($A454="Neuron",IF(OR(AND($S454&lt;&gt;"",LOWER(TRIM($S454))&lt;&gt;"n/a",COUNTIF($S$2:$S$532,$S454)&gt;1),AND($T454&lt;&gt;"",LOWER(TRIM($T454))&lt;&gt;"n/a",COUNTIF($T$2:$T$532,$T454)&gt;1),AND($W454&lt;&gt;"",LOWER(TRIM($W454))&lt;&gt;"n/a",COUNTIF($W$2:$W$532,$W454)&gt;1)),"Yes","No"),IF($A454="Cybernet",IF(OR(AND($Y454&lt;&gt;"",LOWER(TRIM($Y454))&lt;&gt;"n/a",COUNTIF($Y$2:$Y$532,$Y454)&gt;1),AND($Z454&lt;&gt;"",LOWER(TRIM($Z454))&lt;&gt;"n/a",COUNTIF($Z$2:$Z$532,$Z454)&gt;1)),"Yes","No"),IF(AND($AL454&lt;&gt;"",LOWER(TRIM($AL454))&lt;&gt;"n/a",COUNTIF($AL$2:$AL$532,$AL454)&gt;1),"Yes","No"))))</f>
      </c>
      <c r="F454">
        <f>IF($B454&lt;&gt;"Yes","",
IF($A454="Neuron",
IF(OR(
AND($S454&lt;&gt;"",LOWER(TRIM($S454))&lt;&gt;"n/a",COUNTIFS($B$2:$B$532,"Yes",$A$2:$A$532,"Neuron",$S$2:$S$532,$S454)&gt;1),
AND($T454&lt;&gt;"",LOWER(TRIM($T454))&lt;&gt;"n/a",COUNTIFS($B$2:$B$532,"Yes",$A$2:$A$532,"Neuron",$T$2:$T$532,$T454)&gt;1),
AND($W454&lt;&gt;"",LOWER(TRIM($W454))&lt;&gt;"n/a",COUNTIFS($B$2:$B$532,"Yes",$A$2:$A$532,"Neuron",$W$2:$W$532,$W454)&gt;1)
),"Yes","No"),
IF($A454="Cybernet",
IF(OR(
AND($Y454&lt;&gt;"",LOWER(TRIM($Y454))&lt;&gt;"n/a",COUNTIFS($B$2:$B$532,"Yes",$A$2:$A$532,"Cybernet",$Y$2:$Y$532,$Y454)&gt;1),
AND($Z454&lt;&gt;"",LOWER(TRIM($Z454))&lt;&gt;"n/a",COUNTIFS($B$2:$B$532,"Yes",$A$2:$A$532,"Cybernet",$Z$2:$Z$532,$Z454)&gt;1)
),"Yes","No"),
IF(AND($AL454&lt;&gt;"",LOWER(TRIM($AL454))&lt;&gt;"n/a"),
IF(COUNTIFS($B$2:$B$532,"Yes",$A$2:$A$532,$A454,$AL$2:$AL$532,$AL454)&gt;1,"Yes","No"),
"No")
)
)
)</f>
      </c>
      <c r="BL454">
        <f>IF($T454="","",IF((IF(AND($AW454&lt;&gt;"Yes",$AW454&lt;&gt;"N/A"),"Power Cable, ","")&amp;IF(AND($AX454&lt;&gt;"Yes",$AX454&lt;&gt;"N/A"),"Battery, ","")&amp;IF(AND($BE454&lt;&gt;"Yes",$BE454&lt;&gt;"N/A"),"Firmware Download, ","")&amp;IF(AND(OR($BE454="Yes",$BE454="N/A"),$BF454&lt;&gt;"Yes",$BF454&lt;&gt;"N/A"),"Firmware Install, ","")&amp;IF(AND($BJ454&lt;&gt;"Yes",$BJ454&lt;&gt;"N/A"),"Device ID, ","")&amp;IF(AND($BK454&lt;&gt;"Yes",$BK454&lt;&gt;"N/A"),"Epic Beans Relay, ",""))="","",LEFT(IF(AND($AW454&lt;&gt;"Yes",$AW454&lt;&gt;"N/A"),"Power Cable, ","")&amp;IF(AND($AX454&lt;&gt;"Yes",$AX454&lt;&gt;"N/A"),"Battery, ","")&amp;IF(AND($BE454&lt;&gt;"Yes",$BE454&lt;&gt;"N/A"),"Firmware Download, ","")&amp;IF(AND(OR($BE454="Yes",$BE454="N/A"),$BF454&lt;&gt;"Yes",$BF454&lt;&gt;"N/A"),"Firmware Install, ","")&amp;IF(AND($BJ454&lt;&gt;"Yes",$BJ454&lt;&gt;"N/A"),"Device ID, ","")&amp;IF(AND($BK454&lt;&gt;"Yes",$BK454&lt;&gt;"N/A"),"Epic Beans Relay, ",""),LEN(IF(AND($AW454&lt;&gt;"Yes",$AW454&lt;&gt;"N/A"),"Power Cable, ","")&amp;IF(AND($AX454&lt;&gt;"Yes",$AX454&lt;&gt;"N/A"),"Battery, ","")&amp;IF(AND($BE454&lt;&gt;"Yes",$BE454&lt;&gt;"N/A"),"Firmware Download, ","")&amp;IF(AND(OR($BE454="Yes",$BE454="N/A"),$BF454&lt;&gt;"Yes",$BF454&lt;&gt;"N/A"),"Firmware Install, ","")&amp;IF(AND($BJ454&lt;&gt;"Yes",$BJ454&lt;&gt;"N/A"),"Device ID, ","")&amp;IF(AND($BK454&lt;&gt;"Yes",$BK454&lt;&gt;"N/A"),"Epic Beans Relay, ",""))-2)))</f>
      </c>
      <c r="BM454">
        <f>IF($T454="","",IF($BL454="","Yes","Blocked"))</f>
      </c>
      <c r="BP454">
        <f>IF($BO454="","",IFERROR(VLOOKUP($BO454,'01_Warehouse_Ledger'!$A:$N,4,FALSE),""))</f>
      </c>
      <c r="BQ454">
        <f>IF($BO454="","",IFERROR(VLOOKUP($BO454,'01_Warehouse_Ledger'!$A:$N,5,FALSE),""))</f>
      </c>
      <c r="BR454">
        <f>IF($BO454="","",IFERROR(VLOOKUP($BO454,'01_Warehouse_Ledger'!$A:$N,13,FALSE),""))</f>
      </c>
    </row>
    <row r="455">
      <c r="D455">
        <f>IF($B455&lt;&gt;"Yes","",IF($C455="No","Yes",IF($C455="Yes","No","")))</f>
      </c>
      <c r="E455">
        <f>IF($A455="","",IF($A455="Neuron",IF(OR(AND($S455&lt;&gt;"",LOWER(TRIM($S455))&lt;&gt;"n/a",COUNTIF($S$2:$S$532,$S455)&gt;1),AND($T455&lt;&gt;"",LOWER(TRIM($T455))&lt;&gt;"n/a",COUNTIF($T$2:$T$532,$T455)&gt;1),AND($W455&lt;&gt;"",LOWER(TRIM($W455))&lt;&gt;"n/a",COUNTIF($W$2:$W$532,$W455)&gt;1)),"Yes","No"),IF($A455="Cybernet",IF(OR(AND($Y455&lt;&gt;"",LOWER(TRIM($Y455))&lt;&gt;"n/a",COUNTIF($Y$2:$Y$532,$Y455)&gt;1),AND($Z455&lt;&gt;"",LOWER(TRIM($Z455))&lt;&gt;"n/a",COUNTIF($Z$2:$Z$532,$Z455)&gt;1)),"Yes","No"),IF(AND($AL455&lt;&gt;"",LOWER(TRIM($AL455))&lt;&gt;"n/a",COUNTIF($AL$2:$AL$532,$AL455)&gt;1),"Yes","No"))))</f>
      </c>
      <c r="F455">
        <f>IF($B455&lt;&gt;"Yes","",
IF($A455="Neuron",
IF(OR(
AND($S455&lt;&gt;"",LOWER(TRIM($S455))&lt;&gt;"n/a",COUNTIFS($B$2:$B$532,"Yes",$A$2:$A$532,"Neuron",$S$2:$S$532,$S455)&gt;1),
AND($T455&lt;&gt;"",LOWER(TRIM($T455))&lt;&gt;"n/a",COUNTIFS($B$2:$B$532,"Yes",$A$2:$A$532,"Neuron",$T$2:$T$532,$T455)&gt;1),
AND($W455&lt;&gt;"",LOWER(TRIM($W455))&lt;&gt;"n/a",COUNTIFS($B$2:$B$532,"Yes",$A$2:$A$532,"Neuron",$W$2:$W$532,$W455)&gt;1)
),"Yes","No"),
IF($A455="Cybernet",
IF(OR(
AND($Y455&lt;&gt;"",LOWER(TRIM($Y455))&lt;&gt;"n/a",COUNTIFS($B$2:$B$532,"Yes",$A$2:$A$532,"Cybernet",$Y$2:$Y$532,$Y455)&gt;1),
AND($Z455&lt;&gt;"",LOWER(TRIM($Z455))&lt;&gt;"n/a",COUNTIFS($B$2:$B$532,"Yes",$A$2:$A$532,"Cybernet",$Z$2:$Z$532,$Z455)&gt;1)
),"Yes","No"),
IF(AND($AL455&lt;&gt;"",LOWER(TRIM($AL455))&lt;&gt;"n/a"),
IF(COUNTIFS($B$2:$B$532,"Yes",$A$2:$A$532,$A455,$AL$2:$AL$532,$AL455)&gt;1,"Yes","No"),
"No")
)
)
)</f>
      </c>
      <c r="BL455">
        <f>IF($T455="","",IF((IF(AND($AW455&lt;&gt;"Yes",$AW455&lt;&gt;"N/A"),"Power Cable, ","")&amp;IF(AND($AX455&lt;&gt;"Yes",$AX455&lt;&gt;"N/A"),"Battery, ","")&amp;IF(AND($BE455&lt;&gt;"Yes",$BE455&lt;&gt;"N/A"),"Firmware Download, ","")&amp;IF(AND(OR($BE455="Yes",$BE455="N/A"),$BF455&lt;&gt;"Yes",$BF455&lt;&gt;"N/A"),"Firmware Install, ","")&amp;IF(AND($BJ455&lt;&gt;"Yes",$BJ455&lt;&gt;"N/A"),"Device ID, ","")&amp;IF(AND($BK455&lt;&gt;"Yes",$BK455&lt;&gt;"N/A"),"Epic Beans Relay, ",""))="","",LEFT(IF(AND($AW455&lt;&gt;"Yes",$AW455&lt;&gt;"N/A"),"Power Cable, ","")&amp;IF(AND($AX455&lt;&gt;"Yes",$AX455&lt;&gt;"N/A"),"Battery, ","")&amp;IF(AND($BE455&lt;&gt;"Yes",$BE455&lt;&gt;"N/A"),"Firmware Download, ","")&amp;IF(AND(OR($BE455="Yes",$BE455="N/A"),$BF455&lt;&gt;"Yes",$BF455&lt;&gt;"N/A"),"Firmware Install, ","")&amp;IF(AND($BJ455&lt;&gt;"Yes",$BJ455&lt;&gt;"N/A"),"Device ID, ","")&amp;IF(AND($BK455&lt;&gt;"Yes",$BK455&lt;&gt;"N/A"),"Epic Beans Relay, ",""),LEN(IF(AND($AW455&lt;&gt;"Yes",$AW455&lt;&gt;"N/A"),"Power Cable, ","")&amp;IF(AND($AX455&lt;&gt;"Yes",$AX455&lt;&gt;"N/A"),"Battery, ","")&amp;IF(AND($BE455&lt;&gt;"Yes",$BE455&lt;&gt;"N/A"),"Firmware Download, ","")&amp;IF(AND(OR($BE455="Yes",$BE455="N/A"),$BF455&lt;&gt;"Yes",$BF455&lt;&gt;"N/A"),"Firmware Install, ","")&amp;IF(AND($BJ455&lt;&gt;"Yes",$BJ455&lt;&gt;"N/A"),"Device ID, ","")&amp;IF(AND($BK455&lt;&gt;"Yes",$BK455&lt;&gt;"N/A"),"Epic Beans Relay, ",""))-2)))</f>
      </c>
      <c r="BM455">
        <f>IF($T455="","",IF($BL455="","Yes","Blocked"))</f>
      </c>
      <c r="BP455">
        <f>IF($BO455="","",IFERROR(VLOOKUP($BO455,'01_Warehouse_Ledger'!$A:$N,4,FALSE),""))</f>
      </c>
      <c r="BQ455">
        <f>IF($BO455="","",IFERROR(VLOOKUP($BO455,'01_Warehouse_Ledger'!$A:$N,5,FALSE),""))</f>
      </c>
      <c r="BR455">
        <f>IF($BO455="","",IFERROR(VLOOKUP($BO455,'01_Warehouse_Ledger'!$A:$N,13,FALSE),""))</f>
      </c>
    </row>
    <row r="456">
      <c r="D456">
        <f>IF($B456&lt;&gt;"Yes","",IF($C456="No","Yes",IF($C456="Yes","No","")))</f>
      </c>
      <c r="E456">
        <f>IF($A456="","",IF($A456="Neuron",IF(OR(AND($S456&lt;&gt;"",LOWER(TRIM($S456))&lt;&gt;"n/a",COUNTIF($S$2:$S$532,$S456)&gt;1),AND($T456&lt;&gt;"",LOWER(TRIM($T456))&lt;&gt;"n/a",COUNTIF($T$2:$T$532,$T456)&gt;1),AND($W456&lt;&gt;"",LOWER(TRIM($W456))&lt;&gt;"n/a",COUNTIF($W$2:$W$532,$W456)&gt;1)),"Yes","No"),IF($A456="Cybernet",IF(OR(AND($Y456&lt;&gt;"",LOWER(TRIM($Y456))&lt;&gt;"n/a",COUNTIF($Y$2:$Y$532,$Y456)&gt;1),AND($Z456&lt;&gt;"",LOWER(TRIM($Z456))&lt;&gt;"n/a",COUNTIF($Z$2:$Z$532,$Z456)&gt;1)),"Yes","No"),IF(AND($AL456&lt;&gt;"",LOWER(TRIM($AL456))&lt;&gt;"n/a",COUNTIF($AL$2:$AL$532,$AL456)&gt;1),"Yes","No"))))</f>
      </c>
      <c r="F456">
        <f>IF($B456&lt;&gt;"Yes","",
IF($A456="Neuron",
IF(OR(
AND($S456&lt;&gt;"",LOWER(TRIM($S456))&lt;&gt;"n/a",COUNTIFS($B$2:$B$532,"Yes",$A$2:$A$532,"Neuron",$S$2:$S$532,$S456)&gt;1),
AND($T456&lt;&gt;"",LOWER(TRIM($T456))&lt;&gt;"n/a",COUNTIFS($B$2:$B$532,"Yes",$A$2:$A$532,"Neuron",$T$2:$T$532,$T456)&gt;1),
AND($W456&lt;&gt;"",LOWER(TRIM($W456))&lt;&gt;"n/a",COUNTIFS($B$2:$B$532,"Yes",$A$2:$A$532,"Neuron",$W$2:$W$532,$W456)&gt;1)
),"Yes","No"),
IF($A456="Cybernet",
IF(OR(
AND($Y456&lt;&gt;"",LOWER(TRIM($Y456))&lt;&gt;"n/a",COUNTIFS($B$2:$B$532,"Yes",$A$2:$A$532,"Cybernet",$Y$2:$Y$532,$Y456)&gt;1),
AND($Z456&lt;&gt;"",LOWER(TRIM($Z456))&lt;&gt;"n/a",COUNTIFS($B$2:$B$532,"Yes",$A$2:$A$532,"Cybernet",$Z$2:$Z$532,$Z456)&gt;1)
),"Yes","No"),
IF(AND($AL456&lt;&gt;"",LOWER(TRIM($AL456))&lt;&gt;"n/a"),
IF(COUNTIFS($B$2:$B$532,"Yes",$A$2:$A$532,$A456,$AL$2:$AL$532,$AL456)&gt;1,"Yes","No"),
"No")
)
)
)</f>
      </c>
      <c r="BL456">
        <f>IF($T456="","",IF((IF(AND($AW456&lt;&gt;"Yes",$AW456&lt;&gt;"N/A"),"Power Cable, ","")&amp;IF(AND($AX456&lt;&gt;"Yes",$AX456&lt;&gt;"N/A"),"Battery, ","")&amp;IF(AND($BE456&lt;&gt;"Yes",$BE456&lt;&gt;"N/A"),"Firmware Download, ","")&amp;IF(AND(OR($BE456="Yes",$BE456="N/A"),$BF456&lt;&gt;"Yes",$BF456&lt;&gt;"N/A"),"Firmware Install, ","")&amp;IF(AND($BJ456&lt;&gt;"Yes",$BJ456&lt;&gt;"N/A"),"Device ID, ","")&amp;IF(AND($BK456&lt;&gt;"Yes",$BK456&lt;&gt;"N/A"),"Epic Beans Relay, ",""))="","",LEFT(IF(AND($AW456&lt;&gt;"Yes",$AW456&lt;&gt;"N/A"),"Power Cable, ","")&amp;IF(AND($AX456&lt;&gt;"Yes",$AX456&lt;&gt;"N/A"),"Battery, ","")&amp;IF(AND($BE456&lt;&gt;"Yes",$BE456&lt;&gt;"N/A"),"Firmware Download, ","")&amp;IF(AND(OR($BE456="Yes",$BE456="N/A"),$BF456&lt;&gt;"Yes",$BF456&lt;&gt;"N/A"),"Firmware Install, ","")&amp;IF(AND($BJ456&lt;&gt;"Yes",$BJ456&lt;&gt;"N/A"),"Device ID, ","")&amp;IF(AND($BK456&lt;&gt;"Yes",$BK456&lt;&gt;"N/A"),"Epic Beans Relay, ",""),LEN(IF(AND($AW456&lt;&gt;"Yes",$AW456&lt;&gt;"N/A"),"Power Cable, ","")&amp;IF(AND($AX456&lt;&gt;"Yes",$AX456&lt;&gt;"N/A"),"Battery, ","")&amp;IF(AND($BE456&lt;&gt;"Yes",$BE456&lt;&gt;"N/A"),"Firmware Download, ","")&amp;IF(AND(OR($BE456="Yes",$BE456="N/A"),$BF456&lt;&gt;"Yes",$BF456&lt;&gt;"N/A"),"Firmware Install, ","")&amp;IF(AND($BJ456&lt;&gt;"Yes",$BJ456&lt;&gt;"N/A"),"Device ID, ","")&amp;IF(AND($BK456&lt;&gt;"Yes",$BK456&lt;&gt;"N/A"),"Epic Beans Relay, ",""))-2)))</f>
      </c>
      <c r="BM456">
        <f>IF($T456="","",IF($BL456="","Yes","Blocked"))</f>
      </c>
      <c r="BP456">
        <f>IF($BO456="","",IFERROR(VLOOKUP($BO456,'01_Warehouse_Ledger'!$A:$N,4,FALSE),""))</f>
      </c>
      <c r="BQ456">
        <f>IF($BO456="","",IFERROR(VLOOKUP($BO456,'01_Warehouse_Ledger'!$A:$N,5,FALSE),""))</f>
      </c>
      <c r="BR456">
        <f>IF($BO456="","",IFERROR(VLOOKUP($BO456,'01_Warehouse_Ledger'!$A:$N,13,FALSE),""))</f>
      </c>
    </row>
    <row r="457">
      <c r="D457">
        <f>IF($B457&lt;&gt;"Yes","",IF($C457="No","Yes",IF($C457="Yes","No","")))</f>
      </c>
      <c r="E457">
        <f>IF($A457="","",IF($A457="Neuron",IF(OR(AND($S457&lt;&gt;"",LOWER(TRIM($S457))&lt;&gt;"n/a",COUNTIF($S$2:$S$532,$S457)&gt;1),AND($T457&lt;&gt;"",LOWER(TRIM($T457))&lt;&gt;"n/a",COUNTIF($T$2:$T$532,$T457)&gt;1),AND($W457&lt;&gt;"",LOWER(TRIM($W457))&lt;&gt;"n/a",COUNTIF($W$2:$W$532,$W457)&gt;1)),"Yes","No"),IF($A457="Cybernet",IF(OR(AND($Y457&lt;&gt;"",LOWER(TRIM($Y457))&lt;&gt;"n/a",COUNTIF($Y$2:$Y$532,$Y457)&gt;1),AND($Z457&lt;&gt;"",LOWER(TRIM($Z457))&lt;&gt;"n/a",COUNTIF($Z$2:$Z$532,$Z457)&gt;1)),"Yes","No"),IF(AND($AL457&lt;&gt;"",LOWER(TRIM($AL457))&lt;&gt;"n/a",COUNTIF($AL$2:$AL$532,$AL457)&gt;1),"Yes","No"))))</f>
      </c>
      <c r="F457">
        <f>IF($B457&lt;&gt;"Yes","",
IF($A457="Neuron",
IF(OR(
AND($S457&lt;&gt;"",LOWER(TRIM($S457))&lt;&gt;"n/a",COUNTIFS($B$2:$B$532,"Yes",$A$2:$A$532,"Neuron",$S$2:$S$532,$S457)&gt;1),
AND($T457&lt;&gt;"",LOWER(TRIM($T457))&lt;&gt;"n/a",COUNTIFS($B$2:$B$532,"Yes",$A$2:$A$532,"Neuron",$T$2:$T$532,$T457)&gt;1),
AND($W457&lt;&gt;"",LOWER(TRIM($W457))&lt;&gt;"n/a",COUNTIFS($B$2:$B$532,"Yes",$A$2:$A$532,"Neuron",$W$2:$W$532,$W457)&gt;1)
),"Yes","No"),
IF($A457="Cybernet",
IF(OR(
AND($Y457&lt;&gt;"",LOWER(TRIM($Y457))&lt;&gt;"n/a",COUNTIFS($B$2:$B$532,"Yes",$A$2:$A$532,"Cybernet",$Y$2:$Y$532,$Y457)&gt;1),
AND($Z457&lt;&gt;"",LOWER(TRIM($Z457))&lt;&gt;"n/a",COUNTIFS($B$2:$B$532,"Yes",$A$2:$A$532,"Cybernet",$Z$2:$Z$532,$Z457)&gt;1)
),"Yes","No"),
IF(AND($AL457&lt;&gt;"",LOWER(TRIM($AL457))&lt;&gt;"n/a"),
IF(COUNTIFS($B$2:$B$532,"Yes",$A$2:$A$532,$A457,$AL$2:$AL$532,$AL457)&gt;1,"Yes","No"),
"No")
)
)
)</f>
      </c>
      <c r="BL457">
        <f>IF($T457="","",IF((IF(AND($AW457&lt;&gt;"Yes",$AW457&lt;&gt;"N/A"),"Power Cable, ","")&amp;IF(AND($AX457&lt;&gt;"Yes",$AX457&lt;&gt;"N/A"),"Battery, ","")&amp;IF(AND($BE457&lt;&gt;"Yes",$BE457&lt;&gt;"N/A"),"Firmware Download, ","")&amp;IF(AND(OR($BE457="Yes",$BE457="N/A"),$BF457&lt;&gt;"Yes",$BF457&lt;&gt;"N/A"),"Firmware Install, ","")&amp;IF(AND($BJ457&lt;&gt;"Yes",$BJ457&lt;&gt;"N/A"),"Device ID, ","")&amp;IF(AND($BK457&lt;&gt;"Yes",$BK457&lt;&gt;"N/A"),"Epic Beans Relay, ",""))="","",LEFT(IF(AND($AW457&lt;&gt;"Yes",$AW457&lt;&gt;"N/A"),"Power Cable, ","")&amp;IF(AND($AX457&lt;&gt;"Yes",$AX457&lt;&gt;"N/A"),"Battery, ","")&amp;IF(AND($BE457&lt;&gt;"Yes",$BE457&lt;&gt;"N/A"),"Firmware Download, ","")&amp;IF(AND(OR($BE457="Yes",$BE457="N/A"),$BF457&lt;&gt;"Yes",$BF457&lt;&gt;"N/A"),"Firmware Install, ","")&amp;IF(AND($BJ457&lt;&gt;"Yes",$BJ457&lt;&gt;"N/A"),"Device ID, ","")&amp;IF(AND($BK457&lt;&gt;"Yes",$BK457&lt;&gt;"N/A"),"Epic Beans Relay, ",""),LEN(IF(AND($AW457&lt;&gt;"Yes",$AW457&lt;&gt;"N/A"),"Power Cable, ","")&amp;IF(AND($AX457&lt;&gt;"Yes",$AX457&lt;&gt;"N/A"),"Battery, ","")&amp;IF(AND($BE457&lt;&gt;"Yes",$BE457&lt;&gt;"N/A"),"Firmware Download, ","")&amp;IF(AND(OR($BE457="Yes",$BE457="N/A"),$BF457&lt;&gt;"Yes",$BF457&lt;&gt;"N/A"),"Firmware Install, ","")&amp;IF(AND($BJ457&lt;&gt;"Yes",$BJ457&lt;&gt;"N/A"),"Device ID, ","")&amp;IF(AND($BK457&lt;&gt;"Yes",$BK457&lt;&gt;"N/A"),"Epic Beans Relay, ",""))-2)))</f>
      </c>
      <c r="BM457">
        <f>IF($T457="","",IF($BL457="","Yes","Blocked"))</f>
      </c>
      <c r="BP457">
        <f>IF($BO457="","",IFERROR(VLOOKUP($BO457,'01_Warehouse_Ledger'!$A:$N,4,FALSE),""))</f>
      </c>
      <c r="BQ457">
        <f>IF($BO457="","",IFERROR(VLOOKUP($BO457,'01_Warehouse_Ledger'!$A:$N,5,FALSE),""))</f>
      </c>
      <c r="BR457">
        <f>IF($BO457="","",IFERROR(VLOOKUP($BO457,'01_Warehouse_Ledger'!$A:$N,13,FALSE),""))</f>
      </c>
    </row>
    <row r="458">
      <c r="D458">
        <f>IF($B458&lt;&gt;"Yes","",IF($C458="No","Yes",IF($C458="Yes","No","")))</f>
      </c>
      <c r="E458">
        <f>IF($A458="","",IF($A458="Neuron",IF(OR(AND($S458&lt;&gt;"",LOWER(TRIM($S458))&lt;&gt;"n/a",COUNTIF($S$2:$S$532,$S458)&gt;1),AND($T458&lt;&gt;"",LOWER(TRIM($T458))&lt;&gt;"n/a",COUNTIF($T$2:$T$532,$T458)&gt;1),AND($W458&lt;&gt;"",LOWER(TRIM($W458))&lt;&gt;"n/a",COUNTIF($W$2:$W$532,$W458)&gt;1)),"Yes","No"),IF($A458="Cybernet",IF(OR(AND($Y458&lt;&gt;"",LOWER(TRIM($Y458))&lt;&gt;"n/a",COUNTIF($Y$2:$Y$532,$Y458)&gt;1),AND($Z458&lt;&gt;"",LOWER(TRIM($Z458))&lt;&gt;"n/a",COUNTIF($Z$2:$Z$532,$Z458)&gt;1)),"Yes","No"),IF(AND($AL458&lt;&gt;"",LOWER(TRIM($AL458))&lt;&gt;"n/a",COUNTIF($AL$2:$AL$532,$AL458)&gt;1),"Yes","No"))))</f>
      </c>
      <c r="F458">
        <f>IF($B458&lt;&gt;"Yes","",
IF($A458="Neuron",
IF(OR(
AND($S458&lt;&gt;"",LOWER(TRIM($S458))&lt;&gt;"n/a",COUNTIFS($B$2:$B$532,"Yes",$A$2:$A$532,"Neuron",$S$2:$S$532,$S458)&gt;1),
AND($T458&lt;&gt;"",LOWER(TRIM($T458))&lt;&gt;"n/a",COUNTIFS($B$2:$B$532,"Yes",$A$2:$A$532,"Neuron",$T$2:$T$532,$T458)&gt;1),
AND($W458&lt;&gt;"",LOWER(TRIM($W458))&lt;&gt;"n/a",COUNTIFS($B$2:$B$532,"Yes",$A$2:$A$532,"Neuron",$W$2:$W$532,$W458)&gt;1)
),"Yes","No"),
IF($A458="Cybernet",
IF(OR(
AND($Y458&lt;&gt;"",LOWER(TRIM($Y458))&lt;&gt;"n/a",COUNTIFS($B$2:$B$532,"Yes",$A$2:$A$532,"Cybernet",$Y$2:$Y$532,$Y458)&gt;1),
AND($Z458&lt;&gt;"",LOWER(TRIM($Z458))&lt;&gt;"n/a",COUNTIFS($B$2:$B$532,"Yes",$A$2:$A$532,"Cybernet",$Z$2:$Z$532,$Z458)&gt;1)
),"Yes","No"),
IF(AND($AL458&lt;&gt;"",LOWER(TRIM($AL458))&lt;&gt;"n/a"),
IF(COUNTIFS($B$2:$B$532,"Yes",$A$2:$A$532,$A458,$AL$2:$AL$532,$AL458)&gt;1,"Yes","No"),
"No")
)
)
)</f>
      </c>
      <c r="BL458">
        <f>IF($T458="","",IF((IF(AND($AW458&lt;&gt;"Yes",$AW458&lt;&gt;"N/A"),"Power Cable, ","")&amp;IF(AND($AX458&lt;&gt;"Yes",$AX458&lt;&gt;"N/A"),"Battery, ","")&amp;IF(AND($BE458&lt;&gt;"Yes",$BE458&lt;&gt;"N/A"),"Firmware Download, ","")&amp;IF(AND(OR($BE458="Yes",$BE458="N/A"),$BF458&lt;&gt;"Yes",$BF458&lt;&gt;"N/A"),"Firmware Install, ","")&amp;IF(AND($BJ458&lt;&gt;"Yes",$BJ458&lt;&gt;"N/A"),"Device ID, ","")&amp;IF(AND($BK458&lt;&gt;"Yes",$BK458&lt;&gt;"N/A"),"Epic Beans Relay, ",""))="","",LEFT(IF(AND($AW458&lt;&gt;"Yes",$AW458&lt;&gt;"N/A"),"Power Cable, ","")&amp;IF(AND($AX458&lt;&gt;"Yes",$AX458&lt;&gt;"N/A"),"Battery, ","")&amp;IF(AND($BE458&lt;&gt;"Yes",$BE458&lt;&gt;"N/A"),"Firmware Download, ","")&amp;IF(AND(OR($BE458="Yes",$BE458="N/A"),$BF458&lt;&gt;"Yes",$BF458&lt;&gt;"N/A"),"Firmware Install, ","")&amp;IF(AND($BJ458&lt;&gt;"Yes",$BJ458&lt;&gt;"N/A"),"Device ID, ","")&amp;IF(AND($BK458&lt;&gt;"Yes",$BK458&lt;&gt;"N/A"),"Epic Beans Relay, ",""),LEN(IF(AND($AW458&lt;&gt;"Yes",$AW458&lt;&gt;"N/A"),"Power Cable, ","")&amp;IF(AND($AX458&lt;&gt;"Yes",$AX458&lt;&gt;"N/A"),"Battery, ","")&amp;IF(AND($BE458&lt;&gt;"Yes",$BE458&lt;&gt;"N/A"),"Firmware Download, ","")&amp;IF(AND(OR($BE458="Yes",$BE458="N/A"),$BF458&lt;&gt;"Yes",$BF458&lt;&gt;"N/A"),"Firmware Install, ","")&amp;IF(AND($BJ458&lt;&gt;"Yes",$BJ458&lt;&gt;"N/A"),"Device ID, ","")&amp;IF(AND($BK458&lt;&gt;"Yes",$BK458&lt;&gt;"N/A"),"Epic Beans Relay, ",""))-2)))</f>
      </c>
      <c r="BM458">
        <f>IF($T458="","",IF($BL458="","Yes","Blocked"))</f>
      </c>
      <c r="BP458">
        <f>IF($BO458="","",IFERROR(VLOOKUP($BO458,'01_Warehouse_Ledger'!$A:$N,4,FALSE),""))</f>
      </c>
      <c r="BQ458">
        <f>IF($BO458="","",IFERROR(VLOOKUP($BO458,'01_Warehouse_Ledger'!$A:$N,5,FALSE),""))</f>
      </c>
      <c r="BR458">
        <f>IF($BO458="","",IFERROR(VLOOKUP($BO458,'01_Warehouse_Ledger'!$A:$N,13,FALSE),""))</f>
      </c>
    </row>
    <row r="459">
      <c r="D459">
        <f>IF($B459&lt;&gt;"Yes","",IF($C459="No","Yes",IF($C459="Yes","No","")))</f>
      </c>
      <c r="E459">
        <f>IF($A459="","",IF($A459="Neuron",IF(OR(AND($S459&lt;&gt;"",LOWER(TRIM($S459))&lt;&gt;"n/a",COUNTIF($S$2:$S$532,$S459)&gt;1),AND($T459&lt;&gt;"",LOWER(TRIM($T459))&lt;&gt;"n/a",COUNTIF($T$2:$T$532,$T459)&gt;1),AND($W459&lt;&gt;"",LOWER(TRIM($W459))&lt;&gt;"n/a",COUNTIF($W$2:$W$532,$W459)&gt;1)),"Yes","No"),IF($A459="Cybernet",IF(OR(AND($Y459&lt;&gt;"",LOWER(TRIM($Y459))&lt;&gt;"n/a",COUNTIF($Y$2:$Y$532,$Y459)&gt;1),AND($Z459&lt;&gt;"",LOWER(TRIM($Z459))&lt;&gt;"n/a",COUNTIF($Z$2:$Z$532,$Z459)&gt;1)),"Yes","No"),IF(AND($AL459&lt;&gt;"",LOWER(TRIM($AL459))&lt;&gt;"n/a",COUNTIF($AL$2:$AL$532,$AL459)&gt;1),"Yes","No"))))</f>
      </c>
      <c r="F459">
        <f>IF($B459&lt;&gt;"Yes","",
IF($A459="Neuron",
IF(OR(
AND($S459&lt;&gt;"",LOWER(TRIM($S459))&lt;&gt;"n/a",COUNTIFS($B$2:$B$532,"Yes",$A$2:$A$532,"Neuron",$S$2:$S$532,$S459)&gt;1),
AND($T459&lt;&gt;"",LOWER(TRIM($T459))&lt;&gt;"n/a",COUNTIFS($B$2:$B$532,"Yes",$A$2:$A$532,"Neuron",$T$2:$T$532,$T459)&gt;1),
AND($W459&lt;&gt;"",LOWER(TRIM($W459))&lt;&gt;"n/a",COUNTIFS($B$2:$B$532,"Yes",$A$2:$A$532,"Neuron",$W$2:$W$532,$W459)&gt;1)
),"Yes","No"),
IF($A459="Cybernet",
IF(OR(
AND($Y459&lt;&gt;"",LOWER(TRIM($Y459))&lt;&gt;"n/a",COUNTIFS($B$2:$B$532,"Yes",$A$2:$A$532,"Cybernet",$Y$2:$Y$532,$Y459)&gt;1),
AND($Z459&lt;&gt;"",LOWER(TRIM($Z459))&lt;&gt;"n/a",COUNTIFS($B$2:$B$532,"Yes",$A$2:$A$532,"Cybernet",$Z$2:$Z$532,$Z459)&gt;1)
),"Yes","No"),
IF(AND($AL459&lt;&gt;"",LOWER(TRIM($AL459))&lt;&gt;"n/a"),
IF(COUNTIFS($B$2:$B$532,"Yes",$A$2:$A$532,$A459,$AL$2:$AL$532,$AL459)&gt;1,"Yes","No"),
"No")
)
)
)</f>
      </c>
      <c r="BL459">
        <f>IF($T459="","",IF((IF(AND($AW459&lt;&gt;"Yes",$AW459&lt;&gt;"N/A"),"Power Cable, ","")&amp;IF(AND($AX459&lt;&gt;"Yes",$AX459&lt;&gt;"N/A"),"Battery, ","")&amp;IF(AND($BE459&lt;&gt;"Yes",$BE459&lt;&gt;"N/A"),"Firmware Download, ","")&amp;IF(AND(OR($BE459="Yes",$BE459="N/A"),$BF459&lt;&gt;"Yes",$BF459&lt;&gt;"N/A"),"Firmware Install, ","")&amp;IF(AND($BJ459&lt;&gt;"Yes",$BJ459&lt;&gt;"N/A"),"Device ID, ","")&amp;IF(AND($BK459&lt;&gt;"Yes",$BK459&lt;&gt;"N/A"),"Epic Beans Relay, ",""))="","",LEFT(IF(AND($AW459&lt;&gt;"Yes",$AW459&lt;&gt;"N/A"),"Power Cable, ","")&amp;IF(AND($AX459&lt;&gt;"Yes",$AX459&lt;&gt;"N/A"),"Battery, ","")&amp;IF(AND($BE459&lt;&gt;"Yes",$BE459&lt;&gt;"N/A"),"Firmware Download, ","")&amp;IF(AND(OR($BE459="Yes",$BE459="N/A"),$BF459&lt;&gt;"Yes",$BF459&lt;&gt;"N/A"),"Firmware Install, ","")&amp;IF(AND($BJ459&lt;&gt;"Yes",$BJ459&lt;&gt;"N/A"),"Device ID, ","")&amp;IF(AND($BK459&lt;&gt;"Yes",$BK459&lt;&gt;"N/A"),"Epic Beans Relay, ",""),LEN(IF(AND($AW459&lt;&gt;"Yes",$AW459&lt;&gt;"N/A"),"Power Cable, ","")&amp;IF(AND($AX459&lt;&gt;"Yes",$AX459&lt;&gt;"N/A"),"Battery, ","")&amp;IF(AND($BE459&lt;&gt;"Yes",$BE459&lt;&gt;"N/A"),"Firmware Download, ","")&amp;IF(AND(OR($BE459="Yes",$BE459="N/A"),$BF459&lt;&gt;"Yes",$BF459&lt;&gt;"N/A"),"Firmware Install, ","")&amp;IF(AND($BJ459&lt;&gt;"Yes",$BJ459&lt;&gt;"N/A"),"Device ID, ","")&amp;IF(AND($BK459&lt;&gt;"Yes",$BK459&lt;&gt;"N/A"),"Epic Beans Relay, ",""))-2)))</f>
      </c>
      <c r="BM459">
        <f>IF($T459="","",IF($BL459="","Yes","Blocked"))</f>
      </c>
      <c r="BP459">
        <f>IF($BO459="","",IFERROR(VLOOKUP($BO459,'01_Warehouse_Ledger'!$A:$N,4,FALSE),""))</f>
      </c>
      <c r="BQ459">
        <f>IF($BO459="","",IFERROR(VLOOKUP($BO459,'01_Warehouse_Ledger'!$A:$N,5,FALSE),""))</f>
      </c>
      <c r="BR459">
        <f>IF($BO459="","",IFERROR(VLOOKUP($BO459,'01_Warehouse_Ledger'!$A:$N,13,FALSE),""))</f>
      </c>
    </row>
    <row r="460">
      <c r="D460">
        <f>IF($B460&lt;&gt;"Yes","",IF($C460="No","Yes",IF($C460="Yes","No","")))</f>
      </c>
      <c r="E460">
        <f>IF($A460="","",IF($A460="Neuron",IF(OR(AND($S460&lt;&gt;"",LOWER(TRIM($S460))&lt;&gt;"n/a",COUNTIF($S$2:$S$532,$S460)&gt;1),AND($T460&lt;&gt;"",LOWER(TRIM($T460))&lt;&gt;"n/a",COUNTIF($T$2:$T$532,$T460)&gt;1),AND($W460&lt;&gt;"",LOWER(TRIM($W460))&lt;&gt;"n/a",COUNTIF($W$2:$W$532,$W460)&gt;1)),"Yes","No"),IF($A460="Cybernet",IF(OR(AND($Y460&lt;&gt;"",LOWER(TRIM($Y460))&lt;&gt;"n/a",COUNTIF($Y$2:$Y$532,$Y460)&gt;1),AND($Z460&lt;&gt;"",LOWER(TRIM($Z460))&lt;&gt;"n/a",COUNTIF($Z$2:$Z$532,$Z460)&gt;1)),"Yes","No"),IF(AND($AL460&lt;&gt;"",LOWER(TRIM($AL460))&lt;&gt;"n/a",COUNTIF($AL$2:$AL$532,$AL460)&gt;1),"Yes","No"))))</f>
      </c>
      <c r="F460">
        <f>IF($B460&lt;&gt;"Yes","",
IF($A460="Neuron",
IF(OR(
AND($S460&lt;&gt;"",LOWER(TRIM($S460))&lt;&gt;"n/a",COUNTIFS($B$2:$B$532,"Yes",$A$2:$A$532,"Neuron",$S$2:$S$532,$S460)&gt;1),
AND($T460&lt;&gt;"",LOWER(TRIM($T460))&lt;&gt;"n/a",COUNTIFS($B$2:$B$532,"Yes",$A$2:$A$532,"Neuron",$T$2:$T$532,$T460)&gt;1),
AND($W460&lt;&gt;"",LOWER(TRIM($W460))&lt;&gt;"n/a",COUNTIFS($B$2:$B$532,"Yes",$A$2:$A$532,"Neuron",$W$2:$W$532,$W460)&gt;1)
),"Yes","No"),
IF($A460="Cybernet",
IF(OR(
AND($Y460&lt;&gt;"",LOWER(TRIM($Y460))&lt;&gt;"n/a",COUNTIFS($B$2:$B$532,"Yes",$A$2:$A$532,"Cybernet",$Y$2:$Y$532,$Y460)&gt;1),
AND($Z460&lt;&gt;"",LOWER(TRIM($Z460))&lt;&gt;"n/a",COUNTIFS($B$2:$B$532,"Yes",$A$2:$A$532,"Cybernet",$Z$2:$Z$532,$Z460)&gt;1)
),"Yes","No"),
IF(AND($AL460&lt;&gt;"",LOWER(TRIM($AL460))&lt;&gt;"n/a"),
IF(COUNTIFS($B$2:$B$532,"Yes",$A$2:$A$532,$A460,$AL$2:$AL$532,$AL460)&gt;1,"Yes","No"),
"No")
)
)
)</f>
      </c>
      <c r="BL460">
        <f>IF($T460="","",IF((IF(AND($AW460&lt;&gt;"Yes",$AW460&lt;&gt;"N/A"),"Power Cable, ","")&amp;IF(AND($AX460&lt;&gt;"Yes",$AX460&lt;&gt;"N/A"),"Battery, ","")&amp;IF(AND($BE460&lt;&gt;"Yes",$BE460&lt;&gt;"N/A"),"Firmware Download, ","")&amp;IF(AND(OR($BE460="Yes",$BE460="N/A"),$BF460&lt;&gt;"Yes",$BF460&lt;&gt;"N/A"),"Firmware Install, ","")&amp;IF(AND($BJ460&lt;&gt;"Yes",$BJ460&lt;&gt;"N/A"),"Device ID, ","")&amp;IF(AND($BK460&lt;&gt;"Yes",$BK460&lt;&gt;"N/A"),"Epic Beans Relay, ",""))="","",LEFT(IF(AND($AW460&lt;&gt;"Yes",$AW460&lt;&gt;"N/A"),"Power Cable, ","")&amp;IF(AND($AX460&lt;&gt;"Yes",$AX460&lt;&gt;"N/A"),"Battery, ","")&amp;IF(AND($BE460&lt;&gt;"Yes",$BE460&lt;&gt;"N/A"),"Firmware Download, ","")&amp;IF(AND(OR($BE460="Yes",$BE460="N/A"),$BF460&lt;&gt;"Yes",$BF460&lt;&gt;"N/A"),"Firmware Install, ","")&amp;IF(AND($BJ460&lt;&gt;"Yes",$BJ460&lt;&gt;"N/A"),"Device ID, ","")&amp;IF(AND($BK460&lt;&gt;"Yes",$BK460&lt;&gt;"N/A"),"Epic Beans Relay, ",""),LEN(IF(AND($AW460&lt;&gt;"Yes",$AW460&lt;&gt;"N/A"),"Power Cable, ","")&amp;IF(AND($AX460&lt;&gt;"Yes",$AX460&lt;&gt;"N/A"),"Battery, ","")&amp;IF(AND($BE460&lt;&gt;"Yes",$BE460&lt;&gt;"N/A"),"Firmware Download, ","")&amp;IF(AND(OR($BE460="Yes",$BE460="N/A"),$BF460&lt;&gt;"Yes",$BF460&lt;&gt;"N/A"),"Firmware Install, ","")&amp;IF(AND($BJ460&lt;&gt;"Yes",$BJ460&lt;&gt;"N/A"),"Device ID, ","")&amp;IF(AND($BK460&lt;&gt;"Yes",$BK460&lt;&gt;"N/A"),"Epic Beans Relay, ",""))-2)))</f>
      </c>
      <c r="BM460">
        <f>IF($T460="","",IF($BL460="","Yes","Blocked"))</f>
      </c>
      <c r="BP460">
        <f>IF($BO460="","",IFERROR(VLOOKUP($BO460,'01_Warehouse_Ledger'!$A:$N,4,FALSE),""))</f>
      </c>
      <c r="BQ460">
        <f>IF($BO460="","",IFERROR(VLOOKUP($BO460,'01_Warehouse_Ledger'!$A:$N,5,FALSE),""))</f>
      </c>
      <c r="BR460">
        <f>IF($BO460="","",IFERROR(VLOOKUP($BO460,'01_Warehouse_Ledger'!$A:$N,13,FALSE),""))</f>
      </c>
    </row>
    <row r="461">
      <c r="D461">
        <f>IF($B461&lt;&gt;"Yes","",IF($C461="No","Yes",IF($C461="Yes","No","")))</f>
      </c>
      <c r="E461">
        <f>IF($A461="","",IF($A461="Neuron",IF(OR(AND($S461&lt;&gt;"",LOWER(TRIM($S461))&lt;&gt;"n/a",COUNTIF($S$2:$S$532,$S461)&gt;1),AND($T461&lt;&gt;"",LOWER(TRIM($T461))&lt;&gt;"n/a",COUNTIF($T$2:$T$532,$T461)&gt;1),AND($W461&lt;&gt;"",LOWER(TRIM($W461))&lt;&gt;"n/a",COUNTIF($W$2:$W$532,$W461)&gt;1)),"Yes","No"),IF($A461="Cybernet",IF(OR(AND($Y461&lt;&gt;"",LOWER(TRIM($Y461))&lt;&gt;"n/a",COUNTIF($Y$2:$Y$532,$Y461)&gt;1),AND($Z461&lt;&gt;"",LOWER(TRIM($Z461))&lt;&gt;"n/a",COUNTIF($Z$2:$Z$532,$Z461)&gt;1)),"Yes","No"),IF(AND($AL461&lt;&gt;"",LOWER(TRIM($AL461))&lt;&gt;"n/a",COUNTIF($AL$2:$AL$532,$AL461)&gt;1),"Yes","No"))))</f>
      </c>
      <c r="F461">
        <f>IF($B461&lt;&gt;"Yes","",
IF($A461="Neuron",
IF(OR(
AND($S461&lt;&gt;"",LOWER(TRIM($S461))&lt;&gt;"n/a",COUNTIFS($B$2:$B$532,"Yes",$A$2:$A$532,"Neuron",$S$2:$S$532,$S461)&gt;1),
AND($T461&lt;&gt;"",LOWER(TRIM($T461))&lt;&gt;"n/a",COUNTIFS($B$2:$B$532,"Yes",$A$2:$A$532,"Neuron",$T$2:$T$532,$T461)&gt;1),
AND($W461&lt;&gt;"",LOWER(TRIM($W461))&lt;&gt;"n/a",COUNTIFS($B$2:$B$532,"Yes",$A$2:$A$532,"Neuron",$W$2:$W$532,$W461)&gt;1)
),"Yes","No"),
IF($A461="Cybernet",
IF(OR(
AND($Y461&lt;&gt;"",LOWER(TRIM($Y461))&lt;&gt;"n/a",COUNTIFS($B$2:$B$532,"Yes",$A$2:$A$532,"Cybernet",$Y$2:$Y$532,$Y461)&gt;1),
AND($Z461&lt;&gt;"",LOWER(TRIM($Z461))&lt;&gt;"n/a",COUNTIFS($B$2:$B$532,"Yes",$A$2:$A$532,"Cybernet",$Z$2:$Z$532,$Z461)&gt;1)
),"Yes","No"),
IF(AND($AL461&lt;&gt;"",LOWER(TRIM($AL461))&lt;&gt;"n/a"),
IF(COUNTIFS($B$2:$B$532,"Yes",$A$2:$A$532,$A461,$AL$2:$AL$532,$AL461)&gt;1,"Yes","No"),
"No")
)
)
)</f>
      </c>
      <c r="BL461">
        <f>IF($T461="","",IF((IF(AND($AW461&lt;&gt;"Yes",$AW461&lt;&gt;"N/A"),"Power Cable, ","")&amp;IF(AND($AX461&lt;&gt;"Yes",$AX461&lt;&gt;"N/A"),"Battery, ","")&amp;IF(AND($BE461&lt;&gt;"Yes",$BE461&lt;&gt;"N/A"),"Firmware Download, ","")&amp;IF(AND(OR($BE461="Yes",$BE461="N/A"),$BF461&lt;&gt;"Yes",$BF461&lt;&gt;"N/A"),"Firmware Install, ","")&amp;IF(AND($BJ461&lt;&gt;"Yes",$BJ461&lt;&gt;"N/A"),"Device ID, ","")&amp;IF(AND($BK461&lt;&gt;"Yes",$BK461&lt;&gt;"N/A"),"Epic Beans Relay, ",""))="","",LEFT(IF(AND($AW461&lt;&gt;"Yes",$AW461&lt;&gt;"N/A"),"Power Cable, ","")&amp;IF(AND($AX461&lt;&gt;"Yes",$AX461&lt;&gt;"N/A"),"Battery, ","")&amp;IF(AND($BE461&lt;&gt;"Yes",$BE461&lt;&gt;"N/A"),"Firmware Download, ","")&amp;IF(AND(OR($BE461="Yes",$BE461="N/A"),$BF461&lt;&gt;"Yes",$BF461&lt;&gt;"N/A"),"Firmware Install, ","")&amp;IF(AND($BJ461&lt;&gt;"Yes",$BJ461&lt;&gt;"N/A"),"Device ID, ","")&amp;IF(AND($BK461&lt;&gt;"Yes",$BK461&lt;&gt;"N/A"),"Epic Beans Relay, ",""),LEN(IF(AND($AW461&lt;&gt;"Yes",$AW461&lt;&gt;"N/A"),"Power Cable, ","")&amp;IF(AND($AX461&lt;&gt;"Yes",$AX461&lt;&gt;"N/A"),"Battery, ","")&amp;IF(AND($BE461&lt;&gt;"Yes",$BE461&lt;&gt;"N/A"),"Firmware Download, ","")&amp;IF(AND(OR($BE461="Yes",$BE461="N/A"),$BF461&lt;&gt;"Yes",$BF461&lt;&gt;"N/A"),"Firmware Install, ","")&amp;IF(AND($BJ461&lt;&gt;"Yes",$BJ461&lt;&gt;"N/A"),"Device ID, ","")&amp;IF(AND($BK461&lt;&gt;"Yes",$BK461&lt;&gt;"N/A"),"Epic Beans Relay, ",""))-2)))</f>
      </c>
      <c r="BM461">
        <f>IF($T461="","",IF($BL461="","Yes","Blocked"))</f>
      </c>
      <c r="BP461">
        <f>IF($BO461="","",IFERROR(VLOOKUP($BO461,'01_Warehouse_Ledger'!$A:$N,4,FALSE),""))</f>
      </c>
      <c r="BQ461">
        <f>IF($BO461="","",IFERROR(VLOOKUP($BO461,'01_Warehouse_Ledger'!$A:$N,5,FALSE),""))</f>
      </c>
      <c r="BR461">
        <f>IF($BO461="","",IFERROR(VLOOKUP($BO461,'01_Warehouse_Ledger'!$A:$N,13,FALSE),""))</f>
      </c>
    </row>
    <row r="462">
      <c r="D462">
        <f>IF($B462&lt;&gt;"Yes","",IF($C462="No","Yes",IF($C462="Yes","No","")))</f>
      </c>
      <c r="E462">
        <f>IF($A462="","",IF($A462="Neuron",IF(OR(AND($S462&lt;&gt;"",LOWER(TRIM($S462))&lt;&gt;"n/a",COUNTIF($S$2:$S$532,$S462)&gt;1),AND($T462&lt;&gt;"",LOWER(TRIM($T462))&lt;&gt;"n/a",COUNTIF($T$2:$T$532,$T462)&gt;1),AND($W462&lt;&gt;"",LOWER(TRIM($W462))&lt;&gt;"n/a",COUNTIF($W$2:$W$532,$W462)&gt;1)),"Yes","No"),IF($A462="Cybernet",IF(OR(AND($Y462&lt;&gt;"",LOWER(TRIM($Y462))&lt;&gt;"n/a",COUNTIF($Y$2:$Y$532,$Y462)&gt;1),AND($Z462&lt;&gt;"",LOWER(TRIM($Z462))&lt;&gt;"n/a",COUNTIF($Z$2:$Z$532,$Z462)&gt;1)),"Yes","No"),IF(AND($AL462&lt;&gt;"",LOWER(TRIM($AL462))&lt;&gt;"n/a",COUNTIF($AL$2:$AL$532,$AL462)&gt;1),"Yes","No"))))</f>
      </c>
      <c r="F462">
        <f>IF($B462&lt;&gt;"Yes","",
IF($A462="Neuron",
IF(OR(
AND($S462&lt;&gt;"",LOWER(TRIM($S462))&lt;&gt;"n/a",COUNTIFS($B$2:$B$532,"Yes",$A$2:$A$532,"Neuron",$S$2:$S$532,$S462)&gt;1),
AND($T462&lt;&gt;"",LOWER(TRIM($T462))&lt;&gt;"n/a",COUNTIFS($B$2:$B$532,"Yes",$A$2:$A$532,"Neuron",$T$2:$T$532,$T462)&gt;1),
AND($W462&lt;&gt;"",LOWER(TRIM($W462))&lt;&gt;"n/a",COUNTIFS($B$2:$B$532,"Yes",$A$2:$A$532,"Neuron",$W$2:$W$532,$W462)&gt;1)
),"Yes","No"),
IF($A462="Cybernet",
IF(OR(
AND($Y462&lt;&gt;"",LOWER(TRIM($Y462))&lt;&gt;"n/a",COUNTIFS($B$2:$B$532,"Yes",$A$2:$A$532,"Cybernet",$Y$2:$Y$532,$Y462)&gt;1),
AND($Z462&lt;&gt;"",LOWER(TRIM($Z462))&lt;&gt;"n/a",COUNTIFS($B$2:$B$532,"Yes",$A$2:$A$532,"Cybernet",$Z$2:$Z$532,$Z462)&gt;1)
),"Yes","No"),
IF(AND($AL462&lt;&gt;"",LOWER(TRIM($AL462))&lt;&gt;"n/a"),
IF(COUNTIFS($B$2:$B$532,"Yes",$A$2:$A$532,$A462,$AL$2:$AL$532,$AL462)&gt;1,"Yes","No"),
"No")
)
)
)</f>
      </c>
      <c r="BL462">
        <f>IF($T462="","",IF((IF(AND($AW462&lt;&gt;"Yes",$AW462&lt;&gt;"N/A"),"Power Cable, ","")&amp;IF(AND($AX462&lt;&gt;"Yes",$AX462&lt;&gt;"N/A"),"Battery, ","")&amp;IF(AND($BE462&lt;&gt;"Yes",$BE462&lt;&gt;"N/A"),"Firmware Download, ","")&amp;IF(AND(OR($BE462="Yes",$BE462="N/A"),$BF462&lt;&gt;"Yes",$BF462&lt;&gt;"N/A"),"Firmware Install, ","")&amp;IF(AND($BJ462&lt;&gt;"Yes",$BJ462&lt;&gt;"N/A"),"Device ID, ","")&amp;IF(AND($BK462&lt;&gt;"Yes",$BK462&lt;&gt;"N/A"),"Epic Beans Relay, ",""))="","",LEFT(IF(AND($AW462&lt;&gt;"Yes",$AW462&lt;&gt;"N/A"),"Power Cable, ","")&amp;IF(AND($AX462&lt;&gt;"Yes",$AX462&lt;&gt;"N/A"),"Battery, ","")&amp;IF(AND($BE462&lt;&gt;"Yes",$BE462&lt;&gt;"N/A"),"Firmware Download, ","")&amp;IF(AND(OR($BE462="Yes",$BE462="N/A"),$BF462&lt;&gt;"Yes",$BF462&lt;&gt;"N/A"),"Firmware Install, ","")&amp;IF(AND($BJ462&lt;&gt;"Yes",$BJ462&lt;&gt;"N/A"),"Device ID, ","")&amp;IF(AND($BK462&lt;&gt;"Yes",$BK462&lt;&gt;"N/A"),"Epic Beans Relay, ",""),LEN(IF(AND($AW462&lt;&gt;"Yes",$AW462&lt;&gt;"N/A"),"Power Cable, ","")&amp;IF(AND($AX462&lt;&gt;"Yes",$AX462&lt;&gt;"N/A"),"Battery, ","")&amp;IF(AND($BE462&lt;&gt;"Yes",$BE462&lt;&gt;"N/A"),"Firmware Download, ","")&amp;IF(AND(OR($BE462="Yes",$BE462="N/A"),$BF462&lt;&gt;"Yes",$BF462&lt;&gt;"N/A"),"Firmware Install, ","")&amp;IF(AND($BJ462&lt;&gt;"Yes",$BJ462&lt;&gt;"N/A"),"Device ID, ","")&amp;IF(AND($BK462&lt;&gt;"Yes",$BK462&lt;&gt;"N/A"),"Epic Beans Relay, ",""))-2)))</f>
      </c>
      <c r="BM462">
        <f>IF($T462="","",IF($BL462="","Yes","Blocked"))</f>
      </c>
      <c r="BP462">
        <f>IF($BO462="","",IFERROR(VLOOKUP($BO462,'01_Warehouse_Ledger'!$A:$N,4,FALSE),""))</f>
      </c>
      <c r="BQ462">
        <f>IF($BO462="","",IFERROR(VLOOKUP($BO462,'01_Warehouse_Ledger'!$A:$N,5,FALSE),""))</f>
      </c>
      <c r="BR462">
        <f>IF($BO462="","",IFERROR(VLOOKUP($BO462,'01_Warehouse_Ledger'!$A:$N,13,FALSE),""))</f>
      </c>
    </row>
    <row r="463">
      <c r="D463">
        <f>IF($B463&lt;&gt;"Yes","",IF($C463="No","Yes",IF($C463="Yes","No","")))</f>
      </c>
      <c r="E463">
        <f>IF($A463="","",IF($A463="Neuron",IF(OR(AND($S463&lt;&gt;"",LOWER(TRIM($S463))&lt;&gt;"n/a",COUNTIF($S$2:$S$532,$S463)&gt;1),AND($T463&lt;&gt;"",LOWER(TRIM($T463))&lt;&gt;"n/a",COUNTIF($T$2:$T$532,$T463)&gt;1),AND($W463&lt;&gt;"",LOWER(TRIM($W463))&lt;&gt;"n/a",COUNTIF($W$2:$W$532,$W463)&gt;1)),"Yes","No"),IF($A463="Cybernet",IF(OR(AND($Y463&lt;&gt;"",LOWER(TRIM($Y463))&lt;&gt;"n/a",COUNTIF($Y$2:$Y$532,$Y463)&gt;1),AND($Z463&lt;&gt;"",LOWER(TRIM($Z463))&lt;&gt;"n/a",COUNTIF($Z$2:$Z$532,$Z463)&gt;1)),"Yes","No"),IF(AND($AL463&lt;&gt;"",LOWER(TRIM($AL463))&lt;&gt;"n/a",COUNTIF($AL$2:$AL$532,$AL463)&gt;1),"Yes","No"))))</f>
      </c>
      <c r="F463">
        <f>IF($B463&lt;&gt;"Yes","",
IF($A463="Neuron",
IF(OR(
AND($S463&lt;&gt;"",LOWER(TRIM($S463))&lt;&gt;"n/a",COUNTIFS($B$2:$B$532,"Yes",$A$2:$A$532,"Neuron",$S$2:$S$532,$S463)&gt;1),
AND($T463&lt;&gt;"",LOWER(TRIM($T463))&lt;&gt;"n/a",COUNTIFS($B$2:$B$532,"Yes",$A$2:$A$532,"Neuron",$T$2:$T$532,$T463)&gt;1),
AND($W463&lt;&gt;"",LOWER(TRIM($W463))&lt;&gt;"n/a",COUNTIFS($B$2:$B$532,"Yes",$A$2:$A$532,"Neuron",$W$2:$W$532,$W463)&gt;1)
),"Yes","No"),
IF($A463="Cybernet",
IF(OR(
AND($Y463&lt;&gt;"",LOWER(TRIM($Y463))&lt;&gt;"n/a",COUNTIFS($B$2:$B$532,"Yes",$A$2:$A$532,"Cybernet",$Y$2:$Y$532,$Y463)&gt;1),
AND($Z463&lt;&gt;"",LOWER(TRIM($Z463))&lt;&gt;"n/a",COUNTIFS($B$2:$B$532,"Yes",$A$2:$A$532,"Cybernet",$Z$2:$Z$532,$Z463)&gt;1)
),"Yes","No"),
IF(AND($AL463&lt;&gt;"",LOWER(TRIM($AL463))&lt;&gt;"n/a"),
IF(COUNTIFS($B$2:$B$532,"Yes",$A$2:$A$532,$A463,$AL$2:$AL$532,$AL463)&gt;1,"Yes","No"),
"No")
)
)
)</f>
      </c>
      <c r="BL463">
        <f>IF($T463="","",IF((IF(AND($AW463&lt;&gt;"Yes",$AW463&lt;&gt;"N/A"),"Power Cable, ","")&amp;IF(AND($AX463&lt;&gt;"Yes",$AX463&lt;&gt;"N/A"),"Battery, ","")&amp;IF(AND($BE463&lt;&gt;"Yes",$BE463&lt;&gt;"N/A"),"Firmware Download, ","")&amp;IF(AND(OR($BE463="Yes",$BE463="N/A"),$BF463&lt;&gt;"Yes",$BF463&lt;&gt;"N/A"),"Firmware Install, ","")&amp;IF(AND($BJ463&lt;&gt;"Yes",$BJ463&lt;&gt;"N/A"),"Device ID, ","")&amp;IF(AND($BK463&lt;&gt;"Yes",$BK463&lt;&gt;"N/A"),"Epic Beans Relay, ",""))="","",LEFT(IF(AND($AW463&lt;&gt;"Yes",$AW463&lt;&gt;"N/A"),"Power Cable, ","")&amp;IF(AND($AX463&lt;&gt;"Yes",$AX463&lt;&gt;"N/A"),"Battery, ","")&amp;IF(AND($BE463&lt;&gt;"Yes",$BE463&lt;&gt;"N/A"),"Firmware Download, ","")&amp;IF(AND(OR($BE463="Yes",$BE463="N/A"),$BF463&lt;&gt;"Yes",$BF463&lt;&gt;"N/A"),"Firmware Install, ","")&amp;IF(AND($BJ463&lt;&gt;"Yes",$BJ463&lt;&gt;"N/A"),"Device ID, ","")&amp;IF(AND($BK463&lt;&gt;"Yes",$BK463&lt;&gt;"N/A"),"Epic Beans Relay, ",""),LEN(IF(AND($AW463&lt;&gt;"Yes",$AW463&lt;&gt;"N/A"),"Power Cable, ","")&amp;IF(AND($AX463&lt;&gt;"Yes",$AX463&lt;&gt;"N/A"),"Battery, ","")&amp;IF(AND($BE463&lt;&gt;"Yes",$BE463&lt;&gt;"N/A"),"Firmware Download, ","")&amp;IF(AND(OR($BE463="Yes",$BE463="N/A"),$BF463&lt;&gt;"Yes",$BF463&lt;&gt;"N/A"),"Firmware Install, ","")&amp;IF(AND($BJ463&lt;&gt;"Yes",$BJ463&lt;&gt;"N/A"),"Device ID, ","")&amp;IF(AND($BK463&lt;&gt;"Yes",$BK463&lt;&gt;"N/A"),"Epic Beans Relay, ",""))-2)))</f>
      </c>
      <c r="BM463">
        <f>IF($T463="","",IF($BL463="","Yes","Blocked"))</f>
      </c>
      <c r="BP463">
        <f>IF($BO463="","",IFERROR(VLOOKUP($BO463,'01_Warehouse_Ledger'!$A:$N,4,FALSE),""))</f>
      </c>
      <c r="BQ463">
        <f>IF($BO463="","",IFERROR(VLOOKUP($BO463,'01_Warehouse_Ledger'!$A:$N,5,FALSE),""))</f>
      </c>
      <c r="BR463">
        <f>IF($BO463="","",IFERROR(VLOOKUP($BO463,'01_Warehouse_Ledger'!$A:$N,13,FALSE),""))</f>
      </c>
    </row>
    <row r="464">
      <c r="D464">
        <f>IF($B464&lt;&gt;"Yes","",IF($C464="No","Yes",IF($C464="Yes","No","")))</f>
      </c>
      <c r="E464">
        <f>IF($A464="","",IF($A464="Neuron",IF(OR(AND($S464&lt;&gt;"",LOWER(TRIM($S464))&lt;&gt;"n/a",COUNTIF($S$2:$S$532,$S464)&gt;1),AND($T464&lt;&gt;"",LOWER(TRIM($T464))&lt;&gt;"n/a",COUNTIF($T$2:$T$532,$T464)&gt;1),AND($W464&lt;&gt;"",LOWER(TRIM($W464))&lt;&gt;"n/a",COUNTIF($W$2:$W$532,$W464)&gt;1)),"Yes","No"),IF($A464="Cybernet",IF(OR(AND($Y464&lt;&gt;"",LOWER(TRIM($Y464))&lt;&gt;"n/a",COUNTIF($Y$2:$Y$532,$Y464)&gt;1),AND($Z464&lt;&gt;"",LOWER(TRIM($Z464))&lt;&gt;"n/a",COUNTIF($Z$2:$Z$532,$Z464)&gt;1)),"Yes","No"),IF(AND($AL464&lt;&gt;"",LOWER(TRIM($AL464))&lt;&gt;"n/a",COUNTIF($AL$2:$AL$532,$AL464)&gt;1),"Yes","No"))))</f>
      </c>
      <c r="F464">
        <f>IF($B464&lt;&gt;"Yes","",
IF($A464="Neuron",
IF(OR(
AND($S464&lt;&gt;"",LOWER(TRIM($S464))&lt;&gt;"n/a",COUNTIFS($B$2:$B$532,"Yes",$A$2:$A$532,"Neuron",$S$2:$S$532,$S464)&gt;1),
AND($T464&lt;&gt;"",LOWER(TRIM($T464))&lt;&gt;"n/a",COUNTIFS($B$2:$B$532,"Yes",$A$2:$A$532,"Neuron",$T$2:$T$532,$T464)&gt;1),
AND($W464&lt;&gt;"",LOWER(TRIM($W464))&lt;&gt;"n/a",COUNTIFS($B$2:$B$532,"Yes",$A$2:$A$532,"Neuron",$W$2:$W$532,$W464)&gt;1)
),"Yes","No"),
IF($A464="Cybernet",
IF(OR(
AND($Y464&lt;&gt;"",LOWER(TRIM($Y464))&lt;&gt;"n/a",COUNTIFS($B$2:$B$532,"Yes",$A$2:$A$532,"Cybernet",$Y$2:$Y$532,$Y464)&gt;1),
AND($Z464&lt;&gt;"",LOWER(TRIM($Z464))&lt;&gt;"n/a",COUNTIFS($B$2:$B$532,"Yes",$A$2:$A$532,"Cybernet",$Z$2:$Z$532,$Z464)&gt;1)
),"Yes","No"),
IF(AND($AL464&lt;&gt;"",LOWER(TRIM($AL464))&lt;&gt;"n/a"),
IF(COUNTIFS($B$2:$B$532,"Yes",$A$2:$A$532,$A464,$AL$2:$AL$532,$AL464)&gt;1,"Yes","No"),
"No")
)
)
)</f>
      </c>
      <c r="BL464">
        <f>IF($T464="","",IF((IF(AND($AW464&lt;&gt;"Yes",$AW464&lt;&gt;"N/A"),"Power Cable, ","")&amp;IF(AND($AX464&lt;&gt;"Yes",$AX464&lt;&gt;"N/A"),"Battery, ","")&amp;IF(AND($BE464&lt;&gt;"Yes",$BE464&lt;&gt;"N/A"),"Firmware Download, ","")&amp;IF(AND(OR($BE464="Yes",$BE464="N/A"),$BF464&lt;&gt;"Yes",$BF464&lt;&gt;"N/A"),"Firmware Install, ","")&amp;IF(AND($BJ464&lt;&gt;"Yes",$BJ464&lt;&gt;"N/A"),"Device ID, ","")&amp;IF(AND($BK464&lt;&gt;"Yes",$BK464&lt;&gt;"N/A"),"Epic Beans Relay, ",""))="","",LEFT(IF(AND($AW464&lt;&gt;"Yes",$AW464&lt;&gt;"N/A"),"Power Cable, ","")&amp;IF(AND($AX464&lt;&gt;"Yes",$AX464&lt;&gt;"N/A"),"Battery, ","")&amp;IF(AND($BE464&lt;&gt;"Yes",$BE464&lt;&gt;"N/A"),"Firmware Download, ","")&amp;IF(AND(OR($BE464="Yes",$BE464="N/A"),$BF464&lt;&gt;"Yes",$BF464&lt;&gt;"N/A"),"Firmware Install, ","")&amp;IF(AND($BJ464&lt;&gt;"Yes",$BJ464&lt;&gt;"N/A"),"Device ID, ","")&amp;IF(AND($BK464&lt;&gt;"Yes",$BK464&lt;&gt;"N/A"),"Epic Beans Relay, ",""),LEN(IF(AND($AW464&lt;&gt;"Yes",$AW464&lt;&gt;"N/A"),"Power Cable, ","")&amp;IF(AND($AX464&lt;&gt;"Yes",$AX464&lt;&gt;"N/A"),"Battery, ","")&amp;IF(AND($BE464&lt;&gt;"Yes",$BE464&lt;&gt;"N/A"),"Firmware Download, ","")&amp;IF(AND(OR($BE464="Yes",$BE464="N/A"),$BF464&lt;&gt;"Yes",$BF464&lt;&gt;"N/A"),"Firmware Install, ","")&amp;IF(AND($BJ464&lt;&gt;"Yes",$BJ464&lt;&gt;"N/A"),"Device ID, ","")&amp;IF(AND($BK464&lt;&gt;"Yes",$BK464&lt;&gt;"N/A"),"Epic Beans Relay, ",""))-2)))</f>
      </c>
      <c r="BM464">
        <f>IF($T464="","",IF($BL464="","Yes","Blocked"))</f>
      </c>
      <c r="BP464">
        <f>IF($BO464="","",IFERROR(VLOOKUP($BO464,'01_Warehouse_Ledger'!$A:$N,4,FALSE),""))</f>
      </c>
      <c r="BQ464">
        <f>IF($BO464="","",IFERROR(VLOOKUP($BO464,'01_Warehouse_Ledger'!$A:$N,5,FALSE),""))</f>
      </c>
      <c r="BR464">
        <f>IF($BO464="","",IFERROR(VLOOKUP($BO464,'01_Warehouse_Ledger'!$A:$N,13,FALSE),""))</f>
      </c>
    </row>
    <row r="465">
      <c r="D465">
        <f>IF($B465&lt;&gt;"Yes","",IF($C465="No","Yes",IF($C465="Yes","No","")))</f>
      </c>
      <c r="E465">
        <f>IF($A465="","",IF($A465="Neuron",IF(OR(AND($S465&lt;&gt;"",LOWER(TRIM($S465))&lt;&gt;"n/a",COUNTIF($S$2:$S$532,$S465)&gt;1),AND($T465&lt;&gt;"",LOWER(TRIM($T465))&lt;&gt;"n/a",COUNTIF($T$2:$T$532,$T465)&gt;1),AND($W465&lt;&gt;"",LOWER(TRIM($W465))&lt;&gt;"n/a",COUNTIF($W$2:$W$532,$W465)&gt;1)),"Yes","No"),IF($A465="Cybernet",IF(OR(AND($Y465&lt;&gt;"",LOWER(TRIM($Y465))&lt;&gt;"n/a",COUNTIF($Y$2:$Y$532,$Y465)&gt;1),AND($Z465&lt;&gt;"",LOWER(TRIM($Z465))&lt;&gt;"n/a",COUNTIF($Z$2:$Z$532,$Z465)&gt;1)),"Yes","No"),IF(AND($AL465&lt;&gt;"",LOWER(TRIM($AL465))&lt;&gt;"n/a",COUNTIF($AL$2:$AL$532,$AL465)&gt;1),"Yes","No"))))</f>
      </c>
      <c r="F465">
        <f>IF($B465&lt;&gt;"Yes","",
IF($A465="Neuron",
IF(OR(
AND($S465&lt;&gt;"",LOWER(TRIM($S465))&lt;&gt;"n/a",COUNTIFS($B$2:$B$532,"Yes",$A$2:$A$532,"Neuron",$S$2:$S$532,$S465)&gt;1),
AND($T465&lt;&gt;"",LOWER(TRIM($T465))&lt;&gt;"n/a",COUNTIFS($B$2:$B$532,"Yes",$A$2:$A$532,"Neuron",$T$2:$T$532,$T465)&gt;1),
AND($W465&lt;&gt;"",LOWER(TRIM($W465))&lt;&gt;"n/a",COUNTIFS($B$2:$B$532,"Yes",$A$2:$A$532,"Neuron",$W$2:$W$532,$W465)&gt;1)
),"Yes","No"),
IF($A465="Cybernet",
IF(OR(
AND($Y465&lt;&gt;"",LOWER(TRIM($Y465))&lt;&gt;"n/a",COUNTIFS($B$2:$B$532,"Yes",$A$2:$A$532,"Cybernet",$Y$2:$Y$532,$Y465)&gt;1),
AND($Z465&lt;&gt;"",LOWER(TRIM($Z465))&lt;&gt;"n/a",COUNTIFS($B$2:$B$532,"Yes",$A$2:$A$532,"Cybernet",$Z$2:$Z$532,$Z465)&gt;1)
),"Yes","No"),
IF(AND($AL465&lt;&gt;"",LOWER(TRIM($AL465))&lt;&gt;"n/a"),
IF(COUNTIFS($B$2:$B$532,"Yes",$A$2:$A$532,$A465,$AL$2:$AL$532,$AL465)&gt;1,"Yes","No"),
"No")
)
)
)</f>
      </c>
      <c r="BL465">
        <f>IF($T465="","",IF((IF(AND($AW465&lt;&gt;"Yes",$AW465&lt;&gt;"N/A"),"Power Cable, ","")&amp;IF(AND($AX465&lt;&gt;"Yes",$AX465&lt;&gt;"N/A"),"Battery, ","")&amp;IF(AND($BE465&lt;&gt;"Yes",$BE465&lt;&gt;"N/A"),"Firmware Download, ","")&amp;IF(AND(OR($BE465="Yes",$BE465="N/A"),$BF465&lt;&gt;"Yes",$BF465&lt;&gt;"N/A"),"Firmware Install, ","")&amp;IF(AND($BJ465&lt;&gt;"Yes",$BJ465&lt;&gt;"N/A"),"Device ID, ","")&amp;IF(AND($BK465&lt;&gt;"Yes",$BK465&lt;&gt;"N/A"),"Epic Beans Relay, ",""))="","",LEFT(IF(AND($AW465&lt;&gt;"Yes",$AW465&lt;&gt;"N/A"),"Power Cable, ","")&amp;IF(AND($AX465&lt;&gt;"Yes",$AX465&lt;&gt;"N/A"),"Battery, ","")&amp;IF(AND($BE465&lt;&gt;"Yes",$BE465&lt;&gt;"N/A"),"Firmware Download, ","")&amp;IF(AND(OR($BE465="Yes",$BE465="N/A"),$BF465&lt;&gt;"Yes",$BF465&lt;&gt;"N/A"),"Firmware Install, ","")&amp;IF(AND($BJ465&lt;&gt;"Yes",$BJ465&lt;&gt;"N/A"),"Device ID, ","")&amp;IF(AND($BK465&lt;&gt;"Yes",$BK465&lt;&gt;"N/A"),"Epic Beans Relay, ",""),LEN(IF(AND($AW465&lt;&gt;"Yes",$AW465&lt;&gt;"N/A"),"Power Cable, ","")&amp;IF(AND($AX465&lt;&gt;"Yes",$AX465&lt;&gt;"N/A"),"Battery, ","")&amp;IF(AND($BE465&lt;&gt;"Yes",$BE465&lt;&gt;"N/A"),"Firmware Download, ","")&amp;IF(AND(OR($BE465="Yes",$BE465="N/A"),$BF465&lt;&gt;"Yes",$BF465&lt;&gt;"N/A"),"Firmware Install, ","")&amp;IF(AND($BJ465&lt;&gt;"Yes",$BJ465&lt;&gt;"N/A"),"Device ID, ","")&amp;IF(AND($BK465&lt;&gt;"Yes",$BK465&lt;&gt;"N/A"),"Epic Beans Relay, ",""))-2)))</f>
      </c>
      <c r="BM465">
        <f>IF($T465="","",IF($BL465="","Yes","Blocked"))</f>
      </c>
      <c r="BP465">
        <f>IF($BO465="","",IFERROR(VLOOKUP($BO465,'01_Warehouse_Ledger'!$A:$N,4,FALSE),""))</f>
      </c>
      <c r="BQ465">
        <f>IF($BO465="","",IFERROR(VLOOKUP($BO465,'01_Warehouse_Ledger'!$A:$N,5,FALSE),""))</f>
      </c>
      <c r="BR465">
        <f>IF($BO465="","",IFERROR(VLOOKUP($BO465,'01_Warehouse_Ledger'!$A:$N,13,FALSE),""))</f>
      </c>
    </row>
    <row r="466">
      <c r="D466">
        <f>IF($B466&lt;&gt;"Yes","",IF($C466="No","Yes",IF($C466="Yes","No","")))</f>
      </c>
      <c r="E466">
        <f>IF($A466="","",IF($A466="Neuron",IF(OR(AND($S466&lt;&gt;"",LOWER(TRIM($S466))&lt;&gt;"n/a",COUNTIF($S$2:$S$532,$S466)&gt;1),AND($T466&lt;&gt;"",LOWER(TRIM($T466))&lt;&gt;"n/a",COUNTIF($T$2:$T$532,$T466)&gt;1),AND($W466&lt;&gt;"",LOWER(TRIM($W466))&lt;&gt;"n/a",COUNTIF($W$2:$W$532,$W466)&gt;1)),"Yes","No"),IF($A466="Cybernet",IF(OR(AND($Y466&lt;&gt;"",LOWER(TRIM($Y466))&lt;&gt;"n/a",COUNTIF($Y$2:$Y$532,$Y466)&gt;1),AND($Z466&lt;&gt;"",LOWER(TRIM($Z466))&lt;&gt;"n/a",COUNTIF($Z$2:$Z$532,$Z466)&gt;1)),"Yes","No"),IF(AND($AL466&lt;&gt;"",LOWER(TRIM($AL466))&lt;&gt;"n/a",COUNTIF($AL$2:$AL$532,$AL466)&gt;1),"Yes","No"))))</f>
      </c>
      <c r="F466">
        <f>IF($B466&lt;&gt;"Yes","",
IF($A466="Neuron",
IF(OR(
AND($S466&lt;&gt;"",LOWER(TRIM($S466))&lt;&gt;"n/a",COUNTIFS($B$2:$B$532,"Yes",$A$2:$A$532,"Neuron",$S$2:$S$532,$S466)&gt;1),
AND($T466&lt;&gt;"",LOWER(TRIM($T466))&lt;&gt;"n/a",COUNTIFS($B$2:$B$532,"Yes",$A$2:$A$532,"Neuron",$T$2:$T$532,$T466)&gt;1),
AND($W466&lt;&gt;"",LOWER(TRIM($W466))&lt;&gt;"n/a",COUNTIFS($B$2:$B$532,"Yes",$A$2:$A$532,"Neuron",$W$2:$W$532,$W466)&gt;1)
),"Yes","No"),
IF($A466="Cybernet",
IF(OR(
AND($Y466&lt;&gt;"",LOWER(TRIM($Y466))&lt;&gt;"n/a",COUNTIFS($B$2:$B$532,"Yes",$A$2:$A$532,"Cybernet",$Y$2:$Y$532,$Y466)&gt;1),
AND($Z466&lt;&gt;"",LOWER(TRIM($Z466))&lt;&gt;"n/a",COUNTIFS($B$2:$B$532,"Yes",$A$2:$A$532,"Cybernet",$Z$2:$Z$532,$Z466)&gt;1)
),"Yes","No"),
IF(AND($AL466&lt;&gt;"",LOWER(TRIM($AL466))&lt;&gt;"n/a"),
IF(COUNTIFS($B$2:$B$532,"Yes",$A$2:$A$532,$A466,$AL$2:$AL$532,$AL466)&gt;1,"Yes","No"),
"No")
)
)
)</f>
      </c>
      <c r="BL466">
        <f>IF($T466="","",IF((IF(AND($AW466&lt;&gt;"Yes",$AW466&lt;&gt;"N/A"),"Power Cable, ","")&amp;IF(AND($AX466&lt;&gt;"Yes",$AX466&lt;&gt;"N/A"),"Battery, ","")&amp;IF(AND($BE466&lt;&gt;"Yes",$BE466&lt;&gt;"N/A"),"Firmware Download, ","")&amp;IF(AND(OR($BE466="Yes",$BE466="N/A"),$BF466&lt;&gt;"Yes",$BF466&lt;&gt;"N/A"),"Firmware Install, ","")&amp;IF(AND($BJ466&lt;&gt;"Yes",$BJ466&lt;&gt;"N/A"),"Device ID, ","")&amp;IF(AND($BK466&lt;&gt;"Yes",$BK466&lt;&gt;"N/A"),"Epic Beans Relay, ",""))="","",LEFT(IF(AND($AW466&lt;&gt;"Yes",$AW466&lt;&gt;"N/A"),"Power Cable, ","")&amp;IF(AND($AX466&lt;&gt;"Yes",$AX466&lt;&gt;"N/A"),"Battery, ","")&amp;IF(AND($BE466&lt;&gt;"Yes",$BE466&lt;&gt;"N/A"),"Firmware Download, ","")&amp;IF(AND(OR($BE466="Yes",$BE466="N/A"),$BF466&lt;&gt;"Yes",$BF466&lt;&gt;"N/A"),"Firmware Install, ","")&amp;IF(AND($BJ466&lt;&gt;"Yes",$BJ466&lt;&gt;"N/A"),"Device ID, ","")&amp;IF(AND($BK466&lt;&gt;"Yes",$BK466&lt;&gt;"N/A"),"Epic Beans Relay, ",""),LEN(IF(AND($AW466&lt;&gt;"Yes",$AW466&lt;&gt;"N/A"),"Power Cable, ","")&amp;IF(AND($AX466&lt;&gt;"Yes",$AX466&lt;&gt;"N/A"),"Battery, ","")&amp;IF(AND($BE466&lt;&gt;"Yes",$BE466&lt;&gt;"N/A"),"Firmware Download, ","")&amp;IF(AND(OR($BE466="Yes",$BE466="N/A"),$BF466&lt;&gt;"Yes",$BF466&lt;&gt;"N/A"),"Firmware Install, ","")&amp;IF(AND($BJ466&lt;&gt;"Yes",$BJ466&lt;&gt;"N/A"),"Device ID, ","")&amp;IF(AND($BK466&lt;&gt;"Yes",$BK466&lt;&gt;"N/A"),"Epic Beans Relay, ",""))-2)))</f>
      </c>
      <c r="BM466">
        <f>IF($T466="","",IF($BL466="","Yes","Blocked"))</f>
      </c>
      <c r="BP466">
        <f>IF($BO466="","",IFERROR(VLOOKUP($BO466,'01_Warehouse_Ledger'!$A:$N,4,FALSE),""))</f>
      </c>
      <c r="BQ466">
        <f>IF($BO466="","",IFERROR(VLOOKUP($BO466,'01_Warehouse_Ledger'!$A:$N,5,FALSE),""))</f>
      </c>
      <c r="BR466">
        <f>IF($BO466="","",IFERROR(VLOOKUP($BO466,'01_Warehouse_Ledger'!$A:$N,13,FALSE),""))</f>
      </c>
    </row>
    <row r="467">
      <c r="D467">
        <f>IF($B467&lt;&gt;"Yes","",IF($C467="No","Yes",IF($C467="Yes","No","")))</f>
      </c>
      <c r="E467">
        <f>IF($A467="","",IF($A467="Neuron",IF(OR(AND($S467&lt;&gt;"",LOWER(TRIM($S467))&lt;&gt;"n/a",COUNTIF($S$2:$S$532,$S467)&gt;1),AND($T467&lt;&gt;"",LOWER(TRIM($T467))&lt;&gt;"n/a",COUNTIF($T$2:$T$532,$T467)&gt;1),AND($W467&lt;&gt;"",LOWER(TRIM($W467))&lt;&gt;"n/a",COUNTIF($W$2:$W$532,$W467)&gt;1)),"Yes","No"),IF($A467="Cybernet",IF(OR(AND($Y467&lt;&gt;"",LOWER(TRIM($Y467))&lt;&gt;"n/a",COUNTIF($Y$2:$Y$532,$Y467)&gt;1),AND($Z467&lt;&gt;"",LOWER(TRIM($Z467))&lt;&gt;"n/a",COUNTIF($Z$2:$Z$532,$Z467)&gt;1)),"Yes","No"),IF(AND($AL467&lt;&gt;"",LOWER(TRIM($AL467))&lt;&gt;"n/a",COUNTIF($AL$2:$AL$532,$AL467)&gt;1),"Yes","No"))))</f>
      </c>
      <c r="F467">
        <f>IF($B467&lt;&gt;"Yes","",
IF($A467="Neuron",
IF(OR(
AND($S467&lt;&gt;"",LOWER(TRIM($S467))&lt;&gt;"n/a",COUNTIFS($B$2:$B$532,"Yes",$A$2:$A$532,"Neuron",$S$2:$S$532,$S467)&gt;1),
AND($T467&lt;&gt;"",LOWER(TRIM($T467))&lt;&gt;"n/a",COUNTIFS($B$2:$B$532,"Yes",$A$2:$A$532,"Neuron",$T$2:$T$532,$T467)&gt;1),
AND($W467&lt;&gt;"",LOWER(TRIM($W467))&lt;&gt;"n/a",COUNTIFS($B$2:$B$532,"Yes",$A$2:$A$532,"Neuron",$W$2:$W$532,$W467)&gt;1)
),"Yes","No"),
IF($A467="Cybernet",
IF(OR(
AND($Y467&lt;&gt;"",LOWER(TRIM($Y467))&lt;&gt;"n/a",COUNTIFS($B$2:$B$532,"Yes",$A$2:$A$532,"Cybernet",$Y$2:$Y$532,$Y467)&gt;1),
AND($Z467&lt;&gt;"",LOWER(TRIM($Z467))&lt;&gt;"n/a",COUNTIFS($B$2:$B$532,"Yes",$A$2:$A$532,"Cybernet",$Z$2:$Z$532,$Z467)&gt;1)
),"Yes","No"),
IF(AND($AL467&lt;&gt;"",LOWER(TRIM($AL467))&lt;&gt;"n/a"),
IF(COUNTIFS($B$2:$B$532,"Yes",$A$2:$A$532,$A467,$AL$2:$AL$532,$AL467)&gt;1,"Yes","No"),
"No")
)
)
)</f>
      </c>
      <c r="BL467">
        <f>IF($T467="","",IF((IF(AND($AW467&lt;&gt;"Yes",$AW467&lt;&gt;"N/A"),"Power Cable, ","")&amp;IF(AND($AX467&lt;&gt;"Yes",$AX467&lt;&gt;"N/A"),"Battery, ","")&amp;IF(AND($BE467&lt;&gt;"Yes",$BE467&lt;&gt;"N/A"),"Firmware Download, ","")&amp;IF(AND(OR($BE467="Yes",$BE467="N/A"),$BF467&lt;&gt;"Yes",$BF467&lt;&gt;"N/A"),"Firmware Install, ","")&amp;IF(AND($BJ467&lt;&gt;"Yes",$BJ467&lt;&gt;"N/A"),"Device ID, ","")&amp;IF(AND($BK467&lt;&gt;"Yes",$BK467&lt;&gt;"N/A"),"Epic Beans Relay, ",""))="","",LEFT(IF(AND($AW467&lt;&gt;"Yes",$AW467&lt;&gt;"N/A"),"Power Cable, ","")&amp;IF(AND($AX467&lt;&gt;"Yes",$AX467&lt;&gt;"N/A"),"Battery, ","")&amp;IF(AND($BE467&lt;&gt;"Yes",$BE467&lt;&gt;"N/A"),"Firmware Download, ","")&amp;IF(AND(OR($BE467="Yes",$BE467="N/A"),$BF467&lt;&gt;"Yes",$BF467&lt;&gt;"N/A"),"Firmware Install, ","")&amp;IF(AND($BJ467&lt;&gt;"Yes",$BJ467&lt;&gt;"N/A"),"Device ID, ","")&amp;IF(AND($BK467&lt;&gt;"Yes",$BK467&lt;&gt;"N/A"),"Epic Beans Relay, ",""),LEN(IF(AND($AW467&lt;&gt;"Yes",$AW467&lt;&gt;"N/A"),"Power Cable, ","")&amp;IF(AND($AX467&lt;&gt;"Yes",$AX467&lt;&gt;"N/A"),"Battery, ","")&amp;IF(AND($BE467&lt;&gt;"Yes",$BE467&lt;&gt;"N/A"),"Firmware Download, ","")&amp;IF(AND(OR($BE467="Yes",$BE467="N/A"),$BF467&lt;&gt;"Yes",$BF467&lt;&gt;"N/A"),"Firmware Install, ","")&amp;IF(AND($BJ467&lt;&gt;"Yes",$BJ467&lt;&gt;"N/A"),"Device ID, ","")&amp;IF(AND($BK467&lt;&gt;"Yes",$BK467&lt;&gt;"N/A"),"Epic Beans Relay, ",""))-2)))</f>
      </c>
      <c r="BM467">
        <f>IF($T467="","",IF($BL467="","Yes","Blocked"))</f>
      </c>
      <c r="BP467">
        <f>IF($BO467="","",IFERROR(VLOOKUP($BO467,'01_Warehouse_Ledger'!$A:$N,4,FALSE),""))</f>
      </c>
      <c r="BQ467">
        <f>IF($BO467="","",IFERROR(VLOOKUP($BO467,'01_Warehouse_Ledger'!$A:$N,5,FALSE),""))</f>
      </c>
      <c r="BR467">
        <f>IF($BO467="","",IFERROR(VLOOKUP($BO467,'01_Warehouse_Ledger'!$A:$N,13,FALSE),""))</f>
      </c>
    </row>
    <row r="468">
      <c r="D468">
        <f>IF($B468&lt;&gt;"Yes","",IF($C468="No","Yes",IF($C468="Yes","No","")))</f>
      </c>
      <c r="E468">
        <f>IF($A468="","",IF($A468="Neuron",IF(OR(AND($S468&lt;&gt;"",LOWER(TRIM($S468))&lt;&gt;"n/a",COUNTIF($S$2:$S$532,$S468)&gt;1),AND($T468&lt;&gt;"",LOWER(TRIM($T468))&lt;&gt;"n/a",COUNTIF($T$2:$T$532,$T468)&gt;1),AND($W468&lt;&gt;"",LOWER(TRIM($W468))&lt;&gt;"n/a",COUNTIF($W$2:$W$532,$W468)&gt;1)),"Yes","No"),IF($A468="Cybernet",IF(OR(AND($Y468&lt;&gt;"",LOWER(TRIM($Y468))&lt;&gt;"n/a",COUNTIF($Y$2:$Y$532,$Y468)&gt;1),AND($Z468&lt;&gt;"",LOWER(TRIM($Z468))&lt;&gt;"n/a",COUNTIF($Z$2:$Z$532,$Z468)&gt;1)),"Yes","No"),IF(AND($AL468&lt;&gt;"",LOWER(TRIM($AL468))&lt;&gt;"n/a",COUNTIF($AL$2:$AL$532,$AL468)&gt;1),"Yes","No"))))</f>
      </c>
      <c r="F468">
        <f>IF($B468&lt;&gt;"Yes","",
IF($A468="Neuron",
IF(OR(
AND($S468&lt;&gt;"",LOWER(TRIM($S468))&lt;&gt;"n/a",COUNTIFS($B$2:$B$532,"Yes",$A$2:$A$532,"Neuron",$S$2:$S$532,$S468)&gt;1),
AND($T468&lt;&gt;"",LOWER(TRIM($T468))&lt;&gt;"n/a",COUNTIFS($B$2:$B$532,"Yes",$A$2:$A$532,"Neuron",$T$2:$T$532,$T468)&gt;1),
AND($W468&lt;&gt;"",LOWER(TRIM($W468))&lt;&gt;"n/a",COUNTIFS($B$2:$B$532,"Yes",$A$2:$A$532,"Neuron",$W$2:$W$532,$W468)&gt;1)
),"Yes","No"),
IF($A468="Cybernet",
IF(OR(
AND($Y468&lt;&gt;"",LOWER(TRIM($Y468))&lt;&gt;"n/a",COUNTIFS($B$2:$B$532,"Yes",$A$2:$A$532,"Cybernet",$Y$2:$Y$532,$Y468)&gt;1),
AND($Z468&lt;&gt;"",LOWER(TRIM($Z468))&lt;&gt;"n/a",COUNTIFS($B$2:$B$532,"Yes",$A$2:$A$532,"Cybernet",$Z$2:$Z$532,$Z468)&gt;1)
),"Yes","No"),
IF(AND($AL468&lt;&gt;"",LOWER(TRIM($AL468))&lt;&gt;"n/a"),
IF(COUNTIFS($B$2:$B$532,"Yes",$A$2:$A$532,$A468,$AL$2:$AL$532,$AL468)&gt;1,"Yes","No"),
"No")
)
)
)</f>
      </c>
      <c r="BL468">
        <f>IF($T468="","",IF((IF(AND($AW468&lt;&gt;"Yes",$AW468&lt;&gt;"N/A"),"Power Cable, ","")&amp;IF(AND($AX468&lt;&gt;"Yes",$AX468&lt;&gt;"N/A"),"Battery, ","")&amp;IF(AND($BE468&lt;&gt;"Yes",$BE468&lt;&gt;"N/A"),"Firmware Download, ","")&amp;IF(AND(OR($BE468="Yes",$BE468="N/A"),$BF468&lt;&gt;"Yes",$BF468&lt;&gt;"N/A"),"Firmware Install, ","")&amp;IF(AND($BJ468&lt;&gt;"Yes",$BJ468&lt;&gt;"N/A"),"Device ID, ","")&amp;IF(AND($BK468&lt;&gt;"Yes",$BK468&lt;&gt;"N/A"),"Epic Beans Relay, ",""))="","",LEFT(IF(AND($AW468&lt;&gt;"Yes",$AW468&lt;&gt;"N/A"),"Power Cable, ","")&amp;IF(AND($AX468&lt;&gt;"Yes",$AX468&lt;&gt;"N/A"),"Battery, ","")&amp;IF(AND($BE468&lt;&gt;"Yes",$BE468&lt;&gt;"N/A"),"Firmware Download, ","")&amp;IF(AND(OR($BE468="Yes",$BE468="N/A"),$BF468&lt;&gt;"Yes",$BF468&lt;&gt;"N/A"),"Firmware Install, ","")&amp;IF(AND($BJ468&lt;&gt;"Yes",$BJ468&lt;&gt;"N/A"),"Device ID, ","")&amp;IF(AND($BK468&lt;&gt;"Yes",$BK468&lt;&gt;"N/A"),"Epic Beans Relay, ",""),LEN(IF(AND($AW468&lt;&gt;"Yes",$AW468&lt;&gt;"N/A"),"Power Cable, ","")&amp;IF(AND($AX468&lt;&gt;"Yes",$AX468&lt;&gt;"N/A"),"Battery, ","")&amp;IF(AND($BE468&lt;&gt;"Yes",$BE468&lt;&gt;"N/A"),"Firmware Download, ","")&amp;IF(AND(OR($BE468="Yes",$BE468="N/A"),$BF468&lt;&gt;"Yes",$BF468&lt;&gt;"N/A"),"Firmware Install, ","")&amp;IF(AND($BJ468&lt;&gt;"Yes",$BJ468&lt;&gt;"N/A"),"Device ID, ","")&amp;IF(AND($BK468&lt;&gt;"Yes",$BK468&lt;&gt;"N/A"),"Epic Beans Relay, ",""))-2)))</f>
      </c>
      <c r="BM468">
        <f>IF($T468="","",IF($BL468="","Yes","Blocked"))</f>
      </c>
      <c r="BP468">
        <f>IF($BO468="","",IFERROR(VLOOKUP($BO468,'01_Warehouse_Ledger'!$A:$N,4,FALSE),""))</f>
      </c>
      <c r="BQ468">
        <f>IF($BO468="","",IFERROR(VLOOKUP($BO468,'01_Warehouse_Ledger'!$A:$N,5,FALSE),""))</f>
      </c>
      <c r="BR468">
        <f>IF($BO468="","",IFERROR(VLOOKUP($BO468,'01_Warehouse_Ledger'!$A:$N,13,FALSE),""))</f>
      </c>
    </row>
    <row r="469">
      <c r="D469">
        <f>IF($B469&lt;&gt;"Yes","",IF($C469="No","Yes",IF($C469="Yes","No","")))</f>
      </c>
      <c r="E469">
        <f>IF($A469="","",IF($A469="Neuron",IF(OR(AND($S469&lt;&gt;"",LOWER(TRIM($S469))&lt;&gt;"n/a",COUNTIF($S$2:$S$532,$S469)&gt;1),AND($T469&lt;&gt;"",LOWER(TRIM($T469))&lt;&gt;"n/a",COUNTIF($T$2:$T$532,$T469)&gt;1),AND($W469&lt;&gt;"",LOWER(TRIM($W469))&lt;&gt;"n/a",COUNTIF($W$2:$W$532,$W469)&gt;1)),"Yes","No"),IF($A469="Cybernet",IF(OR(AND($Y469&lt;&gt;"",LOWER(TRIM($Y469))&lt;&gt;"n/a",COUNTIF($Y$2:$Y$532,$Y469)&gt;1),AND($Z469&lt;&gt;"",LOWER(TRIM($Z469))&lt;&gt;"n/a",COUNTIF($Z$2:$Z$532,$Z469)&gt;1)),"Yes","No"),IF(AND($AL469&lt;&gt;"",LOWER(TRIM($AL469))&lt;&gt;"n/a",COUNTIF($AL$2:$AL$532,$AL469)&gt;1),"Yes","No"))))</f>
      </c>
      <c r="F469">
        <f>IF($B469&lt;&gt;"Yes","",
IF($A469="Neuron",
IF(OR(
AND($S469&lt;&gt;"",LOWER(TRIM($S469))&lt;&gt;"n/a",COUNTIFS($B$2:$B$532,"Yes",$A$2:$A$532,"Neuron",$S$2:$S$532,$S469)&gt;1),
AND($T469&lt;&gt;"",LOWER(TRIM($T469))&lt;&gt;"n/a",COUNTIFS($B$2:$B$532,"Yes",$A$2:$A$532,"Neuron",$T$2:$T$532,$T469)&gt;1),
AND($W469&lt;&gt;"",LOWER(TRIM($W469))&lt;&gt;"n/a",COUNTIFS($B$2:$B$532,"Yes",$A$2:$A$532,"Neuron",$W$2:$W$532,$W469)&gt;1)
),"Yes","No"),
IF($A469="Cybernet",
IF(OR(
AND($Y469&lt;&gt;"",LOWER(TRIM($Y469))&lt;&gt;"n/a",COUNTIFS($B$2:$B$532,"Yes",$A$2:$A$532,"Cybernet",$Y$2:$Y$532,$Y469)&gt;1),
AND($Z469&lt;&gt;"",LOWER(TRIM($Z469))&lt;&gt;"n/a",COUNTIFS($B$2:$B$532,"Yes",$A$2:$A$532,"Cybernet",$Z$2:$Z$532,$Z469)&gt;1)
),"Yes","No"),
IF(AND($AL469&lt;&gt;"",LOWER(TRIM($AL469))&lt;&gt;"n/a"),
IF(COUNTIFS($B$2:$B$532,"Yes",$A$2:$A$532,$A469,$AL$2:$AL$532,$AL469)&gt;1,"Yes","No"),
"No")
)
)
)</f>
      </c>
      <c r="BL469">
        <f>IF($T469="","",IF((IF(AND($AW469&lt;&gt;"Yes",$AW469&lt;&gt;"N/A"),"Power Cable, ","")&amp;IF(AND($AX469&lt;&gt;"Yes",$AX469&lt;&gt;"N/A"),"Battery, ","")&amp;IF(AND($BE469&lt;&gt;"Yes",$BE469&lt;&gt;"N/A"),"Firmware Download, ","")&amp;IF(AND(OR($BE469="Yes",$BE469="N/A"),$BF469&lt;&gt;"Yes",$BF469&lt;&gt;"N/A"),"Firmware Install, ","")&amp;IF(AND($BJ469&lt;&gt;"Yes",$BJ469&lt;&gt;"N/A"),"Device ID, ","")&amp;IF(AND($BK469&lt;&gt;"Yes",$BK469&lt;&gt;"N/A"),"Epic Beans Relay, ",""))="","",LEFT(IF(AND($AW469&lt;&gt;"Yes",$AW469&lt;&gt;"N/A"),"Power Cable, ","")&amp;IF(AND($AX469&lt;&gt;"Yes",$AX469&lt;&gt;"N/A"),"Battery, ","")&amp;IF(AND($BE469&lt;&gt;"Yes",$BE469&lt;&gt;"N/A"),"Firmware Download, ","")&amp;IF(AND(OR($BE469="Yes",$BE469="N/A"),$BF469&lt;&gt;"Yes",$BF469&lt;&gt;"N/A"),"Firmware Install, ","")&amp;IF(AND($BJ469&lt;&gt;"Yes",$BJ469&lt;&gt;"N/A"),"Device ID, ","")&amp;IF(AND($BK469&lt;&gt;"Yes",$BK469&lt;&gt;"N/A"),"Epic Beans Relay, ",""),LEN(IF(AND($AW469&lt;&gt;"Yes",$AW469&lt;&gt;"N/A"),"Power Cable, ","")&amp;IF(AND($AX469&lt;&gt;"Yes",$AX469&lt;&gt;"N/A"),"Battery, ","")&amp;IF(AND($BE469&lt;&gt;"Yes",$BE469&lt;&gt;"N/A"),"Firmware Download, ","")&amp;IF(AND(OR($BE469="Yes",$BE469="N/A"),$BF469&lt;&gt;"Yes",$BF469&lt;&gt;"N/A"),"Firmware Install, ","")&amp;IF(AND($BJ469&lt;&gt;"Yes",$BJ469&lt;&gt;"N/A"),"Device ID, ","")&amp;IF(AND($BK469&lt;&gt;"Yes",$BK469&lt;&gt;"N/A"),"Epic Beans Relay, ",""))-2)))</f>
      </c>
      <c r="BM469">
        <f>IF($T469="","",IF($BL469="","Yes","Blocked"))</f>
      </c>
      <c r="BP469">
        <f>IF($BO469="","",IFERROR(VLOOKUP($BO469,'01_Warehouse_Ledger'!$A:$N,4,FALSE),""))</f>
      </c>
      <c r="BQ469">
        <f>IF($BO469="","",IFERROR(VLOOKUP($BO469,'01_Warehouse_Ledger'!$A:$N,5,FALSE),""))</f>
      </c>
      <c r="BR469">
        <f>IF($BO469="","",IFERROR(VLOOKUP($BO469,'01_Warehouse_Ledger'!$A:$N,13,FALSE),""))</f>
      </c>
    </row>
    <row r="470">
      <c r="D470">
        <f>IF($B470&lt;&gt;"Yes","",IF($C470="No","Yes",IF($C470="Yes","No","")))</f>
      </c>
      <c r="E470">
        <f>IF($A470="","",IF($A470="Neuron",IF(OR(AND($S470&lt;&gt;"",LOWER(TRIM($S470))&lt;&gt;"n/a",COUNTIF($S$2:$S$532,$S470)&gt;1),AND($T470&lt;&gt;"",LOWER(TRIM($T470))&lt;&gt;"n/a",COUNTIF($T$2:$T$532,$T470)&gt;1),AND($W470&lt;&gt;"",LOWER(TRIM($W470))&lt;&gt;"n/a",COUNTIF($W$2:$W$532,$W470)&gt;1)),"Yes","No"),IF($A470="Cybernet",IF(OR(AND($Y470&lt;&gt;"",LOWER(TRIM($Y470))&lt;&gt;"n/a",COUNTIF($Y$2:$Y$532,$Y470)&gt;1),AND($Z470&lt;&gt;"",LOWER(TRIM($Z470))&lt;&gt;"n/a",COUNTIF($Z$2:$Z$532,$Z470)&gt;1)),"Yes","No"),IF(AND($AL470&lt;&gt;"",LOWER(TRIM($AL470))&lt;&gt;"n/a",COUNTIF($AL$2:$AL$532,$AL470)&gt;1),"Yes","No"))))</f>
      </c>
      <c r="F470">
        <f>IF($B470&lt;&gt;"Yes","",
IF($A470="Neuron",
IF(OR(
AND($S470&lt;&gt;"",LOWER(TRIM($S470))&lt;&gt;"n/a",COUNTIFS($B$2:$B$532,"Yes",$A$2:$A$532,"Neuron",$S$2:$S$532,$S470)&gt;1),
AND($T470&lt;&gt;"",LOWER(TRIM($T470))&lt;&gt;"n/a",COUNTIFS($B$2:$B$532,"Yes",$A$2:$A$532,"Neuron",$T$2:$T$532,$T470)&gt;1),
AND($W470&lt;&gt;"",LOWER(TRIM($W470))&lt;&gt;"n/a",COUNTIFS($B$2:$B$532,"Yes",$A$2:$A$532,"Neuron",$W$2:$W$532,$W470)&gt;1)
),"Yes","No"),
IF($A470="Cybernet",
IF(OR(
AND($Y470&lt;&gt;"",LOWER(TRIM($Y470))&lt;&gt;"n/a",COUNTIFS($B$2:$B$532,"Yes",$A$2:$A$532,"Cybernet",$Y$2:$Y$532,$Y470)&gt;1),
AND($Z470&lt;&gt;"",LOWER(TRIM($Z470))&lt;&gt;"n/a",COUNTIFS($B$2:$B$532,"Yes",$A$2:$A$532,"Cybernet",$Z$2:$Z$532,$Z470)&gt;1)
),"Yes","No"),
IF(AND($AL470&lt;&gt;"",LOWER(TRIM($AL470))&lt;&gt;"n/a"),
IF(COUNTIFS($B$2:$B$532,"Yes",$A$2:$A$532,$A470,$AL$2:$AL$532,$AL470)&gt;1,"Yes","No"),
"No")
)
)
)</f>
      </c>
      <c r="BL470">
        <f>IF($T470="","",IF((IF(AND($AW470&lt;&gt;"Yes",$AW470&lt;&gt;"N/A"),"Power Cable, ","")&amp;IF(AND($AX470&lt;&gt;"Yes",$AX470&lt;&gt;"N/A"),"Battery, ","")&amp;IF(AND($BE470&lt;&gt;"Yes",$BE470&lt;&gt;"N/A"),"Firmware Download, ","")&amp;IF(AND(OR($BE470="Yes",$BE470="N/A"),$BF470&lt;&gt;"Yes",$BF470&lt;&gt;"N/A"),"Firmware Install, ","")&amp;IF(AND($BJ470&lt;&gt;"Yes",$BJ470&lt;&gt;"N/A"),"Device ID, ","")&amp;IF(AND($BK470&lt;&gt;"Yes",$BK470&lt;&gt;"N/A"),"Epic Beans Relay, ",""))="","",LEFT(IF(AND($AW470&lt;&gt;"Yes",$AW470&lt;&gt;"N/A"),"Power Cable, ","")&amp;IF(AND($AX470&lt;&gt;"Yes",$AX470&lt;&gt;"N/A"),"Battery, ","")&amp;IF(AND($BE470&lt;&gt;"Yes",$BE470&lt;&gt;"N/A"),"Firmware Download, ","")&amp;IF(AND(OR($BE470="Yes",$BE470="N/A"),$BF470&lt;&gt;"Yes",$BF470&lt;&gt;"N/A"),"Firmware Install, ","")&amp;IF(AND($BJ470&lt;&gt;"Yes",$BJ470&lt;&gt;"N/A"),"Device ID, ","")&amp;IF(AND($BK470&lt;&gt;"Yes",$BK470&lt;&gt;"N/A"),"Epic Beans Relay, ",""),LEN(IF(AND($AW470&lt;&gt;"Yes",$AW470&lt;&gt;"N/A"),"Power Cable, ","")&amp;IF(AND($AX470&lt;&gt;"Yes",$AX470&lt;&gt;"N/A"),"Battery, ","")&amp;IF(AND($BE470&lt;&gt;"Yes",$BE470&lt;&gt;"N/A"),"Firmware Download, ","")&amp;IF(AND(OR($BE470="Yes",$BE470="N/A"),$BF470&lt;&gt;"Yes",$BF470&lt;&gt;"N/A"),"Firmware Install, ","")&amp;IF(AND($BJ470&lt;&gt;"Yes",$BJ470&lt;&gt;"N/A"),"Device ID, ","")&amp;IF(AND($BK470&lt;&gt;"Yes",$BK470&lt;&gt;"N/A"),"Epic Beans Relay, ",""))-2)))</f>
      </c>
      <c r="BM470">
        <f>IF($T470="","",IF($BL470="","Yes","Blocked"))</f>
      </c>
      <c r="BP470">
        <f>IF($BO470="","",IFERROR(VLOOKUP($BO470,'01_Warehouse_Ledger'!$A:$N,4,FALSE),""))</f>
      </c>
      <c r="BQ470">
        <f>IF($BO470="","",IFERROR(VLOOKUP($BO470,'01_Warehouse_Ledger'!$A:$N,5,FALSE),""))</f>
      </c>
      <c r="BR470">
        <f>IF($BO470="","",IFERROR(VLOOKUP($BO470,'01_Warehouse_Ledger'!$A:$N,13,FALSE),""))</f>
      </c>
    </row>
    <row r="471">
      <c r="D471">
        <f>IF($B471&lt;&gt;"Yes","",IF($C471="No","Yes",IF($C471="Yes","No","")))</f>
      </c>
      <c r="E471">
        <f>IF($A471="","",IF($A471="Neuron",IF(OR(AND($S471&lt;&gt;"",LOWER(TRIM($S471))&lt;&gt;"n/a",COUNTIF($S$2:$S$532,$S471)&gt;1),AND($T471&lt;&gt;"",LOWER(TRIM($T471))&lt;&gt;"n/a",COUNTIF($T$2:$T$532,$T471)&gt;1),AND($W471&lt;&gt;"",LOWER(TRIM($W471))&lt;&gt;"n/a",COUNTIF($W$2:$W$532,$W471)&gt;1)),"Yes","No"),IF($A471="Cybernet",IF(OR(AND($Y471&lt;&gt;"",LOWER(TRIM($Y471))&lt;&gt;"n/a",COUNTIF($Y$2:$Y$532,$Y471)&gt;1),AND($Z471&lt;&gt;"",LOWER(TRIM($Z471))&lt;&gt;"n/a",COUNTIF($Z$2:$Z$532,$Z471)&gt;1)),"Yes","No"),IF(AND($AL471&lt;&gt;"",LOWER(TRIM($AL471))&lt;&gt;"n/a",COUNTIF($AL$2:$AL$532,$AL471)&gt;1),"Yes","No"))))</f>
      </c>
      <c r="F471">
        <f>IF($B471&lt;&gt;"Yes","",
IF($A471="Neuron",
IF(OR(
AND($S471&lt;&gt;"",LOWER(TRIM($S471))&lt;&gt;"n/a",COUNTIFS($B$2:$B$532,"Yes",$A$2:$A$532,"Neuron",$S$2:$S$532,$S471)&gt;1),
AND($T471&lt;&gt;"",LOWER(TRIM($T471))&lt;&gt;"n/a",COUNTIFS($B$2:$B$532,"Yes",$A$2:$A$532,"Neuron",$T$2:$T$532,$T471)&gt;1),
AND($W471&lt;&gt;"",LOWER(TRIM($W471))&lt;&gt;"n/a",COUNTIFS($B$2:$B$532,"Yes",$A$2:$A$532,"Neuron",$W$2:$W$532,$W471)&gt;1)
),"Yes","No"),
IF($A471="Cybernet",
IF(OR(
AND($Y471&lt;&gt;"",LOWER(TRIM($Y471))&lt;&gt;"n/a",COUNTIFS($B$2:$B$532,"Yes",$A$2:$A$532,"Cybernet",$Y$2:$Y$532,$Y471)&gt;1),
AND($Z471&lt;&gt;"",LOWER(TRIM($Z471))&lt;&gt;"n/a",COUNTIFS($B$2:$B$532,"Yes",$A$2:$A$532,"Cybernet",$Z$2:$Z$532,$Z471)&gt;1)
),"Yes","No"),
IF(AND($AL471&lt;&gt;"",LOWER(TRIM($AL471))&lt;&gt;"n/a"),
IF(COUNTIFS($B$2:$B$532,"Yes",$A$2:$A$532,$A471,$AL$2:$AL$532,$AL471)&gt;1,"Yes","No"),
"No")
)
)
)</f>
      </c>
      <c r="BL471">
        <f>IF($T471="","",IF((IF(AND($AW471&lt;&gt;"Yes",$AW471&lt;&gt;"N/A"),"Power Cable, ","")&amp;IF(AND($AX471&lt;&gt;"Yes",$AX471&lt;&gt;"N/A"),"Battery, ","")&amp;IF(AND($BE471&lt;&gt;"Yes",$BE471&lt;&gt;"N/A"),"Firmware Download, ","")&amp;IF(AND(OR($BE471="Yes",$BE471="N/A"),$BF471&lt;&gt;"Yes",$BF471&lt;&gt;"N/A"),"Firmware Install, ","")&amp;IF(AND($BJ471&lt;&gt;"Yes",$BJ471&lt;&gt;"N/A"),"Device ID, ","")&amp;IF(AND($BK471&lt;&gt;"Yes",$BK471&lt;&gt;"N/A"),"Epic Beans Relay, ",""))="","",LEFT(IF(AND($AW471&lt;&gt;"Yes",$AW471&lt;&gt;"N/A"),"Power Cable, ","")&amp;IF(AND($AX471&lt;&gt;"Yes",$AX471&lt;&gt;"N/A"),"Battery, ","")&amp;IF(AND($BE471&lt;&gt;"Yes",$BE471&lt;&gt;"N/A"),"Firmware Download, ","")&amp;IF(AND(OR($BE471="Yes",$BE471="N/A"),$BF471&lt;&gt;"Yes",$BF471&lt;&gt;"N/A"),"Firmware Install, ","")&amp;IF(AND($BJ471&lt;&gt;"Yes",$BJ471&lt;&gt;"N/A"),"Device ID, ","")&amp;IF(AND($BK471&lt;&gt;"Yes",$BK471&lt;&gt;"N/A"),"Epic Beans Relay, ",""),LEN(IF(AND($AW471&lt;&gt;"Yes",$AW471&lt;&gt;"N/A"),"Power Cable, ","")&amp;IF(AND($AX471&lt;&gt;"Yes",$AX471&lt;&gt;"N/A"),"Battery, ","")&amp;IF(AND($BE471&lt;&gt;"Yes",$BE471&lt;&gt;"N/A"),"Firmware Download, ","")&amp;IF(AND(OR($BE471="Yes",$BE471="N/A"),$BF471&lt;&gt;"Yes",$BF471&lt;&gt;"N/A"),"Firmware Install, ","")&amp;IF(AND($BJ471&lt;&gt;"Yes",$BJ471&lt;&gt;"N/A"),"Device ID, ","")&amp;IF(AND($BK471&lt;&gt;"Yes",$BK471&lt;&gt;"N/A"),"Epic Beans Relay, ",""))-2)))</f>
      </c>
      <c r="BM471">
        <f>IF($T471="","",IF($BL471="","Yes","Blocked"))</f>
      </c>
      <c r="BP471">
        <f>IF($BO471="","",IFERROR(VLOOKUP($BO471,'01_Warehouse_Ledger'!$A:$N,4,FALSE),""))</f>
      </c>
      <c r="BQ471">
        <f>IF($BO471="","",IFERROR(VLOOKUP($BO471,'01_Warehouse_Ledger'!$A:$N,5,FALSE),""))</f>
      </c>
      <c r="BR471">
        <f>IF($BO471="","",IFERROR(VLOOKUP($BO471,'01_Warehouse_Ledger'!$A:$N,13,FALSE),""))</f>
      </c>
    </row>
    <row r="472">
      <c r="D472">
        <f>IF($B472&lt;&gt;"Yes","",IF($C472="No","Yes",IF($C472="Yes","No","")))</f>
      </c>
      <c r="E472">
        <f>IF($A472="","",IF($A472="Neuron",IF(OR(AND($S472&lt;&gt;"",LOWER(TRIM($S472))&lt;&gt;"n/a",COUNTIF($S$2:$S$532,$S472)&gt;1),AND($T472&lt;&gt;"",LOWER(TRIM($T472))&lt;&gt;"n/a",COUNTIF($T$2:$T$532,$T472)&gt;1),AND($W472&lt;&gt;"",LOWER(TRIM($W472))&lt;&gt;"n/a",COUNTIF($W$2:$W$532,$W472)&gt;1)),"Yes","No"),IF($A472="Cybernet",IF(OR(AND($Y472&lt;&gt;"",LOWER(TRIM($Y472))&lt;&gt;"n/a",COUNTIF($Y$2:$Y$532,$Y472)&gt;1),AND($Z472&lt;&gt;"",LOWER(TRIM($Z472))&lt;&gt;"n/a",COUNTIF($Z$2:$Z$532,$Z472)&gt;1)),"Yes","No"),IF(AND($AL472&lt;&gt;"",LOWER(TRIM($AL472))&lt;&gt;"n/a",COUNTIF($AL$2:$AL$532,$AL472)&gt;1),"Yes","No"))))</f>
      </c>
      <c r="F472">
        <f>IF($B472&lt;&gt;"Yes","",
IF($A472="Neuron",
IF(OR(
AND($S472&lt;&gt;"",LOWER(TRIM($S472))&lt;&gt;"n/a",COUNTIFS($B$2:$B$532,"Yes",$A$2:$A$532,"Neuron",$S$2:$S$532,$S472)&gt;1),
AND($T472&lt;&gt;"",LOWER(TRIM($T472))&lt;&gt;"n/a",COUNTIFS($B$2:$B$532,"Yes",$A$2:$A$532,"Neuron",$T$2:$T$532,$T472)&gt;1),
AND($W472&lt;&gt;"",LOWER(TRIM($W472))&lt;&gt;"n/a",COUNTIFS($B$2:$B$532,"Yes",$A$2:$A$532,"Neuron",$W$2:$W$532,$W472)&gt;1)
),"Yes","No"),
IF($A472="Cybernet",
IF(OR(
AND($Y472&lt;&gt;"",LOWER(TRIM($Y472))&lt;&gt;"n/a",COUNTIFS($B$2:$B$532,"Yes",$A$2:$A$532,"Cybernet",$Y$2:$Y$532,$Y472)&gt;1),
AND($Z472&lt;&gt;"",LOWER(TRIM($Z472))&lt;&gt;"n/a",COUNTIFS($B$2:$B$532,"Yes",$A$2:$A$532,"Cybernet",$Z$2:$Z$532,$Z472)&gt;1)
),"Yes","No"),
IF(AND($AL472&lt;&gt;"",LOWER(TRIM($AL472))&lt;&gt;"n/a"),
IF(COUNTIFS($B$2:$B$532,"Yes",$A$2:$A$532,$A472,$AL$2:$AL$532,$AL472)&gt;1,"Yes","No"),
"No")
)
)
)</f>
      </c>
      <c r="BL472">
        <f>IF($T472="","",IF((IF(AND($AW472&lt;&gt;"Yes",$AW472&lt;&gt;"N/A"),"Power Cable, ","")&amp;IF(AND($AX472&lt;&gt;"Yes",$AX472&lt;&gt;"N/A"),"Battery, ","")&amp;IF(AND($BE472&lt;&gt;"Yes",$BE472&lt;&gt;"N/A"),"Firmware Download, ","")&amp;IF(AND(OR($BE472="Yes",$BE472="N/A"),$BF472&lt;&gt;"Yes",$BF472&lt;&gt;"N/A"),"Firmware Install, ","")&amp;IF(AND($BJ472&lt;&gt;"Yes",$BJ472&lt;&gt;"N/A"),"Device ID, ","")&amp;IF(AND($BK472&lt;&gt;"Yes",$BK472&lt;&gt;"N/A"),"Epic Beans Relay, ",""))="","",LEFT(IF(AND($AW472&lt;&gt;"Yes",$AW472&lt;&gt;"N/A"),"Power Cable, ","")&amp;IF(AND($AX472&lt;&gt;"Yes",$AX472&lt;&gt;"N/A"),"Battery, ","")&amp;IF(AND($BE472&lt;&gt;"Yes",$BE472&lt;&gt;"N/A"),"Firmware Download, ","")&amp;IF(AND(OR($BE472="Yes",$BE472="N/A"),$BF472&lt;&gt;"Yes",$BF472&lt;&gt;"N/A"),"Firmware Install, ","")&amp;IF(AND($BJ472&lt;&gt;"Yes",$BJ472&lt;&gt;"N/A"),"Device ID, ","")&amp;IF(AND($BK472&lt;&gt;"Yes",$BK472&lt;&gt;"N/A"),"Epic Beans Relay, ",""),LEN(IF(AND($AW472&lt;&gt;"Yes",$AW472&lt;&gt;"N/A"),"Power Cable, ","")&amp;IF(AND($AX472&lt;&gt;"Yes",$AX472&lt;&gt;"N/A"),"Battery, ","")&amp;IF(AND($BE472&lt;&gt;"Yes",$BE472&lt;&gt;"N/A"),"Firmware Download, ","")&amp;IF(AND(OR($BE472="Yes",$BE472="N/A"),$BF472&lt;&gt;"Yes",$BF472&lt;&gt;"N/A"),"Firmware Install, ","")&amp;IF(AND($BJ472&lt;&gt;"Yes",$BJ472&lt;&gt;"N/A"),"Device ID, ","")&amp;IF(AND($BK472&lt;&gt;"Yes",$BK472&lt;&gt;"N/A"),"Epic Beans Relay, ",""))-2)))</f>
      </c>
      <c r="BM472">
        <f>IF($T472="","",IF($BL472="","Yes","Blocked"))</f>
      </c>
      <c r="BP472">
        <f>IF($BO472="","",IFERROR(VLOOKUP($BO472,'01_Warehouse_Ledger'!$A:$N,4,FALSE),""))</f>
      </c>
      <c r="BQ472">
        <f>IF($BO472="","",IFERROR(VLOOKUP($BO472,'01_Warehouse_Ledger'!$A:$N,5,FALSE),""))</f>
      </c>
      <c r="BR472">
        <f>IF($BO472="","",IFERROR(VLOOKUP($BO472,'01_Warehouse_Ledger'!$A:$N,13,FALSE),""))</f>
      </c>
    </row>
    <row r="473">
      <c r="D473">
        <f>IF($B473&lt;&gt;"Yes","",IF($C473="No","Yes",IF($C473="Yes","No","")))</f>
      </c>
      <c r="E473">
        <f>IF($A473="","",IF($A473="Neuron",IF(OR(AND($S473&lt;&gt;"",LOWER(TRIM($S473))&lt;&gt;"n/a",COUNTIF($S$2:$S$532,$S473)&gt;1),AND($T473&lt;&gt;"",LOWER(TRIM($T473))&lt;&gt;"n/a",COUNTIF($T$2:$T$532,$T473)&gt;1),AND($W473&lt;&gt;"",LOWER(TRIM($W473))&lt;&gt;"n/a",COUNTIF($W$2:$W$532,$W473)&gt;1)),"Yes","No"),IF($A473="Cybernet",IF(OR(AND($Y473&lt;&gt;"",LOWER(TRIM($Y473))&lt;&gt;"n/a",COUNTIF($Y$2:$Y$532,$Y473)&gt;1),AND($Z473&lt;&gt;"",LOWER(TRIM($Z473))&lt;&gt;"n/a",COUNTIF($Z$2:$Z$532,$Z473)&gt;1)),"Yes","No"),IF(AND($AL473&lt;&gt;"",LOWER(TRIM($AL473))&lt;&gt;"n/a",COUNTIF($AL$2:$AL$532,$AL473)&gt;1),"Yes","No"))))</f>
      </c>
      <c r="F473">
        <f>IF($B473&lt;&gt;"Yes","",
IF($A473="Neuron",
IF(OR(
AND($S473&lt;&gt;"",LOWER(TRIM($S473))&lt;&gt;"n/a",COUNTIFS($B$2:$B$532,"Yes",$A$2:$A$532,"Neuron",$S$2:$S$532,$S473)&gt;1),
AND($T473&lt;&gt;"",LOWER(TRIM($T473))&lt;&gt;"n/a",COUNTIFS($B$2:$B$532,"Yes",$A$2:$A$532,"Neuron",$T$2:$T$532,$T473)&gt;1),
AND($W473&lt;&gt;"",LOWER(TRIM($W473))&lt;&gt;"n/a",COUNTIFS($B$2:$B$532,"Yes",$A$2:$A$532,"Neuron",$W$2:$W$532,$W473)&gt;1)
),"Yes","No"),
IF($A473="Cybernet",
IF(OR(
AND($Y473&lt;&gt;"",LOWER(TRIM($Y473))&lt;&gt;"n/a",COUNTIFS($B$2:$B$532,"Yes",$A$2:$A$532,"Cybernet",$Y$2:$Y$532,$Y473)&gt;1),
AND($Z473&lt;&gt;"",LOWER(TRIM($Z473))&lt;&gt;"n/a",COUNTIFS($B$2:$B$532,"Yes",$A$2:$A$532,"Cybernet",$Z$2:$Z$532,$Z473)&gt;1)
),"Yes","No"),
IF(AND($AL473&lt;&gt;"",LOWER(TRIM($AL473))&lt;&gt;"n/a"),
IF(COUNTIFS($B$2:$B$532,"Yes",$A$2:$A$532,$A473,$AL$2:$AL$532,$AL473)&gt;1,"Yes","No"),
"No")
)
)
)</f>
      </c>
      <c r="BL473">
        <f>IF($T473="","",IF((IF(AND($AW473&lt;&gt;"Yes",$AW473&lt;&gt;"N/A"),"Power Cable, ","")&amp;IF(AND($AX473&lt;&gt;"Yes",$AX473&lt;&gt;"N/A"),"Battery, ","")&amp;IF(AND($BE473&lt;&gt;"Yes",$BE473&lt;&gt;"N/A"),"Firmware Download, ","")&amp;IF(AND(OR($BE473="Yes",$BE473="N/A"),$BF473&lt;&gt;"Yes",$BF473&lt;&gt;"N/A"),"Firmware Install, ","")&amp;IF(AND($BJ473&lt;&gt;"Yes",$BJ473&lt;&gt;"N/A"),"Device ID, ","")&amp;IF(AND($BK473&lt;&gt;"Yes",$BK473&lt;&gt;"N/A"),"Epic Beans Relay, ",""))="","",LEFT(IF(AND($AW473&lt;&gt;"Yes",$AW473&lt;&gt;"N/A"),"Power Cable, ","")&amp;IF(AND($AX473&lt;&gt;"Yes",$AX473&lt;&gt;"N/A"),"Battery, ","")&amp;IF(AND($BE473&lt;&gt;"Yes",$BE473&lt;&gt;"N/A"),"Firmware Download, ","")&amp;IF(AND(OR($BE473="Yes",$BE473="N/A"),$BF473&lt;&gt;"Yes",$BF473&lt;&gt;"N/A"),"Firmware Install, ","")&amp;IF(AND($BJ473&lt;&gt;"Yes",$BJ473&lt;&gt;"N/A"),"Device ID, ","")&amp;IF(AND($BK473&lt;&gt;"Yes",$BK473&lt;&gt;"N/A"),"Epic Beans Relay, ",""),LEN(IF(AND($AW473&lt;&gt;"Yes",$AW473&lt;&gt;"N/A"),"Power Cable, ","")&amp;IF(AND($AX473&lt;&gt;"Yes",$AX473&lt;&gt;"N/A"),"Battery, ","")&amp;IF(AND($BE473&lt;&gt;"Yes",$BE473&lt;&gt;"N/A"),"Firmware Download, ","")&amp;IF(AND(OR($BE473="Yes",$BE473="N/A"),$BF473&lt;&gt;"Yes",$BF473&lt;&gt;"N/A"),"Firmware Install, ","")&amp;IF(AND($BJ473&lt;&gt;"Yes",$BJ473&lt;&gt;"N/A"),"Device ID, ","")&amp;IF(AND($BK473&lt;&gt;"Yes",$BK473&lt;&gt;"N/A"),"Epic Beans Relay, ",""))-2)))</f>
      </c>
      <c r="BM473">
        <f>IF($T473="","",IF($BL473="","Yes","Blocked"))</f>
      </c>
      <c r="BP473">
        <f>IF($BO473="","",IFERROR(VLOOKUP($BO473,'01_Warehouse_Ledger'!$A:$N,4,FALSE),""))</f>
      </c>
      <c r="BQ473">
        <f>IF($BO473="","",IFERROR(VLOOKUP($BO473,'01_Warehouse_Ledger'!$A:$N,5,FALSE),""))</f>
      </c>
      <c r="BR473">
        <f>IF($BO473="","",IFERROR(VLOOKUP($BO473,'01_Warehouse_Ledger'!$A:$N,13,FALSE),""))</f>
      </c>
    </row>
    <row r="474">
      <c r="D474">
        <f>IF($B474&lt;&gt;"Yes","",IF($C474="No","Yes",IF($C474="Yes","No","")))</f>
      </c>
      <c r="E474">
        <f>IF($A474="","",IF($A474="Neuron",IF(OR(AND($S474&lt;&gt;"",LOWER(TRIM($S474))&lt;&gt;"n/a",COUNTIF($S$2:$S$532,$S474)&gt;1),AND($T474&lt;&gt;"",LOWER(TRIM($T474))&lt;&gt;"n/a",COUNTIF($T$2:$T$532,$T474)&gt;1),AND($W474&lt;&gt;"",LOWER(TRIM($W474))&lt;&gt;"n/a",COUNTIF($W$2:$W$532,$W474)&gt;1)),"Yes","No"),IF($A474="Cybernet",IF(OR(AND($Y474&lt;&gt;"",LOWER(TRIM($Y474))&lt;&gt;"n/a",COUNTIF($Y$2:$Y$532,$Y474)&gt;1),AND($Z474&lt;&gt;"",LOWER(TRIM($Z474))&lt;&gt;"n/a",COUNTIF($Z$2:$Z$532,$Z474)&gt;1)),"Yes","No"),IF(AND($AL474&lt;&gt;"",LOWER(TRIM($AL474))&lt;&gt;"n/a",COUNTIF($AL$2:$AL$532,$AL474)&gt;1),"Yes","No"))))</f>
      </c>
      <c r="F474">
        <f>IF($B474&lt;&gt;"Yes","",
IF($A474="Neuron",
IF(OR(
AND($S474&lt;&gt;"",LOWER(TRIM($S474))&lt;&gt;"n/a",COUNTIFS($B$2:$B$532,"Yes",$A$2:$A$532,"Neuron",$S$2:$S$532,$S474)&gt;1),
AND($T474&lt;&gt;"",LOWER(TRIM($T474))&lt;&gt;"n/a",COUNTIFS($B$2:$B$532,"Yes",$A$2:$A$532,"Neuron",$T$2:$T$532,$T474)&gt;1),
AND($W474&lt;&gt;"",LOWER(TRIM($W474))&lt;&gt;"n/a",COUNTIFS($B$2:$B$532,"Yes",$A$2:$A$532,"Neuron",$W$2:$W$532,$W474)&gt;1)
),"Yes","No"),
IF($A474="Cybernet",
IF(OR(
AND($Y474&lt;&gt;"",LOWER(TRIM($Y474))&lt;&gt;"n/a",COUNTIFS($B$2:$B$532,"Yes",$A$2:$A$532,"Cybernet",$Y$2:$Y$532,$Y474)&gt;1),
AND($Z474&lt;&gt;"",LOWER(TRIM($Z474))&lt;&gt;"n/a",COUNTIFS($B$2:$B$532,"Yes",$A$2:$A$532,"Cybernet",$Z$2:$Z$532,$Z474)&gt;1)
),"Yes","No"),
IF(AND($AL474&lt;&gt;"",LOWER(TRIM($AL474))&lt;&gt;"n/a"),
IF(COUNTIFS($B$2:$B$532,"Yes",$A$2:$A$532,$A474,$AL$2:$AL$532,$AL474)&gt;1,"Yes","No"),
"No")
)
)
)</f>
      </c>
      <c r="BL474">
        <f>IF($T474="","",IF((IF(AND($AW474&lt;&gt;"Yes",$AW474&lt;&gt;"N/A"),"Power Cable, ","")&amp;IF(AND($AX474&lt;&gt;"Yes",$AX474&lt;&gt;"N/A"),"Battery, ","")&amp;IF(AND($BE474&lt;&gt;"Yes",$BE474&lt;&gt;"N/A"),"Firmware Download, ","")&amp;IF(AND(OR($BE474="Yes",$BE474="N/A"),$BF474&lt;&gt;"Yes",$BF474&lt;&gt;"N/A"),"Firmware Install, ","")&amp;IF(AND($BJ474&lt;&gt;"Yes",$BJ474&lt;&gt;"N/A"),"Device ID, ","")&amp;IF(AND($BK474&lt;&gt;"Yes",$BK474&lt;&gt;"N/A"),"Epic Beans Relay, ",""))="","",LEFT(IF(AND($AW474&lt;&gt;"Yes",$AW474&lt;&gt;"N/A"),"Power Cable, ","")&amp;IF(AND($AX474&lt;&gt;"Yes",$AX474&lt;&gt;"N/A"),"Battery, ","")&amp;IF(AND($BE474&lt;&gt;"Yes",$BE474&lt;&gt;"N/A"),"Firmware Download, ","")&amp;IF(AND(OR($BE474="Yes",$BE474="N/A"),$BF474&lt;&gt;"Yes",$BF474&lt;&gt;"N/A"),"Firmware Install, ","")&amp;IF(AND($BJ474&lt;&gt;"Yes",$BJ474&lt;&gt;"N/A"),"Device ID, ","")&amp;IF(AND($BK474&lt;&gt;"Yes",$BK474&lt;&gt;"N/A"),"Epic Beans Relay, ",""),LEN(IF(AND($AW474&lt;&gt;"Yes",$AW474&lt;&gt;"N/A"),"Power Cable, ","")&amp;IF(AND($AX474&lt;&gt;"Yes",$AX474&lt;&gt;"N/A"),"Battery, ","")&amp;IF(AND($BE474&lt;&gt;"Yes",$BE474&lt;&gt;"N/A"),"Firmware Download, ","")&amp;IF(AND(OR($BE474="Yes",$BE474="N/A"),$BF474&lt;&gt;"Yes",$BF474&lt;&gt;"N/A"),"Firmware Install, ","")&amp;IF(AND($BJ474&lt;&gt;"Yes",$BJ474&lt;&gt;"N/A"),"Device ID, ","")&amp;IF(AND($BK474&lt;&gt;"Yes",$BK474&lt;&gt;"N/A"),"Epic Beans Relay, ",""))-2)))</f>
      </c>
      <c r="BM474">
        <f>IF($T474="","",IF($BL474="","Yes","Blocked"))</f>
      </c>
      <c r="BP474">
        <f>IF($BO474="","",IFERROR(VLOOKUP($BO474,'01_Warehouse_Ledger'!$A:$N,4,FALSE),""))</f>
      </c>
      <c r="BQ474">
        <f>IF($BO474="","",IFERROR(VLOOKUP($BO474,'01_Warehouse_Ledger'!$A:$N,5,FALSE),""))</f>
      </c>
      <c r="BR474">
        <f>IF($BO474="","",IFERROR(VLOOKUP($BO474,'01_Warehouse_Ledger'!$A:$N,13,FALSE),""))</f>
      </c>
    </row>
    <row r="475">
      <c r="D475">
        <f>IF($B475&lt;&gt;"Yes","",IF($C475="No","Yes",IF($C475="Yes","No","")))</f>
      </c>
      <c r="E475">
        <f>IF($A475="","",IF($A475="Neuron",IF(OR(AND($S475&lt;&gt;"",LOWER(TRIM($S475))&lt;&gt;"n/a",COUNTIF($S$2:$S$532,$S475)&gt;1),AND($T475&lt;&gt;"",LOWER(TRIM($T475))&lt;&gt;"n/a",COUNTIF($T$2:$T$532,$T475)&gt;1),AND($W475&lt;&gt;"",LOWER(TRIM($W475))&lt;&gt;"n/a",COUNTIF($W$2:$W$532,$W475)&gt;1)),"Yes","No"),IF($A475="Cybernet",IF(OR(AND($Y475&lt;&gt;"",LOWER(TRIM($Y475))&lt;&gt;"n/a",COUNTIF($Y$2:$Y$532,$Y475)&gt;1),AND($Z475&lt;&gt;"",LOWER(TRIM($Z475))&lt;&gt;"n/a",COUNTIF($Z$2:$Z$532,$Z475)&gt;1)),"Yes","No"),IF(AND($AL475&lt;&gt;"",LOWER(TRIM($AL475))&lt;&gt;"n/a",COUNTIF($AL$2:$AL$532,$AL475)&gt;1),"Yes","No"))))</f>
      </c>
      <c r="F475">
        <f>IF($B475&lt;&gt;"Yes","",
IF($A475="Neuron",
IF(OR(
AND($S475&lt;&gt;"",LOWER(TRIM($S475))&lt;&gt;"n/a",COUNTIFS($B$2:$B$532,"Yes",$A$2:$A$532,"Neuron",$S$2:$S$532,$S475)&gt;1),
AND($T475&lt;&gt;"",LOWER(TRIM($T475))&lt;&gt;"n/a",COUNTIFS($B$2:$B$532,"Yes",$A$2:$A$532,"Neuron",$T$2:$T$532,$T475)&gt;1),
AND($W475&lt;&gt;"",LOWER(TRIM($W475))&lt;&gt;"n/a",COUNTIFS($B$2:$B$532,"Yes",$A$2:$A$532,"Neuron",$W$2:$W$532,$W475)&gt;1)
),"Yes","No"),
IF($A475="Cybernet",
IF(OR(
AND($Y475&lt;&gt;"",LOWER(TRIM($Y475))&lt;&gt;"n/a",COUNTIFS($B$2:$B$532,"Yes",$A$2:$A$532,"Cybernet",$Y$2:$Y$532,$Y475)&gt;1),
AND($Z475&lt;&gt;"",LOWER(TRIM($Z475))&lt;&gt;"n/a",COUNTIFS($B$2:$B$532,"Yes",$A$2:$A$532,"Cybernet",$Z$2:$Z$532,$Z475)&gt;1)
),"Yes","No"),
IF(AND($AL475&lt;&gt;"",LOWER(TRIM($AL475))&lt;&gt;"n/a"),
IF(COUNTIFS($B$2:$B$532,"Yes",$A$2:$A$532,$A475,$AL$2:$AL$532,$AL475)&gt;1,"Yes","No"),
"No")
)
)
)</f>
      </c>
      <c r="BL475">
        <f>IF($T475="","",IF((IF(AND($AW475&lt;&gt;"Yes",$AW475&lt;&gt;"N/A"),"Power Cable, ","")&amp;IF(AND($AX475&lt;&gt;"Yes",$AX475&lt;&gt;"N/A"),"Battery, ","")&amp;IF(AND($BE475&lt;&gt;"Yes",$BE475&lt;&gt;"N/A"),"Firmware Download, ","")&amp;IF(AND(OR($BE475="Yes",$BE475="N/A"),$BF475&lt;&gt;"Yes",$BF475&lt;&gt;"N/A"),"Firmware Install, ","")&amp;IF(AND($BJ475&lt;&gt;"Yes",$BJ475&lt;&gt;"N/A"),"Device ID, ","")&amp;IF(AND($BK475&lt;&gt;"Yes",$BK475&lt;&gt;"N/A"),"Epic Beans Relay, ",""))="","",LEFT(IF(AND($AW475&lt;&gt;"Yes",$AW475&lt;&gt;"N/A"),"Power Cable, ","")&amp;IF(AND($AX475&lt;&gt;"Yes",$AX475&lt;&gt;"N/A"),"Battery, ","")&amp;IF(AND($BE475&lt;&gt;"Yes",$BE475&lt;&gt;"N/A"),"Firmware Download, ","")&amp;IF(AND(OR($BE475="Yes",$BE475="N/A"),$BF475&lt;&gt;"Yes",$BF475&lt;&gt;"N/A"),"Firmware Install, ","")&amp;IF(AND($BJ475&lt;&gt;"Yes",$BJ475&lt;&gt;"N/A"),"Device ID, ","")&amp;IF(AND($BK475&lt;&gt;"Yes",$BK475&lt;&gt;"N/A"),"Epic Beans Relay, ",""),LEN(IF(AND($AW475&lt;&gt;"Yes",$AW475&lt;&gt;"N/A"),"Power Cable, ","")&amp;IF(AND($AX475&lt;&gt;"Yes",$AX475&lt;&gt;"N/A"),"Battery, ","")&amp;IF(AND($BE475&lt;&gt;"Yes",$BE475&lt;&gt;"N/A"),"Firmware Download, ","")&amp;IF(AND(OR($BE475="Yes",$BE475="N/A"),$BF475&lt;&gt;"Yes",$BF475&lt;&gt;"N/A"),"Firmware Install, ","")&amp;IF(AND($BJ475&lt;&gt;"Yes",$BJ475&lt;&gt;"N/A"),"Device ID, ","")&amp;IF(AND($BK475&lt;&gt;"Yes",$BK475&lt;&gt;"N/A"),"Epic Beans Relay, ",""))-2)))</f>
      </c>
      <c r="BM475">
        <f>IF($T475="","",IF($BL475="","Yes","Blocked"))</f>
      </c>
      <c r="BP475">
        <f>IF($BO475="","",IFERROR(VLOOKUP($BO475,'01_Warehouse_Ledger'!$A:$N,4,FALSE),""))</f>
      </c>
      <c r="BQ475">
        <f>IF($BO475="","",IFERROR(VLOOKUP($BO475,'01_Warehouse_Ledger'!$A:$N,5,FALSE),""))</f>
      </c>
      <c r="BR475">
        <f>IF($BO475="","",IFERROR(VLOOKUP($BO475,'01_Warehouse_Ledger'!$A:$N,13,FALSE),""))</f>
      </c>
    </row>
    <row r="476">
      <c r="D476">
        <f>IF($B476&lt;&gt;"Yes","",IF($C476="No","Yes",IF($C476="Yes","No","")))</f>
      </c>
      <c r="E476">
        <f>IF($A476="","",IF($A476="Neuron",IF(OR(AND($S476&lt;&gt;"",LOWER(TRIM($S476))&lt;&gt;"n/a",COUNTIF($S$2:$S$532,$S476)&gt;1),AND($T476&lt;&gt;"",LOWER(TRIM($T476))&lt;&gt;"n/a",COUNTIF($T$2:$T$532,$T476)&gt;1),AND($W476&lt;&gt;"",LOWER(TRIM($W476))&lt;&gt;"n/a",COUNTIF($W$2:$W$532,$W476)&gt;1)),"Yes","No"),IF($A476="Cybernet",IF(OR(AND($Y476&lt;&gt;"",LOWER(TRIM($Y476))&lt;&gt;"n/a",COUNTIF($Y$2:$Y$532,$Y476)&gt;1),AND($Z476&lt;&gt;"",LOWER(TRIM($Z476))&lt;&gt;"n/a",COUNTIF($Z$2:$Z$532,$Z476)&gt;1)),"Yes","No"),IF(AND($AL476&lt;&gt;"",LOWER(TRIM($AL476))&lt;&gt;"n/a",COUNTIF($AL$2:$AL$532,$AL476)&gt;1),"Yes","No"))))</f>
      </c>
      <c r="F476">
        <f>IF($B476&lt;&gt;"Yes","",
IF($A476="Neuron",
IF(OR(
AND($S476&lt;&gt;"",LOWER(TRIM($S476))&lt;&gt;"n/a",COUNTIFS($B$2:$B$532,"Yes",$A$2:$A$532,"Neuron",$S$2:$S$532,$S476)&gt;1),
AND($T476&lt;&gt;"",LOWER(TRIM($T476))&lt;&gt;"n/a",COUNTIFS($B$2:$B$532,"Yes",$A$2:$A$532,"Neuron",$T$2:$T$532,$T476)&gt;1),
AND($W476&lt;&gt;"",LOWER(TRIM($W476))&lt;&gt;"n/a",COUNTIFS($B$2:$B$532,"Yes",$A$2:$A$532,"Neuron",$W$2:$W$532,$W476)&gt;1)
),"Yes","No"),
IF($A476="Cybernet",
IF(OR(
AND($Y476&lt;&gt;"",LOWER(TRIM($Y476))&lt;&gt;"n/a",COUNTIFS($B$2:$B$532,"Yes",$A$2:$A$532,"Cybernet",$Y$2:$Y$532,$Y476)&gt;1),
AND($Z476&lt;&gt;"",LOWER(TRIM($Z476))&lt;&gt;"n/a",COUNTIFS($B$2:$B$532,"Yes",$A$2:$A$532,"Cybernet",$Z$2:$Z$532,$Z476)&gt;1)
),"Yes","No"),
IF(AND($AL476&lt;&gt;"",LOWER(TRIM($AL476))&lt;&gt;"n/a"),
IF(COUNTIFS($B$2:$B$532,"Yes",$A$2:$A$532,$A476,$AL$2:$AL$532,$AL476)&gt;1,"Yes","No"),
"No")
)
)
)</f>
      </c>
      <c r="BL476">
        <f>IF($T476="","",IF((IF(AND($AW476&lt;&gt;"Yes",$AW476&lt;&gt;"N/A"),"Power Cable, ","")&amp;IF(AND($AX476&lt;&gt;"Yes",$AX476&lt;&gt;"N/A"),"Battery, ","")&amp;IF(AND($BE476&lt;&gt;"Yes",$BE476&lt;&gt;"N/A"),"Firmware Download, ","")&amp;IF(AND(OR($BE476="Yes",$BE476="N/A"),$BF476&lt;&gt;"Yes",$BF476&lt;&gt;"N/A"),"Firmware Install, ","")&amp;IF(AND($BJ476&lt;&gt;"Yes",$BJ476&lt;&gt;"N/A"),"Device ID, ","")&amp;IF(AND($BK476&lt;&gt;"Yes",$BK476&lt;&gt;"N/A"),"Epic Beans Relay, ",""))="","",LEFT(IF(AND($AW476&lt;&gt;"Yes",$AW476&lt;&gt;"N/A"),"Power Cable, ","")&amp;IF(AND($AX476&lt;&gt;"Yes",$AX476&lt;&gt;"N/A"),"Battery, ","")&amp;IF(AND($BE476&lt;&gt;"Yes",$BE476&lt;&gt;"N/A"),"Firmware Download, ","")&amp;IF(AND(OR($BE476="Yes",$BE476="N/A"),$BF476&lt;&gt;"Yes",$BF476&lt;&gt;"N/A"),"Firmware Install, ","")&amp;IF(AND($BJ476&lt;&gt;"Yes",$BJ476&lt;&gt;"N/A"),"Device ID, ","")&amp;IF(AND($BK476&lt;&gt;"Yes",$BK476&lt;&gt;"N/A"),"Epic Beans Relay, ",""),LEN(IF(AND($AW476&lt;&gt;"Yes",$AW476&lt;&gt;"N/A"),"Power Cable, ","")&amp;IF(AND($AX476&lt;&gt;"Yes",$AX476&lt;&gt;"N/A"),"Battery, ","")&amp;IF(AND($BE476&lt;&gt;"Yes",$BE476&lt;&gt;"N/A"),"Firmware Download, ","")&amp;IF(AND(OR($BE476="Yes",$BE476="N/A"),$BF476&lt;&gt;"Yes",$BF476&lt;&gt;"N/A"),"Firmware Install, ","")&amp;IF(AND($BJ476&lt;&gt;"Yes",$BJ476&lt;&gt;"N/A"),"Device ID, ","")&amp;IF(AND($BK476&lt;&gt;"Yes",$BK476&lt;&gt;"N/A"),"Epic Beans Relay, ",""))-2)))</f>
      </c>
      <c r="BM476">
        <f>IF($T476="","",IF($BL476="","Yes","Blocked"))</f>
      </c>
      <c r="BP476">
        <f>IF($BO476="","",IFERROR(VLOOKUP($BO476,'01_Warehouse_Ledger'!$A:$N,4,FALSE),""))</f>
      </c>
      <c r="BQ476">
        <f>IF($BO476="","",IFERROR(VLOOKUP($BO476,'01_Warehouse_Ledger'!$A:$N,5,FALSE),""))</f>
      </c>
      <c r="BR476">
        <f>IF($BO476="","",IFERROR(VLOOKUP($BO476,'01_Warehouse_Ledger'!$A:$N,13,FALSE),""))</f>
      </c>
    </row>
    <row r="477">
      <c r="D477">
        <f>IF($B477&lt;&gt;"Yes","",IF($C477="No","Yes",IF($C477="Yes","No","")))</f>
      </c>
      <c r="E477">
        <f>IF($A477="","",IF($A477="Neuron",IF(OR(AND($S477&lt;&gt;"",LOWER(TRIM($S477))&lt;&gt;"n/a",COUNTIF($S$2:$S$532,$S477)&gt;1),AND($T477&lt;&gt;"",LOWER(TRIM($T477))&lt;&gt;"n/a",COUNTIF($T$2:$T$532,$T477)&gt;1),AND($W477&lt;&gt;"",LOWER(TRIM($W477))&lt;&gt;"n/a",COUNTIF($W$2:$W$532,$W477)&gt;1)),"Yes","No"),IF($A477="Cybernet",IF(OR(AND($Y477&lt;&gt;"",LOWER(TRIM($Y477))&lt;&gt;"n/a",COUNTIF($Y$2:$Y$532,$Y477)&gt;1),AND($Z477&lt;&gt;"",LOWER(TRIM($Z477))&lt;&gt;"n/a",COUNTIF($Z$2:$Z$532,$Z477)&gt;1)),"Yes","No"),IF(AND($AL477&lt;&gt;"",LOWER(TRIM($AL477))&lt;&gt;"n/a",COUNTIF($AL$2:$AL$532,$AL477)&gt;1),"Yes","No"))))</f>
      </c>
      <c r="F477">
        <f>IF($B477&lt;&gt;"Yes","",
IF($A477="Neuron",
IF(OR(
AND($S477&lt;&gt;"",LOWER(TRIM($S477))&lt;&gt;"n/a",COUNTIFS($B$2:$B$532,"Yes",$A$2:$A$532,"Neuron",$S$2:$S$532,$S477)&gt;1),
AND($T477&lt;&gt;"",LOWER(TRIM($T477))&lt;&gt;"n/a",COUNTIFS($B$2:$B$532,"Yes",$A$2:$A$532,"Neuron",$T$2:$T$532,$T477)&gt;1),
AND($W477&lt;&gt;"",LOWER(TRIM($W477))&lt;&gt;"n/a",COUNTIFS($B$2:$B$532,"Yes",$A$2:$A$532,"Neuron",$W$2:$W$532,$W477)&gt;1)
),"Yes","No"),
IF($A477="Cybernet",
IF(OR(
AND($Y477&lt;&gt;"",LOWER(TRIM($Y477))&lt;&gt;"n/a",COUNTIFS($B$2:$B$532,"Yes",$A$2:$A$532,"Cybernet",$Y$2:$Y$532,$Y477)&gt;1),
AND($Z477&lt;&gt;"",LOWER(TRIM($Z477))&lt;&gt;"n/a",COUNTIFS($B$2:$B$532,"Yes",$A$2:$A$532,"Cybernet",$Z$2:$Z$532,$Z477)&gt;1)
),"Yes","No"),
IF(AND($AL477&lt;&gt;"",LOWER(TRIM($AL477))&lt;&gt;"n/a"),
IF(COUNTIFS($B$2:$B$532,"Yes",$A$2:$A$532,$A477,$AL$2:$AL$532,$AL477)&gt;1,"Yes","No"),
"No")
)
)
)</f>
      </c>
      <c r="BL477">
        <f>IF($T477="","",IF((IF(AND($AW477&lt;&gt;"Yes",$AW477&lt;&gt;"N/A"),"Power Cable, ","")&amp;IF(AND($AX477&lt;&gt;"Yes",$AX477&lt;&gt;"N/A"),"Battery, ","")&amp;IF(AND($BE477&lt;&gt;"Yes",$BE477&lt;&gt;"N/A"),"Firmware Download, ","")&amp;IF(AND(OR($BE477="Yes",$BE477="N/A"),$BF477&lt;&gt;"Yes",$BF477&lt;&gt;"N/A"),"Firmware Install, ","")&amp;IF(AND($BJ477&lt;&gt;"Yes",$BJ477&lt;&gt;"N/A"),"Device ID, ","")&amp;IF(AND($BK477&lt;&gt;"Yes",$BK477&lt;&gt;"N/A"),"Epic Beans Relay, ",""))="","",LEFT(IF(AND($AW477&lt;&gt;"Yes",$AW477&lt;&gt;"N/A"),"Power Cable, ","")&amp;IF(AND($AX477&lt;&gt;"Yes",$AX477&lt;&gt;"N/A"),"Battery, ","")&amp;IF(AND($BE477&lt;&gt;"Yes",$BE477&lt;&gt;"N/A"),"Firmware Download, ","")&amp;IF(AND(OR($BE477="Yes",$BE477="N/A"),$BF477&lt;&gt;"Yes",$BF477&lt;&gt;"N/A"),"Firmware Install, ","")&amp;IF(AND($BJ477&lt;&gt;"Yes",$BJ477&lt;&gt;"N/A"),"Device ID, ","")&amp;IF(AND($BK477&lt;&gt;"Yes",$BK477&lt;&gt;"N/A"),"Epic Beans Relay, ",""),LEN(IF(AND($AW477&lt;&gt;"Yes",$AW477&lt;&gt;"N/A"),"Power Cable, ","")&amp;IF(AND($AX477&lt;&gt;"Yes",$AX477&lt;&gt;"N/A"),"Battery, ","")&amp;IF(AND($BE477&lt;&gt;"Yes",$BE477&lt;&gt;"N/A"),"Firmware Download, ","")&amp;IF(AND(OR($BE477="Yes",$BE477="N/A"),$BF477&lt;&gt;"Yes",$BF477&lt;&gt;"N/A"),"Firmware Install, ","")&amp;IF(AND($BJ477&lt;&gt;"Yes",$BJ477&lt;&gt;"N/A"),"Device ID, ","")&amp;IF(AND($BK477&lt;&gt;"Yes",$BK477&lt;&gt;"N/A"),"Epic Beans Relay, ",""))-2)))</f>
      </c>
      <c r="BM477">
        <f>IF($T477="","",IF($BL477="","Yes","Blocked"))</f>
      </c>
      <c r="BP477">
        <f>IF($BO477="","",IFERROR(VLOOKUP($BO477,'01_Warehouse_Ledger'!$A:$N,4,FALSE),""))</f>
      </c>
      <c r="BQ477">
        <f>IF($BO477="","",IFERROR(VLOOKUP($BO477,'01_Warehouse_Ledger'!$A:$N,5,FALSE),""))</f>
      </c>
      <c r="BR477">
        <f>IF($BO477="","",IFERROR(VLOOKUP($BO477,'01_Warehouse_Ledger'!$A:$N,13,FALSE),""))</f>
      </c>
    </row>
    <row r="478">
      <c r="D478">
        <f>IF($B478&lt;&gt;"Yes","",IF($C478="No","Yes",IF($C478="Yes","No","")))</f>
      </c>
      <c r="E478">
        <f>IF($A478="","",IF($A478="Neuron",IF(OR(AND($S478&lt;&gt;"",LOWER(TRIM($S478))&lt;&gt;"n/a",COUNTIF($S$2:$S$532,$S478)&gt;1),AND($T478&lt;&gt;"",LOWER(TRIM($T478))&lt;&gt;"n/a",COUNTIF($T$2:$T$532,$T478)&gt;1),AND($W478&lt;&gt;"",LOWER(TRIM($W478))&lt;&gt;"n/a",COUNTIF($W$2:$W$532,$W478)&gt;1)),"Yes","No"),IF($A478="Cybernet",IF(OR(AND($Y478&lt;&gt;"",LOWER(TRIM($Y478))&lt;&gt;"n/a",COUNTIF($Y$2:$Y$532,$Y478)&gt;1),AND($Z478&lt;&gt;"",LOWER(TRIM($Z478))&lt;&gt;"n/a",COUNTIF($Z$2:$Z$532,$Z478)&gt;1)),"Yes","No"),IF(AND($AL478&lt;&gt;"",LOWER(TRIM($AL478))&lt;&gt;"n/a",COUNTIF($AL$2:$AL$532,$AL478)&gt;1),"Yes","No"))))</f>
      </c>
      <c r="F478">
        <f>IF($B478&lt;&gt;"Yes","",
IF($A478="Neuron",
IF(OR(
AND($S478&lt;&gt;"",LOWER(TRIM($S478))&lt;&gt;"n/a",COUNTIFS($B$2:$B$532,"Yes",$A$2:$A$532,"Neuron",$S$2:$S$532,$S478)&gt;1),
AND($T478&lt;&gt;"",LOWER(TRIM($T478))&lt;&gt;"n/a",COUNTIFS($B$2:$B$532,"Yes",$A$2:$A$532,"Neuron",$T$2:$T$532,$T478)&gt;1),
AND($W478&lt;&gt;"",LOWER(TRIM($W478))&lt;&gt;"n/a",COUNTIFS($B$2:$B$532,"Yes",$A$2:$A$532,"Neuron",$W$2:$W$532,$W478)&gt;1)
),"Yes","No"),
IF($A478="Cybernet",
IF(OR(
AND($Y478&lt;&gt;"",LOWER(TRIM($Y478))&lt;&gt;"n/a",COUNTIFS($B$2:$B$532,"Yes",$A$2:$A$532,"Cybernet",$Y$2:$Y$532,$Y478)&gt;1),
AND($Z478&lt;&gt;"",LOWER(TRIM($Z478))&lt;&gt;"n/a",COUNTIFS($B$2:$B$532,"Yes",$A$2:$A$532,"Cybernet",$Z$2:$Z$532,$Z478)&gt;1)
),"Yes","No"),
IF(AND($AL478&lt;&gt;"",LOWER(TRIM($AL478))&lt;&gt;"n/a"),
IF(COUNTIFS($B$2:$B$532,"Yes",$A$2:$A$532,$A478,$AL$2:$AL$532,$AL478)&gt;1,"Yes","No"),
"No")
)
)
)</f>
      </c>
      <c r="BL478">
        <f>IF($T478="","",IF((IF(AND($AW478&lt;&gt;"Yes",$AW478&lt;&gt;"N/A"),"Power Cable, ","")&amp;IF(AND($AX478&lt;&gt;"Yes",$AX478&lt;&gt;"N/A"),"Battery, ","")&amp;IF(AND($BE478&lt;&gt;"Yes",$BE478&lt;&gt;"N/A"),"Firmware Download, ","")&amp;IF(AND(OR($BE478="Yes",$BE478="N/A"),$BF478&lt;&gt;"Yes",$BF478&lt;&gt;"N/A"),"Firmware Install, ","")&amp;IF(AND($BJ478&lt;&gt;"Yes",$BJ478&lt;&gt;"N/A"),"Device ID, ","")&amp;IF(AND($BK478&lt;&gt;"Yes",$BK478&lt;&gt;"N/A"),"Epic Beans Relay, ",""))="","",LEFT(IF(AND($AW478&lt;&gt;"Yes",$AW478&lt;&gt;"N/A"),"Power Cable, ","")&amp;IF(AND($AX478&lt;&gt;"Yes",$AX478&lt;&gt;"N/A"),"Battery, ","")&amp;IF(AND($BE478&lt;&gt;"Yes",$BE478&lt;&gt;"N/A"),"Firmware Download, ","")&amp;IF(AND(OR($BE478="Yes",$BE478="N/A"),$BF478&lt;&gt;"Yes",$BF478&lt;&gt;"N/A"),"Firmware Install, ","")&amp;IF(AND($BJ478&lt;&gt;"Yes",$BJ478&lt;&gt;"N/A"),"Device ID, ","")&amp;IF(AND($BK478&lt;&gt;"Yes",$BK478&lt;&gt;"N/A"),"Epic Beans Relay, ",""),LEN(IF(AND($AW478&lt;&gt;"Yes",$AW478&lt;&gt;"N/A"),"Power Cable, ","")&amp;IF(AND($AX478&lt;&gt;"Yes",$AX478&lt;&gt;"N/A"),"Battery, ","")&amp;IF(AND($BE478&lt;&gt;"Yes",$BE478&lt;&gt;"N/A"),"Firmware Download, ","")&amp;IF(AND(OR($BE478="Yes",$BE478="N/A"),$BF478&lt;&gt;"Yes",$BF478&lt;&gt;"N/A"),"Firmware Install, ","")&amp;IF(AND($BJ478&lt;&gt;"Yes",$BJ478&lt;&gt;"N/A"),"Device ID, ","")&amp;IF(AND($BK478&lt;&gt;"Yes",$BK478&lt;&gt;"N/A"),"Epic Beans Relay, ",""))-2)))</f>
      </c>
      <c r="BM478">
        <f>IF($T478="","",IF($BL478="","Yes","Blocked"))</f>
      </c>
      <c r="BP478">
        <f>IF($BO478="","",IFERROR(VLOOKUP($BO478,'01_Warehouse_Ledger'!$A:$N,4,FALSE),""))</f>
      </c>
      <c r="BQ478">
        <f>IF($BO478="","",IFERROR(VLOOKUP($BO478,'01_Warehouse_Ledger'!$A:$N,5,FALSE),""))</f>
      </c>
      <c r="BR478">
        <f>IF($BO478="","",IFERROR(VLOOKUP($BO478,'01_Warehouse_Ledger'!$A:$N,13,FALSE),""))</f>
      </c>
    </row>
    <row r="479">
      <c r="D479">
        <f>IF($B479&lt;&gt;"Yes","",IF($C479="No","Yes",IF($C479="Yes","No","")))</f>
      </c>
      <c r="E479">
        <f>IF($A479="","",IF($A479="Neuron",IF(OR(AND($S479&lt;&gt;"",LOWER(TRIM($S479))&lt;&gt;"n/a",COUNTIF($S$2:$S$532,$S479)&gt;1),AND($T479&lt;&gt;"",LOWER(TRIM($T479))&lt;&gt;"n/a",COUNTIF($T$2:$T$532,$T479)&gt;1),AND($W479&lt;&gt;"",LOWER(TRIM($W479))&lt;&gt;"n/a",COUNTIF($W$2:$W$532,$W479)&gt;1)),"Yes","No"),IF($A479="Cybernet",IF(OR(AND($Y479&lt;&gt;"",LOWER(TRIM($Y479))&lt;&gt;"n/a",COUNTIF($Y$2:$Y$532,$Y479)&gt;1),AND($Z479&lt;&gt;"",LOWER(TRIM($Z479))&lt;&gt;"n/a",COUNTIF($Z$2:$Z$532,$Z479)&gt;1)),"Yes","No"),IF(AND($AL479&lt;&gt;"",LOWER(TRIM($AL479))&lt;&gt;"n/a",COUNTIF($AL$2:$AL$532,$AL479)&gt;1),"Yes","No"))))</f>
      </c>
      <c r="F479">
        <f>IF($B479&lt;&gt;"Yes","",
IF($A479="Neuron",
IF(OR(
AND($S479&lt;&gt;"",LOWER(TRIM($S479))&lt;&gt;"n/a",COUNTIFS($B$2:$B$532,"Yes",$A$2:$A$532,"Neuron",$S$2:$S$532,$S479)&gt;1),
AND($T479&lt;&gt;"",LOWER(TRIM($T479))&lt;&gt;"n/a",COUNTIFS($B$2:$B$532,"Yes",$A$2:$A$532,"Neuron",$T$2:$T$532,$T479)&gt;1),
AND($W479&lt;&gt;"",LOWER(TRIM($W479))&lt;&gt;"n/a",COUNTIFS($B$2:$B$532,"Yes",$A$2:$A$532,"Neuron",$W$2:$W$532,$W479)&gt;1)
),"Yes","No"),
IF($A479="Cybernet",
IF(OR(
AND($Y479&lt;&gt;"",LOWER(TRIM($Y479))&lt;&gt;"n/a",COUNTIFS($B$2:$B$532,"Yes",$A$2:$A$532,"Cybernet",$Y$2:$Y$532,$Y479)&gt;1),
AND($Z479&lt;&gt;"",LOWER(TRIM($Z479))&lt;&gt;"n/a",COUNTIFS($B$2:$B$532,"Yes",$A$2:$A$532,"Cybernet",$Z$2:$Z$532,$Z479)&gt;1)
),"Yes","No"),
IF(AND($AL479&lt;&gt;"",LOWER(TRIM($AL479))&lt;&gt;"n/a"),
IF(COUNTIFS($B$2:$B$532,"Yes",$A$2:$A$532,$A479,$AL$2:$AL$532,$AL479)&gt;1,"Yes","No"),
"No")
)
)
)</f>
      </c>
      <c r="BL479">
        <f>IF($T479="","",IF((IF(AND($AW479&lt;&gt;"Yes",$AW479&lt;&gt;"N/A"),"Power Cable, ","")&amp;IF(AND($AX479&lt;&gt;"Yes",$AX479&lt;&gt;"N/A"),"Battery, ","")&amp;IF(AND($BE479&lt;&gt;"Yes",$BE479&lt;&gt;"N/A"),"Firmware Download, ","")&amp;IF(AND(OR($BE479="Yes",$BE479="N/A"),$BF479&lt;&gt;"Yes",$BF479&lt;&gt;"N/A"),"Firmware Install, ","")&amp;IF(AND($BJ479&lt;&gt;"Yes",$BJ479&lt;&gt;"N/A"),"Device ID, ","")&amp;IF(AND($BK479&lt;&gt;"Yes",$BK479&lt;&gt;"N/A"),"Epic Beans Relay, ",""))="","",LEFT(IF(AND($AW479&lt;&gt;"Yes",$AW479&lt;&gt;"N/A"),"Power Cable, ","")&amp;IF(AND($AX479&lt;&gt;"Yes",$AX479&lt;&gt;"N/A"),"Battery, ","")&amp;IF(AND($BE479&lt;&gt;"Yes",$BE479&lt;&gt;"N/A"),"Firmware Download, ","")&amp;IF(AND(OR($BE479="Yes",$BE479="N/A"),$BF479&lt;&gt;"Yes",$BF479&lt;&gt;"N/A"),"Firmware Install, ","")&amp;IF(AND($BJ479&lt;&gt;"Yes",$BJ479&lt;&gt;"N/A"),"Device ID, ","")&amp;IF(AND($BK479&lt;&gt;"Yes",$BK479&lt;&gt;"N/A"),"Epic Beans Relay, ",""),LEN(IF(AND($AW479&lt;&gt;"Yes",$AW479&lt;&gt;"N/A"),"Power Cable, ","")&amp;IF(AND($AX479&lt;&gt;"Yes",$AX479&lt;&gt;"N/A"),"Battery, ","")&amp;IF(AND($BE479&lt;&gt;"Yes",$BE479&lt;&gt;"N/A"),"Firmware Download, ","")&amp;IF(AND(OR($BE479="Yes",$BE479="N/A"),$BF479&lt;&gt;"Yes",$BF479&lt;&gt;"N/A"),"Firmware Install, ","")&amp;IF(AND($BJ479&lt;&gt;"Yes",$BJ479&lt;&gt;"N/A"),"Device ID, ","")&amp;IF(AND($BK479&lt;&gt;"Yes",$BK479&lt;&gt;"N/A"),"Epic Beans Relay, ",""))-2)))</f>
      </c>
      <c r="BM479">
        <f>IF($T479="","",IF($BL479="","Yes","Blocked"))</f>
      </c>
      <c r="BP479">
        <f>IF($BO479="","",IFERROR(VLOOKUP($BO479,'01_Warehouse_Ledger'!$A:$N,4,FALSE),""))</f>
      </c>
      <c r="BQ479">
        <f>IF($BO479="","",IFERROR(VLOOKUP($BO479,'01_Warehouse_Ledger'!$A:$N,5,FALSE),""))</f>
      </c>
      <c r="BR479">
        <f>IF($BO479="","",IFERROR(VLOOKUP($BO479,'01_Warehouse_Ledger'!$A:$N,13,FALSE),""))</f>
      </c>
    </row>
    <row r="480">
      <c r="D480">
        <f>IF($B480&lt;&gt;"Yes","",IF($C480="No","Yes",IF($C480="Yes","No","")))</f>
      </c>
      <c r="E480">
        <f>IF($A480="","",IF($A480="Neuron",IF(OR(AND($S480&lt;&gt;"",LOWER(TRIM($S480))&lt;&gt;"n/a",COUNTIF($S$2:$S$532,$S480)&gt;1),AND($T480&lt;&gt;"",LOWER(TRIM($T480))&lt;&gt;"n/a",COUNTIF($T$2:$T$532,$T480)&gt;1),AND($W480&lt;&gt;"",LOWER(TRIM($W480))&lt;&gt;"n/a",COUNTIF($W$2:$W$532,$W480)&gt;1)),"Yes","No"),IF($A480="Cybernet",IF(OR(AND($Y480&lt;&gt;"",LOWER(TRIM($Y480))&lt;&gt;"n/a",COUNTIF($Y$2:$Y$532,$Y480)&gt;1),AND($Z480&lt;&gt;"",LOWER(TRIM($Z480))&lt;&gt;"n/a",COUNTIF($Z$2:$Z$532,$Z480)&gt;1)),"Yes","No"),IF(AND($AL480&lt;&gt;"",LOWER(TRIM($AL480))&lt;&gt;"n/a",COUNTIF($AL$2:$AL$532,$AL480)&gt;1),"Yes","No"))))</f>
      </c>
      <c r="F480">
        <f>IF($B480&lt;&gt;"Yes","",
IF($A480="Neuron",
IF(OR(
AND($S480&lt;&gt;"",LOWER(TRIM($S480))&lt;&gt;"n/a",COUNTIFS($B$2:$B$532,"Yes",$A$2:$A$532,"Neuron",$S$2:$S$532,$S480)&gt;1),
AND($T480&lt;&gt;"",LOWER(TRIM($T480))&lt;&gt;"n/a",COUNTIFS($B$2:$B$532,"Yes",$A$2:$A$532,"Neuron",$T$2:$T$532,$T480)&gt;1),
AND($W480&lt;&gt;"",LOWER(TRIM($W480))&lt;&gt;"n/a",COUNTIFS($B$2:$B$532,"Yes",$A$2:$A$532,"Neuron",$W$2:$W$532,$W480)&gt;1)
),"Yes","No"),
IF($A480="Cybernet",
IF(OR(
AND($Y480&lt;&gt;"",LOWER(TRIM($Y480))&lt;&gt;"n/a",COUNTIFS($B$2:$B$532,"Yes",$A$2:$A$532,"Cybernet",$Y$2:$Y$532,$Y480)&gt;1),
AND($Z480&lt;&gt;"",LOWER(TRIM($Z480))&lt;&gt;"n/a",COUNTIFS($B$2:$B$532,"Yes",$A$2:$A$532,"Cybernet",$Z$2:$Z$532,$Z480)&gt;1)
),"Yes","No"),
IF(AND($AL480&lt;&gt;"",LOWER(TRIM($AL480))&lt;&gt;"n/a"),
IF(COUNTIFS($B$2:$B$532,"Yes",$A$2:$A$532,$A480,$AL$2:$AL$532,$AL480)&gt;1,"Yes","No"),
"No")
)
)
)</f>
      </c>
      <c r="BL480">
        <f>IF($T480="","",IF((IF(AND($AW480&lt;&gt;"Yes",$AW480&lt;&gt;"N/A"),"Power Cable, ","")&amp;IF(AND($AX480&lt;&gt;"Yes",$AX480&lt;&gt;"N/A"),"Battery, ","")&amp;IF(AND($BE480&lt;&gt;"Yes",$BE480&lt;&gt;"N/A"),"Firmware Download, ","")&amp;IF(AND(OR($BE480="Yes",$BE480="N/A"),$BF480&lt;&gt;"Yes",$BF480&lt;&gt;"N/A"),"Firmware Install, ","")&amp;IF(AND($BJ480&lt;&gt;"Yes",$BJ480&lt;&gt;"N/A"),"Device ID, ","")&amp;IF(AND($BK480&lt;&gt;"Yes",$BK480&lt;&gt;"N/A"),"Epic Beans Relay, ",""))="","",LEFT(IF(AND($AW480&lt;&gt;"Yes",$AW480&lt;&gt;"N/A"),"Power Cable, ","")&amp;IF(AND($AX480&lt;&gt;"Yes",$AX480&lt;&gt;"N/A"),"Battery, ","")&amp;IF(AND($BE480&lt;&gt;"Yes",$BE480&lt;&gt;"N/A"),"Firmware Download, ","")&amp;IF(AND(OR($BE480="Yes",$BE480="N/A"),$BF480&lt;&gt;"Yes",$BF480&lt;&gt;"N/A"),"Firmware Install, ","")&amp;IF(AND($BJ480&lt;&gt;"Yes",$BJ480&lt;&gt;"N/A"),"Device ID, ","")&amp;IF(AND($BK480&lt;&gt;"Yes",$BK480&lt;&gt;"N/A"),"Epic Beans Relay, ",""),LEN(IF(AND($AW480&lt;&gt;"Yes",$AW480&lt;&gt;"N/A"),"Power Cable, ","")&amp;IF(AND($AX480&lt;&gt;"Yes",$AX480&lt;&gt;"N/A"),"Battery, ","")&amp;IF(AND($BE480&lt;&gt;"Yes",$BE480&lt;&gt;"N/A"),"Firmware Download, ","")&amp;IF(AND(OR($BE480="Yes",$BE480="N/A"),$BF480&lt;&gt;"Yes",$BF480&lt;&gt;"N/A"),"Firmware Install, ","")&amp;IF(AND($BJ480&lt;&gt;"Yes",$BJ480&lt;&gt;"N/A"),"Device ID, ","")&amp;IF(AND($BK480&lt;&gt;"Yes",$BK480&lt;&gt;"N/A"),"Epic Beans Relay, ",""))-2)))</f>
      </c>
      <c r="BM480">
        <f>IF($T480="","",IF($BL480="","Yes","Blocked"))</f>
      </c>
      <c r="BP480">
        <f>IF($BO480="","",IFERROR(VLOOKUP($BO480,'01_Warehouse_Ledger'!$A:$N,4,FALSE),""))</f>
      </c>
      <c r="BQ480">
        <f>IF($BO480="","",IFERROR(VLOOKUP($BO480,'01_Warehouse_Ledger'!$A:$N,5,FALSE),""))</f>
      </c>
      <c r="BR480">
        <f>IF($BO480="","",IFERROR(VLOOKUP($BO480,'01_Warehouse_Ledger'!$A:$N,13,FALSE),""))</f>
      </c>
    </row>
    <row r="481">
      <c r="D481">
        <f>IF($B481&lt;&gt;"Yes","",IF($C481="No","Yes",IF($C481="Yes","No","")))</f>
      </c>
      <c r="E481">
        <f>IF($A481="","",IF($A481="Neuron",IF(OR(AND($S481&lt;&gt;"",LOWER(TRIM($S481))&lt;&gt;"n/a",COUNTIF($S$2:$S$532,$S481)&gt;1),AND($T481&lt;&gt;"",LOWER(TRIM($T481))&lt;&gt;"n/a",COUNTIF($T$2:$T$532,$T481)&gt;1),AND($W481&lt;&gt;"",LOWER(TRIM($W481))&lt;&gt;"n/a",COUNTIF($W$2:$W$532,$W481)&gt;1)),"Yes","No"),IF($A481="Cybernet",IF(OR(AND($Y481&lt;&gt;"",LOWER(TRIM($Y481))&lt;&gt;"n/a",COUNTIF($Y$2:$Y$532,$Y481)&gt;1),AND($Z481&lt;&gt;"",LOWER(TRIM($Z481))&lt;&gt;"n/a",COUNTIF($Z$2:$Z$532,$Z481)&gt;1)),"Yes","No"),IF(AND($AL481&lt;&gt;"",LOWER(TRIM($AL481))&lt;&gt;"n/a",COUNTIF($AL$2:$AL$532,$AL481)&gt;1),"Yes","No"))))</f>
      </c>
      <c r="F481">
        <f>IF($B481&lt;&gt;"Yes","",
IF($A481="Neuron",
IF(OR(
AND($S481&lt;&gt;"",LOWER(TRIM($S481))&lt;&gt;"n/a",COUNTIFS($B$2:$B$532,"Yes",$A$2:$A$532,"Neuron",$S$2:$S$532,$S481)&gt;1),
AND($T481&lt;&gt;"",LOWER(TRIM($T481))&lt;&gt;"n/a",COUNTIFS($B$2:$B$532,"Yes",$A$2:$A$532,"Neuron",$T$2:$T$532,$T481)&gt;1),
AND($W481&lt;&gt;"",LOWER(TRIM($W481))&lt;&gt;"n/a",COUNTIFS($B$2:$B$532,"Yes",$A$2:$A$532,"Neuron",$W$2:$W$532,$W481)&gt;1)
),"Yes","No"),
IF($A481="Cybernet",
IF(OR(
AND($Y481&lt;&gt;"",LOWER(TRIM($Y481))&lt;&gt;"n/a",COUNTIFS($B$2:$B$532,"Yes",$A$2:$A$532,"Cybernet",$Y$2:$Y$532,$Y481)&gt;1),
AND($Z481&lt;&gt;"",LOWER(TRIM($Z481))&lt;&gt;"n/a",COUNTIFS($B$2:$B$532,"Yes",$A$2:$A$532,"Cybernet",$Z$2:$Z$532,$Z481)&gt;1)
),"Yes","No"),
IF(AND($AL481&lt;&gt;"",LOWER(TRIM($AL481))&lt;&gt;"n/a"),
IF(COUNTIFS($B$2:$B$532,"Yes",$A$2:$A$532,$A481,$AL$2:$AL$532,$AL481)&gt;1,"Yes","No"),
"No")
)
)
)</f>
      </c>
      <c r="BL481">
        <f>IF($T481="","",IF((IF(AND($AW481&lt;&gt;"Yes",$AW481&lt;&gt;"N/A"),"Power Cable, ","")&amp;IF(AND($AX481&lt;&gt;"Yes",$AX481&lt;&gt;"N/A"),"Battery, ","")&amp;IF(AND($BE481&lt;&gt;"Yes",$BE481&lt;&gt;"N/A"),"Firmware Download, ","")&amp;IF(AND(OR($BE481="Yes",$BE481="N/A"),$BF481&lt;&gt;"Yes",$BF481&lt;&gt;"N/A"),"Firmware Install, ","")&amp;IF(AND($BJ481&lt;&gt;"Yes",$BJ481&lt;&gt;"N/A"),"Device ID, ","")&amp;IF(AND($BK481&lt;&gt;"Yes",$BK481&lt;&gt;"N/A"),"Epic Beans Relay, ",""))="","",LEFT(IF(AND($AW481&lt;&gt;"Yes",$AW481&lt;&gt;"N/A"),"Power Cable, ","")&amp;IF(AND($AX481&lt;&gt;"Yes",$AX481&lt;&gt;"N/A"),"Battery, ","")&amp;IF(AND($BE481&lt;&gt;"Yes",$BE481&lt;&gt;"N/A"),"Firmware Download, ","")&amp;IF(AND(OR($BE481="Yes",$BE481="N/A"),$BF481&lt;&gt;"Yes",$BF481&lt;&gt;"N/A"),"Firmware Install, ","")&amp;IF(AND($BJ481&lt;&gt;"Yes",$BJ481&lt;&gt;"N/A"),"Device ID, ","")&amp;IF(AND($BK481&lt;&gt;"Yes",$BK481&lt;&gt;"N/A"),"Epic Beans Relay, ",""),LEN(IF(AND($AW481&lt;&gt;"Yes",$AW481&lt;&gt;"N/A"),"Power Cable, ","")&amp;IF(AND($AX481&lt;&gt;"Yes",$AX481&lt;&gt;"N/A"),"Battery, ","")&amp;IF(AND($BE481&lt;&gt;"Yes",$BE481&lt;&gt;"N/A"),"Firmware Download, ","")&amp;IF(AND(OR($BE481="Yes",$BE481="N/A"),$BF481&lt;&gt;"Yes",$BF481&lt;&gt;"N/A"),"Firmware Install, ","")&amp;IF(AND($BJ481&lt;&gt;"Yes",$BJ481&lt;&gt;"N/A"),"Device ID, ","")&amp;IF(AND($BK481&lt;&gt;"Yes",$BK481&lt;&gt;"N/A"),"Epic Beans Relay, ",""))-2)))</f>
      </c>
      <c r="BM481">
        <f>IF($T481="","",IF($BL481="","Yes","Blocked"))</f>
      </c>
      <c r="BP481">
        <f>IF($BO481="","",IFERROR(VLOOKUP($BO481,'01_Warehouse_Ledger'!$A:$N,4,FALSE),""))</f>
      </c>
      <c r="BQ481">
        <f>IF($BO481="","",IFERROR(VLOOKUP($BO481,'01_Warehouse_Ledger'!$A:$N,5,FALSE),""))</f>
      </c>
      <c r="BR481">
        <f>IF($BO481="","",IFERROR(VLOOKUP($BO481,'01_Warehouse_Ledger'!$A:$N,13,FALSE),""))</f>
      </c>
    </row>
    <row r="482">
      <c r="D482">
        <f>IF($B482&lt;&gt;"Yes","",IF($C482="No","Yes",IF($C482="Yes","No","")))</f>
      </c>
      <c r="E482">
        <f>IF($A482="","",IF($A482="Neuron",IF(OR(AND($S482&lt;&gt;"",LOWER(TRIM($S482))&lt;&gt;"n/a",COUNTIF($S$2:$S$532,$S482)&gt;1),AND($T482&lt;&gt;"",LOWER(TRIM($T482))&lt;&gt;"n/a",COUNTIF($T$2:$T$532,$T482)&gt;1),AND($W482&lt;&gt;"",LOWER(TRIM($W482))&lt;&gt;"n/a",COUNTIF($W$2:$W$532,$W482)&gt;1)),"Yes","No"),IF($A482="Cybernet",IF(OR(AND($Y482&lt;&gt;"",LOWER(TRIM($Y482))&lt;&gt;"n/a",COUNTIF($Y$2:$Y$532,$Y482)&gt;1),AND($Z482&lt;&gt;"",LOWER(TRIM($Z482))&lt;&gt;"n/a",COUNTIF($Z$2:$Z$532,$Z482)&gt;1)),"Yes","No"),IF(AND($AL482&lt;&gt;"",LOWER(TRIM($AL482))&lt;&gt;"n/a",COUNTIF($AL$2:$AL$532,$AL482)&gt;1),"Yes","No"))))</f>
      </c>
      <c r="F482">
        <f>IF($B482&lt;&gt;"Yes","",
IF($A482="Neuron",
IF(OR(
AND($S482&lt;&gt;"",LOWER(TRIM($S482))&lt;&gt;"n/a",COUNTIFS($B$2:$B$532,"Yes",$A$2:$A$532,"Neuron",$S$2:$S$532,$S482)&gt;1),
AND($T482&lt;&gt;"",LOWER(TRIM($T482))&lt;&gt;"n/a",COUNTIFS($B$2:$B$532,"Yes",$A$2:$A$532,"Neuron",$T$2:$T$532,$T482)&gt;1),
AND($W482&lt;&gt;"",LOWER(TRIM($W482))&lt;&gt;"n/a",COUNTIFS($B$2:$B$532,"Yes",$A$2:$A$532,"Neuron",$W$2:$W$532,$W482)&gt;1)
),"Yes","No"),
IF($A482="Cybernet",
IF(OR(
AND($Y482&lt;&gt;"",LOWER(TRIM($Y482))&lt;&gt;"n/a",COUNTIFS($B$2:$B$532,"Yes",$A$2:$A$532,"Cybernet",$Y$2:$Y$532,$Y482)&gt;1),
AND($Z482&lt;&gt;"",LOWER(TRIM($Z482))&lt;&gt;"n/a",COUNTIFS($B$2:$B$532,"Yes",$A$2:$A$532,"Cybernet",$Z$2:$Z$532,$Z482)&gt;1)
),"Yes","No"),
IF(AND($AL482&lt;&gt;"",LOWER(TRIM($AL482))&lt;&gt;"n/a"),
IF(COUNTIFS($B$2:$B$532,"Yes",$A$2:$A$532,$A482,$AL$2:$AL$532,$AL482)&gt;1,"Yes","No"),
"No")
)
)
)</f>
      </c>
      <c r="BL482">
        <f>IF($T482="","",IF((IF(AND($AW482&lt;&gt;"Yes",$AW482&lt;&gt;"N/A"),"Power Cable, ","")&amp;IF(AND($AX482&lt;&gt;"Yes",$AX482&lt;&gt;"N/A"),"Battery, ","")&amp;IF(AND($BE482&lt;&gt;"Yes",$BE482&lt;&gt;"N/A"),"Firmware Download, ","")&amp;IF(AND(OR($BE482="Yes",$BE482="N/A"),$BF482&lt;&gt;"Yes",$BF482&lt;&gt;"N/A"),"Firmware Install, ","")&amp;IF(AND($BJ482&lt;&gt;"Yes",$BJ482&lt;&gt;"N/A"),"Device ID, ","")&amp;IF(AND($BK482&lt;&gt;"Yes",$BK482&lt;&gt;"N/A"),"Epic Beans Relay, ",""))="","",LEFT(IF(AND($AW482&lt;&gt;"Yes",$AW482&lt;&gt;"N/A"),"Power Cable, ","")&amp;IF(AND($AX482&lt;&gt;"Yes",$AX482&lt;&gt;"N/A"),"Battery, ","")&amp;IF(AND($BE482&lt;&gt;"Yes",$BE482&lt;&gt;"N/A"),"Firmware Download, ","")&amp;IF(AND(OR($BE482="Yes",$BE482="N/A"),$BF482&lt;&gt;"Yes",$BF482&lt;&gt;"N/A"),"Firmware Install, ","")&amp;IF(AND($BJ482&lt;&gt;"Yes",$BJ482&lt;&gt;"N/A"),"Device ID, ","")&amp;IF(AND($BK482&lt;&gt;"Yes",$BK482&lt;&gt;"N/A"),"Epic Beans Relay, ",""),LEN(IF(AND($AW482&lt;&gt;"Yes",$AW482&lt;&gt;"N/A"),"Power Cable, ","")&amp;IF(AND($AX482&lt;&gt;"Yes",$AX482&lt;&gt;"N/A"),"Battery, ","")&amp;IF(AND($BE482&lt;&gt;"Yes",$BE482&lt;&gt;"N/A"),"Firmware Download, ","")&amp;IF(AND(OR($BE482="Yes",$BE482="N/A"),$BF482&lt;&gt;"Yes",$BF482&lt;&gt;"N/A"),"Firmware Install, ","")&amp;IF(AND($BJ482&lt;&gt;"Yes",$BJ482&lt;&gt;"N/A"),"Device ID, ","")&amp;IF(AND($BK482&lt;&gt;"Yes",$BK482&lt;&gt;"N/A"),"Epic Beans Relay, ",""))-2)))</f>
      </c>
      <c r="BM482">
        <f>IF($T482="","",IF($BL482="","Yes","Blocked"))</f>
      </c>
      <c r="BP482">
        <f>IF($BO482="","",IFERROR(VLOOKUP($BO482,'01_Warehouse_Ledger'!$A:$N,4,FALSE),""))</f>
      </c>
      <c r="BQ482">
        <f>IF($BO482="","",IFERROR(VLOOKUP($BO482,'01_Warehouse_Ledger'!$A:$N,5,FALSE),""))</f>
      </c>
      <c r="BR482">
        <f>IF($BO482="","",IFERROR(VLOOKUP($BO482,'01_Warehouse_Ledger'!$A:$N,13,FALSE),""))</f>
      </c>
    </row>
    <row r="483">
      <c r="D483">
        <f>IF($B483&lt;&gt;"Yes","",IF($C483="No","Yes",IF($C483="Yes","No","")))</f>
      </c>
      <c r="E483">
        <f>IF($A483="","",IF($A483="Neuron",IF(OR(AND($S483&lt;&gt;"",LOWER(TRIM($S483))&lt;&gt;"n/a",COUNTIF($S$2:$S$532,$S483)&gt;1),AND($T483&lt;&gt;"",LOWER(TRIM($T483))&lt;&gt;"n/a",COUNTIF($T$2:$T$532,$T483)&gt;1),AND($W483&lt;&gt;"",LOWER(TRIM($W483))&lt;&gt;"n/a",COUNTIF($W$2:$W$532,$W483)&gt;1)),"Yes","No"),IF($A483="Cybernet",IF(OR(AND($Y483&lt;&gt;"",LOWER(TRIM($Y483))&lt;&gt;"n/a",COUNTIF($Y$2:$Y$532,$Y483)&gt;1),AND($Z483&lt;&gt;"",LOWER(TRIM($Z483))&lt;&gt;"n/a",COUNTIF($Z$2:$Z$532,$Z483)&gt;1)),"Yes","No"),IF(AND($AL483&lt;&gt;"",LOWER(TRIM($AL483))&lt;&gt;"n/a",COUNTIF($AL$2:$AL$532,$AL483)&gt;1),"Yes","No"))))</f>
      </c>
      <c r="F483">
        <f>IF($B483&lt;&gt;"Yes","",
IF($A483="Neuron",
IF(OR(
AND($S483&lt;&gt;"",LOWER(TRIM($S483))&lt;&gt;"n/a",COUNTIFS($B$2:$B$532,"Yes",$A$2:$A$532,"Neuron",$S$2:$S$532,$S483)&gt;1),
AND($T483&lt;&gt;"",LOWER(TRIM($T483))&lt;&gt;"n/a",COUNTIFS($B$2:$B$532,"Yes",$A$2:$A$532,"Neuron",$T$2:$T$532,$T483)&gt;1),
AND($W483&lt;&gt;"",LOWER(TRIM($W483))&lt;&gt;"n/a",COUNTIFS($B$2:$B$532,"Yes",$A$2:$A$532,"Neuron",$W$2:$W$532,$W483)&gt;1)
),"Yes","No"),
IF($A483="Cybernet",
IF(OR(
AND($Y483&lt;&gt;"",LOWER(TRIM($Y483))&lt;&gt;"n/a",COUNTIFS($B$2:$B$532,"Yes",$A$2:$A$532,"Cybernet",$Y$2:$Y$532,$Y483)&gt;1),
AND($Z483&lt;&gt;"",LOWER(TRIM($Z483))&lt;&gt;"n/a",COUNTIFS($B$2:$B$532,"Yes",$A$2:$A$532,"Cybernet",$Z$2:$Z$532,$Z483)&gt;1)
),"Yes","No"),
IF(AND($AL483&lt;&gt;"",LOWER(TRIM($AL483))&lt;&gt;"n/a"),
IF(COUNTIFS($B$2:$B$532,"Yes",$A$2:$A$532,$A483,$AL$2:$AL$532,$AL483)&gt;1,"Yes","No"),
"No")
)
)
)</f>
      </c>
      <c r="BL483">
        <f>IF($T483="","",IF((IF(AND($AW483&lt;&gt;"Yes",$AW483&lt;&gt;"N/A"),"Power Cable, ","")&amp;IF(AND($AX483&lt;&gt;"Yes",$AX483&lt;&gt;"N/A"),"Battery, ","")&amp;IF(AND($BE483&lt;&gt;"Yes",$BE483&lt;&gt;"N/A"),"Firmware Download, ","")&amp;IF(AND(OR($BE483="Yes",$BE483="N/A"),$BF483&lt;&gt;"Yes",$BF483&lt;&gt;"N/A"),"Firmware Install, ","")&amp;IF(AND($BJ483&lt;&gt;"Yes",$BJ483&lt;&gt;"N/A"),"Device ID, ","")&amp;IF(AND($BK483&lt;&gt;"Yes",$BK483&lt;&gt;"N/A"),"Epic Beans Relay, ",""))="","",LEFT(IF(AND($AW483&lt;&gt;"Yes",$AW483&lt;&gt;"N/A"),"Power Cable, ","")&amp;IF(AND($AX483&lt;&gt;"Yes",$AX483&lt;&gt;"N/A"),"Battery, ","")&amp;IF(AND($BE483&lt;&gt;"Yes",$BE483&lt;&gt;"N/A"),"Firmware Download, ","")&amp;IF(AND(OR($BE483="Yes",$BE483="N/A"),$BF483&lt;&gt;"Yes",$BF483&lt;&gt;"N/A"),"Firmware Install, ","")&amp;IF(AND($BJ483&lt;&gt;"Yes",$BJ483&lt;&gt;"N/A"),"Device ID, ","")&amp;IF(AND($BK483&lt;&gt;"Yes",$BK483&lt;&gt;"N/A"),"Epic Beans Relay, ",""),LEN(IF(AND($AW483&lt;&gt;"Yes",$AW483&lt;&gt;"N/A"),"Power Cable, ","")&amp;IF(AND($AX483&lt;&gt;"Yes",$AX483&lt;&gt;"N/A"),"Battery, ","")&amp;IF(AND($BE483&lt;&gt;"Yes",$BE483&lt;&gt;"N/A"),"Firmware Download, ","")&amp;IF(AND(OR($BE483="Yes",$BE483="N/A"),$BF483&lt;&gt;"Yes",$BF483&lt;&gt;"N/A"),"Firmware Install, ","")&amp;IF(AND($BJ483&lt;&gt;"Yes",$BJ483&lt;&gt;"N/A"),"Device ID, ","")&amp;IF(AND($BK483&lt;&gt;"Yes",$BK483&lt;&gt;"N/A"),"Epic Beans Relay, ",""))-2)))</f>
      </c>
      <c r="BM483">
        <f>IF($T483="","",IF($BL483="","Yes","Blocked"))</f>
      </c>
      <c r="BP483">
        <f>IF($BO483="","",IFERROR(VLOOKUP($BO483,'01_Warehouse_Ledger'!$A:$N,4,FALSE),""))</f>
      </c>
      <c r="BQ483">
        <f>IF($BO483="","",IFERROR(VLOOKUP($BO483,'01_Warehouse_Ledger'!$A:$N,5,FALSE),""))</f>
      </c>
      <c r="BR483">
        <f>IF($BO483="","",IFERROR(VLOOKUP($BO483,'01_Warehouse_Ledger'!$A:$N,13,FALSE),""))</f>
      </c>
    </row>
    <row r="484">
      <c r="D484">
        <f>IF($B484&lt;&gt;"Yes","",IF($C484="No","Yes",IF($C484="Yes","No","")))</f>
      </c>
      <c r="E484">
        <f>IF($A484="","",IF($A484="Neuron",IF(OR(AND($S484&lt;&gt;"",LOWER(TRIM($S484))&lt;&gt;"n/a",COUNTIF($S$2:$S$532,$S484)&gt;1),AND($T484&lt;&gt;"",LOWER(TRIM($T484))&lt;&gt;"n/a",COUNTIF($T$2:$T$532,$T484)&gt;1),AND($W484&lt;&gt;"",LOWER(TRIM($W484))&lt;&gt;"n/a",COUNTIF($W$2:$W$532,$W484)&gt;1)),"Yes","No"),IF($A484="Cybernet",IF(OR(AND($Y484&lt;&gt;"",LOWER(TRIM($Y484))&lt;&gt;"n/a",COUNTIF($Y$2:$Y$532,$Y484)&gt;1),AND($Z484&lt;&gt;"",LOWER(TRIM($Z484))&lt;&gt;"n/a",COUNTIF($Z$2:$Z$532,$Z484)&gt;1)),"Yes","No"),IF(AND($AL484&lt;&gt;"",LOWER(TRIM($AL484))&lt;&gt;"n/a",COUNTIF($AL$2:$AL$532,$AL484)&gt;1),"Yes","No"))))</f>
      </c>
      <c r="F484">
        <f>IF($B484&lt;&gt;"Yes","",
IF($A484="Neuron",
IF(OR(
AND($S484&lt;&gt;"",LOWER(TRIM($S484))&lt;&gt;"n/a",COUNTIFS($B$2:$B$532,"Yes",$A$2:$A$532,"Neuron",$S$2:$S$532,$S484)&gt;1),
AND($T484&lt;&gt;"",LOWER(TRIM($T484))&lt;&gt;"n/a",COUNTIFS($B$2:$B$532,"Yes",$A$2:$A$532,"Neuron",$T$2:$T$532,$T484)&gt;1),
AND($W484&lt;&gt;"",LOWER(TRIM($W484))&lt;&gt;"n/a",COUNTIFS($B$2:$B$532,"Yes",$A$2:$A$532,"Neuron",$W$2:$W$532,$W484)&gt;1)
),"Yes","No"),
IF($A484="Cybernet",
IF(OR(
AND($Y484&lt;&gt;"",LOWER(TRIM($Y484))&lt;&gt;"n/a",COUNTIFS($B$2:$B$532,"Yes",$A$2:$A$532,"Cybernet",$Y$2:$Y$532,$Y484)&gt;1),
AND($Z484&lt;&gt;"",LOWER(TRIM($Z484))&lt;&gt;"n/a",COUNTIFS($B$2:$B$532,"Yes",$A$2:$A$532,"Cybernet",$Z$2:$Z$532,$Z484)&gt;1)
),"Yes","No"),
IF(AND($AL484&lt;&gt;"",LOWER(TRIM($AL484))&lt;&gt;"n/a"),
IF(COUNTIFS($B$2:$B$532,"Yes",$A$2:$A$532,$A484,$AL$2:$AL$532,$AL484)&gt;1,"Yes","No"),
"No")
)
)
)</f>
      </c>
      <c r="BL484">
        <f>IF($T484="","",IF((IF(AND($AW484&lt;&gt;"Yes",$AW484&lt;&gt;"N/A"),"Power Cable, ","")&amp;IF(AND($AX484&lt;&gt;"Yes",$AX484&lt;&gt;"N/A"),"Battery, ","")&amp;IF(AND($BE484&lt;&gt;"Yes",$BE484&lt;&gt;"N/A"),"Firmware Download, ","")&amp;IF(AND(OR($BE484="Yes",$BE484="N/A"),$BF484&lt;&gt;"Yes",$BF484&lt;&gt;"N/A"),"Firmware Install, ","")&amp;IF(AND($BJ484&lt;&gt;"Yes",$BJ484&lt;&gt;"N/A"),"Device ID, ","")&amp;IF(AND($BK484&lt;&gt;"Yes",$BK484&lt;&gt;"N/A"),"Epic Beans Relay, ",""))="","",LEFT(IF(AND($AW484&lt;&gt;"Yes",$AW484&lt;&gt;"N/A"),"Power Cable, ","")&amp;IF(AND($AX484&lt;&gt;"Yes",$AX484&lt;&gt;"N/A"),"Battery, ","")&amp;IF(AND($BE484&lt;&gt;"Yes",$BE484&lt;&gt;"N/A"),"Firmware Download, ","")&amp;IF(AND(OR($BE484="Yes",$BE484="N/A"),$BF484&lt;&gt;"Yes",$BF484&lt;&gt;"N/A"),"Firmware Install, ","")&amp;IF(AND($BJ484&lt;&gt;"Yes",$BJ484&lt;&gt;"N/A"),"Device ID, ","")&amp;IF(AND($BK484&lt;&gt;"Yes",$BK484&lt;&gt;"N/A"),"Epic Beans Relay, ",""),LEN(IF(AND($AW484&lt;&gt;"Yes",$AW484&lt;&gt;"N/A"),"Power Cable, ","")&amp;IF(AND($AX484&lt;&gt;"Yes",$AX484&lt;&gt;"N/A"),"Battery, ","")&amp;IF(AND($BE484&lt;&gt;"Yes",$BE484&lt;&gt;"N/A"),"Firmware Download, ","")&amp;IF(AND(OR($BE484="Yes",$BE484="N/A"),$BF484&lt;&gt;"Yes",$BF484&lt;&gt;"N/A"),"Firmware Install, ","")&amp;IF(AND($BJ484&lt;&gt;"Yes",$BJ484&lt;&gt;"N/A"),"Device ID, ","")&amp;IF(AND($BK484&lt;&gt;"Yes",$BK484&lt;&gt;"N/A"),"Epic Beans Relay, ",""))-2)))</f>
      </c>
      <c r="BM484">
        <f>IF($T484="","",IF($BL484="","Yes","Blocked"))</f>
      </c>
      <c r="BP484">
        <f>IF($BO484="","",IFERROR(VLOOKUP($BO484,'01_Warehouse_Ledger'!$A:$N,4,FALSE),""))</f>
      </c>
      <c r="BQ484">
        <f>IF($BO484="","",IFERROR(VLOOKUP($BO484,'01_Warehouse_Ledger'!$A:$N,5,FALSE),""))</f>
      </c>
      <c r="BR484">
        <f>IF($BO484="","",IFERROR(VLOOKUP($BO484,'01_Warehouse_Ledger'!$A:$N,13,FALSE),""))</f>
      </c>
    </row>
    <row r="485">
      <c r="D485">
        <f>IF($B485&lt;&gt;"Yes","",IF($C485="No","Yes",IF($C485="Yes","No","")))</f>
      </c>
      <c r="E485">
        <f>IF($A485="","",IF($A485="Neuron",IF(OR(AND($S485&lt;&gt;"",LOWER(TRIM($S485))&lt;&gt;"n/a",COUNTIF($S$2:$S$532,$S485)&gt;1),AND($T485&lt;&gt;"",LOWER(TRIM($T485))&lt;&gt;"n/a",COUNTIF($T$2:$T$532,$T485)&gt;1),AND($W485&lt;&gt;"",LOWER(TRIM($W485))&lt;&gt;"n/a",COUNTIF($W$2:$W$532,$W485)&gt;1)),"Yes","No"),IF($A485="Cybernet",IF(OR(AND($Y485&lt;&gt;"",LOWER(TRIM($Y485))&lt;&gt;"n/a",COUNTIF($Y$2:$Y$532,$Y485)&gt;1),AND($Z485&lt;&gt;"",LOWER(TRIM($Z485))&lt;&gt;"n/a",COUNTIF($Z$2:$Z$532,$Z485)&gt;1)),"Yes","No"),IF(AND($AL485&lt;&gt;"",LOWER(TRIM($AL485))&lt;&gt;"n/a",COUNTIF($AL$2:$AL$532,$AL485)&gt;1),"Yes","No"))))</f>
      </c>
      <c r="F485">
        <f>IF($B485&lt;&gt;"Yes","",
IF($A485="Neuron",
IF(OR(
AND($S485&lt;&gt;"",LOWER(TRIM($S485))&lt;&gt;"n/a",COUNTIFS($B$2:$B$532,"Yes",$A$2:$A$532,"Neuron",$S$2:$S$532,$S485)&gt;1),
AND($T485&lt;&gt;"",LOWER(TRIM($T485))&lt;&gt;"n/a",COUNTIFS($B$2:$B$532,"Yes",$A$2:$A$532,"Neuron",$T$2:$T$532,$T485)&gt;1),
AND($W485&lt;&gt;"",LOWER(TRIM($W485))&lt;&gt;"n/a",COUNTIFS($B$2:$B$532,"Yes",$A$2:$A$532,"Neuron",$W$2:$W$532,$W485)&gt;1)
),"Yes","No"),
IF($A485="Cybernet",
IF(OR(
AND($Y485&lt;&gt;"",LOWER(TRIM($Y485))&lt;&gt;"n/a",COUNTIFS($B$2:$B$532,"Yes",$A$2:$A$532,"Cybernet",$Y$2:$Y$532,$Y485)&gt;1),
AND($Z485&lt;&gt;"",LOWER(TRIM($Z485))&lt;&gt;"n/a",COUNTIFS($B$2:$B$532,"Yes",$A$2:$A$532,"Cybernet",$Z$2:$Z$532,$Z485)&gt;1)
),"Yes","No"),
IF(AND($AL485&lt;&gt;"",LOWER(TRIM($AL485))&lt;&gt;"n/a"),
IF(COUNTIFS($B$2:$B$532,"Yes",$A$2:$A$532,$A485,$AL$2:$AL$532,$AL485)&gt;1,"Yes","No"),
"No")
)
)
)</f>
      </c>
      <c r="BL485">
        <f>IF($T485="","",IF((IF(AND($AW485&lt;&gt;"Yes",$AW485&lt;&gt;"N/A"),"Power Cable, ","")&amp;IF(AND($AX485&lt;&gt;"Yes",$AX485&lt;&gt;"N/A"),"Battery, ","")&amp;IF(AND($BE485&lt;&gt;"Yes",$BE485&lt;&gt;"N/A"),"Firmware Download, ","")&amp;IF(AND(OR($BE485="Yes",$BE485="N/A"),$BF485&lt;&gt;"Yes",$BF485&lt;&gt;"N/A"),"Firmware Install, ","")&amp;IF(AND($BJ485&lt;&gt;"Yes",$BJ485&lt;&gt;"N/A"),"Device ID, ","")&amp;IF(AND($BK485&lt;&gt;"Yes",$BK485&lt;&gt;"N/A"),"Epic Beans Relay, ",""))="","",LEFT(IF(AND($AW485&lt;&gt;"Yes",$AW485&lt;&gt;"N/A"),"Power Cable, ","")&amp;IF(AND($AX485&lt;&gt;"Yes",$AX485&lt;&gt;"N/A"),"Battery, ","")&amp;IF(AND($BE485&lt;&gt;"Yes",$BE485&lt;&gt;"N/A"),"Firmware Download, ","")&amp;IF(AND(OR($BE485="Yes",$BE485="N/A"),$BF485&lt;&gt;"Yes",$BF485&lt;&gt;"N/A"),"Firmware Install, ","")&amp;IF(AND($BJ485&lt;&gt;"Yes",$BJ485&lt;&gt;"N/A"),"Device ID, ","")&amp;IF(AND($BK485&lt;&gt;"Yes",$BK485&lt;&gt;"N/A"),"Epic Beans Relay, ",""),LEN(IF(AND($AW485&lt;&gt;"Yes",$AW485&lt;&gt;"N/A"),"Power Cable, ","")&amp;IF(AND($AX485&lt;&gt;"Yes",$AX485&lt;&gt;"N/A"),"Battery, ","")&amp;IF(AND($BE485&lt;&gt;"Yes",$BE485&lt;&gt;"N/A"),"Firmware Download, ","")&amp;IF(AND(OR($BE485="Yes",$BE485="N/A"),$BF485&lt;&gt;"Yes",$BF485&lt;&gt;"N/A"),"Firmware Install, ","")&amp;IF(AND($BJ485&lt;&gt;"Yes",$BJ485&lt;&gt;"N/A"),"Device ID, ","")&amp;IF(AND($BK485&lt;&gt;"Yes",$BK485&lt;&gt;"N/A"),"Epic Beans Relay, ",""))-2)))</f>
      </c>
      <c r="BM485">
        <f>IF($T485="","",IF($BL485="","Yes","Blocked"))</f>
      </c>
      <c r="BP485">
        <f>IF($BO485="","",IFERROR(VLOOKUP($BO485,'01_Warehouse_Ledger'!$A:$N,4,FALSE),""))</f>
      </c>
      <c r="BQ485">
        <f>IF($BO485="","",IFERROR(VLOOKUP($BO485,'01_Warehouse_Ledger'!$A:$N,5,FALSE),""))</f>
      </c>
      <c r="BR485">
        <f>IF($BO485="","",IFERROR(VLOOKUP($BO485,'01_Warehouse_Ledger'!$A:$N,13,FALSE),""))</f>
      </c>
    </row>
    <row r="486">
      <c r="D486">
        <f>IF($B486&lt;&gt;"Yes","",IF($C486="No","Yes",IF($C486="Yes","No","")))</f>
      </c>
      <c r="E486">
        <f>IF($A486="","",IF($A486="Neuron",IF(OR(AND($S486&lt;&gt;"",LOWER(TRIM($S486))&lt;&gt;"n/a",COUNTIF($S$2:$S$532,$S486)&gt;1),AND($T486&lt;&gt;"",LOWER(TRIM($T486))&lt;&gt;"n/a",COUNTIF($T$2:$T$532,$T486)&gt;1),AND($W486&lt;&gt;"",LOWER(TRIM($W486))&lt;&gt;"n/a",COUNTIF($W$2:$W$532,$W486)&gt;1)),"Yes","No"),IF($A486="Cybernet",IF(OR(AND($Y486&lt;&gt;"",LOWER(TRIM($Y486))&lt;&gt;"n/a",COUNTIF($Y$2:$Y$532,$Y486)&gt;1),AND($Z486&lt;&gt;"",LOWER(TRIM($Z486))&lt;&gt;"n/a",COUNTIF($Z$2:$Z$532,$Z486)&gt;1)),"Yes","No"),IF(AND($AL486&lt;&gt;"",LOWER(TRIM($AL486))&lt;&gt;"n/a",COUNTIF($AL$2:$AL$532,$AL486)&gt;1),"Yes","No"))))</f>
      </c>
      <c r="F486">
        <f>IF($B486&lt;&gt;"Yes","",
IF($A486="Neuron",
IF(OR(
AND($S486&lt;&gt;"",LOWER(TRIM($S486))&lt;&gt;"n/a",COUNTIFS($B$2:$B$532,"Yes",$A$2:$A$532,"Neuron",$S$2:$S$532,$S486)&gt;1),
AND($T486&lt;&gt;"",LOWER(TRIM($T486))&lt;&gt;"n/a",COUNTIFS($B$2:$B$532,"Yes",$A$2:$A$532,"Neuron",$T$2:$T$532,$T486)&gt;1),
AND($W486&lt;&gt;"",LOWER(TRIM($W486))&lt;&gt;"n/a",COUNTIFS($B$2:$B$532,"Yes",$A$2:$A$532,"Neuron",$W$2:$W$532,$W486)&gt;1)
),"Yes","No"),
IF($A486="Cybernet",
IF(OR(
AND($Y486&lt;&gt;"",LOWER(TRIM($Y486))&lt;&gt;"n/a",COUNTIFS($B$2:$B$532,"Yes",$A$2:$A$532,"Cybernet",$Y$2:$Y$532,$Y486)&gt;1),
AND($Z486&lt;&gt;"",LOWER(TRIM($Z486))&lt;&gt;"n/a",COUNTIFS($B$2:$B$532,"Yes",$A$2:$A$532,"Cybernet",$Z$2:$Z$532,$Z486)&gt;1)
),"Yes","No"),
IF(AND($AL486&lt;&gt;"",LOWER(TRIM($AL486))&lt;&gt;"n/a"),
IF(COUNTIFS($B$2:$B$532,"Yes",$A$2:$A$532,$A486,$AL$2:$AL$532,$AL486)&gt;1,"Yes","No"),
"No")
)
)
)</f>
      </c>
      <c r="BL486">
        <f>IF($T486="","",IF((IF(AND($AW486&lt;&gt;"Yes",$AW486&lt;&gt;"N/A"),"Power Cable, ","")&amp;IF(AND($AX486&lt;&gt;"Yes",$AX486&lt;&gt;"N/A"),"Battery, ","")&amp;IF(AND($BE486&lt;&gt;"Yes",$BE486&lt;&gt;"N/A"),"Firmware Download, ","")&amp;IF(AND(OR($BE486="Yes",$BE486="N/A"),$BF486&lt;&gt;"Yes",$BF486&lt;&gt;"N/A"),"Firmware Install, ","")&amp;IF(AND($BJ486&lt;&gt;"Yes",$BJ486&lt;&gt;"N/A"),"Device ID, ","")&amp;IF(AND($BK486&lt;&gt;"Yes",$BK486&lt;&gt;"N/A"),"Epic Beans Relay, ",""))="","",LEFT(IF(AND($AW486&lt;&gt;"Yes",$AW486&lt;&gt;"N/A"),"Power Cable, ","")&amp;IF(AND($AX486&lt;&gt;"Yes",$AX486&lt;&gt;"N/A"),"Battery, ","")&amp;IF(AND($BE486&lt;&gt;"Yes",$BE486&lt;&gt;"N/A"),"Firmware Download, ","")&amp;IF(AND(OR($BE486="Yes",$BE486="N/A"),$BF486&lt;&gt;"Yes",$BF486&lt;&gt;"N/A"),"Firmware Install, ","")&amp;IF(AND($BJ486&lt;&gt;"Yes",$BJ486&lt;&gt;"N/A"),"Device ID, ","")&amp;IF(AND($BK486&lt;&gt;"Yes",$BK486&lt;&gt;"N/A"),"Epic Beans Relay, ",""),LEN(IF(AND($AW486&lt;&gt;"Yes",$AW486&lt;&gt;"N/A"),"Power Cable, ","")&amp;IF(AND($AX486&lt;&gt;"Yes",$AX486&lt;&gt;"N/A"),"Battery, ","")&amp;IF(AND($BE486&lt;&gt;"Yes",$BE486&lt;&gt;"N/A"),"Firmware Download, ","")&amp;IF(AND(OR($BE486="Yes",$BE486="N/A"),$BF486&lt;&gt;"Yes",$BF486&lt;&gt;"N/A"),"Firmware Install, ","")&amp;IF(AND($BJ486&lt;&gt;"Yes",$BJ486&lt;&gt;"N/A"),"Device ID, ","")&amp;IF(AND($BK486&lt;&gt;"Yes",$BK486&lt;&gt;"N/A"),"Epic Beans Relay, ",""))-2)))</f>
      </c>
      <c r="BM486">
        <f>IF($T486="","",IF($BL486="","Yes","Blocked"))</f>
      </c>
      <c r="BP486">
        <f>IF($BO486="","",IFERROR(VLOOKUP($BO486,'01_Warehouse_Ledger'!$A:$N,4,FALSE),""))</f>
      </c>
      <c r="BQ486">
        <f>IF($BO486="","",IFERROR(VLOOKUP($BO486,'01_Warehouse_Ledger'!$A:$N,5,FALSE),""))</f>
      </c>
      <c r="BR486">
        <f>IF($BO486="","",IFERROR(VLOOKUP($BO486,'01_Warehouse_Ledger'!$A:$N,13,FALSE),""))</f>
      </c>
    </row>
    <row r="487">
      <c r="D487">
        <f>IF($B487&lt;&gt;"Yes","",IF($C487="No","Yes",IF($C487="Yes","No","")))</f>
      </c>
      <c r="E487">
        <f>IF($A487="","",IF($A487="Neuron",IF(OR(AND($S487&lt;&gt;"",LOWER(TRIM($S487))&lt;&gt;"n/a",COUNTIF($S$2:$S$532,$S487)&gt;1),AND($T487&lt;&gt;"",LOWER(TRIM($T487))&lt;&gt;"n/a",COUNTIF($T$2:$T$532,$T487)&gt;1),AND($W487&lt;&gt;"",LOWER(TRIM($W487))&lt;&gt;"n/a",COUNTIF($W$2:$W$532,$W487)&gt;1)),"Yes","No"),IF($A487="Cybernet",IF(OR(AND($Y487&lt;&gt;"",LOWER(TRIM($Y487))&lt;&gt;"n/a",COUNTIF($Y$2:$Y$532,$Y487)&gt;1),AND($Z487&lt;&gt;"",LOWER(TRIM($Z487))&lt;&gt;"n/a",COUNTIF($Z$2:$Z$532,$Z487)&gt;1)),"Yes","No"),IF(AND($AL487&lt;&gt;"",LOWER(TRIM($AL487))&lt;&gt;"n/a",COUNTIF($AL$2:$AL$532,$AL487)&gt;1),"Yes","No"))))</f>
      </c>
      <c r="F487">
        <f>IF($B487&lt;&gt;"Yes","",
IF($A487="Neuron",
IF(OR(
AND($S487&lt;&gt;"",LOWER(TRIM($S487))&lt;&gt;"n/a",COUNTIFS($B$2:$B$532,"Yes",$A$2:$A$532,"Neuron",$S$2:$S$532,$S487)&gt;1),
AND($T487&lt;&gt;"",LOWER(TRIM($T487))&lt;&gt;"n/a",COUNTIFS($B$2:$B$532,"Yes",$A$2:$A$532,"Neuron",$T$2:$T$532,$T487)&gt;1),
AND($W487&lt;&gt;"",LOWER(TRIM($W487))&lt;&gt;"n/a",COUNTIFS($B$2:$B$532,"Yes",$A$2:$A$532,"Neuron",$W$2:$W$532,$W487)&gt;1)
),"Yes","No"),
IF($A487="Cybernet",
IF(OR(
AND($Y487&lt;&gt;"",LOWER(TRIM($Y487))&lt;&gt;"n/a",COUNTIFS($B$2:$B$532,"Yes",$A$2:$A$532,"Cybernet",$Y$2:$Y$532,$Y487)&gt;1),
AND($Z487&lt;&gt;"",LOWER(TRIM($Z487))&lt;&gt;"n/a",COUNTIFS($B$2:$B$532,"Yes",$A$2:$A$532,"Cybernet",$Z$2:$Z$532,$Z487)&gt;1)
),"Yes","No"),
IF(AND($AL487&lt;&gt;"",LOWER(TRIM($AL487))&lt;&gt;"n/a"),
IF(COUNTIFS($B$2:$B$532,"Yes",$A$2:$A$532,$A487,$AL$2:$AL$532,$AL487)&gt;1,"Yes","No"),
"No")
)
)
)</f>
      </c>
      <c r="BL487">
        <f>IF($T487="","",IF((IF(AND($AW487&lt;&gt;"Yes",$AW487&lt;&gt;"N/A"),"Power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</c>
      <c r="BM487">
        <f>IF($T487="","",IF($BL487="","Yes","Blocked"))</f>
      </c>
      <c r="BP487">
        <f>IF($BO487="","",IFERROR(VLOOKUP($BO487,'01_Warehouse_Ledger'!$A:$N,4,FALSE),""))</f>
      </c>
      <c r="BQ487">
        <f>IF($BO487="","",IFERROR(VLOOKUP($BO487,'01_Warehouse_Ledger'!$A:$N,5,FALSE),""))</f>
      </c>
      <c r="BR487">
        <f>IF($BO487="","",IFERROR(VLOOKUP($BO487,'01_Warehouse_Ledger'!$A:$N,13,FALSE),""))</f>
      </c>
    </row>
    <row r="488">
      <c r="D488">
        <f>IF($B488&lt;&gt;"Yes","",IF($C488="No","Yes",IF($C488="Yes","No","")))</f>
      </c>
      <c r="E488">
        <f>IF($A488="","",IF($A488="Neuron",IF(OR(AND($S488&lt;&gt;"",LOWER(TRIM($S488))&lt;&gt;"n/a",COUNTIF($S$2:$S$532,$S488)&gt;1),AND($T488&lt;&gt;"",LOWER(TRIM($T488))&lt;&gt;"n/a",COUNTIF($T$2:$T$532,$T488)&gt;1),AND($W488&lt;&gt;"",LOWER(TRIM($W488))&lt;&gt;"n/a",COUNTIF($W$2:$W$532,$W488)&gt;1)),"Yes","No"),IF($A488="Cybernet",IF(OR(AND($Y488&lt;&gt;"",LOWER(TRIM($Y488))&lt;&gt;"n/a",COUNTIF($Y$2:$Y$532,$Y488)&gt;1),AND($Z488&lt;&gt;"",LOWER(TRIM($Z488))&lt;&gt;"n/a",COUNTIF($Z$2:$Z$532,$Z488)&gt;1)),"Yes","No"),IF(AND($AL488&lt;&gt;"",LOWER(TRIM($AL488))&lt;&gt;"n/a",COUNTIF($AL$2:$AL$532,$AL488)&gt;1),"Yes","No"))))</f>
      </c>
      <c r="F488">
        <f>IF($B488&lt;&gt;"Yes","",
IF($A488="Neuron",
IF(OR(
AND($S488&lt;&gt;"",LOWER(TRIM($S488))&lt;&gt;"n/a",COUNTIFS($B$2:$B$532,"Yes",$A$2:$A$532,"Neuron",$S$2:$S$532,$S488)&gt;1),
AND($T488&lt;&gt;"",LOWER(TRIM($T488))&lt;&gt;"n/a",COUNTIFS($B$2:$B$532,"Yes",$A$2:$A$532,"Neuron",$T$2:$T$532,$T488)&gt;1),
AND($W488&lt;&gt;"",LOWER(TRIM($W488))&lt;&gt;"n/a",COUNTIFS($B$2:$B$532,"Yes",$A$2:$A$532,"Neuron",$W$2:$W$532,$W488)&gt;1)
),"Yes","No"),
IF($A488="Cybernet",
IF(OR(
AND($Y488&lt;&gt;"",LOWER(TRIM($Y488))&lt;&gt;"n/a",COUNTIFS($B$2:$B$532,"Yes",$A$2:$A$532,"Cybernet",$Y$2:$Y$532,$Y488)&gt;1),
AND($Z488&lt;&gt;"",LOWER(TRIM($Z488))&lt;&gt;"n/a",COUNTIFS($B$2:$B$532,"Yes",$A$2:$A$532,"Cybernet",$Z$2:$Z$532,$Z488)&gt;1)
),"Yes","No"),
IF(AND($AL488&lt;&gt;"",LOWER(TRIM($AL488))&lt;&gt;"n/a"),
IF(COUNTIFS($B$2:$B$532,"Yes",$A$2:$A$532,$A488,$AL$2:$AL$532,$AL488)&gt;1,"Yes","No"),
"No")
)
)
)</f>
      </c>
      <c r="BL488">
        <f>IF($T488="","",IF((IF(AND($AW488&lt;&gt;"Yes",$AW488&lt;&gt;"N/A"),"Power Cable, ","")&amp;IF(AND($AX488&lt;&gt;"Yes",$AX488&lt;&gt;"N/A"),"Battery, ","")&amp;IF(AND($BE488&lt;&gt;"Yes",$BE488&lt;&gt;"N/A"),"Firmware Download, ","")&amp;IF(AND(OR($BE488="Yes",$BE488="N/A"),$BF488&lt;&gt;"Yes",$BF488&lt;&gt;"N/A"),"Firmware Install, ","")&amp;IF(AND($BJ488&lt;&gt;"Yes",$BJ488&lt;&gt;"N/A"),"Device ID, ","")&amp;IF(AND($BK488&lt;&gt;"Yes",$BK488&lt;&gt;"N/A"),"Epic Beans Relay, ",""))="","",LEFT(IF(AND($AW488&lt;&gt;"Yes",$AW488&lt;&gt;"N/A"),"Power Cable, ","")&amp;IF(AND($AX488&lt;&gt;"Yes",$AX488&lt;&gt;"N/A"),"Battery, ","")&amp;IF(AND($BE488&lt;&gt;"Yes",$BE488&lt;&gt;"N/A"),"Firmware Download, ","")&amp;IF(AND(OR($BE488="Yes",$BE488="N/A"),$BF488&lt;&gt;"Yes",$BF488&lt;&gt;"N/A"),"Firmware Install, ","")&amp;IF(AND($BJ488&lt;&gt;"Yes",$BJ488&lt;&gt;"N/A"),"Device ID, ","")&amp;IF(AND($BK488&lt;&gt;"Yes",$BK488&lt;&gt;"N/A"),"Epic Beans Relay, ",""),LEN(IF(AND($AW488&lt;&gt;"Yes",$AW488&lt;&gt;"N/A"),"Power Cable, ","")&amp;IF(AND($AX488&lt;&gt;"Yes",$AX488&lt;&gt;"N/A"),"Battery, ","")&amp;IF(AND($BE488&lt;&gt;"Yes",$BE488&lt;&gt;"N/A"),"Firmware Download, ","")&amp;IF(AND(OR($BE488="Yes",$BE488="N/A"),$BF488&lt;&gt;"Yes",$BF488&lt;&gt;"N/A"),"Firmware Install, ","")&amp;IF(AND($BJ488&lt;&gt;"Yes",$BJ488&lt;&gt;"N/A"),"Device ID, ","")&amp;IF(AND($BK488&lt;&gt;"Yes",$BK488&lt;&gt;"N/A"),"Epic Beans Relay, ",""))-2)))</f>
      </c>
      <c r="BM488">
        <f>IF($T488="","",IF($BL488="","Yes","Blocked"))</f>
      </c>
      <c r="BP488">
        <f>IF($BO488="","",IFERROR(VLOOKUP($BO488,'01_Warehouse_Ledger'!$A:$N,4,FALSE),""))</f>
      </c>
      <c r="BQ488">
        <f>IF($BO488="","",IFERROR(VLOOKUP($BO488,'01_Warehouse_Ledger'!$A:$N,5,FALSE),""))</f>
      </c>
      <c r="BR488">
        <f>IF($BO488="","",IFERROR(VLOOKUP($BO488,'01_Warehouse_Ledger'!$A:$N,13,FALSE),""))</f>
      </c>
    </row>
    <row r="489">
      <c r="D489">
        <f>IF($B489&lt;&gt;"Yes","",IF($C489="No","Yes",IF($C489="Yes","No","")))</f>
      </c>
      <c r="E489">
        <f>IF($A489="","",IF($A489="Neuron",IF(OR(AND($S489&lt;&gt;"",LOWER(TRIM($S489))&lt;&gt;"n/a",COUNTIF($S$2:$S$532,$S489)&gt;1),AND($T489&lt;&gt;"",LOWER(TRIM($T489))&lt;&gt;"n/a",COUNTIF($T$2:$T$532,$T489)&gt;1),AND($W489&lt;&gt;"",LOWER(TRIM($W489))&lt;&gt;"n/a",COUNTIF($W$2:$W$532,$W489)&gt;1)),"Yes","No"),IF($A489="Cybernet",IF(OR(AND($Y489&lt;&gt;"",LOWER(TRIM($Y489))&lt;&gt;"n/a",COUNTIF($Y$2:$Y$532,$Y489)&gt;1),AND($Z489&lt;&gt;"",LOWER(TRIM($Z489))&lt;&gt;"n/a",COUNTIF($Z$2:$Z$532,$Z489)&gt;1)),"Yes","No"),IF(AND($AL489&lt;&gt;"",LOWER(TRIM($AL489))&lt;&gt;"n/a",COUNTIF($AL$2:$AL$532,$AL489)&gt;1),"Yes","No"))))</f>
      </c>
      <c r="F489">
        <f>IF($B489&lt;&gt;"Yes","",
IF($A489="Neuron",
IF(OR(
AND($S489&lt;&gt;"",LOWER(TRIM($S489))&lt;&gt;"n/a",COUNTIFS($B$2:$B$532,"Yes",$A$2:$A$532,"Neuron",$S$2:$S$532,$S489)&gt;1),
AND($T489&lt;&gt;"",LOWER(TRIM($T489))&lt;&gt;"n/a",COUNTIFS($B$2:$B$532,"Yes",$A$2:$A$532,"Neuron",$T$2:$T$532,$T489)&gt;1),
AND($W489&lt;&gt;"",LOWER(TRIM($W489))&lt;&gt;"n/a",COUNTIFS($B$2:$B$532,"Yes",$A$2:$A$532,"Neuron",$W$2:$W$532,$W489)&gt;1)
),"Yes","No"),
IF($A489="Cybernet",
IF(OR(
AND($Y489&lt;&gt;"",LOWER(TRIM($Y489))&lt;&gt;"n/a",COUNTIFS($B$2:$B$532,"Yes",$A$2:$A$532,"Cybernet",$Y$2:$Y$532,$Y489)&gt;1),
AND($Z489&lt;&gt;"",LOWER(TRIM($Z489))&lt;&gt;"n/a",COUNTIFS($B$2:$B$532,"Yes",$A$2:$A$532,"Cybernet",$Z$2:$Z$532,$Z489)&gt;1)
),"Yes","No"),
IF(AND($AL489&lt;&gt;"",LOWER(TRIM($AL489))&lt;&gt;"n/a"),
IF(COUNTIFS($B$2:$B$532,"Yes",$A$2:$A$532,$A489,$AL$2:$AL$532,$AL489)&gt;1,"Yes","No"),
"No")
)
)
)</f>
      </c>
      <c r="BL489">
        <f>IF($T489="","",IF((IF(AND($AW489&lt;&gt;"Yes",$AW489&lt;&gt;"N/A"),"Power Cable, ","")&amp;IF(AND($AX489&lt;&gt;"Yes",$AX489&lt;&gt;"N/A"),"Battery, ","")&amp;IF(AND($BE489&lt;&gt;"Yes",$BE489&lt;&gt;"N/A"),"Firmware Download, ","")&amp;IF(AND(OR($BE489="Yes",$BE489="N/A"),$BF489&lt;&gt;"Yes",$BF489&lt;&gt;"N/A"),"Firmware Install, ","")&amp;IF(AND($BJ489&lt;&gt;"Yes",$BJ489&lt;&gt;"N/A"),"Device ID, ","")&amp;IF(AND($BK489&lt;&gt;"Yes",$BK489&lt;&gt;"N/A"),"Epic Beans Relay, ",""))="","",LEFT(IF(AND($AW489&lt;&gt;"Yes",$AW489&lt;&gt;"N/A"),"Power Cable, ","")&amp;IF(AND($AX489&lt;&gt;"Yes",$AX489&lt;&gt;"N/A"),"Battery, ","")&amp;IF(AND($BE489&lt;&gt;"Yes",$BE489&lt;&gt;"N/A"),"Firmware Download, ","")&amp;IF(AND(OR($BE489="Yes",$BE489="N/A"),$BF489&lt;&gt;"Yes",$BF489&lt;&gt;"N/A"),"Firmware Install, ","")&amp;IF(AND($BJ489&lt;&gt;"Yes",$BJ489&lt;&gt;"N/A"),"Device ID, ","")&amp;IF(AND($BK489&lt;&gt;"Yes",$BK489&lt;&gt;"N/A"),"Epic Beans Relay, ",""),LEN(IF(AND($AW489&lt;&gt;"Yes",$AW489&lt;&gt;"N/A"),"Power Cable, ","")&amp;IF(AND($AX489&lt;&gt;"Yes",$AX489&lt;&gt;"N/A"),"Battery, ","")&amp;IF(AND($BE489&lt;&gt;"Yes",$BE489&lt;&gt;"N/A"),"Firmware Download, ","")&amp;IF(AND(OR($BE489="Yes",$BE489="N/A"),$BF489&lt;&gt;"Yes",$BF489&lt;&gt;"N/A"),"Firmware Install, ","")&amp;IF(AND($BJ489&lt;&gt;"Yes",$BJ489&lt;&gt;"N/A"),"Device ID, ","")&amp;IF(AND($BK489&lt;&gt;"Yes",$BK489&lt;&gt;"N/A"),"Epic Beans Relay, ",""))-2)))</f>
      </c>
      <c r="BM489">
        <f>IF($T489="","",IF($BL489="","Yes","Blocked"))</f>
      </c>
      <c r="BP489">
        <f>IF($BO489="","",IFERROR(VLOOKUP($BO489,'01_Warehouse_Ledger'!$A:$N,4,FALSE),""))</f>
      </c>
      <c r="BQ489">
        <f>IF($BO489="","",IFERROR(VLOOKUP($BO489,'01_Warehouse_Ledger'!$A:$N,5,FALSE),""))</f>
      </c>
      <c r="BR489">
        <f>IF($BO489="","",IFERROR(VLOOKUP($BO489,'01_Warehouse_Ledger'!$A:$N,13,FALSE),""))</f>
      </c>
    </row>
    <row r="490">
      <c r="D490">
        <f>IF($B490&lt;&gt;"Yes","",IF($C490="No","Yes",IF($C490="Yes","No","")))</f>
      </c>
      <c r="E490">
        <f>IF($A490="","",IF($A490="Neuron",IF(OR(AND($S490&lt;&gt;"",LOWER(TRIM($S490))&lt;&gt;"n/a",COUNTIF($S$2:$S$532,$S490)&gt;1),AND($T490&lt;&gt;"",LOWER(TRIM($T490))&lt;&gt;"n/a",COUNTIF($T$2:$T$532,$T490)&gt;1),AND($W490&lt;&gt;"",LOWER(TRIM($W490))&lt;&gt;"n/a",COUNTIF($W$2:$W$532,$W490)&gt;1)),"Yes","No"),IF($A490="Cybernet",IF(OR(AND($Y490&lt;&gt;"",LOWER(TRIM($Y490))&lt;&gt;"n/a",COUNTIF($Y$2:$Y$532,$Y490)&gt;1),AND($Z490&lt;&gt;"",LOWER(TRIM($Z490))&lt;&gt;"n/a",COUNTIF($Z$2:$Z$532,$Z490)&gt;1)),"Yes","No"),IF(AND($AL490&lt;&gt;"",LOWER(TRIM($AL490))&lt;&gt;"n/a",COUNTIF($AL$2:$AL$532,$AL490)&gt;1),"Yes","No"))))</f>
      </c>
      <c r="F490">
        <f>IF($B490&lt;&gt;"Yes","",
IF($A490="Neuron",
IF(OR(
AND($S490&lt;&gt;"",LOWER(TRIM($S490))&lt;&gt;"n/a",COUNTIFS($B$2:$B$532,"Yes",$A$2:$A$532,"Neuron",$S$2:$S$532,$S490)&gt;1),
AND($T490&lt;&gt;"",LOWER(TRIM($T490))&lt;&gt;"n/a",COUNTIFS($B$2:$B$532,"Yes",$A$2:$A$532,"Neuron",$T$2:$T$532,$T490)&gt;1),
AND($W490&lt;&gt;"",LOWER(TRIM($W490))&lt;&gt;"n/a",COUNTIFS($B$2:$B$532,"Yes",$A$2:$A$532,"Neuron",$W$2:$W$532,$W490)&gt;1)
),"Yes","No"),
IF($A490="Cybernet",
IF(OR(
AND($Y490&lt;&gt;"",LOWER(TRIM($Y490))&lt;&gt;"n/a",COUNTIFS($B$2:$B$532,"Yes",$A$2:$A$532,"Cybernet",$Y$2:$Y$532,$Y490)&gt;1),
AND($Z490&lt;&gt;"",LOWER(TRIM($Z490))&lt;&gt;"n/a",COUNTIFS($B$2:$B$532,"Yes",$A$2:$A$532,"Cybernet",$Z$2:$Z$532,$Z490)&gt;1)
),"Yes","No"),
IF(AND($AL490&lt;&gt;"",LOWER(TRIM($AL490))&lt;&gt;"n/a"),
IF(COUNTIFS($B$2:$B$532,"Yes",$A$2:$A$532,$A490,$AL$2:$AL$532,$AL490)&gt;1,"Yes","No"),
"No")
)
)
)</f>
      </c>
      <c r="BL490">
        <f>IF($T490="","",IF((IF(AND($AW490&lt;&gt;"Yes",$AW490&lt;&gt;"N/A"),"Power Cable, ","")&amp;IF(AND($AX490&lt;&gt;"Yes",$AX490&lt;&gt;"N/A"),"Battery, ","")&amp;IF(AND($BE490&lt;&gt;"Yes",$BE490&lt;&gt;"N/A"),"Firmware Download, ","")&amp;IF(AND(OR($BE490="Yes",$BE490="N/A"),$BF490&lt;&gt;"Yes",$BF490&lt;&gt;"N/A"),"Firmware Install, ","")&amp;IF(AND($BJ490&lt;&gt;"Yes",$BJ490&lt;&gt;"N/A"),"Device ID, ","")&amp;IF(AND($BK490&lt;&gt;"Yes",$BK490&lt;&gt;"N/A"),"Epic Beans Relay, ",""))="","",LEFT(IF(AND($AW490&lt;&gt;"Yes",$AW490&lt;&gt;"N/A"),"Power Cable, ","")&amp;IF(AND($AX490&lt;&gt;"Yes",$AX490&lt;&gt;"N/A"),"Battery, ","")&amp;IF(AND($BE490&lt;&gt;"Yes",$BE490&lt;&gt;"N/A"),"Firmware Download, ","")&amp;IF(AND(OR($BE490="Yes",$BE490="N/A"),$BF490&lt;&gt;"Yes",$BF490&lt;&gt;"N/A"),"Firmware Install, ","")&amp;IF(AND($BJ490&lt;&gt;"Yes",$BJ490&lt;&gt;"N/A"),"Device ID, ","")&amp;IF(AND($BK490&lt;&gt;"Yes",$BK490&lt;&gt;"N/A"),"Epic Beans Relay, ",""),LEN(IF(AND($AW490&lt;&gt;"Yes",$AW490&lt;&gt;"N/A"),"Power Cable, ","")&amp;IF(AND($AX490&lt;&gt;"Yes",$AX490&lt;&gt;"N/A"),"Battery, ","")&amp;IF(AND($BE490&lt;&gt;"Yes",$BE490&lt;&gt;"N/A"),"Firmware Download, ","")&amp;IF(AND(OR($BE490="Yes",$BE490="N/A"),$BF490&lt;&gt;"Yes",$BF490&lt;&gt;"N/A"),"Firmware Install, ","")&amp;IF(AND($BJ490&lt;&gt;"Yes",$BJ490&lt;&gt;"N/A"),"Device ID, ","")&amp;IF(AND($BK490&lt;&gt;"Yes",$BK490&lt;&gt;"N/A"),"Epic Beans Relay, ",""))-2)))</f>
      </c>
      <c r="BM490">
        <f>IF($T490="","",IF($BL490="","Yes","Blocked"))</f>
      </c>
      <c r="BP490">
        <f>IF($BO490="","",IFERROR(VLOOKUP($BO490,'01_Warehouse_Ledger'!$A:$N,4,FALSE),""))</f>
      </c>
      <c r="BQ490">
        <f>IF($BO490="","",IFERROR(VLOOKUP($BO490,'01_Warehouse_Ledger'!$A:$N,5,FALSE),""))</f>
      </c>
      <c r="BR490">
        <f>IF($BO490="","",IFERROR(VLOOKUP($BO490,'01_Warehouse_Ledger'!$A:$N,13,FALSE),""))</f>
      </c>
    </row>
    <row r="491">
      <c r="D491">
        <f>IF($B491&lt;&gt;"Yes","",IF($C491="No","Yes",IF($C491="Yes","No","")))</f>
      </c>
      <c r="E491">
        <f>IF($A491="","",IF($A491="Neuron",IF(OR(AND($S491&lt;&gt;"",LOWER(TRIM($S491))&lt;&gt;"n/a",COUNTIF($S$2:$S$532,$S491)&gt;1),AND($T491&lt;&gt;"",LOWER(TRIM($T491))&lt;&gt;"n/a",COUNTIF($T$2:$T$532,$T491)&gt;1),AND($W491&lt;&gt;"",LOWER(TRIM($W491))&lt;&gt;"n/a",COUNTIF($W$2:$W$532,$W491)&gt;1)),"Yes","No"),IF($A491="Cybernet",IF(OR(AND($Y491&lt;&gt;"",LOWER(TRIM($Y491))&lt;&gt;"n/a",COUNTIF($Y$2:$Y$532,$Y491)&gt;1),AND($Z491&lt;&gt;"",LOWER(TRIM($Z491))&lt;&gt;"n/a",COUNTIF($Z$2:$Z$532,$Z491)&gt;1)),"Yes","No"),IF(AND($AL491&lt;&gt;"",LOWER(TRIM($AL491))&lt;&gt;"n/a",COUNTIF($AL$2:$AL$532,$AL491)&gt;1),"Yes","No"))))</f>
      </c>
      <c r="F491">
        <f>IF($B491&lt;&gt;"Yes","",
IF($A491="Neuron",
IF(OR(
AND($S491&lt;&gt;"",LOWER(TRIM($S491))&lt;&gt;"n/a",COUNTIFS($B$2:$B$532,"Yes",$A$2:$A$532,"Neuron",$S$2:$S$532,$S491)&gt;1),
AND($T491&lt;&gt;"",LOWER(TRIM($T491))&lt;&gt;"n/a",COUNTIFS($B$2:$B$532,"Yes",$A$2:$A$532,"Neuron",$T$2:$T$532,$T491)&gt;1),
AND($W491&lt;&gt;"",LOWER(TRIM($W491))&lt;&gt;"n/a",COUNTIFS($B$2:$B$532,"Yes",$A$2:$A$532,"Neuron",$W$2:$W$532,$W491)&gt;1)
),"Yes","No"),
IF($A491="Cybernet",
IF(OR(
AND($Y491&lt;&gt;"",LOWER(TRIM($Y491))&lt;&gt;"n/a",COUNTIFS($B$2:$B$532,"Yes",$A$2:$A$532,"Cybernet",$Y$2:$Y$532,$Y491)&gt;1),
AND($Z491&lt;&gt;"",LOWER(TRIM($Z491))&lt;&gt;"n/a",COUNTIFS($B$2:$B$532,"Yes",$A$2:$A$532,"Cybernet",$Z$2:$Z$532,$Z491)&gt;1)
),"Yes","No"),
IF(AND($AL491&lt;&gt;"",LOWER(TRIM($AL491))&lt;&gt;"n/a"),
IF(COUNTIFS($B$2:$B$532,"Yes",$A$2:$A$532,$A491,$AL$2:$AL$532,$AL491)&gt;1,"Yes","No"),
"No")
)
)
)</f>
      </c>
      <c r="BL491">
        <f>IF($T491="","",IF((IF(AND($AW491&lt;&gt;"Yes",$AW491&lt;&gt;"N/A"),"Power Cable, ","")&amp;IF(AND($AX491&lt;&gt;"Yes",$AX491&lt;&gt;"N/A"),"Battery, ","")&amp;IF(AND($BE491&lt;&gt;"Yes",$BE491&lt;&gt;"N/A"),"Firmware Download, ","")&amp;IF(AND(OR($BE491="Yes",$BE491="N/A"),$BF491&lt;&gt;"Yes",$BF491&lt;&gt;"N/A"),"Firmware Install, ","")&amp;IF(AND($BJ491&lt;&gt;"Yes",$BJ491&lt;&gt;"N/A"),"Device ID, ","")&amp;IF(AND($BK491&lt;&gt;"Yes",$BK491&lt;&gt;"N/A"),"Epic Beans Relay, ",""))="","",LEFT(IF(AND($AW491&lt;&gt;"Yes",$AW491&lt;&gt;"N/A"),"Power Cable, ","")&amp;IF(AND($AX491&lt;&gt;"Yes",$AX491&lt;&gt;"N/A"),"Battery, ","")&amp;IF(AND($BE491&lt;&gt;"Yes",$BE491&lt;&gt;"N/A"),"Firmware Download, ","")&amp;IF(AND(OR($BE491="Yes",$BE491="N/A"),$BF491&lt;&gt;"Yes",$BF491&lt;&gt;"N/A"),"Firmware Install, ","")&amp;IF(AND($BJ491&lt;&gt;"Yes",$BJ491&lt;&gt;"N/A"),"Device ID, ","")&amp;IF(AND($BK491&lt;&gt;"Yes",$BK491&lt;&gt;"N/A"),"Epic Beans Relay, ",""),LEN(IF(AND($AW491&lt;&gt;"Yes",$AW491&lt;&gt;"N/A"),"Power Cable, ","")&amp;IF(AND($AX491&lt;&gt;"Yes",$AX491&lt;&gt;"N/A"),"Battery, ","")&amp;IF(AND($BE491&lt;&gt;"Yes",$BE491&lt;&gt;"N/A"),"Firmware Download, ","")&amp;IF(AND(OR($BE491="Yes",$BE491="N/A"),$BF491&lt;&gt;"Yes",$BF491&lt;&gt;"N/A"),"Firmware Install, ","")&amp;IF(AND($BJ491&lt;&gt;"Yes",$BJ491&lt;&gt;"N/A"),"Device ID, ","")&amp;IF(AND($BK491&lt;&gt;"Yes",$BK491&lt;&gt;"N/A"),"Epic Beans Relay, ",""))-2)))</f>
      </c>
      <c r="BM491">
        <f>IF($T491="","",IF($BL491="","Yes","Blocked"))</f>
      </c>
      <c r="BP491">
        <f>IF($BO491="","",IFERROR(VLOOKUP($BO491,'01_Warehouse_Ledger'!$A:$N,4,FALSE),""))</f>
      </c>
      <c r="BQ491">
        <f>IF($BO491="","",IFERROR(VLOOKUP($BO491,'01_Warehouse_Ledger'!$A:$N,5,FALSE),""))</f>
      </c>
      <c r="BR491">
        <f>IF($BO491="","",IFERROR(VLOOKUP($BO491,'01_Warehouse_Ledger'!$A:$N,13,FALSE),""))</f>
      </c>
    </row>
    <row r="492">
      <c r="D492">
        <f>IF($B492&lt;&gt;"Yes","",IF($C492="No","Yes",IF($C492="Yes","No","")))</f>
      </c>
      <c r="E492">
        <f>IF($A492="","",IF($A492="Neuron",IF(OR(AND($S492&lt;&gt;"",LOWER(TRIM($S492))&lt;&gt;"n/a",COUNTIF($S$2:$S$532,$S492)&gt;1),AND($T492&lt;&gt;"",LOWER(TRIM($T492))&lt;&gt;"n/a",COUNTIF($T$2:$T$532,$T492)&gt;1),AND($W492&lt;&gt;"",LOWER(TRIM($W492))&lt;&gt;"n/a",COUNTIF($W$2:$W$532,$W492)&gt;1)),"Yes","No"),IF($A492="Cybernet",IF(OR(AND($Y492&lt;&gt;"",LOWER(TRIM($Y492))&lt;&gt;"n/a",COUNTIF($Y$2:$Y$532,$Y492)&gt;1),AND($Z492&lt;&gt;"",LOWER(TRIM($Z492))&lt;&gt;"n/a",COUNTIF($Z$2:$Z$532,$Z492)&gt;1)),"Yes","No"),IF(AND($AL492&lt;&gt;"",LOWER(TRIM($AL492))&lt;&gt;"n/a",COUNTIF($AL$2:$AL$532,$AL492)&gt;1),"Yes","No"))))</f>
      </c>
      <c r="F492">
        <f>IF($B492&lt;&gt;"Yes","",
IF($A492="Neuron",
IF(OR(
AND($S492&lt;&gt;"",LOWER(TRIM($S492))&lt;&gt;"n/a",COUNTIFS($B$2:$B$532,"Yes",$A$2:$A$532,"Neuron",$S$2:$S$532,$S492)&gt;1),
AND($T492&lt;&gt;"",LOWER(TRIM($T492))&lt;&gt;"n/a",COUNTIFS($B$2:$B$532,"Yes",$A$2:$A$532,"Neuron",$T$2:$T$532,$T492)&gt;1),
AND($W492&lt;&gt;"",LOWER(TRIM($W492))&lt;&gt;"n/a",COUNTIFS($B$2:$B$532,"Yes",$A$2:$A$532,"Neuron",$W$2:$W$532,$W492)&gt;1)
),"Yes","No"),
IF($A492="Cybernet",
IF(OR(
AND($Y492&lt;&gt;"",LOWER(TRIM($Y492))&lt;&gt;"n/a",COUNTIFS($B$2:$B$532,"Yes",$A$2:$A$532,"Cybernet",$Y$2:$Y$532,$Y492)&gt;1),
AND($Z492&lt;&gt;"",LOWER(TRIM($Z492))&lt;&gt;"n/a",COUNTIFS($B$2:$B$532,"Yes",$A$2:$A$532,"Cybernet",$Z$2:$Z$532,$Z492)&gt;1)
),"Yes","No"),
IF(AND($AL492&lt;&gt;"",LOWER(TRIM($AL492))&lt;&gt;"n/a"),
IF(COUNTIFS($B$2:$B$532,"Yes",$A$2:$A$532,$A492,$AL$2:$AL$532,$AL492)&gt;1,"Yes","No"),
"No")
)
)
)</f>
      </c>
      <c r="BL492">
        <f>IF($T492="","",IF((IF(AND($AW492&lt;&gt;"Yes",$AW492&lt;&gt;"N/A"),"Power Cable, ","")&amp;IF(AND($AX492&lt;&gt;"Yes",$AX492&lt;&gt;"N/A"),"Battery, ","")&amp;IF(AND($BE492&lt;&gt;"Yes",$BE492&lt;&gt;"N/A"),"Firmware Download, ","")&amp;IF(AND(OR($BE492="Yes",$BE492="N/A"),$BF492&lt;&gt;"Yes",$BF492&lt;&gt;"N/A"),"Firmware Install, ","")&amp;IF(AND($BJ492&lt;&gt;"Yes",$BJ492&lt;&gt;"N/A"),"Device ID, ","")&amp;IF(AND($BK492&lt;&gt;"Yes",$BK492&lt;&gt;"N/A"),"Epic Beans Relay, ",""))="","",LEFT(IF(AND($AW492&lt;&gt;"Yes",$AW492&lt;&gt;"N/A"),"Power Cable, ","")&amp;IF(AND($AX492&lt;&gt;"Yes",$AX492&lt;&gt;"N/A"),"Battery, ","")&amp;IF(AND($BE492&lt;&gt;"Yes",$BE492&lt;&gt;"N/A"),"Firmware Download, ","")&amp;IF(AND(OR($BE492="Yes",$BE492="N/A"),$BF492&lt;&gt;"Yes",$BF492&lt;&gt;"N/A"),"Firmware Install, ","")&amp;IF(AND($BJ492&lt;&gt;"Yes",$BJ492&lt;&gt;"N/A"),"Device ID, ","")&amp;IF(AND($BK492&lt;&gt;"Yes",$BK492&lt;&gt;"N/A"),"Epic Beans Relay, ",""),LEN(IF(AND($AW492&lt;&gt;"Yes",$AW492&lt;&gt;"N/A"),"Power Cable, ","")&amp;IF(AND($AX492&lt;&gt;"Yes",$AX492&lt;&gt;"N/A"),"Battery, ","")&amp;IF(AND($BE492&lt;&gt;"Yes",$BE492&lt;&gt;"N/A"),"Firmware Download, ","")&amp;IF(AND(OR($BE492="Yes",$BE492="N/A"),$BF492&lt;&gt;"Yes",$BF492&lt;&gt;"N/A"),"Firmware Install, ","")&amp;IF(AND($BJ492&lt;&gt;"Yes",$BJ492&lt;&gt;"N/A"),"Device ID, ","")&amp;IF(AND($BK492&lt;&gt;"Yes",$BK492&lt;&gt;"N/A"),"Epic Beans Relay, ",""))-2)))</f>
      </c>
      <c r="BM492">
        <f>IF($T492="","",IF($BL492="","Yes","Blocked"))</f>
      </c>
      <c r="BP492">
        <f>IF($BO492="","",IFERROR(VLOOKUP($BO492,'01_Warehouse_Ledger'!$A:$N,4,FALSE),""))</f>
      </c>
      <c r="BQ492">
        <f>IF($BO492="","",IFERROR(VLOOKUP($BO492,'01_Warehouse_Ledger'!$A:$N,5,FALSE),""))</f>
      </c>
      <c r="BR492">
        <f>IF($BO492="","",IFERROR(VLOOKUP($BO492,'01_Warehouse_Ledger'!$A:$N,13,FALSE),""))</f>
      </c>
    </row>
    <row r="493">
      <c r="D493">
        <f>IF($B493&lt;&gt;"Yes","",IF($C493="No","Yes",IF($C493="Yes","No","")))</f>
      </c>
      <c r="E493">
        <f>IF($A493="","",IF($A493="Neuron",IF(OR(AND($S493&lt;&gt;"",LOWER(TRIM($S493))&lt;&gt;"n/a",COUNTIF($S$2:$S$532,$S493)&gt;1),AND($T493&lt;&gt;"",LOWER(TRIM($T493))&lt;&gt;"n/a",COUNTIF($T$2:$T$532,$T493)&gt;1),AND($W493&lt;&gt;"",LOWER(TRIM($W493))&lt;&gt;"n/a",COUNTIF($W$2:$W$532,$W493)&gt;1)),"Yes","No"),IF($A493="Cybernet",IF(OR(AND($Y493&lt;&gt;"",LOWER(TRIM($Y493))&lt;&gt;"n/a",COUNTIF($Y$2:$Y$532,$Y493)&gt;1),AND($Z493&lt;&gt;"",LOWER(TRIM($Z493))&lt;&gt;"n/a",COUNTIF($Z$2:$Z$532,$Z493)&gt;1)),"Yes","No"),IF(AND($AL493&lt;&gt;"",LOWER(TRIM($AL493))&lt;&gt;"n/a",COUNTIF($AL$2:$AL$532,$AL493)&gt;1),"Yes","No"))))</f>
      </c>
      <c r="F493">
        <f>IF($B493&lt;&gt;"Yes","",
IF($A493="Neuron",
IF(OR(
AND($S493&lt;&gt;"",LOWER(TRIM($S493))&lt;&gt;"n/a",COUNTIFS($B$2:$B$532,"Yes",$A$2:$A$532,"Neuron",$S$2:$S$532,$S493)&gt;1),
AND($T493&lt;&gt;"",LOWER(TRIM($T493))&lt;&gt;"n/a",COUNTIFS($B$2:$B$532,"Yes",$A$2:$A$532,"Neuron",$T$2:$T$532,$T493)&gt;1),
AND($W493&lt;&gt;"",LOWER(TRIM($W493))&lt;&gt;"n/a",COUNTIFS($B$2:$B$532,"Yes",$A$2:$A$532,"Neuron",$W$2:$W$532,$W493)&gt;1)
),"Yes","No"),
IF($A493="Cybernet",
IF(OR(
AND($Y493&lt;&gt;"",LOWER(TRIM($Y493))&lt;&gt;"n/a",COUNTIFS($B$2:$B$532,"Yes",$A$2:$A$532,"Cybernet",$Y$2:$Y$532,$Y493)&gt;1),
AND($Z493&lt;&gt;"",LOWER(TRIM($Z493))&lt;&gt;"n/a",COUNTIFS($B$2:$B$532,"Yes",$A$2:$A$532,"Cybernet",$Z$2:$Z$532,$Z493)&gt;1)
),"Yes","No"),
IF(AND($AL493&lt;&gt;"",LOWER(TRIM($AL493))&lt;&gt;"n/a"),
IF(COUNTIFS($B$2:$B$532,"Yes",$A$2:$A$532,$A493,$AL$2:$AL$532,$AL493)&gt;1,"Yes","No"),
"No")
)
)
)</f>
      </c>
      <c r="BL493">
        <f>IF($T493="","",IF((IF(AND($AW493&lt;&gt;"Yes",$AW493&lt;&gt;"N/A"),"Power Cable, ","")&amp;IF(AND($AX493&lt;&gt;"Yes",$AX493&lt;&gt;"N/A"),"Battery, ","")&amp;IF(AND($BE493&lt;&gt;"Yes",$BE493&lt;&gt;"N/A"),"Firmware Download, ","")&amp;IF(AND(OR($BE493="Yes",$BE493="N/A"),$BF493&lt;&gt;"Yes",$BF493&lt;&gt;"N/A"),"Firmware Install, ","")&amp;IF(AND($BJ493&lt;&gt;"Yes",$BJ493&lt;&gt;"N/A"),"Device ID, ","")&amp;IF(AND($BK493&lt;&gt;"Yes",$BK493&lt;&gt;"N/A"),"Epic Beans Relay, ",""))="","",LEFT(IF(AND($AW493&lt;&gt;"Yes",$AW493&lt;&gt;"N/A"),"Power Cable, ","")&amp;IF(AND($AX493&lt;&gt;"Yes",$AX493&lt;&gt;"N/A"),"Battery, ","")&amp;IF(AND($BE493&lt;&gt;"Yes",$BE493&lt;&gt;"N/A"),"Firmware Download, ","")&amp;IF(AND(OR($BE493="Yes",$BE493="N/A"),$BF493&lt;&gt;"Yes",$BF493&lt;&gt;"N/A"),"Firmware Install, ","")&amp;IF(AND($BJ493&lt;&gt;"Yes",$BJ493&lt;&gt;"N/A"),"Device ID, ","")&amp;IF(AND($BK493&lt;&gt;"Yes",$BK493&lt;&gt;"N/A"),"Epic Beans Relay, ",""),LEN(IF(AND($AW493&lt;&gt;"Yes",$AW493&lt;&gt;"N/A"),"Power Cable, ","")&amp;IF(AND($AX493&lt;&gt;"Yes",$AX493&lt;&gt;"N/A"),"Battery, ","")&amp;IF(AND($BE493&lt;&gt;"Yes",$BE493&lt;&gt;"N/A"),"Firmware Download, ","")&amp;IF(AND(OR($BE493="Yes",$BE493="N/A"),$BF493&lt;&gt;"Yes",$BF493&lt;&gt;"N/A"),"Firmware Install, ","")&amp;IF(AND($BJ493&lt;&gt;"Yes",$BJ493&lt;&gt;"N/A"),"Device ID, ","")&amp;IF(AND($BK493&lt;&gt;"Yes",$BK493&lt;&gt;"N/A"),"Epic Beans Relay, ",""))-2)))</f>
      </c>
      <c r="BM493">
        <f>IF($T493="","",IF($BL493="","Yes","Blocked"))</f>
      </c>
      <c r="BP493">
        <f>IF($BO493="","",IFERROR(VLOOKUP($BO493,'01_Warehouse_Ledger'!$A:$N,4,FALSE),""))</f>
      </c>
      <c r="BQ493">
        <f>IF($BO493="","",IFERROR(VLOOKUP($BO493,'01_Warehouse_Ledger'!$A:$N,5,FALSE),""))</f>
      </c>
      <c r="BR493">
        <f>IF($BO493="","",IFERROR(VLOOKUP($BO493,'01_Warehouse_Ledger'!$A:$N,13,FALSE),""))</f>
      </c>
    </row>
    <row r="494">
      <c r="D494">
        <f>IF($B494&lt;&gt;"Yes","",IF($C494="No","Yes",IF($C494="Yes","No","")))</f>
      </c>
      <c r="E494">
        <f>IF($A494="","",IF($A494="Neuron",IF(OR(AND($S494&lt;&gt;"",LOWER(TRIM($S494))&lt;&gt;"n/a",COUNTIF($S$2:$S$532,$S494)&gt;1),AND($T494&lt;&gt;"",LOWER(TRIM($T494))&lt;&gt;"n/a",COUNTIF($T$2:$T$532,$T494)&gt;1),AND($W494&lt;&gt;"",LOWER(TRIM($W494))&lt;&gt;"n/a",COUNTIF($W$2:$W$532,$W494)&gt;1)),"Yes","No"),IF($A494="Cybernet",IF(OR(AND($Y494&lt;&gt;"",LOWER(TRIM($Y494))&lt;&gt;"n/a",COUNTIF($Y$2:$Y$532,$Y494)&gt;1),AND($Z494&lt;&gt;"",LOWER(TRIM($Z494))&lt;&gt;"n/a",COUNTIF($Z$2:$Z$532,$Z494)&gt;1)),"Yes","No"),IF(AND($AL494&lt;&gt;"",LOWER(TRIM($AL494))&lt;&gt;"n/a",COUNTIF($AL$2:$AL$532,$AL494)&gt;1),"Yes","No"))))</f>
      </c>
      <c r="F494">
        <f>IF($B494&lt;&gt;"Yes","",
IF($A494="Neuron",
IF(OR(
AND($S494&lt;&gt;"",LOWER(TRIM($S494))&lt;&gt;"n/a",COUNTIFS($B$2:$B$532,"Yes",$A$2:$A$532,"Neuron",$S$2:$S$532,$S494)&gt;1),
AND($T494&lt;&gt;"",LOWER(TRIM($T494))&lt;&gt;"n/a",COUNTIFS($B$2:$B$532,"Yes",$A$2:$A$532,"Neuron",$T$2:$T$532,$T494)&gt;1),
AND($W494&lt;&gt;"",LOWER(TRIM($W494))&lt;&gt;"n/a",COUNTIFS($B$2:$B$532,"Yes",$A$2:$A$532,"Neuron",$W$2:$W$532,$W494)&gt;1)
),"Yes","No"),
IF($A494="Cybernet",
IF(OR(
AND($Y494&lt;&gt;"",LOWER(TRIM($Y494))&lt;&gt;"n/a",COUNTIFS($B$2:$B$532,"Yes",$A$2:$A$532,"Cybernet",$Y$2:$Y$532,$Y494)&gt;1),
AND($Z494&lt;&gt;"",LOWER(TRIM($Z494))&lt;&gt;"n/a",COUNTIFS($B$2:$B$532,"Yes",$A$2:$A$532,"Cybernet",$Z$2:$Z$532,$Z494)&gt;1)
),"Yes","No"),
IF(AND($AL494&lt;&gt;"",LOWER(TRIM($AL494))&lt;&gt;"n/a"),
IF(COUNTIFS($B$2:$B$532,"Yes",$A$2:$A$532,$A494,$AL$2:$AL$532,$AL494)&gt;1,"Yes","No"),
"No")
)
)
)</f>
      </c>
      <c r="BL494">
        <f>IF($T494="","",IF((IF(AND($AW494&lt;&gt;"Yes",$AW494&lt;&gt;"N/A"),"Power Cable, ","")&amp;IF(AND($AX494&lt;&gt;"Yes",$AX494&lt;&gt;"N/A"),"Battery, ","")&amp;IF(AND($BE494&lt;&gt;"Yes",$BE494&lt;&gt;"N/A"),"Firmware Download, ","")&amp;IF(AND(OR($BE494="Yes",$BE494="N/A"),$BF494&lt;&gt;"Yes",$BF494&lt;&gt;"N/A"),"Firmware Install, ","")&amp;IF(AND($BJ494&lt;&gt;"Yes",$BJ494&lt;&gt;"N/A"),"Device ID, ","")&amp;IF(AND($BK494&lt;&gt;"Yes",$BK494&lt;&gt;"N/A"),"Epic Beans Relay, ",""))="","",LEFT(IF(AND($AW494&lt;&gt;"Yes",$AW494&lt;&gt;"N/A"),"Power Cable, ","")&amp;IF(AND($AX494&lt;&gt;"Yes",$AX494&lt;&gt;"N/A"),"Battery, ","")&amp;IF(AND($BE494&lt;&gt;"Yes",$BE494&lt;&gt;"N/A"),"Firmware Download, ","")&amp;IF(AND(OR($BE494="Yes",$BE494="N/A"),$BF494&lt;&gt;"Yes",$BF494&lt;&gt;"N/A"),"Firmware Install, ","")&amp;IF(AND($BJ494&lt;&gt;"Yes",$BJ494&lt;&gt;"N/A"),"Device ID, ","")&amp;IF(AND($BK494&lt;&gt;"Yes",$BK494&lt;&gt;"N/A"),"Epic Beans Relay, ",""),LEN(IF(AND($AW494&lt;&gt;"Yes",$AW494&lt;&gt;"N/A"),"Power Cable, ","")&amp;IF(AND($AX494&lt;&gt;"Yes",$AX494&lt;&gt;"N/A"),"Battery, ","")&amp;IF(AND($BE494&lt;&gt;"Yes",$BE494&lt;&gt;"N/A"),"Firmware Download, ","")&amp;IF(AND(OR($BE494="Yes",$BE494="N/A"),$BF494&lt;&gt;"Yes",$BF494&lt;&gt;"N/A"),"Firmware Install, ","")&amp;IF(AND($BJ494&lt;&gt;"Yes",$BJ494&lt;&gt;"N/A"),"Device ID, ","")&amp;IF(AND($BK494&lt;&gt;"Yes",$BK494&lt;&gt;"N/A"),"Epic Beans Relay, ",""))-2)))</f>
      </c>
      <c r="BM494">
        <f>IF($T494="","",IF($BL494="","Yes","Blocked"))</f>
      </c>
      <c r="BP494">
        <f>IF($BO494="","",IFERROR(VLOOKUP($BO494,'01_Warehouse_Ledger'!$A:$N,4,FALSE),""))</f>
      </c>
      <c r="BQ494">
        <f>IF($BO494="","",IFERROR(VLOOKUP($BO494,'01_Warehouse_Ledger'!$A:$N,5,FALSE),""))</f>
      </c>
      <c r="BR494">
        <f>IF($BO494="","",IFERROR(VLOOKUP($BO494,'01_Warehouse_Ledger'!$A:$N,13,FALSE),""))</f>
      </c>
    </row>
    <row r="495">
      <c r="D495">
        <f>IF($B495&lt;&gt;"Yes","",IF($C495="No","Yes",IF($C495="Yes","No","")))</f>
      </c>
      <c r="E495">
        <f>IF($A495="","",IF($A495="Neuron",IF(OR(AND($S495&lt;&gt;"",LOWER(TRIM($S495))&lt;&gt;"n/a",COUNTIF($S$2:$S$532,$S495)&gt;1),AND($T495&lt;&gt;"",LOWER(TRIM($T495))&lt;&gt;"n/a",COUNTIF($T$2:$T$532,$T495)&gt;1),AND($W495&lt;&gt;"",LOWER(TRIM($W495))&lt;&gt;"n/a",COUNTIF($W$2:$W$532,$W495)&gt;1)),"Yes","No"),IF($A495="Cybernet",IF(OR(AND($Y495&lt;&gt;"",LOWER(TRIM($Y495))&lt;&gt;"n/a",COUNTIF($Y$2:$Y$532,$Y495)&gt;1),AND($Z495&lt;&gt;"",LOWER(TRIM($Z495))&lt;&gt;"n/a",COUNTIF($Z$2:$Z$532,$Z495)&gt;1)),"Yes","No"),IF(AND($AL495&lt;&gt;"",LOWER(TRIM($AL495))&lt;&gt;"n/a",COUNTIF($AL$2:$AL$532,$AL495)&gt;1),"Yes","No"))))</f>
      </c>
      <c r="F495">
        <f>IF($B495&lt;&gt;"Yes","",
IF($A495="Neuron",
IF(OR(
AND($S495&lt;&gt;"",LOWER(TRIM($S495))&lt;&gt;"n/a",COUNTIFS($B$2:$B$532,"Yes",$A$2:$A$532,"Neuron",$S$2:$S$532,$S495)&gt;1),
AND($T495&lt;&gt;"",LOWER(TRIM($T495))&lt;&gt;"n/a",COUNTIFS($B$2:$B$532,"Yes",$A$2:$A$532,"Neuron",$T$2:$T$532,$T495)&gt;1),
AND($W495&lt;&gt;"",LOWER(TRIM($W495))&lt;&gt;"n/a",COUNTIFS($B$2:$B$532,"Yes",$A$2:$A$532,"Neuron",$W$2:$W$532,$W495)&gt;1)
),"Yes","No"),
IF($A495="Cybernet",
IF(OR(
AND($Y495&lt;&gt;"",LOWER(TRIM($Y495))&lt;&gt;"n/a",COUNTIFS($B$2:$B$532,"Yes",$A$2:$A$532,"Cybernet",$Y$2:$Y$532,$Y495)&gt;1),
AND($Z495&lt;&gt;"",LOWER(TRIM($Z495))&lt;&gt;"n/a",COUNTIFS($B$2:$B$532,"Yes",$A$2:$A$532,"Cybernet",$Z$2:$Z$532,$Z495)&gt;1)
),"Yes","No"),
IF(AND($AL495&lt;&gt;"",LOWER(TRIM($AL495))&lt;&gt;"n/a"),
IF(COUNTIFS($B$2:$B$532,"Yes",$A$2:$A$532,$A495,$AL$2:$AL$532,$AL495)&gt;1,"Yes","No"),
"No")
)
)
)</f>
      </c>
      <c r="BL495">
        <f>IF($T495="","",IF((IF(AND($AW495&lt;&gt;"Yes",$AW495&lt;&gt;"N/A"),"Power Cable, ","")&amp;IF(AND($AX495&lt;&gt;"Yes",$AX495&lt;&gt;"N/A"),"Battery, ","")&amp;IF(AND($BE495&lt;&gt;"Yes",$BE495&lt;&gt;"N/A"),"Firmware Download, ","")&amp;IF(AND(OR($BE495="Yes",$BE495="N/A"),$BF495&lt;&gt;"Yes",$BF495&lt;&gt;"N/A"),"Firmware Install, ","")&amp;IF(AND($BJ495&lt;&gt;"Yes",$BJ495&lt;&gt;"N/A"),"Device ID, ","")&amp;IF(AND($BK495&lt;&gt;"Yes",$BK495&lt;&gt;"N/A"),"Epic Beans Relay, ",""))="","",LEFT(IF(AND($AW495&lt;&gt;"Yes",$AW495&lt;&gt;"N/A"),"Power Cable, ","")&amp;IF(AND($AX495&lt;&gt;"Yes",$AX495&lt;&gt;"N/A"),"Battery, ","")&amp;IF(AND($BE495&lt;&gt;"Yes",$BE495&lt;&gt;"N/A"),"Firmware Download, ","")&amp;IF(AND(OR($BE495="Yes",$BE495="N/A"),$BF495&lt;&gt;"Yes",$BF495&lt;&gt;"N/A"),"Firmware Install, ","")&amp;IF(AND($BJ495&lt;&gt;"Yes",$BJ495&lt;&gt;"N/A"),"Device ID, ","")&amp;IF(AND($BK495&lt;&gt;"Yes",$BK495&lt;&gt;"N/A"),"Epic Beans Relay, ",""),LEN(IF(AND($AW495&lt;&gt;"Yes",$AW495&lt;&gt;"N/A"),"Power Cable, ","")&amp;IF(AND($AX495&lt;&gt;"Yes",$AX495&lt;&gt;"N/A"),"Battery, ","")&amp;IF(AND($BE495&lt;&gt;"Yes",$BE495&lt;&gt;"N/A"),"Firmware Download, ","")&amp;IF(AND(OR($BE495="Yes",$BE495="N/A"),$BF495&lt;&gt;"Yes",$BF495&lt;&gt;"N/A"),"Firmware Install, ","")&amp;IF(AND($BJ495&lt;&gt;"Yes",$BJ495&lt;&gt;"N/A"),"Device ID, ","")&amp;IF(AND($BK495&lt;&gt;"Yes",$BK495&lt;&gt;"N/A"),"Epic Beans Relay, ",""))-2)))</f>
      </c>
      <c r="BM495">
        <f>IF($T495="","",IF($BL495="","Yes","Blocked"))</f>
      </c>
      <c r="BP495">
        <f>IF($BO495="","",IFERROR(VLOOKUP($BO495,'01_Warehouse_Ledger'!$A:$N,4,FALSE),""))</f>
      </c>
      <c r="BQ495">
        <f>IF($BO495="","",IFERROR(VLOOKUP($BO495,'01_Warehouse_Ledger'!$A:$N,5,FALSE),""))</f>
      </c>
      <c r="BR495">
        <f>IF($BO495="","",IFERROR(VLOOKUP($BO495,'01_Warehouse_Ledger'!$A:$N,13,FALSE),""))</f>
      </c>
    </row>
    <row r="496">
      <c r="D496">
        <f>IF($B496&lt;&gt;"Yes","",IF($C496="No","Yes",IF($C496="Yes","No","")))</f>
      </c>
      <c r="E496">
        <f>IF($A496="","",IF($A496="Neuron",IF(OR(AND($S496&lt;&gt;"",LOWER(TRIM($S496))&lt;&gt;"n/a",COUNTIF($S$2:$S$532,$S496)&gt;1),AND($T496&lt;&gt;"",LOWER(TRIM($T496))&lt;&gt;"n/a",COUNTIF($T$2:$T$532,$T496)&gt;1),AND($W496&lt;&gt;"",LOWER(TRIM($W496))&lt;&gt;"n/a",COUNTIF($W$2:$W$532,$W496)&gt;1)),"Yes","No"),IF($A496="Cybernet",IF(OR(AND($Y496&lt;&gt;"",LOWER(TRIM($Y496))&lt;&gt;"n/a",COUNTIF($Y$2:$Y$532,$Y496)&gt;1),AND($Z496&lt;&gt;"",LOWER(TRIM($Z496))&lt;&gt;"n/a",COUNTIF($Z$2:$Z$532,$Z496)&gt;1)),"Yes","No"),IF(AND($AL496&lt;&gt;"",LOWER(TRIM($AL496))&lt;&gt;"n/a",COUNTIF($AL$2:$AL$532,$AL496)&gt;1),"Yes","No"))))</f>
      </c>
      <c r="F496">
        <f>IF($B496&lt;&gt;"Yes","",
IF($A496="Neuron",
IF(OR(
AND($S496&lt;&gt;"",LOWER(TRIM($S496))&lt;&gt;"n/a",COUNTIFS($B$2:$B$532,"Yes",$A$2:$A$532,"Neuron",$S$2:$S$532,$S496)&gt;1),
AND($T496&lt;&gt;"",LOWER(TRIM($T496))&lt;&gt;"n/a",COUNTIFS($B$2:$B$532,"Yes",$A$2:$A$532,"Neuron",$T$2:$T$532,$T496)&gt;1),
AND($W496&lt;&gt;"",LOWER(TRIM($W496))&lt;&gt;"n/a",COUNTIFS($B$2:$B$532,"Yes",$A$2:$A$532,"Neuron",$W$2:$W$532,$W496)&gt;1)
),"Yes","No"),
IF($A496="Cybernet",
IF(OR(
AND($Y496&lt;&gt;"",LOWER(TRIM($Y496))&lt;&gt;"n/a",COUNTIFS($B$2:$B$532,"Yes",$A$2:$A$532,"Cybernet",$Y$2:$Y$532,$Y496)&gt;1),
AND($Z496&lt;&gt;"",LOWER(TRIM($Z496))&lt;&gt;"n/a",COUNTIFS($B$2:$B$532,"Yes",$A$2:$A$532,"Cybernet",$Z$2:$Z$532,$Z496)&gt;1)
),"Yes","No"),
IF(AND($AL496&lt;&gt;"",LOWER(TRIM($AL496))&lt;&gt;"n/a"),
IF(COUNTIFS($B$2:$B$532,"Yes",$A$2:$A$532,$A496,$AL$2:$AL$532,$AL496)&gt;1,"Yes","No"),
"No")
)
)
)</f>
      </c>
      <c r="BL496">
        <f>IF($T496="","",IF((IF(AND($AW496&lt;&gt;"Yes",$AW496&lt;&gt;"N/A"),"Power Cable, ","")&amp;IF(AND($AX496&lt;&gt;"Yes",$AX496&lt;&gt;"N/A"),"Battery, ","")&amp;IF(AND($BE496&lt;&gt;"Yes",$BE496&lt;&gt;"N/A"),"Firmware Download, ","")&amp;IF(AND(OR($BE496="Yes",$BE496="N/A"),$BF496&lt;&gt;"Yes",$BF496&lt;&gt;"N/A"),"Firmware Install, ","")&amp;IF(AND($BJ496&lt;&gt;"Yes",$BJ496&lt;&gt;"N/A"),"Device ID, ","")&amp;IF(AND($BK496&lt;&gt;"Yes",$BK496&lt;&gt;"N/A"),"Epic Beans Relay, ",""))="","",LEFT(IF(AND($AW496&lt;&gt;"Yes",$AW496&lt;&gt;"N/A"),"Power Cable, ","")&amp;IF(AND($AX496&lt;&gt;"Yes",$AX496&lt;&gt;"N/A"),"Battery, ","")&amp;IF(AND($BE496&lt;&gt;"Yes",$BE496&lt;&gt;"N/A"),"Firmware Download, ","")&amp;IF(AND(OR($BE496="Yes",$BE496="N/A"),$BF496&lt;&gt;"Yes",$BF496&lt;&gt;"N/A"),"Firmware Install, ","")&amp;IF(AND($BJ496&lt;&gt;"Yes",$BJ496&lt;&gt;"N/A"),"Device ID, ","")&amp;IF(AND($BK496&lt;&gt;"Yes",$BK496&lt;&gt;"N/A"),"Epic Beans Relay, ",""),LEN(IF(AND($AW496&lt;&gt;"Yes",$AW496&lt;&gt;"N/A"),"Power Cable, ","")&amp;IF(AND($AX496&lt;&gt;"Yes",$AX496&lt;&gt;"N/A"),"Battery, ","")&amp;IF(AND($BE496&lt;&gt;"Yes",$BE496&lt;&gt;"N/A"),"Firmware Download, ","")&amp;IF(AND(OR($BE496="Yes",$BE496="N/A"),$BF496&lt;&gt;"Yes",$BF496&lt;&gt;"N/A"),"Firmware Install, ","")&amp;IF(AND($BJ496&lt;&gt;"Yes",$BJ496&lt;&gt;"N/A"),"Device ID, ","")&amp;IF(AND($BK496&lt;&gt;"Yes",$BK496&lt;&gt;"N/A"),"Epic Beans Relay, ",""))-2)))</f>
      </c>
      <c r="BM496">
        <f>IF($T496="","",IF($BL496="","Yes","Blocked"))</f>
      </c>
      <c r="BP496">
        <f>IF($BO496="","",IFERROR(VLOOKUP($BO496,'01_Warehouse_Ledger'!$A:$N,4,FALSE),""))</f>
      </c>
      <c r="BQ496">
        <f>IF($BO496="","",IFERROR(VLOOKUP($BO496,'01_Warehouse_Ledger'!$A:$N,5,FALSE),""))</f>
      </c>
      <c r="BR496">
        <f>IF($BO496="","",IFERROR(VLOOKUP($BO496,'01_Warehouse_Ledger'!$A:$N,13,FALSE),""))</f>
      </c>
    </row>
    <row r="497">
      <c r="D497">
        <f>IF($B497&lt;&gt;"Yes","",IF($C497="No","Yes",IF($C497="Yes","No","")))</f>
      </c>
      <c r="E497">
        <f>IF($A497="","",IF($A497="Neuron",IF(OR(AND($S497&lt;&gt;"",LOWER(TRIM($S497))&lt;&gt;"n/a",COUNTIF($S$2:$S$532,$S497)&gt;1),AND($T497&lt;&gt;"",LOWER(TRIM($T497))&lt;&gt;"n/a",COUNTIF($T$2:$T$532,$T497)&gt;1),AND($W497&lt;&gt;"",LOWER(TRIM($W497))&lt;&gt;"n/a",COUNTIF($W$2:$W$532,$W497)&gt;1)),"Yes","No"),IF($A497="Cybernet",IF(OR(AND($Y497&lt;&gt;"",LOWER(TRIM($Y497))&lt;&gt;"n/a",COUNTIF($Y$2:$Y$532,$Y497)&gt;1),AND($Z497&lt;&gt;"",LOWER(TRIM($Z497))&lt;&gt;"n/a",COUNTIF($Z$2:$Z$532,$Z497)&gt;1)),"Yes","No"),IF(AND($AL497&lt;&gt;"",LOWER(TRIM($AL497))&lt;&gt;"n/a",COUNTIF($AL$2:$AL$532,$AL497)&gt;1),"Yes","No"))))</f>
      </c>
      <c r="F497">
        <f>IF($B497&lt;&gt;"Yes","",
IF($A497="Neuron",
IF(OR(
AND($S497&lt;&gt;"",LOWER(TRIM($S497))&lt;&gt;"n/a",COUNTIFS($B$2:$B$532,"Yes",$A$2:$A$532,"Neuron",$S$2:$S$532,$S497)&gt;1),
AND($T497&lt;&gt;"",LOWER(TRIM($T497))&lt;&gt;"n/a",COUNTIFS($B$2:$B$532,"Yes",$A$2:$A$532,"Neuron",$T$2:$T$532,$T497)&gt;1),
AND($W497&lt;&gt;"",LOWER(TRIM($W497))&lt;&gt;"n/a",COUNTIFS($B$2:$B$532,"Yes",$A$2:$A$532,"Neuron",$W$2:$W$532,$W497)&gt;1)
),"Yes","No"),
IF($A497="Cybernet",
IF(OR(
AND($Y497&lt;&gt;"",LOWER(TRIM($Y497))&lt;&gt;"n/a",COUNTIFS($B$2:$B$532,"Yes",$A$2:$A$532,"Cybernet",$Y$2:$Y$532,$Y497)&gt;1),
AND($Z497&lt;&gt;"",LOWER(TRIM($Z497))&lt;&gt;"n/a",COUNTIFS($B$2:$B$532,"Yes",$A$2:$A$532,"Cybernet",$Z$2:$Z$532,$Z497)&gt;1)
),"Yes","No"),
IF(AND($AL497&lt;&gt;"",LOWER(TRIM($AL497))&lt;&gt;"n/a"),
IF(COUNTIFS($B$2:$B$532,"Yes",$A$2:$A$532,$A497,$AL$2:$AL$532,$AL497)&gt;1,"Yes","No"),
"No")
)
)
)</f>
      </c>
      <c r="BL497">
        <f>IF($T497="","",IF((IF(AND($AW497&lt;&gt;"Yes",$AW497&lt;&gt;"N/A"),"Power Cable, ","")&amp;IF(AND($AX497&lt;&gt;"Yes",$AX497&lt;&gt;"N/A"),"Battery, ","")&amp;IF(AND($BE497&lt;&gt;"Yes",$BE497&lt;&gt;"N/A"),"Firmware Download, ","")&amp;IF(AND(OR($BE497="Yes",$BE497="N/A"),$BF497&lt;&gt;"Yes",$BF497&lt;&gt;"N/A"),"Firmware Install, ","")&amp;IF(AND($BJ497&lt;&gt;"Yes",$BJ497&lt;&gt;"N/A"),"Device ID, ","")&amp;IF(AND($BK497&lt;&gt;"Yes",$BK497&lt;&gt;"N/A"),"Epic Beans Relay, ",""))="","",LEFT(IF(AND($AW497&lt;&gt;"Yes",$AW497&lt;&gt;"N/A"),"Power Cable, ","")&amp;IF(AND($AX497&lt;&gt;"Yes",$AX497&lt;&gt;"N/A"),"Battery, ","")&amp;IF(AND($BE497&lt;&gt;"Yes",$BE497&lt;&gt;"N/A"),"Firmware Download, ","")&amp;IF(AND(OR($BE497="Yes",$BE497="N/A"),$BF497&lt;&gt;"Yes",$BF497&lt;&gt;"N/A"),"Firmware Install, ","")&amp;IF(AND($BJ497&lt;&gt;"Yes",$BJ497&lt;&gt;"N/A"),"Device ID, ","")&amp;IF(AND($BK497&lt;&gt;"Yes",$BK497&lt;&gt;"N/A"),"Epic Beans Relay, ",""),LEN(IF(AND($AW497&lt;&gt;"Yes",$AW497&lt;&gt;"N/A"),"Power Cable, ","")&amp;IF(AND($AX497&lt;&gt;"Yes",$AX497&lt;&gt;"N/A"),"Battery, ","")&amp;IF(AND($BE497&lt;&gt;"Yes",$BE497&lt;&gt;"N/A"),"Firmware Download, ","")&amp;IF(AND(OR($BE497="Yes",$BE497="N/A"),$BF497&lt;&gt;"Yes",$BF497&lt;&gt;"N/A"),"Firmware Install, ","")&amp;IF(AND($BJ497&lt;&gt;"Yes",$BJ497&lt;&gt;"N/A"),"Device ID, ","")&amp;IF(AND($BK497&lt;&gt;"Yes",$BK497&lt;&gt;"N/A"),"Epic Beans Relay, ",""))-2)))</f>
      </c>
      <c r="BM497">
        <f>IF($T497="","",IF($BL497="","Yes","Blocked"))</f>
      </c>
      <c r="BP497">
        <f>IF($BO497="","",IFERROR(VLOOKUP($BO497,'01_Warehouse_Ledger'!$A:$N,4,FALSE),""))</f>
      </c>
      <c r="BQ497">
        <f>IF($BO497="","",IFERROR(VLOOKUP($BO497,'01_Warehouse_Ledger'!$A:$N,5,FALSE),""))</f>
      </c>
      <c r="BR497">
        <f>IF($BO497="","",IFERROR(VLOOKUP($BO497,'01_Warehouse_Ledger'!$A:$N,13,FALSE),""))</f>
      </c>
    </row>
    <row r="498">
      <c r="D498">
        <f>IF($B498&lt;&gt;"Yes","",IF($C498="No","Yes",IF($C498="Yes","No","")))</f>
      </c>
      <c r="E498">
        <f>IF($A498="","",IF($A498="Neuron",IF(OR(AND($S498&lt;&gt;"",LOWER(TRIM($S498))&lt;&gt;"n/a",COUNTIF($S$2:$S$532,$S498)&gt;1),AND($T498&lt;&gt;"",LOWER(TRIM($T498))&lt;&gt;"n/a",COUNTIF($T$2:$T$532,$T498)&gt;1),AND($W498&lt;&gt;"",LOWER(TRIM($W498))&lt;&gt;"n/a",COUNTIF($W$2:$W$532,$W498)&gt;1)),"Yes","No"),IF($A498="Cybernet",IF(OR(AND($Y498&lt;&gt;"",LOWER(TRIM($Y498))&lt;&gt;"n/a",COUNTIF($Y$2:$Y$532,$Y498)&gt;1),AND($Z498&lt;&gt;"",LOWER(TRIM($Z498))&lt;&gt;"n/a",COUNTIF($Z$2:$Z$532,$Z498)&gt;1)),"Yes","No"),IF(AND($AL498&lt;&gt;"",LOWER(TRIM($AL498))&lt;&gt;"n/a",COUNTIF($AL$2:$AL$532,$AL498)&gt;1),"Yes","No"))))</f>
      </c>
      <c r="F498">
        <f>IF($B498&lt;&gt;"Yes","",
IF($A498="Neuron",
IF(OR(
AND($S498&lt;&gt;"",LOWER(TRIM($S498))&lt;&gt;"n/a",COUNTIFS($B$2:$B$532,"Yes",$A$2:$A$532,"Neuron",$S$2:$S$532,$S498)&gt;1),
AND($T498&lt;&gt;"",LOWER(TRIM($T498))&lt;&gt;"n/a",COUNTIFS($B$2:$B$532,"Yes",$A$2:$A$532,"Neuron",$T$2:$T$532,$T498)&gt;1),
AND($W498&lt;&gt;"",LOWER(TRIM($W498))&lt;&gt;"n/a",COUNTIFS($B$2:$B$532,"Yes",$A$2:$A$532,"Neuron",$W$2:$W$532,$W498)&gt;1)
),"Yes","No"),
IF($A498="Cybernet",
IF(OR(
AND($Y498&lt;&gt;"",LOWER(TRIM($Y498))&lt;&gt;"n/a",COUNTIFS($B$2:$B$532,"Yes",$A$2:$A$532,"Cybernet",$Y$2:$Y$532,$Y498)&gt;1),
AND($Z498&lt;&gt;"",LOWER(TRIM($Z498))&lt;&gt;"n/a",COUNTIFS($B$2:$B$532,"Yes",$A$2:$A$532,"Cybernet",$Z$2:$Z$532,$Z498)&gt;1)
),"Yes","No"),
IF(AND($AL498&lt;&gt;"",LOWER(TRIM($AL498))&lt;&gt;"n/a"),
IF(COUNTIFS($B$2:$B$532,"Yes",$A$2:$A$532,$A498,$AL$2:$AL$532,$AL498)&gt;1,"Yes","No"),
"No")
)
)
)</f>
      </c>
      <c r="BL498">
        <f>IF($T498="","",IF((IF(AND($AW498&lt;&gt;"Yes",$AW498&lt;&gt;"N/A"),"Power Cable, ","")&amp;IF(AND($AX498&lt;&gt;"Yes",$AX498&lt;&gt;"N/A"),"Battery, ","")&amp;IF(AND($BE498&lt;&gt;"Yes",$BE498&lt;&gt;"N/A"),"Firmware Download, ","")&amp;IF(AND(OR($BE498="Yes",$BE498="N/A"),$BF498&lt;&gt;"Yes",$BF498&lt;&gt;"N/A"),"Firmware Install, ","")&amp;IF(AND($BJ498&lt;&gt;"Yes",$BJ498&lt;&gt;"N/A"),"Device ID, ","")&amp;IF(AND($BK498&lt;&gt;"Yes",$BK498&lt;&gt;"N/A"),"Epic Beans Relay, ",""))="","",LEFT(IF(AND($AW498&lt;&gt;"Yes",$AW498&lt;&gt;"N/A"),"Power Cable, ","")&amp;IF(AND($AX498&lt;&gt;"Yes",$AX498&lt;&gt;"N/A"),"Battery, ","")&amp;IF(AND($BE498&lt;&gt;"Yes",$BE498&lt;&gt;"N/A"),"Firmware Download, ","")&amp;IF(AND(OR($BE498="Yes",$BE498="N/A"),$BF498&lt;&gt;"Yes",$BF498&lt;&gt;"N/A"),"Firmware Install, ","")&amp;IF(AND($BJ498&lt;&gt;"Yes",$BJ498&lt;&gt;"N/A"),"Device ID, ","")&amp;IF(AND($BK498&lt;&gt;"Yes",$BK498&lt;&gt;"N/A"),"Epic Beans Relay, ",""),LEN(IF(AND($AW498&lt;&gt;"Yes",$AW498&lt;&gt;"N/A"),"Power Cable, ","")&amp;IF(AND($AX498&lt;&gt;"Yes",$AX498&lt;&gt;"N/A"),"Battery, ","")&amp;IF(AND($BE498&lt;&gt;"Yes",$BE498&lt;&gt;"N/A"),"Firmware Download, ","")&amp;IF(AND(OR($BE498="Yes",$BE498="N/A"),$BF498&lt;&gt;"Yes",$BF498&lt;&gt;"N/A"),"Firmware Install, ","")&amp;IF(AND($BJ498&lt;&gt;"Yes",$BJ498&lt;&gt;"N/A"),"Device ID, ","")&amp;IF(AND($BK498&lt;&gt;"Yes",$BK498&lt;&gt;"N/A"),"Epic Beans Relay, ",""))-2)))</f>
      </c>
      <c r="BM498">
        <f>IF($T498="","",IF($BL498="","Yes","Blocked"))</f>
      </c>
      <c r="BP498">
        <f>IF($BO498="","",IFERROR(VLOOKUP($BO498,'01_Warehouse_Ledger'!$A:$N,4,FALSE),""))</f>
      </c>
      <c r="BQ498">
        <f>IF($BO498="","",IFERROR(VLOOKUP($BO498,'01_Warehouse_Ledger'!$A:$N,5,FALSE),""))</f>
      </c>
      <c r="BR498">
        <f>IF($BO498="","",IFERROR(VLOOKUP($BO498,'01_Warehouse_Ledger'!$A:$N,13,FALSE),""))</f>
      </c>
    </row>
    <row r="499">
      <c r="D499">
        <f>IF($B499&lt;&gt;"Yes","",IF($C499="No","Yes",IF($C499="Yes","No","")))</f>
      </c>
      <c r="E499">
        <f>IF($A499="","",IF($A499="Neuron",IF(OR(AND($S499&lt;&gt;"",LOWER(TRIM($S499))&lt;&gt;"n/a",COUNTIF($S$2:$S$532,$S499)&gt;1),AND($T499&lt;&gt;"",LOWER(TRIM($T499))&lt;&gt;"n/a",COUNTIF($T$2:$T$532,$T499)&gt;1),AND($W499&lt;&gt;"",LOWER(TRIM($W499))&lt;&gt;"n/a",COUNTIF($W$2:$W$532,$W499)&gt;1)),"Yes","No"),IF($A499="Cybernet",IF(OR(AND($Y499&lt;&gt;"",LOWER(TRIM($Y499))&lt;&gt;"n/a",COUNTIF($Y$2:$Y$532,$Y499)&gt;1),AND($Z499&lt;&gt;"",LOWER(TRIM($Z499))&lt;&gt;"n/a",COUNTIF($Z$2:$Z$532,$Z499)&gt;1)),"Yes","No"),IF(AND($AL499&lt;&gt;"",LOWER(TRIM($AL499))&lt;&gt;"n/a",COUNTIF($AL$2:$AL$532,$AL499)&gt;1),"Yes","No"))))</f>
      </c>
      <c r="F499">
        <f>IF($B499&lt;&gt;"Yes","",
IF($A499="Neuron",
IF(OR(
AND($S499&lt;&gt;"",LOWER(TRIM($S499))&lt;&gt;"n/a",COUNTIFS($B$2:$B$532,"Yes",$A$2:$A$532,"Neuron",$S$2:$S$532,$S499)&gt;1),
AND($T499&lt;&gt;"",LOWER(TRIM($T499))&lt;&gt;"n/a",COUNTIFS($B$2:$B$532,"Yes",$A$2:$A$532,"Neuron",$T$2:$T$532,$T499)&gt;1),
AND($W499&lt;&gt;"",LOWER(TRIM($W499))&lt;&gt;"n/a",COUNTIFS($B$2:$B$532,"Yes",$A$2:$A$532,"Neuron",$W$2:$W$532,$W499)&gt;1)
),"Yes","No"),
IF($A499="Cybernet",
IF(OR(
AND($Y499&lt;&gt;"",LOWER(TRIM($Y499))&lt;&gt;"n/a",COUNTIFS($B$2:$B$532,"Yes",$A$2:$A$532,"Cybernet",$Y$2:$Y$532,$Y499)&gt;1),
AND($Z499&lt;&gt;"",LOWER(TRIM($Z499))&lt;&gt;"n/a",COUNTIFS($B$2:$B$532,"Yes",$A$2:$A$532,"Cybernet",$Z$2:$Z$532,$Z499)&gt;1)
),"Yes","No"),
IF(AND($AL499&lt;&gt;"",LOWER(TRIM($AL499))&lt;&gt;"n/a"),
IF(COUNTIFS($B$2:$B$532,"Yes",$A$2:$A$532,$A499,$AL$2:$AL$532,$AL499)&gt;1,"Yes","No"),
"No")
)
)
)</f>
      </c>
      <c r="BL499">
        <f>IF($T499="","",IF((IF(AND($AW499&lt;&gt;"Yes",$AW499&lt;&gt;"N/A"),"Power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",""))="","",LEFT(IF(AND($AW499&lt;&gt;"Yes",$AW499&lt;&gt;"N/A"),"Power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",""),LEN(IF(AND($AW499&lt;&gt;"Yes",$AW499&lt;&gt;"N/A"),"Power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",""))-2)))</f>
      </c>
      <c r="BM499">
        <f>IF($T499="","",IF($BL499="","Yes","Blocked"))</f>
      </c>
      <c r="BP499">
        <f>IF($BO499="","",IFERROR(VLOOKUP($BO499,'01_Warehouse_Ledger'!$A:$N,4,FALSE),""))</f>
      </c>
      <c r="BQ499">
        <f>IF($BO499="","",IFERROR(VLOOKUP($BO499,'01_Warehouse_Ledger'!$A:$N,5,FALSE),""))</f>
      </c>
      <c r="BR499">
        <f>IF($BO499="","",IFERROR(VLOOKUP($BO499,'01_Warehouse_Ledger'!$A:$N,13,FALSE),""))</f>
      </c>
    </row>
    <row r="500">
      <c r="D500">
        <f>IF($B500&lt;&gt;"Yes","",IF($C500="No","Yes",IF($C500="Yes","No","")))</f>
      </c>
      <c r="E500">
        <f>IF($A500="","",IF($A500="Neuron",IF(OR(AND($S500&lt;&gt;"",LOWER(TRIM($S500))&lt;&gt;"n/a",COUNTIF($S$2:$S$532,$S500)&gt;1),AND($T500&lt;&gt;"",LOWER(TRIM($T500))&lt;&gt;"n/a",COUNTIF($T$2:$T$532,$T500)&gt;1),AND($W500&lt;&gt;"",LOWER(TRIM($W500))&lt;&gt;"n/a",COUNTIF($W$2:$W$532,$W500)&gt;1)),"Yes","No"),IF($A500="Cybernet",IF(OR(AND($Y500&lt;&gt;"",LOWER(TRIM($Y500))&lt;&gt;"n/a",COUNTIF($Y$2:$Y$532,$Y500)&gt;1),AND($Z500&lt;&gt;"",LOWER(TRIM($Z500))&lt;&gt;"n/a",COUNTIF($Z$2:$Z$532,$Z500)&gt;1)),"Yes","No"),IF(AND($AL500&lt;&gt;"",LOWER(TRIM($AL500))&lt;&gt;"n/a",COUNTIF($AL$2:$AL$532,$AL500)&gt;1),"Yes","No"))))</f>
      </c>
      <c r="F500">
        <f>IF($B500&lt;&gt;"Yes","",
IF($A500="Neuron",
IF(OR(
AND($S500&lt;&gt;"",LOWER(TRIM($S500))&lt;&gt;"n/a",COUNTIFS($B$2:$B$532,"Yes",$A$2:$A$532,"Neuron",$S$2:$S$532,$S500)&gt;1),
AND($T500&lt;&gt;"",LOWER(TRIM($T500))&lt;&gt;"n/a",COUNTIFS($B$2:$B$532,"Yes",$A$2:$A$532,"Neuron",$T$2:$T$532,$T500)&gt;1),
AND($W500&lt;&gt;"",LOWER(TRIM($W500))&lt;&gt;"n/a",COUNTIFS($B$2:$B$532,"Yes",$A$2:$A$532,"Neuron",$W$2:$W$532,$W500)&gt;1)
),"Yes","No"),
IF($A500="Cybernet",
IF(OR(
AND($Y500&lt;&gt;"",LOWER(TRIM($Y500))&lt;&gt;"n/a",COUNTIFS($B$2:$B$532,"Yes",$A$2:$A$532,"Cybernet",$Y$2:$Y$532,$Y500)&gt;1),
AND($Z500&lt;&gt;"",LOWER(TRIM($Z500))&lt;&gt;"n/a",COUNTIFS($B$2:$B$532,"Yes",$A$2:$A$532,"Cybernet",$Z$2:$Z$532,$Z500)&gt;1)
),"Yes","No"),
IF(AND($AL500&lt;&gt;"",LOWER(TRIM($AL500))&lt;&gt;"n/a"),
IF(COUNTIFS($B$2:$B$532,"Yes",$A$2:$A$532,$A500,$AL$2:$AL$532,$AL500)&gt;1,"Yes","No"),
"No")
)
)
)</f>
      </c>
      <c r="BL500">
        <f>IF($T500="","",IF((IF(AND($AW500&lt;&gt;"Yes",$AW500&lt;&gt;"N/A"),"Power Cable, ","")&amp;IF(AND($AX500&lt;&gt;"Yes",$AX500&lt;&gt;"N/A"),"Battery, ","")&amp;IF(AND($BE500&lt;&gt;"Yes",$BE500&lt;&gt;"N/A"),"Firmware Download, ","")&amp;IF(AND(OR($BE500="Yes",$BE500="N/A"),$BF500&lt;&gt;"Yes",$BF500&lt;&gt;"N/A"),"Firmware Install, ","")&amp;IF(AND($BJ500&lt;&gt;"Yes",$BJ500&lt;&gt;"N/A"),"Device ID, ","")&amp;IF(AND($BK500&lt;&gt;"Yes",$BK500&lt;&gt;"N/A"),"Epic Beans Relay, ",""))="","",LEFT(IF(AND($AW500&lt;&gt;"Yes",$AW500&lt;&gt;"N/A"),"Power Cable, ","")&amp;IF(AND($AX500&lt;&gt;"Yes",$AX500&lt;&gt;"N/A"),"Battery, ","")&amp;IF(AND($BE500&lt;&gt;"Yes",$BE500&lt;&gt;"N/A"),"Firmware Download, ","")&amp;IF(AND(OR($BE500="Yes",$BE500="N/A"),$BF500&lt;&gt;"Yes",$BF500&lt;&gt;"N/A"),"Firmware Install, ","")&amp;IF(AND($BJ500&lt;&gt;"Yes",$BJ500&lt;&gt;"N/A"),"Device ID, ","")&amp;IF(AND($BK500&lt;&gt;"Yes",$BK500&lt;&gt;"N/A"),"Epic Beans Relay, ",""),LEN(IF(AND($AW500&lt;&gt;"Yes",$AW500&lt;&gt;"N/A"),"Power Cable, ","")&amp;IF(AND($AX500&lt;&gt;"Yes",$AX500&lt;&gt;"N/A"),"Battery, ","")&amp;IF(AND($BE500&lt;&gt;"Yes",$BE500&lt;&gt;"N/A"),"Firmware Download, ","")&amp;IF(AND(OR($BE500="Yes",$BE500="N/A"),$BF500&lt;&gt;"Yes",$BF500&lt;&gt;"N/A"),"Firmware Install, ","")&amp;IF(AND($BJ500&lt;&gt;"Yes",$BJ500&lt;&gt;"N/A"),"Device ID, ","")&amp;IF(AND($BK500&lt;&gt;"Yes",$BK500&lt;&gt;"N/A"),"Epic Beans Relay, ",""))-2)))</f>
      </c>
      <c r="BM500">
        <f>IF($T500="","",IF($BL500="","Yes","Blocked"))</f>
      </c>
      <c r="BP500">
        <f>IF($BO500="","",IFERROR(VLOOKUP($BO500,'01_Warehouse_Ledger'!$A:$N,4,FALSE),""))</f>
      </c>
      <c r="BQ500">
        <f>IF($BO500="","",IFERROR(VLOOKUP($BO500,'01_Warehouse_Ledger'!$A:$N,5,FALSE),""))</f>
      </c>
      <c r="BR500">
        <f>IF($BO500="","",IFERROR(VLOOKUP($BO500,'01_Warehouse_Ledger'!$A:$N,13,FALSE),""))</f>
      </c>
    </row>
    <row r="501">
      <c r="D501">
        <f>IF($B501&lt;&gt;"Yes","",IF($C501="No","Yes",IF($C501="Yes","No","")))</f>
      </c>
      <c r="E501">
        <f>IF($A501="","",IF($A501="Neuron",IF(OR(AND($S501&lt;&gt;"",LOWER(TRIM($S501))&lt;&gt;"n/a",COUNTIF($S$2:$S$532,$S501)&gt;1),AND($T501&lt;&gt;"",LOWER(TRIM($T501))&lt;&gt;"n/a",COUNTIF($T$2:$T$532,$T501)&gt;1),AND($W501&lt;&gt;"",LOWER(TRIM($W501))&lt;&gt;"n/a",COUNTIF($W$2:$W$532,$W501)&gt;1)),"Yes","No"),IF($A501="Cybernet",IF(OR(AND($Y501&lt;&gt;"",LOWER(TRIM($Y501))&lt;&gt;"n/a",COUNTIF($Y$2:$Y$532,$Y501)&gt;1),AND($Z501&lt;&gt;"",LOWER(TRIM($Z501))&lt;&gt;"n/a",COUNTIF($Z$2:$Z$532,$Z501)&gt;1)),"Yes","No"),IF(AND($AL501&lt;&gt;"",LOWER(TRIM($AL501))&lt;&gt;"n/a",COUNTIF($AL$2:$AL$532,$AL501)&gt;1),"Yes","No"))))</f>
      </c>
      <c r="F501">
        <f>IF($B501&lt;&gt;"Yes","",
IF($A501="Neuron",
IF(OR(
AND($S501&lt;&gt;"",LOWER(TRIM($S501))&lt;&gt;"n/a",COUNTIFS($B$2:$B$532,"Yes",$A$2:$A$532,"Neuron",$S$2:$S$532,$S501)&gt;1),
AND($T501&lt;&gt;"",LOWER(TRIM($T501))&lt;&gt;"n/a",COUNTIFS($B$2:$B$532,"Yes",$A$2:$A$532,"Neuron",$T$2:$T$532,$T501)&gt;1),
AND($W501&lt;&gt;"",LOWER(TRIM($W501))&lt;&gt;"n/a",COUNTIFS($B$2:$B$532,"Yes",$A$2:$A$532,"Neuron",$W$2:$W$532,$W501)&gt;1)
),"Yes","No"),
IF($A501="Cybernet",
IF(OR(
AND($Y501&lt;&gt;"",LOWER(TRIM($Y501))&lt;&gt;"n/a",COUNTIFS($B$2:$B$532,"Yes",$A$2:$A$532,"Cybernet",$Y$2:$Y$532,$Y501)&gt;1),
AND($Z501&lt;&gt;"",LOWER(TRIM($Z501))&lt;&gt;"n/a",COUNTIFS($B$2:$B$532,"Yes",$A$2:$A$532,"Cybernet",$Z$2:$Z$532,$Z501)&gt;1)
),"Yes","No"),
IF(AND($AL501&lt;&gt;"",LOWER(TRIM($AL501))&lt;&gt;"n/a"),
IF(COUNTIFS($B$2:$B$532,"Yes",$A$2:$A$532,$A501,$AL$2:$AL$532,$AL501)&gt;1,"Yes","No"),
"No")
)
)
)</f>
      </c>
      <c r="BL501">
        <f>IF($T501="","",IF((IF(AND($AW501&lt;&gt;"Yes",$AW501&lt;&gt;"N/A"),"Power Cable, ","")&amp;IF(AND($AX501&lt;&gt;"Yes",$AX501&lt;&gt;"N/A"),"Battery, ","")&amp;IF(AND($BE501&lt;&gt;"Yes",$BE501&lt;&gt;"N/A"),"Firmware Download, ","")&amp;IF(AND(OR($BE501="Yes",$BE501="N/A"),$BF501&lt;&gt;"Yes",$BF501&lt;&gt;"N/A"),"Firmware Install, ","")&amp;IF(AND($BJ501&lt;&gt;"Yes",$BJ501&lt;&gt;"N/A"),"Device ID, ","")&amp;IF(AND($BK501&lt;&gt;"Yes",$BK501&lt;&gt;"N/A"),"Epic Beans Relay, ",""))="","",LEFT(IF(AND($AW501&lt;&gt;"Yes",$AW501&lt;&gt;"N/A"),"Power Cable, ","")&amp;IF(AND($AX501&lt;&gt;"Yes",$AX501&lt;&gt;"N/A"),"Battery, ","")&amp;IF(AND($BE501&lt;&gt;"Yes",$BE501&lt;&gt;"N/A"),"Firmware Download, ","")&amp;IF(AND(OR($BE501="Yes",$BE501="N/A"),$BF501&lt;&gt;"Yes",$BF501&lt;&gt;"N/A"),"Firmware Install, ","")&amp;IF(AND($BJ501&lt;&gt;"Yes",$BJ501&lt;&gt;"N/A"),"Device ID, ","")&amp;IF(AND($BK501&lt;&gt;"Yes",$BK501&lt;&gt;"N/A"),"Epic Beans Relay, ",""),LEN(IF(AND($AW501&lt;&gt;"Yes",$AW501&lt;&gt;"N/A"),"Power Cable, ","")&amp;IF(AND($AX501&lt;&gt;"Yes",$AX501&lt;&gt;"N/A"),"Battery, ","")&amp;IF(AND($BE501&lt;&gt;"Yes",$BE501&lt;&gt;"N/A"),"Firmware Download, ","")&amp;IF(AND(OR($BE501="Yes",$BE501="N/A"),$BF501&lt;&gt;"Yes",$BF501&lt;&gt;"N/A"),"Firmware Install, ","")&amp;IF(AND($BJ501&lt;&gt;"Yes",$BJ501&lt;&gt;"N/A"),"Device ID, ","")&amp;IF(AND($BK501&lt;&gt;"Yes",$BK501&lt;&gt;"N/A"),"Epic Beans Relay, ",""))-2)))</f>
      </c>
      <c r="BM501">
        <f>IF($T501="","",IF($BL501="","Yes","Blocked"))</f>
      </c>
      <c r="BP501">
        <f>IF($BO501="","",IFERROR(VLOOKUP($BO501,'01_Warehouse_Ledger'!$A:$N,4,FALSE),""))</f>
      </c>
      <c r="BQ501">
        <f>IF($BO501="","",IFERROR(VLOOKUP($BO501,'01_Warehouse_Ledger'!$A:$N,5,FALSE),""))</f>
      </c>
      <c r="BR501">
        <f>IF($BO501="","",IFERROR(VLOOKUP($BO501,'01_Warehouse_Ledger'!$A:$N,13,FALSE),""))</f>
      </c>
    </row>
    <row r="502">
      <c r="D502">
        <f>IF($B502&lt;&gt;"Yes","",IF($C502="No","Yes",IF($C502="Yes","No","")))</f>
      </c>
      <c r="E502">
        <f>IF($A502="","",IF($A502="Neuron",IF(OR(AND($S502&lt;&gt;"",LOWER(TRIM($S502))&lt;&gt;"n/a",COUNTIF($S$2:$S$532,$S502)&gt;1),AND($T502&lt;&gt;"",LOWER(TRIM($T502))&lt;&gt;"n/a",COUNTIF($T$2:$T$532,$T502)&gt;1),AND($W502&lt;&gt;"",LOWER(TRIM($W502))&lt;&gt;"n/a",COUNTIF($W$2:$W$532,$W502)&gt;1)),"Yes","No"),IF($A502="Cybernet",IF(OR(AND($Y502&lt;&gt;"",LOWER(TRIM($Y502))&lt;&gt;"n/a",COUNTIF($Y$2:$Y$532,$Y502)&gt;1),AND($Z502&lt;&gt;"",LOWER(TRIM($Z502))&lt;&gt;"n/a",COUNTIF($Z$2:$Z$532,$Z502)&gt;1)),"Yes","No"),IF(AND($AL502&lt;&gt;"",LOWER(TRIM($AL502))&lt;&gt;"n/a",COUNTIF($AL$2:$AL$532,$AL502)&gt;1),"Yes","No"))))</f>
      </c>
      <c r="F502">
        <f>IF($B502&lt;&gt;"Yes","",
IF($A502="Neuron",
IF(OR(
AND($S502&lt;&gt;"",LOWER(TRIM($S502))&lt;&gt;"n/a",COUNTIFS($B$2:$B$532,"Yes",$A$2:$A$532,"Neuron",$S$2:$S$532,$S502)&gt;1),
AND($T502&lt;&gt;"",LOWER(TRIM($T502))&lt;&gt;"n/a",COUNTIFS($B$2:$B$532,"Yes",$A$2:$A$532,"Neuron",$T$2:$T$532,$T502)&gt;1),
AND($W502&lt;&gt;"",LOWER(TRIM($W502))&lt;&gt;"n/a",COUNTIFS($B$2:$B$532,"Yes",$A$2:$A$532,"Neuron",$W$2:$W$532,$W502)&gt;1)
),"Yes","No"),
IF($A502="Cybernet",
IF(OR(
AND($Y502&lt;&gt;"",LOWER(TRIM($Y502))&lt;&gt;"n/a",COUNTIFS($B$2:$B$532,"Yes",$A$2:$A$532,"Cybernet",$Y$2:$Y$532,$Y502)&gt;1),
AND($Z502&lt;&gt;"",LOWER(TRIM($Z502))&lt;&gt;"n/a",COUNTIFS($B$2:$B$532,"Yes",$A$2:$A$532,"Cybernet",$Z$2:$Z$532,$Z502)&gt;1)
),"Yes","No"),
IF(AND($AL502&lt;&gt;"",LOWER(TRIM($AL502))&lt;&gt;"n/a"),
IF(COUNTIFS($B$2:$B$532,"Yes",$A$2:$A$532,$A502,$AL$2:$AL$532,$AL502)&gt;1,"Yes","No"),
"No")
)
)
)</f>
      </c>
      <c r="BL502">
        <f>IF($T502="","",IF((IF(AND($AW502&lt;&gt;"Yes",$AW502&lt;&gt;"N/A"),"Power Cable, ","")&amp;IF(AND($AX502&lt;&gt;"Yes",$AX502&lt;&gt;"N/A"),"Battery, ","")&amp;IF(AND($BE502&lt;&gt;"Yes",$BE502&lt;&gt;"N/A"),"Firmware Download, ","")&amp;IF(AND(OR($BE502="Yes",$BE502="N/A"),$BF502&lt;&gt;"Yes",$BF502&lt;&gt;"N/A"),"Firmware Install, ","")&amp;IF(AND($BJ502&lt;&gt;"Yes",$BJ502&lt;&gt;"N/A"),"Device ID, ","")&amp;IF(AND($BK502&lt;&gt;"Yes",$BK502&lt;&gt;"N/A"),"Epic Beans Relay, ",""))="","",LEFT(IF(AND($AW502&lt;&gt;"Yes",$AW502&lt;&gt;"N/A"),"Power Cable, ","")&amp;IF(AND($AX502&lt;&gt;"Yes",$AX502&lt;&gt;"N/A"),"Battery, ","")&amp;IF(AND($BE502&lt;&gt;"Yes",$BE502&lt;&gt;"N/A"),"Firmware Download, ","")&amp;IF(AND(OR($BE502="Yes",$BE502="N/A"),$BF502&lt;&gt;"Yes",$BF502&lt;&gt;"N/A"),"Firmware Install, ","")&amp;IF(AND($BJ502&lt;&gt;"Yes",$BJ502&lt;&gt;"N/A"),"Device ID, ","")&amp;IF(AND($BK502&lt;&gt;"Yes",$BK502&lt;&gt;"N/A"),"Epic Beans Relay, ",""),LEN(IF(AND($AW502&lt;&gt;"Yes",$AW502&lt;&gt;"N/A"),"Power Cable, ","")&amp;IF(AND($AX502&lt;&gt;"Yes",$AX502&lt;&gt;"N/A"),"Battery, ","")&amp;IF(AND($BE502&lt;&gt;"Yes",$BE502&lt;&gt;"N/A"),"Firmware Download, ","")&amp;IF(AND(OR($BE502="Yes",$BE502="N/A"),$BF502&lt;&gt;"Yes",$BF502&lt;&gt;"N/A"),"Firmware Install, ","")&amp;IF(AND($BJ502&lt;&gt;"Yes",$BJ502&lt;&gt;"N/A"),"Device ID, ","")&amp;IF(AND($BK502&lt;&gt;"Yes",$BK502&lt;&gt;"N/A"),"Epic Beans Relay, ",""))-2)))</f>
      </c>
      <c r="BM502">
        <f>IF($T502="","",IF($BL502="","Yes","Blocked"))</f>
      </c>
      <c r="BP502">
        <f>IF($BO502="","",IFERROR(VLOOKUP($BO502,'01_Warehouse_Ledger'!$A:$N,4,FALSE),""))</f>
      </c>
      <c r="BQ502">
        <f>IF($BO502="","",IFERROR(VLOOKUP($BO502,'01_Warehouse_Ledger'!$A:$N,5,FALSE),""))</f>
      </c>
      <c r="BR502">
        <f>IF($BO502="","",IFERROR(VLOOKUP($BO502,'01_Warehouse_Ledger'!$A:$N,13,FALSE),""))</f>
      </c>
    </row>
    <row r="503">
      <c r="D503">
        <f>IF($B503&lt;&gt;"Yes","",IF($C503="No","Yes",IF($C503="Yes","No","")))</f>
      </c>
      <c r="E503">
        <f>IF($A503="","",IF($A503="Neuron",IF(OR(AND($S503&lt;&gt;"",LOWER(TRIM($S503))&lt;&gt;"n/a",COUNTIF($S$2:$S$532,$S503)&gt;1),AND($T503&lt;&gt;"",LOWER(TRIM($T503))&lt;&gt;"n/a",COUNTIF($T$2:$T$532,$T503)&gt;1),AND($W503&lt;&gt;"",LOWER(TRIM($W503))&lt;&gt;"n/a",COUNTIF($W$2:$W$532,$W503)&gt;1)),"Yes","No"),IF($A503="Cybernet",IF(OR(AND($Y503&lt;&gt;"",LOWER(TRIM($Y503))&lt;&gt;"n/a",COUNTIF($Y$2:$Y$532,$Y503)&gt;1),AND($Z503&lt;&gt;"",LOWER(TRIM($Z503))&lt;&gt;"n/a",COUNTIF($Z$2:$Z$532,$Z503)&gt;1)),"Yes","No"),IF(AND($AL503&lt;&gt;"",LOWER(TRIM($AL503))&lt;&gt;"n/a",COUNTIF($AL$2:$AL$532,$AL503)&gt;1),"Yes","No"))))</f>
      </c>
      <c r="F503">
        <f>IF($B503&lt;&gt;"Yes","",
IF($A503="Neuron",
IF(OR(
AND($S503&lt;&gt;"",LOWER(TRIM($S503))&lt;&gt;"n/a",COUNTIFS($B$2:$B$532,"Yes",$A$2:$A$532,"Neuron",$S$2:$S$532,$S503)&gt;1),
AND($T503&lt;&gt;"",LOWER(TRIM($T503))&lt;&gt;"n/a",COUNTIFS($B$2:$B$532,"Yes",$A$2:$A$532,"Neuron",$T$2:$T$532,$T503)&gt;1),
AND($W503&lt;&gt;"",LOWER(TRIM($W503))&lt;&gt;"n/a",COUNTIFS($B$2:$B$532,"Yes",$A$2:$A$532,"Neuron",$W$2:$W$532,$W503)&gt;1)
),"Yes","No"),
IF($A503="Cybernet",
IF(OR(
AND($Y503&lt;&gt;"",LOWER(TRIM($Y503))&lt;&gt;"n/a",COUNTIFS($B$2:$B$532,"Yes",$A$2:$A$532,"Cybernet",$Y$2:$Y$532,$Y503)&gt;1),
AND($Z503&lt;&gt;"",LOWER(TRIM($Z503))&lt;&gt;"n/a",COUNTIFS($B$2:$B$532,"Yes",$A$2:$A$532,"Cybernet",$Z$2:$Z$532,$Z503)&gt;1)
),"Yes","No"),
IF(AND($AL503&lt;&gt;"",LOWER(TRIM($AL503))&lt;&gt;"n/a"),
IF(COUNTIFS($B$2:$B$532,"Yes",$A$2:$A$532,$A503,$AL$2:$AL$532,$AL503)&gt;1,"Yes","No"),
"No")
)
)
)</f>
      </c>
      <c r="BL503">
        <f>IF($T503="","",IF((IF(AND($AW503&lt;&gt;"Yes",$AW503&lt;&gt;"N/A"),"Power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",""))="","",LEFT(IF(AND($AW503&lt;&gt;"Yes",$AW503&lt;&gt;"N/A"),"Power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",""),LEN(IF(AND($AW503&lt;&gt;"Yes",$AW503&lt;&gt;"N/A"),"Power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",""))-2)))</f>
      </c>
      <c r="BM503">
        <f>IF($T503="","",IF($BL503="","Yes","Blocked"))</f>
      </c>
      <c r="BP503">
        <f>IF($BO503="","",IFERROR(VLOOKUP($BO503,'01_Warehouse_Ledger'!$A:$N,4,FALSE),""))</f>
      </c>
      <c r="BQ503">
        <f>IF($BO503="","",IFERROR(VLOOKUP($BO503,'01_Warehouse_Ledger'!$A:$N,5,FALSE),""))</f>
      </c>
      <c r="BR503">
        <f>IF($BO503="","",IFERROR(VLOOKUP($BO503,'01_Warehouse_Ledger'!$A:$N,13,FALSE),""))</f>
      </c>
    </row>
    <row r="504">
      <c r="D504">
        <f>IF($B504&lt;&gt;"Yes","",IF($C504="No","Yes",IF($C504="Yes","No","")))</f>
      </c>
      <c r="E504">
        <f>IF($A504="","",IF($A504="Neuron",IF(OR(AND($S504&lt;&gt;"",LOWER(TRIM($S504))&lt;&gt;"n/a",COUNTIF($S$2:$S$532,$S504)&gt;1),AND($T504&lt;&gt;"",LOWER(TRIM($T504))&lt;&gt;"n/a",COUNTIF($T$2:$T$532,$T504)&gt;1),AND($W504&lt;&gt;"",LOWER(TRIM($W504))&lt;&gt;"n/a",COUNTIF($W$2:$W$532,$W504)&gt;1)),"Yes","No"),IF($A504="Cybernet",IF(OR(AND($Y504&lt;&gt;"",LOWER(TRIM($Y504))&lt;&gt;"n/a",COUNTIF($Y$2:$Y$532,$Y504)&gt;1),AND($Z504&lt;&gt;"",LOWER(TRIM($Z504))&lt;&gt;"n/a",COUNTIF($Z$2:$Z$532,$Z504)&gt;1)),"Yes","No"),IF(AND($AL504&lt;&gt;"",LOWER(TRIM($AL504))&lt;&gt;"n/a",COUNTIF($AL$2:$AL$532,$AL504)&gt;1),"Yes","No"))))</f>
      </c>
      <c r="F504">
        <f>IF($B504&lt;&gt;"Yes","",
IF($A504="Neuron",
IF(OR(
AND($S504&lt;&gt;"",LOWER(TRIM($S504))&lt;&gt;"n/a",COUNTIFS($B$2:$B$532,"Yes",$A$2:$A$532,"Neuron",$S$2:$S$532,$S504)&gt;1),
AND($T504&lt;&gt;"",LOWER(TRIM($T504))&lt;&gt;"n/a",COUNTIFS($B$2:$B$532,"Yes",$A$2:$A$532,"Neuron",$T$2:$T$532,$T504)&gt;1),
AND($W504&lt;&gt;"",LOWER(TRIM($W504))&lt;&gt;"n/a",COUNTIFS($B$2:$B$532,"Yes",$A$2:$A$532,"Neuron",$W$2:$W$532,$W504)&gt;1)
),"Yes","No"),
IF($A504="Cybernet",
IF(OR(
AND($Y504&lt;&gt;"",LOWER(TRIM($Y504))&lt;&gt;"n/a",COUNTIFS($B$2:$B$532,"Yes",$A$2:$A$532,"Cybernet",$Y$2:$Y$532,$Y504)&gt;1),
AND($Z504&lt;&gt;"",LOWER(TRIM($Z504))&lt;&gt;"n/a",COUNTIFS($B$2:$B$532,"Yes",$A$2:$A$532,"Cybernet",$Z$2:$Z$532,$Z504)&gt;1)
),"Yes","No"),
IF(AND($AL504&lt;&gt;"",LOWER(TRIM($AL504))&lt;&gt;"n/a"),
IF(COUNTIFS($B$2:$B$532,"Yes",$A$2:$A$532,$A504,$AL$2:$AL$532,$AL504)&gt;1,"Yes","No"),
"No")
)
)
)</f>
      </c>
      <c r="BL504">
        <f>IF($T504="","",IF((IF(AND($AW504&lt;&gt;"Yes",$AW504&lt;&gt;"N/A"),"Power Cable, ","")&amp;IF(AND($AX504&lt;&gt;"Yes",$AX504&lt;&gt;"N/A"),"Battery, ","")&amp;IF(AND($BE504&lt;&gt;"Yes",$BE504&lt;&gt;"N/A"),"Firmware Download, ","")&amp;IF(AND(OR($BE504="Yes",$BE504="N/A"),$BF504&lt;&gt;"Yes",$BF504&lt;&gt;"N/A"),"Firmware Install, ","")&amp;IF(AND($BJ504&lt;&gt;"Yes",$BJ504&lt;&gt;"N/A"),"Device ID, ","")&amp;IF(AND($BK504&lt;&gt;"Yes",$BK504&lt;&gt;"N/A"),"Epic Beans Relay, ",""))="","",LEFT(IF(AND($AW504&lt;&gt;"Yes",$AW504&lt;&gt;"N/A"),"Power Cable, ","")&amp;IF(AND($AX504&lt;&gt;"Yes",$AX504&lt;&gt;"N/A"),"Battery, ","")&amp;IF(AND($BE504&lt;&gt;"Yes",$BE504&lt;&gt;"N/A"),"Firmware Download, ","")&amp;IF(AND(OR($BE504="Yes",$BE504="N/A"),$BF504&lt;&gt;"Yes",$BF504&lt;&gt;"N/A"),"Firmware Install, ","")&amp;IF(AND($BJ504&lt;&gt;"Yes",$BJ504&lt;&gt;"N/A"),"Device ID, ","")&amp;IF(AND($BK504&lt;&gt;"Yes",$BK504&lt;&gt;"N/A"),"Epic Beans Relay, ",""),LEN(IF(AND($AW504&lt;&gt;"Yes",$AW504&lt;&gt;"N/A"),"Power Cable, ","")&amp;IF(AND($AX504&lt;&gt;"Yes",$AX504&lt;&gt;"N/A"),"Battery, ","")&amp;IF(AND($BE504&lt;&gt;"Yes",$BE504&lt;&gt;"N/A"),"Firmware Download, ","")&amp;IF(AND(OR($BE504="Yes",$BE504="N/A"),$BF504&lt;&gt;"Yes",$BF504&lt;&gt;"N/A"),"Firmware Install, ","")&amp;IF(AND($BJ504&lt;&gt;"Yes",$BJ504&lt;&gt;"N/A"),"Device ID, ","")&amp;IF(AND($BK504&lt;&gt;"Yes",$BK504&lt;&gt;"N/A"),"Epic Beans Relay, ",""))-2)))</f>
      </c>
      <c r="BM504">
        <f>IF($T504="","",IF($BL504="","Yes","Blocked"))</f>
      </c>
      <c r="BP504">
        <f>IF($BO504="","",IFERROR(VLOOKUP($BO504,'01_Warehouse_Ledger'!$A:$N,4,FALSE),""))</f>
      </c>
      <c r="BQ504">
        <f>IF($BO504="","",IFERROR(VLOOKUP($BO504,'01_Warehouse_Ledger'!$A:$N,5,FALSE),""))</f>
      </c>
      <c r="BR504">
        <f>IF($BO504="","",IFERROR(VLOOKUP($BO504,'01_Warehouse_Ledger'!$A:$N,13,FALSE),""))</f>
      </c>
    </row>
    <row r="505">
      <c r="D505">
        <f>IF($B505&lt;&gt;"Yes","",IF($C505="No","Yes",IF($C505="Yes","No","")))</f>
      </c>
      <c r="E505">
        <f>IF($A505="","",IF($A505="Neuron",IF(OR(AND($S505&lt;&gt;"",LOWER(TRIM($S505))&lt;&gt;"n/a",COUNTIF($S$2:$S$532,$S505)&gt;1),AND($T505&lt;&gt;"",LOWER(TRIM($T505))&lt;&gt;"n/a",COUNTIF($T$2:$T$532,$T505)&gt;1),AND($W505&lt;&gt;"",LOWER(TRIM($W505))&lt;&gt;"n/a",COUNTIF($W$2:$W$532,$W505)&gt;1)),"Yes","No"),IF($A505="Cybernet",IF(OR(AND($Y505&lt;&gt;"",LOWER(TRIM($Y505))&lt;&gt;"n/a",COUNTIF($Y$2:$Y$532,$Y505)&gt;1),AND($Z505&lt;&gt;"",LOWER(TRIM($Z505))&lt;&gt;"n/a",COUNTIF($Z$2:$Z$532,$Z505)&gt;1)),"Yes","No"),IF(AND($AL505&lt;&gt;"",LOWER(TRIM($AL505))&lt;&gt;"n/a",COUNTIF($AL$2:$AL$532,$AL505)&gt;1),"Yes","No"))))</f>
      </c>
      <c r="F505">
        <f>IF($B505&lt;&gt;"Yes","",
IF($A505="Neuron",
IF(OR(
AND($S505&lt;&gt;"",LOWER(TRIM($S505))&lt;&gt;"n/a",COUNTIFS($B$2:$B$532,"Yes",$A$2:$A$532,"Neuron",$S$2:$S$532,$S505)&gt;1),
AND($T505&lt;&gt;"",LOWER(TRIM($T505))&lt;&gt;"n/a",COUNTIFS($B$2:$B$532,"Yes",$A$2:$A$532,"Neuron",$T$2:$T$532,$T505)&gt;1),
AND($W505&lt;&gt;"",LOWER(TRIM($W505))&lt;&gt;"n/a",COUNTIFS($B$2:$B$532,"Yes",$A$2:$A$532,"Neuron",$W$2:$W$532,$W505)&gt;1)
),"Yes","No"),
IF($A505="Cybernet",
IF(OR(
AND($Y505&lt;&gt;"",LOWER(TRIM($Y505))&lt;&gt;"n/a",COUNTIFS($B$2:$B$532,"Yes",$A$2:$A$532,"Cybernet",$Y$2:$Y$532,$Y505)&gt;1),
AND($Z505&lt;&gt;"",LOWER(TRIM($Z505))&lt;&gt;"n/a",COUNTIFS($B$2:$B$532,"Yes",$A$2:$A$532,"Cybernet",$Z$2:$Z$532,$Z505)&gt;1)
),"Yes","No"),
IF(AND($AL505&lt;&gt;"",LOWER(TRIM($AL505))&lt;&gt;"n/a"),
IF(COUNTIFS($B$2:$B$532,"Yes",$A$2:$A$532,$A505,$AL$2:$AL$532,$AL505)&gt;1,"Yes","No"),
"No")
)
)
)</f>
      </c>
      <c r="BL505">
        <f>IF($T505="","",IF((IF(AND($AW505&lt;&gt;"Yes",$AW505&lt;&gt;"N/A"),"Power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",""))="","",LEFT(IF(AND($AW505&lt;&gt;"Yes",$AW505&lt;&gt;"N/A"),"Power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",""),LEN(IF(AND($AW505&lt;&gt;"Yes",$AW505&lt;&gt;"N/A"),"Power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",""))-2)))</f>
      </c>
      <c r="BM505">
        <f>IF($T505="","",IF($BL505="","Yes","Blocked"))</f>
      </c>
      <c r="BP505">
        <f>IF($BO505="","",IFERROR(VLOOKUP($BO505,'01_Warehouse_Ledger'!$A:$N,4,FALSE),""))</f>
      </c>
      <c r="BQ505">
        <f>IF($BO505="","",IFERROR(VLOOKUP($BO505,'01_Warehouse_Ledger'!$A:$N,5,FALSE),""))</f>
      </c>
      <c r="BR505">
        <f>IF($BO505="","",IFERROR(VLOOKUP($BO505,'01_Warehouse_Ledger'!$A:$N,13,FALSE),""))</f>
      </c>
    </row>
    <row r="506">
      <c r="D506">
        <f>IF($B506&lt;&gt;"Yes","",IF($C506="No","Yes",IF($C506="Yes","No","")))</f>
      </c>
      <c r="E506">
        <f>IF($A506="","",IF($A506="Neuron",IF(OR(AND($S506&lt;&gt;"",LOWER(TRIM($S506))&lt;&gt;"n/a",COUNTIF($S$2:$S$532,$S506)&gt;1),AND($T506&lt;&gt;"",LOWER(TRIM($T506))&lt;&gt;"n/a",COUNTIF($T$2:$T$532,$T506)&gt;1),AND($W506&lt;&gt;"",LOWER(TRIM($W506))&lt;&gt;"n/a",COUNTIF($W$2:$W$532,$W506)&gt;1)),"Yes","No"),IF($A506="Cybernet",IF(OR(AND($Y506&lt;&gt;"",LOWER(TRIM($Y506))&lt;&gt;"n/a",COUNTIF($Y$2:$Y$532,$Y506)&gt;1),AND($Z506&lt;&gt;"",LOWER(TRIM($Z506))&lt;&gt;"n/a",COUNTIF($Z$2:$Z$532,$Z506)&gt;1)),"Yes","No"),IF(AND($AL506&lt;&gt;"",LOWER(TRIM($AL506))&lt;&gt;"n/a",COUNTIF($AL$2:$AL$532,$AL506)&gt;1),"Yes","No"))))</f>
      </c>
      <c r="F506">
        <f>IF($B506&lt;&gt;"Yes","",
IF($A506="Neuron",
IF(OR(
AND($S506&lt;&gt;"",LOWER(TRIM($S506))&lt;&gt;"n/a",COUNTIFS($B$2:$B$532,"Yes",$A$2:$A$532,"Neuron",$S$2:$S$532,$S506)&gt;1),
AND($T506&lt;&gt;"",LOWER(TRIM($T506))&lt;&gt;"n/a",COUNTIFS($B$2:$B$532,"Yes",$A$2:$A$532,"Neuron",$T$2:$T$532,$T506)&gt;1),
AND($W506&lt;&gt;"",LOWER(TRIM($W506))&lt;&gt;"n/a",COUNTIFS($B$2:$B$532,"Yes",$A$2:$A$532,"Neuron",$W$2:$W$532,$W506)&gt;1)
),"Yes","No"),
IF($A506="Cybernet",
IF(OR(
AND($Y506&lt;&gt;"",LOWER(TRIM($Y506))&lt;&gt;"n/a",COUNTIFS($B$2:$B$532,"Yes",$A$2:$A$532,"Cybernet",$Y$2:$Y$532,$Y506)&gt;1),
AND($Z506&lt;&gt;"",LOWER(TRIM($Z506))&lt;&gt;"n/a",COUNTIFS($B$2:$B$532,"Yes",$A$2:$A$532,"Cybernet",$Z$2:$Z$532,$Z506)&gt;1)
),"Yes","No"),
IF(AND($AL506&lt;&gt;"",LOWER(TRIM($AL506))&lt;&gt;"n/a"),
IF(COUNTIFS($B$2:$B$532,"Yes",$A$2:$A$532,$A506,$AL$2:$AL$532,$AL506)&gt;1,"Yes","No"),
"No")
)
)
)</f>
      </c>
      <c r="BL506">
        <f>IF($T506="","",IF((IF(AND($AW506&lt;&gt;"Yes",$AW506&lt;&gt;"N/A"),"Power Cable, ","")&amp;IF(AND($AX506&lt;&gt;"Yes",$AX506&lt;&gt;"N/A"),"Battery, ","")&amp;IF(AND($BE506&lt;&gt;"Yes",$BE506&lt;&gt;"N/A"),"Firmware Download, ","")&amp;IF(AND(OR($BE506="Yes",$BE506="N/A"),$BF506&lt;&gt;"Yes",$BF506&lt;&gt;"N/A"),"Firmware Install, ","")&amp;IF(AND($BJ506&lt;&gt;"Yes",$BJ506&lt;&gt;"N/A"),"Device ID, ","")&amp;IF(AND($BK506&lt;&gt;"Yes",$BK506&lt;&gt;"N/A"),"Epic Beans Relay, ",""))="","",LEFT(IF(AND($AW506&lt;&gt;"Yes",$AW506&lt;&gt;"N/A"),"Power Cable, ","")&amp;IF(AND($AX506&lt;&gt;"Yes",$AX506&lt;&gt;"N/A"),"Battery, ","")&amp;IF(AND($BE506&lt;&gt;"Yes",$BE506&lt;&gt;"N/A"),"Firmware Download, ","")&amp;IF(AND(OR($BE506="Yes",$BE506="N/A"),$BF506&lt;&gt;"Yes",$BF506&lt;&gt;"N/A"),"Firmware Install, ","")&amp;IF(AND($BJ506&lt;&gt;"Yes",$BJ506&lt;&gt;"N/A"),"Device ID, ","")&amp;IF(AND($BK506&lt;&gt;"Yes",$BK506&lt;&gt;"N/A"),"Epic Beans Relay, ",""),LEN(IF(AND($AW506&lt;&gt;"Yes",$AW506&lt;&gt;"N/A"),"Power Cable, ","")&amp;IF(AND($AX506&lt;&gt;"Yes",$AX506&lt;&gt;"N/A"),"Battery, ","")&amp;IF(AND($BE506&lt;&gt;"Yes",$BE506&lt;&gt;"N/A"),"Firmware Download, ","")&amp;IF(AND(OR($BE506="Yes",$BE506="N/A"),$BF506&lt;&gt;"Yes",$BF506&lt;&gt;"N/A"),"Firmware Install, ","")&amp;IF(AND($BJ506&lt;&gt;"Yes",$BJ506&lt;&gt;"N/A"),"Device ID, ","")&amp;IF(AND($BK506&lt;&gt;"Yes",$BK506&lt;&gt;"N/A"),"Epic Beans Relay, ",""))-2)))</f>
      </c>
      <c r="BM506">
        <f>IF($T506="","",IF($BL506="","Yes","Blocked"))</f>
      </c>
      <c r="BP506">
        <f>IF($BO506="","",IFERROR(VLOOKUP($BO506,'01_Warehouse_Ledger'!$A:$N,4,FALSE),""))</f>
      </c>
      <c r="BQ506">
        <f>IF($BO506="","",IFERROR(VLOOKUP($BO506,'01_Warehouse_Ledger'!$A:$N,5,FALSE),""))</f>
      </c>
      <c r="BR506">
        <f>IF($BO506="","",IFERROR(VLOOKUP($BO506,'01_Warehouse_Ledger'!$A:$N,13,FALSE),""))</f>
      </c>
    </row>
    <row r="507">
      <c r="D507">
        <f>IF($B507&lt;&gt;"Yes","",IF($C507="No","Yes",IF($C507="Yes","No","")))</f>
      </c>
      <c r="E507">
        <f>IF($A507="","",IF($A507="Neuron",IF(OR(AND($S507&lt;&gt;"",LOWER(TRIM($S507))&lt;&gt;"n/a",COUNTIF($S$2:$S$532,$S507)&gt;1),AND($T507&lt;&gt;"",LOWER(TRIM($T507))&lt;&gt;"n/a",COUNTIF($T$2:$T$532,$T507)&gt;1),AND($W507&lt;&gt;"",LOWER(TRIM($W507))&lt;&gt;"n/a",COUNTIF($W$2:$W$532,$W507)&gt;1)),"Yes","No"),IF($A507="Cybernet",IF(OR(AND($Y507&lt;&gt;"",LOWER(TRIM($Y507))&lt;&gt;"n/a",COUNTIF($Y$2:$Y$532,$Y507)&gt;1),AND($Z507&lt;&gt;"",LOWER(TRIM($Z507))&lt;&gt;"n/a",COUNTIF($Z$2:$Z$532,$Z507)&gt;1)),"Yes","No"),IF(AND($AL507&lt;&gt;"",LOWER(TRIM($AL507))&lt;&gt;"n/a",COUNTIF($AL$2:$AL$532,$AL507)&gt;1),"Yes","No"))))</f>
      </c>
      <c r="F507">
        <f>IF($B507&lt;&gt;"Yes","",
IF($A507="Neuron",
IF(OR(
AND($S507&lt;&gt;"",LOWER(TRIM($S507))&lt;&gt;"n/a",COUNTIFS($B$2:$B$532,"Yes",$A$2:$A$532,"Neuron",$S$2:$S$532,$S507)&gt;1),
AND($T507&lt;&gt;"",LOWER(TRIM($T507))&lt;&gt;"n/a",COUNTIFS($B$2:$B$532,"Yes",$A$2:$A$532,"Neuron",$T$2:$T$532,$T507)&gt;1),
AND($W507&lt;&gt;"",LOWER(TRIM($W507))&lt;&gt;"n/a",COUNTIFS($B$2:$B$532,"Yes",$A$2:$A$532,"Neuron",$W$2:$W$532,$W507)&gt;1)
),"Yes","No"),
IF($A507="Cybernet",
IF(OR(
AND($Y507&lt;&gt;"",LOWER(TRIM($Y507))&lt;&gt;"n/a",COUNTIFS($B$2:$B$532,"Yes",$A$2:$A$532,"Cybernet",$Y$2:$Y$532,$Y507)&gt;1),
AND($Z507&lt;&gt;"",LOWER(TRIM($Z507))&lt;&gt;"n/a",COUNTIFS($B$2:$B$532,"Yes",$A$2:$A$532,"Cybernet",$Z$2:$Z$532,$Z507)&gt;1)
),"Yes","No"),
IF(AND($AL507&lt;&gt;"",LOWER(TRIM($AL507))&lt;&gt;"n/a"),
IF(COUNTIFS($B$2:$B$532,"Yes",$A$2:$A$532,$A507,$AL$2:$AL$532,$AL507)&gt;1,"Yes","No"),
"No")
)
)
)</f>
      </c>
      <c r="BL507">
        <f>IF($T507="","",IF((IF(AND($AW507&lt;&gt;"Yes",$AW507&lt;&gt;"N/A"),"Power Cable, ","")&amp;IF(AND($AX507&lt;&gt;"Yes",$AX507&lt;&gt;"N/A"),"Battery, ","")&amp;IF(AND($BE507&lt;&gt;"Yes",$BE507&lt;&gt;"N/A"),"Firmware Download, ","")&amp;IF(AND(OR($BE507="Yes",$BE507="N/A"),$BF507&lt;&gt;"Yes",$BF507&lt;&gt;"N/A"),"Firmware Install, ","")&amp;IF(AND($BJ507&lt;&gt;"Yes",$BJ507&lt;&gt;"N/A"),"Device ID, ","")&amp;IF(AND($BK507&lt;&gt;"Yes",$BK507&lt;&gt;"N/A"),"Epic Beans Relay, ",""))="","",LEFT(IF(AND($AW507&lt;&gt;"Yes",$AW507&lt;&gt;"N/A"),"Power Cable, ","")&amp;IF(AND($AX507&lt;&gt;"Yes",$AX507&lt;&gt;"N/A"),"Battery, ","")&amp;IF(AND($BE507&lt;&gt;"Yes",$BE507&lt;&gt;"N/A"),"Firmware Download, ","")&amp;IF(AND(OR($BE507="Yes",$BE507="N/A"),$BF507&lt;&gt;"Yes",$BF507&lt;&gt;"N/A"),"Firmware Install, ","")&amp;IF(AND($BJ507&lt;&gt;"Yes",$BJ507&lt;&gt;"N/A"),"Device ID, ","")&amp;IF(AND($BK507&lt;&gt;"Yes",$BK507&lt;&gt;"N/A"),"Epic Beans Relay, ",""),LEN(IF(AND($AW507&lt;&gt;"Yes",$AW507&lt;&gt;"N/A"),"Power Cable, ","")&amp;IF(AND($AX507&lt;&gt;"Yes",$AX507&lt;&gt;"N/A"),"Battery, ","")&amp;IF(AND($BE507&lt;&gt;"Yes",$BE507&lt;&gt;"N/A"),"Firmware Download, ","")&amp;IF(AND(OR($BE507="Yes",$BE507="N/A"),$BF507&lt;&gt;"Yes",$BF507&lt;&gt;"N/A"),"Firmware Install, ","")&amp;IF(AND($BJ507&lt;&gt;"Yes",$BJ507&lt;&gt;"N/A"),"Device ID, ","")&amp;IF(AND($BK507&lt;&gt;"Yes",$BK507&lt;&gt;"N/A"),"Epic Beans Relay, ",""))-2)))</f>
      </c>
      <c r="BM507">
        <f>IF($T507="","",IF($BL507="","Yes","Blocked"))</f>
      </c>
      <c r="BP507">
        <f>IF($BO507="","",IFERROR(VLOOKUP($BO507,'01_Warehouse_Ledger'!$A:$N,4,FALSE),""))</f>
      </c>
      <c r="BQ507">
        <f>IF($BO507="","",IFERROR(VLOOKUP($BO507,'01_Warehouse_Ledger'!$A:$N,5,FALSE),""))</f>
      </c>
      <c r="BR507">
        <f>IF($BO507="","",IFERROR(VLOOKUP($BO507,'01_Warehouse_Ledger'!$A:$N,13,FALSE),""))</f>
      </c>
    </row>
    <row r="508">
      <c r="D508">
        <f>IF($B508&lt;&gt;"Yes","",IF($C508="No","Yes",IF($C508="Yes","No","")))</f>
      </c>
      <c r="E508">
        <f>IF($A508="","",IF($A508="Neuron",IF(OR(AND($S508&lt;&gt;"",LOWER(TRIM($S508))&lt;&gt;"n/a",COUNTIF($S$2:$S$532,$S508)&gt;1),AND($T508&lt;&gt;"",LOWER(TRIM($T508))&lt;&gt;"n/a",COUNTIF($T$2:$T$532,$T508)&gt;1),AND($W508&lt;&gt;"",LOWER(TRIM($W508))&lt;&gt;"n/a",COUNTIF($W$2:$W$532,$W508)&gt;1)),"Yes","No"),IF($A508="Cybernet",IF(OR(AND($Y508&lt;&gt;"",LOWER(TRIM($Y508))&lt;&gt;"n/a",COUNTIF($Y$2:$Y$532,$Y508)&gt;1),AND($Z508&lt;&gt;"",LOWER(TRIM($Z508))&lt;&gt;"n/a",COUNTIF($Z$2:$Z$532,$Z508)&gt;1)),"Yes","No"),IF(AND($AL508&lt;&gt;"",LOWER(TRIM($AL508))&lt;&gt;"n/a",COUNTIF($AL$2:$AL$532,$AL508)&gt;1),"Yes","No"))))</f>
      </c>
      <c r="F508">
        <f>IF($B508&lt;&gt;"Yes","",
IF($A508="Neuron",
IF(OR(
AND($S508&lt;&gt;"",LOWER(TRIM($S508))&lt;&gt;"n/a",COUNTIFS($B$2:$B$532,"Yes",$A$2:$A$532,"Neuron",$S$2:$S$532,$S508)&gt;1),
AND($T508&lt;&gt;"",LOWER(TRIM($T508))&lt;&gt;"n/a",COUNTIFS($B$2:$B$532,"Yes",$A$2:$A$532,"Neuron",$T$2:$T$532,$T508)&gt;1),
AND($W508&lt;&gt;"",LOWER(TRIM($W508))&lt;&gt;"n/a",COUNTIFS($B$2:$B$532,"Yes",$A$2:$A$532,"Neuron",$W$2:$W$532,$W508)&gt;1)
),"Yes","No"),
IF($A508="Cybernet",
IF(OR(
AND($Y508&lt;&gt;"",LOWER(TRIM($Y508))&lt;&gt;"n/a",COUNTIFS($B$2:$B$532,"Yes",$A$2:$A$532,"Cybernet",$Y$2:$Y$532,$Y508)&gt;1),
AND($Z508&lt;&gt;"",LOWER(TRIM($Z508))&lt;&gt;"n/a",COUNTIFS($B$2:$B$532,"Yes",$A$2:$A$532,"Cybernet",$Z$2:$Z$532,$Z508)&gt;1)
),"Yes","No"),
IF(AND($AL508&lt;&gt;"",LOWER(TRIM($AL508))&lt;&gt;"n/a"),
IF(COUNTIFS($B$2:$B$532,"Yes",$A$2:$A$532,$A508,$AL$2:$AL$532,$AL508)&gt;1,"Yes","No"),
"No")
)
)
)</f>
      </c>
      <c r="BL508">
        <f>IF($T508="","",IF((IF(AND($AW508&lt;&gt;"Yes",$AW508&lt;&gt;"N/A"),"Power Cable, ","")&amp;IF(AND($AX508&lt;&gt;"Yes",$AX508&lt;&gt;"N/A"),"Battery, ","")&amp;IF(AND($BE508&lt;&gt;"Yes",$BE508&lt;&gt;"N/A"),"Firmware Download, ","")&amp;IF(AND(OR($BE508="Yes",$BE508="N/A"),$BF508&lt;&gt;"Yes",$BF508&lt;&gt;"N/A"),"Firmware Install, ","")&amp;IF(AND($BJ508&lt;&gt;"Yes",$BJ508&lt;&gt;"N/A"),"Device ID, ","")&amp;IF(AND($BK508&lt;&gt;"Yes",$BK508&lt;&gt;"N/A"),"Epic Beans Relay, ",""))="","",LEFT(IF(AND($AW508&lt;&gt;"Yes",$AW508&lt;&gt;"N/A"),"Power Cable, ","")&amp;IF(AND($AX508&lt;&gt;"Yes",$AX508&lt;&gt;"N/A"),"Battery, ","")&amp;IF(AND($BE508&lt;&gt;"Yes",$BE508&lt;&gt;"N/A"),"Firmware Download, ","")&amp;IF(AND(OR($BE508="Yes",$BE508="N/A"),$BF508&lt;&gt;"Yes",$BF508&lt;&gt;"N/A"),"Firmware Install, ","")&amp;IF(AND($BJ508&lt;&gt;"Yes",$BJ508&lt;&gt;"N/A"),"Device ID, ","")&amp;IF(AND($BK508&lt;&gt;"Yes",$BK508&lt;&gt;"N/A"),"Epic Beans Relay, ",""),LEN(IF(AND($AW508&lt;&gt;"Yes",$AW508&lt;&gt;"N/A"),"Power Cable, ","")&amp;IF(AND($AX508&lt;&gt;"Yes",$AX508&lt;&gt;"N/A"),"Battery, ","")&amp;IF(AND($BE508&lt;&gt;"Yes",$BE508&lt;&gt;"N/A"),"Firmware Download, ","")&amp;IF(AND(OR($BE508="Yes",$BE508="N/A"),$BF508&lt;&gt;"Yes",$BF508&lt;&gt;"N/A"),"Firmware Install, ","")&amp;IF(AND($BJ508&lt;&gt;"Yes",$BJ508&lt;&gt;"N/A"),"Device ID, ","")&amp;IF(AND($BK508&lt;&gt;"Yes",$BK508&lt;&gt;"N/A"),"Epic Beans Relay, ",""))-2)))</f>
      </c>
      <c r="BM508">
        <f>IF($T508="","",IF($BL508="","Yes","Blocked"))</f>
      </c>
      <c r="BP508">
        <f>IF($BO508="","",IFERROR(VLOOKUP($BO508,'01_Warehouse_Ledger'!$A:$N,4,FALSE),""))</f>
      </c>
      <c r="BQ508">
        <f>IF($BO508="","",IFERROR(VLOOKUP($BO508,'01_Warehouse_Ledger'!$A:$N,5,FALSE),""))</f>
      </c>
      <c r="BR508">
        <f>IF($BO508="","",IFERROR(VLOOKUP($BO508,'01_Warehouse_Ledger'!$A:$N,13,FALSE),""))</f>
      </c>
    </row>
    <row r="509">
      <c r="D509">
        <f>IF($B509&lt;&gt;"Yes","",IF($C509="No","Yes",IF($C509="Yes","No","")))</f>
      </c>
      <c r="E509">
        <f>IF($A509="","",IF($A509="Neuron",IF(OR(AND($S509&lt;&gt;"",LOWER(TRIM($S509))&lt;&gt;"n/a",COUNTIF($S$2:$S$532,$S509)&gt;1),AND($T509&lt;&gt;"",LOWER(TRIM($T509))&lt;&gt;"n/a",COUNTIF($T$2:$T$532,$T509)&gt;1),AND($W509&lt;&gt;"",LOWER(TRIM($W509))&lt;&gt;"n/a",COUNTIF($W$2:$W$532,$W509)&gt;1)),"Yes","No"),IF($A509="Cybernet",IF(OR(AND($Y509&lt;&gt;"",LOWER(TRIM($Y509))&lt;&gt;"n/a",COUNTIF($Y$2:$Y$532,$Y509)&gt;1),AND($Z509&lt;&gt;"",LOWER(TRIM($Z509))&lt;&gt;"n/a",COUNTIF($Z$2:$Z$532,$Z509)&gt;1)),"Yes","No"),IF(AND($AL509&lt;&gt;"",LOWER(TRIM($AL509))&lt;&gt;"n/a",COUNTIF($AL$2:$AL$532,$AL509)&gt;1),"Yes","No"))))</f>
      </c>
      <c r="F509">
        <f>IF($B509&lt;&gt;"Yes","",IF($A509="Neuron",IF(OR(AND($S509&lt;&gt;"",LOWER(TRIM($S509))&lt;&gt;"n/a",COUNTIFS($B$2:$B$532,"Yes",$A$2:$A$532,"Neuron",$S$2:$S$532,$S509)&gt;1),AND($T509&lt;&gt;"",LOWER(TRIM($T509))&lt;&gt;"n/a",COUNTIFS($B$2:$B$532,"Yes",$A$2:$A$532,"Neuron",$T$2:$T$532,$T509)&gt;1),AND($W509&lt;&gt;"",LOWER(TRIM($W509))&lt;&gt;"n/a",COUNTIFS($B$2:$B$532,"Yes",$A$2:$A$532,"Neuron",$W$2:$W$532,$W509)&gt;1)),"Yes","No"),IF($A509="Cybernet",IF(OR(AND($Y509&lt;&gt;"",LOWER(TRIM($Y509))&lt;&gt;"n/a",COUNTIFS($B$2:$B$532,"Yes",$A$2:$A$532,"Cybernet",$Y$2:$Y$532,$Y509)&gt;1),AND($Z509&lt;&gt;"",LOWER(TRIM($Z509))&lt;&gt;"n/a",COUNTIFS($B$2:$B$532,"Yes",$A$2:$A$532,"Cybernet",$Z$2:$Z$532,$Z509)&gt;1)),"Yes","No"),IF(AND($AL509&lt;&gt;"",LOWER(TRIM($AL509))&lt;&gt;"n/a"),IF(COUNTIFS($B$2:$B$532,"Yes",$A$2:$A$532,$A509,$AL$2:$AL$532,$AL509)&gt;1,"Yes","No"),"No"))))</f>
      </c>
      <c r="BL509">
        <f>IF($T509="","",IF((IF(AND($AW509&lt;&gt;"Yes",$AW509&lt;&gt;"N/A"),"Power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",""))="","",LEFT(IF(AND($AW509&lt;&gt;"Yes",$AW509&lt;&gt;"N/A"),"Power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",""),LEN(IF(AND($AW509&lt;&gt;"Yes",$AW509&lt;&gt;"N/A"),"Power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",""))-2)))</f>
      </c>
      <c r="BM509">
        <f>IF($T509="","",IF($BL509="","Yes","Blocked"))</f>
      </c>
    </row>
    <row r="510">
      <c r="D510">
        <f>IF($B510&lt;&gt;"Yes","",IF($C510="No","Yes",IF($C510="Yes","No","")))</f>
      </c>
      <c r="E510">
        <f>IF($A510="","",IF($A510="Neuron",IF(OR(AND($S510&lt;&gt;"",LOWER(TRIM($S510))&lt;&gt;"n/a",COUNTIF($S$2:$S$532,$S510)&gt;1),AND($T510&lt;&gt;"",LOWER(TRIM($T510))&lt;&gt;"n/a",COUNTIF($T$2:$T$532,$T510)&gt;1),AND($W510&lt;&gt;"",LOWER(TRIM($W510))&lt;&gt;"n/a",COUNTIF($W$2:$W$532,$W510)&gt;1)),"Yes","No"),IF($A510="Cybernet",IF(OR(AND($Y510&lt;&gt;"",LOWER(TRIM($Y510))&lt;&gt;"n/a",COUNTIF($Y$2:$Y$532,$Y510)&gt;1),AND($Z510&lt;&gt;"",LOWER(TRIM($Z510))&lt;&gt;"n/a",COUNTIF($Z$2:$Z$532,$Z510)&gt;1)),"Yes","No"),IF(AND($AL510&lt;&gt;"",LOWER(TRIM($AL510))&lt;&gt;"n/a",COUNTIF($AL$2:$AL$532,$AL510)&gt;1),"Yes","No"))))</f>
      </c>
      <c r="F510">
        <f>IF($B510&lt;&gt;"Yes","",IF($A510="Neuron",IF(OR(AND($S510&lt;&gt;"",LOWER(TRIM($S510))&lt;&gt;"n/a",COUNTIFS($B$2:$B$532,"Yes",$A$2:$A$532,"Neuron",$S$2:$S$532,$S510)&gt;1),AND($T510&lt;&gt;"",LOWER(TRIM($T510))&lt;&gt;"n/a",COUNTIFS($B$2:$B$532,"Yes",$A$2:$A$532,"Neuron",$T$2:$T$532,$T510)&gt;1),AND($W510&lt;&gt;"",LOWER(TRIM($W510))&lt;&gt;"n/a",COUNTIFS($B$2:$B$532,"Yes",$A$2:$A$532,"Neuron",$W$2:$W$532,$W510)&gt;1)),"Yes","No"),IF($A510="Cybernet",IF(OR(AND($Y510&lt;&gt;"",LOWER(TRIM($Y510))&lt;&gt;"n/a",COUNTIFS($B$2:$B$532,"Yes",$A$2:$A$532,"Cybernet",$Y$2:$Y$532,$Y510)&gt;1),AND($Z510&lt;&gt;"",LOWER(TRIM($Z510))&lt;&gt;"n/a",COUNTIFS($B$2:$B$532,"Yes",$A$2:$A$532,"Cybernet",$Z$2:$Z$532,$Z510)&gt;1)),"Yes","No"),IF(AND($AL510&lt;&gt;"",LOWER(TRIM($AL510))&lt;&gt;"n/a"),IF(COUNTIFS($B$2:$B$532,"Yes",$A$2:$A$532,$A510,$AL$2:$AL$532,$AL510)&gt;1,"Yes","No"),"No"))))</f>
      </c>
      <c r="BL510">
        <f>IF($T510="","",IF((IF(AND($AW510&lt;&gt;"Yes",$AW510&lt;&gt;"N/A"),"Power Cable, ","")&amp;IF(AND($AX510&lt;&gt;"Yes",$AX510&lt;&gt;"N/A"),"Battery, ","")&amp;IF(AND($BE510&lt;&gt;"Yes",$BE510&lt;&gt;"N/A"),"Firmware Download, ","")&amp;IF(AND(OR($BE510="Yes",$BE510="N/A"),$BF510&lt;&gt;"Yes",$BF510&lt;&gt;"N/A"),"Firmware Install, ","")&amp;IF(AND($BJ510&lt;&gt;"Yes",$BJ510&lt;&gt;"N/A"),"Device ID, ","")&amp;IF(AND($BK510&lt;&gt;"Yes",$BK510&lt;&gt;"N/A"),"Epic Beans Relay, ",""))="","",LEFT(IF(AND($AW510&lt;&gt;"Yes",$AW510&lt;&gt;"N/A"),"Power Cable, ","")&amp;IF(AND($AX510&lt;&gt;"Yes",$AX510&lt;&gt;"N/A"),"Battery, ","")&amp;IF(AND($BE510&lt;&gt;"Yes",$BE510&lt;&gt;"N/A"),"Firmware Download, ","")&amp;IF(AND(OR($BE510="Yes",$BE510="N/A"),$BF510&lt;&gt;"Yes",$BF510&lt;&gt;"N/A"),"Firmware Install, ","")&amp;IF(AND($BJ510&lt;&gt;"Yes",$BJ510&lt;&gt;"N/A"),"Device ID, ","")&amp;IF(AND($BK510&lt;&gt;"Yes",$BK510&lt;&gt;"N/A"),"Epic Beans Relay, ",""),LEN(IF(AND($AW510&lt;&gt;"Yes",$AW510&lt;&gt;"N/A"),"Power Cable, ","")&amp;IF(AND($AX510&lt;&gt;"Yes",$AX510&lt;&gt;"N/A"),"Battery, ","")&amp;IF(AND($BE510&lt;&gt;"Yes",$BE510&lt;&gt;"N/A"),"Firmware Download, ","")&amp;IF(AND(OR($BE510="Yes",$BE510="N/A"),$BF510&lt;&gt;"Yes",$BF510&lt;&gt;"N/A"),"Firmware Install, ","")&amp;IF(AND($BJ510&lt;&gt;"Yes",$BJ510&lt;&gt;"N/A"),"Device ID, ","")&amp;IF(AND($BK510&lt;&gt;"Yes",$BK510&lt;&gt;"N/A"),"Epic Beans Relay, ",""))-2)))</f>
      </c>
      <c r="BM510">
        <f>IF($T510="","",IF($BL510="","Yes","Blocked"))</f>
      </c>
    </row>
    <row r="511">
      <c r="D511">
        <f>IF($B511&lt;&gt;"Yes","",IF($C511="No","Yes",IF($C511="Yes","No","")))</f>
      </c>
      <c r="E511">
        <f>IF($A511="","",IF($A511="Neuron",IF(OR(AND($S511&lt;&gt;"",LOWER(TRIM($S511))&lt;&gt;"n/a",COUNTIF($S$2:$S$532,$S511)&gt;1),AND($T511&lt;&gt;"",LOWER(TRIM($T511))&lt;&gt;"n/a",COUNTIF($T$2:$T$532,$T511)&gt;1),AND($W511&lt;&gt;"",LOWER(TRIM($W511))&lt;&gt;"n/a",COUNTIF($W$2:$W$532,$W511)&gt;1)),"Yes","No"),IF($A511="Cybernet",IF(OR(AND($Y511&lt;&gt;"",LOWER(TRIM($Y511))&lt;&gt;"n/a",COUNTIF($Y$2:$Y$532,$Y511)&gt;1),AND($Z511&lt;&gt;"",LOWER(TRIM($Z511))&lt;&gt;"n/a",COUNTIF($Z$2:$Z$532,$Z511)&gt;1)),"Yes","No"),IF(AND($AL511&lt;&gt;"",LOWER(TRIM($AL511))&lt;&gt;"n/a",COUNTIF($AL$2:$AL$532,$AL511)&gt;1),"Yes","No"))))</f>
      </c>
      <c r="F511">
        <f>IF($B511&lt;&gt;"Yes","",IF($A511="Neuron",IF(OR(AND($S511&lt;&gt;"",LOWER(TRIM($S511))&lt;&gt;"n/a",COUNTIFS($B$2:$B$532,"Yes",$A$2:$A$532,"Neuron",$S$2:$S$532,$S511)&gt;1),AND($T511&lt;&gt;"",LOWER(TRIM($T511))&lt;&gt;"n/a",COUNTIFS($B$2:$B$532,"Yes",$A$2:$A$532,"Neuron",$T$2:$T$532,$T511)&gt;1),AND($W511&lt;&gt;"",LOWER(TRIM($W511))&lt;&gt;"n/a",COUNTIFS($B$2:$B$532,"Yes",$A$2:$A$532,"Neuron",$W$2:$W$532,$W511)&gt;1)),"Yes","No"),IF($A511="Cybernet",IF(OR(AND($Y511&lt;&gt;"",LOWER(TRIM($Y511))&lt;&gt;"n/a",COUNTIFS($B$2:$B$532,"Yes",$A$2:$A$532,"Cybernet",$Y$2:$Y$532,$Y511)&gt;1),AND($Z511&lt;&gt;"",LOWER(TRIM($Z511))&lt;&gt;"n/a",COUNTIFS($B$2:$B$532,"Yes",$A$2:$A$532,"Cybernet",$Z$2:$Z$532,$Z511)&gt;1)),"Yes","No"),IF(AND($AL511&lt;&gt;"",LOWER(TRIM($AL511))&lt;&gt;"n/a"),IF(COUNTIFS($B$2:$B$532,"Yes",$A$2:$A$532,$A511,$AL$2:$AL$532,$AL511)&gt;1,"Yes","No"),"No"))))</f>
      </c>
      <c r="BL511">
        <f>IF($T511="","",IF((IF(AND($AW511&lt;&gt;"Yes",$AW511&lt;&gt;"N/A"),"Power Cable, ","")&amp;IF(AND($AX511&lt;&gt;"Yes",$AX511&lt;&gt;"N/A"),"Battery, ","")&amp;IF(AND($BE511&lt;&gt;"Yes",$BE511&lt;&gt;"N/A"),"Firmware Download, ","")&amp;IF(AND(OR($BE511="Yes",$BE511="N/A"),$BF511&lt;&gt;"Yes",$BF511&lt;&gt;"N/A"),"Firmware Install, ","")&amp;IF(AND($BJ511&lt;&gt;"Yes",$BJ511&lt;&gt;"N/A"),"Device ID, ","")&amp;IF(AND($BK511&lt;&gt;"Yes",$BK511&lt;&gt;"N/A"),"Epic Beans Relay, ",""))="","",LEFT(IF(AND($AW511&lt;&gt;"Yes",$AW511&lt;&gt;"N/A"),"Power Cable, ","")&amp;IF(AND($AX511&lt;&gt;"Yes",$AX511&lt;&gt;"N/A"),"Battery, ","")&amp;IF(AND($BE511&lt;&gt;"Yes",$BE511&lt;&gt;"N/A"),"Firmware Download, ","")&amp;IF(AND(OR($BE511="Yes",$BE511="N/A"),$BF511&lt;&gt;"Yes",$BF511&lt;&gt;"N/A"),"Firmware Install, ","")&amp;IF(AND($BJ511&lt;&gt;"Yes",$BJ511&lt;&gt;"N/A"),"Device ID, ","")&amp;IF(AND($BK511&lt;&gt;"Yes",$BK511&lt;&gt;"N/A"),"Epic Beans Relay, ",""),LEN(IF(AND($AW511&lt;&gt;"Yes",$AW511&lt;&gt;"N/A"),"Power Cable, ","")&amp;IF(AND($AX511&lt;&gt;"Yes",$AX511&lt;&gt;"N/A"),"Battery, ","")&amp;IF(AND($BE511&lt;&gt;"Yes",$BE511&lt;&gt;"N/A"),"Firmware Download, ","")&amp;IF(AND(OR($BE511="Yes",$BE511="N/A"),$BF511&lt;&gt;"Yes",$BF511&lt;&gt;"N/A"),"Firmware Install, ","")&amp;IF(AND($BJ511&lt;&gt;"Yes",$BJ511&lt;&gt;"N/A"),"Device ID, ","")&amp;IF(AND($BK511&lt;&gt;"Yes",$BK511&lt;&gt;"N/A"),"Epic Beans Relay, ",""))-2)))</f>
      </c>
      <c r="BM511">
        <f>IF($T511="","",IF($BL511="","Yes","Blocked"))</f>
      </c>
    </row>
    <row r="512">
      <c r="D512">
        <f>IF($B512&lt;&gt;"Yes","",IF($C512="No","Yes",IF($C512="Yes","No","")))</f>
      </c>
      <c r="E512">
        <f>IF($A512="","",IF($A512="Neuron",IF(OR(AND($S512&lt;&gt;"",LOWER(TRIM($S512))&lt;&gt;"n/a",COUNTIF($S$2:$S$532,$S512)&gt;1),AND($T512&lt;&gt;"",LOWER(TRIM($T512))&lt;&gt;"n/a",COUNTIF($T$2:$T$532,$T512)&gt;1),AND($W512&lt;&gt;"",LOWER(TRIM($W512))&lt;&gt;"n/a",COUNTIF($W$2:$W$532,$W512)&gt;1)),"Yes","No"),IF($A512="Cybernet",IF(OR(AND($Y512&lt;&gt;"",LOWER(TRIM($Y512))&lt;&gt;"n/a",COUNTIF($Y$2:$Y$532,$Y512)&gt;1),AND($Z512&lt;&gt;"",LOWER(TRIM($Z512))&lt;&gt;"n/a",COUNTIF($Z$2:$Z$532,$Z512)&gt;1)),"Yes","No"),IF(AND($AL512&lt;&gt;"",LOWER(TRIM($AL512))&lt;&gt;"n/a",COUNTIF($AL$2:$AL$532,$AL512)&gt;1),"Yes","No"))))</f>
      </c>
      <c r="F512">
        <f>IF($B512&lt;&gt;"Yes","",IF($A512="Neuron",IF(OR(AND($S512&lt;&gt;"",LOWER(TRIM($S512))&lt;&gt;"n/a",COUNTIFS($B$2:$B$532,"Yes",$A$2:$A$532,"Neuron",$S$2:$S$532,$S512)&gt;1),AND($T512&lt;&gt;"",LOWER(TRIM($T512))&lt;&gt;"n/a",COUNTIFS($B$2:$B$532,"Yes",$A$2:$A$532,"Neuron",$T$2:$T$532,$T512)&gt;1),AND($W512&lt;&gt;"",LOWER(TRIM($W512))&lt;&gt;"n/a",COUNTIFS($B$2:$B$532,"Yes",$A$2:$A$532,"Neuron",$W$2:$W$532,$W512)&gt;1)),"Yes","No"),IF($A512="Cybernet",IF(OR(AND($Y512&lt;&gt;"",LOWER(TRIM($Y512))&lt;&gt;"n/a",COUNTIFS($B$2:$B$532,"Yes",$A$2:$A$532,"Cybernet",$Y$2:$Y$532,$Y512)&gt;1),AND($Z512&lt;&gt;"",LOWER(TRIM($Z512))&lt;&gt;"n/a",COUNTIFS($B$2:$B$532,"Yes",$A$2:$A$532,"Cybernet",$Z$2:$Z$532,$Z512)&gt;1)),"Yes","No"),IF(AND($AL512&lt;&gt;"",LOWER(TRIM($AL512))&lt;&gt;"n/a"),IF(COUNTIFS($B$2:$B$532,"Yes",$A$2:$A$532,$A512,$AL$2:$AL$532,$AL512)&gt;1,"Yes","No"),"No"))))</f>
      </c>
      <c r="BL512">
        <f>IF($T512="","",IF((IF(AND($AW512&lt;&gt;"Yes",$AW512&lt;&gt;"N/A"),"Power Cable, ","")&amp;IF(AND($AX512&lt;&gt;"Yes",$AX512&lt;&gt;"N/A"),"Battery, ","")&amp;IF(AND($BE512&lt;&gt;"Yes",$BE512&lt;&gt;"N/A"),"Firmware Download, ","")&amp;IF(AND(OR($BE512="Yes",$BE512="N/A"),$BF512&lt;&gt;"Yes",$BF512&lt;&gt;"N/A"),"Firmware Install, ","")&amp;IF(AND($BJ512&lt;&gt;"Yes",$BJ512&lt;&gt;"N/A"),"Device ID, ","")&amp;IF(AND($BK512&lt;&gt;"Yes",$BK512&lt;&gt;"N/A"),"Epic Beans Relay, ",""))="","",LEFT(IF(AND($AW512&lt;&gt;"Yes",$AW512&lt;&gt;"N/A"),"Power Cable, ","")&amp;IF(AND($AX512&lt;&gt;"Yes",$AX512&lt;&gt;"N/A"),"Battery, ","")&amp;IF(AND($BE512&lt;&gt;"Yes",$BE512&lt;&gt;"N/A"),"Firmware Download, ","")&amp;IF(AND(OR($BE512="Yes",$BE512="N/A"),$BF512&lt;&gt;"Yes",$BF512&lt;&gt;"N/A"),"Firmware Install, ","")&amp;IF(AND($BJ512&lt;&gt;"Yes",$BJ512&lt;&gt;"N/A"),"Device ID, ","")&amp;IF(AND($BK512&lt;&gt;"Yes",$BK512&lt;&gt;"N/A"),"Epic Beans Relay, ",""),LEN(IF(AND($AW512&lt;&gt;"Yes",$AW512&lt;&gt;"N/A"),"Power Cable, ","")&amp;IF(AND($AX512&lt;&gt;"Yes",$AX512&lt;&gt;"N/A"),"Battery, ","")&amp;IF(AND($BE512&lt;&gt;"Yes",$BE512&lt;&gt;"N/A"),"Firmware Download, ","")&amp;IF(AND(OR($BE512="Yes",$BE512="N/A"),$BF512&lt;&gt;"Yes",$BF512&lt;&gt;"N/A"),"Firmware Install, ","")&amp;IF(AND($BJ512&lt;&gt;"Yes",$BJ512&lt;&gt;"N/A"),"Device ID, ","")&amp;IF(AND($BK512&lt;&gt;"Yes",$BK512&lt;&gt;"N/A"),"Epic Beans Relay, ",""))-2)))</f>
      </c>
      <c r="BM512">
        <f>IF($T512="","",IF($BL512="","Yes","Blocked"))</f>
      </c>
    </row>
    <row r="513">
      <c r="D513">
        <f>IF($B513&lt;&gt;"Yes","",IF($C513="No","Yes",IF($C513="Yes","No","")))</f>
      </c>
      <c r="E513">
        <f>IF($A513="","",IF($A513="Neuron",IF(OR(AND($S513&lt;&gt;"",LOWER(TRIM($S513))&lt;&gt;"n/a",COUNTIF($S$2:$S$532,$S513)&gt;1),AND($T513&lt;&gt;"",LOWER(TRIM($T513))&lt;&gt;"n/a",COUNTIF($T$2:$T$532,$T513)&gt;1),AND($W513&lt;&gt;"",LOWER(TRIM($W513))&lt;&gt;"n/a",COUNTIF($W$2:$W$532,$W513)&gt;1)),"Yes","No"),IF($A513="Cybernet",IF(OR(AND($Y513&lt;&gt;"",LOWER(TRIM($Y513))&lt;&gt;"n/a",COUNTIF($Y$2:$Y$532,$Y513)&gt;1),AND($Z513&lt;&gt;"",LOWER(TRIM($Z513))&lt;&gt;"n/a",COUNTIF($Z$2:$Z$532,$Z513)&gt;1)),"Yes","No"),IF(AND($AL513&lt;&gt;"",LOWER(TRIM($AL513))&lt;&gt;"n/a",COUNTIF($AL$2:$AL$532,$AL513)&gt;1),"Yes","No"))))</f>
      </c>
      <c r="F513">
        <f>IF($B513&lt;&gt;"Yes","",IF($A513="Neuron",IF(OR(AND($S513&lt;&gt;"",LOWER(TRIM($S513))&lt;&gt;"n/a",COUNTIFS($B$2:$B$532,"Yes",$A$2:$A$532,"Neuron",$S$2:$S$532,$S513)&gt;1),AND($T513&lt;&gt;"",LOWER(TRIM($T513))&lt;&gt;"n/a",COUNTIFS($B$2:$B$532,"Yes",$A$2:$A$532,"Neuron",$T$2:$T$532,$T513)&gt;1),AND($W513&lt;&gt;"",LOWER(TRIM($W513))&lt;&gt;"n/a",COUNTIFS($B$2:$B$532,"Yes",$A$2:$A$532,"Neuron",$W$2:$W$532,$W513)&gt;1)),"Yes","No"),IF($A513="Cybernet",IF(OR(AND($Y513&lt;&gt;"",LOWER(TRIM($Y513))&lt;&gt;"n/a",COUNTIFS($B$2:$B$532,"Yes",$A$2:$A$532,"Cybernet",$Y$2:$Y$532,$Y513)&gt;1),AND($Z513&lt;&gt;"",LOWER(TRIM($Z513))&lt;&gt;"n/a",COUNTIFS($B$2:$B$532,"Yes",$A$2:$A$532,"Cybernet",$Z$2:$Z$532,$Z513)&gt;1)),"Yes","No"),IF(AND($AL513&lt;&gt;"",LOWER(TRIM($AL513))&lt;&gt;"n/a"),IF(COUNTIFS($B$2:$B$532,"Yes",$A$2:$A$532,$A513,$AL$2:$AL$532,$AL513)&gt;1,"Yes","No"),"No"))))</f>
      </c>
      <c r="BL513">
        <f>IF($T513="","",IF((IF(AND($AW513&lt;&gt;"Yes",$AW513&lt;&gt;"N/A"),"Power Cable, ","")&amp;IF(AND($AX513&lt;&gt;"Yes",$AX513&lt;&gt;"N/A"),"Battery, ","")&amp;IF(AND($BE513&lt;&gt;"Yes",$BE513&lt;&gt;"N/A"),"Firmware Download, ","")&amp;IF(AND(OR($BE513="Yes",$BE513="N/A"),$BF513&lt;&gt;"Yes",$BF513&lt;&gt;"N/A"),"Firmware Install, ","")&amp;IF(AND($BJ513&lt;&gt;"Yes",$BJ513&lt;&gt;"N/A"),"Device ID, ","")&amp;IF(AND($BK513&lt;&gt;"Yes",$BK513&lt;&gt;"N/A"),"Epic Beans Relay, ",""))="","",LEFT(IF(AND($AW513&lt;&gt;"Yes",$AW513&lt;&gt;"N/A"),"Power Cable, ","")&amp;IF(AND($AX513&lt;&gt;"Yes",$AX513&lt;&gt;"N/A"),"Battery, ","")&amp;IF(AND($BE513&lt;&gt;"Yes",$BE513&lt;&gt;"N/A"),"Firmware Download, ","")&amp;IF(AND(OR($BE513="Yes",$BE513="N/A"),$BF513&lt;&gt;"Yes",$BF513&lt;&gt;"N/A"),"Firmware Install, ","")&amp;IF(AND($BJ513&lt;&gt;"Yes",$BJ513&lt;&gt;"N/A"),"Device ID, ","")&amp;IF(AND($BK513&lt;&gt;"Yes",$BK513&lt;&gt;"N/A"),"Epic Beans Relay, ",""),LEN(IF(AND($AW513&lt;&gt;"Yes",$AW513&lt;&gt;"N/A"),"Power Cable, ","")&amp;IF(AND($AX513&lt;&gt;"Yes",$AX513&lt;&gt;"N/A"),"Battery, ","")&amp;IF(AND($BE513&lt;&gt;"Yes",$BE513&lt;&gt;"N/A"),"Firmware Download, ","")&amp;IF(AND(OR($BE513="Yes",$BE513="N/A"),$BF513&lt;&gt;"Yes",$BF513&lt;&gt;"N/A"),"Firmware Install, ","")&amp;IF(AND($BJ513&lt;&gt;"Yes",$BJ513&lt;&gt;"N/A"),"Device ID, ","")&amp;IF(AND($BK513&lt;&gt;"Yes",$BK513&lt;&gt;"N/A"),"Epic Beans Relay, ",""))-2)))</f>
      </c>
      <c r="BM513">
        <f>IF($T513="","",IF($BL513="","Yes","Blocked"))</f>
      </c>
    </row>
    <row r="514">
      <c r="D514">
        <f>IF($B514&lt;&gt;"Yes","",IF($C514="No","Yes",IF($C514="Yes","No","")))</f>
      </c>
      <c r="E514">
        <f>IF($A514="","",IF($A514="Neuron",IF(OR(AND($S514&lt;&gt;"",LOWER(TRIM($S514))&lt;&gt;"n/a",COUNTIF($S$2:$S$532,$S514)&gt;1),AND($T514&lt;&gt;"",LOWER(TRIM($T514))&lt;&gt;"n/a",COUNTIF($T$2:$T$532,$T514)&gt;1),AND($W514&lt;&gt;"",LOWER(TRIM($W514))&lt;&gt;"n/a",COUNTIF($W$2:$W$532,$W514)&gt;1)),"Yes","No"),IF($A514="Cybernet",IF(OR(AND($Y514&lt;&gt;"",LOWER(TRIM($Y514))&lt;&gt;"n/a",COUNTIF($Y$2:$Y$532,$Y514)&gt;1),AND($Z514&lt;&gt;"",LOWER(TRIM($Z514))&lt;&gt;"n/a",COUNTIF($Z$2:$Z$532,$Z514)&gt;1)),"Yes","No"),IF(AND($AL514&lt;&gt;"",LOWER(TRIM($AL514))&lt;&gt;"n/a",COUNTIF($AL$2:$AL$532,$AL514)&gt;1),"Yes","No"))))</f>
      </c>
      <c r="F514">
        <f>IF($B514&lt;&gt;"Yes","",IF($A514="Neuron",IF(OR(AND($S514&lt;&gt;"",LOWER(TRIM($S514))&lt;&gt;"n/a",COUNTIFS($B$2:$B$532,"Yes",$A$2:$A$532,"Neuron",$S$2:$S$532,$S514)&gt;1),AND($T514&lt;&gt;"",LOWER(TRIM($T514))&lt;&gt;"n/a",COUNTIFS($B$2:$B$532,"Yes",$A$2:$A$532,"Neuron",$T$2:$T$532,$T514)&gt;1),AND($W514&lt;&gt;"",LOWER(TRIM($W514))&lt;&gt;"n/a",COUNTIFS($B$2:$B$532,"Yes",$A$2:$A$532,"Neuron",$W$2:$W$532,$W514)&gt;1)),"Yes","No"),IF($A514="Cybernet",IF(OR(AND($Y514&lt;&gt;"",LOWER(TRIM($Y514))&lt;&gt;"n/a",COUNTIFS($B$2:$B$532,"Yes",$A$2:$A$532,"Cybernet",$Y$2:$Y$532,$Y514)&gt;1),AND($Z514&lt;&gt;"",LOWER(TRIM($Z514))&lt;&gt;"n/a",COUNTIFS($B$2:$B$532,"Yes",$A$2:$A$532,"Cybernet",$Z$2:$Z$532,$Z514)&gt;1)),"Yes","No"),IF(AND($AL514&lt;&gt;"",LOWER(TRIM($AL514))&lt;&gt;"n/a"),IF(COUNTIFS($B$2:$B$532,"Yes",$A$2:$A$532,$A514,$AL$2:$AL$532,$AL514)&gt;1,"Yes","No"),"No"))))</f>
      </c>
      <c r="BL514">
        <f>IF($T514="","",IF((IF(AND($AW514&lt;&gt;"Yes",$AW514&lt;&gt;"N/A"),"Power Cable, ","")&amp;IF(AND($AX514&lt;&gt;"Yes",$AX514&lt;&gt;"N/A"),"Battery, ","")&amp;IF(AND($BE514&lt;&gt;"Yes",$BE514&lt;&gt;"N/A"),"Firmware Download, ","")&amp;IF(AND(OR($BE514="Yes",$BE514="N/A"),$BF514&lt;&gt;"Yes",$BF514&lt;&gt;"N/A"),"Firmware Install, ","")&amp;IF(AND($BJ514&lt;&gt;"Yes",$BJ514&lt;&gt;"N/A"),"Device ID, ","")&amp;IF(AND($BK514&lt;&gt;"Yes",$BK514&lt;&gt;"N/A"),"Epic Beans Relay, ",""))="","",LEFT(IF(AND($AW514&lt;&gt;"Yes",$AW514&lt;&gt;"N/A"),"Power Cable, ","")&amp;IF(AND($AX514&lt;&gt;"Yes",$AX514&lt;&gt;"N/A"),"Battery, ","")&amp;IF(AND($BE514&lt;&gt;"Yes",$BE514&lt;&gt;"N/A"),"Firmware Download, ","")&amp;IF(AND(OR($BE514="Yes",$BE514="N/A"),$BF514&lt;&gt;"Yes",$BF514&lt;&gt;"N/A"),"Firmware Install, ","")&amp;IF(AND($BJ514&lt;&gt;"Yes",$BJ514&lt;&gt;"N/A"),"Device ID, ","")&amp;IF(AND($BK514&lt;&gt;"Yes",$BK514&lt;&gt;"N/A"),"Epic Beans Relay, ",""),LEN(IF(AND($AW514&lt;&gt;"Yes",$AW514&lt;&gt;"N/A"),"Power Cable, ","")&amp;IF(AND($AX514&lt;&gt;"Yes",$AX514&lt;&gt;"N/A"),"Battery, ","")&amp;IF(AND($BE514&lt;&gt;"Yes",$BE514&lt;&gt;"N/A"),"Firmware Download, ","")&amp;IF(AND(OR($BE514="Yes",$BE514="N/A"),$BF514&lt;&gt;"Yes",$BF514&lt;&gt;"N/A"),"Firmware Install, ","")&amp;IF(AND($BJ514&lt;&gt;"Yes",$BJ514&lt;&gt;"N/A"),"Device ID, ","")&amp;IF(AND($BK514&lt;&gt;"Yes",$BK514&lt;&gt;"N/A"),"Epic Beans Relay, ",""))-2)))</f>
      </c>
      <c r="BM514">
        <f>IF($T514="","",IF($BL514="","Yes","Blocked"))</f>
      </c>
    </row>
    <row r="515">
      <c r="D515">
        <f>IF($B515&lt;&gt;"Yes","",IF($C515="No","Yes",IF($C515="Yes","No","")))</f>
      </c>
      <c r="E515">
        <f>IF($A515="","",IF($A515="Neuron",IF(OR(AND($S515&lt;&gt;"",LOWER(TRIM($S515))&lt;&gt;"n/a",COUNTIF($S$2:$S$532,$S515)&gt;1),AND($T515&lt;&gt;"",LOWER(TRIM($T515))&lt;&gt;"n/a",COUNTIF($T$2:$T$532,$T515)&gt;1),AND($W515&lt;&gt;"",LOWER(TRIM($W515))&lt;&gt;"n/a",COUNTIF($W$2:$W$532,$W515)&gt;1)),"Yes","No"),IF($A515="Cybernet",IF(OR(AND($Y515&lt;&gt;"",LOWER(TRIM($Y515))&lt;&gt;"n/a",COUNTIF($Y$2:$Y$532,$Y515)&gt;1),AND($Z515&lt;&gt;"",LOWER(TRIM($Z515))&lt;&gt;"n/a",COUNTIF($Z$2:$Z$532,$Z515)&gt;1)),"Yes","No"),IF(AND($AL515&lt;&gt;"",LOWER(TRIM($AL515))&lt;&gt;"n/a",COUNTIF($AL$2:$AL$532,$AL515)&gt;1),"Yes","No"))))</f>
      </c>
      <c r="F515">
        <f>IF($B515&lt;&gt;"Yes","",IF($A515="Neuron",IF(OR(AND($S515&lt;&gt;"",LOWER(TRIM($S515))&lt;&gt;"n/a",COUNTIFS($B$2:$B$532,"Yes",$A$2:$A$532,"Neuron",$S$2:$S$532,$S515)&gt;1),AND($T515&lt;&gt;"",LOWER(TRIM($T515))&lt;&gt;"n/a",COUNTIFS($B$2:$B$532,"Yes",$A$2:$A$532,"Neuron",$T$2:$T$532,$T515)&gt;1),AND($W515&lt;&gt;"",LOWER(TRIM($W515))&lt;&gt;"n/a",COUNTIFS($B$2:$B$532,"Yes",$A$2:$A$532,"Neuron",$W$2:$W$532,$W515)&gt;1)),"Yes","No"),IF($A515="Cybernet",IF(OR(AND($Y515&lt;&gt;"",LOWER(TRIM($Y515))&lt;&gt;"n/a",COUNTIFS($B$2:$B$532,"Yes",$A$2:$A$532,"Cybernet",$Y$2:$Y$532,$Y515)&gt;1),AND($Z515&lt;&gt;"",LOWER(TRIM($Z515))&lt;&gt;"n/a",COUNTIFS($B$2:$B$532,"Yes",$A$2:$A$532,"Cybernet",$Z$2:$Z$532,$Z515)&gt;1)),"Yes","No"),IF(AND($AL515&lt;&gt;"",LOWER(TRIM($AL515))&lt;&gt;"n/a"),IF(COUNTIFS($B$2:$B$532,"Yes",$A$2:$A$532,$A515,$AL$2:$AL$532,$AL515)&gt;1,"Yes","No"),"No"))))</f>
      </c>
      <c r="BL515">
        <f>IF($T515="","",IF((IF(AND($AW515&lt;&gt;"Yes",$AW515&lt;&gt;"N/A"),"Power Cable, ","")&amp;IF(AND($AX515&lt;&gt;"Yes",$AX515&lt;&gt;"N/A"),"Battery, ","")&amp;IF(AND($BE515&lt;&gt;"Yes",$BE515&lt;&gt;"N/A"),"Firmware Download, ","")&amp;IF(AND(OR($BE515="Yes",$BE515="N/A"),$BF515&lt;&gt;"Yes",$BF515&lt;&gt;"N/A"),"Firmware Install, ","")&amp;IF(AND($BJ515&lt;&gt;"Yes",$BJ515&lt;&gt;"N/A"),"Device ID, ","")&amp;IF(AND($BK515&lt;&gt;"Yes",$BK515&lt;&gt;"N/A"),"Epic Beans Relay, ",""))="","",LEFT(IF(AND($AW515&lt;&gt;"Yes",$AW515&lt;&gt;"N/A"),"Power Cable, ","")&amp;IF(AND($AX515&lt;&gt;"Yes",$AX515&lt;&gt;"N/A"),"Battery, ","")&amp;IF(AND($BE515&lt;&gt;"Yes",$BE515&lt;&gt;"N/A"),"Firmware Download, ","")&amp;IF(AND(OR($BE515="Yes",$BE515="N/A"),$BF515&lt;&gt;"Yes",$BF515&lt;&gt;"N/A"),"Firmware Install, ","")&amp;IF(AND($BJ515&lt;&gt;"Yes",$BJ515&lt;&gt;"N/A"),"Device ID, ","")&amp;IF(AND($BK515&lt;&gt;"Yes",$BK515&lt;&gt;"N/A"),"Epic Beans Relay, ",""),LEN(IF(AND($AW515&lt;&gt;"Yes",$AW515&lt;&gt;"N/A"),"Power Cable, ","")&amp;IF(AND($AX515&lt;&gt;"Yes",$AX515&lt;&gt;"N/A"),"Battery, ","")&amp;IF(AND($BE515&lt;&gt;"Yes",$BE515&lt;&gt;"N/A"),"Firmware Download, ","")&amp;IF(AND(OR($BE515="Yes",$BE515="N/A"),$BF515&lt;&gt;"Yes",$BF515&lt;&gt;"N/A"),"Firmware Install, ","")&amp;IF(AND($BJ515&lt;&gt;"Yes",$BJ515&lt;&gt;"N/A"),"Device ID, ","")&amp;IF(AND($BK515&lt;&gt;"Yes",$BK515&lt;&gt;"N/A"),"Epic Beans Relay, ",""))-2)))</f>
      </c>
      <c r="BM515">
        <f>IF($T515="","",IF($BL515="","Yes","Blocked"))</f>
      </c>
    </row>
    <row r="516">
      <c r="D516">
        <f>IF($B516&lt;&gt;"Yes","",IF($C516="No","Yes",IF($C516="Yes","No","")))</f>
      </c>
      <c r="E516">
        <f>IF($A516="","",IF($A516="Neuron",IF(OR(AND($S516&lt;&gt;"",LOWER(TRIM($S516))&lt;&gt;"n/a",COUNTIF($S$2:$S$532,$S516)&gt;1),AND($T516&lt;&gt;"",LOWER(TRIM($T516))&lt;&gt;"n/a",COUNTIF($T$2:$T$532,$T516)&gt;1),AND($W516&lt;&gt;"",LOWER(TRIM($W516))&lt;&gt;"n/a",COUNTIF($W$2:$W$532,$W516)&gt;1)),"Yes","No"),IF($A516="Cybernet",IF(OR(AND($Y516&lt;&gt;"",LOWER(TRIM($Y516))&lt;&gt;"n/a",COUNTIF($Y$2:$Y$532,$Y516)&gt;1),AND($Z516&lt;&gt;"",LOWER(TRIM($Z516))&lt;&gt;"n/a",COUNTIF($Z$2:$Z$532,$Z516)&gt;1)),"Yes","No"),IF(AND($AL516&lt;&gt;"",LOWER(TRIM($AL516))&lt;&gt;"n/a",COUNTIF($AL$2:$AL$532,$AL516)&gt;1),"Yes","No"))))</f>
      </c>
      <c r="F516">
        <f>IF($B516&lt;&gt;"Yes","",IF($A516="Neuron",IF(OR(AND($S516&lt;&gt;"",LOWER(TRIM($S516))&lt;&gt;"n/a",COUNTIFS($B$2:$B$532,"Yes",$A$2:$A$532,"Neuron",$S$2:$S$532,$S516)&gt;1),AND($T516&lt;&gt;"",LOWER(TRIM($T516))&lt;&gt;"n/a",COUNTIFS($B$2:$B$532,"Yes",$A$2:$A$532,"Neuron",$T$2:$T$532,$T516)&gt;1),AND($W516&lt;&gt;"",LOWER(TRIM($W516))&lt;&gt;"n/a",COUNTIFS($B$2:$B$532,"Yes",$A$2:$A$532,"Neuron",$W$2:$W$532,$W516)&gt;1)),"Yes","No"),IF($A516="Cybernet",IF(OR(AND($Y516&lt;&gt;"",LOWER(TRIM($Y516))&lt;&gt;"n/a",COUNTIFS($B$2:$B$532,"Yes",$A$2:$A$532,"Cybernet",$Y$2:$Y$532,$Y516)&gt;1),AND($Z516&lt;&gt;"",LOWER(TRIM($Z516))&lt;&gt;"n/a",COUNTIFS($B$2:$B$532,"Yes",$A$2:$A$532,"Cybernet",$Z$2:$Z$532,$Z516)&gt;1)),"Yes","No"),IF(AND($AL516&lt;&gt;"",LOWER(TRIM($AL516))&lt;&gt;"n/a"),IF(COUNTIFS($B$2:$B$532,"Yes",$A$2:$A$532,$A516,$AL$2:$AL$532,$AL516)&gt;1,"Yes","No"),"No"))))</f>
      </c>
      <c r="BL516">
        <f>IF($T516="","",IF((IF(AND($AW516&lt;&gt;"Yes",$AW516&lt;&gt;"N/A"),"Power Cable, ","")&amp;IF(AND($AX516&lt;&gt;"Yes",$AX516&lt;&gt;"N/A"),"Battery, ","")&amp;IF(AND($BE516&lt;&gt;"Yes",$BE516&lt;&gt;"N/A"),"Firmware Download, ","")&amp;IF(AND(OR($BE516="Yes",$BE516="N/A"),$BF516&lt;&gt;"Yes",$BF516&lt;&gt;"N/A"),"Firmware Install, ","")&amp;IF(AND($BJ516&lt;&gt;"Yes",$BJ516&lt;&gt;"N/A"),"Device ID, ","")&amp;IF(AND($BK516&lt;&gt;"Yes",$BK516&lt;&gt;"N/A"),"Epic Beans Relay, ",""))="","",LEFT(IF(AND($AW516&lt;&gt;"Yes",$AW516&lt;&gt;"N/A"),"Power Cable, ","")&amp;IF(AND($AX516&lt;&gt;"Yes",$AX516&lt;&gt;"N/A"),"Battery, ","")&amp;IF(AND($BE516&lt;&gt;"Yes",$BE516&lt;&gt;"N/A"),"Firmware Download, ","")&amp;IF(AND(OR($BE516="Yes",$BE516="N/A"),$BF516&lt;&gt;"Yes",$BF516&lt;&gt;"N/A"),"Firmware Install, ","")&amp;IF(AND($BJ516&lt;&gt;"Yes",$BJ516&lt;&gt;"N/A"),"Device ID, ","")&amp;IF(AND($BK516&lt;&gt;"Yes",$BK516&lt;&gt;"N/A"),"Epic Beans Relay, ",""),LEN(IF(AND($AW516&lt;&gt;"Yes",$AW516&lt;&gt;"N/A"),"Power Cable, ","")&amp;IF(AND($AX516&lt;&gt;"Yes",$AX516&lt;&gt;"N/A"),"Battery, ","")&amp;IF(AND($BE516&lt;&gt;"Yes",$BE516&lt;&gt;"N/A"),"Firmware Download, ","")&amp;IF(AND(OR($BE516="Yes",$BE516="N/A"),$BF516&lt;&gt;"Yes",$BF516&lt;&gt;"N/A"),"Firmware Install, ","")&amp;IF(AND($BJ516&lt;&gt;"Yes",$BJ516&lt;&gt;"N/A"),"Device ID, ","")&amp;IF(AND($BK516&lt;&gt;"Yes",$BK516&lt;&gt;"N/A"),"Epic Beans Relay, ",""))-2)))</f>
      </c>
      <c r="BM516">
        <f>IF($T516="","",IF($BL516="","Yes","Blocked"))</f>
      </c>
    </row>
    <row r="517">
      <c r="D517">
        <f>IF($B517&lt;&gt;"Yes","",IF($C517="No","Yes",IF($C517="Yes","No","")))</f>
      </c>
      <c r="E517">
        <f>IF($A517="","",IF($A517="Neuron",IF(OR(AND($S517&lt;&gt;"",LOWER(TRIM($S517))&lt;&gt;"n/a",COUNTIF($S$2:$S$532,$S517)&gt;1),AND($T517&lt;&gt;"",LOWER(TRIM($T517))&lt;&gt;"n/a",COUNTIF($T$2:$T$532,$T517)&gt;1),AND($W517&lt;&gt;"",LOWER(TRIM($W517))&lt;&gt;"n/a",COUNTIF($W$2:$W$532,$W517)&gt;1)),"Yes","No"),IF($A517="Cybernet",IF(OR(AND($Y517&lt;&gt;"",LOWER(TRIM($Y517))&lt;&gt;"n/a",COUNTIF($Y$2:$Y$532,$Y517)&gt;1),AND($Z517&lt;&gt;"",LOWER(TRIM($Z517))&lt;&gt;"n/a",COUNTIF($Z$2:$Z$532,$Z517)&gt;1)),"Yes","No"),IF(AND($AL517&lt;&gt;"",LOWER(TRIM($AL517))&lt;&gt;"n/a",COUNTIF($AL$2:$AL$532,$AL517)&gt;1),"Yes","No"))))</f>
      </c>
      <c r="F517">
        <f>IF($B517&lt;&gt;"Yes","",IF($A517="Neuron",IF(OR(AND($S517&lt;&gt;"",LOWER(TRIM($S517))&lt;&gt;"n/a",COUNTIFS($B$2:$B$532,"Yes",$A$2:$A$532,"Neuron",$S$2:$S$532,$S517)&gt;1),AND($T517&lt;&gt;"",LOWER(TRIM($T517))&lt;&gt;"n/a",COUNTIFS($B$2:$B$532,"Yes",$A$2:$A$532,"Neuron",$T$2:$T$532,$T517)&gt;1),AND($W517&lt;&gt;"",LOWER(TRIM($W517))&lt;&gt;"n/a",COUNTIFS($B$2:$B$532,"Yes",$A$2:$A$532,"Neuron",$W$2:$W$532,$W517)&gt;1)),"Yes","No"),IF($A517="Cybernet",IF(OR(AND($Y517&lt;&gt;"",LOWER(TRIM($Y517))&lt;&gt;"n/a",COUNTIFS($B$2:$B$532,"Yes",$A$2:$A$532,"Cybernet",$Y$2:$Y$532,$Y517)&gt;1),AND($Z517&lt;&gt;"",LOWER(TRIM($Z517))&lt;&gt;"n/a",COUNTIFS($B$2:$B$532,"Yes",$A$2:$A$532,"Cybernet",$Z$2:$Z$532,$Z517)&gt;1)),"Yes","No"),IF(AND($AL517&lt;&gt;"",LOWER(TRIM($AL517))&lt;&gt;"n/a"),IF(COUNTIFS($B$2:$B$532,"Yes",$A$2:$A$532,$A517,$AL$2:$AL$532,$AL517)&gt;1,"Yes","No"),"No"))))</f>
      </c>
      <c r="BL517">
        <f>IF($T517="","",IF((IF(AND($AW517&lt;&gt;"Yes",$AW517&lt;&gt;"N/A"),"Power Cable, ","")&amp;IF(AND($AX517&lt;&gt;"Yes",$AX517&lt;&gt;"N/A"),"Battery, ","")&amp;IF(AND($BE517&lt;&gt;"Yes",$BE517&lt;&gt;"N/A"),"Firmware Download, ","")&amp;IF(AND(OR($BE517="Yes",$BE517="N/A"),$BF517&lt;&gt;"Yes",$BF517&lt;&gt;"N/A"),"Firmware Install, ","")&amp;IF(AND($BJ517&lt;&gt;"Yes",$BJ517&lt;&gt;"N/A"),"Device ID, ","")&amp;IF(AND($BK517&lt;&gt;"Yes",$BK517&lt;&gt;"N/A"),"Epic Beans Relay, ",""))="","",LEFT(IF(AND($AW517&lt;&gt;"Yes",$AW517&lt;&gt;"N/A"),"Power Cable, ","")&amp;IF(AND($AX517&lt;&gt;"Yes",$AX517&lt;&gt;"N/A"),"Battery, ","")&amp;IF(AND($BE517&lt;&gt;"Yes",$BE517&lt;&gt;"N/A"),"Firmware Download, ","")&amp;IF(AND(OR($BE517="Yes",$BE517="N/A"),$BF517&lt;&gt;"Yes",$BF517&lt;&gt;"N/A"),"Firmware Install, ","")&amp;IF(AND($BJ517&lt;&gt;"Yes",$BJ517&lt;&gt;"N/A"),"Device ID, ","")&amp;IF(AND($BK517&lt;&gt;"Yes",$BK517&lt;&gt;"N/A"),"Epic Beans Relay, ",""),LEN(IF(AND($AW517&lt;&gt;"Yes",$AW517&lt;&gt;"N/A"),"Power Cable, ","")&amp;IF(AND($AX517&lt;&gt;"Yes",$AX517&lt;&gt;"N/A"),"Battery, ","")&amp;IF(AND($BE517&lt;&gt;"Yes",$BE517&lt;&gt;"N/A"),"Firmware Download, ","")&amp;IF(AND(OR($BE517="Yes",$BE517="N/A"),$BF517&lt;&gt;"Yes",$BF517&lt;&gt;"N/A"),"Firmware Install, ","")&amp;IF(AND($BJ517&lt;&gt;"Yes",$BJ517&lt;&gt;"N/A"),"Device ID, ","")&amp;IF(AND($BK517&lt;&gt;"Yes",$BK517&lt;&gt;"N/A"),"Epic Beans Relay, ",""))-2)))</f>
      </c>
      <c r="BM517">
        <f>IF($T517="","",IF($BL517="","Yes","Blocked"))</f>
      </c>
    </row>
    <row r="518">
      <c r="D518">
        <f>IF($B518&lt;&gt;"Yes","",IF($C518="No","Yes",IF($C518="Yes","No","")))</f>
      </c>
      <c r="E518">
        <f>IF($A518="","",IF($A518="Neuron",IF(OR(AND($S518&lt;&gt;"",LOWER(TRIM($S518))&lt;&gt;"n/a",COUNTIF($S$2:$S$532,$S518)&gt;1),AND($T518&lt;&gt;"",LOWER(TRIM($T518))&lt;&gt;"n/a",COUNTIF($T$2:$T$532,$T518)&gt;1),AND($W518&lt;&gt;"",LOWER(TRIM($W518))&lt;&gt;"n/a",COUNTIF($W$2:$W$532,$W518)&gt;1)),"Yes","No"),IF($A518="Cybernet",IF(OR(AND($Y518&lt;&gt;"",LOWER(TRIM($Y518))&lt;&gt;"n/a",COUNTIF($Y$2:$Y$532,$Y518)&gt;1),AND($Z518&lt;&gt;"",LOWER(TRIM($Z518))&lt;&gt;"n/a",COUNTIF($Z$2:$Z$532,$Z518)&gt;1)),"Yes","No"),IF(AND($AL518&lt;&gt;"",LOWER(TRIM($AL518))&lt;&gt;"n/a",COUNTIF($AL$2:$AL$532,$AL518)&gt;1),"Yes","No"))))</f>
      </c>
      <c r="F518">
        <f>IF($B518&lt;&gt;"Yes","",IF($A518="Neuron",IF(OR(AND($S518&lt;&gt;"",LOWER(TRIM($S518))&lt;&gt;"n/a",COUNTIFS($B$2:$B$532,"Yes",$A$2:$A$532,"Neuron",$S$2:$S$532,$S518)&gt;1),AND($T518&lt;&gt;"",LOWER(TRIM($T518))&lt;&gt;"n/a",COUNTIFS($B$2:$B$532,"Yes",$A$2:$A$532,"Neuron",$T$2:$T$532,$T518)&gt;1),AND($W518&lt;&gt;"",LOWER(TRIM($W518))&lt;&gt;"n/a",COUNTIFS($B$2:$B$532,"Yes",$A$2:$A$532,"Neuron",$W$2:$W$532,$W518)&gt;1)),"Yes","No"),IF($A518="Cybernet",IF(OR(AND($Y518&lt;&gt;"",LOWER(TRIM($Y518))&lt;&gt;"n/a",COUNTIFS($B$2:$B$532,"Yes",$A$2:$A$532,"Cybernet",$Y$2:$Y$532,$Y518)&gt;1),AND($Z518&lt;&gt;"",LOWER(TRIM($Z518))&lt;&gt;"n/a",COUNTIFS($B$2:$B$532,"Yes",$A$2:$A$532,"Cybernet",$Z$2:$Z$532,$Z518)&gt;1)),"Yes","No"),IF(AND($AL518&lt;&gt;"",LOWER(TRIM($AL518))&lt;&gt;"n/a"),IF(COUNTIFS($B$2:$B$532,"Yes",$A$2:$A$532,$A518,$AL$2:$AL$532,$AL518)&gt;1,"Yes","No"),"No"))))</f>
      </c>
      <c r="BL518">
        <f>IF($T518="","",IF((IF(AND($AW518&lt;&gt;"Yes",$AW518&lt;&gt;"N/A"),"Power Cable, ","")&amp;IF(AND($AX518&lt;&gt;"Yes",$AX518&lt;&gt;"N/A"),"Battery, ","")&amp;IF(AND($BE518&lt;&gt;"Yes",$BE518&lt;&gt;"N/A"),"Firmware Download, ","")&amp;IF(AND(OR($BE518="Yes",$BE518="N/A"),$BF518&lt;&gt;"Yes",$BF518&lt;&gt;"N/A"),"Firmware Install, ","")&amp;IF(AND($BJ518&lt;&gt;"Yes",$BJ518&lt;&gt;"N/A"),"Device ID, ","")&amp;IF(AND($BK518&lt;&gt;"Yes",$BK518&lt;&gt;"N/A"),"Epic Beans Relay, ",""))="","",LEFT(IF(AND($AW518&lt;&gt;"Yes",$AW518&lt;&gt;"N/A"),"Power Cable, ","")&amp;IF(AND($AX518&lt;&gt;"Yes",$AX518&lt;&gt;"N/A"),"Battery, ","")&amp;IF(AND($BE518&lt;&gt;"Yes",$BE518&lt;&gt;"N/A"),"Firmware Download, ","")&amp;IF(AND(OR($BE518="Yes",$BE518="N/A"),$BF518&lt;&gt;"Yes",$BF518&lt;&gt;"N/A"),"Firmware Install, ","")&amp;IF(AND($BJ518&lt;&gt;"Yes",$BJ518&lt;&gt;"N/A"),"Device ID, ","")&amp;IF(AND($BK518&lt;&gt;"Yes",$BK518&lt;&gt;"N/A"),"Epic Beans Relay, ",""),LEN(IF(AND($AW518&lt;&gt;"Yes",$AW518&lt;&gt;"N/A"),"Power Cable, ","")&amp;IF(AND($AX518&lt;&gt;"Yes",$AX518&lt;&gt;"N/A"),"Battery, ","")&amp;IF(AND($BE518&lt;&gt;"Yes",$BE518&lt;&gt;"N/A"),"Firmware Download, ","")&amp;IF(AND(OR($BE518="Yes",$BE518="N/A"),$BF518&lt;&gt;"Yes",$BF518&lt;&gt;"N/A"),"Firmware Install, ","")&amp;IF(AND($BJ518&lt;&gt;"Yes",$BJ518&lt;&gt;"N/A"),"Device ID, ","")&amp;IF(AND($BK518&lt;&gt;"Yes",$BK518&lt;&gt;"N/A"),"Epic Beans Relay, ",""))-2)))</f>
      </c>
      <c r="BM518">
        <f>IF($T518="","",IF($BL518="","Yes","Blocked"))</f>
      </c>
    </row>
    <row r="519">
      <c r="D519">
        <f>IF($B519&lt;&gt;"Yes","",IF($C519="No","Yes",IF($C519="Yes","No","")))</f>
      </c>
      <c r="E519">
        <f>IF($A519="","",IF($A519="Neuron",IF(OR(AND($S519&lt;&gt;"",LOWER(TRIM($S519))&lt;&gt;"n/a",COUNTIF($S$2:$S$532,$S519)&gt;1),AND($T519&lt;&gt;"",LOWER(TRIM($T519))&lt;&gt;"n/a",COUNTIF($T$2:$T$532,$T519)&gt;1),AND($W519&lt;&gt;"",LOWER(TRIM($W519))&lt;&gt;"n/a",COUNTIF($W$2:$W$532,$W519)&gt;1)),"Yes","No"),IF($A519="Cybernet",IF(OR(AND($Y519&lt;&gt;"",LOWER(TRIM($Y519))&lt;&gt;"n/a",COUNTIF($Y$2:$Y$532,$Y519)&gt;1),AND($Z519&lt;&gt;"",LOWER(TRIM($Z519))&lt;&gt;"n/a",COUNTIF($Z$2:$Z$532,$Z519)&gt;1)),"Yes","No"),IF(AND($AL519&lt;&gt;"",LOWER(TRIM($AL519))&lt;&gt;"n/a",COUNTIF($AL$2:$AL$532,$AL519)&gt;1),"Yes","No"))))</f>
      </c>
      <c r="F519">
        <f>IF($B519&lt;&gt;"Yes","",IF($A519="Neuron",IF(OR(AND($S519&lt;&gt;"",LOWER(TRIM($S519))&lt;&gt;"n/a",COUNTIFS($B$2:$B$532,"Yes",$A$2:$A$532,"Neuron",$S$2:$S$532,$S519)&gt;1),AND($T519&lt;&gt;"",LOWER(TRIM($T519))&lt;&gt;"n/a",COUNTIFS($B$2:$B$532,"Yes",$A$2:$A$532,"Neuron",$T$2:$T$532,$T519)&gt;1),AND($W519&lt;&gt;"",LOWER(TRIM($W519))&lt;&gt;"n/a",COUNTIFS($B$2:$B$532,"Yes",$A$2:$A$532,"Neuron",$W$2:$W$532,$W519)&gt;1)),"Yes","No"),IF($A519="Cybernet",IF(OR(AND($Y519&lt;&gt;"",LOWER(TRIM($Y519))&lt;&gt;"n/a",COUNTIFS($B$2:$B$532,"Yes",$A$2:$A$532,"Cybernet",$Y$2:$Y$532,$Y519)&gt;1),AND($Z519&lt;&gt;"",LOWER(TRIM($Z519))&lt;&gt;"n/a",COUNTIFS($B$2:$B$532,"Yes",$A$2:$A$532,"Cybernet",$Z$2:$Z$532,$Z519)&gt;1)),"Yes","No"),IF(AND($AL519&lt;&gt;"",LOWER(TRIM($AL519))&lt;&gt;"n/a"),IF(COUNTIFS($B$2:$B$532,"Yes",$A$2:$A$532,$A519,$AL$2:$AL$532,$AL519)&gt;1,"Yes","No"),"No"))))</f>
      </c>
      <c r="BL519">
        <f>IF($T519="","",IF((IF(AND($AW519&lt;&gt;"Yes",$AW519&lt;&gt;"N/A"),"Power Cable, ","")&amp;IF(AND($AX519&lt;&gt;"Yes",$AX519&lt;&gt;"N/A"),"Battery, ","")&amp;IF(AND($BE519&lt;&gt;"Yes",$BE519&lt;&gt;"N/A"),"Firmware Download, ","")&amp;IF(AND(OR($BE519="Yes",$BE519="N/A"),$BF519&lt;&gt;"Yes",$BF519&lt;&gt;"N/A"),"Firmware Install, ","")&amp;IF(AND($BJ519&lt;&gt;"Yes",$BJ519&lt;&gt;"N/A"),"Device ID, ","")&amp;IF(AND($BK519&lt;&gt;"Yes",$BK519&lt;&gt;"N/A"),"Epic Beans Relay, ",""))="","",LEFT(IF(AND($AW519&lt;&gt;"Yes",$AW519&lt;&gt;"N/A"),"Power Cable, ","")&amp;IF(AND($AX519&lt;&gt;"Yes",$AX519&lt;&gt;"N/A"),"Battery, ","")&amp;IF(AND($BE519&lt;&gt;"Yes",$BE519&lt;&gt;"N/A"),"Firmware Download, ","")&amp;IF(AND(OR($BE519="Yes",$BE519="N/A"),$BF519&lt;&gt;"Yes",$BF519&lt;&gt;"N/A"),"Firmware Install, ","")&amp;IF(AND($BJ519&lt;&gt;"Yes",$BJ519&lt;&gt;"N/A"),"Device ID, ","")&amp;IF(AND($BK519&lt;&gt;"Yes",$BK519&lt;&gt;"N/A"),"Epic Beans Relay, ",""),LEN(IF(AND($AW519&lt;&gt;"Yes",$AW519&lt;&gt;"N/A"),"Power Cable, ","")&amp;IF(AND($AX519&lt;&gt;"Yes",$AX519&lt;&gt;"N/A"),"Battery, ","")&amp;IF(AND($BE519&lt;&gt;"Yes",$BE519&lt;&gt;"N/A"),"Firmware Download, ","")&amp;IF(AND(OR($BE519="Yes",$BE519="N/A"),$BF519&lt;&gt;"Yes",$BF519&lt;&gt;"N/A"),"Firmware Install, ","")&amp;IF(AND($BJ519&lt;&gt;"Yes",$BJ519&lt;&gt;"N/A"),"Device ID, ","")&amp;IF(AND($BK519&lt;&gt;"Yes",$BK519&lt;&gt;"N/A"),"Epic Beans Relay, ",""))-2)))</f>
      </c>
      <c r="BM519">
        <f>IF($T519="","",IF($BL519="","Yes","Blocked"))</f>
      </c>
    </row>
    <row r="520">
      <c r="D520">
        <f>IF($B520&lt;&gt;"Yes","",IF($C520="No","Yes",IF($C520="Yes","No","")))</f>
      </c>
      <c r="E520">
        <f>IF($A520="","",IF($A520="Neuron",IF(OR(AND($S520&lt;&gt;"",LOWER(TRIM($S520))&lt;&gt;"n/a",COUNTIF($S$2:$S$532,$S520)&gt;1),AND($T520&lt;&gt;"",LOWER(TRIM($T520))&lt;&gt;"n/a",COUNTIF($T$2:$T$532,$T520)&gt;1),AND($W520&lt;&gt;"",LOWER(TRIM($W520))&lt;&gt;"n/a",COUNTIF($W$2:$W$532,$W520)&gt;1)),"Yes","No"),IF($A520="Cybernet",IF(OR(AND($Y520&lt;&gt;"",LOWER(TRIM($Y520))&lt;&gt;"n/a",COUNTIF($Y$2:$Y$532,$Y520)&gt;1),AND($Z520&lt;&gt;"",LOWER(TRIM($Z520))&lt;&gt;"n/a",COUNTIF($Z$2:$Z$532,$Z520)&gt;1)),"Yes","No"),IF(AND($AL520&lt;&gt;"",LOWER(TRIM($AL520))&lt;&gt;"n/a",COUNTIF($AL$2:$AL$532,$AL520)&gt;1),"Yes","No"))))</f>
      </c>
      <c r="F520">
        <f>IF($B520&lt;&gt;"Yes","",IF($A520="Neuron",IF(OR(AND($S520&lt;&gt;"",LOWER(TRIM($S520))&lt;&gt;"n/a",COUNTIFS($B$2:$B$532,"Yes",$A$2:$A$532,"Neuron",$S$2:$S$532,$S520)&gt;1),AND($T520&lt;&gt;"",LOWER(TRIM($T520))&lt;&gt;"n/a",COUNTIFS($B$2:$B$532,"Yes",$A$2:$A$532,"Neuron",$T$2:$T$532,$T520)&gt;1),AND($W520&lt;&gt;"",LOWER(TRIM($W520))&lt;&gt;"n/a",COUNTIFS($B$2:$B$532,"Yes",$A$2:$A$532,"Neuron",$W$2:$W$532,$W520)&gt;1)),"Yes","No"),IF($A520="Cybernet",IF(OR(AND($Y520&lt;&gt;"",LOWER(TRIM($Y520))&lt;&gt;"n/a",COUNTIFS($B$2:$B$532,"Yes",$A$2:$A$532,"Cybernet",$Y$2:$Y$532,$Y520)&gt;1),AND($Z520&lt;&gt;"",LOWER(TRIM($Z520))&lt;&gt;"n/a",COUNTIFS($B$2:$B$532,"Yes",$A$2:$A$532,"Cybernet",$Z$2:$Z$532,$Z520)&gt;1)),"Yes","No"),IF(AND($AL520&lt;&gt;"",LOWER(TRIM($AL520))&lt;&gt;"n/a"),IF(COUNTIFS($B$2:$B$532,"Yes",$A$2:$A$532,$A520,$AL$2:$AL$532,$AL520)&gt;1,"Yes","No"),"No"))))</f>
      </c>
      <c r="BL520">
        <f>IF($T520="","",IF((IF(AND($AW520&lt;&gt;"Yes",$AW520&lt;&gt;"N/A"),"Power Cable, ","")&amp;IF(AND($AX520&lt;&gt;"Yes",$AX520&lt;&gt;"N/A"),"Battery, ","")&amp;IF(AND($BE520&lt;&gt;"Yes",$BE520&lt;&gt;"N/A"),"Firmware Download, ","")&amp;IF(AND(OR($BE520="Yes",$BE520="N/A"),$BF520&lt;&gt;"Yes",$BF520&lt;&gt;"N/A"),"Firmware Install, ","")&amp;IF(AND($BJ520&lt;&gt;"Yes",$BJ520&lt;&gt;"N/A"),"Device ID, ","")&amp;IF(AND($BK520&lt;&gt;"Yes",$BK520&lt;&gt;"N/A"),"Epic Beans Relay, ",""))="","",LEFT(IF(AND($AW520&lt;&gt;"Yes",$AW520&lt;&gt;"N/A"),"Power Cable, ","")&amp;IF(AND($AX520&lt;&gt;"Yes",$AX520&lt;&gt;"N/A"),"Battery, ","")&amp;IF(AND($BE520&lt;&gt;"Yes",$BE520&lt;&gt;"N/A"),"Firmware Download, ","")&amp;IF(AND(OR($BE520="Yes",$BE520="N/A"),$BF520&lt;&gt;"Yes",$BF520&lt;&gt;"N/A"),"Firmware Install, ","")&amp;IF(AND($BJ520&lt;&gt;"Yes",$BJ520&lt;&gt;"N/A"),"Device ID, ","")&amp;IF(AND($BK520&lt;&gt;"Yes",$BK520&lt;&gt;"N/A"),"Epic Beans Relay, ",""),LEN(IF(AND($AW520&lt;&gt;"Yes",$AW520&lt;&gt;"N/A"),"Power Cable, ","")&amp;IF(AND($AX520&lt;&gt;"Yes",$AX520&lt;&gt;"N/A"),"Battery, ","")&amp;IF(AND($BE520&lt;&gt;"Yes",$BE520&lt;&gt;"N/A"),"Firmware Download, ","")&amp;IF(AND(OR($BE520="Yes",$BE520="N/A"),$BF520&lt;&gt;"Yes",$BF520&lt;&gt;"N/A"),"Firmware Install, ","")&amp;IF(AND($BJ520&lt;&gt;"Yes",$BJ520&lt;&gt;"N/A"),"Device ID, ","")&amp;IF(AND($BK520&lt;&gt;"Yes",$BK520&lt;&gt;"N/A"),"Epic Beans Relay, ",""))-2)))</f>
      </c>
      <c r="BM520">
        <f>IF($T520="","",IF($BL520="","Yes","Blocked"))</f>
      </c>
    </row>
    <row r="521">
      <c r="D521">
        <f>IF($B521&lt;&gt;"Yes","",IF($C521="No","Yes",IF($C521="Yes","No","")))</f>
      </c>
      <c r="E521">
        <f>IF($A521="","",IF($A521="Neuron",IF(OR(AND($S521&lt;&gt;"",LOWER(TRIM($S521))&lt;&gt;"n/a",COUNTIF($S$2:$S$532,$S521)&gt;1),AND($T521&lt;&gt;"",LOWER(TRIM($T521))&lt;&gt;"n/a",COUNTIF($T$2:$T$532,$T521)&gt;1),AND($W521&lt;&gt;"",LOWER(TRIM($W521))&lt;&gt;"n/a",COUNTIF($W$2:$W$532,$W521)&gt;1)),"Yes","No"),IF($A521="Cybernet",IF(OR(AND($Y521&lt;&gt;"",LOWER(TRIM($Y521))&lt;&gt;"n/a",COUNTIF($Y$2:$Y$532,$Y521)&gt;1),AND($Z521&lt;&gt;"",LOWER(TRIM($Z521))&lt;&gt;"n/a",COUNTIF($Z$2:$Z$532,$Z521)&gt;1)),"Yes","No"),IF(AND($AL521&lt;&gt;"",LOWER(TRIM($AL521))&lt;&gt;"n/a",COUNTIF($AL$2:$AL$532,$AL521)&gt;1),"Yes","No"))))</f>
      </c>
      <c r="F521">
        <f>IF($B521&lt;&gt;"Yes","",IF($A521="Neuron",IF(OR(AND($S521&lt;&gt;"",LOWER(TRIM($S521))&lt;&gt;"n/a",COUNTIFS($B$2:$B$532,"Yes",$A$2:$A$532,"Neuron",$S$2:$S$532,$S521)&gt;1),AND($T521&lt;&gt;"",LOWER(TRIM($T521))&lt;&gt;"n/a",COUNTIFS($B$2:$B$532,"Yes",$A$2:$A$532,"Neuron",$T$2:$T$532,$T521)&gt;1),AND($W521&lt;&gt;"",LOWER(TRIM($W521))&lt;&gt;"n/a",COUNTIFS($B$2:$B$532,"Yes",$A$2:$A$532,"Neuron",$W$2:$W$532,$W521)&gt;1)),"Yes","No"),IF($A521="Cybernet",IF(OR(AND($Y521&lt;&gt;"",LOWER(TRIM($Y521))&lt;&gt;"n/a",COUNTIFS($B$2:$B$532,"Yes",$A$2:$A$532,"Cybernet",$Y$2:$Y$532,$Y521)&gt;1),AND($Z521&lt;&gt;"",LOWER(TRIM($Z521))&lt;&gt;"n/a",COUNTIFS($B$2:$B$532,"Yes",$A$2:$A$532,"Cybernet",$Z$2:$Z$532,$Z521)&gt;1)),"Yes","No"),IF(AND($AL521&lt;&gt;"",LOWER(TRIM($AL521))&lt;&gt;"n/a"),IF(COUNTIFS($B$2:$B$532,"Yes",$A$2:$A$532,$A521,$AL$2:$AL$532,$AL521)&gt;1,"Yes","No"),"No"))))</f>
      </c>
      <c r="BL521">
        <f>IF($T521="","",IF((IF(AND($AW521&lt;&gt;"Yes",$AW521&lt;&gt;"N/A"),"Power Cable, ","")&amp;IF(AND($AX521&lt;&gt;"Yes",$AX521&lt;&gt;"N/A"),"Battery, ","")&amp;IF(AND($BE521&lt;&gt;"Yes",$BE521&lt;&gt;"N/A"),"Firmware Download, ","")&amp;IF(AND(OR($BE521="Yes",$BE521="N/A"),$BF521&lt;&gt;"Yes",$BF521&lt;&gt;"N/A"),"Firmware Install, ","")&amp;IF(AND($BJ521&lt;&gt;"Yes",$BJ521&lt;&gt;"N/A"),"Device ID, ","")&amp;IF(AND($BK521&lt;&gt;"Yes",$BK521&lt;&gt;"N/A"),"Epic Beans Relay, ",""))="","",LEFT(IF(AND($AW521&lt;&gt;"Yes",$AW521&lt;&gt;"N/A"),"Power Cable, ","")&amp;IF(AND($AX521&lt;&gt;"Yes",$AX521&lt;&gt;"N/A"),"Battery, ","")&amp;IF(AND($BE521&lt;&gt;"Yes",$BE521&lt;&gt;"N/A"),"Firmware Download, ","")&amp;IF(AND(OR($BE521="Yes",$BE521="N/A"),$BF521&lt;&gt;"Yes",$BF521&lt;&gt;"N/A"),"Firmware Install, ","")&amp;IF(AND($BJ521&lt;&gt;"Yes",$BJ521&lt;&gt;"N/A"),"Device ID, ","")&amp;IF(AND($BK521&lt;&gt;"Yes",$BK521&lt;&gt;"N/A"),"Epic Beans Relay, ",""),LEN(IF(AND($AW521&lt;&gt;"Yes",$AW521&lt;&gt;"N/A"),"Power Cable, ","")&amp;IF(AND($AX521&lt;&gt;"Yes",$AX521&lt;&gt;"N/A"),"Battery, ","")&amp;IF(AND($BE521&lt;&gt;"Yes",$BE521&lt;&gt;"N/A"),"Firmware Download, ","")&amp;IF(AND(OR($BE521="Yes",$BE521="N/A"),$BF521&lt;&gt;"Yes",$BF521&lt;&gt;"N/A"),"Firmware Install, ","")&amp;IF(AND($BJ521&lt;&gt;"Yes",$BJ521&lt;&gt;"N/A"),"Device ID, ","")&amp;IF(AND($BK521&lt;&gt;"Yes",$BK521&lt;&gt;"N/A"),"Epic Beans Relay, ",""))-2)))</f>
      </c>
      <c r="BM521">
        <f>IF($T521="","",IF($BL521="","Yes","Blocked"))</f>
      </c>
    </row>
    <row r="522">
      <c r="D522">
        <f>IF($B522&lt;&gt;"Yes","",IF($C522="No","Yes",IF($C522="Yes","No","")))</f>
      </c>
      <c r="E522">
        <f>IF($A522="","",IF($A522="Neuron",IF(OR(AND($S522&lt;&gt;"",LOWER(TRIM($S522))&lt;&gt;"n/a",COUNTIF($S$2:$S$532,$S522)&gt;1),AND($T522&lt;&gt;"",LOWER(TRIM($T522))&lt;&gt;"n/a",COUNTIF($T$2:$T$532,$T522)&gt;1),AND($W522&lt;&gt;"",LOWER(TRIM($W522))&lt;&gt;"n/a",COUNTIF($W$2:$W$532,$W522)&gt;1)),"Yes","No"),IF($A522="Cybernet",IF(OR(AND($Y522&lt;&gt;"",LOWER(TRIM($Y522))&lt;&gt;"n/a",COUNTIF($Y$2:$Y$532,$Y522)&gt;1),AND($Z522&lt;&gt;"",LOWER(TRIM($Z522))&lt;&gt;"n/a",COUNTIF($Z$2:$Z$532,$Z522)&gt;1)),"Yes","No"),IF(AND($AL522&lt;&gt;"",LOWER(TRIM($AL522))&lt;&gt;"n/a",COUNTIF($AL$2:$AL$532,$AL522)&gt;1),"Yes","No"))))</f>
      </c>
      <c r="F522">
        <f>IF($B522&lt;&gt;"Yes","",IF($A522="Neuron",IF(OR(AND($S522&lt;&gt;"",LOWER(TRIM($S522))&lt;&gt;"n/a",COUNTIFS($B$2:$B$532,"Yes",$A$2:$A$532,"Neuron",$S$2:$S$532,$S522)&gt;1),AND($T522&lt;&gt;"",LOWER(TRIM($T522))&lt;&gt;"n/a",COUNTIFS($B$2:$B$532,"Yes",$A$2:$A$532,"Neuron",$T$2:$T$532,$T522)&gt;1),AND($W522&lt;&gt;"",LOWER(TRIM($W522))&lt;&gt;"n/a",COUNTIFS($B$2:$B$532,"Yes",$A$2:$A$532,"Neuron",$W$2:$W$532,$W522)&gt;1)),"Yes","No"),IF($A522="Cybernet",IF(OR(AND($Y522&lt;&gt;"",LOWER(TRIM($Y522))&lt;&gt;"n/a",COUNTIFS($B$2:$B$532,"Yes",$A$2:$A$532,"Cybernet",$Y$2:$Y$532,$Y522)&gt;1),AND($Z522&lt;&gt;"",LOWER(TRIM($Z522))&lt;&gt;"n/a",COUNTIFS($B$2:$B$532,"Yes",$A$2:$A$532,"Cybernet",$Z$2:$Z$532,$Z522)&gt;1)),"Yes","No"),IF(AND($AL522&lt;&gt;"",LOWER(TRIM($AL522))&lt;&gt;"n/a"),IF(COUNTIFS($B$2:$B$532,"Yes",$A$2:$A$532,$A522,$AL$2:$AL$532,$AL522)&gt;1,"Yes","No"),"No"))))</f>
      </c>
      <c r="BL522">
        <f>IF($T522="","",IF((IF(AND($AW522&lt;&gt;"Yes",$AW522&lt;&gt;"N/A"),"Power Cable, ","")&amp;IF(AND($AX522&lt;&gt;"Yes",$AX522&lt;&gt;"N/A"),"Battery, ","")&amp;IF(AND($BE522&lt;&gt;"Yes",$BE522&lt;&gt;"N/A"),"Firmware Download, ","")&amp;IF(AND(OR($BE522="Yes",$BE522="N/A"),$BF522&lt;&gt;"Yes",$BF522&lt;&gt;"N/A"),"Firmware Install, ","")&amp;IF(AND($BJ522&lt;&gt;"Yes",$BJ522&lt;&gt;"N/A"),"Device ID, ","")&amp;IF(AND($BK522&lt;&gt;"Yes",$BK522&lt;&gt;"N/A"),"Epic Beans Relay, ",""))="","",LEFT(IF(AND($AW522&lt;&gt;"Yes",$AW522&lt;&gt;"N/A"),"Power Cable, ","")&amp;IF(AND($AX522&lt;&gt;"Yes",$AX522&lt;&gt;"N/A"),"Battery, ","")&amp;IF(AND($BE522&lt;&gt;"Yes",$BE522&lt;&gt;"N/A"),"Firmware Download, ","")&amp;IF(AND(OR($BE522="Yes",$BE522="N/A"),$BF522&lt;&gt;"Yes",$BF522&lt;&gt;"N/A"),"Firmware Install, ","")&amp;IF(AND($BJ522&lt;&gt;"Yes",$BJ522&lt;&gt;"N/A"),"Device ID, ","")&amp;IF(AND($BK522&lt;&gt;"Yes",$BK522&lt;&gt;"N/A"),"Epic Beans Relay, ",""),LEN(IF(AND($AW522&lt;&gt;"Yes",$AW522&lt;&gt;"N/A"),"Power Cable, ","")&amp;IF(AND($AX522&lt;&gt;"Yes",$AX522&lt;&gt;"N/A"),"Battery, ","")&amp;IF(AND($BE522&lt;&gt;"Yes",$BE522&lt;&gt;"N/A"),"Firmware Download, ","")&amp;IF(AND(OR($BE522="Yes",$BE522="N/A"),$BF522&lt;&gt;"Yes",$BF522&lt;&gt;"N/A"),"Firmware Install, ","")&amp;IF(AND($BJ522&lt;&gt;"Yes",$BJ522&lt;&gt;"N/A"),"Device ID, ","")&amp;IF(AND($BK522&lt;&gt;"Yes",$BK522&lt;&gt;"N/A"),"Epic Beans Relay, ",""))-2)))</f>
      </c>
      <c r="BM522">
        <f>IF($T522="","",IF($BL522="","Yes","Blocked"))</f>
      </c>
    </row>
    <row r="523">
      <c r="D523">
        <f>IF($B523&lt;&gt;"Yes","",IF($C523="No","Yes",IF($C523="Yes","No","")))</f>
      </c>
      <c r="E523">
        <f>IF($A523="","",IF($A523="Neuron",IF(OR(AND($S523&lt;&gt;"",LOWER(TRIM($S523))&lt;&gt;"n/a",COUNTIF($S$2:$S$532,$S523)&gt;1),AND($T523&lt;&gt;"",LOWER(TRIM($T523))&lt;&gt;"n/a",COUNTIF($T$2:$T$532,$T523)&gt;1),AND($W523&lt;&gt;"",LOWER(TRIM($W523))&lt;&gt;"n/a",COUNTIF($W$2:$W$532,$W523)&gt;1)),"Yes","No"),IF($A523="Cybernet",IF(OR(AND($Y523&lt;&gt;"",LOWER(TRIM($Y523))&lt;&gt;"n/a",COUNTIF($Y$2:$Y$532,$Y523)&gt;1),AND($Z523&lt;&gt;"",LOWER(TRIM($Z523))&lt;&gt;"n/a",COUNTIF($Z$2:$Z$532,$Z523)&gt;1)),"Yes","No"),IF(AND($AL523&lt;&gt;"",LOWER(TRIM($AL523))&lt;&gt;"n/a",COUNTIF($AL$2:$AL$532,$AL523)&gt;1),"Yes","No"))))</f>
      </c>
      <c r="F523">
        <f>IF($B523&lt;&gt;"Yes","",IF($A523="Neuron",IF(OR(AND($S523&lt;&gt;"",LOWER(TRIM($S523))&lt;&gt;"n/a",COUNTIFS($B$2:$B$532,"Yes",$A$2:$A$532,"Neuron",$S$2:$S$532,$S523)&gt;1),AND($T523&lt;&gt;"",LOWER(TRIM($T523))&lt;&gt;"n/a",COUNTIFS($B$2:$B$532,"Yes",$A$2:$A$532,"Neuron",$T$2:$T$532,$T523)&gt;1),AND($W523&lt;&gt;"",LOWER(TRIM($W523))&lt;&gt;"n/a",COUNTIFS($B$2:$B$532,"Yes",$A$2:$A$532,"Neuron",$W$2:$W$532,$W523)&gt;1)),"Yes","No"),IF($A523="Cybernet",IF(OR(AND($Y523&lt;&gt;"",LOWER(TRIM($Y523))&lt;&gt;"n/a",COUNTIFS($B$2:$B$532,"Yes",$A$2:$A$532,"Cybernet",$Y$2:$Y$532,$Y523)&gt;1),AND($Z523&lt;&gt;"",LOWER(TRIM($Z523))&lt;&gt;"n/a",COUNTIFS($B$2:$B$532,"Yes",$A$2:$A$532,"Cybernet",$Z$2:$Z$532,$Z523)&gt;1)),"Yes","No"),IF(AND($AL523&lt;&gt;"",LOWER(TRIM($AL523))&lt;&gt;"n/a"),IF(COUNTIFS($B$2:$B$532,"Yes",$A$2:$A$532,$A523,$AL$2:$AL$532,$AL523)&gt;1,"Yes","No"),"No"))))</f>
      </c>
      <c r="BL523">
        <f>IF($T523="","",IF((IF(AND($AW523&lt;&gt;"Yes",$AW523&lt;&gt;"N/A"),"Power Cable, ","")&amp;IF(AND($AX523&lt;&gt;"Yes",$AX523&lt;&gt;"N/A"),"Battery, ","")&amp;IF(AND($BE523&lt;&gt;"Yes",$BE523&lt;&gt;"N/A"),"Firmware Download, ","")&amp;IF(AND(OR($BE523="Yes",$BE523="N/A"),$BF523&lt;&gt;"Yes",$BF523&lt;&gt;"N/A"),"Firmware Install, ","")&amp;IF(AND($BJ523&lt;&gt;"Yes",$BJ523&lt;&gt;"N/A"),"Device ID, ","")&amp;IF(AND($BK523&lt;&gt;"Yes",$BK523&lt;&gt;"N/A"),"Epic Beans Relay, ",""))="","",LEFT(IF(AND($AW523&lt;&gt;"Yes",$AW523&lt;&gt;"N/A"),"Power Cable, ","")&amp;IF(AND($AX523&lt;&gt;"Yes",$AX523&lt;&gt;"N/A"),"Battery, ","")&amp;IF(AND($BE523&lt;&gt;"Yes",$BE523&lt;&gt;"N/A"),"Firmware Download, ","")&amp;IF(AND(OR($BE523="Yes",$BE523="N/A"),$BF523&lt;&gt;"Yes",$BF523&lt;&gt;"N/A"),"Firmware Install, ","")&amp;IF(AND($BJ523&lt;&gt;"Yes",$BJ523&lt;&gt;"N/A"),"Device ID, ","")&amp;IF(AND($BK523&lt;&gt;"Yes",$BK523&lt;&gt;"N/A"),"Epic Beans Relay, ",""),LEN(IF(AND($AW523&lt;&gt;"Yes",$AW523&lt;&gt;"N/A"),"Power Cable, ","")&amp;IF(AND($AX523&lt;&gt;"Yes",$AX523&lt;&gt;"N/A"),"Battery, ","")&amp;IF(AND($BE523&lt;&gt;"Yes",$BE523&lt;&gt;"N/A"),"Firmware Download, ","")&amp;IF(AND(OR($BE523="Yes",$BE523="N/A"),$BF523&lt;&gt;"Yes",$BF523&lt;&gt;"N/A"),"Firmware Install, ","")&amp;IF(AND($BJ523&lt;&gt;"Yes",$BJ523&lt;&gt;"N/A"),"Device ID, ","")&amp;IF(AND($BK523&lt;&gt;"Yes",$BK523&lt;&gt;"N/A"),"Epic Beans Relay, ",""))-2)))</f>
      </c>
      <c r="BM523">
        <f>IF($T523="","",IF($BL523="","Yes","Blocked"))</f>
      </c>
    </row>
    <row r="524">
      <c r="D524">
        <f>IF($B524&lt;&gt;"Yes","",IF($C524="No","Yes",IF($C524="Yes","No","")))</f>
      </c>
      <c r="E524">
        <f>IF($A524="","",IF($A524="Neuron",IF(OR(AND($S524&lt;&gt;"",LOWER(TRIM($S524))&lt;&gt;"n/a",COUNTIF($S$2:$S$532,$S524)&gt;1),AND($T524&lt;&gt;"",LOWER(TRIM($T524))&lt;&gt;"n/a",COUNTIF($T$2:$T$532,$T524)&gt;1),AND($W524&lt;&gt;"",LOWER(TRIM($W524))&lt;&gt;"n/a",COUNTIF($W$2:$W$532,$W524)&gt;1)),"Yes","No"),IF($A524="Cybernet",IF(OR(AND($Y524&lt;&gt;"",LOWER(TRIM($Y524))&lt;&gt;"n/a",COUNTIF($Y$2:$Y$532,$Y524)&gt;1),AND($Z524&lt;&gt;"",LOWER(TRIM($Z524))&lt;&gt;"n/a",COUNTIF($Z$2:$Z$532,$Z524)&gt;1)),"Yes","No"),IF(AND($AL524&lt;&gt;"",LOWER(TRIM($AL524))&lt;&gt;"n/a",COUNTIF($AL$2:$AL$532,$AL524)&gt;1),"Yes","No"))))</f>
      </c>
      <c r="F524">
        <f>IF($B524&lt;&gt;"Yes","",IF($A524="Neuron",IF(OR(AND($S524&lt;&gt;"",LOWER(TRIM($S524))&lt;&gt;"n/a",COUNTIFS($B$2:$B$532,"Yes",$A$2:$A$532,"Neuron",$S$2:$S$532,$S524)&gt;1),AND($T524&lt;&gt;"",LOWER(TRIM($T524))&lt;&gt;"n/a",COUNTIFS($B$2:$B$532,"Yes",$A$2:$A$532,"Neuron",$T$2:$T$532,$T524)&gt;1),AND($W524&lt;&gt;"",LOWER(TRIM($W524))&lt;&gt;"n/a",COUNTIFS($B$2:$B$532,"Yes",$A$2:$A$532,"Neuron",$W$2:$W$532,$W524)&gt;1)),"Yes","No"),IF($A524="Cybernet",IF(OR(AND($Y524&lt;&gt;"",LOWER(TRIM($Y524))&lt;&gt;"n/a",COUNTIFS($B$2:$B$532,"Yes",$A$2:$A$532,"Cybernet",$Y$2:$Y$532,$Y524)&gt;1),AND($Z524&lt;&gt;"",LOWER(TRIM($Z524))&lt;&gt;"n/a",COUNTIFS($B$2:$B$532,"Yes",$A$2:$A$532,"Cybernet",$Z$2:$Z$532,$Z524)&gt;1)),"Yes","No"),IF(AND($AL524&lt;&gt;"",LOWER(TRIM($AL524))&lt;&gt;"n/a"),IF(COUNTIFS($B$2:$B$532,"Yes",$A$2:$A$532,$A524,$AL$2:$AL$532,$AL524)&gt;1,"Yes","No"),"No"))))</f>
      </c>
      <c r="BL524">
        <f>IF($T524="","",IF((IF(AND($AW524&lt;&gt;"Yes",$AW524&lt;&gt;"N/A"),"Power Cable, ","")&amp;IF(AND($AX524&lt;&gt;"Yes",$AX524&lt;&gt;"N/A"),"Battery, ","")&amp;IF(AND($BE524&lt;&gt;"Yes",$BE524&lt;&gt;"N/A"),"Firmware Download, ","")&amp;IF(AND(OR($BE524="Yes",$BE524="N/A"),$BF524&lt;&gt;"Yes",$BF524&lt;&gt;"N/A"),"Firmware Install, ","")&amp;IF(AND($BJ524&lt;&gt;"Yes",$BJ524&lt;&gt;"N/A"),"Device ID, ","")&amp;IF(AND($BK524&lt;&gt;"Yes",$BK524&lt;&gt;"N/A"),"Epic Beans Relay, ",""))="","",LEFT(IF(AND($AW524&lt;&gt;"Yes",$AW524&lt;&gt;"N/A"),"Power Cable, ","")&amp;IF(AND($AX524&lt;&gt;"Yes",$AX524&lt;&gt;"N/A"),"Battery, ","")&amp;IF(AND($BE524&lt;&gt;"Yes",$BE524&lt;&gt;"N/A"),"Firmware Download, ","")&amp;IF(AND(OR($BE524="Yes",$BE524="N/A"),$BF524&lt;&gt;"Yes",$BF524&lt;&gt;"N/A"),"Firmware Install, ","")&amp;IF(AND($BJ524&lt;&gt;"Yes",$BJ524&lt;&gt;"N/A"),"Device ID, ","")&amp;IF(AND($BK524&lt;&gt;"Yes",$BK524&lt;&gt;"N/A"),"Epic Beans Relay, ",""),LEN(IF(AND($AW524&lt;&gt;"Yes",$AW524&lt;&gt;"N/A"),"Power Cable, ","")&amp;IF(AND($AX524&lt;&gt;"Yes",$AX524&lt;&gt;"N/A"),"Battery, ","")&amp;IF(AND($BE524&lt;&gt;"Yes",$BE524&lt;&gt;"N/A"),"Firmware Download, ","")&amp;IF(AND(OR($BE524="Yes",$BE524="N/A"),$BF524&lt;&gt;"Yes",$BF524&lt;&gt;"N/A"),"Firmware Install, ","")&amp;IF(AND($BJ524&lt;&gt;"Yes",$BJ524&lt;&gt;"N/A"),"Device ID, ","")&amp;IF(AND($BK524&lt;&gt;"Yes",$BK524&lt;&gt;"N/A"),"Epic Beans Relay, ",""))-2)))</f>
      </c>
      <c r="BM524">
        <f>IF($T524="","",IF($BL524="","Yes","Blocked"))</f>
      </c>
    </row>
    <row r="525">
      <c r="D525">
        <f>IF($B525&lt;&gt;"Yes","",IF($C525="No","Yes",IF($C525="Yes","No","")))</f>
      </c>
      <c r="E525">
        <f>IF($A525="","",IF($A525="Neuron",IF(OR(AND($S525&lt;&gt;"",LOWER(TRIM($S525))&lt;&gt;"n/a",COUNTIF($S$2:$S$532,$S525)&gt;1),AND($T525&lt;&gt;"",LOWER(TRIM($T525))&lt;&gt;"n/a",COUNTIF($T$2:$T$532,$T525)&gt;1),AND($W525&lt;&gt;"",LOWER(TRIM($W525))&lt;&gt;"n/a",COUNTIF($W$2:$W$532,$W525)&gt;1)),"Yes","No"),IF($A525="Cybernet",IF(OR(AND($Y525&lt;&gt;"",LOWER(TRIM($Y525))&lt;&gt;"n/a",COUNTIF($Y$2:$Y$532,$Y525)&gt;1),AND($Z525&lt;&gt;"",LOWER(TRIM($Z525))&lt;&gt;"n/a",COUNTIF($Z$2:$Z$532,$Z525)&gt;1)),"Yes","No"),IF(AND($AL525&lt;&gt;"",LOWER(TRIM($AL525))&lt;&gt;"n/a",COUNTIF($AL$2:$AL$532,$AL525)&gt;1),"Yes","No"))))</f>
      </c>
      <c r="F525">
        <f>IF($B525&lt;&gt;"Yes","",IF($A525="Neuron",IF(OR(AND($S525&lt;&gt;"",LOWER(TRIM($S525))&lt;&gt;"n/a",COUNTIFS($B$2:$B$532,"Yes",$A$2:$A$532,"Neuron",$S$2:$S$532,$S525)&gt;1),AND($T525&lt;&gt;"",LOWER(TRIM($T525))&lt;&gt;"n/a",COUNTIFS($B$2:$B$532,"Yes",$A$2:$A$532,"Neuron",$T$2:$T$532,$T525)&gt;1),AND($W525&lt;&gt;"",LOWER(TRIM($W525))&lt;&gt;"n/a",COUNTIFS($B$2:$B$532,"Yes",$A$2:$A$532,"Neuron",$W$2:$W$532,$W525)&gt;1)),"Yes","No"),IF($A525="Cybernet",IF(OR(AND($Y525&lt;&gt;"",LOWER(TRIM($Y525))&lt;&gt;"n/a",COUNTIFS($B$2:$B$532,"Yes",$A$2:$A$532,"Cybernet",$Y$2:$Y$532,$Y525)&gt;1),AND($Z525&lt;&gt;"",LOWER(TRIM($Z525))&lt;&gt;"n/a",COUNTIFS($B$2:$B$532,"Yes",$A$2:$A$532,"Cybernet",$Z$2:$Z$532,$Z525)&gt;1)),"Yes","No"),IF(AND($AL525&lt;&gt;"",LOWER(TRIM($AL525))&lt;&gt;"n/a"),IF(COUNTIFS($B$2:$B$532,"Yes",$A$2:$A$532,$A525,$AL$2:$AL$532,$AL525)&gt;1,"Yes","No"),"No"))))</f>
      </c>
      <c r="BL525">
        <f>IF($T525="","",IF((IF(AND($AW525&lt;&gt;"Yes",$AW525&lt;&gt;"N/A"),"Power Cable, ","")&amp;IF(AND($AX525&lt;&gt;"Yes",$AX525&lt;&gt;"N/A"),"Battery, ","")&amp;IF(AND($BE525&lt;&gt;"Yes",$BE525&lt;&gt;"N/A"),"Firmware Download, ","")&amp;IF(AND(OR($BE525="Yes",$BE525="N/A"),$BF525&lt;&gt;"Yes",$BF525&lt;&gt;"N/A"),"Firmware Install, ","")&amp;IF(AND($BJ525&lt;&gt;"Yes",$BJ525&lt;&gt;"N/A"),"Device ID, ","")&amp;IF(AND($BK525&lt;&gt;"Yes",$BK525&lt;&gt;"N/A"),"Epic Beans Relay, ",""))="","",LEFT(IF(AND($AW525&lt;&gt;"Yes",$AW525&lt;&gt;"N/A"),"Power Cable, ","")&amp;IF(AND($AX525&lt;&gt;"Yes",$AX525&lt;&gt;"N/A"),"Battery, ","")&amp;IF(AND($BE525&lt;&gt;"Yes",$BE525&lt;&gt;"N/A"),"Firmware Download, ","")&amp;IF(AND(OR($BE525="Yes",$BE525="N/A"),$BF525&lt;&gt;"Yes",$BF525&lt;&gt;"N/A"),"Firmware Install, ","")&amp;IF(AND($BJ525&lt;&gt;"Yes",$BJ525&lt;&gt;"N/A"),"Device ID, ","")&amp;IF(AND($BK525&lt;&gt;"Yes",$BK525&lt;&gt;"N/A"),"Epic Beans Relay, ",""),LEN(IF(AND($AW525&lt;&gt;"Yes",$AW525&lt;&gt;"N/A"),"Power Cable, ","")&amp;IF(AND($AX525&lt;&gt;"Yes",$AX525&lt;&gt;"N/A"),"Battery, ","")&amp;IF(AND($BE525&lt;&gt;"Yes",$BE525&lt;&gt;"N/A"),"Firmware Download, ","")&amp;IF(AND(OR($BE525="Yes",$BE525="N/A"),$BF525&lt;&gt;"Yes",$BF525&lt;&gt;"N/A"),"Firmware Install, ","")&amp;IF(AND($BJ525&lt;&gt;"Yes",$BJ525&lt;&gt;"N/A"),"Device ID, ","")&amp;IF(AND($BK525&lt;&gt;"Yes",$BK525&lt;&gt;"N/A"),"Epic Beans Relay, ",""))-2)))</f>
      </c>
      <c r="BM525">
        <f>IF($T525="","",IF($BL525="","Yes","Blocked"))</f>
      </c>
    </row>
    <row r="526">
      <c r="D526">
        <f>IF($B526&lt;&gt;"Yes","",IF($C526="No","Yes",IF($C526="Yes","No","")))</f>
      </c>
      <c r="E526">
        <f>IF($A526="","",IF($A526="Neuron",IF(OR(AND($S526&lt;&gt;"",LOWER(TRIM($S526))&lt;&gt;"n/a",COUNTIF($S$2:$S$532,$S526)&gt;1),AND($T526&lt;&gt;"",LOWER(TRIM($T526))&lt;&gt;"n/a",COUNTIF($T$2:$T$532,$T526)&gt;1),AND($W526&lt;&gt;"",LOWER(TRIM($W526))&lt;&gt;"n/a",COUNTIF($W$2:$W$532,$W526)&gt;1)),"Yes","No"),IF($A526="Cybernet",IF(OR(AND($Y526&lt;&gt;"",LOWER(TRIM($Y526))&lt;&gt;"n/a",COUNTIF($Y$2:$Y$532,$Y526)&gt;1),AND($Z526&lt;&gt;"",LOWER(TRIM($Z526))&lt;&gt;"n/a",COUNTIF($Z$2:$Z$532,$Z526)&gt;1)),"Yes","No"),IF(AND($AL526&lt;&gt;"",LOWER(TRIM($AL526))&lt;&gt;"n/a",COUNTIF($AL$2:$AL$532,$AL526)&gt;1),"Yes","No"))))</f>
      </c>
      <c r="F526">
        <f>IF($B526&lt;&gt;"Yes","",IF($A526="Neuron",IF(OR(AND($S526&lt;&gt;"",LOWER(TRIM($S526))&lt;&gt;"n/a",COUNTIFS($B$2:$B$532,"Yes",$A$2:$A$532,"Neuron",$S$2:$S$532,$S526)&gt;1),AND($T526&lt;&gt;"",LOWER(TRIM($T526))&lt;&gt;"n/a",COUNTIFS($B$2:$B$532,"Yes",$A$2:$A$532,"Neuron",$T$2:$T$532,$T526)&gt;1),AND($W526&lt;&gt;"",LOWER(TRIM($W526))&lt;&gt;"n/a",COUNTIFS($B$2:$B$532,"Yes",$A$2:$A$532,"Neuron",$W$2:$W$532,$W526)&gt;1)),"Yes","No"),IF($A526="Cybernet",IF(OR(AND($Y526&lt;&gt;"",LOWER(TRIM($Y526))&lt;&gt;"n/a",COUNTIFS($B$2:$B$532,"Yes",$A$2:$A$532,"Cybernet",$Y$2:$Y$532,$Y526)&gt;1),AND($Z526&lt;&gt;"",LOWER(TRIM($Z526))&lt;&gt;"n/a",COUNTIFS($B$2:$B$532,"Yes",$A$2:$A$532,"Cybernet",$Z$2:$Z$532,$Z526)&gt;1)),"Yes","No"),IF(AND($AL526&lt;&gt;"",LOWER(TRIM($AL526))&lt;&gt;"n/a"),IF(COUNTIFS($B$2:$B$532,"Yes",$A$2:$A$532,$A526,$AL$2:$AL$532,$AL526)&gt;1,"Yes","No"),"No"))))</f>
      </c>
      <c r="BL526">
        <f>IF($T526="","",IF((IF(AND($AW526&lt;&gt;"Yes",$AW526&lt;&gt;"N/A"),"Power Cable, ","")&amp;IF(AND($AX526&lt;&gt;"Yes",$AX526&lt;&gt;"N/A"),"Battery, ","")&amp;IF(AND($BE526&lt;&gt;"Yes",$BE526&lt;&gt;"N/A"),"Firmware Download, ","")&amp;IF(AND(OR($BE526="Yes",$BE526="N/A"),$BF526&lt;&gt;"Yes",$BF526&lt;&gt;"N/A"),"Firmware Install, ","")&amp;IF(AND($BJ526&lt;&gt;"Yes",$BJ526&lt;&gt;"N/A"),"Device ID, ","")&amp;IF(AND($BK526&lt;&gt;"Yes",$BK526&lt;&gt;"N/A"),"Epic Beans Relay, ",""))="","",LEFT(IF(AND($AW526&lt;&gt;"Yes",$AW526&lt;&gt;"N/A"),"Power Cable, ","")&amp;IF(AND($AX526&lt;&gt;"Yes",$AX526&lt;&gt;"N/A"),"Battery, ","")&amp;IF(AND($BE526&lt;&gt;"Yes",$BE526&lt;&gt;"N/A"),"Firmware Download, ","")&amp;IF(AND(OR($BE526="Yes",$BE526="N/A"),$BF526&lt;&gt;"Yes",$BF526&lt;&gt;"N/A"),"Firmware Install, ","")&amp;IF(AND($BJ526&lt;&gt;"Yes",$BJ526&lt;&gt;"N/A"),"Device ID, ","")&amp;IF(AND($BK526&lt;&gt;"Yes",$BK526&lt;&gt;"N/A"),"Epic Beans Relay, ",""),LEN(IF(AND($AW526&lt;&gt;"Yes",$AW526&lt;&gt;"N/A"),"Power Cable, ","")&amp;IF(AND($AX526&lt;&gt;"Yes",$AX526&lt;&gt;"N/A"),"Battery, ","")&amp;IF(AND($BE526&lt;&gt;"Yes",$BE526&lt;&gt;"N/A"),"Firmware Download, ","")&amp;IF(AND(OR($BE526="Yes",$BE526="N/A"),$BF526&lt;&gt;"Yes",$BF526&lt;&gt;"N/A"),"Firmware Install, ","")&amp;IF(AND($BJ526&lt;&gt;"Yes",$BJ526&lt;&gt;"N/A"),"Device ID, ","")&amp;IF(AND($BK526&lt;&gt;"Yes",$BK526&lt;&gt;"N/A"),"Epic Beans Relay, ",""))-2)))</f>
      </c>
      <c r="BM526">
        <f>IF($T526="","",IF($BL526="","Yes","Blocked"))</f>
      </c>
    </row>
    <row r="527">
      <c r="D527">
        <f>IF($B527&lt;&gt;"Yes","",IF($C527="No","Yes",IF($C527="Yes","No","")))</f>
      </c>
      <c r="E527">
        <f>IF($A527="","",IF($A527="Neuron",IF(OR(AND($S527&lt;&gt;"",LOWER(TRIM($S527))&lt;&gt;"n/a",COUNTIF($S$2:$S$532,$S527)&gt;1),AND($T527&lt;&gt;"",LOWER(TRIM($T527))&lt;&gt;"n/a",COUNTIF($T$2:$T$532,$T527)&gt;1),AND($W527&lt;&gt;"",LOWER(TRIM($W527))&lt;&gt;"n/a",COUNTIF($W$2:$W$532,$W527)&gt;1)),"Yes","No"),IF($A527="Cybernet",IF(OR(AND($Y527&lt;&gt;"",LOWER(TRIM($Y527))&lt;&gt;"n/a",COUNTIF($Y$2:$Y$532,$Y527)&gt;1),AND($Z527&lt;&gt;"",LOWER(TRIM($Z527))&lt;&gt;"n/a",COUNTIF($Z$2:$Z$532,$Z527)&gt;1)),"Yes","No"),IF(AND($AL527&lt;&gt;"",LOWER(TRIM($AL527))&lt;&gt;"n/a",COUNTIF($AL$2:$AL$532,$AL527)&gt;1),"Yes","No"))))</f>
      </c>
      <c r="F527">
        <f>IF($B527&lt;&gt;"Yes","",IF($A527="Neuron",IF(OR(AND($S527&lt;&gt;"",LOWER(TRIM($S527))&lt;&gt;"n/a",COUNTIFS($B$2:$B$532,"Yes",$A$2:$A$532,"Neuron",$S$2:$S$532,$S527)&gt;1),AND($T527&lt;&gt;"",LOWER(TRIM($T527))&lt;&gt;"n/a",COUNTIFS($B$2:$B$532,"Yes",$A$2:$A$532,"Neuron",$T$2:$T$532,$T527)&gt;1),AND($W527&lt;&gt;"",LOWER(TRIM($W527))&lt;&gt;"n/a",COUNTIFS($B$2:$B$532,"Yes",$A$2:$A$532,"Neuron",$W$2:$W$532,$W527)&gt;1)),"Yes","No"),IF($A527="Cybernet",IF(OR(AND($Y527&lt;&gt;"",LOWER(TRIM($Y527))&lt;&gt;"n/a",COUNTIFS($B$2:$B$532,"Yes",$A$2:$A$532,"Cybernet",$Y$2:$Y$532,$Y527)&gt;1),AND($Z527&lt;&gt;"",LOWER(TRIM($Z527))&lt;&gt;"n/a",COUNTIFS($B$2:$B$532,"Yes",$A$2:$A$532,"Cybernet",$Z$2:$Z$532,$Z527)&gt;1)),"Yes","No"),IF(AND($AL527&lt;&gt;"",LOWER(TRIM($AL527))&lt;&gt;"n/a"),IF(COUNTIFS($B$2:$B$532,"Yes",$A$2:$A$532,$A527,$AL$2:$AL$532,$AL527)&gt;1,"Yes","No"),"No"))))</f>
      </c>
      <c r="BM527">
        <f>IF($T527="","",IF($BL527="","Yes","Blocked"))</f>
      </c>
    </row>
    <row r="528">
      <c r="D528">
        <f>IF($B528&lt;&gt;"Yes","",IF($C528="No","Yes",IF($C528="Yes","No","")))</f>
      </c>
      <c r="E528">
        <f>IF($A528="","",IF($A528="Neuron",IF(OR(AND($S528&lt;&gt;"",LOWER(TRIM($S528))&lt;&gt;"n/a",COUNTIF($S$2:$S$532,$S528)&gt;1),AND($T528&lt;&gt;"",LOWER(TRIM($T528))&lt;&gt;"n/a",COUNTIF($T$2:$T$532,$T528)&gt;1),AND($W528&lt;&gt;"",LOWER(TRIM($W528))&lt;&gt;"n/a",COUNTIF($W$2:$W$532,$W528)&gt;1)),"Yes","No"),IF($A528="Cybernet",IF(OR(AND($Y528&lt;&gt;"",LOWER(TRIM($Y528))&lt;&gt;"n/a",COUNTIF($Y$2:$Y$532,$Y528)&gt;1),AND($Z528&lt;&gt;"",LOWER(TRIM($Z528))&lt;&gt;"n/a",COUNTIF($Z$2:$Z$532,$Z528)&gt;1)),"Yes","No"),IF(AND($AL528&lt;&gt;"",LOWER(TRIM($AL528))&lt;&gt;"n/a",COUNTIF($AL$2:$AL$532,$AL528)&gt;1),"Yes","No"))))</f>
      </c>
      <c r="F528">
        <f>IF($B528&lt;&gt;"Yes","",IF($A528="Neuron",IF(OR(AND($S528&lt;&gt;"",LOWER(TRIM($S528))&lt;&gt;"n/a",COUNTIFS($B$2:$B$532,"Yes",$A$2:$A$532,"Neuron",$S$2:$S$532,$S528)&gt;1),AND($T528&lt;&gt;"",LOWER(TRIM($T528))&lt;&gt;"n/a",COUNTIFS($B$2:$B$532,"Yes",$A$2:$A$532,"Neuron",$T$2:$T$532,$T528)&gt;1),AND($W528&lt;&gt;"",LOWER(TRIM($W528))&lt;&gt;"n/a",COUNTIFS($B$2:$B$532,"Yes",$A$2:$A$532,"Neuron",$W$2:$W$532,$W528)&gt;1)),"Yes","No"),IF($A528="Cybernet",IF(OR(AND($Y528&lt;&gt;"",LOWER(TRIM($Y528))&lt;&gt;"n/a",COUNTIFS($B$2:$B$532,"Yes",$A$2:$A$532,"Cybernet",$Y$2:$Y$532,$Y528)&gt;1),AND($Z528&lt;&gt;"",LOWER(TRIM($Z528))&lt;&gt;"n/a",COUNTIFS($B$2:$B$532,"Yes",$A$2:$A$532,"Cybernet",$Z$2:$Z$532,$Z528)&gt;1)),"Yes","No"),IF(AND($AL528&lt;&gt;"",LOWER(TRIM($AL528))&lt;&gt;"n/a"),IF(COUNTIFS($B$2:$B$532,"Yes",$A$2:$A$532,$A528,$AL$2:$AL$532,$AL528)&gt;1,"Yes","No"),"No"))))</f>
      </c>
      <c r="BM528">
        <f>IF($T528="","",IF($BL528="","Yes","Blocked"))</f>
      </c>
    </row>
    <row r="529">
      <c r="D529">
        <f>IF($B529&lt;&gt;"Yes","",IF($C529="No","Yes",IF($C529="Yes","No","")))</f>
      </c>
      <c r="E529">
        <f>IF($A529="","",IF($A529="Neuron",IF(OR(AND($S529&lt;&gt;"",LOWER(TRIM($S529))&lt;&gt;"n/a",COUNTIF($S$2:$S$532,$S529)&gt;1),AND($T529&lt;&gt;"",LOWER(TRIM($T529))&lt;&gt;"n/a",COUNTIF($T$2:$T$532,$T529)&gt;1),AND($W529&lt;&gt;"",LOWER(TRIM($W529))&lt;&gt;"n/a",COUNTIF($W$2:$W$532,$W529)&gt;1)),"Yes","No"),IF($A529="Cybernet",IF(OR(AND($Y529&lt;&gt;"",LOWER(TRIM($Y529))&lt;&gt;"n/a",COUNTIF($Y$2:$Y$532,$Y529)&gt;1),AND($Z529&lt;&gt;"",LOWER(TRIM($Z529))&lt;&gt;"n/a",COUNTIF($Z$2:$Z$532,$Z529)&gt;1)),"Yes","No"),IF(AND($AL529&lt;&gt;"",LOWER(TRIM($AL529))&lt;&gt;"n/a",COUNTIF($AL$2:$AL$532,$AL529)&gt;1),"Yes","No"))))</f>
      </c>
      <c r="F529">
        <f>IF($B529&lt;&gt;"Yes","",IF($A529="Neuron",IF(OR(AND($S529&lt;&gt;"",LOWER(TRIM($S529))&lt;&gt;"n/a",COUNTIFS($B$2:$B$532,"Yes",$A$2:$A$532,"Neuron",$S$2:$S$532,$S529)&gt;1),AND($T529&lt;&gt;"",LOWER(TRIM($T529))&lt;&gt;"n/a",COUNTIFS($B$2:$B$532,"Yes",$A$2:$A$532,"Neuron",$T$2:$T$532,$T529)&gt;1),AND($W529&lt;&gt;"",LOWER(TRIM($W529))&lt;&gt;"n/a",COUNTIFS($B$2:$B$532,"Yes",$A$2:$A$532,"Neuron",$W$2:$W$532,$W529)&gt;1)),"Yes","No"),IF($A529="Cybernet",IF(OR(AND($Y529&lt;&gt;"",LOWER(TRIM($Y529))&lt;&gt;"n/a",COUNTIFS($B$2:$B$532,"Yes",$A$2:$A$532,"Cybernet",$Y$2:$Y$532,$Y529)&gt;1),AND($Z529&lt;&gt;"",LOWER(TRIM($Z529))&lt;&gt;"n/a",COUNTIFS($B$2:$B$532,"Yes",$A$2:$A$532,"Cybernet",$Z$2:$Z$532,$Z529)&gt;1)),"Yes","No"),IF(AND($AL529&lt;&gt;"",LOWER(TRIM($AL529))&lt;&gt;"n/a"),IF(COUNTIFS($B$2:$B$532,"Yes",$A$2:$A$532,$A529,$AL$2:$AL$532,$AL529)&gt;1,"Yes","No"),"No"))))</f>
      </c>
      <c r="BM529">
        <f>IF($T529="","",IF($BL529="","Yes","Blocked"))</f>
      </c>
    </row>
    <row r="530">
      <c r="D530">
        <f>IF($B530&lt;&gt;"Yes","",IF($C530="No","Yes",IF($C530="Yes","No","")))</f>
      </c>
      <c r="E530">
        <f>IF($A530="","",IF($A530="Neuron",IF(OR(AND($S530&lt;&gt;"",LOWER(TRIM($S530))&lt;&gt;"n/a",COUNTIF($S$2:$S$532,$S530)&gt;1),AND($T530&lt;&gt;"",LOWER(TRIM($T530))&lt;&gt;"n/a",COUNTIF($T$2:$T$532,$T530)&gt;1),AND($W530&lt;&gt;"",LOWER(TRIM($W530))&lt;&gt;"n/a",COUNTIF($W$2:$W$532,$W530)&gt;1)),"Yes","No"),IF($A530="Cybernet",IF(OR(AND($Y530&lt;&gt;"",LOWER(TRIM($Y530))&lt;&gt;"n/a",COUNTIF($Y$2:$Y$532,$Y530)&gt;1),AND($Z530&lt;&gt;"",LOWER(TRIM($Z530))&lt;&gt;"n/a",COUNTIF($Z$2:$Z$532,$Z530)&gt;1)),"Yes","No"),IF(AND($AL530&lt;&gt;"",LOWER(TRIM($AL530))&lt;&gt;"n/a",COUNTIF($AL$2:$AL$532,$AL530)&gt;1),"Yes","No"))))</f>
      </c>
      <c r="F530">
        <f>IF($B530&lt;&gt;"Yes","",IF($A530="Neuron",IF(OR(AND($S530&lt;&gt;"",LOWER(TRIM($S530))&lt;&gt;"n/a",COUNTIFS($B$2:$B$532,"Yes",$A$2:$A$532,"Neuron",$S$2:$S$532,$S530)&gt;1),AND($T530&lt;&gt;"",LOWER(TRIM($T530))&lt;&gt;"n/a",COUNTIFS($B$2:$B$532,"Yes",$A$2:$A$532,"Neuron",$T$2:$T$532,$T530)&gt;1),AND($W530&lt;&gt;"",LOWER(TRIM($W530))&lt;&gt;"n/a",COUNTIFS($B$2:$B$532,"Yes",$A$2:$A$532,"Neuron",$W$2:$W$532,$W530)&gt;1)),"Yes","No"),IF($A530="Cybernet",IF(OR(AND($Y530&lt;&gt;"",LOWER(TRIM($Y530))&lt;&gt;"n/a",COUNTIFS($B$2:$B$532,"Yes",$A$2:$A$532,"Cybernet",$Y$2:$Y$532,$Y530)&gt;1),AND($Z530&lt;&gt;"",LOWER(TRIM($Z530))&lt;&gt;"n/a",COUNTIFS($B$2:$B$532,"Yes",$A$2:$A$532,"Cybernet",$Z$2:$Z$532,$Z530)&gt;1)),"Yes","No"),IF(AND($AL530&lt;&gt;"",LOWER(TRIM($AL530))&lt;&gt;"n/a"),IF(COUNTIFS($B$2:$B$532,"Yes",$A$2:$A$532,$A530,$AL$2:$AL$532,$AL530)&gt;1,"Yes","No"),"No"))))</f>
      </c>
      <c r="BM530">
        <f>IF($T530="","",IF($BL530="","Yes","Blocked"))</f>
      </c>
    </row>
    <row r="531">
      <c r="A531" t="s">
        <v>1331</v>
      </c>
      <c r="B531" t="s">
        <v>1727</v>
      </c>
      <c r="C531" t="s">
        <v>1727</v>
      </c>
      <c r="D531">
        <f>IF($B531&lt;&gt;"Yes","",IF($C531="No","Yes",IF($C531="Yes","No","")))</f>
      </c>
      <c r="E531">
        <f>IF($A531="","",IF($A531="Neuron",IF(OR(AND($S531&lt;&gt;"",LOWER(TRIM($S531))&lt;&gt;"n/a",COUNTIF($S$2:$S$532,$S531)&gt;1),AND($T531&lt;&gt;"",LOWER(TRIM($T531))&lt;&gt;"n/a",COUNTIF($T$2:$T$532,$T531)&gt;1),AND($W531&lt;&gt;"",LOWER(TRIM($W531))&lt;&gt;"n/a",COUNTIF($W$2:$W$532,$W531)&gt;1)),"Yes","No"),IF($A531="Cybernet",IF(OR(AND($Y531&lt;&gt;"",LOWER(TRIM($Y531))&lt;&gt;"n/a",COUNTIF($Y$2:$Y$532,$Y531)&gt;1),AND($Z531&lt;&gt;"",LOWER(TRIM($Z531))&lt;&gt;"n/a",COUNTIF($Z$2:$Z$532,$Z531)&gt;1)),"Yes","No"),IF(AND($AL531&lt;&gt;"",LOWER(TRIM($AL531))&lt;&gt;"n/a",COUNTIF($AL$2:$AL$532,$AL531)&gt;1),"Yes","No"))))</f>
      </c>
      <c r="F531">
        <f>IF($B531&lt;&gt;"Yes","",IF($A531="Neuron",IF(OR(AND($S531&lt;&gt;"",LOWER(TRIM($S531))&lt;&gt;"n/a",COUNTIFS($B$2:$B$532,"Yes",$A$2:$A$532,"Neuron",$S$2:$S$532,$S531)&gt;1),AND($T531&lt;&gt;"",LOWER(TRIM($T531))&lt;&gt;"n/a",COUNTIFS($B$2:$B$532,"Yes",$A$2:$A$532,"Neuron",$T$2:$T$532,$T531)&gt;1),AND($W531&lt;&gt;"",LOWER(TRIM($W531))&lt;&gt;"n/a",COUNTIFS($B$2:$B$532,"Yes",$A$2:$A$532,"Neuron",$W$2:$W$532,$W531)&gt;1)),"Yes","No"),IF($A531="Cybernet",IF(OR(AND($Y531&lt;&gt;"",LOWER(TRIM($Y531))&lt;&gt;"n/a",COUNTIFS($B$2:$B$532,"Yes",$A$2:$A$532,"Cybernet",$Y$2:$Y$532,$Y531)&gt;1),AND($Z531&lt;&gt;"",LOWER(TRIM($Z531))&lt;&gt;"n/a",COUNTIFS($B$2:$B$532,"Yes",$A$2:$A$532,"Cybernet",$Z$2:$Z$532,$Z531)&gt;1)),"Yes","No"),IF(AND($AL531&lt;&gt;"",LOWER(TRIM($AL531))&lt;&gt;"n/a"),IF(COUNTIFS($B$2:$B$532,"Yes",$A$2:$A$532,$A531,$AL$2:$AL$532,$AL531)&gt;1,"Yes","No"),"No"))))</f>
      </c>
      <c r="S531" t="s">
        <v>2056</v>
      </c>
      <c r="BM531">
        <f>IF($T531="","",IF($BL531="","Yes","Blocked"))</f>
      </c>
    </row>
    <row r="532">
      <c r="A532" t="s">
        <v>1331</v>
      </c>
      <c r="B532" t="s">
        <v>1727</v>
      </c>
      <c r="C532" t="s">
        <v>1727</v>
      </c>
      <c r="E532">
        <f>IF($A532="","",IF($A532="Neuron",IF(OR(AND($S532&lt;&gt;"",LOWER(TRIM($S532))&lt;&gt;"n/a",COUNTIF($S$2:$S$532,$S532)&gt;1),AND($T532&lt;&gt;"",LOWER(TRIM($T532))&lt;&gt;"n/a",COUNTIF($T$2:$T$532,$T532)&gt;1),AND($W532&lt;&gt;"",LOWER(TRIM($W532))&lt;&gt;"n/a",COUNTIF($W$2:$W$532,$W532)&gt;1)),"Yes","No"),IF($A532="Cybernet",IF(OR(AND($Y532&lt;&gt;"",LOWER(TRIM($Y532))&lt;&gt;"n/a",COUNTIF($Y$2:$Y$532,$Y532)&gt;1),AND($Z532&lt;&gt;"",LOWER(TRIM($Z532))&lt;&gt;"n/a",COUNTIF($Z$2:$Z$532,$Z532)&gt;1)),"Yes","No"),IF(AND($AL532&lt;&gt;"",LOWER(TRIM($AL532))&lt;&gt;"n/a",COUNTIF($AL$2:$AL$532,$AL532)&gt;1),"Yes","No"))))</f>
      </c>
      <c r="F532">
        <f>IF($B532&lt;&gt;"Yes","",IF($A532="Neuron",IF(OR(AND($S532&lt;&gt;"",LOWER(TRIM($S532))&lt;&gt;"n/a",COUNTIFS($B$2:$B$532,"Yes",$A$2:$A$532,"Neuron",$S$2:$S$532,$S532)&gt;1),AND($T532&lt;&gt;"",LOWER(TRIM($T532))&lt;&gt;"n/a",COUNTIFS($B$2:$B$532,"Yes",$A$2:$A$532,"Neuron",$T$2:$T$532,$T532)&gt;1),AND($W532&lt;&gt;"",LOWER(TRIM($W532))&lt;&gt;"n/a",COUNTIFS($B$2:$B$532,"Yes",$A$2:$A$532,"Neuron",$W$2:$W$532,$W532)&gt;1)),"Yes","No"),IF($A532="Cybernet",IF(OR(AND($Y532&lt;&gt;"",LOWER(TRIM($Y532))&lt;&gt;"n/a",COUNTIFS($B$2:$B$532,"Yes",$A$2:$A$532,"Cybernet",$Y$2:$Y$532,$Y532)&gt;1),AND($Z532&lt;&gt;"",LOWER(TRIM($Z532))&lt;&gt;"n/a",COUNTIFS($B$2:$B$532,"Yes",$A$2:$A$532,"Cybernet",$Z$2:$Z$532,$Z532)&gt;1)),"Yes","No"),IF(AND($AL532&lt;&gt;"",LOWER(TRIM($AL532))&lt;&gt;"n/a"),IF(COUNTIFS($B$2:$B$532,"Yes",$A$2:$A$532,$A532,$AL$2:$AL$532,$AL532)&gt;1,"Yes","No"),"No"))))</f>
      </c>
      <c r="S532" t="s">
        <v>2056</v>
      </c>
      <c r="BL532">
        <f>IF($T532="","",IF((IF(AND($AW532&lt;&gt;"Yes",$AW532&lt;&gt;"N/A"),"Power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</c>
      <c r="BM532">
        <f>IF($T532="","",IF($BL532="","Yes","Blocked"))</f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1353</v>
      </c>
      <c r="B1" s="19" t="s">
        <v>1354</v>
      </c>
      <c r="C1" s="19" t="s">
        <v>1355</v>
      </c>
      <c r="D1" s="19" t="s">
        <v>1356</v>
      </c>
      <c r="E1" s="19" t="s">
        <v>1357</v>
      </c>
      <c r="F1" s="19" t="s">
        <v>1358</v>
      </c>
      <c r="G1" s="19" t="s">
        <v>1359</v>
      </c>
      <c r="H1" s="19" t="s">
        <v>1360</v>
      </c>
      <c r="I1" s="19" t="s">
        <v>1361</v>
      </c>
    </row>
    <row r="2" spans="1:9">
      <c r="A2" t="s">
        <v>1362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9</v>
      </c>
      <c r="G2" t="s">
        <v>1363</v>
      </c>
      <c r="H2" s="17" t="s">
        <v>1364</v>
      </c>
    </row>
    <row r="3" spans="1:9">
      <c r="A3" t="s">
        <v>1365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-12</v>
      </c>
      <c r="G3" t="s">
        <v>1366</v>
      </c>
      <c r="H3" t="s">
        <v>1367</v>
      </c>
    </row>
    <row r="4" spans="1:9">
      <c r="A4" t="s">
        <v>1368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2</v>
      </c>
      <c r="G4" t="s">
        <v>1369</v>
      </c>
      <c r="H4" s="17" t="s">
        <v>1370</v>
      </c>
      <c r="I4" t="s">
        <v>1371</v>
      </c>
    </row>
    <row r="5" spans="1:9">
      <c r="A5" t="s">
        <v>1372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-5</v>
      </c>
      <c r="G5" t="s">
        <v>1373</v>
      </c>
      <c r="H5" s="17" t="s">
        <v>1370</v>
      </c>
      <c r="I5" t="s">
        <v>1374</v>
      </c>
    </row>
    <row r="6" spans="1:9">
      <c r="A6" t="s">
        <v>1375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2</v>
      </c>
      <c r="G6" t="s">
        <v>1376</v>
      </c>
      <c r="H6" s="17" t="s">
        <v>1370</v>
      </c>
    </row>
    <row r="7" spans="1:9">
      <c r="A7" t="s">
        <v>1377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9</v>
      </c>
      <c r="G7" t="s">
        <v>1378</v>
      </c>
    </row>
    <row r="8" spans="1:9">
      <c r="A8" t="s">
        <v>1379</v>
      </c>
      <c r="B8">
        <v>3</v>
      </c>
      <c r="C8">
        <v>0</v>
      </c>
      <c r="D8" s="54">
        <f t="shared" si="0"/>
        <v>0</v>
      </c>
      <c r="E8" t="s">
        <v>1380</v>
      </c>
      <c r="F8" t="e">
        <f t="shared" ca="1" si="1"/>
        <v>#VALUE!</v>
      </c>
      <c r="G8" t="s">
        <v>1381</v>
      </c>
    </row>
    <row r="9" spans="1:9">
      <c r="A9" t="s">
        <v>1382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23</v>
      </c>
      <c r="G9" t="s">
        <v>1383</v>
      </c>
    </row>
    <row r="10" spans="1:9">
      <c r="A10" t="s">
        <v>1384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24</v>
      </c>
      <c r="G10" t="s">
        <v>1383</v>
      </c>
    </row>
    <row r="11" spans="1:9">
      <c r="A11" t="s">
        <v>1385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16</v>
      </c>
      <c r="G11" t="s">
        <v>1383</v>
      </c>
    </row>
    <row r="12" spans="1:9">
      <c r="A12" t="s">
        <v>1386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30</v>
      </c>
      <c r="G12" t="s">
        <v>1383</v>
      </c>
    </row>
    <row r="13" spans="1:9">
      <c r="A13" t="s">
        <v>1387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37</v>
      </c>
      <c r="G13" t="s">
        <v>1383</v>
      </c>
    </row>
    <row r="14" spans="1:9">
      <c r="A14" t="s">
        <v>1388</v>
      </c>
      <c r="B14">
        <v>6</v>
      </c>
      <c r="C14">
        <v>0</v>
      </c>
      <c r="D14" s="54">
        <f t="shared" si="0"/>
        <v>0</v>
      </c>
      <c r="E14" t="s">
        <v>1380</v>
      </c>
      <c r="F14" t="e">
        <f t="shared" ca="1" si="1"/>
        <v>#VALUE!</v>
      </c>
      <c r="G14" t="s">
        <v>1383</v>
      </c>
    </row>
    <row r="15" spans="1:9">
      <c r="A15" s="18" t="s">
        <v>1389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1390</v>
      </c>
      <c r="B1" s="41" t="s">
        <v>1391</v>
      </c>
      <c r="C1" s="41" t="s">
        <v>1392</v>
      </c>
      <c r="D1" s="41" t="s">
        <v>1393</v>
      </c>
      <c r="E1" s="41" t="s">
        <v>1394</v>
      </c>
      <c r="F1" s="41" t="s">
        <v>1395</v>
      </c>
      <c r="G1" s="41" t="s">
        <v>1396</v>
      </c>
      <c r="H1" s="41" t="s">
        <v>1</v>
      </c>
      <c r="I1" s="41" t="s">
        <v>1397</v>
      </c>
      <c r="J1" s="41" t="s">
        <v>1398</v>
      </c>
      <c r="K1" s="41" t="s">
        <v>1399</v>
      </c>
      <c r="L1" s="41" t="s">
        <v>1400</v>
      </c>
      <c r="M1" s="41" t="s">
        <v>1401</v>
      </c>
      <c r="N1" s="41" t="s">
        <v>1402</v>
      </c>
      <c r="O1" s="41" t="s">
        <v>1403</v>
      </c>
      <c r="P1" s="41" t="s">
        <v>1404</v>
      </c>
      <c r="Q1" s="41" t="s">
        <v>1405</v>
      </c>
      <c r="R1" s="41" t="s">
        <v>1406</v>
      </c>
      <c r="S1" s="41" t="s">
        <v>1407</v>
      </c>
      <c r="T1" s="41" t="s">
        <v>1408</v>
      </c>
      <c r="U1" s="41" t="s">
        <v>1409</v>
      </c>
      <c r="V1" s="41" t="s">
        <v>1410</v>
      </c>
      <c r="W1" s="41" t="s">
        <v>1411</v>
      </c>
      <c r="X1" s="41" t="s">
        <v>1412</v>
      </c>
      <c r="Y1" s="41" t="s">
        <v>189</v>
      </c>
      <c r="Z1" s="41" t="s">
        <v>1413</v>
      </c>
      <c r="AA1" s="41" t="s">
        <v>1414</v>
      </c>
    </row>
    <row r="2" spans="1:29" ht="45.75" customHeight="1">
      <c r="A2" s="22"/>
      <c r="B2" s="22"/>
      <c r="C2" s="21" t="str">
        <f>IF('12 - Device_Configuration'!H2="","",'12 - Device_Configuration'!H2)</f>
        <v>LIJ SDF</v>
      </c>
      <c r="D2" s="21" t="str">
        <f>IF('12 - Device_Configuration'!AE2="","",'12 - Device_Configuration'!AE2)</f>
        <v>Ground Level/Dialysis</v>
      </c>
      <c r="E2" s="21" t="str">
        <f>IF('12 - Device_Configuration'!AF2="","",'12 - Device_Configuration'!AF2)</f>
        <v>Open Patient Area</v>
      </c>
      <c r="F2" s="21">
        <f>IF('12 - Device_Configuration'!AG2="","",'12 - Device_Configuration'!AG2)</f>
        <v>1</v>
      </c>
      <c r="G2" s="21" t="str">
        <f>IF('12 - Device_Configuration'!AH2="","",'12 - Device_Configuration'!AH2)</f>
        <v>BSM 051 A</v>
      </c>
      <c r="H2" s="21" t="str">
        <f>IF('12 - Device_Configuration'!A2="","",'12 - Device_Configuration'!A2)</f>
        <v>Neuron</v>
      </c>
      <c r="I2" s="21" t="str">
        <f>IF('12 - Device_Configuration'!AI2="","",'12 - Device_Configuration'!AI2)</f>
        <v>Fresenius BlueStar</v>
      </c>
      <c r="J2" s="21" t="str">
        <f>IF('12 - Device_Configuration'!AJ2="","",'12 - Device_Configuration'!AJ2)</f>
        <v>2008T</v>
      </c>
      <c r="K2" s="21" t="str">
        <f>IF('12 - Device_Configuration'!AA2="","",'12 - Device_Configuration'!AA2)</f>
        <v>Dialysis Machine</v>
      </c>
      <c r="L2" s="21" t="str">
        <f>IF('12 - Device_Configuration'!I2="","",'12 - Device_Configuration'!I2)</f>
        <v>Describe the environment in which we're deploying:
For ex, input:
"
OR iPro Cybernet Workstation
"</v>
      </c>
      <c r="M2" s="22"/>
      <c r="N2" s="21" t="str">
        <f>IF('12 - Device_Configuration'!J2="","",'12 - Device_Configuration'!J2)</f>
        <v>NA</v>
      </c>
      <c r="O2" s="21" t="str">
        <f>IF('12 - Device_Configuration'!K2="","",'12 - Device_Configuration'!K2)</f>
        <v>NA</v>
      </c>
      <c r="P2" s="21" t="str">
        <f>IF('12 - Device_Configuration'!L2="","",'12 - Device_Configuration'!L2)</f>
        <v>NA</v>
      </c>
      <c r="Q2" s="22"/>
      <c r="R2" s="21" t="str">
        <f>IF('12 - Device_Configuration'!AY2="","",'12 - Device_Configuration'!AY2)</f>
        <v/>
      </c>
      <c r="S2" s="21" t="str">
        <f>IF('12 - Device_Configuration'!AX2="","",'12 - Device_Configuration'!AX2)</f>
        <v/>
      </c>
      <c r="T2" s="21" t="str">
        <f>IF('12 - Device_Configuration'!AV2="","",'12 - Device_Configuration'!AV2)</f>
        <v/>
      </c>
      <c r="U2" s="21" t="str">
        <f>IF('12 - Device_Configuration'!AW2="","",'12 - Device_Configuration'!AW2)</f>
        <v/>
      </c>
      <c r="V2" s="21" t="str">
        <f>IF('12 - Device_Configuration'!BA2="","",'12 - Device_Configuration'!BA2)</f>
        <v>Yes</v>
      </c>
      <c r="W2" s="21" t="str">
        <f>IF('12 - Device_Configuration'!BC2="","",'12 - Device_Configuration'!BC2)</f>
        <v>Firmware Installed</v>
      </c>
      <c r="X2" s="21" t="str">
        <f>IF('12 - Device_Configuration'!BK2="","",'12 - Device_Configuration'!BK2)</f>
        <v>Power Cable, Battery, Epic Beans Relay</v>
      </c>
      <c r="Y2" s="21" t="str">
        <f>IF('12 - Device_Configuration'!BB2="","",'12 - Device_Configuration'!BB2)</f>
        <v/>
      </c>
      <c r="Z2" s="21" t="str">
        <f>IF('12 - Device_Configuration'!P2="","",'12 - Device_Configuration'!P2)</f>
        <v/>
      </c>
      <c r="AA2" s="21" t="str">
        <f>IF('12 - Device_Configuration'!Q2="","",'12 - Device_Configuration'!Q2)</f>
        <v/>
      </c>
      <c r="AC2" t="s">
        <v>1415</v>
      </c>
    </row>
    <row r="3" spans="1:29" ht="45.75" customHeight="1">
      <c r="A3" s="22"/>
      <c r="B3" s="22"/>
      <c r="C3" s="21" t="str">
        <f>IF('12 - Device_Configuration'!H3="","",'12 - Device_Configuration'!H3)</f>
        <v>LIJ SDF</v>
      </c>
      <c r="D3" s="21" t="str">
        <f>IF('12 - Device_Configuration'!AE3="","",'12 - Device_Configuration'!AE3)</f>
        <v>Ground Level/Dialysis</v>
      </c>
      <c r="E3" s="21" t="str">
        <f>IF('12 - Device_Configuration'!AF3="","",'12 - Device_Configuration'!AF3)</f>
        <v>Open Patient Area</v>
      </c>
      <c r="F3" s="21">
        <f>IF('12 - Device_Configuration'!AG3="","",'12 - Device_Configuration'!AG3)</f>
        <v>2</v>
      </c>
      <c r="G3" s="21" t="str">
        <f>IF('12 - Device_Configuration'!AH3="","",'12 - Device_Configuration'!AH3)</f>
        <v xml:space="preserve">BSM 051 B </v>
      </c>
      <c r="H3" s="21" t="str">
        <f>IF('12 - Device_Configuration'!A3="","",'12 - Device_Configuration'!A3)</f>
        <v>Neuron</v>
      </c>
      <c r="I3" s="21" t="str">
        <f>IF('12 - Device_Configuration'!AI3="","",'12 - Device_Configuration'!AI3)</f>
        <v>Fresenius BlueStar</v>
      </c>
      <c r="J3" s="21" t="str">
        <f>IF('12 - Device_Configuration'!AJ3="","",'12 - Device_Configuration'!AJ3)</f>
        <v>2008T</v>
      </c>
      <c r="K3" s="21" t="str">
        <f>IF('12 - Device_Configuration'!AA3="","",'12 - Device_Configuration'!AA3)</f>
        <v>Dialysis Machine</v>
      </c>
      <c r="L3" s="21" t="str">
        <f>IF('12 - Device_Configuration'!I3="","",'12 - Device_Configuration'!I3)</f>
        <v/>
      </c>
      <c r="M3" s="22"/>
      <c r="N3" s="21" t="str">
        <f>IF('12 - Device_Configuration'!J3="","",'12 - Device_Configuration'!J3)</f>
        <v>NA</v>
      </c>
      <c r="O3" s="21" t="str">
        <f>IF('12 - Device_Configuration'!K3="","",'12 - Device_Configuration'!K3)</f>
        <v>NA</v>
      </c>
      <c r="P3" s="21" t="str">
        <f>IF('12 - Device_Configuration'!L3="","",'12 - Device_Configuration'!L3)</f>
        <v>NA</v>
      </c>
      <c r="Q3" s="22"/>
      <c r="R3" s="21" t="str">
        <f>IF('12 - Device_Configuration'!AY3="","",'12 - Device_Configuration'!AY3)</f>
        <v/>
      </c>
      <c r="S3" s="21" t="str">
        <f>IF('12 - Device_Configuration'!AX3="","",'12 - Device_Configuration'!AX3)</f>
        <v/>
      </c>
      <c r="T3" s="21" t="str">
        <f>IF('12 - Device_Configuration'!AV3="","",'12 - Device_Configuration'!AV3)</f>
        <v/>
      </c>
      <c r="U3" s="21" t="str">
        <f>IF('12 - Device_Configuration'!AW3="","",'12 - Device_Configuration'!AW3)</f>
        <v/>
      </c>
      <c r="V3" s="21" t="str">
        <f>IF('12 - Device_Configuration'!BA3="","",'12 - Device_Configuration'!BA3)</f>
        <v>Yes</v>
      </c>
      <c r="W3" s="21" t="str">
        <f>IF('12 - Device_Configuration'!BC3="","",'12 - Device_Configuration'!BC3)</f>
        <v>Firmware Installed</v>
      </c>
      <c r="X3" s="21" t="str">
        <f>IF('12 - Device_Configuration'!BK3="","",'12 - Device_Configuration'!BK3)</f>
        <v>Power Cable, Battery, Epic Beans Relay</v>
      </c>
      <c r="Y3" s="21" t="str">
        <f>IF('12 - Device_Configuration'!BB3="","",'12 - Device_Configuration'!BB3)</f>
        <v/>
      </c>
      <c r="Z3" s="21" t="str">
        <f>IF('12 - Device_Configuration'!P3="","",'12 - Device_Configuration'!P3)</f>
        <v/>
      </c>
      <c r="AA3" s="21" t="str">
        <f>IF('12 - Device_Configuration'!Q3="","",'12 - Device_Configuration'!Q3)</f>
        <v/>
      </c>
      <c r="AC3" t="s">
        <v>1331</v>
      </c>
    </row>
    <row r="4" spans="1:29" ht="45.75" customHeight="1">
      <c r="A4" s="22"/>
      <c r="B4" s="22"/>
      <c r="C4" s="21" t="str">
        <f>IF('12 - Device_Configuration'!H4="","",'12 - Device_Configuration'!H4)</f>
        <v>LIJ SDF</v>
      </c>
      <c r="D4" s="21" t="str">
        <f>IF('12 - Device_Configuration'!AE4="","",'12 - Device_Configuration'!AE4)</f>
        <v>Ground Level/Dialysis</v>
      </c>
      <c r="E4" s="21" t="str">
        <f>IF('12 - Device_Configuration'!AF4="","",'12 - Device_Configuration'!AF4)</f>
        <v>Open Patient Area</v>
      </c>
      <c r="F4" s="21">
        <f>IF('12 - Device_Configuration'!AG4="","",'12 - Device_Configuration'!AG4)</f>
        <v>3</v>
      </c>
      <c r="G4" s="21" t="str">
        <f>IF('12 - Device_Configuration'!AH4="","",'12 - Device_Configuration'!AH4)</f>
        <v>BSM 033 A</v>
      </c>
      <c r="H4" s="21" t="str">
        <f>IF('12 - Device_Configuration'!A4="","",'12 - Device_Configuration'!A4)</f>
        <v>Neuron</v>
      </c>
      <c r="I4" s="21" t="str">
        <f>IF('12 - Device_Configuration'!AI4="","",'12 - Device_Configuration'!AI4)</f>
        <v>Fresenius BlueStar</v>
      </c>
      <c r="J4" s="21" t="str">
        <f>IF('12 - Device_Configuration'!AJ4="","",'12 - Device_Configuration'!AJ4)</f>
        <v>2008T</v>
      </c>
      <c r="K4" s="21" t="str">
        <f>IF('12 - Device_Configuration'!AA4="","",'12 - Device_Configuration'!AA4)</f>
        <v>Dialysis Machine</v>
      </c>
      <c r="L4" s="21" t="str">
        <f>IF('12 - Device_Configuration'!I4="","",'12 - Device_Configuration'!I4)</f>
        <v/>
      </c>
      <c r="M4" s="22"/>
      <c r="N4" s="21" t="str">
        <f>IF('12 - Device_Configuration'!J4="","",'12 - Device_Configuration'!J4)</f>
        <v>NA</v>
      </c>
      <c r="O4" s="21" t="str">
        <f>IF('12 - Device_Configuration'!K4="","",'12 - Device_Configuration'!K4)</f>
        <v>NA</v>
      </c>
      <c r="P4" s="21" t="str">
        <f>IF('12 - Device_Configuration'!L4="","",'12 - Device_Configuration'!L4)</f>
        <v>NA</v>
      </c>
      <c r="Q4" s="22"/>
      <c r="R4" s="21" t="str">
        <f>IF('12 - Device_Configuration'!AY4="","",'12 - Device_Configuration'!AY4)</f>
        <v/>
      </c>
      <c r="S4" s="21" t="str">
        <f>IF('12 - Device_Configuration'!AX4="","",'12 - Device_Configuration'!AX4)</f>
        <v/>
      </c>
      <c r="T4" s="21" t="str">
        <f>IF('12 - Device_Configuration'!AV4="","",'12 - Device_Configuration'!AV4)</f>
        <v/>
      </c>
      <c r="U4" s="21" t="str">
        <f>IF('12 - Device_Configuration'!AW4="","",'12 - Device_Configuration'!AW4)</f>
        <v/>
      </c>
      <c r="V4" s="21" t="str">
        <f>IF('12 - Device_Configuration'!BA4="","",'12 - Device_Configuration'!BA4)</f>
        <v>Yes</v>
      </c>
      <c r="W4" s="21" t="str">
        <f>IF('12 - Device_Configuration'!BC4="","",'12 - Device_Configuration'!BC4)</f>
        <v>Firmware Installed</v>
      </c>
      <c r="X4" s="21" t="str">
        <f>IF('12 - Device_Configuration'!BK4="","",'12 - Device_Configuration'!BK4)</f>
        <v>Power Cable, Battery, Epic Beans Relay</v>
      </c>
      <c r="Y4" s="21" t="str">
        <f>IF('12 - Device_Configuration'!BB4="","",'12 - Device_Configuration'!BB4)</f>
        <v/>
      </c>
      <c r="Z4" s="21" t="str">
        <f>IF('12 - Device_Configuration'!P4="","",'12 - Device_Configuration'!P4)</f>
        <v/>
      </c>
      <c r="AA4" s="21" t="str">
        <f>IF('12 - Device_Configuration'!Q4="","",'12 - Device_Configuration'!Q4)</f>
        <v/>
      </c>
    </row>
    <row r="5" spans="1:29" ht="45.75" customHeight="1">
      <c r="A5" s="22"/>
      <c r="B5" s="22"/>
      <c r="C5" s="21" t="str">
        <f>IF('12 - Device_Configuration'!H5="","",'12 - Device_Configuration'!H5)</f>
        <v>LIJ SDF</v>
      </c>
      <c r="D5" s="21" t="str">
        <f>IF('12 - Device_Configuration'!AE5="","",'12 - Device_Configuration'!AE5)</f>
        <v>Ground Level/Dialysis</v>
      </c>
      <c r="E5" s="21" t="str">
        <f>IF('12 - Device_Configuration'!AF5="","",'12 - Device_Configuration'!AF5)</f>
        <v>Open Patient Area</v>
      </c>
      <c r="F5" s="21">
        <f>IF('12 - Device_Configuration'!AG5="","",'12 - Device_Configuration'!AG5)</f>
        <v>4</v>
      </c>
      <c r="G5" s="21" t="str">
        <f>IF('12 - Device_Configuration'!AH5="","",'12 - Device_Configuration'!AH5)</f>
        <v>BSM 033 B</v>
      </c>
      <c r="H5" s="21" t="str">
        <f>IF('12 - Device_Configuration'!A5="","",'12 - Device_Configuration'!A5)</f>
        <v>Neuron</v>
      </c>
      <c r="I5" s="21" t="str">
        <f>IF('12 - Device_Configuration'!AI5="","",'12 - Device_Configuration'!AI5)</f>
        <v>Fresenius BlueStar</v>
      </c>
      <c r="J5" s="21" t="str">
        <f>IF('12 - Device_Configuration'!AJ5="","",'12 - Device_Configuration'!AJ5)</f>
        <v>2008T</v>
      </c>
      <c r="K5" s="21" t="str">
        <f>IF('12 - Device_Configuration'!AA5="","",'12 - Device_Configuration'!AA5)</f>
        <v>Dialysis Machine</v>
      </c>
      <c r="L5" s="21" t="str">
        <f>IF('12 - Device_Configuration'!I5="","",'12 - Device_Configuration'!I5)</f>
        <v/>
      </c>
      <c r="M5" s="22"/>
      <c r="N5" s="21" t="str">
        <f>IF('12 - Device_Configuration'!J5="","",'12 - Device_Configuration'!J5)</f>
        <v>NA</v>
      </c>
      <c r="O5" s="21" t="str">
        <f>IF('12 - Device_Configuration'!K5="","",'12 - Device_Configuration'!K5)</f>
        <v>NA</v>
      </c>
      <c r="P5" s="21" t="str">
        <f>IF('12 - Device_Configuration'!L5="","",'12 - Device_Configuration'!L5)</f>
        <v>NA</v>
      </c>
      <c r="Q5" s="22"/>
      <c r="R5" s="21" t="str">
        <f>IF('12 - Device_Configuration'!AY5="","",'12 - Device_Configuration'!AY5)</f>
        <v/>
      </c>
      <c r="S5" s="21" t="str">
        <f>IF('12 - Device_Configuration'!AX5="","",'12 - Device_Configuration'!AX5)</f>
        <v/>
      </c>
      <c r="T5" s="21" t="str">
        <f>IF('12 - Device_Configuration'!AV5="","",'12 - Device_Configuration'!AV5)</f>
        <v/>
      </c>
      <c r="U5" s="21" t="str">
        <f>IF('12 - Device_Configuration'!AW5="","",'12 - Device_Configuration'!AW5)</f>
        <v/>
      </c>
      <c r="V5" s="21" t="str">
        <f>IF('12 - Device_Configuration'!BA5="","",'12 - Device_Configuration'!BA5)</f>
        <v>Yes</v>
      </c>
      <c r="W5" s="21" t="str">
        <f>IF('12 - Device_Configuration'!BC5="","",'12 - Device_Configuration'!BC5)</f>
        <v>Firmware Installed</v>
      </c>
      <c r="X5" s="21" t="str">
        <f>IF('12 - Device_Configuration'!BK5="","",'12 - Device_Configuration'!BK5)</f>
        <v>Power Cable, Battery, Epic Beans Relay</v>
      </c>
      <c r="Y5" s="21" t="str">
        <f>IF('12 - Device_Configuration'!BB5="","",'12 - Device_Configuration'!BB5)</f>
        <v/>
      </c>
      <c r="Z5" s="21" t="str">
        <f>IF('12 - Device_Configuration'!P5="","",'12 - Device_Configuration'!P5)</f>
        <v/>
      </c>
      <c r="AA5" s="21" t="str">
        <f>IF('12 - Device_Configuration'!Q5="","",'12 - Device_Configuration'!Q5)</f>
        <v/>
      </c>
    </row>
    <row r="6" spans="1:29" ht="45.75" customHeight="1">
      <c r="A6" s="22"/>
      <c r="B6" s="22"/>
      <c r="C6" s="21" t="str">
        <f>IF('12 - Device_Configuration'!H6="","",'12 - Device_Configuration'!H6)</f>
        <v>LIJ SDF</v>
      </c>
      <c r="D6" s="21" t="str">
        <f>IF('12 - Device_Configuration'!AE6="","",'12 - Device_Configuration'!AE6)</f>
        <v>Ground Level/Dialysis</v>
      </c>
      <c r="E6" s="21" t="str">
        <f>IF('12 - Device_Configuration'!AF6="","",'12 - Device_Configuration'!AF6)</f>
        <v>Open Patient Area</v>
      </c>
      <c r="F6" s="21">
        <f>IF('12 - Device_Configuration'!AG6="","",'12 - Device_Configuration'!AG6)</f>
        <v>5</v>
      </c>
      <c r="G6" s="21" t="str">
        <f>IF('12 - Device_Configuration'!AH6="","",'12 - Device_Configuration'!AH6)</f>
        <v>BSM 034 A</v>
      </c>
      <c r="H6" s="21" t="str">
        <f>IF('12 - Device_Configuration'!A6="","",'12 - Device_Configuration'!A6)</f>
        <v>Neuron</v>
      </c>
      <c r="I6" s="21" t="str">
        <f>IF('12 - Device_Configuration'!AI6="","",'12 - Device_Configuration'!AI6)</f>
        <v>Fresenius BlueStar</v>
      </c>
      <c r="J6" s="21" t="str">
        <f>IF('12 - Device_Configuration'!AJ6="","",'12 - Device_Configuration'!AJ6)</f>
        <v>2008T</v>
      </c>
      <c r="K6" s="21" t="str">
        <f>IF('12 - Device_Configuration'!AA6="","",'12 - Device_Configuration'!AA6)</f>
        <v>Dialysis Machine</v>
      </c>
      <c r="L6" s="21" t="str">
        <f>IF('12 - Device_Configuration'!I6="","",'12 - Device_Configuration'!I6)</f>
        <v/>
      </c>
      <c r="M6" s="22"/>
      <c r="N6" s="21" t="str">
        <f>IF('12 - Device_Configuration'!J6="","",'12 - Device_Configuration'!J6)</f>
        <v>NA</v>
      </c>
      <c r="O6" s="21" t="str">
        <f>IF('12 - Device_Configuration'!K6="","",'12 - Device_Configuration'!K6)</f>
        <v>NA</v>
      </c>
      <c r="P6" s="21" t="str">
        <f>IF('12 - Device_Configuration'!L6="","",'12 - Device_Configuration'!L6)</f>
        <v>NA</v>
      </c>
      <c r="Q6" s="22"/>
      <c r="R6" s="21" t="str">
        <f>IF('12 - Device_Configuration'!AY6="","",'12 - Device_Configuration'!AY6)</f>
        <v/>
      </c>
      <c r="S6" s="21" t="str">
        <f>IF('12 - Device_Configuration'!AX6="","",'12 - Device_Configuration'!AX6)</f>
        <v/>
      </c>
      <c r="T6" s="21" t="str">
        <f>IF('12 - Device_Configuration'!AV6="","",'12 - Device_Configuration'!AV6)</f>
        <v/>
      </c>
      <c r="U6" s="21" t="str">
        <f>IF('12 - Device_Configuration'!AW6="","",'12 - Device_Configuration'!AW6)</f>
        <v/>
      </c>
      <c r="V6" s="21" t="str">
        <f>IF('12 - Device_Configuration'!BA6="","",'12 - Device_Configuration'!BA6)</f>
        <v>Yes</v>
      </c>
      <c r="W6" s="21" t="str">
        <f>IF('12 - Device_Configuration'!BC6="","",'12 - Device_Configuration'!BC6)</f>
        <v>Firmware Installed</v>
      </c>
      <c r="X6" s="21" t="str">
        <f>IF('12 - Device_Configuration'!BK6="","",'12 - Device_Configuration'!BK6)</f>
        <v>Power Cable, Battery, Epic Beans Relay</v>
      </c>
      <c r="Y6" s="21" t="str">
        <f>IF('12 - Device_Configuration'!BB6="","",'12 - Device_Configuration'!BB6)</f>
        <v/>
      </c>
      <c r="Z6" s="21" t="str">
        <f>IF('12 - Device_Configuration'!P6="","",'12 - Device_Configuration'!P6)</f>
        <v/>
      </c>
      <c r="AA6" s="21" t="str">
        <f>IF('12 - Device_Configuration'!Q6="","",'12 - Device_Configuration'!Q6)</f>
        <v/>
      </c>
    </row>
    <row r="7" spans="1:29" ht="45.75" customHeight="1">
      <c r="A7" s="22"/>
      <c r="B7" s="22"/>
      <c r="C7" s="21" t="str">
        <f>IF('12 - Device_Configuration'!H7="","",'12 - Device_Configuration'!H7)</f>
        <v>LIJ SDF</v>
      </c>
      <c r="D7" s="21" t="str">
        <f>IF('12 - Device_Configuration'!AE7="","",'12 - Device_Configuration'!AE7)</f>
        <v>Ground Level/Dialysis</v>
      </c>
      <c r="E7" s="21" t="str">
        <f>IF('12 - Device_Configuration'!AF7="","",'12 - Device_Configuration'!AF7)</f>
        <v>Open Patient Area</v>
      </c>
      <c r="F7" s="21">
        <f>IF('12 - Device_Configuration'!AG7="","",'12 - Device_Configuration'!AG7)</f>
        <v>6</v>
      </c>
      <c r="G7" s="21" t="str">
        <f>IF('12 - Device_Configuration'!AH7="","",'12 - Device_Configuration'!AH7)</f>
        <v>BSM 034 B</v>
      </c>
      <c r="H7" s="21" t="str">
        <f>IF('12 - Device_Configuration'!A7="","",'12 - Device_Configuration'!A7)</f>
        <v>Neuron</v>
      </c>
      <c r="I7" s="21" t="str">
        <f>IF('12 - Device_Configuration'!AI7="","",'12 - Device_Configuration'!AI7)</f>
        <v>Fresenius BlueStar</v>
      </c>
      <c r="J7" s="21" t="str">
        <f>IF('12 - Device_Configuration'!AJ7="","",'12 - Device_Configuration'!AJ7)</f>
        <v>2008T</v>
      </c>
      <c r="K7" s="21" t="str">
        <f>IF('12 - Device_Configuration'!AA7="","",'12 - Device_Configuration'!AA7)</f>
        <v>Dialysis Machine</v>
      </c>
      <c r="L7" s="21" t="str">
        <f>IF('12 - Device_Configuration'!I7="","",'12 - Device_Configuration'!I7)</f>
        <v/>
      </c>
      <c r="M7" s="22"/>
      <c r="N7" s="21" t="str">
        <f>IF('12 - Device_Configuration'!J7="","",'12 - Device_Configuration'!J7)</f>
        <v>NA</v>
      </c>
      <c r="O7" s="21" t="str">
        <f>IF('12 - Device_Configuration'!K7="","",'12 - Device_Configuration'!K7)</f>
        <v>NA</v>
      </c>
      <c r="P7" s="21" t="str">
        <f>IF('12 - Device_Configuration'!L7="","",'12 - Device_Configuration'!L7)</f>
        <v>NA</v>
      </c>
      <c r="Q7" s="22"/>
      <c r="R7" s="21" t="str">
        <f>IF('12 - Device_Configuration'!AY7="","",'12 - Device_Configuration'!AY7)</f>
        <v/>
      </c>
      <c r="S7" s="21" t="str">
        <f>IF('12 - Device_Configuration'!AX7="","",'12 - Device_Configuration'!AX7)</f>
        <v/>
      </c>
      <c r="T7" s="21" t="str">
        <f>IF('12 - Device_Configuration'!AV7="","",'12 - Device_Configuration'!AV7)</f>
        <v/>
      </c>
      <c r="U7" s="21" t="str">
        <f>IF('12 - Device_Configuration'!AW7="","",'12 - Device_Configuration'!AW7)</f>
        <v/>
      </c>
      <c r="V7" s="21" t="str">
        <f>IF('12 - Device_Configuration'!BA7="","",'12 - Device_Configuration'!BA7)</f>
        <v>Yes</v>
      </c>
      <c r="W7" s="21" t="str">
        <f>IF('12 - Device_Configuration'!BC7="","",'12 - Device_Configuration'!BC7)</f>
        <v>Firmware Installed</v>
      </c>
      <c r="X7" s="21" t="str">
        <f>IF('12 - Device_Configuration'!BK7="","",'12 - Device_Configuration'!BK7)</f>
        <v>Power Cable, Battery, Epic Beans Relay</v>
      </c>
      <c r="Y7" s="21" t="str">
        <f>IF('12 - Device_Configuration'!BB7="","",'12 - Device_Configuration'!BB7)</f>
        <v/>
      </c>
      <c r="Z7" s="21" t="str">
        <f>IF('12 - Device_Configuration'!P7="","",'12 - Device_Configuration'!P7)</f>
        <v/>
      </c>
      <c r="AA7" s="21" t="str">
        <f>IF('12 - Device_Configuration'!Q7="","",'12 - Device_Configuration'!Q7)</f>
        <v/>
      </c>
    </row>
    <row r="8" spans="1:29" ht="45.75" customHeight="1">
      <c r="A8" s="22"/>
      <c r="B8" s="22"/>
      <c r="C8" s="21" t="str">
        <f>IF('12 - Device_Configuration'!H8="","",'12 - Device_Configuration'!H8)</f>
        <v>LIJ SDF</v>
      </c>
      <c r="D8" s="21" t="str">
        <f>IF('12 - Device_Configuration'!AE8="","",'12 - Device_Configuration'!AE8)</f>
        <v>Ground Level/Dialysis</v>
      </c>
      <c r="E8" s="21" t="str">
        <f>IF('12 - Device_Configuration'!AF8="","",'12 - Device_Configuration'!AF8)</f>
        <v>Open Patient Area</v>
      </c>
      <c r="F8" s="21">
        <f>IF('12 - Device_Configuration'!AG8="","",'12 - Device_Configuration'!AG8)</f>
        <v>7</v>
      </c>
      <c r="G8" s="21" t="str">
        <f>IF('12 - Device_Configuration'!AH8="","",'12 - Device_Configuration'!AH8)</f>
        <v>BSM 035 A</v>
      </c>
      <c r="H8" s="21" t="str">
        <f>IF('12 - Device_Configuration'!A8="","",'12 - Device_Configuration'!A8)</f>
        <v>Neuron</v>
      </c>
      <c r="I8" s="21" t="str">
        <f>IF('12 - Device_Configuration'!AI8="","",'12 - Device_Configuration'!AI8)</f>
        <v>Fresenius BlueStar</v>
      </c>
      <c r="J8" s="21" t="str">
        <f>IF('12 - Device_Configuration'!AJ8="","",'12 - Device_Configuration'!AJ8)</f>
        <v>2008T</v>
      </c>
      <c r="K8" s="21" t="str">
        <f>IF('12 - Device_Configuration'!AA8="","",'12 - Device_Configuration'!AA8)</f>
        <v>Dialysis Machine</v>
      </c>
      <c r="L8" s="21" t="str">
        <f>IF('12 - Device_Configuration'!I8="","",'12 - Device_Configuration'!I8)</f>
        <v/>
      </c>
      <c r="M8" s="22"/>
      <c r="N8" s="21" t="str">
        <f>IF('12 - Device_Configuration'!J8="","",'12 - Device_Configuration'!J8)</f>
        <v>NA</v>
      </c>
      <c r="O8" s="21" t="str">
        <f>IF('12 - Device_Configuration'!K8="","",'12 - Device_Configuration'!K8)</f>
        <v>NA</v>
      </c>
      <c r="P8" s="21" t="str">
        <f>IF('12 - Device_Configuration'!L8="","",'12 - Device_Configuration'!L8)</f>
        <v>NA</v>
      </c>
      <c r="Q8" s="22"/>
      <c r="R8" s="21" t="str">
        <f>IF('12 - Device_Configuration'!AY8="","",'12 - Device_Configuration'!AY8)</f>
        <v/>
      </c>
      <c r="S8" s="21" t="str">
        <f>IF('12 - Device_Configuration'!AX8="","",'12 - Device_Configuration'!AX8)</f>
        <v/>
      </c>
      <c r="T8" s="21" t="str">
        <f>IF('12 - Device_Configuration'!AV8="","",'12 - Device_Configuration'!AV8)</f>
        <v/>
      </c>
      <c r="U8" s="21" t="str">
        <f>IF('12 - Device_Configuration'!AW8="","",'12 - Device_Configuration'!AW8)</f>
        <v/>
      </c>
      <c r="V8" s="21" t="str">
        <f>IF('12 - Device_Configuration'!BA8="","",'12 - Device_Configuration'!BA8)</f>
        <v>Yes</v>
      </c>
      <c r="W8" s="21" t="str">
        <f>IF('12 - Device_Configuration'!BC8="","",'12 - Device_Configuration'!BC8)</f>
        <v>Firmware Installed</v>
      </c>
      <c r="X8" s="21" t="str">
        <f>IF('12 - Device_Configuration'!BK8="","",'12 - Device_Configuration'!BK8)</f>
        <v>Power Cable, Battery, Epic Beans Relay</v>
      </c>
      <c r="Y8" s="21" t="str">
        <f>IF('12 - Device_Configuration'!BB8="","",'12 - Device_Configuration'!BB8)</f>
        <v/>
      </c>
      <c r="Z8" s="21" t="str">
        <f>IF('12 - Device_Configuration'!P8="","",'12 - Device_Configuration'!P8)</f>
        <v/>
      </c>
      <c r="AA8" s="21" t="str">
        <f>IF('12 - Device_Configuration'!Q8="","",'12 - Device_Configuration'!Q8)</f>
        <v/>
      </c>
    </row>
    <row r="9" spans="1:29" ht="45.75" customHeight="1">
      <c r="A9" s="22"/>
      <c r="B9" s="22"/>
      <c r="C9" s="21" t="str">
        <f>IF('12 - Device_Configuration'!H9="","",'12 - Device_Configuration'!H9)</f>
        <v>LIJ SDF</v>
      </c>
      <c r="D9" s="21" t="str">
        <f>IF('12 - Device_Configuration'!AE9="","",'12 - Device_Configuration'!AE9)</f>
        <v>Ground Level/Dialysis</v>
      </c>
      <c r="E9" s="21" t="str">
        <f>IF('12 - Device_Configuration'!AF9="","",'12 - Device_Configuration'!AF9)</f>
        <v>Open Patient Area</v>
      </c>
      <c r="F9" s="21">
        <f>IF('12 - Device_Configuration'!AG9="","",'12 - Device_Configuration'!AG9)</f>
        <v>8</v>
      </c>
      <c r="G9" s="21" t="str">
        <f>IF('12 - Device_Configuration'!AH9="","",'12 - Device_Configuration'!AH9)</f>
        <v>BSM 035 B</v>
      </c>
      <c r="H9" s="21" t="str">
        <f>IF('12 - Device_Configuration'!A9="","",'12 - Device_Configuration'!A9)</f>
        <v>Neuron</v>
      </c>
      <c r="I9" s="21" t="str">
        <f>IF('12 - Device_Configuration'!AI9="","",'12 - Device_Configuration'!AI9)</f>
        <v>Fresenius BlueStar</v>
      </c>
      <c r="J9" s="21" t="str">
        <f>IF('12 - Device_Configuration'!AJ9="","",'12 - Device_Configuration'!AJ9)</f>
        <v>2008T</v>
      </c>
      <c r="K9" s="21" t="str">
        <f>IF('12 - Device_Configuration'!AA9="","",'12 - Device_Configuration'!AA9)</f>
        <v>Dialysis Machine</v>
      </c>
      <c r="L9" s="21" t="str">
        <f>IF('12 - Device_Configuration'!I9="","",'12 - Device_Configuration'!I9)</f>
        <v/>
      </c>
      <c r="M9" s="22"/>
      <c r="N9" s="21" t="str">
        <f>IF('12 - Device_Configuration'!J9="","",'12 - Device_Configuration'!J9)</f>
        <v>NA</v>
      </c>
      <c r="O9" s="21" t="str">
        <f>IF('12 - Device_Configuration'!K9="","",'12 - Device_Configuration'!K9)</f>
        <v>NA</v>
      </c>
      <c r="P9" s="21" t="str">
        <f>IF('12 - Device_Configuration'!L9="","",'12 - Device_Configuration'!L9)</f>
        <v>NA</v>
      </c>
      <c r="Q9" s="22"/>
      <c r="R9" s="21" t="str">
        <f>IF('12 - Device_Configuration'!AY9="","",'12 - Device_Configuration'!AY9)</f>
        <v/>
      </c>
      <c r="S9" s="21" t="str">
        <f>IF('12 - Device_Configuration'!AX9="","",'12 - Device_Configuration'!AX9)</f>
        <v/>
      </c>
      <c r="T9" s="21" t="str">
        <f>IF('12 - Device_Configuration'!AV9="","",'12 - Device_Configuration'!AV9)</f>
        <v/>
      </c>
      <c r="U9" s="21" t="str">
        <f>IF('12 - Device_Configuration'!AW9="","",'12 - Device_Configuration'!AW9)</f>
        <v/>
      </c>
      <c r="V9" s="21" t="str">
        <f>IF('12 - Device_Configuration'!BA9="","",'12 - Device_Configuration'!BA9)</f>
        <v>Yes</v>
      </c>
      <c r="W9" s="21" t="str">
        <f>IF('12 - Device_Configuration'!BC9="","",'12 - Device_Configuration'!BC9)</f>
        <v>Firmware Installed</v>
      </c>
      <c r="X9" s="21" t="str">
        <f>IF('12 - Device_Configuration'!BK9="","",'12 - Device_Configuration'!BK9)</f>
        <v>Power Cable, Battery, Epic Beans Relay</v>
      </c>
      <c r="Y9" s="21" t="str">
        <f>IF('12 - Device_Configuration'!BB9="","",'12 - Device_Configuration'!BB9)</f>
        <v/>
      </c>
      <c r="Z9" s="21" t="str">
        <f>IF('12 - Device_Configuration'!P9="","",'12 - Device_Configuration'!P9)</f>
        <v/>
      </c>
      <c r="AA9" s="21" t="str">
        <f>IF('12 - Device_Configuration'!Q9="","",'12 - Device_Configuration'!Q9)</f>
        <v/>
      </c>
    </row>
    <row r="10" spans="1:29" ht="45.75" customHeight="1">
      <c r="A10" s="22"/>
      <c r="B10" s="22"/>
      <c r="C10" s="21" t="str">
        <f>IF('12 - Device_Configuration'!H10="","",'12 - Device_Configuration'!H10)</f>
        <v>LIJ SDF</v>
      </c>
      <c r="D10" s="21" t="str">
        <f>IF('12 - Device_Configuration'!AE10="","",'12 - Device_Configuration'!AE10)</f>
        <v>Ground Level/Dialysis</v>
      </c>
      <c r="E10" s="21" t="str">
        <f>IF('12 - Device_Configuration'!AF10="","",'12 - Device_Configuration'!AF10)</f>
        <v>Open Patient Area</v>
      </c>
      <c r="F10" s="21">
        <f>IF('12 - Device_Configuration'!AG10="","",'12 - Device_Configuration'!AG10)</f>
        <v>9</v>
      </c>
      <c r="G10" s="21" t="str">
        <f>IF('12 - Device_Configuration'!AH10="","",'12 - Device_Configuration'!AH10)</f>
        <v>BSM 036 A</v>
      </c>
      <c r="H10" s="21" t="str">
        <f>IF('12 - Device_Configuration'!A10="","",'12 - Device_Configuration'!A10)</f>
        <v>Neuron</v>
      </c>
      <c r="I10" s="21" t="str">
        <f>IF('12 - Device_Configuration'!AI10="","",'12 - Device_Configuration'!AI10)</f>
        <v>Fresenius BlueStar</v>
      </c>
      <c r="J10" s="21" t="str">
        <f>IF('12 - Device_Configuration'!AJ10="","",'12 - Device_Configuration'!AJ10)</f>
        <v>2008T</v>
      </c>
      <c r="K10" s="21" t="str">
        <f>IF('12 - Device_Configuration'!AA10="","",'12 - Device_Configuration'!AA10)</f>
        <v>Dialysis Machine</v>
      </c>
      <c r="L10" s="21" t="str">
        <f>IF('12 - Device_Configuration'!I10="","",'12 - Device_Configuration'!I10)</f>
        <v/>
      </c>
      <c r="M10" s="22"/>
      <c r="N10" s="21" t="str">
        <f>IF('12 - Device_Configuration'!J10="","",'12 - Device_Configuration'!J10)</f>
        <v>NA</v>
      </c>
      <c r="O10" s="21" t="str">
        <f>IF('12 - Device_Configuration'!K10="","",'12 - Device_Configuration'!K10)</f>
        <v>NA</v>
      </c>
      <c r="P10" s="21" t="str">
        <f>IF('12 - Device_Configuration'!L10="","",'12 - Device_Configuration'!L10)</f>
        <v>NA</v>
      </c>
      <c r="Q10" s="22"/>
      <c r="R10" s="21" t="str">
        <f>IF('12 - Device_Configuration'!AY10="","",'12 - Device_Configuration'!AY10)</f>
        <v/>
      </c>
      <c r="S10" s="21" t="str">
        <f>IF('12 - Device_Configuration'!AX10="","",'12 - Device_Configuration'!AX10)</f>
        <v/>
      </c>
      <c r="T10" s="21" t="str">
        <f>IF('12 - Device_Configuration'!AV10="","",'12 - Device_Configuration'!AV10)</f>
        <v/>
      </c>
      <c r="U10" s="21" t="str">
        <f>IF('12 - Device_Configuration'!AW10="","",'12 - Device_Configuration'!AW10)</f>
        <v/>
      </c>
      <c r="V10" s="21" t="str">
        <f>IF('12 - Device_Configuration'!BA10="","",'12 - Device_Configuration'!BA10)</f>
        <v>Yes</v>
      </c>
      <c r="W10" s="21" t="str">
        <f>IF('12 - Device_Configuration'!BC10="","",'12 - Device_Configuration'!BC10)</f>
        <v>Firmware Installed</v>
      </c>
      <c r="X10" s="21" t="str">
        <f>IF('12 - Device_Configuration'!BK10="","",'12 - Device_Configuration'!BK10)</f>
        <v>Power Cable, Battery, Epic Beans Relay</v>
      </c>
      <c r="Y10" s="21" t="str">
        <f>IF('12 - Device_Configuration'!BB10="","",'12 - Device_Configuration'!BB10)</f>
        <v/>
      </c>
      <c r="Z10" s="21" t="str">
        <f>IF('12 - Device_Configuration'!P10="","",'12 - Device_Configuration'!P10)</f>
        <v/>
      </c>
      <c r="AA10" s="21" t="str">
        <f>IF('12 - Device_Configuration'!Q10="","",'12 - Device_Configuration'!Q10)</f>
        <v/>
      </c>
    </row>
    <row r="11" spans="1:29" ht="45.75" customHeight="1">
      <c r="A11" s="22"/>
      <c r="B11" s="22"/>
      <c r="C11" s="21" t="str">
        <f>IF('12 - Device_Configuration'!H11="","",'12 - Device_Configuration'!H11)</f>
        <v>LIJ SDF</v>
      </c>
      <c r="D11" s="21" t="str">
        <f>IF('12 - Device_Configuration'!AE11="","",'12 - Device_Configuration'!AE11)</f>
        <v>Ground Level/Dialysis</v>
      </c>
      <c r="E11" s="21" t="str">
        <f>IF('12 - Device_Configuration'!AF11="","",'12 - Device_Configuration'!AF11)</f>
        <v>Open Patient Area</v>
      </c>
      <c r="F11" s="21">
        <f>IF('12 - Device_Configuration'!AG11="","",'12 - Device_Configuration'!AG11)</f>
        <v>10</v>
      </c>
      <c r="G11" s="21" t="str">
        <f>IF('12 - Device_Configuration'!AH11="","",'12 - Device_Configuration'!AH11)</f>
        <v>BSM 036 B</v>
      </c>
      <c r="H11" s="21" t="str">
        <f>IF('12 - Device_Configuration'!A11="","",'12 - Device_Configuration'!A11)</f>
        <v>Neuron</v>
      </c>
      <c r="I11" s="21" t="str">
        <f>IF('12 - Device_Configuration'!AI11="","",'12 - Device_Configuration'!AI11)</f>
        <v>Fresenius BlueStar</v>
      </c>
      <c r="J11" s="21" t="str">
        <f>IF('12 - Device_Configuration'!AJ11="","",'12 - Device_Configuration'!AJ11)</f>
        <v>2008T</v>
      </c>
      <c r="K11" s="21" t="str">
        <f>IF('12 - Device_Configuration'!AA11="","",'12 - Device_Configuration'!AA11)</f>
        <v>Dialysis Machine</v>
      </c>
      <c r="L11" s="21" t="str">
        <f>IF('12 - Device_Configuration'!I11="","",'12 - Device_Configuration'!I11)</f>
        <v/>
      </c>
      <c r="M11" s="22"/>
      <c r="N11" s="21" t="str">
        <f>IF('12 - Device_Configuration'!J11="","",'12 - Device_Configuration'!J11)</f>
        <v>NA</v>
      </c>
      <c r="O11" s="21" t="str">
        <f>IF('12 - Device_Configuration'!K11="","",'12 - Device_Configuration'!K11)</f>
        <v>NA</v>
      </c>
      <c r="P11" s="21" t="str">
        <f>IF('12 - Device_Configuration'!L11="","",'12 - Device_Configuration'!L11)</f>
        <v>NA</v>
      </c>
      <c r="Q11" s="22"/>
      <c r="R11" s="21" t="str">
        <f>IF('12 - Device_Configuration'!AY11="","",'12 - Device_Configuration'!AY11)</f>
        <v/>
      </c>
      <c r="S11" s="21" t="str">
        <f>IF('12 - Device_Configuration'!AX11="","",'12 - Device_Configuration'!AX11)</f>
        <v/>
      </c>
      <c r="T11" s="21" t="str">
        <f>IF('12 - Device_Configuration'!AV11="","",'12 - Device_Configuration'!AV11)</f>
        <v/>
      </c>
      <c r="U11" s="21" t="str">
        <f>IF('12 - Device_Configuration'!AW11="","",'12 - Device_Configuration'!AW11)</f>
        <v/>
      </c>
      <c r="V11" s="21" t="str">
        <f>IF('12 - Device_Configuration'!BA11="","",'12 - Device_Configuration'!BA11)</f>
        <v>Yes</v>
      </c>
      <c r="W11" s="21" t="str">
        <f>IF('12 - Device_Configuration'!BC11="","",'12 - Device_Configuration'!BC11)</f>
        <v>Firmware Installed</v>
      </c>
      <c r="X11" s="21" t="str">
        <f>IF('12 - Device_Configuration'!BK11="","",'12 - Device_Configuration'!BK11)</f>
        <v>Power Cable, Battery, Epic Beans Relay</v>
      </c>
      <c r="Y11" s="21" t="str">
        <f>IF('12 - Device_Configuration'!BB11="","",'12 - Device_Configuration'!BB11)</f>
        <v/>
      </c>
      <c r="Z11" s="21" t="str">
        <f>IF('12 - Device_Configuration'!P11="","",'12 - Device_Configuration'!P11)</f>
        <v/>
      </c>
      <c r="AA11" s="21" t="str">
        <f>IF('12 - Device_Configuration'!Q11="","",'12 - Device_Configuration'!Q11)</f>
        <v/>
      </c>
    </row>
    <row r="12" spans="1:29" ht="45.75" customHeight="1">
      <c r="A12" s="22"/>
      <c r="B12" s="22"/>
      <c r="C12" s="21" t="str">
        <f>IF('12 - Device_Configuration'!H12="","",'12 - Device_Configuration'!H12)</f>
        <v>LIJ SDF</v>
      </c>
      <c r="D12" s="21" t="str">
        <f>IF('12 - Device_Configuration'!AE12="","",'12 - Device_Configuration'!AE12)</f>
        <v>Ground Level/Dialysis</v>
      </c>
      <c r="E12" s="21" t="str">
        <f>IF('12 - Device_Configuration'!AF12="","",'12 - Device_Configuration'!AF12)</f>
        <v>Open Patient Area</v>
      </c>
      <c r="F12" s="21">
        <f>IF('12 - Device_Configuration'!AG12="","",'12 - Device_Configuration'!AG12)</f>
        <v>11</v>
      </c>
      <c r="G12" s="21" t="str">
        <f>IF('12 - Device_Configuration'!AH12="","",'12 - Device_Configuration'!AH12)</f>
        <v>BSM 047 D</v>
      </c>
      <c r="H12" s="21" t="str">
        <f>IF('12 - Device_Configuration'!A12="","",'12 - Device_Configuration'!A12)</f>
        <v>Neuron</v>
      </c>
      <c r="I12" s="21" t="str">
        <f>IF('12 - Device_Configuration'!AI12="","",'12 - Device_Configuration'!AI12)</f>
        <v>Fresenius BlueStar</v>
      </c>
      <c r="J12" s="21" t="str">
        <f>IF('12 - Device_Configuration'!AJ12="","",'12 - Device_Configuration'!AJ12)</f>
        <v>2008T</v>
      </c>
      <c r="K12" s="21" t="str">
        <f>IF('12 - Device_Configuration'!AA12="","",'12 - Device_Configuration'!AA12)</f>
        <v>Dialysis Machine</v>
      </c>
      <c r="L12" s="21" t="str">
        <f>IF('12 - Device_Configuration'!I12="","",'12 - Device_Configuration'!I12)</f>
        <v/>
      </c>
      <c r="M12" s="22"/>
      <c r="N12" s="21" t="str">
        <f>IF('12 - Device_Configuration'!J12="","",'12 - Device_Configuration'!J12)</f>
        <v>NA</v>
      </c>
      <c r="O12" s="21" t="str">
        <f>IF('12 - Device_Configuration'!K12="","",'12 - Device_Configuration'!K12)</f>
        <v>NA</v>
      </c>
      <c r="P12" s="21" t="str">
        <f>IF('12 - Device_Configuration'!L12="","",'12 - Device_Configuration'!L12)</f>
        <v>NA</v>
      </c>
      <c r="Q12" s="22"/>
      <c r="R12" s="21" t="str">
        <f>IF('12 - Device_Configuration'!AY12="","",'12 - Device_Configuration'!AY12)</f>
        <v/>
      </c>
      <c r="S12" s="21" t="str">
        <f>IF('12 - Device_Configuration'!AX12="","",'12 - Device_Configuration'!AX12)</f>
        <v/>
      </c>
      <c r="T12" s="21" t="str">
        <f>IF('12 - Device_Configuration'!AV12="","",'12 - Device_Configuration'!AV12)</f>
        <v/>
      </c>
      <c r="U12" s="21" t="str">
        <f>IF('12 - Device_Configuration'!AW12="","",'12 - Device_Configuration'!AW12)</f>
        <v/>
      </c>
      <c r="V12" s="21" t="str">
        <f>IF('12 - Device_Configuration'!BA12="","",'12 - Device_Configuration'!BA12)</f>
        <v>Yes</v>
      </c>
      <c r="W12" s="21" t="str">
        <f>IF('12 - Device_Configuration'!BC12="","",'12 - Device_Configuration'!BC12)</f>
        <v>Firmware Installed</v>
      </c>
      <c r="X12" s="21" t="str">
        <f>IF('12 - Device_Configuration'!BK12="","",'12 - Device_Configuration'!BK12)</f>
        <v>Power Cable, Battery, Epic Beans Relay</v>
      </c>
      <c r="Y12" s="21" t="str">
        <f>IF('12 - Device_Configuration'!BB12="","",'12 - Device_Configuration'!BB12)</f>
        <v>SN scratched off slightly;</v>
      </c>
      <c r="Z12" s="21" t="str">
        <f>IF('12 - Device_Configuration'!P12="","",'12 - Device_Configuration'!P12)</f>
        <v/>
      </c>
      <c r="AA12" s="21" t="str">
        <f>IF('12 - Device_Configuration'!Q12="","",'12 - Device_Configuration'!Q12)</f>
        <v/>
      </c>
    </row>
    <row r="13" spans="1:29" ht="45.75" customHeight="1">
      <c r="A13" s="22"/>
      <c r="B13" s="22"/>
      <c r="C13" s="21" t="str">
        <f>IF('12 - Device_Configuration'!H13="","",'12 - Device_Configuration'!H13)</f>
        <v>LIJ SDF</v>
      </c>
      <c r="D13" s="21" t="str">
        <f>IF('12 - Device_Configuration'!AE13="","",'12 - Device_Configuration'!AE13)</f>
        <v>Ground Level/Dialysis</v>
      </c>
      <c r="E13" s="21" t="str">
        <f>IF('12 - Device_Configuration'!AF13="","",'12 - Device_Configuration'!AF13)</f>
        <v>Open Patient Area</v>
      </c>
      <c r="F13" s="21">
        <f>IF('12 - Device_Configuration'!AG13="","",'12 - Device_Configuration'!AG13)</f>
        <v>12</v>
      </c>
      <c r="G13" s="21" t="str">
        <f>IF('12 - Device_Configuration'!AH13="","",'12 - Device_Configuration'!AH13)</f>
        <v>BSM 050 D</v>
      </c>
      <c r="H13" s="21" t="str">
        <f>IF('12 - Device_Configuration'!A13="","",'12 - Device_Configuration'!A13)</f>
        <v>Neuron</v>
      </c>
      <c r="I13" s="21" t="str">
        <f>IF('12 - Device_Configuration'!AI13="","",'12 - Device_Configuration'!AI13)</f>
        <v>Fresenius BlueStar</v>
      </c>
      <c r="J13" s="21" t="str">
        <f>IF('12 - Device_Configuration'!AJ13="","",'12 - Device_Configuration'!AJ13)</f>
        <v>2008T</v>
      </c>
      <c r="K13" s="21" t="str">
        <f>IF('12 - Device_Configuration'!AA13="","",'12 - Device_Configuration'!AA13)</f>
        <v>Dialysis Machine</v>
      </c>
      <c r="L13" s="21" t="str">
        <f>IF('12 - Device_Configuration'!I13="","",'12 - Device_Configuration'!I13)</f>
        <v/>
      </c>
      <c r="M13" s="22"/>
      <c r="N13" s="21" t="str">
        <f>IF('12 - Device_Configuration'!J13="","",'12 - Device_Configuration'!J13)</f>
        <v>NA</v>
      </c>
      <c r="O13" s="21" t="str">
        <f>IF('12 - Device_Configuration'!K13="","",'12 - Device_Configuration'!K13)</f>
        <v>NA</v>
      </c>
      <c r="P13" s="21" t="str">
        <f>IF('12 - Device_Configuration'!L13="","",'12 - Device_Configuration'!L13)</f>
        <v>NA</v>
      </c>
      <c r="Q13" s="22"/>
      <c r="R13" s="21" t="str">
        <f>IF('12 - Device_Configuration'!AY13="","",'12 - Device_Configuration'!AY13)</f>
        <v/>
      </c>
      <c r="S13" s="21" t="str">
        <f>IF('12 - Device_Configuration'!AX13="","",'12 - Device_Configuration'!AX13)</f>
        <v/>
      </c>
      <c r="T13" s="21" t="str">
        <f>IF('12 - Device_Configuration'!AV13="","",'12 - Device_Configuration'!AV13)</f>
        <v/>
      </c>
      <c r="U13" s="21" t="str">
        <f>IF('12 - Device_Configuration'!AW13="","",'12 - Device_Configuration'!AW13)</f>
        <v/>
      </c>
      <c r="V13" s="21" t="str">
        <f>IF('12 - Device_Configuration'!BA13="","",'12 - Device_Configuration'!BA13)</f>
        <v>Yes</v>
      </c>
      <c r="W13" s="21" t="str">
        <f>IF('12 - Device_Configuration'!BC13="","",'12 - Device_Configuration'!BC13)</f>
        <v>Firmware Installed</v>
      </c>
      <c r="X13" s="21" t="str">
        <f>IF('12 - Device_Configuration'!BK13="","",'12 - Device_Configuration'!BK13)</f>
        <v>Power Cable, Battery, Epic Beans Relay</v>
      </c>
      <c r="Y13" s="21" t="str">
        <f>IF('12 - Device_Configuration'!BB13="","",'12 - Device_Configuration'!BB13)</f>
        <v/>
      </c>
      <c r="Z13" s="21" t="str">
        <f>IF('12 - Device_Configuration'!P13="","",'12 - Device_Configuration'!P13)</f>
        <v/>
      </c>
      <c r="AA13" s="21" t="str">
        <f>IF('12 - Device_Configuration'!Q13="","",'12 - Device_Configuration'!Q13)</f>
        <v/>
      </c>
    </row>
    <row r="14" spans="1:29" ht="45.75" customHeight="1">
      <c r="A14" s="22"/>
      <c r="B14" s="22"/>
      <c r="C14" s="21" t="str">
        <f>IF('12 - Device_Configuration'!H14="","",'12 - Device_Configuration'!H14)</f>
        <v>LIJ SDF</v>
      </c>
      <c r="D14" s="21" t="str">
        <f>IF('12 - Device_Configuration'!AE14="","",'12 - Device_Configuration'!AE14)</f>
        <v>Ground Level/Dialysis</v>
      </c>
      <c r="E14" s="21" t="str">
        <f>IF('12 - Device_Configuration'!AF14="","",'12 - Device_Configuration'!AF14)</f>
        <v>Open Patient Area</v>
      </c>
      <c r="F14" s="21">
        <f>IF('12 - Device_Configuration'!AG14="","",'12 - Device_Configuration'!AG14)</f>
        <v>13</v>
      </c>
      <c r="G14" s="21" t="str">
        <f>IF('12 - Device_Configuration'!AH14="","",'12 - Device_Configuration'!AH14)</f>
        <v>BSM 038 A</v>
      </c>
      <c r="H14" s="21" t="str">
        <f>IF('12 - Device_Configuration'!A14="","",'12 - Device_Configuration'!A14)</f>
        <v>Neuron</v>
      </c>
      <c r="I14" s="21" t="str">
        <f>IF('12 - Device_Configuration'!AI14="","",'12 - Device_Configuration'!AI14)</f>
        <v>Fresenius BlueStar</v>
      </c>
      <c r="J14" s="21" t="str">
        <f>IF('12 - Device_Configuration'!AJ14="","",'12 - Device_Configuration'!AJ14)</f>
        <v>2008T</v>
      </c>
      <c r="K14" s="21" t="str">
        <f>IF('12 - Device_Configuration'!AA14="","",'12 - Device_Configuration'!AA14)</f>
        <v>Dialysis Machine</v>
      </c>
      <c r="L14" s="21" t="str">
        <f>IF('12 - Device_Configuration'!I14="","",'12 - Device_Configuration'!I14)</f>
        <v/>
      </c>
      <c r="M14" s="22"/>
      <c r="N14" s="21" t="str">
        <f>IF('12 - Device_Configuration'!J14="","",'12 - Device_Configuration'!J14)</f>
        <v>NA</v>
      </c>
      <c r="O14" s="21" t="str">
        <f>IF('12 - Device_Configuration'!K14="","",'12 - Device_Configuration'!K14)</f>
        <v>NA</v>
      </c>
      <c r="P14" s="21" t="str">
        <f>IF('12 - Device_Configuration'!L14="","",'12 - Device_Configuration'!L14)</f>
        <v>NA</v>
      </c>
      <c r="Q14" s="22"/>
      <c r="R14" s="21" t="str">
        <f>IF('12 - Device_Configuration'!AY14="","",'12 - Device_Configuration'!AY14)</f>
        <v/>
      </c>
      <c r="S14" s="21" t="str">
        <f>IF('12 - Device_Configuration'!AX14="","",'12 - Device_Configuration'!AX14)</f>
        <v/>
      </c>
      <c r="T14" s="21" t="str">
        <f>IF('12 - Device_Configuration'!AV14="","",'12 - Device_Configuration'!AV14)</f>
        <v/>
      </c>
      <c r="U14" s="21" t="str">
        <f>IF('12 - Device_Configuration'!AW14="","",'12 - Device_Configuration'!AW14)</f>
        <v/>
      </c>
      <c r="V14" s="21" t="str">
        <f>IF('12 - Device_Configuration'!BA14="","",'12 - Device_Configuration'!BA14)</f>
        <v>Yes</v>
      </c>
      <c r="W14" s="21" t="str">
        <f>IF('12 - Device_Configuration'!BC14="","",'12 - Device_Configuration'!BC14)</f>
        <v>Firmware Installed</v>
      </c>
      <c r="X14" s="21" t="str">
        <f>IF('12 - Device_Configuration'!BK14="","",'12 - Device_Configuration'!BK14)</f>
        <v>Power Cable, Battery, Epic Beans Relay</v>
      </c>
      <c r="Y14" s="21" t="str">
        <f>IF('12 - Device_Configuration'!BB14="","",'12 - Device_Configuration'!BB14)</f>
        <v/>
      </c>
      <c r="Z14" s="21" t="str">
        <f>IF('12 - Device_Configuration'!P14="","",'12 - Device_Configuration'!P14)</f>
        <v/>
      </c>
      <c r="AA14" s="21" t="str">
        <f>IF('12 - Device_Configuration'!Q14="","",'12 - Device_Configuration'!Q14)</f>
        <v/>
      </c>
    </row>
    <row r="15" spans="1:29" ht="45.75" customHeight="1">
      <c r="A15" s="22"/>
      <c r="B15" s="22"/>
      <c r="C15" s="21" t="str">
        <f>IF('12 - Device_Configuration'!H15="","",'12 - Device_Configuration'!H15)</f>
        <v>LIJ SDF</v>
      </c>
      <c r="D15" s="21" t="str">
        <f>IF('12 - Device_Configuration'!AE15="","",'12 - Device_Configuration'!AE15)</f>
        <v>Ground Level/Dialysis</v>
      </c>
      <c r="E15" s="21" t="str">
        <f>IF('12 - Device_Configuration'!AF15="","",'12 - Device_Configuration'!AF15)</f>
        <v>Open Patient Area</v>
      </c>
      <c r="F15" s="21">
        <f>IF('12 - Device_Configuration'!AG15="","",'12 - Device_Configuration'!AG15)</f>
        <v>14</v>
      </c>
      <c r="G15" s="21" t="str">
        <f>IF('12 - Device_Configuration'!AH15="","",'12 - Device_Configuration'!AH15)</f>
        <v>BSM 038 B</v>
      </c>
      <c r="H15" s="21" t="str">
        <f>IF('12 - Device_Configuration'!A15="","",'12 - Device_Configuration'!A15)</f>
        <v>Neuron</v>
      </c>
      <c r="I15" s="21" t="str">
        <f>IF('12 - Device_Configuration'!AI15="","",'12 - Device_Configuration'!AI15)</f>
        <v>Fresenius BlueStar</v>
      </c>
      <c r="J15" s="21" t="str">
        <f>IF('12 - Device_Configuration'!AJ15="","",'12 - Device_Configuration'!AJ15)</f>
        <v>2008T</v>
      </c>
      <c r="K15" s="21" t="str">
        <f>IF('12 - Device_Configuration'!AA15="","",'12 - Device_Configuration'!AA15)</f>
        <v>Dialysis Machine</v>
      </c>
      <c r="L15" s="21" t="str">
        <f>IF('12 - Device_Configuration'!I15="","",'12 - Device_Configuration'!I15)</f>
        <v/>
      </c>
      <c r="M15" s="22"/>
      <c r="N15" s="21" t="str">
        <f>IF('12 - Device_Configuration'!J15="","",'12 - Device_Configuration'!J15)</f>
        <v>NA</v>
      </c>
      <c r="O15" s="21" t="str">
        <f>IF('12 - Device_Configuration'!K15="","",'12 - Device_Configuration'!K15)</f>
        <v>NA</v>
      </c>
      <c r="P15" s="21" t="str">
        <f>IF('12 - Device_Configuration'!L15="","",'12 - Device_Configuration'!L15)</f>
        <v>NA</v>
      </c>
      <c r="Q15" s="22"/>
      <c r="R15" s="21" t="str">
        <f>IF('12 - Device_Configuration'!AY15="","",'12 - Device_Configuration'!AY15)</f>
        <v/>
      </c>
      <c r="S15" s="21" t="str">
        <f>IF('12 - Device_Configuration'!AX15="","",'12 - Device_Configuration'!AX15)</f>
        <v/>
      </c>
      <c r="T15" s="21" t="str">
        <f>IF('12 - Device_Configuration'!AV15="","",'12 - Device_Configuration'!AV15)</f>
        <v/>
      </c>
      <c r="U15" s="21" t="str">
        <f>IF('12 - Device_Configuration'!AW15="","",'12 - Device_Configuration'!AW15)</f>
        <v/>
      </c>
      <c r="V15" s="21" t="str">
        <f>IF('12 - Device_Configuration'!BA15="","",'12 - Device_Configuration'!BA15)</f>
        <v>Yes</v>
      </c>
      <c r="W15" s="21" t="str">
        <f>IF('12 - Device_Configuration'!BC15="","",'12 - Device_Configuration'!BC15)</f>
        <v>Firmware Installed</v>
      </c>
      <c r="X15" s="21" t="str">
        <f>IF('12 - Device_Configuration'!BK15="","",'12 - Device_Configuration'!BK15)</f>
        <v>Power Cable, Battery, Epic Beans Relay</v>
      </c>
      <c r="Y15" s="21" t="str">
        <f>IF('12 - Device_Configuration'!BB15="","",'12 - Device_Configuration'!BB15)</f>
        <v/>
      </c>
      <c r="Z15" s="21" t="str">
        <f>IF('12 - Device_Configuration'!P15="","",'12 - Device_Configuration'!P15)</f>
        <v/>
      </c>
      <c r="AA15" s="21" t="str">
        <f>IF('12 - Device_Configuration'!Q15="","",'12 - Device_Configuration'!Q15)</f>
        <v/>
      </c>
    </row>
    <row r="16" spans="1:29" ht="45.75" customHeight="1">
      <c r="A16" s="22"/>
      <c r="B16" s="22"/>
      <c r="C16" s="21" t="str">
        <f>IF('12 - Device_Configuration'!H16="","",'12 - Device_Configuration'!H16)</f>
        <v>LIJ SDF</v>
      </c>
      <c r="D16" s="21" t="str">
        <f>IF('12 - Device_Configuration'!AE16="","",'12 - Device_Configuration'!AE16)</f>
        <v>Ground Level/Dialysis</v>
      </c>
      <c r="E16" s="21" t="str">
        <f>IF('12 - Device_Configuration'!AF16="","",'12 - Device_Configuration'!AF16)</f>
        <v>Open Patient Area</v>
      </c>
      <c r="F16" s="21">
        <f>IF('12 - Device_Configuration'!AG16="","",'12 - Device_Configuration'!AG16)</f>
        <v>15</v>
      </c>
      <c r="G16" s="21" t="str">
        <f>IF('12 - Device_Configuration'!AH16="","",'12 - Device_Configuration'!AH16)</f>
        <v>BSM 039 A</v>
      </c>
      <c r="H16" s="21" t="str">
        <f>IF('12 - Device_Configuration'!A16="","",'12 - Device_Configuration'!A16)</f>
        <v>Neuron</v>
      </c>
      <c r="I16" s="21" t="str">
        <f>IF('12 - Device_Configuration'!AI16="","",'12 - Device_Configuration'!AI16)</f>
        <v>Fresenius BlueStar</v>
      </c>
      <c r="J16" s="21" t="str">
        <f>IF('12 - Device_Configuration'!AJ16="","",'12 - Device_Configuration'!AJ16)</f>
        <v>2008T</v>
      </c>
      <c r="K16" s="21" t="str">
        <f>IF('12 - Device_Configuration'!AA16="","",'12 - Device_Configuration'!AA16)</f>
        <v>Dialysis Machine</v>
      </c>
      <c r="L16" s="21" t="str">
        <f>IF('12 - Device_Configuration'!I16="","",'12 - Device_Configuration'!I16)</f>
        <v/>
      </c>
      <c r="M16" s="22"/>
      <c r="N16" s="21" t="str">
        <f>IF('12 - Device_Configuration'!J16="","",'12 - Device_Configuration'!J16)</f>
        <v>NA</v>
      </c>
      <c r="O16" s="21" t="str">
        <f>IF('12 - Device_Configuration'!K16="","",'12 - Device_Configuration'!K16)</f>
        <v>NA</v>
      </c>
      <c r="P16" s="21" t="str">
        <f>IF('12 - Device_Configuration'!L16="","",'12 - Device_Configuration'!L16)</f>
        <v>NA</v>
      </c>
      <c r="Q16" s="22"/>
      <c r="R16" s="21" t="str">
        <f>IF('12 - Device_Configuration'!AY16="","",'12 - Device_Configuration'!AY16)</f>
        <v/>
      </c>
      <c r="S16" s="21" t="str">
        <f>IF('12 - Device_Configuration'!AX16="","",'12 - Device_Configuration'!AX16)</f>
        <v/>
      </c>
      <c r="T16" s="21" t="str">
        <f>IF('12 - Device_Configuration'!AV16="","",'12 - Device_Configuration'!AV16)</f>
        <v/>
      </c>
      <c r="U16" s="21" t="str">
        <f>IF('12 - Device_Configuration'!AW16="","",'12 - Device_Configuration'!AW16)</f>
        <v/>
      </c>
      <c r="V16" s="21" t="str">
        <f>IF('12 - Device_Configuration'!BA16="","",'12 - Device_Configuration'!BA16)</f>
        <v>Yes</v>
      </c>
      <c r="W16" s="21" t="str">
        <f>IF('12 - Device_Configuration'!BC16="","",'12 - Device_Configuration'!BC16)</f>
        <v>Firmware Installed</v>
      </c>
      <c r="X16" s="21" t="str">
        <f>IF('12 - Device_Configuration'!BK16="","",'12 - Device_Configuration'!BK16)</f>
        <v>Power Cable, Battery, Epic Beans Relay</v>
      </c>
      <c r="Y16" s="21" t="str">
        <f>IF('12 - Device_Configuration'!BB16="","",'12 - Device_Configuration'!BB16)</f>
        <v/>
      </c>
      <c r="Z16" s="21" t="str">
        <f>IF('12 - Device_Configuration'!P16="","",'12 - Device_Configuration'!P16)</f>
        <v/>
      </c>
      <c r="AA16" s="21" t="str">
        <f>IF('12 - Device_Configuration'!Q16="","",'12 - Device_Configuration'!Q16)</f>
        <v/>
      </c>
    </row>
    <row r="17" spans="1:27" ht="45.75" customHeight="1">
      <c r="A17" s="22"/>
      <c r="B17" s="22"/>
      <c r="C17" s="21" t="str">
        <f>IF('12 - Device_Configuration'!H17="","",'12 - Device_Configuration'!H17)</f>
        <v>LIJ SDF</v>
      </c>
      <c r="D17" s="21" t="str">
        <f>IF('12 - Device_Configuration'!AE17="","",'12 - Device_Configuration'!AE17)</f>
        <v>Ground Level/Dialysis</v>
      </c>
      <c r="E17" s="21" t="str">
        <f>IF('12 - Device_Configuration'!AF17="","",'12 - Device_Configuration'!AF17)</f>
        <v>Open Patient Area</v>
      </c>
      <c r="F17" s="21">
        <f>IF('12 - Device_Configuration'!AG17="","",'12 - Device_Configuration'!AG17)</f>
        <v>16</v>
      </c>
      <c r="G17" s="21" t="str">
        <f>IF('12 - Device_Configuration'!AH17="","",'12 - Device_Configuration'!AH17)</f>
        <v>BSM 039 B</v>
      </c>
      <c r="H17" s="21" t="str">
        <f>IF('12 - Device_Configuration'!A17="","",'12 - Device_Configuration'!A17)</f>
        <v>Neuron</v>
      </c>
      <c r="I17" s="21" t="str">
        <f>IF('12 - Device_Configuration'!AI17="","",'12 - Device_Configuration'!AI17)</f>
        <v>Fresenius BlueStar</v>
      </c>
      <c r="J17" s="21" t="str">
        <f>IF('12 - Device_Configuration'!AJ17="","",'12 - Device_Configuration'!AJ17)</f>
        <v>2008T</v>
      </c>
      <c r="K17" s="21" t="str">
        <f>IF('12 - Device_Configuration'!AA17="","",'12 - Device_Configuration'!AA17)</f>
        <v>Dialysis Machine</v>
      </c>
      <c r="L17" s="21" t="str">
        <f>IF('12 - Device_Configuration'!I17="","",'12 - Device_Configuration'!I17)</f>
        <v/>
      </c>
      <c r="M17" s="22"/>
      <c r="N17" s="21" t="str">
        <f>IF('12 - Device_Configuration'!J17="","",'12 - Device_Configuration'!J17)</f>
        <v>NA</v>
      </c>
      <c r="O17" s="21" t="str">
        <f>IF('12 - Device_Configuration'!K17="","",'12 - Device_Configuration'!K17)</f>
        <v>NA</v>
      </c>
      <c r="P17" s="21" t="str">
        <f>IF('12 - Device_Configuration'!L17="","",'12 - Device_Configuration'!L17)</f>
        <v>NA</v>
      </c>
      <c r="Q17" s="22"/>
      <c r="R17" s="21" t="str">
        <f>IF('12 - Device_Configuration'!AY17="","",'12 - Device_Configuration'!AY17)</f>
        <v/>
      </c>
      <c r="S17" s="21" t="str">
        <f>IF('12 - Device_Configuration'!AX17="","",'12 - Device_Configuration'!AX17)</f>
        <v/>
      </c>
      <c r="T17" s="21" t="str">
        <f>IF('12 - Device_Configuration'!AV17="","",'12 - Device_Configuration'!AV17)</f>
        <v/>
      </c>
      <c r="U17" s="21" t="str">
        <f>IF('12 - Device_Configuration'!AW17="","",'12 - Device_Configuration'!AW17)</f>
        <v/>
      </c>
      <c r="V17" s="21" t="str">
        <f>IF('12 - Device_Configuration'!BA17="","",'12 - Device_Configuration'!BA17)</f>
        <v>Yes</v>
      </c>
      <c r="W17" s="21" t="str">
        <f>IF('12 - Device_Configuration'!BC17="","",'12 - Device_Configuration'!BC17)</f>
        <v>Firmware Installed</v>
      </c>
      <c r="X17" s="21" t="str">
        <f>IF('12 - Device_Configuration'!BK17="","",'12 - Device_Configuration'!BK17)</f>
        <v>Power Cable, Battery, Epic Beans Relay</v>
      </c>
      <c r="Y17" s="21" t="str">
        <f>IF('12 - Device_Configuration'!BB17="","",'12 - Device_Configuration'!BB17)</f>
        <v/>
      </c>
      <c r="Z17" s="21" t="str">
        <f>IF('12 - Device_Configuration'!P17="","",'12 - Device_Configuration'!P17)</f>
        <v/>
      </c>
      <c r="AA17" s="21" t="str">
        <f>IF('12 - Device_Configuration'!Q17="","",'12 - Device_Configuration'!Q17)</f>
        <v/>
      </c>
    </row>
    <row r="18" spans="1:27" ht="45.75" customHeight="1">
      <c r="A18" s="22"/>
      <c r="B18" s="22"/>
      <c r="C18" s="21" t="str">
        <f>IF('12 - Device_Configuration'!H18="","",'12 - Device_Configuration'!H18)</f>
        <v>LIJ SDF</v>
      </c>
      <c r="D18" s="21" t="str">
        <f>IF('12 - Device_Configuration'!AE18="","",'12 - Device_Configuration'!AE18)</f>
        <v>Ground Level/Dialysis</v>
      </c>
      <c r="E18" s="21" t="str">
        <f>IF('12 - Device_Configuration'!AF18="","",'12 - Device_Configuration'!AF18)</f>
        <v>Open Patient Area</v>
      </c>
      <c r="F18" s="21">
        <f>IF('12 - Device_Configuration'!AG18="","",'12 - Device_Configuration'!AG18)</f>
        <v>17</v>
      </c>
      <c r="G18" s="21" t="str">
        <f>IF('12 - Device_Configuration'!AH18="","",'12 - Device_Configuration'!AH18)</f>
        <v>BSM 040 A</v>
      </c>
      <c r="H18" s="21" t="str">
        <f>IF('12 - Device_Configuration'!A18="","",'12 - Device_Configuration'!A18)</f>
        <v>Neuron</v>
      </c>
      <c r="I18" s="21" t="str">
        <f>IF('12 - Device_Configuration'!AI18="","",'12 - Device_Configuration'!AI18)</f>
        <v>Fresenius BlueStar</v>
      </c>
      <c r="J18" s="21" t="str">
        <f>IF('12 - Device_Configuration'!AJ18="","",'12 - Device_Configuration'!AJ18)</f>
        <v>2008T</v>
      </c>
      <c r="K18" s="21" t="str">
        <f>IF('12 - Device_Configuration'!AA18="","",'12 - Device_Configuration'!AA18)</f>
        <v>Dialysis Machine</v>
      </c>
      <c r="L18" s="21" t="str">
        <f>IF('12 - Device_Configuration'!I18="","",'12 - Device_Configuration'!I18)</f>
        <v/>
      </c>
      <c r="M18" s="22"/>
      <c r="N18" s="21" t="str">
        <f>IF('12 - Device_Configuration'!J18="","",'12 - Device_Configuration'!J18)</f>
        <v>NA</v>
      </c>
      <c r="O18" s="21" t="str">
        <f>IF('12 - Device_Configuration'!K18="","",'12 - Device_Configuration'!K18)</f>
        <v>NA</v>
      </c>
      <c r="P18" s="21" t="str">
        <f>IF('12 - Device_Configuration'!L18="","",'12 - Device_Configuration'!L18)</f>
        <v>NA</v>
      </c>
      <c r="Q18" s="22"/>
      <c r="R18" s="21" t="str">
        <f>IF('12 - Device_Configuration'!AY18="","",'12 - Device_Configuration'!AY18)</f>
        <v/>
      </c>
      <c r="S18" s="21" t="str">
        <f>IF('12 - Device_Configuration'!AX18="","",'12 - Device_Configuration'!AX18)</f>
        <v/>
      </c>
      <c r="T18" s="21" t="str">
        <f>IF('12 - Device_Configuration'!AV18="","",'12 - Device_Configuration'!AV18)</f>
        <v/>
      </c>
      <c r="U18" s="21" t="str">
        <f>IF('12 - Device_Configuration'!AW18="","",'12 - Device_Configuration'!AW18)</f>
        <v/>
      </c>
      <c r="V18" s="21" t="str">
        <f>IF('12 - Device_Configuration'!BA18="","",'12 - Device_Configuration'!BA18)</f>
        <v>Yes</v>
      </c>
      <c r="W18" s="21" t="str">
        <f>IF('12 - Device_Configuration'!BC18="","",'12 - Device_Configuration'!BC18)</f>
        <v>Firmware Installed</v>
      </c>
      <c r="X18" s="21" t="str">
        <f>IF('12 - Device_Configuration'!BK18="","",'12 - Device_Configuration'!BK18)</f>
        <v>Power Cable, Battery, Epic Beans Relay</v>
      </c>
      <c r="Y18" s="21" t="str">
        <f>IF('12 - Device_Configuration'!BB18="","",'12 - Device_Configuration'!BB18)</f>
        <v/>
      </c>
      <c r="Z18" s="21" t="str">
        <f>IF('12 - Device_Configuration'!P18="","",'12 - Device_Configuration'!P18)</f>
        <v/>
      </c>
      <c r="AA18" s="21" t="str">
        <f>IF('12 - Device_Configuration'!Q18="","",'12 - Device_Configuration'!Q18)</f>
        <v/>
      </c>
    </row>
    <row r="19" spans="1:27" ht="45.75" customHeight="1">
      <c r="A19" s="22"/>
      <c r="B19" s="22"/>
      <c r="C19" s="21" t="str">
        <f>IF('12 - Device_Configuration'!H19="","",'12 - Device_Configuration'!H19)</f>
        <v>LIJ SDF</v>
      </c>
      <c r="D19" s="21" t="str">
        <f>IF('12 - Device_Configuration'!AE19="","",'12 - Device_Configuration'!AE19)</f>
        <v>Ground Level/Dialysis</v>
      </c>
      <c r="E19" s="21" t="str">
        <f>IF('12 - Device_Configuration'!AF19="","",'12 - Device_Configuration'!AF19)</f>
        <v>Open Patient Area</v>
      </c>
      <c r="F19" s="21">
        <f>IF('12 - Device_Configuration'!AG19="","",'12 - Device_Configuration'!AG19)</f>
        <v>18</v>
      </c>
      <c r="G19" s="21" t="str">
        <f>IF('12 - Device_Configuration'!AH19="","",'12 - Device_Configuration'!AH19)</f>
        <v>BSM 040 B</v>
      </c>
      <c r="H19" s="21" t="str">
        <f>IF('12 - Device_Configuration'!A19="","",'12 - Device_Configuration'!A19)</f>
        <v>Neuron</v>
      </c>
      <c r="I19" s="21" t="str">
        <f>IF('12 - Device_Configuration'!AI19="","",'12 - Device_Configuration'!AI19)</f>
        <v>Fresenius BlueStar</v>
      </c>
      <c r="J19" s="21" t="str">
        <f>IF('12 - Device_Configuration'!AJ19="","",'12 - Device_Configuration'!AJ19)</f>
        <v>2008T</v>
      </c>
      <c r="K19" s="21" t="str">
        <f>IF('12 - Device_Configuration'!AA19="","",'12 - Device_Configuration'!AA19)</f>
        <v>Dialysis Machine</v>
      </c>
      <c r="L19" s="21" t="str">
        <f>IF('12 - Device_Configuration'!I19="","",'12 - Device_Configuration'!I19)</f>
        <v/>
      </c>
      <c r="M19" s="22"/>
      <c r="N19" s="21" t="str">
        <f>IF('12 - Device_Configuration'!J19="","",'12 - Device_Configuration'!J19)</f>
        <v>NA</v>
      </c>
      <c r="O19" s="21" t="str">
        <f>IF('12 - Device_Configuration'!K19="","",'12 - Device_Configuration'!K19)</f>
        <v>NA</v>
      </c>
      <c r="P19" s="21" t="str">
        <f>IF('12 - Device_Configuration'!L19="","",'12 - Device_Configuration'!L19)</f>
        <v>NA</v>
      </c>
      <c r="Q19" s="22"/>
      <c r="R19" s="21" t="str">
        <f>IF('12 - Device_Configuration'!AY19="","",'12 - Device_Configuration'!AY19)</f>
        <v/>
      </c>
      <c r="S19" s="21" t="str">
        <f>IF('12 - Device_Configuration'!AX19="","",'12 - Device_Configuration'!AX19)</f>
        <v/>
      </c>
      <c r="T19" s="21" t="str">
        <f>IF('12 - Device_Configuration'!AV19="","",'12 - Device_Configuration'!AV19)</f>
        <v/>
      </c>
      <c r="U19" s="21" t="str">
        <f>IF('12 - Device_Configuration'!AW19="","",'12 - Device_Configuration'!AW19)</f>
        <v/>
      </c>
      <c r="V19" s="21" t="str">
        <f>IF('12 - Device_Configuration'!BA19="","",'12 - Device_Configuration'!BA19)</f>
        <v>Yes</v>
      </c>
      <c r="W19" s="21" t="str">
        <f>IF('12 - Device_Configuration'!BC19="","",'12 - Device_Configuration'!BC19)</f>
        <v>Firmware Installed</v>
      </c>
      <c r="X19" s="21" t="str">
        <f>IF('12 - Device_Configuration'!BK19="","",'12 - Device_Configuration'!BK19)</f>
        <v>Power Cable, Battery, Epic Beans Relay</v>
      </c>
      <c r="Y19" s="21" t="str">
        <f>IF('12 - Device_Configuration'!BB19="","",'12 - Device_Configuration'!BB19)</f>
        <v/>
      </c>
      <c r="Z19" s="21" t="str">
        <f>IF('12 - Device_Configuration'!P19="","",'12 - Device_Configuration'!P19)</f>
        <v/>
      </c>
      <c r="AA19" s="21" t="str">
        <f>IF('12 - Device_Configuration'!Q19="","",'12 - Device_Configuration'!Q19)</f>
        <v/>
      </c>
    </row>
    <row r="20" spans="1:27" ht="45.75" customHeight="1">
      <c r="A20" s="22"/>
      <c r="B20" s="22"/>
      <c r="C20" s="21" t="str">
        <f>IF('12 - Device_Configuration'!H20="","",'12 - Device_Configuration'!H20)</f>
        <v>LIJ SDF</v>
      </c>
      <c r="D20" s="21" t="str">
        <f>IF('12 - Device_Configuration'!AE20="","",'12 - Device_Configuration'!AE20)</f>
        <v>Ground Level/Dialysis</v>
      </c>
      <c r="E20" s="21" t="str">
        <f>IF('12 - Device_Configuration'!AF20="","",'12 - Device_Configuration'!AF20)</f>
        <v>Open Patient Area</v>
      </c>
      <c r="F20" s="21">
        <f>IF('12 - Device_Configuration'!AG20="","",'12 - Device_Configuration'!AG20)</f>
        <v>19</v>
      </c>
      <c r="G20" s="21" t="str">
        <f>IF('12 - Device_Configuration'!AH20="","",'12 - Device_Configuration'!AH20)</f>
        <v>BSM 041 A</v>
      </c>
      <c r="H20" s="21" t="str">
        <f>IF('12 - Device_Configuration'!A20="","",'12 - Device_Configuration'!A20)</f>
        <v>Neuron</v>
      </c>
      <c r="I20" s="21" t="str">
        <f>IF('12 - Device_Configuration'!AI20="","",'12 - Device_Configuration'!AI20)</f>
        <v>Fresenius BlueStar</v>
      </c>
      <c r="J20" s="21" t="str">
        <f>IF('12 - Device_Configuration'!AJ20="","",'12 - Device_Configuration'!AJ20)</f>
        <v>2008T</v>
      </c>
      <c r="K20" s="21" t="str">
        <f>IF('12 - Device_Configuration'!AA20="","",'12 - Device_Configuration'!AA20)</f>
        <v>Dialysis Machine</v>
      </c>
      <c r="L20" s="21" t="str">
        <f>IF('12 - Device_Configuration'!I20="","",'12 - Device_Configuration'!I20)</f>
        <v/>
      </c>
      <c r="M20" s="22"/>
      <c r="N20" s="21" t="str">
        <f>IF('12 - Device_Configuration'!J20="","",'12 - Device_Configuration'!J20)</f>
        <v>NA</v>
      </c>
      <c r="O20" s="21" t="str">
        <f>IF('12 - Device_Configuration'!K20="","",'12 - Device_Configuration'!K20)</f>
        <v>NA</v>
      </c>
      <c r="P20" s="21" t="str">
        <f>IF('12 - Device_Configuration'!L20="","",'12 - Device_Configuration'!L20)</f>
        <v>NA</v>
      </c>
      <c r="Q20" s="22"/>
      <c r="R20" s="21" t="str">
        <f>IF('12 - Device_Configuration'!AY20="","",'12 - Device_Configuration'!AY20)</f>
        <v/>
      </c>
      <c r="S20" s="21" t="str">
        <f>IF('12 - Device_Configuration'!AX20="","",'12 - Device_Configuration'!AX20)</f>
        <v/>
      </c>
      <c r="T20" s="21" t="str">
        <f>IF('12 - Device_Configuration'!AV20="","",'12 - Device_Configuration'!AV20)</f>
        <v/>
      </c>
      <c r="U20" s="21" t="str">
        <f>IF('12 - Device_Configuration'!AW20="","",'12 - Device_Configuration'!AW20)</f>
        <v/>
      </c>
      <c r="V20" s="21" t="str">
        <f>IF('12 - Device_Configuration'!BA20="","",'12 - Device_Configuration'!BA20)</f>
        <v>Yes</v>
      </c>
      <c r="W20" s="21" t="str">
        <f>IF('12 - Device_Configuration'!BC20="","",'12 - Device_Configuration'!BC20)</f>
        <v>Firmware Installed</v>
      </c>
      <c r="X20" s="21" t="str">
        <f>IF('12 - Device_Configuration'!BK20="","",'12 - Device_Configuration'!BK20)</f>
        <v>Power Cable, Battery, Epic Beans Relay</v>
      </c>
      <c r="Y20" s="21" t="str">
        <f>IF('12 - Device_Configuration'!BB20="","",'12 - Device_Configuration'!BB20)</f>
        <v/>
      </c>
      <c r="Z20" s="21" t="str">
        <f>IF('12 - Device_Configuration'!P20="","",'12 - Device_Configuration'!P20)</f>
        <v/>
      </c>
      <c r="AA20" s="21" t="str">
        <f>IF('12 - Device_Configuration'!Q20="","",'12 - Device_Configuration'!Q20)</f>
        <v/>
      </c>
    </row>
    <row r="21" spans="1:27" ht="45.75" customHeight="1">
      <c r="A21" s="22"/>
      <c r="B21" s="22"/>
      <c r="C21" s="21" t="str">
        <f>IF('12 - Device_Configuration'!H21="","",'12 - Device_Configuration'!H21)</f>
        <v>LIJ SDF</v>
      </c>
      <c r="D21" s="21" t="str">
        <f>IF('12 - Device_Configuration'!AE21="","",'12 - Device_Configuration'!AE21)</f>
        <v>Ground Level/Dialysis</v>
      </c>
      <c r="E21" s="21" t="str">
        <f>IF('12 - Device_Configuration'!AF21="","",'12 - Device_Configuration'!AF21)</f>
        <v>Open Patient Area</v>
      </c>
      <c r="F21" s="21">
        <f>IF('12 - Device_Configuration'!AG21="","",'12 - Device_Configuration'!AG21)</f>
        <v>20</v>
      </c>
      <c r="G21" s="21" t="str">
        <f>IF('12 - Device_Configuration'!AH21="","",'12 - Device_Configuration'!AH21)</f>
        <v>BSM 041 B</v>
      </c>
      <c r="H21" s="21" t="str">
        <f>IF('12 - Device_Configuration'!A21="","",'12 - Device_Configuration'!A21)</f>
        <v>Neuron</v>
      </c>
      <c r="I21" s="21" t="str">
        <f>IF('12 - Device_Configuration'!AI21="","",'12 - Device_Configuration'!AI21)</f>
        <v>Fresenius BlueStar</v>
      </c>
      <c r="J21" s="21" t="str">
        <f>IF('12 - Device_Configuration'!AJ21="","",'12 - Device_Configuration'!AJ21)</f>
        <v>2008T</v>
      </c>
      <c r="K21" s="21" t="str">
        <f>IF('12 - Device_Configuration'!AA21="","",'12 - Device_Configuration'!AA21)</f>
        <v>Dialysis Machine</v>
      </c>
      <c r="L21" s="21" t="str">
        <f>IF('12 - Device_Configuration'!I21="","",'12 - Device_Configuration'!I21)</f>
        <v/>
      </c>
      <c r="M21" s="22"/>
      <c r="N21" s="21" t="str">
        <f>IF('12 - Device_Configuration'!J21="","",'12 - Device_Configuration'!J21)</f>
        <v>NA</v>
      </c>
      <c r="O21" s="21" t="str">
        <f>IF('12 - Device_Configuration'!K21="","",'12 - Device_Configuration'!K21)</f>
        <v>NA</v>
      </c>
      <c r="P21" s="21" t="str">
        <f>IF('12 - Device_Configuration'!L21="","",'12 - Device_Configuration'!L21)</f>
        <v>NA</v>
      </c>
      <c r="Q21" s="22"/>
      <c r="R21" s="21" t="str">
        <f>IF('12 - Device_Configuration'!AY21="","",'12 - Device_Configuration'!AY21)</f>
        <v/>
      </c>
      <c r="S21" s="21" t="str">
        <f>IF('12 - Device_Configuration'!AX21="","",'12 - Device_Configuration'!AX21)</f>
        <v/>
      </c>
      <c r="T21" s="21" t="str">
        <f>IF('12 - Device_Configuration'!AV21="","",'12 - Device_Configuration'!AV21)</f>
        <v/>
      </c>
      <c r="U21" s="21" t="str">
        <f>IF('12 - Device_Configuration'!AW21="","",'12 - Device_Configuration'!AW21)</f>
        <v/>
      </c>
      <c r="V21" s="21" t="str">
        <f>IF('12 - Device_Configuration'!BA21="","",'12 - Device_Configuration'!BA21)</f>
        <v>Yes</v>
      </c>
      <c r="W21" s="21" t="str">
        <f>IF('12 - Device_Configuration'!BC21="","",'12 - Device_Configuration'!BC21)</f>
        <v>Firmware Installed</v>
      </c>
      <c r="X21" s="21" t="str">
        <f>IF('12 - Device_Configuration'!BK21="","",'12 - Device_Configuration'!BK21)</f>
        <v>Power Cable, Battery, Epic Beans Relay</v>
      </c>
      <c r="Y21" s="21" t="str">
        <f>IF('12 - Device_Configuration'!BB21="","",'12 - Device_Configuration'!BB21)</f>
        <v/>
      </c>
      <c r="Z21" s="21" t="str">
        <f>IF('12 - Device_Configuration'!P21="","",'12 - Device_Configuration'!P21)</f>
        <v/>
      </c>
      <c r="AA21" s="21" t="str">
        <f>IF('12 - Device_Configuration'!Q21="","",'12 - Device_Configuration'!Q21)</f>
        <v/>
      </c>
    </row>
    <row r="22" spans="1:27" ht="45.75" customHeight="1">
      <c r="A22" s="22"/>
      <c r="B22" s="22"/>
      <c r="C22" s="21" t="str">
        <f>IF('12 - Device_Configuration'!H22="","",'12 - Device_Configuration'!H22)</f>
        <v>LIJ SDF</v>
      </c>
      <c r="D22" s="21" t="str">
        <f>IF('12 - Device_Configuration'!AE22="","",'12 - Device_Configuration'!AE22)</f>
        <v>Ground Level/Dialysis</v>
      </c>
      <c r="E22" s="21" t="str">
        <f>IF('12 - Device_Configuration'!AF22="","",'12 - Device_Configuration'!AF22)</f>
        <v>Open Patient Area</v>
      </c>
      <c r="F22" s="21">
        <f>IF('12 - Device_Configuration'!AG22="","",'12 - Device_Configuration'!AG22)</f>
        <v>21</v>
      </c>
      <c r="G22" s="21" t="str">
        <f>IF('12 - Device_Configuration'!AH22="","",'12 - Device_Configuration'!AH22)</f>
        <v>042V1</v>
      </c>
      <c r="H22" s="21" t="str">
        <f>IF('12 - Device_Configuration'!A22="","",'12 - Device_Configuration'!A22)</f>
        <v>Neuron</v>
      </c>
      <c r="I22" s="21" t="str">
        <f>IF('12 - Device_Configuration'!AI22="","",'12 - Device_Configuration'!AI22)</f>
        <v>Fresenius BlueStar</v>
      </c>
      <c r="J22" s="21" t="str">
        <f>IF('12 - Device_Configuration'!AJ22="","",'12 - Device_Configuration'!AJ22)</f>
        <v>2008T</v>
      </c>
      <c r="K22" s="21" t="str">
        <f>IF('12 - Device_Configuration'!AA22="","",'12 - Device_Configuration'!AA22)</f>
        <v>Dialysis Machine</v>
      </c>
      <c r="L22" s="21" t="str">
        <f>IF('12 - Device_Configuration'!I22="","",'12 - Device_Configuration'!I22)</f>
        <v/>
      </c>
      <c r="M22" s="22"/>
      <c r="N22" s="21" t="str">
        <f>IF('12 - Device_Configuration'!J22="","",'12 - Device_Configuration'!J22)</f>
        <v>NA</v>
      </c>
      <c r="O22" s="21" t="str">
        <f>IF('12 - Device_Configuration'!K22="","",'12 - Device_Configuration'!K22)</f>
        <v>NA</v>
      </c>
      <c r="P22" s="21" t="str">
        <f>IF('12 - Device_Configuration'!L22="","",'12 - Device_Configuration'!L22)</f>
        <v>NA</v>
      </c>
      <c r="Q22" s="22"/>
      <c r="R22" s="21" t="str">
        <f>IF('12 - Device_Configuration'!AY22="","",'12 - Device_Configuration'!AY22)</f>
        <v/>
      </c>
      <c r="S22" s="21" t="str">
        <f>IF('12 - Device_Configuration'!AX22="","",'12 - Device_Configuration'!AX22)</f>
        <v/>
      </c>
      <c r="T22" s="21" t="str">
        <f>IF('12 - Device_Configuration'!AV22="","",'12 - Device_Configuration'!AV22)</f>
        <v/>
      </c>
      <c r="U22" s="21" t="str">
        <f>IF('12 - Device_Configuration'!AW22="","",'12 - Device_Configuration'!AW22)</f>
        <v/>
      </c>
      <c r="V22" s="21" t="str">
        <f>IF('12 - Device_Configuration'!BA22="","",'12 - Device_Configuration'!BA22)</f>
        <v>Yes</v>
      </c>
      <c r="W22" s="21" t="str">
        <f>IF('12 - Device_Configuration'!BC22="","",'12 - Device_Configuration'!BC22)</f>
        <v>Firmware Installed</v>
      </c>
      <c r="X22" s="21" t="str">
        <f>IF('12 - Device_Configuration'!BK22="","",'12 - Device_Configuration'!BK22)</f>
        <v>Power Cable, Battery, Epic Beans Relay</v>
      </c>
      <c r="Y22" s="21" t="str">
        <f>IF('12 - Device_Configuration'!BB22="","",'12 - Device_Configuration'!BB22)</f>
        <v/>
      </c>
      <c r="Z22" s="21" t="str">
        <f>IF('12 - Device_Configuration'!P22="","",'12 - Device_Configuration'!P22)</f>
        <v/>
      </c>
      <c r="AA22" s="21" t="str">
        <f>IF('12 - Device_Configuration'!Q22="","",'12 - Device_Configuration'!Q22)</f>
        <v/>
      </c>
    </row>
    <row r="23" spans="1:27" ht="45.75" customHeight="1">
      <c r="A23" s="22"/>
      <c r="B23" s="22"/>
      <c r="C23" s="21" t="str">
        <f>IF('12 - Device_Configuration'!H23="","",'12 - Device_Configuration'!H23)</f>
        <v>LIJ SDF</v>
      </c>
      <c r="D23" s="21" t="str">
        <f>IF('12 - Device_Configuration'!AE23="","",'12 - Device_Configuration'!AE23)</f>
        <v>Ground Level/Dialysis</v>
      </c>
      <c r="E23" s="21" t="str">
        <f>IF('12 - Device_Configuration'!AF23="","",'12 - Device_Configuration'!AF23)</f>
        <v>Open Patient Area</v>
      </c>
      <c r="F23" s="21">
        <f>IF('12 - Device_Configuration'!AG23="","",'12 - Device_Configuration'!AG23)</f>
        <v>22</v>
      </c>
      <c r="G23" s="21" t="str">
        <f>IF('12 - Device_Configuration'!AH23="","",'12 - Device_Configuration'!AH23)</f>
        <v>042V2</v>
      </c>
      <c r="H23" s="21" t="str">
        <f>IF('12 - Device_Configuration'!A23="","",'12 - Device_Configuration'!A23)</f>
        <v>Neuron</v>
      </c>
      <c r="I23" s="21" t="str">
        <f>IF('12 - Device_Configuration'!AI23="","",'12 - Device_Configuration'!AI23)</f>
        <v>Fresenius BlueStar</v>
      </c>
      <c r="J23" s="21" t="str">
        <f>IF('12 - Device_Configuration'!AJ23="","",'12 - Device_Configuration'!AJ23)</f>
        <v>2008T</v>
      </c>
      <c r="K23" s="21" t="str">
        <f>IF('12 - Device_Configuration'!AA23="","",'12 - Device_Configuration'!AA23)</f>
        <v>Dialysis Machine</v>
      </c>
      <c r="L23" s="21" t="str">
        <f>IF('12 - Device_Configuration'!I23="","",'12 - Device_Configuration'!I23)</f>
        <v/>
      </c>
      <c r="M23" s="22"/>
      <c r="N23" s="21" t="str">
        <f>IF('12 - Device_Configuration'!J23="","",'12 - Device_Configuration'!J23)</f>
        <v>NA</v>
      </c>
      <c r="O23" s="21" t="str">
        <f>IF('12 - Device_Configuration'!K23="","",'12 - Device_Configuration'!K23)</f>
        <v>NA</v>
      </c>
      <c r="P23" s="21" t="str">
        <f>IF('12 - Device_Configuration'!L23="","",'12 - Device_Configuration'!L23)</f>
        <v>NA</v>
      </c>
      <c r="Q23" s="22"/>
      <c r="R23" s="21" t="str">
        <f>IF('12 - Device_Configuration'!AY23="","",'12 - Device_Configuration'!AY23)</f>
        <v/>
      </c>
      <c r="S23" s="21" t="str">
        <f>IF('12 - Device_Configuration'!AX23="","",'12 - Device_Configuration'!AX23)</f>
        <v/>
      </c>
      <c r="T23" s="21" t="str">
        <f>IF('12 - Device_Configuration'!AV23="","",'12 - Device_Configuration'!AV23)</f>
        <v/>
      </c>
      <c r="U23" s="21" t="str">
        <f>IF('12 - Device_Configuration'!AW23="","",'12 - Device_Configuration'!AW23)</f>
        <v/>
      </c>
      <c r="V23" s="21" t="str">
        <f>IF('12 - Device_Configuration'!BA23="","",'12 - Device_Configuration'!BA23)</f>
        <v>Yes</v>
      </c>
      <c r="W23" s="21" t="str">
        <f>IF('12 - Device_Configuration'!BC23="","",'12 - Device_Configuration'!BC23)</f>
        <v>Firmware Installed</v>
      </c>
      <c r="X23" s="21" t="str">
        <f>IF('12 - Device_Configuration'!BK23="","",'12 - Device_Configuration'!BK23)</f>
        <v>Power Cable, Battery, Epic Beans Relay</v>
      </c>
      <c r="Y23" s="21" t="str">
        <f>IF('12 - Device_Configuration'!BB23="","",'12 - Device_Configuration'!BB23)</f>
        <v/>
      </c>
      <c r="Z23" s="21" t="str">
        <f>IF('12 - Device_Configuration'!P23="","",'12 - Device_Configuration'!P23)</f>
        <v/>
      </c>
      <c r="AA23" s="21" t="str">
        <f>IF('12 - Device_Configuration'!Q23="","",'12 - Device_Configuration'!Q23)</f>
        <v/>
      </c>
    </row>
    <row r="24" spans="1:27" ht="45.75" customHeight="1">
      <c r="A24" s="22"/>
      <c r="B24" s="22"/>
      <c r="C24" s="21" t="str">
        <f>IF('12 - Device_Configuration'!H24="","",'12 - Device_Configuration'!H24)</f>
        <v>LIJ SDF</v>
      </c>
      <c r="D24" s="21" t="str">
        <f>IF('12 - Device_Configuration'!AE24="","",'12 - Device_Configuration'!AE24)</f>
        <v>Ground Level/Dialysis</v>
      </c>
      <c r="E24" s="21" t="str">
        <f>IF('12 - Device_Configuration'!AF24="","",'12 - Device_Configuration'!AF24)</f>
        <v>Open Patient Area</v>
      </c>
      <c r="F24" s="21">
        <f>IF('12 - Device_Configuration'!AG24="","",'12 - Device_Configuration'!AG24)</f>
        <v>23</v>
      </c>
      <c r="G24" s="21" t="str">
        <f>IF('12 - Device_Configuration'!AH24="","",'12 - Device_Configuration'!AH24)</f>
        <v>BSM 045D</v>
      </c>
      <c r="H24" s="21" t="str">
        <f>IF('12 - Device_Configuration'!A24="","",'12 - Device_Configuration'!A24)</f>
        <v>Neuron</v>
      </c>
      <c r="I24" s="21" t="str">
        <f>IF('12 - Device_Configuration'!AI24="","",'12 - Device_Configuration'!AI24)</f>
        <v>Fresenius BlueStar</v>
      </c>
      <c r="J24" s="21" t="str">
        <f>IF('12 - Device_Configuration'!AJ24="","",'12 - Device_Configuration'!AJ24)</f>
        <v>2008T</v>
      </c>
      <c r="K24" s="21" t="str">
        <f>IF('12 - Device_Configuration'!AA24="","",'12 - Device_Configuration'!AA24)</f>
        <v>Dialysis Machine</v>
      </c>
      <c r="L24" s="21" t="str">
        <f>IF('12 - Device_Configuration'!I24="","",'12 - Device_Configuration'!I24)</f>
        <v/>
      </c>
      <c r="M24" s="22"/>
      <c r="N24" s="21" t="str">
        <f>IF('12 - Device_Configuration'!J24="","",'12 - Device_Configuration'!J24)</f>
        <v>NA</v>
      </c>
      <c r="O24" s="21" t="str">
        <f>IF('12 - Device_Configuration'!K24="","",'12 - Device_Configuration'!K24)</f>
        <v>NA</v>
      </c>
      <c r="P24" s="21" t="str">
        <f>IF('12 - Device_Configuration'!L24="","",'12 - Device_Configuration'!L24)</f>
        <v>NA</v>
      </c>
      <c r="Q24" s="22"/>
      <c r="R24" s="21" t="str">
        <f>IF('12 - Device_Configuration'!AY24="","",'12 - Device_Configuration'!AY24)</f>
        <v/>
      </c>
      <c r="S24" s="21" t="str">
        <f>IF('12 - Device_Configuration'!AX24="","",'12 - Device_Configuration'!AX24)</f>
        <v/>
      </c>
      <c r="T24" s="21" t="str">
        <f>IF('12 - Device_Configuration'!AV24="","",'12 - Device_Configuration'!AV24)</f>
        <v/>
      </c>
      <c r="U24" s="21" t="str">
        <f>IF('12 - Device_Configuration'!AW24="","",'12 - Device_Configuration'!AW24)</f>
        <v/>
      </c>
      <c r="V24" s="21" t="str">
        <f>IF('12 - Device_Configuration'!BA24="","",'12 - Device_Configuration'!BA24)</f>
        <v>Yes</v>
      </c>
      <c r="W24" s="21" t="str">
        <f>IF('12 - Device_Configuration'!BC24="","",'12 - Device_Configuration'!BC24)</f>
        <v>Firmware Installed</v>
      </c>
      <c r="X24" s="21" t="str">
        <f>IF('12 - Device_Configuration'!BK24="","",'12 - Device_Configuration'!BK24)</f>
        <v>Power Cable, Battery, Epic Beans Relay</v>
      </c>
      <c r="Y24" s="21" t="str">
        <f>IF('12 - Device_Configuration'!BB24="","",'12 - Device_Configuration'!BB24)</f>
        <v/>
      </c>
      <c r="Z24" s="21" t="str">
        <f>IF('12 - Device_Configuration'!P24="","",'12 - Device_Configuration'!P24)</f>
        <v/>
      </c>
      <c r="AA24" s="21" t="str">
        <f>IF('12 - Device_Configuration'!Q24="","",'12 - Device_Configuration'!Q24)</f>
        <v/>
      </c>
    </row>
    <row r="25" spans="1:27" ht="45.75" customHeight="1">
      <c r="A25" s="22"/>
      <c r="B25" s="22"/>
      <c r="C25" s="21" t="str">
        <f>IF('12 - Device_Configuration'!H25="","",'12 - Device_Configuration'!H25)</f>
        <v>LIJ SDF</v>
      </c>
      <c r="D25" s="21" t="str">
        <f>IF('12 - Device_Configuration'!AE25="","",'12 - Device_Configuration'!AE25)</f>
        <v>Ground Level/Dialysis</v>
      </c>
      <c r="E25" s="21" t="str">
        <f>IF('12 - Device_Configuration'!AF25="","",'12 - Device_Configuration'!AF25)</f>
        <v>Open Patient Area</v>
      </c>
      <c r="F25" s="21">
        <f>IF('12 - Device_Configuration'!AG25="","",'12 - Device_Configuration'!AG25)</f>
        <v>24</v>
      </c>
      <c r="G25" s="21" t="str">
        <f>IF('12 - Device_Configuration'!AH25="","",'12 - Device_Configuration'!AH25)</f>
        <v>BSM 046 C</v>
      </c>
      <c r="H25" s="21" t="str">
        <f>IF('12 - Device_Configuration'!A25="","",'12 - Device_Configuration'!A25)</f>
        <v>Neuron</v>
      </c>
      <c r="I25" s="21" t="str">
        <f>IF('12 - Device_Configuration'!AI25="","",'12 - Device_Configuration'!AI25)</f>
        <v>Fresenius BlueStar</v>
      </c>
      <c r="J25" s="21" t="str">
        <f>IF('12 - Device_Configuration'!AJ25="","",'12 - Device_Configuration'!AJ25)</f>
        <v>2008T</v>
      </c>
      <c r="K25" s="21" t="str">
        <f>IF('12 - Device_Configuration'!AA25="","",'12 - Device_Configuration'!AA25)</f>
        <v>Dialysis Machine</v>
      </c>
      <c r="L25" s="21" t="str">
        <f>IF('12 - Device_Configuration'!I25="","",'12 - Device_Configuration'!I25)</f>
        <v/>
      </c>
      <c r="M25" s="22"/>
      <c r="N25" s="21" t="str">
        <f>IF('12 - Device_Configuration'!J25="","",'12 - Device_Configuration'!J25)</f>
        <v>NA</v>
      </c>
      <c r="O25" s="21" t="str">
        <f>IF('12 - Device_Configuration'!K25="","",'12 - Device_Configuration'!K25)</f>
        <v>NA</v>
      </c>
      <c r="P25" s="21" t="str">
        <f>IF('12 - Device_Configuration'!L25="","",'12 - Device_Configuration'!L25)</f>
        <v>NA</v>
      </c>
      <c r="Q25" s="22"/>
      <c r="R25" s="21" t="str">
        <f>IF('12 - Device_Configuration'!AY25="","",'12 - Device_Configuration'!AY25)</f>
        <v/>
      </c>
      <c r="S25" s="21" t="str">
        <f>IF('12 - Device_Configuration'!AX25="","",'12 - Device_Configuration'!AX25)</f>
        <v/>
      </c>
      <c r="T25" s="21" t="str">
        <f>IF('12 - Device_Configuration'!AV25="","",'12 - Device_Configuration'!AV25)</f>
        <v/>
      </c>
      <c r="U25" s="21" t="str">
        <f>IF('12 - Device_Configuration'!AW25="","",'12 - Device_Configuration'!AW25)</f>
        <v/>
      </c>
      <c r="V25" s="21" t="str">
        <f>IF('12 - Device_Configuration'!BA25="","",'12 - Device_Configuration'!BA25)</f>
        <v>Yes</v>
      </c>
      <c r="W25" s="21" t="str">
        <f>IF('12 - Device_Configuration'!BC25="","",'12 - Device_Configuration'!BC25)</f>
        <v>Firmware Installed</v>
      </c>
      <c r="X25" s="21" t="str">
        <f>IF('12 - Device_Configuration'!BK25="","",'12 - Device_Configuration'!BK25)</f>
        <v>Power Cable, Battery, Epic Beans Relay</v>
      </c>
      <c r="Y25" s="21" t="str">
        <f>IF('12 - Device_Configuration'!BB25="","",'12 - Device_Configuration'!BB25)</f>
        <v/>
      </c>
      <c r="Z25" s="21" t="str">
        <f>IF('12 - Device_Configuration'!P25="","",'12 - Device_Configuration'!P25)</f>
        <v/>
      </c>
      <c r="AA25" s="21" t="str">
        <f>IF('12 - Device_Configuration'!Q25="","",'12 - Device_Configuration'!Q25)</f>
        <v/>
      </c>
    </row>
    <row r="26" spans="1:27" ht="45.75" customHeight="1">
      <c r="A26" s="22"/>
      <c r="B26" s="22"/>
      <c r="C26" s="21" t="str">
        <f>IF('12 - Device_Configuration'!H26="","",'12 - Device_Configuration'!H26)</f>
        <v>LIJ SDF</v>
      </c>
      <c r="D26" s="21" t="str">
        <f>IF('12 - Device_Configuration'!AE26="","",'12 - Device_Configuration'!AE26)</f>
        <v>Ground Level/Dialysis</v>
      </c>
      <c r="E26" s="21" t="str">
        <f>IF('12 - Device_Configuration'!AF26="","",'12 - Device_Configuration'!AF26)</f>
        <v>Open Patient Area</v>
      </c>
      <c r="F26" s="21">
        <f>IF('12 - Device_Configuration'!AG26="","",'12 - Device_Configuration'!AG26)</f>
        <v>25</v>
      </c>
      <c r="G26" s="21" t="str">
        <f>IF('12 - Device_Configuration'!AH26="","",'12 - Device_Configuration'!AH26)</f>
        <v>BSM 046D</v>
      </c>
      <c r="H26" s="21" t="str">
        <f>IF('12 - Device_Configuration'!A26="","",'12 - Device_Configuration'!A26)</f>
        <v>Neuron</v>
      </c>
      <c r="I26" s="21" t="str">
        <f>IF('12 - Device_Configuration'!AI26="","",'12 - Device_Configuration'!AI26)</f>
        <v>Fresenius BlueStar</v>
      </c>
      <c r="J26" s="21" t="str">
        <f>IF('12 - Device_Configuration'!AJ26="","",'12 - Device_Configuration'!AJ26)</f>
        <v>2008T</v>
      </c>
      <c r="K26" s="21" t="str">
        <f>IF('12 - Device_Configuration'!AA26="","",'12 - Device_Configuration'!AA26)</f>
        <v>Dialysis Machine</v>
      </c>
      <c r="L26" s="21" t="str">
        <f>IF('12 - Device_Configuration'!I26="","",'12 - Device_Configuration'!I26)</f>
        <v/>
      </c>
      <c r="M26" s="22"/>
      <c r="N26" s="21" t="str">
        <f>IF('12 - Device_Configuration'!J26="","",'12 - Device_Configuration'!J26)</f>
        <v>NA</v>
      </c>
      <c r="O26" s="21" t="str">
        <f>IF('12 - Device_Configuration'!K26="","",'12 - Device_Configuration'!K26)</f>
        <v>NA</v>
      </c>
      <c r="P26" s="21" t="str">
        <f>IF('12 - Device_Configuration'!L26="","",'12 - Device_Configuration'!L26)</f>
        <v>NA</v>
      </c>
      <c r="Q26" s="22"/>
      <c r="R26" s="21" t="str">
        <f>IF('12 - Device_Configuration'!AY26="","",'12 - Device_Configuration'!AY26)</f>
        <v/>
      </c>
      <c r="S26" s="21" t="str">
        <f>IF('12 - Device_Configuration'!AX26="","",'12 - Device_Configuration'!AX26)</f>
        <v/>
      </c>
      <c r="T26" s="21" t="str">
        <f>IF('12 - Device_Configuration'!AV26="","",'12 - Device_Configuration'!AV26)</f>
        <v/>
      </c>
      <c r="U26" s="21" t="str">
        <f>IF('12 - Device_Configuration'!AW26="","",'12 - Device_Configuration'!AW26)</f>
        <v/>
      </c>
      <c r="V26" s="21" t="str">
        <f>IF('12 - Device_Configuration'!BA26="","",'12 - Device_Configuration'!BA26)</f>
        <v>Yes</v>
      </c>
      <c r="W26" s="21" t="str">
        <f>IF('12 - Device_Configuration'!BC26="","",'12 - Device_Configuration'!BC26)</f>
        <v>Firmware Installed</v>
      </c>
      <c r="X26" s="21" t="str">
        <f>IF('12 - Device_Configuration'!BK26="","",'12 - Device_Configuration'!BK26)</f>
        <v>Power Cable, Battery, Epic Beans Relay</v>
      </c>
      <c r="Y26" s="21" t="str">
        <f>IF('12 - Device_Configuration'!BB26="","",'12 - Device_Configuration'!BB26)</f>
        <v/>
      </c>
      <c r="Z26" s="21" t="str">
        <f>IF('12 - Device_Configuration'!P26="","",'12 - Device_Configuration'!P26)</f>
        <v/>
      </c>
      <c r="AA26" s="21" t="str">
        <f>IF('12 - Device_Configuration'!Q26="","",'12 - Device_Configuration'!Q26)</f>
        <v/>
      </c>
    </row>
    <row r="27" spans="1:27" ht="30">
      <c r="A27" s="22"/>
      <c r="B27" s="22"/>
      <c r="C27" s="21" t="str">
        <f>IF('12 - Device_Configuration'!H27="","",'12 - Device_Configuration'!H27)</f>
        <v>LIJ SDF</v>
      </c>
      <c r="D27" s="21" t="str">
        <f>IF('12 - Device_Configuration'!AE27="","",'12 - Device_Configuration'!AE27)</f>
        <v/>
      </c>
      <c r="E27" s="21" t="str">
        <f>IF('12 - Device_Configuration'!AF27="","",'12 - Device_Configuration'!AF27)</f>
        <v/>
      </c>
      <c r="F27" s="21" t="str">
        <f>IF('12 - Device_Configuration'!AG27="","",'12 - Device_Configuration'!AG27)</f>
        <v/>
      </c>
      <c r="G27" s="21" t="str">
        <f>IF('12 - Device_Configuration'!AH27="","",'12 - Device_Configuration'!AH27)</f>
        <v/>
      </c>
      <c r="H27" s="21" t="str">
        <f>IF('12 - Device_Configuration'!A27="","",'12 - Device_Configuration'!A27)</f>
        <v>Neuron</v>
      </c>
      <c r="I27" s="21" t="str">
        <f>IF('12 - Device_Configuration'!AI27="","",'12 - Device_Configuration'!AI27)</f>
        <v/>
      </c>
      <c r="J27" s="21" t="str">
        <f>IF('12 - Device_Configuration'!AJ27="","",'12 - Device_Configuration'!AJ27)</f>
        <v/>
      </c>
      <c r="K27" s="21" t="str">
        <f>IF('12 - Device_Configuration'!AA27="","",'12 - Device_Configuration'!AA27)</f>
        <v>Dialysis Machine</v>
      </c>
      <c r="L27" s="21" t="str">
        <f>IF('12 - Device_Configuration'!I27="","",'12 - Device_Configuration'!I27)</f>
        <v/>
      </c>
      <c r="M27" s="22"/>
      <c r="N27" s="21" t="str">
        <f>IF('12 - Device_Configuration'!J27="","",'12 - Device_Configuration'!J27)</f>
        <v>NA</v>
      </c>
      <c r="O27" s="21" t="str">
        <f>IF('12 - Device_Configuration'!K27="","",'12 - Device_Configuration'!K27)</f>
        <v>NA</v>
      </c>
      <c r="P27" s="21" t="str">
        <f>IF('12 - Device_Configuration'!L27="","",'12 - Device_Configuration'!L27)</f>
        <v>NA</v>
      </c>
      <c r="Q27" s="22"/>
      <c r="R27" s="21" t="str">
        <f>IF('12 - Device_Configuration'!AY27="","",'12 - Device_Configuration'!AY27)</f>
        <v/>
      </c>
      <c r="S27" s="21" t="str">
        <f>IF('12 - Device_Configuration'!AX27="","",'12 - Device_Configuration'!AX27)</f>
        <v/>
      </c>
      <c r="T27" s="21" t="str">
        <f>IF('12 - Device_Configuration'!AV27="","",'12 - Device_Configuration'!AV27)</f>
        <v/>
      </c>
      <c r="U27" s="21" t="str">
        <f>IF('12 - Device_Configuration'!AW27="","",'12 - Device_Configuration'!AW27)</f>
        <v/>
      </c>
      <c r="V27" s="21" t="str">
        <f>IF('12 - Device_Configuration'!BA27="","",'12 - Device_Configuration'!BA27)</f>
        <v>Yes</v>
      </c>
      <c r="W27" s="21" t="str">
        <f>IF('12 - Device_Configuration'!BC27="","",'12 - Device_Configuration'!BC27)</f>
        <v>Firmware Installed</v>
      </c>
      <c r="X27" s="21" t="str">
        <f>IF('12 - Device_Configuration'!BK27="","",'12 - Device_Configuration'!BK27)</f>
        <v>Power Cable, Battery, Epic Beans Relay</v>
      </c>
      <c r="Y27" s="21" t="str">
        <f>IF('12 - Device_Configuration'!BB27="","",'12 - Device_Configuration'!BB27)</f>
        <v/>
      </c>
      <c r="Z27" s="21" t="str">
        <f>IF('12 - Device_Configuration'!P27="","",'12 - Device_Configuration'!P27)</f>
        <v/>
      </c>
      <c r="AA27" s="21" t="str">
        <f>IF('12 - Device_Configuration'!Q27="","",'12 - Device_Configuration'!Q27)</f>
        <v/>
      </c>
    </row>
    <row r="28" spans="1:27" ht="30">
      <c r="A28" s="22"/>
      <c r="B28" s="22"/>
      <c r="C28" s="21" t="str">
        <f>IF('12 - Device_Configuration'!H28="","",'12 - Device_Configuration'!H28)</f>
        <v>LIJ SDF</v>
      </c>
      <c r="D28" s="21" t="str">
        <f>IF('12 - Device_Configuration'!AE28="","",'12 - Device_Configuration'!AE28)</f>
        <v/>
      </c>
      <c r="E28" s="21" t="str">
        <f>IF('12 - Device_Configuration'!AF28="","",'12 - Device_Configuration'!AF28)</f>
        <v/>
      </c>
      <c r="F28" s="21" t="str">
        <f>IF('12 - Device_Configuration'!AG28="","",'12 - Device_Configuration'!AG28)</f>
        <v/>
      </c>
      <c r="G28" s="21" t="str">
        <f>IF('12 - Device_Configuration'!AH28="","",'12 - Device_Configuration'!AH28)</f>
        <v/>
      </c>
      <c r="H28" s="21" t="str">
        <f>IF('12 - Device_Configuration'!A28="","",'12 - Device_Configuration'!A28)</f>
        <v>Neuron</v>
      </c>
      <c r="I28" s="21" t="str">
        <f>IF('12 - Device_Configuration'!AI28="","",'12 - Device_Configuration'!AI28)</f>
        <v/>
      </c>
      <c r="J28" s="21" t="str">
        <f>IF('12 - Device_Configuration'!AJ28="","",'12 - Device_Configuration'!AJ28)</f>
        <v/>
      </c>
      <c r="K28" s="21" t="str">
        <f>IF('12 - Device_Configuration'!AA28="","",'12 - Device_Configuration'!AA28)</f>
        <v>Dialysis Machine</v>
      </c>
      <c r="L28" s="21" t="str">
        <f>IF('12 - Device_Configuration'!I28="","",'12 - Device_Configuration'!I28)</f>
        <v/>
      </c>
      <c r="M28" s="22"/>
      <c r="N28" s="21" t="str">
        <f>IF('12 - Device_Configuration'!J28="","",'12 - Device_Configuration'!J28)</f>
        <v>NA</v>
      </c>
      <c r="O28" s="21" t="str">
        <f>IF('12 - Device_Configuration'!K28="","",'12 - Device_Configuration'!K28)</f>
        <v>NA</v>
      </c>
      <c r="P28" s="21" t="str">
        <f>IF('12 - Device_Configuration'!L28="","",'12 - Device_Configuration'!L28)</f>
        <v>NA</v>
      </c>
      <c r="Q28" s="22"/>
      <c r="R28" s="21" t="str">
        <f>IF('12 - Device_Configuration'!AY28="","",'12 - Device_Configuration'!AY28)</f>
        <v/>
      </c>
      <c r="S28" s="21" t="str">
        <f>IF('12 - Device_Configuration'!AX28="","",'12 - Device_Configuration'!AX28)</f>
        <v/>
      </c>
      <c r="T28" s="21" t="str">
        <f>IF('12 - Device_Configuration'!AV28="","",'12 - Device_Configuration'!AV28)</f>
        <v/>
      </c>
      <c r="U28" s="21" t="str">
        <f>IF('12 - Device_Configuration'!AW28="","",'12 - Device_Configuration'!AW28)</f>
        <v/>
      </c>
      <c r="V28" s="21" t="str">
        <f>IF('12 - Device_Configuration'!BA28="","",'12 - Device_Configuration'!BA28)</f>
        <v>Yes</v>
      </c>
      <c r="W28" s="21" t="str">
        <f>IF('12 - Device_Configuration'!BC28="","",'12 - Device_Configuration'!BC28)</f>
        <v>Firmware Installed</v>
      </c>
      <c r="X28" s="21" t="str">
        <f>IF('12 - Device_Configuration'!BK28="","",'12 - Device_Configuration'!BK28)</f>
        <v>Power Cable, Battery, Epic Beans Relay</v>
      </c>
      <c r="Y28" s="21" t="str">
        <f>IF('12 - Device_Configuration'!BB28="","",'12 - Device_Configuration'!BB28)</f>
        <v/>
      </c>
      <c r="Z28" s="21" t="str">
        <f>IF('12 - Device_Configuration'!P28="","",'12 - Device_Configuration'!P28)</f>
        <v/>
      </c>
      <c r="AA28" s="21" t="str">
        <f>IF('12 - Device_Configuration'!Q28="","",'12 - Device_Configuration'!Q28)</f>
        <v/>
      </c>
    </row>
    <row r="29" spans="1:27" ht="30">
      <c r="A29" s="22"/>
      <c r="B29" s="22"/>
      <c r="C29" s="21" t="str">
        <f>IF('12 - Device_Configuration'!H29="","",'12 - Device_Configuration'!H29)</f>
        <v>LIJ SDF</v>
      </c>
      <c r="D29" s="21" t="str">
        <f>IF('12 - Device_Configuration'!AE29="","",'12 - Device_Configuration'!AE29)</f>
        <v/>
      </c>
      <c r="E29" s="21" t="str">
        <f>IF('12 - Device_Configuration'!AF29="","",'12 - Device_Configuration'!AF29)</f>
        <v/>
      </c>
      <c r="F29" s="21" t="str">
        <f>IF('12 - Device_Configuration'!AG29="","",'12 - Device_Configuration'!AG29)</f>
        <v/>
      </c>
      <c r="G29" s="21" t="str">
        <f>IF('12 - Device_Configuration'!AH29="","",'12 - Device_Configuration'!AH29)</f>
        <v/>
      </c>
      <c r="H29" s="21" t="str">
        <f>IF('12 - Device_Configuration'!A29="","",'12 - Device_Configuration'!A29)</f>
        <v>Neuron</v>
      </c>
      <c r="I29" s="21" t="str">
        <f>IF('12 - Device_Configuration'!AI29="","",'12 - Device_Configuration'!AI29)</f>
        <v/>
      </c>
      <c r="J29" s="21" t="str">
        <f>IF('12 - Device_Configuration'!AJ29="","",'12 - Device_Configuration'!AJ29)</f>
        <v/>
      </c>
      <c r="K29" s="21" t="str">
        <f>IF('12 - Device_Configuration'!AA29="","",'12 - Device_Configuration'!AA29)</f>
        <v>Dialysis Machine</v>
      </c>
      <c r="L29" s="21" t="str">
        <f>IF('12 - Device_Configuration'!I29="","",'12 - Device_Configuration'!I29)</f>
        <v/>
      </c>
      <c r="M29" s="22"/>
      <c r="N29" s="21" t="str">
        <f>IF('12 - Device_Configuration'!J29="","",'12 - Device_Configuration'!J29)</f>
        <v>NA</v>
      </c>
      <c r="O29" s="21" t="str">
        <f>IF('12 - Device_Configuration'!K29="","",'12 - Device_Configuration'!K29)</f>
        <v>NA</v>
      </c>
      <c r="P29" s="21" t="str">
        <f>IF('12 - Device_Configuration'!L29="","",'12 - Device_Configuration'!L29)</f>
        <v>NA</v>
      </c>
      <c r="Q29" s="22"/>
      <c r="R29" s="21" t="str">
        <f>IF('12 - Device_Configuration'!AY29="","",'12 - Device_Configuration'!AY29)</f>
        <v/>
      </c>
      <c r="S29" s="21" t="str">
        <f>IF('12 - Device_Configuration'!AX29="","",'12 - Device_Configuration'!AX29)</f>
        <v/>
      </c>
      <c r="T29" s="21" t="str">
        <f>IF('12 - Device_Configuration'!AV29="","",'12 - Device_Configuration'!AV29)</f>
        <v/>
      </c>
      <c r="U29" s="21" t="str">
        <f>IF('12 - Device_Configuration'!AW29="","",'12 - Device_Configuration'!AW29)</f>
        <v/>
      </c>
      <c r="V29" s="21" t="str">
        <f>IF('12 - Device_Configuration'!BA29="","",'12 - Device_Configuration'!BA29)</f>
        <v>Yes</v>
      </c>
      <c r="W29" s="21" t="str">
        <f>IF('12 - Device_Configuration'!BC29="","",'12 - Device_Configuration'!BC29)</f>
        <v>Firmware Installed</v>
      </c>
      <c r="X29" s="21" t="str">
        <f>IF('12 - Device_Configuration'!BK29="","",'12 - Device_Configuration'!BK29)</f>
        <v>Power Cable, Battery, Epic Beans Relay</v>
      </c>
      <c r="Y29" s="21" t="str">
        <f>IF('12 - Device_Configuration'!BB29="","",'12 - Device_Configuration'!BB29)</f>
        <v/>
      </c>
      <c r="Z29" s="21" t="str">
        <f>IF('12 - Device_Configuration'!P29="","",'12 - Device_Configuration'!P29)</f>
        <v/>
      </c>
      <c r="AA29" s="21" t="str">
        <f>IF('12 - Device_Configuration'!Q29="","",'12 - Device_Configuration'!Q29)</f>
        <v/>
      </c>
    </row>
    <row r="30" spans="1:27" ht="30">
      <c r="A30" s="22"/>
      <c r="B30" s="22"/>
      <c r="C30" s="21" t="str">
        <f>IF('12 - Device_Configuration'!H30="","",'12 - Device_Configuration'!H30)</f>
        <v>LIJ SDF</v>
      </c>
      <c r="D30" s="21" t="str">
        <f>IF('12 - Device_Configuration'!AE30="","",'12 - Device_Configuration'!AE30)</f>
        <v/>
      </c>
      <c r="E30" s="21" t="str">
        <f>IF('12 - Device_Configuration'!AF30="","",'12 - Device_Configuration'!AF30)</f>
        <v/>
      </c>
      <c r="F30" s="21" t="str">
        <f>IF('12 - Device_Configuration'!AG30="","",'12 - Device_Configuration'!AG30)</f>
        <v/>
      </c>
      <c r="G30" s="21" t="str">
        <f>IF('12 - Device_Configuration'!AH30="","",'12 - Device_Configuration'!AH30)</f>
        <v/>
      </c>
      <c r="H30" s="21" t="str">
        <f>IF('12 - Device_Configuration'!A30="","",'12 - Device_Configuration'!A30)</f>
        <v>Neuron</v>
      </c>
      <c r="I30" s="21" t="str">
        <f>IF('12 - Device_Configuration'!AI30="","",'12 - Device_Configuration'!AI30)</f>
        <v/>
      </c>
      <c r="J30" s="21" t="str">
        <f>IF('12 - Device_Configuration'!AJ30="","",'12 - Device_Configuration'!AJ30)</f>
        <v/>
      </c>
      <c r="K30" s="21" t="str">
        <f>IF('12 - Device_Configuration'!AA30="","",'12 - Device_Configuration'!AA30)</f>
        <v/>
      </c>
      <c r="L30" s="21" t="str">
        <f>IF('12 - Device_Configuration'!I30="","",'12 - Device_Configuration'!I30)</f>
        <v/>
      </c>
      <c r="M30" s="22"/>
      <c r="N30" s="21" t="str">
        <f>IF('12 - Device_Configuration'!J30="","",'12 - Device_Configuration'!J30)</f>
        <v/>
      </c>
      <c r="O30" s="21" t="str">
        <f>IF('12 - Device_Configuration'!K30="","",'12 - Device_Configuration'!K30)</f>
        <v/>
      </c>
      <c r="P30" s="21" t="str">
        <f>IF('12 - Device_Configuration'!L30="","",'12 - Device_Configuration'!L30)</f>
        <v/>
      </c>
      <c r="Q30" s="22"/>
      <c r="R30" s="21" t="str">
        <f>IF('12 - Device_Configuration'!AY30="","",'12 - Device_Configuration'!AY30)</f>
        <v/>
      </c>
      <c r="S30" s="21" t="str">
        <f>IF('12 - Device_Configuration'!AX30="","",'12 - Device_Configuration'!AX30)</f>
        <v/>
      </c>
      <c r="T30" s="21" t="str">
        <f>IF('12 - Device_Configuration'!AV30="","",'12 - Device_Configuration'!AV30)</f>
        <v/>
      </c>
      <c r="U30" s="21" t="str">
        <f>IF('12 - Device_Configuration'!AW30="","",'12 - Device_Configuration'!AW30)</f>
        <v/>
      </c>
      <c r="V30" s="21" t="str">
        <f>IF('12 - Device_Configuration'!BA30="","",'12 - Device_Configuration'!BA30)</f>
        <v>Yes</v>
      </c>
      <c r="W30" s="21" t="str">
        <f>IF('12 - Device_Configuration'!BC30="","",'12 - Device_Configuration'!BC30)</f>
        <v>Firmware Installed</v>
      </c>
      <c r="X30" s="21" t="str">
        <f>IF('12 - Device_Configuration'!BK30="","",'12 - Device_Configuration'!BK30)</f>
        <v>Power Cable, Battery, Epic Beans Relay</v>
      </c>
      <c r="Y30" s="21" t="str">
        <f>IF('12 - Device_Configuration'!BB30="","",'12 - Device_Configuration'!BB30)</f>
        <v>Spare Unit</v>
      </c>
      <c r="Z30" s="21" t="str">
        <f>IF('12 - Device_Configuration'!P30="","",'12 - Device_Configuration'!P30)</f>
        <v/>
      </c>
      <c r="AA30" s="21" t="str">
        <f>IF('12 - Device_Configuration'!Q30="","",'12 - Device_Configuration'!Q30)</f>
        <v/>
      </c>
    </row>
    <row r="31" spans="1:27" ht="30">
      <c r="A31" s="22"/>
      <c r="B31" s="22"/>
      <c r="C31" s="21" t="str">
        <f>IF('12 - Device_Configuration'!H31="","",'12 - Device_Configuration'!H31)</f>
        <v>LIJ SDF</v>
      </c>
      <c r="D31" s="21" t="str">
        <f>IF('12 - Device_Configuration'!AE31="","",'12 - Device_Configuration'!AE31)</f>
        <v/>
      </c>
      <c r="E31" s="21" t="str">
        <f>IF('12 - Device_Configuration'!AF31="","",'12 - Device_Configuration'!AF31)</f>
        <v/>
      </c>
      <c r="F31" s="21" t="str">
        <f>IF('12 - Device_Configuration'!AG31="","",'12 - Device_Configuration'!AG31)</f>
        <v/>
      </c>
      <c r="G31" s="21" t="str">
        <f>IF('12 - Device_Configuration'!AH31="","",'12 - Device_Configuration'!AH31)</f>
        <v/>
      </c>
      <c r="H31" s="21" t="str">
        <f>IF('12 - Device_Configuration'!A31="","",'12 - Device_Configuration'!A31)</f>
        <v>Neuron</v>
      </c>
      <c r="I31" s="21" t="str">
        <f>IF('12 - Device_Configuration'!AI31="","",'12 - Device_Configuration'!AI31)</f>
        <v/>
      </c>
      <c r="J31" s="21" t="str">
        <f>IF('12 - Device_Configuration'!AJ31="","",'12 - Device_Configuration'!AJ31)</f>
        <v/>
      </c>
      <c r="K31" s="21" t="str">
        <f>IF('12 - Device_Configuration'!AA31="","",'12 - Device_Configuration'!AA31)</f>
        <v/>
      </c>
      <c r="L31" s="21" t="str">
        <f>IF('12 - Device_Configuration'!I31="","",'12 - Device_Configuration'!I31)</f>
        <v/>
      </c>
      <c r="M31" s="22"/>
      <c r="N31" s="21" t="str">
        <f>IF('12 - Device_Configuration'!J31="","",'12 - Device_Configuration'!J31)</f>
        <v/>
      </c>
      <c r="O31" s="21" t="str">
        <f>IF('12 - Device_Configuration'!K31="","",'12 - Device_Configuration'!K31)</f>
        <v/>
      </c>
      <c r="P31" s="21" t="str">
        <f>IF('12 - Device_Configuration'!L31="","",'12 - Device_Configuration'!L31)</f>
        <v/>
      </c>
      <c r="Q31" s="22"/>
      <c r="R31" s="21" t="str">
        <f>IF('12 - Device_Configuration'!AY31="","",'12 - Device_Configuration'!AY31)</f>
        <v/>
      </c>
      <c r="S31" s="21" t="str">
        <f>IF('12 - Device_Configuration'!AX31="","",'12 - Device_Configuration'!AX31)</f>
        <v/>
      </c>
      <c r="T31" s="21" t="str">
        <f>IF('12 - Device_Configuration'!AV31="","",'12 - Device_Configuration'!AV31)</f>
        <v/>
      </c>
      <c r="U31" s="21" t="str">
        <f>IF('12 - Device_Configuration'!AW31="","",'12 - Device_Configuration'!AW31)</f>
        <v/>
      </c>
      <c r="V31" s="21" t="str">
        <f>IF('12 - Device_Configuration'!BA31="","",'12 - Device_Configuration'!BA31)</f>
        <v>Yes</v>
      </c>
      <c r="W31" s="21" t="str">
        <f>IF('12 - Device_Configuration'!BC31="","",'12 - Device_Configuration'!BC31)</f>
        <v>Firmware Installed</v>
      </c>
      <c r="X31" s="21" t="str">
        <f>IF('12 - Device_Configuration'!BK31="","",'12 - Device_Configuration'!BK31)</f>
        <v>Power Cable, Battery, Epic Beans Relay</v>
      </c>
      <c r="Y31" s="21" t="str">
        <f>IF('12 - Device_Configuration'!BB31="","",'12 - Device_Configuration'!BB31)</f>
        <v>Spare Unit</v>
      </c>
      <c r="Z31" s="21" t="str">
        <f>IF('12 - Device_Configuration'!P31="","",'12 - Device_Configuration'!P31)</f>
        <v/>
      </c>
      <c r="AA31" s="21" t="str">
        <f>IF('12 - Device_Configuration'!Q31="","",'12 - Device_Configuration'!Q31)</f>
        <v/>
      </c>
    </row>
    <row r="32" spans="1:27" ht="30">
      <c r="A32" s="22"/>
      <c r="B32" s="22"/>
      <c r="C32" s="21" t="str">
        <f>IF('12 - Device_Configuration'!H32="","",'12 - Device_Configuration'!H32)</f>
        <v>LIJ SDF</v>
      </c>
      <c r="D32" s="21" t="str">
        <f>IF('12 - Device_Configuration'!AE32="","",'12 - Device_Configuration'!AE32)</f>
        <v/>
      </c>
      <c r="E32" s="21" t="str">
        <f>IF('12 - Device_Configuration'!AF32="","",'12 - Device_Configuration'!AF32)</f>
        <v/>
      </c>
      <c r="F32" s="21" t="str">
        <f>IF('12 - Device_Configuration'!AG32="","",'12 - Device_Configuration'!AG32)</f>
        <v/>
      </c>
      <c r="G32" s="21" t="str">
        <f>IF('12 - Device_Configuration'!AH32="","",'12 - Device_Configuration'!AH32)</f>
        <v/>
      </c>
      <c r="H32" s="21" t="str">
        <f>IF('12 - Device_Configuration'!A32="","",'12 - Device_Configuration'!A32)</f>
        <v>Neuron</v>
      </c>
      <c r="I32" s="21" t="str">
        <f>IF('12 - Device_Configuration'!AI32="","",'12 - Device_Configuration'!AI32)</f>
        <v/>
      </c>
      <c r="J32" s="21" t="str">
        <f>IF('12 - Device_Configuration'!AJ32="","",'12 - Device_Configuration'!AJ32)</f>
        <v/>
      </c>
      <c r="K32" s="21" t="str">
        <f>IF('12 - Device_Configuration'!AA32="","",'12 - Device_Configuration'!AA32)</f>
        <v/>
      </c>
      <c r="L32" s="21" t="str">
        <f>IF('12 - Device_Configuration'!I32="","",'12 - Device_Configuration'!I32)</f>
        <v/>
      </c>
      <c r="M32" s="22"/>
      <c r="N32" s="21" t="str">
        <f>IF('12 - Device_Configuration'!J32="","",'12 - Device_Configuration'!J32)</f>
        <v/>
      </c>
      <c r="O32" s="21" t="str">
        <f>IF('12 - Device_Configuration'!K32="","",'12 - Device_Configuration'!K32)</f>
        <v/>
      </c>
      <c r="P32" s="21" t="str">
        <f>IF('12 - Device_Configuration'!L32="","",'12 - Device_Configuration'!L32)</f>
        <v/>
      </c>
      <c r="Q32" s="22"/>
      <c r="R32" s="21" t="str">
        <f>IF('12 - Device_Configuration'!AY32="","",'12 - Device_Configuration'!AY32)</f>
        <v/>
      </c>
      <c r="S32" s="21" t="str">
        <f>IF('12 - Device_Configuration'!AX32="","",'12 - Device_Configuration'!AX32)</f>
        <v/>
      </c>
      <c r="T32" s="21" t="str">
        <f>IF('12 - Device_Configuration'!AV32="","",'12 - Device_Configuration'!AV32)</f>
        <v/>
      </c>
      <c r="U32" s="21" t="str">
        <f>IF('12 - Device_Configuration'!AW32="","",'12 - Device_Configuration'!AW32)</f>
        <v/>
      </c>
      <c r="V32" s="21" t="str">
        <f>IF('12 - Device_Configuration'!BA32="","",'12 - Device_Configuration'!BA32)</f>
        <v>Yes</v>
      </c>
      <c r="W32" s="21" t="str">
        <f>IF('12 - Device_Configuration'!BC32="","",'12 - Device_Configuration'!BC32)</f>
        <v>Firmware Installed</v>
      </c>
      <c r="X32" s="21" t="str">
        <f>IF('12 - Device_Configuration'!BK32="","",'12 - Device_Configuration'!BK32)</f>
        <v>Power Cable, Battery, Epic Beans Relay</v>
      </c>
      <c r="Y32" s="21" t="str">
        <f>IF('12 - Device_Configuration'!BB32="","",'12 - Device_Configuration'!BB32)</f>
        <v>Spare Unit</v>
      </c>
      <c r="Z32" s="21" t="str">
        <f>IF('12 - Device_Configuration'!P32="","",'12 - Device_Configuration'!P32)</f>
        <v/>
      </c>
      <c r="AA32" s="21" t="str">
        <f>IF('12 - Device_Configuration'!Q32="","",'12 - Device_Configuration'!Q32)</f>
        <v/>
      </c>
    </row>
    <row r="33" spans="1:27" ht="30">
      <c r="A33" s="22"/>
      <c r="B33" s="22"/>
      <c r="C33" s="21" t="str">
        <f>IF('12 - Device_Configuration'!H33="","",'12 - Device_Configuration'!H33)</f>
        <v>LIJ SDF</v>
      </c>
      <c r="D33" s="21" t="str">
        <f>IF('12 - Device_Configuration'!AE33="","",'12 - Device_Configuration'!AE33)</f>
        <v/>
      </c>
      <c r="E33" s="21" t="str">
        <f>IF('12 - Device_Configuration'!AF33="","",'12 - Device_Configuration'!AF33)</f>
        <v/>
      </c>
      <c r="F33" s="21" t="str">
        <f>IF('12 - Device_Configuration'!AG33="","",'12 - Device_Configuration'!AG33)</f>
        <v/>
      </c>
      <c r="G33" s="21" t="str">
        <f>IF('12 - Device_Configuration'!AH33="","",'12 - Device_Configuration'!AH33)</f>
        <v/>
      </c>
      <c r="H33" s="21" t="str">
        <f>IF('12 - Device_Configuration'!A33="","",'12 - Device_Configuration'!A33)</f>
        <v>Neuron</v>
      </c>
      <c r="I33" s="21" t="str">
        <f>IF('12 - Device_Configuration'!AI33="","",'12 - Device_Configuration'!AI33)</f>
        <v/>
      </c>
      <c r="J33" s="21" t="str">
        <f>IF('12 - Device_Configuration'!AJ33="","",'12 - Device_Configuration'!AJ33)</f>
        <v/>
      </c>
      <c r="K33" s="21" t="str">
        <f>IF('12 - Device_Configuration'!AA33="","",'12 - Device_Configuration'!AA33)</f>
        <v/>
      </c>
      <c r="L33" s="21" t="str">
        <f>IF('12 - Device_Configuration'!I33="","",'12 - Device_Configuration'!I33)</f>
        <v/>
      </c>
      <c r="M33" s="22"/>
      <c r="N33" s="21" t="str">
        <f>IF('12 - Device_Configuration'!J33="","",'12 - Device_Configuration'!J33)</f>
        <v/>
      </c>
      <c r="O33" s="21" t="str">
        <f>IF('12 - Device_Configuration'!K33="","",'12 - Device_Configuration'!K33)</f>
        <v/>
      </c>
      <c r="P33" s="21" t="str">
        <f>IF('12 - Device_Configuration'!L33="","",'12 - Device_Configuration'!L33)</f>
        <v/>
      </c>
      <c r="Q33" s="22"/>
      <c r="R33" s="21" t="str">
        <f>IF('12 - Device_Configuration'!AY33="","",'12 - Device_Configuration'!AY33)</f>
        <v/>
      </c>
      <c r="S33" s="21" t="str">
        <f>IF('12 - Device_Configuration'!AX33="","",'12 - Device_Configuration'!AX33)</f>
        <v/>
      </c>
      <c r="T33" s="21" t="str">
        <f>IF('12 - Device_Configuration'!AV33="","",'12 - Device_Configuration'!AV33)</f>
        <v/>
      </c>
      <c r="U33" s="21" t="str">
        <f>IF('12 - Device_Configuration'!AW33="","",'12 - Device_Configuration'!AW33)</f>
        <v/>
      </c>
      <c r="V33" s="21" t="str">
        <f>IF('12 - Device_Configuration'!BA33="","",'12 - Device_Configuration'!BA33)</f>
        <v>Yes</v>
      </c>
      <c r="W33" s="21" t="str">
        <f>IF('12 - Device_Configuration'!BC33="","",'12 - Device_Configuration'!BC33)</f>
        <v>Firmware Installed</v>
      </c>
      <c r="X33" s="21" t="str">
        <f>IF('12 - Device_Configuration'!BK33="","",'12 - Device_Configuration'!BK33)</f>
        <v>Power Cable, Battery, Epic Beans Relay</v>
      </c>
      <c r="Y33" s="21" t="str">
        <f>IF('12 - Device_Configuration'!BB33="","",'12 - Device_Configuration'!BB33)</f>
        <v>Spare Unit</v>
      </c>
      <c r="Z33" s="21" t="str">
        <f>IF('12 - Device_Configuration'!P33="","",'12 - Device_Configuration'!P33)</f>
        <v/>
      </c>
      <c r="AA33" s="21" t="str">
        <f>IF('12 - Device_Configuration'!Q33="","",'12 - Device_Configuration'!Q33)</f>
        <v/>
      </c>
    </row>
    <row r="34" spans="1:27" ht="45.75" customHeight="1">
      <c r="A34" s="22"/>
      <c r="B34" s="22"/>
      <c r="C34" s="21" t="str">
        <f>IF('12 - Device_Configuration'!H34="","",'12 - Device_Configuration'!H34)</f>
        <v>PBMC</v>
      </c>
      <c r="D34" s="21" t="str">
        <f>IF('12 - Device_Configuration'!AE34="","",'12 - Device_Configuration'!AE34)</f>
        <v>Third Floor/Cath Lab</v>
      </c>
      <c r="E34" s="21" t="str">
        <f>IF('12 - Device_Configuration'!AF34="","",'12 - Device_Configuration'!AF34)</f>
        <v>Lab 3/ Neuro BiPlane</v>
      </c>
      <c r="F34" s="21" t="str">
        <f>IF('12 - Device_Configuration'!AG34="","",'12 - Device_Configuration'!AG34)</f>
        <v>N/A</v>
      </c>
      <c r="G34" s="21" t="str">
        <f>IF('12 - Device_Configuration'!AH34="","",'12 - Device_Configuration'!AH34)</f>
        <v/>
      </c>
      <c r="H34" s="21" t="str">
        <f>IF('12 - Device_Configuration'!A34="","",'12 - Device_Configuration'!A34)</f>
        <v>Neuron</v>
      </c>
      <c r="I34" s="21" t="str">
        <f>IF('12 - Device_Configuration'!AI34="","",'12 - Device_Configuration'!AI34)</f>
        <v>Drager</v>
      </c>
      <c r="J34" s="21" t="str">
        <f>IF('12 - Device_Configuration'!AJ34="","",'12 - Device_Configuration'!AJ34)</f>
        <v>Atlan A350</v>
      </c>
      <c r="K34" s="21" t="str">
        <f>IF('12 - Device_Configuration'!AA34="","",'12 - Device_Configuration'!AA34)</f>
        <v>Anesthesia Machine</v>
      </c>
      <c r="L34" s="21" t="str">
        <f>IF('12 - Device_Configuration'!I34="","",'12 - Device_Configuration'!I34)</f>
        <v/>
      </c>
      <c r="M34" s="22"/>
      <c r="N34" s="21" t="str">
        <f>IF('12 - Device_Configuration'!J34="","",'12 - Device_Configuration'!J34)</f>
        <v>NA</v>
      </c>
      <c r="O34" s="21" t="str">
        <f>IF('12 - Device_Configuration'!K34="","",'12 - Device_Configuration'!K34)</f>
        <v>NA</v>
      </c>
      <c r="P34" s="21" t="str">
        <f>IF('12 - Device_Configuration'!L34="","",'12 - Device_Configuration'!L34)</f>
        <v>NA</v>
      </c>
      <c r="Q34" s="22"/>
      <c r="R34" s="21" t="str">
        <f>IF('12 - Device_Configuration'!AY34="","",'12 - Device_Configuration'!AY34)</f>
        <v/>
      </c>
      <c r="S34" s="21" t="str">
        <f>IF('12 - Device_Configuration'!AX34="","",'12 - Device_Configuration'!AX34)</f>
        <v/>
      </c>
      <c r="T34" s="21" t="str">
        <f>IF('12 - Device_Configuration'!AV34="","",'12 - Device_Configuration'!AV34)</f>
        <v/>
      </c>
      <c r="U34" s="21" t="str">
        <f>IF('12 - Device_Configuration'!AW34="","",'12 - Device_Configuration'!AW34)</f>
        <v/>
      </c>
      <c r="V34" s="21" t="str">
        <f>IF('12 - Device_Configuration'!BA34="","",'12 - Device_Configuration'!BA34)</f>
        <v>Yes</v>
      </c>
      <c r="W34" s="21" t="str">
        <f>IF('12 - Device_Configuration'!BC34="","",'12 - Device_Configuration'!BC34)</f>
        <v>Firmware Installed</v>
      </c>
      <c r="X34" s="21" t="str">
        <f>IF('12 - Device_Configuration'!BK34="","",'12 - Device_Configuration'!BK34)</f>
        <v>Power Cable, Battery, Epic Beans Relay</v>
      </c>
      <c r="Y34" s="21" t="str">
        <f>IF('12 - Device_Configuration'!BB34="","",'12 - Device_Configuration'!BB34)</f>
        <v>PBMC</v>
      </c>
      <c r="Z34" s="21" t="str">
        <f>IF('12 - Device_Configuration'!P34="","",'12 - Device_Configuration'!P34)</f>
        <v/>
      </c>
      <c r="AA34" s="21" t="str">
        <f>IF('12 - Device_Configuration'!Q34="","",'12 - Device_Configuration'!Q34)</f>
        <v/>
      </c>
    </row>
    <row r="35" spans="1:27" ht="45.75" customHeight="1">
      <c r="A35" s="22"/>
      <c r="B35" s="22"/>
      <c r="C35" s="21" t="str">
        <f>IF('12 - Device_Configuration'!H35="","",'12 - Device_Configuration'!H35)</f>
        <v>PBMC</v>
      </c>
      <c r="D35" s="21" t="str">
        <f>IF('12 - Device_Configuration'!AE35="","",'12 - Device_Configuration'!AE35)</f>
        <v>Third Floor/Cath Lab</v>
      </c>
      <c r="E35" s="21" t="str">
        <f>IF('12 - Device_Configuration'!AF35="","",'12 - Device_Configuration'!AF35)</f>
        <v>Lab 3/ Neuro BiPlane</v>
      </c>
      <c r="F35" s="21" t="str">
        <f>IF('12 - Device_Configuration'!AG35="","",'12 - Device_Configuration'!AG35)</f>
        <v>N/A</v>
      </c>
      <c r="G35" s="21" t="str">
        <f>IF('12 - Device_Configuration'!AH35="","",'12 - Device_Configuration'!AH35)</f>
        <v/>
      </c>
      <c r="H35" s="21" t="str">
        <f>IF('12 - Device_Configuration'!A35="","",'12 - Device_Configuration'!A35)</f>
        <v>Cybernet</v>
      </c>
      <c r="I35" s="21" t="str">
        <f>IF('12 - Device_Configuration'!AI35="","",'12 - Device_Configuration'!AI35)</f>
        <v>Drager</v>
      </c>
      <c r="J35" s="21" t="str">
        <f>IF('12 - Device_Configuration'!AJ35="","",'12 - Device_Configuration'!AJ35)</f>
        <v>Atlan A350</v>
      </c>
      <c r="K35" s="21" t="str">
        <f>IF('12 - Device_Configuration'!AA35="","",'12 - Device_Configuration'!AA35)</f>
        <v>Anesthesia Machine</v>
      </c>
      <c r="L35" s="21" t="str">
        <f>IF('12 - Device_Configuration'!I35="","",'12 - Device_Configuration'!I35)</f>
        <v/>
      </c>
      <c r="M35" s="22"/>
      <c r="N35" s="21" t="str">
        <f>IF('12 - Device_Configuration'!J35="","",'12 - Device_Configuration'!J35)</f>
        <v/>
      </c>
      <c r="O35" s="21" t="str">
        <f>IF('12 - Device_Configuration'!K35="","",'12 - Device_Configuration'!K35)</f>
        <v/>
      </c>
      <c r="P35" s="21" t="str">
        <f>IF('12 - Device_Configuration'!L35="","",'12 - Device_Configuration'!L35)</f>
        <v/>
      </c>
      <c r="Q35" s="22"/>
      <c r="R35" s="21" t="str">
        <f>IF('12 - Device_Configuration'!AY35="","",'12 - Device_Configuration'!AY35)</f>
        <v/>
      </c>
      <c r="S35" s="21" t="str">
        <f>IF('12 - Device_Configuration'!AX35="","",'12 - Device_Configuration'!AX35)</f>
        <v/>
      </c>
      <c r="T35" s="21" t="str">
        <f>IF('12 - Device_Configuration'!AV35="","",'12 - Device_Configuration'!AV35)</f>
        <v/>
      </c>
      <c r="U35" s="21" t="str">
        <f>IF('12 - Device_Configuration'!AW35="","",'12 - Device_Configuration'!AW35)</f>
        <v/>
      </c>
      <c r="V35" s="21" t="str">
        <f>IF('12 - Device_Configuration'!BA35="","",'12 - Device_Configuration'!BA35)</f>
        <v>Yes</v>
      </c>
      <c r="W35" s="21" t="str">
        <f>IF('12 - Device_Configuration'!BC35="","",'12 - Device_Configuration'!BC35)</f>
        <v>Firmware Installed</v>
      </c>
      <c r="X35" s="21" t="str">
        <f>IF('12 - Device_Configuration'!BK35="","",'12 - Device_Configuration'!BK35)</f>
        <v>Power Cable, Battery, Epic Beans Relay</v>
      </c>
      <c r="Y35" s="21" t="str">
        <f>IF('12 - Device_Configuration'!BB35="","",'12 - Device_Configuration'!BB35)</f>
        <v>PBMC</v>
      </c>
      <c r="Z35" s="21" t="str">
        <f>IF('12 - Device_Configuration'!P35="","",'12 - Device_Configuration'!P35)</f>
        <v/>
      </c>
      <c r="AA35" s="21" t="str">
        <f>IF('12 - Device_Configuration'!Q35="","",'12 - Device_Configuration'!Q35)</f>
        <v/>
      </c>
    </row>
    <row r="36" spans="1:27" ht="45.75" customHeight="1">
      <c r="A36" s="22"/>
      <c r="B36" s="22"/>
      <c r="C36" s="21" t="str">
        <f>IF('12 - Device_Configuration'!H36="","",'12 - Device_Configuration'!H36)</f>
        <v>MEETH</v>
      </c>
      <c r="D36" s="21" t="str">
        <f>IF('12 - Device_Configuration'!AE36="","",'12 - Device_Configuration'!AE36)</f>
        <v/>
      </c>
      <c r="E36" s="21" t="str">
        <f>IF('12 - Device_Configuration'!AF36="","",'12 - Device_Configuration'!AF36)</f>
        <v/>
      </c>
      <c r="F36" s="21" t="str">
        <f>IF('12 - Device_Configuration'!AG36="","",'12 - Device_Configuration'!AG36)</f>
        <v/>
      </c>
      <c r="G36" s="21" t="str">
        <f>IF('12 - Device_Configuration'!AH36="","",'12 - Device_Configuration'!AH36)</f>
        <v/>
      </c>
      <c r="H36" s="21" t="str">
        <f>IF('12 - Device_Configuration'!A36="","",'12 - Device_Configuration'!A36)</f>
        <v>Neuron</v>
      </c>
      <c r="I36" s="21" t="str">
        <f>IF('12 - Device_Configuration'!AI36="","",'12 - Device_Configuration'!AI36)</f>
        <v/>
      </c>
      <c r="J36" s="21" t="str">
        <f>IF('12 - Device_Configuration'!AJ36="","",'12 - Device_Configuration'!AJ36)</f>
        <v/>
      </c>
      <c r="K36" s="21" t="str">
        <f>IF('12 - Device_Configuration'!AA36="","",'12 - Device_Configuration'!AA36)</f>
        <v/>
      </c>
      <c r="L36" s="21" t="str">
        <f>IF('12 - Device_Configuration'!I36="","",'12 - Device_Configuration'!I36)</f>
        <v/>
      </c>
      <c r="M36" s="22"/>
      <c r="N36" s="21" t="str">
        <f>IF('12 - Device_Configuration'!J36="","",'12 - Device_Configuration'!J36)</f>
        <v>NA</v>
      </c>
      <c r="O36" s="21" t="str">
        <f>IF('12 - Device_Configuration'!K36="","",'12 - Device_Configuration'!K36)</f>
        <v>NA</v>
      </c>
      <c r="P36" s="21" t="str">
        <f>IF('12 - Device_Configuration'!L36="","",'12 - Device_Configuration'!L36)</f>
        <v>NA</v>
      </c>
      <c r="Q36" s="22"/>
      <c r="R36" s="21" t="str">
        <f>IF('12 - Device_Configuration'!AY36="","",'12 - Device_Configuration'!AY36)</f>
        <v/>
      </c>
      <c r="S36" s="21" t="str">
        <f>IF('12 - Device_Configuration'!AX36="","",'12 - Device_Configuration'!AX36)</f>
        <v/>
      </c>
      <c r="T36" s="21" t="str">
        <f>IF('12 - Device_Configuration'!AV36="","",'12 - Device_Configuration'!AV36)</f>
        <v/>
      </c>
      <c r="U36" s="21" t="str">
        <f>IF('12 - Device_Configuration'!AW36="","",'12 - Device_Configuration'!AW36)</f>
        <v/>
      </c>
      <c r="V36" s="21" t="str">
        <f>IF('12 - Device_Configuration'!BA36="","",'12 - Device_Configuration'!BA36)</f>
        <v/>
      </c>
      <c r="W36" s="21" t="str">
        <f>IF('12 - Device_Configuration'!BC36="","",'12 - Device_Configuration'!BC36)</f>
        <v>In Storage</v>
      </c>
      <c r="X36" s="21" t="str">
        <f>IF('12 - Device_Configuration'!BK36="","",'12 - Device_Configuration'!BK36)</f>
        <v>Power Cable, Battery, Firmware Download, Device ID, Epic Beans Relay</v>
      </c>
      <c r="Y36" s="21" t="str">
        <f>IF('12 - Device_Configuration'!BB36="","",'12 - Device_Configuration'!BB36)</f>
        <v/>
      </c>
      <c r="Z36" s="21" t="str">
        <f>IF('12 - Device_Configuration'!P36="","",'12 - Device_Configuration'!P36)</f>
        <v/>
      </c>
      <c r="AA36" s="21" t="str">
        <f>IF('12 - Device_Configuration'!Q36="","",'12 - Device_Configuration'!Q36)</f>
        <v/>
      </c>
    </row>
    <row r="37" spans="1:27" ht="45.75" customHeight="1">
      <c r="A37" s="22"/>
      <c r="B37" s="22"/>
      <c r="C37" s="21" t="str">
        <f>IF('12 - Device_Configuration'!H37="","",'12 - Device_Configuration'!H37)</f>
        <v>MEETH</v>
      </c>
      <c r="D37" s="21" t="str">
        <f>IF('12 - Device_Configuration'!AE37="","",'12 - Device_Configuration'!AE37)</f>
        <v/>
      </c>
      <c r="E37" s="21" t="str">
        <f>IF('12 - Device_Configuration'!AF37="","",'12 - Device_Configuration'!AF37)</f>
        <v/>
      </c>
      <c r="F37" s="21" t="str">
        <f>IF('12 - Device_Configuration'!AG37="","",'12 - Device_Configuration'!AG37)</f>
        <v/>
      </c>
      <c r="G37" s="21" t="str">
        <f>IF('12 - Device_Configuration'!AH37="","",'12 - Device_Configuration'!AH37)</f>
        <v/>
      </c>
      <c r="H37" s="21" t="str">
        <f>IF('12 - Device_Configuration'!A37="","",'12 - Device_Configuration'!A37)</f>
        <v>Neuron</v>
      </c>
      <c r="I37" s="21" t="str">
        <f>IF('12 - Device_Configuration'!AI37="","",'12 - Device_Configuration'!AI37)</f>
        <v/>
      </c>
      <c r="J37" s="21" t="str">
        <f>IF('12 - Device_Configuration'!AJ37="","",'12 - Device_Configuration'!AJ37)</f>
        <v/>
      </c>
      <c r="K37" s="21" t="str">
        <f>IF('12 - Device_Configuration'!AA37="","",'12 - Device_Configuration'!AA37)</f>
        <v/>
      </c>
      <c r="L37" s="21" t="str">
        <f>IF('12 - Device_Configuration'!I37="","",'12 - Device_Configuration'!I37)</f>
        <v/>
      </c>
      <c r="M37" s="22"/>
      <c r="N37" s="21" t="str">
        <f>IF('12 - Device_Configuration'!J37="","",'12 - Device_Configuration'!J37)</f>
        <v>NA</v>
      </c>
      <c r="O37" s="21" t="str">
        <f>IF('12 - Device_Configuration'!K37="","",'12 - Device_Configuration'!K37)</f>
        <v>NA</v>
      </c>
      <c r="P37" s="21" t="str">
        <f>IF('12 - Device_Configuration'!L37="","",'12 - Device_Configuration'!L37)</f>
        <v>NA</v>
      </c>
      <c r="Q37" s="22"/>
      <c r="R37" s="21" t="str">
        <f>IF('12 - Device_Configuration'!AY37="","",'12 - Device_Configuration'!AY37)</f>
        <v/>
      </c>
      <c r="S37" s="21" t="str">
        <f>IF('12 - Device_Configuration'!AX37="","",'12 - Device_Configuration'!AX37)</f>
        <v/>
      </c>
      <c r="T37" s="21" t="str">
        <f>IF('12 - Device_Configuration'!AV37="","",'12 - Device_Configuration'!AV37)</f>
        <v/>
      </c>
      <c r="U37" s="21" t="str">
        <f>IF('12 - Device_Configuration'!AW37="","",'12 - Device_Configuration'!AW37)</f>
        <v/>
      </c>
      <c r="V37" s="21" t="str">
        <f>IF('12 - Device_Configuration'!BA37="","",'12 - Device_Configuration'!BA37)</f>
        <v/>
      </c>
      <c r="W37" s="21" t="str">
        <f>IF('12 - Device_Configuration'!BC37="","",'12 - Device_Configuration'!BC37)</f>
        <v>In Storage</v>
      </c>
      <c r="X37" s="21" t="str">
        <f>IF('12 - Device_Configuration'!BK37="","",'12 - Device_Configuration'!BK37)</f>
        <v>Power Cable, Battery, Firmware Download, Device ID, Epic Beans Relay</v>
      </c>
      <c r="Y37" s="21" t="str">
        <f>IF('12 - Device_Configuration'!BB37="","",'12 - Device_Configuration'!BB37)</f>
        <v/>
      </c>
      <c r="Z37" s="21" t="str">
        <f>IF('12 - Device_Configuration'!P37="","",'12 - Device_Configuration'!P37)</f>
        <v/>
      </c>
      <c r="AA37" s="21" t="str">
        <f>IF('12 - Device_Configuration'!Q37="","",'12 - Device_Configuration'!Q37)</f>
        <v/>
      </c>
    </row>
    <row r="38" spans="1:27" ht="45.75" customHeight="1">
      <c r="A38" s="22"/>
      <c r="B38" s="22"/>
      <c r="C38" s="21" t="str">
        <f>IF('12 - Device_Configuration'!H38="","",'12 - Device_Configuration'!H38)</f>
        <v>MEETH</v>
      </c>
      <c r="D38" s="21" t="str">
        <f>IF('12 - Device_Configuration'!AE38="","",'12 - Device_Configuration'!AE38)</f>
        <v/>
      </c>
      <c r="E38" s="21" t="str">
        <f>IF('12 - Device_Configuration'!AF38="","",'12 - Device_Configuration'!AF38)</f>
        <v/>
      </c>
      <c r="F38" s="21" t="str">
        <f>IF('12 - Device_Configuration'!AG38="","",'12 - Device_Configuration'!AG38)</f>
        <v/>
      </c>
      <c r="G38" s="21" t="str">
        <f>IF('12 - Device_Configuration'!AH38="","",'12 - Device_Configuration'!AH38)</f>
        <v/>
      </c>
      <c r="H38" s="21" t="str">
        <f>IF('12 - Device_Configuration'!A38="","",'12 - Device_Configuration'!A38)</f>
        <v>Neuron</v>
      </c>
      <c r="I38" s="21" t="str">
        <f>IF('12 - Device_Configuration'!AI38="","",'12 - Device_Configuration'!AI38)</f>
        <v/>
      </c>
      <c r="J38" s="21" t="str">
        <f>IF('12 - Device_Configuration'!AJ38="","",'12 - Device_Configuration'!AJ38)</f>
        <v/>
      </c>
      <c r="K38" s="21" t="str">
        <f>IF('12 - Device_Configuration'!AA38="","",'12 - Device_Configuration'!AA38)</f>
        <v/>
      </c>
      <c r="L38" s="21" t="str">
        <f>IF('12 - Device_Configuration'!I38="","",'12 - Device_Configuration'!I38)</f>
        <v/>
      </c>
      <c r="M38" s="22"/>
      <c r="N38" s="21" t="str">
        <f>IF('12 - Device_Configuration'!J38="","",'12 - Device_Configuration'!J38)</f>
        <v>NA</v>
      </c>
      <c r="O38" s="21" t="str">
        <f>IF('12 - Device_Configuration'!K38="","",'12 - Device_Configuration'!K38)</f>
        <v>NA</v>
      </c>
      <c r="P38" s="21" t="str">
        <f>IF('12 - Device_Configuration'!L38="","",'12 - Device_Configuration'!L38)</f>
        <v>NA</v>
      </c>
      <c r="Q38" s="22"/>
      <c r="R38" s="21" t="str">
        <f>IF('12 - Device_Configuration'!AY38="","",'12 - Device_Configuration'!AY38)</f>
        <v/>
      </c>
      <c r="S38" s="21" t="str">
        <f>IF('12 - Device_Configuration'!AX38="","",'12 - Device_Configuration'!AX38)</f>
        <v/>
      </c>
      <c r="T38" s="21" t="str">
        <f>IF('12 - Device_Configuration'!AV38="","",'12 - Device_Configuration'!AV38)</f>
        <v/>
      </c>
      <c r="U38" s="21" t="str">
        <f>IF('12 - Device_Configuration'!AW38="","",'12 - Device_Configuration'!AW38)</f>
        <v/>
      </c>
      <c r="V38" s="21" t="str">
        <f>IF('12 - Device_Configuration'!BA38="","",'12 - Device_Configuration'!BA38)</f>
        <v/>
      </c>
      <c r="W38" s="21" t="str">
        <f>IF('12 - Device_Configuration'!BC38="","",'12 - Device_Configuration'!BC38)</f>
        <v>In Storage</v>
      </c>
      <c r="X38" s="21" t="str">
        <f>IF('12 - Device_Configuration'!BK38="","",'12 - Device_Configuration'!BK38)</f>
        <v>Power Cable, Battery, Firmware Download, Device ID, Epic Beans Relay</v>
      </c>
      <c r="Y38" s="21" t="str">
        <f>IF('12 - Device_Configuration'!BB38="","",'12 - Device_Configuration'!BB38)</f>
        <v/>
      </c>
      <c r="Z38" s="21" t="str">
        <f>IF('12 - Device_Configuration'!P38="","",'12 - Device_Configuration'!P38)</f>
        <v/>
      </c>
      <c r="AA38" s="21" t="str">
        <f>IF('12 - Device_Configuration'!Q38="","",'12 - Device_Configuration'!Q38)</f>
        <v/>
      </c>
    </row>
    <row r="39" spans="1:27" ht="45.75" customHeight="1">
      <c r="A39" s="22"/>
      <c r="B39" s="22"/>
      <c r="C39" s="21" t="str">
        <f>IF('12 - Device_Configuration'!H39="","",'12 - Device_Configuration'!H39)</f>
        <v>ZUCKER HOSPITAL</v>
      </c>
      <c r="D39" s="21" t="str">
        <f>IF('12 - Device_Configuration'!AE39="","",'12 - Device_Configuration'!AE39)</f>
        <v/>
      </c>
      <c r="E39" s="21" t="str">
        <f>IF('12 - Device_Configuration'!AF39="","",'12 - Device_Configuration'!AF39)</f>
        <v/>
      </c>
      <c r="F39" s="21" t="str">
        <f>IF('12 - Device_Configuration'!AG39="","",'12 - Device_Configuration'!AG39)</f>
        <v/>
      </c>
      <c r="G39" s="21" t="str">
        <f>IF('12 - Device_Configuration'!AH39="","",'12 - Device_Configuration'!AH39)</f>
        <v/>
      </c>
      <c r="H39" s="21" t="str">
        <f>IF('12 - Device_Configuration'!A39="","",'12 - Device_Configuration'!A39)</f>
        <v>Neuron</v>
      </c>
      <c r="I39" s="21" t="str">
        <f>IF('12 - Device_Configuration'!AI39="","",'12 - Device_Configuration'!AI39)</f>
        <v/>
      </c>
      <c r="J39" s="21" t="str">
        <f>IF('12 - Device_Configuration'!AJ39="","",'12 - Device_Configuration'!AJ39)</f>
        <v/>
      </c>
      <c r="K39" s="21" t="str">
        <f>IF('12 - Device_Configuration'!AA39="","",'12 - Device_Configuration'!AA39)</f>
        <v/>
      </c>
      <c r="L39" s="21" t="str">
        <f>IF('12 - Device_Configuration'!I39="","",'12 - Device_Configuration'!I39)</f>
        <v/>
      </c>
      <c r="M39" s="22"/>
      <c r="N39" s="21" t="str">
        <f>IF('12 - Device_Configuration'!J39="","",'12 - Device_Configuration'!J39)</f>
        <v>NA</v>
      </c>
      <c r="O39" s="21" t="str">
        <f>IF('12 - Device_Configuration'!K39="","",'12 - Device_Configuration'!K39)</f>
        <v>NA</v>
      </c>
      <c r="P39" s="21" t="str">
        <f>IF('12 - Device_Configuration'!L39="","",'12 - Device_Configuration'!L39)</f>
        <v>NA</v>
      </c>
      <c r="Q39" s="22"/>
      <c r="R39" s="21" t="str">
        <f>IF('12 - Device_Configuration'!AY39="","",'12 - Device_Configuration'!AY39)</f>
        <v/>
      </c>
      <c r="S39" s="21" t="str">
        <f>IF('12 - Device_Configuration'!AX39="","",'12 - Device_Configuration'!AX39)</f>
        <v/>
      </c>
      <c r="T39" s="21" t="str">
        <f>IF('12 - Device_Configuration'!AV39="","",'12 - Device_Configuration'!AV39)</f>
        <v/>
      </c>
      <c r="U39" s="21" t="str">
        <f>IF('12 - Device_Configuration'!AW39="","",'12 - Device_Configuration'!AW39)</f>
        <v/>
      </c>
      <c r="V39" s="21" t="str">
        <f>IF('12 - Device_Configuration'!BA39="","",'12 - Device_Configuration'!BA39)</f>
        <v/>
      </c>
      <c r="W39" s="21" t="str">
        <f>IF('12 - Device_Configuration'!BC39="","",'12 - Device_Configuration'!BC39)</f>
        <v>In Storage</v>
      </c>
      <c r="X39" s="21" t="str">
        <f>IF('12 - Device_Configuration'!BK39="","",'12 - Device_Configuration'!BK39)</f>
        <v>Power Cable, Battery, Firmware Download, Device ID, Epic Beans Relay</v>
      </c>
      <c r="Y39" s="21" t="str">
        <f>IF('12 - Device_Configuration'!BB39="","",'12 - Device_Configuration'!BB39)</f>
        <v/>
      </c>
      <c r="Z39" s="21" t="str">
        <f>IF('12 - Device_Configuration'!P39="","",'12 - Device_Configuration'!P39)</f>
        <v/>
      </c>
      <c r="AA39" s="21" t="str">
        <f>IF('12 - Device_Configuration'!Q39="","",'12 - Device_Configuration'!Q39)</f>
        <v/>
      </c>
    </row>
    <row r="40" spans="1:27" ht="45.75" customHeight="1">
      <c r="A40" s="22"/>
      <c r="B40" s="22"/>
      <c r="C40" s="21" t="str">
        <f>IF('12 - Device_Configuration'!H40="","",'12 - Device_Configuration'!H40)</f>
        <v>ZUCKER HOSPITAL</v>
      </c>
      <c r="D40" s="21" t="str">
        <f>IF('12 - Device_Configuration'!AE40="","",'12 - Device_Configuration'!AE40)</f>
        <v/>
      </c>
      <c r="E40" s="21" t="str">
        <f>IF('12 - Device_Configuration'!AF40="","",'12 - Device_Configuration'!AF40)</f>
        <v/>
      </c>
      <c r="F40" s="21" t="str">
        <f>IF('12 - Device_Configuration'!AG40="","",'12 - Device_Configuration'!AG40)</f>
        <v/>
      </c>
      <c r="G40" s="21" t="str">
        <f>IF('12 - Device_Configuration'!AH40="","",'12 - Device_Configuration'!AH40)</f>
        <v/>
      </c>
      <c r="H40" s="21" t="str">
        <f>IF('12 - Device_Configuration'!A40="","",'12 - Device_Configuration'!A40)</f>
        <v>Neuron</v>
      </c>
      <c r="I40" s="21" t="str">
        <f>IF('12 - Device_Configuration'!AI40="","",'12 - Device_Configuration'!AI40)</f>
        <v/>
      </c>
      <c r="J40" s="21" t="str">
        <f>IF('12 - Device_Configuration'!AJ40="","",'12 - Device_Configuration'!AJ40)</f>
        <v/>
      </c>
      <c r="K40" s="21" t="str">
        <f>IF('12 - Device_Configuration'!AA40="","",'12 - Device_Configuration'!AA40)</f>
        <v/>
      </c>
      <c r="L40" s="21" t="str">
        <f>IF('12 - Device_Configuration'!I40="","",'12 - Device_Configuration'!I40)</f>
        <v/>
      </c>
      <c r="M40" s="22"/>
      <c r="N40" s="21" t="str">
        <f>IF('12 - Device_Configuration'!J40="","",'12 - Device_Configuration'!J40)</f>
        <v>NA</v>
      </c>
      <c r="O40" s="21" t="str">
        <f>IF('12 - Device_Configuration'!K40="","",'12 - Device_Configuration'!K40)</f>
        <v>NA</v>
      </c>
      <c r="P40" s="21" t="str">
        <f>IF('12 - Device_Configuration'!L40="","",'12 - Device_Configuration'!L40)</f>
        <v>NA</v>
      </c>
      <c r="Q40" s="22"/>
      <c r="R40" s="21" t="str">
        <f>IF('12 - Device_Configuration'!AY40="","",'12 - Device_Configuration'!AY40)</f>
        <v/>
      </c>
      <c r="S40" s="21" t="str">
        <f>IF('12 - Device_Configuration'!AX40="","",'12 - Device_Configuration'!AX40)</f>
        <v/>
      </c>
      <c r="T40" s="21" t="str">
        <f>IF('12 - Device_Configuration'!AV40="","",'12 - Device_Configuration'!AV40)</f>
        <v/>
      </c>
      <c r="U40" s="21" t="str">
        <f>IF('12 - Device_Configuration'!AW40="","",'12 - Device_Configuration'!AW40)</f>
        <v/>
      </c>
      <c r="V40" s="21" t="str">
        <f>IF('12 - Device_Configuration'!BA40="","",'12 - Device_Configuration'!BA40)</f>
        <v/>
      </c>
      <c r="W40" s="21" t="str">
        <f>IF('12 - Device_Configuration'!BC40="","",'12 - Device_Configuration'!BC40)</f>
        <v>In Storage</v>
      </c>
      <c r="X40" s="21" t="str">
        <f>IF('12 - Device_Configuration'!BK40="","",'12 - Device_Configuration'!BK40)</f>
        <v>Power Cable, Battery, Firmware Download, Device ID, Epic Beans Relay</v>
      </c>
      <c r="Y40" s="21" t="str">
        <f>IF('12 - Device_Configuration'!BB40="","",'12 - Device_Configuration'!BB40)</f>
        <v/>
      </c>
      <c r="Z40" s="21" t="str">
        <f>IF('12 - Device_Configuration'!P40="","",'12 - Device_Configuration'!P40)</f>
        <v/>
      </c>
      <c r="AA40" s="21" t="str">
        <f>IF('12 - Device_Configuration'!Q40="","",'12 - Device_Configuration'!Q40)</f>
        <v/>
      </c>
    </row>
    <row r="41" spans="1:27" ht="45.75" customHeight="1">
      <c r="A41" s="22"/>
      <c r="B41" s="22"/>
      <c r="C41" s="21" t="str">
        <f>IF('12 - Device_Configuration'!H41="","",'12 - Device_Configuration'!H41)</f>
        <v>ZUCKER HOSPITAL</v>
      </c>
      <c r="D41" s="21" t="str">
        <f>IF('12 - Device_Configuration'!AE41="","",'12 - Device_Configuration'!AE41)</f>
        <v/>
      </c>
      <c r="E41" s="21" t="str">
        <f>IF('12 - Device_Configuration'!AF41="","",'12 - Device_Configuration'!AF41)</f>
        <v/>
      </c>
      <c r="F41" s="21" t="str">
        <f>IF('12 - Device_Configuration'!AG41="","",'12 - Device_Configuration'!AG41)</f>
        <v/>
      </c>
      <c r="G41" s="21" t="str">
        <f>IF('12 - Device_Configuration'!AH41="","",'12 - Device_Configuration'!AH41)</f>
        <v/>
      </c>
      <c r="H41" s="21" t="str">
        <f>IF('12 - Device_Configuration'!A41="","",'12 - Device_Configuration'!A41)</f>
        <v>Neuron</v>
      </c>
      <c r="I41" s="21" t="str">
        <f>IF('12 - Device_Configuration'!AI41="","",'12 - Device_Configuration'!AI41)</f>
        <v/>
      </c>
      <c r="J41" s="21" t="str">
        <f>IF('12 - Device_Configuration'!AJ41="","",'12 - Device_Configuration'!AJ41)</f>
        <v/>
      </c>
      <c r="K41" s="21" t="str">
        <f>IF('12 - Device_Configuration'!AA41="","",'12 - Device_Configuration'!AA41)</f>
        <v/>
      </c>
      <c r="L41" s="21" t="str">
        <f>IF('12 - Device_Configuration'!I41="","",'12 - Device_Configuration'!I41)</f>
        <v/>
      </c>
      <c r="M41" s="22"/>
      <c r="N41" s="21" t="str">
        <f>IF('12 - Device_Configuration'!J41="","",'12 - Device_Configuration'!J41)</f>
        <v>NA</v>
      </c>
      <c r="O41" s="21" t="str">
        <f>IF('12 - Device_Configuration'!K41="","",'12 - Device_Configuration'!K41)</f>
        <v>NA</v>
      </c>
      <c r="P41" s="21" t="str">
        <f>IF('12 - Device_Configuration'!L41="","",'12 - Device_Configuration'!L41)</f>
        <v>NA</v>
      </c>
      <c r="Q41" s="22"/>
      <c r="R41" s="21" t="str">
        <f>IF('12 - Device_Configuration'!AY41="","",'12 - Device_Configuration'!AY41)</f>
        <v/>
      </c>
      <c r="S41" s="21" t="str">
        <f>IF('12 - Device_Configuration'!AX41="","",'12 - Device_Configuration'!AX41)</f>
        <v/>
      </c>
      <c r="T41" s="21" t="str">
        <f>IF('12 - Device_Configuration'!AV41="","",'12 - Device_Configuration'!AV41)</f>
        <v/>
      </c>
      <c r="U41" s="21" t="str">
        <f>IF('12 - Device_Configuration'!AW41="","",'12 - Device_Configuration'!AW41)</f>
        <v/>
      </c>
      <c r="V41" s="21" t="str">
        <f>IF('12 - Device_Configuration'!BA41="","",'12 - Device_Configuration'!BA41)</f>
        <v/>
      </c>
      <c r="W41" s="21" t="str">
        <f>IF('12 - Device_Configuration'!BC41="","",'12 - Device_Configuration'!BC41)</f>
        <v>In Storage</v>
      </c>
      <c r="X41" s="21" t="str">
        <f>IF('12 - Device_Configuration'!BK41="","",'12 - Device_Configuration'!BK41)</f>
        <v>Power Cable, Battery, Firmware Download, Device ID, Epic Beans Relay</v>
      </c>
      <c r="Y41" s="21" t="str">
        <f>IF('12 - Device_Configuration'!BB41="","",'12 - Device_Configuration'!BB41)</f>
        <v/>
      </c>
      <c r="Z41" s="21" t="str">
        <f>IF('12 - Device_Configuration'!P41="","",'12 - Device_Configuration'!P41)</f>
        <v/>
      </c>
      <c r="AA41" s="21" t="str">
        <f>IF('12 - Device_Configuration'!Q41="","",'12 - Device_Configuration'!Q41)</f>
        <v/>
      </c>
    </row>
    <row r="42" spans="1:27" ht="45.75" customHeight="1">
      <c r="A42" s="22"/>
      <c r="B42" s="22"/>
      <c r="C42" s="21" t="str">
        <f>IF('12 - Device_Configuration'!H42="","",'12 - Device_Configuration'!H42)</f>
        <v>CCMC</v>
      </c>
      <c r="D42" s="21" t="str">
        <f>IF('12 - Device_Configuration'!AE42="","",'12 - Device_Configuration'!AE42)</f>
        <v/>
      </c>
      <c r="E42" s="21" t="str">
        <f>IF('12 - Device_Configuration'!AF42="","",'12 - Device_Configuration'!AF42)</f>
        <v/>
      </c>
      <c r="F42" s="21" t="str">
        <f>IF('12 - Device_Configuration'!AG42="","",'12 - Device_Configuration'!AG42)</f>
        <v/>
      </c>
      <c r="G42" s="21" t="str">
        <f>IF('12 - Device_Configuration'!AH42="","",'12 - Device_Configuration'!AH42)</f>
        <v/>
      </c>
      <c r="H42" s="21" t="str">
        <f>IF('12 - Device_Configuration'!A42="","",'12 - Device_Configuration'!A42)</f>
        <v>Neuron</v>
      </c>
      <c r="I42" s="21" t="str">
        <f>IF('12 - Device_Configuration'!AI42="","",'12 - Device_Configuration'!AI42)</f>
        <v/>
      </c>
      <c r="J42" s="21" t="str">
        <f>IF('12 - Device_Configuration'!AJ42="","",'12 - Device_Configuration'!AJ42)</f>
        <v/>
      </c>
      <c r="K42" s="21" t="str">
        <f>IF('12 - Device_Configuration'!AA42="","",'12 - Device_Configuration'!AA42)</f>
        <v/>
      </c>
      <c r="L42" s="21" t="str">
        <f>IF('12 - Device_Configuration'!I42="","",'12 - Device_Configuration'!I42)</f>
        <v/>
      </c>
      <c r="M42" s="22"/>
      <c r="N42" s="21" t="str">
        <f>IF('12 - Device_Configuration'!J42="","",'12 - Device_Configuration'!J42)</f>
        <v>NA</v>
      </c>
      <c r="O42" s="21" t="str">
        <f>IF('12 - Device_Configuration'!K42="","",'12 - Device_Configuration'!K42)</f>
        <v>NA</v>
      </c>
      <c r="P42" s="21" t="str">
        <f>IF('12 - Device_Configuration'!L42="","",'12 - Device_Configuration'!L42)</f>
        <v>NA</v>
      </c>
      <c r="Q42" s="22"/>
      <c r="R42" s="21" t="str">
        <f>IF('12 - Device_Configuration'!AY42="","",'12 - Device_Configuration'!AY42)</f>
        <v/>
      </c>
      <c r="S42" s="21" t="str">
        <f>IF('12 - Device_Configuration'!AX42="","",'12 - Device_Configuration'!AX42)</f>
        <v/>
      </c>
      <c r="T42" s="21" t="str">
        <f>IF('12 - Device_Configuration'!AV42="","",'12 - Device_Configuration'!AV42)</f>
        <v/>
      </c>
      <c r="U42" s="21" t="str">
        <f>IF('12 - Device_Configuration'!AW42="","",'12 - Device_Configuration'!AW42)</f>
        <v/>
      </c>
      <c r="V42" s="21" t="str">
        <f>IF('12 - Device_Configuration'!BA42="","",'12 - Device_Configuration'!BA42)</f>
        <v/>
      </c>
      <c r="W42" s="21" t="str">
        <f>IF('12 - Device_Configuration'!BC42="","",'12 - Device_Configuration'!BC42)</f>
        <v>In Storage</v>
      </c>
      <c r="X42" s="21" t="str">
        <f>IF('12 - Device_Configuration'!BK42="","",'12 - Device_Configuration'!BK42)</f>
        <v>Power Cable, Battery, Firmware Download, Device ID, Epic Beans Relay</v>
      </c>
      <c r="Y42" s="21" t="str">
        <f>IF('12 - Device_Configuration'!BB42="","",'12 - Device_Configuration'!BB42)</f>
        <v/>
      </c>
      <c r="Z42" s="21" t="str">
        <f>IF('12 - Device_Configuration'!P42="","",'12 - Device_Configuration'!P42)</f>
        <v/>
      </c>
      <c r="AA42" s="21" t="str">
        <f>IF('12 - Device_Configuration'!Q42="","",'12 - Device_Configuration'!Q42)</f>
        <v/>
      </c>
    </row>
    <row r="43" spans="1:27" ht="45.75" customHeight="1">
      <c r="A43" s="22"/>
      <c r="B43" s="22"/>
      <c r="C43" s="21" t="str">
        <f>IF('12 - Device_Configuration'!H43="","",'12 - Device_Configuration'!H43)</f>
        <v>Glen Cove</v>
      </c>
      <c r="D43" s="21" t="str">
        <f>IF('12 - Device_Configuration'!AE43="","",'12 - Device_Configuration'!AE43)</f>
        <v/>
      </c>
      <c r="E43" s="21" t="str">
        <f>IF('12 - Device_Configuration'!AF43="","",'12 - Device_Configuration'!AF43)</f>
        <v/>
      </c>
      <c r="F43" s="21" t="str">
        <f>IF('12 - Device_Configuration'!AG43="","",'12 - Device_Configuration'!AG43)</f>
        <v/>
      </c>
      <c r="G43" s="21" t="str">
        <f>IF('12 - Device_Configuration'!AH43="","",'12 - Device_Configuration'!AH43)</f>
        <v/>
      </c>
      <c r="H43" s="21" t="str">
        <f>IF('12 - Device_Configuration'!A43="","",'12 - Device_Configuration'!A43)</f>
        <v>Neuron</v>
      </c>
      <c r="I43" s="21" t="str">
        <f>IF('12 - Device_Configuration'!AI43="","",'12 - Device_Configuration'!AI43)</f>
        <v/>
      </c>
      <c r="J43" s="21" t="str">
        <f>IF('12 - Device_Configuration'!AJ43="","",'12 - Device_Configuration'!AJ43)</f>
        <v/>
      </c>
      <c r="K43" s="21" t="str">
        <f>IF('12 - Device_Configuration'!AA43="","",'12 - Device_Configuration'!AA43)</f>
        <v/>
      </c>
      <c r="L43" s="21" t="str">
        <f>IF('12 - Device_Configuration'!I43="","",'12 - Device_Configuration'!I43)</f>
        <v/>
      </c>
      <c r="M43" s="22"/>
      <c r="N43" s="21" t="str">
        <f>IF('12 - Device_Configuration'!J43="","",'12 - Device_Configuration'!J43)</f>
        <v>NA</v>
      </c>
      <c r="O43" s="21" t="str">
        <f>IF('12 - Device_Configuration'!K43="","",'12 - Device_Configuration'!K43)</f>
        <v>NA</v>
      </c>
      <c r="P43" s="21" t="str">
        <f>IF('12 - Device_Configuration'!L43="","",'12 - Device_Configuration'!L43)</f>
        <v>NA</v>
      </c>
      <c r="Q43" s="22"/>
      <c r="R43" s="21" t="str">
        <f>IF('12 - Device_Configuration'!AY43="","",'12 - Device_Configuration'!AY43)</f>
        <v/>
      </c>
      <c r="S43" s="21" t="str">
        <f>IF('12 - Device_Configuration'!AX43="","",'12 - Device_Configuration'!AX43)</f>
        <v/>
      </c>
      <c r="T43" s="21" t="str">
        <f>IF('12 - Device_Configuration'!AV43="","",'12 - Device_Configuration'!AV43)</f>
        <v/>
      </c>
      <c r="U43" s="21" t="str">
        <f>IF('12 - Device_Configuration'!AW43="","",'12 - Device_Configuration'!AW43)</f>
        <v/>
      </c>
      <c r="V43" s="21" t="str">
        <f>IF('12 - Device_Configuration'!BA43="","",'12 - Device_Configuration'!BA43)</f>
        <v/>
      </c>
      <c r="W43" s="21" t="str">
        <f>IF('12 - Device_Configuration'!BC43="","",'12 - Device_Configuration'!BC43)</f>
        <v>In Storage</v>
      </c>
      <c r="X43" s="21" t="str">
        <f>IF('12 - Device_Configuration'!BK43="","",'12 - Device_Configuration'!BK43)</f>
        <v>Power Cable, Battery, Firmware Download, Device ID, Epic Beans Relay</v>
      </c>
      <c r="Y43" s="21" t="str">
        <f>IF('12 - Device_Configuration'!BB43="","",'12 - Device_Configuration'!BB43)</f>
        <v/>
      </c>
      <c r="Z43" s="21" t="str">
        <f>IF('12 - Device_Configuration'!P43="","",'12 - Device_Configuration'!P43)</f>
        <v/>
      </c>
      <c r="AA43" s="21" t="str">
        <f>IF('12 - Device_Configuration'!Q43="","",'12 - Device_Configuration'!Q43)</f>
        <v/>
      </c>
    </row>
    <row r="44" spans="1:27" ht="45.75" customHeight="1">
      <c r="A44" s="22"/>
      <c r="B44" s="22"/>
      <c r="C44" s="21" t="str">
        <f>IF('12 - Device_Configuration'!H44="","",'12 - Device_Configuration'!H44)</f>
        <v>Glen Cove</v>
      </c>
      <c r="D44" s="21" t="str">
        <f>IF('12 - Device_Configuration'!AE44="","",'12 - Device_Configuration'!AE44)</f>
        <v/>
      </c>
      <c r="E44" s="21" t="str">
        <f>IF('12 - Device_Configuration'!AF44="","",'12 - Device_Configuration'!AF44)</f>
        <v/>
      </c>
      <c r="F44" s="21" t="str">
        <f>IF('12 - Device_Configuration'!AG44="","",'12 - Device_Configuration'!AG44)</f>
        <v/>
      </c>
      <c r="G44" s="21" t="str">
        <f>IF('12 - Device_Configuration'!AH44="","",'12 - Device_Configuration'!AH44)</f>
        <v/>
      </c>
      <c r="H44" s="21" t="str">
        <f>IF('12 - Device_Configuration'!A44="","",'12 - Device_Configuration'!A44)</f>
        <v>Neuron</v>
      </c>
      <c r="I44" s="21" t="str">
        <f>IF('12 - Device_Configuration'!AI44="","",'12 - Device_Configuration'!AI44)</f>
        <v/>
      </c>
      <c r="J44" s="21" t="str">
        <f>IF('12 - Device_Configuration'!AJ44="","",'12 - Device_Configuration'!AJ44)</f>
        <v/>
      </c>
      <c r="K44" s="21" t="str">
        <f>IF('12 - Device_Configuration'!AA44="","",'12 - Device_Configuration'!AA44)</f>
        <v/>
      </c>
      <c r="L44" s="21" t="str">
        <f>IF('12 - Device_Configuration'!I44="","",'12 - Device_Configuration'!I44)</f>
        <v/>
      </c>
      <c r="M44" s="22"/>
      <c r="N44" s="21" t="str">
        <f>IF('12 - Device_Configuration'!J44="","",'12 - Device_Configuration'!J44)</f>
        <v>NA</v>
      </c>
      <c r="O44" s="21" t="str">
        <f>IF('12 - Device_Configuration'!K44="","",'12 - Device_Configuration'!K44)</f>
        <v>NA</v>
      </c>
      <c r="P44" s="21" t="str">
        <f>IF('12 - Device_Configuration'!L44="","",'12 - Device_Configuration'!L44)</f>
        <v>NA</v>
      </c>
      <c r="Q44" s="22"/>
      <c r="R44" s="21" t="str">
        <f>IF('12 - Device_Configuration'!AY44="","",'12 - Device_Configuration'!AY44)</f>
        <v/>
      </c>
      <c r="S44" s="21" t="str">
        <f>IF('12 - Device_Configuration'!AX44="","",'12 - Device_Configuration'!AX44)</f>
        <v/>
      </c>
      <c r="T44" s="21" t="str">
        <f>IF('12 - Device_Configuration'!AV44="","",'12 - Device_Configuration'!AV44)</f>
        <v/>
      </c>
      <c r="U44" s="21" t="str">
        <f>IF('12 - Device_Configuration'!AW44="","",'12 - Device_Configuration'!AW44)</f>
        <v/>
      </c>
      <c r="V44" s="21" t="str">
        <f>IF('12 - Device_Configuration'!BA44="","",'12 - Device_Configuration'!BA44)</f>
        <v/>
      </c>
      <c r="W44" s="21" t="str">
        <f>IF('12 - Device_Configuration'!BC44="","",'12 - Device_Configuration'!BC44)</f>
        <v>In Storage</v>
      </c>
      <c r="X44" s="21" t="str">
        <f>IF('12 - Device_Configuration'!BK44="","",'12 - Device_Configuration'!BK44)</f>
        <v>Power Cable, Battery, Firmware Download, Device ID, Epic Beans Relay</v>
      </c>
      <c r="Y44" s="21" t="str">
        <f>IF('12 - Device_Configuration'!BB44="","",'12 - Device_Configuration'!BB44)</f>
        <v/>
      </c>
      <c r="Z44" s="21" t="str">
        <f>IF('12 - Device_Configuration'!P44="","",'12 - Device_Configuration'!P44)</f>
        <v/>
      </c>
      <c r="AA44" s="21" t="str">
        <f>IF('12 - Device_Configuration'!Q44="","",'12 - Device_Configuration'!Q44)</f>
        <v/>
      </c>
    </row>
    <row r="45" spans="1:27" ht="45.75" customHeight="1">
      <c r="A45" s="22"/>
      <c r="B45" s="22"/>
      <c r="C45" s="21" t="str">
        <f>IF('12 - Device_Configuration'!H45="","",'12 - Device_Configuration'!H45)</f>
        <v>Glen Cove</v>
      </c>
      <c r="D45" s="21" t="str">
        <f>IF('12 - Device_Configuration'!AE45="","",'12 - Device_Configuration'!AE45)</f>
        <v/>
      </c>
      <c r="E45" s="21" t="str">
        <f>IF('12 - Device_Configuration'!AF45="","",'12 - Device_Configuration'!AF45)</f>
        <v/>
      </c>
      <c r="F45" s="21" t="str">
        <f>IF('12 - Device_Configuration'!AG45="","",'12 - Device_Configuration'!AG45)</f>
        <v/>
      </c>
      <c r="G45" s="21" t="str">
        <f>IF('12 - Device_Configuration'!AH45="","",'12 - Device_Configuration'!AH45)</f>
        <v/>
      </c>
      <c r="H45" s="21" t="str">
        <f>IF('12 - Device_Configuration'!A45="","",'12 - Device_Configuration'!A45)</f>
        <v>Neuron</v>
      </c>
      <c r="I45" s="21" t="str">
        <f>IF('12 - Device_Configuration'!AI45="","",'12 - Device_Configuration'!AI45)</f>
        <v/>
      </c>
      <c r="J45" s="21" t="str">
        <f>IF('12 - Device_Configuration'!AJ45="","",'12 - Device_Configuration'!AJ45)</f>
        <v/>
      </c>
      <c r="K45" s="21" t="str">
        <f>IF('12 - Device_Configuration'!AA45="","",'12 - Device_Configuration'!AA45)</f>
        <v/>
      </c>
      <c r="L45" s="21" t="str">
        <f>IF('12 - Device_Configuration'!I45="","",'12 - Device_Configuration'!I45)</f>
        <v/>
      </c>
      <c r="M45" s="22"/>
      <c r="N45" s="21" t="str">
        <f>IF('12 - Device_Configuration'!J45="","",'12 - Device_Configuration'!J45)</f>
        <v>NA</v>
      </c>
      <c r="O45" s="21" t="str">
        <f>IF('12 - Device_Configuration'!K45="","",'12 - Device_Configuration'!K45)</f>
        <v>NA</v>
      </c>
      <c r="P45" s="21" t="str">
        <f>IF('12 - Device_Configuration'!L45="","",'12 - Device_Configuration'!L45)</f>
        <v>NA</v>
      </c>
      <c r="Q45" s="22"/>
      <c r="R45" s="21" t="str">
        <f>IF('12 - Device_Configuration'!AY45="","",'12 - Device_Configuration'!AY45)</f>
        <v/>
      </c>
      <c r="S45" s="21" t="str">
        <f>IF('12 - Device_Configuration'!AX45="","",'12 - Device_Configuration'!AX45)</f>
        <v/>
      </c>
      <c r="T45" s="21" t="str">
        <f>IF('12 - Device_Configuration'!AV45="","",'12 - Device_Configuration'!AV45)</f>
        <v/>
      </c>
      <c r="U45" s="21" t="str">
        <f>IF('12 - Device_Configuration'!AW45="","",'12 - Device_Configuration'!AW45)</f>
        <v/>
      </c>
      <c r="V45" s="21" t="str">
        <f>IF('12 - Device_Configuration'!BA45="","",'12 - Device_Configuration'!BA45)</f>
        <v/>
      </c>
      <c r="W45" s="21" t="str">
        <f>IF('12 - Device_Configuration'!BC45="","",'12 - Device_Configuration'!BC45)</f>
        <v>In Storage</v>
      </c>
      <c r="X45" s="21" t="str">
        <f>IF('12 - Device_Configuration'!BK45="","",'12 - Device_Configuration'!BK45)</f>
        <v>Power Cable, Battery, Firmware Download, Device ID, Epic Beans Relay</v>
      </c>
      <c r="Y45" s="21" t="str">
        <f>IF('12 - Device_Configuration'!BB45="","",'12 - Device_Configuration'!BB45)</f>
        <v/>
      </c>
      <c r="Z45" s="21" t="str">
        <f>IF('12 - Device_Configuration'!P45="","",'12 - Device_Configuration'!P45)</f>
        <v/>
      </c>
      <c r="AA45" s="21" t="str">
        <f>IF('12 - Device_Configuration'!Q45="","",'12 - Device_Configuration'!Q45)</f>
        <v/>
      </c>
    </row>
    <row r="46" spans="1:27" ht="41.25" customHeight="1">
      <c r="A46" s="22"/>
      <c r="B46" s="22"/>
      <c r="C46" s="21" t="str">
        <f>IF('12 - Device_Configuration'!H46="","",'12 - Device_Configuration'!H46)</f>
        <v>Glen Cove</v>
      </c>
      <c r="D46" s="21" t="str">
        <f>IF('12 - Device_Configuration'!AE46="","",'12 - Device_Configuration'!AE46)</f>
        <v/>
      </c>
      <c r="E46" s="21" t="str">
        <f>IF('12 - Device_Configuration'!AF46="","",'12 - Device_Configuration'!AF46)</f>
        <v/>
      </c>
      <c r="F46" s="21" t="str">
        <f>IF('12 - Device_Configuration'!AG46="","",'12 - Device_Configuration'!AG46)</f>
        <v/>
      </c>
      <c r="G46" s="21" t="str">
        <f>IF('12 - Device_Configuration'!AH46="","",'12 - Device_Configuration'!AH46)</f>
        <v/>
      </c>
      <c r="H46" s="21" t="str">
        <f>IF('12 - Device_Configuration'!A46="","",'12 - Device_Configuration'!A46)</f>
        <v>Neuron</v>
      </c>
      <c r="I46" s="21" t="str">
        <f>IF('12 - Device_Configuration'!AI46="","",'12 - Device_Configuration'!AI46)</f>
        <v/>
      </c>
      <c r="J46" s="21" t="str">
        <f>IF('12 - Device_Configuration'!AJ46="","",'12 - Device_Configuration'!AJ46)</f>
        <v/>
      </c>
      <c r="K46" s="21" t="str">
        <f>IF('12 - Device_Configuration'!AA46="","",'12 - Device_Configuration'!AA46)</f>
        <v/>
      </c>
      <c r="L46" s="21" t="str">
        <f>IF('12 - Device_Configuration'!I46="","",'12 - Device_Configuration'!I46)</f>
        <v/>
      </c>
      <c r="M46" s="22"/>
      <c r="N46" s="21" t="str">
        <f>IF('12 - Device_Configuration'!J46="","",'12 - Device_Configuration'!J46)</f>
        <v/>
      </c>
      <c r="O46" s="21" t="str">
        <f>IF('12 - Device_Configuration'!K46="","",'12 - Device_Configuration'!K46)</f>
        <v/>
      </c>
      <c r="P46" s="21" t="str">
        <f>IF('12 - Device_Configuration'!L46="","",'12 - Device_Configuration'!L46)</f>
        <v/>
      </c>
      <c r="Q46" s="22"/>
      <c r="R46" s="21" t="str">
        <f>IF('12 - Device_Configuration'!AY46="","",'12 - Device_Configuration'!AY46)</f>
        <v/>
      </c>
      <c r="S46" s="21" t="str">
        <f>IF('12 - Device_Configuration'!AX46="","",'12 - Device_Configuration'!AX46)</f>
        <v/>
      </c>
      <c r="T46" s="21" t="str">
        <f>IF('12 - Device_Configuration'!AV46="","",'12 - Device_Configuration'!AV46)</f>
        <v/>
      </c>
      <c r="U46" s="21" t="str">
        <f>IF('12 - Device_Configuration'!AW46="","",'12 - Device_Configuration'!AW46)</f>
        <v/>
      </c>
      <c r="V46" s="21" t="str">
        <f>IF('12 - Device_Configuration'!BA46="","",'12 - Device_Configuration'!BA46)</f>
        <v/>
      </c>
      <c r="W46" s="21" t="str">
        <f>IF('12 - Device_Configuration'!BC46="","",'12 - Device_Configuration'!BC46)</f>
        <v/>
      </c>
      <c r="X46" s="21" t="str">
        <f>IF('12 - Device_Configuration'!BK46="","",'12 - Device_Configuration'!BK46)</f>
        <v>Power Cable, Battery, Firmware Download, Device ID, Epic Beans Relay</v>
      </c>
      <c r="Y46" s="21" t="str">
        <f>IF('12 - Device_Configuration'!BB46="","",'12 - Device_Configuration'!BB46)</f>
        <v/>
      </c>
      <c r="Z46" s="21" t="str">
        <f>IF('12 - Device_Configuration'!P46="","",'12 - Device_Configuration'!P46)</f>
        <v/>
      </c>
      <c r="AA46" s="21" t="str">
        <f>IF('12 - Device_Configuration'!Q46="","",'12 - Device_Configuration'!Q46)</f>
        <v/>
      </c>
    </row>
    <row r="47" spans="1:27" ht="45.75" customHeight="1">
      <c r="A47" s="22"/>
      <c r="B47" s="22"/>
      <c r="C47" s="21" t="str">
        <f>IF('12 - Device_Configuration'!H47="","",'12 - Device_Configuration'!H47)</f>
        <v>Glen Cove</v>
      </c>
      <c r="D47" s="21" t="str">
        <f>IF('12 - Device_Configuration'!AE47="","",'12 - Device_Configuration'!AE47)</f>
        <v/>
      </c>
      <c r="E47" s="21" t="str">
        <f>IF('12 - Device_Configuration'!AF47="","",'12 - Device_Configuration'!AF47)</f>
        <v/>
      </c>
      <c r="F47" s="21" t="str">
        <f>IF('12 - Device_Configuration'!AG47="","",'12 - Device_Configuration'!AG47)</f>
        <v/>
      </c>
      <c r="G47" s="21" t="str">
        <f>IF('12 - Device_Configuration'!AH47="","",'12 - Device_Configuration'!AH47)</f>
        <v/>
      </c>
      <c r="H47" s="21" t="str">
        <f>IF('12 - Device_Configuration'!A47="","",'12 - Device_Configuration'!A47)</f>
        <v>Neuron</v>
      </c>
      <c r="I47" s="21" t="str">
        <f>IF('12 - Device_Configuration'!AI47="","",'12 - Device_Configuration'!AI47)</f>
        <v/>
      </c>
      <c r="J47" s="21" t="str">
        <f>IF('12 - Device_Configuration'!AJ47="","",'12 - Device_Configuration'!AJ47)</f>
        <v/>
      </c>
      <c r="K47" s="21" t="str">
        <f>IF('12 - Device_Configuration'!AA47="","",'12 - Device_Configuration'!AA47)</f>
        <v/>
      </c>
      <c r="L47" s="21" t="str">
        <f>IF('12 - Device_Configuration'!I47="","",'12 - Device_Configuration'!I47)</f>
        <v/>
      </c>
      <c r="M47" s="22"/>
      <c r="N47" s="21" t="str">
        <f>IF('12 - Device_Configuration'!J47="","",'12 - Device_Configuration'!J47)</f>
        <v>NA</v>
      </c>
      <c r="O47" s="21" t="str">
        <f>IF('12 - Device_Configuration'!K47="","",'12 - Device_Configuration'!K47)</f>
        <v>NA</v>
      </c>
      <c r="P47" s="21" t="str">
        <f>IF('12 - Device_Configuration'!L47="","",'12 - Device_Configuration'!L47)</f>
        <v>NA</v>
      </c>
      <c r="Q47" s="22"/>
      <c r="R47" s="21" t="str">
        <f>IF('12 - Device_Configuration'!AY47="","",'12 - Device_Configuration'!AY47)</f>
        <v/>
      </c>
      <c r="S47" s="21" t="str">
        <f>IF('12 - Device_Configuration'!AX47="","",'12 - Device_Configuration'!AX47)</f>
        <v/>
      </c>
      <c r="T47" s="21" t="str">
        <f>IF('12 - Device_Configuration'!AV47="","",'12 - Device_Configuration'!AV47)</f>
        <v/>
      </c>
      <c r="U47" s="21" t="str">
        <f>IF('12 - Device_Configuration'!AW47="","",'12 - Device_Configuration'!AW47)</f>
        <v/>
      </c>
      <c r="V47" s="21" t="str">
        <f>IF('12 - Device_Configuration'!BA47="","",'12 - Device_Configuration'!BA47)</f>
        <v/>
      </c>
      <c r="W47" s="21" t="str">
        <f>IF('12 - Device_Configuration'!BC47="","",'12 - Device_Configuration'!BC47)</f>
        <v>In Storage</v>
      </c>
      <c r="X47" s="21" t="str">
        <f>IF('12 - Device_Configuration'!BK47="","",'12 - Device_Configuration'!BK47)</f>
        <v>Power Cable, Battery, Firmware Download, Device ID, Epic Beans Relay</v>
      </c>
      <c r="Y47" s="21" t="str">
        <f>IF('12 - Device_Configuration'!BB47="","",'12 - Device_Configuration'!BB47)</f>
        <v/>
      </c>
      <c r="Z47" s="21" t="str">
        <f>IF('12 - Device_Configuration'!P47="","",'12 - Device_Configuration'!P47)</f>
        <v/>
      </c>
      <c r="AA47" s="21" t="str">
        <f>IF('12 - Device_Configuration'!Q47="","",'12 - Device_Configuration'!Q47)</f>
        <v/>
      </c>
    </row>
    <row r="48" spans="1:27" ht="45.75" customHeight="1">
      <c r="A48" s="22"/>
      <c r="B48" s="22"/>
      <c r="C48" s="21" t="str">
        <f>IF('12 - Device_Configuration'!H48="","",'12 - Device_Configuration'!H48)</f>
        <v>Glen Cove</v>
      </c>
      <c r="D48" s="21" t="str">
        <f>IF('12 - Device_Configuration'!AE48="","",'12 - Device_Configuration'!AE48)</f>
        <v/>
      </c>
      <c r="E48" s="21" t="str">
        <f>IF('12 - Device_Configuration'!AF48="","",'12 - Device_Configuration'!AF48)</f>
        <v/>
      </c>
      <c r="F48" s="21" t="str">
        <f>IF('12 - Device_Configuration'!AG48="","",'12 - Device_Configuration'!AG48)</f>
        <v/>
      </c>
      <c r="G48" s="21" t="str">
        <f>IF('12 - Device_Configuration'!AH48="","",'12 - Device_Configuration'!AH48)</f>
        <v/>
      </c>
      <c r="H48" s="21" t="str">
        <f>IF('12 - Device_Configuration'!A48="","",'12 - Device_Configuration'!A48)</f>
        <v>Neuron</v>
      </c>
      <c r="I48" s="21" t="str">
        <f>IF('12 - Device_Configuration'!AI48="","",'12 - Device_Configuration'!AI48)</f>
        <v/>
      </c>
      <c r="J48" s="21" t="str">
        <f>IF('12 - Device_Configuration'!AJ48="","",'12 - Device_Configuration'!AJ48)</f>
        <v/>
      </c>
      <c r="K48" s="21" t="str">
        <f>IF('12 - Device_Configuration'!AA48="","",'12 - Device_Configuration'!AA48)</f>
        <v/>
      </c>
      <c r="L48" s="21" t="str">
        <f>IF('12 - Device_Configuration'!I48="","",'12 - Device_Configuration'!I48)</f>
        <v/>
      </c>
      <c r="M48" s="22"/>
      <c r="N48" s="21" t="str">
        <f>IF('12 - Device_Configuration'!J48="","",'12 - Device_Configuration'!J48)</f>
        <v>NA</v>
      </c>
      <c r="O48" s="21" t="str">
        <f>IF('12 - Device_Configuration'!K48="","",'12 - Device_Configuration'!K48)</f>
        <v>NA</v>
      </c>
      <c r="P48" s="21" t="str">
        <f>IF('12 - Device_Configuration'!L48="","",'12 - Device_Configuration'!L48)</f>
        <v>NA</v>
      </c>
      <c r="Q48" s="22"/>
      <c r="R48" s="21" t="str">
        <f>IF('12 - Device_Configuration'!AY48="","",'12 - Device_Configuration'!AY48)</f>
        <v/>
      </c>
      <c r="S48" s="21" t="str">
        <f>IF('12 - Device_Configuration'!AX48="","",'12 - Device_Configuration'!AX48)</f>
        <v/>
      </c>
      <c r="T48" s="21" t="str">
        <f>IF('12 - Device_Configuration'!AV48="","",'12 - Device_Configuration'!AV48)</f>
        <v/>
      </c>
      <c r="U48" s="21" t="str">
        <f>IF('12 - Device_Configuration'!AW48="","",'12 - Device_Configuration'!AW48)</f>
        <v/>
      </c>
      <c r="V48" s="21" t="str">
        <f>IF('12 - Device_Configuration'!BA48="","",'12 - Device_Configuration'!BA48)</f>
        <v/>
      </c>
      <c r="W48" s="21" t="str">
        <f>IF('12 - Device_Configuration'!BC48="","",'12 - Device_Configuration'!BC48)</f>
        <v>In Storage</v>
      </c>
      <c r="X48" s="21" t="str">
        <f>IF('12 - Device_Configuration'!BK48="","",'12 - Device_Configuration'!BK48)</f>
        <v>Power Cable, Battery, Firmware Download, Device ID, Epic Beans Relay</v>
      </c>
      <c r="Y48" s="21" t="str">
        <f>IF('12 - Device_Configuration'!BB48="","",'12 - Device_Configuration'!BB48)</f>
        <v/>
      </c>
      <c r="Z48" s="21" t="str">
        <f>IF('12 - Device_Configuration'!P48="","",'12 - Device_Configuration'!P48)</f>
        <v/>
      </c>
      <c r="AA48" s="21" t="str">
        <f>IF('12 - Device_Configuration'!Q48="","",'12 - Device_Configuration'!Q48)</f>
        <v/>
      </c>
    </row>
    <row r="49" spans="1:27" ht="45.75" customHeight="1">
      <c r="A49" s="22"/>
      <c r="B49" s="22"/>
      <c r="C49" s="21" t="str">
        <f>IF('12 - Device_Configuration'!H49="","",'12 - Device_Configuration'!H49)</f>
        <v>Glen Cove</v>
      </c>
      <c r="D49" s="21" t="str">
        <f>IF('12 - Device_Configuration'!AE49="","",'12 - Device_Configuration'!AE49)</f>
        <v/>
      </c>
      <c r="E49" s="21" t="str">
        <f>IF('12 - Device_Configuration'!AF49="","",'12 - Device_Configuration'!AF49)</f>
        <v/>
      </c>
      <c r="F49" s="21" t="str">
        <f>IF('12 - Device_Configuration'!AG49="","",'12 - Device_Configuration'!AG49)</f>
        <v/>
      </c>
      <c r="G49" s="21" t="str">
        <f>IF('12 - Device_Configuration'!AH49="","",'12 - Device_Configuration'!AH49)</f>
        <v/>
      </c>
      <c r="H49" s="21" t="str">
        <f>IF('12 - Device_Configuration'!A49="","",'12 - Device_Configuration'!A49)</f>
        <v>Neuron</v>
      </c>
      <c r="I49" s="21" t="str">
        <f>IF('12 - Device_Configuration'!AI49="","",'12 - Device_Configuration'!AI49)</f>
        <v/>
      </c>
      <c r="J49" s="21" t="str">
        <f>IF('12 - Device_Configuration'!AJ49="","",'12 - Device_Configuration'!AJ49)</f>
        <v/>
      </c>
      <c r="K49" s="21" t="str">
        <f>IF('12 - Device_Configuration'!AA49="","",'12 - Device_Configuration'!AA49)</f>
        <v/>
      </c>
      <c r="L49" s="21" t="str">
        <f>IF('12 - Device_Configuration'!I49="","",'12 - Device_Configuration'!I49)</f>
        <v/>
      </c>
      <c r="M49" s="22"/>
      <c r="N49" s="21" t="str">
        <f>IF('12 - Device_Configuration'!J49="","",'12 - Device_Configuration'!J49)</f>
        <v>NA</v>
      </c>
      <c r="O49" s="21" t="str">
        <f>IF('12 - Device_Configuration'!K49="","",'12 - Device_Configuration'!K49)</f>
        <v>NA</v>
      </c>
      <c r="P49" s="21" t="str">
        <f>IF('12 - Device_Configuration'!L49="","",'12 - Device_Configuration'!L49)</f>
        <v>NA</v>
      </c>
      <c r="Q49" s="22"/>
      <c r="R49" s="21" t="str">
        <f>IF('12 - Device_Configuration'!AY49="","",'12 - Device_Configuration'!AY49)</f>
        <v/>
      </c>
      <c r="S49" s="21" t="str">
        <f>IF('12 - Device_Configuration'!AX49="","",'12 - Device_Configuration'!AX49)</f>
        <v/>
      </c>
      <c r="T49" s="21" t="str">
        <f>IF('12 - Device_Configuration'!AV49="","",'12 - Device_Configuration'!AV49)</f>
        <v/>
      </c>
      <c r="U49" s="21" t="str">
        <f>IF('12 - Device_Configuration'!AW49="","",'12 - Device_Configuration'!AW49)</f>
        <v/>
      </c>
      <c r="V49" s="21" t="str">
        <f>IF('12 - Device_Configuration'!BA49="","",'12 - Device_Configuration'!BA49)</f>
        <v/>
      </c>
      <c r="W49" s="21" t="str">
        <f>IF('12 - Device_Configuration'!BC49="","",'12 - Device_Configuration'!BC49)</f>
        <v>In Storage</v>
      </c>
      <c r="X49" s="21" t="str">
        <f>IF('12 - Device_Configuration'!BK49="","",'12 - Device_Configuration'!BK49)</f>
        <v>Power Cable, Battery, Firmware Download, Device ID, Epic Beans Relay</v>
      </c>
      <c r="Y49" s="21" t="str">
        <f>IF('12 - Device_Configuration'!BB49="","",'12 - Device_Configuration'!BB49)</f>
        <v/>
      </c>
      <c r="Z49" s="21" t="str">
        <f>IF('12 - Device_Configuration'!P49="","",'12 - Device_Configuration'!P49)</f>
        <v/>
      </c>
      <c r="AA49" s="21" t="str">
        <f>IF('12 - Device_Configuration'!Q49="","",'12 - Device_Configuration'!Q49)</f>
        <v/>
      </c>
    </row>
    <row r="50" spans="1:27" ht="30.75" customHeight="1">
      <c r="A50" s="22"/>
      <c r="B50" s="22"/>
      <c r="C50" s="21" t="str">
        <f>IF('12 - Device_Configuration'!H50="","",'12 - Device_Configuration'!H50)</f>
        <v>LIJ-IR</v>
      </c>
      <c r="D50" s="21" t="str">
        <f>IF('12 - Device_Configuration'!AE50="","",'12 - Device_Configuration'!AE50)</f>
        <v/>
      </c>
      <c r="E50" s="21" t="str">
        <f>IF('12 - Device_Configuration'!AF50="","",'12 - Device_Configuration'!AF50)</f>
        <v/>
      </c>
      <c r="F50" s="21" t="str">
        <f>IF('12 - Device_Configuration'!AG50="","",'12 - Device_Configuration'!AG50)</f>
        <v/>
      </c>
      <c r="G50" s="21" t="str">
        <f>IF('12 - Device_Configuration'!AH50="","",'12 - Device_Configuration'!AH50)</f>
        <v/>
      </c>
      <c r="H50" s="21" t="str">
        <f>IF('12 - Device_Configuration'!A50="","",'12 - Device_Configuration'!A50)</f>
        <v>Cybernet</v>
      </c>
      <c r="I50" s="21" t="str">
        <f>IF('12 - Device_Configuration'!AI50="","",'12 - Device_Configuration'!AI50)</f>
        <v>Cybernet Manufacturing Inc</v>
      </c>
      <c r="J50" s="21" t="str">
        <f>IF('12 - Device_Configuration'!AJ50="","",'12 - Device_Configuration'!AJ50)</f>
        <v>CyberMed-S24 TGL</v>
      </c>
      <c r="K50" s="21" t="str">
        <f>IF('12 - Device_Configuration'!AA50="","",'12 - Device_Configuration'!AA50)</f>
        <v/>
      </c>
      <c r="L50" s="21" t="str">
        <f>IF('12 - Device_Configuration'!I50="","",'12 - Device_Configuration'!I50)</f>
        <v/>
      </c>
      <c r="M50" s="22"/>
      <c r="N50" s="21" t="str">
        <f>IF('12 - Device_Configuration'!J50="","",'12 - Device_Configuration'!J50)</f>
        <v>Yes</v>
      </c>
      <c r="O50" s="21" t="str">
        <f>IF('12 - Device_Configuration'!K50="","",'12 - Device_Configuration'!K50)</f>
        <v>No</v>
      </c>
      <c r="P50" s="21" t="str">
        <f>IF('12 - Device_Configuration'!L50="","",'12 - Device_Configuration'!L50)</f>
        <v>No</v>
      </c>
      <c r="Q50" s="22"/>
      <c r="R50" s="21" t="str">
        <f>IF('12 - Device_Configuration'!AY50="","",'12 - Device_Configuration'!AY50)</f>
        <v/>
      </c>
      <c r="S50" s="21" t="str">
        <f>IF('12 - Device_Configuration'!AX50="","",'12 - Device_Configuration'!AX50)</f>
        <v/>
      </c>
      <c r="T50" s="21" t="str">
        <f>IF('12 - Device_Configuration'!AV50="","",'12 - Device_Configuration'!AV50)</f>
        <v/>
      </c>
      <c r="U50" s="21" t="str">
        <f>IF('12 - Device_Configuration'!AW50="","",'12 - Device_Configuration'!AW50)</f>
        <v/>
      </c>
      <c r="V50" s="21" t="str">
        <f>IF('12 - Device_Configuration'!BA50="","",'12 - Device_Configuration'!BA50)</f>
        <v/>
      </c>
      <c r="W50" s="21" t="str">
        <f>IF('12 - Device_Configuration'!BC50="","",'12 - Device_Configuration'!BC50)</f>
        <v>In Storage</v>
      </c>
      <c r="X50" s="21" t="str">
        <f>IF('12 - Device_Configuration'!BK50="","",'12 - Device_Configuration'!BK50)</f>
        <v/>
      </c>
      <c r="Y50" s="21" t="str">
        <f>IF('12 - Device_Configuration'!BB50="","",'12 - Device_Configuration'!BB50)</f>
        <v>Ran POSTINSTALL, boxed</v>
      </c>
      <c r="Z50" s="21" t="str">
        <f>IF('12 - Device_Configuration'!P50="","",'12 - Device_Configuration'!P50)</f>
        <v/>
      </c>
      <c r="AA50" s="21" t="str">
        <f>IF('12 - Device_Configuration'!Q50="","",'12 - Device_Configuration'!Q50)</f>
        <v/>
      </c>
    </row>
    <row r="51" spans="1:27" ht="30.75" customHeight="1">
      <c r="A51" s="22"/>
      <c r="B51" s="22"/>
      <c r="C51" s="21" t="str">
        <f>IF('12 - Device_Configuration'!H51="","",'12 - Device_Configuration'!H51)</f>
        <v>LIJ-IR</v>
      </c>
      <c r="D51" s="21" t="str">
        <f>IF('12 - Device_Configuration'!AE51="","",'12 - Device_Configuration'!AE51)</f>
        <v/>
      </c>
      <c r="E51" s="21" t="str">
        <f>IF('12 - Device_Configuration'!AF51="","",'12 - Device_Configuration'!AF51)</f>
        <v/>
      </c>
      <c r="F51" s="21" t="str">
        <f>IF('12 - Device_Configuration'!AG51="","",'12 - Device_Configuration'!AG51)</f>
        <v/>
      </c>
      <c r="G51" s="21" t="str">
        <f>IF('12 - Device_Configuration'!AH51="","",'12 - Device_Configuration'!AH51)</f>
        <v/>
      </c>
      <c r="H51" s="21" t="str">
        <f>IF('12 - Device_Configuration'!A51="","",'12 - Device_Configuration'!A51)</f>
        <v>Cybernet</v>
      </c>
      <c r="I51" s="21" t="str">
        <f>IF('12 - Device_Configuration'!AI51="","",'12 - Device_Configuration'!AI51)</f>
        <v>Cybernet Manufacturing Inc</v>
      </c>
      <c r="J51" s="21" t="str">
        <f>IF('12 - Device_Configuration'!AJ51="","",'12 - Device_Configuration'!AJ51)</f>
        <v>CyberMed-S24 TGL</v>
      </c>
      <c r="K51" s="21" t="str">
        <f>IF('12 - Device_Configuration'!AA51="","",'12 - Device_Configuration'!AA51)</f>
        <v/>
      </c>
      <c r="L51" s="21" t="str">
        <f>IF('12 - Device_Configuration'!I51="","",'12 - Device_Configuration'!I51)</f>
        <v/>
      </c>
      <c r="M51" s="22"/>
      <c r="N51" s="21" t="str">
        <f>IF('12 - Device_Configuration'!J51="","",'12 - Device_Configuration'!J51)</f>
        <v>Yes</v>
      </c>
      <c r="O51" s="21" t="str">
        <f>IF('12 - Device_Configuration'!K51="","",'12 - Device_Configuration'!K51)</f>
        <v>No</v>
      </c>
      <c r="P51" s="21" t="str">
        <f>IF('12 - Device_Configuration'!L51="","",'12 - Device_Configuration'!L51)</f>
        <v>No</v>
      </c>
      <c r="Q51" s="22"/>
      <c r="R51" s="21" t="str">
        <f>IF('12 - Device_Configuration'!AY51="","",'12 - Device_Configuration'!AY51)</f>
        <v/>
      </c>
      <c r="S51" s="21" t="str">
        <f>IF('12 - Device_Configuration'!AX51="","",'12 - Device_Configuration'!AX51)</f>
        <v/>
      </c>
      <c r="T51" s="21" t="str">
        <f>IF('12 - Device_Configuration'!AV51="","",'12 - Device_Configuration'!AV51)</f>
        <v/>
      </c>
      <c r="U51" s="21" t="str">
        <f>IF('12 - Device_Configuration'!AW51="","",'12 - Device_Configuration'!AW51)</f>
        <v/>
      </c>
      <c r="V51" s="21" t="str">
        <f>IF('12 - Device_Configuration'!BA51="","",'12 - Device_Configuration'!BA51)</f>
        <v/>
      </c>
      <c r="W51" s="21" t="str">
        <f>IF('12 - Device_Configuration'!BC51="","",'12 - Device_Configuration'!BC51)</f>
        <v>In Storage</v>
      </c>
      <c r="X51" s="21" t="str">
        <f>IF('12 - Device_Configuration'!BK51="","",'12 - Device_Configuration'!BK51)</f>
        <v/>
      </c>
      <c r="Y51" s="21" t="str">
        <f>IF('12 - Device_Configuration'!BB51="","",'12 - Device_Configuration'!BB51)</f>
        <v>Ran POSTINSTALL, boxed</v>
      </c>
      <c r="Z51" s="21" t="str">
        <f>IF('12 - Device_Configuration'!P51="","",'12 - Device_Configuration'!P51)</f>
        <v/>
      </c>
      <c r="AA51" s="21" t="str">
        <f>IF('12 - Device_Configuration'!Q51="","",'12 - Device_Configuration'!Q51)</f>
        <v/>
      </c>
    </row>
    <row r="52" spans="1:27">
      <c r="A52" s="22"/>
      <c r="B52" s="22"/>
      <c r="C52" s="21" t="str">
        <f>IF('12 - Device_Configuration'!H52="","",'12 - Device_Configuration'!H52)</f>
        <v>MEETH</v>
      </c>
      <c r="D52" s="21" t="str">
        <f>IF('12 - Device_Configuration'!AE52="","",'12 - Device_Configuration'!AE52)</f>
        <v/>
      </c>
      <c r="E52" s="21" t="str">
        <f>IF('12 - Device_Configuration'!AF52="","",'12 - Device_Configuration'!AF52)</f>
        <v/>
      </c>
      <c r="F52" s="21" t="str">
        <f>IF('12 - Device_Configuration'!AG52="","",'12 - Device_Configuration'!AG52)</f>
        <v/>
      </c>
      <c r="G52" s="21" t="str">
        <f>IF('12 - Device_Configuration'!AH52="","",'12 - Device_Configuration'!AH52)</f>
        <v/>
      </c>
      <c r="H52" s="21" t="str">
        <f>IF('12 - Device_Configuration'!A52="","",'12 - Device_Configuration'!A52)</f>
        <v>Cybernet</v>
      </c>
      <c r="I52" s="21" t="str">
        <f>IF('12 - Device_Configuration'!AI52="","",'12 - Device_Configuration'!AI52)</f>
        <v/>
      </c>
      <c r="J52" s="21" t="str">
        <f>IF('12 - Device_Configuration'!AJ52="","",'12 - Device_Configuration'!AJ52)</f>
        <v/>
      </c>
      <c r="K52" s="21" t="str">
        <f>IF('12 - Device_Configuration'!AA52="","",'12 - Device_Configuration'!AA52)</f>
        <v/>
      </c>
      <c r="L52" s="21" t="str">
        <f>IF('12 - Device_Configuration'!I52="","",'12 - Device_Configuration'!I52)</f>
        <v/>
      </c>
      <c r="M52" s="22"/>
      <c r="N52" s="21" t="str">
        <f>IF('12 - Device_Configuration'!J52="","",'12 - Device_Configuration'!J52)</f>
        <v>Yes</v>
      </c>
      <c r="O52" s="21" t="str">
        <f>IF('12 - Device_Configuration'!K52="","",'12 - Device_Configuration'!K52)</f>
        <v>No</v>
      </c>
      <c r="P52" s="21" t="str">
        <f>IF('12 - Device_Configuration'!L52="","",'12 - Device_Configuration'!L52)</f>
        <v>No</v>
      </c>
      <c r="Q52" s="22"/>
      <c r="R52" s="21" t="str">
        <f>IF('12 - Device_Configuration'!AY52="","",'12 - Device_Configuration'!AY52)</f>
        <v/>
      </c>
      <c r="S52" s="21" t="str">
        <f>IF('12 - Device_Configuration'!AX52="","",'12 - Device_Configuration'!AX52)</f>
        <v/>
      </c>
      <c r="T52" s="21" t="str">
        <f>IF('12 - Device_Configuration'!AV52="","",'12 - Device_Configuration'!AV52)</f>
        <v/>
      </c>
      <c r="U52" s="21" t="str">
        <f>IF('12 - Device_Configuration'!AW52="","",'12 - Device_Configuration'!AW52)</f>
        <v/>
      </c>
      <c r="V52" s="21" t="str">
        <f>IF('12 - Device_Configuration'!BA52="","",'12 - Device_Configuration'!BA52)</f>
        <v/>
      </c>
      <c r="W52" s="21" t="str">
        <f>IF('12 - Device_Configuration'!BC52="","",'12 - Device_Configuration'!BC52)</f>
        <v/>
      </c>
      <c r="X52" s="21" t="str">
        <f>IF('12 - Device_Configuration'!BK52="","",'12 - Device_Configuration'!BK52)</f>
        <v/>
      </c>
      <c r="Y52" s="21" t="str">
        <f>IF('12 - Device_Configuration'!BB52="","",'12 - Device_Configuration'!BB52)</f>
        <v xml:space="preserve">Ran POSTINSTALL </v>
      </c>
      <c r="Z52" s="21" t="str">
        <f>IF('12 - Device_Configuration'!P52="","",'12 - Device_Configuration'!P52)</f>
        <v/>
      </c>
      <c r="AA52" s="21" t="str">
        <f>IF('12 - Device_Configuration'!Q52="","",'12 - Device_Configuration'!Q52)</f>
        <v/>
      </c>
    </row>
    <row r="53" spans="1:27">
      <c r="A53" s="22"/>
      <c r="B53" s="22"/>
      <c r="C53" s="21" t="str">
        <f>IF('12 - Device_Configuration'!H53="","",'12 - Device_Configuration'!H53)</f>
        <v>MEETH</v>
      </c>
      <c r="D53" s="21" t="str">
        <f>IF('12 - Device_Configuration'!AE53="","",'12 - Device_Configuration'!AE53)</f>
        <v/>
      </c>
      <c r="E53" s="21" t="str">
        <f>IF('12 - Device_Configuration'!AF53="","",'12 - Device_Configuration'!AF53)</f>
        <v/>
      </c>
      <c r="F53" s="21" t="str">
        <f>IF('12 - Device_Configuration'!AG53="","",'12 - Device_Configuration'!AG53)</f>
        <v/>
      </c>
      <c r="G53" s="21" t="str">
        <f>IF('12 - Device_Configuration'!AH53="","",'12 - Device_Configuration'!AH53)</f>
        <v/>
      </c>
      <c r="H53" s="21" t="str">
        <f>IF('12 - Device_Configuration'!A53="","",'12 - Device_Configuration'!A53)</f>
        <v>Cybernet</v>
      </c>
      <c r="I53" s="21" t="str">
        <f>IF('12 - Device_Configuration'!AI53="","",'12 - Device_Configuration'!AI53)</f>
        <v/>
      </c>
      <c r="J53" s="21" t="str">
        <f>IF('12 - Device_Configuration'!AJ53="","",'12 - Device_Configuration'!AJ53)</f>
        <v/>
      </c>
      <c r="K53" s="21" t="str">
        <f>IF('12 - Device_Configuration'!AA53="","",'12 - Device_Configuration'!AA53)</f>
        <v/>
      </c>
      <c r="L53" s="21" t="str">
        <f>IF('12 - Device_Configuration'!I53="","",'12 - Device_Configuration'!I53)</f>
        <v/>
      </c>
      <c r="M53" s="22"/>
      <c r="N53" s="21" t="str">
        <f>IF('12 - Device_Configuration'!J53="","",'12 - Device_Configuration'!J53)</f>
        <v>Yes</v>
      </c>
      <c r="O53" s="21" t="str">
        <f>IF('12 - Device_Configuration'!K53="","",'12 - Device_Configuration'!K53)</f>
        <v>No</v>
      </c>
      <c r="P53" s="21" t="str">
        <f>IF('12 - Device_Configuration'!L53="","",'12 - Device_Configuration'!L53)</f>
        <v>No</v>
      </c>
      <c r="Q53" s="22"/>
      <c r="R53" s="21" t="str">
        <f>IF('12 - Device_Configuration'!AY53="","",'12 - Device_Configuration'!AY53)</f>
        <v/>
      </c>
      <c r="S53" s="21" t="str">
        <f>IF('12 - Device_Configuration'!AX53="","",'12 - Device_Configuration'!AX53)</f>
        <v/>
      </c>
      <c r="T53" s="21" t="str">
        <f>IF('12 - Device_Configuration'!AV53="","",'12 - Device_Configuration'!AV53)</f>
        <v/>
      </c>
      <c r="U53" s="21" t="str">
        <f>IF('12 - Device_Configuration'!AW53="","",'12 - Device_Configuration'!AW53)</f>
        <v/>
      </c>
      <c r="V53" s="21" t="str">
        <f>IF('12 - Device_Configuration'!BA53="","",'12 - Device_Configuration'!BA53)</f>
        <v/>
      </c>
      <c r="W53" s="21" t="str">
        <f>IF('12 - Device_Configuration'!BC53="","",'12 - Device_Configuration'!BC53)</f>
        <v/>
      </c>
      <c r="X53" s="21" t="str">
        <f>IF('12 - Device_Configuration'!BK53="","",'12 - Device_Configuration'!BK53)</f>
        <v/>
      </c>
      <c r="Y53" s="21" t="str">
        <f>IF('12 - Device_Configuration'!BB53="","",'12 - Device_Configuration'!BB53)</f>
        <v>Ran POSTINSTALL</v>
      </c>
      <c r="Z53" s="21" t="str">
        <f>IF('12 - Device_Configuration'!P53="","",'12 - Device_Configuration'!P53)</f>
        <v/>
      </c>
      <c r="AA53" s="21" t="str">
        <f>IF('12 - Device_Configuration'!Q53="","",'12 - Device_Configuration'!Q53)</f>
        <v/>
      </c>
    </row>
    <row r="54" spans="1:27" ht="30.75" customHeight="1">
      <c r="A54" s="22"/>
      <c r="B54" s="22"/>
      <c r="C54" s="21" t="str">
        <f>IF('12 - Device_Configuration'!H54="","",'12 - Device_Configuration'!H54)</f>
        <v>NSUH</v>
      </c>
      <c r="D54" s="21" t="str">
        <f>IF('12 - Device_Configuration'!AE54="","",'12 - Device_Configuration'!AE54)</f>
        <v/>
      </c>
      <c r="E54" s="21" t="str">
        <f>IF('12 - Device_Configuration'!AF54="","",'12 - Device_Configuration'!AF54)</f>
        <v/>
      </c>
      <c r="F54" s="21" t="str">
        <f>IF('12 - Device_Configuration'!AG54="","",'12 - Device_Configuration'!AG54)</f>
        <v/>
      </c>
      <c r="G54" s="21" t="str">
        <f>IF('12 - Device_Configuration'!AH54="","",'12 - Device_Configuration'!AH54)</f>
        <v/>
      </c>
      <c r="H54" s="21" t="str">
        <f>IF('12 - Device_Configuration'!A54="","",'12 - Device_Configuration'!A54)</f>
        <v>Cybernet</v>
      </c>
      <c r="I54" s="21" t="str">
        <f>IF('12 - Device_Configuration'!AI54="","",'12 - Device_Configuration'!AI54)</f>
        <v>Cybernet Manufacturing Inc</v>
      </c>
      <c r="J54" s="21" t="str">
        <f>IF('12 - Device_Configuration'!AJ54="","",'12 - Device_Configuration'!AJ54)</f>
        <v>CyberMed-S24 TGL</v>
      </c>
      <c r="K54" s="21" t="str">
        <f>IF('12 - Device_Configuration'!AA54="","",'12 - Device_Configuration'!AA54)</f>
        <v/>
      </c>
      <c r="L54" s="21" t="str">
        <f>IF('12 - Device_Configuration'!I54="","",'12 - Device_Configuration'!I54)</f>
        <v/>
      </c>
      <c r="M54" s="22"/>
      <c r="N54" s="21" t="str">
        <f>IF('12 - Device_Configuration'!J54="","",'12 - Device_Configuration'!J54)</f>
        <v>Yes</v>
      </c>
      <c r="O54" s="21" t="str">
        <f>IF('12 - Device_Configuration'!K54="","",'12 - Device_Configuration'!K54)</f>
        <v>No</v>
      </c>
      <c r="P54" s="21" t="str">
        <f>IF('12 - Device_Configuration'!L54="","",'12 - Device_Configuration'!L54)</f>
        <v>No</v>
      </c>
      <c r="Q54" s="22"/>
      <c r="R54" s="21" t="str">
        <f>IF('12 - Device_Configuration'!AY54="","",'12 - Device_Configuration'!AY54)</f>
        <v/>
      </c>
      <c r="S54" s="21" t="str">
        <f>IF('12 - Device_Configuration'!AX54="","",'12 - Device_Configuration'!AX54)</f>
        <v/>
      </c>
      <c r="T54" s="21" t="str">
        <f>IF('12 - Device_Configuration'!AV54="","",'12 - Device_Configuration'!AV54)</f>
        <v/>
      </c>
      <c r="U54" s="21" t="str">
        <f>IF('12 - Device_Configuration'!AW54="","",'12 - Device_Configuration'!AW54)</f>
        <v/>
      </c>
      <c r="V54" s="21" t="str">
        <f>IF('12 - Device_Configuration'!BA54="","",'12 - Device_Configuration'!BA54)</f>
        <v/>
      </c>
      <c r="W54" s="21" t="str">
        <f>IF('12 - Device_Configuration'!BC54="","",'12 - Device_Configuration'!BC54)</f>
        <v>In Storage</v>
      </c>
      <c r="X54" s="21" t="str">
        <f>IF('12 - Device_Configuration'!BK54="","",'12 - Device_Configuration'!BK54)</f>
        <v/>
      </c>
      <c r="Y54" s="21" t="str">
        <f>IF('12 - Device_Configuration'!BB54="","",'12 - Device_Configuration'!BB54)</f>
        <v>Ran POSTINSTALL, boxe</v>
      </c>
      <c r="Z54" s="21" t="str">
        <f>IF('12 - Device_Configuration'!P54="","",'12 - Device_Configuration'!P54)</f>
        <v/>
      </c>
      <c r="AA54" s="21" t="str">
        <f>IF('12 - Device_Configuration'!Q54="","",'12 - Device_Configuration'!Q54)</f>
        <v/>
      </c>
    </row>
    <row r="55" spans="1:27" ht="30.75" customHeight="1">
      <c r="A55" s="22"/>
      <c r="B55" s="22"/>
      <c r="C55" s="21" t="str">
        <f>IF('12 - Device_Configuration'!H55="","",'12 - Device_Configuration'!H55)</f>
        <v>NSUH</v>
      </c>
      <c r="D55" s="21" t="str">
        <f>IF('12 - Device_Configuration'!AE55="","",'12 - Device_Configuration'!AE55)</f>
        <v/>
      </c>
      <c r="E55" s="21" t="str">
        <f>IF('12 - Device_Configuration'!AF55="","",'12 - Device_Configuration'!AF55)</f>
        <v/>
      </c>
      <c r="F55" s="21" t="str">
        <f>IF('12 - Device_Configuration'!AG55="","",'12 - Device_Configuration'!AG55)</f>
        <v/>
      </c>
      <c r="G55" s="21" t="str">
        <f>IF('12 - Device_Configuration'!AH55="","",'12 - Device_Configuration'!AH55)</f>
        <v/>
      </c>
      <c r="H55" s="21" t="str">
        <f>IF('12 - Device_Configuration'!A55="","",'12 - Device_Configuration'!A55)</f>
        <v>Cybernet</v>
      </c>
      <c r="I55" s="21" t="str">
        <f>IF('12 - Device_Configuration'!AI55="","",'12 - Device_Configuration'!AI55)</f>
        <v>Cybernet Manufacturing Inc</v>
      </c>
      <c r="J55" s="21" t="str">
        <f>IF('12 - Device_Configuration'!AJ55="","",'12 - Device_Configuration'!AJ55)</f>
        <v>CyberMed-S24 TGL</v>
      </c>
      <c r="K55" s="21" t="str">
        <f>IF('12 - Device_Configuration'!AA55="","",'12 - Device_Configuration'!AA55)</f>
        <v/>
      </c>
      <c r="L55" s="21" t="str">
        <f>IF('12 - Device_Configuration'!I55="","",'12 - Device_Configuration'!I55)</f>
        <v/>
      </c>
      <c r="M55" s="22"/>
      <c r="N55" s="21" t="str">
        <f>IF('12 - Device_Configuration'!J55="","",'12 - Device_Configuration'!J55)</f>
        <v>Yes</v>
      </c>
      <c r="O55" s="21" t="str">
        <f>IF('12 - Device_Configuration'!K55="","",'12 - Device_Configuration'!K55)</f>
        <v>No</v>
      </c>
      <c r="P55" s="21" t="str">
        <f>IF('12 - Device_Configuration'!L55="","",'12 - Device_Configuration'!L55)</f>
        <v>No</v>
      </c>
      <c r="Q55" s="22"/>
      <c r="R55" s="21" t="str">
        <f>IF('12 - Device_Configuration'!AY55="","",'12 - Device_Configuration'!AY55)</f>
        <v/>
      </c>
      <c r="S55" s="21" t="str">
        <f>IF('12 - Device_Configuration'!AX55="","",'12 - Device_Configuration'!AX55)</f>
        <v/>
      </c>
      <c r="T55" s="21" t="str">
        <f>IF('12 - Device_Configuration'!AV55="","",'12 - Device_Configuration'!AV55)</f>
        <v/>
      </c>
      <c r="U55" s="21" t="str">
        <f>IF('12 - Device_Configuration'!AW55="","",'12 - Device_Configuration'!AW55)</f>
        <v/>
      </c>
      <c r="V55" s="21" t="str">
        <f>IF('12 - Device_Configuration'!BA55="","",'12 - Device_Configuration'!BA55)</f>
        <v/>
      </c>
      <c r="W55" s="21" t="str">
        <f>IF('12 - Device_Configuration'!BC55="","",'12 - Device_Configuration'!BC55)</f>
        <v>In Storage</v>
      </c>
      <c r="X55" s="21" t="str">
        <f>IF('12 - Device_Configuration'!BK55="","",'12 - Device_Configuration'!BK55)</f>
        <v/>
      </c>
      <c r="Y55" s="21" t="str">
        <f>IF('12 - Device_Configuration'!BB55="","",'12 - Device_Configuration'!BB55)</f>
        <v>Ran POSTINSTALL, boxe</v>
      </c>
      <c r="Z55" s="21" t="str">
        <f>IF('12 - Device_Configuration'!P55="","",'12 - Device_Configuration'!P55)</f>
        <v/>
      </c>
      <c r="AA55" s="21" t="str">
        <f>IF('12 - Device_Configuration'!Q55="","",'12 - Device_Configuration'!Q55)</f>
        <v/>
      </c>
    </row>
    <row r="56" spans="1:27">
      <c r="A56" s="22"/>
      <c r="B56" s="22"/>
      <c r="C56" s="21" t="str">
        <f>IF('12 - Device_Configuration'!H56="","",'12 - Device_Configuration'!H56)</f>
        <v>NSUH</v>
      </c>
      <c r="D56" s="21" t="str">
        <f>IF('12 - Device_Configuration'!AE56="","",'12 - Device_Configuration'!AE56)</f>
        <v/>
      </c>
      <c r="E56" s="21" t="str">
        <f>IF('12 - Device_Configuration'!AF56="","",'12 - Device_Configuration'!AF56)</f>
        <v/>
      </c>
      <c r="F56" s="21" t="str">
        <f>IF('12 - Device_Configuration'!AG56="","",'12 - Device_Configuration'!AG56)</f>
        <v/>
      </c>
      <c r="G56" s="21" t="str">
        <f>IF('12 - Device_Configuration'!AH56="","",'12 - Device_Configuration'!AH56)</f>
        <v/>
      </c>
      <c r="H56" s="21" t="str">
        <f>IF('12 - Device_Configuration'!A56="","",'12 - Device_Configuration'!A56)</f>
        <v>Cybernet</v>
      </c>
      <c r="I56" s="21" t="str">
        <f>IF('12 - Device_Configuration'!AI56="","",'12 - Device_Configuration'!AI56)</f>
        <v/>
      </c>
      <c r="J56" s="21" t="str">
        <f>IF('12 - Device_Configuration'!AJ56="","",'12 - Device_Configuration'!AJ56)</f>
        <v/>
      </c>
      <c r="K56" s="21" t="str">
        <f>IF('12 - Device_Configuration'!AA56="","",'12 - Device_Configuration'!AA56)</f>
        <v/>
      </c>
      <c r="L56" s="21" t="str">
        <f>IF('12 - Device_Configuration'!I56="","",'12 - Device_Configuration'!I56)</f>
        <v/>
      </c>
      <c r="M56" s="22"/>
      <c r="N56" s="21" t="str">
        <f>IF('12 - Device_Configuration'!J56="","",'12 - Device_Configuration'!J56)</f>
        <v>Yes</v>
      </c>
      <c r="O56" s="21" t="str">
        <f>IF('12 - Device_Configuration'!K56="","",'12 - Device_Configuration'!K56)</f>
        <v>No</v>
      </c>
      <c r="P56" s="21" t="str">
        <f>IF('12 - Device_Configuration'!L56="","",'12 - Device_Configuration'!L56)</f>
        <v>No</v>
      </c>
      <c r="Q56" s="22"/>
      <c r="R56" s="21" t="str">
        <f>IF('12 - Device_Configuration'!AY56="","",'12 - Device_Configuration'!AY56)</f>
        <v/>
      </c>
      <c r="S56" s="21" t="str">
        <f>IF('12 - Device_Configuration'!AX56="","",'12 - Device_Configuration'!AX56)</f>
        <v/>
      </c>
      <c r="T56" s="21" t="str">
        <f>IF('12 - Device_Configuration'!AV56="","",'12 - Device_Configuration'!AV56)</f>
        <v/>
      </c>
      <c r="U56" s="21" t="str">
        <f>IF('12 - Device_Configuration'!AW56="","",'12 - Device_Configuration'!AW56)</f>
        <v/>
      </c>
      <c r="V56" s="21" t="str">
        <f>IF('12 - Device_Configuration'!BA56="","",'12 - Device_Configuration'!BA56)</f>
        <v/>
      </c>
      <c r="W56" s="21" t="str">
        <f>IF('12 - Device_Configuration'!BC56="","",'12 - Device_Configuration'!BC56)</f>
        <v>In Storage</v>
      </c>
      <c r="X56" s="21" t="str">
        <f>IF('12 - Device_Configuration'!BK56="","",'12 - Device_Configuration'!BK56)</f>
        <v/>
      </c>
      <c r="Y56" s="21" t="str">
        <f>IF('12 - Device_Configuration'!BB56="","",'12 - Device_Configuration'!BB56)</f>
        <v/>
      </c>
      <c r="Z56" s="21" t="str">
        <f>IF('12 - Device_Configuration'!P56="","",'12 - Device_Configuration'!P56)</f>
        <v/>
      </c>
      <c r="AA56" s="21" t="str">
        <f>IF('12 - Device_Configuration'!Q56="","",'12 - Device_Configuration'!Q56)</f>
        <v/>
      </c>
    </row>
    <row r="57" spans="1:27">
      <c r="A57" s="22"/>
      <c r="B57" s="22"/>
      <c r="C57" s="21" t="str">
        <f>IF('12 - Device_Configuration'!H57="","",'12 - Device_Configuration'!H57)</f>
        <v>NSUH</v>
      </c>
      <c r="D57" s="21" t="str">
        <f>IF('12 - Device_Configuration'!AE57="","",'12 - Device_Configuration'!AE57)</f>
        <v/>
      </c>
      <c r="E57" s="21" t="str">
        <f>IF('12 - Device_Configuration'!AF57="","",'12 - Device_Configuration'!AF57)</f>
        <v/>
      </c>
      <c r="F57" s="21" t="str">
        <f>IF('12 - Device_Configuration'!AG57="","",'12 - Device_Configuration'!AG57)</f>
        <v/>
      </c>
      <c r="G57" s="21" t="str">
        <f>IF('12 - Device_Configuration'!AH57="","",'12 - Device_Configuration'!AH57)</f>
        <v/>
      </c>
      <c r="H57" s="21" t="str">
        <f>IF('12 - Device_Configuration'!A57="","",'12 - Device_Configuration'!A57)</f>
        <v>Cybernet</v>
      </c>
      <c r="I57" s="21" t="str">
        <f>IF('12 - Device_Configuration'!AI57="","",'12 - Device_Configuration'!AI57)</f>
        <v/>
      </c>
      <c r="J57" s="21" t="str">
        <f>IF('12 - Device_Configuration'!AJ57="","",'12 - Device_Configuration'!AJ57)</f>
        <v/>
      </c>
      <c r="K57" s="21" t="str">
        <f>IF('12 - Device_Configuration'!AA57="","",'12 - Device_Configuration'!AA57)</f>
        <v/>
      </c>
      <c r="L57" s="21" t="str">
        <f>IF('12 - Device_Configuration'!I57="","",'12 - Device_Configuration'!I57)</f>
        <v/>
      </c>
      <c r="M57" s="22"/>
      <c r="N57" s="21" t="str">
        <f>IF('12 - Device_Configuration'!J57="","",'12 - Device_Configuration'!J57)</f>
        <v>Yes</v>
      </c>
      <c r="O57" s="21" t="str">
        <f>IF('12 - Device_Configuration'!K57="","",'12 - Device_Configuration'!K57)</f>
        <v>No</v>
      </c>
      <c r="P57" s="21" t="str">
        <f>IF('12 - Device_Configuration'!L57="","",'12 - Device_Configuration'!L57)</f>
        <v>No</v>
      </c>
      <c r="Q57" s="22"/>
      <c r="R57" s="21" t="str">
        <f>IF('12 - Device_Configuration'!AY57="","",'12 - Device_Configuration'!AY57)</f>
        <v/>
      </c>
      <c r="S57" s="21" t="str">
        <f>IF('12 - Device_Configuration'!AX57="","",'12 - Device_Configuration'!AX57)</f>
        <v/>
      </c>
      <c r="T57" s="21" t="str">
        <f>IF('12 - Device_Configuration'!AV57="","",'12 - Device_Configuration'!AV57)</f>
        <v/>
      </c>
      <c r="U57" s="21" t="str">
        <f>IF('12 - Device_Configuration'!AW57="","",'12 - Device_Configuration'!AW57)</f>
        <v/>
      </c>
      <c r="V57" s="21" t="str">
        <f>IF('12 - Device_Configuration'!BA57="","",'12 - Device_Configuration'!BA57)</f>
        <v/>
      </c>
      <c r="W57" s="21" t="str">
        <f>IF('12 - Device_Configuration'!BC57="","",'12 - Device_Configuration'!BC57)</f>
        <v>In Storage</v>
      </c>
      <c r="X57" s="21" t="str">
        <f>IF('12 - Device_Configuration'!BK57="","",'12 - Device_Configuration'!BK57)</f>
        <v/>
      </c>
      <c r="Y57" s="21" t="str">
        <f>IF('12 - Device_Configuration'!BB57="","",'12 - Device_Configuration'!BB57)</f>
        <v/>
      </c>
      <c r="Z57" s="21" t="str">
        <f>IF('12 - Device_Configuration'!P57="","",'12 - Device_Configuration'!P57)</f>
        <v/>
      </c>
      <c r="AA57" s="21" t="str">
        <f>IF('12 - Device_Configuration'!Q57="","",'12 - Device_Configuration'!Q57)</f>
        <v/>
      </c>
    </row>
    <row r="58" spans="1:27">
      <c r="A58" s="22"/>
      <c r="B58" s="22"/>
      <c r="C58" s="21" t="str">
        <f>IF('12 - Device_Configuration'!H58="","",'12 - Device_Configuration'!H58)</f>
        <v>NSUH</v>
      </c>
      <c r="D58" s="21" t="str">
        <f>IF('12 - Device_Configuration'!AE58="","",'12 - Device_Configuration'!AE58)</f>
        <v/>
      </c>
      <c r="E58" s="21" t="str">
        <f>IF('12 - Device_Configuration'!AF58="","",'12 - Device_Configuration'!AF58)</f>
        <v/>
      </c>
      <c r="F58" s="21" t="str">
        <f>IF('12 - Device_Configuration'!AG58="","",'12 - Device_Configuration'!AG58)</f>
        <v/>
      </c>
      <c r="G58" s="21" t="str">
        <f>IF('12 - Device_Configuration'!AH58="","",'12 - Device_Configuration'!AH58)</f>
        <v/>
      </c>
      <c r="H58" s="21" t="str">
        <f>IF('12 - Device_Configuration'!A58="","",'12 - Device_Configuration'!A58)</f>
        <v>Cybernet</v>
      </c>
      <c r="I58" s="21" t="str">
        <f>IF('12 - Device_Configuration'!AI58="","",'12 - Device_Configuration'!AI58)</f>
        <v/>
      </c>
      <c r="J58" s="21" t="str">
        <f>IF('12 - Device_Configuration'!AJ58="","",'12 - Device_Configuration'!AJ58)</f>
        <v/>
      </c>
      <c r="K58" s="21" t="str">
        <f>IF('12 - Device_Configuration'!AA58="","",'12 - Device_Configuration'!AA58)</f>
        <v/>
      </c>
      <c r="L58" s="21" t="str">
        <f>IF('12 - Device_Configuration'!I58="","",'12 - Device_Configuration'!I58)</f>
        <v/>
      </c>
      <c r="M58" s="22"/>
      <c r="N58" s="21" t="str">
        <f>IF('12 - Device_Configuration'!J58="","",'12 - Device_Configuration'!J58)</f>
        <v>Yes</v>
      </c>
      <c r="O58" s="21" t="str">
        <f>IF('12 - Device_Configuration'!K58="","",'12 - Device_Configuration'!K58)</f>
        <v>No</v>
      </c>
      <c r="P58" s="21" t="str">
        <f>IF('12 - Device_Configuration'!L58="","",'12 - Device_Configuration'!L58)</f>
        <v>No</v>
      </c>
      <c r="Q58" s="22"/>
      <c r="R58" s="21" t="str">
        <f>IF('12 - Device_Configuration'!AY58="","",'12 - Device_Configuration'!AY58)</f>
        <v/>
      </c>
      <c r="S58" s="21" t="str">
        <f>IF('12 - Device_Configuration'!AX58="","",'12 - Device_Configuration'!AX58)</f>
        <v/>
      </c>
      <c r="T58" s="21" t="str">
        <f>IF('12 - Device_Configuration'!AV58="","",'12 - Device_Configuration'!AV58)</f>
        <v/>
      </c>
      <c r="U58" s="21" t="str">
        <f>IF('12 - Device_Configuration'!AW58="","",'12 - Device_Configuration'!AW58)</f>
        <v/>
      </c>
      <c r="V58" s="21" t="str">
        <f>IF('12 - Device_Configuration'!BA58="","",'12 - Device_Configuration'!BA58)</f>
        <v/>
      </c>
      <c r="W58" s="21" t="str">
        <f>IF('12 - Device_Configuration'!BC58="","",'12 - Device_Configuration'!BC58)</f>
        <v>In Storage</v>
      </c>
      <c r="X58" s="21" t="str">
        <f>IF('12 - Device_Configuration'!BK58="","",'12 - Device_Configuration'!BK58)</f>
        <v/>
      </c>
      <c r="Y58" s="21" t="str">
        <f>IF('12 - Device_Configuration'!BB58="","",'12 - Device_Configuration'!BB58)</f>
        <v/>
      </c>
      <c r="Z58" s="21" t="str">
        <f>IF('12 - Device_Configuration'!P58="","",'12 - Device_Configuration'!P58)</f>
        <v/>
      </c>
      <c r="AA58" s="21" t="str">
        <f>IF('12 - Device_Configuration'!Q58="","",'12 - Device_Configuration'!Q58)</f>
        <v/>
      </c>
    </row>
    <row r="59" spans="1:27">
      <c r="A59" s="22"/>
      <c r="B59" s="22"/>
      <c r="C59" s="21" t="str">
        <f>IF('12 - Device_Configuration'!H59="","",'12 - Device_Configuration'!H59)</f>
        <v>NSUH</v>
      </c>
      <c r="D59" s="21" t="str">
        <f>IF('12 - Device_Configuration'!AE59="","",'12 - Device_Configuration'!AE59)</f>
        <v/>
      </c>
      <c r="E59" s="21" t="str">
        <f>IF('12 - Device_Configuration'!AF59="","",'12 - Device_Configuration'!AF59)</f>
        <v/>
      </c>
      <c r="F59" s="21" t="str">
        <f>IF('12 - Device_Configuration'!AG59="","",'12 - Device_Configuration'!AG59)</f>
        <v/>
      </c>
      <c r="G59" s="21" t="str">
        <f>IF('12 - Device_Configuration'!AH59="","",'12 - Device_Configuration'!AH59)</f>
        <v/>
      </c>
      <c r="H59" s="21" t="str">
        <f>IF('12 - Device_Configuration'!A59="","",'12 - Device_Configuration'!A59)</f>
        <v>Cybernet</v>
      </c>
      <c r="I59" s="21" t="str">
        <f>IF('12 - Device_Configuration'!AI59="","",'12 - Device_Configuration'!AI59)</f>
        <v/>
      </c>
      <c r="J59" s="21" t="str">
        <f>IF('12 - Device_Configuration'!AJ59="","",'12 - Device_Configuration'!AJ59)</f>
        <v/>
      </c>
      <c r="K59" s="21" t="str">
        <f>IF('12 - Device_Configuration'!AA59="","",'12 - Device_Configuration'!AA59)</f>
        <v/>
      </c>
      <c r="L59" s="21" t="str">
        <f>IF('12 - Device_Configuration'!I59="","",'12 - Device_Configuration'!I59)</f>
        <v/>
      </c>
      <c r="M59" s="22"/>
      <c r="N59" s="21" t="str">
        <f>IF('12 - Device_Configuration'!J59="","",'12 - Device_Configuration'!J59)</f>
        <v>Yes</v>
      </c>
      <c r="O59" s="21" t="str">
        <f>IF('12 - Device_Configuration'!K59="","",'12 - Device_Configuration'!K59)</f>
        <v>No</v>
      </c>
      <c r="P59" s="21" t="str">
        <f>IF('12 - Device_Configuration'!L59="","",'12 - Device_Configuration'!L59)</f>
        <v>No</v>
      </c>
      <c r="Q59" s="22"/>
      <c r="R59" s="21" t="str">
        <f>IF('12 - Device_Configuration'!AY59="","",'12 - Device_Configuration'!AY59)</f>
        <v/>
      </c>
      <c r="S59" s="21" t="str">
        <f>IF('12 - Device_Configuration'!AX59="","",'12 - Device_Configuration'!AX59)</f>
        <v/>
      </c>
      <c r="T59" s="21" t="str">
        <f>IF('12 - Device_Configuration'!AV59="","",'12 - Device_Configuration'!AV59)</f>
        <v/>
      </c>
      <c r="U59" s="21" t="str">
        <f>IF('12 - Device_Configuration'!AW59="","",'12 - Device_Configuration'!AW59)</f>
        <v/>
      </c>
      <c r="V59" s="21" t="str">
        <f>IF('12 - Device_Configuration'!BA59="","",'12 - Device_Configuration'!BA59)</f>
        <v/>
      </c>
      <c r="W59" s="21" t="str">
        <f>IF('12 - Device_Configuration'!BC59="","",'12 - Device_Configuration'!BC59)</f>
        <v>In Storage</v>
      </c>
      <c r="X59" s="21" t="str">
        <f>IF('12 - Device_Configuration'!BK59="","",'12 - Device_Configuration'!BK59)</f>
        <v/>
      </c>
      <c r="Y59" s="21" t="str">
        <f>IF('12 - Device_Configuration'!BB59="","",'12 - Device_Configuration'!BB59)</f>
        <v/>
      </c>
      <c r="Z59" s="21" t="str">
        <f>IF('12 - Device_Configuration'!P59="","",'12 - Device_Configuration'!P59)</f>
        <v/>
      </c>
      <c r="AA59" s="21" t="str">
        <f>IF('12 - Device_Configuration'!Q59="","",'12 - Device_Configuration'!Q59)</f>
        <v/>
      </c>
    </row>
    <row r="60" spans="1:27">
      <c r="A60" s="22"/>
      <c r="B60" s="22"/>
      <c r="C60" s="21" t="str">
        <f>IF('12 - Device_Configuration'!H60="","",'12 - Device_Configuration'!H60)</f>
        <v>NSUH</v>
      </c>
      <c r="D60" s="21" t="str">
        <f>IF('12 - Device_Configuration'!AE60="","",'12 - Device_Configuration'!AE60)</f>
        <v/>
      </c>
      <c r="E60" s="21" t="str">
        <f>IF('12 - Device_Configuration'!AF60="","",'12 - Device_Configuration'!AF60)</f>
        <v/>
      </c>
      <c r="F60" s="21" t="str">
        <f>IF('12 - Device_Configuration'!AG60="","",'12 - Device_Configuration'!AG60)</f>
        <v/>
      </c>
      <c r="G60" s="21" t="str">
        <f>IF('12 - Device_Configuration'!AH60="","",'12 - Device_Configuration'!AH60)</f>
        <v/>
      </c>
      <c r="H60" s="21" t="str">
        <f>IF('12 - Device_Configuration'!A60="","",'12 - Device_Configuration'!A60)</f>
        <v>Cybernet</v>
      </c>
      <c r="I60" s="21" t="str">
        <f>IF('12 - Device_Configuration'!AI60="","",'12 - Device_Configuration'!AI60)</f>
        <v/>
      </c>
      <c r="J60" s="21" t="str">
        <f>IF('12 - Device_Configuration'!AJ60="","",'12 - Device_Configuration'!AJ60)</f>
        <v/>
      </c>
      <c r="K60" s="21" t="str">
        <f>IF('12 - Device_Configuration'!AA60="","",'12 - Device_Configuration'!AA60)</f>
        <v/>
      </c>
      <c r="L60" s="21" t="str">
        <f>IF('12 - Device_Configuration'!I60="","",'12 - Device_Configuration'!I60)</f>
        <v/>
      </c>
      <c r="M60" s="22"/>
      <c r="N60" s="21" t="str">
        <f>IF('12 - Device_Configuration'!J60="","",'12 - Device_Configuration'!J60)</f>
        <v>Yes</v>
      </c>
      <c r="O60" s="21" t="str">
        <f>IF('12 - Device_Configuration'!K60="","",'12 - Device_Configuration'!K60)</f>
        <v>No</v>
      </c>
      <c r="P60" s="21" t="str">
        <f>IF('12 - Device_Configuration'!L60="","",'12 - Device_Configuration'!L60)</f>
        <v>No</v>
      </c>
      <c r="Q60" s="22"/>
      <c r="R60" s="21" t="str">
        <f>IF('12 - Device_Configuration'!AY60="","",'12 - Device_Configuration'!AY60)</f>
        <v/>
      </c>
      <c r="S60" s="21" t="str">
        <f>IF('12 - Device_Configuration'!AX60="","",'12 - Device_Configuration'!AX60)</f>
        <v/>
      </c>
      <c r="T60" s="21" t="str">
        <f>IF('12 - Device_Configuration'!AV60="","",'12 - Device_Configuration'!AV60)</f>
        <v/>
      </c>
      <c r="U60" s="21" t="str">
        <f>IF('12 - Device_Configuration'!AW60="","",'12 - Device_Configuration'!AW60)</f>
        <v/>
      </c>
      <c r="V60" s="21" t="str">
        <f>IF('12 - Device_Configuration'!BA60="","",'12 - Device_Configuration'!BA60)</f>
        <v/>
      </c>
      <c r="W60" s="21" t="str">
        <f>IF('12 - Device_Configuration'!BC60="","",'12 - Device_Configuration'!BC60)</f>
        <v>In Storage</v>
      </c>
      <c r="X60" s="21" t="str">
        <f>IF('12 - Device_Configuration'!BK60="","",'12 - Device_Configuration'!BK60)</f>
        <v/>
      </c>
      <c r="Y60" s="21" t="str">
        <f>IF('12 - Device_Configuration'!BB60="","",'12 - Device_Configuration'!BB60)</f>
        <v/>
      </c>
      <c r="Z60" s="21" t="str">
        <f>IF('12 - Device_Configuration'!P60="","",'12 - Device_Configuration'!P60)</f>
        <v/>
      </c>
      <c r="AA60" s="21" t="str">
        <f>IF('12 - Device_Configuration'!Q60="","",'12 - Device_Configuration'!Q60)</f>
        <v/>
      </c>
    </row>
    <row r="61" spans="1:27">
      <c r="A61" s="22"/>
      <c r="B61" s="22"/>
      <c r="C61" s="21" t="str">
        <f>IF('12 - Device_Configuration'!H61="","",'12 - Device_Configuration'!H61)</f>
        <v>NSUH</v>
      </c>
      <c r="D61" s="21" t="str">
        <f>IF('12 - Device_Configuration'!AE61="","",'12 - Device_Configuration'!AE61)</f>
        <v/>
      </c>
      <c r="E61" s="21" t="str">
        <f>IF('12 - Device_Configuration'!AF61="","",'12 - Device_Configuration'!AF61)</f>
        <v/>
      </c>
      <c r="F61" s="21" t="str">
        <f>IF('12 - Device_Configuration'!AG61="","",'12 - Device_Configuration'!AG61)</f>
        <v/>
      </c>
      <c r="G61" s="21" t="str">
        <f>IF('12 - Device_Configuration'!AH61="","",'12 - Device_Configuration'!AH61)</f>
        <v/>
      </c>
      <c r="H61" s="21" t="str">
        <f>IF('12 - Device_Configuration'!A61="","",'12 - Device_Configuration'!A61)</f>
        <v>Cybernet</v>
      </c>
      <c r="I61" s="21" t="str">
        <f>IF('12 - Device_Configuration'!AI61="","",'12 - Device_Configuration'!AI61)</f>
        <v/>
      </c>
      <c r="J61" s="21" t="str">
        <f>IF('12 - Device_Configuration'!AJ61="","",'12 - Device_Configuration'!AJ61)</f>
        <v/>
      </c>
      <c r="K61" s="21" t="str">
        <f>IF('12 - Device_Configuration'!AA61="","",'12 - Device_Configuration'!AA61)</f>
        <v/>
      </c>
      <c r="L61" s="21" t="str">
        <f>IF('12 - Device_Configuration'!I61="","",'12 - Device_Configuration'!I61)</f>
        <v/>
      </c>
      <c r="M61" s="22"/>
      <c r="N61" s="21" t="str">
        <f>IF('12 - Device_Configuration'!J61="","",'12 - Device_Configuration'!J61)</f>
        <v>Yes</v>
      </c>
      <c r="O61" s="21" t="str">
        <f>IF('12 - Device_Configuration'!K61="","",'12 - Device_Configuration'!K61)</f>
        <v>No</v>
      </c>
      <c r="P61" s="21" t="str">
        <f>IF('12 - Device_Configuration'!L61="","",'12 - Device_Configuration'!L61)</f>
        <v>No</v>
      </c>
      <c r="Q61" s="22"/>
      <c r="R61" s="21" t="str">
        <f>IF('12 - Device_Configuration'!AY61="","",'12 - Device_Configuration'!AY61)</f>
        <v/>
      </c>
      <c r="S61" s="21" t="str">
        <f>IF('12 - Device_Configuration'!AX61="","",'12 - Device_Configuration'!AX61)</f>
        <v/>
      </c>
      <c r="T61" s="21" t="str">
        <f>IF('12 - Device_Configuration'!AV61="","",'12 - Device_Configuration'!AV61)</f>
        <v/>
      </c>
      <c r="U61" s="21" t="str">
        <f>IF('12 - Device_Configuration'!AW61="","",'12 - Device_Configuration'!AW61)</f>
        <v/>
      </c>
      <c r="V61" s="21" t="str">
        <f>IF('12 - Device_Configuration'!BA61="","",'12 - Device_Configuration'!BA61)</f>
        <v/>
      </c>
      <c r="W61" s="21" t="str">
        <f>IF('12 - Device_Configuration'!BC61="","",'12 - Device_Configuration'!BC61)</f>
        <v>In Storage</v>
      </c>
      <c r="X61" s="21" t="str">
        <f>IF('12 - Device_Configuration'!BK61="","",'12 - Device_Configuration'!BK61)</f>
        <v/>
      </c>
      <c r="Y61" s="21" t="str">
        <f>IF('12 - Device_Configuration'!BB61="","",'12 - Device_Configuration'!BB61)</f>
        <v/>
      </c>
      <c r="Z61" s="21" t="str">
        <f>IF('12 - Device_Configuration'!P61="","",'12 - Device_Configuration'!P61)</f>
        <v/>
      </c>
      <c r="AA61" s="21" t="str">
        <f>IF('12 - Device_Configuration'!Q61="","",'12 - Device_Configuration'!Q61)</f>
        <v/>
      </c>
    </row>
    <row r="62" spans="1:27">
      <c r="A62" s="22"/>
      <c r="B62" s="22"/>
      <c r="C62" s="21" t="str">
        <f>IF('12 - Device_Configuration'!H62="","",'12 - Device_Configuration'!H62)</f>
        <v>NSUH</v>
      </c>
      <c r="D62" s="21" t="str">
        <f>IF('12 - Device_Configuration'!AE62="","",'12 - Device_Configuration'!AE62)</f>
        <v/>
      </c>
      <c r="E62" s="21" t="str">
        <f>IF('12 - Device_Configuration'!AF62="","",'12 - Device_Configuration'!AF62)</f>
        <v/>
      </c>
      <c r="F62" s="21" t="str">
        <f>IF('12 - Device_Configuration'!AG62="","",'12 - Device_Configuration'!AG62)</f>
        <v/>
      </c>
      <c r="G62" s="21" t="str">
        <f>IF('12 - Device_Configuration'!AH62="","",'12 - Device_Configuration'!AH62)</f>
        <v/>
      </c>
      <c r="H62" s="21" t="str">
        <f>IF('12 - Device_Configuration'!A62="","",'12 - Device_Configuration'!A62)</f>
        <v>Cybernet</v>
      </c>
      <c r="I62" s="21" t="str">
        <f>IF('12 - Device_Configuration'!AI62="","",'12 - Device_Configuration'!AI62)</f>
        <v/>
      </c>
      <c r="J62" s="21" t="str">
        <f>IF('12 - Device_Configuration'!AJ62="","",'12 - Device_Configuration'!AJ62)</f>
        <v/>
      </c>
      <c r="K62" s="21" t="str">
        <f>IF('12 - Device_Configuration'!AA62="","",'12 - Device_Configuration'!AA62)</f>
        <v/>
      </c>
      <c r="L62" s="21" t="str">
        <f>IF('12 - Device_Configuration'!I62="","",'12 - Device_Configuration'!I62)</f>
        <v/>
      </c>
      <c r="M62" s="22"/>
      <c r="N62" s="21" t="str">
        <f>IF('12 - Device_Configuration'!J62="","",'12 - Device_Configuration'!J62)</f>
        <v>Yes</v>
      </c>
      <c r="O62" s="21" t="str">
        <f>IF('12 - Device_Configuration'!K62="","",'12 - Device_Configuration'!K62)</f>
        <v>No</v>
      </c>
      <c r="P62" s="21" t="str">
        <f>IF('12 - Device_Configuration'!L62="","",'12 - Device_Configuration'!L62)</f>
        <v>No</v>
      </c>
      <c r="Q62" s="22"/>
      <c r="R62" s="21" t="str">
        <f>IF('12 - Device_Configuration'!AY62="","",'12 - Device_Configuration'!AY62)</f>
        <v/>
      </c>
      <c r="S62" s="21" t="str">
        <f>IF('12 - Device_Configuration'!AX62="","",'12 - Device_Configuration'!AX62)</f>
        <v/>
      </c>
      <c r="T62" s="21" t="str">
        <f>IF('12 - Device_Configuration'!AV62="","",'12 - Device_Configuration'!AV62)</f>
        <v/>
      </c>
      <c r="U62" s="21" t="str">
        <f>IF('12 - Device_Configuration'!AW62="","",'12 - Device_Configuration'!AW62)</f>
        <v/>
      </c>
      <c r="V62" s="21" t="str">
        <f>IF('12 - Device_Configuration'!BA62="","",'12 - Device_Configuration'!BA62)</f>
        <v/>
      </c>
      <c r="W62" s="21" t="str">
        <f>IF('12 - Device_Configuration'!BC62="","",'12 - Device_Configuration'!BC62)</f>
        <v>In Storage</v>
      </c>
      <c r="X62" s="21" t="str">
        <f>IF('12 - Device_Configuration'!BK62="","",'12 - Device_Configuration'!BK62)</f>
        <v/>
      </c>
      <c r="Y62" s="21" t="str">
        <f>IF('12 - Device_Configuration'!BB62="","",'12 - Device_Configuration'!BB62)</f>
        <v/>
      </c>
      <c r="Z62" s="21" t="str">
        <f>IF('12 - Device_Configuration'!P62="","",'12 - Device_Configuration'!P62)</f>
        <v/>
      </c>
      <c r="AA62" s="21" t="str">
        <f>IF('12 - Device_Configuration'!Q62="","",'12 - Device_Configuration'!Q62)</f>
        <v/>
      </c>
    </row>
    <row r="63" spans="1:27">
      <c r="A63" s="22"/>
      <c r="B63" s="22"/>
      <c r="C63" s="21" t="str">
        <f>IF('12 - Device_Configuration'!H63="","",'12 - Device_Configuration'!H63)</f>
        <v>NSUH</v>
      </c>
      <c r="D63" s="21" t="str">
        <f>IF('12 - Device_Configuration'!AE63="","",'12 - Device_Configuration'!AE63)</f>
        <v/>
      </c>
      <c r="E63" s="21" t="str">
        <f>IF('12 - Device_Configuration'!AF63="","",'12 - Device_Configuration'!AF63)</f>
        <v/>
      </c>
      <c r="F63" s="21" t="str">
        <f>IF('12 - Device_Configuration'!AG63="","",'12 - Device_Configuration'!AG63)</f>
        <v/>
      </c>
      <c r="G63" s="21" t="str">
        <f>IF('12 - Device_Configuration'!AH63="","",'12 - Device_Configuration'!AH63)</f>
        <v/>
      </c>
      <c r="H63" s="21" t="str">
        <f>IF('12 - Device_Configuration'!A63="","",'12 - Device_Configuration'!A63)</f>
        <v>Cybernet</v>
      </c>
      <c r="I63" s="21" t="str">
        <f>IF('12 - Device_Configuration'!AI63="","",'12 - Device_Configuration'!AI63)</f>
        <v/>
      </c>
      <c r="J63" s="21" t="str">
        <f>IF('12 - Device_Configuration'!AJ63="","",'12 - Device_Configuration'!AJ63)</f>
        <v/>
      </c>
      <c r="K63" s="21" t="str">
        <f>IF('12 - Device_Configuration'!AA63="","",'12 - Device_Configuration'!AA63)</f>
        <v/>
      </c>
      <c r="L63" s="21" t="str">
        <f>IF('12 - Device_Configuration'!I63="","",'12 - Device_Configuration'!I63)</f>
        <v/>
      </c>
      <c r="M63" s="22"/>
      <c r="N63" s="21" t="str">
        <f>IF('12 - Device_Configuration'!J63="","",'12 - Device_Configuration'!J63)</f>
        <v>Yes</v>
      </c>
      <c r="O63" s="21" t="str">
        <f>IF('12 - Device_Configuration'!K63="","",'12 - Device_Configuration'!K63)</f>
        <v>No</v>
      </c>
      <c r="P63" s="21" t="str">
        <f>IF('12 - Device_Configuration'!L63="","",'12 - Device_Configuration'!L63)</f>
        <v>No</v>
      </c>
      <c r="Q63" s="22"/>
      <c r="R63" s="21" t="str">
        <f>IF('12 - Device_Configuration'!AY63="","",'12 - Device_Configuration'!AY63)</f>
        <v/>
      </c>
      <c r="S63" s="21" t="str">
        <f>IF('12 - Device_Configuration'!AX63="","",'12 - Device_Configuration'!AX63)</f>
        <v/>
      </c>
      <c r="T63" s="21" t="str">
        <f>IF('12 - Device_Configuration'!AV63="","",'12 - Device_Configuration'!AV63)</f>
        <v/>
      </c>
      <c r="U63" s="21" t="str">
        <f>IF('12 - Device_Configuration'!AW63="","",'12 - Device_Configuration'!AW63)</f>
        <v/>
      </c>
      <c r="V63" s="21" t="str">
        <f>IF('12 - Device_Configuration'!BA63="","",'12 - Device_Configuration'!BA63)</f>
        <v/>
      </c>
      <c r="W63" s="21" t="str">
        <f>IF('12 - Device_Configuration'!BC63="","",'12 - Device_Configuration'!BC63)</f>
        <v>In Storage</v>
      </c>
      <c r="X63" s="21" t="str">
        <f>IF('12 - Device_Configuration'!BK63="","",'12 - Device_Configuration'!BK63)</f>
        <v/>
      </c>
      <c r="Y63" s="21" t="str">
        <f>IF('12 - Device_Configuration'!BB63="","",'12 - Device_Configuration'!BB63)</f>
        <v/>
      </c>
      <c r="Z63" s="21" t="str">
        <f>IF('12 - Device_Configuration'!P63="","",'12 - Device_Configuration'!P63)</f>
        <v/>
      </c>
      <c r="AA63" s="21" t="str">
        <f>IF('12 - Device_Configuration'!Q63="","",'12 - Device_Configuration'!Q63)</f>
        <v/>
      </c>
    </row>
    <row r="64" spans="1:27">
      <c r="A64" s="22"/>
      <c r="B64" s="22"/>
      <c r="C64" s="21" t="str">
        <f>IF('12 - Device_Configuration'!H64="","",'12 - Device_Configuration'!H64)</f>
        <v>NSUH</v>
      </c>
      <c r="D64" s="21" t="str">
        <f>IF('12 - Device_Configuration'!AE64="","",'12 - Device_Configuration'!AE64)</f>
        <v/>
      </c>
      <c r="E64" s="21" t="str">
        <f>IF('12 - Device_Configuration'!AF64="","",'12 - Device_Configuration'!AF64)</f>
        <v/>
      </c>
      <c r="F64" s="21" t="str">
        <f>IF('12 - Device_Configuration'!AG64="","",'12 - Device_Configuration'!AG64)</f>
        <v/>
      </c>
      <c r="G64" s="21" t="str">
        <f>IF('12 - Device_Configuration'!AH64="","",'12 - Device_Configuration'!AH64)</f>
        <v/>
      </c>
      <c r="H64" s="21" t="str">
        <f>IF('12 - Device_Configuration'!A64="","",'12 - Device_Configuration'!A64)</f>
        <v>Cybernet</v>
      </c>
      <c r="I64" s="21" t="str">
        <f>IF('12 - Device_Configuration'!AI64="","",'12 - Device_Configuration'!AI64)</f>
        <v/>
      </c>
      <c r="J64" s="21" t="str">
        <f>IF('12 - Device_Configuration'!AJ64="","",'12 - Device_Configuration'!AJ64)</f>
        <v/>
      </c>
      <c r="K64" s="21" t="str">
        <f>IF('12 - Device_Configuration'!AA64="","",'12 - Device_Configuration'!AA64)</f>
        <v/>
      </c>
      <c r="L64" s="21" t="str">
        <f>IF('12 - Device_Configuration'!I64="","",'12 - Device_Configuration'!I64)</f>
        <v/>
      </c>
      <c r="M64" s="22"/>
      <c r="N64" s="21" t="str">
        <f>IF('12 - Device_Configuration'!J64="","",'12 - Device_Configuration'!J64)</f>
        <v>Yes</v>
      </c>
      <c r="O64" s="21" t="str">
        <f>IF('12 - Device_Configuration'!K64="","",'12 - Device_Configuration'!K64)</f>
        <v>No</v>
      </c>
      <c r="P64" s="21" t="str">
        <f>IF('12 - Device_Configuration'!L64="","",'12 - Device_Configuration'!L64)</f>
        <v>No</v>
      </c>
      <c r="Q64" s="22"/>
      <c r="R64" s="21" t="str">
        <f>IF('12 - Device_Configuration'!AY64="","",'12 - Device_Configuration'!AY64)</f>
        <v/>
      </c>
      <c r="S64" s="21" t="str">
        <f>IF('12 - Device_Configuration'!AX64="","",'12 - Device_Configuration'!AX64)</f>
        <v/>
      </c>
      <c r="T64" s="21" t="str">
        <f>IF('12 - Device_Configuration'!AV64="","",'12 - Device_Configuration'!AV64)</f>
        <v/>
      </c>
      <c r="U64" s="21" t="str">
        <f>IF('12 - Device_Configuration'!AW64="","",'12 - Device_Configuration'!AW64)</f>
        <v/>
      </c>
      <c r="V64" s="21" t="str">
        <f>IF('12 - Device_Configuration'!BA64="","",'12 - Device_Configuration'!BA64)</f>
        <v/>
      </c>
      <c r="W64" s="21" t="str">
        <f>IF('12 - Device_Configuration'!BC64="","",'12 - Device_Configuration'!BC64)</f>
        <v>In Storage</v>
      </c>
      <c r="X64" s="21" t="str">
        <f>IF('12 - Device_Configuration'!BK64="","",'12 - Device_Configuration'!BK64)</f>
        <v/>
      </c>
      <c r="Y64" s="21" t="str">
        <f>IF('12 - Device_Configuration'!BB64="","",'12 - Device_Configuration'!BB64)</f>
        <v/>
      </c>
      <c r="Z64" s="21" t="str">
        <f>IF('12 - Device_Configuration'!P64="","",'12 - Device_Configuration'!P64)</f>
        <v/>
      </c>
      <c r="AA64" s="21" t="str">
        <f>IF('12 - Device_Configuration'!Q64="","",'12 - Device_Configuration'!Q64)</f>
        <v/>
      </c>
    </row>
    <row r="65" spans="1:27">
      <c r="A65" s="22"/>
      <c r="B65" s="22"/>
      <c r="C65" s="21" t="str">
        <f>IF('12 - Device_Configuration'!H65="","",'12 - Device_Configuration'!H65)</f>
        <v>NSUH</v>
      </c>
      <c r="D65" s="21" t="str">
        <f>IF('12 - Device_Configuration'!AE65="","",'12 - Device_Configuration'!AE65)</f>
        <v/>
      </c>
      <c r="E65" s="21" t="str">
        <f>IF('12 - Device_Configuration'!AF65="","",'12 - Device_Configuration'!AF65)</f>
        <v/>
      </c>
      <c r="F65" s="21" t="str">
        <f>IF('12 - Device_Configuration'!AG65="","",'12 - Device_Configuration'!AG65)</f>
        <v/>
      </c>
      <c r="G65" s="21" t="str">
        <f>IF('12 - Device_Configuration'!AH65="","",'12 - Device_Configuration'!AH65)</f>
        <v/>
      </c>
      <c r="H65" s="21" t="str">
        <f>IF('12 - Device_Configuration'!A65="","",'12 - Device_Configuration'!A65)</f>
        <v>Cybernet</v>
      </c>
      <c r="I65" s="21" t="str">
        <f>IF('12 - Device_Configuration'!AI65="","",'12 - Device_Configuration'!AI65)</f>
        <v/>
      </c>
      <c r="J65" s="21" t="str">
        <f>IF('12 - Device_Configuration'!AJ65="","",'12 - Device_Configuration'!AJ65)</f>
        <v/>
      </c>
      <c r="K65" s="21" t="str">
        <f>IF('12 - Device_Configuration'!AA65="","",'12 - Device_Configuration'!AA65)</f>
        <v/>
      </c>
      <c r="L65" s="21" t="str">
        <f>IF('12 - Device_Configuration'!I65="","",'12 - Device_Configuration'!I65)</f>
        <v/>
      </c>
      <c r="M65" s="22"/>
      <c r="N65" s="21" t="str">
        <f>IF('12 - Device_Configuration'!J65="","",'12 - Device_Configuration'!J65)</f>
        <v>Yes</v>
      </c>
      <c r="O65" s="21" t="str">
        <f>IF('12 - Device_Configuration'!K65="","",'12 - Device_Configuration'!K65)</f>
        <v>No</v>
      </c>
      <c r="P65" s="21" t="str">
        <f>IF('12 - Device_Configuration'!L65="","",'12 - Device_Configuration'!L65)</f>
        <v>No</v>
      </c>
      <c r="Q65" s="22"/>
      <c r="R65" s="21" t="str">
        <f>IF('12 - Device_Configuration'!AY65="","",'12 - Device_Configuration'!AY65)</f>
        <v/>
      </c>
      <c r="S65" s="21" t="str">
        <f>IF('12 - Device_Configuration'!AX65="","",'12 - Device_Configuration'!AX65)</f>
        <v/>
      </c>
      <c r="T65" s="21" t="str">
        <f>IF('12 - Device_Configuration'!AV65="","",'12 - Device_Configuration'!AV65)</f>
        <v/>
      </c>
      <c r="U65" s="21" t="str">
        <f>IF('12 - Device_Configuration'!AW65="","",'12 - Device_Configuration'!AW65)</f>
        <v/>
      </c>
      <c r="V65" s="21" t="str">
        <f>IF('12 - Device_Configuration'!BA65="","",'12 - Device_Configuration'!BA65)</f>
        <v/>
      </c>
      <c r="W65" s="21" t="str">
        <f>IF('12 - Device_Configuration'!BC65="","",'12 - Device_Configuration'!BC65)</f>
        <v>In Storage</v>
      </c>
      <c r="X65" s="21" t="str">
        <f>IF('12 - Device_Configuration'!BK65="","",'12 - Device_Configuration'!BK65)</f>
        <v/>
      </c>
      <c r="Y65" s="21" t="str">
        <f>IF('12 - Device_Configuration'!BB65="","",'12 - Device_Configuration'!BB65)</f>
        <v/>
      </c>
      <c r="Z65" s="21" t="str">
        <f>IF('12 - Device_Configuration'!P65="","",'12 - Device_Configuration'!P65)</f>
        <v/>
      </c>
      <c r="AA65" s="21" t="str">
        <f>IF('12 - Device_Configuration'!Q65="","",'12 - Device_Configuration'!Q65)</f>
        <v/>
      </c>
    </row>
    <row r="66" spans="1:27">
      <c r="A66" s="22"/>
      <c r="B66" s="22"/>
      <c r="C66" s="21" t="str">
        <f>IF('12 - Device_Configuration'!H66="","",'12 - Device_Configuration'!H66)</f>
        <v>NSUH</v>
      </c>
      <c r="D66" s="21" t="str">
        <f>IF('12 - Device_Configuration'!AE66="","",'12 - Device_Configuration'!AE66)</f>
        <v/>
      </c>
      <c r="E66" s="21" t="str">
        <f>IF('12 - Device_Configuration'!AF66="","",'12 - Device_Configuration'!AF66)</f>
        <v/>
      </c>
      <c r="F66" s="21" t="str">
        <f>IF('12 - Device_Configuration'!AG66="","",'12 - Device_Configuration'!AG66)</f>
        <v/>
      </c>
      <c r="G66" s="21" t="str">
        <f>IF('12 - Device_Configuration'!AH66="","",'12 - Device_Configuration'!AH66)</f>
        <v/>
      </c>
      <c r="H66" s="21" t="str">
        <f>IF('12 - Device_Configuration'!A66="","",'12 - Device_Configuration'!A66)</f>
        <v>Cybernet</v>
      </c>
      <c r="I66" s="21" t="str">
        <f>IF('12 - Device_Configuration'!AI66="","",'12 - Device_Configuration'!AI66)</f>
        <v/>
      </c>
      <c r="J66" s="21" t="str">
        <f>IF('12 - Device_Configuration'!AJ66="","",'12 - Device_Configuration'!AJ66)</f>
        <v/>
      </c>
      <c r="K66" s="21" t="str">
        <f>IF('12 - Device_Configuration'!AA66="","",'12 - Device_Configuration'!AA66)</f>
        <v/>
      </c>
      <c r="L66" s="21" t="str">
        <f>IF('12 - Device_Configuration'!I66="","",'12 - Device_Configuration'!I66)</f>
        <v/>
      </c>
      <c r="M66" s="22"/>
      <c r="N66" s="21" t="str">
        <f>IF('12 - Device_Configuration'!J66="","",'12 - Device_Configuration'!J66)</f>
        <v>Yes</v>
      </c>
      <c r="O66" s="21" t="str">
        <f>IF('12 - Device_Configuration'!K66="","",'12 - Device_Configuration'!K66)</f>
        <v>No</v>
      </c>
      <c r="P66" s="21" t="str">
        <f>IF('12 - Device_Configuration'!L66="","",'12 - Device_Configuration'!L66)</f>
        <v>No</v>
      </c>
      <c r="Q66" s="22"/>
      <c r="R66" s="21" t="str">
        <f>IF('12 - Device_Configuration'!AY66="","",'12 - Device_Configuration'!AY66)</f>
        <v/>
      </c>
      <c r="S66" s="21" t="str">
        <f>IF('12 - Device_Configuration'!AX66="","",'12 - Device_Configuration'!AX66)</f>
        <v/>
      </c>
      <c r="T66" s="21" t="str">
        <f>IF('12 - Device_Configuration'!AV66="","",'12 - Device_Configuration'!AV66)</f>
        <v/>
      </c>
      <c r="U66" s="21" t="str">
        <f>IF('12 - Device_Configuration'!AW66="","",'12 - Device_Configuration'!AW66)</f>
        <v/>
      </c>
      <c r="V66" s="21" t="str">
        <f>IF('12 - Device_Configuration'!BA66="","",'12 - Device_Configuration'!BA66)</f>
        <v/>
      </c>
      <c r="W66" s="21" t="str">
        <f>IF('12 - Device_Configuration'!BC66="","",'12 - Device_Configuration'!BC66)</f>
        <v/>
      </c>
      <c r="X66" s="21" t="str">
        <f>IF('12 - Device_Configuration'!BK66="","",'12 - Device_Configuration'!BK66)</f>
        <v/>
      </c>
      <c r="Y66" s="21" t="str">
        <f>IF('12 - Device_Configuration'!BB66="","",'12 - Device_Configuration'!BB66)</f>
        <v/>
      </c>
      <c r="Z66" s="21" t="str">
        <f>IF('12 - Device_Configuration'!P66="","",'12 - Device_Configuration'!P66)</f>
        <v/>
      </c>
      <c r="AA66" s="21" t="str">
        <f>IF('12 - Device_Configuration'!Q66="","",'12 - Device_Configuration'!Q66)</f>
        <v/>
      </c>
    </row>
    <row r="67" spans="1:27">
      <c r="A67" s="22"/>
      <c r="B67" s="22"/>
      <c r="C67" s="21" t="str">
        <f>IF('12 - Device_Configuration'!H67="","",'12 - Device_Configuration'!H67)</f>
        <v>NSUH</v>
      </c>
      <c r="D67" s="21" t="str">
        <f>IF('12 - Device_Configuration'!AE67="","",'12 - Device_Configuration'!AE67)</f>
        <v/>
      </c>
      <c r="E67" s="21" t="str">
        <f>IF('12 - Device_Configuration'!AF67="","",'12 - Device_Configuration'!AF67)</f>
        <v/>
      </c>
      <c r="F67" s="21" t="str">
        <f>IF('12 - Device_Configuration'!AG67="","",'12 - Device_Configuration'!AG67)</f>
        <v/>
      </c>
      <c r="G67" s="21" t="str">
        <f>IF('12 - Device_Configuration'!AH67="","",'12 - Device_Configuration'!AH67)</f>
        <v/>
      </c>
      <c r="H67" s="21" t="str">
        <f>IF('12 - Device_Configuration'!A67="","",'12 - Device_Configuration'!A67)</f>
        <v>Cybernet</v>
      </c>
      <c r="I67" s="21" t="str">
        <f>IF('12 - Device_Configuration'!AI67="","",'12 - Device_Configuration'!AI67)</f>
        <v/>
      </c>
      <c r="J67" s="21" t="str">
        <f>IF('12 - Device_Configuration'!AJ67="","",'12 - Device_Configuration'!AJ67)</f>
        <v/>
      </c>
      <c r="K67" s="21" t="str">
        <f>IF('12 - Device_Configuration'!AA67="","",'12 - Device_Configuration'!AA67)</f>
        <v/>
      </c>
      <c r="L67" s="21" t="str">
        <f>IF('12 - Device_Configuration'!I67="","",'12 - Device_Configuration'!I67)</f>
        <v/>
      </c>
      <c r="M67" s="22"/>
      <c r="N67" s="21" t="str">
        <f>IF('12 - Device_Configuration'!J67="","",'12 - Device_Configuration'!J67)</f>
        <v>Yes</v>
      </c>
      <c r="O67" s="21" t="str">
        <f>IF('12 - Device_Configuration'!K67="","",'12 - Device_Configuration'!K67)</f>
        <v>No</v>
      </c>
      <c r="P67" s="21" t="str">
        <f>IF('12 - Device_Configuration'!L67="","",'12 - Device_Configuration'!L67)</f>
        <v>No</v>
      </c>
      <c r="Q67" s="22"/>
      <c r="R67" s="21" t="str">
        <f>IF('12 - Device_Configuration'!AY67="","",'12 - Device_Configuration'!AY67)</f>
        <v/>
      </c>
      <c r="S67" s="21" t="str">
        <f>IF('12 - Device_Configuration'!AX67="","",'12 - Device_Configuration'!AX67)</f>
        <v/>
      </c>
      <c r="T67" s="21" t="str">
        <f>IF('12 - Device_Configuration'!AV67="","",'12 - Device_Configuration'!AV67)</f>
        <v/>
      </c>
      <c r="U67" s="21" t="str">
        <f>IF('12 - Device_Configuration'!AW67="","",'12 - Device_Configuration'!AW67)</f>
        <v/>
      </c>
      <c r="V67" s="21" t="str">
        <f>IF('12 - Device_Configuration'!BA67="","",'12 - Device_Configuration'!BA67)</f>
        <v/>
      </c>
      <c r="W67" s="21" t="str">
        <f>IF('12 - Device_Configuration'!BC67="","",'12 - Device_Configuration'!BC67)</f>
        <v/>
      </c>
      <c r="X67" s="21" t="str">
        <f>IF('12 - Device_Configuration'!BK67="","",'12 - Device_Configuration'!BK67)</f>
        <v/>
      </c>
      <c r="Y67" s="21" t="str">
        <f>IF('12 - Device_Configuration'!BB67="","",'12 - Device_Configuration'!BB67)</f>
        <v/>
      </c>
      <c r="Z67" s="21" t="str">
        <f>IF('12 - Device_Configuration'!P67="","",'12 - Device_Configuration'!P67)</f>
        <v/>
      </c>
      <c r="AA67" s="21" t="str">
        <f>IF('12 - Device_Configuration'!Q67="","",'12 - Device_Configuration'!Q67)</f>
        <v/>
      </c>
    </row>
    <row r="68" spans="1:27">
      <c r="A68" s="22"/>
      <c r="B68" s="22"/>
      <c r="C68" s="21" t="str">
        <f>IF('12 - Device_Configuration'!H68="","",'12 - Device_Configuration'!H68)</f>
        <v>NSUH</v>
      </c>
      <c r="D68" s="21" t="str">
        <f>IF('12 - Device_Configuration'!AE68="","",'12 - Device_Configuration'!AE68)</f>
        <v/>
      </c>
      <c r="E68" s="21" t="str">
        <f>IF('12 - Device_Configuration'!AF68="","",'12 - Device_Configuration'!AF68)</f>
        <v/>
      </c>
      <c r="F68" s="21" t="str">
        <f>IF('12 - Device_Configuration'!AG68="","",'12 - Device_Configuration'!AG68)</f>
        <v/>
      </c>
      <c r="G68" s="21" t="str">
        <f>IF('12 - Device_Configuration'!AH68="","",'12 - Device_Configuration'!AH68)</f>
        <v/>
      </c>
      <c r="H68" s="21" t="str">
        <f>IF('12 - Device_Configuration'!A68="","",'12 - Device_Configuration'!A68)</f>
        <v>Cybernet</v>
      </c>
      <c r="I68" s="21" t="str">
        <f>IF('12 - Device_Configuration'!AI68="","",'12 - Device_Configuration'!AI68)</f>
        <v/>
      </c>
      <c r="J68" s="21" t="str">
        <f>IF('12 - Device_Configuration'!AJ68="","",'12 - Device_Configuration'!AJ68)</f>
        <v/>
      </c>
      <c r="K68" s="21" t="str">
        <f>IF('12 - Device_Configuration'!AA68="","",'12 - Device_Configuration'!AA68)</f>
        <v/>
      </c>
      <c r="L68" s="21" t="str">
        <f>IF('12 - Device_Configuration'!I68="","",'12 - Device_Configuration'!I68)</f>
        <v/>
      </c>
      <c r="M68" s="22"/>
      <c r="N68" s="21" t="str">
        <f>IF('12 - Device_Configuration'!J68="","",'12 - Device_Configuration'!J68)</f>
        <v>Yes</v>
      </c>
      <c r="O68" s="21" t="str">
        <f>IF('12 - Device_Configuration'!K68="","",'12 - Device_Configuration'!K68)</f>
        <v>No</v>
      </c>
      <c r="P68" s="21" t="str">
        <f>IF('12 - Device_Configuration'!L68="","",'12 - Device_Configuration'!L68)</f>
        <v>No</v>
      </c>
      <c r="Q68" s="22"/>
      <c r="R68" s="21" t="str">
        <f>IF('12 - Device_Configuration'!AY68="","",'12 - Device_Configuration'!AY68)</f>
        <v/>
      </c>
      <c r="S68" s="21" t="str">
        <f>IF('12 - Device_Configuration'!AX68="","",'12 - Device_Configuration'!AX68)</f>
        <v/>
      </c>
      <c r="T68" s="21" t="str">
        <f>IF('12 - Device_Configuration'!AV68="","",'12 - Device_Configuration'!AV68)</f>
        <v/>
      </c>
      <c r="U68" s="21" t="str">
        <f>IF('12 - Device_Configuration'!AW68="","",'12 - Device_Configuration'!AW68)</f>
        <v/>
      </c>
      <c r="V68" s="21" t="str">
        <f>IF('12 - Device_Configuration'!BA68="","",'12 - Device_Configuration'!BA68)</f>
        <v/>
      </c>
      <c r="W68" s="21" t="str">
        <f>IF('12 - Device_Configuration'!BC68="","",'12 - Device_Configuration'!BC68)</f>
        <v/>
      </c>
      <c r="X68" s="21" t="str">
        <f>IF('12 - Device_Configuration'!BK68="","",'12 - Device_Configuration'!BK68)</f>
        <v/>
      </c>
      <c r="Y68" s="21" t="str">
        <f>IF('12 - Device_Configuration'!BB68="","",'12 - Device_Configuration'!BB68)</f>
        <v/>
      </c>
      <c r="Z68" s="21" t="str">
        <f>IF('12 - Device_Configuration'!P68="","",'12 - Device_Configuration'!P68)</f>
        <v/>
      </c>
      <c r="AA68" s="21" t="str">
        <f>IF('12 - Device_Configuration'!Q68="","",'12 - Device_Configuration'!Q68)</f>
        <v/>
      </c>
    </row>
    <row r="69" spans="1:27">
      <c r="A69" s="22"/>
      <c r="B69" s="22"/>
      <c r="C69" s="21" t="str">
        <f>IF('12 - Device_Configuration'!H69="","",'12 - Device_Configuration'!H69)</f>
        <v>LIJ - CCMC</v>
      </c>
      <c r="D69" s="21" t="str">
        <f>IF('12 - Device_Configuration'!AE69="","",'12 - Device_Configuration'!AE69)</f>
        <v/>
      </c>
      <c r="E69" s="21" t="str">
        <f>IF('12 - Device_Configuration'!AF69="","",'12 - Device_Configuration'!AF69)</f>
        <v/>
      </c>
      <c r="F69" s="21" t="str">
        <f>IF('12 - Device_Configuration'!AG69="","",'12 - Device_Configuration'!AG69)</f>
        <v/>
      </c>
      <c r="G69" s="21" t="str">
        <f>IF('12 - Device_Configuration'!AH69="","",'12 - Device_Configuration'!AH69)</f>
        <v/>
      </c>
      <c r="H69" s="21" t="str">
        <f>IF('12 - Device_Configuration'!A69="","",'12 - Device_Configuration'!A69)</f>
        <v>Cybernet</v>
      </c>
      <c r="I69" s="21" t="str">
        <f>IF('12 - Device_Configuration'!AI69="","",'12 - Device_Configuration'!AI69)</f>
        <v/>
      </c>
      <c r="J69" s="21" t="str">
        <f>IF('12 - Device_Configuration'!AJ69="","",'12 - Device_Configuration'!AJ69)</f>
        <v/>
      </c>
      <c r="K69" s="21" t="str">
        <f>IF('12 - Device_Configuration'!AA69="","",'12 - Device_Configuration'!AA69)</f>
        <v/>
      </c>
      <c r="L69" s="21" t="str">
        <f>IF('12 - Device_Configuration'!I69="","",'12 - Device_Configuration'!I69)</f>
        <v/>
      </c>
      <c r="M69" s="22"/>
      <c r="N69" s="21" t="str">
        <f>IF('12 - Device_Configuration'!J69="","",'12 - Device_Configuration'!J69)</f>
        <v>Yes</v>
      </c>
      <c r="O69" s="21" t="str">
        <f>IF('12 - Device_Configuration'!K69="","",'12 - Device_Configuration'!K69)</f>
        <v>No</v>
      </c>
      <c r="P69" s="21" t="str">
        <f>IF('12 - Device_Configuration'!L69="","",'12 - Device_Configuration'!L69)</f>
        <v>No</v>
      </c>
      <c r="Q69" s="22"/>
      <c r="R69" s="21" t="str">
        <f>IF('12 - Device_Configuration'!AY69="","",'12 - Device_Configuration'!AY69)</f>
        <v/>
      </c>
      <c r="S69" s="21" t="str">
        <f>IF('12 - Device_Configuration'!AX69="","",'12 - Device_Configuration'!AX69)</f>
        <v/>
      </c>
      <c r="T69" s="21" t="str">
        <f>IF('12 - Device_Configuration'!AV69="","",'12 - Device_Configuration'!AV69)</f>
        <v/>
      </c>
      <c r="U69" s="21" t="str">
        <f>IF('12 - Device_Configuration'!AW69="","",'12 - Device_Configuration'!AW69)</f>
        <v/>
      </c>
      <c r="V69" s="21" t="str">
        <f>IF('12 - Device_Configuration'!BA69="","",'12 - Device_Configuration'!BA69)</f>
        <v/>
      </c>
      <c r="W69" s="21" t="str">
        <f>IF('12 - Device_Configuration'!BC69="","",'12 - Device_Configuration'!BC69)</f>
        <v/>
      </c>
      <c r="X69" s="21" t="str">
        <f>IF('12 - Device_Configuration'!BK69="","",'12 - Device_Configuration'!BK69)</f>
        <v/>
      </c>
      <c r="Y69" s="21" t="str">
        <f>IF('12 - Device_Configuration'!BB69="","",'12 - Device_Configuration'!BB69)</f>
        <v/>
      </c>
      <c r="Z69" s="21" t="str">
        <f>IF('12 - Device_Configuration'!P69="","",'12 - Device_Configuration'!P69)</f>
        <v/>
      </c>
      <c r="AA69" s="21" t="str">
        <f>IF('12 - Device_Configuration'!Q69="","",'12 - Device_Configuration'!Q69)</f>
        <v/>
      </c>
    </row>
    <row r="70" spans="1:27">
      <c r="A70" s="22"/>
      <c r="B70" s="22"/>
      <c r="C70" s="21" t="str">
        <f>IF('12 - Device_Configuration'!H70="","",'12 - Device_Configuration'!H70)</f>
        <v>LIJ - CCMC</v>
      </c>
      <c r="D70" s="21" t="str">
        <f>IF('12 - Device_Configuration'!AE70="","",'12 - Device_Configuration'!AE70)</f>
        <v/>
      </c>
      <c r="E70" s="21" t="str">
        <f>IF('12 - Device_Configuration'!AF70="","",'12 - Device_Configuration'!AF70)</f>
        <v/>
      </c>
      <c r="F70" s="21" t="str">
        <f>IF('12 - Device_Configuration'!AG70="","",'12 - Device_Configuration'!AG70)</f>
        <v/>
      </c>
      <c r="G70" s="21" t="str">
        <f>IF('12 - Device_Configuration'!AH70="","",'12 - Device_Configuration'!AH70)</f>
        <v/>
      </c>
      <c r="H70" s="21" t="str">
        <f>IF('12 - Device_Configuration'!A70="","",'12 - Device_Configuration'!A70)</f>
        <v>Cybernet</v>
      </c>
      <c r="I70" s="21" t="str">
        <f>IF('12 - Device_Configuration'!AI70="","",'12 - Device_Configuration'!AI70)</f>
        <v/>
      </c>
      <c r="J70" s="21" t="str">
        <f>IF('12 - Device_Configuration'!AJ70="","",'12 - Device_Configuration'!AJ70)</f>
        <v/>
      </c>
      <c r="K70" s="21" t="str">
        <f>IF('12 - Device_Configuration'!AA70="","",'12 - Device_Configuration'!AA70)</f>
        <v/>
      </c>
      <c r="L70" s="21" t="str">
        <f>IF('12 - Device_Configuration'!I70="","",'12 - Device_Configuration'!I70)</f>
        <v/>
      </c>
      <c r="M70" s="22"/>
      <c r="N70" s="21" t="str">
        <f>IF('12 - Device_Configuration'!J70="","",'12 - Device_Configuration'!J70)</f>
        <v>Yes</v>
      </c>
      <c r="O70" s="21" t="str">
        <f>IF('12 - Device_Configuration'!K70="","",'12 - Device_Configuration'!K70)</f>
        <v>No</v>
      </c>
      <c r="P70" s="21" t="str">
        <f>IF('12 - Device_Configuration'!L70="","",'12 - Device_Configuration'!L70)</f>
        <v>No</v>
      </c>
      <c r="Q70" s="22"/>
      <c r="R70" s="21" t="str">
        <f>IF('12 - Device_Configuration'!AY70="","",'12 - Device_Configuration'!AY70)</f>
        <v/>
      </c>
      <c r="S70" s="21" t="str">
        <f>IF('12 - Device_Configuration'!AX70="","",'12 - Device_Configuration'!AX70)</f>
        <v/>
      </c>
      <c r="T70" s="21" t="str">
        <f>IF('12 - Device_Configuration'!AV70="","",'12 - Device_Configuration'!AV70)</f>
        <v/>
      </c>
      <c r="U70" s="21" t="str">
        <f>IF('12 - Device_Configuration'!AW70="","",'12 - Device_Configuration'!AW70)</f>
        <v/>
      </c>
      <c r="V70" s="21" t="str">
        <f>IF('12 - Device_Configuration'!BA70="","",'12 - Device_Configuration'!BA70)</f>
        <v/>
      </c>
      <c r="W70" s="21" t="str">
        <f>IF('12 - Device_Configuration'!BC70="","",'12 - Device_Configuration'!BC70)</f>
        <v/>
      </c>
      <c r="X70" s="21" t="str">
        <f>IF('12 - Device_Configuration'!BK70="","",'12 - Device_Configuration'!BK70)</f>
        <v/>
      </c>
      <c r="Y70" s="21" t="str">
        <f>IF('12 - Device_Configuration'!BB70="","",'12 - Device_Configuration'!BB70)</f>
        <v/>
      </c>
      <c r="Z70" s="21" t="str">
        <f>IF('12 - Device_Configuration'!P70="","",'12 - Device_Configuration'!P70)</f>
        <v/>
      </c>
      <c r="AA70" s="21" t="str">
        <f>IF('12 - Device_Configuration'!Q70="","",'12 - Device_Configuration'!Q70)</f>
        <v/>
      </c>
    </row>
    <row r="71" spans="1:27">
      <c r="A71" s="22"/>
      <c r="B71" s="22"/>
      <c r="C71" s="21" t="str">
        <f>IF('12 - Device_Configuration'!H71="","",'12 - Device_Configuration'!H71)</f>
        <v>LIJ - CCMC</v>
      </c>
      <c r="D71" s="21" t="str">
        <f>IF('12 - Device_Configuration'!AE71="","",'12 - Device_Configuration'!AE71)</f>
        <v/>
      </c>
      <c r="E71" s="21" t="str">
        <f>IF('12 - Device_Configuration'!AF71="","",'12 - Device_Configuration'!AF71)</f>
        <v/>
      </c>
      <c r="F71" s="21" t="str">
        <f>IF('12 - Device_Configuration'!AG71="","",'12 - Device_Configuration'!AG71)</f>
        <v/>
      </c>
      <c r="G71" s="21" t="str">
        <f>IF('12 - Device_Configuration'!AH71="","",'12 - Device_Configuration'!AH71)</f>
        <v/>
      </c>
      <c r="H71" s="21" t="str">
        <f>IF('12 - Device_Configuration'!A71="","",'12 - Device_Configuration'!A71)</f>
        <v>Cybernet</v>
      </c>
      <c r="I71" s="21" t="str">
        <f>IF('12 - Device_Configuration'!AI71="","",'12 - Device_Configuration'!AI71)</f>
        <v/>
      </c>
      <c r="J71" s="21" t="str">
        <f>IF('12 - Device_Configuration'!AJ71="","",'12 - Device_Configuration'!AJ71)</f>
        <v/>
      </c>
      <c r="K71" s="21" t="str">
        <f>IF('12 - Device_Configuration'!AA71="","",'12 - Device_Configuration'!AA71)</f>
        <v/>
      </c>
      <c r="L71" s="21" t="str">
        <f>IF('12 - Device_Configuration'!I71="","",'12 - Device_Configuration'!I71)</f>
        <v/>
      </c>
      <c r="M71" s="22"/>
      <c r="N71" s="21" t="str">
        <f>IF('12 - Device_Configuration'!J71="","",'12 - Device_Configuration'!J71)</f>
        <v>Yes</v>
      </c>
      <c r="O71" s="21" t="str">
        <f>IF('12 - Device_Configuration'!K71="","",'12 - Device_Configuration'!K71)</f>
        <v>No</v>
      </c>
      <c r="P71" s="21" t="str">
        <f>IF('12 - Device_Configuration'!L71="","",'12 - Device_Configuration'!L71)</f>
        <v>No</v>
      </c>
      <c r="Q71" s="22"/>
      <c r="R71" s="21" t="str">
        <f>IF('12 - Device_Configuration'!AY71="","",'12 - Device_Configuration'!AY71)</f>
        <v/>
      </c>
      <c r="S71" s="21" t="str">
        <f>IF('12 - Device_Configuration'!AX71="","",'12 - Device_Configuration'!AX71)</f>
        <v/>
      </c>
      <c r="T71" s="21" t="str">
        <f>IF('12 - Device_Configuration'!AV71="","",'12 - Device_Configuration'!AV71)</f>
        <v/>
      </c>
      <c r="U71" s="21" t="str">
        <f>IF('12 - Device_Configuration'!AW71="","",'12 - Device_Configuration'!AW71)</f>
        <v/>
      </c>
      <c r="V71" s="21" t="str">
        <f>IF('12 - Device_Configuration'!BA71="","",'12 - Device_Configuration'!BA71)</f>
        <v/>
      </c>
      <c r="W71" s="21" t="str">
        <f>IF('12 - Device_Configuration'!BC71="","",'12 - Device_Configuration'!BC71)</f>
        <v/>
      </c>
      <c r="X71" s="21" t="str">
        <f>IF('12 - Device_Configuration'!BK71="","",'12 - Device_Configuration'!BK71)</f>
        <v/>
      </c>
      <c r="Y71" s="21" t="str">
        <f>IF('12 - Device_Configuration'!BB71="","",'12 - Device_Configuration'!BB71)</f>
        <v/>
      </c>
      <c r="Z71" s="21" t="str">
        <f>IF('12 - Device_Configuration'!P71="","",'12 - Device_Configuration'!P71)</f>
        <v/>
      </c>
      <c r="AA71" s="21" t="str">
        <f>IF('12 - Device_Configuration'!Q71="","",'12 - Device_Configuration'!Q71)</f>
        <v/>
      </c>
    </row>
    <row r="72" spans="1:27">
      <c r="A72" s="22"/>
      <c r="B72" s="22"/>
      <c r="C72" s="21" t="str">
        <f>IF('12 - Device_Configuration'!H72="","",'12 - Device_Configuration'!H72)</f>
        <v>LIJ - CCMC</v>
      </c>
      <c r="D72" s="21" t="str">
        <f>IF('12 - Device_Configuration'!AE72="","",'12 - Device_Configuration'!AE72)</f>
        <v/>
      </c>
      <c r="E72" s="21" t="str">
        <f>IF('12 - Device_Configuration'!AF72="","",'12 - Device_Configuration'!AF72)</f>
        <v/>
      </c>
      <c r="F72" s="21" t="str">
        <f>IF('12 - Device_Configuration'!AG72="","",'12 - Device_Configuration'!AG72)</f>
        <v/>
      </c>
      <c r="G72" s="21" t="str">
        <f>IF('12 - Device_Configuration'!AH72="","",'12 - Device_Configuration'!AH72)</f>
        <v/>
      </c>
      <c r="H72" s="21" t="str">
        <f>IF('12 - Device_Configuration'!A72="","",'12 - Device_Configuration'!A72)</f>
        <v>Cybernet</v>
      </c>
      <c r="I72" s="21" t="str">
        <f>IF('12 - Device_Configuration'!AI72="","",'12 - Device_Configuration'!AI72)</f>
        <v/>
      </c>
      <c r="J72" s="21" t="str">
        <f>IF('12 - Device_Configuration'!AJ72="","",'12 - Device_Configuration'!AJ72)</f>
        <v/>
      </c>
      <c r="K72" s="21" t="str">
        <f>IF('12 - Device_Configuration'!AA72="","",'12 - Device_Configuration'!AA72)</f>
        <v/>
      </c>
      <c r="L72" s="21" t="str">
        <f>IF('12 - Device_Configuration'!I72="","",'12 - Device_Configuration'!I72)</f>
        <v/>
      </c>
      <c r="M72" s="22"/>
      <c r="N72" s="21" t="str">
        <f>IF('12 - Device_Configuration'!J72="","",'12 - Device_Configuration'!J72)</f>
        <v>Yes</v>
      </c>
      <c r="O72" s="21" t="str">
        <f>IF('12 - Device_Configuration'!K72="","",'12 - Device_Configuration'!K72)</f>
        <v>No</v>
      </c>
      <c r="P72" s="21" t="str">
        <f>IF('12 - Device_Configuration'!L72="","",'12 - Device_Configuration'!L72)</f>
        <v>No</v>
      </c>
      <c r="Q72" s="22"/>
      <c r="R72" s="21" t="str">
        <f>IF('12 - Device_Configuration'!AY72="","",'12 - Device_Configuration'!AY72)</f>
        <v/>
      </c>
      <c r="S72" s="21" t="str">
        <f>IF('12 - Device_Configuration'!AX72="","",'12 - Device_Configuration'!AX72)</f>
        <v/>
      </c>
      <c r="T72" s="21" t="str">
        <f>IF('12 - Device_Configuration'!AV72="","",'12 - Device_Configuration'!AV72)</f>
        <v/>
      </c>
      <c r="U72" s="21" t="str">
        <f>IF('12 - Device_Configuration'!AW72="","",'12 - Device_Configuration'!AW72)</f>
        <v/>
      </c>
      <c r="V72" s="21" t="str">
        <f>IF('12 - Device_Configuration'!BA72="","",'12 - Device_Configuration'!BA72)</f>
        <v/>
      </c>
      <c r="W72" s="21" t="str">
        <f>IF('12 - Device_Configuration'!BC72="","",'12 - Device_Configuration'!BC72)</f>
        <v/>
      </c>
      <c r="X72" s="21" t="str">
        <f>IF('12 - Device_Configuration'!BK72="","",'12 - Device_Configuration'!BK72)</f>
        <v/>
      </c>
      <c r="Y72" s="21" t="str">
        <f>IF('12 - Device_Configuration'!BB72="","",'12 - Device_Configuration'!BB72)</f>
        <v/>
      </c>
      <c r="Z72" s="21" t="str">
        <f>IF('12 - Device_Configuration'!P72="","",'12 - Device_Configuration'!P72)</f>
        <v/>
      </c>
      <c r="AA72" s="21" t="str">
        <f>IF('12 - Device_Configuration'!Q72="","",'12 - Device_Configuration'!Q72)</f>
        <v/>
      </c>
    </row>
    <row r="73" spans="1:27">
      <c r="A73" s="22"/>
      <c r="B73" s="22"/>
      <c r="C73" s="21" t="str">
        <f>IF('12 - Device_Configuration'!H73="","",'12 - Device_Configuration'!H73)</f>
        <v>LIJ - CCMC</v>
      </c>
      <c r="D73" s="21" t="str">
        <f>IF('12 - Device_Configuration'!AE73="","",'12 - Device_Configuration'!AE73)</f>
        <v/>
      </c>
      <c r="E73" s="21" t="str">
        <f>IF('12 - Device_Configuration'!AF73="","",'12 - Device_Configuration'!AF73)</f>
        <v/>
      </c>
      <c r="F73" s="21" t="str">
        <f>IF('12 - Device_Configuration'!AG73="","",'12 - Device_Configuration'!AG73)</f>
        <v/>
      </c>
      <c r="G73" s="21" t="str">
        <f>IF('12 - Device_Configuration'!AH73="","",'12 - Device_Configuration'!AH73)</f>
        <v/>
      </c>
      <c r="H73" s="21" t="str">
        <f>IF('12 - Device_Configuration'!A73="","",'12 - Device_Configuration'!A73)</f>
        <v>Cybernet</v>
      </c>
      <c r="I73" s="21" t="str">
        <f>IF('12 - Device_Configuration'!AI73="","",'12 - Device_Configuration'!AI73)</f>
        <v/>
      </c>
      <c r="J73" s="21" t="str">
        <f>IF('12 - Device_Configuration'!AJ73="","",'12 - Device_Configuration'!AJ73)</f>
        <v/>
      </c>
      <c r="K73" s="21" t="str">
        <f>IF('12 - Device_Configuration'!AA73="","",'12 - Device_Configuration'!AA73)</f>
        <v/>
      </c>
      <c r="L73" s="21" t="str">
        <f>IF('12 - Device_Configuration'!I73="","",'12 - Device_Configuration'!I73)</f>
        <v/>
      </c>
      <c r="M73" s="22"/>
      <c r="N73" s="21" t="str">
        <f>IF('12 - Device_Configuration'!J73="","",'12 - Device_Configuration'!J73)</f>
        <v>Yes</v>
      </c>
      <c r="O73" s="21" t="str">
        <f>IF('12 - Device_Configuration'!K73="","",'12 - Device_Configuration'!K73)</f>
        <v>No</v>
      </c>
      <c r="P73" s="21" t="str">
        <f>IF('12 - Device_Configuration'!L73="","",'12 - Device_Configuration'!L73)</f>
        <v>No</v>
      </c>
      <c r="Q73" s="22"/>
      <c r="R73" s="21" t="str">
        <f>IF('12 - Device_Configuration'!AY73="","",'12 - Device_Configuration'!AY73)</f>
        <v/>
      </c>
      <c r="S73" s="21" t="str">
        <f>IF('12 - Device_Configuration'!AX73="","",'12 - Device_Configuration'!AX73)</f>
        <v/>
      </c>
      <c r="T73" s="21" t="str">
        <f>IF('12 - Device_Configuration'!AV73="","",'12 - Device_Configuration'!AV73)</f>
        <v/>
      </c>
      <c r="U73" s="21" t="str">
        <f>IF('12 - Device_Configuration'!AW73="","",'12 - Device_Configuration'!AW73)</f>
        <v/>
      </c>
      <c r="V73" s="21" t="str">
        <f>IF('12 - Device_Configuration'!BA73="","",'12 - Device_Configuration'!BA73)</f>
        <v/>
      </c>
      <c r="W73" s="21" t="str">
        <f>IF('12 - Device_Configuration'!BC73="","",'12 - Device_Configuration'!BC73)</f>
        <v/>
      </c>
      <c r="X73" s="21" t="str">
        <f>IF('12 - Device_Configuration'!BK73="","",'12 - Device_Configuration'!BK73)</f>
        <v/>
      </c>
      <c r="Y73" s="21" t="str">
        <f>IF('12 - Device_Configuration'!BB73="","",'12 - Device_Configuration'!BB73)</f>
        <v/>
      </c>
      <c r="Z73" s="21" t="str">
        <f>IF('12 - Device_Configuration'!P73="","",'12 - Device_Configuration'!P73)</f>
        <v/>
      </c>
      <c r="AA73" s="21" t="str">
        <f>IF('12 - Device_Configuration'!Q73="","",'12 - Device_Configuration'!Q73)</f>
        <v/>
      </c>
    </row>
    <row r="74" spans="1:27">
      <c r="A74" s="22"/>
      <c r="B74" s="22"/>
      <c r="C74" s="21" t="str">
        <f>IF('12 - Device_Configuration'!H74="","",'12 - Device_Configuration'!H74)</f>
        <v>LIJ - CCMC</v>
      </c>
      <c r="D74" s="21" t="str">
        <f>IF('12 - Device_Configuration'!AE74="","",'12 - Device_Configuration'!AE74)</f>
        <v/>
      </c>
      <c r="E74" s="21" t="str">
        <f>IF('12 - Device_Configuration'!AF74="","",'12 - Device_Configuration'!AF74)</f>
        <v/>
      </c>
      <c r="F74" s="21" t="str">
        <f>IF('12 - Device_Configuration'!AG74="","",'12 - Device_Configuration'!AG74)</f>
        <v/>
      </c>
      <c r="G74" s="21" t="str">
        <f>IF('12 - Device_Configuration'!AH74="","",'12 - Device_Configuration'!AH74)</f>
        <v/>
      </c>
      <c r="H74" s="21" t="str">
        <f>IF('12 - Device_Configuration'!A74="","",'12 - Device_Configuration'!A74)</f>
        <v>Cybernet</v>
      </c>
      <c r="I74" s="21" t="str">
        <f>IF('12 - Device_Configuration'!AI74="","",'12 - Device_Configuration'!AI74)</f>
        <v/>
      </c>
      <c r="J74" s="21" t="str">
        <f>IF('12 - Device_Configuration'!AJ74="","",'12 - Device_Configuration'!AJ74)</f>
        <v/>
      </c>
      <c r="K74" s="21" t="str">
        <f>IF('12 - Device_Configuration'!AA74="","",'12 - Device_Configuration'!AA74)</f>
        <v/>
      </c>
      <c r="L74" s="21" t="str">
        <f>IF('12 - Device_Configuration'!I74="","",'12 - Device_Configuration'!I74)</f>
        <v/>
      </c>
      <c r="M74" s="22"/>
      <c r="N74" s="21" t="str">
        <f>IF('12 - Device_Configuration'!J74="","",'12 - Device_Configuration'!J74)</f>
        <v>Yes</v>
      </c>
      <c r="O74" s="21" t="str">
        <f>IF('12 - Device_Configuration'!K74="","",'12 - Device_Configuration'!K74)</f>
        <v>No</v>
      </c>
      <c r="P74" s="21" t="str">
        <f>IF('12 - Device_Configuration'!L74="","",'12 - Device_Configuration'!L74)</f>
        <v>No</v>
      </c>
      <c r="Q74" s="22"/>
      <c r="R74" s="21" t="str">
        <f>IF('12 - Device_Configuration'!AY74="","",'12 - Device_Configuration'!AY74)</f>
        <v/>
      </c>
      <c r="S74" s="21" t="str">
        <f>IF('12 - Device_Configuration'!AX74="","",'12 - Device_Configuration'!AX74)</f>
        <v/>
      </c>
      <c r="T74" s="21" t="str">
        <f>IF('12 - Device_Configuration'!AV74="","",'12 - Device_Configuration'!AV74)</f>
        <v/>
      </c>
      <c r="U74" s="21" t="str">
        <f>IF('12 - Device_Configuration'!AW74="","",'12 - Device_Configuration'!AW74)</f>
        <v/>
      </c>
      <c r="V74" s="21" t="str">
        <f>IF('12 - Device_Configuration'!BA74="","",'12 - Device_Configuration'!BA74)</f>
        <v/>
      </c>
      <c r="W74" s="21" t="str">
        <f>IF('12 - Device_Configuration'!BC74="","",'12 - Device_Configuration'!BC74)</f>
        <v/>
      </c>
      <c r="X74" s="21" t="str">
        <f>IF('12 - Device_Configuration'!BK74="","",'12 - Device_Configuration'!BK74)</f>
        <v/>
      </c>
      <c r="Y74" s="21" t="str">
        <f>IF('12 - Device_Configuration'!BB74="","",'12 - Device_Configuration'!BB74)</f>
        <v/>
      </c>
      <c r="Z74" s="21" t="str">
        <f>IF('12 - Device_Configuration'!P74="","",'12 - Device_Configuration'!P74)</f>
        <v/>
      </c>
      <c r="AA74" s="21" t="str">
        <f>IF('12 - Device_Configuration'!Q74="","",'12 - Device_Configuration'!Q74)</f>
        <v/>
      </c>
    </row>
    <row r="75" spans="1:27">
      <c r="A75" s="22"/>
      <c r="B75" s="22"/>
      <c r="C75" s="21" t="str">
        <f>IF('12 - Device_Configuration'!H75="","",'12 - Device_Configuration'!H75)</f>
        <v>LIJ - CCMC</v>
      </c>
      <c r="D75" s="21" t="str">
        <f>IF('12 - Device_Configuration'!AE75="","",'12 - Device_Configuration'!AE75)</f>
        <v/>
      </c>
      <c r="E75" s="21" t="str">
        <f>IF('12 - Device_Configuration'!AF75="","",'12 - Device_Configuration'!AF75)</f>
        <v/>
      </c>
      <c r="F75" s="21" t="str">
        <f>IF('12 - Device_Configuration'!AG75="","",'12 - Device_Configuration'!AG75)</f>
        <v/>
      </c>
      <c r="G75" s="21" t="str">
        <f>IF('12 - Device_Configuration'!AH75="","",'12 - Device_Configuration'!AH75)</f>
        <v/>
      </c>
      <c r="H75" s="21" t="str">
        <f>IF('12 - Device_Configuration'!A75="","",'12 - Device_Configuration'!A75)</f>
        <v>Cybernet</v>
      </c>
      <c r="I75" s="21" t="str">
        <f>IF('12 - Device_Configuration'!AI75="","",'12 - Device_Configuration'!AI75)</f>
        <v/>
      </c>
      <c r="J75" s="21" t="str">
        <f>IF('12 - Device_Configuration'!AJ75="","",'12 - Device_Configuration'!AJ75)</f>
        <v/>
      </c>
      <c r="K75" s="21" t="str">
        <f>IF('12 - Device_Configuration'!AA75="","",'12 - Device_Configuration'!AA75)</f>
        <v/>
      </c>
      <c r="L75" s="21" t="str">
        <f>IF('12 - Device_Configuration'!I75="","",'12 - Device_Configuration'!I75)</f>
        <v/>
      </c>
      <c r="M75" s="22"/>
      <c r="N75" s="21" t="str">
        <f>IF('12 - Device_Configuration'!J75="","",'12 - Device_Configuration'!J75)</f>
        <v>Yes</v>
      </c>
      <c r="O75" s="21" t="str">
        <f>IF('12 - Device_Configuration'!K75="","",'12 - Device_Configuration'!K75)</f>
        <v>No</v>
      </c>
      <c r="P75" s="21" t="str">
        <f>IF('12 - Device_Configuration'!L75="","",'12 - Device_Configuration'!L75)</f>
        <v>No</v>
      </c>
      <c r="Q75" s="22"/>
      <c r="R75" s="21" t="str">
        <f>IF('12 - Device_Configuration'!AY75="","",'12 - Device_Configuration'!AY75)</f>
        <v/>
      </c>
      <c r="S75" s="21" t="str">
        <f>IF('12 - Device_Configuration'!AX75="","",'12 - Device_Configuration'!AX75)</f>
        <v/>
      </c>
      <c r="T75" s="21" t="str">
        <f>IF('12 - Device_Configuration'!AV75="","",'12 - Device_Configuration'!AV75)</f>
        <v/>
      </c>
      <c r="U75" s="21" t="str">
        <f>IF('12 - Device_Configuration'!AW75="","",'12 - Device_Configuration'!AW75)</f>
        <v/>
      </c>
      <c r="V75" s="21" t="str">
        <f>IF('12 - Device_Configuration'!BA75="","",'12 - Device_Configuration'!BA75)</f>
        <v/>
      </c>
      <c r="W75" s="21" t="str">
        <f>IF('12 - Device_Configuration'!BC75="","",'12 - Device_Configuration'!BC75)</f>
        <v/>
      </c>
      <c r="X75" s="21" t="str">
        <f>IF('12 - Device_Configuration'!BK75="","",'12 - Device_Configuration'!BK75)</f>
        <v/>
      </c>
      <c r="Y75" s="21" t="str">
        <f>IF('12 - Device_Configuration'!BB75="","",'12 - Device_Configuration'!BB75)</f>
        <v/>
      </c>
      <c r="Z75" s="21" t="str">
        <f>IF('12 - Device_Configuration'!P75="","",'12 - Device_Configuration'!P75)</f>
        <v/>
      </c>
      <c r="AA75" s="21" t="str">
        <f>IF('12 - Device_Configuration'!Q75="","",'12 - Device_Configuration'!Q75)</f>
        <v/>
      </c>
    </row>
    <row r="76" spans="1:27">
      <c r="A76" s="22"/>
      <c r="B76" s="22"/>
      <c r="C76" s="21" t="str">
        <f>IF('12 - Device_Configuration'!H76="","",'12 - Device_Configuration'!H76)</f>
        <v>LIJ - CCMC</v>
      </c>
      <c r="D76" s="21" t="str">
        <f>IF('12 - Device_Configuration'!AE76="","",'12 - Device_Configuration'!AE76)</f>
        <v/>
      </c>
      <c r="E76" s="21" t="str">
        <f>IF('12 - Device_Configuration'!AF76="","",'12 - Device_Configuration'!AF76)</f>
        <v/>
      </c>
      <c r="F76" s="21" t="str">
        <f>IF('12 - Device_Configuration'!AG76="","",'12 - Device_Configuration'!AG76)</f>
        <v/>
      </c>
      <c r="G76" s="21" t="str">
        <f>IF('12 - Device_Configuration'!AH76="","",'12 - Device_Configuration'!AH76)</f>
        <v/>
      </c>
      <c r="H76" s="21" t="str">
        <f>IF('12 - Device_Configuration'!A76="","",'12 - Device_Configuration'!A76)</f>
        <v>Cybernet</v>
      </c>
      <c r="I76" s="21" t="str">
        <f>IF('12 - Device_Configuration'!AI76="","",'12 - Device_Configuration'!AI76)</f>
        <v/>
      </c>
      <c r="J76" s="21" t="str">
        <f>IF('12 - Device_Configuration'!AJ76="","",'12 - Device_Configuration'!AJ76)</f>
        <v/>
      </c>
      <c r="K76" s="21" t="str">
        <f>IF('12 - Device_Configuration'!AA76="","",'12 - Device_Configuration'!AA76)</f>
        <v/>
      </c>
      <c r="L76" s="21" t="str">
        <f>IF('12 - Device_Configuration'!I76="","",'12 - Device_Configuration'!I76)</f>
        <v/>
      </c>
      <c r="M76" s="22"/>
      <c r="N76" s="21" t="str">
        <f>IF('12 - Device_Configuration'!J76="","",'12 - Device_Configuration'!J76)</f>
        <v>Yes</v>
      </c>
      <c r="O76" s="21" t="str">
        <f>IF('12 - Device_Configuration'!K76="","",'12 - Device_Configuration'!K76)</f>
        <v>No</v>
      </c>
      <c r="P76" s="21" t="str">
        <f>IF('12 - Device_Configuration'!L76="","",'12 - Device_Configuration'!L76)</f>
        <v>No</v>
      </c>
      <c r="Q76" s="22"/>
      <c r="R76" s="21" t="str">
        <f>IF('12 - Device_Configuration'!AY76="","",'12 - Device_Configuration'!AY76)</f>
        <v/>
      </c>
      <c r="S76" s="21" t="str">
        <f>IF('12 - Device_Configuration'!AX76="","",'12 - Device_Configuration'!AX76)</f>
        <v/>
      </c>
      <c r="T76" s="21" t="str">
        <f>IF('12 - Device_Configuration'!AV76="","",'12 - Device_Configuration'!AV76)</f>
        <v/>
      </c>
      <c r="U76" s="21" t="str">
        <f>IF('12 - Device_Configuration'!AW76="","",'12 - Device_Configuration'!AW76)</f>
        <v/>
      </c>
      <c r="V76" s="21" t="str">
        <f>IF('12 - Device_Configuration'!BA76="","",'12 - Device_Configuration'!BA76)</f>
        <v/>
      </c>
      <c r="W76" s="21" t="str">
        <f>IF('12 - Device_Configuration'!BC76="","",'12 - Device_Configuration'!BC76)</f>
        <v/>
      </c>
      <c r="X76" s="21" t="str">
        <f>IF('12 - Device_Configuration'!BK76="","",'12 - Device_Configuration'!BK76)</f>
        <v/>
      </c>
      <c r="Y76" s="21" t="str">
        <f>IF('12 - Device_Configuration'!BB76="","",'12 - Device_Configuration'!BB76)</f>
        <v/>
      </c>
      <c r="Z76" s="21" t="str">
        <f>IF('12 - Device_Configuration'!P76="","",'12 - Device_Configuration'!P76)</f>
        <v/>
      </c>
      <c r="AA76" s="21" t="str">
        <f>IF('12 - Device_Configuration'!Q76="","",'12 - Device_Configuration'!Q76)</f>
        <v/>
      </c>
    </row>
    <row r="77" spans="1:27">
      <c r="A77" s="22"/>
      <c r="B77" s="22"/>
      <c r="C77" s="21" t="str">
        <f>IF('12 - Device_Configuration'!H77="","",'12 - Device_Configuration'!H77)</f>
        <v>LIJ - CCMC</v>
      </c>
      <c r="D77" s="21" t="str">
        <f>IF('12 - Device_Configuration'!AE77="","",'12 - Device_Configuration'!AE77)</f>
        <v/>
      </c>
      <c r="E77" s="21" t="str">
        <f>IF('12 - Device_Configuration'!AF77="","",'12 - Device_Configuration'!AF77)</f>
        <v/>
      </c>
      <c r="F77" s="21" t="str">
        <f>IF('12 - Device_Configuration'!AG77="","",'12 - Device_Configuration'!AG77)</f>
        <v/>
      </c>
      <c r="G77" s="21" t="str">
        <f>IF('12 - Device_Configuration'!AH77="","",'12 - Device_Configuration'!AH77)</f>
        <v/>
      </c>
      <c r="H77" s="21" t="str">
        <f>IF('12 - Device_Configuration'!A77="","",'12 - Device_Configuration'!A77)</f>
        <v>Cybernet</v>
      </c>
      <c r="I77" s="21" t="str">
        <f>IF('12 - Device_Configuration'!AI77="","",'12 - Device_Configuration'!AI77)</f>
        <v/>
      </c>
      <c r="J77" s="21" t="str">
        <f>IF('12 - Device_Configuration'!AJ77="","",'12 - Device_Configuration'!AJ77)</f>
        <v/>
      </c>
      <c r="K77" s="21" t="str">
        <f>IF('12 - Device_Configuration'!AA77="","",'12 - Device_Configuration'!AA77)</f>
        <v/>
      </c>
      <c r="L77" s="21" t="str">
        <f>IF('12 - Device_Configuration'!I77="","",'12 - Device_Configuration'!I77)</f>
        <v/>
      </c>
      <c r="M77" s="22"/>
      <c r="N77" s="21" t="str">
        <f>IF('12 - Device_Configuration'!J77="","",'12 - Device_Configuration'!J77)</f>
        <v>Yes</v>
      </c>
      <c r="O77" s="21" t="str">
        <f>IF('12 - Device_Configuration'!K77="","",'12 - Device_Configuration'!K77)</f>
        <v>No</v>
      </c>
      <c r="P77" s="21" t="str">
        <f>IF('12 - Device_Configuration'!L77="","",'12 - Device_Configuration'!L77)</f>
        <v>No</v>
      </c>
      <c r="Q77" s="22"/>
      <c r="R77" s="21" t="str">
        <f>IF('12 - Device_Configuration'!AY77="","",'12 - Device_Configuration'!AY77)</f>
        <v/>
      </c>
      <c r="S77" s="21" t="str">
        <f>IF('12 - Device_Configuration'!AX77="","",'12 - Device_Configuration'!AX77)</f>
        <v/>
      </c>
      <c r="T77" s="21" t="str">
        <f>IF('12 - Device_Configuration'!AV77="","",'12 - Device_Configuration'!AV77)</f>
        <v/>
      </c>
      <c r="U77" s="21" t="str">
        <f>IF('12 - Device_Configuration'!AW77="","",'12 - Device_Configuration'!AW77)</f>
        <v/>
      </c>
      <c r="V77" s="21" t="str">
        <f>IF('12 - Device_Configuration'!BA77="","",'12 - Device_Configuration'!BA77)</f>
        <v/>
      </c>
      <c r="W77" s="21" t="str">
        <f>IF('12 - Device_Configuration'!BC77="","",'12 - Device_Configuration'!BC77)</f>
        <v/>
      </c>
      <c r="X77" s="21" t="str">
        <f>IF('12 - Device_Configuration'!BK77="","",'12 - Device_Configuration'!BK77)</f>
        <v/>
      </c>
      <c r="Y77" s="21" t="str">
        <f>IF('12 - Device_Configuration'!BB77="","",'12 - Device_Configuration'!BB77)</f>
        <v/>
      </c>
      <c r="Z77" s="21" t="str">
        <f>IF('12 - Device_Configuration'!P77="","",'12 - Device_Configuration'!P77)</f>
        <v/>
      </c>
      <c r="AA77" s="21" t="str">
        <f>IF('12 - Device_Configuration'!Q77="","",'12 - Device_Configuration'!Q77)</f>
        <v/>
      </c>
    </row>
    <row r="78" spans="1:27">
      <c r="A78" s="22"/>
      <c r="B78" s="22"/>
      <c r="C78" s="21" t="str">
        <f>IF('12 - Device_Configuration'!H78="","",'12 - Device_Configuration'!H78)</f>
        <v>CFAM</v>
      </c>
      <c r="D78" s="21" t="str">
        <f>IF('12 - Device_Configuration'!AE78="","",'12 - Device_Configuration'!AE78)</f>
        <v/>
      </c>
      <c r="E78" s="21" t="str">
        <f>IF('12 - Device_Configuration'!AF78="","",'12 - Device_Configuration'!AF78)</f>
        <v/>
      </c>
      <c r="F78" s="21" t="str">
        <f>IF('12 - Device_Configuration'!AG78="","",'12 - Device_Configuration'!AG78)</f>
        <v/>
      </c>
      <c r="G78" s="21" t="str">
        <f>IF('12 - Device_Configuration'!AH78="","",'12 - Device_Configuration'!AH78)</f>
        <v/>
      </c>
      <c r="H78" s="21" t="str">
        <f>IF('12 - Device_Configuration'!A78="","",'12 - Device_Configuration'!A78)</f>
        <v>Cybernet</v>
      </c>
      <c r="I78" s="21" t="str">
        <f>IF('12 - Device_Configuration'!AI78="","",'12 - Device_Configuration'!AI78)</f>
        <v/>
      </c>
      <c r="J78" s="21" t="str">
        <f>IF('12 - Device_Configuration'!AJ78="","",'12 - Device_Configuration'!AJ78)</f>
        <v/>
      </c>
      <c r="K78" s="21" t="str">
        <f>IF('12 - Device_Configuration'!AA78="","",'12 - Device_Configuration'!AA78)</f>
        <v/>
      </c>
      <c r="L78" s="21" t="str">
        <f>IF('12 - Device_Configuration'!I78="","",'12 - Device_Configuration'!I78)</f>
        <v/>
      </c>
      <c r="M78" s="22"/>
      <c r="N78" s="21" t="str">
        <f>IF('12 - Device_Configuration'!J78="","",'12 - Device_Configuration'!J78)</f>
        <v>Yes</v>
      </c>
      <c r="O78" s="21" t="str">
        <f>IF('12 - Device_Configuration'!K78="","",'12 - Device_Configuration'!K78)</f>
        <v>No</v>
      </c>
      <c r="P78" s="21" t="str">
        <f>IF('12 - Device_Configuration'!L78="","",'12 - Device_Configuration'!L78)</f>
        <v>No</v>
      </c>
      <c r="Q78" s="22"/>
      <c r="R78" s="21" t="str">
        <f>IF('12 - Device_Configuration'!AY78="","",'12 - Device_Configuration'!AY78)</f>
        <v/>
      </c>
      <c r="S78" s="21" t="str">
        <f>IF('12 - Device_Configuration'!AX78="","",'12 - Device_Configuration'!AX78)</f>
        <v/>
      </c>
      <c r="T78" s="21" t="str">
        <f>IF('12 - Device_Configuration'!AV78="","",'12 - Device_Configuration'!AV78)</f>
        <v/>
      </c>
      <c r="U78" s="21" t="str">
        <f>IF('12 - Device_Configuration'!AW78="","",'12 - Device_Configuration'!AW78)</f>
        <v/>
      </c>
      <c r="V78" s="21" t="str">
        <f>IF('12 - Device_Configuration'!BA78="","",'12 - Device_Configuration'!BA78)</f>
        <v/>
      </c>
      <c r="W78" s="21" t="str">
        <f>IF('12 - Device_Configuration'!BC78="","",'12 - Device_Configuration'!BC78)</f>
        <v/>
      </c>
      <c r="X78" s="21" t="str">
        <f>IF('12 - Device_Configuration'!BK78="","",'12 - Device_Configuration'!BK78)</f>
        <v/>
      </c>
      <c r="Y78" s="21" t="str">
        <f>IF('12 - Device_Configuration'!BB78="","",'12 - Device_Configuration'!BB78)</f>
        <v/>
      </c>
      <c r="Z78" s="21" t="str">
        <f>IF('12 - Device_Configuration'!P78="","",'12 - Device_Configuration'!P78)</f>
        <v/>
      </c>
      <c r="AA78" s="21" t="str">
        <f>IF('12 - Device_Configuration'!Q78="","",'12 - Device_Configuration'!Q78)</f>
        <v/>
      </c>
    </row>
    <row r="79" spans="1:27">
      <c r="A79" s="22"/>
      <c r="B79" s="22"/>
      <c r="C79" s="21" t="str">
        <f>IF('12 - Device_Configuration'!H79="","",'12 - Device_Configuration'!H79)</f>
        <v>CFAM</v>
      </c>
      <c r="D79" s="21" t="str">
        <f>IF('12 - Device_Configuration'!AE79="","",'12 - Device_Configuration'!AE79)</f>
        <v/>
      </c>
      <c r="E79" s="21" t="str">
        <f>IF('12 - Device_Configuration'!AF79="","",'12 - Device_Configuration'!AF79)</f>
        <v/>
      </c>
      <c r="F79" s="21" t="str">
        <f>IF('12 - Device_Configuration'!AG79="","",'12 - Device_Configuration'!AG79)</f>
        <v/>
      </c>
      <c r="G79" s="21" t="str">
        <f>IF('12 - Device_Configuration'!AH79="","",'12 - Device_Configuration'!AH79)</f>
        <v/>
      </c>
      <c r="H79" s="21" t="str">
        <f>IF('12 - Device_Configuration'!A79="","",'12 - Device_Configuration'!A79)</f>
        <v>Cybernet</v>
      </c>
      <c r="I79" s="21" t="str">
        <f>IF('12 - Device_Configuration'!AI79="","",'12 - Device_Configuration'!AI79)</f>
        <v/>
      </c>
      <c r="J79" s="21" t="str">
        <f>IF('12 - Device_Configuration'!AJ79="","",'12 - Device_Configuration'!AJ79)</f>
        <v/>
      </c>
      <c r="K79" s="21" t="str">
        <f>IF('12 - Device_Configuration'!AA79="","",'12 - Device_Configuration'!AA79)</f>
        <v/>
      </c>
      <c r="L79" s="21" t="str">
        <f>IF('12 - Device_Configuration'!I79="","",'12 - Device_Configuration'!I79)</f>
        <v/>
      </c>
      <c r="M79" s="22"/>
      <c r="N79" s="21" t="str">
        <f>IF('12 - Device_Configuration'!J79="","",'12 - Device_Configuration'!J79)</f>
        <v>Yes</v>
      </c>
      <c r="O79" s="21" t="str">
        <f>IF('12 - Device_Configuration'!K79="","",'12 - Device_Configuration'!K79)</f>
        <v>No</v>
      </c>
      <c r="P79" s="21" t="str">
        <f>IF('12 - Device_Configuration'!L79="","",'12 - Device_Configuration'!L79)</f>
        <v>No</v>
      </c>
      <c r="Q79" s="22"/>
      <c r="R79" s="21" t="str">
        <f>IF('12 - Device_Configuration'!AY79="","",'12 - Device_Configuration'!AY79)</f>
        <v/>
      </c>
      <c r="S79" s="21" t="str">
        <f>IF('12 - Device_Configuration'!AX79="","",'12 - Device_Configuration'!AX79)</f>
        <v/>
      </c>
      <c r="T79" s="21" t="str">
        <f>IF('12 - Device_Configuration'!AV79="","",'12 - Device_Configuration'!AV79)</f>
        <v/>
      </c>
      <c r="U79" s="21" t="str">
        <f>IF('12 - Device_Configuration'!AW79="","",'12 - Device_Configuration'!AW79)</f>
        <v/>
      </c>
      <c r="V79" s="21" t="str">
        <f>IF('12 - Device_Configuration'!BA79="","",'12 - Device_Configuration'!BA79)</f>
        <v/>
      </c>
      <c r="W79" s="21" t="str">
        <f>IF('12 - Device_Configuration'!BC79="","",'12 - Device_Configuration'!BC79)</f>
        <v/>
      </c>
      <c r="X79" s="21" t="str">
        <f>IF('12 - Device_Configuration'!BK79="","",'12 - Device_Configuration'!BK79)</f>
        <v/>
      </c>
      <c r="Y79" s="21" t="str">
        <f>IF('12 - Device_Configuration'!BB79="","",'12 - Device_Configuration'!BB79)</f>
        <v/>
      </c>
      <c r="Z79" s="21" t="str">
        <f>IF('12 - Device_Configuration'!P79="","",'12 - Device_Configuration'!P79)</f>
        <v/>
      </c>
      <c r="AA79" s="21" t="str">
        <f>IF('12 - Device_Configuration'!Q79="","",'12 - Device_Configuration'!Q79)</f>
        <v/>
      </c>
    </row>
    <row r="80" spans="1:27">
      <c r="A80" s="22"/>
      <c r="B80" s="22"/>
      <c r="C80" s="21" t="str">
        <f>IF('12 - Device_Configuration'!H80="","",'12 - Device_Configuration'!H80)</f>
        <v>CFAM</v>
      </c>
      <c r="D80" s="21" t="str">
        <f>IF('12 - Device_Configuration'!AE80="","",'12 - Device_Configuration'!AE80)</f>
        <v/>
      </c>
      <c r="E80" s="21" t="str">
        <f>IF('12 - Device_Configuration'!AF80="","",'12 - Device_Configuration'!AF80)</f>
        <v/>
      </c>
      <c r="F80" s="21" t="str">
        <f>IF('12 - Device_Configuration'!AG80="","",'12 - Device_Configuration'!AG80)</f>
        <v/>
      </c>
      <c r="G80" s="21" t="str">
        <f>IF('12 - Device_Configuration'!AH80="","",'12 - Device_Configuration'!AH80)</f>
        <v/>
      </c>
      <c r="H80" s="21" t="str">
        <f>IF('12 - Device_Configuration'!A80="","",'12 - Device_Configuration'!A80)</f>
        <v>Cybernet</v>
      </c>
      <c r="I80" s="21" t="str">
        <f>IF('12 - Device_Configuration'!AI80="","",'12 - Device_Configuration'!AI80)</f>
        <v/>
      </c>
      <c r="J80" s="21" t="str">
        <f>IF('12 - Device_Configuration'!AJ80="","",'12 - Device_Configuration'!AJ80)</f>
        <v/>
      </c>
      <c r="K80" s="21" t="str">
        <f>IF('12 - Device_Configuration'!AA80="","",'12 - Device_Configuration'!AA80)</f>
        <v/>
      </c>
      <c r="L80" s="21" t="str">
        <f>IF('12 - Device_Configuration'!I80="","",'12 - Device_Configuration'!I80)</f>
        <v/>
      </c>
      <c r="M80" s="22"/>
      <c r="N80" s="21" t="str">
        <f>IF('12 - Device_Configuration'!J80="","",'12 - Device_Configuration'!J80)</f>
        <v>Yes</v>
      </c>
      <c r="O80" s="21" t="str">
        <f>IF('12 - Device_Configuration'!K80="","",'12 - Device_Configuration'!K80)</f>
        <v>No</v>
      </c>
      <c r="P80" s="21" t="str">
        <f>IF('12 - Device_Configuration'!L80="","",'12 - Device_Configuration'!L80)</f>
        <v>No</v>
      </c>
      <c r="Q80" s="22"/>
      <c r="R80" s="21" t="str">
        <f>IF('12 - Device_Configuration'!AY80="","",'12 - Device_Configuration'!AY80)</f>
        <v/>
      </c>
      <c r="S80" s="21" t="str">
        <f>IF('12 - Device_Configuration'!AX80="","",'12 - Device_Configuration'!AX80)</f>
        <v/>
      </c>
      <c r="T80" s="21" t="str">
        <f>IF('12 - Device_Configuration'!AV80="","",'12 - Device_Configuration'!AV80)</f>
        <v/>
      </c>
      <c r="U80" s="21" t="str">
        <f>IF('12 - Device_Configuration'!AW80="","",'12 - Device_Configuration'!AW80)</f>
        <v/>
      </c>
      <c r="V80" s="21" t="str">
        <f>IF('12 - Device_Configuration'!BA80="","",'12 - Device_Configuration'!BA80)</f>
        <v/>
      </c>
      <c r="W80" s="21" t="str">
        <f>IF('12 - Device_Configuration'!BC80="","",'12 - Device_Configuration'!BC80)</f>
        <v/>
      </c>
      <c r="X80" s="21" t="str">
        <f>IF('12 - Device_Configuration'!BK80="","",'12 - Device_Configuration'!BK80)</f>
        <v/>
      </c>
      <c r="Y80" s="21" t="str">
        <f>IF('12 - Device_Configuration'!BB80="","",'12 - Device_Configuration'!BB80)</f>
        <v/>
      </c>
      <c r="Z80" s="21" t="str">
        <f>IF('12 - Device_Configuration'!P80="","",'12 - Device_Configuration'!P80)</f>
        <v/>
      </c>
      <c r="AA80" s="21" t="str">
        <f>IF('12 - Device_Configuration'!Q80="","",'12 - Device_Configuration'!Q80)</f>
        <v/>
      </c>
    </row>
    <row r="81" spans="1:27">
      <c r="A81" s="22"/>
      <c r="B81" s="22"/>
      <c r="C81" s="21" t="str">
        <f>IF('12 - Device_Configuration'!H81="","",'12 - Device_Configuration'!H81)</f>
        <v>CFAM</v>
      </c>
      <c r="D81" s="21" t="str">
        <f>IF('12 - Device_Configuration'!AE81="","",'12 - Device_Configuration'!AE81)</f>
        <v/>
      </c>
      <c r="E81" s="21" t="str">
        <f>IF('12 - Device_Configuration'!AF81="","",'12 - Device_Configuration'!AF81)</f>
        <v/>
      </c>
      <c r="F81" s="21" t="str">
        <f>IF('12 - Device_Configuration'!AG81="","",'12 - Device_Configuration'!AG81)</f>
        <v/>
      </c>
      <c r="G81" s="21" t="str">
        <f>IF('12 - Device_Configuration'!AH81="","",'12 - Device_Configuration'!AH81)</f>
        <v/>
      </c>
      <c r="H81" s="21" t="str">
        <f>IF('12 - Device_Configuration'!A81="","",'12 - Device_Configuration'!A81)</f>
        <v>Cybernet</v>
      </c>
      <c r="I81" s="21" t="str">
        <f>IF('12 - Device_Configuration'!AI81="","",'12 - Device_Configuration'!AI81)</f>
        <v/>
      </c>
      <c r="J81" s="21" t="str">
        <f>IF('12 - Device_Configuration'!AJ81="","",'12 - Device_Configuration'!AJ81)</f>
        <v/>
      </c>
      <c r="K81" s="21" t="str">
        <f>IF('12 - Device_Configuration'!AA81="","",'12 - Device_Configuration'!AA81)</f>
        <v/>
      </c>
      <c r="L81" s="21" t="str">
        <f>IF('12 - Device_Configuration'!I81="","",'12 - Device_Configuration'!I81)</f>
        <v/>
      </c>
      <c r="M81" s="22"/>
      <c r="N81" s="21" t="str">
        <f>IF('12 - Device_Configuration'!J81="","",'12 - Device_Configuration'!J81)</f>
        <v>Yes</v>
      </c>
      <c r="O81" s="21" t="str">
        <f>IF('12 - Device_Configuration'!K81="","",'12 - Device_Configuration'!K81)</f>
        <v>No</v>
      </c>
      <c r="P81" s="21" t="str">
        <f>IF('12 - Device_Configuration'!L81="","",'12 - Device_Configuration'!L81)</f>
        <v>No</v>
      </c>
      <c r="Q81" s="22"/>
      <c r="R81" s="21" t="str">
        <f>IF('12 - Device_Configuration'!AY81="","",'12 - Device_Configuration'!AY81)</f>
        <v/>
      </c>
      <c r="S81" s="21" t="str">
        <f>IF('12 - Device_Configuration'!AX81="","",'12 - Device_Configuration'!AX81)</f>
        <v/>
      </c>
      <c r="T81" s="21" t="str">
        <f>IF('12 - Device_Configuration'!AV81="","",'12 - Device_Configuration'!AV81)</f>
        <v/>
      </c>
      <c r="U81" s="21" t="str">
        <f>IF('12 - Device_Configuration'!AW81="","",'12 - Device_Configuration'!AW81)</f>
        <v/>
      </c>
      <c r="V81" s="21" t="str">
        <f>IF('12 - Device_Configuration'!BA81="","",'12 - Device_Configuration'!BA81)</f>
        <v/>
      </c>
      <c r="W81" s="21" t="str">
        <f>IF('12 - Device_Configuration'!BC81="","",'12 - Device_Configuration'!BC81)</f>
        <v/>
      </c>
      <c r="X81" s="21" t="str">
        <f>IF('12 - Device_Configuration'!BK81="","",'12 - Device_Configuration'!BK81)</f>
        <v/>
      </c>
      <c r="Y81" s="21" t="str">
        <f>IF('12 - Device_Configuration'!BB81="","",'12 - Device_Configuration'!BB81)</f>
        <v/>
      </c>
      <c r="Z81" s="21" t="str">
        <f>IF('12 - Device_Configuration'!P81="","",'12 - Device_Configuration'!P81)</f>
        <v/>
      </c>
      <c r="AA81" s="21" t="str">
        <f>IF('12 - Device_Configuration'!Q81="","",'12 - Device_Configuration'!Q81)</f>
        <v/>
      </c>
    </row>
    <row r="82" spans="1:27">
      <c r="A82" s="22"/>
      <c r="B82" s="22"/>
      <c r="C82" s="21" t="str">
        <f>IF('12 - Device_Configuration'!H82="","",'12 - Device_Configuration'!H82)</f>
        <v>CFAM</v>
      </c>
      <c r="D82" s="21" t="str">
        <f>IF('12 - Device_Configuration'!AE82="","",'12 - Device_Configuration'!AE82)</f>
        <v/>
      </c>
      <c r="E82" s="21" t="str">
        <f>IF('12 - Device_Configuration'!AF82="","",'12 - Device_Configuration'!AF82)</f>
        <v/>
      </c>
      <c r="F82" s="21" t="str">
        <f>IF('12 - Device_Configuration'!AG82="","",'12 - Device_Configuration'!AG82)</f>
        <v/>
      </c>
      <c r="G82" s="21" t="str">
        <f>IF('12 - Device_Configuration'!AH82="","",'12 - Device_Configuration'!AH82)</f>
        <v/>
      </c>
      <c r="H82" s="21" t="str">
        <f>IF('12 - Device_Configuration'!A82="","",'12 - Device_Configuration'!A82)</f>
        <v>Cybernet</v>
      </c>
      <c r="I82" s="21" t="str">
        <f>IF('12 - Device_Configuration'!AI82="","",'12 - Device_Configuration'!AI82)</f>
        <v/>
      </c>
      <c r="J82" s="21" t="str">
        <f>IF('12 - Device_Configuration'!AJ82="","",'12 - Device_Configuration'!AJ82)</f>
        <v/>
      </c>
      <c r="K82" s="21" t="str">
        <f>IF('12 - Device_Configuration'!AA82="","",'12 - Device_Configuration'!AA82)</f>
        <v/>
      </c>
      <c r="L82" s="21" t="str">
        <f>IF('12 - Device_Configuration'!I82="","",'12 - Device_Configuration'!I82)</f>
        <v/>
      </c>
      <c r="M82" s="22"/>
      <c r="N82" s="21" t="str">
        <f>IF('12 - Device_Configuration'!J82="","",'12 - Device_Configuration'!J82)</f>
        <v>Yes</v>
      </c>
      <c r="O82" s="21" t="str">
        <f>IF('12 - Device_Configuration'!K82="","",'12 - Device_Configuration'!K82)</f>
        <v>No</v>
      </c>
      <c r="P82" s="21" t="str">
        <f>IF('12 - Device_Configuration'!L82="","",'12 - Device_Configuration'!L82)</f>
        <v>No</v>
      </c>
      <c r="Q82" s="22"/>
      <c r="R82" s="21" t="str">
        <f>IF('12 - Device_Configuration'!AY82="","",'12 - Device_Configuration'!AY82)</f>
        <v/>
      </c>
      <c r="S82" s="21" t="str">
        <f>IF('12 - Device_Configuration'!AX82="","",'12 - Device_Configuration'!AX82)</f>
        <v/>
      </c>
      <c r="T82" s="21" t="str">
        <f>IF('12 - Device_Configuration'!AV82="","",'12 - Device_Configuration'!AV82)</f>
        <v/>
      </c>
      <c r="U82" s="21" t="str">
        <f>IF('12 - Device_Configuration'!AW82="","",'12 - Device_Configuration'!AW82)</f>
        <v/>
      </c>
      <c r="V82" s="21" t="str">
        <f>IF('12 - Device_Configuration'!BA82="","",'12 - Device_Configuration'!BA82)</f>
        <v/>
      </c>
      <c r="W82" s="21" t="str">
        <f>IF('12 - Device_Configuration'!BC82="","",'12 - Device_Configuration'!BC82)</f>
        <v/>
      </c>
      <c r="X82" s="21" t="str">
        <f>IF('12 - Device_Configuration'!BK82="","",'12 - Device_Configuration'!BK82)</f>
        <v/>
      </c>
      <c r="Y82" s="21" t="str">
        <f>IF('12 - Device_Configuration'!BB82="","",'12 - Device_Configuration'!BB82)</f>
        <v/>
      </c>
      <c r="Z82" s="21" t="str">
        <f>IF('12 - Device_Configuration'!P82="","",'12 - Device_Configuration'!P82)</f>
        <v/>
      </c>
      <c r="AA82" s="21" t="str">
        <f>IF('12 - Device_Configuration'!Q82="","",'12 - Device_Configuration'!Q82)</f>
        <v/>
      </c>
    </row>
    <row r="83" spans="1:27">
      <c r="A83" s="22"/>
      <c r="B83" s="22"/>
      <c r="C83" s="21" t="str">
        <f>IF('12 - Device_Configuration'!H83="","",'12 - Device_Configuration'!H83)</f>
        <v>CFAM</v>
      </c>
      <c r="D83" s="21" t="str">
        <f>IF('12 - Device_Configuration'!AE83="","",'12 - Device_Configuration'!AE83)</f>
        <v/>
      </c>
      <c r="E83" s="21" t="str">
        <f>IF('12 - Device_Configuration'!AF83="","",'12 - Device_Configuration'!AF83)</f>
        <v/>
      </c>
      <c r="F83" s="21" t="str">
        <f>IF('12 - Device_Configuration'!AG83="","",'12 - Device_Configuration'!AG83)</f>
        <v/>
      </c>
      <c r="G83" s="21" t="str">
        <f>IF('12 - Device_Configuration'!AH83="","",'12 - Device_Configuration'!AH83)</f>
        <v/>
      </c>
      <c r="H83" s="21" t="str">
        <f>IF('12 - Device_Configuration'!A83="","",'12 - Device_Configuration'!A83)</f>
        <v>Cybernet</v>
      </c>
      <c r="I83" s="21" t="str">
        <f>IF('12 - Device_Configuration'!AI83="","",'12 - Device_Configuration'!AI83)</f>
        <v/>
      </c>
      <c r="J83" s="21" t="str">
        <f>IF('12 - Device_Configuration'!AJ83="","",'12 - Device_Configuration'!AJ83)</f>
        <v/>
      </c>
      <c r="K83" s="21" t="str">
        <f>IF('12 - Device_Configuration'!AA83="","",'12 - Device_Configuration'!AA83)</f>
        <v/>
      </c>
      <c r="L83" s="21" t="str">
        <f>IF('12 - Device_Configuration'!I83="","",'12 - Device_Configuration'!I83)</f>
        <v/>
      </c>
      <c r="M83" s="22"/>
      <c r="N83" s="21" t="str">
        <f>IF('12 - Device_Configuration'!J83="","",'12 - Device_Configuration'!J83)</f>
        <v>Yes</v>
      </c>
      <c r="O83" s="21" t="str">
        <f>IF('12 - Device_Configuration'!K83="","",'12 - Device_Configuration'!K83)</f>
        <v>No</v>
      </c>
      <c r="P83" s="21" t="str">
        <f>IF('12 - Device_Configuration'!L83="","",'12 - Device_Configuration'!L83)</f>
        <v>No</v>
      </c>
      <c r="Q83" s="22"/>
      <c r="R83" s="21" t="str">
        <f>IF('12 - Device_Configuration'!AY83="","",'12 - Device_Configuration'!AY83)</f>
        <v/>
      </c>
      <c r="S83" s="21" t="str">
        <f>IF('12 - Device_Configuration'!AX83="","",'12 - Device_Configuration'!AX83)</f>
        <v/>
      </c>
      <c r="T83" s="21" t="str">
        <f>IF('12 - Device_Configuration'!AV83="","",'12 - Device_Configuration'!AV83)</f>
        <v/>
      </c>
      <c r="U83" s="21" t="str">
        <f>IF('12 - Device_Configuration'!AW83="","",'12 - Device_Configuration'!AW83)</f>
        <v/>
      </c>
      <c r="V83" s="21" t="str">
        <f>IF('12 - Device_Configuration'!BA83="","",'12 - Device_Configuration'!BA83)</f>
        <v/>
      </c>
      <c r="W83" s="21" t="str">
        <f>IF('12 - Device_Configuration'!BC83="","",'12 - Device_Configuration'!BC83)</f>
        <v/>
      </c>
      <c r="X83" s="21" t="str">
        <f>IF('12 - Device_Configuration'!BK83="","",'12 - Device_Configuration'!BK83)</f>
        <v/>
      </c>
      <c r="Y83" s="21" t="str">
        <f>IF('12 - Device_Configuration'!BB83="","",'12 - Device_Configuration'!BB83)</f>
        <v/>
      </c>
      <c r="Z83" s="21" t="str">
        <f>IF('12 - Device_Configuration'!P83="","",'12 - Device_Configuration'!P83)</f>
        <v/>
      </c>
      <c r="AA83" s="21" t="str">
        <f>IF('12 - Device_Configuration'!Q83="","",'12 - Device_Configuration'!Q83)</f>
        <v/>
      </c>
    </row>
    <row r="84" spans="1:27">
      <c r="A84" s="22"/>
      <c r="B84" s="22"/>
      <c r="C84" s="21" t="str">
        <f>IF('12 - Device_Configuration'!H84="","",'12 - Device_Configuration'!H84)</f>
        <v>CFAM</v>
      </c>
      <c r="D84" s="21" t="str">
        <f>IF('12 - Device_Configuration'!AE84="","",'12 - Device_Configuration'!AE84)</f>
        <v/>
      </c>
      <c r="E84" s="21" t="str">
        <f>IF('12 - Device_Configuration'!AF84="","",'12 - Device_Configuration'!AF84)</f>
        <v/>
      </c>
      <c r="F84" s="21" t="str">
        <f>IF('12 - Device_Configuration'!AG84="","",'12 - Device_Configuration'!AG84)</f>
        <v/>
      </c>
      <c r="G84" s="21" t="str">
        <f>IF('12 - Device_Configuration'!AH84="","",'12 - Device_Configuration'!AH84)</f>
        <v/>
      </c>
      <c r="H84" s="21" t="str">
        <f>IF('12 - Device_Configuration'!A84="","",'12 - Device_Configuration'!A84)</f>
        <v>Cybernet</v>
      </c>
      <c r="I84" s="21" t="str">
        <f>IF('12 - Device_Configuration'!AI84="","",'12 - Device_Configuration'!AI84)</f>
        <v/>
      </c>
      <c r="J84" s="21" t="str">
        <f>IF('12 - Device_Configuration'!AJ84="","",'12 - Device_Configuration'!AJ84)</f>
        <v/>
      </c>
      <c r="K84" s="21" t="str">
        <f>IF('12 - Device_Configuration'!AA84="","",'12 - Device_Configuration'!AA84)</f>
        <v/>
      </c>
      <c r="L84" s="21" t="str">
        <f>IF('12 - Device_Configuration'!I84="","",'12 - Device_Configuration'!I84)</f>
        <v/>
      </c>
      <c r="M84" s="22"/>
      <c r="N84" s="21" t="str">
        <f>IF('12 - Device_Configuration'!J84="","",'12 - Device_Configuration'!J84)</f>
        <v>Yes</v>
      </c>
      <c r="O84" s="21" t="str">
        <f>IF('12 - Device_Configuration'!K84="","",'12 - Device_Configuration'!K84)</f>
        <v>No</v>
      </c>
      <c r="P84" s="21" t="str">
        <f>IF('12 - Device_Configuration'!L84="","",'12 - Device_Configuration'!L84)</f>
        <v>No</v>
      </c>
      <c r="Q84" s="22"/>
      <c r="R84" s="21" t="str">
        <f>IF('12 - Device_Configuration'!AY84="","",'12 - Device_Configuration'!AY84)</f>
        <v/>
      </c>
      <c r="S84" s="21" t="str">
        <f>IF('12 - Device_Configuration'!AX84="","",'12 - Device_Configuration'!AX84)</f>
        <v/>
      </c>
      <c r="T84" s="21" t="str">
        <f>IF('12 - Device_Configuration'!AV84="","",'12 - Device_Configuration'!AV84)</f>
        <v/>
      </c>
      <c r="U84" s="21" t="str">
        <f>IF('12 - Device_Configuration'!AW84="","",'12 - Device_Configuration'!AW84)</f>
        <v/>
      </c>
      <c r="V84" s="21" t="str">
        <f>IF('12 - Device_Configuration'!BA84="","",'12 - Device_Configuration'!BA84)</f>
        <v/>
      </c>
      <c r="W84" s="21" t="str">
        <f>IF('12 - Device_Configuration'!BC84="","",'12 - Device_Configuration'!BC84)</f>
        <v/>
      </c>
      <c r="X84" s="21" t="str">
        <f>IF('12 - Device_Configuration'!BK84="","",'12 - Device_Configuration'!BK84)</f>
        <v/>
      </c>
      <c r="Y84" s="21" t="str">
        <f>IF('12 - Device_Configuration'!BB84="","",'12 - Device_Configuration'!BB84)</f>
        <v/>
      </c>
      <c r="Z84" s="21" t="str">
        <f>IF('12 - Device_Configuration'!P84="","",'12 - Device_Configuration'!P84)</f>
        <v/>
      </c>
      <c r="AA84" s="21" t="str">
        <f>IF('12 - Device_Configuration'!Q84="","",'12 - Device_Configuration'!Q84)</f>
        <v/>
      </c>
    </row>
    <row r="85" spans="1:27">
      <c r="A85" s="22"/>
      <c r="B85" s="22"/>
      <c r="C85" s="21" t="str">
        <f>IF('12 - Device_Configuration'!H85="","",'12 - Device_Configuration'!H85)</f>
        <v>LIJ - CCMC</v>
      </c>
      <c r="D85" s="21" t="str">
        <f>IF('12 - Device_Configuration'!AE85="","",'12 - Device_Configuration'!AE85)</f>
        <v/>
      </c>
      <c r="E85" s="21" t="str">
        <f>IF('12 - Device_Configuration'!AF85="","",'12 - Device_Configuration'!AF85)</f>
        <v/>
      </c>
      <c r="F85" s="21" t="str">
        <f>IF('12 - Device_Configuration'!AG85="","",'12 - Device_Configuration'!AG85)</f>
        <v/>
      </c>
      <c r="G85" s="21" t="str">
        <f>IF('12 - Device_Configuration'!AH85="","",'12 - Device_Configuration'!AH85)</f>
        <v/>
      </c>
      <c r="H85" s="21" t="str">
        <f>IF('12 - Device_Configuration'!A85="","",'12 - Device_Configuration'!A85)</f>
        <v>Cybernet</v>
      </c>
      <c r="I85" s="21" t="str">
        <f>IF('12 - Device_Configuration'!AI85="","",'12 - Device_Configuration'!AI85)</f>
        <v/>
      </c>
      <c r="J85" s="21" t="str">
        <f>IF('12 - Device_Configuration'!AJ85="","",'12 - Device_Configuration'!AJ85)</f>
        <v/>
      </c>
      <c r="K85" s="21" t="str">
        <f>IF('12 - Device_Configuration'!AA85="","",'12 - Device_Configuration'!AA85)</f>
        <v/>
      </c>
      <c r="L85" s="21" t="str">
        <f>IF('12 - Device_Configuration'!I85="","",'12 - Device_Configuration'!I85)</f>
        <v/>
      </c>
      <c r="M85" s="22"/>
      <c r="N85" s="21" t="str">
        <f>IF('12 - Device_Configuration'!J85="","",'12 - Device_Configuration'!J85)</f>
        <v>Yes</v>
      </c>
      <c r="O85" s="21" t="str">
        <f>IF('12 - Device_Configuration'!K85="","",'12 - Device_Configuration'!K85)</f>
        <v>No</v>
      </c>
      <c r="P85" s="21" t="str">
        <f>IF('12 - Device_Configuration'!L85="","",'12 - Device_Configuration'!L85)</f>
        <v>No</v>
      </c>
      <c r="Q85" s="22"/>
      <c r="R85" s="21" t="str">
        <f>IF('12 - Device_Configuration'!AY85="","",'12 - Device_Configuration'!AY85)</f>
        <v/>
      </c>
      <c r="S85" s="21" t="str">
        <f>IF('12 - Device_Configuration'!AX85="","",'12 - Device_Configuration'!AX85)</f>
        <v/>
      </c>
      <c r="T85" s="21" t="str">
        <f>IF('12 - Device_Configuration'!AV85="","",'12 - Device_Configuration'!AV85)</f>
        <v/>
      </c>
      <c r="U85" s="21" t="str">
        <f>IF('12 - Device_Configuration'!AW85="","",'12 - Device_Configuration'!AW85)</f>
        <v/>
      </c>
      <c r="V85" s="21" t="str">
        <f>IF('12 - Device_Configuration'!BA85="","",'12 - Device_Configuration'!BA85)</f>
        <v/>
      </c>
      <c r="W85" s="21" t="str">
        <f>IF('12 - Device_Configuration'!BC85="","",'12 - Device_Configuration'!BC85)</f>
        <v/>
      </c>
      <c r="X85" s="21" t="str">
        <f>IF('12 - Device_Configuration'!BK85="","",'12 - Device_Configuration'!BK85)</f>
        <v/>
      </c>
      <c r="Y85" s="21" t="str">
        <f>IF('12 - Device_Configuration'!BB85="","",'12 - Device_Configuration'!BB85)</f>
        <v/>
      </c>
      <c r="Z85" s="21" t="str">
        <f>IF('12 - Device_Configuration'!P85="","",'12 - Device_Configuration'!P85)</f>
        <v/>
      </c>
      <c r="AA85" s="21" t="str">
        <f>IF('12 - Device_Configuration'!Q85="","",'12 - Device_Configuration'!Q85)</f>
        <v/>
      </c>
    </row>
    <row r="86" spans="1:27">
      <c r="A86" s="22"/>
      <c r="B86" s="22"/>
      <c r="C86" s="21" t="str">
        <f>IF('12 - Device_Configuration'!H86="","",'12 - Device_Configuration'!H86)</f>
        <v>LIJ - CCMC</v>
      </c>
      <c r="D86" s="21" t="str">
        <f>IF('12 - Device_Configuration'!AE86="","",'12 - Device_Configuration'!AE86)</f>
        <v/>
      </c>
      <c r="E86" s="21" t="str">
        <f>IF('12 - Device_Configuration'!AF86="","",'12 - Device_Configuration'!AF86)</f>
        <v/>
      </c>
      <c r="F86" s="21" t="str">
        <f>IF('12 - Device_Configuration'!AG86="","",'12 - Device_Configuration'!AG86)</f>
        <v/>
      </c>
      <c r="G86" s="21" t="str">
        <f>IF('12 - Device_Configuration'!AH86="","",'12 - Device_Configuration'!AH86)</f>
        <v/>
      </c>
      <c r="H86" s="21" t="str">
        <f>IF('12 - Device_Configuration'!A86="","",'12 - Device_Configuration'!A86)</f>
        <v>Cybernet</v>
      </c>
      <c r="I86" s="21" t="str">
        <f>IF('12 - Device_Configuration'!AI86="","",'12 - Device_Configuration'!AI86)</f>
        <v/>
      </c>
      <c r="J86" s="21" t="str">
        <f>IF('12 - Device_Configuration'!AJ86="","",'12 - Device_Configuration'!AJ86)</f>
        <v/>
      </c>
      <c r="K86" s="21" t="str">
        <f>IF('12 - Device_Configuration'!AA86="","",'12 - Device_Configuration'!AA86)</f>
        <v/>
      </c>
      <c r="L86" s="21" t="str">
        <f>IF('12 - Device_Configuration'!I86="","",'12 - Device_Configuration'!I86)</f>
        <v/>
      </c>
      <c r="M86" s="22"/>
      <c r="N86" s="21" t="str">
        <f>IF('12 - Device_Configuration'!J86="","",'12 - Device_Configuration'!J86)</f>
        <v>Yes</v>
      </c>
      <c r="O86" s="21" t="str">
        <f>IF('12 - Device_Configuration'!K86="","",'12 - Device_Configuration'!K86)</f>
        <v>No</v>
      </c>
      <c r="P86" s="21" t="str">
        <f>IF('12 - Device_Configuration'!L86="","",'12 - Device_Configuration'!L86)</f>
        <v>No</v>
      </c>
      <c r="Q86" s="22"/>
      <c r="R86" s="21" t="str">
        <f>IF('12 - Device_Configuration'!AY86="","",'12 - Device_Configuration'!AY86)</f>
        <v/>
      </c>
      <c r="S86" s="21" t="str">
        <f>IF('12 - Device_Configuration'!AX86="","",'12 - Device_Configuration'!AX86)</f>
        <v/>
      </c>
      <c r="T86" s="21" t="str">
        <f>IF('12 - Device_Configuration'!AV86="","",'12 - Device_Configuration'!AV86)</f>
        <v/>
      </c>
      <c r="U86" s="21" t="str">
        <f>IF('12 - Device_Configuration'!AW86="","",'12 - Device_Configuration'!AW86)</f>
        <v/>
      </c>
      <c r="V86" s="21" t="str">
        <f>IF('12 - Device_Configuration'!BA86="","",'12 - Device_Configuration'!BA86)</f>
        <v/>
      </c>
      <c r="W86" s="21" t="str">
        <f>IF('12 - Device_Configuration'!BC86="","",'12 - Device_Configuration'!BC86)</f>
        <v/>
      </c>
      <c r="X86" s="21" t="str">
        <f>IF('12 - Device_Configuration'!BK86="","",'12 - Device_Configuration'!BK86)</f>
        <v/>
      </c>
      <c r="Y86" s="21" t="str">
        <f>IF('12 - Device_Configuration'!BB86="","",'12 - Device_Configuration'!BB86)</f>
        <v/>
      </c>
      <c r="Z86" s="21" t="str">
        <f>IF('12 - Device_Configuration'!P86="","",'12 - Device_Configuration'!P86)</f>
        <v/>
      </c>
      <c r="AA86" s="21" t="str">
        <f>IF('12 - Device_Configuration'!Q86="","",'12 - Device_Configuration'!Q86)</f>
        <v/>
      </c>
    </row>
    <row r="87" spans="1:27">
      <c r="A87" s="22"/>
      <c r="B87" s="22"/>
      <c r="C87" s="21" t="str">
        <f>IF('12 - Device_Configuration'!H87="","",'12 - Device_Configuration'!H87)</f>
        <v>LIJ - CCMC</v>
      </c>
      <c r="D87" s="21" t="str">
        <f>IF('12 - Device_Configuration'!AE87="","",'12 - Device_Configuration'!AE87)</f>
        <v/>
      </c>
      <c r="E87" s="21" t="str">
        <f>IF('12 - Device_Configuration'!AF87="","",'12 - Device_Configuration'!AF87)</f>
        <v/>
      </c>
      <c r="F87" s="21" t="str">
        <f>IF('12 - Device_Configuration'!AG87="","",'12 - Device_Configuration'!AG87)</f>
        <v/>
      </c>
      <c r="G87" s="21" t="str">
        <f>IF('12 - Device_Configuration'!AH87="","",'12 - Device_Configuration'!AH87)</f>
        <v/>
      </c>
      <c r="H87" s="21" t="str">
        <f>IF('12 - Device_Configuration'!A87="","",'12 - Device_Configuration'!A87)</f>
        <v>Cybernet</v>
      </c>
      <c r="I87" s="21" t="str">
        <f>IF('12 - Device_Configuration'!AI87="","",'12 - Device_Configuration'!AI87)</f>
        <v/>
      </c>
      <c r="J87" s="21" t="str">
        <f>IF('12 - Device_Configuration'!AJ87="","",'12 - Device_Configuration'!AJ87)</f>
        <v/>
      </c>
      <c r="K87" s="21" t="str">
        <f>IF('12 - Device_Configuration'!AA87="","",'12 - Device_Configuration'!AA87)</f>
        <v/>
      </c>
      <c r="L87" s="21" t="str">
        <f>IF('12 - Device_Configuration'!I87="","",'12 - Device_Configuration'!I87)</f>
        <v/>
      </c>
      <c r="M87" s="22"/>
      <c r="N87" s="21" t="str">
        <f>IF('12 - Device_Configuration'!J87="","",'12 - Device_Configuration'!J87)</f>
        <v>Yes</v>
      </c>
      <c r="O87" s="21" t="str">
        <f>IF('12 - Device_Configuration'!K87="","",'12 - Device_Configuration'!K87)</f>
        <v>No</v>
      </c>
      <c r="P87" s="21" t="str">
        <f>IF('12 - Device_Configuration'!L87="","",'12 - Device_Configuration'!L87)</f>
        <v>No</v>
      </c>
      <c r="Q87" s="22"/>
      <c r="R87" s="21" t="str">
        <f>IF('12 - Device_Configuration'!AY87="","",'12 - Device_Configuration'!AY87)</f>
        <v/>
      </c>
      <c r="S87" s="21" t="str">
        <f>IF('12 - Device_Configuration'!AX87="","",'12 - Device_Configuration'!AX87)</f>
        <v/>
      </c>
      <c r="T87" s="21" t="str">
        <f>IF('12 - Device_Configuration'!AV87="","",'12 - Device_Configuration'!AV87)</f>
        <v/>
      </c>
      <c r="U87" s="21" t="str">
        <f>IF('12 - Device_Configuration'!AW87="","",'12 - Device_Configuration'!AW87)</f>
        <v/>
      </c>
      <c r="V87" s="21" t="str">
        <f>IF('12 - Device_Configuration'!BA87="","",'12 - Device_Configuration'!BA87)</f>
        <v/>
      </c>
      <c r="W87" s="21" t="str">
        <f>IF('12 - Device_Configuration'!BC87="","",'12 - Device_Configuration'!BC87)</f>
        <v/>
      </c>
      <c r="X87" s="21" t="str">
        <f>IF('12 - Device_Configuration'!BK87="","",'12 - Device_Configuration'!BK87)</f>
        <v/>
      </c>
      <c r="Y87" s="21" t="str">
        <f>IF('12 - Device_Configuration'!BB87="","",'12 - Device_Configuration'!BB87)</f>
        <v/>
      </c>
      <c r="Z87" s="21" t="str">
        <f>IF('12 - Device_Configuration'!P87="","",'12 - Device_Configuration'!P87)</f>
        <v/>
      </c>
      <c r="AA87" s="21" t="str">
        <f>IF('12 - Device_Configuration'!Q87="","",'12 - Device_Configuration'!Q87)</f>
        <v/>
      </c>
    </row>
    <row r="88" spans="1:27">
      <c r="A88" s="22"/>
      <c r="B88" s="22"/>
      <c r="C88" s="21" t="str">
        <f>IF('12 - Device_Configuration'!H88="","",'12 - Device_Configuration'!H88)</f>
        <v>LIJ - CCMC</v>
      </c>
      <c r="D88" s="21" t="str">
        <f>IF('12 - Device_Configuration'!AE88="","",'12 - Device_Configuration'!AE88)</f>
        <v/>
      </c>
      <c r="E88" s="21" t="str">
        <f>IF('12 - Device_Configuration'!AF88="","",'12 - Device_Configuration'!AF88)</f>
        <v/>
      </c>
      <c r="F88" s="21" t="str">
        <f>IF('12 - Device_Configuration'!AG88="","",'12 - Device_Configuration'!AG88)</f>
        <v/>
      </c>
      <c r="G88" s="21" t="str">
        <f>IF('12 - Device_Configuration'!AH88="","",'12 - Device_Configuration'!AH88)</f>
        <v/>
      </c>
      <c r="H88" s="21" t="str">
        <f>IF('12 - Device_Configuration'!A88="","",'12 - Device_Configuration'!A88)</f>
        <v>Cybernet</v>
      </c>
      <c r="I88" s="21" t="str">
        <f>IF('12 - Device_Configuration'!AI88="","",'12 - Device_Configuration'!AI88)</f>
        <v/>
      </c>
      <c r="J88" s="21" t="str">
        <f>IF('12 - Device_Configuration'!AJ88="","",'12 - Device_Configuration'!AJ88)</f>
        <v/>
      </c>
      <c r="K88" s="21" t="str">
        <f>IF('12 - Device_Configuration'!AA88="","",'12 - Device_Configuration'!AA88)</f>
        <v/>
      </c>
      <c r="L88" s="21" t="str">
        <f>IF('12 - Device_Configuration'!I88="","",'12 - Device_Configuration'!I88)</f>
        <v/>
      </c>
      <c r="M88" s="22"/>
      <c r="N88" s="21" t="str">
        <f>IF('12 - Device_Configuration'!J88="","",'12 - Device_Configuration'!J88)</f>
        <v>Yes</v>
      </c>
      <c r="O88" s="21" t="str">
        <f>IF('12 - Device_Configuration'!K88="","",'12 - Device_Configuration'!K88)</f>
        <v>No</v>
      </c>
      <c r="P88" s="21" t="str">
        <f>IF('12 - Device_Configuration'!L88="","",'12 - Device_Configuration'!L88)</f>
        <v>No</v>
      </c>
      <c r="Q88" s="22"/>
      <c r="R88" s="21" t="str">
        <f>IF('12 - Device_Configuration'!AY88="","",'12 - Device_Configuration'!AY88)</f>
        <v/>
      </c>
      <c r="S88" s="21" t="str">
        <f>IF('12 - Device_Configuration'!AX88="","",'12 - Device_Configuration'!AX88)</f>
        <v/>
      </c>
      <c r="T88" s="21" t="str">
        <f>IF('12 - Device_Configuration'!AV88="","",'12 - Device_Configuration'!AV88)</f>
        <v/>
      </c>
      <c r="U88" s="21" t="str">
        <f>IF('12 - Device_Configuration'!AW88="","",'12 - Device_Configuration'!AW88)</f>
        <v/>
      </c>
      <c r="V88" s="21" t="str">
        <f>IF('12 - Device_Configuration'!BA88="","",'12 - Device_Configuration'!BA88)</f>
        <v/>
      </c>
      <c r="W88" s="21" t="str">
        <f>IF('12 - Device_Configuration'!BC88="","",'12 - Device_Configuration'!BC88)</f>
        <v/>
      </c>
      <c r="X88" s="21" t="str">
        <f>IF('12 - Device_Configuration'!BK88="","",'12 - Device_Configuration'!BK88)</f>
        <v/>
      </c>
      <c r="Y88" s="21" t="str">
        <f>IF('12 - Device_Configuration'!BB88="","",'12 - Device_Configuration'!BB88)</f>
        <v/>
      </c>
      <c r="Z88" s="21" t="str">
        <f>IF('12 - Device_Configuration'!P88="","",'12 - Device_Configuration'!P88)</f>
        <v/>
      </c>
      <c r="AA88" s="21" t="str">
        <f>IF('12 - Device_Configuration'!Q88="","",'12 - Device_Configuration'!Q88)</f>
        <v/>
      </c>
    </row>
    <row r="89" spans="1:27">
      <c r="A89" s="22"/>
      <c r="B89" s="22"/>
      <c r="C89" s="21" t="str">
        <f>IF('12 - Device_Configuration'!H89="","",'12 - Device_Configuration'!H89)</f>
        <v>LIJ - CCMC</v>
      </c>
      <c r="D89" s="21" t="str">
        <f>IF('12 - Device_Configuration'!AE89="","",'12 - Device_Configuration'!AE89)</f>
        <v/>
      </c>
      <c r="E89" s="21" t="str">
        <f>IF('12 - Device_Configuration'!AF89="","",'12 - Device_Configuration'!AF89)</f>
        <v/>
      </c>
      <c r="F89" s="21" t="str">
        <f>IF('12 - Device_Configuration'!AG89="","",'12 - Device_Configuration'!AG89)</f>
        <v/>
      </c>
      <c r="G89" s="21" t="str">
        <f>IF('12 - Device_Configuration'!AH89="","",'12 - Device_Configuration'!AH89)</f>
        <v/>
      </c>
      <c r="H89" s="21" t="str">
        <f>IF('12 - Device_Configuration'!A89="","",'12 - Device_Configuration'!A89)</f>
        <v>Cybernet</v>
      </c>
      <c r="I89" s="21" t="str">
        <f>IF('12 - Device_Configuration'!AI89="","",'12 - Device_Configuration'!AI89)</f>
        <v/>
      </c>
      <c r="J89" s="21" t="str">
        <f>IF('12 - Device_Configuration'!AJ89="","",'12 - Device_Configuration'!AJ89)</f>
        <v/>
      </c>
      <c r="K89" s="21" t="str">
        <f>IF('12 - Device_Configuration'!AA89="","",'12 - Device_Configuration'!AA89)</f>
        <v/>
      </c>
      <c r="L89" s="21" t="str">
        <f>IF('12 - Device_Configuration'!I89="","",'12 - Device_Configuration'!I89)</f>
        <v/>
      </c>
      <c r="M89" s="22"/>
      <c r="N89" s="21" t="str">
        <f>IF('12 - Device_Configuration'!J89="","",'12 - Device_Configuration'!J89)</f>
        <v>Yes</v>
      </c>
      <c r="O89" s="21" t="str">
        <f>IF('12 - Device_Configuration'!K89="","",'12 - Device_Configuration'!K89)</f>
        <v>No</v>
      </c>
      <c r="P89" s="21" t="str">
        <f>IF('12 - Device_Configuration'!L89="","",'12 - Device_Configuration'!L89)</f>
        <v>No</v>
      </c>
      <c r="Q89" s="22"/>
      <c r="R89" s="21" t="str">
        <f>IF('12 - Device_Configuration'!AY89="","",'12 - Device_Configuration'!AY89)</f>
        <v/>
      </c>
      <c r="S89" s="21" t="str">
        <f>IF('12 - Device_Configuration'!AX89="","",'12 - Device_Configuration'!AX89)</f>
        <v/>
      </c>
      <c r="T89" s="21" t="str">
        <f>IF('12 - Device_Configuration'!AV89="","",'12 - Device_Configuration'!AV89)</f>
        <v/>
      </c>
      <c r="U89" s="21" t="str">
        <f>IF('12 - Device_Configuration'!AW89="","",'12 - Device_Configuration'!AW89)</f>
        <v/>
      </c>
      <c r="V89" s="21" t="str">
        <f>IF('12 - Device_Configuration'!BA89="","",'12 - Device_Configuration'!BA89)</f>
        <v/>
      </c>
      <c r="W89" s="21" t="str">
        <f>IF('12 - Device_Configuration'!BC89="","",'12 - Device_Configuration'!BC89)</f>
        <v/>
      </c>
      <c r="X89" s="21" t="str">
        <f>IF('12 - Device_Configuration'!BK89="","",'12 - Device_Configuration'!BK89)</f>
        <v/>
      </c>
      <c r="Y89" s="21" t="str">
        <f>IF('12 - Device_Configuration'!BB89="","",'12 - Device_Configuration'!BB89)</f>
        <v/>
      </c>
      <c r="Z89" s="21" t="str">
        <f>IF('12 - Device_Configuration'!P89="","",'12 - Device_Configuration'!P89)</f>
        <v/>
      </c>
      <c r="AA89" s="21" t="str">
        <f>IF('12 - Device_Configuration'!Q89="","",'12 - Device_Configuration'!Q89)</f>
        <v/>
      </c>
    </row>
    <row r="90" spans="1:27">
      <c r="A90" s="22"/>
      <c r="B90" s="22"/>
      <c r="C90" s="21" t="str">
        <f>IF('12 - Device_Configuration'!H90="","",'12 - Device_Configuration'!H90)</f>
        <v>LIJ - Other</v>
      </c>
      <c r="D90" s="21" t="str">
        <f>IF('12 - Device_Configuration'!AE90="","",'12 - Device_Configuration'!AE90)</f>
        <v/>
      </c>
      <c r="E90" s="21" t="str">
        <f>IF('12 - Device_Configuration'!AF90="","",'12 - Device_Configuration'!AF90)</f>
        <v/>
      </c>
      <c r="F90" s="21" t="str">
        <f>IF('12 - Device_Configuration'!AG90="","",'12 - Device_Configuration'!AG90)</f>
        <v/>
      </c>
      <c r="G90" s="21" t="str">
        <f>IF('12 - Device_Configuration'!AH90="","",'12 - Device_Configuration'!AH90)</f>
        <v/>
      </c>
      <c r="H90" s="21" t="str">
        <f>IF('12 - Device_Configuration'!A90="","",'12 - Device_Configuration'!A90)</f>
        <v>Cybernet</v>
      </c>
      <c r="I90" s="21" t="str">
        <f>IF('12 - Device_Configuration'!AI90="","",'12 - Device_Configuration'!AI90)</f>
        <v/>
      </c>
      <c r="J90" s="21" t="str">
        <f>IF('12 - Device_Configuration'!AJ90="","",'12 - Device_Configuration'!AJ90)</f>
        <v/>
      </c>
      <c r="K90" s="21" t="str">
        <f>IF('12 - Device_Configuration'!AA90="","",'12 - Device_Configuration'!AA90)</f>
        <v/>
      </c>
      <c r="L90" s="21" t="str">
        <f>IF('12 - Device_Configuration'!I90="","",'12 - Device_Configuration'!I90)</f>
        <v/>
      </c>
      <c r="M90" s="22"/>
      <c r="N90" s="21" t="str">
        <f>IF('12 - Device_Configuration'!J90="","",'12 - Device_Configuration'!J90)</f>
        <v>Yes</v>
      </c>
      <c r="O90" s="21" t="str">
        <f>IF('12 - Device_Configuration'!K90="","",'12 - Device_Configuration'!K90)</f>
        <v>No</v>
      </c>
      <c r="P90" s="21" t="str">
        <f>IF('12 - Device_Configuration'!L90="","",'12 - Device_Configuration'!L90)</f>
        <v>No</v>
      </c>
      <c r="Q90" s="22"/>
      <c r="R90" s="21" t="str">
        <f>IF('12 - Device_Configuration'!AY90="","",'12 - Device_Configuration'!AY90)</f>
        <v/>
      </c>
      <c r="S90" s="21" t="str">
        <f>IF('12 - Device_Configuration'!AX90="","",'12 - Device_Configuration'!AX90)</f>
        <v/>
      </c>
      <c r="T90" s="21" t="str">
        <f>IF('12 - Device_Configuration'!AV90="","",'12 - Device_Configuration'!AV90)</f>
        <v/>
      </c>
      <c r="U90" s="21" t="str">
        <f>IF('12 - Device_Configuration'!AW90="","",'12 - Device_Configuration'!AW90)</f>
        <v/>
      </c>
      <c r="V90" s="21" t="str">
        <f>IF('12 - Device_Configuration'!BA90="","",'12 - Device_Configuration'!BA90)</f>
        <v/>
      </c>
      <c r="W90" s="21" t="str">
        <f>IF('12 - Device_Configuration'!BC90="","",'12 - Device_Configuration'!BC90)</f>
        <v/>
      </c>
      <c r="X90" s="21" t="str">
        <f>IF('12 - Device_Configuration'!BK90="","",'12 - Device_Configuration'!BK90)</f>
        <v/>
      </c>
      <c r="Y90" s="21" t="str">
        <f>IF('12 - Device_Configuration'!BB90="","",'12 - Device_Configuration'!BB90)</f>
        <v/>
      </c>
      <c r="Z90" s="21" t="str">
        <f>IF('12 - Device_Configuration'!P90="","",'12 - Device_Configuration'!P90)</f>
        <v/>
      </c>
      <c r="AA90" s="21" t="str">
        <f>IF('12 - Device_Configuration'!Q90="","",'12 - Device_Configuration'!Q90)</f>
        <v/>
      </c>
    </row>
    <row r="91" spans="1:27">
      <c r="A91" s="22"/>
      <c r="B91" s="22"/>
      <c r="C91" s="21" t="str">
        <f>IF('12 - Device_Configuration'!H91="","",'12 - Device_Configuration'!H91)</f>
        <v>LIJ - Other</v>
      </c>
      <c r="D91" s="21" t="str">
        <f>IF('12 - Device_Configuration'!AE91="","",'12 - Device_Configuration'!AE91)</f>
        <v/>
      </c>
      <c r="E91" s="21" t="str">
        <f>IF('12 - Device_Configuration'!AF91="","",'12 - Device_Configuration'!AF91)</f>
        <v/>
      </c>
      <c r="F91" s="21" t="str">
        <f>IF('12 - Device_Configuration'!AG91="","",'12 - Device_Configuration'!AG91)</f>
        <v/>
      </c>
      <c r="G91" s="21" t="str">
        <f>IF('12 - Device_Configuration'!AH91="","",'12 - Device_Configuration'!AH91)</f>
        <v/>
      </c>
      <c r="H91" s="21" t="str">
        <f>IF('12 - Device_Configuration'!A91="","",'12 - Device_Configuration'!A91)</f>
        <v>Cybernet</v>
      </c>
      <c r="I91" s="21" t="str">
        <f>IF('12 - Device_Configuration'!AI91="","",'12 - Device_Configuration'!AI91)</f>
        <v/>
      </c>
      <c r="J91" s="21" t="str">
        <f>IF('12 - Device_Configuration'!AJ91="","",'12 - Device_Configuration'!AJ91)</f>
        <v/>
      </c>
      <c r="K91" s="21" t="str">
        <f>IF('12 - Device_Configuration'!AA91="","",'12 - Device_Configuration'!AA91)</f>
        <v/>
      </c>
      <c r="L91" s="21" t="str">
        <f>IF('12 - Device_Configuration'!I91="","",'12 - Device_Configuration'!I91)</f>
        <v/>
      </c>
      <c r="M91" s="22"/>
      <c r="N91" s="21" t="str">
        <f>IF('12 - Device_Configuration'!J91="","",'12 - Device_Configuration'!J91)</f>
        <v>Yes</v>
      </c>
      <c r="O91" s="21" t="str">
        <f>IF('12 - Device_Configuration'!K91="","",'12 - Device_Configuration'!K91)</f>
        <v>No</v>
      </c>
      <c r="P91" s="21" t="str">
        <f>IF('12 - Device_Configuration'!L91="","",'12 - Device_Configuration'!L91)</f>
        <v>No</v>
      </c>
      <c r="Q91" s="22"/>
      <c r="R91" s="21" t="str">
        <f>IF('12 - Device_Configuration'!AY91="","",'12 - Device_Configuration'!AY91)</f>
        <v/>
      </c>
      <c r="S91" s="21" t="str">
        <f>IF('12 - Device_Configuration'!AX91="","",'12 - Device_Configuration'!AX91)</f>
        <v/>
      </c>
      <c r="T91" s="21" t="str">
        <f>IF('12 - Device_Configuration'!AV91="","",'12 - Device_Configuration'!AV91)</f>
        <v/>
      </c>
      <c r="U91" s="21" t="str">
        <f>IF('12 - Device_Configuration'!AW91="","",'12 - Device_Configuration'!AW91)</f>
        <v/>
      </c>
      <c r="V91" s="21" t="str">
        <f>IF('12 - Device_Configuration'!BA91="","",'12 - Device_Configuration'!BA91)</f>
        <v/>
      </c>
      <c r="W91" s="21" t="str">
        <f>IF('12 - Device_Configuration'!BC91="","",'12 - Device_Configuration'!BC91)</f>
        <v/>
      </c>
      <c r="X91" s="21" t="str">
        <f>IF('12 - Device_Configuration'!BK91="","",'12 - Device_Configuration'!BK91)</f>
        <v/>
      </c>
      <c r="Y91" s="21" t="str">
        <f>IF('12 - Device_Configuration'!BB91="","",'12 - Device_Configuration'!BB91)</f>
        <v/>
      </c>
      <c r="Z91" s="21" t="str">
        <f>IF('12 - Device_Configuration'!P91="","",'12 - Device_Configuration'!P91)</f>
        <v/>
      </c>
      <c r="AA91" s="21" t="str">
        <f>IF('12 - Device_Configuration'!Q91="","",'12 - Device_Configuration'!Q91)</f>
        <v/>
      </c>
    </row>
    <row r="92" spans="1:27">
      <c r="A92" s="22"/>
      <c r="B92" s="22"/>
      <c r="C92" s="21" t="str">
        <f>IF('12 - Device_Configuration'!H92="","",'12 - Device_Configuration'!H92)</f>
        <v>LIJ - Other</v>
      </c>
      <c r="D92" s="21" t="str">
        <f>IF('12 - Device_Configuration'!AE92="","",'12 - Device_Configuration'!AE92)</f>
        <v/>
      </c>
      <c r="E92" s="21" t="str">
        <f>IF('12 - Device_Configuration'!AF92="","",'12 - Device_Configuration'!AF92)</f>
        <v/>
      </c>
      <c r="F92" s="21" t="str">
        <f>IF('12 - Device_Configuration'!AG92="","",'12 - Device_Configuration'!AG92)</f>
        <v/>
      </c>
      <c r="G92" s="21" t="str">
        <f>IF('12 - Device_Configuration'!AH92="","",'12 - Device_Configuration'!AH92)</f>
        <v/>
      </c>
      <c r="H92" s="21" t="str">
        <f>IF('12 - Device_Configuration'!A92="","",'12 - Device_Configuration'!A92)</f>
        <v>Cybernet</v>
      </c>
      <c r="I92" s="21" t="str">
        <f>IF('12 - Device_Configuration'!AI92="","",'12 - Device_Configuration'!AI92)</f>
        <v/>
      </c>
      <c r="J92" s="21" t="str">
        <f>IF('12 - Device_Configuration'!AJ92="","",'12 - Device_Configuration'!AJ92)</f>
        <v/>
      </c>
      <c r="K92" s="21" t="str">
        <f>IF('12 - Device_Configuration'!AA92="","",'12 - Device_Configuration'!AA92)</f>
        <v/>
      </c>
      <c r="L92" s="21" t="str">
        <f>IF('12 - Device_Configuration'!I92="","",'12 - Device_Configuration'!I92)</f>
        <v/>
      </c>
      <c r="M92" s="22"/>
      <c r="N92" s="21" t="str">
        <f>IF('12 - Device_Configuration'!J92="","",'12 - Device_Configuration'!J92)</f>
        <v>Yes</v>
      </c>
      <c r="O92" s="21" t="str">
        <f>IF('12 - Device_Configuration'!K92="","",'12 - Device_Configuration'!K92)</f>
        <v>No</v>
      </c>
      <c r="P92" s="21" t="str">
        <f>IF('12 - Device_Configuration'!L92="","",'12 - Device_Configuration'!L92)</f>
        <v>No</v>
      </c>
      <c r="Q92" s="22"/>
      <c r="R92" s="21" t="str">
        <f>IF('12 - Device_Configuration'!AY92="","",'12 - Device_Configuration'!AY92)</f>
        <v/>
      </c>
      <c r="S92" s="21" t="str">
        <f>IF('12 - Device_Configuration'!AX92="","",'12 - Device_Configuration'!AX92)</f>
        <v/>
      </c>
      <c r="T92" s="21" t="str">
        <f>IF('12 - Device_Configuration'!AV92="","",'12 - Device_Configuration'!AV92)</f>
        <v/>
      </c>
      <c r="U92" s="21" t="str">
        <f>IF('12 - Device_Configuration'!AW92="","",'12 - Device_Configuration'!AW92)</f>
        <v/>
      </c>
      <c r="V92" s="21" t="str">
        <f>IF('12 - Device_Configuration'!BA92="","",'12 - Device_Configuration'!BA92)</f>
        <v/>
      </c>
      <c r="W92" s="21" t="str">
        <f>IF('12 - Device_Configuration'!BC92="","",'12 - Device_Configuration'!BC92)</f>
        <v/>
      </c>
      <c r="X92" s="21" t="str">
        <f>IF('12 - Device_Configuration'!BK92="","",'12 - Device_Configuration'!BK92)</f>
        <v/>
      </c>
      <c r="Y92" s="21" t="str">
        <f>IF('12 - Device_Configuration'!BB92="","",'12 - Device_Configuration'!BB92)</f>
        <v/>
      </c>
      <c r="Z92" s="21" t="str">
        <f>IF('12 - Device_Configuration'!P92="","",'12 - Device_Configuration'!P92)</f>
        <v/>
      </c>
      <c r="AA92" s="21" t="str">
        <f>IF('12 - Device_Configuration'!Q92="","",'12 - Device_Configuration'!Q92)</f>
        <v/>
      </c>
    </row>
    <row r="93" spans="1:27">
      <c r="A93" s="22"/>
      <c r="B93" s="22"/>
      <c r="C93" s="21" t="str">
        <f>IF('12 - Device_Configuration'!H93="","",'12 - Device_Configuration'!H93)</f>
        <v>LIJ - Other</v>
      </c>
      <c r="D93" s="21" t="str">
        <f>IF('12 - Device_Configuration'!AE93="","",'12 - Device_Configuration'!AE93)</f>
        <v/>
      </c>
      <c r="E93" s="21" t="str">
        <f>IF('12 - Device_Configuration'!AF93="","",'12 - Device_Configuration'!AF93)</f>
        <v/>
      </c>
      <c r="F93" s="21" t="str">
        <f>IF('12 - Device_Configuration'!AG93="","",'12 - Device_Configuration'!AG93)</f>
        <v/>
      </c>
      <c r="G93" s="21" t="str">
        <f>IF('12 - Device_Configuration'!AH93="","",'12 - Device_Configuration'!AH93)</f>
        <v/>
      </c>
      <c r="H93" s="21" t="str">
        <f>IF('12 - Device_Configuration'!A93="","",'12 - Device_Configuration'!A93)</f>
        <v>Cybernet</v>
      </c>
      <c r="I93" s="21" t="str">
        <f>IF('12 - Device_Configuration'!AI93="","",'12 - Device_Configuration'!AI93)</f>
        <v/>
      </c>
      <c r="J93" s="21" t="str">
        <f>IF('12 - Device_Configuration'!AJ93="","",'12 - Device_Configuration'!AJ93)</f>
        <v/>
      </c>
      <c r="K93" s="21" t="str">
        <f>IF('12 - Device_Configuration'!AA93="","",'12 - Device_Configuration'!AA93)</f>
        <v/>
      </c>
      <c r="L93" s="21" t="str">
        <f>IF('12 - Device_Configuration'!I93="","",'12 - Device_Configuration'!I93)</f>
        <v/>
      </c>
      <c r="M93" s="22"/>
      <c r="N93" s="21" t="str">
        <f>IF('12 - Device_Configuration'!J93="","",'12 - Device_Configuration'!J93)</f>
        <v>Yes</v>
      </c>
      <c r="O93" s="21" t="str">
        <f>IF('12 - Device_Configuration'!K93="","",'12 - Device_Configuration'!K93)</f>
        <v>No</v>
      </c>
      <c r="P93" s="21" t="str">
        <f>IF('12 - Device_Configuration'!L93="","",'12 - Device_Configuration'!L93)</f>
        <v>No</v>
      </c>
      <c r="Q93" s="22"/>
      <c r="R93" s="21" t="str">
        <f>IF('12 - Device_Configuration'!AY93="","",'12 - Device_Configuration'!AY93)</f>
        <v/>
      </c>
      <c r="S93" s="21" t="str">
        <f>IF('12 - Device_Configuration'!AX93="","",'12 - Device_Configuration'!AX93)</f>
        <v/>
      </c>
      <c r="T93" s="21" t="str">
        <f>IF('12 - Device_Configuration'!AV93="","",'12 - Device_Configuration'!AV93)</f>
        <v/>
      </c>
      <c r="U93" s="21" t="str">
        <f>IF('12 - Device_Configuration'!AW93="","",'12 - Device_Configuration'!AW93)</f>
        <v/>
      </c>
      <c r="V93" s="21" t="str">
        <f>IF('12 - Device_Configuration'!BA93="","",'12 - Device_Configuration'!BA93)</f>
        <v/>
      </c>
      <c r="W93" s="21" t="str">
        <f>IF('12 - Device_Configuration'!BC93="","",'12 - Device_Configuration'!BC93)</f>
        <v/>
      </c>
      <c r="X93" s="21" t="str">
        <f>IF('12 - Device_Configuration'!BK93="","",'12 - Device_Configuration'!BK93)</f>
        <v/>
      </c>
      <c r="Y93" s="21" t="str">
        <f>IF('12 - Device_Configuration'!BB93="","",'12 - Device_Configuration'!BB93)</f>
        <v/>
      </c>
      <c r="Z93" s="21" t="str">
        <f>IF('12 - Device_Configuration'!P93="","",'12 - Device_Configuration'!P93)</f>
        <v/>
      </c>
      <c r="AA93" s="21" t="str">
        <f>IF('12 - Device_Configuration'!Q93="","",'12 - Device_Configuration'!Q93)</f>
        <v/>
      </c>
    </row>
    <row r="94" spans="1:27">
      <c r="A94" s="22"/>
      <c r="B94" s="22"/>
      <c r="C94" s="21" t="str">
        <f>IF('12 - Device_Configuration'!H94="","",'12 - Device_Configuration'!H94)</f>
        <v>LIJ - Other</v>
      </c>
      <c r="D94" s="21" t="str">
        <f>IF('12 - Device_Configuration'!AE94="","",'12 - Device_Configuration'!AE94)</f>
        <v/>
      </c>
      <c r="E94" s="21" t="str">
        <f>IF('12 - Device_Configuration'!AF94="","",'12 - Device_Configuration'!AF94)</f>
        <v/>
      </c>
      <c r="F94" s="21" t="str">
        <f>IF('12 - Device_Configuration'!AG94="","",'12 - Device_Configuration'!AG94)</f>
        <v/>
      </c>
      <c r="G94" s="21" t="str">
        <f>IF('12 - Device_Configuration'!AH94="","",'12 - Device_Configuration'!AH94)</f>
        <v/>
      </c>
      <c r="H94" s="21" t="str">
        <f>IF('12 - Device_Configuration'!A94="","",'12 - Device_Configuration'!A94)</f>
        <v>Cybernet</v>
      </c>
      <c r="I94" s="21" t="str">
        <f>IF('12 - Device_Configuration'!AI94="","",'12 - Device_Configuration'!AI94)</f>
        <v/>
      </c>
      <c r="J94" s="21" t="str">
        <f>IF('12 - Device_Configuration'!AJ94="","",'12 - Device_Configuration'!AJ94)</f>
        <v/>
      </c>
      <c r="K94" s="21" t="str">
        <f>IF('12 - Device_Configuration'!AA94="","",'12 - Device_Configuration'!AA94)</f>
        <v/>
      </c>
      <c r="L94" s="21" t="str">
        <f>IF('12 - Device_Configuration'!I94="","",'12 - Device_Configuration'!I94)</f>
        <v/>
      </c>
      <c r="M94" s="22"/>
      <c r="N94" s="21" t="str">
        <f>IF('12 - Device_Configuration'!J94="","",'12 - Device_Configuration'!J94)</f>
        <v>Yes</v>
      </c>
      <c r="O94" s="21" t="str">
        <f>IF('12 - Device_Configuration'!K94="","",'12 - Device_Configuration'!K94)</f>
        <v>No</v>
      </c>
      <c r="P94" s="21" t="str">
        <f>IF('12 - Device_Configuration'!L94="","",'12 - Device_Configuration'!L94)</f>
        <v>No</v>
      </c>
      <c r="Q94" s="22"/>
      <c r="R94" s="21" t="str">
        <f>IF('12 - Device_Configuration'!AY94="","",'12 - Device_Configuration'!AY94)</f>
        <v/>
      </c>
      <c r="S94" s="21" t="str">
        <f>IF('12 - Device_Configuration'!AX94="","",'12 - Device_Configuration'!AX94)</f>
        <v/>
      </c>
      <c r="T94" s="21" t="str">
        <f>IF('12 - Device_Configuration'!AV94="","",'12 - Device_Configuration'!AV94)</f>
        <v/>
      </c>
      <c r="U94" s="21" t="str">
        <f>IF('12 - Device_Configuration'!AW94="","",'12 - Device_Configuration'!AW94)</f>
        <v/>
      </c>
      <c r="V94" s="21" t="str">
        <f>IF('12 - Device_Configuration'!BA94="","",'12 - Device_Configuration'!BA94)</f>
        <v/>
      </c>
      <c r="W94" s="21" t="str">
        <f>IF('12 - Device_Configuration'!BC94="","",'12 - Device_Configuration'!BC94)</f>
        <v/>
      </c>
      <c r="X94" s="21" t="str">
        <f>IF('12 - Device_Configuration'!BK94="","",'12 - Device_Configuration'!BK94)</f>
        <v/>
      </c>
      <c r="Y94" s="21" t="str">
        <f>IF('12 - Device_Configuration'!BB94="","",'12 - Device_Configuration'!BB94)</f>
        <v/>
      </c>
      <c r="Z94" s="21" t="str">
        <f>IF('12 - Device_Configuration'!P94="","",'12 - Device_Configuration'!P94)</f>
        <v/>
      </c>
      <c r="AA94" s="21" t="str">
        <f>IF('12 - Device_Configuration'!Q94="","",'12 - Device_Configuration'!Q94)</f>
        <v/>
      </c>
    </row>
    <row r="95" spans="1:27">
      <c r="A95" s="22"/>
      <c r="B95" s="22"/>
      <c r="C95" s="21" t="str">
        <f>IF('12 - Device_Configuration'!H95="","",'12 - Device_Configuration'!H95)</f>
        <v>LIJ - Other</v>
      </c>
      <c r="D95" s="21" t="str">
        <f>IF('12 - Device_Configuration'!AE95="","",'12 - Device_Configuration'!AE95)</f>
        <v/>
      </c>
      <c r="E95" s="21" t="str">
        <f>IF('12 - Device_Configuration'!AF95="","",'12 - Device_Configuration'!AF95)</f>
        <v/>
      </c>
      <c r="F95" s="21" t="str">
        <f>IF('12 - Device_Configuration'!AG95="","",'12 - Device_Configuration'!AG95)</f>
        <v/>
      </c>
      <c r="G95" s="21" t="str">
        <f>IF('12 - Device_Configuration'!AH95="","",'12 - Device_Configuration'!AH95)</f>
        <v/>
      </c>
      <c r="H95" s="21" t="str">
        <f>IF('12 - Device_Configuration'!A95="","",'12 - Device_Configuration'!A95)</f>
        <v>Cybernet</v>
      </c>
      <c r="I95" s="21" t="str">
        <f>IF('12 - Device_Configuration'!AI95="","",'12 - Device_Configuration'!AI95)</f>
        <v/>
      </c>
      <c r="J95" s="21" t="str">
        <f>IF('12 - Device_Configuration'!AJ95="","",'12 - Device_Configuration'!AJ95)</f>
        <v/>
      </c>
      <c r="K95" s="21" t="str">
        <f>IF('12 - Device_Configuration'!AA95="","",'12 - Device_Configuration'!AA95)</f>
        <v/>
      </c>
      <c r="L95" s="21" t="str">
        <f>IF('12 - Device_Configuration'!I95="","",'12 - Device_Configuration'!I95)</f>
        <v/>
      </c>
      <c r="M95" s="22"/>
      <c r="N95" s="21" t="str">
        <f>IF('12 - Device_Configuration'!J95="","",'12 - Device_Configuration'!J95)</f>
        <v>Yes</v>
      </c>
      <c r="O95" s="21" t="str">
        <f>IF('12 - Device_Configuration'!K95="","",'12 - Device_Configuration'!K95)</f>
        <v>No</v>
      </c>
      <c r="P95" s="21" t="str">
        <f>IF('12 - Device_Configuration'!L95="","",'12 - Device_Configuration'!L95)</f>
        <v>No</v>
      </c>
      <c r="Q95" s="22"/>
      <c r="R95" s="21" t="str">
        <f>IF('12 - Device_Configuration'!AY95="","",'12 - Device_Configuration'!AY95)</f>
        <v/>
      </c>
      <c r="S95" s="21" t="str">
        <f>IF('12 - Device_Configuration'!AX95="","",'12 - Device_Configuration'!AX95)</f>
        <v/>
      </c>
      <c r="T95" s="21" t="str">
        <f>IF('12 - Device_Configuration'!AV95="","",'12 - Device_Configuration'!AV95)</f>
        <v/>
      </c>
      <c r="U95" s="21" t="str">
        <f>IF('12 - Device_Configuration'!AW95="","",'12 - Device_Configuration'!AW95)</f>
        <v/>
      </c>
      <c r="V95" s="21" t="str">
        <f>IF('12 - Device_Configuration'!BA95="","",'12 - Device_Configuration'!BA95)</f>
        <v/>
      </c>
      <c r="W95" s="21" t="str">
        <f>IF('12 - Device_Configuration'!BC95="","",'12 - Device_Configuration'!BC95)</f>
        <v/>
      </c>
      <c r="X95" s="21" t="str">
        <f>IF('12 - Device_Configuration'!BK95="","",'12 - Device_Configuration'!BK95)</f>
        <v/>
      </c>
      <c r="Y95" s="21" t="str">
        <f>IF('12 - Device_Configuration'!BB95="","",'12 - Device_Configuration'!BB95)</f>
        <v/>
      </c>
      <c r="Z95" s="21" t="str">
        <f>IF('12 - Device_Configuration'!P95="","",'12 - Device_Configuration'!P95)</f>
        <v/>
      </c>
      <c r="AA95" s="21" t="str">
        <f>IF('12 - Device_Configuration'!Q95="","",'12 - Device_Configuration'!Q95)</f>
        <v/>
      </c>
    </row>
    <row r="96" spans="1:27">
      <c r="A96" s="22"/>
      <c r="B96" s="22"/>
      <c r="C96" s="21" t="str">
        <f>IF('12 - Device_Configuration'!H96="","",'12 - Device_Configuration'!H96)</f>
        <v>LIJ - Other</v>
      </c>
      <c r="D96" s="21" t="str">
        <f>IF('12 - Device_Configuration'!AE96="","",'12 - Device_Configuration'!AE96)</f>
        <v/>
      </c>
      <c r="E96" s="21" t="str">
        <f>IF('12 - Device_Configuration'!AF96="","",'12 - Device_Configuration'!AF96)</f>
        <v/>
      </c>
      <c r="F96" s="21" t="str">
        <f>IF('12 - Device_Configuration'!AG96="","",'12 - Device_Configuration'!AG96)</f>
        <v/>
      </c>
      <c r="G96" s="21" t="str">
        <f>IF('12 - Device_Configuration'!AH96="","",'12 - Device_Configuration'!AH96)</f>
        <v/>
      </c>
      <c r="H96" s="21" t="str">
        <f>IF('12 - Device_Configuration'!A96="","",'12 - Device_Configuration'!A96)</f>
        <v>Cybernet</v>
      </c>
      <c r="I96" s="21" t="str">
        <f>IF('12 - Device_Configuration'!AI96="","",'12 - Device_Configuration'!AI96)</f>
        <v/>
      </c>
      <c r="J96" s="21" t="str">
        <f>IF('12 - Device_Configuration'!AJ96="","",'12 - Device_Configuration'!AJ96)</f>
        <v/>
      </c>
      <c r="K96" s="21" t="str">
        <f>IF('12 - Device_Configuration'!AA96="","",'12 - Device_Configuration'!AA96)</f>
        <v/>
      </c>
      <c r="L96" s="21" t="str">
        <f>IF('12 - Device_Configuration'!I96="","",'12 - Device_Configuration'!I96)</f>
        <v/>
      </c>
      <c r="M96" s="22"/>
      <c r="N96" s="21" t="str">
        <f>IF('12 - Device_Configuration'!J96="","",'12 - Device_Configuration'!J96)</f>
        <v>Yes</v>
      </c>
      <c r="O96" s="21" t="str">
        <f>IF('12 - Device_Configuration'!K96="","",'12 - Device_Configuration'!K96)</f>
        <v>No</v>
      </c>
      <c r="P96" s="21" t="str">
        <f>IF('12 - Device_Configuration'!L96="","",'12 - Device_Configuration'!L96)</f>
        <v>No</v>
      </c>
      <c r="Q96" s="22"/>
      <c r="R96" s="21" t="str">
        <f>IF('12 - Device_Configuration'!AY96="","",'12 - Device_Configuration'!AY96)</f>
        <v/>
      </c>
      <c r="S96" s="21" t="str">
        <f>IF('12 - Device_Configuration'!AX96="","",'12 - Device_Configuration'!AX96)</f>
        <v/>
      </c>
      <c r="T96" s="21" t="str">
        <f>IF('12 - Device_Configuration'!AV96="","",'12 - Device_Configuration'!AV96)</f>
        <v/>
      </c>
      <c r="U96" s="21" t="str">
        <f>IF('12 - Device_Configuration'!AW96="","",'12 - Device_Configuration'!AW96)</f>
        <v/>
      </c>
      <c r="V96" s="21" t="str">
        <f>IF('12 - Device_Configuration'!BA96="","",'12 - Device_Configuration'!BA96)</f>
        <v/>
      </c>
      <c r="W96" s="21" t="str">
        <f>IF('12 - Device_Configuration'!BC96="","",'12 - Device_Configuration'!BC96)</f>
        <v/>
      </c>
      <c r="X96" s="21" t="str">
        <f>IF('12 - Device_Configuration'!BK96="","",'12 - Device_Configuration'!BK96)</f>
        <v/>
      </c>
      <c r="Y96" s="21" t="str">
        <f>IF('12 - Device_Configuration'!BB96="","",'12 - Device_Configuration'!BB96)</f>
        <v/>
      </c>
      <c r="Z96" s="21" t="str">
        <f>IF('12 - Device_Configuration'!P96="","",'12 - Device_Configuration'!P96)</f>
        <v/>
      </c>
      <c r="AA96" s="21" t="str">
        <f>IF('12 - Device_Configuration'!Q96="","",'12 - Device_Configuration'!Q96)</f>
        <v/>
      </c>
    </row>
    <row r="97" spans="1:27">
      <c r="A97" s="22"/>
      <c r="B97" s="22"/>
      <c r="C97" s="21" t="str">
        <f>IF('12 - Device_Configuration'!H97="","",'12 - Device_Configuration'!H97)</f>
        <v>LIJ - Other</v>
      </c>
      <c r="D97" s="21" t="str">
        <f>IF('12 - Device_Configuration'!AE97="","",'12 - Device_Configuration'!AE97)</f>
        <v/>
      </c>
      <c r="E97" s="21" t="str">
        <f>IF('12 - Device_Configuration'!AF97="","",'12 - Device_Configuration'!AF97)</f>
        <v/>
      </c>
      <c r="F97" s="21" t="str">
        <f>IF('12 - Device_Configuration'!AG97="","",'12 - Device_Configuration'!AG97)</f>
        <v/>
      </c>
      <c r="G97" s="21" t="str">
        <f>IF('12 - Device_Configuration'!AH97="","",'12 - Device_Configuration'!AH97)</f>
        <v/>
      </c>
      <c r="H97" s="21" t="str">
        <f>IF('12 - Device_Configuration'!A97="","",'12 - Device_Configuration'!A97)</f>
        <v>Cybernet</v>
      </c>
      <c r="I97" s="21" t="str">
        <f>IF('12 - Device_Configuration'!AI97="","",'12 - Device_Configuration'!AI97)</f>
        <v/>
      </c>
      <c r="J97" s="21" t="str">
        <f>IF('12 - Device_Configuration'!AJ97="","",'12 - Device_Configuration'!AJ97)</f>
        <v/>
      </c>
      <c r="K97" s="21" t="str">
        <f>IF('12 - Device_Configuration'!AA97="","",'12 - Device_Configuration'!AA97)</f>
        <v/>
      </c>
      <c r="L97" s="21" t="str">
        <f>IF('12 - Device_Configuration'!I97="","",'12 - Device_Configuration'!I97)</f>
        <v/>
      </c>
      <c r="M97" s="22"/>
      <c r="N97" s="21" t="str">
        <f>IF('12 - Device_Configuration'!J97="","",'12 - Device_Configuration'!J97)</f>
        <v>Yes</v>
      </c>
      <c r="O97" s="21" t="str">
        <f>IF('12 - Device_Configuration'!K97="","",'12 - Device_Configuration'!K97)</f>
        <v>No</v>
      </c>
      <c r="P97" s="21" t="str">
        <f>IF('12 - Device_Configuration'!L97="","",'12 - Device_Configuration'!L97)</f>
        <v>No</v>
      </c>
      <c r="Q97" s="22"/>
      <c r="R97" s="21" t="str">
        <f>IF('12 - Device_Configuration'!AY97="","",'12 - Device_Configuration'!AY97)</f>
        <v/>
      </c>
      <c r="S97" s="21" t="str">
        <f>IF('12 - Device_Configuration'!AX97="","",'12 - Device_Configuration'!AX97)</f>
        <v/>
      </c>
      <c r="T97" s="21" t="str">
        <f>IF('12 - Device_Configuration'!AV97="","",'12 - Device_Configuration'!AV97)</f>
        <v/>
      </c>
      <c r="U97" s="21" t="str">
        <f>IF('12 - Device_Configuration'!AW97="","",'12 - Device_Configuration'!AW97)</f>
        <v/>
      </c>
      <c r="V97" s="21" t="str">
        <f>IF('12 - Device_Configuration'!BA97="","",'12 - Device_Configuration'!BA97)</f>
        <v/>
      </c>
      <c r="W97" s="21" t="str">
        <f>IF('12 - Device_Configuration'!BC97="","",'12 - Device_Configuration'!BC97)</f>
        <v/>
      </c>
      <c r="X97" s="21" t="str">
        <f>IF('12 - Device_Configuration'!BK97="","",'12 - Device_Configuration'!BK97)</f>
        <v/>
      </c>
      <c r="Y97" s="21" t="str">
        <f>IF('12 - Device_Configuration'!BB97="","",'12 - Device_Configuration'!BB97)</f>
        <v/>
      </c>
      <c r="Z97" s="21" t="str">
        <f>IF('12 - Device_Configuration'!P97="","",'12 - Device_Configuration'!P97)</f>
        <v/>
      </c>
      <c r="AA97" s="21" t="str">
        <f>IF('12 - Device_Configuration'!Q97="","",'12 - Device_Configuration'!Q97)</f>
        <v/>
      </c>
    </row>
    <row r="98" spans="1:27">
      <c r="A98" s="22"/>
      <c r="B98" s="22"/>
      <c r="C98" s="21" t="str">
        <f>IF('12 - Device_Configuration'!H98="","",'12 - Device_Configuration'!H98)</f>
        <v>LIJ - Other</v>
      </c>
      <c r="D98" s="21" t="str">
        <f>IF('12 - Device_Configuration'!AE98="","",'12 - Device_Configuration'!AE98)</f>
        <v/>
      </c>
      <c r="E98" s="21" t="str">
        <f>IF('12 - Device_Configuration'!AF98="","",'12 - Device_Configuration'!AF98)</f>
        <v/>
      </c>
      <c r="F98" s="21" t="str">
        <f>IF('12 - Device_Configuration'!AG98="","",'12 - Device_Configuration'!AG98)</f>
        <v/>
      </c>
      <c r="G98" s="21" t="str">
        <f>IF('12 - Device_Configuration'!AH98="","",'12 - Device_Configuration'!AH98)</f>
        <v/>
      </c>
      <c r="H98" s="21" t="str">
        <f>IF('12 - Device_Configuration'!A98="","",'12 - Device_Configuration'!A98)</f>
        <v>Cybernet</v>
      </c>
      <c r="I98" s="21" t="str">
        <f>IF('12 - Device_Configuration'!AI98="","",'12 - Device_Configuration'!AI98)</f>
        <v/>
      </c>
      <c r="J98" s="21" t="str">
        <f>IF('12 - Device_Configuration'!AJ98="","",'12 - Device_Configuration'!AJ98)</f>
        <v/>
      </c>
      <c r="K98" s="21" t="str">
        <f>IF('12 - Device_Configuration'!AA98="","",'12 - Device_Configuration'!AA98)</f>
        <v/>
      </c>
      <c r="L98" s="21" t="str">
        <f>IF('12 - Device_Configuration'!I98="","",'12 - Device_Configuration'!I98)</f>
        <v/>
      </c>
      <c r="M98" s="22"/>
      <c r="N98" s="21" t="str">
        <f>IF('12 - Device_Configuration'!J98="","",'12 - Device_Configuration'!J98)</f>
        <v>Yes</v>
      </c>
      <c r="O98" s="21" t="str">
        <f>IF('12 - Device_Configuration'!K98="","",'12 - Device_Configuration'!K98)</f>
        <v>No</v>
      </c>
      <c r="P98" s="21" t="str">
        <f>IF('12 - Device_Configuration'!L98="","",'12 - Device_Configuration'!L98)</f>
        <v>No</v>
      </c>
      <c r="Q98" s="22"/>
      <c r="R98" s="21" t="str">
        <f>IF('12 - Device_Configuration'!AY98="","",'12 - Device_Configuration'!AY98)</f>
        <v/>
      </c>
      <c r="S98" s="21" t="str">
        <f>IF('12 - Device_Configuration'!AX98="","",'12 - Device_Configuration'!AX98)</f>
        <v/>
      </c>
      <c r="T98" s="21" t="str">
        <f>IF('12 - Device_Configuration'!AV98="","",'12 - Device_Configuration'!AV98)</f>
        <v/>
      </c>
      <c r="U98" s="21" t="str">
        <f>IF('12 - Device_Configuration'!AW98="","",'12 - Device_Configuration'!AW98)</f>
        <v/>
      </c>
      <c r="V98" s="21" t="str">
        <f>IF('12 - Device_Configuration'!BA98="","",'12 - Device_Configuration'!BA98)</f>
        <v/>
      </c>
      <c r="W98" s="21" t="str">
        <f>IF('12 - Device_Configuration'!BC98="","",'12 - Device_Configuration'!BC98)</f>
        <v/>
      </c>
      <c r="X98" s="21" t="str">
        <f>IF('12 - Device_Configuration'!BK98="","",'12 - Device_Configuration'!BK98)</f>
        <v/>
      </c>
      <c r="Y98" s="21" t="str">
        <f>IF('12 - Device_Configuration'!BB98="","",'12 - Device_Configuration'!BB98)</f>
        <v/>
      </c>
      <c r="Z98" s="21" t="str">
        <f>IF('12 - Device_Configuration'!P98="","",'12 - Device_Configuration'!P98)</f>
        <v/>
      </c>
      <c r="AA98" s="21" t="str">
        <f>IF('12 - Device_Configuration'!Q98="","",'12 - Device_Configuration'!Q98)</f>
        <v/>
      </c>
    </row>
    <row r="99" spans="1:27">
      <c r="A99" s="22"/>
      <c r="B99" s="22"/>
      <c r="C99" s="21" t="str">
        <f>IF('12 - Device_Configuration'!H99="","",'12 - Device_Configuration'!H99)</f>
        <v>LIJ - Other</v>
      </c>
      <c r="D99" s="21" t="str">
        <f>IF('12 - Device_Configuration'!AE99="","",'12 - Device_Configuration'!AE99)</f>
        <v/>
      </c>
      <c r="E99" s="21" t="str">
        <f>IF('12 - Device_Configuration'!AF99="","",'12 - Device_Configuration'!AF99)</f>
        <v/>
      </c>
      <c r="F99" s="21" t="str">
        <f>IF('12 - Device_Configuration'!AG99="","",'12 - Device_Configuration'!AG99)</f>
        <v/>
      </c>
      <c r="G99" s="21" t="str">
        <f>IF('12 - Device_Configuration'!AH99="","",'12 - Device_Configuration'!AH99)</f>
        <v/>
      </c>
      <c r="H99" s="21" t="str">
        <f>IF('12 - Device_Configuration'!A99="","",'12 - Device_Configuration'!A99)</f>
        <v>Cybernet</v>
      </c>
      <c r="I99" s="21" t="str">
        <f>IF('12 - Device_Configuration'!AI99="","",'12 - Device_Configuration'!AI99)</f>
        <v/>
      </c>
      <c r="J99" s="21" t="str">
        <f>IF('12 - Device_Configuration'!AJ99="","",'12 - Device_Configuration'!AJ99)</f>
        <v/>
      </c>
      <c r="K99" s="21" t="str">
        <f>IF('12 - Device_Configuration'!AA99="","",'12 - Device_Configuration'!AA99)</f>
        <v/>
      </c>
      <c r="L99" s="21" t="str">
        <f>IF('12 - Device_Configuration'!I99="","",'12 - Device_Configuration'!I99)</f>
        <v/>
      </c>
      <c r="M99" s="22"/>
      <c r="N99" s="21" t="str">
        <f>IF('12 - Device_Configuration'!J99="","",'12 - Device_Configuration'!J99)</f>
        <v>Yes</v>
      </c>
      <c r="O99" s="21" t="str">
        <f>IF('12 - Device_Configuration'!K99="","",'12 - Device_Configuration'!K99)</f>
        <v>No</v>
      </c>
      <c r="P99" s="21" t="str">
        <f>IF('12 - Device_Configuration'!L99="","",'12 - Device_Configuration'!L99)</f>
        <v>No</v>
      </c>
      <c r="Q99" s="22"/>
      <c r="R99" s="21" t="str">
        <f>IF('12 - Device_Configuration'!AY99="","",'12 - Device_Configuration'!AY99)</f>
        <v/>
      </c>
      <c r="S99" s="21" t="str">
        <f>IF('12 - Device_Configuration'!AX99="","",'12 - Device_Configuration'!AX99)</f>
        <v/>
      </c>
      <c r="T99" s="21" t="str">
        <f>IF('12 - Device_Configuration'!AV99="","",'12 - Device_Configuration'!AV99)</f>
        <v/>
      </c>
      <c r="U99" s="21" t="str">
        <f>IF('12 - Device_Configuration'!AW99="","",'12 - Device_Configuration'!AW99)</f>
        <v/>
      </c>
      <c r="V99" s="21" t="str">
        <f>IF('12 - Device_Configuration'!BA99="","",'12 - Device_Configuration'!BA99)</f>
        <v/>
      </c>
      <c r="W99" s="21" t="str">
        <f>IF('12 - Device_Configuration'!BC99="","",'12 - Device_Configuration'!BC99)</f>
        <v/>
      </c>
      <c r="X99" s="21" t="str">
        <f>IF('12 - Device_Configuration'!BK99="","",'12 - Device_Configuration'!BK99)</f>
        <v/>
      </c>
      <c r="Y99" s="21" t="str">
        <f>IF('12 - Device_Configuration'!BB99="","",'12 - Device_Configuration'!BB99)</f>
        <v/>
      </c>
      <c r="Z99" s="21" t="str">
        <f>IF('12 - Device_Configuration'!P99="","",'12 - Device_Configuration'!P99)</f>
        <v/>
      </c>
      <c r="AA99" s="21" t="str">
        <f>IF('12 - Device_Configuration'!Q99="","",'12 - Device_Configuration'!Q99)</f>
        <v/>
      </c>
    </row>
    <row r="100" spans="1:27">
      <c r="A100" s="22"/>
      <c r="B100" s="22"/>
      <c r="C100" s="21" t="str">
        <f>IF('12 - Device_Configuration'!H100="","",'12 - Device_Configuration'!H100)</f>
        <v>LIJ - Other</v>
      </c>
      <c r="D100" s="21" t="str">
        <f>IF('12 - Device_Configuration'!AE100="","",'12 - Device_Configuration'!AE100)</f>
        <v/>
      </c>
      <c r="E100" s="21" t="str">
        <f>IF('12 - Device_Configuration'!AF100="","",'12 - Device_Configuration'!AF100)</f>
        <v/>
      </c>
      <c r="F100" s="21" t="str">
        <f>IF('12 - Device_Configuration'!AG100="","",'12 - Device_Configuration'!AG100)</f>
        <v/>
      </c>
      <c r="G100" s="21" t="str">
        <f>IF('12 - Device_Configuration'!AH100="","",'12 - Device_Configuration'!AH100)</f>
        <v/>
      </c>
      <c r="H100" s="21" t="str">
        <f>IF('12 - Device_Configuration'!A100="","",'12 - Device_Configuration'!A100)</f>
        <v>Cybernet</v>
      </c>
      <c r="I100" s="21" t="str">
        <f>IF('12 - Device_Configuration'!AI100="","",'12 - Device_Configuration'!AI100)</f>
        <v/>
      </c>
      <c r="J100" s="21" t="str">
        <f>IF('12 - Device_Configuration'!AJ100="","",'12 - Device_Configuration'!AJ100)</f>
        <v/>
      </c>
      <c r="K100" s="21" t="str">
        <f>IF('12 - Device_Configuration'!AA100="","",'12 - Device_Configuration'!AA100)</f>
        <v/>
      </c>
      <c r="L100" s="21" t="str">
        <f>IF('12 - Device_Configuration'!I100="","",'12 - Device_Configuration'!I100)</f>
        <v/>
      </c>
      <c r="M100" s="22"/>
      <c r="N100" s="21" t="str">
        <f>IF('12 - Device_Configuration'!J100="","",'12 - Device_Configuration'!J100)</f>
        <v>Yes</v>
      </c>
      <c r="O100" s="21" t="str">
        <f>IF('12 - Device_Configuration'!K100="","",'12 - Device_Configuration'!K100)</f>
        <v>No</v>
      </c>
      <c r="P100" s="21" t="str">
        <f>IF('12 - Device_Configuration'!L100="","",'12 - Device_Configuration'!L100)</f>
        <v>No</v>
      </c>
      <c r="Q100" s="22"/>
      <c r="R100" s="21" t="str">
        <f>IF('12 - Device_Configuration'!AY100="","",'12 - Device_Configuration'!AY100)</f>
        <v/>
      </c>
      <c r="S100" s="21" t="str">
        <f>IF('12 - Device_Configuration'!AX100="","",'12 - Device_Configuration'!AX100)</f>
        <v/>
      </c>
      <c r="T100" s="21" t="str">
        <f>IF('12 - Device_Configuration'!AV100="","",'12 - Device_Configuration'!AV100)</f>
        <v/>
      </c>
      <c r="U100" s="21" t="str">
        <f>IF('12 - Device_Configuration'!AW100="","",'12 - Device_Configuration'!AW100)</f>
        <v/>
      </c>
      <c r="V100" s="21" t="str">
        <f>IF('12 - Device_Configuration'!BA100="","",'12 - Device_Configuration'!BA100)</f>
        <v/>
      </c>
      <c r="W100" s="21" t="str">
        <f>IF('12 - Device_Configuration'!BC100="","",'12 - Device_Configuration'!BC100)</f>
        <v/>
      </c>
      <c r="X100" s="21" t="str">
        <f>IF('12 - Device_Configuration'!BK100="","",'12 - Device_Configuration'!BK100)</f>
        <v/>
      </c>
      <c r="Y100" s="21" t="str">
        <f>IF('12 - Device_Configuration'!BB100="","",'12 - Device_Configuration'!BB100)</f>
        <v/>
      </c>
      <c r="Z100" s="21" t="str">
        <f>IF('12 - Device_Configuration'!P100="","",'12 - Device_Configuration'!P100)</f>
        <v/>
      </c>
      <c r="AA100" s="21" t="str">
        <f>IF('12 - Device_Configuration'!Q100="","",'12 - Device_Configuration'!Q100)</f>
        <v/>
      </c>
    </row>
    <row r="101" spans="1:27">
      <c r="A101" s="22"/>
      <c r="B101" s="22"/>
      <c r="C101" s="21" t="str">
        <f>IF('12 - Device_Configuration'!H101="","",'12 - Device_Configuration'!H101)</f>
        <v>LIJ - Other</v>
      </c>
      <c r="D101" s="21" t="str">
        <f>IF('12 - Device_Configuration'!AE101="","",'12 - Device_Configuration'!AE101)</f>
        <v/>
      </c>
      <c r="E101" s="21" t="str">
        <f>IF('12 - Device_Configuration'!AF101="","",'12 - Device_Configuration'!AF101)</f>
        <v/>
      </c>
      <c r="F101" s="21" t="str">
        <f>IF('12 - Device_Configuration'!AG101="","",'12 - Device_Configuration'!AG101)</f>
        <v/>
      </c>
      <c r="G101" s="21" t="str">
        <f>IF('12 - Device_Configuration'!AH101="","",'12 - Device_Configuration'!AH101)</f>
        <v/>
      </c>
      <c r="H101" s="21" t="str">
        <f>IF('12 - Device_Configuration'!A101="","",'12 - Device_Configuration'!A101)</f>
        <v>Cybernet</v>
      </c>
      <c r="I101" s="21" t="str">
        <f>IF('12 - Device_Configuration'!AI101="","",'12 - Device_Configuration'!AI101)</f>
        <v/>
      </c>
      <c r="J101" s="21" t="str">
        <f>IF('12 - Device_Configuration'!AJ101="","",'12 - Device_Configuration'!AJ101)</f>
        <v/>
      </c>
      <c r="K101" s="21" t="str">
        <f>IF('12 - Device_Configuration'!AA101="","",'12 - Device_Configuration'!AA101)</f>
        <v/>
      </c>
      <c r="L101" s="21" t="str">
        <f>IF('12 - Device_Configuration'!I101="","",'12 - Device_Configuration'!I101)</f>
        <v/>
      </c>
      <c r="M101" s="22"/>
      <c r="N101" s="21" t="str">
        <f>IF('12 - Device_Configuration'!J101="","",'12 - Device_Configuration'!J101)</f>
        <v>Yes</v>
      </c>
      <c r="O101" s="21" t="str">
        <f>IF('12 - Device_Configuration'!K101="","",'12 - Device_Configuration'!K101)</f>
        <v>No</v>
      </c>
      <c r="P101" s="21" t="str">
        <f>IF('12 - Device_Configuration'!L101="","",'12 - Device_Configuration'!L101)</f>
        <v>No</v>
      </c>
      <c r="Q101" s="22"/>
      <c r="R101" s="21" t="str">
        <f>IF('12 - Device_Configuration'!AY101="","",'12 - Device_Configuration'!AY101)</f>
        <v/>
      </c>
      <c r="S101" s="21" t="str">
        <f>IF('12 - Device_Configuration'!AX101="","",'12 - Device_Configuration'!AX101)</f>
        <v/>
      </c>
      <c r="T101" s="21" t="str">
        <f>IF('12 - Device_Configuration'!AV101="","",'12 - Device_Configuration'!AV101)</f>
        <v/>
      </c>
      <c r="U101" s="21" t="str">
        <f>IF('12 - Device_Configuration'!AW101="","",'12 - Device_Configuration'!AW101)</f>
        <v/>
      </c>
      <c r="V101" s="21" t="str">
        <f>IF('12 - Device_Configuration'!BA101="","",'12 - Device_Configuration'!BA101)</f>
        <v/>
      </c>
      <c r="W101" s="21" t="str">
        <f>IF('12 - Device_Configuration'!BC101="","",'12 - Device_Configuration'!BC101)</f>
        <v/>
      </c>
      <c r="X101" s="21" t="str">
        <f>IF('12 - Device_Configuration'!BK101="","",'12 - Device_Configuration'!BK101)</f>
        <v/>
      </c>
      <c r="Y101" s="21" t="str">
        <f>IF('12 - Device_Configuration'!BB101="","",'12 - Device_Configuration'!BB101)</f>
        <v/>
      </c>
      <c r="Z101" s="21" t="str">
        <f>IF('12 - Device_Configuration'!P101="","",'12 - Device_Configuration'!P101)</f>
        <v/>
      </c>
      <c r="AA101" s="21" t="str">
        <f>IF('12 - Device_Configuration'!Q101="","",'12 - Device_Configuration'!Q101)</f>
        <v/>
      </c>
    </row>
    <row r="102" spans="1:27">
      <c r="A102" s="22"/>
      <c r="B102" s="22"/>
      <c r="C102" s="21" t="str">
        <f>IF('12 - Device_Configuration'!H102="","",'12 - Device_Configuration'!H102)</f>
        <v>LIJ - Other</v>
      </c>
      <c r="D102" s="21" t="str">
        <f>IF('12 - Device_Configuration'!AE102="","",'12 - Device_Configuration'!AE102)</f>
        <v/>
      </c>
      <c r="E102" s="21" t="str">
        <f>IF('12 - Device_Configuration'!AF102="","",'12 - Device_Configuration'!AF102)</f>
        <v/>
      </c>
      <c r="F102" s="21" t="str">
        <f>IF('12 - Device_Configuration'!AG102="","",'12 - Device_Configuration'!AG102)</f>
        <v/>
      </c>
      <c r="G102" s="21" t="str">
        <f>IF('12 - Device_Configuration'!AH102="","",'12 - Device_Configuration'!AH102)</f>
        <v/>
      </c>
      <c r="H102" s="21" t="str">
        <f>IF('12 - Device_Configuration'!A102="","",'12 - Device_Configuration'!A102)</f>
        <v>Cybernet</v>
      </c>
      <c r="I102" s="21" t="str">
        <f>IF('12 - Device_Configuration'!AI102="","",'12 - Device_Configuration'!AI102)</f>
        <v/>
      </c>
      <c r="J102" s="21" t="str">
        <f>IF('12 - Device_Configuration'!AJ102="","",'12 - Device_Configuration'!AJ102)</f>
        <v/>
      </c>
      <c r="K102" s="21" t="str">
        <f>IF('12 - Device_Configuration'!AA102="","",'12 - Device_Configuration'!AA102)</f>
        <v/>
      </c>
      <c r="L102" s="21" t="str">
        <f>IF('12 - Device_Configuration'!I102="","",'12 - Device_Configuration'!I102)</f>
        <v/>
      </c>
      <c r="M102" s="22"/>
      <c r="N102" s="21" t="str">
        <f>IF('12 - Device_Configuration'!J102="","",'12 - Device_Configuration'!J102)</f>
        <v>Yes</v>
      </c>
      <c r="O102" s="21" t="str">
        <f>IF('12 - Device_Configuration'!K102="","",'12 - Device_Configuration'!K102)</f>
        <v>No</v>
      </c>
      <c r="P102" s="21" t="str">
        <f>IF('12 - Device_Configuration'!L102="","",'12 - Device_Configuration'!L102)</f>
        <v>No</v>
      </c>
      <c r="Q102" s="22"/>
      <c r="R102" s="21" t="str">
        <f>IF('12 - Device_Configuration'!AY102="","",'12 - Device_Configuration'!AY102)</f>
        <v/>
      </c>
      <c r="S102" s="21" t="str">
        <f>IF('12 - Device_Configuration'!AX102="","",'12 - Device_Configuration'!AX102)</f>
        <v/>
      </c>
      <c r="T102" s="21" t="str">
        <f>IF('12 - Device_Configuration'!AV102="","",'12 - Device_Configuration'!AV102)</f>
        <v/>
      </c>
      <c r="U102" s="21" t="str">
        <f>IF('12 - Device_Configuration'!AW102="","",'12 - Device_Configuration'!AW102)</f>
        <v/>
      </c>
      <c r="V102" s="21" t="str">
        <f>IF('12 - Device_Configuration'!BA102="","",'12 - Device_Configuration'!BA102)</f>
        <v/>
      </c>
      <c r="W102" s="21" t="str">
        <f>IF('12 - Device_Configuration'!BC102="","",'12 - Device_Configuration'!BC102)</f>
        <v/>
      </c>
      <c r="X102" s="21" t="str">
        <f>IF('12 - Device_Configuration'!BK102="","",'12 - Device_Configuration'!BK102)</f>
        <v/>
      </c>
      <c r="Y102" s="21" t="str">
        <f>IF('12 - Device_Configuration'!BB102="","",'12 - Device_Configuration'!BB102)</f>
        <v/>
      </c>
      <c r="Z102" s="21" t="str">
        <f>IF('12 - Device_Configuration'!P102="","",'12 - Device_Configuration'!P102)</f>
        <v/>
      </c>
      <c r="AA102" s="21" t="str">
        <f>IF('12 - Device_Configuration'!Q102="","",'12 - Device_Configuration'!Q102)</f>
        <v/>
      </c>
    </row>
    <row r="103" spans="1:27">
      <c r="A103" s="22"/>
      <c r="B103" s="22"/>
      <c r="C103" s="21" t="str">
        <f>IF('12 - Device_Configuration'!H103="","",'12 - Device_Configuration'!H103)</f>
        <v>LIJ - Other</v>
      </c>
      <c r="D103" s="21" t="str">
        <f>IF('12 - Device_Configuration'!AE103="","",'12 - Device_Configuration'!AE103)</f>
        <v/>
      </c>
      <c r="E103" s="21" t="str">
        <f>IF('12 - Device_Configuration'!AF103="","",'12 - Device_Configuration'!AF103)</f>
        <v/>
      </c>
      <c r="F103" s="21" t="str">
        <f>IF('12 - Device_Configuration'!AG103="","",'12 - Device_Configuration'!AG103)</f>
        <v/>
      </c>
      <c r="G103" s="21" t="str">
        <f>IF('12 - Device_Configuration'!AH103="","",'12 - Device_Configuration'!AH103)</f>
        <v/>
      </c>
      <c r="H103" s="21" t="str">
        <f>IF('12 - Device_Configuration'!A103="","",'12 - Device_Configuration'!A103)</f>
        <v>Cybernet</v>
      </c>
      <c r="I103" s="21" t="str">
        <f>IF('12 - Device_Configuration'!AI103="","",'12 - Device_Configuration'!AI103)</f>
        <v/>
      </c>
      <c r="J103" s="21" t="str">
        <f>IF('12 - Device_Configuration'!AJ103="","",'12 - Device_Configuration'!AJ103)</f>
        <v/>
      </c>
      <c r="K103" s="21" t="str">
        <f>IF('12 - Device_Configuration'!AA103="","",'12 - Device_Configuration'!AA103)</f>
        <v/>
      </c>
      <c r="L103" s="21" t="str">
        <f>IF('12 - Device_Configuration'!I103="","",'12 - Device_Configuration'!I103)</f>
        <v/>
      </c>
      <c r="M103" s="22"/>
      <c r="N103" s="21" t="str">
        <f>IF('12 - Device_Configuration'!J103="","",'12 - Device_Configuration'!J103)</f>
        <v>Yes</v>
      </c>
      <c r="O103" s="21" t="str">
        <f>IF('12 - Device_Configuration'!K103="","",'12 - Device_Configuration'!K103)</f>
        <v>No</v>
      </c>
      <c r="P103" s="21" t="str">
        <f>IF('12 - Device_Configuration'!L103="","",'12 - Device_Configuration'!L103)</f>
        <v>No</v>
      </c>
      <c r="Q103" s="22"/>
      <c r="R103" s="21" t="str">
        <f>IF('12 - Device_Configuration'!AY103="","",'12 - Device_Configuration'!AY103)</f>
        <v/>
      </c>
      <c r="S103" s="21" t="str">
        <f>IF('12 - Device_Configuration'!AX103="","",'12 - Device_Configuration'!AX103)</f>
        <v/>
      </c>
      <c r="T103" s="21" t="str">
        <f>IF('12 - Device_Configuration'!AV103="","",'12 - Device_Configuration'!AV103)</f>
        <v/>
      </c>
      <c r="U103" s="21" t="str">
        <f>IF('12 - Device_Configuration'!AW103="","",'12 - Device_Configuration'!AW103)</f>
        <v/>
      </c>
      <c r="V103" s="21" t="str">
        <f>IF('12 - Device_Configuration'!BA103="","",'12 - Device_Configuration'!BA103)</f>
        <v/>
      </c>
      <c r="W103" s="21" t="str">
        <f>IF('12 - Device_Configuration'!BC103="","",'12 - Device_Configuration'!BC103)</f>
        <v/>
      </c>
      <c r="X103" s="21" t="str">
        <f>IF('12 - Device_Configuration'!BK103="","",'12 - Device_Configuration'!BK103)</f>
        <v/>
      </c>
      <c r="Y103" s="21" t="str">
        <f>IF('12 - Device_Configuration'!BB103="","",'12 - Device_Configuration'!BB103)</f>
        <v/>
      </c>
      <c r="Z103" s="21" t="str">
        <f>IF('12 - Device_Configuration'!P103="","",'12 - Device_Configuration'!P103)</f>
        <v/>
      </c>
      <c r="AA103" s="21" t="str">
        <f>IF('12 - Device_Configuration'!Q103="","",'12 - Device_Configuration'!Q103)</f>
        <v/>
      </c>
    </row>
    <row r="104" spans="1:27">
      <c r="A104" s="22"/>
      <c r="B104" s="22"/>
      <c r="C104" s="21" t="str">
        <f>IF('12 - Device_Configuration'!H104="","",'12 - Device_Configuration'!H104)</f>
        <v>LIJ - Other</v>
      </c>
      <c r="D104" s="21" t="str">
        <f>IF('12 - Device_Configuration'!AE104="","",'12 - Device_Configuration'!AE104)</f>
        <v/>
      </c>
      <c r="E104" s="21" t="str">
        <f>IF('12 - Device_Configuration'!AF104="","",'12 - Device_Configuration'!AF104)</f>
        <v/>
      </c>
      <c r="F104" s="21" t="str">
        <f>IF('12 - Device_Configuration'!AG104="","",'12 - Device_Configuration'!AG104)</f>
        <v/>
      </c>
      <c r="G104" s="21" t="str">
        <f>IF('12 - Device_Configuration'!AH104="","",'12 - Device_Configuration'!AH104)</f>
        <v/>
      </c>
      <c r="H104" s="21" t="str">
        <f>IF('12 - Device_Configuration'!A104="","",'12 - Device_Configuration'!A104)</f>
        <v>Cybernet</v>
      </c>
      <c r="I104" s="21" t="str">
        <f>IF('12 - Device_Configuration'!AI104="","",'12 - Device_Configuration'!AI104)</f>
        <v/>
      </c>
      <c r="J104" s="21" t="str">
        <f>IF('12 - Device_Configuration'!AJ104="","",'12 - Device_Configuration'!AJ104)</f>
        <v/>
      </c>
      <c r="K104" s="21" t="str">
        <f>IF('12 - Device_Configuration'!AA104="","",'12 - Device_Configuration'!AA104)</f>
        <v/>
      </c>
      <c r="L104" s="21" t="str">
        <f>IF('12 - Device_Configuration'!I104="","",'12 - Device_Configuration'!I104)</f>
        <v/>
      </c>
      <c r="M104" s="22"/>
      <c r="N104" s="21" t="str">
        <f>IF('12 - Device_Configuration'!J104="","",'12 - Device_Configuration'!J104)</f>
        <v>Yes</v>
      </c>
      <c r="O104" s="21" t="str">
        <f>IF('12 - Device_Configuration'!K104="","",'12 - Device_Configuration'!K104)</f>
        <v>No</v>
      </c>
      <c r="P104" s="21" t="str">
        <f>IF('12 - Device_Configuration'!L104="","",'12 - Device_Configuration'!L104)</f>
        <v>No</v>
      </c>
      <c r="Q104" s="22"/>
      <c r="R104" s="21" t="str">
        <f>IF('12 - Device_Configuration'!AY104="","",'12 - Device_Configuration'!AY104)</f>
        <v/>
      </c>
      <c r="S104" s="21" t="str">
        <f>IF('12 - Device_Configuration'!AX104="","",'12 - Device_Configuration'!AX104)</f>
        <v/>
      </c>
      <c r="T104" s="21" t="str">
        <f>IF('12 - Device_Configuration'!AV104="","",'12 - Device_Configuration'!AV104)</f>
        <v/>
      </c>
      <c r="U104" s="21" t="str">
        <f>IF('12 - Device_Configuration'!AW104="","",'12 - Device_Configuration'!AW104)</f>
        <v/>
      </c>
      <c r="V104" s="21" t="str">
        <f>IF('12 - Device_Configuration'!BA104="","",'12 - Device_Configuration'!BA104)</f>
        <v/>
      </c>
      <c r="W104" s="21" t="str">
        <f>IF('12 - Device_Configuration'!BC104="","",'12 - Device_Configuration'!BC104)</f>
        <v/>
      </c>
      <c r="X104" s="21" t="str">
        <f>IF('12 - Device_Configuration'!BK104="","",'12 - Device_Configuration'!BK104)</f>
        <v/>
      </c>
      <c r="Y104" s="21" t="str">
        <f>IF('12 - Device_Configuration'!BB104="","",'12 - Device_Configuration'!BB104)</f>
        <v/>
      </c>
      <c r="Z104" s="21" t="str">
        <f>IF('12 - Device_Configuration'!P104="","",'12 - Device_Configuration'!P104)</f>
        <v/>
      </c>
      <c r="AA104" s="21" t="str">
        <f>IF('12 - Device_Configuration'!Q104="","",'12 - Device_Configuration'!Q104)</f>
        <v/>
      </c>
    </row>
    <row r="105" spans="1:27">
      <c r="A105" s="22"/>
      <c r="B105" s="22"/>
      <c r="C105" s="21" t="str">
        <f>IF('12 - Device_Configuration'!H105="","",'12 - Device_Configuration'!H105)</f>
        <v>LIJ - Other</v>
      </c>
      <c r="D105" s="21" t="str">
        <f>IF('12 - Device_Configuration'!AE105="","",'12 - Device_Configuration'!AE105)</f>
        <v/>
      </c>
      <c r="E105" s="21" t="str">
        <f>IF('12 - Device_Configuration'!AF105="","",'12 - Device_Configuration'!AF105)</f>
        <v/>
      </c>
      <c r="F105" s="21" t="str">
        <f>IF('12 - Device_Configuration'!AG105="","",'12 - Device_Configuration'!AG105)</f>
        <v/>
      </c>
      <c r="G105" s="21" t="str">
        <f>IF('12 - Device_Configuration'!AH105="","",'12 - Device_Configuration'!AH105)</f>
        <v/>
      </c>
      <c r="H105" s="21" t="str">
        <f>IF('12 - Device_Configuration'!A105="","",'12 - Device_Configuration'!A105)</f>
        <v>Cybernet</v>
      </c>
      <c r="I105" s="21" t="str">
        <f>IF('12 - Device_Configuration'!AI105="","",'12 - Device_Configuration'!AI105)</f>
        <v/>
      </c>
      <c r="J105" s="21" t="str">
        <f>IF('12 - Device_Configuration'!AJ105="","",'12 - Device_Configuration'!AJ105)</f>
        <v/>
      </c>
      <c r="K105" s="21" t="str">
        <f>IF('12 - Device_Configuration'!AA105="","",'12 - Device_Configuration'!AA105)</f>
        <v/>
      </c>
      <c r="L105" s="21" t="str">
        <f>IF('12 - Device_Configuration'!I105="","",'12 - Device_Configuration'!I105)</f>
        <v/>
      </c>
      <c r="M105" s="22"/>
      <c r="N105" s="21" t="str">
        <f>IF('12 - Device_Configuration'!J105="","",'12 - Device_Configuration'!J105)</f>
        <v>Yes</v>
      </c>
      <c r="O105" s="21" t="str">
        <f>IF('12 - Device_Configuration'!K105="","",'12 - Device_Configuration'!K105)</f>
        <v>No</v>
      </c>
      <c r="P105" s="21" t="str">
        <f>IF('12 - Device_Configuration'!L105="","",'12 - Device_Configuration'!L105)</f>
        <v>No</v>
      </c>
      <c r="Q105" s="22"/>
      <c r="R105" s="21" t="str">
        <f>IF('12 - Device_Configuration'!AY105="","",'12 - Device_Configuration'!AY105)</f>
        <v/>
      </c>
      <c r="S105" s="21" t="str">
        <f>IF('12 - Device_Configuration'!AX105="","",'12 - Device_Configuration'!AX105)</f>
        <v/>
      </c>
      <c r="T105" s="21" t="str">
        <f>IF('12 - Device_Configuration'!AV105="","",'12 - Device_Configuration'!AV105)</f>
        <v/>
      </c>
      <c r="U105" s="21" t="str">
        <f>IF('12 - Device_Configuration'!AW105="","",'12 - Device_Configuration'!AW105)</f>
        <v/>
      </c>
      <c r="V105" s="21" t="str">
        <f>IF('12 - Device_Configuration'!BA105="","",'12 - Device_Configuration'!BA105)</f>
        <v/>
      </c>
      <c r="W105" s="21" t="str">
        <f>IF('12 - Device_Configuration'!BC105="","",'12 - Device_Configuration'!BC105)</f>
        <v/>
      </c>
      <c r="X105" s="21" t="str">
        <f>IF('12 - Device_Configuration'!BK105="","",'12 - Device_Configuration'!BK105)</f>
        <v/>
      </c>
      <c r="Y105" s="21" t="str">
        <f>IF('12 - Device_Configuration'!BB105="","",'12 - Device_Configuration'!BB105)</f>
        <v/>
      </c>
      <c r="Z105" s="21" t="str">
        <f>IF('12 - Device_Configuration'!P105="","",'12 - Device_Configuration'!P105)</f>
        <v/>
      </c>
      <c r="AA105" s="21" t="str">
        <f>IF('12 - Device_Configuration'!Q105="","",'12 - Device_Configuration'!Q105)</f>
        <v/>
      </c>
    </row>
    <row r="106" spans="1:27">
      <c r="A106" s="22"/>
      <c r="B106" s="22"/>
      <c r="C106" s="21" t="str">
        <f>IF('12 - Device_Configuration'!H106="","",'12 - Device_Configuration'!H106)</f>
        <v>LIJ - Other</v>
      </c>
      <c r="D106" s="21" t="str">
        <f>IF('12 - Device_Configuration'!AE106="","",'12 - Device_Configuration'!AE106)</f>
        <v/>
      </c>
      <c r="E106" s="21" t="str">
        <f>IF('12 - Device_Configuration'!AF106="","",'12 - Device_Configuration'!AF106)</f>
        <v/>
      </c>
      <c r="F106" s="21" t="str">
        <f>IF('12 - Device_Configuration'!AG106="","",'12 - Device_Configuration'!AG106)</f>
        <v/>
      </c>
      <c r="G106" s="21" t="str">
        <f>IF('12 - Device_Configuration'!AH106="","",'12 - Device_Configuration'!AH106)</f>
        <v/>
      </c>
      <c r="H106" s="21" t="str">
        <f>IF('12 - Device_Configuration'!A106="","",'12 - Device_Configuration'!A106)</f>
        <v>Cybernet</v>
      </c>
      <c r="I106" s="21" t="str">
        <f>IF('12 - Device_Configuration'!AI106="","",'12 - Device_Configuration'!AI106)</f>
        <v/>
      </c>
      <c r="J106" s="21" t="str">
        <f>IF('12 - Device_Configuration'!AJ106="","",'12 - Device_Configuration'!AJ106)</f>
        <v/>
      </c>
      <c r="K106" s="21" t="str">
        <f>IF('12 - Device_Configuration'!AA106="","",'12 - Device_Configuration'!AA106)</f>
        <v/>
      </c>
      <c r="L106" s="21" t="str">
        <f>IF('12 - Device_Configuration'!I106="","",'12 - Device_Configuration'!I106)</f>
        <v/>
      </c>
      <c r="M106" s="22"/>
      <c r="N106" s="21" t="str">
        <f>IF('12 - Device_Configuration'!J106="","",'12 - Device_Configuration'!J106)</f>
        <v>Yes</v>
      </c>
      <c r="O106" s="21" t="str">
        <f>IF('12 - Device_Configuration'!K106="","",'12 - Device_Configuration'!K106)</f>
        <v>No</v>
      </c>
      <c r="P106" s="21" t="str">
        <f>IF('12 - Device_Configuration'!L106="","",'12 - Device_Configuration'!L106)</f>
        <v>No</v>
      </c>
      <c r="Q106" s="22"/>
      <c r="R106" s="21" t="str">
        <f>IF('12 - Device_Configuration'!AY106="","",'12 - Device_Configuration'!AY106)</f>
        <v/>
      </c>
      <c r="S106" s="21" t="str">
        <f>IF('12 - Device_Configuration'!AX106="","",'12 - Device_Configuration'!AX106)</f>
        <v/>
      </c>
      <c r="T106" s="21" t="str">
        <f>IF('12 - Device_Configuration'!AV106="","",'12 - Device_Configuration'!AV106)</f>
        <v/>
      </c>
      <c r="U106" s="21" t="str">
        <f>IF('12 - Device_Configuration'!AW106="","",'12 - Device_Configuration'!AW106)</f>
        <v/>
      </c>
      <c r="V106" s="21" t="str">
        <f>IF('12 - Device_Configuration'!BA106="","",'12 - Device_Configuration'!BA106)</f>
        <v/>
      </c>
      <c r="W106" s="21" t="str">
        <f>IF('12 - Device_Configuration'!BC106="","",'12 - Device_Configuration'!BC106)</f>
        <v/>
      </c>
      <c r="X106" s="21" t="str">
        <f>IF('12 - Device_Configuration'!BK106="","",'12 - Device_Configuration'!BK106)</f>
        <v/>
      </c>
      <c r="Y106" s="21" t="str">
        <f>IF('12 - Device_Configuration'!BB106="","",'12 - Device_Configuration'!BB106)</f>
        <v/>
      </c>
      <c r="Z106" s="21" t="str">
        <f>IF('12 - Device_Configuration'!P106="","",'12 - Device_Configuration'!P106)</f>
        <v/>
      </c>
      <c r="AA106" s="21" t="str">
        <f>IF('12 - Device_Configuration'!Q106="","",'12 - Device_Configuration'!Q106)</f>
        <v/>
      </c>
    </row>
    <row r="107" spans="1:27">
      <c r="A107" s="22"/>
      <c r="B107" s="22"/>
      <c r="C107" s="21" t="str">
        <f>IF('12 - Device_Configuration'!H107="","",'12 - Device_Configuration'!H107)</f>
        <v>LIJ - Other</v>
      </c>
      <c r="D107" s="21" t="str">
        <f>IF('12 - Device_Configuration'!AE107="","",'12 - Device_Configuration'!AE107)</f>
        <v/>
      </c>
      <c r="E107" s="21" t="str">
        <f>IF('12 - Device_Configuration'!AF107="","",'12 - Device_Configuration'!AF107)</f>
        <v/>
      </c>
      <c r="F107" s="21" t="str">
        <f>IF('12 - Device_Configuration'!AG107="","",'12 - Device_Configuration'!AG107)</f>
        <v/>
      </c>
      <c r="G107" s="21" t="str">
        <f>IF('12 - Device_Configuration'!AH107="","",'12 - Device_Configuration'!AH107)</f>
        <v/>
      </c>
      <c r="H107" s="21" t="str">
        <f>IF('12 - Device_Configuration'!A107="","",'12 - Device_Configuration'!A107)</f>
        <v>Cybernet</v>
      </c>
      <c r="I107" s="21" t="str">
        <f>IF('12 - Device_Configuration'!AI107="","",'12 - Device_Configuration'!AI107)</f>
        <v/>
      </c>
      <c r="J107" s="21" t="str">
        <f>IF('12 - Device_Configuration'!AJ107="","",'12 - Device_Configuration'!AJ107)</f>
        <v/>
      </c>
      <c r="K107" s="21" t="str">
        <f>IF('12 - Device_Configuration'!AA107="","",'12 - Device_Configuration'!AA107)</f>
        <v/>
      </c>
      <c r="L107" s="21" t="str">
        <f>IF('12 - Device_Configuration'!I107="","",'12 - Device_Configuration'!I107)</f>
        <v/>
      </c>
      <c r="M107" s="22"/>
      <c r="N107" s="21" t="str">
        <f>IF('12 - Device_Configuration'!J107="","",'12 - Device_Configuration'!J107)</f>
        <v>Yes</v>
      </c>
      <c r="O107" s="21" t="str">
        <f>IF('12 - Device_Configuration'!K107="","",'12 - Device_Configuration'!K107)</f>
        <v>No</v>
      </c>
      <c r="P107" s="21" t="str">
        <f>IF('12 - Device_Configuration'!L107="","",'12 - Device_Configuration'!L107)</f>
        <v>No</v>
      </c>
      <c r="Q107" s="22"/>
      <c r="R107" s="21" t="str">
        <f>IF('12 - Device_Configuration'!AY107="","",'12 - Device_Configuration'!AY107)</f>
        <v/>
      </c>
      <c r="S107" s="21" t="str">
        <f>IF('12 - Device_Configuration'!AX107="","",'12 - Device_Configuration'!AX107)</f>
        <v/>
      </c>
      <c r="T107" s="21" t="str">
        <f>IF('12 - Device_Configuration'!AV107="","",'12 - Device_Configuration'!AV107)</f>
        <v/>
      </c>
      <c r="U107" s="21" t="str">
        <f>IF('12 - Device_Configuration'!AW107="","",'12 - Device_Configuration'!AW107)</f>
        <v/>
      </c>
      <c r="V107" s="21" t="str">
        <f>IF('12 - Device_Configuration'!BA107="","",'12 - Device_Configuration'!BA107)</f>
        <v/>
      </c>
      <c r="W107" s="21" t="str">
        <f>IF('12 - Device_Configuration'!BC107="","",'12 - Device_Configuration'!BC107)</f>
        <v/>
      </c>
      <c r="X107" s="21" t="str">
        <f>IF('12 - Device_Configuration'!BK107="","",'12 - Device_Configuration'!BK107)</f>
        <v/>
      </c>
      <c r="Y107" s="21" t="str">
        <f>IF('12 - Device_Configuration'!BB107="","",'12 - Device_Configuration'!BB107)</f>
        <v/>
      </c>
      <c r="Z107" s="21" t="str">
        <f>IF('12 - Device_Configuration'!P107="","",'12 - Device_Configuration'!P107)</f>
        <v/>
      </c>
      <c r="AA107" s="21" t="str">
        <f>IF('12 - Device_Configuration'!Q107="","",'12 - Device_Configuration'!Q107)</f>
        <v/>
      </c>
    </row>
    <row r="108" spans="1:27">
      <c r="A108" s="22"/>
      <c r="B108" s="22"/>
      <c r="C108" s="21" t="str">
        <f>IF('12 - Device_Configuration'!H108="","",'12 - Device_Configuration'!H108)</f>
        <v>LIJ - Other</v>
      </c>
      <c r="D108" s="21" t="str">
        <f>IF('12 - Device_Configuration'!AE108="","",'12 - Device_Configuration'!AE108)</f>
        <v/>
      </c>
      <c r="E108" s="21" t="str">
        <f>IF('12 - Device_Configuration'!AF108="","",'12 - Device_Configuration'!AF108)</f>
        <v/>
      </c>
      <c r="F108" s="21" t="str">
        <f>IF('12 - Device_Configuration'!AG108="","",'12 - Device_Configuration'!AG108)</f>
        <v/>
      </c>
      <c r="G108" s="21" t="str">
        <f>IF('12 - Device_Configuration'!AH108="","",'12 - Device_Configuration'!AH108)</f>
        <v/>
      </c>
      <c r="H108" s="21" t="str">
        <f>IF('12 - Device_Configuration'!A108="","",'12 - Device_Configuration'!A108)</f>
        <v>Cybernet</v>
      </c>
      <c r="I108" s="21" t="str">
        <f>IF('12 - Device_Configuration'!AI108="","",'12 - Device_Configuration'!AI108)</f>
        <v/>
      </c>
      <c r="J108" s="21" t="str">
        <f>IF('12 - Device_Configuration'!AJ108="","",'12 - Device_Configuration'!AJ108)</f>
        <v/>
      </c>
      <c r="K108" s="21" t="str">
        <f>IF('12 - Device_Configuration'!AA108="","",'12 - Device_Configuration'!AA108)</f>
        <v/>
      </c>
      <c r="L108" s="21" t="str">
        <f>IF('12 - Device_Configuration'!I108="","",'12 - Device_Configuration'!I108)</f>
        <v/>
      </c>
      <c r="M108" s="22"/>
      <c r="N108" s="21" t="str">
        <f>IF('12 - Device_Configuration'!J108="","",'12 - Device_Configuration'!J108)</f>
        <v>Yes</v>
      </c>
      <c r="O108" s="21" t="str">
        <f>IF('12 - Device_Configuration'!K108="","",'12 - Device_Configuration'!K108)</f>
        <v>No</v>
      </c>
      <c r="P108" s="21" t="str">
        <f>IF('12 - Device_Configuration'!L108="","",'12 - Device_Configuration'!L108)</f>
        <v>No</v>
      </c>
      <c r="Q108" s="22"/>
      <c r="R108" s="21" t="str">
        <f>IF('12 - Device_Configuration'!AY108="","",'12 - Device_Configuration'!AY108)</f>
        <v/>
      </c>
      <c r="S108" s="21" t="str">
        <f>IF('12 - Device_Configuration'!AX108="","",'12 - Device_Configuration'!AX108)</f>
        <v/>
      </c>
      <c r="T108" s="21" t="str">
        <f>IF('12 - Device_Configuration'!AV108="","",'12 - Device_Configuration'!AV108)</f>
        <v/>
      </c>
      <c r="U108" s="21" t="str">
        <f>IF('12 - Device_Configuration'!AW108="","",'12 - Device_Configuration'!AW108)</f>
        <v/>
      </c>
      <c r="V108" s="21" t="str">
        <f>IF('12 - Device_Configuration'!BA108="","",'12 - Device_Configuration'!BA108)</f>
        <v/>
      </c>
      <c r="W108" s="21" t="str">
        <f>IF('12 - Device_Configuration'!BC108="","",'12 - Device_Configuration'!BC108)</f>
        <v/>
      </c>
      <c r="X108" s="21" t="str">
        <f>IF('12 - Device_Configuration'!BK108="","",'12 - Device_Configuration'!BK108)</f>
        <v/>
      </c>
      <c r="Y108" s="21" t="str">
        <f>IF('12 - Device_Configuration'!BB108="","",'12 - Device_Configuration'!BB108)</f>
        <v/>
      </c>
      <c r="Z108" s="21" t="str">
        <f>IF('12 - Device_Configuration'!P108="","",'12 - Device_Configuration'!P108)</f>
        <v/>
      </c>
      <c r="AA108" s="21" t="str">
        <f>IF('12 - Device_Configuration'!Q108="","",'12 - Device_Configuration'!Q108)</f>
        <v/>
      </c>
    </row>
    <row r="109" spans="1:27">
      <c r="A109" s="22"/>
      <c r="B109" s="22"/>
      <c r="C109" s="21" t="str">
        <f>IF('12 - Device_Configuration'!H109="","",'12 - Device_Configuration'!H109)</f>
        <v>LIJ - Other</v>
      </c>
      <c r="D109" s="21" t="str">
        <f>IF('12 - Device_Configuration'!AE109="","",'12 - Device_Configuration'!AE109)</f>
        <v/>
      </c>
      <c r="E109" s="21" t="str">
        <f>IF('12 - Device_Configuration'!AF109="","",'12 - Device_Configuration'!AF109)</f>
        <v/>
      </c>
      <c r="F109" s="21" t="str">
        <f>IF('12 - Device_Configuration'!AG109="","",'12 - Device_Configuration'!AG109)</f>
        <v/>
      </c>
      <c r="G109" s="21" t="str">
        <f>IF('12 - Device_Configuration'!AH109="","",'12 - Device_Configuration'!AH109)</f>
        <v/>
      </c>
      <c r="H109" s="21" t="str">
        <f>IF('12 - Device_Configuration'!A109="","",'12 - Device_Configuration'!A109)</f>
        <v>Cybernet</v>
      </c>
      <c r="I109" s="21" t="str">
        <f>IF('12 - Device_Configuration'!AI109="","",'12 - Device_Configuration'!AI109)</f>
        <v/>
      </c>
      <c r="J109" s="21" t="str">
        <f>IF('12 - Device_Configuration'!AJ109="","",'12 - Device_Configuration'!AJ109)</f>
        <v/>
      </c>
      <c r="K109" s="21" t="str">
        <f>IF('12 - Device_Configuration'!AA109="","",'12 - Device_Configuration'!AA109)</f>
        <v/>
      </c>
      <c r="L109" s="21" t="str">
        <f>IF('12 - Device_Configuration'!I109="","",'12 - Device_Configuration'!I109)</f>
        <v/>
      </c>
      <c r="M109" s="22"/>
      <c r="N109" s="21" t="str">
        <f>IF('12 - Device_Configuration'!J109="","",'12 - Device_Configuration'!J109)</f>
        <v>Yes</v>
      </c>
      <c r="O109" s="21" t="str">
        <f>IF('12 - Device_Configuration'!K109="","",'12 - Device_Configuration'!K109)</f>
        <v>No</v>
      </c>
      <c r="P109" s="21" t="str">
        <f>IF('12 - Device_Configuration'!L109="","",'12 - Device_Configuration'!L109)</f>
        <v>No</v>
      </c>
      <c r="Q109" s="22"/>
      <c r="R109" s="21" t="str">
        <f>IF('12 - Device_Configuration'!AY109="","",'12 - Device_Configuration'!AY109)</f>
        <v/>
      </c>
      <c r="S109" s="21" t="str">
        <f>IF('12 - Device_Configuration'!AX109="","",'12 - Device_Configuration'!AX109)</f>
        <v/>
      </c>
      <c r="T109" s="21" t="str">
        <f>IF('12 - Device_Configuration'!AV109="","",'12 - Device_Configuration'!AV109)</f>
        <v/>
      </c>
      <c r="U109" s="21" t="str">
        <f>IF('12 - Device_Configuration'!AW109="","",'12 - Device_Configuration'!AW109)</f>
        <v/>
      </c>
      <c r="V109" s="21" t="str">
        <f>IF('12 - Device_Configuration'!BA109="","",'12 - Device_Configuration'!BA109)</f>
        <v/>
      </c>
      <c r="W109" s="21" t="str">
        <f>IF('12 - Device_Configuration'!BC109="","",'12 - Device_Configuration'!BC109)</f>
        <v/>
      </c>
      <c r="X109" s="21" t="str">
        <f>IF('12 - Device_Configuration'!BK109="","",'12 - Device_Configuration'!BK109)</f>
        <v/>
      </c>
      <c r="Y109" s="21" t="str">
        <f>IF('12 - Device_Configuration'!BB109="","",'12 - Device_Configuration'!BB109)</f>
        <v/>
      </c>
      <c r="Z109" s="21" t="str">
        <f>IF('12 - Device_Configuration'!P109="","",'12 - Device_Configuration'!P109)</f>
        <v/>
      </c>
      <c r="AA109" s="21" t="str">
        <f>IF('12 - Device_Configuration'!Q109="","",'12 - Device_Configuration'!Q109)</f>
        <v/>
      </c>
    </row>
    <row r="110" spans="1:27">
      <c r="A110" s="22"/>
      <c r="B110" s="22"/>
      <c r="C110" s="21" t="str">
        <f>IF('12 - Device_Configuration'!H110="","",'12 - Device_Configuration'!H110)</f>
        <v>LIJ - OR</v>
      </c>
      <c r="D110" s="21" t="str">
        <f>IF('12 - Device_Configuration'!AE110="","",'12 - Device_Configuration'!AE110)</f>
        <v/>
      </c>
      <c r="E110" s="21" t="str">
        <f>IF('12 - Device_Configuration'!AF110="","",'12 - Device_Configuration'!AF110)</f>
        <v/>
      </c>
      <c r="F110" s="21" t="str">
        <f>IF('12 - Device_Configuration'!AG110="","",'12 - Device_Configuration'!AG110)</f>
        <v/>
      </c>
      <c r="G110" s="21" t="str">
        <f>IF('12 - Device_Configuration'!AH110="","",'12 - Device_Configuration'!AH110)</f>
        <v/>
      </c>
      <c r="H110" s="21" t="str">
        <f>IF('12 - Device_Configuration'!A110="","",'12 - Device_Configuration'!A110)</f>
        <v>Cybernet</v>
      </c>
      <c r="I110" s="21" t="str">
        <f>IF('12 - Device_Configuration'!AI110="","",'12 - Device_Configuration'!AI110)</f>
        <v/>
      </c>
      <c r="J110" s="21" t="str">
        <f>IF('12 - Device_Configuration'!AJ110="","",'12 - Device_Configuration'!AJ110)</f>
        <v/>
      </c>
      <c r="K110" s="21" t="str">
        <f>IF('12 - Device_Configuration'!AA110="","",'12 - Device_Configuration'!AA110)</f>
        <v/>
      </c>
      <c r="L110" s="21" t="str">
        <f>IF('12 - Device_Configuration'!I110="","",'12 - Device_Configuration'!I110)</f>
        <v/>
      </c>
      <c r="M110" s="22"/>
      <c r="N110" s="21" t="str">
        <f>IF('12 - Device_Configuration'!J110="","",'12 - Device_Configuration'!J110)</f>
        <v>Yes</v>
      </c>
      <c r="O110" s="21" t="str">
        <f>IF('12 - Device_Configuration'!K110="","",'12 - Device_Configuration'!K110)</f>
        <v>No</v>
      </c>
      <c r="P110" s="21" t="str">
        <f>IF('12 - Device_Configuration'!L110="","",'12 - Device_Configuration'!L110)</f>
        <v>No</v>
      </c>
      <c r="Q110" s="22"/>
      <c r="R110" s="21" t="str">
        <f>IF('12 - Device_Configuration'!AY110="","",'12 - Device_Configuration'!AY110)</f>
        <v/>
      </c>
      <c r="S110" s="21" t="str">
        <f>IF('12 - Device_Configuration'!AX110="","",'12 - Device_Configuration'!AX110)</f>
        <v/>
      </c>
      <c r="T110" s="21" t="str">
        <f>IF('12 - Device_Configuration'!AV110="","",'12 - Device_Configuration'!AV110)</f>
        <v/>
      </c>
      <c r="U110" s="21" t="str">
        <f>IF('12 - Device_Configuration'!AW110="","",'12 - Device_Configuration'!AW110)</f>
        <v/>
      </c>
      <c r="V110" s="21" t="str">
        <f>IF('12 - Device_Configuration'!BA110="","",'12 - Device_Configuration'!BA110)</f>
        <v/>
      </c>
      <c r="W110" s="21" t="str">
        <f>IF('12 - Device_Configuration'!BC110="","",'12 - Device_Configuration'!BC110)</f>
        <v/>
      </c>
      <c r="X110" s="21" t="str">
        <f>IF('12 - Device_Configuration'!BK110="","",'12 - Device_Configuration'!BK110)</f>
        <v/>
      </c>
      <c r="Y110" s="21" t="str">
        <f>IF('12 - Device_Configuration'!BB110="","",'12 - Device_Configuration'!BB110)</f>
        <v/>
      </c>
      <c r="Z110" s="21" t="str">
        <f>IF('12 - Device_Configuration'!P110="","",'12 - Device_Configuration'!P110)</f>
        <v/>
      </c>
      <c r="AA110" s="21" t="str">
        <f>IF('12 - Device_Configuration'!Q110="","",'12 - Device_Configuration'!Q110)</f>
        <v/>
      </c>
    </row>
    <row r="111" spans="1:27">
      <c r="A111" s="22"/>
      <c r="B111" s="22"/>
      <c r="C111" s="21" t="str">
        <f>IF('12 - Device_Configuration'!H111="","",'12 - Device_Configuration'!H111)</f>
        <v>LIJ - OR</v>
      </c>
      <c r="D111" s="21" t="str">
        <f>IF('12 - Device_Configuration'!AE111="","",'12 - Device_Configuration'!AE111)</f>
        <v/>
      </c>
      <c r="E111" s="21" t="str">
        <f>IF('12 - Device_Configuration'!AF111="","",'12 - Device_Configuration'!AF111)</f>
        <v/>
      </c>
      <c r="F111" s="21" t="str">
        <f>IF('12 - Device_Configuration'!AG111="","",'12 - Device_Configuration'!AG111)</f>
        <v/>
      </c>
      <c r="G111" s="21" t="str">
        <f>IF('12 - Device_Configuration'!AH111="","",'12 - Device_Configuration'!AH111)</f>
        <v/>
      </c>
      <c r="H111" s="21" t="str">
        <f>IF('12 - Device_Configuration'!A111="","",'12 - Device_Configuration'!A111)</f>
        <v>Cybernet</v>
      </c>
      <c r="I111" s="21" t="str">
        <f>IF('12 - Device_Configuration'!AI111="","",'12 - Device_Configuration'!AI111)</f>
        <v/>
      </c>
      <c r="J111" s="21" t="str">
        <f>IF('12 - Device_Configuration'!AJ111="","",'12 - Device_Configuration'!AJ111)</f>
        <v/>
      </c>
      <c r="K111" s="21" t="str">
        <f>IF('12 - Device_Configuration'!AA111="","",'12 - Device_Configuration'!AA111)</f>
        <v/>
      </c>
      <c r="L111" s="21" t="str">
        <f>IF('12 - Device_Configuration'!I111="","",'12 - Device_Configuration'!I111)</f>
        <v/>
      </c>
      <c r="M111" s="22"/>
      <c r="N111" s="21" t="str">
        <f>IF('12 - Device_Configuration'!J111="","",'12 - Device_Configuration'!J111)</f>
        <v>Yes</v>
      </c>
      <c r="O111" s="21" t="str">
        <f>IF('12 - Device_Configuration'!K111="","",'12 - Device_Configuration'!K111)</f>
        <v>No</v>
      </c>
      <c r="P111" s="21" t="str">
        <f>IF('12 - Device_Configuration'!L111="","",'12 - Device_Configuration'!L111)</f>
        <v>No</v>
      </c>
      <c r="Q111" s="22"/>
      <c r="R111" s="21" t="str">
        <f>IF('12 - Device_Configuration'!AY111="","",'12 - Device_Configuration'!AY111)</f>
        <v/>
      </c>
      <c r="S111" s="21" t="str">
        <f>IF('12 - Device_Configuration'!AX111="","",'12 - Device_Configuration'!AX111)</f>
        <v/>
      </c>
      <c r="T111" s="21" t="str">
        <f>IF('12 - Device_Configuration'!AV111="","",'12 - Device_Configuration'!AV111)</f>
        <v/>
      </c>
      <c r="U111" s="21" t="str">
        <f>IF('12 - Device_Configuration'!AW111="","",'12 - Device_Configuration'!AW111)</f>
        <v/>
      </c>
      <c r="V111" s="21" t="str">
        <f>IF('12 - Device_Configuration'!BA111="","",'12 - Device_Configuration'!BA111)</f>
        <v/>
      </c>
      <c r="W111" s="21" t="str">
        <f>IF('12 - Device_Configuration'!BC111="","",'12 - Device_Configuration'!BC111)</f>
        <v/>
      </c>
      <c r="X111" s="21" t="str">
        <f>IF('12 - Device_Configuration'!BK111="","",'12 - Device_Configuration'!BK111)</f>
        <v/>
      </c>
      <c r="Y111" s="21" t="str">
        <f>IF('12 - Device_Configuration'!BB111="","",'12 - Device_Configuration'!BB111)</f>
        <v/>
      </c>
      <c r="Z111" s="21" t="str">
        <f>IF('12 - Device_Configuration'!P111="","",'12 - Device_Configuration'!P111)</f>
        <v/>
      </c>
      <c r="AA111" s="21" t="str">
        <f>IF('12 - Device_Configuration'!Q111="","",'12 - Device_Configuration'!Q111)</f>
        <v/>
      </c>
    </row>
    <row r="112" spans="1:27">
      <c r="A112" s="22"/>
      <c r="B112" s="22"/>
      <c r="C112" s="21" t="str">
        <f>IF('12 - Device_Configuration'!H112="","",'12 - Device_Configuration'!H112)</f>
        <v>LIJ - OR</v>
      </c>
      <c r="D112" s="21" t="str">
        <f>IF('12 - Device_Configuration'!AE112="","",'12 - Device_Configuration'!AE112)</f>
        <v/>
      </c>
      <c r="E112" s="21" t="str">
        <f>IF('12 - Device_Configuration'!AF112="","",'12 - Device_Configuration'!AF112)</f>
        <v/>
      </c>
      <c r="F112" s="21" t="str">
        <f>IF('12 - Device_Configuration'!AG112="","",'12 - Device_Configuration'!AG112)</f>
        <v/>
      </c>
      <c r="G112" s="21" t="str">
        <f>IF('12 - Device_Configuration'!AH112="","",'12 - Device_Configuration'!AH112)</f>
        <v/>
      </c>
      <c r="H112" s="21" t="str">
        <f>IF('12 - Device_Configuration'!A112="","",'12 - Device_Configuration'!A112)</f>
        <v>Cybernet</v>
      </c>
      <c r="I112" s="21" t="str">
        <f>IF('12 - Device_Configuration'!AI112="","",'12 - Device_Configuration'!AI112)</f>
        <v/>
      </c>
      <c r="J112" s="21" t="str">
        <f>IF('12 - Device_Configuration'!AJ112="","",'12 - Device_Configuration'!AJ112)</f>
        <v/>
      </c>
      <c r="K112" s="21" t="str">
        <f>IF('12 - Device_Configuration'!AA112="","",'12 - Device_Configuration'!AA112)</f>
        <v/>
      </c>
      <c r="L112" s="21" t="str">
        <f>IF('12 - Device_Configuration'!I112="","",'12 - Device_Configuration'!I112)</f>
        <v/>
      </c>
      <c r="M112" s="22"/>
      <c r="N112" s="21" t="str">
        <f>IF('12 - Device_Configuration'!J112="","",'12 - Device_Configuration'!J112)</f>
        <v>Yes</v>
      </c>
      <c r="O112" s="21" t="str">
        <f>IF('12 - Device_Configuration'!K112="","",'12 - Device_Configuration'!K112)</f>
        <v>No</v>
      </c>
      <c r="P112" s="21" t="str">
        <f>IF('12 - Device_Configuration'!L112="","",'12 - Device_Configuration'!L112)</f>
        <v>No</v>
      </c>
      <c r="Q112" s="22"/>
      <c r="R112" s="21" t="str">
        <f>IF('12 - Device_Configuration'!AY112="","",'12 - Device_Configuration'!AY112)</f>
        <v/>
      </c>
      <c r="S112" s="21" t="str">
        <f>IF('12 - Device_Configuration'!AX112="","",'12 - Device_Configuration'!AX112)</f>
        <v/>
      </c>
      <c r="T112" s="21" t="str">
        <f>IF('12 - Device_Configuration'!AV112="","",'12 - Device_Configuration'!AV112)</f>
        <v/>
      </c>
      <c r="U112" s="21" t="str">
        <f>IF('12 - Device_Configuration'!AW112="","",'12 - Device_Configuration'!AW112)</f>
        <v/>
      </c>
      <c r="V112" s="21" t="str">
        <f>IF('12 - Device_Configuration'!BA112="","",'12 - Device_Configuration'!BA112)</f>
        <v/>
      </c>
      <c r="W112" s="21" t="str">
        <f>IF('12 - Device_Configuration'!BC112="","",'12 - Device_Configuration'!BC112)</f>
        <v/>
      </c>
      <c r="X112" s="21" t="str">
        <f>IF('12 - Device_Configuration'!BK112="","",'12 - Device_Configuration'!BK112)</f>
        <v/>
      </c>
      <c r="Y112" s="21" t="str">
        <f>IF('12 - Device_Configuration'!BB112="","",'12 - Device_Configuration'!BB112)</f>
        <v/>
      </c>
      <c r="Z112" s="21" t="str">
        <f>IF('12 - Device_Configuration'!P112="","",'12 - Device_Configuration'!P112)</f>
        <v/>
      </c>
      <c r="AA112" s="21" t="str">
        <f>IF('12 - Device_Configuration'!Q112="","",'12 - Device_Configuration'!Q112)</f>
        <v/>
      </c>
    </row>
    <row r="113" spans="1:27">
      <c r="A113" s="22"/>
      <c r="B113" s="22"/>
      <c r="C113" s="21" t="str">
        <f>IF('12 - Device_Configuration'!H113="","",'12 - Device_Configuration'!H113)</f>
        <v>LIJ - OR</v>
      </c>
      <c r="D113" s="21" t="str">
        <f>IF('12 - Device_Configuration'!AE113="","",'12 - Device_Configuration'!AE113)</f>
        <v/>
      </c>
      <c r="E113" s="21" t="str">
        <f>IF('12 - Device_Configuration'!AF113="","",'12 - Device_Configuration'!AF113)</f>
        <v/>
      </c>
      <c r="F113" s="21" t="str">
        <f>IF('12 - Device_Configuration'!AG113="","",'12 - Device_Configuration'!AG113)</f>
        <v/>
      </c>
      <c r="G113" s="21" t="str">
        <f>IF('12 - Device_Configuration'!AH113="","",'12 - Device_Configuration'!AH113)</f>
        <v/>
      </c>
      <c r="H113" s="21" t="str">
        <f>IF('12 - Device_Configuration'!A113="","",'12 - Device_Configuration'!A113)</f>
        <v>Cybernet</v>
      </c>
      <c r="I113" s="21" t="str">
        <f>IF('12 - Device_Configuration'!AI113="","",'12 - Device_Configuration'!AI113)</f>
        <v/>
      </c>
      <c r="J113" s="21" t="str">
        <f>IF('12 - Device_Configuration'!AJ113="","",'12 - Device_Configuration'!AJ113)</f>
        <v/>
      </c>
      <c r="K113" s="21" t="str">
        <f>IF('12 - Device_Configuration'!AA113="","",'12 - Device_Configuration'!AA113)</f>
        <v/>
      </c>
      <c r="L113" s="21" t="str">
        <f>IF('12 - Device_Configuration'!I113="","",'12 - Device_Configuration'!I113)</f>
        <v/>
      </c>
      <c r="M113" s="22"/>
      <c r="N113" s="21" t="str">
        <f>IF('12 - Device_Configuration'!J113="","",'12 - Device_Configuration'!J113)</f>
        <v>Yes</v>
      </c>
      <c r="O113" s="21" t="str">
        <f>IF('12 - Device_Configuration'!K113="","",'12 - Device_Configuration'!K113)</f>
        <v>No</v>
      </c>
      <c r="P113" s="21" t="str">
        <f>IF('12 - Device_Configuration'!L113="","",'12 - Device_Configuration'!L113)</f>
        <v>No</v>
      </c>
      <c r="Q113" s="22"/>
      <c r="R113" s="21" t="str">
        <f>IF('12 - Device_Configuration'!AY113="","",'12 - Device_Configuration'!AY113)</f>
        <v/>
      </c>
      <c r="S113" s="21" t="str">
        <f>IF('12 - Device_Configuration'!AX113="","",'12 - Device_Configuration'!AX113)</f>
        <v/>
      </c>
      <c r="T113" s="21" t="str">
        <f>IF('12 - Device_Configuration'!AV113="","",'12 - Device_Configuration'!AV113)</f>
        <v/>
      </c>
      <c r="U113" s="21" t="str">
        <f>IF('12 - Device_Configuration'!AW113="","",'12 - Device_Configuration'!AW113)</f>
        <v/>
      </c>
      <c r="V113" s="21" t="str">
        <f>IF('12 - Device_Configuration'!BA113="","",'12 - Device_Configuration'!BA113)</f>
        <v/>
      </c>
      <c r="W113" s="21" t="str">
        <f>IF('12 - Device_Configuration'!BC113="","",'12 - Device_Configuration'!BC113)</f>
        <v/>
      </c>
      <c r="X113" s="21" t="str">
        <f>IF('12 - Device_Configuration'!BK113="","",'12 - Device_Configuration'!BK113)</f>
        <v/>
      </c>
      <c r="Y113" s="21" t="str">
        <f>IF('12 - Device_Configuration'!BB113="","",'12 - Device_Configuration'!BB113)</f>
        <v/>
      </c>
      <c r="Z113" s="21" t="str">
        <f>IF('12 - Device_Configuration'!P113="","",'12 - Device_Configuration'!P113)</f>
        <v/>
      </c>
      <c r="AA113" s="21" t="str">
        <f>IF('12 - Device_Configuration'!Q113="","",'12 - Device_Configuration'!Q113)</f>
        <v/>
      </c>
    </row>
    <row r="114" spans="1:27">
      <c r="A114" s="22"/>
      <c r="B114" s="22"/>
      <c r="C114" s="21" t="str">
        <f>IF('12 - Device_Configuration'!H114="","",'12 - Device_Configuration'!H114)</f>
        <v>LIJ - OR</v>
      </c>
      <c r="D114" s="21" t="str">
        <f>IF('12 - Device_Configuration'!AE114="","",'12 - Device_Configuration'!AE114)</f>
        <v/>
      </c>
      <c r="E114" s="21" t="str">
        <f>IF('12 - Device_Configuration'!AF114="","",'12 - Device_Configuration'!AF114)</f>
        <v/>
      </c>
      <c r="F114" s="21" t="str">
        <f>IF('12 - Device_Configuration'!AG114="","",'12 - Device_Configuration'!AG114)</f>
        <v/>
      </c>
      <c r="G114" s="21" t="str">
        <f>IF('12 - Device_Configuration'!AH114="","",'12 - Device_Configuration'!AH114)</f>
        <v/>
      </c>
      <c r="H114" s="21" t="str">
        <f>IF('12 - Device_Configuration'!A114="","",'12 - Device_Configuration'!A114)</f>
        <v>Cybernet</v>
      </c>
      <c r="I114" s="21" t="str">
        <f>IF('12 - Device_Configuration'!AI114="","",'12 - Device_Configuration'!AI114)</f>
        <v/>
      </c>
      <c r="J114" s="21" t="str">
        <f>IF('12 - Device_Configuration'!AJ114="","",'12 - Device_Configuration'!AJ114)</f>
        <v/>
      </c>
      <c r="K114" s="21" t="str">
        <f>IF('12 - Device_Configuration'!AA114="","",'12 - Device_Configuration'!AA114)</f>
        <v/>
      </c>
      <c r="L114" s="21" t="str">
        <f>IF('12 - Device_Configuration'!I114="","",'12 - Device_Configuration'!I114)</f>
        <v/>
      </c>
      <c r="M114" s="22"/>
      <c r="N114" s="21" t="str">
        <f>IF('12 - Device_Configuration'!J114="","",'12 - Device_Configuration'!J114)</f>
        <v>Yes</v>
      </c>
      <c r="O114" s="21" t="str">
        <f>IF('12 - Device_Configuration'!K114="","",'12 - Device_Configuration'!K114)</f>
        <v>No</v>
      </c>
      <c r="P114" s="21" t="str">
        <f>IF('12 - Device_Configuration'!L114="","",'12 - Device_Configuration'!L114)</f>
        <v>No</v>
      </c>
      <c r="Q114" s="22"/>
      <c r="R114" s="21" t="str">
        <f>IF('12 - Device_Configuration'!AY114="","",'12 - Device_Configuration'!AY114)</f>
        <v/>
      </c>
      <c r="S114" s="21" t="str">
        <f>IF('12 - Device_Configuration'!AX114="","",'12 - Device_Configuration'!AX114)</f>
        <v/>
      </c>
      <c r="T114" s="21" t="str">
        <f>IF('12 - Device_Configuration'!AV114="","",'12 - Device_Configuration'!AV114)</f>
        <v/>
      </c>
      <c r="U114" s="21" t="str">
        <f>IF('12 - Device_Configuration'!AW114="","",'12 - Device_Configuration'!AW114)</f>
        <v/>
      </c>
      <c r="V114" s="21" t="str">
        <f>IF('12 - Device_Configuration'!BA114="","",'12 - Device_Configuration'!BA114)</f>
        <v/>
      </c>
      <c r="W114" s="21" t="str">
        <f>IF('12 - Device_Configuration'!BC114="","",'12 - Device_Configuration'!BC114)</f>
        <v/>
      </c>
      <c r="X114" s="21" t="str">
        <f>IF('12 - Device_Configuration'!BK114="","",'12 - Device_Configuration'!BK114)</f>
        <v/>
      </c>
      <c r="Y114" s="21" t="str">
        <f>IF('12 - Device_Configuration'!BB114="","",'12 - Device_Configuration'!BB114)</f>
        <v/>
      </c>
      <c r="Z114" s="21" t="str">
        <f>IF('12 - Device_Configuration'!P114="","",'12 - Device_Configuration'!P114)</f>
        <v/>
      </c>
      <c r="AA114" s="21" t="str">
        <f>IF('12 - Device_Configuration'!Q114="","",'12 - Device_Configuration'!Q114)</f>
        <v/>
      </c>
    </row>
    <row r="115" spans="1:27">
      <c r="A115" s="22"/>
      <c r="B115" s="22"/>
      <c r="C115" s="21" t="str">
        <f>IF('12 - Device_Configuration'!H115="","",'12 - Device_Configuration'!H115)</f>
        <v>LIJ - OR</v>
      </c>
      <c r="D115" s="21" t="str">
        <f>IF('12 - Device_Configuration'!AE115="","",'12 - Device_Configuration'!AE115)</f>
        <v/>
      </c>
      <c r="E115" s="21" t="str">
        <f>IF('12 - Device_Configuration'!AF115="","",'12 - Device_Configuration'!AF115)</f>
        <v/>
      </c>
      <c r="F115" s="21" t="str">
        <f>IF('12 - Device_Configuration'!AG115="","",'12 - Device_Configuration'!AG115)</f>
        <v/>
      </c>
      <c r="G115" s="21" t="str">
        <f>IF('12 - Device_Configuration'!AH115="","",'12 - Device_Configuration'!AH115)</f>
        <v/>
      </c>
      <c r="H115" s="21" t="str">
        <f>IF('12 - Device_Configuration'!A115="","",'12 - Device_Configuration'!A115)</f>
        <v>Cybernet</v>
      </c>
      <c r="I115" s="21" t="str">
        <f>IF('12 - Device_Configuration'!AI115="","",'12 - Device_Configuration'!AI115)</f>
        <v/>
      </c>
      <c r="J115" s="21" t="str">
        <f>IF('12 - Device_Configuration'!AJ115="","",'12 - Device_Configuration'!AJ115)</f>
        <v/>
      </c>
      <c r="K115" s="21" t="str">
        <f>IF('12 - Device_Configuration'!AA115="","",'12 - Device_Configuration'!AA115)</f>
        <v/>
      </c>
      <c r="L115" s="21" t="str">
        <f>IF('12 - Device_Configuration'!I115="","",'12 - Device_Configuration'!I115)</f>
        <v/>
      </c>
      <c r="M115" s="22"/>
      <c r="N115" s="21" t="str">
        <f>IF('12 - Device_Configuration'!J115="","",'12 - Device_Configuration'!J115)</f>
        <v>Yes</v>
      </c>
      <c r="O115" s="21" t="str">
        <f>IF('12 - Device_Configuration'!K115="","",'12 - Device_Configuration'!K115)</f>
        <v>No</v>
      </c>
      <c r="P115" s="21" t="str">
        <f>IF('12 - Device_Configuration'!L115="","",'12 - Device_Configuration'!L115)</f>
        <v>No</v>
      </c>
      <c r="Q115" s="22"/>
      <c r="R115" s="21" t="str">
        <f>IF('12 - Device_Configuration'!AY115="","",'12 - Device_Configuration'!AY115)</f>
        <v/>
      </c>
      <c r="S115" s="21" t="str">
        <f>IF('12 - Device_Configuration'!AX115="","",'12 - Device_Configuration'!AX115)</f>
        <v/>
      </c>
      <c r="T115" s="21" t="str">
        <f>IF('12 - Device_Configuration'!AV115="","",'12 - Device_Configuration'!AV115)</f>
        <v/>
      </c>
      <c r="U115" s="21" t="str">
        <f>IF('12 - Device_Configuration'!AW115="","",'12 - Device_Configuration'!AW115)</f>
        <v/>
      </c>
      <c r="V115" s="21" t="str">
        <f>IF('12 - Device_Configuration'!BA115="","",'12 - Device_Configuration'!BA115)</f>
        <v/>
      </c>
      <c r="W115" s="21" t="str">
        <f>IF('12 - Device_Configuration'!BC115="","",'12 - Device_Configuration'!BC115)</f>
        <v/>
      </c>
      <c r="X115" s="21" t="str">
        <f>IF('12 - Device_Configuration'!BK115="","",'12 - Device_Configuration'!BK115)</f>
        <v/>
      </c>
      <c r="Y115" s="21" t="str">
        <f>IF('12 - Device_Configuration'!BB115="","",'12 - Device_Configuration'!BB115)</f>
        <v/>
      </c>
      <c r="Z115" s="21" t="str">
        <f>IF('12 - Device_Configuration'!P115="","",'12 - Device_Configuration'!P115)</f>
        <v/>
      </c>
      <c r="AA115" s="21" t="str">
        <f>IF('12 - Device_Configuration'!Q115="","",'12 - Device_Configuration'!Q115)</f>
        <v/>
      </c>
    </row>
    <row r="116" spans="1:27">
      <c r="A116" s="22"/>
      <c r="B116" s="22"/>
      <c r="C116" s="21" t="str">
        <f>IF('12 - Device_Configuration'!H116="","",'12 - Device_Configuration'!H116)</f>
        <v>LIJ - OR</v>
      </c>
      <c r="D116" s="21" t="str">
        <f>IF('12 - Device_Configuration'!AE116="","",'12 - Device_Configuration'!AE116)</f>
        <v/>
      </c>
      <c r="E116" s="21" t="str">
        <f>IF('12 - Device_Configuration'!AF116="","",'12 - Device_Configuration'!AF116)</f>
        <v/>
      </c>
      <c r="F116" s="21" t="str">
        <f>IF('12 - Device_Configuration'!AG116="","",'12 - Device_Configuration'!AG116)</f>
        <v/>
      </c>
      <c r="G116" s="21" t="str">
        <f>IF('12 - Device_Configuration'!AH116="","",'12 - Device_Configuration'!AH116)</f>
        <v/>
      </c>
      <c r="H116" s="21" t="str">
        <f>IF('12 - Device_Configuration'!A116="","",'12 - Device_Configuration'!A116)</f>
        <v>Cybernet</v>
      </c>
      <c r="I116" s="21" t="str">
        <f>IF('12 - Device_Configuration'!AI116="","",'12 - Device_Configuration'!AI116)</f>
        <v/>
      </c>
      <c r="J116" s="21" t="str">
        <f>IF('12 - Device_Configuration'!AJ116="","",'12 - Device_Configuration'!AJ116)</f>
        <v/>
      </c>
      <c r="K116" s="21" t="str">
        <f>IF('12 - Device_Configuration'!AA116="","",'12 - Device_Configuration'!AA116)</f>
        <v/>
      </c>
      <c r="L116" s="21" t="str">
        <f>IF('12 - Device_Configuration'!I116="","",'12 - Device_Configuration'!I116)</f>
        <v/>
      </c>
      <c r="M116" s="22"/>
      <c r="N116" s="21" t="str">
        <f>IF('12 - Device_Configuration'!J116="","",'12 - Device_Configuration'!J116)</f>
        <v>Yes</v>
      </c>
      <c r="O116" s="21" t="str">
        <f>IF('12 - Device_Configuration'!K116="","",'12 - Device_Configuration'!K116)</f>
        <v>No</v>
      </c>
      <c r="P116" s="21" t="str">
        <f>IF('12 - Device_Configuration'!L116="","",'12 - Device_Configuration'!L116)</f>
        <v>No</v>
      </c>
      <c r="Q116" s="22"/>
      <c r="R116" s="21" t="str">
        <f>IF('12 - Device_Configuration'!AY116="","",'12 - Device_Configuration'!AY116)</f>
        <v/>
      </c>
      <c r="S116" s="21" t="str">
        <f>IF('12 - Device_Configuration'!AX116="","",'12 - Device_Configuration'!AX116)</f>
        <v/>
      </c>
      <c r="T116" s="21" t="str">
        <f>IF('12 - Device_Configuration'!AV116="","",'12 - Device_Configuration'!AV116)</f>
        <v/>
      </c>
      <c r="U116" s="21" t="str">
        <f>IF('12 - Device_Configuration'!AW116="","",'12 - Device_Configuration'!AW116)</f>
        <v/>
      </c>
      <c r="V116" s="21" t="str">
        <f>IF('12 - Device_Configuration'!BA116="","",'12 - Device_Configuration'!BA116)</f>
        <v/>
      </c>
      <c r="W116" s="21" t="str">
        <f>IF('12 - Device_Configuration'!BC116="","",'12 - Device_Configuration'!BC116)</f>
        <v/>
      </c>
      <c r="X116" s="21" t="str">
        <f>IF('12 - Device_Configuration'!BK116="","",'12 - Device_Configuration'!BK116)</f>
        <v/>
      </c>
      <c r="Y116" s="21" t="str">
        <f>IF('12 - Device_Configuration'!BB116="","",'12 - Device_Configuration'!BB116)</f>
        <v/>
      </c>
      <c r="Z116" s="21" t="str">
        <f>IF('12 - Device_Configuration'!P116="","",'12 - Device_Configuration'!P116)</f>
        <v/>
      </c>
      <c r="AA116" s="21" t="str">
        <f>IF('12 - Device_Configuration'!Q116="","",'12 - Device_Configuration'!Q116)</f>
        <v/>
      </c>
    </row>
    <row r="117" spans="1:27">
      <c r="A117" s="22"/>
      <c r="B117" s="22"/>
      <c r="C117" s="21" t="str">
        <f>IF('12 - Device_Configuration'!H117="","",'12 - Device_Configuration'!H117)</f>
        <v>LIJ - OR</v>
      </c>
      <c r="D117" s="21" t="str">
        <f>IF('12 - Device_Configuration'!AE117="","",'12 - Device_Configuration'!AE117)</f>
        <v/>
      </c>
      <c r="E117" s="21" t="str">
        <f>IF('12 - Device_Configuration'!AF117="","",'12 - Device_Configuration'!AF117)</f>
        <v/>
      </c>
      <c r="F117" s="21" t="str">
        <f>IF('12 - Device_Configuration'!AG117="","",'12 - Device_Configuration'!AG117)</f>
        <v/>
      </c>
      <c r="G117" s="21" t="str">
        <f>IF('12 - Device_Configuration'!AH117="","",'12 - Device_Configuration'!AH117)</f>
        <v/>
      </c>
      <c r="H117" s="21" t="str">
        <f>IF('12 - Device_Configuration'!A117="","",'12 - Device_Configuration'!A117)</f>
        <v>Cybernet</v>
      </c>
      <c r="I117" s="21" t="str">
        <f>IF('12 - Device_Configuration'!AI117="","",'12 - Device_Configuration'!AI117)</f>
        <v/>
      </c>
      <c r="J117" s="21" t="str">
        <f>IF('12 - Device_Configuration'!AJ117="","",'12 - Device_Configuration'!AJ117)</f>
        <v/>
      </c>
      <c r="K117" s="21" t="str">
        <f>IF('12 - Device_Configuration'!AA117="","",'12 - Device_Configuration'!AA117)</f>
        <v/>
      </c>
      <c r="L117" s="21" t="str">
        <f>IF('12 - Device_Configuration'!I117="","",'12 - Device_Configuration'!I117)</f>
        <v/>
      </c>
      <c r="M117" s="22"/>
      <c r="N117" s="21" t="str">
        <f>IF('12 - Device_Configuration'!J117="","",'12 - Device_Configuration'!J117)</f>
        <v>Yes</v>
      </c>
      <c r="O117" s="21" t="str">
        <f>IF('12 - Device_Configuration'!K117="","",'12 - Device_Configuration'!K117)</f>
        <v>No</v>
      </c>
      <c r="P117" s="21" t="str">
        <f>IF('12 - Device_Configuration'!L117="","",'12 - Device_Configuration'!L117)</f>
        <v>No</v>
      </c>
      <c r="Q117" s="22"/>
      <c r="R117" s="21" t="str">
        <f>IF('12 - Device_Configuration'!AY117="","",'12 - Device_Configuration'!AY117)</f>
        <v/>
      </c>
      <c r="S117" s="21" t="str">
        <f>IF('12 - Device_Configuration'!AX117="","",'12 - Device_Configuration'!AX117)</f>
        <v/>
      </c>
      <c r="T117" s="21" t="str">
        <f>IF('12 - Device_Configuration'!AV117="","",'12 - Device_Configuration'!AV117)</f>
        <v/>
      </c>
      <c r="U117" s="21" t="str">
        <f>IF('12 - Device_Configuration'!AW117="","",'12 - Device_Configuration'!AW117)</f>
        <v/>
      </c>
      <c r="V117" s="21" t="str">
        <f>IF('12 - Device_Configuration'!BA117="","",'12 - Device_Configuration'!BA117)</f>
        <v/>
      </c>
      <c r="W117" s="21" t="str">
        <f>IF('12 - Device_Configuration'!BC117="","",'12 - Device_Configuration'!BC117)</f>
        <v/>
      </c>
      <c r="X117" s="21" t="str">
        <f>IF('12 - Device_Configuration'!BK117="","",'12 - Device_Configuration'!BK117)</f>
        <v/>
      </c>
      <c r="Y117" s="21" t="str">
        <f>IF('12 - Device_Configuration'!BB117="","",'12 - Device_Configuration'!BB117)</f>
        <v/>
      </c>
      <c r="Z117" s="21" t="str">
        <f>IF('12 - Device_Configuration'!P117="","",'12 - Device_Configuration'!P117)</f>
        <v/>
      </c>
      <c r="AA117" s="21" t="str">
        <f>IF('12 - Device_Configuration'!Q117="","",'12 - Device_Configuration'!Q117)</f>
        <v/>
      </c>
    </row>
    <row r="118" spans="1:27">
      <c r="A118" s="22"/>
      <c r="B118" s="22"/>
      <c r="C118" s="21" t="str">
        <f>IF('12 - Device_Configuration'!H118="","",'12 - Device_Configuration'!H118)</f>
        <v>LIJ - OR</v>
      </c>
      <c r="D118" s="21" t="str">
        <f>IF('12 - Device_Configuration'!AE118="","",'12 - Device_Configuration'!AE118)</f>
        <v/>
      </c>
      <c r="E118" s="21" t="str">
        <f>IF('12 - Device_Configuration'!AF118="","",'12 - Device_Configuration'!AF118)</f>
        <v/>
      </c>
      <c r="F118" s="21" t="str">
        <f>IF('12 - Device_Configuration'!AG118="","",'12 - Device_Configuration'!AG118)</f>
        <v/>
      </c>
      <c r="G118" s="21" t="str">
        <f>IF('12 - Device_Configuration'!AH118="","",'12 - Device_Configuration'!AH118)</f>
        <v/>
      </c>
      <c r="H118" s="21" t="str">
        <f>IF('12 - Device_Configuration'!A118="","",'12 - Device_Configuration'!A118)</f>
        <v>Cybernet</v>
      </c>
      <c r="I118" s="21" t="str">
        <f>IF('12 - Device_Configuration'!AI118="","",'12 - Device_Configuration'!AI118)</f>
        <v/>
      </c>
      <c r="J118" s="21" t="str">
        <f>IF('12 - Device_Configuration'!AJ118="","",'12 - Device_Configuration'!AJ118)</f>
        <v/>
      </c>
      <c r="K118" s="21" t="str">
        <f>IF('12 - Device_Configuration'!AA118="","",'12 - Device_Configuration'!AA118)</f>
        <v/>
      </c>
      <c r="L118" s="21" t="str">
        <f>IF('12 - Device_Configuration'!I118="","",'12 - Device_Configuration'!I118)</f>
        <v/>
      </c>
      <c r="M118" s="22"/>
      <c r="N118" s="21" t="str">
        <f>IF('12 - Device_Configuration'!J118="","",'12 - Device_Configuration'!J118)</f>
        <v>Yes</v>
      </c>
      <c r="O118" s="21" t="str">
        <f>IF('12 - Device_Configuration'!K118="","",'12 - Device_Configuration'!K118)</f>
        <v>No</v>
      </c>
      <c r="P118" s="21" t="str">
        <f>IF('12 - Device_Configuration'!L118="","",'12 - Device_Configuration'!L118)</f>
        <v>No</v>
      </c>
      <c r="Q118" s="22"/>
      <c r="R118" s="21" t="str">
        <f>IF('12 - Device_Configuration'!AY118="","",'12 - Device_Configuration'!AY118)</f>
        <v/>
      </c>
      <c r="S118" s="21" t="str">
        <f>IF('12 - Device_Configuration'!AX118="","",'12 - Device_Configuration'!AX118)</f>
        <v/>
      </c>
      <c r="T118" s="21" t="str">
        <f>IF('12 - Device_Configuration'!AV118="","",'12 - Device_Configuration'!AV118)</f>
        <v/>
      </c>
      <c r="U118" s="21" t="str">
        <f>IF('12 - Device_Configuration'!AW118="","",'12 - Device_Configuration'!AW118)</f>
        <v/>
      </c>
      <c r="V118" s="21" t="str">
        <f>IF('12 - Device_Configuration'!BA118="","",'12 - Device_Configuration'!BA118)</f>
        <v/>
      </c>
      <c r="W118" s="21" t="str">
        <f>IF('12 - Device_Configuration'!BC118="","",'12 - Device_Configuration'!BC118)</f>
        <v/>
      </c>
      <c r="X118" s="21" t="str">
        <f>IF('12 - Device_Configuration'!BK118="","",'12 - Device_Configuration'!BK118)</f>
        <v/>
      </c>
      <c r="Y118" s="21" t="str">
        <f>IF('12 - Device_Configuration'!BB118="","",'12 - Device_Configuration'!BB118)</f>
        <v/>
      </c>
      <c r="Z118" s="21" t="str">
        <f>IF('12 - Device_Configuration'!P118="","",'12 - Device_Configuration'!P118)</f>
        <v/>
      </c>
      <c r="AA118" s="21" t="str">
        <f>IF('12 - Device_Configuration'!Q118="","",'12 - Device_Configuration'!Q118)</f>
        <v/>
      </c>
    </row>
    <row r="119" spans="1:27">
      <c r="A119" s="22"/>
      <c r="B119" s="22"/>
      <c r="C119" s="21" t="str">
        <f>IF('12 - Device_Configuration'!H119="","",'12 - Device_Configuration'!H119)</f>
        <v>LIJ - OR</v>
      </c>
      <c r="D119" s="21" t="str">
        <f>IF('12 - Device_Configuration'!AE119="","",'12 - Device_Configuration'!AE119)</f>
        <v/>
      </c>
      <c r="E119" s="21" t="str">
        <f>IF('12 - Device_Configuration'!AF119="","",'12 - Device_Configuration'!AF119)</f>
        <v/>
      </c>
      <c r="F119" s="21" t="str">
        <f>IF('12 - Device_Configuration'!AG119="","",'12 - Device_Configuration'!AG119)</f>
        <v/>
      </c>
      <c r="G119" s="21" t="str">
        <f>IF('12 - Device_Configuration'!AH119="","",'12 - Device_Configuration'!AH119)</f>
        <v/>
      </c>
      <c r="H119" s="21" t="str">
        <f>IF('12 - Device_Configuration'!A119="","",'12 - Device_Configuration'!A119)</f>
        <v>Cybernet</v>
      </c>
      <c r="I119" s="21" t="str">
        <f>IF('12 - Device_Configuration'!AI119="","",'12 - Device_Configuration'!AI119)</f>
        <v/>
      </c>
      <c r="J119" s="21" t="str">
        <f>IF('12 - Device_Configuration'!AJ119="","",'12 - Device_Configuration'!AJ119)</f>
        <v/>
      </c>
      <c r="K119" s="21" t="str">
        <f>IF('12 - Device_Configuration'!AA119="","",'12 - Device_Configuration'!AA119)</f>
        <v/>
      </c>
      <c r="L119" s="21" t="str">
        <f>IF('12 - Device_Configuration'!I119="","",'12 - Device_Configuration'!I119)</f>
        <v/>
      </c>
      <c r="M119" s="22"/>
      <c r="N119" s="21" t="str">
        <f>IF('12 - Device_Configuration'!J119="","",'12 - Device_Configuration'!J119)</f>
        <v>Yes</v>
      </c>
      <c r="O119" s="21" t="str">
        <f>IF('12 - Device_Configuration'!K119="","",'12 - Device_Configuration'!K119)</f>
        <v>No</v>
      </c>
      <c r="P119" s="21" t="str">
        <f>IF('12 - Device_Configuration'!L119="","",'12 - Device_Configuration'!L119)</f>
        <v>No</v>
      </c>
      <c r="Q119" s="22"/>
      <c r="R119" s="21" t="str">
        <f>IF('12 - Device_Configuration'!AY119="","",'12 - Device_Configuration'!AY119)</f>
        <v/>
      </c>
      <c r="S119" s="21" t="str">
        <f>IF('12 - Device_Configuration'!AX119="","",'12 - Device_Configuration'!AX119)</f>
        <v/>
      </c>
      <c r="T119" s="21" t="str">
        <f>IF('12 - Device_Configuration'!AV119="","",'12 - Device_Configuration'!AV119)</f>
        <v/>
      </c>
      <c r="U119" s="21" t="str">
        <f>IF('12 - Device_Configuration'!AW119="","",'12 - Device_Configuration'!AW119)</f>
        <v/>
      </c>
      <c r="V119" s="21" t="str">
        <f>IF('12 - Device_Configuration'!BA119="","",'12 - Device_Configuration'!BA119)</f>
        <v/>
      </c>
      <c r="W119" s="21" t="str">
        <f>IF('12 - Device_Configuration'!BC119="","",'12 - Device_Configuration'!BC119)</f>
        <v/>
      </c>
      <c r="X119" s="21" t="str">
        <f>IF('12 - Device_Configuration'!BK119="","",'12 - Device_Configuration'!BK119)</f>
        <v/>
      </c>
      <c r="Y119" s="21" t="str">
        <f>IF('12 - Device_Configuration'!BB119="","",'12 - Device_Configuration'!BB119)</f>
        <v/>
      </c>
      <c r="Z119" s="21" t="str">
        <f>IF('12 - Device_Configuration'!P119="","",'12 - Device_Configuration'!P119)</f>
        <v/>
      </c>
      <c r="AA119" s="21" t="str">
        <f>IF('12 - Device_Configuration'!Q119="","",'12 - Device_Configuration'!Q119)</f>
        <v/>
      </c>
    </row>
    <row r="120" spans="1:27">
      <c r="A120" s="22"/>
      <c r="B120" s="22"/>
      <c r="C120" s="21" t="str">
        <f>IF('12 - Device_Configuration'!H120="","",'12 - Device_Configuration'!H120)</f>
        <v>LIJ - OR</v>
      </c>
      <c r="D120" s="21" t="str">
        <f>IF('12 - Device_Configuration'!AE120="","",'12 - Device_Configuration'!AE120)</f>
        <v/>
      </c>
      <c r="E120" s="21" t="str">
        <f>IF('12 - Device_Configuration'!AF120="","",'12 - Device_Configuration'!AF120)</f>
        <v/>
      </c>
      <c r="F120" s="21" t="str">
        <f>IF('12 - Device_Configuration'!AG120="","",'12 - Device_Configuration'!AG120)</f>
        <v/>
      </c>
      <c r="G120" s="21" t="str">
        <f>IF('12 - Device_Configuration'!AH120="","",'12 - Device_Configuration'!AH120)</f>
        <v/>
      </c>
      <c r="H120" s="21" t="str">
        <f>IF('12 - Device_Configuration'!A120="","",'12 - Device_Configuration'!A120)</f>
        <v>Cybernet</v>
      </c>
      <c r="I120" s="21" t="str">
        <f>IF('12 - Device_Configuration'!AI120="","",'12 - Device_Configuration'!AI120)</f>
        <v/>
      </c>
      <c r="J120" s="21" t="str">
        <f>IF('12 - Device_Configuration'!AJ120="","",'12 - Device_Configuration'!AJ120)</f>
        <v/>
      </c>
      <c r="K120" s="21" t="str">
        <f>IF('12 - Device_Configuration'!AA120="","",'12 - Device_Configuration'!AA120)</f>
        <v/>
      </c>
      <c r="L120" s="21" t="str">
        <f>IF('12 - Device_Configuration'!I120="","",'12 - Device_Configuration'!I120)</f>
        <v/>
      </c>
      <c r="M120" s="22"/>
      <c r="N120" s="21" t="str">
        <f>IF('12 - Device_Configuration'!J120="","",'12 - Device_Configuration'!J120)</f>
        <v>Yes</v>
      </c>
      <c r="O120" s="21" t="str">
        <f>IF('12 - Device_Configuration'!K120="","",'12 - Device_Configuration'!K120)</f>
        <v>No</v>
      </c>
      <c r="P120" s="21" t="str">
        <f>IF('12 - Device_Configuration'!L120="","",'12 - Device_Configuration'!L120)</f>
        <v>No</v>
      </c>
      <c r="Q120" s="22"/>
      <c r="R120" s="21" t="str">
        <f>IF('12 - Device_Configuration'!AY120="","",'12 - Device_Configuration'!AY120)</f>
        <v/>
      </c>
      <c r="S120" s="21" t="str">
        <f>IF('12 - Device_Configuration'!AX120="","",'12 - Device_Configuration'!AX120)</f>
        <v/>
      </c>
      <c r="T120" s="21" t="str">
        <f>IF('12 - Device_Configuration'!AV120="","",'12 - Device_Configuration'!AV120)</f>
        <v/>
      </c>
      <c r="U120" s="21" t="str">
        <f>IF('12 - Device_Configuration'!AW120="","",'12 - Device_Configuration'!AW120)</f>
        <v/>
      </c>
      <c r="V120" s="21" t="str">
        <f>IF('12 - Device_Configuration'!BA120="","",'12 - Device_Configuration'!BA120)</f>
        <v/>
      </c>
      <c r="W120" s="21" t="str">
        <f>IF('12 - Device_Configuration'!BC120="","",'12 - Device_Configuration'!BC120)</f>
        <v/>
      </c>
      <c r="X120" s="21" t="str">
        <f>IF('12 - Device_Configuration'!BK120="","",'12 - Device_Configuration'!BK120)</f>
        <v/>
      </c>
      <c r="Y120" s="21" t="str">
        <f>IF('12 - Device_Configuration'!BB120="","",'12 - Device_Configuration'!BB120)</f>
        <v/>
      </c>
      <c r="Z120" s="21" t="str">
        <f>IF('12 - Device_Configuration'!P120="","",'12 - Device_Configuration'!P120)</f>
        <v/>
      </c>
      <c r="AA120" s="21" t="str">
        <f>IF('12 - Device_Configuration'!Q120="","",'12 - Device_Configuration'!Q120)</f>
        <v/>
      </c>
    </row>
    <row r="121" spans="1:27">
      <c r="A121" s="22"/>
      <c r="B121" s="22"/>
      <c r="C121" s="21" t="str">
        <f>IF('12 - Device_Configuration'!H121="","",'12 - Device_Configuration'!H121)</f>
        <v>LIJ - OR</v>
      </c>
      <c r="D121" s="21" t="str">
        <f>IF('12 - Device_Configuration'!AE121="","",'12 - Device_Configuration'!AE121)</f>
        <v/>
      </c>
      <c r="E121" s="21" t="str">
        <f>IF('12 - Device_Configuration'!AF121="","",'12 - Device_Configuration'!AF121)</f>
        <v/>
      </c>
      <c r="F121" s="21" t="str">
        <f>IF('12 - Device_Configuration'!AG121="","",'12 - Device_Configuration'!AG121)</f>
        <v/>
      </c>
      <c r="G121" s="21" t="str">
        <f>IF('12 - Device_Configuration'!AH121="","",'12 - Device_Configuration'!AH121)</f>
        <v/>
      </c>
      <c r="H121" s="21" t="str">
        <f>IF('12 - Device_Configuration'!A121="","",'12 - Device_Configuration'!A121)</f>
        <v>Cybernet</v>
      </c>
      <c r="I121" s="21" t="str">
        <f>IF('12 - Device_Configuration'!AI121="","",'12 - Device_Configuration'!AI121)</f>
        <v/>
      </c>
      <c r="J121" s="21" t="str">
        <f>IF('12 - Device_Configuration'!AJ121="","",'12 - Device_Configuration'!AJ121)</f>
        <v/>
      </c>
      <c r="K121" s="21" t="str">
        <f>IF('12 - Device_Configuration'!AA121="","",'12 - Device_Configuration'!AA121)</f>
        <v/>
      </c>
      <c r="L121" s="21" t="str">
        <f>IF('12 - Device_Configuration'!I121="","",'12 - Device_Configuration'!I121)</f>
        <v/>
      </c>
      <c r="M121" s="22"/>
      <c r="N121" s="21" t="str">
        <f>IF('12 - Device_Configuration'!J121="","",'12 - Device_Configuration'!J121)</f>
        <v>Yes</v>
      </c>
      <c r="O121" s="21" t="str">
        <f>IF('12 - Device_Configuration'!K121="","",'12 - Device_Configuration'!K121)</f>
        <v>No</v>
      </c>
      <c r="P121" s="21" t="str">
        <f>IF('12 - Device_Configuration'!L121="","",'12 - Device_Configuration'!L121)</f>
        <v>No</v>
      </c>
      <c r="Q121" s="22"/>
      <c r="R121" s="21" t="str">
        <f>IF('12 - Device_Configuration'!AY121="","",'12 - Device_Configuration'!AY121)</f>
        <v/>
      </c>
      <c r="S121" s="21" t="str">
        <f>IF('12 - Device_Configuration'!AX121="","",'12 - Device_Configuration'!AX121)</f>
        <v/>
      </c>
      <c r="T121" s="21" t="str">
        <f>IF('12 - Device_Configuration'!AV121="","",'12 - Device_Configuration'!AV121)</f>
        <v/>
      </c>
      <c r="U121" s="21" t="str">
        <f>IF('12 - Device_Configuration'!AW121="","",'12 - Device_Configuration'!AW121)</f>
        <v/>
      </c>
      <c r="V121" s="21" t="str">
        <f>IF('12 - Device_Configuration'!BA121="","",'12 - Device_Configuration'!BA121)</f>
        <v/>
      </c>
      <c r="W121" s="21" t="str">
        <f>IF('12 - Device_Configuration'!BC121="","",'12 - Device_Configuration'!BC121)</f>
        <v/>
      </c>
      <c r="X121" s="21" t="str">
        <f>IF('12 - Device_Configuration'!BK121="","",'12 - Device_Configuration'!BK121)</f>
        <v/>
      </c>
      <c r="Y121" s="21" t="str">
        <f>IF('12 - Device_Configuration'!BB121="","",'12 - Device_Configuration'!BB121)</f>
        <v/>
      </c>
      <c r="Z121" s="21" t="str">
        <f>IF('12 - Device_Configuration'!P121="","",'12 - Device_Configuration'!P121)</f>
        <v/>
      </c>
      <c r="AA121" s="21" t="str">
        <f>IF('12 - Device_Configuration'!Q121="","",'12 - Device_Configuration'!Q121)</f>
        <v/>
      </c>
    </row>
    <row r="122" spans="1:27">
      <c r="A122" s="22"/>
      <c r="B122" s="22"/>
      <c r="C122" s="21" t="str">
        <f>IF('12 - Device_Configuration'!H122="","",'12 - Device_Configuration'!H122)</f>
        <v>LIJ - OR</v>
      </c>
      <c r="D122" s="21" t="str">
        <f>IF('12 - Device_Configuration'!AE122="","",'12 - Device_Configuration'!AE122)</f>
        <v/>
      </c>
      <c r="E122" s="21" t="str">
        <f>IF('12 - Device_Configuration'!AF122="","",'12 - Device_Configuration'!AF122)</f>
        <v/>
      </c>
      <c r="F122" s="21" t="str">
        <f>IF('12 - Device_Configuration'!AG122="","",'12 - Device_Configuration'!AG122)</f>
        <v/>
      </c>
      <c r="G122" s="21" t="str">
        <f>IF('12 - Device_Configuration'!AH122="","",'12 - Device_Configuration'!AH122)</f>
        <v/>
      </c>
      <c r="H122" s="21" t="str">
        <f>IF('12 - Device_Configuration'!A122="","",'12 - Device_Configuration'!A122)</f>
        <v>Cybernet</v>
      </c>
      <c r="I122" s="21" t="str">
        <f>IF('12 - Device_Configuration'!AI122="","",'12 - Device_Configuration'!AI122)</f>
        <v/>
      </c>
      <c r="J122" s="21" t="str">
        <f>IF('12 - Device_Configuration'!AJ122="","",'12 - Device_Configuration'!AJ122)</f>
        <v/>
      </c>
      <c r="K122" s="21" t="str">
        <f>IF('12 - Device_Configuration'!AA122="","",'12 - Device_Configuration'!AA122)</f>
        <v/>
      </c>
      <c r="L122" s="21" t="str">
        <f>IF('12 - Device_Configuration'!I122="","",'12 - Device_Configuration'!I122)</f>
        <v/>
      </c>
      <c r="M122" s="22"/>
      <c r="N122" s="21" t="str">
        <f>IF('12 - Device_Configuration'!J122="","",'12 - Device_Configuration'!J122)</f>
        <v>Yes</v>
      </c>
      <c r="O122" s="21" t="str">
        <f>IF('12 - Device_Configuration'!K122="","",'12 - Device_Configuration'!K122)</f>
        <v>No</v>
      </c>
      <c r="P122" s="21" t="str">
        <f>IF('12 - Device_Configuration'!L122="","",'12 - Device_Configuration'!L122)</f>
        <v>No</v>
      </c>
      <c r="Q122" s="22"/>
      <c r="R122" s="21" t="str">
        <f>IF('12 - Device_Configuration'!AY122="","",'12 - Device_Configuration'!AY122)</f>
        <v/>
      </c>
      <c r="S122" s="21" t="str">
        <f>IF('12 - Device_Configuration'!AX122="","",'12 - Device_Configuration'!AX122)</f>
        <v/>
      </c>
      <c r="T122" s="21" t="str">
        <f>IF('12 - Device_Configuration'!AV122="","",'12 - Device_Configuration'!AV122)</f>
        <v/>
      </c>
      <c r="U122" s="21" t="str">
        <f>IF('12 - Device_Configuration'!AW122="","",'12 - Device_Configuration'!AW122)</f>
        <v/>
      </c>
      <c r="V122" s="21" t="str">
        <f>IF('12 - Device_Configuration'!BA122="","",'12 - Device_Configuration'!BA122)</f>
        <v/>
      </c>
      <c r="W122" s="21" t="str">
        <f>IF('12 - Device_Configuration'!BC122="","",'12 - Device_Configuration'!BC122)</f>
        <v/>
      </c>
      <c r="X122" s="21" t="str">
        <f>IF('12 - Device_Configuration'!BK122="","",'12 - Device_Configuration'!BK122)</f>
        <v/>
      </c>
      <c r="Y122" s="21" t="str">
        <f>IF('12 - Device_Configuration'!BB122="","",'12 - Device_Configuration'!BB122)</f>
        <v/>
      </c>
      <c r="Z122" s="21" t="str">
        <f>IF('12 - Device_Configuration'!P122="","",'12 - Device_Configuration'!P122)</f>
        <v/>
      </c>
      <c r="AA122" s="21" t="str">
        <f>IF('12 - Device_Configuration'!Q122="","",'12 - Device_Configuration'!Q122)</f>
        <v/>
      </c>
    </row>
    <row r="123" spans="1:27">
      <c r="A123" s="22"/>
      <c r="B123" s="22"/>
      <c r="C123" s="21" t="str">
        <f>IF('12 - Device_Configuration'!H123="","",'12 - Device_Configuration'!H123)</f>
        <v>LIJ - OR</v>
      </c>
      <c r="D123" s="21" t="str">
        <f>IF('12 - Device_Configuration'!AE123="","",'12 - Device_Configuration'!AE123)</f>
        <v/>
      </c>
      <c r="E123" s="21" t="str">
        <f>IF('12 - Device_Configuration'!AF123="","",'12 - Device_Configuration'!AF123)</f>
        <v/>
      </c>
      <c r="F123" s="21" t="str">
        <f>IF('12 - Device_Configuration'!AG123="","",'12 - Device_Configuration'!AG123)</f>
        <v/>
      </c>
      <c r="G123" s="21" t="str">
        <f>IF('12 - Device_Configuration'!AH123="","",'12 - Device_Configuration'!AH123)</f>
        <v/>
      </c>
      <c r="H123" s="21" t="str">
        <f>IF('12 - Device_Configuration'!A123="","",'12 - Device_Configuration'!A123)</f>
        <v>Cybernet</v>
      </c>
      <c r="I123" s="21" t="str">
        <f>IF('12 - Device_Configuration'!AI123="","",'12 - Device_Configuration'!AI123)</f>
        <v/>
      </c>
      <c r="J123" s="21" t="str">
        <f>IF('12 - Device_Configuration'!AJ123="","",'12 - Device_Configuration'!AJ123)</f>
        <v/>
      </c>
      <c r="K123" s="21" t="str">
        <f>IF('12 - Device_Configuration'!AA123="","",'12 - Device_Configuration'!AA123)</f>
        <v/>
      </c>
      <c r="L123" s="21" t="str">
        <f>IF('12 - Device_Configuration'!I123="","",'12 - Device_Configuration'!I123)</f>
        <v/>
      </c>
      <c r="M123" s="22"/>
      <c r="N123" s="21" t="str">
        <f>IF('12 - Device_Configuration'!J123="","",'12 - Device_Configuration'!J123)</f>
        <v>Yes</v>
      </c>
      <c r="O123" s="21" t="str">
        <f>IF('12 - Device_Configuration'!K123="","",'12 - Device_Configuration'!K123)</f>
        <v>No</v>
      </c>
      <c r="P123" s="21" t="str">
        <f>IF('12 - Device_Configuration'!L123="","",'12 - Device_Configuration'!L123)</f>
        <v>No</v>
      </c>
      <c r="Q123" s="22"/>
      <c r="R123" s="21" t="str">
        <f>IF('12 - Device_Configuration'!AY123="","",'12 - Device_Configuration'!AY123)</f>
        <v/>
      </c>
      <c r="S123" s="21" t="str">
        <f>IF('12 - Device_Configuration'!AX123="","",'12 - Device_Configuration'!AX123)</f>
        <v/>
      </c>
      <c r="T123" s="21" t="str">
        <f>IF('12 - Device_Configuration'!AV123="","",'12 - Device_Configuration'!AV123)</f>
        <v/>
      </c>
      <c r="U123" s="21" t="str">
        <f>IF('12 - Device_Configuration'!AW123="","",'12 - Device_Configuration'!AW123)</f>
        <v/>
      </c>
      <c r="V123" s="21" t="str">
        <f>IF('12 - Device_Configuration'!BA123="","",'12 - Device_Configuration'!BA123)</f>
        <v/>
      </c>
      <c r="W123" s="21" t="str">
        <f>IF('12 - Device_Configuration'!BC123="","",'12 - Device_Configuration'!BC123)</f>
        <v/>
      </c>
      <c r="X123" s="21" t="str">
        <f>IF('12 - Device_Configuration'!BK123="","",'12 - Device_Configuration'!BK123)</f>
        <v/>
      </c>
      <c r="Y123" s="21" t="str">
        <f>IF('12 - Device_Configuration'!BB123="","",'12 - Device_Configuration'!BB123)</f>
        <v/>
      </c>
      <c r="Z123" s="21" t="str">
        <f>IF('12 - Device_Configuration'!P123="","",'12 - Device_Configuration'!P123)</f>
        <v/>
      </c>
      <c r="AA123" s="21" t="str">
        <f>IF('12 - Device_Configuration'!Q123="","",'12 - Device_Configuration'!Q123)</f>
        <v/>
      </c>
    </row>
    <row r="124" spans="1:27">
      <c r="A124" s="22"/>
      <c r="B124" s="22"/>
      <c r="C124" s="21" t="str">
        <f>IF('12 - Device_Configuration'!H124="","",'12 - Device_Configuration'!H124)</f>
        <v>LIJ - OR</v>
      </c>
      <c r="D124" s="21" t="str">
        <f>IF('12 - Device_Configuration'!AE124="","",'12 - Device_Configuration'!AE124)</f>
        <v/>
      </c>
      <c r="E124" s="21" t="str">
        <f>IF('12 - Device_Configuration'!AF124="","",'12 - Device_Configuration'!AF124)</f>
        <v/>
      </c>
      <c r="F124" s="21" t="str">
        <f>IF('12 - Device_Configuration'!AG124="","",'12 - Device_Configuration'!AG124)</f>
        <v/>
      </c>
      <c r="G124" s="21" t="str">
        <f>IF('12 - Device_Configuration'!AH124="","",'12 - Device_Configuration'!AH124)</f>
        <v/>
      </c>
      <c r="H124" s="21" t="str">
        <f>IF('12 - Device_Configuration'!A124="","",'12 - Device_Configuration'!A124)</f>
        <v>Cybernet</v>
      </c>
      <c r="I124" s="21" t="str">
        <f>IF('12 - Device_Configuration'!AI124="","",'12 - Device_Configuration'!AI124)</f>
        <v/>
      </c>
      <c r="J124" s="21" t="str">
        <f>IF('12 - Device_Configuration'!AJ124="","",'12 - Device_Configuration'!AJ124)</f>
        <v/>
      </c>
      <c r="K124" s="21" t="str">
        <f>IF('12 - Device_Configuration'!AA124="","",'12 - Device_Configuration'!AA124)</f>
        <v/>
      </c>
      <c r="L124" s="21" t="str">
        <f>IF('12 - Device_Configuration'!I124="","",'12 - Device_Configuration'!I124)</f>
        <v/>
      </c>
      <c r="M124" s="22"/>
      <c r="N124" s="21" t="str">
        <f>IF('12 - Device_Configuration'!J124="","",'12 - Device_Configuration'!J124)</f>
        <v>Yes</v>
      </c>
      <c r="O124" s="21" t="str">
        <f>IF('12 - Device_Configuration'!K124="","",'12 - Device_Configuration'!K124)</f>
        <v>No</v>
      </c>
      <c r="P124" s="21" t="str">
        <f>IF('12 - Device_Configuration'!L124="","",'12 - Device_Configuration'!L124)</f>
        <v>No</v>
      </c>
      <c r="Q124" s="22"/>
      <c r="R124" s="21" t="str">
        <f>IF('12 - Device_Configuration'!AY124="","",'12 - Device_Configuration'!AY124)</f>
        <v/>
      </c>
      <c r="S124" s="21" t="str">
        <f>IF('12 - Device_Configuration'!AX124="","",'12 - Device_Configuration'!AX124)</f>
        <v/>
      </c>
      <c r="T124" s="21" t="str">
        <f>IF('12 - Device_Configuration'!AV124="","",'12 - Device_Configuration'!AV124)</f>
        <v/>
      </c>
      <c r="U124" s="21" t="str">
        <f>IF('12 - Device_Configuration'!AW124="","",'12 - Device_Configuration'!AW124)</f>
        <v/>
      </c>
      <c r="V124" s="21" t="str">
        <f>IF('12 - Device_Configuration'!BA124="","",'12 - Device_Configuration'!BA124)</f>
        <v/>
      </c>
      <c r="W124" s="21" t="str">
        <f>IF('12 - Device_Configuration'!BC124="","",'12 - Device_Configuration'!BC124)</f>
        <v/>
      </c>
      <c r="X124" s="21" t="str">
        <f>IF('12 - Device_Configuration'!BK124="","",'12 - Device_Configuration'!BK124)</f>
        <v/>
      </c>
      <c r="Y124" s="21" t="str">
        <f>IF('12 - Device_Configuration'!BB124="","",'12 - Device_Configuration'!BB124)</f>
        <v/>
      </c>
      <c r="Z124" s="21" t="str">
        <f>IF('12 - Device_Configuration'!P124="","",'12 - Device_Configuration'!P124)</f>
        <v/>
      </c>
      <c r="AA124" s="21" t="str">
        <f>IF('12 - Device_Configuration'!Q124="","",'12 - Device_Configuration'!Q124)</f>
        <v/>
      </c>
    </row>
    <row r="125" spans="1:27">
      <c r="A125" s="22"/>
      <c r="B125" s="22"/>
      <c r="C125" s="21" t="str">
        <f>IF('12 - Device_Configuration'!H125="","",'12 - Device_Configuration'!H125)</f>
        <v>LIJ - OR</v>
      </c>
      <c r="D125" s="21" t="str">
        <f>IF('12 - Device_Configuration'!AE125="","",'12 - Device_Configuration'!AE125)</f>
        <v/>
      </c>
      <c r="E125" s="21" t="str">
        <f>IF('12 - Device_Configuration'!AF125="","",'12 - Device_Configuration'!AF125)</f>
        <v/>
      </c>
      <c r="F125" s="21" t="str">
        <f>IF('12 - Device_Configuration'!AG125="","",'12 - Device_Configuration'!AG125)</f>
        <v/>
      </c>
      <c r="G125" s="21" t="str">
        <f>IF('12 - Device_Configuration'!AH125="","",'12 - Device_Configuration'!AH125)</f>
        <v/>
      </c>
      <c r="H125" s="21" t="str">
        <f>IF('12 - Device_Configuration'!A125="","",'12 - Device_Configuration'!A125)</f>
        <v>Cybernet</v>
      </c>
      <c r="I125" s="21" t="str">
        <f>IF('12 - Device_Configuration'!AI125="","",'12 - Device_Configuration'!AI125)</f>
        <v/>
      </c>
      <c r="J125" s="21" t="str">
        <f>IF('12 - Device_Configuration'!AJ125="","",'12 - Device_Configuration'!AJ125)</f>
        <v/>
      </c>
      <c r="K125" s="21" t="str">
        <f>IF('12 - Device_Configuration'!AA125="","",'12 - Device_Configuration'!AA125)</f>
        <v/>
      </c>
      <c r="L125" s="21" t="str">
        <f>IF('12 - Device_Configuration'!I125="","",'12 - Device_Configuration'!I125)</f>
        <v/>
      </c>
      <c r="M125" s="22"/>
      <c r="N125" s="21" t="str">
        <f>IF('12 - Device_Configuration'!J125="","",'12 - Device_Configuration'!J125)</f>
        <v>Yes</v>
      </c>
      <c r="O125" s="21" t="str">
        <f>IF('12 - Device_Configuration'!K125="","",'12 - Device_Configuration'!K125)</f>
        <v>No</v>
      </c>
      <c r="P125" s="21" t="str">
        <f>IF('12 - Device_Configuration'!L125="","",'12 - Device_Configuration'!L125)</f>
        <v>No</v>
      </c>
      <c r="Q125" s="22"/>
      <c r="R125" s="21" t="str">
        <f>IF('12 - Device_Configuration'!AY125="","",'12 - Device_Configuration'!AY125)</f>
        <v/>
      </c>
      <c r="S125" s="21" t="str">
        <f>IF('12 - Device_Configuration'!AX125="","",'12 - Device_Configuration'!AX125)</f>
        <v/>
      </c>
      <c r="T125" s="21" t="str">
        <f>IF('12 - Device_Configuration'!AV125="","",'12 - Device_Configuration'!AV125)</f>
        <v/>
      </c>
      <c r="U125" s="21" t="str">
        <f>IF('12 - Device_Configuration'!AW125="","",'12 - Device_Configuration'!AW125)</f>
        <v/>
      </c>
      <c r="V125" s="21" t="str">
        <f>IF('12 - Device_Configuration'!BA125="","",'12 - Device_Configuration'!BA125)</f>
        <v/>
      </c>
      <c r="W125" s="21" t="str">
        <f>IF('12 - Device_Configuration'!BC125="","",'12 - Device_Configuration'!BC125)</f>
        <v/>
      </c>
      <c r="X125" s="21" t="str">
        <f>IF('12 - Device_Configuration'!BK125="","",'12 - Device_Configuration'!BK125)</f>
        <v/>
      </c>
      <c r="Y125" s="21" t="str">
        <f>IF('12 - Device_Configuration'!BB125="","",'12 - Device_Configuration'!BB125)</f>
        <v/>
      </c>
      <c r="Z125" s="21" t="str">
        <f>IF('12 - Device_Configuration'!P125="","",'12 - Device_Configuration'!P125)</f>
        <v/>
      </c>
      <c r="AA125" s="21" t="str">
        <f>IF('12 - Device_Configuration'!Q125="","",'12 - Device_Configuration'!Q125)</f>
        <v/>
      </c>
    </row>
    <row r="126" spans="1:27">
      <c r="A126" s="22"/>
      <c r="B126" s="22"/>
      <c r="C126" s="21" t="str">
        <f>IF('12 - Device_Configuration'!H126="","",'12 - Device_Configuration'!H126)</f>
        <v>LIJ - OR</v>
      </c>
      <c r="D126" s="21" t="str">
        <f>IF('12 - Device_Configuration'!AE126="","",'12 - Device_Configuration'!AE126)</f>
        <v/>
      </c>
      <c r="E126" s="21" t="str">
        <f>IF('12 - Device_Configuration'!AF126="","",'12 - Device_Configuration'!AF126)</f>
        <v/>
      </c>
      <c r="F126" s="21" t="str">
        <f>IF('12 - Device_Configuration'!AG126="","",'12 - Device_Configuration'!AG126)</f>
        <v/>
      </c>
      <c r="G126" s="21" t="str">
        <f>IF('12 - Device_Configuration'!AH126="","",'12 - Device_Configuration'!AH126)</f>
        <v/>
      </c>
      <c r="H126" s="21" t="str">
        <f>IF('12 - Device_Configuration'!A126="","",'12 - Device_Configuration'!A126)</f>
        <v>Cybernet</v>
      </c>
      <c r="I126" s="21" t="str">
        <f>IF('12 - Device_Configuration'!AI126="","",'12 - Device_Configuration'!AI126)</f>
        <v/>
      </c>
      <c r="J126" s="21" t="str">
        <f>IF('12 - Device_Configuration'!AJ126="","",'12 - Device_Configuration'!AJ126)</f>
        <v/>
      </c>
      <c r="K126" s="21" t="str">
        <f>IF('12 - Device_Configuration'!AA126="","",'12 - Device_Configuration'!AA126)</f>
        <v/>
      </c>
      <c r="L126" s="21" t="str">
        <f>IF('12 - Device_Configuration'!I126="","",'12 - Device_Configuration'!I126)</f>
        <v/>
      </c>
      <c r="M126" s="22"/>
      <c r="N126" s="21" t="str">
        <f>IF('12 - Device_Configuration'!J126="","",'12 - Device_Configuration'!J126)</f>
        <v>Yes</v>
      </c>
      <c r="O126" s="21" t="str">
        <f>IF('12 - Device_Configuration'!K126="","",'12 - Device_Configuration'!K126)</f>
        <v>No</v>
      </c>
      <c r="P126" s="21" t="str">
        <f>IF('12 - Device_Configuration'!L126="","",'12 - Device_Configuration'!L126)</f>
        <v>No</v>
      </c>
      <c r="Q126" s="22"/>
      <c r="R126" s="21" t="str">
        <f>IF('12 - Device_Configuration'!AY126="","",'12 - Device_Configuration'!AY126)</f>
        <v/>
      </c>
      <c r="S126" s="21" t="str">
        <f>IF('12 - Device_Configuration'!AX126="","",'12 - Device_Configuration'!AX126)</f>
        <v/>
      </c>
      <c r="T126" s="21" t="str">
        <f>IF('12 - Device_Configuration'!AV126="","",'12 - Device_Configuration'!AV126)</f>
        <v/>
      </c>
      <c r="U126" s="21" t="str">
        <f>IF('12 - Device_Configuration'!AW126="","",'12 - Device_Configuration'!AW126)</f>
        <v/>
      </c>
      <c r="V126" s="21" t="str">
        <f>IF('12 - Device_Configuration'!BA126="","",'12 - Device_Configuration'!BA126)</f>
        <v/>
      </c>
      <c r="W126" s="21" t="str">
        <f>IF('12 - Device_Configuration'!BC126="","",'12 - Device_Configuration'!BC126)</f>
        <v/>
      </c>
      <c r="X126" s="21" t="str">
        <f>IF('12 - Device_Configuration'!BK126="","",'12 - Device_Configuration'!BK126)</f>
        <v/>
      </c>
      <c r="Y126" s="21" t="str">
        <f>IF('12 - Device_Configuration'!BB126="","",'12 - Device_Configuration'!BB126)</f>
        <v/>
      </c>
      <c r="Z126" s="21" t="str">
        <f>IF('12 - Device_Configuration'!P126="","",'12 - Device_Configuration'!P126)</f>
        <v/>
      </c>
      <c r="AA126" s="21" t="str">
        <f>IF('12 - Device_Configuration'!Q126="","",'12 - Device_Configuration'!Q126)</f>
        <v/>
      </c>
    </row>
    <row r="127" spans="1:27">
      <c r="A127" s="22"/>
      <c r="B127" s="22"/>
      <c r="C127" s="21" t="str">
        <f>IF('12 - Device_Configuration'!H127="","",'12 - Device_Configuration'!H127)</f>
        <v>LIJ - OR</v>
      </c>
      <c r="D127" s="21" t="str">
        <f>IF('12 - Device_Configuration'!AE127="","",'12 - Device_Configuration'!AE127)</f>
        <v/>
      </c>
      <c r="E127" s="21" t="str">
        <f>IF('12 - Device_Configuration'!AF127="","",'12 - Device_Configuration'!AF127)</f>
        <v/>
      </c>
      <c r="F127" s="21" t="str">
        <f>IF('12 - Device_Configuration'!AG127="","",'12 - Device_Configuration'!AG127)</f>
        <v/>
      </c>
      <c r="G127" s="21" t="str">
        <f>IF('12 - Device_Configuration'!AH127="","",'12 - Device_Configuration'!AH127)</f>
        <v/>
      </c>
      <c r="H127" s="21" t="str">
        <f>IF('12 - Device_Configuration'!A127="","",'12 - Device_Configuration'!A127)</f>
        <v>Cybernet</v>
      </c>
      <c r="I127" s="21" t="str">
        <f>IF('12 - Device_Configuration'!AI127="","",'12 - Device_Configuration'!AI127)</f>
        <v/>
      </c>
      <c r="J127" s="21" t="str">
        <f>IF('12 - Device_Configuration'!AJ127="","",'12 - Device_Configuration'!AJ127)</f>
        <v/>
      </c>
      <c r="K127" s="21" t="str">
        <f>IF('12 - Device_Configuration'!AA127="","",'12 - Device_Configuration'!AA127)</f>
        <v/>
      </c>
      <c r="L127" s="21" t="str">
        <f>IF('12 - Device_Configuration'!I127="","",'12 - Device_Configuration'!I127)</f>
        <v/>
      </c>
      <c r="M127" s="22"/>
      <c r="N127" s="21" t="str">
        <f>IF('12 - Device_Configuration'!J127="","",'12 - Device_Configuration'!J127)</f>
        <v>Yes</v>
      </c>
      <c r="O127" s="21" t="str">
        <f>IF('12 - Device_Configuration'!K127="","",'12 - Device_Configuration'!K127)</f>
        <v>No</v>
      </c>
      <c r="P127" s="21" t="str">
        <f>IF('12 - Device_Configuration'!L127="","",'12 - Device_Configuration'!L127)</f>
        <v>No</v>
      </c>
      <c r="Q127" s="22"/>
      <c r="R127" s="21" t="str">
        <f>IF('12 - Device_Configuration'!AY127="","",'12 - Device_Configuration'!AY127)</f>
        <v/>
      </c>
      <c r="S127" s="21" t="str">
        <f>IF('12 - Device_Configuration'!AX127="","",'12 - Device_Configuration'!AX127)</f>
        <v/>
      </c>
      <c r="T127" s="21" t="str">
        <f>IF('12 - Device_Configuration'!AV127="","",'12 - Device_Configuration'!AV127)</f>
        <v/>
      </c>
      <c r="U127" s="21" t="str">
        <f>IF('12 - Device_Configuration'!AW127="","",'12 - Device_Configuration'!AW127)</f>
        <v/>
      </c>
      <c r="V127" s="21" t="str">
        <f>IF('12 - Device_Configuration'!BA127="","",'12 - Device_Configuration'!BA127)</f>
        <v/>
      </c>
      <c r="W127" s="21" t="str">
        <f>IF('12 - Device_Configuration'!BC127="","",'12 - Device_Configuration'!BC127)</f>
        <v/>
      </c>
      <c r="X127" s="21" t="str">
        <f>IF('12 - Device_Configuration'!BK127="","",'12 - Device_Configuration'!BK127)</f>
        <v/>
      </c>
      <c r="Y127" s="21" t="str">
        <f>IF('12 - Device_Configuration'!BB127="","",'12 - Device_Configuration'!BB127)</f>
        <v/>
      </c>
      <c r="Z127" s="21" t="str">
        <f>IF('12 - Device_Configuration'!P127="","",'12 - Device_Configuration'!P127)</f>
        <v/>
      </c>
      <c r="AA127" s="21" t="str">
        <f>IF('12 - Device_Configuration'!Q127="","",'12 - Device_Configuration'!Q127)</f>
        <v/>
      </c>
    </row>
    <row r="128" spans="1:27">
      <c r="A128" s="22"/>
      <c r="B128" s="22"/>
      <c r="C128" s="21" t="str">
        <f>IF('12 - Device_Configuration'!H128="","",'12 - Device_Configuration'!H128)</f>
        <v>LIJ - OR</v>
      </c>
      <c r="D128" s="21" t="str">
        <f>IF('12 - Device_Configuration'!AE128="","",'12 - Device_Configuration'!AE128)</f>
        <v/>
      </c>
      <c r="E128" s="21" t="str">
        <f>IF('12 - Device_Configuration'!AF128="","",'12 - Device_Configuration'!AF128)</f>
        <v/>
      </c>
      <c r="F128" s="21" t="str">
        <f>IF('12 - Device_Configuration'!AG128="","",'12 - Device_Configuration'!AG128)</f>
        <v/>
      </c>
      <c r="G128" s="21" t="str">
        <f>IF('12 - Device_Configuration'!AH128="","",'12 - Device_Configuration'!AH128)</f>
        <v/>
      </c>
      <c r="H128" s="21" t="str">
        <f>IF('12 - Device_Configuration'!A128="","",'12 - Device_Configuration'!A128)</f>
        <v>Cybernet</v>
      </c>
      <c r="I128" s="21" t="str">
        <f>IF('12 - Device_Configuration'!AI128="","",'12 - Device_Configuration'!AI128)</f>
        <v/>
      </c>
      <c r="J128" s="21" t="str">
        <f>IF('12 - Device_Configuration'!AJ128="","",'12 - Device_Configuration'!AJ128)</f>
        <v/>
      </c>
      <c r="K128" s="21" t="str">
        <f>IF('12 - Device_Configuration'!AA128="","",'12 - Device_Configuration'!AA128)</f>
        <v/>
      </c>
      <c r="L128" s="21" t="str">
        <f>IF('12 - Device_Configuration'!I128="","",'12 - Device_Configuration'!I128)</f>
        <v/>
      </c>
      <c r="M128" s="22"/>
      <c r="N128" s="21" t="str">
        <f>IF('12 - Device_Configuration'!J128="","",'12 - Device_Configuration'!J128)</f>
        <v>Yes</v>
      </c>
      <c r="O128" s="21" t="str">
        <f>IF('12 - Device_Configuration'!K128="","",'12 - Device_Configuration'!K128)</f>
        <v>No</v>
      </c>
      <c r="P128" s="21" t="str">
        <f>IF('12 - Device_Configuration'!L128="","",'12 - Device_Configuration'!L128)</f>
        <v>No</v>
      </c>
      <c r="Q128" s="22"/>
      <c r="R128" s="21" t="str">
        <f>IF('12 - Device_Configuration'!AY128="","",'12 - Device_Configuration'!AY128)</f>
        <v/>
      </c>
      <c r="S128" s="21" t="str">
        <f>IF('12 - Device_Configuration'!AX128="","",'12 - Device_Configuration'!AX128)</f>
        <v/>
      </c>
      <c r="T128" s="21" t="str">
        <f>IF('12 - Device_Configuration'!AV128="","",'12 - Device_Configuration'!AV128)</f>
        <v/>
      </c>
      <c r="U128" s="21" t="str">
        <f>IF('12 - Device_Configuration'!AW128="","",'12 - Device_Configuration'!AW128)</f>
        <v/>
      </c>
      <c r="V128" s="21" t="str">
        <f>IF('12 - Device_Configuration'!BA128="","",'12 - Device_Configuration'!BA128)</f>
        <v/>
      </c>
      <c r="W128" s="21" t="str">
        <f>IF('12 - Device_Configuration'!BC128="","",'12 - Device_Configuration'!BC128)</f>
        <v/>
      </c>
      <c r="X128" s="21" t="str">
        <f>IF('12 - Device_Configuration'!BK128="","",'12 - Device_Configuration'!BK128)</f>
        <v/>
      </c>
      <c r="Y128" s="21" t="str">
        <f>IF('12 - Device_Configuration'!BB128="","",'12 - Device_Configuration'!BB128)</f>
        <v/>
      </c>
      <c r="Z128" s="21" t="str">
        <f>IF('12 - Device_Configuration'!P128="","",'12 - Device_Configuration'!P128)</f>
        <v/>
      </c>
      <c r="AA128" s="21" t="str">
        <f>IF('12 - Device_Configuration'!Q128="","",'12 - Device_Configuration'!Q128)</f>
        <v/>
      </c>
    </row>
    <row r="129" spans="1:27">
      <c r="A129" s="22"/>
      <c r="B129" s="22"/>
      <c r="C129" s="21" t="str">
        <f>IF('12 - Device_Configuration'!H129="","",'12 - Device_Configuration'!H129)</f>
        <v>LIJ - OR</v>
      </c>
      <c r="D129" s="21" t="str">
        <f>IF('12 - Device_Configuration'!AE129="","",'12 - Device_Configuration'!AE129)</f>
        <v/>
      </c>
      <c r="E129" s="21" t="str">
        <f>IF('12 - Device_Configuration'!AF129="","",'12 - Device_Configuration'!AF129)</f>
        <v/>
      </c>
      <c r="F129" s="21" t="str">
        <f>IF('12 - Device_Configuration'!AG129="","",'12 - Device_Configuration'!AG129)</f>
        <v/>
      </c>
      <c r="G129" s="21" t="str">
        <f>IF('12 - Device_Configuration'!AH129="","",'12 - Device_Configuration'!AH129)</f>
        <v/>
      </c>
      <c r="H129" s="21" t="str">
        <f>IF('12 - Device_Configuration'!A129="","",'12 - Device_Configuration'!A129)</f>
        <v>Cybernet</v>
      </c>
      <c r="I129" s="21" t="str">
        <f>IF('12 - Device_Configuration'!AI129="","",'12 - Device_Configuration'!AI129)</f>
        <v/>
      </c>
      <c r="J129" s="21" t="str">
        <f>IF('12 - Device_Configuration'!AJ129="","",'12 - Device_Configuration'!AJ129)</f>
        <v/>
      </c>
      <c r="K129" s="21" t="str">
        <f>IF('12 - Device_Configuration'!AA129="","",'12 - Device_Configuration'!AA129)</f>
        <v/>
      </c>
      <c r="L129" s="21" t="str">
        <f>IF('12 - Device_Configuration'!I129="","",'12 - Device_Configuration'!I129)</f>
        <v/>
      </c>
      <c r="M129" s="22"/>
      <c r="N129" s="21" t="str">
        <f>IF('12 - Device_Configuration'!J129="","",'12 - Device_Configuration'!J129)</f>
        <v>Yes</v>
      </c>
      <c r="O129" s="21" t="str">
        <f>IF('12 - Device_Configuration'!K129="","",'12 - Device_Configuration'!K129)</f>
        <v>No</v>
      </c>
      <c r="P129" s="21" t="str">
        <f>IF('12 - Device_Configuration'!L129="","",'12 - Device_Configuration'!L129)</f>
        <v>No</v>
      </c>
      <c r="Q129" s="22"/>
      <c r="R129" s="21" t="str">
        <f>IF('12 - Device_Configuration'!AY129="","",'12 - Device_Configuration'!AY129)</f>
        <v/>
      </c>
      <c r="S129" s="21" t="str">
        <f>IF('12 - Device_Configuration'!AX129="","",'12 - Device_Configuration'!AX129)</f>
        <v/>
      </c>
      <c r="T129" s="21" t="str">
        <f>IF('12 - Device_Configuration'!AV129="","",'12 - Device_Configuration'!AV129)</f>
        <v/>
      </c>
      <c r="U129" s="21" t="str">
        <f>IF('12 - Device_Configuration'!AW129="","",'12 - Device_Configuration'!AW129)</f>
        <v/>
      </c>
      <c r="V129" s="21" t="str">
        <f>IF('12 - Device_Configuration'!BA129="","",'12 - Device_Configuration'!BA129)</f>
        <v/>
      </c>
      <c r="W129" s="21" t="str">
        <f>IF('12 - Device_Configuration'!BC129="","",'12 - Device_Configuration'!BC129)</f>
        <v/>
      </c>
      <c r="X129" s="21" t="str">
        <f>IF('12 - Device_Configuration'!BK129="","",'12 - Device_Configuration'!BK129)</f>
        <v/>
      </c>
      <c r="Y129" s="21" t="str">
        <f>IF('12 - Device_Configuration'!BB129="","",'12 - Device_Configuration'!BB129)</f>
        <v/>
      </c>
      <c r="Z129" s="21" t="str">
        <f>IF('12 - Device_Configuration'!P129="","",'12 - Device_Configuration'!P129)</f>
        <v/>
      </c>
      <c r="AA129" s="21" t="str">
        <f>IF('12 - Device_Configuration'!Q129="","",'12 - Device_Configuration'!Q129)</f>
        <v/>
      </c>
    </row>
    <row r="130" spans="1:27">
      <c r="A130" s="22"/>
      <c r="B130" s="22"/>
      <c r="C130" s="21" t="str">
        <f>IF('12 - Device_Configuration'!H130="","",'12 - Device_Configuration'!H130)</f>
        <v>LIJ - OR</v>
      </c>
      <c r="D130" s="21" t="str">
        <f>IF('12 - Device_Configuration'!AE130="","",'12 - Device_Configuration'!AE130)</f>
        <v/>
      </c>
      <c r="E130" s="21" t="str">
        <f>IF('12 - Device_Configuration'!AF130="","",'12 - Device_Configuration'!AF130)</f>
        <v/>
      </c>
      <c r="F130" s="21" t="str">
        <f>IF('12 - Device_Configuration'!AG130="","",'12 - Device_Configuration'!AG130)</f>
        <v/>
      </c>
      <c r="G130" s="21" t="str">
        <f>IF('12 - Device_Configuration'!AH130="","",'12 - Device_Configuration'!AH130)</f>
        <v/>
      </c>
      <c r="H130" s="21" t="str">
        <f>IF('12 - Device_Configuration'!A130="","",'12 - Device_Configuration'!A130)</f>
        <v>Cybernet</v>
      </c>
      <c r="I130" s="21" t="str">
        <f>IF('12 - Device_Configuration'!AI130="","",'12 - Device_Configuration'!AI130)</f>
        <v/>
      </c>
      <c r="J130" s="21" t="str">
        <f>IF('12 - Device_Configuration'!AJ130="","",'12 - Device_Configuration'!AJ130)</f>
        <v/>
      </c>
      <c r="K130" s="21" t="str">
        <f>IF('12 - Device_Configuration'!AA130="","",'12 - Device_Configuration'!AA130)</f>
        <v/>
      </c>
      <c r="L130" s="21" t="str">
        <f>IF('12 - Device_Configuration'!I130="","",'12 - Device_Configuration'!I130)</f>
        <v/>
      </c>
      <c r="M130" s="22"/>
      <c r="N130" s="21" t="str">
        <f>IF('12 - Device_Configuration'!J130="","",'12 - Device_Configuration'!J130)</f>
        <v>Yes</v>
      </c>
      <c r="O130" s="21" t="str">
        <f>IF('12 - Device_Configuration'!K130="","",'12 - Device_Configuration'!K130)</f>
        <v>No</v>
      </c>
      <c r="P130" s="21" t="str">
        <f>IF('12 - Device_Configuration'!L130="","",'12 - Device_Configuration'!L130)</f>
        <v>No</v>
      </c>
      <c r="Q130" s="22"/>
      <c r="R130" s="21" t="str">
        <f>IF('12 - Device_Configuration'!AY130="","",'12 - Device_Configuration'!AY130)</f>
        <v/>
      </c>
      <c r="S130" s="21" t="str">
        <f>IF('12 - Device_Configuration'!AX130="","",'12 - Device_Configuration'!AX130)</f>
        <v/>
      </c>
      <c r="T130" s="21" t="str">
        <f>IF('12 - Device_Configuration'!AV130="","",'12 - Device_Configuration'!AV130)</f>
        <v/>
      </c>
      <c r="U130" s="21" t="str">
        <f>IF('12 - Device_Configuration'!AW130="","",'12 - Device_Configuration'!AW130)</f>
        <v/>
      </c>
      <c r="V130" s="21" t="str">
        <f>IF('12 - Device_Configuration'!BA130="","",'12 - Device_Configuration'!BA130)</f>
        <v/>
      </c>
      <c r="W130" s="21" t="str">
        <f>IF('12 - Device_Configuration'!BC130="","",'12 - Device_Configuration'!BC130)</f>
        <v/>
      </c>
      <c r="X130" s="21" t="str">
        <f>IF('12 - Device_Configuration'!BK130="","",'12 - Device_Configuration'!BK130)</f>
        <v/>
      </c>
      <c r="Y130" s="21" t="str">
        <f>IF('12 - Device_Configuration'!BB130="","",'12 - Device_Configuration'!BB130)</f>
        <v/>
      </c>
      <c r="Z130" s="21" t="str">
        <f>IF('12 - Device_Configuration'!P130="","",'12 - Device_Configuration'!P130)</f>
        <v/>
      </c>
      <c r="AA130" s="21" t="str">
        <f>IF('12 - Device_Configuration'!Q130="","",'12 - Device_Configuration'!Q130)</f>
        <v/>
      </c>
    </row>
    <row r="131" spans="1:27">
      <c r="A131" s="22"/>
      <c r="B131" s="22"/>
      <c r="C131" s="21" t="str">
        <f>IF('12 - Device_Configuration'!H131="","",'12 - Device_Configuration'!H131)</f>
        <v>LIJ - OR</v>
      </c>
      <c r="D131" s="21" t="str">
        <f>IF('12 - Device_Configuration'!AE131="","",'12 - Device_Configuration'!AE131)</f>
        <v/>
      </c>
      <c r="E131" s="21" t="str">
        <f>IF('12 - Device_Configuration'!AF131="","",'12 - Device_Configuration'!AF131)</f>
        <v/>
      </c>
      <c r="F131" s="21" t="str">
        <f>IF('12 - Device_Configuration'!AG131="","",'12 - Device_Configuration'!AG131)</f>
        <v/>
      </c>
      <c r="G131" s="21" t="str">
        <f>IF('12 - Device_Configuration'!AH131="","",'12 - Device_Configuration'!AH131)</f>
        <v/>
      </c>
      <c r="H131" s="21" t="str">
        <f>IF('12 - Device_Configuration'!A131="","",'12 - Device_Configuration'!A131)</f>
        <v>Cybernet</v>
      </c>
      <c r="I131" s="21" t="str">
        <f>IF('12 - Device_Configuration'!AI131="","",'12 - Device_Configuration'!AI131)</f>
        <v/>
      </c>
      <c r="J131" s="21" t="str">
        <f>IF('12 - Device_Configuration'!AJ131="","",'12 - Device_Configuration'!AJ131)</f>
        <v/>
      </c>
      <c r="K131" s="21" t="str">
        <f>IF('12 - Device_Configuration'!AA131="","",'12 - Device_Configuration'!AA131)</f>
        <v/>
      </c>
      <c r="L131" s="21" t="str">
        <f>IF('12 - Device_Configuration'!I131="","",'12 - Device_Configuration'!I131)</f>
        <v/>
      </c>
      <c r="M131" s="22"/>
      <c r="N131" s="21" t="str">
        <f>IF('12 - Device_Configuration'!J131="","",'12 - Device_Configuration'!J131)</f>
        <v>Yes</v>
      </c>
      <c r="O131" s="21" t="str">
        <f>IF('12 - Device_Configuration'!K131="","",'12 - Device_Configuration'!K131)</f>
        <v>No</v>
      </c>
      <c r="P131" s="21" t="str">
        <f>IF('12 - Device_Configuration'!L131="","",'12 - Device_Configuration'!L131)</f>
        <v>No</v>
      </c>
      <c r="Q131" s="22"/>
      <c r="R131" s="21" t="str">
        <f>IF('12 - Device_Configuration'!AY131="","",'12 - Device_Configuration'!AY131)</f>
        <v/>
      </c>
      <c r="S131" s="21" t="str">
        <f>IF('12 - Device_Configuration'!AX131="","",'12 - Device_Configuration'!AX131)</f>
        <v/>
      </c>
      <c r="T131" s="21" t="str">
        <f>IF('12 - Device_Configuration'!AV131="","",'12 - Device_Configuration'!AV131)</f>
        <v/>
      </c>
      <c r="U131" s="21" t="str">
        <f>IF('12 - Device_Configuration'!AW131="","",'12 - Device_Configuration'!AW131)</f>
        <v/>
      </c>
      <c r="V131" s="21" t="str">
        <f>IF('12 - Device_Configuration'!BA131="","",'12 - Device_Configuration'!BA131)</f>
        <v/>
      </c>
      <c r="W131" s="21" t="str">
        <f>IF('12 - Device_Configuration'!BC131="","",'12 - Device_Configuration'!BC131)</f>
        <v/>
      </c>
      <c r="X131" s="21" t="str">
        <f>IF('12 - Device_Configuration'!BK131="","",'12 - Device_Configuration'!BK131)</f>
        <v/>
      </c>
      <c r="Y131" s="21" t="str">
        <f>IF('12 - Device_Configuration'!BB131="","",'12 - Device_Configuration'!BB131)</f>
        <v/>
      </c>
      <c r="Z131" s="21" t="str">
        <f>IF('12 - Device_Configuration'!P131="","",'12 - Device_Configuration'!P131)</f>
        <v/>
      </c>
      <c r="AA131" s="21" t="str">
        <f>IF('12 - Device_Configuration'!Q131="","",'12 - Device_Configuration'!Q131)</f>
        <v/>
      </c>
    </row>
    <row r="132" spans="1:27">
      <c r="A132" s="22"/>
      <c r="B132" s="22"/>
      <c r="C132" s="21" t="str">
        <f>IF('12 - Device_Configuration'!H132="","",'12 - Device_Configuration'!H132)</f>
        <v>LIJ - OR</v>
      </c>
      <c r="D132" s="21" t="str">
        <f>IF('12 - Device_Configuration'!AE132="","",'12 - Device_Configuration'!AE132)</f>
        <v/>
      </c>
      <c r="E132" s="21" t="str">
        <f>IF('12 - Device_Configuration'!AF132="","",'12 - Device_Configuration'!AF132)</f>
        <v/>
      </c>
      <c r="F132" s="21" t="str">
        <f>IF('12 - Device_Configuration'!AG132="","",'12 - Device_Configuration'!AG132)</f>
        <v/>
      </c>
      <c r="G132" s="21" t="str">
        <f>IF('12 - Device_Configuration'!AH132="","",'12 - Device_Configuration'!AH132)</f>
        <v/>
      </c>
      <c r="H132" s="21" t="str">
        <f>IF('12 - Device_Configuration'!A132="","",'12 - Device_Configuration'!A132)</f>
        <v>Cybernet</v>
      </c>
      <c r="I132" s="21" t="str">
        <f>IF('12 - Device_Configuration'!AI132="","",'12 - Device_Configuration'!AI132)</f>
        <v/>
      </c>
      <c r="J132" s="21" t="str">
        <f>IF('12 - Device_Configuration'!AJ132="","",'12 - Device_Configuration'!AJ132)</f>
        <v/>
      </c>
      <c r="K132" s="21" t="str">
        <f>IF('12 - Device_Configuration'!AA132="","",'12 - Device_Configuration'!AA132)</f>
        <v/>
      </c>
      <c r="L132" s="21" t="str">
        <f>IF('12 - Device_Configuration'!I132="","",'12 - Device_Configuration'!I132)</f>
        <v/>
      </c>
      <c r="M132" s="22"/>
      <c r="N132" s="21" t="str">
        <f>IF('12 - Device_Configuration'!J132="","",'12 - Device_Configuration'!J132)</f>
        <v>Yes</v>
      </c>
      <c r="O132" s="21" t="str">
        <f>IF('12 - Device_Configuration'!K132="","",'12 - Device_Configuration'!K132)</f>
        <v>No</v>
      </c>
      <c r="P132" s="21" t="str">
        <f>IF('12 - Device_Configuration'!L132="","",'12 - Device_Configuration'!L132)</f>
        <v>No</v>
      </c>
      <c r="Q132" s="22"/>
      <c r="R132" s="21" t="str">
        <f>IF('12 - Device_Configuration'!AY132="","",'12 - Device_Configuration'!AY132)</f>
        <v/>
      </c>
      <c r="S132" s="21" t="str">
        <f>IF('12 - Device_Configuration'!AX132="","",'12 - Device_Configuration'!AX132)</f>
        <v/>
      </c>
      <c r="T132" s="21" t="str">
        <f>IF('12 - Device_Configuration'!AV132="","",'12 - Device_Configuration'!AV132)</f>
        <v/>
      </c>
      <c r="U132" s="21" t="str">
        <f>IF('12 - Device_Configuration'!AW132="","",'12 - Device_Configuration'!AW132)</f>
        <v/>
      </c>
      <c r="V132" s="21" t="str">
        <f>IF('12 - Device_Configuration'!BA132="","",'12 - Device_Configuration'!BA132)</f>
        <v/>
      </c>
      <c r="W132" s="21" t="str">
        <f>IF('12 - Device_Configuration'!BC132="","",'12 - Device_Configuration'!BC132)</f>
        <v/>
      </c>
      <c r="X132" s="21" t="str">
        <f>IF('12 - Device_Configuration'!BK132="","",'12 - Device_Configuration'!BK132)</f>
        <v/>
      </c>
      <c r="Y132" s="21" t="str">
        <f>IF('12 - Device_Configuration'!BB132="","",'12 - Device_Configuration'!BB132)</f>
        <v/>
      </c>
      <c r="Z132" s="21" t="str">
        <f>IF('12 - Device_Configuration'!P132="","",'12 - Device_Configuration'!P132)</f>
        <v/>
      </c>
      <c r="AA132" s="21" t="str">
        <f>IF('12 - Device_Configuration'!Q132="","",'12 - Device_Configuration'!Q132)</f>
        <v/>
      </c>
    </row>
    <row r="133" spans="1:27">
      <c r="A133" s="22"/>
      <c r="B133" s="22"/>
      <c r="C133" s="21" t="str">
        <f>IF('12 - Device_Configuration'!H133="","",'12 - Device_Configuration'!H133)</f>
        <v>LIJ - OR</v>
      </c>
      <c r="D133" s="21" t="str">
        <f>IF('12 - Device_Configuration'!AE133="","",'12 - Device_Configuration'!AE133)</f>
        <v/>
      </c>
      <c r="E133" s="21" t="str">
        <f>IF('12 - Device_Configuration'!AF133="","",'12 - Device_Configuration'!AF133)</f>
        <v/>
      </c>
      <c r="F133" s="21" t="str">
        <f>IF('12 - Device_Configuration'!AG133="","",'12 - Device_Configuration'!AG133)</f>
        <v/>
      </c>
      <c r="G133" s="21" t="str">
        <f>IF('12 - Device_Configuration'!AH133="","",'12 - Device_Configuration'!AH133)</f>
        <v/>
      </c>
      <c r="H133" s="21" t="str">
        <f>IF('12 - Device_Configuration'!A133="","",'12 - Device_Configuration'!A133)</f>
        <v>Cybernet</v>
      </c>
      <c r="I133" s="21" t="str">
        <f>IF('12 - Device_Configuration'!AI133="","",'12 - Device_Configuration'!AI133)</f>
        <v/>
      </c>
      <c r="J133" s="21" t="str">
        <f>IF('12 - Device_Configuration'!AJ133="","",'12 - Device_Configuration'!AJ133)</f>
        <v/>
      </c>
      <c r="K133" s="21" t="str">
        <f>IF('12 - Device_Configuration'!AA133="","",'12 - Device_Configuration'!AA133)</f>
        <v/>
      </c>
      <c r="L133" s="21" t="str">
        <f>IF('12 - Device_Configuration'!I133="","",'12 - Device_Configuration'!I133)</f>
        <v/>
      </c>
      <c r="M133" s="22"/>
      <c r="N133" s="21" t="str">
        <f>IF('12 - Device_Configuration'!J133="","",'12 - Device_Configuration'!J133)</f>
        <v>Yes</v>
      </c>
      <c r="O133" s="21" t="str">
        <f>IF('12 - Device_Configuration'!K133="","",'12 - Device_Configuration'!K133)</f>
        <v>No</v>
      </c>
      <c r="P133" s="21" t="str">
        <f>IF('12 - Device_Configuration'!L133="","",'12 - Device_Configuration'!L133)</f>
        <v>No</v>
      </c>
      <c r="Q133" s="22"/>
      <c r="R133" s="21" t="str">
        <f>IF('12 - Device_Configuration'!AY133="","",'12 - Device_Configuration'!AY133)</f>
        <v/>
      </c>
      <c r="S133" s="21" t="str">
        <f>IF('12 - Device_Configuration'!AX133="","",'12 - Device_Configuration'!AX133)</f>
        <v/>
      </c>
      <c r="T133" s="21" t="str">
        <f>IF('12 - Device_Configuration'!AV133="","",'12 - Device_Configuration'!AV133)</f>
        <v/>
      </c>
      <c r="U133" s="21" t="str">
        <f>IF('12 - Device_Configuration'!AW133="","",'12 - Device_Configuration'!AW133)</f>
        <v/>
      </c>
      <c r="V133" s="21" t="str">
        <f>IF('12 - Device_Configuration'!BA133="","",'12 - Device_Configuration'!BA133)</f>
        <v/>
      </c>
      <c r="W133" s="21" t="str">
        <f>IF('12 - Device_Configuration'!BC133="","",'12 - Device_Configuration'!BC133)</f>
        <v/>
      </c>
      <c r="X133" s="21" t="str">
        <f>IF('12 - Device_Configuration'!BK133="","",'12 - Device_Configuration'!BK133)</f>
        <v/>
      </c>
      <c r="Y133" s="21" t="str">
        <f>IF('12 - Device_Configuration'!BB133="","",'12 - Device_Configuration'!BB133)</f>
        <v/>
      </c>
      <c r="Z133" s="21" t="str">
        <f>IF('12 - Device_Configuration'!P133="","",'12 - Device_Configuration'!P133)</f>
        <v/>
      </c>
      <c r="AA133" s="21" t="str">
        <f>IF('12 - Device_Configuration'!Q133="","",'12 - Device_Configuration'!Q133)</f>
        <v/>
      </c>
    </row>
    <row r="134" spans="1:27">
      <c r="A134" s="22"/>
      <c r="B134" s="22"/>
      <c r="C134" s="21" t="str">
        <f>IF('12 - Device_Configuration'!H134="","",'12 - Device_Configuration'!H134)</f>
        <v>LIJ - OR</v>
      </c>
      <c r="D134" s="21" t="str">
        <f>IF('12 - Device_Configuration'!AE134="","",'12 - Device_Configuration'!AE134)</f>
        <v/>
      </c>
      <c r="E134" s="21" t="str">
        <f>IF('12 - Device_Configuration'!AF134="","",'12 - Device_Configuration'!AF134)</f>
        <v/>
      </c>
      <c r="F134" s="21" t="str">
        <f>IF('12 - Device_Configuration'!AG134="","",'12 - Device_Configuration'!AG134)</f>
        <v/>
      </c>
      <c r="G134" s="21" t="str">
        <f>IF('12 - Device_Configuration'!AH134="","",'12 - Device_Configuration'!AH134)</f>
        <v/>
      </c>
      <c r="H134" s="21" t="str">
        <f>IF('12 - Device_Configuration'!A134="","",'12 - Device_Configuration'!A134)</f>
        <v>Cybernet</v>
      </c>
      <c r="I134" s="21" t="str">
        <f>IF('12 - Device_Configuration'!AI134="","",'12 - Device_Configuration'!AI134)</f>
        <v/>
      </c>
      <c r="J134" s="21" t="str">
        <f>IF('12 - Device_Configuration'!AJ134="","",'12 - Device_Configuration'!AJ134)</f>
        <v/>
      </c>
      <c r="K134" s="21" t="str">
        <f>IF('12 - Device_Configuration'!AA134="","",'12 - Device_Configuration'!AA134)</f>
        <v/>
      </c>
      <c r="L134" s="21" t="str">
        <f>IF('12 - Device_Configuration'!I134="","",'12 - Device_Configuration'!I134)</f>
        <v/>
      </c>
      <c r="M134" s="22"/>
      <c r="N134" s="21" t="str">
        <f>IF('12 - Device_Configuration'!J134="","",'12 - Device_Configuration'!J134)</f>
        <v>Yes</v>
      </c>
      <c r="O134" s="21" t="str">
        <f>IF('12 - Device_Configuration'!K134="","",'12 - Device_Configuration'!K134)</f>
        <v>No</v>
      </c>
      <c r="P134" s="21" t="str">
        <f>IF('12 - Device_Configuration'!L134="","",'12 - Device_Configuration'!L134)</f>
        <v>No</v>
      </c>
      <c r="Q134" s="22"/>
      <c r="R134" s="21" t="str">
        <f>IF('12 - Device_Configuration'!AY134="","",'12 - Device_Configuration'!AY134)</f>
        <v/>
      </c>
      <c r="S134" s="21" t="str">
        <f>IF('12 - Device_Configuration'!AX134="","",'12 - Device_Configuration'!AX134)</f>
        <v/>
      </c>
      <c r="T134" s="21" t="str">
        <f>IF('12 - Device_Configuration'!AV134="","",'12 - Device_Configuration'!AV134)</f>
        <v/>
      </c>
      <c r="U134" s="21" t="str">
        <f>IF('12 - Device_Configuration'!AW134="","",'12 - Device_Configuration'!AW134)</f>
        <v/>
      </c>
      <c r="V134" s="21" t="str">
        <f>IF('12 - Device_Configuration'!BA134="","",'12 - Device_Configuration'!BA134)</f>
        <v/>
      </c>
      <c r="W134" s="21" t="str">
        <f>IF('12 - Device_Configuration'!BC134="","",'12 - Device_Configuration'!BC134)</f>
        <v/>
      </c>
      <c r="X134" s="21" t="str">
        <f>IF('12 - Device_Configuration'!BK134="","",'12 - Device_Configuration'!BK134)</f>
        <v/>
      </c>
      <c r="Y134" s="21" t="str">
        <f>IF('12 - Device_Configuration'!BB134="","",'12 - Device_Configuration'!BB134)</f>
        <v/>
      </c>
      <c r="Z134" s="21" t="str">
        <f>IF('12 - Device_Configuration'!P134="","",'12 - Device_Configuration'!P134)</f>
        <v/>
      </c>
      <c r="AA134" s="21" t="str">
        <f>IF('12 - Device_Configuration'!Q134="","",'12 - Device_Configuration'!Q134)</f>
        <v/>
      </c>
    </row>
    <row r="135" spans="1:27">
      <c r="A135" s="22"/>
      <c r="B135" s="22"/>
      <c r="C135" s="21" t="str">
        <f>IF('12 - Device_Configuration'!H135="","",'12 - Device_Configuration'!H135)</f>
        <v>LIJ - OR</v>
      </c>
      <c r="D135" s="21" t="str">
        <f>IF('12 - Device_Configuration'!AE135="","",'12 - Device_Configuration'!AE135)</f>
        <v/>
      </c>
      <c r="E135" s="21" t="str">
        <f>IF('12 - Device_Configuration'!AF135="","",'12 - Device_Configuration'!AF135)</f>
        <v/>
      </c>
      <c r="F135" s="21" t="str">
        <f>IF('12 - Device_Configuration'!AG135="","",'12 - Device_Configuration'!AG135)</f>
        <v/>
      </c>
      <c r="G135" s="21" t="str">
        <f>IF('12 - Device_Configuration'!AH135="","",'12 - Device_Configuration'!AH135)</f>
        <v/>
      </c>
      <c r="H135" s="21" t="str">
        <f>IF('12 - Device_Configuration'!A135="","",'12 - Device_Configuration'!A135)</f>
        <v>Cybernet</v>
      </c>
      <c r="I135" s="21" t="str">
        <f>IF('12 - Device_Configuration'!AI135="","",'12 - Device_Configuration'!AI135)</f>
        <v/>
      </c>
      <c r="J135" s="21" t="str">
        <f>IF('12 - Device_Configuration'!AJ135="","",'12 - Device_Configuration'!AJ135)</f>
        <v/>
      </c>
      <c r="K135" s="21" t="str">
        <f>IF('12 - Device_Configuration'!AA135="","",'12 - Device_Configuration'!AA135)</f>
        <v/>
      </c>
      <c r="L135" s="21" t="str">
        <f>IF('12 - Device_Configuration'!I135="","",'12 - Device_Configuration'!I135)</f>
        <v/>
      </c>
      <c r="M135" s="22"/>
      <c r="N135" s="21" t="str">
        <f>IF('12 - Device_Configuration'!J135="","",'12 - Device_Configuration'!J135)</f>
        <v>Yes</v>
      </c>
      <c r="O135" s="21" t="str">
        <f>IF('12 - Device_Configuration'!K135="","",'12 - Device_Configuration'!K135)</f>
        <v>No</v>
      </c>
      <c r="P135" s="21" t="str">
        <f>IF('12 - Device_Configuration'!L135="","",'12 - Device_Configuration'!L135)</f>
        <v>No</v>
      </c>
      <c r="Q135" s="22"/>
      <c r="R135" s="21" t="str">
        <f>IF('12 - Device_Configuration'!AY135="","",'12 - Device_Configuration'!AY135)</f>
        <v/>
      </c>
      <c r="S135" s="21" t="str">
        <f>IF('12 - Device_Configuration'!AX135="","",'12 - Device_Configuration'!AX135)</f>
        <v/>
      </c>
      <c r="T135" s="21" t="str">
        <f>IF('12 - Device_Configuration'!AV135="","",'12 - Device_Configuration'!AV135)</f>
        <v/>
      </c>
      <c r="U135" s="21" t="str">
        <f>IF('12 - Device_Configuration'!AW135="","",'12 - Device_Configuration'!AW135)</f>
        <v/>
      </c>
      <c r="V135" s="21" t="str">
        <f>IF('12 - Device_Configuration'!BA135="","",'12 - Device_Configuration'!BA135)</f>
        <v/>
      </c>
      <c r="W135" s="21" t="str">
        <f>IF('12 - Device_Configuration'!BC135="","",'12 - Device_Configuration'!BC135)</f>
        <v/>
      </c>
      <c r="X135" s="21" t="str">
        <f>IF('12 - Device_Configuration'!BK135="","",'12 - Device_Configuration'!BK135)</f>
        <v/>
      </c>
      <c r="Y135" s="21" t="str">
        <f>IF('12 - Device_Configuration'!BB135="","",'12 - Device_Configuration'!BB135)</f>
        <v/>
      </c>
      <c r="Z135" s="21" t="str">
        <f>IF('12 - Device_Configuration'!P135="","",'12 - Device_Configuration'!P135)</f>
        <v/>
      </c>
      <c r="AA135" s="21" t="str">
        <f>IF('12 - Device_Configuration'!Q135="","",'12 - Device_Configuration'!Q135)</f>
        <v/>
      </c>
    </row>
    <row r="136" spans="1:27">
      <c r="A136" s="22"/>
      <c r="B136" s="22"/>
      <c r="C136" s="21" t="str">
        <f>IF('12 - Device_Configuration'!H136="","",'12 - Device_Configuration'!H136)</f>
        <v>LIJ - OR</v>
      </c>
      <c r="D136" s="21" t="str">
        <f>IF('12 - Device_Configuration'!AE136="","",'12 - Device_Configuration'!AE136)</f>
        <v/>
      </c>
      <c r="E136" s="21" t="str">
        <f>IF('12 - Device_Configuration'!AF136="","",'12 - Device_Configuration'!AF136)</f>
        <v/>
      </c>
      <c r="F136" s="21" t="str">
        <f>IF('12 - Device_Configuration'!AG136="","",'12 - Device_Configuration'!AG136)</f>
        <v/>
      </c>
      <c r="G136" s="21" t="str">
        <f>IF('12 - Device_Configuration'!AH136="","",'12 - Device_Configuration'!AH136)</f>
        <v/>
      </c>
      <c r="H136" s="21" t="str">
        <f>IF('12 - Device_Configuration'!A136="","",'12 - Device_Configuration'!A136)</f>
        <v>Cybernet</v>
      </c>
      <c r="I136" s="21" t="str">
        <f>IF('12 - Device_Configuration'!AI136="","",'12 - Device_Configuration'!AI136)</f>
        <v/>
      </c>
      <c r="J136" s="21" t="str">
        <f>IF('12 - Device_Configuration'!AJ136="","",'12 - Device_Configuration'!AJ136)</f>
        <v/>
      </c>
      <c r="K136" s="21" t="str">
        <f>IF('12 - Device_Configuration'!AA136="","",'12 - Device_Configuration'!AA136)</f>
        <v/>
      </c>
      <c r="L136" s="21" t="str">
        <f>IF('12 - Device_Configuration'!I136="","",'12 - Device_Configuration'!I136)</f>
        <v/>
      </c>
      <c r="M136" s="22"/>
      <c r="N136" s="21" t="str">
        <f>IF('12 - Device_Configuration'!J136="","",'12 - Device_Configuration'!J136)</f>
        <v>Yes</v>
      </c>
      <c r="O136" s="21" t="str">
        <f>IF('12 - Device_Configuration'!K136="","",'12 - Device_Configuration'!K136)</f>
        <v>No</v>
      </c>
      <c r="P136" s="21" t="str">
        <f>IF('12 - Device_Configuration'!L136="","",'12 - Device_Configuration'!L136)</f>
        <v>No</v>
      </c>
      <c r="Q136" s="22"/>
      <c r="R136" s="21" t="str">
        <f>IF('12 - Device_Configuration'!AY136="","",'12 - Device_Configuration'!AY136)</f>
        <v/>
      </c>
      <c r="S136" s="21" t="str">
        <f>IF('12 - Device_Configuration'!AX136="","",'12 - Device_Configuration'!AX136)</f>
        <v/>
      </c>
      <c r="T136" s="21" t="str">
        <f>IF('12 - Device_Configuration'!AV136="","",'12 - Device_Configuration'!AV136)</f>
        <v/>
      </c>
      <c r="U136" s="21" t="str">
        <f>IF('12 - Device_Configuration'!AW136="","",'12 - Device_Configuration'!AW136)</f>
        <v/>
      </c>
      <c r="V136" s="21" t="str">
        <f>IF('12 - Device_Configuration'!BA136="","",'12 - Device_Configuration'!BA136)</f>
        <v/>
      </c>
      <c r="W136" s="21" t="str">
        <f>IF('12 - Device_Configuration'!BC136="","",'12 - Device_Configuration'!BC136)</f>
        <v/>
      </c>
      <c r="X136" s="21" t="str">
        <f>IF('12 - Device_Configuration'!BK136="","",'12 - Device_Configuration'!BK136)</f>
        <v/>
      </c>
      <c r="Y136" s="21" t="str">
        <f>IF('12 - Device_Configuration'!BB136="","",'12 - Device_Configuration'!BB136)</f>
        <v/>
      </c>
      <c r="Z136" s="21" t="str">
        <f>IF('12 - Device_Configuration'!P136="","",'12 - Device_Configuration'!P136)</f>
        <v/>
      </c>
      <c r="AA136" s="21" t="str">
        <f>IF('12 - Device_Configuration'!Q136="","",'12 - Device_Configuration'!Q136)</f>
        <v/>
      </c>
    </row>
    <row r="137" spans="1:27">
      <c r="A137" s="22"/>
      <c r="B137" s="22"/>
      <c r="C137" s="21" t="str">
        <f>IF('12 - Device_Configuration'!H137="","",'12 - Device_Configuration'!H137)</f>
        <v>LIJ - OR</v>
      </c>
      <c r="D137" s="21" t="str">
        <f>IF('12 - Device_Configuration'!AE137="","",'12 - Device_Configuration'!AE137)</f>
        <v/>
      </c>
      <c r="E137" s="21" t="str">
        <f>IF('12 - Device_Configuration'!AF137="","",'12 - Device_Configuration'!AF137)</f>
        <v/>
      </c>
      <c r="F137" s="21" t="str">
        <f>IF('12 - Device_Configuration'!AG137="","",'12 - Device_Configuration'!AG137)</f>
        <v/>
      </c>
      <c r="G137" s="21" t="str">
        <f>IF('12 - Device_Configuration'!AH137="","",'12 - Device_Configuration'!AH137)</f>
        <v/>
      </c>
      <c r="H137" s="21" t="str">
        <f>IF('12 - Device_Configuration'!A137="","",'12 - Device_Configuration'!A137)</f>
        <v>Cybernet</v>
      </c>
      <c r="I137" s="21" t="str">
        <f>IF('12 - Device_Configuration'!AI137="","",'12 - Device_Configuration'!AI137)</f>
        <v/>
      </c>
      <c r="J137" s="21" t="str">
        <f>IF('12 - Device_Configuration'!AJ137="","",'12 - Device_Configuration'!AJ137)</f>
        <v/>
      </c>
      <c r="K137" s="21" t="str">
        <f>IF('12 - Device_Configuration'!AA137="","",'12 - Device_Configuration'!AA137)</f>
        <v/>
      </c>
      <c r="L137" s="21" t="str">
        <f>IF('12 - Device_Configuration'!I137="","",'12 - Device_Configuration'!I137)</f>
        <v/>
      </c>
      <c r="M137" s="22"/>
      <c r="N137" s="21" t="str">
        <f>IF('12 - Device_Configuration'!J137="","",'12 - Device_Configuration'!J137)</f>
        <v>Yes</v>
      </c>
      <c r="O137" s="21" t="str">
        <f>IF('12 - Device_Configuration'!K137="","",'12 - Device_Configuration'!K137)</f>
        <v>No</v>
      </c>
      <c r="P137" s="21" t="str">
        <f>IF('12 - Device_Configuration'!L137="","",'12 - Device_Configuration'!L137)</f>
        <v>No</v>
      </c>
      <c r="Q137" s="22"/>
      <c r="R137" s="21" t="str">
        <f>IF('12 - Device_Configuration'!AY137="","",'12 - Device_Configuration'!AY137)</f>
        <v/>
      </c>
      <c r="S137" s="21" t="str">
        <f>IF('12 - Device_Configuration'!AX137="","",'12 - Device_Configuration'!AX137)</f>
        <v/>
      </c>
      <c r="T137" s="21" t="str">
        <f>IF('12 - Device_Configuration'!AV137="","",'12 - Device_Configuration'!AV137)</f>
        <v/>
      </c>
      <c r="U137" s="21" t="str">
        <f>IF('12 - Device_Configuration'!AW137="","",'12 - Device_Configuration'!AW137)</f>
        <v/>
      </c>
      <c r="V137" s="21" t="str">
        <f>IF('12 - Device_Configuration'!BA137="","",'12 - Device_Configuration'!BA137)</f>
        <v/>
      </c>
      <c r="W137" s="21" t="str">
        <f>IF('12 - Device_Configuration'!BC137="","",'12 - Device_Configuration'!BC137)</f>
        <v/>
      </c>
      <c r="X137" s="21" t="str">
        <f>IF('12 - Device_Configuration'!BK137="","",'12 - Device_Configuration'!BK137)</f>
        <v/>
      </c>
      <c r="Y137" s="21" t="str">
        <f>IF('12 - Device_Configuration'!BB137="","",'12 - Device_Configuration'!BB137)</f>
        <v/>
      </c>
      <c r="Z137" s="21" t="str">
        <f>IF('12 - Device_Configuration'!P137="","",'12 - Device_Configuration'!P137)</f>
        <v/>
      </c>
      <c r="AA137" s="21" t="str">
        <f>IF('12 - Device_Configuration'!Q137="","",'12 - Device_Configuration'!Q137)</f>
        <v/>
      </c>
    </row>
    <row r="138" spans="1:27" ht="45">
      <c r="A138" s="22"/>
      <c r="B138" s="22"/>
      <c r="C138" s="21" t="str">
        <f>IF('12 - Device_Configuration'!H139="","",'12 - Device_Configuration'!H139)</f>
        <v>LIJVS</v>
      </c>
      <c r="D138" s="21" t="str">
        <f>IF('12 - Device_Configuration'!AE139="","",'12 - Device_Configuration'!AE139)</f>
        <v>Endoscopy Suite</v>
      </c>
      <c r="E138" s="21" t="str">
        <f>IF('12 - Device_Configuration'!AF139="","",'12 - Device_Configuration'!AF139)</f>
        <v>1-C-2</v>
      </c>
      <c r="F138" s="21" t="str">
        <f>IF('12 - Device_Configuration'!AG139="","",'12 - Device_Configuration'!AG139)</f>
        <v/>
      </c>
      <c r="G138" s="21" t="str">
        <f>IF('12 - Device_Configuration'!AH139="","",'12 - Device_Configuration'!AH139)</f>
        <v/>
      </c>
      <c r="H138" s="21" t="str">
        <f>IF('12 - Device_Configuration'!A139="","",'12 - Device_Configuration'!A139)</f>
        <v>Peripherals</v>
      </c>
      <c r="I138" s="21" t="str">
        <f>IF('12 - Device_Configuration'!AI139="","",'12 - Device_Configuration'!AI139)</f>
        <v>Mindray A5 - EJ-57023077</v>
      </c>
      <c r="J138" s="21" t="str">
        <f>IF('12 - Device_Configuration'!AJ139="","",'12 - Device_Configuration'!AJ139)</f>
        <v/>
      </c>
      <c r="K138" s="21" t="str">
        <f>IF('12 - Device_Configuration'!AA139="","",'12 - Device_Configuration'!AA139)</f>
        <v>Anesthesia Machine</v>
      </c>
      <c r="L138" s="21" t="str">
        <f>IF('12 - Device_Configuration'!I139="","",'12 - Device_Configuration'!I139)</f>
        <v/>
      </c>
      <c r="M138" s="22"/>
      <c r="N138" s="21" t="str">
        <f>IF('12 - Device_Configuration'!J139="","",'12 - Device_Configuration'!J139)</f>
        <v/>
      </c>
      <c r="O138" s="21" t="str">
        <f>IF('12 - Device_Configuration'!K139="","",'12 - Device_Configuration'!K139)</f>
        <v/>
      </c>
      <c r="P138" s="21" t="str">
        <f>IF('12 - Device_Configuration'!L139="","",'12 - Device_Configuration'!L139)</f>
        <v/>
      </c>
      <c r="Q138" s="22"/>
      <c r="R138" s="21" t="str">
        <f>IF('12 - Device_Configuration'!AY139="","",'12 - Device_Configuration'!AY139)</f>
        <v/>
      </c>
      <c r="S138" s="21" t="str">
        <f>IF('12 - Device_Configuration'!AX139="","",'12 - Device_Configuration'!AX139)</f>
        <v/>
      </c>
      <c r="T138" s="21" t="str">
        <f>IF('12 - Device_Configuration'!AV139="","",'12 - Device_Configuration'!AV139)</f>
        <v/>
      </c>
      <c r="U138" s="21" t="str">
        <f>IF('12 - Device_Configuration'!AW139="","",'12 - Device_Configuration'!AW139)</f>
        <v/>
      </c>
      <c r="V138" s="21" t="str">
        <f>IF('12 - Device_Configuration'!BA139="","",'12 - Device_Configuration'!BA139)</f>
        <v>Yes</v>
      </c>
      <c r="W138" s="21" t="str">
        <f>IF('12 - Device_Configuration'!BC139="","",'12 - Device_Configuration'!BC139)</f>
        <v/>
      </c>
      <c r="X138" s="21" t="str">
        <f>IF('12 - Device_Configuration'!BK139="","",'12 - Device_Configuration'!BK139)</f>
        <v>Power Cable, Battery, Firmware Download, Device ID, Epic Beans Relay</v>
      </c>
      <c r="Y138" s="21" t="str">
        <f>IF('12 - Device_Configuration'!BB139="","",'12 - Device_Configuration'!BB139)</f>
        <v>ran AL</v>
      </c>
      <c r="Z138" s="21" t="str">
        <f>IF('12 - Device_Configuration'!P139="","",'12 - Device_Configuration'!P139)</f>
        <v/>
      </c>
      <c r="AA138" s="21" t="str">
        <f>IF('12 - Device_Configuration'!Q139="","",'12 - Device_Configuration'!Q139)</f>
        <v/>
      </c>
    </row>
    <row r="139" spans="1:27" ht="45">
      <c r="A139" s="22"/>
      <c r="B139" s="22"/>
      <c r="C139" s="21" t="str">
        <f>IF('12 - Device_Configuration'!H140="","",'12 - Device_Configuration'!H140)</f>
        <v>LIJVS</v>
      </c>
      <c r="D139" s="21" t="str">
        <f>IF('12 - Device_Configuration'!AE140="","",'12 - Device_Configuration'!AE140)</f>
        <v>OR</v>
      </c>
      <c r="E139" s="21" t="str">
        <f>IF('12 - Device_Configuration'!AF140="","",'12 - Device_Configuration'!AF140)</f>
        <v>OR 7</v>
      </c>
      <c r="F139" s="21" t="str">
        <f>IF('12 - Device_Configuration'!AG140="","",'12 - Device_Configuration'!AG140)</f>
        <v/>
      </c>
      <c r="G139" s="21" t="str">
        <f>IF('12 - Device_Configuration'!AH140="","",'12 - Device_Configuration'!AH140)</f>
        <v/>
      </c>
      <c r="H139" s="21" t="str">
        <f>IF('12 - Device_Configuration'!A140="","",'12 - Device_Configuration'!A140)</f>
        <v>Peripherals</v>
      </c>
      <c r="I139" s="21" t="str">
        <f>IF('12 - Device_Configuration'!AI140="","",'12 - Device_Configuration'!AI140)</f>
        <v>Drager Apollo</v>
      </c>
      <c r="J139" s="21" t="str">
        <f>IF('12 - Device_Configuration'!AJ140="","",'12 - Device_Configuration'!AJ140)</f>
        <v/>
      </c>
      <c r="K139" s="21" t="str">
        <f>IF('12 - Device_Configuration'!AA140="","",'12 - Device_Configuration'!AA140)</f>
        <v>Anesthesia Machine</v>
      </c>
      <c r="L139" s="21" t="str">
        <f>IF('12 - Device_Configuration'!I140="","",'12 - Device_Configuration'!I140)</f>
        <v/>
      </c>
      <c r="M139" s="22"/>
      <c r="N139" s="21" t="str">
        <f>IF('12 - Device_Configuration'!J140="","",'12 - Device_Configuration'!J140)</f>
        <v/>
      </c>
      <c r="O139" s="21" t="str">
        <f>IF('12 - Device_Configuration'!K140="","",'12 - Device_Configuration'!K140)</f>
        <v/>
      </c>
      <c r="P139" s="21" t="str">
        <f>IF('12 - Device_Configuration'!L140="","",'12 - Device_Configuration'!L140)</f>
        <v/>
      </c>
      <c r="Q139" s="22"/>
      <c r="R139" s="21" t="str">
        <f>IF('12 - Device_Configuration'!AY140="","",'12 - Device_Configuration'!AY140)</f>
        <v/>
      </c>
      <c r="S139" s="21" t="str">
        <f>IF('12 - Device_Configuration'!AX140="","",'12 - Device_Configuration'!AX140)</f>
        <v/>
      </c>
      <c r="T139" s="21" t="str">
        <f>IF('12 - Device_Configuration'!AV140="","",'12 - Device_Configuration'!AV140)</f>
        <v/>
      </c>
      <c r="U139" s="21" t="str">
        <f>IF('12 - Device_Configuration'!AW140="","",'12 - Device_Configuration'!AW140)</f>
        <v/>
      </c>
      <c r="V139" s="21" t="str">
        <f>IF('12 - Device_Configuration'!BA140="","",'12 - Device_Configuration'!BA140)</f>
        <v>Yes</v>
      </c>
      <c r="W139" s="21" t="str">
        <f>IF('12 - Device_Configuration'!BC140="","",'12 - Device_Configuration'!BC140)</f>
        <v/>
      </c>
      <c r="X139" s="21" t="str">
        <f>IF('12 - Device_Configuration'!BK140="","",'12 - Device_Configuration'!BK140)</f>
        <v>Power Cable, Battery, Firmware Download, Device ID, Epic Beans Relay</v>
      </c>
      <c r="Y139" s="21" t="str">
        <f>IF('12 - Device_Configuration'!BB140="","",'12 - Device_Configuration'!BB140)</f>
        <v>ran AL</v>
      </c>
      <c r="Z139" s="21" t="str">
        <f>IF('12 - Device_Configuration'!P140="","",'12 - Device_Configuration'!P140)</f>
        <v/>
      </c>
      <c r="AA139" s="21" t="str">
        <f>IF('12 - Device_Configuration'!Q140="","",'12 - Device_Configuration'!Q140)</f>
        <v/>
      </c>
    </row>
    <row r="140" spans="1:27" ht="45">
      <c r="A140" s="22"/>
      <c r="B140" s="22"/>
      <c r="C140" s="21" t="str">
        <f>IF('12 - Device_Configuration'!H141="","",'12 - Device_Configuration'!H141)</f>
        <v>LIJVS</v>
      </c>
      <c r="D140" s="21" t="str">
        <f>IF('12 - Device_Configuration'!AE141="","",'12 - Device_Configuration'!AE141)</f>
        <v>OR</v>
      </c>
      <c r="E140" s="21" t="str">
        <f>IF('12 - Device_Configuration'!AF141="","",'12 - Device_Configuration'!AF141)</f>
        <v>OR 1</v>
      </c>
      <c r="F140" s="21" t="str">
        <f>IF('12 - Device_Configuration'!AG141="","",'12 - Device_Configuration'!AG141)</f>
        <v/>
      </c>
      <c r="G140" s="21" t="str">
        <f>IF('12 - Device_Configuration'!AH141="","",'12 - Device_Configuration'!AH141)</f>
        <v/>
      </c>
      <c r="H140" s="21" t="str">
        <f>IF('12 - Device_Configuration'!A141="","",'12 - Device_Configuration'!A141)</f>
        <v>Peripherals</v>
      </c>
      <c r="I140" s="21" t="str">
        <f>IF('12 - Device_Configuration'!AI141="","",'12 - Device_Configuration'!AI141)</f>
        <v>Drager Apollo</v>
      </c>
      <c r="J140" s="21" t="str">
        <f>IF('12 - Device_Configuration'!AJ141="","",'12 - Device_Configuration'!AJ141)</f>
        <v/>
      </c>
      <c r="K140" s="21" t="str">
        <f>IF('12 - Device_Configuration'!AA141="","",'12 - Device_Configuration'!AA141)</f>
        <v>Anesthesia Machine</v>
      </c>
      <c r="L140" s="21" t="str">
        <f>IF('12 - Device_Configuration'!I141="","",'12 - Device_Configuration'!I141)</f>
        <v/>
      </c>
      <c r="M140" s="22"/>
      <c r="N140" s="21" t="str">
        <f>IF('12 - Device_Configuration'!J141="","",'12 - Device_Configuration'!J141)</f>
        <v/>
      </c>
      <c r="O140" s="21" t="str">
        <f>IF('12 - Device_Configuration'!K141="","",'12 - Device_Configuration'!K141)</f>
        <v/>
      </c>
      <c r="P140" s="21" t="str">
        <f>IF('12 - Device_Configuration'!L141="","",'12 - Device_Configuration'!L141)</f>
        <v/>
      </c>
      <c r="Q140" s="22"/>
      <c r="R140" s="21" t="str">
        <f>IF('12 - Device_Configuration'!AY141="","",'12 - Device_Configuration'!AY141)</f>
        <v/>
      </c>
      <c r="S140" s="21" t="str">
        <f>IF('12 - Device_Configuration'!AX141="","",'12 - Device_Configuration'!AX141)</f>
        <v/>
      </c>
      <c r="T140" s="21" t="str">
        <f>IF('12 - Device_Configuration'!AV141="","",'12 - Device_Configuration'!AV141)</f>
        <v/>
      </c>
      <c r="U140" s="21" t="str">
        <f>IF('12 - Device_Configuration'!AW141="","",'12 - Device_Configuration'!AW141)</f>
        <v/>
      </c>
      <c r="V140" s="21" t="str">
        <f>IF('12 - Device_Configuration'!BA141="","",'12 - Device_Configuration'!BA141)</f>
        <v>Yes</v>
      </c>
      <c r="W140" s="21" t="str">
        <f>IF('12 - Device_Configuration'!BC141="","",'12 - Device_Configuration'!BC141)</f>
        <v/>
      </c>
      <c r="X140" s="21" t="str">
        <f>IF('12 - Device_Configuration'!BK141="","",'12 - Device_Configuration'!BK141)</f>
        <v>Power Cable, Battery, Firmware Download, Device ID, Epic Beans Relay</v>
      </c>
      <c r="Y140" s="21" t="str">
        <f>IF('12 - Device_Configuration'!BB141="","",'12 - Device_Configuration'!BB141)</f>
        <v>ALREADY HAD A BADGE SCANNER INSTALLED / RAN AL</v>
      </c>
      <c r="Z140" s="21" t="str">
        <f>IF('12 - Device_Configuration'!P141="","",'12 - Device_Configuration'!P141)</f>
        <v/>
      </c>
      <c r="AA140" s="21" t="str">
        <f>IF('12 - Device_Configuration'!Q141="","",'12 - Device_Configuration'!Q141)</f>
        <v/>
      </c>
    </row>
    <row r="141" spans="1:27" ht="75">
      <c r="A141" s="22"/>
      <c r="B141" s="22"/>
      <c r="C141" s="21" t="str">
        <f>IF('12 - Device_Configuration'!H142="","",'12 - Device_Configuration'!H142)</f>
        <v>LIJVS</v>
      </c>
      <c r="D141" s="21" t="str">
        <f>IF('12 - Device_Configuration'!AE142="","",'12 - Device_Configuration'!AE142)</f>
        <v>OR</v>
      </c>
      <c r="E141" s="21" t="str">
        <f>IF('12 - Device_Configuration'!AF142="","",'12 - Device_Configuration'!AF142)</f>
        <v>OR 2</v>
      </c>
      <c r="F141" s="21" t="str">
        <f>IF('12 - Device_Configuration'!AG142="","",'12 - Device_Configuration'!AG142)</f>
        <v/>
      </c>
      <c r="G141" s="21" t="str">
        <f>IF('12 - Device_Configuration'!AH142="","",'12 - Device_Configuration'!AH142)</f>
        <v/>
      </c>
      <c r="H141" s="21" t="str">
        <f>IF('12 - Device_Configuration'!A142="","",'12 - Device_Configuration'!A142)</f>
        <v>Peripherals</v>
      </c>
      <c r="I141" s="21" t="str">
        <f>IF('12 - Device_Configuration'!AI142="","",'12 - Device_Configuration'!AI142)</f>
        <v>Drager Atlan</v>
      </c>
      <c r="J141" s="21" t="str">
        <f>IF('12 - Device_Configuration'!AJ142="","",'12 - Device_Configuration'!AJ142)</f>
        <v/>
      </c>
      <c r="K141" s="21" t="str">
        <f>IF('12 - Device_Configuration'!AA142="","",'12 - Device_Configuration'!AA142)</f>
        <v>Anesthesia Machine</v>
      </c>
      <c r="L141" s="21" t="str">
        <f>IF('12 - Device_Configuration'!I142="","",'12 - Device_Configuration'!I142)</f>
        <v/>
      </c>
      <c r="M141" s="22"/>
      <c r="N141" s="21" t="str">
        <f>IF('12 - Device_Configuration'!J142="","",'12 - Device_Configuration'!J142)</f>
        <v/>
      </c>
      <c r="O141" s="21" t="str">
        <f>IF('12 - Device_Configuration'!K142="","",'12 - Device_Configuration'!K142)</f>
        <v/>
      </c>
      <c r="P141" s="21" t="str">
        <f>IF('12 - Device_Configuration'!L142="","",'12 - Device_Configuration'!L142)</f>
        <v/>
      </c>
      <c r="Q141" s="22"/>
      <c r="R141" s="21" t="str">
        <f>IF('12 - Device_Configuration'!AY142="","",'12 - Device_Configuration'!AY142)</f>
        <v/>
      </c>
      <c r="S141" s="21" t="str">
        <f>IF('12 - Device_Configuration'!AX142="","",'12 - Device_Configuration'!AX142)</f>
        <v/>
      </c>
      <c r="T141" s="21" t="str">
        <f>IF('12 - Device_Configuration'!AV142="","",'12 - Device_Configuration'!AV142)</f>
        <v/>
      </c>
      <c r="U141" s="21" t="str">
        <f>IF('12 - Device_Configuration'!AW142="","",'12 - Device_Configuration'!AW142)</f>
        <v/>
      </c>
      <c r="V141" s="21" t="str">
        <f>IF('12 - Device_Configuration'!BA142="","",'12 - Device_Configuration'!BA142)</f>
        <v>Yes</v>
      </c>
      <c r="W141" s="21" t="str">
        <f>IF('12 - Device_Configuration'!BC142="","",'12 - Device_Configuration'!BC142)</f>
        <v/>
      </c>
      <c r="X141" s="21" t="str">
        <f>IF('12 - Device_Configuration'!BK142="","",'12 - Device_Configuration'!BK142)</f>
        <v>Power Cable, Battery, Firmware Download, Device ID, Epic Beans Relay</v>
      </c>
      <c r="Y141" s="21" t="str">
        <f>IF('12 - Device_Configuration'!BB142="","",'12 - Device_Configuration'!BB142)</f>
        <v>ALREADY HAD A BADGE SCANNER INSTALLED / imprivata installed, so cant run  AL / DIDNT PROGRAM SCANNER</v>
      </c>
      <c r="Z141" s="21" t="str">
        <f>IF('12 - Device_Configuration'!P142="","",'12 - Device_Configuration'!P142)</f>
        <v/>
      </c>
      <c r="AA141" s="21" t="str">
        <f>IF('12 - Device_Configuration'!Q142="","",'12 - Device_Configuration'!Q142)</f>
        <v/>
      </c>
    </row>
    <row r="142" spans="1:27" ht="45">
      <c r="A142" s="22"/>
      <c r="B142" s="22"/>
      <c r="C142" s="21" t="str">
        <f>IF('12 - Device_Configuration'!H143="","",'12 - Device_Configuration'!H143)</f>
        <v>LIJVS</v>
      </c>
      <c r="D142" s="21" t="str">
        <f>IF('12 - Device_Configuration'!AE143="","",'12 - Device_Configuration'!AE143)</f>
        <v>OR</v>
      </c>
      <c r="E142" s="21" t="str">
        <f>IF('12 - Device_Configuration'!AF143="","",'12 - Device_Configuration'!AF143)</f>
        <v>OR 5</v>
      </c>
      <c r="F142" s="21" t="str">
        <f>IF('12 - Device_Configuration'!AG143="","",'12 - Device_Configuration'!AG143)</f>
        <v/>
      </c>
      <c r="G142" s="21" t="str">
        <f>IF('12 - Device_Configuration'!AH143="","",'12 - Device_Configuration'!AH143)</f>
        <v/>
      </c>
      <c r="H142" s="21" t="str">
        <f>IF('12 - Device_Configuration'!A143="","",'12 - Device_Configuration'!A143)</f>
        <v>Peripherals</v>
      </c>
      <c r="I142" s="21" t="str">
        <f>IF('12 - Device_Configuration'!AI143="","",'12 - Device_Configuration'!AI143)</f>
        <v>Drager Atlan</v>
      </c>
      <c r="J142" s="21" t="str">
        <f>IF('12 - Device_Configuration'!AJ143="","",'12 - Device_Configuration'!AJ143)</f>
        <v/>
      </c>
      <c r="K142" s="21" t="str">
        <f>IF('12 - Device_Configuration'!AA143="","",'12 - Device_Configuration'!AA143)</f>
        <v>Anesthesia Machine</v>
      </c>
      <c r="L142" s="21" t="str">
        <f>IF('12 - Device_Configuration'!I143="","",'12 - Device_Configuration'!I143)</f>
        <v/>
      </c>
      <c r="M142" s="22"/>
      <c r="N142" s="21" t="str">
        <f>IF('12 - Device_Configuration'!J143="","",'12 - Device_Configuration'!J143)</f>
        <v/>
      </c>
      <c r="O142" s="21" t="str">
        <f>IF('12 - Device_Configuration'!K143="","",'12 - Device_Configuration'!K143)</f>
        <v/>
      </c>
      <c r="P142" s="21" t="str">
        <f>IF('12 - Device_Configuration'!L143="","",'12 - Device_Configuration'!L143)</f>
        <v/>
      </c>
      <c r="Q142" s="22"/>
      <c r="R142" s="21" t="str">
        <f>IF('12 - Device_Configuration'!AY143="","",'12 - Device_Configuration'!AY143)</f>
        <v/>
      </c>
      <c r="S142" s="21" t="str">
        <f>IF('12 - Device_Configuration'!AX143="","",'12 - Device_Configuration'!AX143)</f>
        <v/>
      </c>
      <c r="T142" s="21" t="str">
        <f>IF('12 - Device_Configuration'!AV143="","",'12 - Device_Configuration'!AV143)</f>
        <v/>
      </c>
      <c r="U142" s="21" t="str">
        <f>IF('12 - Device_Configuration'!AW143="","",'12 - Device_Configuration'!AW143)</f>
        <v/>
      </c>
      <c r="V142" s="21" t="str">
        <f>IF('12 - Device_Configuration'!BA143="","",'12 - Device_Configuration'!BA143)</f>
        <v>Yes</v>
      </c>
      <c r="W142" s="21" t="str">
        <f>IF('12 - Device_Configuration'!BC143="","",'12 - Device_Configuration'!BC143)</f>
        <v/>
      </c>
      <c r="X142" s="21" t="str">
        <f>IF('12 - Device_Configuration'!BK143="","",'12 - Device_Configuration'!BK143)</f>
        <v>Power Cable, Battery, Firmware Download, Device ID, Epic Beans Relay</v>
      </c>
      <c r="Y142" s="21" t="str">
        <f>IF('12 - Device_Configuration'!BB143="","",'12 - Device_Configuration'!BB143)</f>
        <v>RAN AL / DIDNT PROGRAM SCANNER</v>
      </c>
      <c r="Z142" s="21" t="str">
        <f>IF('12 - Device_Configuration'!P143="","",'12 - Device_Configuration'!P143)</f>
        <v/>
      </c>
      <c r="AA142" s="21" t="str">
        <f>IF('12 - Device_Configuration'!Q143="","",'12 - Device_Configuration'!Q143)</f>
        <v/>
      </c>
    </row>
    <row r="143" spans="1:27" ht="45">
      <c r="A143" s="22"/>
      <c r="B143" s="22"/>
      <c r="C143" s="21" t="str">
        <f>IF('12 - Device_Configuration'!H144="","",'12 - Device_Configuration'!H144)</f>
        <v>LIJVS</v>
      </c>
      <c r="D143" s="21" t="str">
        <f>IF('12 - Device_Configuration'!AE144="","",'12 - Device_Configuration'!AE144)</f>
        <v>OR</v>
      </c>
      <c r="E143" s="21" t="str">
        <f>IF('12 - Device_Configuration'!AF144="","",'12 - Device_Configuration'!AF144)</f>
        <v>OR 6</v>
      </c>
      <c r="F143" s="21" t="str">
        <f>IF('12 - Device_Configuration'!AG144="","",'12 - Device_Configuration'!AG144)</f>
        <v/>
      </c>
      <c r="G143" s="21" t="str">
        <f>IF('12 - Device_Configuration'!AH144="","",'12 - Device_Configuration'!AH144)</f>
        <v/>
      </c>
      <c r="H143" s="21" t="str">
        <f>IF('12 - Device_Configuration'!A144="","",'12 - Device_Configuration'!A144)</f>
        <v>Peripherals</v>
      </c>
      <c r="I143" s="21" t="str">
        <f>IF('12 - Device_Configuration'!AI144="","",'12 - Device_Configuration'!AI144)</f>
        <v>MINDRAY A5</v>
      </c>
      <c r="J143" s="21" t="str">
        <f>IF('12 - Device_Configuration'!AJ144="","",'12 - Device_Configuration'!AJ144)</f>
        <v/>
      </c>
      <c r="K143" s="21" t="str">
        <f>IF('12 - Device_Configuration'!AA144="","",'12 - Device_Configuration'!AA144)</f>
        <v>Anesthesia Machine</v>
      </c>
      <c r="L143" s="21" t="str">
        <f>IF('12 - Device_Configuration'!I144="","",'12 - Device_Configuration'!I144)</f>
        <v/>
      </c>
      <c r="M143" s="22"/>
      <c r="N143" s="21" t="str">
        <f>IF('12 - Device_Configuration'!J144="","",'12 - Device_Configuration'!J144)</f>
        <v/>
      </c>
      <c r="O143" s="21" t="str">
        <f>IF('12 - Device_Configuration'!K144="","",'12 - Device_Configuration'!K144)</f>
        <v/>
      </c>
      <c r="P143" s="21" t="str">
        <f>IF('12 - Device_Configuration'!L144="","",'12 - Device_Configuration'!L144)</f>
        <v/>
      </c>
      <c r="Q143" s="22"/>
      <c r="R143" s="21" t="str">
        <f>IF('12 - Device_Configuration'!AY144="","",'12 - Device_Configuration'!AY144)</f>
        <v/>
      </c>
      <c r="S143" s="21" t="str">
        <f>IF('12 - Device_Configuration'!AX144="","",'12 - Device_Configuration'!AX144)</f>
        <v/>
      </c>
      <c r="T143" s="21" t="str">
        <f>IF('12 - Device_Configuration'!AV144="","",'12 - Device_Configuration'!AV144)</f>
        <v/>
      </c>
      <c r="U143" s="21" t="str">
        <f>IF('12 - Device_Configuration'!AW144="","",'12 - Device_Configuration'!AW144)</f>
        <v/>
      </c>
      <c r="V143" s="21" t="str">
        <f>IF('12 - Device_Configuration'!BA144="","",'12 - Device_Configuration'!BA144)</f>
        <v>Yes</v>
      </c>
      <c r="W143" s="21" t="str">
        <f>IF('12 - Device_Configuration'!BC144="","",'12 - Device_Configuration'!BC144)</f>
        <v/>
      </c>
      <c r="X143" s="21" t="str">
        <f>IF('12 - Device_Configuration'!BK144="","",'12 - Device_Configuration'!BK144)</f>
        <v>Power Cable, Battery, Firmware Download, Device ID, Epic Beans Relay</v>
      </c>
      <c r="Y143" s="21" t="str">
        <f>IF('12 - Device_Configuration'!BB144="","",'12 - Device_Configuration'!BB144)</f>
        <v>ALREADY HAS BADGE SCANNER / SCANNER PROGRAMMED / RAN AL</v>
      </c>
      <c r="Z143" s="21" t="str">
        <f>IF('12 - Device_Configuration'!P144="","",'12 - Device_Configuration'!P144)</f>
        <v/>
      </c>
      <c r="AA143" s="21" t="str">
        <f>IF('12 - Device_Configuration'!Q144="","",'12 - Device_Configuration'!Q144)</f>
        <v/>
      </c>
    </row>
    <row r="144" spans="1:27" ht="45">
      <c r="A144" s="22"/>
      <c r="B144" s="22"/>
      <c r="C144" s="21" t="str">
        <f>IF('12 - Device_Configuration'!H145="","",'12 - Device_Configuration'!H145)</f>
        <v>LIJVS</v>
      </c>
      <c r="D144" s="21" t="str">
        <f>IF('12 - Device_Configuration'!AE145="","",'12 - Device_Configuration'!AE145)</f>
        <v>OR</v>
      </c>
      <c r="E144" s="21" t="str">
        <f>IF('12 - Device_Configuration'!AF145="","",'12 - Device_Configuration'!AF145)</f>
        <v>OR 3</v>
      </c>
      <c r="F144" s="21" t="str">
        <f>IF('12 - Device_Configuration'!AG145="","",'12 - Device_Configuration'!AG145)</f>
        <v/>
      </c>
      <c r="G144" s="21" t="str">
        <f>IF('12 - Device_Configuration'!AH145="","",'12 - Device_Configuration'!AH145)</f>
        <v/>
      </c>
      <c r="H144" s="21" t="str">
        <f>IF('12 - Device_Configuration'!A145="","",'12 - Device_Configuration'!A145)</f>
        <v>Peripherals</v>
      </c>
      <c r="I144" s="21" t="str">
        <f>IF('12 - Device_Configuration'!AI145="","",'12 - Device_Configuration'!AI145)</f>
        <v>Drager Apollo</v>
      </c>
      <c r="J144" s="21" t="str">
        <f>IF('12 - Device_Configuration'!AJ145="","",'12 - Device_Configuration'!AJ145)</f>
        <v/>
      </c>
      <c r="K144" s="21" t="str">
        <f>IF('12 - Device_Configuration'!AA145="","",'12 - Device_Configuration'!AA145)</f>
        <v>Anesthesia Machine</v>
      </c>
      <c r="L144" s="21" t="str">
        <f>IF('12 - Device_Configuration'!I145="","",'12 - Device_Configuration'!I145)</f>
        <v/>
      </c>
      <c r="M144" s="22"/>
      <c r="N144" s="21" t="str">
        <f>IF('12 - Device_Configuration'!J145="","",'12 - Device_Configuration'!J145)</f>
        <v/>
      </c>
      <c r="O144" s="21" t="str">
        <f>IF('12 - Device_Configuration'!K145="","",'12 - Device_Configuration'!K145)</f>
        <v/>
      </c>
      <c r="P144" s="21" t="str">
        <f>IF('12 - Device_Configuration'!L145="","",'12 - Device_Configuration'!L145)</f>
        <v/>
      </c>
      <c r="Q144" s="22"/>
      <c r="R144" s="21" t="str">
        <f>IF('12 - Device_Configuration'!AY145="","",'12 - Device_Configuration'!AY145)</f>
        <v/>
      </c>
      <c r="S144" s="21" t="str">
        <f>IF('12 - Device_Configuration'!AX145="","",'12 - Device_Configuration'!AX145)</f>
        <v/>
      </c>
      <c r="T144" s="21" t="str">
        <f>IF('12 - Device_Configuration'!AV145="","",'12 - Device_Configuration'!AV145)</f>
        <v/>
      </c>
      <c r="U144" s="21" t="str">
        <f>IF('12 - Device_Configuration'!AW145="","",'12 - Device_Configuration'!AW145)</f>
        <v/>
      </c>
      <c r="V144" s="21" t="str">
        <f>IF('12 - Device_Configuration'!BA145="","",'12 - Device_Configuration'!BA145)</f>
        <v>Yes</v>
      </c>
      <c r="W144" s="21" t="str">
        <f>IF('12 - Device_Configuration'!BC145="","",'12 - Device_Configuration'!BC145)</f>
        <v/>
      </c>
      <c r="X144" s="21" t="str">
        <f>IF('12 - Device_Configuration'!BK145="","",'12 - Device_Configuration'!BK145)</f>
        <v>Power Cable, Battery, Firmware Download, Device ID, Epic Beans Relay</v>
      </c>
      <c r="Y144" s="21" t="str">
        <f>IF('12 - Device_Configuration'!BB145="","",'12 - Device_Configuration'!BB145)</f>
        <v>RAN AL / DIDNT PROGRAM SCANNER</v>
      </c>
      <c r="Z144" s="21" t="str">
        <f>IF('12 - Device_Configuration'!P145="","",'12 - Device_Configuration'!P145)</f>
        <v/>
      </c>
      <c r="AA144" s="21" t="str">
        <f>IF('12 - Device_Configuration'!Q145="","",'12 - Device_Configuration'!Q145)</f>
        <v/>
      </c>
    </row>
    <row r="145" spans="1:27" ht="30">
      <c r="A145" s="22"/>
      <c r="B145" s="22"/>
      <c r="C145" s="21" t="str">
        <f>IF('12 - Device_Configuration'!H146="","",'12 - Device_Configuration'!H146)</f>
        <v>LIJVS</v>
      </c>
      <c r="D145" s="21" t="str">
        <f>IF('12 - Device_Configuration'!AE146="","",'12 - Device_Configuration'!AE146)</f>
        <v/>
      </c>
      <c r="E145" s="21" t="str">
        <f>IF('12 - Device_Configuration'!AF146="","",'12 - Device_Configuration'!AF146)</f>
        <v/>
      </c>
      <c r="F145" s="21" t="str">
        <f>IF('12 - Device_Configuration'!AG146="","",'12 - Device_Configuration'!AG146)</f>
        <v/>
      </c>
      <c r="G145" s="21" t="str">
        <f>IF('12 - Device_Configuration'!AH146="","",'12 - Device_Configuration'!AH146)</f>
        <v/>
      </c>
      <c r="H145" s="21" t="str">
        <f>IF('12 - Device_Configuration'!A146="","",'12 - Device_Configuration'!A146)</f>
        <v>Peripherals</v>
      </c>
      <c r="I145" s="21" t="str">
        <f>IF('12 - Device_Configuration'!AI146="","",'12 - Device_Configuration'!AI146)</f>
        <v/>
      </c>
      <c r="J145" s="21" t="str">
        <f>IF('12 - Device_Configuration'!AJ146="","",'12 - Device_Configuration'!AJ146)</f>
        <v/>
      </c>
      <c r="K145" s="21" t="str">
        <f>IF('12 - Device_Configuration'!AA146="","",'12 - Device_Configuration'!AA146)</f>
        <v>Anesthesia Machine</v>
      </c>
      <c r="L145" s="21" t="str">
        <f>IF('12 - Device_Configuration'!I146="","",'12 - Device_Configuration'!I146)</f>
        <v/>
      </c>
      <c r="M145" s="22"/>
      <c r="N145" s="21" t="str">
        <f>IF('12 - Device_Configuration'!J146="","",'12 - Device_Configuration'!J146)</f>
        <v/>
      </c>
      <c r="O145" s="21" t="str">
        <f>IF('12 - Device_Configuration'!K146="","",'12 - Device_Configuration'!K146)</f>
        <v/>
      </c>
      <c r="P145" s="21" t="str">
        <f>IF('12 - Device_Configuration'!L146="","",'12 - Device_Configuration'!L146)</f>
        <v/>
      </c>
      <c r="Q145" s="22"/>
      <c r="R145" s="21" t="str">
        <f>IF('12 - Device_Configuration'!AY146="","",'12 - Device_Configuration'!AY146)</f>
        <v/>
      </c>
      <c r="S145" s="21" t="str">
        <f>IF('12 - Device_Configuration'!AX146="","",'12 - Device_Configuration'!AX146)</f>
        <v/>
      </c>
      <c r="T145" s="21" t="str">
        <f>IF('12 - Device_Configuration'!AV146="","",'12 - Device_Configuration'!AV146)</f>
        <v/>
      </c>
      <c r="U145" s="21" t="str">
        <f>IF('12 - Device_Configuration'!AW146="","",'12 - Device_Configuration'!AW146)</f>
        <v/>
      </c>
      <c r="V145" s="21" t="str">
        <f>IF('12 - Device_Configuration'!BA146="","",'12 - Device_Configuration'!BA146)</f>
        <v>Yes</v>
      </c>
      <c r="W145" s="21" t="str">
        <f>IF('12 - Device_Configuration'!BC146="","",'12 - Device_Configuration'!BC146)</f>
        <v/>
      </c>
      <c r="X145" s="21" t="str">
        <f>IF('12 - Device_Configuration'!BK146="","",'12 - Device_Configuration'!BK146)</f>
        <v/>
      </c>
      <c r="Y145" s="21" t="str">
        <f>IF('12 - Device_Configuration'!BB146="","",'12 - Device_Configuration'!BB146)</f>
        <v/>
      </c>
      <c r="Z145" s="21" t="str">
        <f>IF('12 - Device_Configuration'!P146="","",'12 - Device_Configuration'!P146)</f>
        <v/>
      </c>
      <c r="AA145" s="21" t="str">
        <f>IF('12 - Device_Configuration'!Q146="","",'12 - Device_Configuration'!Q146)</f>
        <v/>
      </c>
    </row>
    <row r="146" spans="1:27" ht="30">
      <c r="A146" s="22"/>
      <c r="B146" s="22"/>
      <c r="C146" s="21" t="str">
        <f>IF('12 - Device_Configuration'!H147="","",'12 - Device_Configuration'!H147)</f>
        <v>LIJVS</v>
      </c>
      <c r="D146" s="21" t="str">
        <f>IF('12 - Device_Configuration'!AE147="","",'12 - Device_Configuration'!AE147)</f>
        <v/>
      </c>
      <c r="E146" s="21" t="str">
        <f>IF('12 - Device_Configuration'!AF147="","",'12 - Device_Configuration'!AF147)</f>
        <v/>
      </c>
      <c r="F146" s="21" t="str">
        <f>IF('12 - Device_Configuration'!AG147="","",'12 - Device_Configuration'!AG147)</f>
        <v/>
      </c>
      <c r="G146" s="21" t="str">
        <f>IF('12 - Device_Configuration'!AH147="","",'12 - Device_Configuration'!AH147)</f>
        <v/>
      </c>
      <c r="H146" s="21" t="str">
        <f>IF('12 - Device_Configuration'!A147="","",'12 - Device_Configuration'!A147)</f>
        <v>Peripherals</v>
      </c>
      <c r="I146" s="21" t="str">
        <f>IF('12 - Device_Configuration'!AI147="","",'12 - Device_Configuration'!AI147)</f>
        <v/>
      </c>
      <c r="J146" s="21" t="str">
        <f>IF('12 - Device_Configuration'!AJ147="","",'12 - Device_Configuration'!AJ147)</f>
        <v/>
      </c>
      <c r="K146" s="21" t="str">
        <f>IF('12 - Device_Configuration'!AA147="","",'12 - Device_Configuration'!AA147)</f>
        <v>Anesthesia Machine</v>
      </c>
      <c r="L146" s="21" t="str">
        <f>IF('12 - Device_Configuration'!I147="","",'12 - Device_Configuration'!I147)</f>
        <v/>
      </c>
      <c r="M146" s="22"/>
      <c r="N146" s="21" t="str">
        <f>IF('12 - Device_Configuration'!J147="","",'12 - Device_Configuration'!J147)</f>
        <v/>
      </c>
      <c r="O146" s="21" t="str">
        <f>IF('12 - Device_Configuration'!K147="","",'12 - Device_Configuration'!K147)</f>
        <v/>
      </c>
      <c r="P146" s="21" t="str">
        <f>IF('12 - Device_Configuration'!L147="","",'12 - Device_Configuration'!L147)</f>
        <v/>
      </c>
      <c r="Q146" s="22"/>
      <c r="R146" s="21" t="str">
        <f>IF('12 - Device_Configuration'!AY147="","",'12 - Device_Configuration'!AY147)</f>
        <v/>
      </c>
      <c r="S146" s="21" t="str">
        <f>IF('12 - Device_Configuration'!AX147="","",'12 - Device_Configuration'!AX147)</f>
        <v/>
      </c>
      <c r="T146" s="21" t="str">
        <f>IF('12 - Device_Configuration'!AV147="","",'12 - Device_Configuration'!AV147)</f>
        <v/>
      </c>
      <c r="U146" s="21" t="str">
        <f>IF('12 - Device_Configuration'!AW147="","",'12 - Device_Configuration'!AW147)</f>
        <v/>
      </c>
      <c r="V146" s="21" t="str">
        <f>IF('12 - Device_Configuration'!BA147="","",'12 - Device_Configuration'!BA147)</f>
        <v>Yes</v>
      </c>
      <c r="W146" s="21" t="str">
        <f>IF('12 - Device_Configuration'!BC147="","",'12 - Device_Configuration'!BC147)</f>
        <v/>
      </c>
      <c r="X146" s="21" t="str">
        <f>IF('12 - Device_Configuration'!BK147="","",'12 - Device_Configuration'!BK147)</f>
        <v/>
      </c>
      <c r="Y146" s="21" t="str">
        <f>IF('12 - Device_Configuration'!BB147="","",'12 - Device_Configuration'!BB147)</f>
        <v/>
      </c>
      <c r="Z146" s="21" t="str">
        <f>IF('12 - Device_Configuration'!P147="","",'12 - Device_Configuration'!P147)</f>
        <v/>
      </c>
      <c r="AA146" s="21" t="str">
        <f>IF('12 - Device_Configuration'!Q147="","",'12 - Device_Configuration'!Q147)</f>
        <v/>
      </c>
    </row>
    <row r="147" spans="1:27" ht="30">
      <c r="A147" s="22"/>
      <c r="B147" s="22"/>
      <c r="C147" s="21" t="str">
        <f>IF('12 - Device_Configuration'!H148="","",'12 - Device_Configuration'!H148)</f>
        <v>LIJVS</v>
      </c>
      <c r="D147" s="21" t="str">
        <f>IF('12 - Device_Configuration'!AE148="","",'12 - Device_Configuration'!AE148)</f>
        <v/>
      </c>
      <c r="E147" s="21" t="str">
        <f>IF('12 - Device_Configuration'!AF148="","",'12 - Device_Configuration'!AF148)</f>
        <v/>
      </c>
      <c r="F147" s="21" t="str">
        <f>IF('12 - Device_Configuration'!AG148="","",'12 - Device_Configuration'!AG148)</f>
        <v/>
      </c>
      <c r="G147" s="21" t="str">
        <f>IF('12 - Device_Configuration'!AH148="","",'12 - Device_Configuration'!AH148)</f>
        <v/>
      </c>
      <c r="H147" s="21" t="str">
        <f>IF('12 - Device_Configuration'!A148="","",'12 - Device_Configuration'!A148)</f>
        <v>Peripherals</v>
      </c>
      <c r="I147" s="21" t="str">
        <f>IF('12 - Device_Configuration'!AI148="","",'12 - Device_Configuration'!AI148)</f>
        <v/>
      </c>
      <c r="J147" s="21" t="str">
        <f>IF('12 - Device_Configuration'!AJ148="","",'12 - Device_Configuration'!AJ148)</f>
        <v/>
      </c>
      <c r="K147" s="21" t="str">
        <f>IF('12 - Device_Configuration'!AA148="","",'12 - Device_Configuration'!AA148)</f>
        <v>Anesthesia Machine</v>
      </c>
      <c r="L147" s="21" t="str">
        <f>IF('12 - Device_Configuration'!I148="","",'12 - Device_Configuration'!I148)</f>
        <v/>
      </c>
      <c r="M147" s="22"/>
      <c r="N147" s="21" t="str">
        <f>IF('12 - Device_Configuration'!J148="","",'12 - Device_Configuration'!J148)</f>
        <v/>
      </c>
      <c r="O147" s="21" t="str">
        <f>IF('12 - Device_Configuration'!K148="","",'12 - Device_Configuration'!K148)</f>
        <v/>
      </c>
      <c r="P147" s="21" t="str">
        <f>IF('12 - Device_Configuration'!L148="","",'12 - Device_Configuration'!L148)</f>
        <v/>
      </c>
      <c r="Q147" s="22"/>
      <c r="R147" s="21" t="str">
        <f>IF('12 - Device_Configuration'!AY148="","",'12 - Device_Configuration'!AY148)</f>
        <v/>
      </c>
      <c r="S147" s="21" t="str">
        <f>IF('12 - Device_Configuration'!AX148="","",'12 - Device_Configuration'!AX148)</f>
        <v/>
      </c>
      <c r="T147" s="21" t="str">
        <f>IF('12 - Device_Configuration'!AV148="","",'12 - Device_Configuration'!AV148)</f>
        <v/>
      </c>
      <c r="U147" s="21" t="str">
        <f>IF('12 - Device_Configuration'!AW148="","",'12 - Device_Configuration'!AW148)</f>
        <v/>
      </c>
      <c r="V147" s="21" t="str">
        <f>IF('12 - Device_Configuration'!BA148="","",'12 - Device_Configuration'!BA148)</f>
        <v>Yes</v>
      </c>
      <c r="W147" s="21" t="str">
        <f>IF('12 - Device_Configuration'!BC148="","",'12 - Device_Configuration'!BC148)</f>
        <v/>
      </c>
      <c r="X147" s="21" t="str">
        <f>IF('12 - Device_Configuration'!BK148="","",'12 - Device_Configuration'!BK148)</f>
        <v/>
      </c>
      <c r="Y147" s="21" t="str">
        <f>IF('12 - Device_Configuration'!BB148="","",'12 - Device_Configuration'!BB148)</f>
        <v/>
      </c>
      <c r="Z147" s="21" t="str">
        <f>IF('12 - Device_Configuration'!P148="","",'12 - Device_Configuration'!P148)</f>
        <v/>
      </c>
      <c r="AA147" s="21" t="str">
        <f>IF('12 - Device_Configuration'!Q148="","",'12 - Device_Configuration'!Q148)</f>
        <v/>
      </c>
    </row>
    <row r="148" spans="1:27">
      <c r="A148" s="22"/>
      <c r="B148" s="22"/>
      <c r="C148" s="21" t="str">
        <f>IF('12 - Device_Configuration'!H149="","",'12 - Device_Configuration'!H149)</f>
        <v/>
      </c>
      <c r="D148" s="21" t="str">
        <f>IF('12 - Device_Configuration'!AE149="","",'12 - Device_Configuration'!AE149)</f>
        <v/>
      </c>
      <c r="E148" s="21" t="str">
        <f>IF('12 - Device_Configuration'!AF149="","",'12 - Device_Configuration'!AF149)</f>
        <v/>
      </c>
      <c r="F148" s="21" t="str">
        <f>IF('12 - Device_Configuration'!AG149="","",'12 - Device_Configuration'!AG149)</f>
        <v/>
      </c>
      <c r="G148" s="21" t="str">
        <f>IF('12 - Device_Configuration'!AH149="","",'12 - Device_Configuration'!AH149)</f>
        <v/>
      </c>
      <c r="H148" s="21" t="str">
        <f>IF('12 - Device_Configuration'!A149="","",'12 - Device_Configuration'!A149)</f>
        <v/>
      </c>
      <c r="I148" s="21" t="str">
        <f>IF('12 - Device_Configuration'!AI149="","",'12 - Device_Configuration'!AI149)</f>
        <v/>
      </c>
      <c r="J148" s="21" t="str">
        <f>IF('12 - Device_Configuration'!AJ149="","",'12 - Device_Configuration'!AJ149)</f>
        <v/>
      </c>
      <c r="K148" s="21" t="str">
        <f>IF('12 - Device_Configuration'!AA149="","",'12 - Device_Configuration'!AA149)</f>
        <v/>
      </c>
      <c r="L148" s="21" t="str">
        <f>IF('12 - Device_Configuration'!I149="","",'12 - Device_Configuration'!I149)</f>
        <v/>
      </c>
      <c r="M148" s="22"/>
      <c r="N148" s="21" t="str">
        <f>IF('12 - Device_Configuration'!J149="","",'12 - Device_Configuration'!J149)</f>
        <v/>
      </c>
      <c r="O148" s="21" t="str">
        <f>IF('12 - Device_Configuration'!K149="","",'12 - Device_Configuration'!K149)</f>
        <v/>
      </c>
      <c r="P148" s="21" t="str">
        <f>IF('12 - Device_Configuration'!L149="","",'12 - Device_Configuration'!L149)</f>
        <v/>
      </c>
      <c r="Q148" s="22"/>
      <c r="R148" s="21" t="str">
        <f>IF('12 - Device_Configuration'!AY149="","",'12 - Device_Configuration'!AY149)</f>
        <v/>
      </c>
      <c r="S148" s="21" t="str">
        <f>IF('12 - Device_Configuration'!AX149="","",'12 - Device_Configuration'!AX149)</f>
        <v/>
      </c>
      <c r="T148" s="21" t="str">
        <f>IF('12 - Device_Configuration'!AV149="","",'12 - Device_Configuration'!AV149)</f>
        <v/>
      </c>
      <c r="U148" s="21" t="str">
        <f>IF('12 - Device_Configuration'!AW149="","",'12 - Device_Configuration'!AW149)</f>
        <v/>
      </c>
      <c r="V148" s="21" t="str">
        <f>IF('12 - Device_Configuration'!BA149="","",'12 - Device_Configuration'!BA149)</f>
        <v/>
      </c>
      <c r="W148" s="21" t="str">
        <f>IF('12 - Device_Configuration'!BC149="","",'12 - Device_Configuration'!BC149)</f>
        <v/>
      </c>
      <c r="X148" s="21" t="str">
        <f>IF('12 - Device_Configuration'!BK149="","",'12 - Device_Configuration'!BK149)</f>
        <v/>
      </c>
      <c r="Y148" s="21" t="str">
        <f>IF('12 - Device_Configuration'!BB149="","",'12 - Device_Configuration'!BB149)</f>
        <v/>
      </c>
      <c r="Z148" s="21" t="str">
        <f>IF('12 - Device_Configuration'!P149="","",'12 - Device_Configuration'!P149)</f>
        <v/>
      </c>
      <c r="AA148" s="21" t="str">
        <f>IF('12 - Device_Configuration'!Q149="","",'12 - Device_Configuration'!Q149)</f>
        <v/>
      </c>
    </row>
    <row r="149" spans="1:27">
      <c r="A149" s="22"/>
      <c r="B149" s="22"/>
      <c r="C149" s="21" t="str">
        <f>IF('12 - Device_Configuration'!H150="","",'12 - Device_Configuration'!H150)</f>
        <v/>
      </c>
      <c r="D149" s="21" t="str">
        <f>IF('12 - Device_Configuration'!AE150="","",'12 - Device_Configuration'!AE150)</f>
        <v/>
      </c>
      <c r="E149" s="21" t="str">
        <f>IF('12 - Device_Configuration'!AF150="","",'12 - Device_Configuration'!AF150)</f>
        <v/>
      </c>
      <c r="F149" s="21" t="str">
        <f>IF('12 - Device_Configuration'!AG150="","",'12 - Device_Configuration'!AG150)</f>
        <v/>
      </c>
      <c r="G149" s="21" t="str">
        <f>IF('12 - Device_Configuration'!AH150="","",'12 - Device_Configuration'!AH150)</f>
        <v/>
      </c>
      <c r="H149" s="21" t="str">
        <f>IF('12 - Device_Configuration'!A150="","",'12 - Device_Configuration'!A150)</f>
        <v/>
      </c>
      <c r="I149" s="21" t="str">
        <f>IF('12 - Device_Configuration'!AI150="","",'12 - Device_Configuration'!AI150)</f>
        <v/>
      </c>
      <c r="J149" s="21" t="str">
        <f>IF('12 - Device_Configuration'!AJ150="","",'12 - Device_Configuration'!AJ150)</f>
        <v/>
      </c>
      <c r="K149" s="21" t="str">
        <f>IF('12 - Device_Configuration'!AA150="","",'12 - Device_Configuration'!AA150)</f>
        <v/>
      </c>
      <c r="L149" s="21" t="str">
        <f>IF('12 - Device_Configuration'!I150="","",'12 - Device_Configuration'!I150)</f>
        <v/>
      </c>
      <c r="M149" s="22"/>
      <c r="N149" s="21" t="str">
        <f>IF('12 - Device_Configuration'!J150="","",'12 - Device_Configuration'!J150)</f>
        <v/>
      </c>
      <c r="O149" s="21" t="str">
        <f>IF('12 - Device_Configuration'!K150="","",'12 - Device_Configuration'!K150)</f>
        <v/>
      </c>
      <c r="P149" s="21" t="str">
        <f>IF('12 - Device_Configuration'!L150="","",'12 - Device_Configuration'!L150)</f>
        <v/>
      </c>
      <c r="Q149" s="22"/>
      <c r="R149" s="21" t="str">
        <f>IF('12 - Device_Configuration'!AY150="","",'12 - Device_Configuration'!AY150)</f>
        <v/>
      </c>
      <c r="S149" s="21" t="str">
        <f>IF('12 - Device_Configuration'!AX150="","",'12 - Device_Configuration'!AX150)</f>
        <v/>
      </c>
      <c r="T149" s="21" t="str">
        <f>IF('12 - Device_Configuration'!AV150="","",'12 - Device_Configuration'!AV150)</f>
        <v/>
      </c>
      <c r="U149" s="21" t="str">
        <f>IF('12 - Device_Configuration'!AW150="","",'12 - Device_Configuration'!AW150)</f>
        <v/>
      </c>
      <c r="V149" s="21" t="str">
        <f>IF('12 - Device_Configuration'!BA150="","",'12 - Device_Configuration'!BA150)</f>
        <v/>
      </c>
      <c r="W149" s="21" t="str">
        <f>IF('12 - Device_Configuration'!BC150="","",'12 - Device_Configuration'!BC150)</f>
        <v/>
      </c>
      <c r="X149" s="21" t="str">
        <f>IF('12 - Device_Configuration'!BK150="","",'12 - Device_Configuration'!BK150)</f>
        <v/>
      </c>
      <c r="Y149" s="21" t="str">
        <f>IF('12 - Device_Configuration'!BB150="","",'12 - Device_Configuration'!BB150)</f>
        <v/>
      </c>
      <c r="Z149" s="21" t="str">
        <f>IF('12 - Device_Configuration'!P150="","",'12 - Device_Configuration'!P150)</f>
        <v/>
      </c>
      <c r="AA149" s="21" t="str">
        <f>IF('12 - Device_Configuration'!Q150="","",'12 - Device_Configuration'!Q150)</f>
        <v/>
      </c>
    </row>
    <row r="150" spans="1:27">
      <c r="A150" s="22"/>
      <c r="B150" s="22"/>
      <c r="C150" s="21" t="str">
        <f>IF('12 - Device_Configuration'!H151="","",'12 - Device_Configuration'!H151)</f>
        <v/>
      </c>
      <c r="D150" s="21" t="str">
        <f>IF('12 - Device_Configuration'!AE151="","",'12 - Device_Configuration'!AE151)</f>
        <v/>
      </c>
      <c r="E150" s="21" t="str">
        <f>IF('12 - Device_Configuration'!AF151="","",'12 - Device_Configuration'!AF151)</f>
        <v/>
      </c>
      <c r="F150" s="21" t="str">
        <f>IF('12 - Device_Configuration'!AG151="","",'12 - Device_Configuration'!AG151)</f>
        <v/>
      </c>
      <c r="G150" s="21" t="str">
        <f>IF('12 - Device_Configuration'!AH151="","",'12 - Device_Configuration'!AH151)</f>
        <v/>
      </c>
      <c r="H150" s="21" t="str">
        <f>IF('12 - Device_Configuration'!A151="","",'12 - Device_Configuration'!A151)</f>
        <v/>
      </c>
      <c r="I150" s="21" t="str">
        <f>IF('12 - Device_Configuration'!AI151="","",'12 - Device_Configuration'!AI151)</f>
        <v/>
      </c>
      <c r="J150" s="21" t="str">
        <f>IF('12 - Device_Configuration'!AJ151="","",'12 - Device_Configuration'!AJ151)</f>
        <v/>
      </c>
      <c r="K150" s="21" t="str">
        <f>IF('12 - Device_Configuration'!AA151="","",'12 - Device_Configuration'!AA151)</f>
        <v/>
      </c>
      <c r="L150" s="21" t="str">
        <f>IF('12 - Device_Configuration'!I151="","",'12 - Device_Configuration'!I151)</f>
        <v/>
      </c>
      <c r="M150" s="22"/>
      <c r="N150" s="21" t="str">
        <f>IF('12 - Device_Configuration'!J151="","",'12 - Device_Configuration'!J151)</f>
        <v/>
      </c>
      <c r="O150" s="21" t="str">
        <f>IF('12 - Device_Configuration'!K151="","",'12 - Device_Configuration'!K151)</f>
        <v/>
      </c>
      <c r="P150" s="21" t="str">
        <f>IF('12 - Device_Configuration'!L151="","",'12 - Device_Configuration'!L151)</f>
        <v/>
      </c>
      <c r="Q150" s="22"/>
      <c r="R150" s="21" t="str">
        <f>IF('12 - Device_Configuration'!AY151="","",'12 - Device_Configuration'!AY151)</f>
        <v/>
      </c>
      <c r="S150" s="21" t="str">
        <f>IF('12 - Device_Configuration'!AX151="","",'12 - Device_Configuration'!AX151)</f>
        <v/>
      </c>
      <c r="T150" s="21" t="str">
        <f>IF('12 - Device_Configuration'!AV151="","",'12 - Device_Configuration'!AV151)</f>
        <v/>
      </c>
      <c r="U150" s="21" t="str">
        <f>IF('12 - Device_Configuration'!AW151="","",'12 - Device_Configuration'!AW151)</f>
        <v/>
      </c>
      <c r="V150" s="21" t="str">
        <f>IF('12 - Device_Configuration'!BA151="","",'12 - Device_Configuration'!BA151)</f>
        <v/>
      </c>
      <c r="W150" s="21" t="str">
        <f>IF('12 - Device_Configuration'!BC151="","",'12 - Device_Configuration'!BC151)</f>
        <v/>
      </c>
      <c r="X150" s="21" t="str">
        <f>IF('12 - Device_Configuration'!BK151="","",'12 - Device_Configuration'!BK151)</f>
        <v/>
      </c>
      <c r="Y150" s="21" t="str">
        <f>IF('12 - Device_Configuration'!BB151="","",'12 - Device_Configuration'!BB151)</f>
        <v/>
      </c>
      <c r="Z150" s="21" t="str">
        <f>IF('12 - Device_Configuration'!P151="","",'12 - Device_Configuration'!P151)</f>
        <v/>
      </c>
      <c r="AA150" s="21" t="str">
        <f>IF('12 - Device_Configuration'!Q151="","",'12 - Device_Configuration'!Q151)</f>
        <v/>
      </c>
    </row>
    <row r="151" spans="1:27">
      <c r="A151" s="22"/>
      <c r="B151" s="22"/>
      <c r="C151" s="21" t="str">
        <f>IF('12 - Device_Configuration'!H152="","",'12 - Device_Configuration'!H152)</f>
        <v/>
      </c>
      <c r="D151" s="21" t="str">
        <f>IF('12 - Device_Configuration'!AE152="","",'12 - Device_Configuration'!AE152)</f>
        <v/>
      </c>
      <c r="E151" s="21" t="str">
        <f>IF('12 - Device_Configuration'!AF152="","",'12 - Device_Configuration'!AF152)</f>
        <v/>
      </c>
      <c r="F151" s="21" t="str">
        <f>IF('12 - Device_Configuration'!AG152="","",'12 - Device_Configuration'!AG152)</f>
        <v/>
      </c>
      <c r="G151" s="21" t="str">
        <f>IF('12 - Device_Configuration'!AH152="","",'12 - Device_Configuration'!AH152)</f>
        <v/>
      </c>
      <c r="H151" s="21" t="str">
        <f>IF('12 - Device_Configuration'!A152="","",'12 - Device_Configuration'!A152)</f>
        <v/>
      </c>
      <c r="I151" s="21" t="str">
        <f>IF('12 - Device_Configuration'!AI152="","",'12 - Device_Configuration'!AI152)</f>
        <v/>
      </c>
      <c r="J151" s="21" t="str">
        <f>IF('12 - Device_Configuration'!AJ152="","",'12 - Device_Configuration'!AJ152)</f>
        <v/>
      </c>
      <c r="K151" s="21" t="str">
        <f>IF('12 - Device_Configuration'!AA152="","",'12 - Device_Configuration'!AA152)</f>
        <v/>
      </c>
      <c r="L151" s="21" t="str">
        <f>IF('12 - Device_Configuration'!I152="","",'12 - Device_Configuration'!I152)</f>
        <v/>
      </c>
      <c r="M151" s="22"/>
      <c r="N151" s="21" t="str">
        <f>IF('12 - Device_Configuration'!J152="","",'12 - Device_Configuration'!J152)</f>
        <v/>
      </c>
      <c r="O151" s="21" t="str">
        <f>IF('12 - Device_Configuration'!K152="","",'12 - Device_Configuration'!K152)</f>
        <v/>
      </c>
      <c r="P151" s="21" t="str">
        <f>IF('12 - Device_Configuration'!L152="","",'12 - Device_Configuration'!L152)</f>
        <v/>
      </c>
      <c r="Q151" s="22"/>
      <c r="R151" s="21" t="str">
        <f>IF('12 - Device_Configuration'!AY152="","",'12 - Device_Configuration'!AY152)</f>
        <v/>
      </c>
      <c r="S151" s="21" t="str">
        <f>IF('12 - Device_Configuration'!AX152="","",'12 - Device_Configuration'!AX152)</f>
        <v/>
      </c>
      <c r="T151" s="21" t="str">
        <f>IF('12 - Device_Configuration'!AV152="","",'12 - Device_Configuration'!AV152)</f>
        <v/>
      </c>
      <c r="U151" s="21" t="str">
        <f>IF('12 - Device_Configuration'!AW152="","",'12 - Device_Configuration'!AW152)</f>
        <v/>
      </c>
      <c r="V151" s="21" t="str">
        <f>IF('12 - Device_Configuration'!BA152="","",'12 - Device_Configuration'!BA152)</f>
        <v/>
      </c>
      <c r="W151" s="21" t="str">
        <f>IF('12 - Device_Configuration'!BC152="","",'12 - Device_Configuration'!BC152)</f>
        <v/>
      </c>
      <c r="X151" s="21" t="str">
        <f>IF('12 - Device_Configuration'!BK152="","",'12 - Device_Configuration'!BK152)</f>
        <v/>
      </c>
      <c r="Y151" s="21" t="str">
        <f>IF('12 - Device_Configuration'!BB152="","",'12 - Device_Configuration'!BB152)</f>
        <v/>
      </c>
      <c r="Z151" s="21" t="str">
        <f>IF('12 - Device_Configuration'!P152="","",'12 - Device_Configuration'!P152)</f>
        <v/>
      </c>
      <c r="AA151" s="21" t="str">
        <f>IF('12 - Device_Configuration'!Q152="","",'12 - Device_Configuration'!Q152)</f>
        <v/>
      </c>
    </row>
    <row r="152" spans="1:27">
      <c r="A152" s="22"/>
      <c r="B152" s="22"/>
      <c r="C152" s="21" t="str">
        <f>IF('12 - Device_Configuration'!H153="","",'12 - Device_Configuration'!H153)</f>
        <v/>
      </c>
      <c r="D152" s="21" t="str">
        <f>IF('12 - Device_Configuration'!AE153="","",'12 - Device_Configuration'!AE153)</f>
        <v/>
      </c>
      <c r="E152" s="21" t="str">
        <f>IF('12 - Device_Configuration'!AF153="","",'12 - Device_Configuration'!AF153)</f>
        <v/>
      </c>
      <c r="F152" s="21" t="str">
        <f>IF('12 - Device_Configuration'!AG153="","",'12 - Device_Configuration'!AG153)</f>
        <v/>
      </c>
      <c r="G152" s="21" t="str">
        <f>IF('12 - Device_Configuration'!AH153="","",'12 - Device_Configuration'!AH153)</f>
        <v/>
      </c>
      <c r="H152" s="21" t="str">
        <f>IF('12 - Device_Configuration'!A153="","",'12 - Device_Configuration'!A153)</f>
        <v/>
      </c>
      <c r="I152" s="21" t="str">
        <f>IF('12 - Device_Configuration'!AI153="","",'12 - Device_Configuration'!AI153)</f>
        <v/>
      </c>
      <c r="J152" s="21" t="str">
        <f>IF('12 - Device_Configuration'!AJ153="","",'12 - Device_Configuration'!AJ153)</f>
        <v/>
      </c>
      <c r="K152" s="21" t="str">
        <f>IF('12 - Device_Configuration'!AA153="","",'12 - Device_Configuration'!AA153)</f>
        <v/>
      </c>
      <c r="L152" s="21" t="str">
        <f>IF('12 - Device_Configuration'!I153="","",'12 - Device_Configuration'!I153)</f>
        <v/>
      </c>
      <c r="M152" s="22"/>
      <c r="N152" s="21" t="str">
        <f>IF('12 - Device_Configuration'!J153="","",'12 - Device_Configuration'!J153)</f>
        <v/>
      </c>
      <c r="O152" s="21" t="str">
        <f>IF('12 - Device_Configuration'!K153="","",'12 - Device_Configuration'!K153)</f>
        <v/>
      </c>
      <c r="P152" s="21" t="str">
        <f>IF('12 - Device_Configuration'!L153="","",'12 - Device_Configuration'!L153)</f>
        <v/>
      </c>
      <c r="Q152" s="22"/>
      <c r="R152" s="21" t="str">
        <f>IF('12 - Device_Configuration'!AY153="","",'12 - Device_Configuration'!AY153)</f>
        <v/>
      </c>
      <c r="S152" s="21" t="str">
        <f>IF('12 - Device_Configuration'!AX153="","",'12 - Device_Configuration'!AX153)</f>
        <v/>
      </c>
      <c r="T152" s="21" t="str">
        <f>IF('12 - Device_Configuration'!AV153="","",'12 - Device_Configuration'!AV153)</f>
        <v/>
      </c>
      <c r="U152" s="21" t="str">
        <f>IF('12 - Device_Configuration'!AW153="","",'12 - Device_Configuration'!AW153)</f>
        <v/>
      </c>
      <c r="V152" s="21" t="str">
        <f>IF('12 - Device_Configuration'!BA153="","",'12 - Device_Configuration'!BA153)</f>
        <v/>
      </c>
      <c r="W152" s="21" t="str">
        <f>IF('12 - Device_Configuration'!BC153="","",'12 - Device_Configuration'!BC153)</f>
        <v/>
      </c>
      <c r="X152" s="21" t="str">
        <f>IF('12 - Device_Configuration'!BK153="","",'12 - Device_Configuration'!BK153)</f>
        <v/>
      </c>
      <c r="Y152" s="21" t="str">
        <f>IF('12 - Device_Configuration'!BB153="","",'12 - Device_Configuration'!BB153)</f>
        <v/>
      </c>
      <c r="Z152" s="21" t="str">
        <f>IF('12 - Device_Configuration'!P153="","",'12 - Device_Configuration'!P153)</f>
        <v/>
      </c>
      <c r="AA152" s="21" t="str">
        <f>IF('12 - Device_Configuration'!Q153="","",'12 - Device_Configuration'!Q153)</f>
        <v/>
      </c>
    </row>
    <row r="153" spans="1:27">
      <c r="A153" s="22"/>
      <c r="B153" s="22"/>
      <c r="C153" s="21" t="str">
        <f>IF('12 - Device_Configuration'!H154="","",'12 - Device_Configuration'!H154)</f>
        <v/>
      </c>
      <c r="D153" s="21" t="str">
        <f>IF('12 - Device_Configuration'!AE154="","",'12 - Device_Configuration'!AE154)</f>
        <v/>
      </c>
      <c r="E153" s="21" t="str">
        <f>IF('12 - Device_Configuration'!AF154="","",'12 - Device_Configuration'!AF154)</f>
        <v/>
      </c>
      <c r="F153" s="21" t="str">
        <f>IF('12 - Device_Configuration'!AG154="","",'12 - Device_Configuration'!AG154)</f>
        <v/>
      </c>
      <c r="G153" s="21" t="str">
        <f>IF('12 - Device_Configuration'!AH154="","",'12 - Device_Configuration'!AH154)</f>
        <v/>
      </c>
      <c r="H153" s="21" t="str">
        <f>IF('12 - Device_Configuration'!A154="","",'12 - Device_Configuration'!A154)</f>
        <v/>
      </c>
      <c r="I153" s="21" t="str">
        <f>IF('12 - Device_Configuration'!AI154="","",'12 - Device_Configuration'!AI154)</f>
        <v/>
      </c>
      <c r="J153" s="21" t="str">
        <f>IF('12 - Device_Configuration'!AJ154="","",'12 - Device_Configuration'!AJ154)</f>
        <v/>
      </c>
      <c r="K153" s="21" t="str">
        <f>IF('12 - Device_Configuration'!AA154="","",'12 - Device_Configuration'!AA154)</f>
        <v/>
      </c>
      <c r="L153" s="21" t="str">
        <f>IF('12 - Device_Configuration'!I154="","",'12 - Device_Configuration'!I154)</f>
        <v/>
      </c>
      <c r="M153" s="22"/>
      <c r="N153" s="21" t="str">
        <f>IF('12 - Device_Configuration'!J154="","",'12 - Device_Configuration'!J154)</f>
        <v/>
      </c>
      <c r="O153" s="21" t="str">
        <f>IF('12 - Device_Configuration'!K154="","",'12 - Device_Configuration'!K154)</f>
        <v/>
      </c>
      <c r="P153" s="21" t="str">
        <f>IF('12 - Device_Configuration'!L154="","",'12 - Device_Configuration'!L154)</f>
        <v/>
      </c>
      <c r="Q153" s="22"/>
      <c r="R153" s="21" t="str">
        <f>IF('12 - Device_Configuration'!AY154="","",'12 - Device_Configuration'!AY154)</f>
        <v/>
      </c>
      <c r="S153" s="21" t="str">
        <f>IF('12 - Device_Configuration'!AX154="","",'12 - Device_Configuration'!AX154)</f>
        <v/>
      </c>
      <c r="T153" s="21" t="str">
        <f>IF('12 - Device_Configuration'!AV154="","",'12 - Device_Configuration'!AV154)</f>
        <v/>
      </c>
      <c r="U153" s="21" t="str">
        <f>IF('12 - Device_Configuration'!AW154="","",'12 - Device_Configuration'!AW154)</f>
        <v/>
      </c>
      <c r="V153" s="21" t="str">
        <f>IF('12 - Device_Configuration'!BA154="","",'12 - Device_Configuration'!BA154)</f>
        <v/>
      </c>
      <c r="W153" s="21" t="str">
        <f>IF('12 - Device_Configuration'!BC154="","",'12 - Device_Configuration'!BC154)</f>
        <v/>
      </c>
      <c r="X153" s="21" t="str">
        <f>IF('12 - Device_Configuration'!BK154="","",'12 - Device_Configuration'!BK154)</f>
        <v/>
      </c>
      <c r="Y153" s="21" t="str">
        <f>IF('12 - Device_Configuration'!BB154="","",'12 - Device_Configuration'!BB154)</f>
        <v/>
      </c>
      <c r="Z153" s="21" t="str">
        <f>IF('12 - Device_Configuration'!P154="","",'12 - Device_Configuration'!P154)</f>
        <v/>
      </c>
      <c r="AA153" s="21" t="str">
        <f>IF('12 - Device_Configuration'!Q154="","",'12 - Device_Configuration'!Q154)</f>
        <v/>
      </c>
    </row>
    <row r="154" spans="1:27">
      <c r="A154" s="22"/>
      <c r="B154" s="22"/>
      <c r="C154" s="21" t="str">
        <f>IF('12 - Device_Configuration'!H155="","",'12 - Device_Configuration'!H155)</f>
        <v/>
      </c>
      <c r="D154" s="21" t="str">
        <f>IF('12 - Device_Configuration'!AE155="","",'12 - Device_Configuration'!AE155)</f>
        <v/>
      </c>
      <c r="E154" s="21" t="str">
        <f>IF('12 - Device_Configuration'!AF155="","",'12 - Device_Configuration'!AF155)</f>
        <v/>
      </c>
      <c r="F154" s="21" t="str">
        <f>IF('12 - Device_Configuration'!AG155="","",'12 - Device_Configuration'!AG155)</f>
        <v/>
      </c>
      <c r="G154" s="21" t="str">
        <f>IF('12 - Device_Configuration'!AH155="","",'12 - Device_Configuration'!AH155)</f>
        <v/>
      </c>
      <c r="H154" s="21" t="str">
        <f>IF('12 - Device_Configuration'!A155="","",'12 - Device_Configuration'!A155)</f>
        <v/>
      </c>
      <c r="I154" s="21" t="str">
        <f>IF('12 - Device_Configuration'!AI155="","",'12 - Device_Configuration'!AI155)</f>
        <v/>
      </c>
      <c r="J154" s="21" t="str">
        <f>IF('12 - Device_Configuration'!AJ155="","",'12 - Device_Configuration'!AJ155)</f>
        <v/>
      </c>
      <c r="K154" s="21" t="str">
        <f>IF('12 - Device_Configuration'!AA155="","",'12 - Device_Configuration'!AA155)</f>
        <v/>
      </c>
      <c r="L154" s="21" t="str">
        <f>IF('12 - Device_Configuration'!I155="","",'12 - Device_Configuration'!I155)</f>
        <v/>
      </c>
      <c r="M154" s="22"/>
      <c r="N154" s="21" t="str">
        <f>IF('12 - Device_Configuration'!J155="","",'12 - Device_Configuration'!J155)</f>
        <v/>
      </c>
      <c r="O154" s="21" t="str">
        <f>IF('12 - Device_Configuration'!K155="","",'12 - Device_Configuration'!K155)</f>
        <v/>
      </c>
      <c r="P154" s="21" t="str">
        <f>IF('12 - Device_Configuration'!L155="","",'12 - Device_Configuration'!L155)</f>
        <v/>
      </c>
      <c r="Q154" s="22"/>
      <c r="R154" s="21" t="str">
        <f>IF('12 - Device_Configuration'!AY155="","",'12 - Device_Configuration'!AY155)</f>
        <v/>
      </c>
      <c r="S154" s="21" t="str">
        <f>IF('12 - Device_Configuration'!AX155="","",'12 - Device_Configuration'!AX155)</f>
        <v/>
      </c>
      <c r="T154" s="21" t="str">
        <f>IF('12 - Device_Configuration'!AV155="","",'12 - Device_Configuration'!AV155)</f>
        <v/>
      </c>
      <c r="U154" s="21" t="str">
        <f>IF('12 - Device_Configuration'!AW155="","",'12 - Device_Configuration'!AW155)</f>
        <v/>
      </c>
      <c r="V154" s="21" t="str">
        <f>IF('12 - Device_Configuration'!BA155="","",'12 - Device_Configuration'!BA155)</f>
        <v/>
      </c>
      <c r="W154" s="21" t="str">
        <f>IF('12 - Device_Configuration'!BC155="","",'12 - Device_Configuration'!BC155)</f>
        <v/>
      </c>
      <c r="X154" s="21" t="str">
        <f>IF('12 - Device_Configuration'!BK155="","",'12 - Device_Configuration'!BK155)</f>
        <v/>
      </c>
      <c r="Y154" s="21" t="str">
        <f>IF('12 - Device_Configuration'!BB155="","",'12 - Device_Configuration'!BB155)</f>
        <v/>
      </c>
      <c r="Z154" s="21" t="str">
        <f>IF('12 - Device_Configuration'!P155="","",'12 - Device_Configuration'!P155)</f>
        <v/>
      </c>
      <c r="AA154" s="21" t="str">
        <f>IF('12 - Device_Configuration'!Q155="","",'12 - Device_Configuration'!Q155)</f>
        <v/>
      </c>
    </row>
    <row r="155" spans="1:27">
      <c r="A155" s="22"/>
      <c r="B155" s="22"/>
      <c r="C155" s="21" t="str">
        <f>IF('12 - Device_Configuration'!H156="","",'12 - Device_Configuration'!H156)</f>
        <v/>
      </c>
      <c r="D155" s="21" t="str">
        <f>IF('12 - Device_Configuration'!AE156="","",'12 - Device_Configuration'!AE156)</f>
        <v/>
      </c>
      <c r="E155" s="21" t="str">
        <f>IF('12 - Device_Configuration'!AF156="","",'12 - Device_Configuration'!AF156)</f>
        <v/>
      </c>
      <c r="F155" s="21" t="str">
        <f>IF('12 - Device_Configuration'!AG156="","",'12 - Device_Configuration'!AG156)</f>
        <v/>
      </c>
      <c r="G155" s="21" t="str">
        <f>IF('12 - Device_Configuration'!AH156="","",'12 - Device_Configuration'!AH156)</f>
        <v/>
      </c>
      <c r="H155" s="21" t="str">
        <f>IF('12 - Device_Configuration'!A156="","",'12 - Device_Configuration'!A156)</f>
        <v/>
      </c>
      <c r="I155" s="21" t="str">
        <f>IF('12 - Device_Configuration'!AI156="","",'12 - Device_Configuration'!AI156)</f>
        <v/>
      </c>
      <c r="J155" s="21" t="str">
        <f>IF('12 - Device_Configuration'!AJ156="","",'12 - Device_Configuration'!AJ156)</f>
        <v/>
      </c>
      <c r="K155" s="21" t="str">
        <f>IF('12 - Device_Configuration'!AA156="","",'12 - Device_Configuration'!AA156)</f>
        <v/>
      </c>
      <c r="L155" s="21" t="str">
        <f>IF('12 - Device_Configuration'!I156="","",'12 - Device_Configuration'!I156)</f>
        <v/>
      </c>
      <c r="M155" s="22"/>
      <c r="N155" s="21" t="str">
        <f>IF('12 - Device_Configuration'!J156="","",'12 - Device_Configuration'!J156)</f>
        <v/>
      </c>
      <c r="O155" s="21" t="str">
        <f>IF('12 - Device_Configuration'!K156="","",'12 - Device_Configuration'!K156)</f>
        <v/>
      </c>
      <c r="P155" s="21" t="str">
        <f>IF('12 - Device_Configuration'!L156="","",'12 - Device_Configuration'!L156)</f>
        <v/>
      </c>
      <c r="Q155" s="22"/>
      <c r="R155" s="21" t="str">
        <f>IF('12 - Device_Configuration'!AY156="","",'12 - Device_Configuration'!AY156)</f>
        <v/>
      </c>
      <c r="S155" s="21" t="str">
        <f>IF('12 - Device_Configuration'!AX156="","",'12 - Device_Configuration'!AX156)</f>
        <v/>
      </c>
      <c r="T155" s="21" t="str">
        <f>IF('12 - Device_Configuration'!AV156="","",'12 - Device_Configuration'!AV156)</f>
        <v/>
      </c>
      <c r="U155" s="21" t="str">
        <f>IF('12 - Device_Configuration'!AW156="","",'12 - Device_Configuration'!AW156)</f>
        <v/>
      </c>
      <c r="V155" s="21" t="str">
        <f>IF('12 - Device_Configuration'!BA156="","",'12 - Device_Configuration'!BA156)</f>
        <v/>
      </c>
      <c r="W155" s="21" t="str">
        <f>IF('12 - Device_Configuration'!BC156="","",'12 - Device_Configuration'!BC156)</f>
        <v/>
      </c>
      <c r="X155" s="21" t="str">
        <f>IF('12 - Device_Configuration'!BK156="","",'12 - Device_Configuration'!BK156)</f>
        <v/>
      </c>
      <c r="Y155" s="21" t="str">
        <f>IF('12 - Device_Configuration'!BB156="","",'12 - Device_Configuration'!BB156)</f>
        <v/>
      </c>
      <c r="Z155" s="21" t="str">
        <f>IF('12 - Device_Configuration'!P156="","",'12 - Device_Configuration'!P156)</f>
        <v/>
      </c>
      <c r="AA155" s="21" t="str">
        <f>IF('12 - Device_Configuration'!Q156="","",'12 - Device_Configuration'!Q156)</f>
        <v/>
      </c>
    </row>
    <row r="156" spans="1:27">
      <c r="A156" s="22"/>
      <c r="B156" s="22"/>
      <c r="C156" s="21" t="str">
        <f>IF('12 - Device_Configuration'!H157="","",'12 - Device_Configuration'!H157)</f>
        <v/>
      </c>
      <c r="D156" s="21" t="str">
        <f>IF('12 - Device_Configuration'!AE157="","",'12 - Device_Configuration'!AE157)</f>
        <v/>
      </c>
      <c r="E156" s="21" t="str">
        <f>IF('12 - Device_Configuration'!AF157="","",'12 - Device_Configuration'!AF157)</f>
        <v/>
      </c>
      <c r="F156" s="21" t="str">
        <f>IF('12 - Device_Configuration'!AG157="","",'12 - Device_Configuration'!AG157)</f>
        <v/>
      </c>
      <c r="G156" s="21" t="str">
        <f>IF('12 - Device_Configuration'!AH157="","",'12 - Device_Configuration'!AH157)</f>
        <v/>
      </c>
      <c r="H156" s="21" t="str">
        <f>IF('12 - Device_Configuration'!A157="","",'12 - Device_Configuration'!A157)</f>
        <v/>
      </c>
      <c r="I156" s="21" t="str">
        <f>IF('12 - Device_Configuration'!AI157="","",'12 - Device_Configuration'!AI157)</f>
        <v/>
      </c>
      <c r="J156" s="21" t="str">
        <f>IF('12 - Device_Configuration'!AJ157="","",'12 - Device_Configuration'!AJ157)</f>
        <v/>
      </c>
      <c r="K156" s="21" t="str">
        <f>IF('12 - Device_Configuration'!AA157="","",'12 - Device_Configuration'!AA157)</f>
        <v/>
      </c>
      <c r="L156" s="21" t="str">
        <f>IF('12 - Device_Configuration'!I157="","",'12 - Device_Configuration'!I157)</f>
        <v/>
      </c>
      <c r="M156" s="22"/>
      <c r="N156" s="21" t="str">
        <f>IF('12 - Device_Configuration'!J157="","",'12 - Device_Configuration'!J157)</f>
        <v/>
      </c>
      <c r="O156" s="21" t="str">
        <f>IF('12 - Device_Configuration'!K157="","",'12 - Device_Configuration'!K157)</f>
        <v/>
      </c>
      <c r="P156" s="21" t="str">
        <f>IF('12 - Device_Configuration'!L157="","",'12 - Device_Configuration'!L157)</f>
        <v/>
      </c>
      <c r="Q156" s="22"/>
      <c r="R156" s="21" t="str">
        <f>IF('12 - Device_Configuration'!AY157="","",'12 - Device_Configuration'!AY157)</f>
        <v/>
      </c>
      <c r="S156" s="21" t="str">
        <f>IF('12 - Device_Configuration'!AX157="","",'12 - Device_Configuration'!AX157)</f>
        <v/>
      </c>
      <c r="T156" s="21" t="str">
        <f>IF('12 - Device_Configuration'!AV157="","",'12 - Device_Configuration'!AV157)</f>
        <v/>
      </c>
      <c r="U156" s="21" t="str">
        <f>IF('12 - Device_Configuration'!AW157="","",'12 - Device_Configuration'!AW157)</f>
        <v/>
      </c>
      <c r="V156" s="21" t="str">
        <f>IF('12 - Device_Configuration'!BA157="","",'12 - Device_Configuration'!BA157)</f>
        <v/>
      </c>
      <c r="W156" s="21" t="str">
        <f>IF('12 - Device_Configuration'!BC157="","",'12 - Device_Configuration'!BC157)</f>
        <v/>
      </c>
      <c r="X156" s="21" t="str">
        <f>IF('12 - Device_Configuration'!BK157="","",'12 - Device_Configuration'!BK157)</f>
        <v/>
      </c>
      <c r="Y156" s="21" t="str">
        <f>IF('12 - Device_Configuration'!BB157="","",'12 - Device_Configuration'!BB157)</f>
        <v/>
      </c>
      <c r="Z156" s="21" t="str">
        <f>IF('12 - Device_Configuration'!P157="","",'12 - Device_Configuration'!P157)</f>
        <v/>
      </c>
      <c r="AA156" s="21" t="str">
        <f>IF('12 - Device_Configuration'!Q157="","",'12 - Device_Configuration'!Q157)</f>
        <v/>
      </c>
    </row>
    <row r="157" spans="1:27">
      <c r="A157" s="22"/>
      <c r="B157" s="22"/>
      <c r="C157" s="21" t="str">
        <f>IF('12 - Device_Configuration'!H158="","",'12 - Device_Configuration'!H158)</f>
        <v/>
      </c>
      <c r="D157" s="21" t="str">
        <f>IF('12 - Device_Configuration'!AE158="","",'12 - Device_Configuration'!AE158)</f>
        <v/>
      </c>
      <c r="E157" s="21" t="str">
        <f>IF('12 - Device_Configuration'!AF158="","",'12 - Device_Configuration'!AF158)</f>
        <v/>
      </c>
      <c r="F157" s="21" t="str">
        <f>IF('12 - Device_Configuration'!AG158="","",'12 - Device_Configuration'!AG158)</f>
        <v/>
      </c>
      <c r="G157" s="21" t="str">
        <f>IF('12 - Device_Configuration'!AH158="","",'12 - Device_Configuration'!AH158)</f>
        <v/>
      </c>
      <c r="H157" s="21" t="str">
        <f>IF('12 - Device_Configuration'!A158="","",'12 - Device_Configuration'!A158)</f>
        <v/>
      </c>
      <c r="I157" s="21" t="str">
        <f>IF('12 - Device_Configuration'!AI158="","",'12 - Device_Configuration'!AI158)</f>
        <v/>
      </c>
      <c r="J157" s="21" t="str">
        <f>IF('12 - Device_Configuration'!AJ158="","",'12 - Device_Configuration'!AJ158)</f>
        <v/>
      </c>
      <c r="K157" s="21" t="str">
        <f>IF('12 - Device_Configuration'!AA158="","",'12 - Device_Configuration'!AA158)</f>
        <v/>
      </c>
      <c r="L157" s="21" t="str">
        <f>IF('12 - Device_Configuration'!I158="","",'12 - Device_Configuration'!I158)</f>
        <v/>
      </c>
      <c r="M157" s="22"/>
      <c r="N157" s="21" t="str">
        <f>IF('12 - Device_Configuration'!J158="","",'12 - Device_Configuration'!J158)</f>
        <v/>
      </c>
      <c r="O157" s="21" t="str">
        <f>IF('12 - Device_Configuration'!K158="","",'12 - Device_Configuration'!K158)</f>
        <v/>
      </c>
      <c r="P157" s="21" t="str">
        <f>IF('12 - Device_Configuration'!L158="","",'12 - Device_Configuration'!L158)</f>
        <v/>
      </c>
      <c r="Q157" s="22"/>
      <c r="R157" s="21" t="str">
        <f>IF('12 - Device_Configuration'!AY158="","",'12 - Device_Configuration'!AY158)</f>
        <v/>
      </c>
      <c r="S157" s="21" t="str">
        <f>IF('12 - Device_Configuration'!AX158="","",'12 - Device_Configuration'!AX158)</f>
        <v/>
      </c>
      <c r="T157" s="21" t="str">
        <f>IF('12 - Device_Configuration'!AV158="","",'12 - Device_Configuration'!AV158)</f>
        <v/>
      </c>
      <c r="U157" s="21" t="str">
        <f>IF('12 - Device_Configuration'!AW158="","",'12 - Device_Configuration'!AW158)</f>
        <v/>
      </c>
      <c r="V157" s="21" t="str">
        <f>IF('12 - Device_Configuration'!BA158="","",'12 - Device_Configuration'!BA158)</f>
        <v/>
      </c>
      <c r="W157" s="21" t="str">
        <f>IF('12 - Device_Configuration'!BC158="","",'12 - Device_Configuration'!BC158)</f>
        <v/>
      </c>
      <c r="X157" s="21" t="str">
        <f>IF('12 - Device_Configuration'!BK158="","",'12 - Device_Configuration'!BK158)</f>
        <v/>
      </c>
      <c r="Y157" s="21" t="str">
        <f>IF('12 - Device_Configuration'!BB158="","",'12 - Device_Configuration'!BB158)</f>
        <v/>
      </c>
      <c r="Z157" s="21" t="str">
        <f>IF('12 - Device_Configuration'!P158="","",'12 - Device_Configuration'!P158)</f>
        <v/>
      </c>
      <c r="AA157" s="21" t="str">
        <f>IF('12 - Device_Configuration'!Q158="","",'12 - Device_Configuration'!Q158)</f>
        <v/>
      </c>
    </row>
    <row r="158" spans="1:27">
      <c r="A158" s="22"/>
      <c r="B158" s="22"/>
      <c r="C158" s="21" t="str">
        <f>IF('12 - Device_Configuration'!H159="","",'12 - Device_Configuration'!H159)</f>
        <v/>
      </c>
      <c r="D158" s="21" t="str">
        <f>IF('12 - Device_Configuration'!AE159="","",'12 - Device_Configuration'!AE159)</f>
        <v/>
      </c>
      <c r="E158" s="21" t="str">
        <f>IF('12 - Device_Configuration'!AF159="","",'12 - Device_Configuration'!AF159)</f>
        <v/>
      </c>
      <c r="F158" s="21" t="str">
        <f>IF('12 - Device_Configuration'!AG159="","",'12 - Device_Configuration'!AG159)</f>
        <v/>
      </c>
      <c r="G158" s="21" t="str">
        <f>IF('12 - Device_Configuration'!AH159="","",'12 - Device_Configuration'!AH159)</f>
        <v/>
      </c>
      <c r="H158" s="21" t="str">
        <f>IF('12 - Device_Configuration'!A159="","",'12 - Device_Configuration'!A159)</f>
        <v/>
      </c>
      <c r="I158" s="21" t="str">
        <f>IF('12 - Device_Configuration'!AI159="","",'12 - Device_Configuration'!AI159)</f>
        <v/>
      </c>
      <c r="J158" s="21" t="str">
        <f>IF('12 - Device_Configuration'!AJ159="","",'12 - Device_Configuration'!AJ159)</f>
        <v/>
      </c>
      <c r="K158" s="21" t="str">
        <f>IF('12 - Device_Configuration'!AA159="","",'12 - Device_Configuration'!AA159)</f>
        <v/>
      </c>
      <c r="L158" s="21" t="str">
        <f>IF('12 - Device_Configuration'!I159="","",'12 - Device_Configuration'!I159)</f>
        <v/>
      </c>
      <c r="M158" s="22"/>
      <c r="N158" s="21" t="str">
        <f>IF('12 - Device_Configuration'!J159="","",'12 - Device_Configuration'!J159)</f>
        <v/>
      </c>
      <c r="O158" s="21" t="str">
        <f>IF('12 - Device_Configuration'!K159="","",'12 - Device_Configuration'!K159)</f>
        <v/>
      </c>
      <c r="P158" s="21" t="str">
        <f>IF('12 - Device_Configuration'!L159="","",'12 - Device_Configuration'!L159)</f>
        <v/>
      </c>
      <c r="Q158" s="22"/>
      <c r="R158" s="21" t="str">
        <f>IF('12 - Device_Configuration'!AY159="","",'12 - Device_Configuration'!AY159)</f>
        <v/>
      </c>
      <c r="S158" s="21" t="str">
        <f>IF('12 - Device_Configuration'!AX159="","",'12 - Device_Configuration'!AX159)</f>
        <v/>
      </c>
      <c r="T158" s="21" t="str">
        <f>IF('12 - Device_Configuration'!AV159="","",'12 - Device_Configuration'!AV159)</f>
        <v/>
      </c>
      <c r="U158" s="21" t="str">
        <f>IF('12 - Device_Configuration'!AW159="","",'12 - Device_Configuration'!AW159)</f>
        <v/>
      </c>
      <c r="V158" s="21" t="str">
        <f>IF('12 - Device_Configuration'!BA159="","",'12 - Device_Configuration'!BA159)</f>
        <v/>
      </c>
      <c r="W158" s="21" t="str">
        <f>IF('12 - Device_Configuration'!BC159="","",'12 - Device_Configuration'!BC159)</f>
        <v/>
      </c>
      <c r="X158" s="21" t="str">
        <f>IF('12 - Device_Configuration'!BK159="","",'12 - Device_Configuration'!BK159)</f>
        <v/>
      </c>
      <c r="Y158" s="21" t="str">
        <f>IF('12 - Device_Configuration'!BB159="","",'12 - Device_Configuration'!BB159)</f>
        <v/>
      </c>
      <c r="Z158" s="21" t="str">
        <f>IF('12 - Device_Configuration'!P159="","",'12 - Device_Configuration'!P159)</f>
        <v/>
      </c>
      <c r="AA158" s="21" t="str">
        <f>IF('12 - Device_Configuration'!Q159="","",'12 - Device_Configuration'!Q159)</f>
        <v/>
      </c>
    </row>
    <row r="159" spans="1:27">
      <c r="A159" s="22"/>
      <c r="B159" s="22"/>
      <c r="C159" s="21" t="str">
        <f>IF('12 - Device_Configuration'!H160="","",'12 - Device_Configuration'!H160)</f>
        <v/>
      </c>
      <c r="D159" s="21" t="str">
        <f>IF('12 - Device_Configuration'!AE160="","",'12 - Device_Configuration'!AE160)</f>
        <v/>
      </c>
      <c r="E159" s="21" t="str">
        <f>IF('12 - Device_Configuration'!AF160="","",'12 - Device_Configuration'!AF160)</f>
        <v/>
      </c>
      <c r="F159" s="21" t="str">
        <f>IF('12 - Device_Configuration'!AG160="","",'12 - Device_Configuration'!AG160)</f>
        <v/>
      </c>
      <c r="G159" s="21" t="str">
        <f>IF('12 - Device_Configuration'!AH160="","",'12 - Device_Configuration'!AH160)</f>
        <v/>
      </c>
      <c r="H159" s="21" t="str">
        <f>IF('12 - Device_Configuration'!A160="","",'12 - Device_Configuration'!A160)</f>
        <v/>
      </c>
      <c r="I159" s="21" t="str">
        <f>IF('12 - Device_Configuration'!AI160="","",'12 - Device_Configuration'!AI160)</f>
        <v/>
      </c>
      <c r="J159" s="21" t="str">
        <f>IF('12 - Device_Configuration'!AJ160="","",'12 - Device_Configuration'!AJ160)</f>
        <v/>
      </c>
      <c r="K159" s="21" t="str">
        <f>IF('12 - Device_Configuration'!AA160="","",'12 - Device_Configuration'!AA160)</f>
        <v/>
      </c>
      <c r="L159" s="21" t="str">
        <f>IF('12 - Device_Configuration'!I160="","",'12 - Device_Configuration'!I160)</f>
        <v/>
      </c>
      <c r="M159" s="22"/>
      <c r="N159" s="21" t="str">
        <f>IF('12 - Device_Configuration'!J160="","",'12 - Device_Configuration'!J160)</f>
        <v/>
      </c>
      <c r="O159" s="21" t="str">
        <f>IF('12 - Device_Configuration'!K160="","",'12 - Device_Configuration'!K160)</f>
        <v/>
      </c>
      <c r="P159" s="21" t="str">
        <f>IF('12 - Device_Configuration'!L160="","",'12 - Device_Configuration'!L160)</f>
        <v/>
      </c>
      <c r="Q159" s="22"/>
      <c r="R159" s="21" t="str">
        <f>IF('12 - Device_Configuration'!AY160="","",'12 - Device_Configuration'!AY160)</f>
        <v/>
      </c>
      <c r="S159" s="21" t="str">
        <f>IF('12 - Device_Configuration'!AX160="","",'12 - Device_Configuration'!AX160)</f>
        <v/>
      </c>
      <c r="T159" s="21" t="str">
        <f>IF('12 - Device_Configuration'!AV160="","",'12 - Device_Configuration'!AV160)</f>
        <v/>
      </c>
      <c r="U159" s="21" t="str">
        <f>IF('12 - Device_Configuration'!AW160="","",'12 - Device_Configuration'!AW160)</f>
        <v/>
      </c>
      <c r="V159" s="21" t="str">
        <f>IF('12 - Device_Configuration'!BA160="","",'12 - Device_Configuration'!BA160)</f>
        <v/>
      </c>
      <c r="W159" s="21" t="str">
        <f>IF('12 - Device_Configuration'!BC160="","",'12 - Device_Configuration'!BC160)</f>
        <v/>
      </c>
      <c r="X159" s="21" t="str">
        <f>IF('12 - Device_Configuration'!BK160="","",'12 - Device_Configuration'!BK160)</f>
        <v/>
      </c>
      <c r="Y159" s="21" t="str">
        <f>IF('12 - Device_Configuration'!BB160="","",'12 - Device_Configuration'!BB160)</f>
        <v/>
      </c>
      <c r="Z159" s="21" t="str">
        <f>IF('12 - Device_Configuration'!P160="","",'12 - Device_Configuration'!P160)</f>
        <v/>
      </c>
      <c r="AA159" s="21" t="str">
        <f>IF('12 - Device_Configuration'!Q160="","",'12 - Device_Configuration'!Q160)</f>
        <v/>
      </c>
    </row>
    <row r="160" spans="1:27">
      <c r="A160" s="22"/>
      <c r="B160" s="22"/>
      <c r="C160" s="21" t="str">
        <f>IF('12 - Device_Configuration'!H161="","",'12 - Device_Configuration'!H161)</f>
        <v/>
      </c>
      <c r="D160" s="21" t="str">
        <f>IF('12 - Device_Configuration'!AE161="","",'12 - Device_Configuration'!AE161)</f>
        <v/>
      </c>
      <c r="E160" s="21" t="str">
        <f>IF('12 - Device_Configuration'!AF161="","",'12 - Device_Configuration'!AF161)</f>
        <v/>
      </c>
      <c r="F160" s="21" t="str">
        <f>IF('12 - Device_Configuration'!AG161="","",'12 - Device_Configuration'!AG161)</f>
        <v/>
      </c>
      <c r="G160" s="21" t="str">
        <f>IF('12 - Device_Configuration'!AH161="","",'12 - Device_Configuration'!AH161)</f>
        <v/>
      </c>
      <c r="H160" s="21" t="str">
        <f>IF('12 - Device_Configuration'!A161="","",'12 - Device_Configuration'!A161)</f>
        <v/>
      </c>
      <c r="I160" s="21" t="str">
        <f>IF('12 - Device_Configuration'!AI161="","",'12 - Device_Configuration'!AI161)</f>
        <v/>
      </c>
      <c r="J160" s="21" t="str">
        <f>IF('12 - Device_Configuration'!AJ161="","",'12 - Device_Configuration'!AJ161)</f>
        <v/>
      </c>
      <c r="K160" s="21" t="str">
        <f>IF('12 - Device_Configuration'!AA161="","",'12 - Device_Configuration'!AA161)</f>
        <v/>
      </c>
      <c r="L160" s="21" t="str">
        <f>IF('12 - Device_Configuration'!I161="","",'12 - Device_Configuration'!I161)</f>
        <v/>
      </c>
      <c r="M160" s="22"/>
      <c r="N160" s="21" t="str">
        <f>IF('12 - Device_Configuration'!J161="","",'12 - Device_Configuration'!J161)</f>
        <v/>
      </c>
      <c r="O160" s="21" t="str">
        <f>IF('12 - Device_Configuration'!K161="","",'12 - Device_Configuration'!K161)</f>
        <v/>
      </c>
      <c r="P160" s="21" t="str">
        <f>IF('12 - Device_Configuration'!L161="","",'12 - Device_Configuration'!L161)</f>
        <v/>
      </c>
      <c r="Q160" s="22"/>
      <c r="R160" s="21" t="str">
        <f>IF('12 - Device_Configuration'!AY161="","",'12 - Device_Configuration'!AY161)</f>
        <v/>
      </c>
      <c r="S160" s="21" t="str">
        <f>IF('12 - Device_Configuration'!AX161="","",'12 - Device_Configuration'!AX161)</f>
        <v/>
      </c>
      <c r="T160" s="21" t="str">
        <f>IF('12 - Device_Configuration'!AV161="","",'12 - Device_Configuration'!AV161)</f>
        <v/>
      </c>
      <c r="U160" s="21" t="str">
        <f>IF('12 - Device_Configuration'!AW161="","",'12 - Device_Configuration'!AW161)</f>
        <v/>
      </c>
      <c r="V160" s="21" t="str">
        <f>IF('12 - Device_Configuration'!BA161="","",'12 - Device_Configuration'!BA161)</f>
        <v/>
      </c>
      <c r="W160" s="21" t="str">
        <f>IF('12 - Device_Configuration'!BC161="","",'12 - Device_Configuration'!BC161)</f>
        <v/>
      </c>
      <c r="X160" s="21" t="str">
        <f>IF('12 - Device_Configuration'!BK161="","",'12 - Device_Configuration'!BK161)</f>
        <v/>
      </c>
      <c r="Y160" s="21" t="str">
        <f>IF('12 - Device_Configuration'!BB161="","",'12 - Device_Configuration'!BB161)</f>
        <v/>
      </c>
      <c r="Z160" s="21" t="str">
        <f>IF('12 - Device_Configuration'!P161="","",'12 - Device_Configuration'!P161)</f>
        <v/>
      </c>
      <c r="AA160" s="21" t="str">
        <f>IF('12 - Device_Configuration'!Q161="","",'12 - Device_Configuration'!Q161)</f>
        <v/>
      </c>
    </row>
    <row r="161" spans="1:27">
      <c r="A161" s="22"/>
      <c r="B161" s="22"/>
      <c r="C161" s="21" t="str">
        <f>IF('12 - Device_Configuration'!H162="","",'12 - Device_Configuration'!H162)</f>
        <v/>
      </c>
      <c r="D161" s="21" t="str">
        <f>IF('12 - Device_Configuration'!AE162="","",'12 - Device_Configuration'!AE162)</f>
        <v/>
      </c>
      <c r="E161" s="21" t="str">
        <f>IF('12 - Device_Configuration'!AF162="","",'12 - Device_Configuration'!AF162)</f>
        <v/>
      </c>
      <c r="F161" s="21" t="str">
        <f>IF('12 - Device_Configuration'!AG162="","",'12 - Device_Configuration'!AG162)</f>
        <v/>
      </c>
      <c r="G161" s="21" t="str">
        <f>IF('12 - Device_Configuration'!AH162="","",'12 - Device_Configuration'!AH162)</f>
        <v/>
      </c>
      <c r="H161" s="21" t="str">
        <f>IF('12 - Device_Configuration'!A162="","",'12 - Device_Configuration'!A162)</f>
        <v/>
      </c>
      <c r="I161" s="21" t="str">
        <f>IF('12 - Device_Configuration'!AI162="","",'12 - Device_Configuration'!AI162)</f>
        <v/>
      </c>
      <c r="J161" s="21" t="str">
        <f>IF('12 - Device_Configuration'!AJ162="","",'12 - Device_Configuration'!AJ162)</f>
        <v/>
      </c>
      <c r="K161" s="21" t="str">
        <f>IF('12 - Device_Configuration'!AA162="","",'12 - Device_Configuration'!AA162)</f>
        <v/>
      </c>
      <c r="L161" s="21" t="str">
        <f>IF('12 - Device_Configuration'!I162="","",'12 - Device_Configuration'!I162)</f>
        <v/>
      </c>
      <c r="M161" s="22"/>
      <c r="N161" s="21" t="str">
        <f>IF('12 - Device_Configuration'!J162="","",'12 - Device_Configuration'!J162)</f>
        <v/>
      </c>
      <c r="O161" s="21" t="str">
        <f>IF('12 - Device_Configuration'!K162="","",'12 - Device_Configuration'!K162)</f>
        <v/>
      </c>
      <c r="P161" s="21" t="str">
        <f>IF('12 - Device_Configuration'!L162="","",'12 - Device_Configuration'!L162)</f>
        <v/>
      </c>
      <c r="Q161" s="22"/>
      <c r="R161" s="21" t="str">
        <f>IF('12 - Device_Configuration'!AY162="","",'12 - Device_Configuration'!AY162)</f>
        <v/>
      </c>
      <c r="S161" s="21" t="str">
        <f>IF('12 - Device_Configuration'!AX162="","",'12 - Device_Configuration'!AX162)</f>
        <v/>
      </c>
      <c r="T161" s="21" t="str">
        <f>IF('12 - Device_Configuration'!AV162="","",'12 - Device_Configuration'!AV162)</f>
        <v/>
      </c>
      <c r="U161" s="21" t="str">
        <f>IF('12 - Device_Configuration'!AW162="","",'12 - Device_Configuration'!AW162)</f>
        <v/>
      </c>
      <c r="V161" s="21" t="str">
        <f>IF('12 - Device_Configuration'!BA162="","",'12 - Device_Configuration'!BA162)</f>
        <v/>
      </c>
      <c r="W161" s="21" t="str">
        <f>IF('12 - Device_Configuration'!BC162="","",'12 - Device_Configuration'!BC162)</f>
        <v/>
      </c>
      <c r="X161" s="21" t="str">
        <f>IF('12 - Device_Configuration'!BK162="","",'12 - Device_Configuration'!BK162)</f>
        <v/>
      </c>
      <c r="Y161" s="21" t="str">
        <f>IF('12 - Device_Configuration'!BB162="","",'12 - Device_Configuration'!BB162)</f>
        <v/>
      </c>
      <c r="Z161" s="21" t="str">
        <f>IF('12 - Device_Configuration'!P162="","",'12 - Device_Configuration'!P162)</f>
        <v/>
      </c>
      <c r="AA161" s="21" t="str">
        <f>IF('12 - Device_Configuration'!Q162="","",'12 - Device_Configuration'!Q162)</f>
        <v/>
      </c>
    </row>
    <row r="162" spans="1:27">
      <c r="A162" s="22"/>
      <c r="B162" s="22"/>
      <c r="C162" s="21" t="str">
        <f>IF('12 - Device_Configuration'!H163="","",'12 - Device_Configuration'!H163)</f>
        <v/>
      </c>
      <c r="D162" s="21" t="str">
        <f>IF('12 - Device_Configuration'!AE163="","",'12 - Device_Configuration'!AE163)</f>
        <v/>
      </c>
      <c r="E162" s="21" t="str">
        <f>IF('12 - Device_Configuration'!AF163="","",'12 - Device_Configuration'!AF163)</f>
        <v/>
      </c>
      <c r="F162" s="21" t="str">
        <f>IF('12 - Device_Configuration'!AG163="","",'12 - Device_Configuration'!AG163)</f>
        <v/>
      </c>
      <c r="G162" s="21" t="str">
        <f>IF('12 - Device_Configuration'!AH163="","",'12 - Device_Configuration'!AH163)</f>
        <v/>
      </c>
      <c r="H162" s="21" t="str">
        <f>IF('12 - Device_Configuration'!A163="","",'12 - Device_Configuration'!A163)</f>
        <v/>
      </c>
      <c r="I162" s="21" t="str">
        <f>IF('12 - Device_Configuration'!AI163="","",'12 - Device_Configuration'!AI163)</f>
        <v/>
      </c>
      <c r="J162" s="21" t="str">
        <f>IF('12 - Device_Configuration'!AJ163="","",'12 - Device_Configuration'!AJ163)</f>
        <v/>
      </c>
      <c r="K162" s="21" t="str">
        <f>IF('12 - Device_Configuration'!AA163="","",'12 - Device_Configuration'!AA163)</f>
        <v/>
      </c>
      <c r="L162" s="21" t="str">
        <f>IF('12 - Device_Configuration'!I163="","",'12 - Device_Configuration'!I163)</f>
        <v/>
      </c>
      <c r="M162" s="22"/>
      <c r="N162" s="21" t="str">
        <f>IF('12 - Device_Configuration'!J163="","",'12 - Device_Configuration'!J163)</f>
        <v/>
      </c>
      <c r="O162" s="21" t="str">
        <f>IF('12 - Device_Configuration'!K163="","",'12 - Device_Configuration'!K163)</f>
        <v/>
      </c>
      <c r="P162" s="21" t="str">
        <f>IF('12 - Device_Configuration'!L163="","",'12 - Device_Configuration'!L163)</f>
        <v/>
      </c>
      <c r="Q162" s="22"/>
      <c r="R162" s="21" t="str">
        <f>IF('12 - Device_Configuration'!AY163="","",'12 - Device_Configuration'!AY163)</f>
        <v/>
      </c>
      <c r="S162" s="21" t="str">
        <f>IF('12 - Device_Configuration'!AX163="","",'12 - Device_Configuration'!AX163)</f>
        <v/>
      </c>
      <c r="T162" s="21" t="str">
        <f>IF('12 - Device_Configuration'!AV163="","",'12 - Device_Configuration'!AV163)</f>
        <v/>
      </c>
      <c r="U162" s="21" t="str">
        <f>IF('12 - Device_Configuration'!AW163="","",'12 - Device_Configuration'!AW163)</f>
        <v/>
      </c>
      <c r="V162" s="21" t="str">
        <f>IF('12 - Device_Configuration'!BA163="","",'12 - Device_Configuration'!BA163)</f>
        <v/>
      </c>
      <c r="W162" s="21" t="str">
        <f>IF('12 - Device_Configuration'!BC163="","",'12 - Device_Configuration'!BC163)</f>
        <v/>
      </c>
      <c r="X162" s="21" t="str">
        <f>IF('12 - Device_Configuration'!BK163="","",'12 - Device_Configuration'!BK163)</f>
        <v/>
      </c>
      <c r="Y162" s="21" t="str">
        <f>IF('12 - Device_Configuration'!BB163="","",'12 - Device_Configuration'!BB163)</f>
        <v/>
      </c>
      <c r="Z162" s="21" t="str">
        <f>IF('12 - Device_Configuration'!P163="","",'12 - Device_Configuration'!P163)</f>
        <v/>
      </c>
      <c r="AA162" s="21" t="str">
        <f>IF('12 - Device_Configuration'!Q163="","",'12 - Device_Configuration'!Q163)</f>
        <v/>
      </c>
    </row>
    <row r="163" spans="1:27">
      <c r="A163" s="22"/>
      <c r="B163" s="22"/>
      <c r="C163" s="21" t="str">
        <f>IF('12 - Device_Configuration'!H164="","",'12 - Device_Configuration'!H164)</f>
        <v/>
      </c>
      <c r="D163" s="21" t="str">
        <f>IF('12 - Device_Configuration'!AE164="","",'12 - Device_Configuration'!AE164)</f>
        <v/>
      </c>
      <c r="E163" s="21" t="str">
        <f>IF('12 - Device_Configuration'!AF164="","",'12 - Device_Configuration'!AF164)</f>
        <v/>
      </c>
      <c r="F163" s="21" t="str">
        <f>IF('12 - Device_Configuration'!AG164="","",'12 - Device_Configuration'!AG164)</f>
        <v/>
      </c>
      <c r="G163" s="21" t="str">
        <f>IF('12 - Device_Configuration'!AH164="","",'12 - Device_Configuration'!AH164)</f>
        <v/>
      </c>
      <c r="H163" s="21" t="str">
        <f>IF('12 - Device_Configuration'!A164="","",'12 - Device_Configuration'!A164)</f>
        <v/>
      </c>
      <c r="I163" s="21" t="str">
        <f>IF('12 - Device_Configuration'!AI164="","",'12 - Device_Configuration'!AI164)</f>
        <v/>
      </c>
      <c r="J163" s="21" t="str">
        <f>IF('12 - Device_Configuration'!AJ164="","",'12 - Device_Configuration'!AJ164)</f>
        <v/>
      </c>
      <c r="K163" s="21" t="str">
        <f>IF('12 - Device_Configuration'!AA164="","",'12 - Device_Configuration'!AA164)</f>
        <v/>
      </c>
      <c r="L163" s="21" t="str">
        <f>IF('12 - Device_Configuration'!I164="","",'12 - Device_Configuration'!I164)</f>
        <v/>
      </c>
      <c r="M163" s="22"/>
      <c r="N163" s="21" t="str">
        <f>IF('12 - Device_Configuration'!J164="","",'12 - Device_Configuration'!J164)</f>
        <v/>
      </c>
      <c r="O163" s="21" t="str">
        <f>IF('12 - Device_Configuration'!K164="","",'12 - Device_Configuration'!K164)</f>
        <v/>
      </c>
      <c r="P163" s="21" t="str">
        <f>IF('12 - Device_Configuration'!L164="","",'12 - Device_Configuration'!L164)</f>
        <v/>
      </c>
      <c r="Q163" s="22"/>
      <c r="R163" s="21" t="str">
        <f>IF('12 - Device_Configuration'!AY164="","",'12 - Device_Configuration'!AY164)</f>
        <v/>
      </c>
      <c r="S163" s="21" t="str">
        <f>IF('12 - Device_Configuration'!AX164="","",'12 - Device_Configuration'!AX164)</f>
        <v/>
      </c>
      <c r="T163" s="21" t="str">
        <f>IF('12 - Device_Configuration'!AV164="","",'12 - Device_Configuration'!AV164)</f>
        <v/>
      </c>
      <c r="U163" s="21" t="str">
        <f>IF('12 - Device_Configuration'!AW164="","",'12 - Device_Configuration'!AW164)</f>
        <v/>
      </c>
      <c r="V163" s="21" t="str">
        <f>IF('12 - Device_Configuration'!BA164="","",'12 - Device_Configuration'!BA164)</f>
        <v/>
      </c>
      <c r="W163" s="21" t="str">
        <f>IF('12 - Device_Configuration'!BC164="","",'12 - Device_Configuration'!BC164)</f>
        <v/>
      </c>
      <c r="X163" s="21" t="str">
        <f>IF('12 - Device_Configuration'!BK164="","",'12 - Device_Configuration'!BK164)</f>
        <v/>
      </c>
      <c r="Y163" s="21" t="str">
        <f>IF('12 - Device_Configuration'!BB164="","",'12 - Device_Configuration'!BB164)</f>
        <v/>
      </c>
      <c r="Z163" s="21" t="str">
        <f>IF('12 - Device_Configuration'!P164="","",'12 - Device_Configuration'!P164)</f>
        <v/>
      </c>
      <c r="AA163" s="21" t="str">
        <f>IF('12 - Device_Configuration'!Q164="","",'12 - Device_Configuration'!Q164)</f>
        <v/>
      </c>
    </row>
    <row r="164" spans="1:27">
      <c r="A164" s="22"/>
      <c r="B164" s="22"/>
      <c r="C164" s="21" t="str">
        <f>IF('12 - Device_Configuration'!H165="","",'12 - Device_Configuration'!H165)</f>
        <v/>
      </c>
      <c r="D164" s="21" t="str">
        <f>IF('12 - Device_Configuration'!AE165="","",'12 - Device_Configuration'!AE165)</f>
        <v/>
      </c>
      <c r="E164" s="21" t="str">
        <f>IF('12 - Device_Configuration'!AF165="","",'12 - Device_Configuration'!AF165)</f>
        <v/>
      </c>
      <c r="F164" s="21" t="str">
        <f>IF('12 - Device_Configuration'!AG165="","",'12 - Device_Configuration'!AG165)</f>
        <v/>
      </c>
      <c r="G164" s="21" t="str">
        <f>IF('12 - Device_Configuration'!AH165="","",'12 - Device_Configuration'!AH165)</f>
        <v/>
      </c>
      <c r="H164" s="21" t="str">
        <f>IF('12 - Device_Configuration'!A165="","",'12 - Device_Configuration'!A165)</f>
        <v/>
      </c>
      <c r="I164" s="21" t="str">
        <f>IF('12 - Device_Configuration'!AI165="","",'12 - Device_Configuration'!AI165)</f>
        <v/>
      </c>
      <c r="J164" s="21" t="str">
        <f>IF('12 - Device_Configuration'!AJ165="","",'12 - Device_Configuration'!AJ165)</f>
        <v/>
      </c>
      <c r="K164" s="21" t="str">
        <f>IF('12 - Device_Configuration'!AA165="","",'12 - Device_Configuration'!AA165)</f>
        <v/>
      </c>
      <c r="L164" s="21" t="str">
        <f>IF('12 - Device_Configuration'!I165="","",'12 - Device_Configuration'!I165)</f>
        <v/>
      </c>
      <c r="M164" s="22"/>
      <c r="N164" s="21" t="str">
        <f>IF('12 - Device_Configuration'!J165="","",'12 - Device_Configuration'!J165)</f>
        <v/>
      </c>
      <c r="O164" s="21" t="str">
        <f>IF('12 - Device_Configuration'!K165="","",'12 - Device_Configuration'!K165)</f>
        <v/>
      </c>
      <c r="P164" s="21" t="str">
        <f>IF('12 - Device_Configuration'!L165="","",'12 - Device_Configuration'!L165)</f>
        <v/>
      </c>
      <c r="Q164" s="22"/>
      <c r="R164" s="21" t="str">
        <f>IF('12 - Device_Configuration'!AY165="","",'12 - Device_Configuration'!AY165)</f>
        <v/>
      </c>
      <c r="S164" s="21" t="str">
        <f>IF('12 - Device_Configuration'!AX165="","",'12 - Device_Configuration'!AX165)</f>
        <v/>
      </c>
      <c r="T164" s="21" t="str">
        <f>IF('12 - Device_Configuration'!AV165="","",'12 - Device_Configuration'!AV165)</f>
        <v/>
      </c>
      <c r="U164" s="21" t="str">
        <f>IF('12 - Device_Configuration'!AW165="","",'12 - Device_Configuration'!AW165)</f>
        <v/>
      </c>
      <c r="V164" s="21" t="str">
        <f>IF('12 - Device_Configuration'!BA165="","",'12 - Device_Configuration'!BA165)</f>
        <v/>
      </c>
      <c r="W164" s="21" t="str">
        <f>IF('12 - Device_Configuration'!BC165="","",'12 - Device_Configuration'!BC165)</f>
        <v/>
      </c>
      <c r="X164" s="21" t="str">
        <f>IF('12 - Device_Configuration'!BK165="","",'12 - Device_Configuration'!BK165)</f>
        <v/>
      </c>
      <c r="Y164" s="21" t="str">
        <f>IF('12 - Device_Configuration'!BB165="","",'12 - Device_Configuration'!BB165)</f>
        <v/>
      </c>
      <c r="Z164" s="21" t="str">
        <f>IF('12 - Device_Configuration'!P165="","",'12 - Device_Configuration'!P165)</f>
        <v/>
      </c>
      <c r="AA164" s="21" t="str">
        <f>IF('12 - Device_Configuration'!Q165="","",'12 - Device_Configuration'!Q165)</f>
        <v/>
      </c>
    </row>
    <row r="165" spans="1:27">
      <c r="A165" s="22"/>
      <c r="B165" s="22"/>
      <c r="C165" s="21" t="str">
        <f>IF('12 - Device_Configuration'!H166="","",'12 - Device_Configuration'!H166)</f>
        <v/>
      </c>
      <c r="D165" s="21" t="str">
        <f>IF('12 - Device_Configuration'!AE166="","",'12 - Device_Configuration'!AE166)</f>
        <v/>
      </c>
      <c r="E165" s="21" t="str">
        <f>IF('12 - Device_Configuration'!AF166="","",'12 - Device_Configuration'!AF166)</f>
        <v/>
      </c>
      <c r="F165" s="21" t="str">
        <f>IF('12 - Device_Configuration'!AG166="","",'12 - Device_Configuration'!AG166)</f>
        <v/>
      </c>
      <c r="G165" s="21" t="str">
        <f>IF('12 - Device_Configuration'!AH166="","",'12 - Device_Configuration'!AH166)</f>
        <v/>
      </c>
      <c r="H165" s="21" t="str">
        <f>IF('12 - Device_Configuration'!A166="","",'12 - Device_Configuration'!A166)</f>
        <v/>
      </c>
      <c r="I165" s="21" t="str">
        <f>IF('12 - Device_Configuration'!AI166="","",'12 - Device_Configuration'!AI166)</f>
        <v/>
      </c>
      <c r="J165" s="21" t="str">
        <f>IF('12 - Device_Configuration'!AJ166="","",'12 - Device_Configuration'!AJ166)</f>
        <v/>
      </c>
      <c r="K165" s="21" t="str">
        <f>IF('12 - Device_Configuration'!AA166="","",'12 - Device_Configuration'!AA166)</f>
        <v/>
      </c>
      <c r="L165" s="21" t="str">
        <f>IF('12 - Device_Configuration'!I166="","",'12 - Device_Configuration'!I166)</f>
        <v/>
      </c>
      <c r="M165" s="22"/>
      <c r="N165" s="21" t="str">
        <f>IF('12 - Device_Configuration'!J166="","",'12 - Device_Configuration'!J166)</f>
        <v/>
      </c>
      <c r="O165" s="21" t="str">
        <f>IF('12 - Device_Configuration'!K166="","",'12 - Device_Configuration'!K166)</f>
        <v/>
      </c>
      <c r="P165" s="21" t="str">
        <f>IF('12 - Device_Configuration'!L166="","",'12 - Device_Configuration'!L166)</f>
        <v/>
      </c>
      <c r="Q165" s="22"/>
      <c r="R165" s="21" t="str">
        <f>IF('12 - Device_Configuration'!AY166="","",'12 - Device_Configuration'!AY166)</f>
        <v/>
      </c>
      <c r="S165" s="21" t="str">
        <f>IF('12 - Device_Configuration'!AX166="","",'12 - Device_Configuration'!AX166)</f>
        <v/>
      </c>
      <c r="T165" s="21" t="str">
        <f>IF('12 - Device_Configuration'!AV166="","",'12 - Device_Configuration'!AV166)</f>
        <v/>
      </c>
      <c r="U165" s="21" t="str">
        <f>IF('12 - Device_Configuration'!AW166="","",'12 - Device_Configuration'!AW166)</f>
        <v/>
      </c>
      <c r="V165" s="21" t="str">
        <f>IF('12 - Device_Configuration'!BA166="","",'12 - Device_Configuration'!BA166)</f>
        <v/>
      </c>
      <c r="W165" s="21" t="str">
        <f>IF('12 - Device_Configuration'!BC166="","",'12 - Device_Configuration'!BC166)</f>
        <v/>
      </c>
      <c r="X165" s="21" t="str">
        <f>IF('12 - Device_Configuration'!BK166="","",'12 - Device_Configuration'!BK166)</f>
        <v/>
      </c>
      <c r="Y165" s="21" t="str">
        <f>IF('12 - Device_Configuration'!BB166="","",'12 - Device_Configuration'!BB166)</f>
        <v/>
      </c>
      <c r="Z165" s="21" t="str">
        <f>IF('12 - Device_Configuration'!P166="","",'12 - Device_Configuration'!P166)</f>
        <v/>
      </c>
      <c r="AA165" s="21" t="str">
        <f>IF('12 - Device_Configuration'!Q166="","",'12 - Device_Configuration'!Q166)</f>
        <v/>
      </c>
    </row>
    <row r="166" spans="1:27">
      <c r="A166" s="22"/>
      <c r="B166" s="22"/>
      <c r="C166" s="21" t="str">
        <f>IF('12 - Device_Configuration'!H167="","",'12 - Device_Configuration'!H167)</f>
        <v/>
      </c>
      <c r="D166" s="21" t="str">
        <f>IF('12 - Device_Configuration'!AE167="","",'12 - Device_Configuration'!AE167)</f>
        <v/>
      </c>
      <c r="E166" s="21" t="str">
        <f>IF('12 - Device_Configuration'!AF167="","",'12 - Device_Configuration'!AF167)</f>
        <v/>
      </c>
      <c r="F166" s="21" t="str">
        <f>IF('12 - Device_Configuration'!AG167="","",'12 - Device_Configuration'!AG167)</f>
        <v/>
      </c>
      <c r="G166" s="21" t="str">
        <f>IF('12 - Device_Configuration'!AH167="","",'12 - Device_Configuration'!AH167)</f>
        <v/>
      </c>
      <c r="H166" s="21" t="str">
        <f>IF('12 - Device_Configuration'!A167="","",'12 - Device_Configuration'!A167)</f>
        <v/>
      </c>
      <c r="I166" s="21" t="str">
        <f>IF('12 - Device_Configuration'!AI167="","",'12 - Device_Configuration'!AI167)</f>
        <v/>
      </c>
      <c r="J166" s="21" t="str">
        <f>IF('12 - Device_Configuration'!AJ167="","",'12 - Device_Configuration'!AJ167)</f>
        <v/>
      </c>
      <c r="K166" s="21" t="str">
        <f>IF('12 - Device_Configuration'!AA167="","",'12 - Device_Configuration'!AA167)</f>
        <v/>
      </c>
      <c r="L166" s="21" t="str">
        <f>IF('12 - Device_Configuration'!I167="","",'12 - Device_Configuration'!I167)</f>
        <v/>
      </c>
      <c r="M166" s="22"/>
      <c r="N166" s="21" t="str">
        <f>IF('12 - Device_Configuration'!J167="","",'12 - Device_Configuration'!J167)</f>
        <v/>
      </c>
      <c r="O166" s="21" t="str">
        <f>IF('12 - Device_Configuration'!K167="","",'12 - Device_Configuration'!K167)</f>
        <v/>
      </c>
      <c r="P166" s="21" t="str">
        <f>IF('12 - Device_Configuration'!L167="","",'12 - Device_Configuration'!L167)</f>
        <v/>
      </c>
      <c r="Q166" s="22"/>
      <c r="R166" s="21" t="str">
        <f>IF('12 - Device_Configuration'!AY167="","",'12 - Device_Configuration'!AY167)</f>
        <v/>
      </c>
      <c r="S166" s="21" t="str">
        <f>IF('12 - Device_Configuration'!AX167="","",'12 - Device_Configuration'!AX167)</f>
        <v/>
      </c>
      <c r="T166" s="21" t="str">
        <f>IF('12 - Device_Configuration'!AV167="","",'12 - Device_Configuration'!AV167)</f>
        <v/>
      </c>
      <c r="U166" s="21" t="str">
        <f>IF('12 - Device_Configuration'!AW167="","",'12 - Device_Configuration'!AW167)</f>
        <v/>
      </c>
      <c r="V166" s="21" t="str">
        <f>IF('12 - Device_Configuration'!BA167="","",'12 - Device_Configuration'!BA167)</f>
        <v/>
      </c>
      <c r="W166" s="21" t="str">
        <f>IF('12 - Device_Configuration'!BC167="","",'12 - Device_Configuration'!BC167)</f>
        <v/>
      </c>
      <c r="X166" s="21" t="str">
        <f>IF('12 - Device_Configuration'!BK167="","",'12 - Device_Configuration'!BK167)</f>
        <v/>
      </c>
      <c r="Y166" s="21" t="str">
        <f>IF('12 - Device_Configuration'!BB167="","",'12 - Device_Configuration'!BB167)</f>
        <v/>
      </c>
      <c r="Z166" s="21" t="str">
        <f>IF('12 - Device_Configuration'!P167="","",'12 - Device_Configuration'!P167)</f>
        <v/>
      </c>
      <c r="AA166" s="21" t="str">
        <f>IF('12 - Device_Configuration'!Q167="","",'12 - Device_Configuration'!Q167)</f>
        <v/>
      </c>
    </row>
    <row r="167" spans="1:27">
      <c r="A167" s="22"/>
      <c r="B167" s="22"/>
      <c r="C167" s="21" t="str">
        <f>IF('12 - Device_Configuration'!H168="","",'12 - Device_Configuration'!H168)</f>
        <v/>
      </c>
      <c r="D167" s="21" t="str">
        <f>IF('12 - Device_Configuration'!AE168="","",'12 - Device_Configuration'!AE168)</f>
        <v/>
      </c>
      <c r="E167" s="21" t="str">
        <f>IF('12 - Device_Configuration'!AF168="","",'12 - Device_Configuration'!AF168)</f>
        <v/>
      </c>
      <c r="F167" s="21" t="str">
        <f>IF('12 - Device_Configuration'!AG168="","",'12 - Device_Configuration'!AG168)</f>
        <v/>
      </c>
      <c r="G167" s="21" t="str">
        <f>IF('12 - Device_Configuration'!AH168="","",'12 - Device_Configuration'!AH168)</f>
        <v/>
      </c>
      <c r="H167" s="21" t="str">
        <f>IF('12 - Device_Configuration'!A168="","",'12 - Device_Configuration'!A168)</f>
        <v/>
      </c>
      <c r="I167" s="21" t="str">
        <f>IF('12 - Device_Configuration'!AI168="","",'12 - Device_Configuration'!AI168)</f>
        <v/>
      </c>
      <c r="J167" s="21" t="str">
        <f>IF('12 - Device_Configuration'!AJ168="","",'12 - Device_Configuration'!AJ168)</f>
        <v/>
      </c>
      <c r="K167" s="21" t="str">
        <f>IF('12 - Device_Configuration'!AA168="","",'12 - Device_Configuration'!AA168)</f>
        <v/>
      </c>
      <c r="L167" s="21" t="str">
        <f>IF('12 - Device_Configuration'!I168="","",'12 - Device_Configuration'!I168)</f>
        <v/>
      </c>
      <c r="M167" s="22"/>
      <c r="N167" s="21" t="str">
        <f>IF('12 - Device_Configuration'!J168="","",'12 - Device_Configuration'!J168)</f>
        <v/>
      </c>
      <c r="O167" s="21" t="str">
        <f>IF('12 - Device_Configuration'!K168="","",'12 - Device_Configuration'!K168)</f>
        <v/>
      </c>
      <c r="P167" s="21" t="str">
        <f>IF('12 - Device_Configuration'!L168="","",'12 - Device_Configuration'!L168)</f>
        <v/>
      </c>
      <c r="Q167" s="22"/>
      <c r="R167" s="21" t="str">
        <f>IF('12 - Device_Configuration'!AY168="","",'12 - Device_Configuration'!AY168)</f>
        <v/>
      </c>
      <c r="S167" s="21" t="str">
        <f>IF('12 - Device_Configuration'!AX168="","",'12 - Device_Configuration'!AX168)</f>
        <v/>
      </c>
      <c r="T167" s="21" t="str">
        <f>IF('12 - Device_Configuration'!AV168="","",'12 - Device_Configuration'!AV168)</f>
        <v/>
      </c>
      <c r="U167" s="21" t="str">
        <f>IF('12 - Device_Configuration'!AW168="","",'12 - Device_Configuration'!AW168)</f>
        <v/>
      </c>
      <c r="V167" s="21" t="str">
        <f>IF('12 - Device_Configuration'!BA168="","",'12 - Device_Configuration'!BA168)</f>
        <v/>
      </c>
      <c r="W167" s="21" t="str">
        <f>IF('12 - Device_Configuration'!BC168="","",'12 - Device_Configuration'!BC168)</f>
        <v/>
      </c>
      <c r="X167" s="21" t="str">
        <f>IF('12 - Device_Configuration'!BK168="","",'12 - Device_Configuration'!BK168)</f>
        <v/>
      </c>
      <c r="Y167" s="21" t="str">
        <f>IF('12 - Device_Configuration'!BB168="","",'12 - Device_Configuration'!BB168)</f>
        <v/>
      </c>
      <c r="Z167" s="21" t="str">
        <f>IF('12 - Device_Configuration'!P168="","",'12 - Device_Configuration'!P168)</f>
        <v/>
      </c>
      <c r="AA167" s="21" t="str">
        <f>IF('12 - Device_Configuration'!Q168="","",'12 - Device_Configuration'!Q168)</f>
        <v/>
      </c>
    </row>
    <row r="168" spans="1:27">
      <c r="A168" s="22"/>
      <c r="B168" s="22"/>
      <c r="C168" s="21" t="str">
        <f>IF('12 - Device_Configuration'!H169="","",'12 - Device_Configuration'!H169)</f>
        <v/>
      </c>
      <c r="D168" s="21" t="str">
        <f>IF('12 - Device_Configuration'!AE169="","",'12 - Device_Configuration'!AE169)</f>
        <v/>
      </c>
      <c r="E168" s="21" t="str">
        <f>IF('12 - Device_Configuration'!AF169="","",'12 - Device_Configuration'!AF169)</f>
        <v/>
      </c>
      <c r="F168" s="21" t="str">
        <f>IF('12 - Device_Configuration'!AG169="","",'12 - Device_Configuration'!AG169)</f>
        <v/>
      </c>
      <c r="G168" s="21" t="str">
        <f>IF('12 - Device_Configuration'!AH169="","",'12 - Device_Configuration'!AH169)</f>
        <v/>
      </c>
      <c r="H168" s="21" t="str">
        <f>IF('12 - Device_Configuration'!A169="","",'12 - Device_Configuration'!A169)</f>
        <v/>
      </c>
      <c r="I168" s="21" t="str">
        <f>IF('12 - Device_Configuration'!AI169="","",'12 - Device_Configuration'!AI169)</f>
        <v/>
      </c>
      <c r="J168" s="21" t="str">
        <f>IF('12 - Device_Configuration'!AJ169="","",'12 - Device_Configuration'!AJ169)</f>
        <v/>
      </c>
      <c r="K168" s="21" t="str">
        <f>IF('12 - Device_Configuration'!AA169="","",'12 - Device_Configuration'!AA169)</f>
        <v/>
      </c>
      <c r="L168" s="21" t="str">
        <f>IF('12 - Device_Configuration'!I169="","",'12 - Device_Configuration'!I169)</f>
        <v/>
      </c>
      <c r="M168" s="22"/>
      <c r="N168" s="21" t="str">
        <f>IF('12 - Device_Configuration'!J169="","",'12 - Device_Configuration'!J169)</f>
        <v/>
      </c>
      <c r="O168" s="21" t="str">
        <f>IF('12 - Device_Configuration'!K169="","",'12 - Device_Configuration'!K169)</f>
        <v/>
      </c>
      <c r="P168" s="21" t="str">
        <f>IF('12 - Device_Configuration'!L169="","",'12 - Device_Configuration'!L169)</f>
        <v/>
      </c>
      <c r="Q168" s="22"/>
      <c r="R168" s="21" t="str">
        <f>IF('12 - Device_Configuration'!AY169="","",'12 - Device_Configuration'!AY169)</f>
        <v/>
      </c>
      <c r="S168" s="21" t="str">
        <f>IF('12 - Device_Configuration'!AX169="","",'12 - Device_Configuration'!AX169)</f>
        <v/>
      </c>
      <c r="T168" s="21" t="str">
        <f>IF('12 - Device_Configuration'!AV169="","",'12 - Device_Configuration'!AV169)</f>
        <v/>
      </c>
      <c r="U168" s="21" t="str">
        <f>IF('12 - Device_Configuration'!AW169="","",'12 - Device_Configuration'!AW169)</f>
        <v/>
      </c>
      <c r="V168" s="21" t="str">
        <f>IF('12 - Device_Configuration'!BA169="","",'12 - Device_Configuration'!BA169)</f>
        <v/>
      </c>
      <c r="W168" s="21" t="str">
        <f>IF('12 - Device_Configuration'!BC169="","",'12 - Device_Configuration'!BC169)</f>
        <v/>
      </c>
      <c r="X168" s="21" t="str">
        <f>IF('12 - Device_Configuration'!BK169="","",'12 - Device_Configuration'!BK169)</f>
        <v/>
      </c>
      <c r="Y168" s="21" t="str">
        <f>IF('12 - Device_Configuration'!BB169="","",'12 - Device_Configuration'!BB169)</f>
        <v/>
      </c>
      <c r="Z168" s="21" t="str">
        <f>IF('12 - Device_Configuration'!P169="","",'12 - Device_Configuration'!P169)</f>
        <v/>
      </c>
      <c r="AA168" s="21" t="str">
        <f>IF('12 - Device_Configuration'!Q169="","",'12 - Device_Configuration'!Q169)</f>
        <v/>
      </c>
    </row>
    <row r="169" spans="1:27">
      <c r="A169" s="22"/>
      <c r="B169" s="22"/>
      <c r="C169" s="21" t="str">
        <f>IF('12 - Device_Configuration'!H170="","",'12 - Device_Configuration'!H170)</f>
        <v/>
      </c>
      <c r="D169" s="21" t="str">
        <f>IF('12 - Device_Configuration'!AE170="","",'12 - Device_Configuration'!AE170)</f>
        <v/>
      </c>
      <c r="E169" s="21" t="str">
        <f>IF('12 - Device_Configuration'!AF170="","",'12 - Device_Configuration'!AF170)</f>
        <v/>
      </c>
      <c r="F169" s="21" t="str">
        <f>IF('12 - Device_Configuration'!AG170="","",'12 - Device_Configuration'!AG170)</f>
        <v/>
      </c>
      <c r="G169" s="21" t="str">
        <f>IF('12 - Device_Configuration'!AH170="","",'12 - Device_Configuration'!AH170)</f>
        <v/>
      </c>
      <c r="H169" s="21" t="str">
        <f>IF('12 - Device_Configuration'!A170="","",'12 - Device_Configuration'!A170)</f>
        <v/>
      </c>
      <c r="I169" s="21" t="str">
        <f>IF('12 - Device_Configuration'!AI170="","",'12 - Device_Configuration'!AI170)</f>
        <v/>
      </c>
      <c r="J169" s="21" t="str">
        <f>IF('12 - Device_Configuration'!AJ170="","",'12 - Device_Configuration'!AJ170)</f>
        <v/>
      </c>
      <c r="K169" s="21" t="str">
        <f>IF('12 - Device_Configuration'!AA170="","",'12 - Device_Configuration'!AA170)</f>
        <v/>
      </c>
      <c r="L169" s="21" t="str">
        <f>IF('12 - Device_Configuration'!I170="","",'12 - Device_Configuration'!I170)</f>
        <v/>
      </c>
      <c r="M169" s="22"/>
      <c r="N169" s="21" t="str">
        <f>IF('12 - Device_Configuration'!J170="","",'12 - Device_Configuration'!J170)</f>
        <v/>
      </c>
      <c r="O169" s="21" t="str">
        <f>IF('12 - Device_Configuration'!K170="","",'12 - Device_Configuration'!K170)</f>
        <v/>
      </c>
      <c r="P169" s="21" t="str">
        <f>IF('12 - Device_Configuration'!L170="","",'12 - Device_Configuration'!L170)</f>
        <v/>
      </c>
      <c r="Q169" s="22"/>
      <c r="R169" s="21" t="str">
        <f>IF('12 - Device_Configuration'!AY170="","",'12 - Device_Configuration'!AY170)</f>
        <v/>
      </c>
      <c r="S169" s="21" t="str">
        <f>IF('12 - Device_Configuration'!AX170="","",'12 - Device_Configuration'!AX170)</f>
        <v/>
      </c>
      <c r="T169" s="21" t="str">
        <f>IF('12 - Device_Configuration'!AV170="","",'12 - Device_Configuration'!AV170)</f>
        <v/>
      </c>
      <c r="U169" s="21" t="str">
        <f>IF('12 - Device_Configuration'!AW170="","",'12 - Device_Configuration'!AW170)</f>
        <v/>
      </c>
      <c r="V169" s="21" t="str">
        <f>IF('12 - Device_Configuration'!BA170="","",'12 - Device_Configuration'!BA170)</f>
        <v/>
      </c>
      <c r="W169" s="21" t="str">
        <f>IF('12 - Device_Configuration'!BC170="","",'12 - Device_Configuration'!BC170)</f>
        <v/>
      </c>
      <c r="X169" s="21" t="str">
        <f>IF('12 - Device_Configuration'!BK170="","",'12 - Device_Configuration'!BK170)</f>
        <v/>
      </c>
      <c r="Y169" s="21" t="str">
        <f>IF('12 - Device_Configuration'!BB170="","",'12 - Device_Configuration'!BB170)</f>
        <v/>
      </c>
      <c r="Z169" s="21" t="str">
        <f>IF('12 - Device_Configuration'!P170="","",'12 - Device_Configuration'!P170)</f>
        <v/>
      </c>
      <c r="AA169" s="21" t="str">
        <f>IF('12 - Device_Configuration'!Q170="","",'12 - Device_Configuration'!Q170)</f>
        <v/>
      </c>
    </row>
    <row r="170" spans="1:27">
      <c r="A170" s="22"/>
      <c r="B170" s="22"/>
      <c r="C170" s="21" t="str">
        <f>IF('12 - Device_Configuration'!H171="","",'12 - Device_Configuration'!H171)</f>
        <v/>
      </c>
      <c r="D170" s="21" t="str">
        <f>IF('12 - Device_Configuration'!AE171="","",'12 - Device_Configuration'!AE171)</f>
        <v/>
      </c>
      <c r="E170" s="21" t="str">
        <f>IF('12 - Device_Configuration'!AF171="","",'12 - Device_Configuration'!AF171)</f>
        <v/>
      </c>
      <c r="F170" s="21" t="str">
        <f>IF('12 - Device_Configuration'!AG171="","",'12 - Device_Configuration'!AG171)</f>
        <v/>
      </c>
      <c r="G170" s="21" t="str">
        <f>IF('12 - Device_Configuration'!AH171="","",'12 - Device_Configuration'!AH171)</f>
        <v/>
      </c>
      <c r="H170" s="21" t="str">
        <f>IF('12 - Device_Configuration'!A171="","",'12 - Device_Configuration'!A171)</f>
        <v/>
      </c>
      <c r="I170" s="21" t="str">
        <f>IF('12 - Device_Configuration'!AI171="","",'12 - Device_Configuration'!AI171)</f>
        <v/>
      </c>
      <c r="J170" s="21" t="str">
        <f>IF('12 - Device_Configuration'!AJ171="","",'12 - Device_Configuration'!AJ171)</f>
        <v/>
      </c>
      <c r="K170" s="21" t="str">
        <f>IF('12 - Device_Configuration'!AA171="","",'12 - Device_Configuration'!AA171)</f>
        <v/>
      </c>
      <c r="L170" s="21" t="str">
        <f>IF('12 - Device_Configuration'!I171="","",'12 - Device_Configuration'!I171)</f>
        <v/>
      </c>
      <c r="M170" s="22"/>
      <c r="N170" s="21" t="str">
        <f>IF('12 - Device_Configuration'!J171="","",'12 - Device_Configuration'!J171)</f>
        <v/>
      </c>
      <c r="O170" s="21" t="str">
        <f>IF('12 - Device_Configuration'!K171="","",'12 - Device_Configuration'!K171)</f>
        <v/>
      </c>
      <c r="P170" s="21" t="str">
        <f>IF('12 - Device_Configuration'!L171="","",'12 - Device_Configuration'!L171)</f>
        <v/>
      </c>
      <c r="Q170" s="22"/>
      <c r="R170" s="21" t="str">
        <f>IF('12 - Device_Configuration'!AY171="","",'12 - Device_Configuration'!AY171)</f>
        <v/>
      </c>
      <c r="S170" s="21" t="str">
        <f>IF('12 - Device_Configuration'!AX171="","",'12 - Device_Configuration'!AX171)</f>
        <v/>
      </c>
      <c r="T170" s="21" t="str">
        <f>IF('12 - Device_Configuration'!AV171="","",'12 - Device_Configuration'!AV171)</f>
        <v/>
      </c>
      <c r="U170" s="21" t="str">
        <f>IF('12 - Device_Configuration'!AW171="","",'12 - Device_Configuration'!AW171)</f>
        <v/>
      </c>
      <c r="V170" s="21" t="str">
        <f>IF('12 - Device_Configuration'!BA171="","",'12 - Device_Configuration'!BA171)</f>
        <v/>
      </c>
      <c r="W170" s="21" t="str">
        <f>IF('12 - Device_Configuration'!BC171="","",'12 - Device_Configuration'!BC171)</f>
        <v/>
      </c>
      <c r="X170" s="21" t="str">
        <f>IF('12 - Device_Configuration'!BK171="","",'12 - Device_Configuration'!BK171)</f>
        <v/>
      </c>
      <c r="Y170" s="21" t="str">
        <f>IF('12 - Device_Configuration'!BB171="","",'12 - Device_Configuration'!BB171)</f>
        <v/>
      </c>
      <c r="Z170" s="21" t="str">
        <f>IF('12 - Device_Configuration'!P171="","",'12 - Device_Configuration'!P171)</f>
        <v/>
      </c>
      <c r="AA170" s="21" t="str">
        <f>IF('12 - Device_Configuration'!Q171="","",'12 - Device_Configuration'!Q171)</f>
        <v/>
      </c>
    </row>
    <row r="171" spans="1:27">
      <c r="A171" s="22"/>
      <c r="B171" s="22"/>
      <c r="C171" s="21" t="str">
        <f>IF('12 - Device_Configuration'!H172="","",'12 - Device_Configuration'!H172)</f>
        <v/>
      </c>
      <c r="D171" s="21" t="str">
        <f>IF('12 - Device_Configuration'!AE172="","",'12 - Device_Configuration'!AE172)</f>
        <v/>
      </c>
      <c r="E171" s="21" t="str">
        <f>IF('12 - Device_Configuration'!AF172="","",'12 - Device_Configuration'!AF172)</f>
        <v/>
      </c>
      <c r="F171" s="21" t="str">
        <f>IF('12 - Device_Configuration'!AG172="","",'12 - Device_Configuration'!AG172)</f>
        <v/>
      </c>
      <c r="G171" s="21" t="str">
        <f>IF('12 - Device_Configuration'!AH172="","",'12 - Device_Configuration'!AH172)</f>
        <v/>
      </c>
      <c r="H171" s="21" t="str">
        <f>IF('12 - Device_Configuration'!A172="","",'12 - Device_Configuration'!A172)</f>
        <v/>
      </c>
      <c r="I171" s="21" t="str">
        <f>IF('12 - Device_Configuration'!AI172="","",'12 - Device_Configuration'!AI172)</f>
        <v/>
      </c>
      <c r="J171" s="21" t="str">
        <f>IF('12 - Device_Configuration'!AJ172="","",'12 - Device_Configuration'!AJ172)</f>
        <v/>
      </c>
      <c r="K171" s="21" t="str">
        <f>IF('12 - Device_Configuration'!AA172="","",'12 - Device_Configuration'!AA172)</f>
        <v/>
      </c>
      <c r="L171" s="21" t="str">
        <f>IF('12 - Device_Configuration'!I172="","",'12 - Device_Configuration'!I172)</f>
        <v/>
      </c>
      <c r="M171" s="22"/>
      <c r="N171" s="21" t="str">
        <f>IF('12 - Device_Configuration'!J172="","",'12 - Device_Configuration'!J172)</f>
        <v/>
      </c>
      <c r="O171" s="21" t="str">
        <f>IF('12 - Device_Configuration'!K172="","",'12 - Device_Configuration'!K172)</f>
        <v/>
      </c>
      <c r="P171" s="21" t="str">
        <f>IF('12 - Device_Configuration'!L172="","",'12 - Device_Configuration'!L172)</f>
        <v/>
      </c>
      <c r="Q171" s="22"/>
      <c r="R171" s="21" t="str">
        <f>IF('12 - Device_Configuration'!AY172="","",'12 - Device_Configuration'!AY172)</f>
        <v/>
      </c>
      <c r="S171" s="21" t="str">
        <f>IF('12 - Device_Configuration'!AX172="","",'12 - Device_Configuration'!AX172)</f>
        <v/>
      </c>
      <c r="T171" s="21" t="str">
        <f>IF('12 - Device_Configuration'!AV172="","",'12 - Device_Configuration'!AV172)</f>
        <v/>
      </c>
      <c r="U171" s="21" t="str">
        <f>IF('12 - Device_Configuration'!AW172="","",'12 - Device_Configuration'!AW172)</f>
        <v/>
      </c>
      <c r="V171" s="21" t="str">
        <f>IF('12 - Device_Configuration'!BA172="","",'12 - Device_Configuration'!BA172)</f>
        <v/>
      </c>
      <c r="W171" s="21" t="str">
        <f>IF('12 - Device_Configuration'!BC172="","",'12 - Device_Configuration'!BC172)</f>
        <v/>
      </c>
      <c r="X171" s="21" t="str">
        <f>IF('12 - Device_Configuration'!BK172="","",'12 - Device_Configuration'!BK172)</f>
        <v/>
      </c>
      <c r="Y171" s="21" t="str">
        <f>IF('12 - Device_Configuration'!BB172="","",'12 - Device_Configuration'!BB172)</f>
        <v/>
      </c>
      <c r="Z171" s="21" t="str">
        <f>IF('12 - Device_Configuration'!P172="","",'12 - Device_Configuration'!P172)</f>
        <v/>
      </c>
      <c r="AA171" s="21" t="str">
        <f>IF('12 - Device_Configuration'!Q172="","",'12 - Device_Configuration'!Q172)</f>
        <v/>
      </c>
    </row>
    <row r="172" spans="1:27">
      <c r="A172" s="22"/>
      <c r="B172" s="22"/>
      <c r="C172" s="21" t="str">
        <f>IF('12 - Device_Configuration'!H173="","",'12 - Device_Configuration'!H173)</f>
        <v/>
      </c>
      <c r="D172" s="21" t="str">
        <f>IF('12 - Device_Configuration'!AE173="","",'12 - Device_Configuration'!AE173)</f>
        <v/>
      </c>
      <c r="E172" s="21" t="str">
        <f>IF('12 - Device_Configuration'!AF173="","",'12 - Device_Configuration'!AF173)</f>
        <v/>
      </c>
      <c r="F172" s="21" t="str">
        <f>IF('12 - Device_Configuration'!AG173="","",'12 - Device_Configuration'!AG173)</f>
        <v/>
      </c>
      <c r="G172" s="21" t="str">
        <f>IF('12 - Device_Configuration'!AH173="","",'12 - Device_Configuration'!AH173)</f>
        <v/>
      </c>
      <c r="H172" s="21" t="str">
        <f>IF('12 - Device_Configuration'!A173="","",'12 - Device_Configuration'!A173)</f>
        <v/>
      </c>
      <c r="I172" s="21" t="str">
        <f>IF('12 - Device_Configuration'!AI173="","",'12 - Device_Configuration'!AI173)</f>
        <v/>
      </c>
      <c r="J172" s="21" t="str">
        <f>IF('12 - Device_Configuration'!AJ173="","",'12 - Device_Configuration'!AJ173)</f>
        <v/>
      </c>
      <c r="K172" s="21" t="str">
        <f>IF('12 - Device_Configuration'!AA173="","",'12 - Device_Configuration'!AA173)</f>
        <v/>
      </c>
      <c r="L172" s="21" t="str">
        <f>IF('12 - Device_Configuration'!I173="","",'12 - Device_Configuration'!I173)</f>
        <v/>
      </c>
      <c r="M172" s="22"/>
      <c r="N172" s="21" t="str">
        <f>IF('12 - Device_Configuration'!J173="","",'12 - Device_Configuration'!J173)</f>
        <v/>
      </c>
      <c r="O172" s="21" t="str">
        <f>IF('12 - Device_Configuration'!K173="","",'12 - Device_Configuration'!K173)</f>
        <v/>
      </c>
      <c r="P172" s="21" t="str">
        <f>IF('12 - Device_Configuration'!L173="","",'12 - Device_Configuration'!L173)</f>
        <v/>
      </c>
      <c r="Q172" s="22"/>
      <c r="R172" s="21" t="str">
        <f>IF('12 - Device_Configuration'!AY173="","",'12 - Device_Configuration'!AY173)</f>
        <v/>
      </c>
      <c r="S172" s="21" t="str">
        <f>IF('12 - Device_Configuration'!AX173="","",'12 - Device_Configuration'!AX173)</f>
        <v/>
      </c>
      <c r="T172" s="21" t="str">
        <f>IF('12 - Device_Configuration'!AV173="","",'12 - Device_Configuration'!AV173)</f>
        <v/>
      </c>
      <c r="U172" s="21" t="str">
        <f>IF('12 - Device_Configuration'!AW173="","",'12 - Device_Configuration'!AW173)</f>
        <v/>
      </c>
      <c r="V172" s="21" t="str">
        <f>IF('12 - Device_Configuration'!BA173="","",'12 - Device_Configuration'!BA173)</f>
        <v/>
      </c>
      <c r="W172" s="21" t="str">
        <f>IF('12 - Device_Configuration'!BC173="","",'12 - Device_Configuration'!BC173)</f>
        <v/>
      </c>
      <c r="X172" s="21" t="str">
        <f>IF('12 - Device_Configuration'!BK173="","",'12 - Device_Configuration'!BK173)</f>
        <v/>
      </c>
      <c r="Y172" s="21" t="str">
        <f>IF('12 - Device_Configuration'!BB173="","",'12 - Device_Configuration'!BB173)</f>
        <v/>
      </c>
      <c r="Z172" s="21" t="str">
        <f>IF('12 - Device_Configuration'!P173="","",'12 - Device_Configuration'!P173)</f>
        <v/>
      </c>
      <c r="AA172" s="21" t="str">
        <f>IF('12 - Device_Configuration'!Q173="","",'12 - Device_Configuration'!Q173)</f>
        <v/>
      </c>
    </row>
    <row r="173" spans="1:27">
      <c r="A173" s="22"/>
      <c r="B173" s="22"/>
      <c r="C173" s="21" t="str">
        <f>IF('12 - Device_Configuration'!H174="","",'12 - Device_Configuration'!H174)</f>
        <v/>
      </c>
      <c r="D173" s="21" t="str">
        <f>IF('12 - Device_Configuration'!AE174="","",'12 - Device_Configuration'!AE174)</f>
        <v/>
      </c>
      <c r="E173" s="21" t="str">
        <f>IF('12 - Device_Configuration'!AF174="","",'12 - Device_Configuration'!AF174)</f>
        <v/>
      </c>
      <c r="F173" s="21" t="str">
        <f>IF('12 - Device_Configuration'!AG174="","",'12 - Device_Configuration'!AG174)</f>
        <v/>
      </c>
      <c r="G173" s="21" t="str">
        <f>IF('12 - Device_Configuration'!AH174="","",'12 - Device_Configuration'!AH174)</f>
        <v/>
      </c>
      <c r="H173" s="21" t="str">
        <f>IF('12 - Device_Configuration'!A174="","",'12 - Device_Configuration'!A174)</f>
        <v/>
      </c>
      <c r="I173" s="21" t="str">
        <f>IF('12 - Device_Configuration'!AI174="","",'12 - Device_Configuration'!AI174)</f>
        <v/>
      </c>
      <c r="J173" s="21" t="str">
        <f>IF('12 - Device_Configuration'!AJ174="","",'12 - Device_Configuration'!AJ174)</f>
        <v/>
      </c>
      <c r="K173" s="21" t="str">
        <f>IF('12 - Device_Configuration'!AA174="","",'12 - Device_Configuration'!AA174)</f>
        <v/>
      </c>
      <c r="L173" s="21" t="str">
        <f>IF('12 - Device_Configuration'!I174="","",'12 - Device_Configuration'!I174)</f>
        <v/>
      </c>
      <c r="M173" s="22"/>
      <c r="N173" s="21" t="str">
        <f>IF('12 - Device_Configuration'!J174="","",'12 - Device_Configuration'!J174)</f>
        <v/>
      </c>
      <c r="O173" s="21" t="str">
        <f>IF('12 - Device_Configuration'!K174="","",'12 - Device_Configuration'!K174)</f>
        <v/>
      </c>
      <c r="P173" s="21" t="str">
        <f>IF('12 - Device_Configuration'!L174="","",'12 - Device_Configuration'!L174)</f>
        <v/>
      </c>
      <c r="Q173" s="22"/>
      <c r="R173" s="21" t="str">
        <f>IF('12 - Device_Configuration'!AY174="","",'12 - Device_Configuration'!AY174)</f>
        <v/>
      </c>
      <c r="S173" s="21" t="str">
        <f>IF('12 - Device_Configuration'!AX174="","",'12 - Device_Configuration'!AX174)</f>
        <v/>
      </c>
      <c r="T173" s="21" t="str">
        <f>IF('12 - Device_Configuration'!AV174="","",'12 - Device_Configuration'!AV174)</f>
        <v/>
      </c>
      <c r="U173" s="21" t="str">
        <f>IF('12 - Device_Configuration'!AW174="","",'12 - Device_Configuration'!AW174)</f>
        <v/>
      </c>
      <c r="V173" s="21" t="str">
        <f>IF('12 - Device_Configuration'!BA174="","",'12 - Device_Configuration'!BA174)</f>
        <v/>
      </c>
      <c r="W173" s="21" t="str">
        <f>IF('12 - Device_Configuration'!BC174="","",'12 - Device_Configuration'!BC174)</f>
        <v/>
      </c>
      <c r="X173" s="21" t="str">
        <f>IF('12 - Device_Configuration'!BK174="","",'12 - Device_Configuration'!BK174)</f>
        <v/>
      </c>
      <c r="Y173" s="21" t="str">
        <f>IF('12 - Device_Configuration'!BB174="","",'12 - Device_Configuration'!BB174)</f>
        <v/>
      </c>
      <c r="Z173" s="21" t="str">
        <f>IF('12 - Device_Configuration'!P174="","",'12 - Device_Configuration'!P174)</f>
        <v/>
      </c>
      <c r="AA173" s="21" t="str">
        <f>IF('12 - Device_Configuration'!Q174="","",'12 - Device_Configuration'!Q174)</f>
        <v/>
      </c>
    </row>
    <row r="174" spans="1:27">
      <c r="A174" s="22"/>
      <c r="B174" s="22"/>
      <c r="C174" s="21" t="str">
        <f>IF('12 - Device_Configuration'!H175="","",'12 - Device_Configuration'!H175)</f>
        <v/>
      </c>
      <c r="D174" s="21" t="str">
        <f>IF('12 - Device_Configuration'!AE175="","",'12 - Device_Configuration'!AE175)</f>
        <v/>
      </c>
      <c r="E174" s="21" t="str">
        <f>IF('12 - Device_Configuration'!AF175="","",'12 - Device_Configuration'!AF175)</f>
        <v/>
      </c>
      <c r="F174" s="21" t="str">
        <f>IF('12 - Device_Configuration'!AG175="","",'12 - Device_Configuration'!AG175)</f>
        <v/>
      </c>
      <c r="G174" s="21" t="str">
        <f>IF('12 - Device_Configuration'!AH175="","",'12 - Device_Configuration'!AH175)</f>
        <v/>
      </c>
      <c r="H174" s="21" t="str">
        <f>IF('12 - Device_Configuration'!A175="","",'12 - Device_Configuration'!A175)</f>
        <v/>
      </c>
      <c r="I174" s="21" t="str">
        <f>IF('12 - Device_Configuration'!AI175="","",'12 - Device_Configuration'!AI175)</f>
        <v/>
      </c>
      <c r="J174" s="21" t="str">
        <f>IF('12 - Device_Configuration'!AJ175="","",'12 - Device_Configuration'!AJ175)</f>
        <v/>
      </c>
      <c r="K174" s="21" t="str">
        <f>IF('12 - Device_Configuration'!AA175="","",'12 - Device_Configuration'!AA175)</f>
        <v/>
      </c>
      <c r="L174" s="21" t="str">
        <f>IF('12 - Device_Configuration'!I175="","",'12 - Device_Configuration'!I175)</f>
        <v/>
      </c>
      <c r="M174" s="22"/>
      <c r="N174" s="21" t="str">
        <f>IF('12 - Device_Configuration'!J175="","",'12 - Device_Configuration'!J175)</f>
        <v/>
      </c>
      <c r="O174" s="21" t="str">
        <f>IF('12 - Device_Configuration'!K175="","",'12 - Device_Configuration'!K175)</f>
        <v/>
      </c>
      <c r="P174" s="21" t="str">
        <f>IF('12 - Device_Configuration'!L175="","",'12 - Device_Configuration'!L175)</f>
        <v/>
      </c>
      <c r="Q174" s="22"/>
      <c r="R174" s="21" t="str">
        <f>IF('12 - Device_Configuration'!AY175="","",'12 - Device_Configuration'!AY175)</f>
        <v/>
      </c>
      <c r="S174" s="21" t="str">
        <f>IF('12 - Device_Configuration'!AX175="","",'12 - Device_Configuration'!AX175)</f>
        <v/>
      </c>
      <c r="T174" s="21" t="str">
        <f>IF('12 - Device_Configuration'!AV175="","",'12 - Device_Configuration'!AV175)</f>
        <v/>
      </c>
      <c r="U174" s="21" t="str">
        <f>IF('12 - Device_Configuration'!AW175="","",'12 - Device_Configuration'!AW175)</f>
        <v/>
      </c>
      <c r="V174" s="21" t="str">
        <f>IF('12 - Device_Configuration'!BA175="","",'12 - Device_Configuration'!BA175)</f>
        <v/>
      </c>
      <c r="W174" s="21" t="str">
        <f>IF('12 - Device_Configuration'!BC175="","",'12 - Device_Configuration'!BC175)</f>
        <v/>
      </c>
      <c r="X174" s="21" t="str">
        <f>IF('12 - Device_Configuration'!BK175="","",'12 - Device_Configuration'!BK175)</f>
        <v/>
      </c>
      <c r="Y174" s="21" t="str">
        <f>IF('12 - Device_Configuration'!BB175="","",'12 - Device_Configuration'!BB175)</f>
        <v/>
      </c>
      <c r="Z174" s="21" t="str">
        <f>IF('12 - Device_Configuration'!P175="","",'12 - Device_Configuration'!P175)</f>
        <v/>
      </c>
      <c r="AA174" s="21" t="str">
        <f>IF('12 - Device_Configuration'!Q175="","",'12 - Device_Configuration'!Q175)</f>
        <v/>
      </c>
    </row>
    <row r="175" spans="1:27">
      <c r="A175" s="22"/>
      <c r="B175" s="22"/>
      <c r="C175" s="21" t="str">
        <f>IF('12 - Device_Configuration'!H176="","",'12 - Device_Configuration'!H176)</f>
        <v/>
      </c>
      <c r="D175" s="21" t="str">
        <f>IF('12 - Device_Configuration'!AE176="","",'12 - Device_Configuration'!AE176)</f>
        <v/>
      </c>
      <c r="E175" s="21" t="str">
        <f>IF('12 - Device_Configuration'!AF176="","",'12 - Device_Configuration'!AF176)</f>
        <v/>
      </c>
      <c r="F175" s="21" t="str">
        <f>IF('12 - Device_Configuration'!AG176="","",'12 - Device_Configuration'!AG176)</f>
        <v/>
      </c>
      <c r="G175" s="21" t="str">
        <f>IF('12 - Device_Configuration'!AH176="","",'12 - Device_Configuration'!AH176)</f>
        <v/>
      </c>
      <c r="H175" s="21" t="str">
        <f>IF('12 - Device_Configuration'!A176="","",'12 - Device_Configuration'!A176)</f>
        <v/>
      </c>
      <c r="I175" s="21" t="str">
        <f>IF('12 - Device_Configuration'!AI176="","",'12 - Device_Configuration'!AI176)</f>
        <v/>
      </c>
      <c r="J175" s="21" t="str">
        <f>IF('12 - Device_Configuration'!AJ176="","",'12 - Device_Configuration'!AJ176)</f>
        <v/>
      </c>
      <c r="K175" s="21" t="str">
        <f>IF('12 - Device_Configuration'!AA176="","",'12 - Device_Configuration'!AA176)</f>
        <v/>
      </c>
      <c r="L175" s="21" t="str">
        <f>IF('12 - Device_Configuration'!I176="","",'12 - Device_Configuration'!I176)</f>
        <v/>
      </c>
      <c r="M175" s="22"/>
      <c r="N175" s="21" t="str">
        <f>IF('12 - Device_Configuration'!J176="","",'12 - Device_Configuration'!J176)</f>
        <v/>
      </c>
      <c r="O175" s="21" t="str">
        <f>IF('12 - Device_Configuration'!K176="","",'12 - Device_Configuration'!K176)</f>
        <v/>
      </c>
      <c r="P175" s="21" t="str">
        <f>IF('12 - Device_Configuration'!L176="","",'12 - Device_Configuration'!L176)</f>
        <v/>
      </c>
      <c r="Q175" s="22"/>
      <c r="R175" s="21" t="str">
        <f>IF('12 - Device_Configuration'!AY176="","",'12 - Device_Configuration'!AY176)</f>
        <v/>
      </c>
      <c r="S175" s="21" t="str">
        <f>IF('12 - Device_Configuration'!AX176="","",'12 - Device_Configuration'!AX176)</f>
        <v/>
      </c>
      <c r="T175" s="21" t="str">
        <f>IF('12 - Device_Configuration'!AV176="","",'12 - Device_Configuration'!AV176)</f>
        <v/>
      </c>
      <c r="U175" s="21" t="str">
        <f>IF('12 - Device_Configuration'!AW176="","",'12 - Device_Configuration'!AW176)</f>
        <v/>
      </c>
      <c r="V175" s="21" t="str">
        <f>IF('12 - Device_Configuration'!BA176="","",'12 - Device_Configuration'!BA176)</f>
        <v/>
      </c>
      <c r="W175" s="21" t="str">
        <f>IF('12 - Device_Configuration'!BC176="","",'12 - Device_Configuration'!BC176)</f>
        <v/>
      </c>
      <c r="X175" s="21" t="str">
        <f>IF('12 - Device_Configuration'!BK176="","",'12 - Device_Configuration'!BK176)</f>
        <v/>
      </c>
      <c r="Y175" s="21" t="str">
        <f>IF('12 - Device_Configuration'!BB176="","",'12 - Device_Configuration'!BB176)</f>
        <v/>
      </c>
      <c r="Z175" s="21" t="str">
        <f>IF('12 - Device_Configuration'!P176="","",'12 - Device_Configuration'!P176)</f>
        <v/>
      </c>
      <c r="AA175" s="21" t="str">
        <f>IF('12 - Device_Configuration'!Q176="","",'12 - Device_Configuration'!Q176)</f>
        <v/>
      </c>
    </row>
    <row r="176" spans="1:27">
      <c r="A176" s="22"/>
      <c r="B176" s="22"/>
      <c r="C176" s="21" t="str">
        <f>IF('12 - Device_Configuration'!H177="","",'12 - Device_Configuration'!H177)</f>
        <v/>
      </c>
      <c r="D176" s="21" t="str">
        <f>IF('12 - Device_Configuration'!AE177="","",'12 - Device_Configuration'!AE177)</f>
        <v/>
      </c>
      <c r="E176" s="21" t="str">
        <f>IF('12 - Device_Configuration'!AF177="","",'12 - Device_Configuration'!AF177)</f>
        <v/>
      </c>
      <c r="F176" s="21" t="str">
        <f>IF('12 - Device_Configuration'!AG177="","",'12 - Device_Configuration'!AG177)</f>
        <v/>
      </c>
      <c r="G176" s="21" t="str">
        <f>IF('12 - Device_Configuration'!AH177="","",'12 - Device_Configuration'!AH177)</f>
        <v/>
      </c>
      <c r="H176" s="21" t="str">
        <f>IF('12 - Device_Configuration'!A177="","",'12 - Device_Configuration'!A177)</f>
        <v/>
      </c>
      <c r="I176" s="21" t="str">
        <f>IF('12 - Device_Configuration'!AI177="","",'12 - Device_Configuration'!AI177)</f>
        <v/>
      </c>
      <c r="J176" s="21" t="str">
        <f>IF('12 - Device_Configuration'!AJ177="","",'12 - Device_Configuration'!AJ177)</f>
        <v/>
      </c>
      <c r="K176" s="21" t="str">
        <f>IF('12 - Device_Configuration'!AA177="","",'12 - Device_Configuration'!AA177)</f>
        <v/>
      </c>
      <c r="L176" s="21" t="str">
        <f>IF('12 - Device_Configuration'!I177="","",'12 - Device_Configuration'!I177)</f>
        <v/>
      </c>
      <c r="M176" s="22"/>
      <c r="N176" s="21" t="str">
        <f>IF('12 - Device_Configuration'!J177="","",'12 - Device_Configuration'!J177)</f>
        <v/>
      </c>
      <c r="O176" s="21" t="str">
        <f>IF('12 - Device_Configuration'!K177="","",'12 - Device_Configuration'!K177)</f>
        <v/>
      </c>
      <c r="P176" s="21" t="str">
        <f>IF('12 - Device_Configuration'!L177="","",'12 - Device_Configuration'!L177)</f>
        <v/>
      </c>
      <c r="Q176" s="22"/>
      <c r="R176" s="21" t="str">
        <f>IF('12 - Device_Configuration'!AY177="","",'12 - Device_Configuration'!AY177)</f>
        <v/>
      </c>
      <c r="S176" s="21" t="str">
        <f>IF('12 - Device_Configuration'!AX177="","",'12 - Device_Configuration'!AX177)</f>
        <v/>
      </c>
      <c r="T176" s="21" t="str">
        <f>IF('12 - Device_Configuration'!AV177="","",'12 - Device_Configuration'!AV177)</f>
        <v/>
      </c>
      <c r="U176" s="21" t="str">
        <f>IF('12 - Device_Configuration'!AW177="","",'12 - Device_Configuration'!AW177)</f>
        <v/>
      </c>
      <c r="V176" s="21" t="str">
        <f>IF('12 - Device_Configuration'!BA177="","",'12 - Device_Configuration'!BA177)</f>
        <v/>
      </c>
      <c r="W176" s="21" t="str">
        <f>IF('12 - Device_Configuration'!BC177="","",'12 - Device_Configuration'!BC177)</f>
        <v/>
      </c>
      <c r="X176" s="21" t="str">
        <f>IF('12 - Device_Configuration'!BK177="","",'12 - Device_Configuration'!BK177)</f>
        <v/>
      </c>
      <c r="Y176" s="21" t="str">
        <f>IF('12 - Device_Configuration'!BB177="","",'12 - Device_Configuration'!BB177)</f>
        <v/>
      </c>
      <c r="Z176" s="21" t="str">
        <f>IF('12 - Device_Configuration'!P177="","",'12 - Device_Configuration'!P177)</f>
        <v/>
      </c>
      <c r="AA176" s="21" t="str">
        <f>IF('12 - Device_Configuration'!Q177="","",'12 - Device_Configuration'!Q177)</f>
        <v/>
      </c>
    </row>
    <row r="177" spans="1:27">
      <c r="A177" s="22"/>
      <c r="B177" s="22"/>
      <c r="C177" s="21" t="str">
        <f>IF('12 - Device_Configuration'!H178="","",'12 - Device_Configuration'!H178)</f>
        <v/>
      </c>
      <c r="D177" s="21" t="str">
        <f>IF('12 - Device_Configuration'!AE178="","",'12 - Device_Configuration'!AE178)</f>
        <v/>
      </c>
      <c r="E177" s="21" t="str">
        <f>IF('12 - Device_Configuration'!AF178="","",'12 - Device_Configuration'!AF178)</f>
        <v/>
      </c>
      <c r="F177" s="21" t="str">
        <f>IF('12 - Device_Configuration'!AG178="","",'12 - Device_Configuration'!AG178)</f>
        <v/>
      </c>
      <c r="G177" s="21" t="str">
        <f>IF('12 - Device_Configuration'!AH178="","",'12 - Device_Configuration'!AH178)</f>
        <v/>
      </c>
      <c r="H177" s="21" t="str">
        <f>IF('12 - Device_Configuration'!A178="","",'12 - Device_Configuration'!A178)</f>
        <v/>
      </c>
      <c r="I177" s="21" t="str">
        <f>IF('12 - Device_Configuration'!AI178="","",'12 - Device_Configuration'!AI178)</f>
        <v/>
      </c>
      <c r="J177" s="21" t="str">
        <f>IF('12 - Device_Configuration'!AJ178="","",'12 - Device_Configuration'!AJ178)</f>
        <v/>
      </c>
      <c r="K177" s="21" t="str">
        <f>IF('12 - Device_Configuration'!AA178="","",'12 - Device_Configuration'!AA178)</f>
        <v/>
      </c>
      <c r="L177" s="21" t="str">
        <f>IF('12 - Device_Configuration'!I178="","",'12 - Device_Configuration'!I178)</f>
        <v/>
      </c>
      <c r="M177" s="22"/>
      <c r="N177" s="21" t="str">
        <f>IF('12 - Device_Configuration'!J178="","",'12 - Device_Configuration'!J178)</f>
        <v/>
      </c>
      <c r="O177" s="21" t="str">
        <f>IF('12 - Device_Configuration'!K178="","",'12 - Device_Configuration'!K178)</f>
        <v/>
      </c>
      <c r="P177" s="21" t="str">
        <f>IF('12 - Device_Configuration'!L178="","",'12 - Device_Configuration'!L178)</f>
        <v/>
      </c>
      <c r="Q177" s="22"/>
      <c r="R177" s="21" t="str">
        <f>IF('12 - Device_Configuration'!AY178="","",'12 - Device_Configuration'!AY178)</f>
        <v/>
      </c>
      <c r="S177" s="21" t="str">
        <f>IF('12 - Device_Configuration'!AX178="","",'12 - Device_Configuration'!AX178)</f>
        <v/>
      </c>
      <c r="T177" s="21" t="str">
        <f>IF('12 - Device_Configuration'!AV178="","",'12 - Device_Configuration'!AV178)</f>
        <v/>
      </c>
      <c r="U177" s="21" t="str">
        <f>IF('12 - Device_Configuration'!AW178="","",'12 - Device_Configuration'!AW178)</f>
        <v/>
      </c>
      <c r="V177" s="21" t="str">
        <f>IF('12 - Device_Configuration'!BA178="","",'12 - Device_Configuration'!BA178)</f>
        <v/>
      </c>
      <c r="W177" s="21" t="str">
        <f>IF('12 - Device_Configuration'!BC178="","",'12 - Device_Configuration'!BC178)</f>
        <v/>
      </c>
      <c r="X177" s="21" t="str">
        <f>IF('12 - Device_Configuration'!BK178="","",'12 - Device_Configuration'!BK178)</f>
        <v/>
      </c>
      <c r="Y177" s="21" t="str">
        <f>IF('12 - Device_Configuration'!BB178="","",'12 - Device_Configuration'!BB178)</f>
        <v/>
      </c>
      <c r="Z177" s="21" t="str">
        <f>IF('12 - Device_Configuration'!P178="","",'12 - Device_Configuration'!P178)</f>
        <v/>
      </c>
      <c r="AA177" s="21" t="str">
        <f>IF('12 - Device_Configuration'!Q178="","",'12 - Device_Configuration'!Q178)</f>
        <v/>
      </c>
    </row>
    <row r="178" spans="1:27">
      <c r="A178" s="22"/>
      <c r="B178" s="22"/>
      <c r="C178" s="21" t="str">
        <f>IF('12 - Device_Configuration'!H179="","",'12 - Device_Configuration'!H179)</f>
        <v/>
      </c>
      <c r="D178" s="21" t="str">
        <f>IF('12 - Device_Configuration'!AE179="","",'12 - Device_Configuration'!AE179)</f>
        <v/>
      </c>
      <c r="E178" s="21" t="str">
        <f>IF('12 - Device_Configuration'!AF179="","",'12 - Device_Configuration'!AF179)</f>
        <v/>
      </c>
      <c r="F178" s="21" t="str">
        <f>IF('12 - Device_Configuration'!AG179="","",'12 - Device_Configuration'!AG179)</f>
        <v/>
      </c>
      <c r="G178" s="21" t="str">
        <f>IF('12 - Device_Configuration'!AH179="","",'12 - Device_Configuration'!AH179)</f>
        <v/>
      </c>
      <c r="H178" s="21" t="str">
        <f>IF('12 - Device_Configuration'!A179="","",'12 - Device_Configuration'!A179)</f>
        <v/>
      </c>
      <c r="I178" s="21" t="str">
        <f>IF('12 - Device_Configuration'!AI179="","",'12 - Device_Configuration'!AI179)</f>
        <v/>
      </c>
      <c r="J178" s="21" t="str">
        <f>IF('12 - Device_Configuration'!AJ179="","",'12 - Device_Configuration'!AJ179)</f>
        <v/>
      </c>
      <c r="K178" s="21" t="str">
        <f>IF('12 - Device_Configuration'!AA179="","",'12 - Device_Configuration'!AA179)</f>
        <v/>
      </c>
      <c r="L178" s="21" t="str">
        <f>IF('12 - Device_Configuration'!I179="","",'12 - Device_Configuration'!I179)</f>
        <v/>
      </c>
      <c r="M178" s="22"/>
      <c r="N178" s="21" t="str">
        <f>IF('12 - Device_Configuration'!J179="","",'12 - Device_Configuration'!J179)</f>
        <v/>
      </c>
      <c r="O178" s="21" t="str">
        <f>IF('12 - Device_Configuration'!K179="","",'12 - Device_Configuration'!K179)</f>
        <v/>
      </c>
      <c r="P178" s="21" t="str">
        <f>IF('12 - Device_Configuration'!L179="","",'12 - Device_Configuration'!L179)</f>
        <v/>
      </c>
      <c r="Q178" s="22"/>
      <c r="R178" s="21" t="str">
        <f>IF('12 - Device_Configuration'!AY179="","",'12 - Device_Configuration'!AY179)</f>
        <v/>
      </c>
      <c r="S178" s="21" t="str">
        <f>IF('12 - Device_Configuration'!AX179="","",'12 - Device_Configuration'!AX179)</f>
        <v/>
      </c>
      <c r="T178" s="21" t="str">
        <f>IF('12 - Device_Configuration'!AV179="","",'12 - Device_Configuration'!AV179)</f>
        <v/>
      </c>
      <c r="U178" s="21" t="str">
        <f>IF('12 - Device_Configuration'!AW179="","",'12 - Device_Configuration'!AW179)</f>
        <v/>
      </c>
      <c r="V178" s="21" t="str">
        <f>IF('12 - Device_Configuration'!BA179="","",'12 - Device_Configuration'!BA179)</f>
        <v/>
      </c>
      <c r="W178" s="21" t="str">
        <f>IF('12 - Device_Configuration'!BC179="","",'12 - Device_Configuration'!BC179)</f>
        <v/>
      </c>
      <c r="X178" s="21" t="str">
        <f>IF('12 - Device_Configuration'!BK179="","",'12 - Device_Configuration'!BK179)</f>
        <v/>
      </c>
      <c r="Y178" s="21" t="str">
        <f>IF('12 - Device_Configuration'!BB179="","",'12 - Device_Configuration'!BB179)</f>
        <v/>
      </c>
      <c r="Z178" s="21" t="str">
        <f>IF('12 - Device_Configuration'!P179="","",'12 - Device_Configuration'!P179)</f>
        <v/>
      </c>
      <c r="AA178" s="21" t="str">
        <f>IF('12 - Device_Configuration'!Q179="","",'12 - Device_Configuration'!Q179)</f>
        <v/>
      </c>
    </row>
    <row r="179" spans="1:27">
      <c r="A179" s="22"/>
      <c r="B179" s="22"/>
      <c r="C179" s="21" t="str">
        <f>IF('12 - Device_Configuration'!H180="","",'12 - Device_Configuration'!H180)</f>
        <v/>
      </c>
      <c r="D179" s="21" t="str">
        <f>IF('12 - Device_Configuration'!AE180="","",'12 - Device_Configuration'!AE180)</f>
        <v/>
      </c>
      <c r="E179" s="21" t="str">
        <f>IF('12 - Device_Configuration'!AF180="","",'12 - Device_Configuration'!AF180)</f>
        <v/>
      </c>
      <c r="F179" s="21" t="str">
        <f>IF('12 - Device_Configuration'!AG180="","",'12 - Device_Configuration'!AG180)</f>
        <v/>
      </c>
      <c r="G179" s="21" t="str">
        <f>IF('12 - Device_Configuration'!AH180="","",'12 - Device_Configuration'!AH180)</f>
        <v/>
      </c>
      <c r="H179" s="21" t="str">
        <f>IF('12 - Device_Configuration'!A180="","",'12 - Device_Configuration'!A180)</f>
        <v/>
      </c>
      <c r="I179" s="21" t="str">
        <f>IF('12 - Device_Configuration'!AI180="","",'12 - Device_Configuration'!AI180)</f>
        <v/>
      </c>
      <c r="J179" s="21" t="str">
        <f>IF('12 - Device_Configuration'!AJ180="","",'12 - Device_Configuration'!AJ180)</f>
        <v/>
      </c>
      <c r="K179" s="21" t="str">
        <f>IF('12 - Device_Configuration'!AA180="","",'12 - Device_Configuration'!AA180)</f>
        <v/>
      </c>
      <c r="L179" s="21" t="str">
        <f>IF('12 - Device_Configuration'!I180="","",'12 - Device_Configuration'!I180)</f>
        <v/>
      </c>
      <c r="M179" s="22"/>
      <c r="N179" s="21" t="str">
        <f>IF('12 - Device_Configuration'!J180="","",'12 - Device_Configuration'!J180)</f>
        <v/>
      </c>
      <c r="O179" s="21" t="str">
        <f>IF('12 - Device_Configuration'!K180="","",'12 - Device_Configuration'!K180)</f>
        <v/>
      </c>
      <c r="P179" s="21" t="str">
        <f>IF('12 - Device_Configuration'!L180="","",'12 - Device_Configuration'!L180)</f>
        <v/>
      </c>
      <c r="Q179" s="22"/>
      <c r="R179" s="21" t="str">
        <f>IF('12 - Device_Configuration'!AY180="","",'12 - Device_Configuration'!AY180)</f>
        <v/>
      </c>
      <c r="S179" s="21" t="str">
        <f>IF('12 - Device_Configuration'!AX180="","",'12 - Device_Configuration'!AX180)</f>
        <v/>
      </c>
      <c r="T179" s="21" t="str">
        <f>IF('12 - Device_Configuration'!AV180="","",'12 - Device_Configuration'!AV180)</f>
        <v/>
      </c>
      <c r="U179" s="21" t="str">
        <f>IF('12 - Device_Configuration'!AW180="","",'12 - Device_Configuration'!AW180)</f>
        <v/>
      </c>
      <c r="V179" s="21" t="str">
        <f>IF('12 - Device_Configuration'!BA180="","",'12 - Device_Configuration'!BA180)</f>
        <v/>
      </c>
      <c r="W179" s="21" t="str">
        <f>IF('12 - Device_Configuration'!BC180="","",'12 - Device_Configuration'!BC180)</f>
        <v/>
      </c>
      <c r="X179" s="21" t="str">
        <f>IF('12 - Device_Configuration'!BK180="","",'12 - Device_Configuration'!BK180)</f>
        <v/>
      </c>
      <c r="Y179" s="21" t="str">
        <f>IF('12 - Device_Configuration'!BB180="","",'12 - Device_Configuration'!BB180)</f>
        <v/>
      </c>
      <c r="Z179" s="21" t="str">
        <f>IF('12 - Device_Configuration'!P180="","",'12 - Device_Configuration'!P180)</f>
        <v/>
      </c>
      <c r="AA179" s="21" t="str">
        <f>IF('12 - Device_Configuration'!Q180="","",'12 - Device_Configuration'!Q180)</f>
        <v/>
      </c>
    </row>
    <row r="180" spans="1:27">
      <c r="A180" s="22"/>
      <c r="B180" s="22"/>
      <c r="C180" s="21" t="str">
        <f>IF('12 - Device_Configuration'!H181="","",'12 - Device_Configuration'!H181)</f>
        <v/>
      </c>
      <c r="D180" s="21" t="str">
        <f>IF('12 - Device_Configuration'!AE181="","",'12 - Device_Configuration'!AE181)</f>
        <v/>
      </c>
      <c r="E180" s="21" t="str">
        <f>IF('12 - Device_Configuration'!AF181="","",'12 - Device_Configuration'!AF181)</f>
        <v/>
      </c>
      <c r="F180" s="21" t="str">
        <f>IF('12 - Device_Configuration'!AG181="","",'12 - Device_Configuration'!AG181)</f>
        <v/>
      </c>
      <c r="G180" s="21" t="str">
        <f>IF('12 - Device_Configuration'!AH181="","",'12 - Device_Configuration'!AH181)</f>
        <v/>
      </c>
      <c r="H180" s="21" t="str">
        <f>IF('12 - Device_Configuration'!A181="","",'12 - Device_Configuration'!A181)</f>
        <v/>
      </c>
      <c r="I180" s="21" t="str">
        <f>IF('12 - Device_Configuration'!AI181="","",'12 - Device_Configuration'!AI181)</f>
        <v/>
      </c>
      <c r="J180" s="21" t="str">
        <f>IF('12 - Device_Configuration'!AJ181="","",'12 - Device_Configuration'!AJ181)</f>
        <v/>
      </c>
      <c r="K180" s="21" t="str">
        <f>IF('12 - Device_Configuration'!AA181="","",'12 - Device_Configuration'!AA181)</f>
        <v/>
      </c>
      <c r="L180" s="21" t="str">
        <f>IF('12 - Device_Configuration'!I181="","",'12 - Device_Configuration'!I181)</f>
        <v/>
      </c>
      <c r="M180" s="22"/>
      <c r="N180" s="21" t="str">
        <f>IF('12 - Device_Configuration'!J181="","",'12 - Device_Configuration'!J181)</f>
        <v/>
      </c>
      <c r="O180" s="21" t="str">
        <f>IF('12 - Device_Configuration'!K181="","",'12 - Device_Configuration'!K181)</f>
        <v/>
      </c>
      <c r="P180" s="21" t="str">
        <f>IF('12 - Device_Configuration'!L181="","",'12 - Device_Configuration'!L181)</f>
        <v/>
      </c>
      <c r="Q180" s="22"/>
      <c r="R180" s="21" t="str">
        <f>IF('12 - Device_Configuration'!AY181="","",'12 - Device_Configuration'!AY181)</f>
        <v/>
      </c>
      <c r="S180" s="21" t="str">
        <f>IF('12 - Device_Configuration'!AX181="","",'12 - Device_Configuration'!AX181)</f>
        <v/>
      </c>
      <c r="T180" s="21" t="str">
        <f>IF('12 - Device_Configuration'!AV181="","",'12 - Device_Configuration'!AV181)</f>
        <v/>
      </c>
      <c r="U180" s="21" t="str">
        <f>IF('12 - Device_Configuration'!AW181="","",'12 - Device_Configuration'!AW181)</f>
        <v/>
      </c>
      <c r="V180" s="21" t="str">
        <f>IF('12 - Device_Configuration'!BA181="","",'12 - Device_Configuration'!BA181)</f>
        <v/>
      </c>
      <c r="W180" s="21" t="str">
        <f>IF('12 - Device_Configuration'!BC181="","",'12 - Device_Configuration'!BC181)</f>
        <v/>
      </c>
      <c r="X180" s="21" t="str">
        <f>IF('12 - Device_Configuration'!BK181="","",'12 - Device_Configuration'!BK181)</f>
        <v/>
      </c>
      <c r="Y180" s="21" t="str">
        <f>IF('12 - Device_Configuration'!BB181="","",'12 - Device_Configuration'!BB181)</f>
        <v/>
      </c>
      <c r="Z180" s="21" t="str">
        <f>IF('12 - Device_Configuration'!P181="","",'12 - Device_Configuration'!P181)</f>
        <v/>
      </c>
      <c r="AA180" s="21" t="str">
        <f>IF('12 - Device_Configuration'!Q181="","",'12 - Device_Configuration'!Q181)</f>
        <v/>
      </c>
    </row>
    <row r="181" spans="1:27">
      <c r="A181" s="22"/>
      <c r="B181" s="22"/>
      <c r="C181" s="21" t="str">
        <f>IF('12 - Device_Configuration'!H182="","",'12 - Device_Configuration'!H182)</f>
        <v/>
      </c>
      <c r="D181" s="21" t="str">
        <f>IF('12 - Device_Configuration'!AE182="","",'12 - Device_Configuration'!AE182)</f>
        <v/>
      </c>
      <c r="E181" s="21" t="str">
        <f>IF('12 - Device_Configuration'!AF182="","",'12 - Device_Configuration'!AF182)</f>
        <v/>
      </c>
      <c r="F181" s="21" t="str">
        <f>IF('12 - Device_Configuration'!AG182="","",'12 - Device_Configuration'!AG182)</f>
        <v/>
      </c>
      <c r="G181" s="21" t="str">
        <f>IF('12 - Device_Configuration'!AH182="","",'12 - Device_Configuration'!AH182)</f>
        <v/>
      </c>
      <c r="H181" s="21" t="str">
        <f>IF('12 - Device_Configuration'!A182="","",'12 - Device_Configuration'!A182)</f>
        <v/>
      </c>
      <c r="I181" s="21" t="str">
        <f>IF('12 - Device_Configuration'!AI182="","",'12 - Device_Configuration'!AI182)</f>
        <v/>
      </c>
      <c r="J181" s="21" t="str">
        <f>IF('12 - Device_Configuration'!AJ182="","",'12 - Device_Configuration'!AJ182)</f>
        <v/>
      </c>
      <c r="K181" s="21" t="str">
        <f>IF('12 - Device_Configuration'!AA182="","",'12 - Device_Configuration'!AA182)</f>
        <v/>
      </c>
      <c r="L181" s="21" t="str">
        <f>IF('12 - Device_Configuration'!I182="","",'12 - Device_Configuration'!I182)</f>
        <v/>
      </c>
      <c r="M181" s="22"/>
      <c r="N181" s="21" t="str">
        <f>IF('12 - Device_Configuration'!J182="","",'12 - Device_Configuration'!J182)</f>
        <v/>
      </c>
      <c r="O181" s="21" t="str">
        <f>IF('12 - Device_Configuration'!K182="","",'12 - Device_Configuration'!K182)</f>
        <v/>
      </c>
      <c r="P181" s="21" t="str">
        <f>IF('12 - Device_Configuration'!L182="","",'12 - Device_Configuration'!L182)</f>
        <v/>
      </c>
      <c r="Q181" s="22"/>
      <c r="R181" s="21" t="str">
        <f>IF('12 - Device_Configuration'!AY182="","",'12 - Device_Configuration'!AY182)</f>
        <v/>
      </c>
      <c r="S181" s="21" t="str">
        <f>IF('12 - Device_Configuration'!AX182="","",'12 - Device_Configuration'!AX182)</f>
        <v/>
      </c>
      <c r="T181" s="21" t="str">
        <f>IF('12 - Device_Configuration'!AV182="","",'12 - Device_Configuration'!AV182)</f>
        <v/>
      </c>
      <c r="U181" s="21" t="str">
        <f>IF('12 - Device_Configuration'!AW182="","",'12 - Device_Configuration'!AW182)</f>
        <v/>
      </c>
      <c r="V181" s="21" t="str">
        <f>IF('12 - Device_Configuration'!BA182="","",'12 - Device_Configuration'!BA182)</f>
        <v/>
      </c>
      <c r="W181" s="21" t="str">
        <f>IF('12 - Device_Configuration'!BC182="","",'12 - Device_Configuration'!BC182)</f>
        <v/>
      </c>
      <c r="X181" s="21" t="str">
        <f>IF('12 - Device_Configuration'!BK182="","",'12 - Device_Configuration'!BK182)</f>
        <v/>
      </c>
      <c r="Y181" s="21" t="str">
        <f>IF('12 - Device_Configuration'!BB182="","",'12 - Device_Configuration'!BB182)</f>
        <v/>
      </c>
      <c r="Z181" s="21" t="str">
        <f>IF('12 - Device_Configuration'!P182="","",'12 - Device_Configuration'!P182)</f>
        <v/>
      </c>
      <c r="AA181" s="21" t="str">
        <f>IF('12 - Device_Configuration'!Q182="","",'12 - Device_Configuration'!Q182)</f>
        <v/>
      </c>
    </row>
    <row r="182" spans="1:27">
      <c r="A182" s="22"/>
      <c r="B182" s="22"/>
      <c r="C182" s="21" t="str">
        <f>IF('12 - Device_Configuration'!H183="","",'12 - Device_Configuration'!H183)</f>
        <v/>
      </c>
      <c r="D182" s="21" t="str">
        <f>IF('12 - Device_Configuration'!AE183="","",'12 - Device_Configuration'!AE183)</f>
        <v/>
      </c>
      <c r="E182" s="21" t="str">
        <f>IF('12 - Device_Configuration'!AF183="","",'12 - Device_Configuration'!AF183)</f>
        <v/>
      </c>
      <c r="F182" s="21" t="str">
        <f>IF('12 - Device_Configuration'!AG183="","",'12 - Device_Configuration'!AG183)</f>
        <v/>
      </c>
      <c r="G182" s="21" t="str">
        <f>IF('12 - Device_Configuration'!AH183="","",'12 - Device_Configuration'!AH183)</f>
        <v/>
      </c>
      <c r="H182" s="21" t="str">
        <f>IF('12 - Device_Configuration'!A183="","",'12 - Device_Configuration'!A183)</f>
        <v/>
      </c>
      <c r="I182" s="21" t="str">
        <f>IF('12 - Device_Configuration'!AI183="","",'12 - Device_Configuration'!AI183)</f>
        <v/>
      </c>
      <c r="J182" s="21" t="str">
        <f>IF('12 - Device_Configuration'!AJ183="","",'12 - Device_Configuration'!AJ183)</f>
        <v/>
      </c>
      <c r="K182" s="21" t="str">
        <f>IF('12 - Device_Configuration'!AA183="","",'12 - Device_Configuration'!AA183)</f>
        <v/>
      </c>
      <c r="L182" s="21" t="str">
        <f>IF('12 - Device_Configuration'!I183="","",'12 - Device_Configuration'!I183)</f>
        <v/>
      </c>
      <c r="M182" s="22"/>
      <c r="N182" s="21" t="str">
        <f>IF('12 - Device_Configuration'!J183="","",'12 - Device_Configuration'!J183)</f>
        <v/>
      </c>
      <c r="O182" s="21" t="str">
        <f>IF('12 - Device_Configuration'!K183="","",'12 - Device_Configuration'!K183)</f>
        <v/>
      </c>
      <c r="P182" s="21" t="str">
        <f>IF('12 - Device_Configuration'!L183="","",'12 - Device_Configuration'!L183)</f>
        <v/>
      </c>
      <c r="Q182" s="22"/>
      <c r="R182" s="21" t="str">
        <f>IF('12 - Device_Configuration'!AY183="","",'12 - Device_Configuration'!AY183)</f>
        <v/>
      </c>
      <c r="S182" s="21" t="str">
        <f>IF('12 - Device_Configuration'!AX183="","",'12 - Device_Configuration'!AX183)</f>
        <v/>
      </c>
      <c r="T182" s="21" t="str">
        <f>IF('12 - Device_Configuration'!AV183="","",'12 - Device_Configuration'!AV183)</f>
        <v/>
      </c>
      <c r="U182" s="21" t="str">
        <f>IF('12 - Device_Configuration'!AW183="","",'12 - Device_Configuration'!AW183)</f>
        <v/>
      </c>
      <c r="V182" s="21" t="str">
        <f>IF('12 - Device_Configuration'!BA183="","",'12 - Device_Configuration'!BA183)</f>
        <v/>
      </c>
      <c r="W182" s="21" t="str">
        <f>IF('12 - Device_Configuration'!BC183="","",'12 - Device_Configuration'!BC183)</f>
        <v/>
      </c>
      <c r="X182" s="21" t="str">
        <f>IF('12 - Device_Configuration'!BK183="","",'12 - Device_Configuration'!BK183)</f>
        <v/>
      </c>
      <c r="Y182" s="21" t="str">
        <f>IF('12 - Device_Configuration'!BB183="","",'12 - Device_Configuration'!BB183)</f>
        <v/>
      </c>
      <c r="Z182" s="21" t="str">
        <f>IF('12 - Device_Configuration'!P183="","",'12 - Device_Configuration'!P183)</f>
        <v/>
      </c>
      <c r="AA182" s="21" t="str">
        <f>IF('12 - Device_Configuration'!Q183="","",'12 - Device_Configuration'!Q183)</f>
        <v/>
      </c>
    </row>
    <row r="183" spans="1:27">
      <c r="A183" s="22"/>
      <c r="B183" s="22"/>
      <c r="C183" s="21" t="str">
        <f>IF('12 - Device_Configuration'!H184="","",'12 - Device_Configuration'!H184)</f>
        <v/>
      </c>
      <c r="D183" s="21" t="str">
        <f>IF('12 - Device_Configuration'!AE184="","",'12 - Device_Configuration'!AE184)</f>
        <v/>
      </c>
      <c r="E183" s="21" t="str">
        <f>IF('12 - Device_Configuration'!AF184="","",'12 - Device_Configuration'!AF184)</f>
        <v/>
      </c>
      <c r="F183" s="21" t="str">
        <f>IF('12 - Device_Configuration'!AG184="","",'12 - Device_Configuration'!AG184)</f>
        <v/>
      </c>
      <c r="G183" s="21" t="str">
        <f>IF('12 - Device_Configuration'!AH184="","",'12 - Device_Configuration'!AH184)</f>
        <v/>
      </c>
      <c r="H183" s="21" t="str">
        <f>IF('12 - Device_Configuration'!A184="","",'12 - Device_Configuration'!A184)</f>
        <v/>
      </c>
      <c r="I183" s="21" t="str">
        <f>IF('12 - Device_Configuration'!AI184="","",'12 - Device_Configuration'!AI184)</f>
        <v/>
      </c>
      <c r="J183" s="21" t="str">
        <f>IF('12 - Device_Configuration'!AJ184="","",'12 - Device_Configuration'!AJ184)</f>
        <v/>
      </c>
      <c r="K183" s="21" t="str">
        <f>IF('12 - Device_Configuration'!AA184="","",'12 - Device_Configuration'!AA184)</f>
        <v/>
      </c>
      <c r="L183" s="21" t="str">
        <f>IF('12 - Device_Configuration'!I184="","",'12 - Device_Configuration'!I184)</f>
        <v/>
      </c>
      <c r="M183" s="22"/>
      <c r="N183" s="21" t="str">
        <f>IF('12 - Device_Configuration'!J184="","",'12 - Device_Configuration'!J184)</f>
        <v/>
      </c>
      <c r="O183" s="21" t="str">
        <f>IF('12 - Device_Configuration'!K184="","",'12 - Device_Configuration'!K184)</f>
        <v/>
      </c>
      <c r="P183" s="21" t="str">
        <f>IF('12 - Device_Configuration'!L184="","",'12 - Device_Configuration'!L184)</f>
        <v/>
      </c>
      <c r="Q183" s="22"/>
      <c r="R183" s="21" t="str">
        <f>IF('12 - Device_Configuration'!AY184="","",'12 - Device_Configuration'!AY184)</f>
        <v/>
      </c>
      <c r="S183" s="21" t="str">
        <f>IF('12 - Device_Configuration'!AX184="","",'12 - Device_Configuration'!AX184)</f>
        <v/>
      </c>
      <c r="T183" s="21" t="str">
        <f>IF('12 - Device_Configuration'!AV184="","",'12 - Device_Configuration'!AV184)</f>
        <v/>
      </c>
      <c r="U183" s="21" t="str">
        <f>IF('12 - Device_Configuration'!AW184="","",'12 - Device_Configuration'!AW184)</f>
        <v/>
      </c>
      <c r="V183" s="21" t="str">
        <f>IF('12 - Device_Configuration'!BA184="","",'12 - Device_Configuration'!BA184)</f>
        <v/>
      </c>
      <c r="W183" s="21" t="str">
        <f>IF('12 - Device_Configuration'!BC184="","",'12 - Device_Configuration'!BC184)</f>
        <v/>
      </c>
      <c r="X183" s="21" t="str">
        <f>IF('12 - Device_Configuration'!BK184="","",'12 - Device_Configuration'!BK184)</f>
        <v/>
      </c>
      <c r="Y183" s="21" t="str">
        <f>IF('12 - Device_Configuration'!BB184="","",'12 - Device_Configuration'!BB184)</f>
        <v/>
      </c>
      <c r="Z183" s="21" t="str">
        <f>IF('12 - Device_Configuration'!P184="","",'12 - Device_Configuration'!P184)</f>
        <v/>
      </c>
      <c r="AA183" s="21" t="str">
        <f>IF('12 - Device_Configuration'!Q184="","",'12 - Device_Configuration'!Q184)</f>
        <v/>
      </c>
    </row>
    <row r="184" spans="1:27">
      <c r="A184" s="22"/>
      <c r="B184" s="22"/>
      <c r="C184" s="21" t="str">
        <f>IF('12 - Device_Configuration'!H185="","",'12 - Device_Configuration'!H185)</f>
        <v/>
      </c>
      <c r="D184" s="21" t="str">
        <f>IF('12 - Device_Configuration'!AE185="","",'12 - Device_Configuration'!AE185)</f>
        <v/>
      </c>
      <c r="E184" s="21" t="str">
        <f>IF('12 - Device_Configuration'!AF185="","",'12 - Device_Configuration'!AF185)</f>
        <v/>
      </c>
      <c r="F184" s="21" t="str">
        <f>IF('12 - Device_Configuration'!AG185="","",'12 - Device_Configuration'!AG185)</f>
        <v/>
      </c>
      <c r="G184" s="21" t="str">
        <f>IF('12 - Device_Configuration'!AH185="","",'12 - Device_Configuration'!AH185)</f>
        <v/>
      </c>
      <c r="H184" s="21" t="str">
        <f>IF('12 - Device_Configuration'!A185="","",'12 - Device_Configuration'!A185)</f>
        <v/>
      </c>
      <c r="I184" s="21" t="str">
        <f>IF('12 - Device_Configuration'!AI185="","",'12 - Device_Configuration'!AI185)</f>
        <v/>
      </c>
      <c r="J184" s="21" t="str">
        <f>IF('12 - Device_Configuration'!AJ185="","",'12 - Device_Configuration'!AJ185)</f>
        <v/>
      </c>
      <c r="K184" s="21" t="str">
        <f>IF('12 - Device_Configuration'!AA185="","",'12 - Device_Configuration'!AA185)</f>
        <v/>
      </c>
      <c r="L184" s="21" t="str">
        <f>IF('12 - Device_Configuration'!I185="","",'12 - Device_Configuration'!I185)</f>
        <v/>
      </c>
      <c r="M184" s="22"/>
      <c r="N184" s="21" t="str">
        <f>IF('12 - Device_Configuration'!J185="","",'12 - Device_Configuration'!J185)</f>
        <v/>
      </c>
      <c r="O184" s="21" t="str">
        <f>IF('12 - Device_Configuration'!K185="","",'12 - Device_Configuration'!K185)</f>
        <v/>
      </c>
      <c r="P184" s="21" t="str">
        <f>IF('12 - Device_Configuration'!L185="","",'12 - Device_Configuration'!L185)</f>
        <v/>
      </c>
      <c r="Q184" s="22"/>
      <c r="R184" s="21" t="str">
        <f>IF('12 - Device_Configuration'!AY185="","",'12 - Device_Configuration'!AY185)</f>
        <v/>
      </c>
      <c r="S184" s="21" t="str">
        <f>IF('12 - Device_Configuration'!AX185="","",'12 - Device_Configuration'!AX185)</f>
        <v/>
      </c>
      <c r="T184" s="21" t="str">
        <f>IF('12 - Device_Configuration'!AV185="","",'12 - Device_Configuration'!AV185)</f>
        <v/>
      </c>
      <c r="U184" s="21" t="str">
        <f>IF('12 - Device_Configuration'!AW185="","",'12 - Device_Configuration'!AW185)</f>
        <v/>
      </c>
      <c r="V184" s="21" t="str">
        <f>IF('12 - Device_Configuration'!BA185="","",'12 - Device_Configuration'!BA185)</f>
        <v/>
      </c>
      <c r="W184" s="21" t="str">
        <f>IF('12 - Device_Configuration'!BC185="","",'12 - Device_Configuration'!BC185)</f>
        <v/>
      </c>
      <c r="X184" s="21" t="str">
        <f>IF('12 - Device_Configuration'!BK185="","",'12 - Device_Configuration'!BK185)</f>
        <v/>
      </c>
      <c r="Y184" s="21" t="str">
        <f>IF('12 - Device_Configuration'!BB185="","",'12 - Device_Configuration'!BB185)</f>
        <v/>
      </c>
      <c r="Z184" s="21" t="str">
        <f>IF('12 - Device_Configuration'!P185="","",'12 - Device_Configuration'!P185)</f>
        <v/>
      </c>
      <c r="AA184" s="21" t="str">
        <f>IF('12 - Device_Configuration'!Q185="","",'12 - Device_Configuration'!Q185)</f>
        <v/>
      </c>
    </row>
    <row r="185" spans="1:27">
      <c r="A185" s="22"/>
      <c r="B185" s="22"/>
      <c r="C185" s="21" t="str">
        <f>IF('12 - Device_Configuration'!H186="","",'12 - Device_Configuration'!H186)</f>
        <v/>
      </c>
      <c r="D185" s="21" t="str">
        <f>IF('12 - Device_Configuration'!AE186="","",'12 - Device_Configuration'!AE186)</f>
        <v/>
      </c>
      <c r="E185" s="21" t="str">
        <f>IF('12 - Device_Configuration'!AF186="","",'12 - Device_Configuration'!AF186)</f>
        <v/>
      </c>
      <c r="F185" s="21" t="str">
        <f>IF('12 - Device_Configuration'!AG186="","",'12 - Device_Configuration'!AG186)</f>
        <v/>
      </c>
      <c r="G185" s="21" t="str">
        <f>IF('12 - Device_Configuration'!AH186="","",'12 - Device_Configuration'!AH186)</f>
        <v/>
      </c>
      <c r="H185" s="21" t="str">
        <f>IF('12 - Device_Configuration'!A186="","",'12 - Device_Configuration'!A186)</f>
        <v/>
      </c>
      <c r="I185" s="21" t="str">
        <f>IF('12 - Device_Configuration'!AI186="","",'12 - Device_Configuration'!AI186)</f>
        <v/>
      </c>
      <c r="J185" s="21" t="str">
        <f>IF('12 - Device_Configuration'!AJ186="","",'12 - Device_Configuration'!AJ186)</f>
        <v/>
      </c>
      <c r="K185" s="21" t="str">
        <f>IF('12 - Device_Configuration'!AA186="","",'12 - Device_Configuration'!AA186)</f>
        <v/>
      </c>
      <c r="L185" s="21" t="str">
        <f>IF('12 - Device_Configuration'!I186="","",'12 - Device_Configuration'!I186)</f>
        <v/>
      </c>
      <c r="M185" s="22"/>
      <c r="N185" s="21" t="str">
        <f>IF('12 - Device_Configuration'!J186="","",'12 - Device_Configuration'!J186)</f>
        <v/>
      </c>
      <c r="O185" s="21" t="str">
        <f>IF('12 - Device_Configuration'!K186="","",'12 - Device_Configuration'!K186)</f>
        <v/>
      </c>
      <c r="P185" s="21" t="str">
        <f>IF('12 - Device_Configuration'!L186="","",'12 - Device_Configuration'!L186)</f>
        <v/>
      </c>
      <c r="Q185" s="22"/>
      <c r="R185" s="21" t="str">
        <f>IF('12 - Device_Configuration'!AY186="","",'12 - Device_Configuration'!AY186)</f>
        <v/>
      </c>
      <c r="S185" s="21" t="str">
        <f>IF('12 - Device_Configuration'!AX186="","",'12 - Device_Configuration'!AX186)</f>
        <v/>
      </c>
      <c r="T185" s="21" t="str">
        <f>IF('12 - Device_Configuration'!AV186="","",'12 - Device_Configuration'!AV186)</f>
        <v/>
      </c>
      <c r="U185" s="21" t="str">
        <f>IF('12 - Device_Configuration'!AW186="","",'12 - Device_Configuration'!AW186)</f>
        <v/>
      </c>
      <c r="V185" s="21" t="str">
        <f>IF('12 - Device_Configuration'!BA186="","",'12 - Device_Configuration'!BA186)</f>
        <v/>
      </c>
      <c r="W185" s="21" t="str">
        <f>IF('12 - Device_Configuration'!BC186="","",'12 - Device_Configuration'!BC186)</f>
        <v/>
      </c>
      <c r="X185" s="21" t="str">
        <f>IF('12 - Device_Configuration'!BK186="","",'12 - Device_Configuration'!BK186)</f>
        <v/>
      </c>
      <c r="Y185" s="21" t="str">
        <f>IF('12 - Device_Configuration'!BB186="","",'12 - Device_Configuration'!BB186)</f>
        <v/>
      </c>
      <c r="Z185" s="21" t="str">
        <f>IF('12 - Device_Configuration'!P186="","",'12 - Device_Configuration'!P186)</f>
        <v/>
      </c>
      <c r="AA185" s="21" t="str">
        <f>IF('12 - Device_Configuration'!Q186="","",'12 - Device_Configuration'!Q186)</f>
        <v/>
      </c>
    </row>
    <row r="186" spans="1:27">
      <c r="A186" s="22"/>
      <c r="B186" s="22"/>
      <c r="C186" s="21" t="str">
        <f>IF('12 - Device_Configuration'!H187="","",'12 - Device_Configuration'!H187)</f>
        <v/>
      </c>
      <c r="D186" s="21" t="str">
        <f>IF('12 - Device_Configuration'!AE187="","",'12 - Device_Configuration'!AE187)</f>
        <v/>
      </c>
      <c r="E186" s="21" t="str">
        <f>IF('12 - Device_Configuration'!AF187="","",'12 - Device_Configuration'!AF187)</f>
        <v/>
      </c>
      <c r="F186" s="21" t="str">
        <f>IF('12 - Device_Configuration'!AG187="","",'12 - Device_Configuration'!AG187)</f>
        <v/>
      </c>
      <c r="G186" s="21" t="str">
        <f>IF('12 - Device_Configuration'!AH187="","",'12 - Device_Configuration'!AH187)</f>
        <v/>
      </c>
      <c r="H186" s="21" t="str">
        <f>IF('12 - Device_Configuration'!A187="","",'12 - Device_Configuration'!A187)</f>
        <v/>
      </c>
      <c r="I186" s="21" t="str">
        <f>IF('12 - Device_Configuration'!AI187="","",'12 - Device_Configuration'!AI187)</f>
        <v/>
      </c>
      <c r="J186" s="21" t="str">
        <f>IF('12 - Device_Configuration'!AJ187="","",'12 - Device_Configuration'!AJ187)</f>
        <v/>
      </c>
      <c r="K186" s="21" t="str">
        <f>IF('12 - Device_Configuration'!AA187="","",'12 - Device_Configuration'!AA187)</f>
        <v/>
      </c>
      <c r="L186" s="21" t="str">
        <f>IF('12 - Device_Configuration'!I187="","",'12 - Device_Configuration'!I187)</f>
        <v/>
      </c>
      <c r="M186" s="22"/>
      <c r="N186" s="21" t="str">
        <f>IF('12 - Device_Configuration'!J187="","",'12 - Device_Configuration'!J187)</f>
        <v/>
      </c>
      <c r="O186" s="21" t="str">
        <f>IF('12 - Device_Configuration'!K187="","",'12 - Device_Configuration'!K187)</f>
        <v/>
      </c>
      <c r="P186" s="21" t="str">
        <f>IF('12 - Device_Configuration'!L187="","",'12 - Device_Configuration'!L187)</f>
        <v/>
      </c>
      <c r="Q186" s="22"/>
      <c r="R186" s="21" t="str">
        <f>IF('12 - Device_Configuration'!AY187="","",'12 - Device_Configuration'!AY187)</f>
        <v/>
      </c>
      <c r="S186" s="21" t="str">
        <f>IF('12 - Device_Configuration'!AX187="","",'12 - Device_Configuration'!AX187)</f>
        <v/>
      </c>
      <c r="T186" s="21" t="str">
        <f>IF('12 - Device_Configuration'!AV187="","",'12 - Device_Configuration'!AV187)</f>
        <v/>
      </c>
      <c r="U186" s="21" t="str">
        <f>IF('12 - Device_Configuration'!AW187="","",'12 - Device_Configuration'!AW187)</f>
        <v/>
      </c>
      <c r="V186" s="21" t="str">
        <f>IF('12 - Device_Configuration'!BA187="","",'12 - Device_Configuration'!BA187)</f>
        <v/>
      </c>
      <c r="W186" s="21" t="str">
        <f>IF('12 - Device_Configuration'!BC187="","",'12 - Device_Configuration'!BC187)</f>
        <v/>
      </c>
      <c r="X186" s="21" t="str">
        <f>IF('12 - Device_Configuration'!BK187="","",'12 - Device_Configuration'!BK187)</f>
        <v/>
      </c>
      <c r="Y186" s="21" t="str">
        <f>IF('12 - Device_Configuration'!BB187="","",'12 - Device_Configuration'!BB187)</f>
        <v/>
      </c>
      <c r="Z186" s="21" t="str">
        <f>IF('12 - Device_Configuration'!P187="","",'12 - Device_Configuration'!P187)</f>
        <v/>
      </c>
      <c r="AA186" s="21" t="str">
        <f>IF('12 - Device_Configuration'!Q187="","",'12 - Device_Configuration'!Q187)</f>
        <v/>
      </c>
    </row>
    <row r="187" spans="1:27">
      <c r="A187" s="22"/>
      <c r="B187" s="22"/>
      <c r="C187" s="21" t="str">
        <f>IF('12 - Device_Configuration'!H188="","",'12 - Device_Configuration'!H188)</f>
        <v/>
      </c>
      <c r="D187" s="21" t="str">
        <f>IF('12 - Device_Configuration'!AE188="","",'12 - Device_Configuration'!AE188)</f>
        <v/>
      </c>
      <c r="E187" s="21" t="str">
        <f>IF('12 - Device_Configuration'!AF188="","",'12 - Device_Configuration'!AF188)</f>
        <v/>
      </c>
      <c r="F187" s="21" t="str">
        <f>IF('12 - Device_Configuration'!AG188="","",'12 - Device_Configuration'!AG188)</f>
        <v/>
      </c>
      <c r="G187" s="21" t="str">
        <f>IF('12 - Device_Configuration'!AH188="","",'12 - Device_Configuration'!AH188)</f>
        <v/>
      </c>
      <c r="H187" s="21" t="str">
        <f>IF('12 - Device_Configuration'!A188="","",'12 - Device_Configuration'!A188)</f>
        <v/>
      </c>
      <c r="I187" s="21" t="str">
        <f>IF('12 - Device_Configuration'!AI188="","",'12 - Device_Configuration'!AI188)</f>
        <v/>
      </c>
      <c r="J187" s="21" t="str">
        <f>IF('12 - Device_Configuration'!AJ188="","",'12 - Device_Configuration'!AJ188)</f>
        <v/>
      </c>
      <c r="K187" s="21" t="str">
        <f>IF('12 - Device_Configuration'!AA188="","",'12 - Device_Configuration'!AA188)</f>
        <v/>
      </c>
      <c r="L187" s="21" t="str">
        <f>IF('12 - Device_Configuration'!I188="","",'12 - Device_Configuration'!I188)</f>
        <v/>
      </c>
      <c r="M187" s="22"/>
      <c r="N187" s="21" t="str">
        <f>IF('12 - Device_Configuration'!J188="","",'12 - Device_Configuration'!J188)</f>
        <v/>
      </c>
      <c r="O187" s="21" t="str">
        <f>IF('12 - Device_Configuration'!K188="","",'12 - Device_Configuration'!K188)</f>
        <v/>
      </c>
      <c r="P187" s="21" t="str">
        <f>IF('12 - Device_Configuration'!L188="","",'12 - Device_Configuration'!L188)</f>
        <v/>
      </c>
      <c r="Q187" s="22"/>
      <c r="R187" s="21" t="str">
        <f>IF('12 - Device_Configuration'!AY188="","",'12 - Device_Configuration'!AY188)</f>
        <v/>
      </c>
      <c r="S187" s="21" t="str">
        <f>IF('12 - Device_Configuration'!AX188="","",'12 - Device_Configuration'!AX188)</f>
        <v/>
      </c>
      <c r="T187" s="21" t="str">
        <f>IF('12 - Device_Configuration'!AV188="","",'12 - Device_Configuration'!AV188)</f>
        <v/>
      </c>
      <c r="U187" s="21" t="str">
        <f>IF('12 - Device_Configuration'!AW188="","",'12 - Device_Configuration'!AW188)</f>
        <v/>
      </c>
      <c r="V187" s="21" t="str">
        <f>IF('12 - Device_Configuration'!BA188="","",'12 - Device_Configuration'!BA188)</f>
        <v/>
      </c>
      <c r="W187" s="21" t="str">
        <f>IF('12 - Device_Configuration'!BC188="","",'12 - Device_Configuration'!BC188)</f>
        <v/>
      </c>
      <c r="X187" s="21" t="str">
        <f>IF('12 - Device_Configuration'!BK188="","",'12 - Device_Configuration'!BK188)</f>
        <v/>
      </c>
      <c r="Y187" s="21" t="str">
        <f>IF('12 - Device_Configuration'!BB188="","",'12 - Device_Configuration'!BB188)</f>
        <v/>
      </c>
      <c r="Z187" s="21" t="str">
        <f>IF('12 - Device_Configuration'!P188="","",'12 - Device_Configuration'!P188)</f>
        <v/>
      </c>
      <c r="AA187" s="21" t="str">
        <f>IF('12 - Device_Configuration'!Q188="","",'12 - Device_Configuration'!Q188)</f>
        <v/>
      </c>
    </row>
    <row r="188" spans="1:27">
      <c r="A188" s="22"/>
      <c r="B188" s="22"/>
      <c r="C188" s="21" t="str">
        <f>IF('12 - Device_Configuration'!H189="","",'12 - Device_Configuration'!H189)</f>
        <v/>
      </c>
      <c r="D188" s="21" t="str">
        <f>IF('12 - Device_Configuration'!AE189="","",'12 - Device_Configuration'!AE189)</f>
        <v/>
      </c>
      <c r="E188" s="21" t="str">
        <f>IF('12 - Device_Configuration'!AF189="","",'12 - Device_Configuration'!AF189)</f>
        <v/>
      </c>
      <c r="F188" s="21" t="str">
        <f>IF('12 - Device_Configuration'!AG189="","",'12 - Device_Configuration'!AG189)</f>
        <v/>
      </c>
      <c r="G188" s="21" t="str">
        <f>IF('12 - Device_Configuration'!AH189="","",'12 - Device_Configuration'!AH189)</f>
        <v/>
      </c>
      <c r="H188" s="21" t="str">
        <f>IF('12 - Device_Configuration'!A189="","",'12 - Device_Configuration'!A189)</f>
        <v/>
      </c>
      <c r="I188" s="21" t="str">
        <f>IF('12 - Device_Configuration'!AI189="","",'12 - Device_Configuration'!AI189)</f>
        <v/>
      </c>
      <c r="J188" s="21" t="str">
        <f>IF('12 - Device_Configuration'!AJ189="","",'12 - Device_Configuration'!AJ189)</f>
        <v/>
      </c>
      <c r="K188" s="21" t="str">
        <f>IF('12 - Device_Configuration'!AA189="","",'12 - Device_Configuration'!AA189)</f>
        <v/>
      </c>
      <c r="L188" s="21" t="str">
        <f>IF('12 - Device_Configuration'!I189="","",'12 - Device_Configuration'!I189)</f>
        <v/>
      </c>
      <c r="M188" s="22"/>
      <c r="N188" s="21" t="str">
        <f>IF('12 - Device_Configuration'!J189="","",'12 - Device_Configuration'!J189)</f>
        <v/>
      </c>
      <c r="O188" s="21" t="str">
        <f>IF('12 - Device_Configuration'!K189="","",'12 - Device_Configuration'!K189)</f>
        <v/>
      </c>
      <c r="P188" s="21" t="str">
        <f>IF('12 - Device_Configuration'!L189="","",'12 - Device_Configuration'!L189)</f>
        <v/>
      </c>
      <c r="Q188" s="22"/>
      <c r="R188" s="21" t="str">
        <f>IF('12 - Device_Configuration'!AY189="","",'12 - Device_Configuration'!AY189)</f>
        <v/>
      </c>
      <c r="S188" s="21" t="str">
        <f>IF('12 - Device_Configuration'!AX189="","",'12 - Device_Configuration'!AX189)</f>
        <v/>
      </c>
      <c r="T188" s="21" t="str">
        <f>IF('12 - Device_Configuration'!AV189="","",'12 - Device_Configuration'!AV189)</f>
        <v/>
      </c>
      <c r="U188" s="21" t="str">
        <f>IF('12 - Device_Configuration'!AW189="","",'12 - Device_Configuration'!AW189)</f>
        <v/>
      </c>
      <c r="V188" s="21" t="str">
        <f>IF('12 - Device_Configuration'!BA189="","",'12 - Device_Configuration'!BA189)</f>
        <v/>
      </c>
      <c r="W188" s="21" t="str">
        <f>IF('12 - Device_Configuration'!BC189="","",'12 - Device_Configuration'!BC189)</f>
        <v/>
      </c>
      <c r="X188" s="21" t="str">
        <f>IF('12 - Device_Configuration'!BK189="","",'12 - Device_Configuration'!BK189)</f>
        <v/>
      </c>
      <c r="Y188" s="21" t="str">
        <f>IF('12 - Device_Configuration'!BB189="","",'12 - Device_Configuration'!BB189)</f>
        <v/>
      </c>
      <c r="Z188" s="21" t="str">
        <f>IF('12 - Device_Configuration'!P189="","",'12 - Device_Configuration'!P189)</f>
        <v/>
      </c>
      <c r="AA188" s="21" t="str">
        <f>IF('12 - Device_Configuration'!Q189="","",'12 - Device_Configuration'!Q189)</f>
        <v/>
      </c>
    </row>
    <row r="189" spans="1:27">
      <c r="A189" s="22"/>
      <c r="B189" s="22"/>
      <c r="C189" s="21" t="str">
        <f>IF('12 - Device_Configuration'!H190="","",'12 - Device_Configuration'!H190)</f>
        <v/>
      </c>
      <c r="D189" s="21" t="str">
        <f>IF('12 - Device_Configuration'!AE190="","",'12 - Device_Configuration'!AE190)</f>
        <v/>
      </c>
      <c r="E189" s="21" t="str">
        <f>IF('12 - Device_Configuration'!AF190="","",'12 - Device_Configuration'!AF190)</f>
        <v/>
      </c>
      <c r="F189" s="21" t="str">
        <f>IF('12 - Device_Configuration'!AG190="","",'12 - Device_Configuration'!AG190)</f>
        <v/>
      </c>
      <c r="G189" s="21" t="str">
        <f>IF('12 - Device_Configuration'!AH190="","",'12 - Device_Configuration'!AH190)</f>
        <v/>
      </c>
      <c r="H189" s="21" t="str">
        <f>IF('12 - Device_Configuration'!A190="","",'12 - Device_Configuration'!A190)</f>
        <v/>
      </c>
      <c r="I189" s="21" t="str">
        <f>IF('12 - Device_Configuration'!AI190="","",'12 - Device_Configuration'!AI190)</f>
        <v/>
      </c>
      <c r="J189" s="21" t="str">
        <f>IF('12 - Device_Configuration'!AJ190="","",'12 - Device_Configuration'!AJ190)</f>
        <v/>
      </c>
      <c r="K189" s="21" t="str">
        <f>IF('12 - Device_Configuration'!AA190="","",'12 - Device_Configuration'!AA190)</f>
        <v/>
      </c>
      <c r="L189" s="21" t="str">
        <f>IF('12 - Device_Configuration'!I190="","",'12 - Device_Configuration'!I190)</f>
        <v/>
      </c>
      <c r="M189" s="22"/>
      <c r="N189" s="21" t="str">
        <f>IF('12 - Device_Configuration'!J190="","",'12 - Device_Configuration'!J190)</f>
        <v/>
      </c>
      <c r="O189" s="21" t="str">
        <f>IF('12 - Device_Configuration'!K190="","",'12 - Device_Configuration'!K190)</f>
        <v/>
      </c>
      <c r="P189" s="21" t="str">
        <f>IF('12 - Device_Configuration'!L190="","",'12 - Device_Configuration'!L190)</f>
        <v/>
      </c>
      <c r="Q189" s="22"/>
      <c r="R189" s="21" t="str">
        <f>IF('12 - Device_Configuration'!AY190="","",'12 - Device_Configuration'!AY190)</f>
        <v/>
      </c>
      <c r="S189" s="21" t="str">
        <f>IF('12 - Device_Configuration'!AX190="","",'12 - Device_Configuration'!AX190)</f>
        <v/>
      </c>
      <c r="T189" s="21" t="str">
        <f>IF('12 - Device_Configuration'!AV190="","",'12 - Device_Configuration'!AV190)</f>
        <v/>
      </c>
      <c r="U189" s="21" t="str">
        <f>IF('12 - Device_Configuration'!AW190="","",'12 - Device_Configuration'!AW190)</f>
        <v/>
      </c>
      <c r="V189" s="21" t="str">
        <f>IF('12 - Device_Configuration'!BA190="","",'12 - Device_Configuration'!BA190)</f>
        <v/>
      </c>
      <c r="W189" s="21" t="str">
        <f>IF('12 - Device_Configuration'!BC190="","",'12 - Device_Configuration'!BC190)</f>
        <v/>
      </c>
      <c r="X189" s="21" t="str">
        <f>IF('12 - Device_Configuration'!BK190="","",'12 - Device_Configuration'!BK190)</f>
        <v/>
      </c>
      <c r="Y189" s="21" t="str">
        <f>IF('12 - Device_Configuration'!BB190="","",'12 - Device_Configuration'!BB190)</f>
        <v/>
      </c>
      <c r="Z189" s="21" t="str">
        <f>IF('12 - Device_Configuration'!P190="","",'12 - Device_Configuration'!P190)</f>
        <v/>
      </c>
      <c r="AA189" s="21" t="str">
        <f>IF('12 - Device_Configuration'!Q190="","",'12 - Device_Configuration'!Q190)</f>
        <v/>
      </c>
    </row>
    <row r="190" spans="1:27">
      <c r="A190" s="22"/>
      <c r="B190" s="22"/>
      <c r="C190" s="21" t="str">
        <f>IF('12 - Device_Configuration'!H191="","",'12 - Device_Configuration'!H191)</f>
        <v/>
      </c>
      <c r="D190" s="21" t="str">
        <f>IF('12 - Device_Configuration'!AE191="","",'12 - Device_Configuration'!AE191)</f>
        <v/>
      </c>
      <c r="E190" s="21" t="str">
        <f>IF('12 - Device_Configuration'!AF191="","",'12 - Device_Configuration'!AF191)</f>
        <v/>
      </c>
      <c r="F190" s="21" t="str">
        <f>IF('12 - Device_Configuration'!AG191="","",'12 - Device_Configuration'!AG191)</f>
        <v/>
      </c>
      <c r="G190" s="21" t="str">
        <f>IF('12 - Device_Configuration'!AH191="","",'12 - Device_Configuration'!AH191)</f>
        <v/>
      </c>
      <c r="H190" s="21" t="str">
        <f>IF('12 - Device_Configuration'!A191="","",'12 - Device_Configuration'!A191)</f>
        <v/>
      </c>
      <c r="I190" s="21" t="str">
        <f>IF('12 - Device_Configuration'!AI191="","",'12 - Device_Configuration'!AI191)</f>
        <v/>
      </c>
      <c r="J190" s="21" t="str">
        <f>IF('12 - Device_Configuration'!AJ191="","",'12 - Device_Configuration'!AJ191)</f>
        <v/>
      </c>
      <c r="K190" s="21" t="str">
        <f>IF('12 - Device_Configuration'!AA191="","",'12 - Device_Configuration'!AA191)</f>
        <v/>
      </c>
      <c r="L190" s="21" t="str">
        <f>IF('12 - Device_Configuration'!I191="","",'12 - Device_Configuration'!I191)</f>
        <v/>
      </c>
      <c r="M190" s="22"/>
      <c r="N190" s="21" t="str">
        <f>IF('12 - Device_Configuration'!J191="","",'12 - Device_Configuration'!J191)</f>
        <v/>
      </c>
      <c r="O190" s="21" t="str">
        <f>IF('12 - Device_Configuration'!K191="","",'12 - Device_Configuration'!K191)</f>
        <v/>
      </c>
      <c r="P190" s="21" t="str">
        <f>IF('12 - Device_Configuration'!L191="","",'12 - Device_Configuration'!L191)</f>
        <v/>
      </c>
      <c r="Q190" s="22"/>
      <c r="R190" s="21" t="str">
        <f>IF('12 - Device_Configuration'!AY191="","",'12 - Device_Configuration'!AY191)</f>
        <v/>
      </c>
      <c r="S190" s="21" t="str">
        <f>IF('12 - Device_Configuration'!AX191="","",'12 - Device_Configuration'!AX191)</f>
        <v/>
      </c>
      <c r="T190" s="21" t="str">
        <f>IF('12 - Device_Configuration'!AV191="","",'12 - Device_Configuration'!AV191)</f>
        <v/>
      </c>
      <c r="U190" s="21" t="str">
        <f>IF('12 - Device_Configuration'!AW191="","",'12 - Device_Configuration'!AW191)</f>
        <v/>
      </c>
      <c r="V190" s="21" t="str">
        <f>IF('12 - Device_Configuration'!BA191="","",'12 - Device_Configuration'!BA191)</f>
        <v/>
      </c>
      <c r="W190" s="21" t="str">
        <f>IF('12 - Device_Configuration'!BC191="","",'12 - Device_Configuration'!BC191)</f>
        <v/>
      </c>
      <c r="X190" s="21" t="str">
        <f>IF('12 - Device_Configuration'!BK191="","",'12 - Device_Configuration'!BK191)</f>
        <v/>
      </c>
      <c r="Y190" s="21" t="str">
        <f>IF('12 - Device_Configuration'!BB191="","",'12 - Device_Configuration'!BB191)</f>
        <v/>
      </c>
      <c r="Z190" s="21" t="str">
        <f>IF('12 - Device_Configuration'!P191="","",'12 - Device_Configuration'!P191)</f>
        <v/>
      </c>
      <c r="AA190" s="21" t="str">
        <f>IF('12 - Device_Configuration'!Q191="","",'12 - Device_Configuration'!Q191)</f>
        <v/>
      </c>
    </row>
    <row r="191" spans="1:27">
      <c r="A191" s="22"/>
      <c r="B191" s="22"/>
      <c r="C191" s="21" t="str">
        <f>IF('12 - Device_Configuration'!H192="","",'12 - Device_Configuration'!H192)</f>
        <v/>
      </c>
      <c r="D191" s="21" t="str">
        <f>IF('12 - Device_Configuration'!AE192="","",'12 - Device_Configuration'!AE192)</f>
        <v/>
      </c>
      <c r="E191" s="21" t="str">
        <f>IF('12 - Device_Configuration'!AF192="","",'12 - Device_Configuration'!AF192)</f>
        <v/>
      </c>
      <c r="F191" s="21" t="str">
        <f>IF('12 - Device_Configuration'!AG192="","",'12 - Device_Configuration'!AG192)</f>
        <v/>
      </c>
      <c r="G191" s="21" t="str">
        <f>IF('12 - Device_Configuration'!AH192="","",'12 - Device_Configuration'!AH192)</f>
        <v/>
      </c>
      <c r="H191" s="21" t="str">
        <f>IF('12 - Device_Configuration'!A192="","",'12 - Device_Configuration'!A192)</f>
        <v/>
      </c>
      <c r="I191" s="21" t="str">
        <f>IF('12 - Device_Configuration'!AI192="","",'12 - Device_Configuration'!AI192)</f>
        <v/>
      </c>
      <c r="J191" s="21" t="str">
        <f>IF('12 - Device_Configuration'!AJ192="","",'12 - Device_Configuration'!AJ192)</f>
        <v/>
      </c>
      <c r="K191" s="21" t="str">
        <f>IF('12 - Device_Configuration'!AA192="","",'12 - Device_Configuration'!AA192)</f>
        <v/>
      </c>
      <c r="L191" s="21" t="str">
        <f>IF('12 - Device_Configuration'!I192="","",'12 - Device_Configuration'!I192)</f>
        <v/>
      </c>
      <c r="M191" s="22"/>
      <c r="N191" s="21" t="str">
        <f>IF('12 - Device_Configuration'!J192="","",'12 - Device_Configuration'!J192)</f>
        <v/>
      </c>
      <c r="O191" s="21" t="str">
        <f>IF('12 - Device_Configuration'!K192="","",'12 - Device_Configuration'!K192)</f>
        <v/>
      </c>
      <c r="P191" s="21" t="str">
        <f>IF('12 - Device_Configuration'!L192="","",'12 - Device_Configuration'!L192)</f>
        <v/>
      </c>
      <c r="Q191" s="22"/>
      <c r="R191" s="21" t="str">
        <f>IF('12 - Device_Configuration'!AY192="","",'12 - Device_Configuration'!AY192)</f>
        <v/>
      </c>
      <c r="S191" s="21" t="str">
        <f>IF('12 - Device_Configuration'!AX192="","",'12 - Device_Configuration'!AX192)</f>
        <v/>
      </c>
      <c r="T191" s="21" t="str">
        <f>IF('12 - Device_Configuration'!AV192="","",'12 - Device_Configuration'!AV192)</f>
        <v/>
      </c>
      <c r="U191" s="21" t="str">
        <f>IF('12 - Device_Configuration'!AW192="","",'12 - Device_Configuration'!AW192)</f>
        <v/>
      </c>
      <c r="V191" s="21" t="str">
        <f>IF('12 - Device_Configuration'!BA192="","",'12 - Device_Configuration'!BA192)</f>
        <v/>
      </c>
      <c r="W191" s="21" t="str">
        <f>IF('12 - Device_Configuration'!BC192="","",'12 - Device_Configuration'!BC192)</f>
        <v/>
      </c>
      <c r="X191" s="21" t="str">
        <f>IF('12 - Device_Configuration'!BK192="","",'12 - Device_Configuration'!BK192)</f>
        <v/>
      </c>
      <c r="Y191" s="21" t="str">
        <f>IF('12 - Device_Configuration'!BB192="","",'12 - Device_Configuration'!BB192)</f>
        <v/>
      </c>
      <c r="Z191" s="21" t="str">
        <f>IF('12 - Device_Configuration'!P192="","",'12 - Device_Configuration'!P192)</f>
        <v/>
      </c>
      <c r="AA191" s="21" t="str">
        <f>IF('12 - Device_Configuration'!Q192="","",'12 - Device_Configuration'!Q192)</f>
        <v/>
      </c>
    </row>
    <row r="192" spans="1:27">
      <c r="A192" s="22"/>
      <c r="B192" s="22"/>
      <c r="C192" s="21" t="str">
        <f>IF('12 - Device_Configuration'!H193="","",'12 - Device_Configuration'!H193)</f>
        <v/>
      </c>
      <c r="D192" s="21" t="str">
        <f>IF('12 - Device_Configuration'!AE193="","",'12 - Device_Configuration'!AE193)</f>
        <v/>
      </c>
      <c r="E192" s="21" t="str">
        <f>IF('12 - Device_Configuration'!AF193="","",'12 - Device_Configuration'!AF193)</f>
        <v/>
      </c>
      <c r="F192" s="21" t="str">
        <f>IF('12 - Device_Configuration'!AG193="","",'12 - Device_Configuration'!AG193)</f>
        <v/>
      </c>
      <c r="G192" s="21" t="str">
        <f>IF('12 - Device_Configuration'!AH193="","",'12 - Device_Configuration'!AH193)</f>
        <v/>
      </c>
      <c r="H192" s="21" t="str">
        <f>IF('12 - Device_Configuration'!A193="","",'12 - Device_Configuration'!A193)</f>
        <v/>
      </c>
      <c r="I192" s="21" t="str">
        <f>IF('12 - Device_Configuration'!AI193="","",'12 - Device_Configuration'!AI193)</f>
        <v/>
      </c>
      <c r="J192" s="21" t="str">
        <f>IF('12 - Device_Configuration'!AJ193="","",'12 - Device_Configuration'!AJ193)</f>
        <v/>
      </c>
      <c r="K192" s="21" t="str">
        <f>IF('12 - Device_Configuration'!AA193="","",'12 - Device_Configuration'!AA193)</f>
        <v/>
      </c>
      <c r="L192" s="21" t="str">
        <f>IF('12 - Device_Configuration'!I193="","",'12 - Device_Configuration'!I193)</f>
        <v/>
      </c>
      <c r="M192" s="22"/>
      <c r="N192" s="21" t="str">
        <f>IF('12 - Device_Configuration'!J193="","",'12 - Device_Configuration'!J193)</f>
        <v/>
      </c>
      <c r="O192" s="21" t="str">
        <f>IF('12 - Device_Configuration'!K193="","",'12 - Device_Configuration'!K193)</f>
        <v/>
      </c>
      <c r="P192" s="21" t="str">
        <f>IF('12 - Device_Configuration'!L193="","",'12 - Device_Configuration'!L193)</f>
        <v/>
      </c>
      <c r="Q192" s="22"/>
      <c r="R192" s="21" t="str">
        <f>IF('12 - Device_Configuration'!AY193="","",'12 - Device_Configuration'!AY193)</f>
        <v/>
      </c>
      <c r="S192" s="21" t="str">
        <f>IF('12 - Device_Configuration'!AX193="","",'12 - Device_Configuration'!AX193)</f>
        <v/>
      </c>
      <c r="T192" s="21" t="str">
        <f>IF('12 - Device_Configuration'!AV193="","",'12 - Device_Configuration'!AV193)</f>
        <v/>
      </c>
      <c r="U192" s="21" t="str">
        <f>IF('12 - Device_Configuration'!AW193="","",'12 - Device_Configuration'!AW193)</f>
        <v/>
      </c>
      <c r="V192" s="21" t="str">
        <f>IF('12 - Device_Configuration'!BA193="","",'12 - Device_Configuration'!BA193)</f>
        <v/>
      </c>
      <c r="W192" s="21" t="str">
        <f>IF('12 - Device_Configuration'!BC193="","",'12 - Device_Configuration'!BC193)</f>
        <v/>
      </c>
      <c r="X192" s="21" t="str">
        <f>IF('12 - Device_Configuration'!BK193="","",'12 - Device_Configuration'!BK193)</f>
        <v/>
      </c>
      <c r="Y192" s="21" t="str">
        <f>IF('12 - Device_Configuration'!BB193="","",'12 - Device_Configuration'!BB193)</f>
        <v/>
      </c>
      <c r="Z192" s="21" t="str">
        <f>IF('12 - Device_Configuration'!P193="","",'12 - Device_Configuration'!P193)</f>
        <v/>
      </c>
      <c r="AA192" s="21" t="str">
        <f>IF('12 - Device_Configuration'!Q193="","",'12 - Device_Configuration'!Q193)</f>
        <v/>
      </c>
    </row>
    <row r="193" spans="1:27">
      <c r="A193" s="22"/>
      <c r="B193" s="22"/>
      <c r="C193" s="21" t="str">
        <f>IF('12 - Device_Configuration'!H194="","",'12 - Device_Configuration'!H194)</f>
        <v/>
      </c>
      <c r="D193" s="21" t="str">
        <f>IF('12 - Device_Configuration'!AE194="","",'12 - Device_Configuration'!AE194)</f>
        <v/>
      </c>
      <c r="E193" s="21" t="str">
        <f>IF('12 - Device_Configuration'!AF194="","",'12 - Device_Configuration'!AF194)</f>
        <v/>
      </c>
      <c r="F193" s="21" t="str">
        <f>IF('12 - Device_Configuration'!AG194="","",'12 - Device_Configuration'!AG194)</f>
        <v/>
      </c>
      <c r="G193" s="21" t="str">
        <f>IF('12 - Device_Configuration'!AH194="","",'12 - Device_Configuration'!AH194)</f>
        <v/>
      </c>
      <c r="H193" s="21" t="str">
        <f>IF('12 - Device_Configuration'!A194="","",'12 - Device_Configuration'!A194)</f>
        <v/>
      </c>
      <c r="I193" s="21" t="str">
        <f>IF('12 - Device_Configuration'!AI194="","",'12 - Device_Configuration'!AI194)</f>
        <v/>
      </c>
      <c r="J193" s="21" t="str">
        <f>IF('12 - Device_Configuration'!AJ194="","",'12 - Device_Configuration'!AJ194)</f>
        <v/>
      </c>
      <c r="K193" s="21" t="str">
        <f>IF('12 - Device_Configuration'!AA194="","",'12 - Device_Configuration'!AA194)</f>
        <v/>
      </c>
      <c r="L193" s="21" t="str">
        <f>IF('12 - Device_Configuration'!I194="","",'12 - Device_Configuration'!I194)</f>
        <v/>
      </c>
      <c r="M193" s="22"/>
      <c r="N193" s="21" t="str">
        <f>IF('12 - Device_Configuration'!J194="","",'12 - Device_Configuration'!J194)</f>
        <v/>
      </c>
      <c r="O193" s="21" t="str">
        <f>IF('12 - Device_Configuration'!K194="","",'12 - Device_Configuration'!K194)</f>
        <v/>
      </c>
      <c r="P193" s="21" t="str">
        <f>IF('12 - Device_Configuration'!L194="","",'12 - Device_Configuration'!L194)</f>
        <v/>
      </c>
      <c r="Q193" s="22"/>
      <c r="R193" s="21" t="str">
        <f>IF('12 - Device_Configuration'!AY194="","",'12 - Device_Configuration'!AY194)</f>
        <v/>
      </c>
      <c r="S193" s="21" t="str">
        <f>IF('12 - Device_Configuration'!AX194="","",'12 - Device_Configuration'!AX194)</f>
        <v/>
      </c>
      <c r="T193" s="21" t="str">
        <f>IF('12 - Device_Configuration'!AV194="","",'12 - Device_Configuration'!AV194)</f>
        <v/>
      </c>
      <c r="U193" s="21" t="str">
        <f>IF('12 - Device_Configuration'!AW194="","",'12 - Device_Configuration'!AW194)</f>
        <v/>
      </c>
      <c r="V193" s="21" t="str">
        <f>IF('12 - Device_Configuration'!BA194="","",'12 - Device_Configuration'!BA194)</f>
        <v/>
      </c>
      <c r="W193" s="21" t="str">
        <f>IF('12 - Device_Configuration'!BC194="","",'12 - Device_Configuration'!BC194)</f>
        <v/>
      </c>
      <c r="X193" s="21" t="str">
        <f>IF('12 - Device_Configuration'!BK194="","",'12 - Device_Configuration'!BK194)</f>
        <v/>
      </c>
      <c r="Y193" s="21" t="str">
        <f>IF('12 - Device_Configuration'!BB194="","",'12 - Device_Configuration'!BB194)</f>
        <v/>
      </c>
      <c r="Z193" s="21" t="str">
        <f>IF('12 - Device_Configuration'!P194="","",'12 - Device_Configuration'!P194)</f>
        <v/>
      </c>
      <c r="AA193" s="21" t="str">
        <f>IF('12 - Device_Configuration'!Q194="","",'12 - Device_Configuration'!Q194)</f>
        <v/>
      </c>
    </row>
    <row r="194" spans="1:27">
      <c r="A194" s="22"/>
      <c r="B194" s="22"/>
      <c r="C194" s="21" t="str">
        <f>IF('12 - Device_Configuration'!H195="","",'12 - Device_Configuration'!H195)</f>
        <v/>
      </c>
      <c r="D194" s="21" t="str">
        <f>IF('12 - Device_Configuration'!AE195="","",'12 - Device_Configuration'!AE195)</f>
        <v/>
      </c>
      <c r="E194" s="21" t="str">
        <f>IF('12 - Device_Configuration'!AF195="","",'12 - Device_Configuration'!AF195)</f>
        <v/>
      </c>
      <c r="F194" s="21" t="str">
        <f>IF('12 - Device_Configuration'!AG195="","",'12 - Device_Configuration'!AG195)</f>
        <v/>
      </c>
      <c r="G194" s="21" t="str">
        <f>IF('12 - Device_Configuration'!AH195="","",'12 - Device_Configuration'!AH195)</f>
        <v/>
      </c>
      <c r="H194" s="21" t="str">
        <f>IF('12 - Device_Configuration'!A195="","",'12 - Device_Configuration'!A195)</f>
        <v/>
      </c>
      <c r="I194" s="21" t="str">
        <f>IF('12 - Device_Configuration'!AI195="","",'12 - Device_Configuration'!AI195)</f>
        <v/>
      </c>
      <c r="J194" s="21" t="str">
        <f>IF('12 - Device_Configuration'!AJ195="","",'12 - Device_Configuration'!AJ195)</f>
        <v/>
      </c>
      <c r="K194" s="21" t="str">
        <f>IF('12 - Device_Configuration'!AA195="","",'12 - Device_Configuration'!AA195)</f>
        <v/>
      </c>
      <c r="L194" s="21" t="str">
        <f>IF('12 - Device_Configuration'!I195="","",'12 - Device_Configuration'!I195)</f>
        <v/>
      </c>
      <c r="M194" s="22"/>
      <c r="N194" s="21" t="str">
        <f>IF('12 - Device_Configuration'!J195="","",'12 - Device_Configuration'!J195)</f>
        <v/>
      </c>
      <c r="O194" s="21" t="str">
        <f>IF('12 - Device_Configuration'!K195="","",'12 - Device_Configuration'!K195)</f>
        <v/>
      </c>
      <c r="P194" s="21" t="str">
        <f>IF('12 - Device_Configuration'!L195="","",'12 - Device_Configuration'!L195)</f>
        <v/>
      </c>
      <c r="Q194" s="22"/>
      <c r="R194" s="21" t="str">
        <f>IF('12 - Device_Configuration'!AY195="","",'12 - Device_Configuration'!AY195)</f>
        <v/>
      </c>
      <c r="S194" s="21" t="str">
        <f>IF('12 - Device_Configuration'!AX195="","",'12 - Device_Configuration'!AX195)</f>
        <v/>
      </c>
      <c r="T194" s="21" t="str">
        <f>IF('12 - Device_Configuration'!AV195="","",'12 - Device_Configuration'!AV195)</f>
        <v/>
      </c>
      <c r="U194" s="21" t="str">
        <f>IF('12 - Device_Configuration'!AW195="","",'12 - Device_Configuration'!AW195)</f>
        <v/>
      </c>
      <c r="V194" s="21" t="str">
        <f>IF('12 - Device_Configuration'!BA195="","",'12 - Device_Configuration'!BA195)</f>
        <v/>
      </c>
      <c r="W194" s="21" t="str">
        <f>IF('12 - Device_Configuration'!BC195="","",'12 - Device_Configuration'!BC195)</f>
        <v/>
      </c>
      <c r="X194" s="21" t="str">
        <f>IF('12 - Device_Configuration'!BK195="","",'12 - Device_Configuration'!BK195)</f>
        <v/>
      </c>
      <c r="Y194" s="21" t="str">
        <f>IF('12 - Device_Configuration'!BB195="","",'12 - Device_Configuration'!BB195)</f>
        <v/>
      </c>
      <c r="Z194" s="21" t="str">
        <f>IF('12 - Device_Configuration'!P195="","",'12 - Device_Configuration'!P195)</f>
        <v/>
      </c>
      <c r="AA194" s="21" t="str">
        <f>IF('12 - Device_Configuration'!Q195="","",'12 - Device_Configuration'!Q195)</f>
        <v/>
      </c>
    </row>
    <row r="195" spans="1:27">
      <c r="A195" s="22"/>
      <c r="B195" s="22"/>
      <c r="C195" s="21" t="str">
        <f>IF('12 - Device_Configuration'!H196="","",'12 - Device_Configuration'!H196)</f>
        <v/>
      </c>
      <c r="D195" s="21" t="str">
        <f>IF('12 - Device_Configuration'!AE196="","",'12 - Device_Configuration'!AE196)</f>
        <v/>
      </c>
      <c r="E195" s="21" t="str">
        <f>IF('12 - Device_Configuration'!AF196="","",'12 - Device_Configuration'!AF196)</f>
        <v/>
      </c>
      <c r="F195" s="21" t="str">
        <f>IF('12 - Device_Configuration'!AG196="","",'12 - Device_Configuration'!AG196)</f>
        <v/>
      </c>
      <c r="G195" s="21" t="str">
        <f>IF('12 - Device_Configuration'!AH196="","",'12 - Device_Configuration'!AH196)</f>
        <v/>
      </c>
      <c r="H195" s="21" t="str">
        <f>IF('12 - Device_Configuration'!A196="","",'12 - Device_Configuration'!A196)</f>
        <v/>
      </c>
      <c r="I195" s="21" t="str">
        <f>IF('12 - Device_Configuration'!AI196="","",'12 - Device_Configuration'!AI196)</f>
        <v/>
      </c>
      <c r="J195" s="21" t="str">
        <f>IF('12 - Device_Configuration'!AJ196="","",'12 - Device_Configuration'!AJ196)</f>
        <v/>
      </c>
      <c r="K195" s="21" t="str">
        <f>IF('12 - Device_Configuration'!AA196="","",'12 - Device_Configuration'!AA196)</f>
        <v/>
      </c>
      <c r="L195" s="21" t="str">
        <f>IF('12 - Device_Configuration'!I196="","",'12 - Device_Configuration'!I196)</f>
        <v/>
      </c>
      <c r="M195" s="22"/>
      <c r="N195" s="21" t="str">
        <f>IF('12 - Device_Configuration'!J196="","",'12 - Device_Configuration'!J196)</f>
        <v/>
      </c>
      <c r="O195" s="21" t="str">
        <f>IF('12 - Device_Configuration'!K196="","",'12 - Device_Configuration'!K196)</f>
        <v/>
      </c>
      <c r="P195" s="21" t="str">
        <f>IF('12 - Device_Configuration'!L196="","",'12 - Device_Configuration'!L196)</f>
        <v/>
      </c>
      <c r="Q195" s="22"/>
      <c r="R195" s="21" t="str">
        <f>IF('12 - Device_Configuration'!AY196="","",'12 - Device_Configuration'!AY196)</f>
        <v/>
      </c>
      <c r="S195" s="21" t="str">
        <f>IF('12 - Device_Configuration'!AX196="","",'12 - Device_Configuration'!AX196)</f>
        <v/>
      </c>
      <c r="T195" s="21" t="str">
        <f>IF('12 - Device_Configuration'!AV196="","",'12 - Device_Configuration'!AV196)</f>
        <v/>
      </c>
      <c r="U195" s="21" t="str">
        <f>IF('12 - Device_Configuration'!AW196="","",'12 - Device_Configuration'!AW196)</f>
        <v/>
      </c>
      <c r="V195" s="21" t="str">
        <f>IF('12 - Device_Configuration'!BA196="","",'12 - Device_Configuration'!BA196)</f>
        <v/>
      </c>
      <c r="W195" s="21" t="str">
        <f>IF('12 - Device_Configuration'!BC196="","",'12 - Device_Configuration'!BC196)</f>
        <v/>
      </c>
      <c r="X195" s="21" t="str">
        <f>IF('12 - Device_Configuration'!BK196="","",'12 - Device_Configuration'!BK196)</f>
        <v/>
      </c>
      <c r="Y195" s="21" t="str">
        <f>IF('12 - Device_Configuration'!BB196="","",'12 - Device_Configuration'!BB196)</f>
        <v/>
      </c>
      <c r="Z195" s="21" t="str">
        <f>IF('12 - Device_Configuration'!P196="","",'12 - Device_Configuration'!P196)</f>
        <v/>
      </c>
      <c r="AA195" s="21" t="str">
        <f>IF('12 - Device_Configuration'!Q196="","",'12 - Device_Configuration'!Q196)</f>
        <v/>
      </c>
    </row>
    <row r="196" spans="1:27">
      <c r="A196" s="22"/>
      <c r="B196" s="22"/>
      <c r="C196" s="21" t="str">
        <f>IF('12 - Device_Configuration'!H197="","",'12 - Device_Configuration'!H197)</f>
        <v/>
      </c>
      <c r="D196" s="21" t="str">
        <f>IF('12 - Device_Configuration'!AE197="","",'12 - Device_Configuration'!AE197)</f>
        <v/>
      </c>
      <c r="E196" s="21" t="str">
        <f>IF('12 - Device_Configuration'!AF197="","",'12 - Device_Configuration'!AF197)</f>
        <v/>
      </c>
      <c r="F196" s="21" t="str">
        <f>IF('12 - Device_Configuration'!AG197="","",'12 - Device_Configuration'!AG197)</f>
        <v/>
      </c>
      <c r="G196" s="21" t="str">
        <f>IF('12 - Device_Configuration'!AH197="","",'12 - Device_Configuration'!AH197)</f>
        <v/>
      </c>
      <c r="H196" s="21" t="str">
        <f>IF('12 - Device_Configuration'!A197="","",'12 - Device_Configuration'!A197)</f>
        <v/>
      </c>
      <c r="I196" s="21" t="str">
        <f>IF('12 - Device_Configuration'!AI197="","",'12 - Device_Configuration'!AI197)</f>
        <v/>
      </c>
      <c r="J196" s="21" t="str">
        <f>IF('12 - Device_Configuration'!AJ197="","",'12 - Device_Configuration'!AJ197)</f>
        <v/>
      </c>
      <c r="K196" s="21" t="str">
        <f>IF('12 - Device_Configuration'!AA197="","",'12 - Device_Configuration'!AA197)</f>
        <v/>
      </c>
      <c r="L196" s="21" t="str">
        <f>IF('12 - Device_Configuration'!I197="","",'12 - Device_Configuration'!I197)</f>
        <v/>
      </c>
      <c r="M196" s="22"/>
      <c r="N196" s="21" t="str">
        <f>IF('12 - Device_Configuration'!J197="","",'12 - Device_Configuration'!J197)</f>
        <v/>
      </c>
      <c r="O196" s="21" t="str">
        <f>IF('12 - Device_Configuration'!K197="","",'12 - Device_Configuration'!K197)</f>
        <v/>
      </c>
      <c r="P196" s="21" t="str">
        <f>IF('12 - Device_Configuration'!L197="","",'12 - Device_Configuration'!L197)</f>
        <v/>
      </c>
      <c r="Q196" s="22"/>
      <c r="R196" s="21" t="str">
        <f>IF('12 - Device_Configuration'!AY197="","",'12 - Device_Configuration'!AY197)</f>
        <v/>
      </c>
      <c r="S196" s="21" t="str">
        <f>IF('12 - Device_Configuration'!AX197="","",'12 - Device_Configuration'!AX197)</f>
        <v/>
      </c>
      <c r="T196" s="21" t="str">
        <f>IF('12 - Device_Configuration'!AV197="","",'12 - Device_Configuration'!AV197)</f>
        <v/>
      </c>
      <c r="U196" s="21" t="str">
        <f>IF('12 - Device_Configuration'!AW197="","",'12 - Device_Configuration'!AW197)</f>
        <v/>
      </c>
      <c r="V196" s="21" t="str">
        <f>IF('12 - Device_Configuration'!BA197="","",'12 - Device_Configuration'!BA197)</f>
        <v/>
      </c>
      <c r="W196" s="21" t="str">
        <f>IF('12 - Device_Configuration'!BC197="","",'12 - Device_Configuration'!BC197)</f>
        <v/>
      </c>
      <c r="X196" s="21" t="str">
        <f>IF('12 - Device_Configuration'!BK197="","",'12 - Device_Configuration'!BK197)</f>
        <v/>
      </c>
      <c r="Y196" s="21" t="str">
        <f>IF('12 - Device_Configuration'!BB197="","",'12 - Device_Configuration'!BB197)</f>
        <v/>
      </c>
      <c r="Z196" s="21" t="str">
        <f>IF('12 - Device_Configuration'!P197="","",'12 - Device_Configuration'!P197)</f>
        <v/>
      </c>
      <c r="AA196" s="21" t="str">
        <f>IF('12 - Device_Configuration'!Q197="","",'12 - Device_Configuration'!Q197)</f>
        <v/>
      </c>
    </row>
    <row r="197" spans="1:27">
      <c r="A197" s="22"/>
      <c r="B197" s="22"/>
      <c r="C197" s="21" t="str">
        <f>IF('12 - Device_Configuration'!H198="","",'12 - Device_Configuration'!H198)</f>
        <v/>
      </c>
      <c r="D197" s="21" t="str">
        <f>IF('12 - Device_Configuration'!AE198="","",'12 - Device_Configuration'!AE198)</f>
        <v/>
      </c>
      <c r="E197" s="21" t="str">
        <f>IF('12 - Device_Configuration'!AF198="","",'12 - Device_Configuration'!AF198)</f>
        <v/>
      </c>
      <c r="F197" s="21" t="str">
        <f>IF('12 - Device_Configuration'!AG198="","",'12 - Device_Configuration'!AG198)</f>
        <v/>
      </c>
      <c r="G197" s="21" t="str">
        <f>IF('12 - Device_Configuration'!AH198="","",'12 - Device_Configuration'!AH198)</f>
        <v/>
      </c>
      <c r="H197" s="21" t="str">
        <f>IF('12 - Device_Configuration'!A198="","",'12 - Device_Configuration'!A198)</f>
        <v/>
      </c>
      <c r="I197" s="21" t="str">
        <f>IF('12 - Device_Configuration'!AI198="","",'12 - Device_Configuration'!AI198)</f>
        <v/>
      </c>
      <c r="J197" s="21" t="str">
        <f>IF('12 - Device_Configuration'!AJ198="","",'12 - Device_Configuration'!AJ198)</f>
        <v/>
      </c>
      <c r="K197" s="21" t="str">
        <f>IF('12 - Device_Configuration'!AA198="","",'12 - Device_Configuration'!AA198)</f>
        <v/>
      </c>
      <c r="L197" s="21" t="str">
        <f>IF('12 - Device_Configuration'!I198="","",'12 - Device_Configuration'!I198)</f>
        <v/>
      </c>
      <c r="M197" s="22"/>
      <c r="N197" s="21" t="str">
        <f>IF('12 - Device_Configuration'!J198="","",'12 - Device_Configuration'!J198)</f>
        <v/>
      </c>
      <c r="O197" s="21" t="str">
        <f>IF('12 - Device_Configuration'!K198="","",'12 - Device_Configuration'!K198)</f>
        <v/>
      </c>
      <c r="P197" s="21" t="str">
        <f>IF('12 - Device_Configuration'!L198="","",'12 - Device_Configuration'!L198)</f>
        <v/>
      </c>
      <c r="Q197" s="22"/>
      <c r="R197" s="21" t="str">
        <f>IF('12 - Device_Configuration'!AY198="","",'12 - Device_Configuration'!AY198)</f>
        <v/>
      </c>
      <c r="S197" s="21" t="str">
        <f>IF('12 - Device_Configuration'!AX198="","",'12 - Device_Configuration'!AX198)</f>
        <v/>
      </c>
      <c r="T197" s="21" t="str">
        <f>IF('12 - Device_Configuration'!AV198="","",'12 - Device_Configuration'!AV198)</f>
        <v/>
      </c>
      <c r="U197" s="21" t="str">
        <f>IF('12 - Device_Configuration'!AW198="","",'12 - Device_Configuration'!AW198)</f>
        <v/>
      </c>
      <c r="V197" s="21" t="str">
        <f>IF('12 - Device_Configuration'!BA198="","",'12 - Device_Configuration'!BA198)</f>
        <v/>
      </c>
      <c r="W197" s="21" t="str">
        <f>IF('12 - Device_Configuration'!BC198="","",'12 - Device_Configuration'!BC198)</f>
        <v/>
      </c>
      <c r="X197" s="21" t="str">
        <f>IF('12 - Device_Configuration'!BK198="","",'12 - Device_Configuration'!BK198)</f>
        <v/>
      </c>
      <c r="Y197" s="21" t="str">
        <f>IF('12 - Device_Configuration'!BB198="","",'12 - Device_Configuration'!BB198)</f>
        <v/>
      </c>
      <c r="Z197" s="21" t="str">
        <f>IF('12 - Device_Configuration'!P198="","",'12 - Device_Configuration'!P198)</f>
        <v/>
      </c>
      <c r="AA197" s="21" t="str">
        <f>IF('12 - Device_Configuration'!Q198="","",'12 - Device_Configuration'!Q198)</f>
        <v/>
      </c>
    </row>
    <row r="198" spans="1:27">
      <c r="A198" s="22"/>
      <c r="B198" s="22"/>
      <c r="C198" s="21" t="str">
        <f>IF('12 - Device_Configuration'!H199="","",'12 - Device_Configuration'!H199)</f>
        <v/>
      </c>
      <c r="D198" s="21" t="str">
        <f>IF('12 - Device_Configuration'!AE199="","",'12 - Device_Configuration'!AE199)</f>
        <v/>
      </c>
      <c r="E198" s="21" t="str">
        <f>IF('12 - Device_Configuration'!AF199="","",'12 - Device_Configuration'!AF199)</f>
        <v/>
      </c>
      <c r="F198" s="21" t="str">
        <f>IF('12 - Device_Configuration'!AG199="","",'12 - Device_Configuration'!AG199)</f>
        <v/>
      </c>
      <c r="G198" s="21" t="str">
        <f>IF('12 - Device_Configuration'!AH199="","",'12 - Device_Configuration'!AH199)</f>
        <v/>
      </c>
      <c r="H198" s="21" t="str">
        <f>IF('12 - Device_Configuration'!A199="","",'12 - Device_Configuration'!A199)</f>
        <v/>
      </c>
      <c r="I198" s="21" t="str">
        <f>IF('12 - Device_Configuration'!AI199="","",'12 - Device_Configuration'!AI199)</f>
        <v/>
      </c>
      <c r="J198" s="21" t="str">
        <f>IF('12 - Device_Configuration'!AJ199="","",'12 - Device_Configuration'!AJ199)</f>
        <v/>
      </c>
      <c r="K198" s="21" t="str">
        <f>IF('12 - Device_Configuration'!AA199="","",'12 - Device_Configuration'!AA199)</f>
        <v/>
      </c>
      <c r="L198" s="21" t="str">
        <f>IF('12 - Device_Configuration'!I199="","",'12 - Device_Configuration'!I199)</f>
        <v/>
      </c>
      <c r="M198" s="22"/>
      <c r="N198" s="21" t="str">
        <f>IF('12 - Device_Configuration'!J199="","",'12 - Device_Configuration'!J199)</f>
        <v/>
      </c>
      <c r="O198" s="21" t="str">
        <f>IF('12 - Device_Configuration'!K199="","",'12 - Device_Configuration'!K199)</f>
        <v/>
      </c>
      <c r="P198" s="21" t="str">
        <f>IF('12 - Device_Configuration'!L199="","",'12 - Device_Configuration'!L199)</f>
        <v/>
      </c>
      <c r="Q198" s="22"/>
      <c r="R198" s="21" t="str">
        <f>IF('12 - Device_Configuration'!AY199="","",'12 - Device_Configuration'!AY199)</f>
        <v/>
      </c>
      <c r="S198" s="21" t="str">
        <f>IF('12 - Device_Configuration'!AX199="","",'12 - Device_Configuration'!AX199)</f>
        <v/>
      </c>
      <c r="T198" s="21" t="str">
        <f>IF('12 - Device_Configuration'!AV199="","",'12 - Device_Configuration'!AV199)</f>
        <v/>
      </c>
      <c r="U198" s="21" t="str">
        <f>IF('12 - Device_Configuration'!AW199="","",'12 - Device_Configuration'!AW199)</f>
        <v/>
      </c>
      <c r="V198" s="21" t="str">
        <f>IF('12 - Device_Configuration'!BA199="","",'12 - Device_Configuration'!BA199)</f>
        <v/>
      </c>
      <c r="W198" s="21" t="str">
        <f>IF('12 - Device_Configuration'!BC199="","",'12 - Device_Configuration'!BC199)</f>
        <v/>
      </c>
      <c r="X198" s="21" t="str">
        <f>IF('12 - Device_Configuration'!BK199="","",'12 - Device_Configuration'!BK199)</f>
        <v/>
      </c>
      <c r="Y198" s="21" t="str">
        <f>IF('12 - Device_Configuration'!BB199="","",'12 - Device_Configuration'!BB199)</f>
        <v/>
      </c>
      <c r="Z198" s="21" t="str">
        <f>IF('12 - Device_Configuration'!P199="","",'12 - Device_Configuration'!P199)</f>
        <v/>
      </c>
      <c r="AA198" s="21" t="str">
        <f>IF('12 - Device_Configuration'!Q199="","",'12 - Device_Configuration'!Q199)</f>
        <v/>
      </c>
    </row>
    <row r="199" spans="1:27">
      <c r="A199" s="22"/>
      <c r="B199" s="22"/>
      <c r="C199" s="21" t="str">
        <f>IF('12 - Device_Configuration'!H200="","",'12 - Device_Configuration'!H200)</f>
        <v/>
      </c>
      <c r="D199" s="21" t="str">
        <f>IF('12 - Device_Configuration'!AE200="","",'12 - Device_Configuration'!AE200)</f>
        <v/>
      </c>
      <c r="E199" s="21" t="str">
        <f>IF('12 - Device_Configuration'!AF200="","",'12 - Device_Configuration'!AF200)</f>
        <v/>
      </c>
      <c r="F199" s="21" t="str">
        <f>IF('12 - Device_Configuration'!AG200="","",'12 - Device_Configuration'!AG200)</f>
        <v/>
      </c>
      <c r="G199" s="21" t="str">
        <f>IF('12 - Device_Configuration'!AH200="","",'12 - Device_Configuration'!AH200)</f>
        <v/>
      </c>
      <c r="H199" s="21" t="str">
        <f>IF('12 - Device_Configuration'!A200="","",'12 - Device_Configuration'!A200)</f>
        <v/>
      </c>
      <c r="I199" s="21" t="str">
        <f>IF('12 - Device_Configuration'!AI200="","",'12 - Device_Configuration'!AI200)</f>
        <v/>
      </c>
      <c r="J199" s="21" t="str">
        <f>IF('12 - Device_Configuration'!AJ200="","",'12 - Device_Configuration'!AJ200)</f>
        <v/>
      </c>
      <c r="K199" s="21" t="str">
        <f>IF('12 - Device_Configuration'!AA200="","",'12 - Device_Configuration'!AA200)</f>
        <v/>
      </c>
      <c r="L199" s="21" t="str">
        <f>IF('12 - Device_Configuration'!I200="","",'12 - Device_Configuration'!I200)</f>
        <v/>
      </c>
      <c r="M199" s="22"/>
      <c r="N199" s="21" t="str">
        <f>IF('12 - Device_Configuration'!J200="","",'12 - Device_Configuration'!J200)</f>
        <v/>
      </c>
      <c r="O199" s="21" t="str">
        <f>IF('12 - Device_Configuration'!K200="","",'12 - Device_Configuration'!K200)</f>
        <v/>
      </c>
      <c r="P199" s="21" t="str">
        <f>IF('12 - Device_Configuration'!L200="","",'12 - Device_Configuration'!L200)</f>
        <v/>
      </c>
      <c r="Q199" s="22"/>
      <c r="R199" s="21" t="str">
        <f>IF('12 - Device_Configuration'!AY200="","",'12 - Device_Configuration'!AY200)</f>
        <v/>
      </c>
      <c r="S199" s="21" t="str">
        <f>IF('12 - Device_Configuration'!AX200="","",'12 - Device_Configuration'!AX200)</f>
        <v/>
      </c>
      <c r="T199" s="21" t="str">
        <f>IF('12 - Device_Configuration'!AV200="","",'12 - Device_Configuration'!AV200)</f>
        <v/>
      </c>
      <c r="U199" s="21" t="str">
        <f>IF('12 - Device_Configuration'!AW200="","",'12 - Device_Configuration'!AW200)</f>
        <v/>
      </c>
      <c r="V199" s="21" t="str">
        <f>IF('12 - Device_Configuration'!BA200="","",'12 - Device_Configuration'!BA200)</f>
        <v/>
      </c>
      <c r="W199" s="21" t="str">
        <f>IF('12 - Device_Configuration'!BC200="","",'12 - Device_Configuration'!BC200)</f>
        <v/>
      </c>
      <c r="X199" s="21" t="str">
        <f>IF('12 - Device_Configuration'!BK200="","",'12 - Device_Configuration'!BK200)</f>
        <v/>
      </c>
      <c r="Y199" s="21" t="str">
        <f>IF('12 - Device_Configuration'!BB200="","",'12 - Device_Configuration'!BB200)</f>
        <v/>
      </c>
      <c r="Z199" s="21" t="str">
        <f>IF('12 - Device_Configuration'!P200="","",'12 - Device_Configuration'!P200)</f>
        <v/>
      </c>
      <c r="AA199" s="21" t="str">
        <f>IF('12 - Device_Configuration'!Q200="","",'12 - Device_Configuration'!Q200)</f>
        <v/>
      </c>
    </row>
    <row r="200" spans="1:27">
      <c r="A200" s="22"/>
      <c r="B200" s="22"/>
      <c r="C200" s="21" t="str">
        <f>IF('12 - Device_Configuration'!H201="","",'12 - Device_Configuration'!H201)</f>
        <v/>
      </c>
      <c r="D200" s="21" t="str">
        <f>IF('12 - Device_Configuration'!AE201="","",'12 - Device_Configuration'!AE201)</f>
        <v/>
      </c>
      <c r="E200" s="21" t="str">
        <f>IF('12 - Device_Configuration'!AF201="","",'12 - Device_Configuration'!AF201)</f>
        <v/>
      </c>
      <c r="F200" s="21" t="str">
        <f>IF('12 - Device_Configuration'!AG201="","",'12 - Device_Configuration'!AG201)</f>
        <v/>
      </c>
      <c r="G200" s="21" t="str">
        <f>IF('12 - Device_Configuration'!AH201="","",'12 - Device_Configuration'!AH201)</f>
        <v/>
      </c>
      <c r="H200" s="21" t="str">
        <f>IF('12 - Device_Configuration'!A201="","",'12 - Device_Configuration'!A201)</f>
        <v/>
      </c>
      <c r="I200" s="21" t="str">
        <f>IF('12 - Device_Configuration'!AI201="","",'12 - Device_Configuration'!AI201)</f>
        <v/>
      </c>
      <c r="J200" s="21" t="str">
        <f>IF('12 - Device_Configuration'!AJ201="","",'12 - Device_Configuration'!AJ201)</f>
        <v/>
      </c>
      <c r="K200" s="21" t="str">
        <f>IF('12 - Device_Configuration'!AA201="","",'12 - Device_Configuration'!AA201)</f>
        <v/>
      </c>
      <c r="L200" s="21" t="str">
        <f>IF('12 - Device_Configuration'!I201="","",'12 - Device_Configuration'!I201)</f>
        <v/>
      </c>
      <c r="M200" s="22"/>
      <c r="N200" s="21" t="str">
        <f>IF('12 - Device_Configuration'!J201="","",'12 - Device_Configuration'!J201)</f>
        <v/>
      </c>
      <c r="O200" s="21" t="str">
        <f>IF('12 - Device_Configuration'!K201="","",'12 - Device_Configuration'!K201)</f>
        <v/>
      </c>
      <c r="P200" s="21" t="str">
        <f>IF('12 - Device_Configuration'!L201="","",'12 - Device_Configuration'!L201)</f>
        <v/>
      </c>
      <c r="Q200" s="22"/>
      <c r="R200" s="21" t="str">
        <f>IF('12 - Device_Configuration'!AY201="","",'12 - Device_Configuration'!AY201)</f>
        <v/>
      </c>
      <c r="S200" s="21" t="str">
        <f>IF('12 - Device_Configuration'!AX201="","",'12 - Device_Configuration'!AX201)</f>
        <v/>
      </c>
      <c r="T200" s="21" t="str">
        <f>IF('12 - Device_Configuration'!AV201="","",'12 - Device_Configuration'!AV201)</f>
        <v/>
      </c>
      <c r="U200" s="21" t="str">
        <f>IF('12 - Device_Configuration'!AW201="","",'12 - Device_Configuration'!AW201)</f>
        <v/>
      </c>
      <c r="V200" s="21" t="str">
        <f>IF('12 - Device_Configuration'!BA201="","",'12 - Device_Configuration'!BA201)</f>
        <v/>
      </c>
      <c r="W200" s="21" t="str">
        <f>IF('12 - Device_Configuration'!BC201="","",'12 - Device_Configuration'!BC201)</f>
        <v/>
      </c>
      <c r="X200" s="21" t="str">
        <f>IF('12 - Device_Configuration'!BK201="","",'12 - Device_Configuration'!BK201)</f>
        <v/>
      </c>
      <c r="Y200" s="21" t="str">
        <f>IF('12 - Device_Configuration'!BB201="","",'12 - Device_Configuration'!BB201)</f>
        <v/>
      </c>
      <c r="Z200" s="21" t="str">
        <f>IF('12 - Device_Configuration'!P201="","",'12 - Device_Configuration'!P201)</f>
        <v/>
      </c>
      <c r="AA200" s="21" t="str">
        <f>IF('12 - Device_Configuration'!Q201="","",'12 - Device_Configuration'!Q201)</f>
        <v/>
      </c>
    </row>
    <row r="201" spans="1:27">
      <c r="A201" s="22"/>
      <c r="B201" s="22"/>
      <c r="C201" s="21" t="str">
        <f>IF('12 - Device_Configuration'!H202="","",'12 - Device_Configuration'!H202)</f>
        <v/>
      </c>
      <c r="D201" s="21" t="str">
        <f>IF('12 - Device_Configuration'!AE202="","",'12 - Device_Configuration'!AE202)</f>
        <v/>
      </c>
      <c r="E201" s="21" t="str">
        <f>IF('12 - Device_Configuration'!AF202="","",'12 - Device_Configuration'!AF202)</f>
        <v/>
      </c>
      <c r="F201" s="21" t="str">
        <f>IF('12 - Device_Configuration'!AG202="","",'12 - Device_Configuration'!AG202)</f>
        <v/>
      </c>
      <c r="G201" s="21" t="str">
        <f>IF('12 - Device_Configuration'!AH202="","",'12 - Device_Configuration'!AH202)</f>
        <v/>
      </c>
      <c r="H201" s="21" t="str">
        <f>IF('12 - Device_Configuration'!A202="","",'12 - Device_Configuration'!A202)</f>
        <v/>
      </c>
      <c r="I201" s="21" t="str">
        <f>IF('12 - Device_Configuration'!AI202="","",'12 - Device_Configuration'!AI202)</f>
        <v/>
      </c>
      <c r="J201" s="21" t="str">
        <f>IF('12 - Device_Configuration'!AJ202="","",'12 - Device_Configuration'!AJ202)</f>
        <v/>
      </c>
      <c r="K201" s="21" t="str">
        <f>IF('12 - Device_Configuration'!AA202="","",'12 - Device_Configuration'!AA202)</f>
        <v/>
      </c>
      <c r="L201" s="21" t="str">
        <f>IF('12 - Device_Configuration'!I202="","",'12 - Device_Configuration'!I202)</f>
        <v/>
      </c>
      <c r="M201" s="22"/>
      <c r="N201" s="21" t="str">
        <f>IF('12 - Device_Configuration'!J202="","",'12 - Device_Configuration'!J202)</f>
        <v/>
      </c>
      <c r="O201" s="21" t="str">
        <f>IF('12 - Device_Configuration'!K202="","",'12 - Device_Configuration'!K202)</f>
        <v/>
      </c>
      <c r="P201" s="21" t="str">
        <f>IF('12 - Device_Configuration'!L202="","",'12 - Device_Configuration'!L202)</f>
        <v/>
      </c>
      <c r="Q201" s="22"/>
      <c r="R201" s="21" t="str">
        <f>IF('12 - Device_Configuration'!AY202="","",'12 - Device_Configuration'!AY202)</f>
        <v/>
      </c>
      <c r="S201" s="21" t="str">
        <f>IF('12 - Device_Configuration'!AX202="","",'12 - Device_Configuration'!AX202)</f>
        <v/>
      </c>
      <c r="T201" s="21" t="str">
        <f>IF('12 - Device_Configuration'!AV202="","",'12 - Device_Configuration'!AV202)</f>
        <v/>
      </c>
      <c r="U201" s="21" t="str">
        <f>IF('12 - Device_Configuration'!AW202="","",'12 - Device_Configuration'!AW202)</f>
        <v/>
      </c>
      <c r="V201" s="21" t="str">
        <f>IF('12 - Device_Configuration'!BA202="","",'12 - Device_Configuration'!BA202)</f>
        <v/>
      </c>
      <c r="W201" s="21" t="str">
        <f>IF('12 - Device_Configuration'!BC202="","",'12 - Device_Configuration'!BC202)</f>
        <v/>
      </c>
      <c r="X201" s="21" t="str">
        <f>IF('12 - Device_Configuration'!BK202="","",'12 - Device_Configuration'!BK202)</f>
        <v/>
      </c>
      <c r="Y201" s="21" t="str">
        <f>IF('12 - Device_Configuration'!BB202="","",'12 - Device_Configuration'!BB202)</f>
        <v/>
      </c>
      <c r="Z201" s="21" t="str">
        <f>IF('12 - Device_Configuration'!P202="","",'12 - Device_Configuration'!P202)</f>
        <v/>
      </c>
      <c r="AA201" s="21" t="str">
        <f>IF('12 - Device_Configuration'!Q202="","",'12 - Device_Configuration'!Q202)</f>
        <v/>
      </c>
    </row>
    <row r="202" spans="1:27">
      <c r="A202" s="22"/>
      <c r="B202" s="22"/>
      <c r="C202" s="21" t="str">
        <f>IF('12 - Device_Configuration'!H203="","",'12 - Device_Configuration'!H203)</f>
        <v/>
      </c>
      <c r="D202" s="21" t="str">
        <f>IF('12 - Device_Configuration'!AE203="","",'12 - Device_Configuration'!AE203)</f>
        <v/>
      </c>
      <c r="E202" s="21" t="str">
        <f>IF('12 - Device_Configuration'!AF203="","",'12 - Device_Configuration'!AF203)</f>
        <v/>
      </c>
      <c r="F202" s="21" t="str">
        <f>IF('12 - Device_Configuration'!AG203="","",'12 - Device_Configuration'!AG203)</f>
        <v/>
      </c>
      <c r="G202" s="21" t="str">
        <f>IF('12 - Device_Configuration'!AH203="","",'12 - Device_Configuration'!AH203)</f>
        <v/>
      </c>
      <c r="H202" s="21" t="str">
        <f>IF('12 - Device_Configuration'!A203="","",'12 - Device_Configuration'!A203)</f>
        <v/>
      </c>
      <c r="I202" s="21" t="str">
        <f>IF('12 - Device_Configuration'!AI203="","",'12 - Device_Configuration'!AI203)</f>
        <v/>
      </c>
      <c r="J202" s="21" t="str">
        <f>IF('12 - Device_Configuration'!AJ203="","",'12 - Device_Configuration'!AJ203)</f>
        <v/>
      </c>
      <c r="K202" s="21" t="str">
        <f>IF('12 - Device_Configuration'!AA203="","",'12 - Device_Configuration'!AA203)</f>
        <v/>
      </c>
      <c r="L202" s="21" t="str">
        <f>IF('12 - Device_Configuration'!I203="","",'12 - Device_Configuration'!I203)</f>
        <v/>
      </c>
      <c r="M202" s="22"/>
      <c r="N202" s="21" t="str">
        <f>IF('12 - Device_Configuration'!J203="","",'12 - Device_Configuration'!J203)</f>
        <v/>
      </c>
      <c r="O202" s="21" t="str">
        <f>IF('12 - Device_Configuration'!K203="","",'12 - Device_Configuration'!K203)</f>
        <v/>
      </c>
      <c r="P202" s="21" t="str">
        <f>IF('12 - Device_Configuration'!L203="","",'12 - Device_Configuration'!L203)</f>
        <v/>
      </c>
      <c r="Q202" s="22"/>
      <c r="R202" s="21" t="str">
        <f>IF('12 - Device_Configuration'!AY203="","",'12 - Device_Configuration'!AY203)</f>
        <v/>
      </c>
      <c r="S202" s="21" t="str">
        <f>IF('12 - Device_Configuration'!AX203="","",'12 - Device_Configuration'!AX203)</f>
        <v/>
      </c>
      <c r="T202" s="21" t="str">
        <f>IF('12 - Device_Configuration'!AV203="","",'12 - Device_Configuration'!AV203)</f>
        <v/>
      </c>
      <c r="U202" s="21" t="str">
        <f>IF('12 - Device_Configuration'!AW203="","",'12 - Device_Configuration'!AW203)</f>
        <v/>
      </c>
      <c r="V202" s="21" t="str">
        <f>IF('12 - Device_Configuration'!BA203="","",'12 - Device_Configuration'!BA203)</f>
        <v/>
      </c>
      <c r="W202" s="21" t="str">
        <f>IF('12 - Device_Configuration'!BC203="","",'12 - Device_Configuration'!BC203)</f>
        <v/>
      </c>
      <c r="X202" s="21" t="str">
        <f>IF('12 - Device_Configuration'!BK203="","",'12 - Device_Configuration'!BK203)</f>
        <v/>
      </c>
      <c r="Y202" s="21" t="str">
        <f>IF('12 - Device_Configuration'!BB203="","",'12 - Device_Configuration'!BB203)</f>
        <v/>
      </c>
      <c r="Z202" s="21" t="str">
        <f>IF('12 - Device_Configuration'!P203="","",'12 - Device_Configuration'!P203)</f>
        <v/>
      </c>
      <c r="AA202" s="21" t="str">
        <f>IF('12 - Device_Configuration'!Q203="","",'12 - Device_Configuration'!Q203)</f>
        <v/>
      </c>
    </row>
    <row r="203" spans="1:27">
      <c r="A203" s="22"/>
      <c r="B203" s="22"/>
      <c r="C203" s="21" t="str">
        <f>IF('12 - Device_Configuration'!H204="","",'12 - Device_Configuration'!H204)</f>
        <v/>
      </c>
      <c r="D203" s="21" t="str">
        <f>IF('12 - Device_Configuration'!AE204="","",'12 - Device_Configuration'!AE204)</f>
        <v/>
      </c>
      <c r="E203" s="21" t="str">
        <f>IF('12 - Device_Configuration'!AF204="","",'12 - Device_Configuration'!AF204)</f>
        <v/>
      </c>
      <c r="F203" s="21" t="str">
        <f>IF('12 - Device_Configuration'!AG204="","",'12 - Device_Configuration'!AG204)</f>
        <v/>
      </c>
      <c r="G203" s="21" t="str">
        <f>IF('12 - Device_Configuration'!AH204="","",'12 - Device_Configuration'!AH204)</f>
        <v/>
      </c>
      <c r="H203" s="21" t="str">
        <f>IF('12 - Device_Configuration'!A204="","",'12 - Device_Configuration'!A204)</f>
        <v/>
      </c>
      <c r="I203" s="21" t="str">
        <f>IF('12 - Device_Configuration'!AI204="","",'12 - Device_Configuration'!AI204)</f>
        <v/>
      </c>
      <c r="J203" s="21" t="str">
        <f>IF('12 - Device_Configuration'!AJ204="","",'12 - Device_Configuration'!AJ204)</f>
        <v/>
      </c>
      <c r="K203" s="21" t="str">
        <f>IF('12 - Device_Configuration'!AA204="","",'12 - Device_Configuration'!AA204)</f>
        <v/>
      </c>
      <c r="L203" s="21" t="str">
        <f>IF('12 - Device_Configuration'!I204="","",'12 - Device_Configuration'!I204)</f>
        <v/>
      </c>
      <c r="M203" s="22"/>
      <c r="N203" s="21" t="str">
        <f>IF('12 - Device_Configuration'!J204="","",'12 - Device_Configuration'!J204)</f>
        <v/>
      </c>
      <c r="O203" s="21" t="str">
        <f>IF('12 - Device_Configuration'!K204="","",'12 - Device_Configuration'!K204)</f>
        <v/>
      </c>
      <c r="P203" s="21" t="str">
        <f>IF('12 - Device_Configuration'!L204="","",'12 - Device_Configuration'!L204)</f>
        <v/>
      </c>
      <c r="Q203" s="22"/>
      <c r="R203" s="21" t="str">
        <f>IF('12 - Device_Configuration'!AY204="","",'12 - Device_Configuration'!AY204)</f>
        <v/>
      </c>
      <c r="S203" s="21" t="str">
        <f>IF('12 - Device_Configuration'!AX204="","",'12 - Device_Configuration'!AX204)</f>
        <v/>
      </c>
      <c r="T203" s="21" t="str">
        <f>IF('12 - Device_Configuration'!AV204="","",'12 - Device_Configuration'!AV204)</f>
        <v/>
      </c>
      <c r="U203" s="21" t="str">
        <f>IF('12 - Device_Configuration'!AW204="","",'12 - Device_Configuration'!AW204)</f>
        <v/>
      </c>
      <c r="V203" s="21" t="str">
        <f>IF('12 - Device_Configuration'!BA204="","",'12 - Device_Configuration'!BA204)</f>
        <v/>
      </c>
      <c r="W203" s="21" t="str">
        <f>IF('12 - Device_Configuration'!BC204="","",'12 - Device_Configuration'!BC204)</f>
        <v/>
      </c>
      <c r="X203" s="21" t="str">
        <f>IF('12 - Device_Configuration'!BK204="","",'12 - Device_Configuration'!BK204)</f>
        <v/>
      </c>
      <c r="Y203" s="21" t="str">
        <f>IF('12 - Device_Configuration'!BB204="","",'12 - Device_Configuration'!BB204)</f>
        <v/>
      </c>
      <c r="Z203" s="21" t="str">
        <f>IF('12 - Device_Configuration'!P204="","",'12 - Device_Configuration'!P204)</f>
        <v/>
      </c>
      <c r="AA203" s="21" t="str">
        <f>IF('12 - Device_Configuration'!Q204="","",'12 - Device_Configuration'!Q204)</f>
        <v/>
      </c>
    </row>
    <row r="204" spans="1:27">
      <c r="A204" s="22"/>
      <c r="B204" s="22"/>
      <c r="C204" s="21" t="str">
        <f>IF('12 - Device_Configuration'!H205="","",'12 - Device_Configuration'!H205)</f>
        <v/>
      </c>
      <c r="D204" s="21" t="str">
        <f>IF('12 - Device_Configuration'!AE205="","",'12 - Device_Configuration'!AE205)</f>
        <v/>
      </c>
      <c r="E204" s="21" t="str">
        <f>IF('12 - Device_Configuration'!AF205="","",'12 - Device_Configuration'!AF205)</f>
        <v/>
      </c>
      <c r="F204" s="21" t="str">
        <f>IF('12 - Device_Configuration'!AG205="","",'12 - Device_Configuration'!AG205)</f>
        <v/>
      </c>
      <c r="G204" s="21" t="str">
        <f>IF('12 - Device_Configuration'!AH205="","",'12 - Device_Configuration'!AH205)</f>
        <v/>
      </c>
      <c r="H204" s="21" t="str">
        <f>IF('12 - Device_Configuration'!A205="","",'12 - Device_Configuration'!A205)</f>
        <v/>
      </c>
      <c r="I204" s="21" t="str">
        <f>IF('12 - Device_Configuration'!AI205="","",'12 - Device_Configuration'!AI205)</f>
        <v/>
      </c>
      <c r="J204" s="21" t="str">
        <f>IF('12 - Device_Configuration'!AJ205="","",'12 - Device_Configuration'!AJ205)</f>
        <v/>
      </c>
      <c r="K204" s="21" t="str">
        <f>IF('12 - Device_Configuration'!AA205="","",'12 - Device_Configuration'!AA205)</f>
        <v/>
      </c>
      <c r="L204" s="21" t="str">
        <f>IF('12 - Device_Configuration'!I205="","",'12 - Device_Configuration'!I205)</f>
        <v/>
      </c>
      <c r="M204" s="22"/>
      <c r="N204" s="21" t="str">
        <f>IF('12 - Device_Configuration'!J205="","",'12 - Device_Configuration'!J205)</f>
        <v/>
      </c>
      <c r="O204" s="21" t="str">
        <f>IF('12 - Device_Configuration'!K205="","",'12 - Device_Configuration'!K205)</f>
        <v/>
      </c>
      <c r="P204" s="21" t="str">
        <f>IF('12 - Device_Configuration'!L205="","",'12 - Device_Configuration'!L205)</f>
        <v/>
      </c>
      <c r="Q204" s="22"/>
      <c r="R204" s="21" t="str">
        <f>IF('12 - Device_Configuration'!AY205="","",'12 - Device_Configuration'!AY205)</f>
        <v/>
      </c>
      <c r="S204" s="21" t="str">
        <f>IF('12 - Device_Configuration'!AX205="","",'12 - Device_Configuration'!AX205)</f>
        <v/>
      </c>
      <c r="T204" s="21" t="str">
        <f>IF('12 - Device_Configuration'!AV205="","",'12 - Device_Configuration'!AV205)</f>
        <v/>
      </c>
      <c r="U204" s="21" t="str">
        <f>IF('12 - Device_Configuration'!AW205="","",'12 - Device_Configuration'!AW205)</f>
        <v/>
      </c>
      <c r="V204" s="21" t="str">
        <f>IF('12 - Device_Configuration'!BA205="","",'12 - Device_Configuration'!BA205)</f>
        <v/>
      </c>
      <c r="W204" s="21" t="str">
        <f>IF('12 - Device_Configuration'!BC205="","",'12 - Device_Configuration'!BC205)</f>
        <v/>
      </c>
      <c r="X204" s="21" t="str">
        <f>IF('12 - Device_Configuration'!BK205="","",'12 - Device_Configuration'!BK205)</f>
        <v/>
      </c>
      <c r="Y204" s="21" t="str">
        <f>IF('12 - Device_Configuration'!BB205="","",'12 - Device_Configuration'!BB205)</f>
        <v/>
      </c>
      <c r="Z204" s="21" t="str">
        <f>IF('12 - Device_Configuration'!P205="","",'12 - Device_Configuration'!P205)</f>
        <v/>
      </c>
      <c r="AA204" s="21" t="str">
        <f>IF('12 - Device_Configuration'!Q205="","",'12 - Device_Configuration'!Q205)</f>
        <v/>
      </c>
    </row>
    <row r="205" spans="1:27">
      <c r="A205" s="22"/>
      <c r="B205" s="22"/>
      <c r="C205" s="21" t="str">
        <f>IF('12 - Device_Configuration'!H206="","",'12 - Device_Configuration'!H206)</f>
        <v/>
      </c>
      <c r="D205" s="21" t="str">
        <f>IF('12 - Device_Configuration'!AE206="","",'12 - Device_Configuration'!AE206)</f>
        <v/>
      </c>
      <c r="E205" s="21" t="str">
        <f>IF('12 - Device_Configuration'!AF206="","",'12 - Device_Configuration'!AF206)</f>
        <v/>
      </c>
      <c r="F205" s="21" t="str">
        <f>IF('12 - Device_Configuration'!AG206="","",'12 - Device_Configuration'!AG206)</f>
        <v/>
      </c>
      <c r="G205" s="21" t="str">
        <f>IF('12 - Device_Configuration'!AH206="","",'12 - Device_Configuration'!AH206)</f>
        <v/>
      </c>
      <c r="H205" s="21" t="str">
        <f>IF('12 - Device_Configuration'!A206="","",'12 - Device_Configuration'!A206)</f>
        <v/>
      </c>
      <c r="I205" s="21" t="str">
        <f>IF('12 - Device_Configuration'!AI206="","",'12 - Device_Configuration'!AI206)</f>
        <v/>
      </c>
      <c r="J205" s="21" t="str">
        <f>IF('12 - Device_Configuration'!AJ206="","",'12 - Device_Configuration'!AJ206)</f>
        <v/>
      </c>
      <c r="K205" s="21" t="str">
        <f>IF('12 - Device_Configuration'!AA206="","",'12 - Device_Configuration'!AA206)</f>
        <v/>
      </c>
      <c r="L205" s="21" t="str">
        <f>IF('12 - Device_Configuration'!I206="","",'12 - Device_Configuration'!I206)</f>
        <v/>
      </c>
      <c r="M205" s="22"/>
      <c r="N205" s="21" t="str">
        <f>IF('12 - Device_Configuration'!J206="","",'12 - Device_Configuration'!J206)</f>
        <v/>
      </c>
      <c r="O205" s="21" t="str">
        <f>IF('12 - Device_Configuration'!K206="","",'12 - Device_Configuration'!K206)</f>
        <v/>
      </c>
      <c r="P205" s="21" t="str">
        <f>IF('12 - Device_Configuration'!L206="","",'12 - Device_Configuration'!L206)</f>
        <v/>
      </c>
      <c r="Q205" s="22"/>
      <c r="R205" s="21" t="str">
        <f>IF('12 - Device_Configuration'!AY206="","",'12 - Device_Configuration'!AY206)</f>
        <v/>
      </c>
      <c r="S205" s="21" t="str">
        <f>IF('12 - Device_Configuration'!AX206="","",'12 - Device_Configuration'!AX206)</f>
        <v/>
      </c>
      <c r="T205" s="21" t="str">
        <f>IF('12 - Device_Configuration'!AV206="","",'12 - Device_Configuration'!AV206)</f>
        <v/>
      </c>
      <c r="U205" s="21" t="str">
        <f>IF('12 - Device_Configuration'!AW206="","",'12 - Device_Configuration'!AW206)</f>
        <v/>
      </c>
      <c r="V205" s="21" t="str">
        <f>IF('12 - Device_Configuration'!BA206="","",'12 - Device_Configuration'!BA206)</f>
        <v/>
      </c>
      <c r="W205" s="21" t="str">
        <f>IF('12 - Device_Configuration'!BC206="","",'12 - Device_Configuration'!BC206)</f>
        <v/>
      </c>
      <c r="X205" s="21" t="str">
        <f>IF('12 - Device_Configuration'!BK206="","",'12 - Device_Configuration'!BK206)</f>
        <v/>
      </c>
      <c r="Y205" s="21" t="str">
        <f>IF('12 - Device_Configuration'!BB206="","",'12 - Device_Configuration'!BB206)</f>
        <v/>
      </c>
      <c r="Z205" s="21" t="str">
        <f>IF('12 - Device_Configuration'!P206="","",'12 - Device_Configuration'!P206)</f>
        <v/>
      </c>
      <c r="AA205" s="21" t="str">
        <f>IF('12 - Device_Configuration'!Q206="","",'12 - Device_Configuration'!Q206)</f>
        <v/>
      </c>
    </row>
    <row r="206" spans="1:27">
      <c r="A206" s="22"/>
      <c r="B206" s="22"/>
      <c r="C206" s="21" t="str">
        <f>IF('12 - Device_Configuration'!H207="","",'12 - Device_Configuration'!H207)</f>
        <v/>
      </c>
      <c r="D206" s="21" t="str">
        <f>IF('12 - Device_Configuration'!AE207="","",'12 - Device_Configuration'!AE207)</f>
        <v/>
      </c>
      <c r="E206" s="21" t="str">
        <f>IF('12 - Device_Configuration'!AF207="","",'12 - Device_Configuration'!AF207)</f>
        <v/>
      </c>
      <c r="F206" s="21" t="str">
        <f>IF('12 - Device_Configuration'!AG207="","",'12 - Device_Configuration'!AG207)</f>
        <v/>
      </c>
      <c r="G206" s="21" t="str">
        <f>IF('12 - Device_Configuration'!AH207="","",'12 - Device_Configuration'!AH207)</f>
        <v/>
      </c>
      <c r="H206" s="21" t="str">
        <f>IF('12 - Device_Configuration'!A207="","",'12 - Device_Configuration'!A207)</f>
        <v/>
      </c>
      <c r="I206" s="21" t="str">
        <f>IF('12 - Device_Configuration'!AI207="","",'12 - Device_Configuration'!AI207)</f>
        <v/>
      </c>
      <c r="J206" s="21" t="str">
        <f>IF('12 - Device_Configuration'!AJ207="","",'12 - Device_Configuration'!AJ207)</f>
        <v/>
      </c>
      <c r="K206" s="21" t="str">
        <f>IF('12 - Device_Configuration'!AA207="","",'12 - Device_Configuration'!AA207)</f>
        <v/>
      </c>
      <c r="L206" s="21" t="str">
        <f>IF('12 - Device_Configuration'!I207="","",'12 - Device_Configuration'!I207)</f>
        <v/>
      </c>
      <c r="M206" s="22"/>
      <c r="N206" s="21" t="str">
        <f>IF('12 - Device_Configuration'!J207="","",'12 - Device_Configuration'!J207)</f>
        <v/>
      </c>
      <c r="O206" s="21" t="str">
        <f>IF('12 - Device_Configuration'!K207="","",'12 - Device_Configuration'!K207)</f>
        <v/>
      </c>
      <c r="P206" s="21" t="str">
        <f>IF('12 - Device_Configuration'!L207="","",'12 - Device_Configuration'!L207)</f>
        <v/>
      </c>
      <c r="Q206" s="22"/>
      <c r="R206" s="21" t="str">
        <f>IF('12 - Device_Configuration'!AY207="","",'12 - Device_Configuration'!AY207)</f>
        <v/>
      </c>
      <c r="S206" s="21" t="str">
        <f>IF('12 - Device_Configuration'!AX207="","",'12 - Device_Configuration'!AX207)</f>
        <v/>
      </c>
      <c r="T206" s="21" t="str">
        <f>IF('12 - Device_Configuration'!AV207="","",'12 - Device_Configuration'!AV207)</f>
        <v/>
      </c>
      <c r="U206" s="21" t="str">
        <f>IF('12 - Device_Configuration'!AW207="","",'12 - Device_Configuration'!AW207)</f>
        <v/>
      </c>
      <c r="V206" s="21" t="str">
        <f>IF('12 - Device_Configuration'!BA207="","",'12 - Device_Configuration'!BA207)</f>
        <v/>
      </c>
      <c r="W206" s="21" t="str">
        <f>IF('12 - Device_Configuration'!BC207="","",'12 - Device_Configuration'!BC207)</f>
        <v/>
      </c>
      <c r="X206" s="21" t="str">
        <f>IF('12 - Device_Configuration'!BK207="","",'12 - Device_Configuration'!BK207)</f>
        <v/>
      </c>
      <c r="Y206" s="21" t="str">
        <f>IF('12 - Device_Configuration'!BB207="","",'12 - Device_Configuration'!BB207)</f>
        <v/>
      </c>
      <c r="Z206" s="21" t="str">
        <f>IF('12 - Device_Configuration'!P207="","",'12 - Device_Configuration'!P207)</f>
        <v/>
      </c>
      <c r="AA206" s="21" t="str">
        <f>IF('12 - Device_Configuration'!Q207="","",'12 - Device_Configuration'!Q207)</f>
        <v/>
      </c>
    </row>
    <row r="207" spans="1:27">
      <c r="A207" s="22"/>
      <c r="B207" s="22"/>
      <c r="C207" s="21" t="str">
        <f>IF('12 - Device_Configuration'!H208="","",'12 - Device_Configuration'!H208)</f>
        <v/>
      </c>
      <c r="D207" s="21" t="str">
        <f>IF('12 - Device_Configuration'!AE208="","",'12 - Device_Configuration'!AE208)</f>
        <v/>
      </c>
      <c r="E207" s="21" t="str">
        <f>IF('12 - Device_Configuration'!AF208="","",'12 - Device_Configuration'!AF208)</f>
        <v/>
      </c>
      <c r="F207" s="21" t="str">
        <f>IF('12 - Device_Configuration'!AG208="","",'12 - Device_Configuration'!AG208)</f>
        <v/>
      </c>
      <c r="G207" s="21" t="str">
        <f>IF('12 - Device_Configuration'!AH208="","",'12 - Device_Configuration'!AH208)</f>
        <v/>
      </c>
      <c r="H207" s="21" t="str">
        <f>IF('12 - Device_Configuration'!A208="","",'12 - Device_Configuration'!A208)</f>
        <v/>
      </c>
      <c r="I207" s="21" t="str">
        <f>IF('12 - Device_Configuration'!AI208="","",'12 - Device_Configuration'!AI208)</f>
        <v/>
      </c>
      <c r="J207" s="21" t="str">
        <f>IF('12 - Device_Configuration'!AJ208="","",'12 - Device_Configuration'!AJ208)</f>
        <v/>
      </c>
      <c r="K207" s="21" t="str">
        <f>IF('12 - Device_Configuration'!AA208="","",'12 - Device_Configuration'!AA208)</f>
        <v/>
      </c>
      <c r="L207" s="21" t="str">
        <f>IF('12 - Device_Configuration'!I208="","",'12 - Device_Configuration'!I208)</f>
        <v/>
      </c>
      <c r="M207" s="22"/>
      <c r="N207" s="21" t="str">
        <f>IF('12 - Device_Configuration'!J208="","",'12 - Device_Configuration'!J208)</f>
        <v/>
      </c>
      <c r="O207" s="21" t="str">
        <f>IF('12 - Device_Configuration'!K208="","",'12 - Device_Configuration'!K208)</f>
        <v/>
      </c>
      <c r="P207" s="21" t="str">
        <f>IF('12 - Device_Configuration'!L208="","",'12 - Device_Configuration'!L208)</f>
        <v/>
      </c>
      <c r="Q207" s="22"/>
      <c r="R207" s="21" t="str">
        <f>IF('12 - Device_Configuration'!AY208="","",'12 - Device_Configuration'!AY208)</f>
        <v/>
      </c>
      <c r="S207" s="21" t="str">
        <f>IF('12 - Device_Configuration'!AX208="","",'12 - Device_Configuration'!AX208)</f>
        <v/>
      </c>
      <c r="T207" s="21" t="str">
        <f>IF('12 - Device_Configuration'!AV208="","",'12 - Device_Configuration'!AV208)</f>
        <v/>
      </c>
      <c r="U207" s="21" t="str">
        <f>IF('12 - Device_Configuration'!AW208="","",'12 - Device_Configuration'!AW208)</f>
        <v/>
      </c>
      <c r="V207" s="21" t="str">
        <f>IF('12 - Device_Configuration'!BA208="","",'12 - Device_Configuration'!BA208)</f>
        <v/>
      </c>
      <c r="W207" s="21" t="str">
        <f>IF('12 - Device_Configuration'!BC208="","",'12 - Device_Configuration'!BC208)</f>
        <v/>
      </c>
      <c r="X207" s="21" t="str">
        <f>IF('12 - Device_Configuration'!BK208="","",'12 - Device_Configuration'!BK208)</f>
        <v/>
      </c>
      <c r="Y207" s="21" t="str">
        <f>IF('12 - Device_Configuration'!BB208="","",'12 - Device_Configuration'!BB208)</f>
        <v/>
      </c>
      <c r="Z207" s="21" t="str">
        <f>IF('12 - Device_Configuration'!P208="","",'12 - Device_Configuration'!P208)</f>
        <v/>
      </c>
      <c r="AA207" s="21" t="str">
        <f>IF('12 - Device_Configuration'!Q208="","",'12 - Device_Configuration'!Q208)</f>
        <v/>
      </c>
    </row>
    <row r="208" spans="1:27">
      <c r="A208" s="22"/>
      <c r="B208" s="22"/>
      <c r="C208" s="21" t="str">
        <f>IF('12 - Device_Configuration'!H209="","",'12 - Device_Configuration'!H209)</f>
        <v/>
      </c>
      <c r="D208" s="21" t="str">
        <f>IF('12 - Device_Configuration'!AE209="","",'12 - Device_Configuration'!AE209)</f>
        <v/>
      </c>
      <c r="E208" s="21" t="str">
        <f>IF('12 - Device_Configuration'!AF209="","",'12 - Device_Configuration'!AF209)</f>
        <v/>
      </c>
      <c r="F208" s="21" t="str">
        <f>IF('12 - Device_Configuration'!AG209="","",'12 - Device_Configuration'!AG209)</f>
        <v/>
      </c>
      <c r="G208" s="21" t="str">
        <f>IF('12 - Device_Configuration'!AH209="","",'12 - Device_Configuration'!AH209)</f>
        <v/>
      </c>
      <c r="H208" s="21" t="str">
        <f>IF('12 - Device_Configuration'!A209="","",'12 - Device_Configuration'!A209)</f>
        <v/>
      </c>
      <c r="I208" s="21" t="str">
        <f>IF('12 - Device_Configuration'!AI209="","",'12 - Device_Configuration'!AI209)</f>
        <v/>
      </c>
      <c r="J208" s="21" t="str">
        <f>IF('12 - Device_Configuration'!AJ209="","",'12 - Device_Configuration'!AJ209)</f>
        <v/>
      </c>
      <c r="K208" s="21" t="str">
        <f>IF('12 - Device_Configuration'!AA209="","",'12 - Device_Configuration'!AA209)</f>
        <v/>
      </c>
      <c r="L208" s="21" t="str">
        <f>IF('12 - Device_Configuration'!I209="","",'12 - Device_Configuration'!I209)</f>
        <v/>
      </c>
      <c r="M208" s="22"/>
      <c r="N208" s="21" t="str">
        <f>IF('12 - Device_Configuration'!J209="","",'12 - Device_Configuration'!J209)</f>
        <v/>
      </c>
      <c r="O208" s="21" t="str">
        <f>IF('12 - Device_Configuration'!K209="","",'12 - Device_Configuration'!K209)</f>
        <v/>
      </c>
      <c r="P208" s="21" t="str">
        <f>IF('12 - Device_Configuration'!L209="","",'12 - Device_Configuration'!L209)</f>
        <v/>
      </c>
      <c r="Q208" s="22"/>
      <c r="R208" s="21" t="str">
        <f>IF('12 - Device_Configuration'!AY209="","",'12 - Device_Configuration'!AY209)</f>
        <v/>
      </c>
      <c r="S208" s="21" t="str">
        <f>IF('12 - Device_Configuration'!AX209="","",'12 - Device_Configuration'!AX209)</f>
        <v/>
      </c>
      <c r="T208" s="21" t="str">
        <f>IF('12 - Device_Configuration'!AV209="","",'12 - Device_Configuration'!AV209)</f>
        <v/>
      </c>
      <c r="U208" s="21" t="str">
        <f>IF('12 - Device_Configuration'!AW209="","",'12 - Device_Configuration'!AW209)</f>
        <v/>
      </c>
      <c r="V208" s="21" t="str">
        <f>IF('12 - Device_Configuration'!BA209="","",'12 - Device_Configuration'!BA209)</f>
        <v/>
      </c>
      <c r="W208" s="21" t="str">
        <f>IF('12 - Device_Configuration'!BC209="","",'12 - Device_Configuration'!BC209)</f>
        <v/>
      </c>
      <c r="X208" s="21" t="str">
        <f>IF('12 - Device_Configuration'!BK209="","",'12 - Device_Configuration'!BK209)</f>
        <v/>
      </c>
      <c r="Y208" s="21" t="str">
        <f>IF('12 - Device_Configuration'!BB209="","",'12 - Device_Configuration'!BB209)</f>
        <v/>
      </c>
      <c r="Z208" s="21" t="str">
        <f>IF('12 - Device_Configuration'!P209="","",'12 - Device_Configuration'!P209)</f>
        <v/>
      </c>
      <c r="AA208" s="21" t="str">
        <f>IF('12 - Device_Configuration'!Q209="","",'12 - Device_Configuration'!Q209)</f>
        <v/>
      </c>
    </row>
    <row r="209" spans="1:27">
      <c r="A209" s="22"/>
      <c r="B209" s="22"/>
      <c r="C209" s="21" t="str">
        <f>IF('12 - Device_Configuration'!H210="","",'12 - Device_Configuration'!H210)</f>
        <v/>
      </c>
      <c r="D209" s="21" t="str">
        <f>IF('12 - Device_Configuration'!AE210="","",'12 - Device_Configuration'!AE210)</f>
        <v/>
      </c>
      <c r="E209" s="21" t="str">
        <f>IF('12 - Device_Configuration'!AF210="","",'12 - Device_Configuration'!AF210)</f>
        <v/>
      </c>
      <c r="F209" s="21" t="str">
        <f>IF('12 - Device_Configuration'!AG210="","",'12 - Device_Configuration'!AG210)</f>
        <v/>
      </c>
      <c r="G209" s="21" t="str">
        <f>IF('12 - Device_Configuration'!AH210="","",'12 - Device_Configuration'!AH210)</f>
        <v/>
      </c>
      <c r="H209" s="21" t="str">
        <f>IF('12 - Device_Configuration'!A210="","",'12 - Device_Configuration'!A210)</f>
        <v/>
      </c>
      <c r="I209" s="21" t="str">
        <f>IF('12 - Device_Configuration'!AI210="","",'12 - Device_Configuration'!AI210)</f>
        <v/>
      </c>
      <c r="J209" s="21" t="str">
        <f>IF('12 - Device_Configuration'!AJ210="","",'12 - Device_Configuration'!AJ210)</f>
        <v/>
      </c>
      <c r="K209" s="21" t="str">
        <f>IF('12 - Device_Configuration'!AA210="","",'12 - Device_Configuration'!AA210)</f>
        <v/>
      </c>
      <c r="L209" s="21" t="str">
        <f>IF('12 - Device_Configuration'!I210="","",'12 - Device_Configuration'!I210)</f>
        <v/>
      </c>
      <c r="M209" s="22"/>
      <c r="N209" s="21" t="str">
        <f>IF('12 - Device_Configuration'!J210="","",'12 - Device_Configuration'!J210)</f>
        <v/>
      </c>
      <c r="O209" s="21" t="str">
        <f>IF('12 - Device_Configuration'!K210="","",'12 - Device_Configuration'!K210)</f>
        <v/>
      </c>
      <c r="P209" s="21" t="str">
        <f>IF('12 - Device_Configuration'!L210="","",'12 - Device_Configuration'!L210)</f>
        <v/>
      </c>
      <c r="Q209" s="22"/>
      <c r="R209" s="21" t="str">
        <f>IF('12 - Device_Configuration'!AY210="","",'12 - Device_Configuration'!AY210)</f>
        <v/>
      </c>
      <c r="S209" s="21" t="str">
        <f>IF('12 - Device_Configuration'!AX210="","",'12 - Device_Configuration'!AX210)</f>
        <v/>
      </c>
      <c r="T209" s="21" t="str">
        <f>IF('12 - Device_Configuration'!AV210="","",'12 - Device_Configuration'!AV210)</f>
        <v/>
      </c>
      <c r="U209" s="21" t="str">
        <f>IF('12 - Device_Configuration'!AW210="","",'12 - Device_Configuration'!AW210)</f>
        <v/>
      </c>
      <c r="V209" s="21" t="str">
        <f>IF('12 - Device_Configuration'!BA210="","",'12 - Device_Configuration'!BA210)</f>
        <v/>
      </c>
      <c r="W209" s="21" t="str">
        <f>IF('12 - Device_Configuration'!BC210="","",'12 - Device_Configuration'!BC210)</f>
        <v/>
      </c>
      <c r="X209" s="21" t="str">
        <f>IF('12 - Device_Configuration'!BK210="","",'12 - Device_Configuration'!BK210)</f>
        <v/>
      </c>
      <c r="Y209" s="21" t="str">
        <f>IF('12 - Device_Configuration'!BB210="","",'12 - Device_Configuration'!BB210)</f>
        <v/>
      </c>
      <c r="Z209" s="21" t="str">
        <f>IF('12 - Device_Configuration'!P210="","",'12 - Device_Configuration'!P210)</f>
        <v/>
      </c>
      <c r="AA209" s="21" t="str">
        <f>IF('12 - Device_Configuration'!Q210="","",'12 - Device_Configuration'!Q210)</f>
        <v/>
      </c>
    </row>
    <row r="210" spans="1:27">
      <c r="A210" s="22"/>
      <c r="B210" s="22"/>
      <c r="C210" s="21" t="str">
        <f>IF('12 - Device_Configuration'!H211="","",'12 - Device_Configuration'!H211)</f>
        <v/>
      </c>
      <c r="D210" s="21" t="str">
        <f>IF('12 - Device_Configuration'!AE211="","",'12 - Device_Configuration'!AE211)</f>
        <v/>
      </c>
      <c r="E210" s="21" t="str">
        <f>IF('12 - Device_Configuration'!AF211="","",'12 - Device_Configuration'!AF211)</f>
        <v/>
      </c>
      <c r="F210" s="21" t="str">
        <f>IF('12 - Device_Configuration'!AG211="","",'12 - Device_Configuration'!AG211)</f>
        <v/>
      </c>
      <c r="G210" s="21" t="str">
        <f>IF('12 - Device_Configuration'!AH211="","",'12 - Device_Configuration'!AH211)</f>
        <v/>
      </c>
      <c r="H210" s="21" t="str">
        <f>IF('12 - Device_Configuration'!A211="","",'12 - Device_Configuration'!A211)</f>
        <v/>
      </c>
      <c r="I210" s="21" t="str">
        <f>IF('12 - Device_Configuration'!AI211="","",'12 - Device_Configuration'!AI211)</f>
        <v/>
      </c>
      <c r="J210" s="21" t="str">
        <f>IF('12 - Device_Configuration'!AJ211="","",'12 - Device_Configuration'!AJ211)</f>
        <v/>
      </c>
      <c r="K210" s="21" t="str">
        <f>IF('12 - Device_Configuration'!AA211="","",'12 - Device_Configuration'!AA211)</f>
        <v/>
      </c>
      <c r="L210" s="21" t="str">
        <f>IF('12 - Device_Configuration'!I211="","",'12 - Device_Configuration'!I211)</f>
        <v/>
      </c>
      <c r="M210" s="22"/>
      <c r="N210" s="21" t="str">
        <f>IF('12 - Device_Configuration'!J211="","",'12 - Device_Configuration'!J211)</f>
        <v/>
      </c>
      <c r="O210" s="21" t="str">
        <f>IF('12 - Device_Configuration'!K211="","",'12 - Device_Configuration'!K211)</f>
        <v/>
      </c>
      <c r="P210" s="21" t="str">
        <f>IF('12 - Device_Configuration'!L211="","",'12 - Device_Configuration'!L211)</f>
        <v/>
      </c>
      <c r="Q210" s="22"/>
      <c r="R210" s="21" t="str">
        <f>IF('12 - Device_Configuration'!AY211="","",'12 - Device_Configuration'!AY211)</f>
        <v/>
      </c>
      <c r="S210" s="21" t="str">
        <f>IF('12 - Device_Configuration'!AX211="","",'12 - Device_Configuration'!AX211)</f>
        <v/>
      </c>
      <c r="T210" s="21" t="str">
        <f>IF('12 - Device_Configuration'!AV211="","",'12 - Device_Configuration'!AV211)</f>
        <v/>
      </c>
      <c r="U210" s="21" t="str">
        <f>IF('12 - Device_Configuration'!AW211="","",'12 - Device_Configuration'!AW211)</f>
        <v/>
      </c>
      <c r="V210" s="21" t="str">
        <f>IF('12 - Device_Configuration'!BA211="","",'12 - Device_Configuration'!BA211)</f>
        <v/>
      </c>
      <c r="W210" s="21" t="str">
        <f>IF('12 - Device_Configuration'!BC211="","",'12 - Device_Configuration'!BC211)</f>
        <v/>
      </c>
      <c r="X210" s="21" t="str">
        <f>IF('12 - Device_Configuration'!BK211="","",'12 - Device_Configuration'!BK211)</f>
        <v/>
      </c>
      <c r="Y210" s="21" t="str">
        <f>IF('12 - Device_Configuration'!BB211="","",'12 - Device_Configuration'!BB211)</f>
        <v/>
      </c>
      <c r="Z210" s="21" t="str">
        <f>IF('12 - Device_Configuration'!P211="","",'12 - Device_Configuration'!P211)</f>
        <v/>
      </c>
      <c r="AA210" s="21" t="str">
        <f>IF('12 - Device_Configuration'!Q211="","",'12 - Device_Configuration'!Q211)</f>
        <v/>
      </c>
    </row>
    <row r="211" spans="1:27">
      <c r="A211" s="22"/>
      <c r="B211" s="22"/>
      <c r="C211" s="21" t="str">
        <f>IF('12 - Device_Configuration'!H212="","",'12 - Device_Configuration'!H212)</f>
        <v/>
      </c>
      <c r="D211" s="21" t="str">
        <f>IF('12 - Device_Configuration'!AE212="","",'12 - Device_Configuration'!AE212)</f>
        <v/>
      </c>
      <c r="E211" s="21" t="str">
        <f>IF('12 - Device_Configuration'!AF212="","",'12 - Device_Configuration'!AF212)</f>
        <v/>
      </c>
      <c r="F211" s="21" t="str">
        <f>IF('12 - Device_Configuration'!AG212="","",'12 - Device_Configuration'!AG212)</f>
        <v/>
      </c>
      <c r="G211" s="21" t="str">
        <f>IF('12 - Device_Configuration'!AH212="","",'12 - Device_Configuration'!AH212)</f>
        <v/>
      </c>
      <c r="H211" s="21" t="str">
        <f>IF('12 - Device_Configuration'!A212="","",'12 - Device_Configuration'!A212)</f>
        <v/>
      </c>
      <c r="I211" s="21" t="str">
        <f>IF('12 - Device_Configuration'!AI212="","",'12 - Device_Configuration'!AI212)</f>
        <v/>
      </c>
      <c r="J211" s="21" t="str">
        <f>IF('12 - Device_Configuration'!AJ212="","",'12 - Device_Configuration'!AJ212)</f>
        <v/>
      </c>
      <c r="K211" s="21" t="str">
        <f>IF('12 - Device_Configuration'!AA212="","",'12 - Device_Configuration'!AA212)</f>
        <v/>
      </c>
      <c r="L211" s="21" t="str">
        <f>IF('12 - Device_Configuration'!I212="","",'12 - Device_Configuration'!I212)</f>
        <v/>
      </c>
      <c r="M211" s="22"/>
      <c r="N211" s="21" t="str">
        <f>IF('12 - Device_Configuration'!J212="","",'12 - Device_Configuration'!J212)</f>
        <v/>
      </c>
      <c r="O211" s="21" t="str">
        <f>IF('12 - Device_Configuration'!K212="","",'12 - Device_Configuration'!K212)</f>
        <v/>
      </c>
      <c r="P211" s="21" t="str">
        <f>IF('12 - Device_Configuration'!L212="","",'12 - Device_Configuration'!L212)</f>
        <v/>
      </c>
      <c r="Q211" s="22"/>
      <c r="R211" s="21" t="str">
        <f>IF('12 - Device_Configuration'!AY212="","",'12 - Device_Configuration'!AY212)</f>
        <v/>
      </c>
      <c r="S211" s="21" t="str">
        <f>IF('12 - Device_Configuration'!AX212="","",'12 - Device_Configuration'!AX212)</f>
        <v/>
      </c>
      <c r="T211" s="21" t="str">
        <f>IF('12 - Device_Configuration'!AV212="","",'12 - Device_Configuration'!AV212)</f>
        <v/>
      </c>
      <c r="U211" s="21" t="str">
        <f>IF('12 - Device_Configuration'!AW212="","",'12 - Device_Configuration'!AW212)</f>
        <v/>
      </c>
      <c r="V211" s="21" t="str">
        <f>IF('12 - Device_Configuration'!BA212="","",'12 - Device_Configuration'!BA212)</f>
        <v/>
      </c>
      <c r="W211" s="21" t="str">
        <f>IF('12 - Device_Configuration'!BC212="","",'12 - Device_Configuration'!BC212)</f>
        <v/>
      </c>
      <c r="X211" s="21" t="str">
        <f>IF('12 - Device_Configuration'!BK212="","",'12 - Device_Configuration'!BK212)</f>
        <v/>
      </c>
      <c r="Y211" s="21" t="str">
        <f>IF('12 - Device_Configuration'!BB212="","",'12 - Device_Configuration'!BB212)</f>
        <v/>
      </c>
      <c r="Z211" s="21" t="str">
        <f>IF('12 - Device_Configuration'!P212="","",'12 - Device_Configuration'!P212)</f>
        <v/>
      </c>
      <c r="AA211" s="21" t="str">
        <f>IF('12 - Device_Configuration'!Q212="","",'12 - Device_Configuration'!Q212)</f>
        <v/>
      </c>
    </row>
    <row r="212" spans="1:27">
      <c r="A212" s="22"/>
      <c r="B212" s="22"/>
      <c r="C212" s="21" t="str">
        <f>IF('12 - Device_Configuration'!H213="","",'12 - Device_Configuration'!H213)</f>
        <v/>
      </c>
      <c r="D212" s="21" t="str">
        <f>IF('12 - Device_Configuration'!AE213="","",'12 - Device_Configuration'!AE213)</f>
        <v/>
      </c>
      <c r="E212" s="21" t="str">
        <f>IF('12 - Device_Configuration'!AF213="","",'12 - Device_Configuration'!AF213)</f>
        <v/>
      </c>
      <c r="F212" s="21" t="str">
        <f>IF('12 - Device_Configuration'!AG213="","",'12 - Device_Configuration'!AG213)</f>
        <v/>
      </c>
      <c r="G212" s="21" t="str">
        <f>IF('12 - Device_Configuration'!AH213="","",'12 - Device_Configuration'!AH213)</f>
        <v/>
      </c>
      <c r="H212" s="21" t="str">
        <f>IF('12 - Device_Configuration'!A213="","",'12 - Device_Configuration'!A213)</f>
        <v/>
      </c>
      <c r="I212" s="21" t="str">
        <f>IF('12 - Device_Configuration'!AI213="","",'12 - Device_Configuration'!AI213)</f>
        <v/>
      </c>
      <c r="J212" s="21" t="str">
        <f>IF('12 - Device_Configuration'!AJ213="","",'12 - Device_Configuration'!AJ213)</f>
        <v/>
      </c>
      <c r="K212" s="21" t="str">
        <f>IF('12 - Device_Configuration'!AA213="","",'12 - Device_Configuration'!AA213)</f>
        <v/>
      </c>
      <c r="L212" s="21" t="str">
        <f>IF('12 - Device_Configuration'!I213="","",'12 - Device_Configuration'!I213)</f>
        <v/>
      </c>
      <c r="M212" s="22"/>
      <c r="N212" s="21" t="str">
        <f>IF('12 - Device_Configuration'!J213="","",'12 - Device_Configuration'!J213)</f>
        <v/>
      </c>
      <c r="O212" s="21" t="str">
        <f>IF('12 - Device_Configuration'!K213="","",'12 - Device_Configuration'!K213)</f>
        <v/>
      </c>
      <c r="P212" s="21" t="str">
        <f>IF('12 - Device_Configuration'!L213="","",'12 - Device_Configuration'!L213)</f>
        <v/>
      </c>
      <c r="Q212" s="22"/>
      <c r="R212" s="21" t="str">
        <f>IF('12 - Device_Configuration'!AY213="","",'12 - Device_Configuration'!AY213)</f>
        <v/>
      </c>
      <c r="S212" s="21" t="str">
        <f>IF('12 - Device_Configuration'!AX213="","",'12 - Device_Configuration'!AX213)</f>
        <v/>
      </c>
      <c r="T212" s="21" t="str">
        <f>IF('12 - Device_Configuration'!AV213="","",'12 - Device_Configuration'!AV213)</f>
        <v/>
      </c>
      <c r="U212" s="21" t="str">
        <f>IF('12 - Device_Configuration'!AW213="","",'12 - Device_Configuration'!AW213)</f>
        <v/>
      </c>
      <c r="V212" s="21" t="str">
        <f>IF('12 - Device_Configuration'!BA213="","",'12 - Device_Configuration'!BA213)</f>
        <v/>
      </c>
      <c r="W212" s="21" t="str">
        <f>IF('12 - Device_Configuration'!BC213="","",'12 - Device_Configuration'!BC213)</f>
        <v/>
      </c>
      <c r="X212" s="21" t="str">
        <f>IF('12 - Device_Configuration'!BK213="","",'12 - Device_Configuration'!BK213)</f>
        <v/>
      </c>
      <c r="Y212" s="21" t="str">
        <f>IF('12 - Device_Configuration'!BB213="","",'12 - Device_Configuration'!BB213)</f>
        <v/>
      </c>
      <c r="Z212" s="21" t="str">
        <f>IF('12 - Device_Configuration'!P213="","",'12 - Device_Configuration'!P213)</f>
        <v/>
      </c>
      <c r="AA212" s="21" t="str">
        <f>IF('12 - Device_Configuration'!Q213="","",'12 - Device_Configuration'!Q213)</f>
        <v/>
      </c>
    </row>
    <row r="213" spans="1:27">
      <c r="A213" s="22"/>
      <c r="B213" s="22"/>
      <c r="C213" s="21" t="str">
        <f>IF('12 - Device_Configuration'!H214="","",'12 - Device_Configuration'!H214)</f>
        <v/>
      </c>
      <c r="D213" s="21" t="str">
        <f>IF('12 - Device_Configuration'!AE214="","",'12 - Device_Configuration'!AE214)</f>
        <v/>
      </c>
      <c r="E213" s="21" t="str">
        <f>IF('12 - Device_Configuration'!AF214="","",'12 - Device_Configuration'!AF214)</f>
        <v/>
      </c>
      <c r="F213" s="21" t="str">
        <f>IF('12 - Device_Configuration'!AG214="","",'12 - Device_Configuration'!AG214)</f>
        <v/>
      </c>
      <c r="G213" s="21" t="str">
        <f>IF('12 - Device_Configuration'!AH214="","",'12 - Device_Configuration'!AH214)</f>
        <v/>
      </c>
      <c r="H213" s="21" t="str">
        <f>IF('12 - Device_Configuration'!A214="","",'12 - Device_Configuration'!A214)</f>
        <v/>
      </c>
      <c r="I213" s="21" t="str">
        <f>IF('12 - Device_Configuration'!AI214="","",'12 - Device_Configuration'!AI214)</f>
        <v/>
      </c>
      <c r="J213" s="21" t="str">
        <f>IF('12 - Device_Configuration'!AJ214="","",'12 - Device_Configuration'!AJ214)</f>
        <v/>
      </c>
      <c r="K213" s="21" t="str">
        <f>IF('12 - Device_Configuration'!AA214="","",'12 - Device_Configuration'!AA214)</f>
        <v/>
      </c>
      <c r="L213" s="21" t="str">
        <f>IF('12 - Device_Configuration'!I214="","",'12 - Device_Configuration'!I214)</f>
        <v/>
      </c>
      <c r="M213" s="22"/>
      <c r="N213" s="21" t="str">
        <f>IF('12 - Device_Configuration'!J214="","",'12 - Device_Configuration'!J214)</f>
        <v/>
      </c>
      <c r="O213" s="21" t="str">
        <f>IF('12 - Device_Configuration'!K214="","",'12 - Device_Configuration'!K214)</f>
        <v/>
      </c>
      <c r="P213" s="21" t="str">
        <f>IF('12 - Device_Configuration'!L214="","",'12 - Device_Configuration'!L214)</f>
        <v/>
      </c>
      <c r="Q213" s="22"/>
      <c r="R213" s="21" t="str">
        <f>IF('12 - Device_Configuration'!AY214="","",'12 - Device_Configuration'!AY214)</f>
        <v/>
      </c>
      <c r="S213" s="21" t="str">
        <f>IF('12 - Device_Configuration'!AX214="","",'12 - Device_Configuration'!AX214)</f>
        <v/>
      </c>
      <c r="T213" s="21" t="str">
        <f>IF('12 - Device_Configuration'!AV214="","",'12 - Device_Configuration'!AV214)</f>
        <v/>
      </c>
      <c r="U213" s="21" t="str">
        <f>IF('12 - Device_Configuration'!AW214="","",'12 - Device_Configuration'!AW214)</f>
        <v/>
      </c>
      <c r="V213" s="21" t="str">
        <f>IF('12 - Device_Configuration'!BA214="","",'12 - Device_Configuration'!BA214)</f>
        <v/>
      </c>
      <c r="W213" s="21" t="str">
        <f>IF('12 - Device_Configuration'!BC214="","",'12 - Device_Configuration'!BC214)</f>
        <v/>
      </c>
      <c r="X213" s="21" t="str">
        <f>IF('12 - Device_Configuration'!BK214="","",'12 - Device_Configuration'!BK214)</f>
        <v/>
      </c>
      <c r="Y213" s="21" t="str">
        <f>IF('12 - Device_Configuration'!BB214="","",'12 - Device_Configuration'!BB214)</f>
        <v/>
      </c>
      <c r="Z213" s="21" t="str">
        <f>IF('12 - Device_Configuration'!P214="","",'12 - Device_Configuration'!P214)</f>
        <v/>
      </c>
      <c r="AA213" s="21" t="str">
        <f>IF('12 - Device_Configuration'!Q214="","",'12 - Device_Configuration'!Q214)</f>
        <v/>
      </c>
    </row>
    <row r="214" spans="1:27">
      <c r="A214" s="22"/>
      <c r="B214" s="22"/>
      <c r="C214" s="21" t="str">
        <f>IF('12 - Device_Configuration'!H215="","",'12 - Device_Configuration'!H215)</f>
        <v/>
      </c>
      <c r="D214" s="21" t="str">
        <f>IF('12 - Device_Configuration'!AE215="","",'12 - Device_Configuration'!AE215)</f>
        <v/>
      </c>
      <c r="E214" s="21" t="str">
        <f>IF('12 - Device_Configuration'!AF215="","",'12 - Device_Configuration'!AF215)</f>
        <v/>
      </c>
      <c r="F214" s="21" t="str">
        <f>IF('12 - Device_Configuration'!AG215="","",'12 - Device_Configuration'!AG215)</f>
        <v/>
      </c>
      <c r="G214" s="21" t="str">
        <f>IF('12 - Device_Configuration'!AH215="","",'12 - Device_Configuration'!AH215)</f>
        <v/>
      </c>
      <c r="H214" s="21" t="str">
        <f>IF('12 - Device_Configuration'!A215="","",'12 - Device_Configuration'!A215)</f>
        <v/>
      </c>
      <c r="I214" s="21" t="str">
        <f>IF('12 - Device_Configuration'!AI215="","",'12 - Device_Configuration'!AI215)</f>
        <v/>
      </c>
      <c r="J214" s="21" t="str">
        <f>IF('12 - Device_Configuration'!AJ215="","",'12 - Device_Configuration'!AJ215)</f>
        <v/>
      </c>
      <c r="K214" s="21" t="str">
        <f>IF('12 - Device_Configuration'!AA215="","",'12 - Device_Configuration'!AA215)</f>
        <v/>
      </c>
      <c r="L214" s="21" t="str">
        <f>IF('12 - Device_Configuration'!I215="","",'12 - Device_Configuration'!I215)</f>
        <v/>
      </c>
      <c r="M214" s="22"/>
      <c r="N214" s="21" t="str">
        <f>IF('12 - Device_Configuration'!J215="","",'12 - Device_Configuration'!J215)</f>
        <v/>
      </c>
      <c r="O214" s="21" t="str">
        <f>IF('12 - Device_Configuration'!K215="","",'12 - Device_Configuration'!K215)</f>
        <v/>
      </c>
      <c r="P214" s="21" t="str">
        <f>IF('12 - Device_Configuration'!L215="","",'12 - Device_Configuration'!L215)</f>
        <v/>
      </c>
      <c r="Q214" s="22"/>
      <c r="R214" s="21" t="str">
        <f>IF('12 - Device_Configuration'!AY215="","",'12 - Device_Configuration'!AY215)</f>
        <v/>
      </c>
      <c r="S214" s="21" t="str">
        <f>IF('12 - Device_Configuration'!AX215="","",'12 - Device_Configuration'!AX215)</f>
        <v/>
      </c>
      <c r="T214" s="21" t="str">
        <f>IF('12 - Device_Configuration'!AV215="","",'12 - Device_Configuration'!AV215)</f>
        <v/>
      </c>
      <c r="U214" s="21" t="str">
        <f>IF('12 - Device_Configuration'!AW215="","",'12 - Device_Configuration'!AW215)</f>
        <v/>
      </c>
      <c r="V214" s="21" t="str">
        <f>IF('12 - Device_Configuration'!BA215="","",'12 - Device_Configuration'!BA215)</f>
        <v/>
      </c>
      <c r="W214" s="21" t="str">
        <f>IF('12 - Device_Configuration'!BC215="","",'12 - Device_Configuration'!BC215)</f>
        <v/>
      </c>
      <c r="X214" s="21" t="str">
        <f>IF('12 - Device_Configuration'!BK215="","",'12 - Device_Configuration'!BK215)</f>
        <v/>
      </c>
      <c r="Y214" s="21" t="str">
        <f>IF('12 - Device_Configuration'!BB215="","",'12 - Device_Configuration'!BB215)</f>
        <v/>
      </c>
      <c r="Z214" s="21" t="str">
        <f>IF('12 - Device_Configuration'!P215="","",'12 - Device_Configuration'!P215)</f>
        <v/>
      </c>
      <c r="AA214" s="21" t="str">
        <f>IF('12 - Device_Configuration'!Q215="","",'12 - Device_Configuration'!Q215)</f>
        <v/>
      </c>
    </row>
    <row r="215" spans="1:27">
      <c r="A215" s="22"/>
      <c r="B215" s="22"/>
      <c r="C215" s="21" t="str">
        <f>IF('12 - Device_Configuration'!H216="","",'12 - Device_Configuration'!H216)</f>
        <v/>
      </c>
      <c r="D215" s="21" t="str">
        <f>IF('12 - Device_Configuration'!AE216="","",'12 - Device_Configuration'!AE216)</f>
        <v/>
      </c>
      <c r="E215" s="21" t="str">
        <f>IF('12 - Device_Configuration'!AF216="","",'12 - Device_Configuration'!AF216)</f>
        <v/>
      </c>
      <c r="F215" s="21" t="str">
        <f>IF('12 - Device_Configuration'!AG216="","",'12 - Device_Configuration'!AG216)</f>
        <v/>
      </c>
      <c r="G215" s="21" t="str">
        <f>IF('12 - Device_Configuration'!AH216="","",'12 - Device_Configuration'!AH216)</f>
        <v/>
      </c>
      <c r="H215" s="21" t="str">
        <f>IF('12 - Device_Configuration'!A216="","",'12 - Device_Configuration'!A216)</f>
        <v/>
      </c>
      <c r="I215" s="21" t="str">
        <f>IF('12 - Device_Configuration'!AI216="","",'12 - Device_Configuration'!AI216)</f>
        <v/>
      </c>
      <c r="J215" s="21" t="str">
        <f>IF('12 - Device_Configuration'!AJ216="","",'12 - Device_Configuration'!AJ216)</f>
        <v/>
      </c>
      <c r="K215" s="21" t="str">
        <f>IF('12 - Device_Configuration'!AA216="","",'12 - Device_Configuration'!AA216)</f>
        <v/>
      </c>
      <c r="L215" s="21" t="str">
        <f>IF('12 - Device_Configuration'!I216="","",'12 - Device_Configuration'!I216)</f>
        <v/>
      </c>
      <c r="M215" s="22"/>
      <c r="N215" s="21" t="str">
        <f>IF('12 - Device_Configuration'!J216="","",'12 - Device_Configuration'!J216)</f>
        <v/>
      </c>
      <c r="O215" s="21" t="str">
        <f>IF('12 - Device_Configuration'!K216="","",'12 - Device_Configuration'!K216)</f>
        <v/>
      </c>
      <c r="P215" s="21" t="str">
        <f>IF('12 - Device_Configuration'!L216="","",'12 - Device_Configuration'!L216)</f>
        <v/>
      </c>
      <c r="Q215" s="22"/>
      <c r="R215" s="21" t="str">
        <f>IF('12 - Device_Configuration'!AY216="","",'12 - Device_Configuration'!AY216)</f>
        <v/>
      </c>
      <c r="S215" s="21" t="str">
        <f>IF('12 - Device_Configuration'!AX216="","",'12 - Device_Configuration'!AX216)</f>
        <v/>
      </c>
      <c r="T215" s="21" t="str">
        <f>IF('12 - Device_Configuration'!AV216="","",'12 - Device_Configuration'!AV216)</f>
        <v/>
      </c>
      <c r="U215" s="21" t="str">
        <f>IF('12 - Device_Configuration'!AW216="","",'12 - Device_Configuration'!AW216)</f>
        <v/>
      </c>
      <c r="V215" s="21" t="str">
        <f>IF('12 - Device_Configuration'!BA216="","",'12 - Device_Configuration'!BA216)</f>
        <v/>
      </c>
      <c r="W215" s="21" t="str">
        <f>IF('12 - Device_Configuration'!BC216="","",'12 - Device_Configuration'!BC216)</f>
        <v/>
      </c>
      <c r="X215" s="21" t="str">
        <f>IF('12 - Device_Configuration'!BK216="","",'12 - Device_Configuration'!BK216)</f>
        <v/>
      </c>
      <c r="Y215" s="21" t="str">
        <f>IF('12 - Device_Configuration'!BB216="","",'12 - Device_Configuration'!BB216)</f>
        <v/>
      </c>
      <c r="Z215" s="21" t="str">
        <f>IF('12 - Device_Configuration'!P216="","",'12 - Device_Configuration'!P216)</f>
        <v/>
      </c>
      <c r="AA215" s="21" t="str">
        <f>IF('12 - Device_Configuration'!Q216="","",'12 - Device_Configuration'!Q216)</f>
        <v/>
      </c>
    </row>
    <row r="216" spans="1:27">
      <c r="A216" s="22"/>
      <c r="B216" s="22"/>
      <c r="C216" s="21" t="str">
        <f>IF('12 - Device_Configuration'!H217="","",'12 - Device_Configuration'!H217)</f>
        <v/>
      </c>
      <c r="D216" s="21" t="str">
        <f>IF('12 - Device_Configuration'!AE217="","",'12 - Device_Configuration'!AE217)</f>
        <v/>
      </c>
      <c r="E216" s="21" t="str">
        <f>IF('12 - Device_Configuration'!AF217="","",'12 - Device_Configuration'!AF217)</f>
        <v/>
      </c>
      <c r="F216" s="21" t="str">
        <f>IF('12 - Device_Configuration'!AG217="","",'12 - Device_Configuration'!AG217)</f>
        <v/>
      </c>
      <c r="G216" s="21" t="str">
        <f>IF('12 - Device_Configuration'!AH217="","",'12 - Device_Configuration'!AH217)</f>
        <v/>
      </c>
      <c r="H216" s="21" t="str">
        <f>IF('12 - Device_Configuration'!A217="","",'12 - Device_Configuration'!A217)</f>
        <v/>
      </c>
      <c r="I216" s="21" t="str">
        <f>IF('12 - Device_Configuration'!AI217="","",'12 - Device_Configuration'!AI217)</f>
        <v/>
      </c>
      <c r="J216" s="21" t="str">
        <f>IF('12 - Device_Configuration'!AJ217="","",'12 - Device_Configuration'!AJ217)</f>
        <v/>
      </c>
      <c r="K216" s="21" t="str">
        <f>IF('12 - Device_Configuration'!AA217="","",'12 - Device_Configuration'!AA217)</f>
        <v/>
      </c>
      <c r="L216" s="21" t="str">
        <f>IF('12 - Device_Configuration'!I217="","",'12 - Device_Configuration'!I217)</f>
        <v/>
      </c>
      <c r="M216" s="22"/>
      <c r="N216" s="21" t="str">
        <f>IF('12 - Device_Configuration'!J217="","",'12 - Device_Configuration'!J217)</f>
        <v/>
      </c>
      <c r="O216" s="21" t="str">
        <f>IF('12 - Device_Configuration'!K217="","",'12 - Device_Configuration'!K217)</f>
        <v/>
      </c>
      <c r="P216" s="21" t="str">
        <f>IF('12 - Device_Configuration'!L217="","",'12 - Device_Configuration'!L217)</f>
        <v/>
      </c>
      <c r="Q216" s="22"/>
      <c r="R216" s="21" t="str">
        <f>IF('12 - Device_Configuration'!AY217="","",'12 - Device_Configuration'!AY217)</f>
        <v/>
      </c>
      <c r="S216" s="21" t="str">
        <f>IF('12 - Device_Configuration'!AX217="","",'12 - Device_Configuration'!AX217)</f>
        <v/>
      </c>
      <c r="T216" s="21" t="str">
        <f>IF('12 - Device_Configuration'!AV217="","",'12 - Device_Configuration'!AV217)</f>
        <v/>
      </c>
      <c r="U216" s="21" t="str">
        <f>IF('12 - Device_Configuration'!AW217="","",'12 - Device_Configuration'!AW217)</f>
        <v/>
      </c>
      <c r="V216" s="21" t="str">
        <f>IF('12 - Device_Configuration'!BA217="","",'12 - Device_Configuration'!BA217)</f>
        <v/>
      </c>
      <c r="W216" s="21" t="str">
        <f>IF('12 - Device_Configuration'!BC217="","",'12 - Device_Configuration'!BC217)</f>
        <v/>
      </c>
      <c r="X216" s="21" t="str">
        <f>IF('12 - Device_Configuration'!BK217="","",'12 - Device_Configuration'!BK217)</f>
        <v/>
      </c>
      <c r="Y216" s="21" t="str">
        <f>IF('12 - Device_Configuration'!BB217="","",'12 - Device_Configuration'!BB217)</f>
        <v/>
      </c>
      <c r="Z216" s="21" t="str">
        <f>IF('12 - Device_Configuration'!P217="","",'12 - Device_Configuration'!P217)</f>
        <v/>
      </c>
      <c r="AA216" s="21" t="str">
        <f>IF('12 - Device_Configuration'!Q217="","",'12 - Device_Configuration'!Q217)</f>
        <v/>
      </c>
    </row>
    <row r="217" spans="1:27">
      <c r="A217" s="22"/>
      <c r="B217" s="22"/>
      <c r="C217" s="21" t="str">
        <f>IF('12 - Device_Configuration'!H218="","",'12 - Device_Configuration'!H218)</f>
        <v/>
      </c>
      <c r="D217" s="21" t="str">
        <f>IF('12 - Device_Configuration'!AE218="","",'12 - Device_Configuration'!AE218)</f>
        <v/>
      </c>
      <c r="E217" s="21" t="str">
        <f>IF('12 - Device_Configuration'!AF218="","",'12 - Device_Configuration'!AF218)</f>
        <v/>
      </c>
      <c r="F217" s="21" t="str">
        <f>IF('12 - Device_Configuration'!AG218="","",'12 - Device_Configuration'!AG218)</f>
        <v/>
      </c>
      <c r="G217" s="21" t="str">
        <f>IF('12 - Device_Configuration'!AH218="","",'12 - Device_Configuration'!AH218)</f>
        <v/>
      </c>
      <c r="H217" s="21" t="str">
        <f>IF('12 - Device_Configuration'!A218="","",'12 - Device_Configuration'!A218)</f>
        <v/>
      </c>
      <c r="I217" s="21" t="str">
        <f>IF('12 - Device_Configuration'!AI218="","",'12 - Device_Configuration'!AI218)</f>
        <v/>
      </c>
      <c r="J217" s="21" t="str">
        <f>IF('12 - Device_Configuration'!AJ218="","",'12 - Device_Configuration'!AJ218)</f>
        <v/>
      </c>
      <c r="K217" s="21" t="str">
        <f>IF('12 - Device_Configuration'!AA218="","",'12 - Device_Configuration'!AA218)</f>
        <v/>
      </c>
      <c r="L217" s="21" t="str">
        <f>IF('12 - Device_Configuration'!I218="","",'12 - Device_Configuration'!I218)</f>
        <v/>
      </c>
      <c r="M217" s="22"/>
      <c r="N217" s="21" t="str">
        <f>IF('12 - Device_Configuration'!J218="","",'12 - Device_Configuration'!J218)</f>
        <v/>
      </c>
      <c r="O217" s="21" t="str">
        <f>IF('12 - Device_Configuration'!K218="","",'12 - Device_Configuration'!K218)</f>
        <v/>
      </c>
      <c r="P217" s="21" t="str">
        <f>IF('12 - Device_Configuration'!L218="","",'12 - Device_Configuration'!L218)</f>
        <v/>
      </c>
      <c r="Q217" s="22"/>
      <c r="R217" s="21" t="str">
        <f>IF('12 - Device_Configuration'!AY218="","",'12 - Device_Configuration'!AY218)</f>
        <v/>
      </c>
      <c r="S217" s="21" t="str">
        <f>IF('12 - Device_Configuration'!AX218="","",'12 - Device_Configuration'!AX218)</f>
        <v/>
      </c>
      <c r="T217" s="21" t="str">
        <f>IF('12 - Device_Configuration'!AV218="","",'12 - Device_Configuration'!AV218)</f>
        <v/>
      </c>
      <c r="U217" s="21" t="str">
        <f>IF('12 - Device_Configuration'!AW218="","",'12 - Device_Configuration'!AW218)</f>
        <v/>
      </c>
      <c r="V217" s="21" t="str">
        <f>IF('12 - Device_Configuration'!BA218="","",'12 - Device_Configuration'!BA218)</f>
        <v/>
      </c>
      <c r="W217" s="21" t="str">
        <f>IF('12 - Device_Configuration'!BC218="","",'12 - Device_Configuration'!BC218)</f>
        <v/>
      </c>
      <c r="X217" s="21" t="str">
        <f>IF('12 - Device_Configuration'!BK218="","",'12 - Device_Configuration'!BK218)</f>
        <v/>
      </c>
      <c r="Y217" s="21" t="str">
        <f>IF('12 - Device_Configuration'!BB218="","",'12 - Device_Configuration'!BB218)</f>
        <v/>
      </c>
      <c r="Z217" s="21" t="str">
        <f>IF('12 - Device_Configuration'!P218="","",'12 - Device_Configuration'!P218)</f>
        <v/>
      </c>
      <c r="AA217" s="21" t="str">
        <f>IF('12 - Device_Configuration'!Q218="","",'12 - Device_Configuration'!Q218)</f>
        <v/>
      </c>
    </row>
    <row r="218" spans="1:27">
      <c r="A218" s="22"/>
      <c r="B218" s="22"/>
      <c r="C218" s="21" t="str">
        <f>IF('12 - Device_Configuration'!H219="","",'12 - Device_Configuration'!H219)</f>
        <v/>
      </c>
      <c r="D218" s="21" t="str">
        <f>IF('12 - Device_Configuration'!AE219="","",'12 - Device_Configuration'!AE219)</f>
        <v/>
      </c>
      <c r="E218" s="21" t="str">
        <f>IF('12 - Device_Configuration'!AF219="","",'12 - Device_Configuration'!AF219)</f>
        <v/>
      </c>
      <c r="F218" s="21" t="str">
        <f>IF('12 - Device_Configuration'!AG219="","",'12 - Device_Configuration'!AG219)</f>
        <v/>
      </c>
      <c r="G218" s="21" t="str">
        <f>IF('12 - Device_Configuration'!AH219="","",'12 - Device_Configuration'!AH219)</f>
        <v/>
      </c>
      <c r="H218" s="21" t="str">
        <f>IF('12 - Device_Configuration'!A219="","",'12 - Device_Configuration'!A219)</f>
        <v/>
      </c>
      <c r="I218" s="21" t="str">
        <f>IF('12 - Device_Configuration'!AI219="","",'12 - Device_Configuration'!AI219)</f>
        <v/>
      </c>
      <c r="J218" s="21" t="str">
        <f>IF('12 - Device_Configuration'!AJ219="","",'12 - Device_Configuration'!AJ219)</f>
        <v/>
      </c>
      <c r="K218" s="21" t="str">
        <f>IF('12 - Device_Configuration'!AA219="","",'12 - Device_Configuration'!AA219)</f>
        <v/>
      </c>
      <c r="L218" s="21" t="str">
        <f>IF('12 - Device_Configuration'!I219="","",'12 - Device_Configuration'!I219)</f>
        <v/>
      </c>
      <c r="M218" s="22"/>
      <c r="N218" s="21" t="str">
        <f>IF('12 - Device_Configuration'!J219="","",'12 - Device_Configuration'!J219)</f>
        <v/>
      </c>
      <c r="O218" s="21" t="str">
        <f>IF('12 - Device_Configuration'!K219="","",'12 - Device_Configuration'!K219)</f>
        <v/>
      </c>
      <c r="P218" s="21" t="str">
        <f>IF('12 - Device_Configuration'!L219="","",'12 - Device_Configuration'!L219)</f>
        <v/>
      </c>
      <c r="Q218" s="22"/>
      <c r="R218" s="21" t="str">
        <f>IF('12 - Device_Configuration'!AY219="","",'12 - Device_Configuration'!AY219)</f>
        <v/>
      </c>
      <c r="S218" s="21" t="str">
        <f>IF('12 - Device_Configuration'!AX219="","",'12 - Device_Configuration'!AX219)</f>
        <v/>
      </c>
      <c r="T218" s="21" t="str">
        <f>IF('12 - Device_Configuration'!AV219="","",'12 - Device_Configuration'!AV219)</f>
        <v/>
      </c>
      <c r="U218" s="21" t="str">
        <f>IF('12 - Device_Configuration'!AW219="","",'12 - Device_Configuration'!AW219)</f>
        <v/>
      </c>
      <c r="V218" s="21" t="str">
        <f>IF('12 - Device_Configuration'!BA219="","",'12 - Device_Configuration'!BA219)</f>
        <v/>
      </c>
      <c r="W218" s="21" t="str">
        <f>IF('12 - Device_Configuration'!BC219="","",'12 - Device_Configuration'!BC219)</f>
        <v/>
      </c>
      <c r="X218" s="21" t="str">
        <f>IF('12 - Device_Configuration'!BK219="","",'12 - Device_Configuration'!BK219)</f>
        <v/>
      </c>
      <c r="Y218" s="21" t="str">
        <f>IF('12 - Device_Configuration'!BB219="","",'12 - Device_Configuration'!BB219)</f>
        <v/>
      </c>
      <c r="Z218" s="21" t="str">
        <f>IF('12 - Device_Configuration'!P219="","",'12 - Device_Configuration'!P219)</f>
        <v/>
      </c>
      <c r="AA218" s="21" t="str">
        <f>IF('12 - Device_Configuration'!Q219="","",'12 - Device_Configuration'!Q219)</f>
        <v/>
      </c>
    </row>
    <row r="219" spans="1:27">
      <c r="A219" s="22"/>
      <c r="B219" s="22"/>
      <c r="C219" s="21" t="str">
        <f>IF('12 - Device_Configuration'!H220="","",'12 - Device_Configuration'!H220)</f>
        <v/>
      </c>
      <c r="D219" s="21" t="str">
        <f>IF('12 - Device_Configuration'!AE220="","",'12 - Device_Configuration'!AE220)</f>
        <v/>
      </c>
      <c r="E219" s="21" t="str">
        <f>IF('12 - Device_Configuration'!AF220="","",'12 - Device_Configuration'!AF220)</f>
        <v/>
      </c>
      <c r="F219" s="21" t="str">
        <f>IF('12 - Device_Configuration'!AG220="","",'12 - Device_Configuration'!AG220)</f>
        <v/>
      </c>
      <c r="G219" s="21" t="str">
        <f>IF('12 - Device_Configuration'!AH220="","",'12 - Device_Configuration'!AH220)</f>
        <v/>
      </c>
      <c r="H219" s="21" t="str">
        <f>IF('12 - Device_Configuration'!A220="","",'12 - Device_Configuration'!A220)</f>
        <v/>
      </c>
      <c r="I219" s="21" t="str">
        <f>IF('12 - Device_Configuration'!AI220="","",'12 - Device_Configuration'!AI220)</f>
        <v/>
      </c>
      <c r="J219" s="21" t="str">
        <f>IF('12 - Device_Configuration'!AJ220="","",'12 - Device_Configuration'!AJ220)</f>
        <v/>
      </c>
      <c r="K219" s="21" t="str">
        <f>IF('12 - Device_Configuration'!AA220="","",'12 - Device_Configuration'!AA220)</f>
        <v/>
      </c>
      <c r="L219" s="21" t="str">
        <f>IF('12 - Device_Configuration'!I220="","",'12 - Device_Configuration'!I220)</f>
        <v/>
      </c>
      <c r="M219" s="22"/>
      <c r="N219" s="21" t="str">
        <f>IF('12 - Device_Configuration'!J220="","",'12 - Device_Configuration'!J220)</f>
        <v/>
      </c>
      <c r="O219" s="21" t="str">
        <f>IF('12 - Device_Configuration'!K220="","",'12 - Device_Configuration'!K220)</f>
        <v/>
      </c>
      <c r="P219" s="21" t="str">
        <f>IF('12 - Device_Configuration'!L220="","",'12 - Device_Configuration'!L220)</f>
        <v/>
      </c>
      <c r="Q219" s="22"/>
      <c r="R219" s="21" t="str">
        <f>IF('12 - Device_Configuration'!AY220="","",'12 - Device_Configuration'!AY220)</f>
        <v/>
      </c>
      <c r="S219" s="21" t="str">
        <f>IF('12 - Device_Configuration'!AX220="","",'12 - Device_Configuration'!AX220)</f>
        <v/>
      </c>
      <c r="T219" s="21" t="str">
        <f>IF('12 - Device_Configuration'!AV220="","",'12 - Device_Configuration'!AV220)</f>
        <v/>
      </c>
      <c r="U219" s="21" t="str">
        <f>IF('12 - Device_Configuration'!AW220="","",'12 - Device_Configuration'!AW220)</f>
        <v/>
      </c>
      <c r="V219" s="21" t="str">
        <f>IF('12 - Device_Configuration'!BA220="","",'12 - Device_Configuration'!BA220)</f>
        <v/>
      </c>
      <c r="W219" s="21" t="str">
        <f>IF('12 - Device_Configuration'!BC220="","",'12 - Device_Configuration'!BC220)</f>
        <v/>
      </c>
      <c r="X219" s="21" t="str">
        <f>IF('12 - Device_Configuration'!BK220="","",'12 - Device_Configuration'!BK220)</f>
        <v/>
      </c>
      <c r="Y219" s="21" t="str">
        <f>IF('12 - Device_Configuration'!BB220="","",'12 - Device_Configuration'!BB220)</f>
        <v/>
      </c>
      <c r="Z219" s="21" t="str">
        <f>IF('12 - Device_Configuration'!P220="","",'12 - Device_Configuration'!P220)</f>
        <v/>
      </c>
      <c r="AA219" s="21" t="str">
        <f>IF('12 - Device_Configuration'!Q220="","",'12 - Device_Configuration'!Q220)</f>
        <v/>
      </c>
    </row>
    <row r="220" spans="1:27">
      <c r="A220" s="22"/>
      <c r="B220" s="22"/>
      <c r="C220" s="21" t="str">
        <f>IF('12 - Device_Configuration'!H221="","",'12 - Device_Configuration'!H221)</f>
        <v/>
      </c>
      <c r="D220" s="21" t="str">
        <f>IF('12 - Device_Configuration'!AE221="","",'12 - Device_Configuration'!AE221)</f>
        <v/>
      </c>
      <c r="E220" s="21" t="str">
        <f>IF('12 - Device_Configuration'!AF221="","",'12 - Device_Configuration'!AF221)</f>
        <v/>
      </c>
      <c r="F220" s="21" t="str">
        <f>IF('12 - Device_Configuration'!AG221="","",'12 - Device_Configuration'!AG221)</f>
        <v/>
      </c>
      <c r="G220" s="21" t="str">
        <f>IF('12 - Device_Configuration'!AH221="","",'12 - Device_Configuration'!AH221)</f>
        <v/>
      </c>
      <c r="H220" s="21" t="str">
        <f>IF('12 - Device_Configuration'!A221="","",'12 - Device_Configuration'!A221)</f>
        <v/>
      </c>
      <c r="I220" s="21" t="str">
        <f>IF('12 - Device_Configuration'!AI221="","",'12 - Device_Configuration'!AI221)</f>
        <v/>
      </c>
      <c r="J220" s="21" t="str">
        <f>IF('12 - Device_Configuration'!AJ221="","",'12 - Device_Configuration'!AJ221)</f>
        <v/>
      </c>
      <c r="K220" s="21" t="str">
        <f>IF('12 - Device_Configuration'!AA221="","",'12 - Device_Configuration'!AA221)</f>
        <v/>
      </c>
      <c r="L220" s="21" t="str">
        <f>IF('12 - Device_Configuration'!I221="","",'12 - Device_Configuration'!I221)</f>
        <v/>
      </c>
      <c r="M220" s="22"/>
      <c r="N220" s="21" t="str">
        <f>IF('12 - Device_Configuration'!J221="","",'12 - Device_Configuration'!J221)</f>
        <v/>
      </c>
      <c r="O220" s="21" t="str">
        <f>IF('12 - Device_Configuration'!K221="","",'12 - Device_Configuration'!K221)</f>
        <v/>
      </c>
      <c r="P220" s="21" t="str">
        <f>IF('12 - Device_Configuration'!L221="","",'12 - Device_Configuration'!L221)</f>
        <v/>
      </c>
      <c r="Q220" s="22"/>
      <c r="R220" s="21" t="str">
        <f>IF('12 - Device_Configuration'!AY221="","",'12 - Device_Configuration'!AY221)</f>
        <v/>
      </c>
      <c r="S220" s="21" t="str">
        <f>IF('12 - Device_Configuration'!AX221="","",'12 - Device_Configuration'!AX221)</f>
        <v/>
      </c>
      <c r="T220" s="21" t="str">
        <f>IF('12 - Device_Configuration'!AV221="","",'12 - Device_Configuration'!AV221)</f>
        <v/>
      </c>
      <c r="U220" s="21" t="str">
        <f>IF('12 - Device_Configuration'!AW221="","",'12 - Device_Configuration'!AW221)</f>
        <v/>
      </c>
      <c r="V220" s="21" t="str">
        <f>IF('12 - Device_Configuration'!BA221="","",'12 - Device_Configuration'!BA221)</f>
        <v/>
      </c>
      <c r="W220" s="21" t="str">
        <f>IF('12 - Device_Configuration'!BC221="","",'12 - Device_Configuration'!BC221)</f>
        <v/>
      </c>
      <c r="X220" s="21" t="str">
        <f>IF('12 - Device_Configuration'!BK221="","",'12 - Device_Configuration'!BK221)</f>
        <v/>
      </c>
      <c r="Y220" s="21" t="str">
        <f>IF('12 - Device_Configuration'!BB221="","",'12 - Device_Configuration'!BB221)</f>
        <v/>
      </c>
      <c r="Z220" s="21" t="str">
        <f>IF('12 - Device_Configuration'!P221="","",'12 - Device_Configuration'!P221)</f>
        <v/>
      </c>
      <c r="AA220" s="21" t="str">
        <f>IF('12 - Device_Configuration'!Q221="","",'12 - Device_Configuration'!Q221)</f>
        <v/>
      </c>
    </row>
    <row r="221" spans="1:27">
      <c r="A221" s="22"/>
      <c r="B221" s="22"/>
      <c r="C221" s="21" t="str">
        <f>IF('12 - Device_Configuration'!H222="","",'12 - Device_Configuration'!H222)</f>
        <v/>
      </c>
      <c r="D221" s="21" t="str">
        <f>IF('12 - Device_Configuration'!AE222="","",'12 - Device_Configuration'!AE222)</f>
        <v/>
      </c>
      <c r="E221" s="21" t="str">
        <f>IF('12 - Device_Configuration'!AF222="","",'12 - Device_Configuration'!AF222)</f>
        <v/>
      </c>
      <c r="F221" s="21" t="str">
        <f>IF('12 - Device_Configuration'!AG222="","",'12 - Device_Configuration'!AG222)</f>
        <v/>
      </c>
      <c r="G221" s="21" t="str">
        <f>IF('12 - Device_Configuration'!AH222="","",'12 - Device_Configuration'!AH222)</f>
        <v/>
      </c>
      <c r="H221" s="21" t="str">
        <f>IF('12 - Device_Configuration'!A222="","",'12 - Device_Configuration'!A222)</f>
        <v/>
      </c>
      <c r="I221" s="21" t="str">
        <f>IF('12 - Device_Configuration'!AI222="","",'12 - Device_Configuration'!AI222)</f>
        <v/>
      </c>
      <c r="J221" s="21" t="str">
        <f>IF('12 - Device_Configuration'!AJ222="","",'12 - Device_Configuration'!AJ222)</f>
        <v/>
      </c>
      <c r="K221" s="21" t="str">
        <f>IF('12 - Device_Configuration'!AA222="","",'12 - Device_Configuration'!AA222)</f>
        <v/>
      </c>
      <c r="L221" s="21" t="str">
        <f>IF('12 - Device_Configuration'!I222="","",'12 - Device_Configuration'!I222)</f>
        <v/>
      </c>
      <c r="M221" s="22"/>
      <c r="N221" s="21" t="str">
        <f>IF('12 - Device_Configuration'!J222="","",'12 - Device_Configuration'!J222)</f>
        <v/>
      </c>
      <c r="O221" s="21" t="str">
        <f>IF('12 - Device_Configuration'!K222="","",'12 - Device_Configuration'!K222)</f>
        <v/>
      </c>
      <c r="P221" s="21" t="str">
        <f>IF('12 - Device_Configuration'!L222="","",'12 - Device_Configuration'!L222)</f>
        <v/>
      </c>
      <c r="Q221" s="22"/>
      <c r="R221" s="21" t="str">
        <f>IF('12 - Device_Configuration'!AY222="","",'12 - Device_Configuration'!AY222)</f>
        <v/>
      </c>
      <c r="S221" s="21" t="str">
        <f>IF('12 - Device_Configuration'!AX222="","",'12 - Device_Configuration'!AX222)</f>
        <v/>
      </c>
      <c r="T221" s="21" t="str">
        <f>IF('12 - Device_Configuration'!AV222="","",'12 - Device_Configuration'!AV222)</f>
        <v/>
      </c>
      <c r="U221" s="21" t="str">
        <f>IF('12 - Device_Configuration'!AW222="","",'12 - Device_Configuration'!AW222)</f>
        <v/>
      </c>
      <c r="V221" s="21" t="str">
        <f>IF('12 - Device_Configuration'!BA222="","",'12 - Device_Configuration'!BA222)</f>
        <v/>
      </c>
      <c r="W221" s="21" t="str">
        <f>IF('12 - Device_Configuration'!BC222="","",'12 - Device_Configuration'!BC222)</f>
        <v/>
      </c>
      <c r="X221" s="21" t="str">
        <f>IF('12 - Device_Configuration'!BK222="","",'12 - Device_Configuration'!BK222)</f>
        <v/>
      </c>
      <c r="Y221" s="21" t="str">
        <f>IF('12 - Device_Configuration'!BB222="","",'12 - Device_Configuration'!BB222)</f>
        <v/>
      </c>
      <c r="Z221" s="21" t="str">
        <f>IF('12 - Device_Configuration'!P222="","",'12 - Device_Configuration'!P222)</f>
        <v/>
      </c>
      <c r="AA221" s="21" t="str">
        <f>IF('12 - Device_Configuration'!Q222="","",'12 - Device_Configuration'!Q222)</f>
        <v/>
      </c>
    </row>
    <row r="222" spans="1:27">
      <c r="A222" s="22"/>
      <c r="B222" s="22"/>
      <c r="C222" s="21" t="str">
        <f>IF('12 - Device_Configuration'!H223="","",'12 - Device_Configuration'!H223)</f>
        <v/>
      </c>
      <c r="D222" s="21" t="str">
        <f>IF('12 - Device_Configuration'!AE223="","",'12 - Device_Configuration'!AE223)</f>
        <v/>
      </c>
      <c r="E222" s="21" t="str">
        <f>IF('12 - Device_Configuration'!AF223="","",'12 - Device_Configuration'!AF223)</f>
        <v/>
      </c>
      <c r="F222" s="21" t="str">
        <f>IF('12 - Device_Configuration'!AG223="","",'12 - Device_Configuration'!AG223)</f>
        <v/>
      </c>
      <c r="G222" s="21" t="str">
        <f>IF('12 - Device_Configuration'!AH223="","",'12 - Device_Configuration'!AH223)</f>
        <v/>
      </c>
      <c r="H222" s="21" t="str">
        <f>IF('12 - Device_Configuration'!A223="","",'12 - Device_Configuration'!A223)</f>
        <v/>
      </c>
      <c r="I222" s="21" t="str">
        <f>IF('12 - Device_Configuration'!AI223="","",'12 - Device_Configuration'!AI223)</f>
        <v/>
      </c>
      <c r="J222" s="21" t="str">
        <f>IF('12 - Device_Configuration'!AJ223="","",'12 - Device_Configuration'!AJ223)</f>
        <v/>
      </c>
      <c r="K222" s="21" t="str">
        <f>IF('12 - Device_Configuration'!AA223="","",'12 - Device_Configuration'!AA223)</f>
        <v/>
      </c>
      <c r="L222" s="21" t="str">
        <f>IF('12 - Device_Configuration'!I223="","",'12 - Device_Configuration'!I223)</f>
        <v/>
      </c>
      <c r="M222" s="22"/>
      <c r="N222" s="21" t="str">
        <f>IF('12 - Device_Configuration'!J223="","",'12 - Device_Configuration'!J223)</f>
        <v/>
      </c>
      <c r="O222" s="21" t="str">
        <f>IF('12 - Device_Configuration'!K223="","",'12 - Device_Configuration'!K223)</f>
        <v/>
      </c>
      <c r="P222" s="21" t="str">
        <f>IF('12 - Device_Configuration'!L223="","",'12 - Device_Configuration'!L223)</f>
        <v/>
      </c>
      <c r="Q222" s="22"/>
      <c r="R222" s="21" t="str">
        <f>IF('12 - Device_Configuration'!AY223="","",'12 - Device_Configuration'!AY223)</f>
        <v/>
      </c>
      <c r="S222" s="21" t="str">
        <f>IF('12 - Device_Configuration'!AX223="","",'12 - Device_Configuration'!AX223)</f>
        <v/>
      </c>
      <c r="T222" s="21" t="str">
        <f>IF('12 - Device_Configuration'!AV223="","",'12 - Device_Configuration'!AV223)</f>
        <v/>
      </c>
      <c r="U222" s="21" t="str">
        <f>IF('12 - Device_Configuration'!AW223="","",'12 - Device_Configuration'!AW223)</f>
        <v/>
      </c>
      <c r="V222" s="21" t="str">
        <f>IF('12 - Device_Configuration'!BA223="","",'12 - Device_Configuration'!BA223)</f>
        <v/>
      </c>
      <c r="W222" s="21" t="str">
        <f>IF('12 - Device_Configuration'!BC223="","",'12 - Device_Configuration'!BC223)</f>
        <v/>
      </c>
      <c r="X222" s="21" t="str">
        <f>IF('12 - Device_Configuration'!BK223="","",'12 - Device_Configuration'!BK223)</f>
        <v/>
      </c>
      <c r="Y222" s="21" t="str">
        <f>IF('12 - Device_Configuration'!BB223="","",'12 - Device_Configuration'!BB223)</f>
        <v/>
      </c>
      <c r="Z222" s="21" t="str">
        <f>IF('12 - Device_Configuration'!P223="","",'12 - Device_Configuration'!P223)</f>
        <v/>
      </c>
      <c r="AA222" s="21" t="str">
        <f>IF('12 - Device_Configuration'!Q223="","",'12 - Device_Configuration'!Q223)</f>
        <v/>
      </c>
    </row>
    <row r="223" spans="1:27">
      <c r="A223" s="22"/>
      <c r="B223" s="22"/>
      <c r="C223" s="21" t="str">
        <f>IF('12 - Device_Configuration'!H224="","",'12 - Device_Configuration'!H224)</f>
        <v/>
      </c>
      <c r="D223" s="21" t="str">
        <f>IF('12 - Device_Configuration'!AE224="","",'12 - Device_Configuration'!AE224)</f>
        <v/>
      </c>
      <c r="E223" s="21" t="str">
        <f>IF('12 - Device_Configuration'!AF224="","",'12 - Device_Configuration'!AF224)</f>
        <v/>
      </c>
      <c r="F223" s="21" t="str">
        <f>IF('12 - Device_Configuration'!AG224="","",'12 - Device_Configuration'!AG224)</f>
        <v/>
      </c>
      <c r="G223" s="21" t="str">
        <f>IF('12 - Device_Configuration'!AH224="","",'12 - Device_Configuration'!AH224)</f>
        <v/>
      </c>
      <c r="H223" s="21" t="str">
        <f>IF('12 - Device_Configuration'!A224="","",'12 - Device_Configuration'!A224)</f>
        <v/>
      </c>
      <c r="I223" s="21" t="str">
        <f>IF('12 - Device_Configuration'!AI224="","",'12 - Device_Configuration'!AI224)</f>
        <v/>
      </c>
      <c r="J223" s="21" t="str">
        <f>IF('12 - Device_Configuration'!AJ224="","",'12 - Device_Configuration'!AJ224)</f>
        <v/>
      </c>
      <c r="K223" s="21" t="str">
        <f>IF('12 - Device_Configuration'!AA224="","",'12 - Device_Configuration'!AA224)</f>
        <v/>
      </c>
      <c r="L223" s="21" t="str">
        <f>IF('12 - Device_Configuration'!I224="","",'12 - Device_Configuration'!I224)</f>
        <v/>
      </c>
      <c r="M223" s="22"/>
      <c r="N223" s="21" t="str">
        <f>IF('12 - Device_Configuration'!J224="","",'12 - Device_Configuration'!J224)</f>
        <v/>
      </c>
      <c r="O223" s="21" t="str">
        <f>IF('12 - Device_Configuration'!K224="","",'12 - Device_Configuration'!K224)</f>
        <v/>
      </c>
      <c r="P223" s="21" t="str">
        <f>IF('12 - Device_Configuration'!L224="","",'12 - Device_Configuration'!L224)</f>
        <v/>
      </c>
      <c r="Q223" s="22"/>
      <c r="R223" s="21" t="str">
        <f>IF('12 - Device_Configuration'!AY224="","",'12 - Device_Configuration'!AY224)</f>
        <v/>
      </c>
      <c r="S223" s="21" t="str">
        <f>IF('12 - Device_Configuration'!AX224="","",'12 - Device_Configuration'!AX224)</f>
        <v/>
      </c>
      <c r="T223" s="21" t="str">
        <f>IF('12 - Device_Configuration'!AV224="","",'12 - Device_Configuration'!AV224)</f>
        <v/>
      </c>
      <c r="U223" s="21" t="str">
        <f>IF('12 - Device_Configuration'!AW224="","",'12 - Device_Configuration'!AW224)</f>
        <v/>
      </c>
      <c r="V223" s="21" t="str">
        <f>IF('12 - Device_Configuration'!BA224="","",'12 - Device_Configuration'!BA224)</f>
        <v/>
      </c>
      <c r="W223" s="21" t="str">
        <f>IF('12 - Device_Configuration'!BC224="","",'12 - Device_Configuration'!BC224)</f>
        <v/>
      </c>
      <c r="X223" s="21" t="str">
        <f>IF('12 - Device_Configuration'!BK224="","",'12 - Device_Configuration'!BK224)</f>
        <v/>
      </c>
      <c r="Y223" s="21" t="str">
        <f>IF('12 - Device_Configuration'!BB224="","",'12 - Device_Configuration'!BB224)</f>
        <v/>
      </c>
      <c r="Z223" s="21" t="str">
        <f>IF('12 - Device_Configuration'!P224="","",'12 - Device_Configuration'!P224)</f>
        <v/>
      </c>
      <c r="AA223" s="21" t="str">
        <f>IF('12 - Device_Configuration'!Q224="","",'12 - Device_Configuration'!Q224)</f>
        <v/>
      </c>
    </row>
    <row r="224" spans="1:27">
      <c r="A224" s="22"/>
      <c r="B224" s="22"/>
      <c r="C224" s="21" t="str">
        <f>IF('12 - Device_Configuration'!H225="","",'12 - Device_Configuration'!H225)</f>
        <v/>
      </c>
      <c r="D224" s="21" t="str">
        <f>IF('12 - Device_Configuration'!AE225="","",'12 - Device_Configuration'!AE225)</f>
        <v/>
      </c>
      <c r="E224" s="21" t="str">
        <f>IF('12 - Device_Configuration'!AF225="","",'12 - Device_Configuration'!AF225)</f>
        <v/>
      </c>
      <c r="F224" s="21" t="str">
        <f>IF('12 - Device_Configuration'!AG225="","",'12 - Device_Configuration'!AG225)</f>
        <v/>
      </c>
      <c r="G224" s="21" t="str">
        <f>IF('12 - Device_Configuration'!AH225="","",'12 - Device_Configuration'!AH225)</f>
        <v/>
      </c>
      <c r="H224" s="21" t="str">
        <f>IF('12 - Device_Configuration'!A225="","",'12 - Device_Configuration'!A225)</f>
        <v/>
      </c>
      <c r="I224" s="21" t="str">
        <f>IF('12 - Device_Configuration'!AI225="","",'12 - Device_Configuration'!AI225)</f>
        <v/>
      </c>
      <c r="J224" s="21" t="str">
        <f>IF('12 - Device_Configuration'!AJ225="","",'12 - Device_Configuration'!AJ225)</f>
        <v/>
      </c>
      <c r="K224" s="21" t="str">
        <f>IF('12 - Device_Configuration'!AA225="","",'12 - Device_Configuration'!AA225)</f>
        <v/>
      </c>
      <c r="L224" s="21" t="str">
        <f>IF('12 - Device_Configuration'!I225="","",'12 - Device_Configuration'!I225)</f>
        <v/>
      </c>
      <c r="M224" s="22"/>
      <c r="N224" s="21" t="str">
        <f>IF('12 - Device_Configuration'!J225="","",'12 - Device_Configuration'!J225)</f>
        <v/>
      </c>
      <c r="O224" s="21" t="str">
        <f>IF('12 - Device_Configuration'!K225="","",'12 - Device_Configuration'!K225)</f>
        <v/>
      </c>
      <c r="P224" s="21" t="str">
        <f>IF('12 - Device_Configuration'!L225="","",'12 - Device_Configuration'!L225)</f>
        <v/>
      </c>
      <c r="Q224" s="22"/>
      <c r="R224" s="21" t="str">
        <f>IF('12 - Device_Configuration'!AY225="","",'12 - Device_Configuration'!AY225)</f>
        <v/>
      </c>
      <c r="S224" s="21" t="str">
        <f>IF('12 - Device_Configuration'!AX225="","",'12 - Device_Configuration'!AX225)</f>
        <v/>
      </c>
      <c r="T224" s="21" t="str">
        <f>IF('12 - Device_Configuration'!AV225="","",'12 - Device_Configuration'!AV225)</f>
        <v/>
      </c>
      <c r="U224" s="21" t="str">
        <f>IF('12 - Device_Configuration'!AW225="","",'12 - Device_Configuration'!AW225)</f>
        <v/>
      </c>
      <c r="V224" s="21" t="str">
        <f>IF('12 - Device_Configuration'!BA225="","",'12 - Device_Configuration'!BA225)</f>
        <v/>
      </c>
      <c r="W224" s="21" t="str">
        <f>IF('12 - Device_Configuration'!BC225="","",'12 - Device_Configuration'!BC225)</f>
        <v/>
      </c>
      <c r="X224" s="21" t="str">
        <f>IF('12 - Device_Configuration'!BK225="","",'12 - Device_Configuration'!BK225)</f>
        <v/>
      </c>
      <c r="Y224" s="21" t="str">
        <f>IF('12 - Device_Configuration'!BB225="","",'12 - Device_Configuration'!BB225)</f>
        <v/>
      </c>
      <c r="Z224" s="21" t="str">
        <f>IF('12 - Device_Configuration'!P225="","",'12 - Device_Configuration'!P225)</f>
        <v/>
      </c>
      <c r="AA224" s="21" t="str">
        <f>IF('12 - Device_Configuration'!Q225="","",'12 - Device_Configuration'!Q225)</f>
        <v/>
      </c>
    </row>
    <row r="225" spans="1:27">
      <c r="A225" s="22"/>
      <c r="B225" s="22"/>
      <c r="C225" s="21" t="str">
        <f>IF('12 - Device_Configuration'!H226="","",'12 - Device_Configuration'!H226)</f>
        <v/>
      </c>
      <c r="D225" s="21" t="str">
        <f>IF('12 - Device_Configuration'!AE226="","",'12 - Device_Configuration'!AE226)</f>
        <v/>
      </c>
      <c r="E225" s="21" t="str">
        <f>IF('12 - Device_Configuration'!AF226="","",'12 - Device_Configuration'!AF226)</f>
        <v/>
      </c>
      <c r="F225" s="21" t="str">
        <f>IF('12 - Device_Configuration'!AG226="","",'12 - Device_Configuration'!AG226)</f>
        <v/>
      </c>
      <c r="G225" s="21" t="str">
        <f>IF('12 - Device_Configuration'!AH226="","",'12 - Device_Configuration'!AH226)</f>
        <v/>
      </c>
      <c r="H225" s="21" t="str">
        <f>IF('12 - Device_Configuration'!A226="","",'12 - Device_Configuration'!A226)</f>
        <v/>
      </c>
      <c r="I225" s="21" t="str">
        <f>IF('12 - Device_Configuration'!AI226="","",'12 - Device_Configuration'!AI226)</f>
        <v/>
      </c>
      <c r="J225" s="21" t="str">
        <f>IF('12 - Device_Configuration'!AJ226="","",'12 - Device_Configuration'!AJ226)</f>
        <v/>
      </c>
      <c r="K225" s="21" t="str">
        <f>IF('12 - Device_Configuration'!AA226="","",'12 - Device_Configuration'!AA226)</f>
        <v/>
      </c>
      <c r="L225" s="21" t="str">
        <f>IF('12 - Device_Configuration'!I226="","",'12 - Device_Configuration'!I226)</f>
        <v/>
      </c>
      <c r="M225" s="22"/>
      <c r="N225" s="21" t="str">
        <f>IF('12 - Device_Configuration'!J226="","",'12 - Device_Configuration'!J226)</f>
        <v/>
      </c>
      <c r="O225" s="21" t="str">
        <f>IF('12 - Device_Configuration'!K226="","",'12 - Device_Configuration'!K226)</f>
        <v/>
      </c>
      <c r="P225" s="21" t="str">
        <f>IF('12 - Device_Configuration'!L226="","",'12 - Device_Configuration'!L226)</f>
        <v/>
      </c>
      <c r="Q225" s="22"/>
      <c r="R225" s="21" t="str">
        <f>IF('12 - Device_Configuration'!AY226="","",'12 - Device_Configuration'!AY226)</f>
        <v/>
      </c>
      <c r="S225" s="21" t="str">
        <f>IF('12 - Device_Configuration'!AX226="","",'12 - Device_Configuration'!AX226)</f>
        <v/>
      </c>
      <c r="T225" s="21" t="str">
        <f>IF('12 - Device_Configuration'!AV226="","",'12 - Device_Configuration'!AV226)</f>
        <v/>
      </c>
      <c r="U225" s="21" t="str">
        <f>IF('12 - Device_Configuration'!AW226="","",'12 - Device_Configuration'!AW226)</f>
        <v/>
      </c>
      <c r="V225" s="21" t="str">
        <f>IF('12 - Device_Configuration'!BA226="","",'12 - Device_Configuration'!BA226)</f>
        <v/>
      </c>
      <c r="W225" s="21" t="str">
        <f>IF('12 - Device_Configuration'!BC226="","",'12 - Device_Configuration'!BC226)</f>
        <v/>
      </c>
      <c r="X225" s="21" t="str">
        <f>IF('12 - Device_Configuration'!BK226="","",'12 - Device_Configuration'!BK226)</f>
        <v/>
      </c>
      <c r="Y225" s="21" t="str">
        <f>IF('12 - Device_Configuration'!BB226="","",'12 - Device_Configuration'!BB226)</f>
        <v/>
      </c>
      <c r="Z225" s="21" t="str">
        <f>IF('12 - Device_Configuration'!P226="","",'12 - Device_Configuration'!P226)</f>
        <v/>
      </c>
      <c r="AA225" s="21" t="str">
        <f>IF('12 - Device_Configuration'!Q226="","",'12 - Device_Configuration'!Q226)</f>
        <v/>
      </c>
    </row>
    <row r="226" spans="1:27">
      <c r="A226" s="22"/>
      <c r="B226" s="22"/>
      <c r="C226" s="21" t="str">
        <f>IF('12 - Device_Configuration'!H227="","",'12 - Device_Configuration'!H227)</f>
        <v/>
      </c>
      <c r="D226" s="21" t="str">
        <f>IF('12 - Device_Configuration'!AE227="","",'12 - Device_Configuration'!AE227)</f>
        <v/>
      </c>
      <c r="E226" s="21" t="str">
        <f>IF('12 - Device_Configuration'!AF227="","",'12 - Device_Configuration'!AF227)</f>
        <v/>
      </c>
      <c r="F226" s="21" t="str">
        <f>IF('12 - Device_Configuration'!AG227="","",'12 - Device_Configuration'!AG227)</f>
        <v/>
      </c>
      <c r="G226" s="21" t="str">
        <f>IF('12 - Device_Configuration'!AH227="","",'12 - Device_Configuration'!AH227)</f>
        <v/>
      </c>
      <c r="H226" s="21" t="str">
        <f>IF('12 - Device_Configuration'!A227="","",'12 - Device_Configuration'!A227)</f>
        <v/>
      </c>
      <c r="I226" s="21" t="str">
        <f>IF('12 - Device_Configuration'!AI227="","",'12 - Device_Configuration'!AI227)</f>
        <v/>
      </c>
      <c r="J226" s="21" t="str">
        <f>IF('12 - Device_Configuration'!AJ227="","",'12 - Device_Configuration'!AJ227)</f>
        <v/>
      </c>
      <c r="K226" s="21" t="str">
        <f>IF('12 - Device_Configuration'!AA227="","",'12 - Device_Configuration'!AA227)</f>
        <v/>
      </c>
      <c r="L226" s="21" t="str">
        <f>IF('12 - Device_Configuration'!I227="","",'12 - Device_Configuration'!I227)</f>
        <v/>
      </c>
      <c r="M226" s="22"/>
      <c r="N226" s="21" t="str">
        <f>IF('12 - Device_Configuration'!J227="","",'12 - Device_Configuration'!J227)</f>
        <v/>
      </c>
      <c r="O226" s="21" t="str">
        <f>IF('12 - Device_Configuration'!K227="","",'12 - Device_Configuration'!K227)</f>
        <v/>
      </c>
      <c r="P226" s="21" t="str">
        <f>IF('12 - Device_Configuration'!L227="","",'12 - Device_Configuration'!L227)</f>
        <v/>
      </c>
      <c r="Q226" s="22"/>
      <c r="R226" s="21" t="str">
        <f>IF('12 - Device_Configuration'!AY227="","",'12 - Device_Configuration'!AY227)</f>
        <v/>
      </c>
      <c r="S226" s="21" t="str">
        <f>IF('12 - Device_Configuration'!AX227="","",'12 - Device_Configuration'!AX227)</f>
        <v/>
      </c>
      <c r="T226" s="21" t="str">
        <f>IF('12 - Device_Configuration'!AV227="","",'12 - Device_Configuration'!AV227)</f>
        <v/>
      </c>
      <c r="U226" s="21" t="str">
        <f>IF('12 - Device_Configuration'!AW227="","",'12 - Device_Configuration'!AW227)</f>
        <v/>
      </c>
      <c r="V226" s="21" t="str">
        <f>IF('12 - Device_Configuration'!BA227="","",'12 - Device_Configuration'!BA227)</f>
        <v/>
      </c>
      <c r="W226" s="21" t="str">
        <f>IF('12 - Device_Configuration'!BC227="","",'12 - Device_Configuration'!BC227)</f>
        <v/>
      </c>
      <c r="X226" s="21" t="str">
        <f>IF('12 - Device_Configuration'!BK227="","",'12 - Device_Configuration'!BK227)</f>
        <v/>
      </c>
      <c r="Y226" s="21" t="str">
        <f>IF('12 - Device_Configuration'!BB227="","",'12 - Device_Configuration'!BB227)</f>
        <v/>
      </c>
      <c r="Z226" s="21" t="str">
        <f>IF('12 - Device_Configuration'!P227="","",'12 - Device_Configuration'!P227)</f>
        <v/>
      </c>
      <c r="AA226" s="21" t="str">
        <f>IF('12 - Device_Configuration'!Q227="","",'12 - Device_Configuration'!Q227)</f>
        <v/>
      </c>
    </row>
    <row r="227" spans="1:27">
      <c r="A227" s="22"/>
      <c r="B227" s="22"/>
      <c r="C227" s="21" t="str">
        <f>IF('12 - Device_Configuration'!H228="","",'12 - Device_Configuration'!H228)</f>
        <v/>
      </c>
      <c r="D227" s="21" t="str">
        <f>IF('12 - Device_Configuration'!AE228="","",'12 - Device_Configuration'!AE228)</f>
        <v/>
      </c>
      <c r="E227" s="21" t="str">
        <f>IF('12 - Device_Configuration'!AF228="","",'12 - Device_Configuration'!AF228)</f>
        <v/>
      </c>
      <c r="F227" s="21" t="str">
        <f>IF('12 - Device_Configuration'!AG228="","",'12 - Device_Configuration'!AG228)</f>
        <v/>
      </c>
      <c r="G227" s="21" t="str">
        <f>IF('12 - Device_Configuration'!AH228="","",'12 - Device_Configuration'!AH228)</f>
        <v/>
      </c>
      <c r="H227" s="21" t="str">
        <f>IF('12 - Device_Configuration'!A228="","",'12 - Device_Configuration'!A228)</f>
        <v/>
      </c>
      <c r="I227" s="21" t="str">
        <f>IF('12 - Device_Configuration'!AI228="","",'12 - Device_Configuration'!AI228)</f>
        <v/>
      </c>
      <c r="J227" s="21" t="str">
        <f>IF('12 - Device_Configuration'!AJ228="","",'12 - Device_Configuration'!AJ228)</f>
        <v/>
      </c>
      <c r="K227" s="21" t="str">
        <f>IF('12 - Device_Configuration'!AA228="","",'12 - Device_Configuration'!AA228)</f>
        <v/>
      </c>
      <c r="L227" s="21" t="str">
        <f>IF('12 - Device_Configuration'!I228="","",'12 - Device_Configuration'!I228)</f>
        <v/>
      </c>
      <c r="M227" s="22"/>
      <c r="N227" s="21" t="str">
        <f>IF('12 - Device_Configuration'!J228="","",'12 - Device_Configuration'!J228)</f>
        <v/>
      </c>
      <c r="O227" s="21" t="str">
        <f>IF('12 - Device_Configuration'!K228="","",'12 - Device_Configuration'!K228)</f>
        <v/>
      </c>
      <c r="P227" s="21" t="str">
        <f>IF('12 - Device_Configuration'!L228="","",'12 - Device_Configuration'!L228)</f>
        <v/>
      </c>
      <c r="Q227" s="22"/>
      <c r="R227" s="21" t="str">
        <f>IF('12 - Device_Configuration'!AY228="","",'12 - Device_Configuration'!AY228)</f>
        <v/>
      </c>
      <c r="S227" s="21" t="str">
        <f>IF('12 - Device_Configuration'!AX228="","",'12 - Device_Configuration'!AX228)</f>
        <v/>
      </c>
      <c r="T227" s="21" t="str">
        <f>IF('12 - Device_Configuration'!AV228="","",'12 - Device_Configuration'!AV228)</f>
        <v/>
      </c>
      <c r="U227" s="21" t="str">
        <f>IF('12 - Device_Configuration'!AW228="","",'12 - Device_Configuration'!AW228)</f>
        <v/>
      </c>
      <c r="V227" s="21" t="str">
        <f>IF('12 - Device_Configuration'!BA228="","",'12 - Device_Configuration'!BA228)</f>
        <v/>
      </c>
      <c r="W227" s="21" t="str">
        <f>IF('12 - Device_Configuration'!BC228="","",'12 - Device_Configuration'!BC228)</f>
        <v/>
      </c>
      <c r="X227" s="21" t="str">
        <f>IF('12 - Device_Configuration'!BK228="","",'12 - Device_Configuration'!BK228)</f>
        <v/>
      </c>
      <c r="Y227" s="21" t="str">
        <f>IF('12 - Device_Configuration'!BB228="","",'12 - Device_Configuration'!BB228)</f>
        <v/>
      </c>
      <c r="Z227" s="21" t="str">
        <f>IF('12 - Device_Configuration'!P228="","",'12 - Device_Configuration'!P228)</f>
        <v/>
      </c>
      <c r="AA227" s="21" t="str">
        <f>IF('12 - Device_Configuration'!Q228="","",'12 - Device_Configuration'!Q228)</f>
        <v/>
      </c>
    </row>
    <row r="228" spans="1:27">
      <c r="A228" s="22"/>
      <c r="B228" s="22"/>
      <c r="C228" s="21" t="str">
        <f>IF('12 - Device_Configuration'!H229="","",'12 - Device_Configuration'!H229)</f>
        <v/>
      </c>
      <c r="D228" s="21" t="str">
        <f>IF('12 - Device_Configuration'!AE229="","",'12 - Device_Configuration'!AE229)</f>
        <v/>
      </c>
      <c r="E228" s="21" t="str">
        <f>IF('12 - Device_Configuration'!AF229="","",'12 - Device_Configuration'!AF229)</f>
        <v/>
      </c>
      <c r="F228" s="21" t="str">
        <f>IF('12 - Device_Configuration'!AG229="","",'12 - Device_Configuration'!AG229)</f>
        <v/>
      </c>
      <c r="G228" s="21" t="str">
        <f>IF('12 - Device_Configuration'!AH229="","",'12 - Device_Configuration'!AH229)</f>
        <v/>
      </c>
      <c r="H228" s="21" t="str">
        <f>IF('12 - Device_Configuration'!A229="","",'12 - Device_Configuration'!A229)</f>
        <v/>
      </c>
      <c r="I228" s="21" t="str">
        <f>IF('12 - Device_Configuration'!AI229="","",'12 - Device_Configuration'!AI229)</f>
        <v/>
      </c>
      <c r="J228" s="21" t="str">
        <f>IF('12 - Device_Configuration'!AJ229="","",'12 - Device_Configuration'!AJ229)</f>
        <v/>
      </c>
      <c r="K228" s="21" t="str">
        <f>IF('12 - Device_Configuration'!AA229="","",'12 - Device_Configuration'!AA229)</f>
        <v/>
      </c>
      <c r="L228" s="21" t="str">
        <f>IF('12 - Device_Configuration'!I229="","",'12 - Device_Configuration'!I229)</f>
        <v/>
      </c>
      <c r="M228" s="22"/>
      <c r="N228" s="21" t="str">
        <f>IF('12 - Device_Configuration'!J229="","",'12 - Device_Configuration'!J229)</f>
        <v/>
      </c>
      <c r="O228" s="21" t="str">
        <f>IF('12 - Device_Configuration'!K229="","",'12 - Device_Configuration'!K229)</f>
        <v/>
      </c>
      <c r="P228" s="21" t="str">
        <f>IF('12 - Device_Configuration'!L229="","",'12 - Device_Configuration'!L229)</f>
        <v/>
      </c>
      <c r="Q228" s="22"/>
      <c r="R228" s="21" t="str">
        <f>IF('12 - Device_Configuration'!AY229="","",'12 - Device_Configuration'!AY229)</f>
        <v/>
      </c>
      <c r="S228" s="21" t="str">
        <f>IF('12 - Device_Configuration'!AX229="","",'12 - Device_Configuration'!AX229)</f>
        <v/>
      </c>
      <c r="T228" s="21" t="str">
        <f>IF('12 - Device_Configuration'!AV229="","",'12 - Device_Configuration'!AV229)</f>
        <v/>
      </c>
      <c r="U228" s="21" t="str">
        <f>IF('12 - Device_Configuration'!AW229="","",'12 - Device_Configuration'!AW229)</f>
        <v/>
      </c>
      <c r="V228" s="21" t="str">
        <f>IF('12 - Device_Configuration'!BA229="","",'12 - Device_Configuration'!BA229)</f>
        <v/>
      </c>
      <c r="W228" s="21" t="str">
        <f>IF('12 - Device_Configuration'!BC229="","",'12 - Device_Configuration'!BC229)</f>
        <v/>
      </c>
      <c r="X228" s="21" t="str">
        <f>IF('12 - Device_Configuration'!BK229="","",'12 - Device_Configuration'!BK229)</f>
        <v/>
      </c>
      <c r="Y228" s="21" t="str">
        <f>IF('12 - Device_Configuration'!BB229="","",'12 - Device_Configuration'!BB229)</f>
        <v/>
      </c>
      <c r="Z228" s="21" t="str">
        <f>IF('12 - Device_Configuration'!P229="","",'12 - Device_Configuration'!P229)</f>
        <v/>
      </c>
      <c r="AA228" s="21" t="str">
        <f>IF('12 - Device_Configuration'!Q229="","",'12 - Device_Configuration'!Q229)</f>
        <v/>
      </c>
    </row>
    <row r="229" spans="1:27">
      <c r="A229" s="22"/>
      <c r="B229" s="22"/>
      <c r="C229" s="21" t="str">
        <f>IF('12 - Device_Configuration'!H230="","",'12 - Device_Configuration'!H230)</f>
        <v/>
      </c>
      <c r="D229" s="21" t="str">
        <f>IF('12 - Device_Configuration'!AE230="","",'12 - Device_Configuration'!AE230)</f>
        <v/>
      </c>
      <c r="E229" s="21" t="str">
        <f>IF('12 - Device_Configuration'!AF230="","",'12 - Device_Configuration'!AF230)</f>
        <v/>
      </c>
      <c r="F229" s="21" t="str">
        <f>IF('12 - Device_Configuration'!AG230="","",'12 - Device_Configuration'!AG230)</f>
        <v/>
      </c>
      <c r="G229" s="21" t="str">
        <f>IF('12 - Device_Configuration'!AH230="","",'12 - Device_Configuration'!AH230)</f>
        <v/>
      </c>
      <c r="H229" s="21" t="str">
        <f>IF('12 - Device_Configuration'!A230="","",'12 - Device_Configuration'!A230)</f>
        <v/>
      </c>
      <c r="I229" s="21" t="str">
        <f>IF('12 - Device_Configuration'!AI230="","",'12 - Device_Configuration'!AI230)</f>
        <v/>
      </c>
      <c r="J229" s="21" t="str">
        <f>IF('12 - Device_Configuration'!AJ230="","",'12 - Device_Configuration'!AJ230)</f>
        <v/>
      </c>
      <c r="K229" s="21" t="str">
        <f>IF('12 - Device_Configuration'!AA230="","",'12 - Device_Configuration'!AA230)</f>
        <v/>
      </c>
      <c r="L229" s="21" t="str">
        <f>IF('12 - Device_Configuration'!I230="","",'12 - Device_Configuration'!I230)</f>
        <v/>
      </c>
      <c r="M229" s="22"/>
      <c r="N229" s="21" t="str">
        <f>IF('12 - Device_Configuration'!J230="","",'12 - Device_Configuration'!J230)</f>
        <v/>
      </c>
      <c r="O229" s="21" t="str">
        <f>IF('12 - Device_Configuration'!K230="","",'12 - Device_Configuration'!K230)</f>
        <v/>
      </c>
      <c r="P229" s="21" t="str">
        <f>IF('12 - Device_Configuration'!L230="","",'12 - Device_Configuration'!L230)</f>
        <v/>
      </c>
      <c r="Q229" s="22"/>
      <c r="R229" s="21" t="str">
        <f>IF('12 - Device_Configuration'!AY230="","",'12 - Device_Configuration'!AY230)</f>
        <v/>
      </c>
      <c r="S229" s="21" t="str">
        <f>IF('12 - Device_Configuration'!AX230="","",'12 - Device_Configuration'!AX230)</f>
        <v/>
      </c>
      <c r="T229" s="21" t="str">
        <f>IF('12 - Device_Configuration'!AV230="","",'12 - Device_Configuration'!AV230)</f>
        <v/>
      </c>
      <c r="U229" s="21" t="str">
        <f>IF('12 - Device_Configuration'!AW230="","",'12 - Device_Configuration'!AW230)</f>
        <v/>
      </c>
      <c r="V229" s="21" t="str">
        <f>IF('12 - Device_Configuration'!BA230="","",'12 - Device_Configuration'!BA230)</f>
        <v/>
      </c>
      <c r="W229" s="21" t="str">
        <f>IF('12 - Device_Configuration'!BC230="","",'12 - Device_Configuration'!BC230)</f>
        <v/>
      </c>
      <c r="X229" s="21" t="str">
        <f>IF('12 - Device_Configuration'!BK230="","",'12 - Device_Configuration'!BK230)</f>
        <v/>
      </c>
      <c r="Y229" s="21" t="str">
        <f>IF('12 - Device_Configuration'!BB230="","",'12 - Device_Configuration'!BB230)</f>
        <v/>
      </c>
      <c r="Z229" s="21" t="str">
        <f>IF('12 - Device_Configuration'!P230="","",'12 - Device_Configuration'!P230)</f>
        <v/>
      </c>
      <c r="AA229" s="21" t="str">
        <f>IF('12 - Device_Configuration'!Q230="","",'12 - Device_Configuration'!Q230)</f>
        <v/>
      </c>
    </row>
    <row r="230" spans="1:27">
      <c r="A230" s="22"/>
      <c r="B230" s="22"/>
      <c r="C230" s="21" t="str">
        <f>IF('12 - Device_Configuration'!H231="","",'12 - Device_Configuration'!H231)</f>
        <v/>
      </c>
      <c r="D230" s="21" t="str">
        <f>IF('12 - Device_Configuration'!AE231="","",'12 - Device_Configuration'!AE231)</f>
        <v/>
      </c>
      <c r="E230" s="21" t="str">
        <f>IF('12 - Device_Configuration'!AF231="","",'12 - Device_Configuration'!AF231)</f>
        <v/>
      </c>
      <c r="F230" s="21" t="str">
        <f>IF('12 - Device_Configuration'!AG231="","",'12 - Device_Configuration'!AG231)</f>
        <v/>
      </c>
      <c r="G230" s="21" t="str">
        <f>IF('12 - Device_Configuration'!AH231="","",'12 - Device_Configuration'!AH231)</f>
        <v/>
      </c>
      <c r="H230" s="21" t="str">
        <f>IF('12 - Device_Configuration'!A231="","",'12 - Device_Configuration'!A231)</f>
        <v/>
      </c>
      <c r="I230" s="21" t="str">
        <f>IF('12 - Device_Configuration'!AI231="","",'12 - Device_Configuration'!AI231)</f>
        <v/>
      </c>
      <c r="J230" s="21" t="str">
        <f>IF('12 - Device_Configuration'!AJ231="","",'12 - Device_Configuration'!AJ231)</f>
        <v/>
      </c>
      <c r="K230" s="21" t="str">
        <f>IF('12 - Device_Configuration'!AA231="","",'12 - Device_Configuration'!AA231)</f>
        <v/>
      </c>
      <c r="L230" s="21" t="str">
        <f>IF('12 - Device_Configuration'!I231="","",'12 - Device_Configuration'!I231)</f>
        <v/>
      </c>
      <c r="M230" s="22"/>
      <c r="N230" s="21" t="str">
        <f>IF('12 - Device_Configuration'!J231="","",'12 - Device_Configuration'!J231)</f>
        <v/>
      </c>
      <c r="O230" s="21" t="str">
        <f>IF('12 - Device_Configuration'!K231="","",'12 - Device_Configuration'!K231)</f>
        <v/>
      </c>
      <c r="P230" s="21" t="str">
        <f>IF('12 - Device_Configuration'!L231="","",'12 - Device_Configuration'!L231)</f>
        <v/>
      </c>
      <c r="Q230" s="22"/>
      <c r="R230" s="21" t="str">
        <f>IF('12 - Device_Configuration'!AY231="","",'12 - Device_Configuration'!AY231)</f>
        <v/>
      </c>
      <c r="S230" s="21" t="str">
        <f>IF('12 - Device_Configuration'!AX231="","",'12 - Device_Configuration'!AX231)</f>
        <v/>
      </c>
      <c r="T230" s="21" t="str">
        <f>IF('12 - Device_Configuration'!AV231="","",'12 - Device_Configuration'!AV231)</f>
        <v/>
      </c>
      <c r="U230" s="21" t="str">
        <f>IF('12 - Device_Configuration'!AW231="","",'12 - Device_Configuration'!AW231)</f>
        <v/>
      </c>
      <c r="V230" s="21" t="str">
        <f>IF('12 - Device_Configuration'!BA231="","",'12 - Device_Configuration'!BA231)</f>
        <v/>
      </c>
      <c r="W230" s="21" t="str">
        <f>IF('12 - Device_Configuration'!BC231="","",'12 - Device_Configuration'!BC231)</f>
        <v/>
      </c>
      <c r="X230" s="21" t="str">
        <f>IF('12 - Device_Configuration'!BK231="","",'12 - Device_Configuration'!BK231)</f>
        <v/>
      </c>
      <c r="Y230" s="21" t="str">
        <f>IF('12 - Device_Configuration'!BB231="","",'12 - Device_Configuration'!BB231)</f>
        <v/>
      </c>
      <c r="Z230" s="21" t="str">
        <f>IF('12 - Device_Configuration'!P231="","",'12 - Device_Configuration'!P231)</f>
        <v/>
      </c>
      <c r="AA230" s="21" t="str">
        <f>IF('12 - Device_Configuration'!Q231="","",'12 - Device_Configuration'!Q231)</f>
        <v/>
      </c>
    </row>
    <row r="231" spans="1:27">
      <c r="A231" s="22"/>
      <c r="B231" s="22"/>
      <c r="C231" s="21" t="str">
        <f>IF('12 - Device_Configuration'!H232="","",'12 - Device_Configuration'!H232)</f>
        <v/>
      </c>
      <c r="D231" s="21" t="str">
        <f>IF('12 - Device_Configuration'!AE232="","",'12 - Device_Configuration'!AE232)</f>
        <v/>
      </c>
      <c r="E231" s="21" t="str">
        <f>IF('12 - Device_Configuration'!AF232="","",'12 - Device_Configuration'!AF232)</f>
        <v/>
      </c>
      <c r="F231" s="21" t="str">
        <f>IF('12 - Device_Configuration'!AG232="","",'12 - Device_Configuration'!AG232)</f>
        <v/>
      </c>
      <c r="G231" s="21" t="str">
        <f>IF('12 - Device_Configuration'!AH232="","",'12 - Device_Configuration'!AH232)</f>
        <v/>
      </c>
      <c r="H231" s="21" t="str">
        <f>IF('12 - Device_Configuration'!A232="","",'12 - Device_Configuration'!A232)</f>
        <v/>
      </c>
      <c r="I231" s="21" t="str">
        <f>IF('12 - Device_Configuration'!AI232="","",'12 - Device_Configuration'!AI232)</f>
        <v/>
      </c>
      <c r="J231" s="21" t="str">
        <f>IF('12 - Device_Configuration'!AJ232="","",'12 - Device_Configuration'!AJ232)</f>
        <v/>
      </c>
      <c r="K231" s="21" t="str">
        <f>IF('12 - Device_Configuration'!AA232="","",'12 - Device_Configuration'!AA232)</f>
        <v/>
      </c>
      <c r="L231" s="21" t="str">
        <f>IF('12 - Device_Configuration'!I232="","",'12 - Device_Configuration'!I232)</f>
        <v/>
      </c>
      <c r="M231" s="22"/>
      <c r="N231" s="21" t="str">
        <f>IF('12 - Device_Configuration'!J232="","",'12 - Device_Configuration'!J232)</f>
        <v/>
      </c>
      <c r="O231" s="21" t="str">
        <f>IF('12 - Device_Configuration'!K232="","",'12 - Device_Configuration'!K232)</f>
        <v/>
      </c>
      <c r="P231" s="21" t="str">
        <f>IF('12 - Device_Configuration'!L232="","",'12 - Device_Configuration'!L232)</f>
        <v/>
      </c>
      <c r="Q231" s="22"/>
      <c r="R231" s="21" t="str">
        <f>IF('12 - Device_Configuration'!AY232="","",'12 - Device_Configuration'!AY232)</f>
        <v/>
      </c>
      <c r="S231" s="21" t="str">
        <f>IF('12 - Device_Configuration'!AX232="","",'12 - Device_Configuration'!AX232)</f>
        <v/>
      </c>
      <c r="T231" s="21" t="str">
        <f>IF('12 - Device_Configuration'!AV232="","",'12 - Device_Configuration'!AV232)</f>
        <v/>
      </c>
      <c r="U231" s="21" t="str">
        <f>IF('12 - Device_Configuration'!AW232="","",'12 - Device_Configuration'!AW232)</f>
        <v/>
      </c>
      <c r="V231" s="21" t="str">
        <f>IF('12 - Device_Configuration'!BA232="","",'12 - Device_Configuration'!BA232)</f>
        <v/>
      </c>
      <c r="W231" s="21" t="str">
        <f>IF('12 - Device_Configuration'!BC232="","",'12 - Device_Configuration'!BC232)</f>
        <v/>
      </c>
      <c r="X231" s="21" t="str">
        <f>IF('12 - Device_Configuration'!BK232="","",'12 - Device_Configuration'!BK232)</f>
        <v/>
      </c>
      <c r="Y231" s="21" t="str">
        <f>IF('12 - Device_Configuration'!BB232="","",'12 - Device_Configuration'!BB232)</f>
        <v/>
      </c>
      <c r="Z231" s="21" t="str">
        <f>IF('12 - Device_Configuration'!P232="","",'12 - Device_Configuration'!P232)</f>
        <v/>
      </c>
      <c r="AA231" s="21" t="str">
        <f>IF('12 - Device_Configuration'!Q232="","",'12 - Device_Configuration'!Q232)</f>
        <v/>
      </c>
    </row>
    <row r="232" spans="1:27">
      <c r="A232" s="22"/>
      <c r="B232" s="22"/>
      <c r="C232" s="21" t="str">
        <f>IF('12 - Device_Configuration'!H233="","",'12 - Device_Configuration'!H233)</f>
        <v/>
      </c>
      <c r="D232" s="21" t="str">
        <f>IF('12 - Device_Configuration'!AE233="","",'12 - Device_Configuration'!AE233)</f>
        <v/>
      </c>
      <c r="E232" s="21" t="str">
        <f>IF('12 - Device_Configuration'!AF233="","",'12 - Device_Configuration'!AF233)</f>
        <v/>
      </c>
      <c r="F232" s="21" t="str">
        <f>IF('12 - Device_Configuration'!AG233="","",'12 - Device_Configuration'!AG233)</f>
        <v/>
      </c>
      <c r="G232" s="21" t="str">
        <f>IF('12 - Device_Configuration'!AH233="","",'12 - Device_Configuration'!AH233)</f>
        <v/>
      </c>
      <c r="H232" s="21" t="str">
        <f>IF('12 - Device_Configuration'!A233="","",'12 - Device_Configuration'!A233)</f>
        <v/>
      </c>
      <c r="I232" s="21" t="str">
        <f>IF('12 - Device_Configuration'!AI233="","",'12 - Device_Configuration'!AI233)</f>
        <v/>
      </c>
      <c r="J232" s="21" t="str">
        <f>IF('12 - Device_Configuration'!AJ233="","",'12 - Device_Configuration'!AJ233)</f>
        <v/>
      </c>
      <c r="K232" s="21" t="str">
        <f>IF('12 - Device_Configuration'!AA233="","",'12 - Device_Configuration'!AA233)</f>
        <v/>
      </c>
      <c r="L232" s="21" t="str">
        <f>IF('12 - Device_Configuration'!I233="","",'12 - Device_Configuration'!I233)</f>
        <v/>
      </c>
      <c r="M232" s="22"/>
      <c r="N232" s="21" t="str">
        <f>IF('12 - Device_Configuration'!J233="","",'12 - Device_Configuration'!J233)</f>
        <v/>
      </c>
      <c r="O232" s="21" t="str">
        <f>IF('12 - Device_Configuration'!K233="","",'12 - Device_Configuration'!K233)</f>
        <v/>
      </c>
      <c r="P232" s="21" t="str">
        <f>IF('12 - Device_Configuration'!L233="","",'12 - Device_Configuration'!L233)</f>
        <v/>
      </c>
      <c r="Q232" s="22"/>
      <c r="R232" s="21" t="str">
        <f>IF('12 - Device_Configuration'!AY233="","",'12 - Device_Configuration'!AY233)</f>
        <v/>
      </c>
      <c r="S232" s="21" t="str">
        <f>IF('12 - Device_Configuration'!AX233="","",'12 - Device_Configuration'!AX233)</f>
        <v/>
      </c>
      <c r="T232" s="21" t="str">
        <f>IF('12 - Device_Configuration'!AV233="","",'12 - Device_Configuration'!AV233)</f>
        <v/>
      </c>
      <c r="U232" s="21" t="str">
        <f>IF('12 - Device_Configuration'!AW233="","",'12 - Device_Configuration'!AW233)</f>
        <v/>
      </c>
      <c r="V232" s="21" t="str">
        <f>IF('12 - Device_Configuration'!BA233="","",'12 - Device_Configuration'!BA233)</f>
        <v/>
      </c>
      <c r="W232" s="21" t="str">
        <f>IF('12 - Device_Configuration'!BC233="","",'12 - Device_Configuration'!BC233)</f>
        <v/>
      </c>
      <c r="X232" s="21" t="str">
        <f>IF('12 - Device_Configuration'!BK233="","",'12 - Device_Configuration'!BK233)</f>
        <v/>
      </c>
      <c r="Y232" s="21" t="str">
        <f>IF('12 - Device_Configuration'!BB233="","",'12 - Device_Configuration'!BB233)</f>
        <v/>
      </c>
      <c r="Z232" s="21" t="str">
        <f>IF('12 - Device_Configuration'!P233="","",'12 - Device_Configuration'!P233)</f>
        <v/>
      </c>
      <c r="AA232" s="21" t="str">
        <f>IF('12 - Device_Configuration'!Q233="","",'12 - Device_Configuration'!Q233)</f>
        <v/>
      </c>
    </row>
    <row r="233" spans="1:27">
      <c r="A233" s="22"/>
      <c r="B233" s="22"/>
      <c r="C233" s="21" t="str">
        <f>IF('12 - Device_Configuration'!H234="","",'12 - Device_Configuration'!H234)</f>
        <v/>
      </c>
      <c r="D233" s="21" t="str">
        <f>IF('12 - Device_Configuration'!AE234="","",'12 - Device_Configuration'!AE234)</f>
        <v/>
      </c>
      <c r="E233" s="21" t="str">
        <f>IF('12 - Device_Configuration'!AF234="","",'12 - Device_Configuration'!AF234)</f>
        <v/>
      </c>
      <c r="F233" s="21" t="str">
        <f>IF('12 - Device_Configuration'!AG234="","",'12 - Device_Configuration'!AG234)</f>
        <v/>
      </c>
      <c r="G233" s="21" t="str">
        <f>IF('12 - Device_Configuration'!AH234="","",'12 - Device_Configuration'!AH234)</f>
        <v/>
      </c>
      <c r="H233" s="21" t="str">
        <f>IF('12 - Device_Configuration'!A234="","",'12 - Device_Configuration'!A234)</f>
        <v/>
      </c>
      <c r="I233" s="21" t="str">
        <f>IF('12 - Device_Configuration'!AI234="","",'12 - Device_Configuration'!AI234)</f>
        <v/>
      </c>
      <c r="J233" s="21" t="str">
        <f>IF('12 - Device_Configuration'!AJ234="","",'12 - Device_Configuration'!AJ234)</f>
        <v/>
      </c>
      <c r="K233" s="21" t="str">
        <f>IF('12 - Device_Configuration'!AA234="","",'12 - Device_Configuration'!AA234)</f>
        <v/>
      </c>
      <c r="L233" s="21" t="str">
        <f>IF('12 - Device_Configuration'!I234="","",'12 - Device_Configuration'!I234)</f>
        <v/>
      </c>
      <c r="M233" s="22"/>
      <c r="N233" s="21" t="str">
        <f>IF('12 - Device_Configuration'!J234="","",'12 - Device_Configuration'!J234)</f>
        <v/>
      </c>
      <c r="O233" s="21" t="str">
        <f>IF('12 - Device_Configuration'!K234="","",'12 - Device_Configuration'!K234)</f>
        <v/>
      </c>
      <c r="P233" s="21" t="str">
        <f>IF('12 - Device_Configuration'!L234="","",'12 - Device_Configuration'!L234)</f>
        <v/>
      </c>
      <c r="Q233" s="22"/>
      <c r="R233" s="21" t="str">
        <f>IF('12 - Device_Configuration'!AY234="","",'12 - Device_Configuration'!AY234)</f>
        <v/>
      </c>
      <c r="S233" s="21" t="str">
        <f>IF('12 - Device_Configuration'!AX234="","",'12 - Device_Configuration'!AX234)</f>
        <v/>
      </c>
      <c r="T233" s="21" t="str">
        <f>IF('12 - Device_Configuration'!AV234="","",'12 - Device_Configuration'!AV234)</f>
        <v/>
      </c>
      <c r="U233" s="21" t="str">
        <f>IF('12 - Device_Configuration'!AW234="","",'12 - Device_Configuration'!AW234)</f>
        <v/>
      </c>
      <c r="V233" s="21" t="str">
        <f>IF('12 - Device_Configuration'!BA234="","",'12 - Device_Configuration'!BA234)</f>
        <v/>
      </c>
      <c r="W233" s="21" t="str">
        <f>IF('12 - Device_Configuration'!BC234="","",'12 - Device_Configuration'!BC234)</f>
        <v/>
      </c>
      <c r="X233" s="21" t="str">
        <f>IF('12 - Device_Configuration'!BK234="","",'12 - Device_Configuration'!BK234)</f>
        <v/>
      </c>
      <c r="Y233" s="21" t="str">
        <f>IF('12 - Device_Configuration'!BB234="","",'12 - Device_Configuration'!BB234)</f>
        <v/>
      </c>
      <c r="Z233" s="21" t="str">
        <f>IF('12 - Device_Configuration'!P234="","",'12 - Device_Configuration'!P234)</f>
        <v/>
      </c>
      <c r="AA233" s="21" t="str">
        <f>IF('12 - Device_Configuration'!Q234="","",'12 - Device_Configuration'!Q234)</f>
        <v/>
      </c>
    </row>
    <row r="234" spans="1:27">
      <c r="A234" s="22"/>
      <c r="B234" s="22"/>
      <c r="C234" s="21" t="str">
        <f>IF('12 - Device_Configuration'!H235="","",'12 - Device_Configuration'!H235)</f>
        <v/>
      </c>
      <c r="D234" s="21" t="str">
        <f>IF('12 - Device_Configuration'!AE235="","",'12 - Device_Configuration'!AE235)</f>
        <v/>
      </c>
      <c r="E234" s="21" t="str">
        <f>IF('12 - Device_Configuration'!AF235="","",'12 - Device_Configuration'!AF235)</f>
        <v/>
      </c>
      <c r="F234" s="21" t="str">
        <f>IF('12 - Device_Configuration'!AG235="","",'12 - Device_Configuration'!AG235)</f>
        <v/>
      </c>
      <c r="G234" s="21" t="str">
        <f>IF('12 - Device_Configuration'!AH235="","",'12 - Device_Configuration'!AH235)</f>
        <v/>
      </c>
      <c r="H234" s="21" t="str">
        <f>IF('12 - Device_Configuration'!A235="","",'12 - Device_Configuration'!A235)</f>
        <v/>
      </c>
      <c r="I234" s="21" t="str">
        <f>IF('12 - Device_Configuration'!AI235="","",'12 - Device_Configuration'!AI235)</f>
        <v/>
      </c>
      <c r="J234" s="21" t="str">
        <f>IF('12 - Device_Configuration'!AJ235="","",'12 - Device_Configuration'!AJ235)</f>
        <v/>
      </c>
      <c r="K234" s="21" t="str">
        <f>IF('12 - Device_Configuration'!AA235="","",'12 - Device_Configuration'!AA235)</f>
        <v/>
      </c>
      <c r="L234" s="21" t="str">
        <f>IF('12 - Device_Configuration'!I235="","",'12 - Device_Configuration'!I235)</f>
        <v/>
      </c>
      <c r="M234" s="22"/>
      <c r="N234" s="21" t="str">
        <f>IF('12 - Device_Configuration'!J235="","",'12 - Device_Configuration'!J235)</f>
        <v/>
      </c>
      <c r="O234" s="21" t="str">
        <f>IF('12 - Device_Configuration'!K235="","",'12 - Device_Configuration'!K235)</f>
        <v/>
      </c>
      <c r="P234" s="21" t="str">
        <f>IF('12 - Device_Configuration'!L235="","",'12 - Device_Configuration'!L235)</f>
        <v/>
      </c>
      <c r="Q234" s="22"/>
      <c r="R234" s="21" t="str">
        <f>IF('12 - Device_Configuration'!AY235="","",'12 - Device_Configuration'!AY235)</f>
        <v/>
      </c>
      <c r="S234" s="21" t="str">
        <f>IF('12 - Device_Configuration'!AX235="","",'12 - Device_Configuration'!AX235)</f>
        <v/>
      </c>
      <c r="T234" s="21" t="str">
        <f>IF('12 - Device_Configuration'!AV235="","",'12 - Device_Configuration'!AV235)</f>
        <v/>
      </c>
      <c r="U234" s="21" t="str">
        <f>IF('12 - Device_Configuration'!AW235="","",'12 - Device_Configuration'!AW235)</f>
        <v/>
      </c>
      <c r="V234" s="21" t="str">
        <f>IF('12 - Device_Configuration'!BA235="","",'12 - Device_Configuration'!BA235)</f>
        <v/>
      </c>
      <c r="W234" s="21" t="str">
        <f>IF('12 - Device_Configuration'!BC235="","",'12 - Device_Configuration'!BC235)</f>
        <v/>
      </c>
      <c r="X234" s="21" t="str">
        <f>IF('12 - Device_Configuration'!BK235="","",'12 - Device_Configuration'!BK235)</f>
        <v/>
      </c>
      <c r="Y234" s="21" t="str">
        <f>IF('12 - Device_Configuration'!BB235="","",'12 - Device_Configuration'!BB235)</f>
        <v/>
      </c>
      <c r="Z234" s="21" t="str">
        <f>IF('12 - Device_Configuration'!P235="","",'12 - Device_Configuration'!P235)</f>
        <v/>
      </c>
      <c r="AA234" s="21" t="str">
        <f>IF('12 - Device_Configuration'!Q235="","",'12 - Device_Configuration'!Q235)</f>
        <v/>
      </c>
    </row>
    <row r="235" spans="1:27">
      <c r="A235" s="22"/>
      <c r="B235" s="22"/>
      <c r="C235" s="21" t="str">
        <f>IF('12 - Device_Configuration'!H236="","",'12 - Device_Configuration'!H236)</f>
        <v/>
      </c>
      <c r="D235" s="21" t="str">
        <f>IF('12 - Device_Configuration'!AE236="","",'12 - Device_Configuration'!AE236)</f>
        <v/>
      </c>
      <c r="E235" s="21" t="str">
        <f>IF('12 - Device_Configuration'!AF236="","",'12 - Device_Configuration'!AF236)</f>
        <v/>
      </c>
      <c r="F235" s="21" t="str">
        <f>IF('12 - Device_Configuration'!AG236="","",'12 - Device_Configuration'!AG236)</f>
        <v/>
      </c>
      <c r="G235" s="21" t="str">
        <f>IF('12 - Device_Configuration'!AH236="","",'12 - Device_Configuration'!AH236)</f>
        <v/>
      </c>
      <c r="H235" s="21" t="str">
        <f>IF('12 - Device_Configuration'!A236="","",'12 - Device_Configuration'!A236)</f>
        <v/>
      </c>
      <c r="I235" s="21" t="str">
        <f>IF('12 - Device_Configuration'!AI236="","",'12 - Device_Configuration'!AI236)</f>
        <v/>
      </c>
      <c r="J235" s="21" t="str">
        <f>IF('12 - Device_Configuration'!AJ236="","",'12 - Device_Configuration'!AJ236)</f>
        <v/>
      </c>
      <c r="K235" s="21" t="str">
        <f>IF('12 - Device_Configuration'!AA236="","",'12 - Device_Configuration'!AA236)</f>
        <v/>
      </c>
      <c r="L235" s="21" t="str">
        <f>IF('12 - Device_Configuration'!I236="","",'12 - Device_Configuration'!I236)</f>
        <v/>
      </c>
      <c r="M235" s="22"/>
      <c r="N235" s="21" t="str">
        <f>IF('12 - Device_Configuration'!J236="","",'12 - Device_Configuration'!J236)</f>
        <v/>
      </c>
      <c r="O235" s="21" t="str">
        <f>IF('12 - Device_Configuration'!K236="","",'12 - Device_Configuration'!K236)</f>
        <v/>
      </c>
      <c r="P235" s="21" t="str">
        <f>IF('12 - Device_Configuration'!L236="","",'12 - Device_Configuration'!L236)</f>
        <v/>
      </c>
      <c r="Q235" s="22"/>
      <c r="R235" s="21" t="str">
        <f>IF('12 - Device_Configuration'!AY236="","",'12 - Device_Configuration'!AY236)</f>
        <v/>
      </c>
      <c r="S235" s="21" t="str">
        <f>IF('12 - Device_Configuration'!AX236="","",'12 - Device_Configuration'!AX236)</f>
        <v/>
      </c>
      <c r="T235" s="21" t="str">
        <f>IF('12 - Device_Configuration'!AV236="","",'12 - Device_Configuration'!AV236)</f>
        <v/>
      </c>
      <c r="U235" s="21" t="str">
        <f>IF('12 - Device_Configuration'!AW236="","",'12 - Device_Configuration'!AW236)</f>
        <v/>
      </c>
      <c r="V235" s="21" t="str">
        <f>IF('12 - Device_Configuration'!BA236="","",'12 - Device_Configuration'!BA236)</f>
        <v/>
      </c>
      <c r="W235" s="21" t="str">
        <f>IF('12 - Device_Configuration'!BC236="","",'12 - Device_Configuration'!BC236)</f>
        <v/>
      </c>
      <c r="X235" s="21" t="str">
        <f>IF('12 - Device_Configuration'!BK236="","",'12 - Device_Configuration'!BK236)</f>
        <v/>
      </c>
      <c r="Y235" s="21" t="str">
        <f>IF('12 - Device_Configuration'!BB236="","",'12 - Device_Configuration'!BB236)</f>
        <v/>
      </c>
      <c r="Z235" s="21" t="str">
        <f>IF('12 - Device_Configuration'!P236="","",'12 - Device_Configuration'!P236)</f>
        <v/>
      </c>
      <c r="AA235" s="21" t="str">
        <f>IF('12 - Device_Configuration'!Q236="","",'12 - Device_Configuration'!Q236)</f>
        <v/>
      </c>
    </row>
    <row r="236" spans="1:27">
      <c r="A236" s="22"/>
      <c r="B236" s="22"/>
      <c r="C236" s="21" t="str">
        <f>IF('12 - Device_Configuration'!H237="","",'12 - Device_Configuration'!H237)</f>
        <v/>
      </c>
      <c r="D236" s="21" t="str">
        <f>IF('12 - Device_Configuration'!AE237="","",'12 - Device_Configuration'!AE237)</f>
        <v/>
      </c>
      <c r="E236" s="21" t="str">
        <f>IF('12 - Device_Configuration'!AF237="","",'12 - Device_Configuration'!AF237)</f>
        <v/>
      </c>
      <c r="F236" s="21" t="str">
        <f>IF('12 - Device_Configuration'!AG237="","",'12 - Device_Configuration'!AG237)</f>
        <v/>
      </c>
      <c r="G236" s="21" t="str">
        <f>IF('12 - Device_Configuration'!AH237="","",'12 - Device_Configuration'!AH237)</f>
        <v/>
      </c>
      <c r="H236" s="21" t="str">
        <f>IF('12 - Device_Configuration'!A237="","",'12 - Device_Configuration'!A237)</f>
        <v/>
      </c>
      <c r="I236" s="21" t="str">
        <f>IF('12 - Device_Configuration'!AI237="","",'12 - Device_Configuration'!AI237)</f>
        <v/>
      </c>
      <c r="J236" s="21" t="str">
        <f>IF('12 - Device_Configuration'!AJ237="","",'12 - Device_Configuration'!AJ237)</f>
        <v/>
      </c>
      <c r="K236" s="21" t="str">
        <f>IF('12 - Device_Configuration'!AA237="","",'12 - Device_Configuration'!AA237)</f>
        <v/>
      </c>
      <c r="L236" s="21" t="str">
        <f>IF('12 - Device_Configuration'!I237="","",'12 - Device_Configuration'!I237)</f>
        <v/>
      </c>
      <c r="M236" s="22"/>
      <c r="N236" s="21" t="str">
        <f>IF('12 - Device_Configuration'!J237="","",'12 - Device_Configuration'!J237)</f>
        <v/>
      </c>
      <c r="O236" s="21" t="str">
        <f>IF('12 - Device_Configuration'!K237="","",'12 - Device_Configuration'!K237)</f>
        <v/>
      </c>
      <c r="P236" s="21" t="str">
        <f>IF('12 - Device_Configuration'!L237="","",'12 - Device_Configuration'!L237)</f>
        <v/>
      </c>
      <c r="Q236" s="22"/>
      <c r="R236" s="21" t="str">
        <f>IF('12 - Device_Configuration'!AY237="","",'12 - Device_Configuration'!AY237)</f>
        <v/>
      </c>
      <c r="S236" s="21" t="str">
        <f>IF('12 - Device_Configuration'!AX237="","",'12 - Device_Configuration'!AX237)</f>
        <v/>
      </c>
      <c r="T236" s="21" t="str">
        <f>IF('12 - Device_Configuration'!AV237="","",'12 - Device_Configuration'!AV237)</f>
        <v/>
      </c>
      <c r="U236" s="21" t="str">
        <f>IF('12 - Device_Configuration'!AW237="","",'12 - Device_Configuration'!AW237)</f>
        <v/>
      </c>
      <c r="V236" s="21" t="str">
        <f>IF('12 - Device_Configuration'!BA237="","",'12 - Device_Configuration'!BA237)</f>
        <v/>
      </c>
      <c r="W236" s="21" t="str">
        <f>IF('12 - Device_Configuration'!BC237="","",'12 - Device_Configuration'!BC237)</f>
        <v/>
      </c>
      <c r="X236" s="21" t="str">
        <f>IF('12 - Device_Configuration'!BK237="","",'12 - Device_Configuration'!BK237)</f>
        <v/>
      </c>
      <c r="Y236" s="21" t="str">
        <f>IF('12 - Device_Configuration'!BB237="","",'12 - Device_Configuration'!BB237)</f>
        <v/>
      </c>
      <c r="Z236" s="21" t="str">
        <f>IF('12 - Device_Configuration'!P237="","",'12 - Device_Configuration'!P237)</f>
        <v/>
      </c>
      <c r="AA236" s="21" t="str">
        <f>IF('12 - Device_Configuration'!Q237="","",'12 - Device_Configuration'!Q237)</f>
        <v/>
      </c>
    </row>
    <row r="237" spans="1:27">
      <c r="A237" s="22"/>
      <c r="B237" s="22"/>
      <c r="C237" s="21" t="str">
        <f>IF('12 - Device_Configuration'!H238="","",'12 - Device_Configuration'!H238)</f>
        <v/>
      </c>
      <c r="D237" s="21" t="str">
        <f>IF('12 - Device_Configuration'!AE238="","",'12 - Device_Configuration'!AE238)</f>
        <v/>
      </c>
      <c r="E237" s="21" t="str">
        <f>IF('12 - Device_Configuration'!AF238="","",'12 - Device_Configuration'!AF238)</f>
        <v/>
      </c>
      <c r="F237" s="21" t="str">
        <f>IF('12 - Device_Configuration'!AG238="","",'12 - Device_Configuration'!AG238)</f>
        <v/>
      </c>
      <c r="G237" s="21" t="str">
        <f>IF('12 - Device_Configuration'!AH238="","",'12 - Device_Configuration'!AH238)</f>
        <v/>
      </c>
      <c r="H237" s="21" t="str">
        <f>IF('12 - Device_Configuration'!A238="","",'12 - Device_Configuration'!A238)</f>
        <v/>
      </c>
      <c r="I237" s="21" t="str">
        <f>IF('12 - Device_Configuration'!AI238="","",'12 - Device_Configuration'!AI238)</f>
        <v/>
      </c>
      <c r="J237" s="21" t="str">
        <f>IF('12 - Device_Configuration'!AJ238="","",'12 - Device_Configuration'!AJ238)</f>
        <v/>
      </c>
      <c r="K237" s="21" t="str">
        <f>IF('12 - Device_Configuration'!AA238="","",'12 - Device_Configuration'!AA238)</f>
        <v/>
      </c>
      <c r="L237" s="21" t="str">
        <f>IF('12 - Device_Configuration'!I238="","",'12 - Device_Configuration'!I238)</f>
        <v/>
      </c>
      <c r="M237" s="22"/>
      <c r="N237" s="21" t="str">
        <f>IF('12 - Device_Configuration'!J238="","",'12 - Device_Configuration'!J238)</f>
        <v/>
      </c>
      <c r="O237" s="21" t="str">
        <f>IF('12 - Device_Configuration'!K238="","",'12 - Device_Configuration'!K238)</f>
        <v/>
      </c>
      <c r="P237" s="21" t="str">
        <f>IF('12 - Device_Configuration'!L238="","",'12 - Device_Configuration'!L238)</f>
        <v/>
      </c>
      <c r="Q237" s="22"/>
      <c r="R237" s="21" t="str">
        <f>IF('12 - Device_Configuration'!AY238="","",'12 - Device_Configuration'!AY238)</f>
        <v/>
      </c>
      <c r="S237" s="21" t="str">
        <f>IF('12 - Device_Configuration'!AX238="","",'12 - Device_Configuration'!AX238)</f>
        <v/>
      </c>
      <c r="T237" s="21" t="str">
        <f>IF('12 - Device_Configuration'!AV238="","",'12 - Device_Configuration'!AV238)</f>
        <v/>
      </c>
      <c r="U237" s="21" t="str">
        <f>IF('12 - Device_Configuration'!AW238="","",'12 - Device_Configuration'!AW238)</f>
        <v/>
      </c>
      <c r="V237" s="21" t="str">
        <f>IF('12 - Device_Configuration'!BA238="","",'12 - Device_Configuration'!BA238)</f>
        <v/>
      </c>
      <c r="W237" s="21" t="str">
        <f>IF('12 - Device_Configuration'!BC238="","",'12 - Device_Configuration'!BC238)</f>
        <v/>
      </c>
      <c r="X237" s="21" t="str">
        <f>IF('12 - Device_Configuration'!BK238="","",'12 - Device_Configuration'!BK238)</f>
        <v/>
      </c>
      <c r="Y237" s="21" t="str">
        <f>IF('12 - Device_Configuration'!BB238="","",'12 - Device_Configuration'!BB238)</f>
        <v/>
      </c>
      <c r="Z237" s="21" t="str">
        <f>IF('12 - Device_Configuration'!P238="","",'12 - Device_Configuration'!P238)</f>
        <v/>
      </c>
      <c r="AA237" s="21" t="str">
        <f>IF('12 - Device_Configuration'!Q238="","",'12 - Device_Configuration'!Q238)</f>
        <v/>
      </c>
    </row>
    <row r="238" spans="1:27">
      <c r="A238" s="22"/>
      <c r="B238" s="22"/>
      <c r="C238" s="21" t="str">
        <f>IF('12 - Device_Configuration'!H239="","",'12 - Device_Configuration'!H239)</f>
        <v/>
      </c>
      <c r="D238" s="21" t="str">
        <f>IF('12 - Device_Configuration'!AE239="","",'12 - Device_Configuration'!AE239)</f>
        <v/>
      </c>
      <c r="E238" s="21" t="str">
        <f>IF('12 - Device_Configuration'!AF239="","",'12 - Device_Configuration'!AF239)</f>
        <v/>
      </c>
      <c r="F238" s="21" t="str">
        <f>IF('12 - Device_Configuration'!AG239="","",'12 - Device_Configuration'!AG239)</f>
        <v/>
      </c>
      <c r="G238" s="21" t="str">
        <f>IF('12 - Device_Configuration'!AH239="","",'12 - Device_Configuration'!AH239)</f>
        <v/>
      </c>
      <c r="H238" s="21" t="str">
        <f>IF('12 - Device_Configuration'!A239="","",'12 - Device_Configuration'!A239)</f>
        <v/>
      </c>
      <c r="I238" s="21" t="str">
        <f>IF('12 - Device_Configuration'!AI239="","",'12 - Device_Configuration'!AI239)</f>
        <v/>
      </c>
      <c r="J238" s="21" t="str">
        <f>IF('12 - Device_Configuration'!AJ239="","",'12 - Device_Configuration'!AJ239)</f>
        <v/>
      </c>
      <c r="K238" s="21" t="str">
        <f>IF('12 - Device_Configuration'!AA239="","",'12 - Device_Configuration'!AA239)</f>
        <v/>
      </c>
      <c r="L238" s="21" t="str">
        <f>IF('12 - Device_Configuration'!I239="","",'12 - Device_Configuration'!I239)</f>
        <v/>
      </c>
      <c r="M238" s="22"/>
      <c r="N238" s="21" t="str">
        <f>IF('12 - Device_Configuration'!J239="","",'12 - Device_Configuration'!J239)</f>
        <v/>
      </c>
      <c r="O238" s="21" t="str">
        <f>IF('12 - Device_Configuration'!K239="","",'12 - Device_Configuration'!K239)</f>
        <v/>
      </c>
      <c r="P238" s="21" t="str">
        <f>IF('12 - Device_Configuration'!L239="","",'12 - Device_Configuration'!L239)</f>
        <v/>
      </c>
      <c r="Q238" s="22"/>
      <c r="R238" s="21" t="str">
        <f>IF('12 - Device_Configuration'!AY239="","",'12 - Device_Configuration'!AY239)</f>
        <v/>
      </c>
      <c r="S238" s="21" t="str">
        <f>IF('12 - Device_Configuration'!AX239="","",'12 - Device_Configuration'!AX239)</f>
        <v/>
      </c>
      <c r="T238" s="21" t="str">
        <f>IF('12 - Device_Configuration'!AV239="","",'12 - Device_Configuration'!AV239)</f>
        <v/>
      </c>
      <c r="U238" s="21" t="str">
        <f>IF('12 - Device_Configuration'!AW239="","",'12 - Device_Configuration'!AW239)</f>
        <v/>
      </c>
      <c r="V238" s="21" t="str">
        <f>IF('12 - Device_Configuration'!BA239="","",'12 - Device_Configuration'!BA239)</f>
        <v/>
      </c>
      <c r="W238" s="21" t="str">
        <f>IF('12 - Device_Configuration'!BC239="","",'12 - Device_Configuration'!BC239)</f>
        <v/>
      </c>
      <c r="X238" s="21" t="str">
        <f>IF('12 - Device_Configuration'!BK239="","",'12 - Device_Configuration'!BK239)</f>
        <v/>
      </c>
      <c r="Y238" s="21" t="str">
        <f>IF('12 - Device_Configuration'!BB239="","",'12 - Device_Configuration'!BB239)</f>
        <v/>
      </c>
      <c r="Z238" s="21" t="str">
        <f>IF('12 - Device_Configuration'!P239="","",'12 - Device_Configuration'!P239)</f>
        <v/>
      </c>
      <c r="AA238" s="21" t="str">
        <f>IF('12 - Device_Configuration'!Q239="","",'12 - Device_Configuration'!Q239)</f>
        <v/>
      </c>
    </row>
    <row r="239" spans="1:27">
      <c r="A239" s="22"/>
      <c r="B239" s="22"/>
      <c r="C239" s="21" t="str">
        <f>IF('12 - Device_Configuration'!H240="","",'12 - Device_Configuration'!H240)</f>
        <v/>
      </c>
      <c r="D239" s="21" t="str">
        <f>IF('12 - Device_Configuration'!AE240="","",'12 - Device_Configuration'!AE240)</f>
        <v/>
      </c>
      <c r="E239" s="21" t="str">
        <f>IF('12 - Device_Configuration'!AF240="","",'12 - Device_Configuration'!AF240)</f>
        <v/>
      </c>
      <c r="F239" s="21" t="str">
        <f>IF('12 - Device_Configuration'!AG240="","",'12 - Device_Configuration'!AG240)</f>
        <v/>
      </c>
      <c r="G239" s="21" t="str">
        <f>IF('12 - Device_Configuration'!AH240="","",'12 - Device_Configuration'!AH240)</f>
        <v/>
      </c>
      <c r="H239" s="21" t="str">
        <f>IF('12 - Device_Configuration'!A240="","",'12 - Device_Configuration'!A240)</f>
        <v/>
      </c>
      <c r="I239" s="21" t="str">
        <f>IF('12 - Device_Configuration'!AI240="","",'12 - Device_Configuration'!AI240)</f>
        <v/>
      </c>
      <c r="J239" s="21" t="str">
        <f>IF('12 - Device_Configuration'!AJ240="","",'12 - Device_Configuration'!AJ240)</f>
        <v/>
      </c>
      <c r="K239" s="21" t="str">
        <f>IF('12 - Device_Configuration'!AA240="","",'12 - Device_Configuration'!AA240)</f>
        <v/>
      </c>
      <c r="L239" s="21" t="str">
        <f>IF('12 - Device_Configuration'!I240="","",'12 - Device_Configuration'!I240)</f>
        <v/>
      </c>
      <c r="M239" s="22"/>
      <c r="N239" s="21" t="str">
        <f>IF('12 - Device_Configuration'!J240="","",'12 - Device_Configuration'!J240)</f>
        <v/>
      </c>
      <c r="O239" s="21" t="str">
        <f>IF('12 - Device_Configuration'!K240="","",'12 - Device_Configuration'!K240)</f>
        <v/>
      </c>
      <c r="P239" s="21" t="str">
        <f>IF('12 - Device_Configuration'!L240="","",'12 - Device_Configuration'!L240)</f>
        <v/>
      </c>
      <c r="Q239" s="22"/>
      <c r="R239" s="21" t="str">
        <f>IF('12 - Device_Configuration'!AY240="","",'12 - Device_Configuration'!AY240)</f>
        <v/>
      </c>
      <c r="S239" s="21" t="str">
        <f>IF('12 - Device_Configuration'!AX240="","",'12 - Device_Configuration'!AX240)</f>
        <v/>
      </c>
      <c r="T239" s="21" t="str">
        <f>IF('12 - Device_Configuration'!AV240="","",'12 - Device_Configuration'!AV240)</f>
        <v/>
      </c>
      <c r="U239" s="21" t="str">
        <f>IF('12 - Device_Configuration'!AW240="","",'12 - Device_Configuration'!AW240)</f>
        <v/>
      </c>
      <c r="V239" s="21" t="str">
        <f>IF('12 - Device_Configuration'!BA240="","",'12 - Device_Configuration'!BA240)</f>
        <v/>
      </c>
      <c r="W239" s="21" t="str">
        <f>IF('12 - Device_Configuration'!BC240="","",'12 - Device_Configuration'!BC240)</f>
        <v/>
      </c>
      <c r="X239" s="21" t="str">
        <f>IF('12 - Device_Configuration'!BK240="","",'12 - Device_Configuration'!BK240)</f>
        <v/>
      </c>
      <c r="Y239" s="21" t="str">
        <f>IF('12 - Device_Configuration'!BB240="","",'12 - Device_Configuration'!BB240)</f>
        <v/>
      </c>
      <c r="Z239" s="21" t="str">
        <f>IF('12 - Device_Configuration'!P240="","",'12 - Device_Configuration'!P240)</f>
        <v/>
      </c>
      <c r="AA239" s="21" t="str">
        <f>IF('12 - Device_Configuration'!Q240="","",'12 - Device_Configuration'!Q240)</f>
        <v/>
      </c>
    </row>
    <row r="240" spans="1:27">
      <c r="A240" s="22"/>
      <c r="B240" s="22"/>
      <c r="C240" s="21" t="str">
        <f>IF('12 - Device_Configuration'!H241="","",'12 - Device_Configuration'!H241)</f>
        <v/>
      </c>
      <c r="D240" s="21" t="str">
        <f>IF('12 - Device_Configuration'!AE241="","",'12 - Device_Configuration'!AE241)</f>
        <v/>
      </c>
      <c r="E240" s="21" t="str">
        <f>IF('12 - Device_Configuration'!AF241="","",'12 - Device_Configuration'!AF241)</f>
        <v/>
      </c>
      <c r="F240" s="21" t="str">
        <f>IF('12 - Device_Configuration'!AG241="","",'12 - Device_Configuration'!AG241)</f>
        <v/>
      </c>
      <c r="G240" s="21" t="str">
        <f>IF('12 - Device_Configuration'!AH241="","",'12 - Device_Configuration'!AH241)</f>
        <v/>
      </c>
      <c r="H240" s="21" t="str">
        <f>IF('12 - Device_Configuration'!A241="","",'12 - Device_Configuration'!A241)</f>
        <v/>
      </c>
      <c r="I240" s="21" t="str">
        <f>IF('12 - Device_Configuration'!AI241="","",'12 - Device_Configuration'!AI241)</f>
        <v/>
      </c>
      <c r="J240" s="21" t="str">
        <f>IF('12 - Device_Configuration'!AJ241="","",'12 - Device_Configuration'!AJ241)</f>
        <v/>
      </c>
      <c r="K240" s="21" t="str">
        <f>IF('12 - Device_Configuration'!AA241="","",'12 - Device_Configuration'!AA241)</f>
        <v/>
      </c>
      <c r="L240" s="21" t="str">
        <f>IF('12 - Device_Configuration'!I241="","",'12 - Device_Configuration'!I241)</f>
        <v/>
      </c>
      <c r="M240" s="22"/>
      <c r="N240" s="21" t="str">
        <f>IF('12 - Device_Configuration'!J241="","",'12 - Device_Configuration'!J241)</f>
        <v/>
      </c>
      <c r="O240" s="21" t="str">
        <f>IF('12 - Device_Configuration'!K241="","",'12 - Device_Configuration'!K241)</f>
        <v/>
      </c>
      <c r="P240" s="21" t="str">
        <f>IF('12 - Device_Configuration'!L241="","",'12 - Device_Configuration'!L241)</f>
        <v/>
      </c>
      <c r="Q240" s="22"/>
      <c r="R240" s="21" t="str">
        <f>IF('12 - Device_Configuration'!AY241="","",'12 - Device_Configuration'!AY241)</f>
        <v/>
      </c>
      <c r="S240" s="21" t="str">
        <f>IF('12 - Device_Configuration'!AX241="","",'12 - Device_Configuration'!AX241)</f>
        <v/>
      </c>
      <c r="T240" s="21" t="str">
        <f>IF('12 - Device_Configuration'!AV241="","",'12 - Device_Configuration'!AV241)</f>
        <v/>
      </c>
      <c r="U240" s="21" t="str">
        <f>IF('12 - Device_Configuration'!AW241="","",'12 - Device_Configuration'!AW241)</f>
        <v/>
      </c>
      <c r="V240" s="21" t="str">
        <f>IF('12 - Device_Configuration'!BA241="","",'12 - Device_Configuration'!BA241)</f>
        <v/>
      </c>
      <c r="W240" s="21" t="str">
        <f>IF('12 - Device_Configuration'!BC241="","",'12 - Device_Configuration'!BC241)</f>
        <v/>
      </c>
      <c r="X240" s="21" t="str">
        <f>IF('12 - Device_Configuration'!BK241="","",'12 - Device_Configuration'!BK241)</f>
        <v/>
      </c>
      <c r="Y240" s="21" t="str">
        <f>IF('12 - Device_Configuration'!BB241="","",'12 - Device_Configuration'!BB241)</f>
        <v/>
      </c>
      <c r="Z240" s="21" t="str">
        <f>IF('12 - Device_Configuration'!P241="","",'12 - Device_Configuration'!P241)</f>
        <v/>
      </c>
      <c r="AA240" s="21" t="str">
        <f>IF('12 - Device_Configuration'!Q241="","",'12 - Device_Configuration'!Q241)</f>
        <v/>
      </c>
    </row>
    <row r="241" spans="1:27">
      <c r="A241" s="22"/>
      <c r="B241" s="22"/>
      <c r="C241" s="21" t="str">
        <f>IF('12 - Device_Configuration'!H242="","",'12 - Device_Configuration'!H242)</f>
        <v/>
      </c>
      <c r="D241" s="21" t="str">
        <f>IF('12 - Device_Configuration'!AE242="","",'12 - Device_Configuration'!AE242)</f>
        <v/>
      </c>
      <c r="E241" s="21" t="str">
        <f>IF('12 - Device_Configuration'!AF242="","",'12 - Device_Configuration'!AF242)</f>
        <v/>
      </c>
      <c r="F241" s="21" t="str">
        <f>IF('12 - Device_Configuration'!AG242="","",'12 - Device_Configuration'!AG242)</f>
        <v/>
      </c>
      <c r="G241" s="21" t="str">
        <f>IF('12 - Device_Configuration'!AH242="","",'12 - Device_Configuration'!AH242)</f>
        <v/>
      </c>
      <c r="H241" s="21" t="str">
        <f>IF('12 - Device_Configuration'!A242="","",'12 - Device_Configuration'!A242)</f>
        <v/>
      </c>
      <c r="I241" s="21" t="str">
        <f>IF('12 - Device_Configuration'!AI242="","",'12 - Device_Configuration'!AI242)</f>
        <v/>
      </c>
      <c r="J241" s="21" t="str">
        <f>IF('12 - Device_Configuration'!AJ242="","",'12 - Device_Configuration'!AJ242)</f>
        <v/>
      </c>
      <c r="K241" s="21" t="str">
        <f>IF('12 - Device_Configuration'!AA242="","",'12 - Device_Configuration'!AA242)</f>
        <v/>
      </c>
      <c r="L241" s="21" t="str">
        <f>IF('12 - Device_Configuration'!I242="","",'12 - Device_Configuration'!I242)</f>
        <v/>
      </c>
      <c r="M241" s="22"/>
      <c r="N241" s="21" t="str">
        <f>IF('12 - Device_Configuration'!J242="","",'12 - Device_Configuration'!J242)</f>
        <v/>
      </c>
      <c r="O241" s="21" t="str">
        <f>IF('12 - Device_Configuration'!K242="","",'12 - Device_Configuration'!K242)</f>
        <v/>
      </c>
      <c r="P241" s="21" t="str">
        <f>IF('12 - Device_Configuration'!L242="","",'12 - Device_Configuration'!L242)</f>
        <v/>
      </c>
      <c r="Q241" s="22"/>
      <c r="R241" s="21" t="str">
        <f>IF('12 - Device_Configuration'!AY242="","",'12 - Device_Configuration'!AY242)</f>
        <v/>
      </c>
      <c r="S241" s="21" t="str">
        <f>IF('12 - Device_Configuration'!AX242="","",'12 - Device_Configuration'!AX242)</f>
        <v/>
      </c>
      <c r="T241" s="21" t="str">
        <f>IF('12 - Device_Configuration'!AV242="","",'12 - Device_Configuration'!AV242)</f>
        <v/>
      </c>
      <c r="U241" s="21" t="str">
        <f>IF('12 - Device_Configuration'!AW242="","",'12 - Device_Configuration'!AW242)</f>
        <v/>
      </c>
      <c r="V241" s="21" t="str">
        <f>IF('12 - Device_Configuration'!BA242="","",'12 - Device_Configuration'!BA242)</f>
        <v/>
      </c>
      <c r="W241" s="21" t="str">
        <f>IF('12 - Device_Configuration'!BC242="","",'12 - Device_Configuration'!BC242)</f>
        <v/>
      </c>
      <c r="X241" s="21" t="str">
        <f>IF('12 - Device_Configuration'!BK242="","",'12 - Device_Configuration'!BK242)</f>
        <v/>
      </c>
      <c r="Y241" s="21" t="str">
        <f>IF('12 - Device_Configuration'!BB242="","",'12 - Device_Configuration'!BB242)</f>
        <v/>
      </c>
      <c r="Z241" s="21" t="str">
        <f>IF('12 - Device_Configuration'!P242="","",'12 - Device_Configuration'!P242)</f>
        <v/>
      </c>
      <c r="AA241" s="21" t="str">
        <f>IF('12 - Device_Configuration'!Q242="","",'12 - Device_Configuration'!Q242)</f>
        <v/>
      </c>
    </row>
    <row r="242" spans="1:27">
      <c r="A242" s="22"/>
      <c r="B242" s="22"/>
      <c r="C242" s="21" t="str">
        <f>IF('12 - Device_Configuration'!H243="","",'12 - Device_Configuration'!H243)</f>
        <v/>
      </c>
      <c r="D242" s="21" t="str">
        <f>IF('12 - Device_Configuration'!AE243="","",'12 - Device_Configuration'!AE243)</f>
        <v/>
      </c>
      <c r="E242" s="21" t="str">
        <f>IF('12 - Device_Configuration'!AF243="","",'12 - Device_Configuration'!AF243)</f>
        <v/>
      </c>
      <c r="F242" s="21" t="str">
        <f>IF('12 - Device_Configuration'!AG243="","",'12 - Device_Configuration'!AG243)</f>
        <v/>
      </c>
      <c r="G242" s="21" t="str">
        <f>IF('12 - Device_Configuration'!AH243="","",'12 - Device_Configuration'!AH243)</f>
        <v/>
      </c>
      <c r="H242" s="21" t="str">
        <f>IF('12 - Device_Configuration'!A243="","",'12 - Device_Configuration'!A243)</f>
        <v/>
      </c>
      <c r="I242" s="21" t="str">
        <f>IF('12 - Device_Configuration'!AI243="","",'12 - Device_Configuration'!AI243)</f>
        <v/>
      </c>
      <c r="J242" s="21" t="str">
        <f>IF('12 - Device_Configuration'!AJ243="","",'12 - Device_Configuration'!AJ243)</f>
        <v/>
      </c>
      <c r="K242" s="21" t="str">
        <f>IF('12 - Device_Configuration'!AA243="","",'12 - Device_Configuration'!AA243)</f>
        <v/>
      </c>
      <c r="L242" s="21" t="str">
        <f>IF('12 - Device_Configuration'!I243="","",'12 - Device_Configuration'!I243)</f>
        <v/>
      </c>
      <c r="M242" s="22"/>
      <c r="N242" s="21" t="str">
        <f>IF('12 - Device_Configuration'!J243="","",'12 - Device_Configuration'!J243)</f>
        <v/>
      </c>
      <c r="O242" s="21" t="str">
        <f>IF('12 - Device_Configuration'!K243="","",'12 - Device_Configuration'!K243)</f>
        <v/>
      </c>
      <c r="P242" s="21" t="str">
        <f>IF('12 - Device_Configuration'!L243="","",'12 - Device_Configuration'!L243)</f>
        <v/>
      </c>
      <c r="Q242" s="22"/>
      <c r="R242" s="21" t="str">
        <f>IF('12 - Device_Configuration'!AY243="","",'12 - Device_Configuration'!AY243)</f>
        <v/>
      </c>
      <c r="S242" s="21" t="str">
        <f>IF('12 - Device_Configuration'!AX243="","",'12 - Device_Configuration'!AX243)</f>
        <v/>
      </c>
      <c r="T242" s="21" t="str">
        <f>IF('12 - Device_Configuration'!AV243="","",'12 - Device_Configuration'!AV243)</f>
        <v/>
      </c>
      <c r="U242" s="21" t="str">
        <f>IF('12 - Device_Configuration'!AW243="","",'12 - Device_Configuration'!AW243)</f>
        <v/>
      </c>
      <c r="V242" s="21" t="str">
        <f>IF('12 - Device_Configuration'!BA243="","",'12 - Device_Configuration'!BA243)</f>
        <v/>
      </c>
      <c r="W242" s="21" t="str">
        <f>IF('12 - Device_Configuration'!BC243="","",'12 - Device_Configuration'!BC243)</f>
        <v/>
      </c>
      <c r="X242" s="21" t="str">
        <f>IF('12 - Device_Configuration'!BK243="","",'12 - Device_Configuration'!BK243)</f>
        <v/>
      </c>
      <c r="Y242" s="21" t="str">
        <f>IF('12 - Device_Configuration'!BB243="","",'12 - Device_Configuration'!BB243)</f>
        <v/>
      </c>
      <c r="Z242" s="21" t="str">
        <f>IF('12 - Device_Configuration'!P243="","",'12 - Device_Configuration'!P243)</f>
        <v/>
      </c>
      <c r="AA242" s="21" t="str">
        <f>IF('12 - Device_Configuration'!Q243="","",'12 - Device_Configuration'!Q243)</f>
        <v/>
      </c>
    </row>
    <row r="243" spans="1:27">
      <c r="A243" s="22"/>
      <c r="B243" s="22"/>
      <c r="C243" s="21" t="str">
        <f>IF('12 - Device_Configuration'!H244="","",'12 - Device_Configuration'!H244)</f>
        <v/>
      </c>
      <c r="D243" s="21" t="str">
        <f>IF('12 - Device_Configuration'!AE244="","",'12 - Device_Configuration'!AE244)</f>
        <v/>
      </c>
      <c r="E243" s="21" t="str">
        <f>IF('12 - Device_Configuration'!AF244="","",'12 - Device_Configuration'!AF244)</f>
        <v/>
      </c>
      <c r="F243" s="21" t="str">
        <f>IF('12 - Device_Configuration'!AG244="","",'12 - Device_Configuration'!AG244)</f>
        <v/>
      </c>
      <c r="G243" s="21" t="str">
        <f>IF('12 - Device_Configuration'!AH244="","",'12 - Device_Configuration'!AH244)</f>
        <v/>
      </c>
      <c r="H243" s="21" t="str">
        <f>IF('12 - Device_Configuration'!A244="","",'12 - Device_Configuration'!A244)</f>
        <v/>
      </c>
      <c r="I243" s="21" t="str">
        <f>IF('12 - Device_Configuration'!AI244="","",'12 - Device_Configuration'!AI244)</f>
        <v/>
      </c>
      <c r="J243" s="21" t="str">
        <f>IF('12 - Device_Configuration'!AJ244="","",'12 - Device_Configuration'!AJ244)</f>
        <v/>
      </c>
      <c r="K243" s="21" t="str">
        <f>IF('12 - Device_Configuration'!AA244="","",'12 - Device_Configuration'!AA244)</f>
        <v/>
      </c>
      <c r="L243" s="21" t="str">
        <f>IF('12 - Device_Configuration'!I244="","",'12 - Device_Configuration'!I244)</f>
        <v/>
      </c>
      <c r="M243" s="22"/>
      <c r="N243" s="21" t="str">
        <f>IF('12 - Device_Configuration'!J244="","",'12 - Device_Configuration'!J244)</f>
        <v/>
      </c>
      <c r="O243" s="21" t="str">
        <f>IF('12 - Device_Configuration'!K244="","",'12 - Device_Configuration'!K244)</f>
        <v/>
      </c>
      <c r="P243" s="21" t="str">
        <f>IF('12 - Device_Configuration'!L244="","",'12 - Device_Configuration'!L244)</f>
        <v/>
      </c>
      <c r="Q243" s="22"/>
      <c r="R243" s="21" t="str">
        <f>IF('12 - Device_Configuration'!AY244="","",'12 - Device_Configuration'!AY244)</f>
        <v/>
      </c>
      <c r="S243" s="21" t="str">
        <f>IF('12 - Device_Configuration'!AX244="","",'12 - Device_Configuration'!AX244)</f>
        <v/>
      </c>
      <c r="T243" s="21" t="str">
        <f>IF('12 - Device_Configuration'!AV244="","",'12 - Device_Configuration'!AV244)</f>
        <v/>
      </c>
      <c r="U243" s="21" t="str">
        <f>IF('12 - Device_Configuration'!AW244="","",'12 - Device_Configuration'!AW244)</f>
        <v/>
      </c>
      <c r="V243" s="21" t="str">
        <f>IF('12 - Device_Configuration'!BA244="","",'12 - Device_Configuration'!BA244)</f>
        <v/>
      </c>
      <c r="W243" s="21" t="str">
        <f>IF('12 - Device_Configuration'!BC244="","",'12 - Device_Configuration'!BC244)</f>
        <v/>
      </c>
      <c r="X243" s="21" t="str">
        <f>IF('12 - Device_Configuration'!BK244="","",'12 - Device_Configuration'!BK244)</f>
        <v/>
      </c>
      <c r="Y243" s="21" t="str">
        <f>IF('12 - Device_Configuration'!BB244="","",'12 - Device_Configuration'!BB244)</f>
        <v/>
      </c>
      <c r="Z243" s="21" t="str">
        <f>IF('12 - Device_Configuration'!P244="","",'12 - Device_Configuration'!P244)</f>
        <v/>
      </c>
      <c r="AA243" s="21" t="str">
        <f>IF('12 - Device_Configuration'!Q244="","",'12 - Device_Configuration'!Q244)</f>
        <v/>
      </c>
    </row>
    <row r="244" spans="1:27">
      <c r="A244" s="22"/>
      <c r="B244" s="22"/>
      <c r="C244" s="21" t="str">
        <f>IF('12 - Device_Configuration'!H245="","",'12 - Device_Configuration'!H245)</f>
        <v/>
      </c>
      <c r="D244" s="21" t="str">
        <f>IF('12 - Device_Configuration'!AE245="","",'12 - Device_Configuration'!AE245)</f>
        <v/>
      </c>
      <c r="E244" s="21" t="str">
        <f>IF('12 - Device_Configuration'!AF245="","",'12 - Device_Configuration'!AF245)</f>
        <v/>
      </c>
      <c r="F244" s="21" t="str">
        <f>IF('12 - Device_Configuration'!AG245="","",'12 - Device_Configuration'!AG245)</f>
        <v/>
      </c>
      <c r="G244" s="21" t="str">
        <f>IF('12 - Device_Configuration'!AH245="","",'12 - Device_Configuration'!AH245)</f>
        <v/>
      </c>
      <c r="H244" s="21" t="str">
        <f>IF('12 - Device_Configuration'!A245="","",'12 - Device_Configuration'!A245)</f>
        <v/>
      </c>
      <c r="I244" s="21" t="str">
        <f>IF('12 - Device_Configuration'!AI245="","",'12 - Device_Configuration'!AI245)</f>
        <v/>
      </c>
      <c r="J244" s="21" t="str">
        <f>IF('12 - Device_Configuration'!AJ245="","",'12 - Device_Configuration'!AJ245)</f>
        <v/>
      </c>
      <c r="K244" s="21" t="str">
        <f>IF('12 - Device_Configuration'!AA245="","",'12 - Device_Configuration'!AA245)</f>
        <v/>
      </c>
      <c r="L244" s="21" t="str">
        <f>IF('12 - Device_Configuration'!I245="","",'12 - Device_Configuration'!I245)</f>
        <v/>
      </c>
      <c r="M244" s="22"/>
      <c r="N244" s="21" t="str">
        <f>IF('12 - Device_Configuration'!J245="","",'12 - Device_Configuration'!J245)</f>
        <v/>
      </c>
      <c r="O244" s="21" t="str">
        <f>IF('12 - Device_Configuration'!K245="","",'12 - Device_Configuration'!K245)</f>
        <v/>
      </c>
      <c r="P244" s="21" t="str">
        <f>IF('12 - Device_Configuration'!L245="","",'12 - Device_Configuration'!L245)</f>
        <v/>
      </c>
      <c r="Q244" s="22"/>
      <c r="R244" s="21" t="str">
        <f>IF('12 - Device_Configuration'!AY245="","",'12 - Device_Configuration'!AY245)</f>
        <v/>
      </c>
      <c r="S244" s="21" t="str">
        <f>IF('12 - Device_Configuration'!AX245="","",'12 - Device_Configuration'!AX245)</f>
        <v/>
      </c>
      <c r="T244" s="21" t="str">
        <f>IF('12 - Device_Configuration'!AV245="","",'12 - Device_Configuration'!AV245)</f>
        <v/>
      </c>
      <c r="U244" s="21" t="str">
        <f>IF('12 - Device_Configuration'!AW245="","",'12 - Device_Configuration'!AW245)</f>
        <v/>
      </c>
      <c r="V244" s="21" t="str">
        <f>IF('12 - Device_Configuration'!BA245="","",'12 - Device_Configuration'!BA245)</f>
        <v/>
      </c>
      <c r="W244" s="21" t="str">
        <f>IF('12 - Device_Configuration'!BC245="","",'12 - Device_Configuration'!BC245)</f>
        <v/>
      </c>
      <c r="X244" s="21" t="str">
        <f>IF('12 - Device_Configuration'!BK245="","",'12 - Device_Configuration'!BK245)</f>
        <v/>
      </c>
      <c r="Y244" s="21" t="str">
        <f>IF('12 - Device_Configuration'!BB245="","",'12 - Device_Configuration'!BB245)</f>
        <v/>
      </c>
      <c r="Z244" s="21" t="str">
        <f>IF('12 - Device_Configuration'!P245="","",'12 - Device_Configuration'!P245)</f>
        <v/>
      </c>
      <c r="AA244" s="21" t="str">
        <f>IF('12 - Device_Configuration'!Q245="","",'12 - Device_Configuration'!Q245)</f>
        <v/>
      </c>
    </row>
    <row r="245" spans="1:27">
      <c r="A245" s="22"/>
      <c r="B245" s="22"/>
      <c r="C245" s="21" t="str">
        <f>IF('12 - Device_Configuration'!H246="","",'12 - Device_Configuration'!H246)</f>
        <v/>
      </c>
      <c r="D245" s="21" t="str">
        <f>IF('12 - Device_Configuration'!AE246="","",'12 - Device_Configuration'!AE246)</f>
        <v/>
      </c>
      <c r="E245" s="21" t="str">
        <f>IF('12 - Device_Configuration'!AF246="","",'12 - Device_Configuration'!AF246)</f>
        <v/>
      </c>
      <c r="F245" s="21" t="str">
        <f>IF('12 - Device_Configuration'!AG246="","",'12 - Device_Configuration'!AG246)</f>
        <v/>
      </c>
      <c r="G245" s="21" t="str">
        <f>IF('12 - Device_Configuration'!AH246="","",'12 - Device_Configuration'!AH246)</f>
        <v/>
      </c>
      <c r="H245" s="21" t="str">
        <f>IF('12 - Device_Configuration'!A246="","",'12 - Device_Configuration'!A246)</f>
        <v/>
      </c>
      <c r="I245" s="21" t="str">
        <f>IF('12 - Device_Configuration'!AI246="","",'12 - Device_Configuration'!AI246)</f>
        <v/>
      </c>
      <c r="J245" s="21" t="str">
        <f>IF('12 - Device_Configuration'!AJ246="","",'12 - Device_Configuration'!AJ246)</f>
        <v/>
      </c>
      <c r="K245" s="21" t="str">
        <f>IF('12 - Device_Configuration'!AA246="","",'12 - Device_Configuration'!AA246)</f>
        <v/>
      </c>
      <c r="L245" s="21" t="str">
        <f>IF('12 - Device_Configuration'!I246="","",'12 - Device_Configuration'!I246)</f>
        <v/>
      </c>
      <c r="M245" s="22"/>
      <c r="N245" s="21" t="str">
        <f>IF('12 - Device_Configuration'!J246="","",'12 - Device_Configuration'!J246)</f>
        <v/>
      </c>
      <c r="O245" s="21" t="str">
        <f>IF('12 - Device_Configuration'!K246="","",'12 - Device_Configuration'!K246)</f>
        <v/>
      </c>
      <c r="P245" s="21" t="str">
        <f>IF('12 - Device_Configuration'!L246="","",'12 - Device_Configuration'!L246)</f>
        <v/>
      </c>
      <c r="Q245" s="22"/>
      <c r="R245" s="21" t="str">
        <f>IF('12 - Device_Configuration'!AY246="","",'12 - Device_Configuration'!AY246)</f>
        <v/>
      </c>
      <c r="S245" s="21" t="str">
        <f>IF('12 - Device_Configuration'!AX246="","",'12 - Device_Configuration'!AX246)</f>
        <v/>
      </c>
      <c r="T245" s="21" t="str">
        <f>IF('12 - Device_Configuration'!AV246="","",'12 - Device_Configuration'!AV246)</f>
        <v/>
      </c>
      <c r="U245" s="21" t="str">
        <f>IF('12 - Device_Configuration'!AW246="","",'12 - Device_Configuration'!AW246)</f>
        <v/>
      </c>
      <c r="V245" s="21" t="str">
        <f>IF('12 - Device_Configuration'!BA246="","",'12 - Device_Configuration'!BA246)</f>
        <v/>
      </c>
      <c r="W245" s="21" t="str">
        <f>IF('12 - Device_Configuration'!BC246="","",'12 - Device_Configuration'!BC246)</f>
        <v/>
      </c>
      <c r="X245" s="21" t="str">
        <f>IF('12 - Device_Configuration'!BK246="","",'12 - Device_Configuration'!BK246)</f>
        <v/>
      </c>
      <c r="Y245" s="21" t="str">
        <f>IF('12 - Device_Configuration'!BB246="","",'12 - Device_Configuration'!BB246)</f>
        <v/>
      </c>
      <c r="Z245" s="21" t="str">
        <f>IF('12 - Device_Configuration'!P246="","",'12 - Device_Configuration'!P246)</f>
        <v/>
      </c>
      <c r="AA245" s="21" t="str">
        <f>IF('12 - Device_Configuration'!Q246="","",'12 - Device_Configuration'!Q246)</f>
        <v/>
      </c>
    </row>
    <row r="246" spans="1:27">
      <c r="A246" s="22"/>
      <c r="B246" s="22"/>
      <c r="C246" s="21" t="str">
        <f>IF('12 - Device_Configuration'!H247="","",'12 - Device_Configuration'!H247)</f>
        <v/>
      </c>
      <c r="D246" s="21" t="str">
        <f>IF('12 - Device_Configuration'!AE247="","",'12 - Device_Configuration'!AE247)</f>
        <v/>
      </c>
      <c r="E246" s="21" t="str">
        <f>IF('12 - Device_Configuration'!AF247="","",'12 - Device_Configuration'!AF247)</f>
        <v/>
      </c>
      <c r="F246" s="21" t="str">
        <f>IF('12 - Device_Configuration'!AG247="","",'12 - Device_Configuration'!AG247)</f>
        <v/>
      </c>
      <c r="G246" s="21" t="str">
        <f>IF('12 - Device_Configuration'!AH247="","",'12 - Device_Configuration'!AH247)</f>
        <v/>
      </c>
      <c r="H246" s="21" t="str">
        <f>IF('12 - Device_Configuration'!A247="","",'12 - Device_Configuration'!A247)</f>
        <v/>
      </c>
      <c r="I246" s="21" t="str">
        <f>IF('12 - Device_Configuration'!AI247="","",'12 - Device_Configuration'!AI247)</f>
        <v/>
      </c>
      <c r="J246" s="21" t="str">
        <f>IF('12 - Device_Configuration'!AJ247="","",'12 - Device_Configuration'!AJ247)</f>
        <v/>
      </c>
      <c r="K246" s="21" t="str">
        <f>IF('12 - Device_Configuration'!AA247="","",'12 - Device_Configuration'!AA247)</f>
        <v/>
      </c>
      <c r="L246" s="21" t="str">
        <f>IF('12 - Device_Configuration'!I247="","",'12 - Device_Configuration'!I247)</f>
        <v/>
      </c>
      <c r="M246" s="22"/>
      <c r="N246" s="21" t="str">
        <f>IF('12 - Device_Configuration'!J247="","",'12 - Device_Configuration'!J247)</f>
        <v/>
      </c>
      <c r="O246" s="21" t="str">
        <f>IF('12 - Device_Configuration'!K247="","",'12 - Device_Configuration'!K247)</f>
        <v/>
      </c>
      <c r="P246" s="21" t="str">
        <f>IF('12 - Device_Configuration'!L247="","",'12 - Device_Configuration'!L247)</f>
        <v/>
      </c>
      <c r="Q246" s="22"/>
      <c r="R246" s="21" t="str">
        <f>IF('12 - Device_Configuration'!AY247="","",'12 - Device_Configuration'!AY247)</f>
        <v/>
      </c>
      <c r="S246" s="21" t="str">
        <f>IF('12 - Device_Configuration'!AX247="","",'12 - Device_Configuration'!AX247)</f>
        <v/>
      </c>
      <c r="T246" s="21" t="str">
        <f>IF('12 - Device_Configuration'!AV247="","",'12 - Device_Configuration'!AV247)</f>
        <v/>
      </c>
      <c r="U246" s="21" t="str">
        <f>IF('12 - Device_Configuration'!AW247="","",'12 - Device_Configuration'!AW247)</f>
        <v/>
      </c>
      <c r="V246" s="21" t="str">
        <f>IF('12 - Device_Configuration'!BA247="","",'12 - Device_Configuration'!BA247)</f>
        <v/>
      </c>
      <c r="W246" s="21" t="str">
        <f>IF('12 - Device_Configuration'!BC247="","",'12 - Device_Configuration'!BC247)</f>
        <v/>
      </c>
      <c r="X246" s="21" t="str">
        <f>IF('12 - Device_Configuration'!BK247="","",'12 - Device_Configuration'!BK247)</f>
        <v/>
      </c>
      <c r="Y246" s="21" t="str">
        <f>IF('12 - Device_Configuration'!BB247="","",'12 - Device_Configuration'!BB247)</f>
        <v/>
      </c>
      <c r="Z246" s="21" t="str">
        <f>IF('12 - Device_Configuration'!P247="","",'12 - Device_Configuration'!P247)</f>
        <v/>
      </c>
      <c r="AA246" s="21" t="str">
        <f>IF('12 - Device_Configuration'!Q247="","",'12 - Device_Configuration'!Q247)</f>
        <v/>
      </c>
    </row>
    <row r="247" spans="1:27">
      <c r="A247" s="22"/>
      <c r="B247" s="22"/>
      <c r="C247" s="21" t="str">
        <f>IF('12 - Device_Configuration'!H248="","",'12 - Device_Configuration'!H248)</f>
        <v/>
      </c>
      <c r="D247" s="21" t="str">
        <f>IF('12 - Device_Configuration'!AE248="","",'12 - Device_Configuration'!AE248)</f>
        <v/>
      </c>
      <c r="E247" s="21" t="str">
        <f>IF('12 - Device_Configuration'!AF248="","",'12 - Device_Configuration'!AF248)</f>
        <v/>
      </c>
      <c r="F247" s="21" t="str">
        <f>IF('12 - Device_Configuration'!AG248="","",'12 - Device_Configuration'!AG248)</f>
        <v/>
      </c>
      <c r="G247" s="21" t="str">
        <f>IF('12 - Device_Configuration'!AH248="","",'12 - Device_Configuration'!AH248)</f>
        <v/>
      </c>
      <c r="H247" s="21" t="str">
        <f>IF('12 - Device_Configuration'!A248="","",'12 - Device_Configuration'!A248)</f>
        <v/>
      </c>
      <c r="I247" s="21" t="str">
        <f>IF('12 - Device_Configuration'!AI248="","",'12 - Device_Configuration'!AI248)</f>
        <v/>
      </c>
      <c r="J247" s="21" t="str">
        <f>IF('12 - Device_Configuration'!AJ248="","",'12 - Device_Configuration'!AJ248)</f>
        <v/>
      </c>
      <c r="K247" s="21" t="str">
        <f>IF('12 - Device_Configuration'!AA248="","",'12 - Device_Configuration'!AA248)</f>
        <v/>
      </c>
      <c r="L247" s="21" t="str">
        <f>IF('12 - Device_Configuration'!I248="","",'12 - Device_Configuration'!I248)</f>
        <v/>
      </c>
      <c r="M247" s="22"/>
      <c r="N247" s="21" t="str">
        <f>IF('12 - Device_Configuration'!J248="","",'12 - Device_Configuration'!J248)</f>
        <v/>
      </c>
      <c r="O247" s="21" t="str">
        <f>IF('12 - Device_Configuration'!K248="","",'12 - Device_Configuration'!K248)</f>
        <v/>
      </c>
      <c r="P247" s="21" t="str">
        <f>IF('12 - Device_Configuration'!L248="","",'12 - Device_Configuration'!L248)</f>
        <v/>
      </c>
      <c r="Q247" s="22"/>
      <c r="R247" s="21" t="str">
        <f>IF('12 - Device_Configuration'!AY248="","",'12 - Device_Configuration'!AY248)</f>
        <v/>
      </c>
      <c r="S247" s="21" t="str">
        <f>IF('12 - Device_Configuration'!AX248="","",'12 - Device_Configuration'!AX248)</f>
        <v/>
      </c>
      <c r="T247" s="21" t="str">
        <f>IF('12 - Device_Configuration'!AV248="","",'12 - Device_Configuration'!AV248)</f>
        <v/>
      </c>
      <c r="U247" s="21" t="str">
        <f>IF('12 - Device_Configuration'!AW248="","",'12 - Device_Configuration'!AW248)</f>
        <v/>
      </c>
      <c r="V247" s="21" t="str">
        <f>IF('12 - Device_Configuration'!BA248="","",'12 - Device_Configuration'!BA248)</f>
        <v/>
      </c>
      <c r="W247" s="21" t="str">
        <f>IF('12 - Device_Configuration'!BC248="","",'12 - Device_Configuration'!BC248)</f>
        <v/>
      </c>
      <c r="X247" s="21" t="str">
        <f>IF('12 - Device_Configuration'!BK248="","",'12 - Device_Configuration'!BK248)</f>
        <v/>
      </c>
      <c r="Y247" s="21" t="str">
        <f>IF('12 - Device_Configuration'!BB248="","",'12 - Device_Configuration'!BB248)</f>
        <v/>
      </c>
      <c r="Z247" s="21" t="str">
        <f>IF('12 - Device_Configuration'!P248="","",'12 - Device_Configuration'!P248)</f>
        <v/>
      </c>
      <c r="AA247" s="21" t="str">
        <f>IF('12 - Device_Configuration'!Q248="","",'12 - Device_Configuration'!Q248)</f>
        <v/>
      </c>
    </row>
    <row r="248" spans="1:27">
      <c r="A248" s="22"/>
      <c r="B248" s="22"/>
      <c r="C248" s="21" t="str">
        <f>IF('12 - Device_Configuration'!H249="","",'12 - Device_Configuration'!H249)</f>
        <v/>
      </c>
      <c r="D248" s="21" t="str">
        <f>IF('12 - Device_Configuration'!AE249="","",'12 - Device_Configuration'!AE249)</f>
        <v/>
      </c>
      <c r="E248" s="21" t="str">
        <f>IF('12 - Device_Configuration'!AF249="","",'12 - Device_Configuration'!AF249)</f>
        <v/>
      </c>
      <c r="F248" s="21" t="str">
        <f>IF('12 - Device_Configuration'!AG249="","",'12 - Device_Configuration'!AG249)</f>
        <v/>
      </c>
      <c r="G248" s="21" t="str">
        <f>IF('12 - Device_Configuration'!AH249="","",'12 - Device_Configuration'!AH249)</f>
        <v/>
      </c>
      <c r="H248" s="21" t="str">
        <f>IF('12 - Device_Configuration'!A249="","",'12 - Device_Configuration'!A249)</f>
        <v/>
      </c>
      <c r="I248" s="21" t="str">
        <f>IF('12 - Device_Configuration'!AI249="","",'12 - Device_Configuration'!AI249)</f>
        <v/>
      </c>
      <c r="J248" s="21" t="str">
        <f>IF('12 - Device_Configuration'!AJ249="","",'12 - Device_Configuration'!AJ249)</f>
        <v/>
      </c>
      <c r="K248" s="21" t="str">
        <f>IF('12 - Device_Configuration'!AA249="","",'12 - Device_Configuration'!AA249)</f>
        <v/>
      </c>
      <c r="L248" s="21" t="str">
        <f>IF('12 - Device_Configuration'!I249="","",'12 - Device_Configuration'!I249)</f>
        <v/>
      </c>
      <c r="M248" s="22"/>
      <c r="N248" s="21" t="str">
        <f>IF('12 - Device_Configuration'!J249="","",'12 - Device_Configuration'!J249)</f>
        <v/>
      </c>
      <c r="O248" s="21" t="str">
        <f>IF('12 - Device_Configuration'!K249="","",'12 - Device_Configuration'!K249)</f>
        <v/>
      </c>
      <c r="P248" s="21" t="str">
        <f>IF('12 - Device_Configuration'!L249="","",'12 - Device_Configuration'!L249)</f>
        <v/>
      </c>
      <c r="Q248" s="22"/>
      <c r="R248" s="21" t="str">
        <f>IF('12 - Device_Configuration'!AY249="","",'12 - Device_Configuration'!AY249)</f>
        <v/>
      </c>
      <c r="S248" s="21" t="str">
        <f>IF('12 - Device_Configuration'!AX249="","",'12 - Device_Configuration'!AX249)</f>
        <v/>
      </c>
      <c r="T248" s="21" t="str">
        <f>IF('12 - Device_Configuration'!AV249="","",'12 - Device_Configuration'!AV249)</f>
        <v/>
      </c>
      <c r="U248" s="21" t="str">
        <f>IF('12 - Device_Configuration'!AW249="","",'12 - Device_Configuration'!AW249)</f>
        <v/>
      </c>
      <c r="V248" s="21" t="str">
        <f>IF('12 - Device_Configuration'!BA249="","",'12 - Device_Configuration'!BA249)</f>
        <v/>
      </c>
      <c r="W248" s="21" t="str">
        <f>IF('12 - Device_Configuration'!BC249="","",'12 - Device_Configuration'!BC249)</f>
        <v/>
      </c>
      <c r="X248" s="21" t="str">
        <f>IF('12 - Device_Configuration'!BK249="","",'12 - Device_Configuration'!BK249)</f>
        <v/>
      </c>
      <c r="Y248" s="21" t="str">
        <f>IF('12 - Device_Configuration'!BB249="","",'12 - Device_Configuration'!BB249)</f>
        <v/>
      </c>
      <c r="Z248" s="21" t="str">
        <f>IF('12 - Device_Configuration'!P249="","",'12 - Device_Configuration'!P249)</f>
        <v/>
      </c>
      <c r="AA248" s="21" t="str">
        <f>IF('12 - Device_Configuration'!Q249="","",'12 - Device_Configuration'!Q249)</f>
        <v/>
      </c>
    </row>
    <row r="249" spans="1:27">
      <c r="A249" s="22"/>
      <c r="B249" s="22"/>
      <c r="C249" s="21" t="str">
        <f>IF('12 - Device_Configuration'!H250="","",'12 - Device_Configuration'!H250)</f>
        <v/>
      </c>
      <c r="D249" s="21" t="str">
        <f>IF('12 - Device_Configuration'!AE250="","",'12 - Device_Configuration'!AE250)</f>
        <v/>
      </c>
      <c r="E249" s="21" t="str">
        <f>IF('12 - Device_Configuration'!AF250="","",'12 - Device_Configuration'!AF250)</f>
        <v/>
      </c>
      <c r="F249" s="21" t="str">
        <f>IF('12 - Device_Configuration'!AG250="","",'12 - Device_Configuration'!AG250)</f>
        <v/>
      </c>
      <c r="G249" s="21" t="str">
        <f>IF('12 - Device_Configuration'!AH250="","",'12 - Device_Configuration'!AH250)</f>
        <v/>
      </c>
      <c r="H249" s="21" t="str">
        <f>IF('12 - Device_Configuration'!A250="","",'12 - Device_Configuration'!A250)</f>
        <v/>
      </c>
      <c r="I249" s="21" t="str">
        <f>IF('12 - Device_Configuration'!AI250="","",'12 - Device_Configuration'!AI250)</f>
        <v/>
      </c>
      <c r="J249" s="21" t="str">
        <f>IF('12 - Device_Configuration'!AJ250="","",'12 - Device_Configuration'!AJ250)</f>
        <v/>
      </c>
      <c r="K249" s="21" t="str">
        <f>IF('12 - Device_Configuration'!AA250="","",'12 - Device_Configuration'!AA250)</f>
        <v/>
      </c>
      <c r="L249" s="21" t="str">
        <f>IF('12 - Device_Configuration'!I250="","",'12 - Device_Configuration'!I250)</f>
        <v/>
      </c>
      <c r="M249" s="22"/>
      <c r="N249" s="21" t="str">
        <f>IF('12 - Device_Configuration'!J250="","",'12 - Device_Configuration'!J250)</f>
        <v/>
      </c>
      <c r="O249" s="21" t="str">
        <f>IF('12 - Device_Configuration'!K250="","",'12 - Device_Configuration'!K250)</f>
        <v/>
      </c>
      <c r="P249" s="21" t="str">
        <f>IF('12 - Device_Configuration'!L250="","",'12 - Device_Configuration'!L250)</f>
        <v/>
      </c>
      <c r="Q249" s="22"/>
      <c r="R249" s="21" t="str">
        <f>IF('12 - Device_Configuration'!AY250="","",'12 - Device_Configuration'!AY250)</f>
        <v/>
      </c>
      <c r="S249" s="21" t="str">
        <f>IF('12 - Device_Configuration'!AX250="","",'12 - Device_Configuration'!AX250)</f>
        <v/>
      </c>
      <c r="T249" s="21" t="str">
        <f>IF('12 - Device_Configuration'!AV250="","",'12 - Device_Configuration'!AV250)</f>
        <v/>
      </c>
      <c r="U249" s="21" t="str">
        <f>IF('12 - Device_Configuration'!AW250="","",'12 - Device_Configuration'!AW250)</f>
        <v/>
      </c>
      <c r="V249" s="21" t="str">
        <f>IF('12 - Device_Configuration'!BA250="","",'12 - Device_Configuration'!BA250)</f>
        <v/>
      </c>
      <c r="W249" s="21" t="str">
        <f>IF('12 - Device_Configuration'!BC250="","",'12 - Device_Configuration'!BC250)</f>
        <v/>
      </c>
      <c r="X249" s="21" t="str">
        <f>IF('12 - Device_Configuration'!BK250="","",'12 - Device_Configuration'!BK250)</f>
        <v/>
      </c>
      <c r="Y249" s="21" t="str">
        <f>IF('12 - Device_Configuration'!BB250="","",'12 - Device_Configuration'!BB250)</f>
        <v/>
      </c>
      <c r="Z249" s="21" t="str">
        <f>IF('12 - Device_Configuration'!P250="","",'12 - Device_Configuration'!P250)</f>
        <v/>
      </c>
      <c r="AA249" s="21" t="str">
        <f>IF('12 - Device_Configuration'!Q250="","",'12 - Device_Configuration'!Q250)</f>
        <v/>
      </c>
    </row>
    <row r="250" spans="1:27">
      <c r="A250" s="22"/>
      <c r="B250" s="22"/>
      <c r="C250" s="21" t="str">
        <f>IF('12 - Device_Configuration'!H251="","",'12 - Device_Configuration'!H251)</f>
        <v/>
      </c>
      <c r="D250" s="21" t="str">
        <f>IF('12 - Device_Configuration'!AE251="","",'12 - Device_Configuration'!AE251)</f>
        <v/>
      </c>
      <c r="E250" s="21" t="str">
        <f>IF('12 - Device_Configuration'!AF251="","",'12 - Device_Configuration'!AF251)</f>
        <v/>
      </c>
      <c r="F250" s="21" t="str">
        <f>IF('12 - Device_Configuration'!AG251="","",'12 - Device_Configuration'!AG251)</f>
        <v/>
      </c>
      <c r="G250" s="21" t="str">
        <f>IF('12 - Device_Configuration'!AH251="","",'12 - Device_Configuration'!AH251)</f>
        <v/>
      </c>
      <c r="H250" s="21" t="str">
        <f>IF('12 - Device_Configuration'!A251="","",'12 - Device_Configuration'!A251)</f>
        <v/>
      </c>
      <c r="I250" s="21" t="str">
        <f>IF('12 - Device_Configuration'!AI251="","",'12 - Device_Configuration'!AI251)</f>
        <v/>
      </c>
      <c r="J250" s="21" t="str">
        <f>IF('12 - Device_Configuration'!AJ251="","",'12 - Device_Configuration'!AJ251)</f>
        <v/>
      </c>
      <c r="K250" s="21" t="str">
        <f>IF('12 - Device_Configuration'!AA251="","",'12 - Device_Configuration'!AA251)</f>
        <v/>
      </c>
      <c r="L250" s="21" t="str">
        <f>IF('12 - Device_Configuration'!I251="","",'12 - Device_Configuration'!I251)</f>
        <v/>
      </c>
      <c r="M250" s="22"/>
      <c r="N250" s="21" t="str">
        <f>IF('12 - Device_Configuration'!J251="","",'12 - Device_Configuration'!J251)</f>
        <v/>
      </c>
      <c r="O250" s="21" t="str">
        <f>IF('12 - Device_Configuration'!K251="","",'12 - Device_Configuration'!K251)</f>
        <v/>
      </c>
      <c r="P250" s="21" t="str">
        <f>IF('12 - Device_Configuration'!L251="","",'12 - Device_Configuration'!L251)</f>
        <v/>
      </c>
      <c r="Q250" s="22"/>
      <c r="R250" s="21" t="str">
        <f>IF('12 - Device_Configuration'!AY251="","",'12 - Device_Configuration'!AY251)</f>
        <v/>
      </c>
      <c r="S250" s="21" t="str">
        <f>IF('12 - Device_Configuration'!AX251="","",'12 - Device_Configuration'!AX251)</f>
        <v/>
      </c>
      <c r="T250" s="21" t="str">
        <f>IF('12 - Device_Configuration'!AV251="","",'12 - Device_Configuration'!AV251)</f>
        <v/>
      </c>
      <c r="U250" s="21" t="str">
        <f>IF('12 - Device_Configuration'!AW251="","",'12 - Device_Configuration'!AW251)</f>
        <v/>
      </c>
      <c r="V250" s="21" t="str">
        <f>IF('12 - Device_Configuration'!BA251="","",'12 - Device_Configuration'!BA251)</f>
        <v/>
      </c>
      <c r="W250" s="21" t="str">
        <f>IF('12 - Device_Configuration'!BC251="","",'12 - Device_Configuration'!BC251)</f>
        <v/>
      </c>
      <c r="X250" s="21" t="str">
        <f>IF('12 - Device_Configuration'!BK251="","",'12 - Device_Configuration'!BK251)</f>
        <v/>
      </c>
      <c r="Y250" s="21" t="str">
        <f>IF('12 - Device_Configuration'!BB251="","",'12 - Device_Configuration'!BB251)</f>
        <v/>
      </c>
      <c r="Z250" s="21" t="str">
        <f>IF('12 - Device_Configuration'!P251="","",'12 - Device_Configuration'!P251)</f>
        <v/>
      </c>
      <c r="AA250" s="21" t="str">
        <f>IF('12 - Device_Configuration'!Q251="","",'12 - Device_Configuration'!Q251)</f>
        <v/>
      </c>
    </row>
    <row r="251" spans="1:27">
      <c r="A251" s="22"/>
      <c r="B251" s="22"/>
      <c r="C251" s="21" t="str">
        <f>IF('12 - Device_Configuration'!H252="","",'12 - Device_Configuration'!H252)</f>
        <v/>
      </c>
      <c r="D251" s="21" t="str">
        <f>IF('12 - Device_Configuration'!AE252="","",'12 - Device_Configuration'!AE252)</f>
        <v/>
      </c>
      <c r="E251" s="21" t="str">
        <f>IF('12 - Device_Configuration'!AF252="","",'12 - Device_Configuration'!AF252)</f>
        <v/>
      </c>
      <c r="F251" s="21" t="str">
        <f>IF('12 - Device_Configuration'!AG252="","",'12 - Device_Configuration'!AG252)</f>
        <v/>
      </c>
      <c r="G251" s="21" t="str">
        <f>IF('12 - Device_Configuration'!AH252="","",'12 - Device_Configuration'!AH252)</f>
        <v/>
      </c>
      <c r="H251" s="21" t="str">
        <f>IF('12 - Device_Configuration'!A252="","",'12 - Device_Configuration'!A252)</f>
        <v/>
      </c>
      <c r="I251" s="21" t="str">
        <f>IF('12 - Device_Configuration'!AI252="","",'12 - Device_Configuration'!AI252)</f>
        <v/>
      </c>
      <c r="J251" s="21" t="str">
        <f>IF('12 - Device_Configuration'!AJ252="","",'12 - Device_Configuration'!AJ252)</f>
        <v/>
      </c>
      <c r="K251" s="21" t="str">
        <f>IF('12 - Device_Configuration'!AA252="","",'12 - Device_Configuration'!AA252)</f>
        <v/>
      </c>
      <c r="L251" s="21" t="str">
        <f>IF('12 - Device_Configuration'!I252="","",'12 - Device_Configuration'!I252)</f>
        <v/>
      </c>
      <c r="M251" s="22"/>
      <c r="N251" s="21" t="str">
        <f>IF('12 - Device_Configuration'!J252="","",'12 - Device_Configuration'!J252)</f>
        <v/>
      </c>
      <c r="O251" s="21" t="str">
        <f>IF('12 - Device_Configuration'!K252="","",'12 - Device_Configuration'!K252)</f>
        <v/>
      </c>
      <c r="P251" s="21" t="str">
        <f>IF('12 - Device_Configuration'!L252="","",'12 - Device_Configuration'!L252)</f>
        <v/>
      </c>
      <c r="Q251" s="22"/>
      <c r="R251" s="21" t="str">
        <f>IF('12 - Device_Configuration'!AY252="","",'12 - Device_Configuration'!AY252)</f>
        <v/>
      </c>
      <c r="S251" s="21" t="str">
        <f>IF('12 - Device_Configuration'!AX252="","",'12 - Device_Configuration'!AX252)</f>
        <v/>
      </c>
      <c r="T251" s="21" t="str">
        <f>IF('12 - Device_Configuration'!AV252="","",'12 - Device_Configuration'!AV252)</f>
        <v/>
      </c>
      <c r="U251" s="21" t="str">
        <f>IF('12 - Device_Configuration'!AW252="","",'12 - Device_Configuration'!AW252)</f>
        <v/>
      </c>
      <c r="V251" s="21" t="str">
        <f>IF('12 - Device_Configuration'!BA252="","",'12 - Device_Configuration'!BA252)</f>
        <v/>
      </c>
      <c r="W251" s="21" t="str">
        <f>IF('12 - Device_Configuration'!BC252="","",'12 - Device_Configuration'!BC252)</f>
        <v/>
      </c>
      <c r="X251" s="21" t="str">
        <f>IF('12 - Device_Configuration'!BK252="","",'12 - Device_Configuration'!BK252)</f>
        <v/>
      </c>
      <c r="Y251" s="21" t="str">
        <f>IF('12 - Device_Configuration'!BB252="","",'12 - Device_Configuration'!BB252)</f>
        <v/>
      </c>
      <c r="Z251" s="21" t="str">
        <f>IF('12 - Device_Configuration'!P252="","",'12 - Device_Configuration'!P252)</f>
        <v/>
      </c>
      <c r="AA251" s="21" t="str">
        <f>IF('12 - Device_Configuration'!Q252="","",'12 - Device_Configuration'!Q252)</f>
        <v/>
      </c>
    </row>
    <row r="252" spans="1:27">
      <c r="A252" s="22"/>
      <c r="B252" s="22"/>
      <c r="C252" s="21" t="str">
        <f>IF('12 - Device_Configuration'!H253="","",'12 - Device_Configuration'!H253)</f>
        <v/>
      </c>
      <c r="D252" s="21" t="str">
        <f>IF('12 - Device_Configuration'!AE253="","",'12 - Device_Configuration'!AE253)</f>
        <v/>
      </c>
      <c r="E252" s="21" t="str">
        <f>IF('12 - Device_Configuration'!AF253="","",'12 - Device_Configuration'!AF253)</f>
        <v/>
      </c>
      <c r="F252" s="21" t="str">
        <f>IF('12 - Device_Configuration'!AG253="","",'12 - Device_Configuration'!AG253)</f>
        <v/>
      </c>
      <c r="G252" s="21" t="str">
        <f>IF('12 - Device_Configuration'!AH253="","",'12 - Device_Configuration'!AH253)</f>
        <v/>
      </c>
      <c r="H252" s="21" t="str">
        <f>IF('12 - Device_Configuration'!A253="","",'12 - Device_Configuration'!A253)</f>
        <v/>
      </c>
      <c r="I252" s="21" t="str">
        <f>IF('12 - Device_Configuration'!AI253="","",'12 - Device_Configuration'!AI253)</f>
        <v/>
      </c>
      <c r="J252" s="21" t="str">
        <f>IF('12 - Device_Configuration'!AJ253="","",'12 - Device_Configuration'!AJ253)</f>
        <v/>
      </c>
      <c r="K252" s="21" t="str">
        <f>IF('12 - Device_Configuration'!AA253="","",'12 - Device_Configuration'!AA253)</f>
        <v/>
      </c>
      <c r="L252" s="21" t="str">
        <f>IF('12 - Device_Configuration'!I253="","",'12 - Device_Configuration'!I253)</f>
        <v/>
      </c>
      <c r="M252" s="22"/>
      <c r="N252" s="21" t="str">
        <f>IF('12 - Device_Configuration'!J253="","",'12 - Device_Configuration'!J253)</f>
        <v/>
      </c>
      <c r="O252" s="21" t="str">
        <f>IF('12 - Device_Configuration'!K253="","",'12 - Device_Configuration'!K253)</f>
        <v/>
      </c>
      <c r="P252" s="21" t="str">
        <f>IF('12 - Device_Configuration'!L253="","",'12 - Device_Configuration'!L253)</f>
        <v/>
      </c>
      <c r="Q252" s="22"/>
      <c r="R252" s="21" t="str">
        <f>IF('12 - Device_Configuration'!AY253="","",'12 - Device_Configuration'!AY253)</f>
        <v/>
      </c>
      <c r="S252" s="21" t="str">
        <f>IF('12 - Device_Configuration'!AX253="","",'12 - Device_Configuration'!AX253)</f>
        <v/>
      </c>
      <c r="T252" s="21" t="str">
        <f>IF('12 - Device_Configuration'!AV253="","",'12 - Device_Configuration'!AV253)</f>
        <v/>
      </c>
      <c r="U252" s="21" t="str">
        <f>IF('12 - Device_Configuration'!AW253="","",'12 - Device_Configuration'!AW253)</f>
        <v/>
      </c>
      <c r="V252" s="21" t="str">
        <f>IF('12 - Device_Configuration'!BA253="","",'12 - Device_Configuration'!BA253)</f>
        <v/>
      </c>
      <c r="W252" s="21" t="str">
        <f>IF('12 - Device_Configuration'!BC253="","",'12 - Device_Configuration'!BC253)</f>
        <v/>
      </c>
      <c r="X252" s="21" t="str">
        <f>IF('12 - Device_Configuration'!BK253="","",'12 - Device_Configuration'!BK253)</f>
        <v/>
      </c>
      <c r="Y252" s="21" t="str">
        <f>IF('12 - Device_Configuration'!BB253="","",'12 - Device_Configuration'!BB253)</f>
        <v/>
      </c>
      <c r="Z252" s="21" t="str">
        <f>IF('12 - Device_Configuration'!P253="","",'12 - Device_Configuration'!P253)</f>
        <v/>
      </c>
      <c r="AA252" s="21" t="str">
        <f>IF('12 - Device_Configuration'!Q253="","",'12 - Device_Configuration'!Q253)</f>
        <v/>
      </c>
    </row>
    <row r="253" spans="1:27">
      <c r="A253" s="22"/>
      <c r="B253" s="22"/>
      <c r="C253" s="21" t="str">
        <f>IF('12 - Device_Configuration'!H254="","",'12 - Device_Configuration'!H254)</f>
        <v/>
      </c>
      <c r="D253" s="21" t="str">
        <f>IF('12 - Device_Configuration'!AE254="","",'12 - Device_Configuration'!AE254)</f>
        <v/>
      </c>
      <c r="E253" s="21" t="str">
        <f>IF('12 - Device_Configuration'!AF254="","",'12 - Device_Configuration'!AF254)</f>
        <v/>
      </c>
      <c r="F253" s="21" t="str">
        <f>IF('12 - Device_Configuration'!AG254="","",'12 - Device_Configuration'!AG254)</f>
        <v/>
      </c>
      <c r="G253" s="21" t="str">
        <f>IF('12 - Device_Configuration'!AH254="","",'12 - Device_Configuration'!AH254)</f>
        <v/>
      </c>
      <c r="H253" s="21" t="str">
        <f>IF('12 - Device_Configuration'!A254="","",'12 - Device_Configuration'!A254)</f>
        <v/>
      </c>
      <c r="I253" s="21" t="str">
        <f>IF('12 - Device_Configuration'!AI254="","",'12 - Device_Configuration'!AI254)</f>
        <v/>
      </c>
      <c r="J253" s="21" t="str">
        <f>IF('12 - Device_Configuration'!AJ254="","",'12 - Device_Configuration'!AJ254)</f>
        <v/>
      </c>
      <c r="K253" s="21" t="str">
        <f>IF('12 - Device_Configuration'!AA254="","",'12 - Device_Configuration'!AA254)</f>
        <v/>
      </c>
      <c r="L253" s="21" t="str">
        <f>IF('12 - Device_Configuration'!I254="","",'12 - Device_Configuration'!I254)</f>
        <v/>
      </c>
      <c r="M253" s="22"/>
      <c r="N253" s="21" t="str">
        <f>IF('12 - Device_Configuration'!J254="","",'12 - Device_Configuration'!J254)</f>
        <v/>
      </c>
      <c r="O253" s="21" t="str">
        <f>IF('12 - Device_Configuration'!K254="","",'12 - Device_Configuration'!K254)</f>
        <v/>
      </c>
      <c r="P253" s="21" t="str">
        <f>IF('12 - Device_Configuration'!L254="","",'12 - Device_Configuration'!L254)</f>
        <v/>
      </c>
      <c r="Q253" s="22"/>
      <c r="R253" s="21" t="str">
        <f>IF('12 - Device_Configuration'!AY254="","",'12 - Device_Configuration'!AY254)</f>
        <v/>
      </c>
      <c r="S253" s="21" t="str">
        <f>IF('12 - Device_Configuration'!AX254="","",'12 - Device_Configuration'!AX254)</f>
        <v/>
      </c>
      <c r="T253" s="21" t="str">
        <f>IF('12 - Device_Configuration'!AV254="","",'12 - Device_Configuration'!AV254)</f>
        <v/>
      </c>
      <c r="U253" s="21" t="str">
        <f>IF('12 - Device_Configuration'!AW254="","",'12 - Device_Configuration'!AW254)</f>
        <v/>
      </c>
      <c r="V253" s="21" t="str">
        <f>IF('12 - Device_Configuration'!BA254="","",'12 - Device_Configuration'!BA254)</f>
        <v/>
      </c>
      <c r="W253" s="21" t="str">
        <f>IF('12 - Device_Configuration'!BC254="","",'12 - Device_Configuration'!BC254)</f>
        <v/>
      </c>
      <c r="X253" s="21" t="str">
        <f>IF('12 - Device_Configuration'!BK254="","",'12 - Device_Configuration'!BK254)</f>
        <v/>
      </c>
      <c r="Y253" s="21" t="str">
        <f>IF('12 - Device_Configuration'!BB254="","",'12 - Device_Configuration'!BB254)</f>
        <v/>
      </c>
      <c r="Z253" s="21" t="str">
        <f>IF('12 - Device_Configuration'!P254="","",'12 - Device_Configuration'!P254)</f>
        <v/>
      </c>
      <c r="AA253" s="21" t="str">
        <f>IF('12 - Device_Configuration'!Q254="","",'12 - Device_Configuration'!Q254)</f>
        <v/>
      </c>
    </row>
    <row r="254" spans="1:27">
      <c r="A254" s="22"/>
      <c r="B254" s="22"/>
      <c r="C254" s="21" t="str">
        <f>IF('12 - Device_Configuration'!H255="","",'12 - Device_Configuration'!H255)</f>
        <v/>
      </c>
      <c r="D254" s="21" t="str">
        <f>IF('12 - Device_Configuration'!AE255="","",'12 - Device_Configuration'!AE255)</f>
        <v/>
      </c>
      <c r="E254" s="21" t="str">
        <f>IF('12 - Device_Configuration'!AF255="","",'12 - Device_Configuration'!AF255)</f>
        <v/>
      </c>
      <c r="F254" s="21" t="str">
        <f>IF('12 - Device_Configuration'!AG255="","",'12 - Device_Configuration'!AG255)</f>
        <v/>
      </c>
      <c r="G254" s="21" t="str">
        <f>IF('12 - Device_Configuration'!AH255="","",'12 - Device_Configuration'!AH255)</f>
        <v/>
      </c>
      <c r="H254" s="21" t="str">
        <f>IF('12 - Device_Configuration'!A255="","",'12 - Device_Configuration'!A255)</f>
        <v/>
      </c>
      <c r="I254" s="21" t="str">
        <f>IF('12 - Device_Configuration'!AI255="","",'12 - Device_Configuration'!AI255)</f>
        <v/>
      </c>
      <c r="J254" s="21" t="str">
        <f>IF('12 - Device_Configuration'!AJ255="","",'12 - Device_Configuration'!AJ255)</f>
        <v/>
      </c>
      <c r="K254" s="21" t="str">
        <f>IF('12 - Device_Configuration'!AA255="","",'12 - Device_Configuration'!AA255)</f>
        <v/>
      </c>
      <c r="L254" s="21" t="str">
        <f>IF('12 - Device_Configuration'!I255="","",'12 - Device_Configuration'!I255)</f>
        <v/>
      </c>
      <c r="M254" s="22"/>
      <c r="N254" s="21" t="str">
        <f>IF('12 - Device_Configuration'!J255="","",'12 - Device_Configuration'!J255)</f>
        <v/>
      </c>
      <c r="O254" s="21" t="str">
        <f>IF('12 - Device_Configuration'!K255="","",'12 - Device_Configuration'!K255)</f>
        <v/>
      </c>
      <c r="P254" s="21" t="str">
        <f>IF('12 - Device_Configuration'!L255="","",'12 - Device_Configuration'!L255)</f>
        <v/>
      </c>
      <c r="Q254" s="22"/>
      <c r="R254" s="21" t="str">
        <f>IF('12 - Device_Configuration'!AY255="","",'12 - Device_Configuration'!AY255)</f>
        <v/>
      </c>
      <c r="S254" s="21" t="str">
        <f>IF('12 - Device_Configuration'!AX255="","",'12 - Device_Configuration'!AX255)</f>
        <v/>
      </c>
      <c r="T254" s="21" t="str">
        <f>IF('12 - Device_Configuration'!AV255="","",'12 - Device_Configuration'!AV255)</f>
        <v/>
      </c>
      <c r="U254" s="21" t="str">
        <f>IF('12 - Device_Configuration'!AW255="","",'12 - Device_Configuration'!AW255)</f>
        <v/>
      </c>
      <c r="V254" s="21" t="str">
        <f>IF('12 - Device_Configuration'!BA255="","",'12 - Device_Configuration'!BA255)</f>
        <v/>
      </c>
      <c r="W254" s="21" t="str">
        <f>IF('12 - Device_Configuration'!BC255="","",'12 - Device_Configuration'!BC255)</f>
        <v/>
      </c>
      <c r="X254" s="21" t="str">
        <f>IF('12 - Device_Configuration'!BK255="","",'12 - Device_Configuration'!BK255)</f>
        <v/>
      </c>
      <c r="Y254" s="21" t="str">
        <f>IF('12 - Device_Configuration'!BB255="","",'12 - Device_Configuration'!BB255)</f>
        <v/>
      </c>
      <c r="Z254" s="21" t="str">
        <f>IF('12 - Device_Configuration'!P255="","",'12 - Device_Configuration'!P255)</f>
        <v/>
      </c>
      <c r="AA254" s="21" t="str">
        <f>IF('12 - Device_Configuration'!Q255="","",'12 - Device_Configuration'!Q255)</f>
        <v/>
      </c>
    </row>
    <row r="255" spans="1:27">
      <c r="A255" s="22"/>
      <c r="B255" s="22"/>
      <c r="C255" s="21" t="str">
        <f>IF('12 - Device_Configuration'!H256="","",'12 - Device_Configuration'!H256)</f>
        <v/>
      </c>
      <c r="D255" s="21" t="str">
        <f>IF('12 - Device_Configuration'!AE256="","",'12 - Device_Configuration'!AE256)</f>
        <v/>
      </c>
      <c r="E255" s="21" t="str">
        <f>IF('12 - Device_Configuration'!AF256="","",'12 - Device_Configuration'!AF256)</f>
        <v/>
      </c>
      <c r="F255" s="21" t="str">
        <f>IF('12 - Device_Configuration'!AG256="","",'12 - Device_Configuration'!AG256)</f>
        <v/>
      </c>
      <c r="G255" s="21" t="str">
        <f>IF('12 - Device_Configuration'!AH256="","",'12 - Device_Configuration'!AH256)</f>
        <v/>
      </c>
      <c r="H255" s="21" t="str">
        <f>IF('12 - Device_Configuration'!A256="","",'12 - Device_Configuration'!A256)</f>
        <v/>
      </c>
      <c r="I255" s="21" t="str">
        <f>IF('12 - Device_Configuration'!AI256="","",'12 - Device_Configuration'!AI256)</f>
        <v/>
      </c>
      <c r="J255" s="21" t="str">
        <f>IF('12 - Device_Configuration'!AJ256="","",'12 - Device_Configuration'!AJ256)</f>
        <v/>
      </c>
      <c r="K255" s="21" t="str">
        <f>IF('12 - Device_Configuration'!AA256="","",'12 - Device_Configuration'!AA256)</f>
        <v/>
      </c>
      <c r="L255" s="21" t="str">
        <f>IF('12 - Device_Configuration'!I256="","",'12 - Device_Configuration'!I256)</f>
        <v/>
      </c>
      <c r="M255" s="22"/>
      <c r="N255" s="21" t="str">
        <f>IF('12 - Device_Configuration'!J256="","",'12 - Device_Configuration'!J256)</f>
        <v/>
      </c>
      <c r="O255" s="21" t="str">
        <f>IF('12 - Device_Configuration'!K256="","",'12 - Device_Configuration'!K256)</f>
        <v/>
      </c>
      <c r="P255" s="21" t="str">
        <f>IF('12 - Device_Configuration'!L256="","",'12 - Device_Configuration'!L256)</f>
        <v/>
      </c>
      <c r="Q255" s="22"/>
      <c r="R255" s="21" t="str">
        <f>IF('12 - Device_Configuration'!AY256="","",'12 - Device_Configuration'!AY256)</f>
        <v/>
      </c>
      <c r="S255" s="21" t="str">
        <f>IF('12 - Device_Configuration'!AX256="","",'12 - Device_Configuration'!AX256)</f>
        <v/>
      </c>
      <c r="T255" s="21" t="str">
        <f>IF('12 - Device_Configuration'!AV256="","",'12 - Device_Configuration'!AV256)</f>
        <v/>
      </c>
      <c r="U255" s="21" t="str">
        <f>IF('12 - Device_Configuration'!AW256="","",'12 - Device_Configuration'!AW256)</f>
        <v/>
      </c>
      <c r="V255" s="21" t="str">
        <f>IF('12 - Device_Configuration'!BA256="","",'12 - Device_Configuration'!BA256)</f>
        <v/>
      </c>
      <c r="W255" s="21" t="str">
        <f>IF('12 - Device_Configuration'!BC256="","",'12 - Device_Configuration'!BC256)</f>
        <v/>
      </c>
      <c r="X255" s="21" t="str">
        <f>IF('12 - Device_Configuration'!BK256="","",'12 - Device_Configuration'!BK256)</f>
        <v/>
      </c>
      <c r="Y255" s="21" t="str">
        <f>IF('12 - Device_Configuration'!BB256="","",'12 - Device_Configuration'!BB256)</f>
        <v/>
      </c>
      <c r="Z255" s="21" t="str">
        <f>IF('12 - Device_Configuration'!P256="","",'12 - Device_Configuration'!P256)</f>
        <v/>
      </c>
      <c r="AA255" s="21" t="str">
        <f>IF('12 - Device_Configuration'!Q256="","",'12 - Device_Configuration'!Q256)</f>
        <v/>
      </c>
    </row>
    <row r="256" spans="1:27">
      <c r="A256" s="22"/>
      <c r="B256" s="22"/>
      <c r="C256" s="21" t="str">
        <f>IF('12 - Device_Configuration'!H257="","",'12 - Device_Configuration'!H257)</f>
        <v/>
      </c>
      <c r="D256" s="21" t="str">
        <f>IF('12 - Device_Configuration'!AE257="","",'12 - Device_Configuration'!AE257)</f>
        <v/>
      </c>
      <c r="E256" s="21" t="str">
        <f>IF('12 - Device_Configuration'!AF257="","",'12 - Device_Configuration'!AF257)</f>
        <v/>
      </c>
      <c r="F256" s="21" t="str">
        <f>IF('12 - Device_Configuration'!AG257="","",'12 - Device_Configuration'!AG257)</f>
        <v/>
      </c>
      <c r="G256" s="21" t="str">
        <f>IF('12 - Device_Configuration'!AH257="","",'12 - Device_Configuration'!AH257)</f>
        <v/>
      </c>
      <c r="H256" s="21" t="str">
        <f>IF('12 - Device_Configuration'!A257="","",'12 - Device_Configuration'!A257)</f>
        <v/>
      </c>
      <c r="I256" s="21" t="str">
        <f>IF('12 - Device_Configuration'!AI257="","",'12 - Device_Configuration'!AI257)</f>
        <v/>
      </c>
      <c r="J256" s="21" t="str">
        <f>IF('12 - Device_Configuration'!AJ257="","",'12 - Device_Configuration'!AJ257)</f>
        <v/>
      </c>
      <c r="K256" s="21" t="str">
        <f>IF('12 - Device_Configuration'!AA257="","",'12 - Device_Configuration'!AA257)</f>
        <v/>
      </c>
      <c r="L256" s="21" t="str">
        <f>IF('12 - Device_Configuration'!I257="","",'12 - Device_Configuration'!I257)</f>
        <v/>
      </c>
      <c r="M256" s="22"/>
      <c r="N256" s="21" t="str">
        <f>IF('12 - Device_Configuration'!J257="","",'12 - Device_Configuration'!J257)</f>
        <v/>
      </c>
      <c r="O256" s="21" t="str">
        <f>IF('12 - Device_Configuration'!K257="","",'12 - Device_Configuration'!K257)</f>
        <v/>
      </c>
      <c r="P256" s="21" t="str">
        <f>IF('12 - Device_Configuration'!L257="","",'12 - Device_Configuration'!L257)</f>
        <v/>
      </c>
      <c r="Q256" s="22"/>
      <c r="R256" s="21" t="str">
        <f>IF('12 - Device_Configuration'!AY257="","",'12 - Device_Configuration'!AY257)</f>
        <v/>
      </c>
      <c r="S256" s="21" t="str">
        <f>IF('12 - Device_Configuration'!AX257="","",'12 - Device_Configuration'!AX257)</f>
        <v/>
      </c>
      <c r="T256" s="21" t="str">
        <f>IF('12 - Device_Configuration'!AV257="","",'12 - Device_Configuration'!AV257)</f>
        <v/>
      </c>
      <c r="U256" s="21" t="str">
        <f>IF('12 - Device_Configuration'!AW257="","",'12 - Device_Configuration'!AW257)</f>
        <v/>
      </c>
      <c r="V256" s="21" t="str">
        <f>IF('12 - Device_Configuration'!BA257="","",'12 - Device_Configuration'!BA257)</f>
        <v/>
      </c>
      <c r="W256" s="21" t="str">
        <f>IF('12 - Device_Configuration'!BC257="","",'12 - Device_Configuration'!BC257)</f>
        <v/>
      </c>
      <c r="X256" s="21" t="str">
        <f>IF('12 - Device_Configuration'!BK257="","",'12 - Device_Configuration'!BK257)</f>
        <v/>
      </c>
      <c r="Y256" s="21" t="str">
        <f>IF('12 - Device_Configuration'!BB257="","",'12 - Device_Configuration'!BB257)</f>
        <v/>
      </c>
      <c r="Z256" s="21" t="str">
        <f>IF('12 - Device_Configuration'!P257="","",'12 - Device_Configuration'!P257)</f>
        <v/>
      </c>
      <c r="AA256" s="21" t="str">
        <f>IF('12 - Device_Configuration'!Q257="","",'12 - Device_Configuration'!Q257)</f>
        <v/>
      </c>
    </row>
    <row r="257" spans="1:27">
      <c r="A257" s="22"/>
      <c r="B257" s="22"/>
      <c r="C257" s="21" t="str">
        <f>IF('12 - Device_Configuration'!H258="","",'12 - Device_Configuration'!H258)</f>
        <v/>
      </c>
      <c r="D257" s="21" t="str">
        <f>IF('12 - Device_Configuration'!AE258="","",'12 - Device_Configuration'!AE258)</f>
        <v/>
      </c>
      <c r="E257" s="21" t="str">
        <f>IF('12 - Device_Configuration'!AF258="","",'12 - Device_Configuration'!AF258)</f>
        <v/>
      </c>
      <c r="F257" s="21" t="str">
        <f>IF('12 - Device_Configuration'!AG258="","",'12 - Device_Configuration'!AG258)</f>
        <v/>
      </c>
      <c r="G257" s="21" t="str">
        <f>IF('12 - Device_Configuration'!AH258="","",'12 - Device_Configuration'!AH258)</f>
        <v/>
      </c>
      <c r="H257" s="21" t="str">
        <f>IF('12 - Device_Configuration'!A258="","",'12 - Device_Configuration'!A258)</f>
        <v/>
      </c>
      <c r="I257" s="21" t="str">
        <f>IF('12 - Device_Configuration'!AI258="","",'12 - Device_Configuration'!AI258)</f>
        <v/>
      </c>
      <c r="J257" s="21" t="str">
        <f>IF('12 - Device_Configuration'!AJ258="","",'12 - Device_Configuration'!AJ258)</f>
        <v/>
      </c>
      <c r="K257" s="21" t="str">
        <f>IF('12 - Device_Configuration'!AA258="","",'12 - Device_Configuration'!AA258)</f>
        <v/>
      </c>
      <c r="L257" s="21" t="str">
        <f>IF('12 - Device_Configuration'!I258="","",'12 - Device_Configuration'!I258)</f>
        <v/>
      </c>
      <c r="M257" s="22"/>
      <c r="N257" s="21" t="str">
        <f>IF('12 - Device_Configuration'!J258="","",'12 - Device_Configuration'!J258)</f>
        <v/>
      </c>
      <c r="O257" s="21" t="str">
        <f>IF('12 - Device_Configuration'!K258="","",'12 - Device_Configuration'!K258)</f>
        <v/>
      </c>
      <c r="P257" s="21" t="str">
        <f>IF('12 - Device_Configuration'!L258="","",'12 - Device_Configuration'!L258)</f>
        <v/>
      </c>
      <c r="Q257" s="22"/>
      <c r="R257" s="21" t="str">
        <f>IF('12 - Device_Configuration'!AY258="","",'12 - Device_Configuration'!AY258)</f>
        <v/>
      </c>
      <c r="S257" s="21" t="str">
        <f>IF('12 - Device_Configuration'!AX258="","",'12 - Device_Configuration'!AX258)</f>
        <v/>
      </c>
      <c r="T257" s="21" t="str">
        <f>IF('12 - Device_Configuration'!AV258="","",'12 - Device_Configuration'!AV258)</f>
        <v/>
      </c>
      <c r="U257" s="21" t="str">
        <f>IF('12 - Device_Configuration'!AW258="","",'12 - Device_Configuration'!AW258)</f>
        <v/>
      </c>
      <c r="V257" s="21" t="str">
        <f>IF('12 - Device_Configuration'!BA258="","",'12 - Device_Configuration'!BA258)</f>
        <v/>
      </c>
      <c r="W257" s="21" t="str">
        <f>IF('12 - Device_Configuration'!BC258="","",'12 - Device_Configuration'!BC258)</f>
        <v/>
      </c>
      <c r="X257" s="21" t="str">
        <f>IF('12 - Device_Configuration'!BK258="","",'12 - Device_Configuration'!BK258)</f>
        <v/>
      </c>
      <c r="Y257" s="21" t="str">
        <f>IF('12 - Device_Configuration'!BB258="","",'12 - Device_Configuration'!BB258)</f>
        <v/>
      </c>
      <c r="Z257" s="21" t="str">
        <f>IF('12 - Device_Configuration'!P258="","",'12 - Device_Configuration'!P258)</f>
        <v/>
      </c>
      <c r="AA257" s="21" t="str">
        <f>IF('12 - Device_Configuration'!Q258="","",'12 - Device_Configuration'!Q258)</f>
        <v/>
      </c>
    </row>
    <row r="258" spans="1:27">
      <c r="A258" s="22"/>
      <c r="B258" s="22"/>
      <c r="C258" s="21" t="str">
        <f>IF('12 - Device_Configuration'!H259="","",'12 - Device_Configuration'!H259)</f>
        <v/>
      </c>
      <c r="D258" s="21" t="str">
        <f>IF('12 - Device_Configuration'!AE259="","",'12 - Device_Configuration'!AE259)</f>
        <v/>
      </c>
      <c r="E258" s="21" t="str">
        <f>IF('12 - Device_Configuration'!AF259="","",'12 - Device_Configuration'!AF259)</f>
        <v/>
      </c>
      <c r="F258" s="21" t="str">
        <f>IF('12 - Device_Configuration'!AG259="","",'12 - Device_Configuration'!AG259)</f>
        <v/>
      </c>
      <c r="G258" s="21" t="str">
        <f>IF('12 - Device_Configuration'!AH259="","",'12 - Device_Configuration'!AH259)</f>
        <v/>
      </c>
      <c r="H258" s="21" t="str">
        <f>IF('12 - Device_Configuration'!A259="","",'12 - Device_Configuration'!A259)</f>
        <v/>
      </c>
      <c r="I258" s="21" t="str">
        <f>IF('12 - Device_Configuration'!AI259="","",'12 - Device_Configuration'!AI259)</f>
        <v/>
      </c>
      <c r="J258" s="21" t="str">
        <f>IF('12 - Device_Configuration'!AJ259="","",'12 - Device_Configuration'!AJ259)</f>
        <v/>
      </c>
      <c r="K258" s="21" t="str">
        <f>IF('12 - Device_Configuration'!AA259="","",'12 - Device_Configuration'!AA259)</f>
        <v/>
      </c>
      <c r="L258" s="21" t="str">
        <f>IF('12 - Device_Configuration'!I259="","",'12 - Device_Configuration'!I259)</f>
        <v/>
      </c>
      <c r="M258" s="22"/>
      <c r="N258" s="21" t="str">
        <f>IF('12 - Device_Configuration'!J259="","",'12 - Device_Configuration'!J259)</f>
        <v/>
      </c>
      <c r="O258" s="21" t="str">
        <f>IF('12 - Device_Configuration'!K259="","",'12 - Device_Configuration'!K259)</f>
        <v/>
      </c>
      <c r="P258" s="21" t="str">
        <f>IF('12 - Device_Configuration'!L259="","",'12 - Device_Configuration'!L259)</f>
        <v/>
      </c>
      <c r="Q258" s="22"/>
      <c r="R258" s="21" t="str">
        <f>IF('12 - Device_Configuration'!AY259="","",'12 - Device_Configuration'!AY259)</f>
        <v/>
      </c>
      <c r="S258" s="21" t="str">
        <f>IF('12 - Device_Configuration'!AX259="","",'12 - Device_Configuration'!AX259)</f>
        <v/>
      </c>
      <c r="T258" s="21" t="str">
        <f>IF('12 - Device_Configuration'!AV259="","",'12 - Device_Configuration'!AV259)</f>
        <v/>
      </c>
      <c r="U258" s="21" t="str">
        <f>IF('12 - Device_Configuration'!AW259="","",'12 - Device_Configuration'!AW259)</f>
        <v/>
      </c>
      <c r="V258" s="21" t="str">
        <f>IF('12 - Device_Configuration'!BA259="","",'12 - Device_Configuration'!BA259)</f>
        <v/>
      </c>
      <c r="W258" s="21" t="str">
        <f>IF('12 - Device_Configuration'!BC259="","",'12 - Device_Configuration'!BC259)</f>
        <v/>
      </c>
      <c r="X258" s="21" t="str">
        <f>IF('12 - Device_Configuration'!BK259="","",'12 - Device_Configuration'!BK259)</f>
        <v/>
      </c>
      <c r="Y258" s="21" t="str">
        <f>IF('12 - Device_Configuration'!BB259="","",'12 - Device_Configuration'!BB259)</f>
        <v/>
      </c>
      <c r="Z258" s="21" t="str">
        <f>IF('12 - Device_Configuration'!P259="","",'12 - Device_Configuration'!P259)</f>
        <v/>
      </c>
      <c r="AA258" s="21" t="str">
        <f>IF('12 - Device_Configuration'!Q259="","",'12 - Device_Configuration'!Q259)</f>
        <v/>
      </c>
    </row>
    <row r="259" spans="1:27">
      <c r="A259" s="22"/>
      <c r="B259" s="22"/>
      <c r="C259" s="21" t="str">
        <f>IF('12 - Device_Configuration'!H260="","",'12 - Device_Configuration'!H260)</f>
        <v/>
      </c>
      <c r="D259" s="21" t="str">
        <f>IF('12 - Device_Configuration'!AE260="","",'12 - Device_Configuration'!AE260)</f>
        <v/>
      </c>
      <c r="E259" s="21" t="str">
        <f>IF('12 - Device_Configuration'!AF260="","",'12 - Device_Configuration'!AF260)</f>
        <v/>
      </c>
      <c r="F259" s="21" t="str">
        <f>IF('12 - Device_Configuration'!AG260="","",'12 - Device_Configuration'!AG260)</f>
        <v/>
      </c>
      <c r="G259" s="21" t="str">
        <f>IF('12 - Device_Configuration'!AH260="","",'12 - Device_Configuration'!AH260)</f>
        <v/>
      </c>
      <c r="H259" s="21" t="str">
        <f>IF('12 - Device_Configuration'!A260="","",'12 - Device_Configuration'!A260)</f>
        <v/>
      </c>
      <c r="I259" s="21" t="str">
        <f>IF('12 - Device_Configuration'!AI260="","",'12 - Device_Configuration'!AI260)</f>
        <v/>
      </c>
      <c r="J259" s="21" t="str">
        <f>IF('12 - Device_Configuration'!AJ260="","",'12 - Device_Configuration'!AJ260)</f>
        <v/>
      </c>
      <c r="K259" s="21" t="str">
        <f>IF('12 - Device_Configuration'!AA260="","",'12 - Device_Configuration'!AA260)</f>
        <v/>
      </c>
      <c r="L259" s="21" t="str">
        <f>IF('12 - Device_Configuration'!I260="","",'12 - Device_Configuration'!I260)</f>
        <v/>
      </c>
      <c r="M259" s="22"/>
      <c r="N259" s="21" t="str">
        <f>IF('12 - Device_Configuration'!J260="","",'12 - Device_Configuration'!J260)</f>
        <v/>
      </c>
      <c r="O259" s="21" t="str">
        <f>IF('12 - Device_Configuration'!K260="","",'12 - Device_Configuration'!K260)</f>
        <v/>
      </c>
      <c r="P259" s="21" t="str">
        <f>IF('12 - Device_Configuration'!L260="","",'12 - Device_Configuration'!L260)</f>
        <v/>
      </c>
      <c r="Q259" s="22"/>
      <c r="R259" s="21" t="str">
        <f>IF('12 - Device_Configuration'!AY260="","",'12 - Device_Configuration'!AY260)</f>
        <v/>
      </c>
      <c r="S259" s="21" t="str">
        <f>IF('12 - Device_Configuration'!AX260="","",'12 - Device_Configuration'!AX260)</f>
        <v/>
      </c>
      <c r="T259" s="21" t="str">
        <f>IF('12 - Device_Configuration'!AV260="","",'12 - Device_Configuration'!AV260)</f>
        <v/>
      </c>
      <c r="U259" s="21" t="str">
        <f>IF('12 - Device_Configuration'!AW260="","",'12 - Device_Configuration'!AW260)</f>
        <v/>
      </c>
      <c r="V259" s="21" t="str">
        <f>IF('12 - Device_Configuration'!BA260="","",'12 - Device_Configuration'!BA260)</f>
        <v/>
      </c>
      <c r="W259" s="21" t="str">
        <f>IF('12 - Device_Configuration'!BC260="","",'12 - Device_Configuration'!BC260)</f>
        <v/>
      </c>
      <c r="X259" s="21" t="str">
        <f>IF('12 - Device_Configuration'!BK260="","",'12 - Device_Configuration'!BK260)</f>
        <v/>
      </c>
      <c r="Y259" s="21" t="str">
        <f>IF('12 - Device_Configuration'!BB260="","",'12 - Device_Configuration'!BB260)</f>
        <v/>
      </c>
      <c r="Z259" s="21" t="str">
        <f>IF('12 - Device_Configuration'!P260="","",'12 - Device_Configuration'!P260)</f>
        <v/>
      </c>
      <c r="AA259" s="21" t="str">
        <f>IF('12 - Device_Configuration'!Q260="","",'12 - Device_Configuration'!Q260)</f>
        <v/>
      </c>
    </row>
    <row r="260" spans="1:27">
      <c r="A260" s="22"/>
      <c r="B260" s="22"/>
      <c r="C260" s="21" t="str">
        <f>IF('12 - Device_Configuration'!H261="","",'12 - Device_Configuration'!H261)</f>
        <v/>
      </c>
      <c r="D260" s="21" t="str">
        <f>IF('12 - Device_Configuration'!AE261="","",'12 - Device_Configuration'!AE261)</f>
        <v/>
      </c>
      <c r="E260" s="21" t="str">
        <f>IF('12 - Device_Configuration'!AF261="","",'12 - Device_Configuration'!AF261)</f>
        <v/>
      </c>
      <c r="F260" s="21" t="str">
        <f>IF('12 - Device_Configuration'!AG261="","",'12 - Device_Configuration'!AG261)</f>
        <v/>
      </c>
      <c r="G260" s="21" t="str">
        <f>IF('12 - Device_Configuration'!AH261="","",'12 - Device_Configuration'!AH261)</f>
        <v/>
      </c>
      <c r="H260" s="21" t="str">
        <f>IF('12 - Device_Configuration'!A261="","",'12 - Device_Configuration'!A261)</f>
        <v/>
      </c>
      <c r="I260" s="21" t="str">
        <f>IF('12 - Device_Configuration'!AI261="","",'12 - Device_Configuration'!AI261)</f>
        <v/>
      </c>
      <c r="J260" s="21" t="str">
        <f>IF('12 - Device_Configuration'!AJ261="","",'12 - Device_Configuration'!AJ261)</f>
        <v/>
      </c>
      <c r="K260" s="21" t="str">
        <f>IF('12 - Device_Configuration'!AA261="","",'12 - Device_Configuration'!AA261)</f>
        <v/>
      </c>
      <c r="L260" s="21" t="str">
        <f>IF('12 - Device_Configuration'!I261="","",'12 - Device_Configuration'!I261)</f>
        <v/>
      </c>
      <c r="M260" s="22"/>
      <c r="N260" s="21" t="str">
        <f>IF('12 - Device_Configuration'!J261="","",'12 - Device_Configuration'!J261)</f>
        <v/>
      </c>
      <c r="O260" s="21" t="str">
        <f>IF('12 - Device_Configuration'!K261="","",'12 - Device_Configuration'!K261)</f>
        <v/>
      </c>
      <c r="P260" s="21" t="str">
        <f>IF('12 - Device_Configuration'!L261="","",'12 - Device_Configuration'!L261)</f>
        <v/>
      </c>
      <c r="Q260" s="22"/>
      <c r="R260" s="21" t="str">
        <f>IF('12 - Device_Configuration'!AY261="","",'12 - Device_Configuration'!AY261)</f>
        <v/>
      </c>
      <c r="S260" s="21" t="str">
        <f>IF('12 - Device_Configuration'!AX261="","",'12 - Device_Configuration'!AX261)</f>
        <v/>
      </c>
      <c r="T260" s="21" t="str">
        <f>IF('12 - Device_Configuration'!AV261="","",'12 - Device_Configuration'!AV261)</f>
        <v/>
      </c>
      <c r="U260" s="21" t="str">
        <f>IF('12 - Device_Configuration'!AW261="","",'12 - Device_Configuration'!AW261)</f>
        <v/>
      </c>
      <c r="V260" s="21" t="str">
        <f>IF('12 - Device_Configuration'!BA261="","",'12 - Device_Configuration'!BA261)</f>
        <v/>
      </c>
      <c r="W260" s="21" t="str">
        <f>IF('12 - Device_Configuration'!BC261="","",'12 - Device_Configuration'!BC261)</f>
        <v/>
      </c>
      <c r="X260" s="21" t="str">
        <f>IF('12 - Device_Configuration'!BK261="","",'12 - Device_Configuration'!BK261)</f>
        <v/>
      </c>
      <c r="Y260" s="21" t="str">
        <f>IF('12 - Device_Configuration'!BB261="","",'12 - Device_Configuration'!BB261)</f>
        <v/>
      </c>
      <c r="Z260" s="21" t="str">
        <f>IF('12 - Device_Configuration'!P261="","",'12 - Device_Configuration'!P261)</f>
        <v/>
      </c>
      <c r="AA260" s="21" t="str">
        <f>IF('12 - Device_Configuration'!Q261="","",'12 - Device_Configuration'!Q261)</f>
        <v/>
      </c>
    </row>
    <row r="261" spans="1:27">
      <c r="A261" s="22"/>
      <c r="B261" s="22"/>
      <c r="C261" s="21" t="str">
        <f>IF('12 - Device_Configuration'!H262="","",'12 - Device_Configuration'!H262)</f>
        <v/>
      </c>
      <c r="D261" s="21" t="str">
        <f>IF('12 - Device_Configuration'!AE262="","",'12 - Device_Configuration'!AE262)</f>
        <v/>
      </c>
      <c r="E261" s="21" t="str">
        <f>IF('12 - Device_Configuration'!AF262="","",'12 - Device_Configuration'!AF262)</f>
        <v/>
      </c>
      <c r="F261" s="21" t="str">
        <f>IF('12 - Device_Configuration'!AG262="","",'12 - Device_Configuration'!AG262)</f>
        <v/>
      </c>
      <c r="G261" s="21" t="str">
        <f>IF('12 - Device_Configuration'!AH262="","",'12 - Device_Configuration'!AH262)</f>
        <v/>
      </c>
      <c r="H261" s="21" t="str">
        <f>IF('12 - Device_Configuration'!A262="","",'12 - Device_Configuration'!A262)</f>
        <v/>
      </c>
      <c r="I261" s="21" t="str">
        <f>IF('12 - Device_Configuration'!AI262="","",'12 - Device_Configuration'!AI262)</f>
        <v/>
      </c>
      <c r="J261" s="21" t="str">
        <f>IF('12 - Device_Configuration'!AJ262="","",'12 - Device_Configuration'!AJ262)</f>
        <v/>
      </c>
      <c r="K261" s="21" t="str">
        <f>IF('12 - Device_Configuration'!AA262="","",'12 - Device_Configuration'!AA262)</f>
        <v/>
      </c>
      <c r="L261" s="21" t="str">
        <f>IF('12 - Device_Configuration'!I262="","",'12 - Device_Configuration'!I262)</f>
        <v/>
      </c>
      <c r="M261" s="22"/>
      <c r="N261" s="21" t="str">
        <f>IF('12 - Device_Configuration'!J262="","",'12 - Device_Configuration'!J262)</f>
        <v/>
      </c>
      <c r="O261" s="21" t="str">
        <f>IF('12 - Device_Configuration'!K262="","",'12 - Device_Configuration'!K262)</f>
        <v/>
      </c>
      <c r="P261" s="21" t="str">
        <f>IF('12 - Device_Configuration'!L262="","",'12 - Device_Configuration'!L262)</f>
        <v/>
      </c>
      <c r="Q261" s="22"/>
      <c r="R261" s="21" t="str">
        <f>IF('12 - Device_Configuration'!AY262="","",'12 - Device_Configuration'!AY262)</f>
        <v/>
      </c>
      <c r="S261" s="21" t="str">
        <f>IF('12 - Device_Configuration'!AX262="","",'12 - Device_Configuration'!AX262)</f>
        <v/>
      </c>
      <c r="T261" s="21" t="str">
        <f>IF('12 - Device_Configuration'!AV262="","",'12 - Device_Configuration'!AV262)</f>
        <v/>
      </c>
      <c r="U261" s="21" t="str">
        <f>IF('12 - Device_Configuration'!AW262="","",'12 - Device_Configuration'!AW262)</f>
        <v/>
      </c>
      <c r="V261" s="21" t="str">
        <f>IF('12 - Device_Configuration'!BA262="","",'12 - Device_Configuration'!BA262)</f>
        <v/>
      </c>
      <c r="W261" s="21" t="str">
        <f>IF('12 - Device_Configuration'!BC262="","",'12 - Device_Configuration'!BC262)</f>
        <v/>
      </c>
      <c r="X261" s="21" t="str">
        <f>IF('12 - Device_Configuration'!BK262="","",'12 - Device_Configuration'!BK262)</f>
        <v/>
      </c>
      <c r="Y261" s="21" t="str">
        <f>IF('12 - Device_Configuration'!BB262="","",'12 - Device_Configuration'!BB262)</f>
        <v/>
      </c>
      <c r="Z261" s="21" t="str">
        <f>IF('12 - Device_Configuration'!P262="","",'12 - Device_Configuration'!P262)</f>
        <v/>
      </c>
      <c r="AA261" s="21" t="str">
        <f>IF('12 - Device_Configuration'!Q262="","",'12 - Device_Configuration'!Q262)</f>
        <v/>
      </c>
    </row>
    <row r="262" spans="1:27">
      <c r="A262" s="22"/>
      <c r="B262" s="22"/>
      <c r="C262" s="21" t="str">
        <f>IF('12 - Device_Configuration'!H263="","",'12 - Device_Configuration'!H263)</f>
        <v/>
      </c>
      <c r="D262" s="21" t="str">
        <f>IF('12 - Device_Configuration'!AE263="","",'12 - Device_Configuration'!AE263)</f>
        <v/>
      </c>
      <c r="E262" s="21" t="str">
        <f>IF('12 - Device_Configuration'!AF263="","",'12 - Device_Configuration'!AF263)</f>
        <v/>
      </c>
      <c r="F262" s="21" t="str">
        <f>IF('12 - Device_Configuration'!AG263="","",'12 - Device_Configuration'!AG263)</f>
        <v/>
      </c>
      <c r="G262" s="21" t="str">
        <f>IF('12 - Device_Configuration'!AH263="","",'12 - Device_Configuration'!AH263)</f>
        <v/>
      </c>
      <c r="H262" s="21" t="str">
        <f>IF('12 - Device_Configuration'!A263="","",'12 - Device_Configuration'!A263)</f>
        <v/>
      </c>
      <c r="I262" s="21" t="str">
        <f>IF('12 - Device_Configuration'!AI263="","",'12 - Device_Configuration'!AI263)</f>
        <v/>
      </c>
      <c r="J262" s="21" t="str">
        <f>IF('12 - Device_Configuration'!AJ263="","",'12 - Device_Configuration'!AJ263)</f>
        <v/>
      </c>
      <c r="K262" s="21" t="str">
        <f>IF('12 - Device_Configuration'!AA263="","",'12 - Device_Configuration'!AA263)</f>
        <v/>
      </c>
      <c r="L262" s="21" t="str">
        <f>IF('12 - Device_Configuration'!I263="","",'12 - Device_Configuration'!I263)</f>
        <v/>
      </c>
      <c r="M262" s="22"/>
      <c r="N262" s="21" t="str">
        <f>IF('12 - Device_Configuration'!J263="","",'12 - Device_Configuration'!J263)</f>
        <v/>
      </c>
      <c r="O262" s="21" t="str">
        <f>IF('12 - Device_Configuration'!K263="","",'12 - Device_Configuration'!K263)</f>
        <v/>
      </c>
      <c r="P262" s="21" t="str">
        <f>IF('12 - Device_Configuration'!L263="","",'12 - Device_Configuration'!L263)</f>
        <v/>
      </c>
      <c r="Q262" s="22"/>
      <c r="R262" s="21" t="str">
        <f>IF('12 - Device_Configuration'!AY263="","",'12 - Device_Configuration'!AY263)</f>
        <v/>
      </c>
      <c r="S262" s="21" t="str">
        <f>IF('12 - Device_Configuration'!AX263="","",'12 - Device_Configuration'!AX263)</f>
        <v/>
      </c>
      <c r="T262" s="21" t="str">
        <f>IF('12 - Device_Configuration'!AV263="","",'12 - Device_Configuration'!AV263)</f>
        <v/>
      </c>
      <c r="U262" s="21" t="str">
        <f>IF('12 - Device_Configuration'!AW263="","",'12 - Device_Configuration'!AW263)</f>
        <v/>
      </c>
      <c r="V262" s="21" t="str">
        <f>IF('12 - Device_Configuration'!BA263="","",'12 - Device_Configuration'!BA263)</f>
        <v/>
      </c>
      <c r="W262" s="21" t="str">
        <f>IF('12 - Device_Configuration'!BC263="","",'12 - Device_Configuration'!BC263)</f>
        <v/>
      </c>
      <c r="X262" s="21" t="str">
        <f>IF('12 - Device_Configuration'!BK263="","",'12 - Device_Configuration'!BK263)</f>
        <v/>
      </c>
      <c r="Y262" s="21" t="str">
        <f>IF('12 - Device_Configuration'!BB263="","",'12 - Device_Configuration'!BB263)</f>
        <v/>
      </c>
      <c r="Z262" s="21" t="str">
        <f>IF('12 - Device_Configuration'!P263="","",'12 - Device_Configuration'!P263)</f>
        <v/>
      </c>
      <c r="AA262" s="21" t="str">
        <f>IF('12 - Device_Configuration'!Q263="","",'12 - Device_Configuration'!Q263)</f>
        <v/>
      </c>
    </row>
    <row r="263" spans="1:27">
      <c r="A263" s="22"/>
      <c r="B263" s="22"/>
      <c r="C263" s="21" t="str">
        <f>IF('12 - Device_Configuration'!H264="","",'12 - Device_Configuration'!H264)</f>
        <v/>
      </c>
      <c r="D263" s="21" t="str">
        <f>IF('12 - Device_Configuration'!AE264="","",'12 - Device_Configuration'!AE264)</f>
        <v/>
      </c>
      <c r="E263" s="21" t="str">
        <f>IF('12 - Device_Configuration'!AF264="","",'12 - Device_Configuration'!AF264)</f>
        <v/>
      </c>
      <c r="F263" s="21" t="str">
        <f>IF('12 - Device_Configuration'!AG264="","",'12 - Device_Configuration'!AG264)</f>
        <v/>
      </c>
      <c r="G263" s="21" t="str">
        <f>IF('12 - Device_Configuration'!AH264="","",'12 - Device_Configuration'!AH264)</f>
        <v/>
      </c>
      <c r="H263" s="21" t="str">
        <f>IF('12 - Device_Configuration'!A264="","",'12 - Device_Configuration'!A264)</f>
        <v/>
      </c>
      <c r="I263" s="21" t="str">
        <f>IF('12 - Device_Configuration'!AI264="","",'12 - Device_Configuration'!AI264)</f>
        <v/>
      </c>
      <c r="J263" s="21" t="str">
        <f>IF('12 - Device_Configuration'!AJ264="","",'12 - Device_Configuration'!AJ264)</f>
        <v/>
      </c>
      <c r="K263" s="21" t="str">
        <f>IF('12 - Device_Configuration'!AA264="","",'12 - Device_Configuration'!AA264)</f>
        <v/>
      </c>
      <c r="L263" s="21" t="str">
        <f>IF('12 - Device_Configuration'!I264="","",'12 - Device_Configuration'!I264)</f>
        <v/>
      </c>
      <c r="M263" s="22"/>
      <c r="N263" s="21" t="str">
        <f>IF('12 - Device_Configuration'!J264="","",'12 - Device_Configuration'!J264)</f>
        <v/>
      </c>
      <c r="O263" s="21" t="str">
        <f>IF('12 - Device_Configuration'!K264="","",'12 - Device_Configuration'!K264)</f>
        <v/>
      </c>
      <c r="P263" s="21" t="str">
        <f>IF('12 - Device_Configuration'!L264="","",'12 - Device_Configuration'!L264)</f>
        <v/>
      </c>
      <c r="Q263" s="22"/>
      <c r="R263" s="21" t="str">
        <f>IF('12 - Device_Configuration'!AY264="","",'12 - Device_Configuration'!AY264)</f>
        <v/>
      </c>
      <c r="S263" s="21" t="str">
        <f>IF('12 - Device_Configuration'!AX264="","",'12 - Device_Configuration'!AX264)</f>
        <v/>
      </c>
      <c r="T263" s="21" t="str">
        <f>IF('12 - Device_Configuration'!AV264="","",'12 - Device_Configuration'!AV264)</f>
        <v/>
      </c>
      <c r="U263" s="21" t="str">
        <f>IF('12 - Device_Configuration'!AW264="","",'12 - Device_Configuration'!AW264)</f>
        <v/>
      </c>
      <c r="V263" s="21" t="str">
        <f>IF('12 - Device_Configuration'!BA264="","",'12 - Device_Configuration'!BA264)</f>
        <v/>
      </c>
      <c r="W263" s="21" t="str">
        <f>IF('12 - Device_Configuration'!BC264="","",'12 - Device_Configuration'!BC264)</f>
        <v/>
      </c>
      <c r="X263" s="21" t="str">
        <f>IF('12 - Device_Configuration'!BK264="","",'12 - Device_Configuration'!BK264)</f>
        <v/>
      </c>
      <c r="Y263" s="21" t="str">
        <f>IF('12 - Device_Configuration'!BB264="","",'12 - Device_Configuration'!BB264)</f>
        <v/>
      </c>
      <c r="Z263" s="21" t="str">
        <f>IF('12 - Device_Configuration'!P264="","",'12 - Device_Configuration'!P264)</f>
        <v/>
      </c>
      <c r="AA263" s="21" t="str">
        <f>IF('12 - Device_Configuration'!Q264="","",'12 - Device_Configuration'!Q264)</f>
        <v/>
      </c>
    </row>
    <row r="264" spans="1:27">
      <c r="A264" s="22"/>
      <c r="B264" s="22"/>
      <c r="C264" s="21" t="str">
        <f>IF('12 - Device_Configuration'!H265="","",'12 - Device_Configuration'!H265)</f>
        <v/>
      </c>
      <c r="D264" s="21" t="str">
        <f>IF('12 - Device_Configuration'!AE265="","",'12 - Device_Configuration'!AE265)</f>
        <v/>
      </c>
      <c r="E264" s="21" t="str">
        <f>IF('12 - Device_Configuration'!AF265="","",'12 - Device_Configuration'!AF265)</f>
        <v/>
      </c>
      <c r="F264" s="21" t="str">
        <f>IF('12 - Device_Configuration'!AG265="","",'12 - Device_Configuration'!AG265)</f>
        <v/>
      </c>
      <c r="G264" s="21" t="str">
        <f>IF('12 - Device_Configuration'!AH265="","",'12 - Device_Configuration'!AH265)</f>
        <v/>
      </c>
      <c r="H264" s="21" t="str">
        <f>IF('12 - Device_Configuration'!A265="","",'12 - Device_Configuration'!A265)</f>
        <v/>
      </c>
      <c r="I264" s="21" t="str">
        <f>IF('12 - Device_Configuration'!AI265="","",'12 - Device_Configuration'!AI265)</f>
        <v/>
      </c>
      <c r="J264" s="21" t="str">
        <f>IF('12 - Device_Configuration'!AJ265="","",'12 - Device_Configuration'!AJ265)</f>
        <v/>
      </c>
      <c r="K264" s="21" t="str">
        <f>IF('12 - Device_Configuration'!AA265="","",'12 - Device_Configuration'!AA265)</f>
        <v/>
      </c>
      <c r="L264" s="21" t="str">
        <f>IF('12 - Device_Configuration'!I265="","",'12 - Device_Configuration'!I265)</f>
        <v/>
      </c>
      <c r="M264" s="22"/>
      <c r="N264" s="21" t="str">
        <f>IF('12 - Device_Configuration'!J265="","",'12 - Device_Configuration'!J265)</f>
        <v/>
      </c>
      <c r="O264" s="21" t="str">
        <f>IF('12 - Device_Configuration'!K265="","",'12 - Device_Configuration'!K265)</f>
        <v/>
      </c>
      <c r="P264" s="21" t="str">
        <f>IF('12 - Device_Configuration'!L265="","",'12 - Device_Configuration'!L265)</f>
        <v/>
      </c>
      <c r="Q264" s="22"/>
      <c r="R264" s="21" t="str">
        <f>IF('12 - Device_Configuration'!AY265="","",'12 - Device_Configuration'!AY265)</f>
        <v/>
      </c>
      <c r="S264" s="21" t="str">
        <f>IF('12 - Device_Configuration'!AX265="","",'12 - Device_Configuration'!AX265)</f>
        <v/>
      </c>
      <c r="T264" s="21" t="str">
        <f>IF('12 - Device_Configuration'!AV265="","",'12 - Device_Configuration'!AV265)</f>
        <v/>
      </c>
      <c r="U264" s="21" t="str">
        <f>IF('12 - Device_Configuration'!AW265="","",'12 - Device_Configuration'!AW265)</f>
        <v/>
      </c>
      <c r="V264" s="21" t="str">
        <f>IF('12 - Device_Configuration'!BA265="","",'12 - Device_Configuration'!BA265)</f>
        <v/>
      </c>
      <c r="W264" s="21" t="str">
        <f>IF('12 - Device_Configuration'!BC265="","",'12 - Device_Configuration'!BC265)</f>
        <v/>
      </c>
      <c r="X264" s="21" t="str">
        <f>IF('12 - Device_Configuration'!BK265="","",'12 - Device_Configuration'!BK265)</f>
        <v/>
      </c>
      <c r="Y264" s="21" t="str">
        <f>IF('12 - Device_Configuration'!BB265="","",'12 - Device_Configuration'!BB265)</f>
        <v/>
      </c>
      <c r="Z264" s="21" t="str">
        <f>IF('12 - Device_Configuration'!P265="","",'12 - Device_Configuration'!P265)</f>
        <v/>
      </c>
      <c r="AA264" s="21" t="str">
        <f>IF('12 - Device_Configuration'!Q265="","",'12 - Device_Configuration'!Q265)</f>
        <v/>
      </c>
    </row>
    <row r="265" spans="1:27">
      <c r="A265" s="22"/>
      <c r="B265" s="22"/>
      <c r="C265" s="21" t="str">
        <f>IF('12 - Device_Configuration'!H266="","",'12 - Device_Configuration'!H266)</f>
        <v/>
      </c>
      <c r="D265" s="21" t="str">
        <f>IF('12 - Device_Configuration'!AE266="","",'12 - Device_Configuration'!AE266)</f>
        <v/>
      </c>
      <c r="E265" s="21" t="str">
        <f>IF('12 - Device_Configuration'!AF266="","",'12 - Device_Configuration'!AF266)</f>
        <v/>
      </c>
      <c r="F265" s="21" t="str">
        <f>IF('12 - Device_Configuration'!AG266="","",'12 - Device_Configuration'!AG266)</f>
        <v/>
      </c>
      <c r="G265" s="21" t="str">
        <f>IF('12 - Device_Configuration'!AH266="","",'12 - Device_Configuration'!AH266)</f>
        <v/>
      </c>
      <c r="H265" s="21" t="str">
        <f>IF('12 - Device_Configuration'!A266="","",'12 - Device_Configuration'!A266)</f>
        <v/>
      </c>
      <c r="I265" s="21" t="str">
        <f>IF('12 - Device_Configuration'!AI266="","",'12 - Device_Configuration'!AI266)</f>
        <v/>
      </c>
      <c r="J265" s="21" t="str">
        <f>IF('12 - Device_Configuration'!AJ266="","",'12 - Device_Configuration'!AJ266)</f>
        <v/>
      </c>
      <c r="K265" s="21" t="str">
        <f>IF('12 - Device_Configuration'!AA266="","",'12 - Device_Configuration'!AA266)</f>
        <v/>
      </c>
      <c r="L265" s="21" t="str">
        <f>IF('12 - Device_Configuration'!I266="","",'12 - Device_Configuration'!I266)</f>
        <v/>
      </c>
      <c r="M265" s="22"/>
      <c r="N265" s="21" t="str">
        <f>IF('12 - Device_Configuration'!J266="","",'12 - Device_Configuration'!J266)</f>
        <v/>
      </c>
      <c r="O265" s="21" t="str">
        <f>IF('12 - Device_Configuration'!K266="","",'12 - Device_Configuration'!K266)</f>
        <v/>
      </c>
      <c r="P265" s="21" t="str">
        <f>IF('12 - Device_Configuration'!L266="","",'12 - Device_Configuration'!L266)</f>
        <v/>
      </c>
      <c r="Q265" s="22"/>
      <c r="R265" s="21" t="str">
        <f>IF('12 - Device_Configuration'!AY266="","",'12 - Device_Configuration'!AY266)</f>
        <v/>
      </c>
      <c r="S265" s="21" t="str">
        <f>IF('12 - Device_Configuration'!AX266="","",'12 - Device_Configuration'!AX266)</f>
        <v/>
      </c>
      <c r="T265" s="21" t="str">
        <f>IF('12 - Device_Configuration'!AV266="","",'12 - Device_Configuration'!AV266)</f>
        <v/>
      </c>
      <c r="U265" s="21" t="str">
        <f>IF('12 - Device_Configuration'!AW266="","",'12 - Device_Configuration'!AW266)</f>
        <v/>
      </c>
      <c r="V265" s="21" t="str">
        <f>IF('12 - Device_Configuration'!BA266="","",'12 - Device_Configuration'!BA266)</f>
        <v/>
      </c>
      <c r="W265" s="21" t="str">
        <f>IF('12 - Device_Configuration'!BC266="","",'12 - Device_Configuration'!BC266)</f>
        <v/>
      </c>
      <c r="X265" s="21" t="str">
        <f>IF('12 - Device_Configuration'!BK266="","",'12 - Device_Configuration'!BK266)</f>
        <v/>
      </c>
      <c r="Y265" s="21" t="str">
        <f>IF('12 - Device_Configuration'!BB266="","",'12 - Device_Configuration'!BB266)</f>
        <v/>
      </c>
      <c r="Z265" s="21" t="str">
        <f>IF('12 - Device_Configuration'!P266="","",'12 - Device_Configuration'!P266)</f>
        <v/>
      </c>
      <c r="AA265" s="21" t="str">
        <f>IF('12 - Device_Configuration'!Q266="","",'12 - Device_Configuration'!Q266)</f>
        <v/>
      </c>
    </row>
    <row r="266" spans="1:27">
      <c r="A266" s="22"/>
      <c r="B266" s="22"/>
      <c r="C266" s="21" t="str">
        <f>IF('12 - Device_Configuration'!H267="","",'12 - Device_Configuration'!H267)</f>
        <v/>
      </c>
      <c r="D266" s="21" t="str">
        <f>IF('12 - Device_Configuration'!AE267="","",'12 - Device_Configuration'!AE267)</f>
        <v/>
      </c>
      <c r="E266" s="21" t="str">
        <f>IF('12 - Device_Configuration'!AF267="","",'12 - Device_Configuration'!AF267)</f>
        <v/>
      </c>
      <c r="F266" s="21" t="str">
        <f>IF('12 - Device_Configuration'!AG267="","",'12 - Device_Configuration'!AG267)</f>
        <v/>
      </c>
      <c r="G266" s="21" t="str">
        <f>IF('12 - Device_Configuration'!AH267="","",'12 - Device_Configuration'!AH267)</f>
        <v/>
      </c>
      <c r="H266" s="21" t="str">
        <f>IF('12 - Device_Configuration'!A267="","",'12 - Device_Configuration'!A267)</f>
        <v/>
      </c>
      <c r="I266" s="21" t="str">
        <f>IF('12 - Device_Configuration'!AI267="","",'12 - Device_Configuration'!AI267)</f>
        <v/>
      </c>
      <c r="J266" s="21" t="str">
        <f>IF('12 - Device_Configuration'!AJ267="","",'12 - Device_Configuration'!AJ267)</f>
        <v/>
      </c>
      <c r="K266" s="21" t="str">
        <f>IF('12 - Device_Configuration'!AA267="","",'12 - Device_Configuration'!AA267)</f>
        <v/>
      </c>
      <c r="L266" s="21" t="str">
        <f>IF('12 - Device_Configuration'!I267="","",'12 - Device_Configuration'!I267)</f>
        <v/>
      </c>
      <c r="M266" s="22"/>
      <c r="N266" s="21" t="str">
        <f>IF('12 - Device_Configuration'!J267="","",'12 - Device_Configuration'!J267)</f>
        <v/>
      </c>
      <c r="O266" s="21" t="str">
        <f>IF('12 - Device_Configuration'!K267="","",'12 - Device_Configuration'!K267)</f>
        <v/>
      </c>
      <c r="P266" s="21" t="str">
        <f>IF('12 - Device_Configuration'!L267="","",'12 - Device_Configuration'!L267)</f>
        <v/>
      </c>
      <c r="Q266" s="22"/>
      <c r="R266" s="21" t="str">
        <f>IF('12 - Device_Configuration'!AY267="","",'12 - Device_Configuration'!AY267)</f>
        <v/>
      </c>
      <c r="S266" s="21" t="str">
        <f>IF('12 - Device_Configuration'!AX267="","",'12 - Device_Configuration'!AX267)</f>
        <v/>
      </c>
      <c r="T266" s="21" t="str">
        <f>IF('12 - Device_Configuration'!AV267="","",'12 - Device_Configuration'!AV267)</f>
        <v/>
      </c>
      <c r="U266" s="21" t="str">
        <f>IF('12 - Device_Configuration'!AW267="","",'12 - Device_Configuration'!AW267)</f>
        <v/>
      </c>
      <c r="V266" s="21" t="str">
        <f>IF('12 - Device_Configuration'!BA267="","",'12 - Device_Configuration'!BA267)</f>
        <v/>
      </c>
      <c r="W266" s="21" t="str">
        <f>IF('12 - Device_Configuration'!BC267="","",'12 - Device_Configuration'!BC267)</f>
        <v/>
      </c>
      <c r="X266" s="21" t="str">
        <f>IF('12 - Device_Configuration'!BK267="","",'12 - Device_Configuration'!BK267)</f>
        <v/>
      </c>
      <c r="Y266" s="21" t="str">
        <f>IF('12 - Device_Configuration'!BB267="","",'12 - Device_Configuration'!BB267)</f>
        <v/>
      </c>
      <c r="Z266" s="21" t="str">
        <f>IF('12 - Device_Configuration'!P267="","",'12 - Device_Configuration'!P267)</f>
        <v/>
      </c>
      <c r="AA266" s="21" t="str">
        <f>IF('12 - Device_Configuration'!Q267="","",'12 - Device_Configuration'!Q267)</f>
        <v/>
      </c>
    </row>
    <row r="267" spans="1:27">
      <c r="A267" s="22"/>
      <c r="B267" s="22"/>
      <c r="C267" s="21" t="str">
        <f>IF('12 - Device_Configuration'!H268="","",'12 - Device_Configuration'!H268)</f>
        <v/>
      </c>
      <c r="D267" s="21" t="str">
        <f>IF('12 - Device_Configuration'!AE268="","",'12 - Device_Configuration'!AE268)</f>
        <v/>
      </c>
      <c r="E267" s="21" t="str">
        <f>IF('12 - Device_Configuration'!AF268="","",'12 - Device_Configuration'!AF268)</f>
        <v/>
      </c>
      <c r="F267" s="21" t="str">
        <f>IF('12 - Device_Configuration'!AG268="","",'12 - Device_Configuration'!AG268)</f>
        <v/>
      </c>
      <c r="G267" s="21" t="str">
        <f>IF('12 - Device_Configuration'!AH268="","",'12 - Device_Configuration'!AH268)</f>
        <v/>
      </c>
      <c r="H267" s="21" t="str">
        <f>IF('12 - Device_Configuration'!A268="","",'12 - Device_Configuration'!A268)</f>
        <v/>
      </c>
      <c r="I267" s="21" t="str">
        <f>IF('12 - Device_Configuration'!AI268="","",'12 - Device_Configuration'!AI268)</f>
        <v/>
      </c>
      <c r="J267" s="21" t="str">
        <f>IF('12 - Device_Configuration'!AJ268="","",'12 - Device_Configuration'!AJ268)</f>
        <v/>
      </c>
      <c r="K267" s="21" t="str">
        <f>IF('12 - Device_Configuration'!AA268="","",'12 - Device_Configuration'!AA268)</f>
        <v/>
      </c>
      <c r="L267" s="21" t="str">
        <f>IF('12 - Device_Configuration'!I268="","",'12 - Device_Configuration'!I268)</f>
        <v/>
      </c>
      <c r="M267" s="22"/>
      <c r="N267" s="21" t="str">
        <f>IF('12 - Device_Configuration'!J268="","",'12 - Device_Configuration'!J268)</f>
        <v/>
      </c>
      <c r="O267" s="21" t="str">
        <f>IF('12 - Device_Configuration'!K268="","",'12 - Device_Configuration'!K268)</f>
        <v/>
      </c>
      <c r="P267" s="21" t="str">
        <f>IF('12 - Device_Configuration'!L268="","",'12 - Device_Configuration'!L268)</f>
        <v/>
      </c>
      <c r="Q267" s="22"/>
      <c r="R267" s="21" t="str">
        <f>IF('12 - Device_Configuration'!AY268="","",'12 - Device_Configuration'!AY268)</f>
        <v/>
      </c>
      <c r="S267" s="21" t="str">
        <f>IF('12 - Device_Configuration'!AX268="","",'12 - Device_Configuration'!AX268)</f>
        <v/>
      </c>
      <c r="T267" s="21" t="str">
        <f>IF('12 - Device_Configuration'!AV268="","",'12 - Device_Configuration'!AV268)</f>
        <v/>
      </c>
      <c r="U267" s="21" t="str">
        <f>IF('12 - Device_Configuration'!AW268="","",'12 - Device_Configuration'!AW268)</f>
        <v/>
      </c>
      <c r="V267" s="21" t="str">
        <f>IF('12 - Device_Configuration'!BA268="","",'12 - Device_Configuration'!BA268)</f>
        <v/>
      </c>
      <c r="W267" s="21" t="str">
        <f>IF('12 - Device_Configuration'!BC268="","",'12 - Device_Configuration'!BC268)</f>
        <v/>
      </c>
      <c r="X267" s="21" t="str">
        <f>IF('12 - Device_Configuration'!BK268="","",'12 - Device_Configuration'!BK268)</f>
        <v/>
      </c>
      <c r="Y267" s="21" t="str">
        <f>IF('12 - Device_Configuration'!BB268="","",'12 - Device_Configuration'!BB268)</f>
        <v/>
      </c>
      <c r="Z267" s="21" t="str">
        <f>IF('12 - Device_Configuration'!P268="","",'12 - Device_Configuration'!P268)</f>
        <v/>
      </c>
      <c r="AA267" s="21" t="str">
        <f>IF('12 - Device_Configuration'!Q268="","",'12 - Device_Configuration'!Q268)</f>
        <v/>
      </c>
    </row>
    <row r="268" spans="1:27">
      <c r="A268" s="22"/>
      <c r="B268" s="22"/>
      <c r="C268" s="21" t="str">
        <f>IF('12 - Device_Configuration'!H269="","",'12 - Device_Configuration'!H269)</f>
        <v/>
      </c>
      <c r="D268" s="21" t="str">
        <f>IF('12 - Device_Configuration'!AE269="","",'12 - Device_Configuration'!AE269)</f>
        <v/>
      </c>
      <c r="E268" s="21" t="str">
        <f>IF('12 - Device_Configuration'!AF269="","",'12 - Device_Configuration'!AF269)</f>
        <v/>
      </c>
      <c r="F268" s="21" t="str">
        <f>IF('12 - Device_Configuration'!AG269="","",'12 - Device_Configuration'!AG269)</f>
        <v/>
      </c>
      <c r="G268" s="21" t="str">
        <f>IF('12 - Device_Configuration'!AH269="","",'12 - Device_Configuration'!AH269)</f>
        <v/>
      </c>
      <c r="H268" s="21" t="str">
        <f>IF('12 - Device_Configuration'!A269="","",'12 - Device_Configuration'!A269)</f>
        <v/>
      </c>
      <c r="I268" s="21" t="str">
        <f>IF('12 - Device_Configuration'!AI269="","",'12 - Device_Configuration'!AI269)</f>
        <v/>
      </c>
      <c r="J268" s="21" t="str">
        <f>IF('12 - Device_Configuration'!AJ269="","",'12 - Device_Configuration'!AJ269)</f>
        <v/>
      </c>
      <c r="K268" s="21" t="str">
        <f>IF('12 - Device_Configuration'!AA269="","",'12 - Device_Configuration'!AA269)</f>
        <v/>
      </c>
      <c r="L268" s="21" t="str">
        <f>IF('12 - Device_Configuration'!I269="","",'12 - Device_Configuration'!I269)</f>
        <v/>
      </c>
      <c r="M268" s="22"/>
      <c r="N268" s="21" t="str">
        <f>IF('12 - Device_Configuration'!J269="","",'12 - Device_Configuration'!J269)</f>
        <v/>
      </c>
      <c r="O268" s="21" t="str">
        <f>IF('12 - Device_Configuration'!K269="","",'12 - Device_Configuration'!K269)</f>
        <v/>
      </c>
      <c r="P268" s="21" t="str">
        <f>IF('12 - Device_Configuration'!L269="","",'12 - Device_Configuration'!L269)</f>
        <v/>
      </c>
      <c r="Q268" s="22"/>
      <c r="R268" s="21" t="str">
        <f>IF('12 - Device_Configuration'!AY269="","",'12 - Device_Configuration'!AY269)</f>
        <v/>
      </c>
      <c r="S268" s="21" t="str">
        <f>IF('12 - Device_Configuration'!AX269="","",'12 - Device_Configuration'!AX269)</f>
        <v/>
      </c>
      <c r="T268" s="21" t="str">
        <f>IF('12 - Device_Configuration'!AV269="","",'12 - Device_Configuration'!AV269)</f>
        <v/>
      </c>
      <c r="U268" s="21" t="str">
        <f>IF('12 - Device_Configuration'!AW269="","",'12 - Device_Configuration'!AW269)</f>
        <v/>
      </c>
      <c r="V268" s="21" t="str">
        <f>IF('12 - Device_Configuration'!BA269="","",'12 - Device_Configuration'!BA269)</f>
        <v/>
      </c>
      <c r="W268" s="21" t="str">
        <f>IF('12 - Device_Configuration'!BC269="","",'12 - Device_Configuration'!BC269)</f>
        <v/>
      </c>
      <c r="X268" s="21" t="str">
        <f>IF('12 - Device_Configuration'!BK269="","",'12 - Device_Configuration'!BK269)</f>
        <v/>
      </c>
      <c r="Y268" s="21" t="str">
        <f>IF('12 - Device_Configuration'!BB269="","",'12 - Device_Configuration'!BB269)</f>
        <v/>
      </c>
      <c r="Z268" s="21" t="str">
        <f>IF('12 - Device_Configuration'!P269="","",'12 - Device_Configuration'!P269)</f>
        <v/>
      </c>
      <c r="AA268" s="21" t="str">
        <f>IF('12 - Device_Configuration'!Q269="","",'12 - Device_Configuration'!Q269)</f>
        <v/>
      </c>
    </row>
    <row r="269" spans="1:27">
      <c r="A269" s="22"/>
      <c r="B269" s="22"/>
      <c r="C269" s="21" t="str">
        <f>IF('12 - Device_Configuration'!H270="","",'12 - Device_Configuration'!H270)</f>
        <v/>
      </c>
      <c r="D269" s="21" t="str">
        <f>IF('12 - Device_Configuration'!AE270="","",'12 - Device_Configuration'!AE270)</f>
        <v/>
      </c>
      <c r="E269" s="21" t="str">
        <f>IF('12 - Device_Configuration'!AF270="","",'12 - Device_Configuration'!AF270)</f>
        <v/>
      </c>
      <c r="F269" s="21" t="str">
        <f>IF('12 - Device_Configuration'!AG270="","",'12 - Device_Configuration'!AG270)</f>
        <v/>
      </c>
      <c r="G269" s="21" t="str">
        <f>IF('12 - Device_Configuration'!AH270="","",'12 - Device_Configuration'!AH270)</f>
        <v/>
      </c>
      <c r="H269" s="21" t="str">
        <f>IF('12 - Device_Configuration'!A270="","",'12 - Device_Configuration'!A270)</f>
        <v/>
      </c>
      <c r="I269" s="21" t="str">
        <f>IF('12 - Device_Configuration'!AI270="","",'12 - Device_Configuration'!AI270)</f>
        <v/>
      </c>
      <c r="J269" s="21" t="str">
        <f>IF('12 - Device_Configuration'!AJ270="","",'12 - Device_Configuration'!AJ270)</f>
        <v/>
      </c>
      <c r="K269" s="21" t="str">
        <f>IF('12 - Device_Configuration'!AA270="","",'12 - Device_Configuration'!AA270)</f>
        <v/>
      </c>
      <c r="L269" s="21" t="str">
        <f>IF('12 - Device_Configuration'!I270="","",'12 - Device_Configuration'!I270)</f>
        <v/>
      </c>
      <c r="M269" s="22"/>
      <c r="N269" s="21" t="str">
        <f>IF('12 - Device_Configuration'!J270="","",'12 - Device_Configuration'!J270)</f>
        <v/>
      </c>
      <c r="O269" s="21" t="str">
        <f>IF('12 - Device_Configuration'!K270="","",'12 - Device_Configuration'!K270)</f>
        <v/>
      </c>
      <c r="P269" s="21" t="str">
        <f>IF('12 - Device_Configuration'!L270="","",'12 - Device_Configuration'!L270)</f>
        <v/>
      </c>
      <c r="Q269" s="22"/>
      <c r="R269" s="21" t="str">
        <f>IF('12 - Device_Configuration'!AY270="","",'12 - Device_Configuration'!AY270)</f>
        <v/>
      </c>
      <c r="S269" s="21" t="str">
        <f>IF('12 - Device_Configuration'!AX270="","",'12 - Device_Configuration'!AX270)</f>
        <v/>
      </c>
      <c r="T269" s="21" t="str">
        <f>IF('12 - Device_Configuration'!AV270="","",'12 - Device_Configuration'!AV270)</f>
        <v/>
      </c>
      <c r="U269" s="21" t="str">
        <f>IF('12 - Device_Configuration'!AW270="","",'12 - Device_Configuration'!AW270)</f>
        <v/>
      </c>
      <c r="V269" s="21" t="str">
        <f>IF('12 - Device_Configuration'!BA270="","",'12 - Device_Configuration'!BA270)</f>
        <v/>
      </c>
      <c r="W269" s="21" t="str">
        <f>IF('12 - Device_Configuration'!BC270="","",'12 - Device_Configuration'!BC270)</f>
        <v/>
      </c>
      <c r="X269" s="21" t="str">
        <f>IF('12 - Device_Configuration'!BK270="","",'12 - Device_Configuration'!BK270)</f>
        <v/>
      </c>
      <c r="Y269" s="21" t="str">
        <f>IF('12 - Device_Configuration'!BB270="","",'12 - Device_Configuration'!BB270)</f>
        <v/>
      </c>
      <c r="Z269" s="21" t="str">
        <f>IF('12 - Device_Configuration'!P270="","",'12 - Device_Configuration'!P270)</f>
        <v/>
      </c>
      <c r="AA269" s="21" t="str">
        <f>IF('12 - Device_Configuration'!Q270="","",'12 - Device_Configuration'!Q270)</f>
        <v/>
      </c>
    </row>
    <row r="270" spans="1:27">
      <c r="A270" s="22"/>
      <c r="B270" s="22"/>
      <c r="C270" s="21" t="str">
        <f>IF('12 - Device_Configuration'!H271="","",'12 - Device_Configuration'!H271)</f>
        <v/>
      </c>
      <c r="D270" s="21" t="str">
        <f>IF('12 - Device_Configuration'!AE271="","",'12 - Device_Configuration'!AE271)</f>
        <v/>
      </c>
      <c r="E270" s="21" t="str">
        <f>IF('12 - Device_Configuration'!AF271="","",'12 - Device_Configuration'!AF271)</f>
        <v/>
      </c>
      <c r="F270" s="21" t="str">
        <f>IF('12 - Device_Configuration'!AG271="","",'12 - Device_Configuration'!AG271)</f>
        <v/>
      </c>
      <c r="G270" s="21" t="str">
        <f>IF('12 - Device_Configuration'!AH271="","",'12 - Device_Configuration'!AH271)</f>
        <v/>
      </c>
      <c r="H270" s="21" t="str">
        <f>IF('12 - Device_Configuration'!A271="","",'12 - Device_Configuration'!A271)</f>
        <v/>
      </c>
      <c r="I270" s="21" t="str">
        <f>IF('12 - Device_Configuration'!AI271="","",'12 - Device_Configuration'!AI271)</f>
        <v/>
      </c>
      <c r="J270" s="21" t="str">
        <f>IF('12 - Device_Configuration'!AJ271="","",'12 - Device_Configuration'!AJ271)</f>
        <v/>
      </c>
      <c r="K270" s="21" t="str">
        <f>IF('12 - Device_Configuration'!AA271="","",'12 - Device_Configuration'!AA271)</f>
        <v/>
      </c>
      <c r="L270" s="21" t="str">
        <f>IF('12 - Device_Configuration'!I271="","",'12 - Device_Configuration'!I271)</f>
        <v/>
      </c>
      <c r="M270" s="22"/>
      <c r="N270" s="21" t="str">
        <f>IF('12 - Device_Configuration'!J271="","",'12 - Device_Configuration'!J271)</f>
        <v/>
      </c>
      <c r="O270" s="21" t="str">
        <f>IF('12 - Device_Configuration'!K271="","",'12 - Device_Configuration'!K271)</f>
        <v/>
      </c>
      <c r="P270" s="21" t="str">
        <f>IF('12 - Device_Configuration'!L271="","",'12 - Device_Configuration'!L271)</f>
        <v/>
      </c>
      <c r="Q270" s="22"/>
      <c r="R270" s="21" t="str">
        <f>IF('12 - Device_Configuration'!AY271="","",'12 - Device_Configuration'!AY271)</f>
        <v/>
      </c>
      <c r="S270" s="21" t="str">
        <f>IF('12 - Device_Configuration'!AX271="","",'12 - Device_Configuration'!AX271)</f>
        <v/>
      </c>
      <c r="T270" s="21" t="str">
        <f>IF('12 - Device_Configuration'!AV271="","",'12 - Device_Configuration'!AV271)</f>
        <v/>
      </c>
      <c r="U270" s="21" t="str">
        <f>IF('12 - Device_Configuration'!AW271="","",'12 - Device_Configuration'!AW271)</f>
        <v/>
      </c>
      <c r="V270" s="21" t="str">
        <f>IF('12 - Device_Configuration'!BA271="","",'12 - Device_Configuration'!BA271)</f>
        <v/>
      </c>
      <c r="W270" s="21" t="str">
        <f>IF('12 - Device_Configuration'!BC271="","",'12 - Device_Configuration'!BC271)</f>
        <v/>
      </c>
      <c r="X270" s="21" t="str">
        <f>IF('12 - Device_Configuration'!BK271="","",'12 - Device_Configuration'!BK271)</f>
        <v/>
      </c>
      <c r="Y270" s="21" t="str">
        <f>IF('12 - Device_Configuration'!BB271="","",'12 - Device_Configuration'!BB271)</f>
        <v/>
      </c>
      <c r="Z270" s="21" t="str">
        <f>IF('12 - Device_Configuration'!P271="","",'12 - Device_Configuration'!P271)</f>
        <v/>
      </c>
      <c r="AA270" s="21" t="str">
        <f>IF('12 - Device_Configuration'!Q271="","",'12 - Device_Configuration'!Q271)</f>
        <v/>
      </c>
    </row>
    <row r="271" spans="1:27">
      <c r="A271" s="22"/>
      <c r="B271" s="22"/>
      <c r="C271" s="21" t="str">
        <f>IF('12 - Device_Configuration'!H272="","",'12 - Device_Configuration'!H272)</f>
        <v/>
      </c>
      <c r="D271" s="21" t="str">
        <f>IF('12 - Device_Configuration'!AE272="","",'12 - Device_Configuration'!AE272)</f>
        <v/>
      </c>
      <c r="E271" s="21" t="str">
        <f>IF('12 - Device_Configuration'!AF272="","",'12 - Device_Configuration'!AF272)</f>
        <v/>
      </c>
      <c r="F271" s="21" t="str">
        <f>IF('12 - Device_Configuration'!AG272="","",'12 - Device_Configuration'!AG272)</f>
        <v/>
      </c>
      <c r="G271" s="21" t="str">
        <f>IF('12 - Device_Configuration'!AH272="","",'12 - Device_Configuration'!AH272)</f>
        <v/>
      </c>
      <c r="H271" s="21" t="str">
        <f>IF('12 - Device_Configuration'!A272="","",'12 - Device_Configuration'!A272)</f>
        <v/>
      </c>
      <c r="I271" s="21" t="str">
        <f>IF('12 - Device_Configuration'!AI272="","",'12 - Device_Configuration'!AI272)</f>
        <v/>
      </c>
      <c r="J271" s="21" t="str">
        <f>IF('12 - Device_Configuration'!AJ272="","",'12 - Device_Configuration'!AJ272)</f>
        <v/>
      </c>
      <c r="K271" s="21" t="str">
        <f>IF('12 - Device_Configuration'!AA272="","",'12 - Device_Configuration'!AA272)</f>
        <v/>
      </c>
      <c r="L271" s="21" t="str">
        <f>IF('12 - Device_Configuration'!I272="","",'12 - Device_Configuration'!I272)</f>
        <v/>
      </c>
      <c r="M271" s="22"/>
      <c r="N271" s="21" t="str">
        <f>IF('12 - Device_Configuration'!J272="","",'12 - Device_Configuration'!J272)</f>
        <v/>
      </c>
      <c r="O271" s="21" t="str">
        <f>IF('12 - Device_Configuration'!K272="","",'12 - Device_Configuration'!K272)</f>
        <v/>
      </c>
      <c r="P271" s="21" t="str">
        <f>IF('12 - Device_Configuration'!L272="","",'12 - Device_Configuration'!L272)</f>
        <v/>
      </c>
      <c r="Q271" s="22"/>
      <c r="R271" s="21" t="str">
        <f>IF('12 - Device_Configuration'!AY272="","",'12 - Device_Configuration'!AY272)</f>
        <v/>
      </c>
      <c r="S271" s="21" t="str">
        <f>IF('12 - Device_Configuration'!AX272="","",'12 - Device_Configuration'!AX272)</f>
        <v/>
      </c>
      <c r="T271" s="21" t="str">
        <f>IF('12 - Device_Configuration'!AV272="","",'12 - Device_Configuration'!AV272)</f>
        <v/>
      </c>
      <c r="U271" s="21" t="str">
        <f>IF('12 - Device_Configuration'!AW272="","",'12 - Device_Configuration'!AW272)</f>
        <v/>
      </c>
      <c r="V271" s="21" t="str">
        <f>IF('12 - Device_Configuration'!BA272="","",'12 - Device_Configuration'!BA272)</f>
        <v/>
      </c>
      <c r="W271" s="21" t="str">
        <f>IF('12 - Device_Configuration'!BC272="","",'12 - Device_Configuration'!BC272)</f>
        <v/>
      </c>
      <c r="X271" s="21" t="str">
        <f>IF('12 - Device_Configuration'!BK272="","",'12 - Device_Configuration'!BK272)</f>
        <v/>
      </c>
      <c r="Y271" s="21" t="str">
        <f>IF('12 - Device_Configuration'!BB272="","",'12 - Device_Configuration'!BB272)</f>
        <v/>
      </c>
      <c r="Z271" s="21" t="str">
        <f>IF('12 - Device_Configuration'!P272="","",'12 - Device_Configuration'!P272)</f>
        <v/>
      </c>
      <c r="AA271" s="21" t="str">
        <f>IF('12 - Device_Configuration'!Q272="","",'12 - Device_Configuration'!Q272)</f>
        <v/>
      </c>
    </row>
    <row r="272" spans="1:27">
      <c r="A272" s="22"/>
      <c r="B272" s="22"/>
      <c r="C272" s="21" t="str">
        <f>IF('12 - Device_Configuration'!H273="","",'12 - Device_Configuration'!H273)</f>
        <v/>
      </c>
      <c r="D272" s="21" t="str">
        <f>IF('12 - Device_Configuration'!AE273="","",'12 - Device_Configuration'!AE273)</f>
        <v/>
      </c>
      <c r="E272" s="21" t="str">
        <f>IF('12 - Device_Configuration'!AF273="","",'12 - Device_Configuration'!AF273)</f>
        <v/>
      </c>
      <c r="F272" s="21" t="str">
        <f>IF('12 - Device_Configuration'!AG273="","",'12 - Device_Configuration'!AG273)</f>
        <v/>
      </c>
      <c r="G272" s="21" t="str">
        <f>IF('12 - Device_Configuration'!AH273="","",'12 - Device_Configuration'!AH273)</f>
        <v/>
      </c>
      <c r="H272" s="21" t="str">
        <f>IF('12 - Device_Configuration'!A273="","",'12 - Device_Configuration'!A273)</f>
        <v/>
      </c>
      <c r="I272" s="21" t="str">
        <f>IF('12 - Device_Configuration'!AI273="","",'12 - Device_Configuration'!AI273)</f>
        <v/>
      </c>
      <c r="J272" s="21" t="str">
        <f>IF('12 - Device_Configuration'!AJ273="","",'12 - Device_Configuration'!AJ273)</f>
        <v/>
      </c>
      <c r="K272" s="21" t="str">
        <f>IF('12 - Device_Configuration'!AA273="","",'12 - Device_Configuration'!AA273)</f>
        <v/>
      </c>
      <c r="L272" s="21" t="str">
        <f>IF('12 - Device_Configuration'!I273="","",'12 - Device_Configuration'!I273)</f>
        <v/>
      </c>
      <c r="M272" s="22"/>
      <c r="N272" s="21" t="str">
        <f>IF('12 - Device_Configuration'!J273="","",'12 - Device_Configuration'!J273)</f>
        <v/>
      </c>
      <c r="O272" s="21" t="str">
        <f>IF('12 - Device_Configuration'!K273="","",'12 - Device_Configuration'!K273)</f>
        <v/>
      </c>
      <c r="P272" s="21" t="str">
        <f>IF('12 - Device_Configuration'!L273="","",'12 - Device_Configuration'!L273)</f>
        <v/>
      </c>
      <c r="Q272" s="22"/>
      <c r="R272" s="21" t="str">
        <f>IF('12 - Device_Configuration'!AY273="","",'12 - Device_Configuration'!AY273)</f>
        <v/>
      </c>
      <c r="S272" s="21" t="str">
        <f>IF('12 - Device_Configuration'!AX273="","",'12 - Device_Configuration'!AX273)</f>
        <v/>
      </c>
      <c r="T272" s="21" t="str">
        <f>IF('12 - Device_Configuration'!AV273="","",'12 - Device_Configuration'!AV273)</f>
        <v/>
      </c>
      <c r="U272" s="21" t="str">
        <f>IF('12 - Device_Configuration'!AW273="","",'12 - Device_Configuration'!AW273)</f>
        <v/>
      </c>
      <c r="V272" s="21" t="str">
        <f>IF('12 - Device_Configuration'!BA273="","",'12 - Device_Configuration'!BA273)</f>
        <v/>
      </c>
      <c r="W272" s="21" t="str">
        <f>IF('12 - Device_Configuration'!BC273="","",'12 - Device_Configuration'!BC273)</f>
        <v/>
      </c>
      <c r="X272" s="21" t="str">
        <f>IF('12 - Device_Configuration'!BK273="","",'12 - Device_Configuration'!BK273)</f>
        <v/>
      </c>
      <c r="Y272" s="21" t="str">
        <f>IF('12 - Device_Configuration'!BB273="","",'12 - Device_Configuration'!BB273)</f>
        <v/>
      </c>
      <c r="Z272" s="21" t="str">
        <f>IF('12 - Device_Configuration'!P273="","",'12 - Device_Configuration'!P273)</f>
        <v/>
      </c>
      <c r="AA272" s="21" t="str">
        <f>IF('12 - Device_Configuration'!Q273="","",'12 - Device_Configuration'!Q273)</f>
        <v/>
      </c>
    </row>
    <row r="273" spans="1:27">
      <c r="A273" s="22"/>
      <c r="B273" s="22"/>
      <c r="C273" s="21" t="str">
        <f>IF('12 - Device_Configuration'!H274="","",'12 - Device_Configuration'!H274)</f>
        <v/>
      </c>
      <c r="D273" s="21" t="str">
        <f>IF('12 - Device_Configuration'!AE274="","",'12 - Device_Configuration'!AE274)</f>
        <v/>
      </c>
      <c r="E273" s="21" t="str">
        <f>IF('12 - Device_Configuration'!AF274="","",'12 - Device_Configuration'!AF274)</f>
        <v/>
      </c>
      <c r="F273" s="21" t="str">
        <f>IF('12 - Device_Configuration'!AG274="","",'12 - Device_Configuration'!AG274)</f>
        <v/>
      </c>
      <c r="G273" s="21" t="str">
        <f>IF('12 - Device_Configuration'!AH274="","",'12 - Device_Configuration'!AH274)</f>
        <v/>
      </c>
      <c r="H273" s="21" t="str">
        <f>IF('12 - Device_Configuration'!A274="","",'12 - Device_Configuration'!A274)</f>
        <v/>
      </c>
      <c r="I273" s="21" t="str">
        <f>IF('12 - Device_Configuration'!AI274="","",'12 - Device_Configuration'!AI274)</f>
        <v/>
      </c>
      <c r="J273" s="21" t="str">
        <f>IF('12 - Device_Configuration'!AJ274="","",'12 - Device_Configuration'!AJ274)</f>
        <v/>
      </c>
      <c r="K273" s="21" t="str">
        <f>IF('12 - Device_Configuration'!AA274="","",'12 - Device_Configuration'!AA274)</f>
        <v/>
      </c>
      <c r="L273" s="21" t="str">
        <f>IF('12 - Device_Configuration'!I274="","",'12 - Device_Configuration'!I274)</f>
        <v/>
      </c>
      <c r="M273" s="22"/>
      <c r="N273" s="21" t="str">
        <f>IF('12 - Device_Configuration'!J274="","",'12 - Device_Configuration'!J274)</f>
        <v/>
      </c>
      <c r="O273" s="21" t="str">
        <f>IF('12 - Device_Configuration'!K274="","",'12 - Device_Configuration'!K274)</f>
        <v/>
      </c>
      <c r="P273" s="21" t="str">
        <f>IF('12 - Device_Configuration'!L274="","",'12 - Device_Configuration'!L274)</f>
        <v/>
      </c>
      <c r="Q273" s="22"/>
      <c r="R273" s="21" t="str">
        <f>IF('12 - Device_Configuration'!AY274="","",'12 - Device_Configuration'!AY274)</f>
        <v/>
      </c>
      <c r="S273" s="21" t="str">
        <f>IF('12 - Device_Configuration'!AX274="","",'12 - Device_Configuration'!AX274)</f>
        <v/>
      </c>
      <c r="T273" s="21" t="str">
        <f>IF('12 - Device_Configuration'!AV274="","",'12 - Device_Configuration'!AV274)</f>
        <v/>
      </c>
      <c r="U273" s="21" t="str">
        <f>IF('12 - Device_Configuration'!AW274="","",'12 - Device_Configuration'!AW274)</f>
        <v/>
      </c>
      <c r="V273" s="21" t="str">
        <f>IF('12 - Device_Configuration'!BA274="","",'12 - Device_Configuration'!BA274)</f>
        <v/>
      </c>
      <c r="W273" s="21" t="str">
        <f>IF('12 - Device_Configuration'!BC274="","",'12 - Device_Configuration'!BC274)</f>
        <v/>
      </c>
      <c r="X273" s="21" t="str">
        <f>IF('12 - Device_Configuration'!BK274="","",'12 - Device_Configuration'!BK274)</f>
        <v/>
      </c>
      <c r="Y273" s="21" t="str">
        <f>IF('12 - Device_Configuration'!BB274="","",'12 - Device_Configuration'!BB274)</f>
        <v/>
      </c>
      <c r="Z273" s="21" t="str">
        <f>IF('12 - Device_Configuration'!P274="","",'12 - Device_Configuration'!P274)</f>
        <v/>
      </c>
      <c r="AA273" s="21" t="str">
        <f>IF('12 - Device_Configuration'!Q274="","",'12 - Device_Configuration'!Q274)</f>
        <v/>
      </c>
    </row>
    <row r="274" spans="1:27">
      <c r="A274" s="22"/>
      <c r="B274" s="22"/>
      <c r="C274" s="21" t="str">
        <f>IF('12 - Device_Configuration'!H275="","",'12 - Device_Configuration'!H275)</f>
        <v/>
      </c>
      <c r="D274" s="21" t="str">
        <f>IF('12 - Device_Configuration'!AE275="","",'12 - Device_Configuration'!AE275)</f>
        <v/>
      </c>
      <c r="E274" s="21" t="str">
        <f>IF('12 - Device_Configuration'!AF275="","",'12 - Device_Configuration'!AF275)</f>
        <v/>
      </c>
      <c r="F274" s="21" t="str">
        <f>IF('12 - Device_Configuration'!AG275="","",'12 - Device_Configuration'!AG275)</f>
        <v/>
      </c>
      <c r="G274" s="21" t="str">
        <f>IF('12 - Device_Configuration'!AH275="","",'12 - Device_Configuration'!AH275)</f>
        <v/>
      </c>
      <c r="H274" s="21" t="str">
        <f>IF('12 - Device_Configuration'!A275="","",'12 - Device_Configuration'!A275)</f>
        <v/>
      </c>
      <c r="I274" s="21" t="str">
        <f>IF('12 - Device_Configuration'!AI275="","",'12 - Device_Configuration'!AI275)</f>
        <v/>
      </c>
      <c r="J274" s="21" t="str">
        <f>IF('12 - Device_Configuration'!AJ275="","",'12 - Device_Configuration'!AJ275)</f>
        <v/>
      </c>
      <c r="K274" s="21" t="str">
        <f>IF('12 - Device_Configuration'!AA275="","",'12 - Device_Configuration'!AA275)</f>
        <v/>
      </c>
      <c r="L274" s="21" t="str">
        <f>IF('12 - Device_Configuration'!I275="","",'12 - Device_Configuration'!I275)</f>
        <v/>
      </c>
      <c r="M274" s="22"/>
      <c r="N274" s="21" t="str">
        <f>IF('12 - Device_Configuration'!J275="","",'12 - Device_Configuration'!J275)</f>
        <v/>
      </c>
      <c r="O274" s="21" t="str">
        <f>IF('12 - Device_Configuration'!K275="","",'12 - Device_Configuration'!K275)</f>
        <v/>
      </c>
      <c r="P274" s="21" t="str">
        <f>IF('12 - Device_Configuration'!L275="","",'12 - Device_Configuration'!L275)</f>
        <v/>
      </c>
      <c r="Q274" s="22"/>
      <c r="R274" s="21" t="str">
        <f>IF('12 - Device_Configuration'!AY275="","",'12 - Device_Configuration'!AY275)</f>
        <v/>
      </c>
      <c r="S274" s="21" t="str">
        <f>IF('12 - Device_Configuration'!AX275="","",'12 - Device_Configuration'!AX275)</f>
        <v/>
      </c>
      <c r="T274" s="21" t="str">
        <f>IF('12 - Device_Configuration'!AV275="","",'12 - Device_Configuration'!AV275)</f>
        <v/>
      </c>
      <c r="U274" s="21" t="str">
        <f>IF('12 - Device_Configuration'!AW275="","",'12 - Device_Configuration'!AW275)</f>
        <v/>
      </c>
      <c r="V274" s="21" t="str">
        <f>IF('12 - Device_Configuration'!BA275="","",'12 - Device_Configuration'!BA275)</f>
        <v/>
      </c>
      <c r="W274" s="21" t="str">
        <f>IF('12 - Device_Configuration'!BC275="","",'12 - Device_Configuration'!BC275)</f>
        <v/>
      </c>
      <c r="X274" s="21" t="str">
        <f>IF('12 - Device_Configuration'!BK275="","",'12 - Device_Configuration'!BK275)</f>
        <v/>
      </c>
      <c r="Y274" s="21" t="str">
        <f>IF('12 - Device_Configuration'!BB275="","",'12 - Device_Configuration'!BB275)</f>
        <v/>
      </c>
      <c r="Z274" s="21" t="str">
        <f>IF('12 - Device_Configuration'!P275="","",'12 - Device_Configuration'!P275)</f>
        <v/>
      </c>
      <c r="AA274" s="21" t="str">
        <f>IF('12 - Device_Configuration'!Q275="","",'12 - Device_Configuration'!Q275)</f>
        <v/>
      </c>
    </row>
    <row r="275" spans="1:27">
      <c r="A275" s="22"/>
      <c r="B275" s="22"/>
      <c r="C275" s="21" t="str">
        <f>IF('12 - Device_Configuration'!H276="","",'12 - Device_Configuration'!H276)</f>
        <v/>
      </c>
      <c r="D275" s="21" t="str">
        <f>IF('12 - Device_Configuration'!AE276="","",'12 - Device_Configuration'!AE276)</f>
        <v/>
      </c>
      <c r="E275" s="21" t="str">
        <f>IF('12 - Device_Configuration'!AF276="","",'12 - Device_Configuration'!AF276)</f>
        <v/>
      </c>
      <c r="F275" s="21" t="str">
        <f>IF('12 - Device_Configuration'!AG276="","",'12 - Device_Configuration'!AG276)</f>
        <v/>
      </c>
      <c r="G275" s="21" t="str">
        <f>IF('12 - Device_Configuration'!AH276="","",'12 - Device_Configuration'!AH276)</f>
        <v/>
      </c>
      <c r="H275" s="21" t="str">
        <f>IF('12 - Device_Configuration'!A276="","",'12 - Device_Configuration'!A276)</f>
        <v/>
      </c>
      <c r="I275" s="21" t="str">
        <f>IF('12 - Device_Configuration'!AI276="","",'12 - Device_Configuration'!AI276)</f>
        <v/>
      </c>
      <c r="J275" s="21" t="str">
        <f>IF('12 - Device_Configuration'!AJ276="","",'12 - Device_Configuration'!AJ276)</f>
        <v/>
      </c>
      <c r="K275" s="21" t="str">
        <f>IF('12 - Device_Configuration'!AA276="","",'12 - Device_Configuration'!AA276)</f>
        <v/>
      </c>
      <c r="L275" s="21" t="str">
        <f>IF('12 - Device_Configuration'!I276="","",'12 - Device_Configuration'!I276)</f>
        <v/>
      </c>
      <c r="M275" s="22"/>
      <c r="N275" s="21" t="str">
        <f>IF('12 - Device_Configuration'!J276="","",'12 - Device_Configuration'!J276)</f>
        <v/>
      </c>
      <c r="O275" s="21" t="str">
        <f>IF('12 - Device_Configuration'!K276="","",'12 - Device_Configuration'!K276)</f>
        <v/>
      </c>
      <c r="P275" s="21" t="str">
        <f>IF('12 - Device_Configuration'!L276="","",'12 - Device_Configuration'!L276)</f>
        <v/>
      </c>
      <c r="Q275" s="22"/>
      <c r="R275" s="21" t="str">
        <f>IF('12 - Device_Configuration'!AY276="","",'12 - Device_Configuration'!AY276)</f>
        <v/>
      </c>
      <c r="S275" s="21" t="str">
        <f>IF('12 - Device_Configuration'!AX276="","",'12 - Device_Configuration'!AX276)</f>
        <v/>
      </c>
      <c r="T275" s="21" t="str">
        <f>IF('12 - Device_Configuration'!AV276="","",'12 - Device_Configuration'!AV276)</f>
        <v/>
      </c>
      <c r="U275" s="21" t="str">
        <f>IF('12 - Device_Configuration'!AW276="","",'12 - Device_Configuration'!AW276)</f>
        <v/>
      </c>
      <c r="V275" s="21" t="str">
        <f>IF('12 - Device_Configuration'!BA276="","",'12 - Device_Configuration'!BA276)</f>
        <v/>
      </c>
      <c r="W275" s="21" t="str">
        <f>IF('12 - Device_Configuration'!BC276="","",'12 - Device_Configuration'!BC276)</f>
        <v/>
      </c>
      <c r="X275" s="21" t="str">
        <f>IF('12 - Device_Configuration'!BK276="","",'12 - Device_Configuration'!BK276)</f>
        <v/>
      </c>
      <c r="Y275" s="21" t="str">
        <f>IF('12 - Device_Configuration'!BB276="","",'12 - Device_Configuration'!BB276)</f>
        <v/>
      </c>
      <c r="Z275" s="21" t="str">
        <f>IF('12 - Device_Configuration'!P276="","",'12 - Device_Configuration'!P276)</f>
        <v/>
      </c>
      <c r="AA275" s="21" t="str">
        <f>IF('12 - Device_Configuration'!Q276="","",'12 - Device_Configuration'!Q276)</f>
        <v/>
      </c>
    </row>
    <row r="276" spans="1:27">
      <c r="A276" s="22"/>
      <c r="B276" s="22"/>
      <c r="C276" s="21" t="str">
        <f>IF('12 - Device_Configuration'!H277="","",'12 - Device_Configuration'!H277)</f>
        <v/>
      </c>
      <c r="D276" s="21" t="str">
        <f>IF('12 - Device_Configuration'!AE277="","",'12 - Device_Configuration'!AE277)</f>
        <v/>
      </c>
      <c r="E276" s="21" t="str">
        <f>IF('12 - Device_Configuration'!AF277="","",'12 - Device_Configuration'!AF277)</f>
        <v/>
      </c>
      <c r="F276" s="21" t="str">
        <f>IF('12 - Device_Configuration'!AG277="","",'12 - Device_Configuration'!AG277)</f>
        <v/>
      </c>
      <c r="G276" s="21" t="str">
        <f>IF('12 - Device_Configuration'!AH277="","",'12 - Device_Configuration'!AH277)</f>
        <v/>
      </c>
      <c r="H276" s="21" t="str">
        <f>IF('12 - Device_Configuration'!A277="","",'12 - Device_Configuration'!A277)</f>
        <v/>
      </c>
      <c r="I276" s="21" t="str">
        <f>IF('12 - Device_Configuration'!AI277="","",'12 - Device_Configuration'!AI277)</f>
        <v/>
      </c>
      <c r="J276" s="21" t="str">
        <f>IF('12 - Device_Configuration'!AJ277="","",'12 - Device_Configuration'!AJ277)</f>
        <v/>
      </c>
      <c r="K276" s="21" t="str">
        <f>IF('12 - Device_Configuration'!AA277="","",'12 - Device_Configuration'!AA277)</f>
        <v/>
      </c>
      <c r="L276" s="21" t="str">
        <f>IF('12 - Device_Configuration'!I277="","",'12 - Device_Configuration'!I277)</f>
        <v/>
      </c>
      <c r="M276" s="22"/>
      <c r="N276" s="21" t="str">
        <f>IF('12 - Device_Configuration'!J277="","",'12 - Device_Configuration'!J277)</f>
        <v/>
      </c>
      <c r="O276" s="21" t="str">
        <f>IF('12 - Device_Configuration'!K277="","",'12 - Device_Configuration'!K277)</f>
        <v/>
      </c>
      <c r="P276" s="21" t="str">
        <f>IF('12 - Device_Configuration'!L277="","",'12 - Device_Configuration'!L277)</f>
        <v/>
      </c>
      <c r="Q276" s="22"/>
      <c r="R276" s="21" t="str">
        <f>IF('12 - Device_Configuration'!AY277="","",'12 - Device_Configuration'!AY277)</f>
        <v/>
      </c>
      <c r="S276" s="21" t="str">
        <f>IF('12 - Device_Configuration'!AX277="","",'12 - Device_Configuration'!AX277)</f>
        <v/>
      </c>
      <c r="T276" s="21" t="str">
        <f>IF('12 - Device_Configuration'!AV277="","",'12 - Device_Configuration'!AV277)</f>
        <v/>
      </c>
      <c r="U276" s="21" t="str">
        <f>IF('12 - Device_Configuration'!AW277="","",'12 - Device_Configuration'!AW277)</f>
        <v/>
      </c>
      <c r="V276" s="21" t="str">
        <f>IF('12 - Device_Configuration'!BA277="","",'12 - Device_Configuration'!BA277)</f>
        <v/>
      </c>
      <c r="W276" s="21" t="str">
        <f>IF('12 - Device_Configuration'!BC277="","",'12 - Device_Configuration'!BC277)</f>
        <v/>
      </c>
      <c r="X276" s="21" t="str">
        <f>IF('12 - Device_Configuration'!BK277="","",'12 - Device_Configuration'!BK277)</f>
        <v/>
      </c>
      <c r="Y276" s="21" t="str">
        <f>IF('12 - Device_Configuration'!BB277="","",'12 - Device_Configuration'!BB277)</f>
        <v/>
      </c>
      <c r="Z276" s="21" t="str">
        <f>IF('12 - Device_Configuration'!P277="","",'12 - Device_Configuration'!P277)</f>
        <v/>
      </c>
      <c r="AA276" s="21" t="str">
        <f>IF('12 - Device_Configuration'!Q277="","",'12 - Device_Configuration'!Q277)</f>
        <v/>
      </c>
    </row>
    <row r="277" spans="1:27">
      <c r="A277" s="22"/>
      <c r="B277" s="22"/>
      <c r="C277" s="21" t="str">
        <f>IF('12 - Device_Configuration'!H278="","",'12 - Device_Configuration'!H278)</f>
        <v/>
      </c>
      <c r="D277" s="21" t="str">
        <f>IF('12 - Device_Configuration'!AE278="","",'12 - Device_Configuration'!AE278)</f>
        <v/>
      </c>
      <c r="E277" s="21" t="str">
        <f>IF('12 - Device_Configuration'!AF278="","",'12 - Device_Configuration'!AF278)</f>
        <v/>
      </c>
      <c r="F277" s="21" t="str">
        <f>IF('12 - Device_Configuration'!AG278="","",'12 - Device_Configuration'!AG278)</f>
        <v/>
      </c>
      <c r="G277" s="21" t="str">
        <f>IF('12 - Device_Configuration'!AH278="","",'12 - Device_Configuration'!AH278)</f>
        <v/>
      </c>
      <c r="H277" s="21" t="str">
        <f>IF('12 - Device_Configuration'!A278="","",'12 - Device_Configuration'!A278)</f>
        <v/>
      </c>
      <c r="I277" s="21" t="str">
        <f>IF('12 - Device_Configuration'!AI278="","",'12 - Device_Configuration'!AI278)</f>
        <v/>
      </c>
      <c r="J277" s="21" t="str">
        <f>IF('12 - Device_Configuration'!AJ278="","",'12 - Device_Configuration'!AJ278)</f>
        <v/>
      </c>
      <c r="K277" s="21" t="str">
        <f>IF('12 - Device_Configuration'!AA278="","",'12 - Device_Configuration'!AA278)</f>
        <v/>
      </c>
      <c r="L277" s="21" t="str">
        <f>IF('12 - Device_Configuration'!I278="","",'12 - Device_Configuration'!I278)</f>
        <v/>
      </c>
      <c r="M277" s="22"/>
      <c r="N277" s="21" t="str">
        <f>IF('12 - Device_Configuration'!J278="","",'12 - Device_Configuration'!J278)</f>
        <v/>
      </c>
      <c r="O277" s="21" t="str">
        <f>IF('12 - Device_Configuration'!K278="","",'12 - Device_Configuration'!K278)</f>
        <v/>
      </c>
      <c r="P277" s="21" t="str">
        <f>IF('12 - Device_Configuration'!L278="","",'12 - Device_Configuration'!L278)</f>
        <v/>
      </c>
      <c r="Q277" s="22"/>
      <c r="R277" s="21" t="str">
        <f>IF('12 - Device_Configuration'!AY278="","",'12 - Device_Configuration'!AY278)</f>
        <v/>
      </c>
      <c r="S277" s="21" t="str">
        <f>IF('12 - Device_Configuration'!AX278="","",'12 - Device_Configuration'!AX278)</f>
        <v/>
      </c>
      <c r="T277" s="21" t="str">
        <f>IF('12 - Device_Configuration'!AV278="","",'12 - Device_Configuration'!AV278)</f>
        <v/>
      </c>
      <c r="U277" s="21" t="str">
        <f>IF('12 - Device_Configuration'!AW278="","",'12 - Device_Configuration'!AW278)</f>
        <v/>
      </c>
      <c r="V277" s="21" t="str">
        <f>IF('12 - Device_Configuration'!BA278="","",'12 - Device_Configuration'!BA278)</f>
        <v/>
      </c>
      <c r="W277" s="21" t="str">
        <f>IF('12 - Device_Configuration'!BC278="","",'12 - Device_Configuration'!BC278)</f>
        <v/>
      </c>
      <c r="X277" s="21" t="str">
        <f>IF('12 - Device_Configuration'!BK278="","",'12 - Device_Configuration'!BK278)</f>
        <v/>
      </c>
      <c r="Y277" s="21" t="str">
        <f>IF('12 - Device_Configuration'!BB278="","",'12 - Device_Configuration'!BB278)</f>
        <v/>
      </c>
      <c r="Z277" s="21" t="str">
        <f>IF('12 - Device_Configuration'!P278="","",'12 - Device_Configuration'!P278)</f>
        <v/>
      </c>
      <c r="AA277" s="21" t="str">
        <f>IF('12 - Device_Configuration'!Q278="","",'12 - Device_Configuration'!Q278)</f>
        <v/>
      </c>
    </row>
    <row r="278" spans="1:27">
      <c r="A278" s="22"/>
      <c r="B278" s="22"/>
      <c r="C278" s="21" t="str">
        <f>IF('12 - Device_Configuration'!H279="","",'12 - Device_Configuration'!H279)</f>
        <v/>
      </c>
      <c r="D278" s="21" t="str">
        <f>IF('12 - Device_Configuration'!AE279="","",'12 - Device_Configuration'!AE279)</f>
        <v/>
      </c>
      <c r="E278" s="21" t="str">
        <f>IF('12 - Device_Configuration'!AF279="","",'12 - Device_Configuration'!AF279)</f>
        <v/>
      </c>
      <c r="F278" s="21" t="str">
        <f>IF('12 - Device_Configuration'!AG279="","",'12 - Device_Configuration'!AG279)</f>
        <v/>
      </c>
      <c r="G278" s="21" t="str">
        <f>IF('12 - Device_Configuration'!AH279="","",'12 - Device_Configuration'!AH279)</f>
        <v/>
      </c>
      <c r="H278" s="21" t="str">
        <f>IF('12 - Device_Configuration'!A279="","",'12 - Device_Configuration'!A279)</f>
        <v/>
      </c>
      <c r="I278" s="21" t="str">
        <f>IF('12 - Device_Configuration'!AI279="","",'12 - Device_Configuration'!AI279)</f>
        <v/>
      </c>
      <c r="J278" s="21" t="str">
        <f>IF('12 - Device_Configuration'!AJ279="","",'12 - Device_Configuration'!AJ279)</f>
        <v/>
      </c>
      <c r="K278" s="21" t="str">
        <f>IF('12 - Device_Configuration'!AA279="","",'12 - Device_Configuration'!AA279)</f>
        <v/>
      </c>
      <c r="L278" s="21" t="str">
        <f>IF('12 - Device_Configuration'!I279="","",'12 - Device_Configuration'!I279)</f>
        <v/>
      </c>
      <c r="M278" s="22"/>
      <c r="N278" s="21" t="str">
        <f>IF('12 - Device_Configuration'!J279="","",'12 - Device_Configuration'!J279)</f>
        <v/>
      </c>
      <c r="O278" s="21" t="str">
        <f>IF('12 - Device_Configuration'!K279="","",'12 - Device_Configuration'!K279)</f>
        <v/>
      </c>
      <c r="P278" s="21" t="str">
        <f>IF('12 - Device_Configuration'!L279="","",'12 - Device_Configuration'!L279)</f>
        <v/>
      </c>
      <c r="Q278" s="22"/>
      <c r="R278" s="21" t="str">
        <f>IF('12 - Device_Configuration'!AY279="","",'12 - Device_Configuration'!AY279)</f>
        <v/>
      </c>
      <c r="S278" s="21" t="str">
        <f>IF('12 - Device_Configuration'!AX279="","",'12 - Device_Configuration'!AX279)</f>
        <v/>
      </c>
      <c r="T278" s="21" t="str">
        <f>IF('12 - Device_Configuration'!AV279="","",'12 - Device_Configuration'!AV279)</f>
        <v/>
      </c>
      <c r="U278" s="21" t="str">
        <f>IF('12 - Device_Configuration'!AW279="","",'12 - Device_Configuration'!AW279)</f>
        <v/>
      </c>
      <c r="V278" s="21" t="str">
        <f>IF('12 - Device_Configuration'!BA279="","",'12 - Device_Configuration'!BA279)</f>
        <v/>
      </c>
      <c r="W278" s="21" t="str">
        <f>IF('12 - Device_Configuration'!BC279="","",'12 - Device_Configuration'!BC279)</f>
        <v/>
      </c>
      <c r="X278" s="21" t="str">
        <f>IF('12 - Device_Configuration'!BK279="","",'12 - Device_Configuration'!BK279)</f>
        <v/>
      </c>
      <c r="Y278" s="21" t="str">
        <f>IF('12 - Device_Configuration'!BB279="","",'12 - Device_Configuration'!BB279)</f>
        <v/>
      </c>
      <c r="Z278" s="21" t="str">
        <f>IF('12 - Device_Configuration'!P279="","",'12 - Device_Configuration'!P279)</f>
        <v/>
      </c>
      <c r="AA278" s="21" t="str">
        <f>IF('12 - Device_Configuration'!Q279="","",'12 - Device_Configuration'!Q279)</f>
        <v/>
      </c>
    </row>
    <row r="279" spans="1:27">
      <c r="A279" s="22"/>
      <c r="B279" s="22"/>
      <c r="C279" s="21" t="str">
        <f>IF('12 - Device_Configuration'!H280="","",'12 - Device_Configuration'!H280)</f>
        <v/>
      </c>
      <c r="D279" s="21" t="str">
        <f>IF('12 - Device_Configuration'!AE280="","",'12 - Device_Configuration'!AE280)</f>
        <v/>
      </c>
      <c r="E279" s="21" t="str">
        <f>IF('12 - Device_Configuration'!AF280="","",'12 - Device_Configuration'!AF280)</f>
        <v/>
      </c>
      <c r="F279" s="21" t="str">
        <f>IF('12 - Device_Configuration'!AG280="","",'12 - Device_Configuration'!AG280)</f>
        <v/>
      </c>
      <c r="G279" s="21" t="str">
        <f>IF('12 - Device_Configuration'!AH280="","",'12 - Device_Configuration'!AH280)</f>
        <v/>
      </c>
      <c r="H279" s="21" t="str">
        <f>IF('12 - Device_Configuration'!A280="","",'12 - Device_Configuration'!A280)</f>
        <v/>
      </c>
      <c r="I279" s="21" t="str">
        <f>IF('12 - Device_Configuration'!AI280="","",'12 - Device_Configuration'!AI280)</f>
        <v/>
      </c>
      <c r="J279" s="21" t="str">
        <f>IF('12 - Device_Configuration'!AJ280="","",'12 - Device_Configuration'!AJ280)</f>
        <v/>
      </c>
      <c r="K279" s="21" t="str">
        <f>IF('12 - Device_Configuration'!AA280="","",'12 - Device_Configuration'!AA280)</f>
        <v/>
      </c>
      <c r="L279" s="21" t="str">
        <f>IF('12 - Device_Configuration'!I280="","",'12 - Device_Configuration'!I280)</f>
        <v/>
      </c>
      <c r="M279" s="22"/>
      <c r="N279" s="21" t="str">
        <f>IF('12 - Device_Configuration'!J280="","",'12 - Device_Configuration'!J280)</f>
        <v/>
      </c>
      <c r="O279" s="21" t="str">
        <f>IF('12 - Device_Configuration'!K280="","",'12 - Device_Configuration'!K280)</f>
        <v/>
      </c>
      <c r="P279" s="21" t="str">
        <f>IF('12 - Device_Configuration'!L280="","",'12 - Device_Configuration'!L280)</f>
        <v/>
      </c>
      <c r="Q279" s="22"/>
      <c r="R279" s="21" t="str">
        <f>IF('12 - Device_Configuration'!AY280="","",'12 - Device_Configuration'!AY280)</f>
        <v/>
      </c>
      <c r="S279" s="21" t="str">
        <f>IF('12 - Device_Configuration'!AX280="","",'12 - Device_Configuration'!AX280)</f>
        <v/>
      </c>
      <c r="T279" s="21" t="str">
        <f>IF('12 - Device_Configuration'!AV280="","",'12 - Device_Configuration'!AV280)</f>
        <v/>
      </c>
      <c r="U279" s="21" t="str">
        <f>IF('12 - Device_Configuration'!AW280="","",'12 - Device_Configuration'!AW280)</f>
        <v/>
      </c>
      <c r="V279" s="21" t="str">
        <f>IF('12 - Device_Configuration'!BA280="","",'12 - Device_Configuration'!BA280)</f>
        <v/>
      </c>
      <c r="W279" s="21" t="str">
        <f>IF('12 - Device_Configuration'!BC280="","",'12 - Device_Configuration'!BC280)</f>
        <v/>
      </c>
      <c r="X279" s="21" t="str">
        <f>IF('12 - Device_Configuration'!BK280="","",'12 - Device_Configuration'!BK280)</f>
        <v/>
      </c>
      <c r="Y279" s="21" t="str">
        <f>IF('12 - Device_Configuration'!BB280="","",'12 - Device_Configuration'!BB280)</f>
        <v/>
      </c>
      <c r="Z279" s="21" t="str">
        <f>IF('12 - Device_Configuration'!P280="","",'12 - Device_Configuration'!P280)</f>
        <v/>
      </c>
      <c r="AA279" s="21" t="str">
        <f>IF('12 - Device_Configuration'!Q280="","",'12 - Device_Configuration'!Q280)</f>
        <v/>
      </c>
    </row>
    <row r="280" spans="1:27">
      <c r="A280" s="22"/>
      <c r="B280" s="22"/>
      <c r="C280" s="21" t="str">
        <f>IF('12 - Device_Configuration'!H281="","",'12 - Device_Configuration'!H281)</f>
        <v/>
      </c>
      <c r="D280" s="21" t="str">
        <f>IF('12 - Device_Configuration'!AE281="","",'12 - Device_Configuration'!AE281)</f>
        <v/>
      </c>
      <c r="E280" s="21" t="str">
        <f>IF('12 - Device_Configuration'!AF281="","",'12 - Device_Configuration'!AF281)</f>
        <v/>
      </c>
      <c r="F280" s="21" t="str">
        <f>IF('12 - Device_Configuration'!AG281="","",'12 - Device_Configuration'!AG281)</f>
        <v/>
      </c>
      <c r="G280" s="21" t="str">
        <f>IF('12 - Device_Configuration'!AH281="","",'12 - Device_Configuration'!AH281)</f>
        <v/>
      </c>
      <c r="H280" s="21" t="str">
        <f>IF('12 - Device_Configuration'!A281="","",'12 - Device_Configuration'!A281)</f>
        <v/>
      </c>
      <c r="I280" s="21" t="str">
        <f>IF('12 - Device_Configuration'!AI281="","",'12 - Device_Configuration'!AI281)</f>
        <v/>
      </c>
      <c r="J280" s="21" t="str">
        <f>IF('12 - Device_Configuration'!AJ281="","",'12 - Device_Configuration'!AJ281)</f>
        <v/>
      </c>
      <c r="K280" s="21" t="str">
        <f>IF('12 - Device_Configuration'!AA281="","",'12 - Device_Configuration'!AA281)</f>
        <v/>
      </c>
      <c r="L280" s="21" t="str">
        <f>IF('12 - Device_Configuration'!I281="","",'12 - Device_Configuration'!I281)</f>
        <v/>
      </c>
      <c r="M280" s="22"/>
      <c r="N280" s="21" t="str">
        <f>IF('12 - Device_Configuration'!J281="","",'12 - Device_Configuration'!J281)</f>
        <v/>
      </c>
      <c r="O280" s="21" t="str">
        <f>IF('12 - Device_Configuration'!K281="","",'12 - Device_Configuration'!K281)</f>
        <v/>
      </c>
      <c r="P280" s="21" t="str">
        <f>IF('12 - Device_Configuration'!L281="","",'12 - Device_Configuration'!L281)</f>
        <v/>
      </c>
      <c r="Q280" s="22"/>
      <c r="R280" s="21" t="str">
        <f>IF('12 - Device_Configuration'!AY281="","",'12 - Device_Configuration'!AY281)</f>
        <v/>
      </c>
      <c r="S280" s="21" t="str">
        <f>IF('12 - Device_Configuration'!AX281="","",'12 - Device_Configuration'!AX281)</f>
        <v/>
      </c>
      <c r="T280" s="21" t="str">
        <f>IF('12 - Device_Configuration'!AV281="","",'12 - Device_Configuration'!AV281)</f>
        <v/>
      </c>
      <c r="U280" s="21" t="str">
        <f>IF('12 - Device_Configuration'!AW281="","",'12 - Device_Configuration'!AW281)</f>
        <v/>
      </c>
      <c r="V280" s="21" t="str">
        <f>IF('12 - Device_Configuration'!BA281="","",'12 - Device_Configuration'!BA281)</f>
        <v/>
      </c>
      <c r="W280" s="21" t="str">
        <f>IF('12 - Device_Configuration'!BC281="","",'12 - Device_Configuration'!BC281)</f>
        <v/>
      </c>
      <c r="X280" s="21" t="str">
        <f>IF('12 - Device_Configuration'!BK281="","",'12 - Device_Configuration'!BK281)</f>
        <v/>
      </c>
      <c r="Y280" s="21" t="str">
        <f>IF('12 - Device_Configuration'!BB281="","",'12 - Device_Configuration'!BB281)</f>
        <v/>
      </c>
      <c r="Z280" s="21" t="str">
        <f>IF('12 - Device_Configuration'!P281="","",'12 - Device_Configuration'!P281)</f>
        <v/>
      </c>
      <c r="AA280" s="21" t="str">
        <f>IF('12 - Device_Configuration'!Q281="","",'12 - Device_Configuration'!Q281)</f>
        <v/>
      </c>
    </row>
    <row r="281" spans="1:27">
      <c r="A281" s="22"/>
      <c r="B281" s="22"/>
      <c r="C281" s="21" t="str">
        <f>IF('12 - Device_Configuration'!H282="","",'12 - Device_Configuration'!H282)</f>
        <v/>
      </c>
      <c r="D281" s="21" t="str">
        <f>IF('12 - Device_Configuration'!AE282="","",'12 - Device_Configuration'!AE282)</f>
        <v/>
      </c>
      <c r="E281" s="21" t="str">
        <f>IF('12 - Device_Configuration'!AF282="","",'12 - Device_Configuration'!AF282)</f>
        <v/>
      </c>
      <c r="F281" s="21" t="str">
        <f>IF('12 - Device_Configuration'!AG282="","",'12 - Device_Configuration'!AG282)</f>
        <v/>
      </c>
      <c r="G281" s="21" t="str">
        <f>IF('12 - Device_Configuration'!AH282="","",'12 - Device_Configuration'!AH282)</f>
        <v/>
      </c>
      <c r="H281" s="21" t="str">
        <f>IF('12 - Device_Configuration'!A282="","",'12 - Device_Configuration'!A282)</f>
        <v/>
      </c>
      <c r="I281" s="21" t="str">
        <f>IF('12 - Device_Configuration'!AI282="","",'12 - Device_Configuration'!AI282)</f>
        <v/>
      </c>
      <c r="J281" s="21" t="str">
        <f>IF('12 - Device_Configuration'!AJ282="","",'12 - Device_Configuration'!AJ282)</f>
        <v/>
      </c>
      <c r="K281" s="21" t="str">
        <f>IF('12 - Device_Configuration'!AA282="","",'12 - Device_Configuration'!AA282)</f>
        <v/>
      </c>
      <c r="L281" s="21" t="str">
        <f>IF('12 - Device_Configuration'!I282="","",'12 - Device_Configuration'!I282)</f>
        <v/>
      </c>
      <c r="M281" s="22"/>
      <c r="N281" s="21" t="str">
        <f>IF('12 - Device_Configuration'!J282="","",'12 - Device_Configuration'!J282)</f>
        <v/>
      </c>
      <c r="O281" s="21" t="str">
        <f>IF('12 - Device_Configuration'!K282="","",'12 - Device_Configuration'!K282)</f>
        <v/>
      </c>
      <c r="P281" s="21" t="str">
        <f>IF('12 - Device_Configuration'!L282="","",'12 - Device_Configuration'!L282)</f>
        <v/>
      </c>
      <c r="Q281" s="22"/>
      <c r="R281" s="21" t="str">
        <f>IF('12 - Device_Configuration'!AY282="","",'12 - Device_Configuration'!AY282)</f>
        <v/>
      </c>
      <c r="S281" s="21" t="str">
        <f>IF('12 - Device_Configuration'!AX282="","",'12 - Device_Configuration'!AX282)</f>
        <v/>
      </c>
      <c r="T281" s="21" t="str">
        <f>IF('12 - Device_Configuration'!AV282="","",'12 - Device_Configuration'!AV282)</f>
        <v/>
      </c>
      <c r="U281" s="21" t="str">
        <f>IF('12 - Device_Configuration'!AW282="","",'12 - Device_Configuration'!AW282)</f>
        <v/>
      </c>
      <c r="V281" s="21" t="str">
        <f>IF('12 - Device_Configuration'!BA282="","",'12 - Device_Configuration'!BA282)</f>
        <v/>
      </c>
      <c r="W281" s="21" t="str">
        <f>IF('12 - Device_Configuration'!BC282="","",'12 - Device_Configuration'!BC282)</f>
        <v/>
      </c>
      <c r="X281" s="21" t="str">
        <f>IF('12 - Device_Configuration'!BK282="","",'12 - Device_Configuration'!BK282)</f>
        <v/>
      </c>
      <c r="Y281" s="21" t="str">
        <f>IF('12 - Device_Configuration'!BB282="","",'12 - Device_Configuration'!BB282)</f>
        <v/>
      </c>
      <c r="Z281" s="21" t="str">
        <f>IF('12 - Device_Configuration'!P282="","",'12 - Device_Configuration'!P282)</f>
        <v/>
      </c>
      <c r="AA281" s="21" t="str">
        <f>IF('12 - Device_Configuration'!Q282="","",'12 - Device_Configuration'!Q282)</f>
        <v/>
      </c>
    </row>
    <row r="282" spans="1:27">
      <c r="A282" s="22"/>
      <c r="B282" s="22"/>
      <c r="C282" s="21" t="str">
        <f>IF('12 - Device_Configuration'!H283="","",'12 - Device_Configuration'!H283)</f>
        <v/>
      </c>
      <c r="D282" s="21" t="str">
        <f>IF('12 - Device_Configuration'!AE283="","",'12 - Device_Configuration'!AE283)</f>
        <v/>
      </c>
      <c r="E282" s="21" t="str">
        <f>IF('12 - Device_Configuration'!AF283="","",'12 - Device_Configuration'!AF283)</f>
        <v/>
      </c>
      <c r="F282" s="21" t="str">
        <f>IF('12 - Device_Configuration'!AG283="","",'12 - Device_Configuration'!AG283)</f>
        <v/>
      </c>
      <c r="G282" s="21" t="str">
        <f>IF('12 - Device_Configuration'!AH283="","",'12 - Device_Configuration'!AH283)</f>
        <v/>
      </c>
      <c r="H282" s="21" t="str">
        <f>IF('12 - Device_Configuration'!A283="","",'12 - Device_Configuration'!A283)</f>
        <v/>
      </c>
      <c r="I282" s="21" t="str">
        <f>IF('12 - Device_Configuration'!AI283="","",'12 - Device_Configuration'!AI283)</f>
        <v/>
      </c>
      <c r="J282" s="21" t="str">
        <f>IF('12 - Device_Configuration'!AJ283="","",'12 - Device_Configuration'!AJ283)</f>
        <v/>
      </c>
      <c r="K282" s="21" t="str">
        <f>IF('12 - Device_Configuration'!AA283="","",'12 - Device_Configuration'!AA283)</f>
        <v/>
      </c>
      <c r="L282" s="21" t="str">
        <f>IF('12 - Device_Configuration'!I283="","",'12 - Device_Configuration'!I283)</f>
        <v/>
      </c>
      <c r="M282" s="22"/>
      <c r="N282" s="21" t="str">
        <f>IF('12 - Device_Configuration'!J283="","",'12 - Device_Configuration'!J283)</f>
        <v/>
      </c>
      <c r="O282" s="21" t="str">
        <f>IF('12 - Device_Configuration'!K283="","",'12 - Device_Configuration'!K283)</f>
        <v/>
      </c>
      <c r="P282" s="21" t="str">
        <f>IF('12 - Device_Configuration'!L283="","",'12 - Device_Configuration'!L283)</f>
        <v/>
      </c>
      <c r="Q282" s="22"/>
      <c r="R282" s="21" t="str">
        <f>IF('12 - Device_Configuration'!AY283="","",'12 - Device_Configuration'!AY283)</f>
        <v/>
      </c>
      <c r="S282" s="21" t="str">
        <f>IF('12 - Device_Configuration'!AX283="","",'12 - Device_Configuration'!AX283)</f>
        <v/>
      </c>
      <c r="T282" s="21" t="str">
        <f>IF('12 - Device_Configuration'!AV283="","",'12 - Device_Configuration'!AV283)</f>
        <v/>
      </c>
      <c r="U282" s="21" t="str">
        <f>IF('12 - Device_Configuration'!AW283="","",'12 - Device_Configuration'!AW283)</f>
        <v/>
      </c>
      <c r="V282" s="21" t="str">
        <f>IF('12 - Device_Configuration'!BA283="","",'12 - Device_Configuration'!BA283)</f>
        <v/>
      </c>
      <c r="W282" s="21" t="str">
        <f>IF('12 - Device_Configuration'!BC283="","",'12 - Device_Configuration'!BC283)</f>
        <v/>
      </c>
      <c r="X282" s="21" t="str">
        <f>IF('12 - Device_Configuration'!BK283="","",'12 - Device_Configuration'!BK283)</f>
        <v/>
      </c>
      <c r="Y282" s="21" t="str">
        <f>IF('12 - Device_Configuration'!BB283="","",'12 - Device_Configuration'!BB283)</f>
        <v/>
      </c>
      <c r="Z282" s="21" t="str">
        <f>IF('12 - Device_Configuration'!P283="","",'12 - Device_Configuration'!P283)</f>
        <v/>
      </c>
      <c r="AA282" s="21" t="str">
        <f>IF('12 - Device_Configuration'!Q283="","",'12 - Device_Configuration'!Q283)</f>
        <v/>
      </c>
    </row>
    <row r="283" spans="1:27">
      <c r="A283" s="22"/>
      <c r="B283" s="22"/>
      <c r="C283" s="21" t="str">
        <f>IF('12 - Device_Configuration'!H284="","",'12 - Device_Configuration'!H284)</f>
        <v/>
      </c>
      <c r="D283" s="21" t="str">
        <f>IF('12 - Device_Configuration'!AE284="","",'12 - Device_Configuration'!AE284)</f>
        <v/>
      </c>
      <c r="E283" s="21" t="str">
        <f>IF('12 - Device_Configuration'!AF284="","",'12 - Device_Configuration'!AF284)</f>
        <v/>
      </c>
      <c r="F283" s="21" t="str">
        <f>IF('12 - Device_Configuration'!AG284="","",'12 - Device_Configuration'!AG284)</f>
        <v/>
      </c>
      <c r="G283" s="21" t="str">
        <f>IF('12 - Device_Configuration'!AH284="","",'12 - Device_Configuration'!AH284)</f>
        <v/>
      </c>
      <c r="H283" s="21" t="str">
        <f>IF('12 - Device_Configuration'!A284="","",'12 - Device_Configuration'!A284)</f>
        <v/>
      </c>
      <c r="I283" s="21" t="str">
        <f>IF('12 - Device_Configuration'!AI284="","",'12 - Device_Configuration'!AI284)</f>
        <v/>
      </c>
      <c r="J283" s="21" t="str">
        <f>IF('12 - Device_Configuration'!AJ284="","",'12 - Device_Configuration'!AJ284)</f>
        <v/>
      </c>
      <c r="K283" s="21" t="str">
        <f>IF('12 - Device_Configuration'!AA284="","",'12 - Device_Configuration'!AA284)</f>
        <v/>
      </c>
      <c r="L283" s="21" t="str">
        <f>IF('12 - Device_Configuration'!I284="","",'12 - Device_Configuration'!I284)</f>
        <v/>
      </c>
      <c r="M283" s="22"/>
      <c r="N283" s="21" t="str">
        <f>IF('12 - Device_Configuration'!J284="","",'12 - Device_Configuration'!J284)</f>
        <v/>
      </c>
      <c r="O283" s="21" t="str">
        <f>IF('12 - Device_Configuration'!K284="","",'12 - Device_Configuration'!K284)</f>
        <v/>
      </c>
      <c r="P283" s="21" t="str">
        <f>IF('12 - Device_Configuration'!L284="","",'12 - Device_Configuration'!L284)</f>
        <v/>
      </c>
      <c r="Q283" s="22"/>
      <c r="R283" s="21" t="str">
        <f>IF('12 - Device_Configuration'!AY284="","",'12 - Device_Configuration'!AY284)</f>
        <v/>
      </c>
      <c r="S283" s="21" t="str">
        <f>IF('12 - Device_Configuration'!AX284="","",'12 - Device_Configuration'!AX284)</f>
        <v/>
      </c>
      <c r="T283" s="21" t="str">
        <f>IF('12 - Device_Configuration'!AV284="","",'12 - Device_Configuration'!AV284)</f>
        <v/>
      </c>
      <c r="U283" s="21" t="str">
        <f>IF('12 - Device_Configuration'!AW284="","",'12 - Device_Configuration'!AW284)</f>
        <v/>
      </c>
      <c r="V283" s="21" t="str">
        <f>IF('12 - Device_Configuration'!BA284="","",'12 - Device_Configuration'!BA284)</f>
        <v/>
      </c>
      <c r="W283" s="21" t="str">
        <f>IF('12 - Device_Configuration'!BC284="","",'12 - Device_Configuration'!BC284)</f>
        <v/>
      </c>
      <c r="X283" s="21" t="str">
        <f>IF('12 - Device_Configuration'!BK284="","",'12 - Device_Configuration'!BK284)</f>
        <v/>
      </c>
      <c r="Y283" s="21" t="str">
        <f>IF('12 - Device_Configuration'!BB284="","",'12 - Device_Configuration'!BB284)</f>
        <v/>
      </c>
      <c r="Z283" s="21" t="str">
        <f>IF('12 - Device_Configuration'!P284="","",'12 - Device_Configuration'!P284)</f>
        <v/>
      </c>
      <c r="AA283" s="21" t="str">
        <f>IF('12 - Device_Configuration'!Q284="","",'12 - Device_Configuration'!Q284)</f>
        <v/>
      </c>
    </row>
    <row r="284" spans="1:27">
      <c r="A284" s="22"/>
      <c r="B284" s="22"/>
      <c r="C284" s="21" t="str">
        <f>IF('12 - Device_Configuration'!H285="","",'12 - Device_Configuration'!H285)</f>
        <v/>
      </c>
      <c r="D284" s="21" t="str">
        <f>IF('12 - Device_Configuration'!AE285="","",'12 - Device_Configuration'!AE285)</f>
        <v/>
      </c>
      <c r="E284" s="21" t="str">
        <f>IF('12 - Device_Configuration'!AF285="","",'12 - Device_Configuration'!AF285)</f>
        <v/>
      </c>
      <c r="F284" s="21" t="str">
        <f>IF('12 - Device_Configuration'!AG285="","",'12 - Device_Configuration'!AG285)</f>
        <v/>
      </c>
      <c r="G284" s="21" t="str">
        <f>IF('12 - Device_Configuration'!AH285="","",'12 - Device_Configuration'!AH285)</f>
        <v/>
      </c>
      <c r="H284" s="21" t="str">
        <f>IF('12 - Device_Configuration'!A285="","",'12 - Device_Configuration'!A285)</f>
        <v/>
      </c>
      <c r="I284" s="21" t="str">
        <f>IF('12 - Device_Configuration'!AI285="","",'12 - Device_Configuration'!AI285)</f>
        <v/>
      </c>
      <c r="J284" s="21" t="str">
        <f>IF('12 - Device_Configuration'!AJ285="","",'12 - Device_Configuration'!AJ285)</f>
        <v/>
      </c>
      <c r="K284" s="21" t="str">
        <f>IF('12 - Device_Configuration'!AA285="","",'12 - Device_Configuration'!AA285)</f>
        <v/>
      </c>
      <c r="L284" s="21" t="str">
        <f>IF('12 - Device_Configuration'!I285="","",'12 - Device_Configuration'!I285)</f>
        <v/>
      </c>
      <c r="M284" s="22"/>
      <c r="N284" s="21" t="str">
        <f>IF('12 - Device_Configuration'!J285="","",'12 - Device_Configuration'!J285)</f>
        <v/>
      </c>
      <c r="O284" s="21" t="str">
        <f>IF('12 - Device_Configuration'!K285="","",'12 - Device_Configuration'!K285)</f>
        <v/>
      </c>
      <c r="P284" s="21" t="str">
        <f>IF('12 - Device_Configuration'!L285="","",'12 - Device_Configuration'!L285)</f>
        <v/>
      </c>
      <c r="Q284" s="22"/>
      <c r="R284" s="21" t="str">
        <f>IF('12 - Device_Configuration'!AY285="","",'12 - Device_Configuration'!AY285)</f>
        <v/>
      </c>
      <c r="S284" s="21" t="str">
        <f>IF('12 - Device_Configuration'!AX285="","",'12 - Device_Configuration'!AX285)</f>
        <v/>
      </c>
      <c r="T284" s="21" t="str">
        <f>IF('12 - Device_Configuration'!AV285="","",'12 - Device_Configuration'!AV285)</f>
        <v/>
      </c>
      <c r="U284" s="21" t="str">
        <f>IF('12 - Device_Configuration'!AW285="","",'12 - Device_Configuration'!AW285)</f>
        <v/>
      </c>
      <c r="V284" s="21" t="str">
        <f>IF('12 - Device_Configuration'!BA285="","",'12 - Device_Configuration'!BA285)</f>
        <v/>
      </c>
      <c r="W284" s="21" t="str">
        <f>IF('12 - Device_Configuration'!BC285="","",'12 - Device_Configuration'!BC285)</f>
        <v/>
      </c>
      <c r="X284" s="21" t="str">
        <f>IF('12 - Device_Configuration'!BK285="","",'12 - Device_Configuration'!BK285)</f>
        <v/>
      </c>
      <c r="Y284" s="21" t="str">
        <f>IF('12 - Device_Configuration'!BB285="","",'12 - Device_Configuration'!BB285)</f>
        <v/>
      </c>
      <c r="Z284" s="21" t="str">
        <f>IF('12 - Device_Configuration'!P285="","",'12 - Device_Configuration'!P285)</f>
        <v/>
      </c>
      <c r="AA284" s="21" t="str">
        <f>IF('12 - Device_Configuration'!Q285="","",'12 - Device_Configuration'!Q285)</f>
        <v/>
      </c>
    </row>
    <row r="285" spans="1:27">
      <c r="A285" s="22"/>
      <c r="B285" s="22"/>
      <c r="C285" s="21" t="str">
        <f>IF('12 - Device_Configuration'!H286="","",'12 - Device_Configuration'!H286)</f>
        <v/>
      </c>
      <c r="D285" s="21" t="str">
        <f>IF('12 - Device_Configuration'!AE286="","",'12 - Device_Configuration'!AE286)</f>
        <v/>
      </c>
      <c r="E285" s="21" t="str">
        <f>IF('12 - Device_Configuration'!AF286="","",'12 - Device_Configuration'!AF286)</f>
        <v/>
      </c>
      <c r="F285" s="21" t="str">
        <f>IF('12 - Device_Configuration'!AG286="","",'12 - Device_Configuration'!AG286)</f>
        <v/>
      </c>
      <c r="G285" s="21" t="str">
        <f>IF('12 - Device_Configuration'!AH286="","",'12 - Device_Configuration'!AH286)</f>
        <v/>
      </c>
      <c r="H285" s="21" t="str">
        <f>IF('12 - Device_Configuration'!A286="","",'12 - Device_Configuration'!A286)</f>
        <v/>
      </c>
      <c r="I285" s="21" t="str">
        <f>IF('12 - Device_Configuration'!AI286="","",'12 - Device_Configuration'!AI286)</f>
        <v/>
      </c>
      <c r="J285" s="21" t="str">
        <f>IF('12 - Device_Configuration'!AJ286="","",'12 - Device_Configuration'!AJ286)</f>
        <v/>
      </c>
      <c r="K285" s="21" t="str">
        <f>IF('12 - Device_Configuration'!AA286="","",'12 - Device_Configuration'!AA286)</f>
        <v/>
      </c>
      <c r="L285" s="21" t="str">
        <f>IF('12 - Device_Configuration'!I286="","",'12 - Device_Configuration'!I286)</f>
        <v/>
      </c>
      <c r="M285" s="22"/>
      <c r="N285" s="21" t="str">
        <f>IF('12 - Device_Configuration'!J286="","",'12 - Device_Configuration'!J286)</f>
        <v/>
      </c>
      <c r="O285" s="21" t="str">
        <f>IF('12 - Device_Configuration'!K286="","",'12 - Device_Configuration'!K286)</f>
        <v/>
      </c>
      <c r="P285" s="21" t="str">
        <f>IF('12 - Device_Configuration'!L286="","",'12 - Device_Configuration'!L286)</f>
        <v/>
      </c>
      <c r="Q285" s="22"/>
      <c r="R285" s="21" t="str">
        <f>IF('12 - Device_Configuration'!AY286="","",'12 - Device_Configuration'!AY286)</f>
        <v/>
      </c>
      <c r="S285" s="21" t="str">
        <f>IF('12 - Device_Configuration'!AX286="","",'12 - Device_Configuration'!AX286)</f>
        <v/>
      </c>
      <c r="T285" s="21" t="str">
        <f>IF('12 - Device_Configuration'!AV286="","",'12 - Device_Configuration'!AV286)</f>
        <v/>
      </c>
      <c r="U285" s="21" t="str">
        <f>IF('12 - Device_Configuration'!AW286="","",'12 - Device_Configuration'!AW286)</f>
        <v/>
      </c>
      <c r="V285" s="21" t="str">
        <f>IF('12 - Device_Configuration'!BA286="","",'12 - Device_Configuration'!BA286)</f>
        <v/>
      </c>
      <c r="W285" s="21" t="str">
        <f>IF('12 - Device_Configuration'!BC286="","",'12 - Device_Configuration'!BC286)</f>
        <v/>
      </c>
      <c r="X285" s="21" t="str">
        <f>IF('12 - Device_Configuration'!BK286="","",'12 - Device_Configuration'!BK286)</f>
        <v/>
      </c>
      <c r="Y285" s="21" t="str">
        <f>IF('12 - Device_Configuration'!BB286="","",'12 - Device_Configuration'!BB286)</f>
        <v/>
      </c>
      <c r="Z285" s="21" t="str">
        <f>IF('12 - Device_Configuration'!P286="","",'12 - Device_Configuration'!P286)</f>
        <v/>
      </c>
      <c r="AA285" s="21" t="str">
        <f>IF('12 - Device_Configuration'!Q286="","",'12 - Device_Configuration'!Q286)</f>
        <v/>
      </c>
    </row>
    <row r="286" spans="1:27">
      <c r="A286" s="22"/>
      <c r="B286" s="22"/>
      <c r="C286" s="21" t="str">
        <f>IF('12 - Device_Configuration'!H287="","",'12 - Device_Configuration'!H287)</f>
        <v/>
      </c>
      <c r="D286" s="21" t="str">
        <f>IF('12 - Device_Configuration'!AE287="","",'12 - Device_Configuration'!AE287)</f>
        <v/>
      </c>
      <c r="E286" s="21" t="str">
        <f>IF('12 - Device_Configuration'!AF287="","",'12 - Device_Configuration'!AF287)</f>
        <v/>
      </c>
      <c r="F286" s="21" t="str">
        <f>IF('12 - Device_Configuration'!AG287="","",'12 - Device_Configuration'!AG287)</f>
        <v/>
      </c>
      <c r="G286" s="21" t="str">
        <f>IF('12 - Device_Configuration'!AH287="","",'12 - Device_Configuration'!AH287)</f>
        <v/>
      </c>
      <c r="H286" s="21" t="str">
        <f>IF('12 - Device_Configuration'!A287="","",'12 - Device_Configuration'!A287)</f>
        <v/>
      </c>
      <c r="I286" s="21" t="str">
        <f>IF('12 - Device_Configuration'!AI287="","",'12 - Device_Configuration'!AI287)</f>
        <v/>
      </c>
      <c r="J286" s="21" t="str">
        <f>IF('12 - Device_Configuration'!AJ287="","",'12 - Device_Configuration'!AJ287)</f>
        <v/>
      </c>
      <c r="K286" s="21" t="str">
        <f>IF('12 - Device_Configuration'!AA287="","",'12 - Device_Configuration'!AA287)</f>
        <v/>
      </c>
      <c r="L286" s="21" t="str">
        <f>IF('12 - Device_Configuration'!I287="","",'12 - Device_Configuration'!I287)</f>
        <v/>
      </c>
      <c r="M286" s="22"/>
      <c r="N286" s="21" t="str">
        <f>IF('12 - Device_Configuration'!J287="","",'12 - Device_Configuration'!J287)</f>
        <v/>
      </c>
      <c r="O286" s="21" t="str">
        <f>IF('12 - Device_Configuration'!K287="","",'12 - Device_Configuration'!K287)</f>
        <v/>
      </c>
      <c r="P286" s="21" t="str">
        <f>IF('12 - Device_Configuration'!L287="","",'12 - Device_Configuration'!L287)</f>
        <v/>
      </c>
      <c r="Q286" s="22"/>
      <c r="R286" s="21" t="str">
        <f>IF('12 - Device_Configuration'!AY287="","",'12 - Device_Configuration'!AY287)</f>
        <v/>
      </c>
      <c r="S286" s="21" t="str">
        <f>IF('12 - Device_Configuration'!AX287="","",'12 - Device_Configuration'!AX287)</f>
        <v/>
      </c>
      <c r="T286" s="21" t="str">
        <f>IF('12 - Device_Configuration'!AV287="","",'12 - Device_Configuration'!AV287)</f>
        <v/>
      </c>
      <c r="U286" s="21" t="str">
        <f>IF('12 - Device_Configuration'!AW287="","",'12 - Device_Configuration'!AW287)</f>
        <v/>
      </c>
      <c r="V286" s="21" t="str">
        <f>IF('12 - Device_Configuration'!BA287="","",'12 - Device_Configuration'!BA287)</f>
        <v/>
      </c>
      <c r="W286" s="21" t="str">
        <f>IF('12 - Device_Configuration'!BC287="","",'12 - Device_Configuration'!BC287)</f>
        <v/>
      </c>
      <c r="X286" s="21" t="str">
        <f>IF('12 - Device_Configuration'!BK287="","",'12 - Device_Configuration'!BK287)</f>
        <v/>
      </c>
      <c r="Y286" s="21" t="str">
        <f>IF('12 - Device_Configuration'!BB287="","",'12 - Device_Configuration'!BB287)</f>
        <v/>
      </c>
      <c r="Z286" s="21" t="str">
        <f>IF('12 - Device_Configuration'!P287="","",'12 - Device_Configuration'!P287)</f>
        <v/>
      </c>
      <c r="AA286" s="21" t="str">
        <f>IF('12 - Device_Configuration'!Q287="","",'12 - Device_Configuration'!Q287)</f>
        <v/>
      </c>
    </row>
    <row r="287" spans="1:27">
      <c r="A287" s="22"/>
      <c r="B287" s="22"/>
      <c r="C287" s="21" t="str">
        <f>IF('12 - Device_Configuration'!H288="","",'12 - Device_Configuration'!H288)</f>
        <v/>
      </c>
      <c r="D287" s="21" t="str">
        <f>IF('12 - Device_Configuration'!AE288="","",'12 - Device_Configuration'!AE288)</f>
        <v/>
      </c>
      <c r="E287" s="21" t="str">
        <f>IF('12 - Device_Configuration'!AF288="","",'12 - Device_Configuration'!AF288)</f>
        <v/>
      </c>
      <c r="F287" s="21" t="str">
        <f>IF('12 - Device_Configuration'!AG288="","",'12 - Device_Configuration'!AG288)</f>
        <v/>
      </c>
      <c r="G287" s="21" t="str">
        <f>IF('12 - Device_Configuration'!AH288="","",'12 - Device_Configuration'!AH288)</f>
        <v/>
      </c>
      <c r="H287" s="21" t="str">
        <f>IF('12 - Device_Configuration'!A288="","",'12 - Device_Configuration'!A288)</f>
        <v/>
      </c>
      <c r="I287" s="21" t="str">
        <f>IF('12 - Device_Configuration'!AI288="","",'12 - Device_Configuration'!AI288)</f>
        <v/>
      </c>
      <c r="J287" s="21" t="str">
        <f>IF('12 - Device_Configuration'!AJ288="","",'12 - Device_Configuration'!AJ288)</f>
        <v/>
      </c>
      <c r="K287" s="21" t="str">
        <f>IF('12 - Device_Configuration'!AA288="","",'12 - Device_Configuration'!AA288)</f>
        <v/>
      </c>
      <c r="L287" s="21" t="str">
        <f>IF('12 - Device_Configuration'!I288="","",'12 - Device_Configuration'!I288)</f>
        <v/>
      </c>
      <c r="M287" s="22"/>
      <c r="N287" s="21" t="str">
        <f>IF('12 - Device_Configuration'!J288="","",'12 - Device_Configuration'!J288)</f>
        <v/>
      </c>
      <c r="O287" s="21" t="str">
        <f>IF('12 - Device_Configuration'!K288="","",'12 - Device_Configuration'!K288)</f>
        <v/>
      </c>
      <c r="P287" s="21" t="str">
        <f>IF('12 - Device_Configuration'!L288="","",'12 - Device_Configuration'!L288)</f>
        <v/>
      </c>
      <c r="Q287" s="22"/>
      <c r="R287" s="21" t="str">
        <f>IF('12 - Device_Configuration'!AY288="","",'12 - Device_Configuration'!AY288)</f>
        <v/>
      </c>
      <c r="S287" s="21" t="str">
        <f>IF('12 - Device_Configuration'!AX288="","",'12 - Device_Configuration'!AX288)</f>
        <v/>
      </c>
      <c r="T287" s="21" t="str">
        <f>IF('12 - Device_Configuration'!AV288="","",'12 - Device_Configuration'!AV288)</f>
        <v/>
      </c>
      <c r="U287" s="21" t="str">
        <f>IF('12 - Device_Configuration'!AW288="","",'12 - Device_Configuration'!AW288)</f>
        <v/>
      </c>
      <c r="V287" s="21" t="str">
        <f>IF('12 - Device_Configuration'!BA288="","",'12 - Device_Configuration'!BA288)</f>
        <v/>
      </c>
      <c r="W287" s="21" t="str">
        <f>IF('12 - Device_Configuration'!BC288="","",'12 - Device_Configuration'!BC288)</f>
        <v/>
      </c>
      <c r="X287" s="21" t="str">
        <f>IF('12 - Device_Configuration'!BK288="","",'12 - Device_Configuration'!BK288)</f>
        <v/>
      </c>
      <c r="Y287" s="21" t="str">
        <f>IF('12 - Device_Configuration'!BB288="","",'12 - Device_Configuration'!BB288)</f>
        <v/>
      </c>
      <c r="Z287" s="21" t="str">
        <f>IF('12 - Device_Configuration'!P288="","",'12 - Device_Configuration'!P288)</f>
        <v/>
      </c>
      <c r="AA287" s="21" t="str">
        <f>IF('12 - Device_Configuration'!Q288="","",'12 - Device_Configuration'!Q288)</f>
        <v/>
      </c>
    </row>
    <row r="288" spans="1:27">
      <c r="A288" s="22"/>
      <c r="B288" s="22"/>
      <c r="C288" s="21" t="str">
        <f>IF('12 - Device_Configuration'!H289="","",'12 - Device_Configuration'!H289)</f>
        <v/>
      </c>
      <c r="D288" s="21" t="str">
        <f>IF('12 - Device_Configuration'!AE289="","",'12 - Device_Configuration'!AE289)</f>
        <v/>
      </c>
      <c r="E288" s="21" t="str">
        <f>IF('12 - Device_Configuration'!AF289="","",'12 - Device_Configuration'!AF289)</f>
        <v/>
      </c>
      <c r="F288" s="21" t="str">
        <f>IF('12 - Device_Configuration'!AG289="","",'12 - Device_Configuration'!AG289)</f>
        <v/>
      </c>
      <c r="G288" s="21" t="str">
        <f>IF('12 - Device_Configuration'!AH289="","",'12 - Device_Configuration'!AH289)</f>
        <v/>
      </c>
      <c r="H288" s="21" t="str">
        <f>IF('12 - Device_Configuration'!A289="","",'12 - Device_Configuration'!A289)</f>
        <v/>
      </c>
      <c r="I288" s="21" t="str">
        <f>IF('12 - Device_Configuration'!AI289="","",'12 - Device_Configuration'!AI289)</f>
        <v/>
      </c>
      <c r="J288" s="21" t="str">
        <f>IF('12 - Device_Configuration'!AJ289="","",'12 - Device_Configuration'!AJ289)</f>
        <v/>
      </c>
      <c r="K288" s="21" t="str">
        <f>IF('12 - Device_Configuration'!AA289="","",'12 - Device_Configuration'!AA289)</f>
        <v/>
      </c>
      <c r="L288" s="21" t="str">
        <f>IF('12 - Device_Configuration'!I289="","",'12 - Device_Configuration'!I289)</f>
        <v/>
      </c>
      <c r="M288" s="22"/>
      <c r="N288" s="21" t="str">
        <f>IF('12 - Device_Configuration'!J289="","",'12 - Device_Configuration'!J289)</f>
        <v/>
      </c>
      <c r="O288" s="21" t="str">
        <f>IF('12 - Device_Configuration'!K289="","",'12 - Device_Configuration'!K289)</f>
        <v/>
      </c>
      <c r="P288" s="21" t="str">
        <f>IF('12 - Device_Configuration'!L289="","",'12 - Device_Configuration'!L289)</f>
        <v/>
      </c>
      <c r="Q288" s="22"/>
      <c r="R288" s="21" t="str">
        <f>IF('12 - Device_Configuration'!AY289="","",'12 - Device_Configuration'!AY289)</f>
        <v/>
      </c>
      <c r="S288" s="21" t="str">
        <f>IF('12 - Device_Configuration'!AX289="","",'12 - Device_Configuration'!AX289)</f>
        <v/>
      </c>
      <c r="T288" s="21" t="str">
        <f>IF('12 - Device_Configuration'!AV289="","",'12 - Device_Configuration'!AV289)</f>
        <v/>
      </c>
      <c r="U288" s="21" t="str">
        <f>IF('12 - Device_Configuration'!AW289="","",'12 - Device_Configuration'!AW289)</f>
        <v/>
      </c>
      <c r="V288" s="21" t="str">
        <f>IF('12 - Device_Configuration'!BA289="","",'12 - Device_Configuration'!BA289)</f>
        <v/>
      </c>
      <c r="W288" s="21" t="str">
        <f>IF('12 - Device_Configuration'!BC289="","",'12 - Device_Configuration'!BC289)</f>
        <v/>
      </c>
      <c r="X288" s="21" t="str">
        <f>IF('12 - Device_Configuration'!BK289="","",'12 - Device_Configuration'!BK289)</f>
        <v/>
      </c>
      <c r="Y288" s="21" t="str">
        <f>IF('12 - Device_Configuration'!BB289="","",'12 - Device_Configuration'!BB289)</f>
        <v/>
      </c>
      <c r="Z288" s="21" t="str">
        <f>IF('12 - Device_Configuration'!P289="","",'12 - Device_Configuration'!P289)</f>
        <v/>
      </c>
      <c r="AA288" s="21" t="str">
        <f>IF('12 - Device_Configuration'!Q289="","",'12 - Device_Configuration'!Q289)</f>
        <v/>
      </c>
    </row>
    <row r="289" spans="1:27">
      <c r="A289" s="22"/>
      <c r="B289" s="22"/>
      <c r="C289" s="21" t="str">
        <f>IF('12 - Device_Configuration'!H290="","",'12 - Device_Configuration'!H290)</f>
        <v/>
      </c>
      <c r="D289" s="21" t="str">
        <f>IF('12 - Device_Configuration'!AE290="","",'12 - Device_Configuration'!AE290)</f>
        <v/>
      </c>
      <c r="E289" s="21" t="str">
        <f>IF('12 - Device_Configuration'!AF290="","",'12 - Device_Configuration'!AF290)</f>
        <v/>
      </c>
      <c r="F289" s="21" t="str">
        <f>IF('12 - Device_Configuration'!AG290="","",'12 - Device_Configuration'!AG290)</f>
        <v/>
      </c>
      <c r="G289" s="21" t="str">
        <f>IF('12 - Device_Configuration'!AH290="","",'12 - Device_Configuration'!AH290)</f>
        <v/>
      </c>
      <c r="H289" s="21" t="str">
        <f>IF('12 - Device_Configuration'!A290="","",'12 - Device_Configuration'!A290)</f>
        <v/>
      </c>
      <c r="I289" s="21" t="str">
        <f>IF('12 - Device_Configuration'!AI290="","",'12 - Device_Configuration'!AI290)</f>
        <v/>
      </c>
      <c r="J289" s="21" t="str">
        <f>IF('12 - Device_Configuration'!AJ290="","",'12 - Device_Configuration'!AJ290)</f>
        <v/>
      </c>
      <c r="K289" s="21" t="str">
        <f>IF('12 - Device_Configuration'!AA290="","",'12 - Device_Configuration'!AA290)</f>
        <v/>
      </c>
      <c r="L289" s="21" t="str">
        <f>IF('12 - Device_Configuration'!I290="","",'12 - Device_Configuration'!I290)</f>
        <v/>
      </c>
      <c r="M289" s="22"/>
      <c r="N289" s="21" t="str">
        <f>IF('12 - Device_Configuration'!J290="","",'12 - Device_Configuration'!J290)</f>
        <v/>
      </c>
      <c r="O289" s="21" t="str">
        <f>IF('12 - Device_Configuration'!K290="","",'12 - Device_Configuration'!K290)</f>
        <v/>
      </c>
      <c r="P289" s="21" t="str">
        <f>IF('12 - Device_Configuration'!L290="","",'12 - Device_Configuration'!L290)</f>
        <v/>
      </c>
      <c r="Q289" s="22"/>
      <c r="R289" s="21" t="str">
        <f>IF('12 - Device_Configuration'!AY290="","",'12 - Device_Configuration'!AY290)</f>
        <v/>
      </c>
      <c r="S289" s="21" t="str">
        <f>IF('12 - Device_Configuration'!AX290="","",'12 - Device_Configuration'!AX290)</f>
        <v/>
      </c>
      <c r="T289" s="21" t="str">
        <f>IF('12 - Device_Configuration'!AV290="","",'12 - Device_Configuration'!AV290)</f>
        <v/>
      </c>
      <c r="U289" s="21" t="str">
        <f>IF('12 - Device_Configuration'!AW290="","",'12 - Device_Configuration'!AW290)</f>
        <v/>
      </c>
      <c r="V289" s="21" t="str">
        <f>IF('12 - Device_Configuration'!BA290="","",'12 - Device_Configuration'!BA290)</f>
        <v/>
      </c>
      <c r="W289" s="21" t="str">
        <f>IF('12 - Device_Configuration'!BC290="","",'12 - Device_Configuration'!BC290)</f>
        <v/>
      </c>
      <c r="X289" s="21" t="str">
        <f>IF('12 - Device_Configuration'!BK290="","",'12 - Device_Configuration'!BK290)</f>
        <v/>
      </c>
      <c r="Y289" s="21" t="str">
        <f>IF('12 - Device_Configuration'!BB290="","",'12 - Device_Configuration'!BB290)</f>
        <v/>
      </c>
      <c r="Z289" s="21" t="str">
        <f>IF('12 - Device_Configuration'!P290="","",'12 - Device_Configuration'!P290)</f>
        <v/>
      </c>
      <c r="AA289" s="21" t="str">
        <f>IF('12 - Device_Configuration'!Q290="","",'12 - Device_Configuration'!Q290)</f>
        <v/>
      </c>
    </row>
    <row r="290" spans="1:27">
      <c r="A290" s="22"/>
      <c r="B290" s="22"/>
      <c r="C290" s="21" t="str">
        <f>IF('12 - Device_Configuration'!H291="","",'12 - Device_Configuration'!H291)</f>
        <v/>
      </c>
      <c r="D290" s="21" t="str">
        <f>IF('12 - Device_Configuration'!AE291="","",'12 - Device_Configuration'!AE291)</f>
        <v/>
      </c>
      <c r="E290" s="21" t="str">
        <f>IF('12 - Device_Configuration'!AF291="","",'12 - Device_Configuration'!AF291)</f>
        <v/>
      </c>
      <c r="F290" s="21" t="str">
        <f>IF('12 - Device_Configuration'!AG291="","",'12 - Device_Configuration'!AG291)</f>
        <v/>
      </c>
      <c r="G290" s="21" t="str">
        <f>IF('12 - Device_Configuration'!AH291="","",'12 - Device_Configuration'!AH291)</f>
        <v/>
      </c>
      <c r="H290" s="21" t="str">
        <f>IF('12 - Device_Configuration'!A291="","",'12 - Device_Configuration'!A291)</f>
        <v/>
      </c>
      <c r="I290" s="21" t="str">
        <f>IF('12 - Device_Configuration'!AI291="","",'12 - Device_Configuration'!AI291)</f>
        <v/>
      </c>
      <c r="J290" s="21" t="str">
        <f>IF('12 - Device_Configuration'!AJ291="","",'12 - Device_Configuration'!AJ291)</f>
        <v/>
      </c>
      <c r="K290" s="21" t="str">
        <f>IF('12 - Device_Configuration'!AA291="","",'12 - Device_Configuration'!AA291)</f>
        <v/>
      </c>
      <c r="L290" s="21" t="str">
        <f>IF('12 - Device_Configuration'!I291="","",'12 - Device_Configuration'!I291)</f>
        <v/>
      </c>
      <c r="M290" s="22"/>
      <c r="N290" s="21" t="str">
        <f>IF('12 - Device_Configuration'!J291="","",'12 - Device_Configuration'!J291)</f>
        <v/>
      </c>
      <c r="O290" s="21" t="str">
        <f>IF('12 - Device_Configuration'!K291="","",'12 - Device_Configuration'!K291)</f>
        <v/>
      </c>
      <c r="P290" s="21" t="str">
        <f>IF('12 - Device_Configuration'!L291="","",'12 - Device_Configuration'!L291)</f>
        <v/>
      </c>
      <c r="Q290" s="22"/>
      <c r="R290" s="21" t="str">
        <f>IF('12 - Device_Configuration'!AY291="","",'12 - Device_Configuration'!AY291)</f>
        <v/>
      </c>
      <c r="S290" s="21" t="str">
        <f>IF('12 - Device_Configuration'!AX291="","",'12 - Device_Configuration'!AX291)</f>
        <v/>
      </c>
      <c r="T290" s="21" t="str">
        <f>IF('12 - Device_Configuration'!AV291="","",'12 - Device_Configuration'!AV291)</f>
        <v/>
      </c>
      <c r="U290" s="21" t="str">
        <f>IF('12 - Device_Configuration'!AW291="","",'12 - Device_Configuration'!AW291)</f>
        <v/>
      </c>
      <c r="V290" s="21" t="str">
        <f>IF('12 - Device_Configuration'!BA291="","",'12 - Device_Configuration'!BA291)</f>
        <v/>
      </c>
      <c r="W290" s="21" t="str">
        <f>IF('12 - Device_Configuration'!BC291="","",'12 - Device_Configuration'!BC291)</f>
        <v/>
      </c>
      <c r="X290" s="21" t="str">
        <f>IF('12 - Device_Configuration'!BK291="","",'12 - Device_Configuration'!BK291)</f>
        <v/>
      </c>
      <c r="Y290" s="21" t="str">
        <f>IF('12 - Device_Configuration'!BB291="","",'12 - Device_Configuration'!BB291)</f>
        <v/>
      </c>
      <c r="Z290" s="21" t="str">
        <f>IF('12 - Device_Configuration'!P291="","",'12 - Device_Configuration'!P291)</f>
        <v/>
      </c>
      <c r="AA290" s="21" t="str">
        <f>IF('12 - Device_Configuration'!Q291="","",'12 - Device_Configuration'!Q291)</f>
        <v/>
      </c>
    </row>
    <row r="291" spans="1:27">
      <c r="A291" s="22"/>
      <c r="B291" s="22"/>
      <c r="C291" s="21" t="str">
        <f>IF('12 - Device_Configuration'!H292="","",'12 - Device_Configuration'!H292)</f>
        <v/>
      </c>
      <c r="D291" s="21" t="str">
        <f>IF('12 - Device_Configuration'!AE292="","",'12 - Device_Configuration'!AE292)</f>
        <v/>
      </c>
      <c r="E291" s="21" t="str">
        <f>IF('12 - Device_Configuration'!AF292="","",'12 - Device_Configuration'!AF292)</f>
        <v/>
      </c>
      <c r="F291" s="21" t="str">
        <f>IF('12 - Device_Configuration'!AG292="","",'12 - Device_Configuration'!AG292)</f>
        <v/>
      </c>
      <c r="G291" s="21" t="str">
        <f>IF('12 - Device_Configuration'!AH292="","",'12 - Device_Configuration'!AH292)</f>
        <v/>
      </c>
      <c r="H291" s="21" t="str">
        <f>IF('12 - Device_Configuration'!A292="","",'12 - Device_Configuration'!A292)</f>
        <v/>
      </c>
      <c r="I291" s="21" t="str">
        <f>IF('12 - Device_Configuration'!AI292="","",'12 - Device_Configuration'!AI292)</f>
        <v/>
      </c>
      <c r="J291" s="21" t="str">
        <f>IF('12 - Device_Configuration'!AJ292="","",'12 - Device_Configuration'!AJ292)</f>
        <v/>
      </c>
      <c r="K291" s="21" t="str">
        <f>IF('12 - Device_Configuration'!AA292="","",'12 - Device_Configuration'!AA292)</f>
        <v/>
      </c>
      <c r="L291" s="21" t="str">
        <f>IF('12 - Device_Configuration'!I292="","",'12 - Device_Configuration'!I292)</f>
        <v/>
      </c>
      <c r="M291" s="22"/>
      <c r="N291" s="21" t="str">
        <f>IF('12 - Device_Configuration'!J292="","",'12 - Device_Configuration'!J292)</f>
        <v/>
      </c>
      <c r="O291" s="21" t="str">
        <f>IF('12 - Device_Configuration'!K292="","",'12 - Device_Configuration'!K292)</f>
        <v/>
      </c>
      <c r="P291" s="21" t="str">
        <f>IF('12 - Device_Configuration'!L292="","",'12 - Device_Configuration'!L292)</f>
        <v/>
      </c>
      <c r="Q291" s="22"/>
      <c r="R291" s="21" t="str">
        <f>IF('12 - Device_Configuration'!AY292="","",'12 - Device_Configuration'!AY292)</f>
        <v/>
      </c>
      <c r="S291" s="21" t="str">
        <f>IF('12 - Device_Configuration'!AX292="","",'12 - Device_Configuration'!AX292)</f>
        <v/>
      </c>
      <c r="T291" s="21" t="str">
        <f>IF('12 - Device_Configuration'!AV292="","",'12 - Device_Configuration'!AV292)</f>
        <v/>
      </c>
      <c r="U291" s="21" t="str">
        <f>IF('12 - Device_Configuration'!AW292="","",'12 - Device_Configuration'!AW292)</f>
        <v/>
      </c>
      <c r="V291" s="21" t="str">
        <f>IF('12 - Device_Configuration'!BA292="","",'12 - Device_Configuration'!BA292)</f>
        <v/>
      </c>
      <c r="W291" s="21" t="str">
        <f>IF('12 - Device_Configuration'!BC292="","",'12 - Device_Configuration'!BC292)</f>
        <v/>
      </c>
      <c r="X291" s="21" t="str">
        <f>IF('12 - Device_Configuration'!BK292="","",'12 - Device_Configuration'!BK292)</f>
        <v/>
      </c>
      <c r="Y291" s="21" t="str">
        <f>IF('12 - Device_Configuration'!BB292="","",'12 - Device_Configuration'!BB292)</f>
        <v/>
      </c>
      <c r="Z291" s="21" t="str">
        <f>IF('12 - Device_Configuration'!P292="","",'12 - Device_Configuration'!P292)</f>
        <v/>
      </c>
      <c r="AA291" s="21" t="str">
        <f>IF('12 - Device_Configuration'!Q292="","",'12 - Device_Configuration'!Q292)</f>
        <v/>
      </c>
    </row>
    <row r="292" spans="1:27">
      <c r="A292" s="22"/>
      <c r="B292" s="22"/>
      <c r="C292" s="21" t="str">
        <f>IF('12 - Device_Configuration'!H293="","",'12 - Device_Configuration'!H293)</f>
        <v/>
      </c>
      <c r="D292" s="21" t="str">
        <f>IF('12 - Device_Configuration'!AE293="","",'12 - Device_Configuration'!AE293)</f>
        <v/>
      </c>
      <c r="E292" s="21" t="str">
        <f>IF('12 - Device_Configuration'!AF293="","",'12 - Device_Configuration'!AF293)</f>
        <v/>
      </c>
      <c r="F292" s="21" t="str">
        <f>IF('12 - Device_Configuration'!AG293="","",'12 - Device_Configuration'!AG293)</f>
        <v/>
      </c>
      <c r="G292" s="21" t="str">
        <f>IF('12 - Device_Configuration'!AH293="","",'12 - Device_Configuration'!AH293)</f>
        <v/>
      </c>
      <c r="H292" s="21" t="str">
        <f>IF('12 - Device_Configuration'!A293="","",'12 - Device_Configuration'!A293)</f>
        <v/>
      </c>
      <c r="I292" s="21" t="str">
        <f>IF('12 - Device_Configuration'!AI293="","",'12 - Device_Configuration'!AI293)</f>
        <v/>
      </c>
      <c r="J292" s="21" t="str">
        <f>IF('12 - Device_Configuration'!AJ293="","",'12 - Device_Configuration'!AJ293)</f>
        <v/>
      </c>
      <c r="K292" s="21" t="str">
        <f>IF('12 - Device_Configuration'!AA293="","",'12 - Device_Configuration'!AA293)</f>
        <v/>
      </c>
      <c r="L292" s="21" t="str">
        <f>IF('12 - Device_Configuration'!I293="","",'12 - Device_Configuration'!I293)</f>
        <v/>
      </c>
      <c r="M292" s="22"/>
      <c r="N292" s="21" t="str">
        <f>IF('12 - Device_Configuration'!J293="","",'12 - Device_Configuration'!J293)</f>
        <v/>
      </c>
      <c r="O292" s="21" t="str">
        <f>IF('12 - Device_Configuration'!K293="","",'12 - Device_Configuration'!K293)</f>
        <v/>
      </c>
      <c r="P292" s="21" t="str">
        <f>IF('12 - Device_Configuration'!L293="","",'12 - Device_Configuration'!L293)</f>
        <v/>
      </c>
      <c r="Q292" s="22"/>
      <c r="R292" s="21" t="str">
        <f>IF('12 - Device_Configuration'!AY293="","",'12 - Device_Configuration'!AY293)</f>
        <v/>
      </c>
      <c r="S292" s="21" t="str">
        <f>IF('12 - Device_Configuration'!AX293="","",'12 - Device_Configuration'!AX293)</f>
        <v/>
      </c>
      <c r="T292" s="21" t="str">
        <f>IF('12 - Device_Configuration'!AV293="","",'12 - Device_Configuration'!AV293)</f>
        <v/>
      </c>
      <c r="U292" s="21" t="str">
        <f>IF('12 - Device_Configuration'!AW293="","",'12 - Device_Configuration'!AW293)</f>
        <v/>
      </c>
      <c r="V292" s="21" t="str">
        <f>IF('12 - Device_Configuration'!BA293="","",'12 - Device_Configuration'!BA293)</f>
        <v/>
      </c>
      <c r="W292" s="21" t="str">
        <f>IF('12 - Device_Configuration'!BC293="","",'12 - Device_Configuration'!BC293)</f>
        <v/>
      </c>
      <c r="X292" s="21" t="str">
        <f>IF('12 - Device_Configuration'!BK293="","",'12 - Device_Configuration'!BK293)</f>
        <v/>
      </c>
      <c r="Y292" s="21" t="str">
        <f>IF('12 - Device_Configuration'!BB293="","",'12 - Device_Configuration'!BB293)</f>
        <v/>
      </c>
      <c r="Z292" s="21" t="str">
        <f>IF('12 - Device_Configuration'!P293="","",'12 - Device_Configuration'!P293)</f>
        <v/>
      </c>
      <c r="AA292" s="21" t="str">
        <f>IF('12 - Device_Configuration'!Q293="","",'12 - Device_Configuration'!Q293)</f>
        <v/>
      </c>
    </row>
    <row r="293" spans="1:27">
      <c r="A293" s="22"/>
      <c r="B293" s="22"/>
      <c r="C293" s="21" t="str">
        <f>IF('12 - Device_Configuration'!H294="","",'12 - Device_Configuration'!H294)</f>
        <v/>
      </c>
      <c r="D293" s="21" t="str">
        <f>IF('12 - Device_Configuration'!AE294="","",'12 - Device_Configuration'!AE294)</f>
        <v/>
      </c>
      <c r="E293" s="21" t="str">
        <f>IF('12 - Device_Configuration'!AF294="","",'12 - Device_Configuration'!AF294)</f>
        <v/>
      </c>
      <c r="F293" s="21" t="str">
        <f>IF('12 - Device_Configuration'!AG294="","",'12 - Device_Configuration'!AG294)</f>
        <v/>
      </c>
      <c r="G293" s="21" t="str">
        <f>IF('12 - Device_Configuration'!AH294="","",'12 - Device_Configuration'!AH294)</f>
        <v/>
      </c>
      <c r="H293" s="21" t="str">
        <f>IF('12 - Device_Configuration'!A294="","",'12 - Device_Configuration'!A294)</f>
        <v/>
      </c>
      <c r="I293" s="21" t="str">
        <f>IF('12 - Device_Configuration'!AI294="","",'12 - Device_Configuration'!AI294)</f>
        <v/>
      </c>
      <c r="J293" s="21" t="str">
        <f>IF('12 - Device_Configuration'!AJ294="","",'12 - Device_Configuration'!AJ294)</f>
        <v/>
      </c>
      <c r="K293" s="21" t="str">
        <f>IF('12 - Device_Configuration'!AA294="","",'12 - Device_Configuration'!AA294)</f>
        <v/>
      </c>
      <c r="L293" s="21" t="str">
        <f>IF('12 - Device_Configuration'!I294="","",'12 - Device_Configuration'!I294)</f>
        <v/>
      </c>
      <c r="M293" s="22"/>
      <c r="N293" s="21" t="str">
        <f>IF('12 - Device_Configuration'!J294="","",'12 - Device_Configuration'!J294)</f>
        <v/>
      </c>
      <c r="O293" s="21" t="str">
        <f>IF('12 - Device_Configuration'!K294="","",'12 - Device_Configuration'!K294)</f>
        <v/>
      </c>
      <c r="P293" s="21" t="str">
        <f>IF('12 - Device_Configuration'!L294="","",'12 - Device_Configuration'!L294)</f>
        <v/>
      </c>
      <c r="Q293" s="22"/>
      <c r="R293" s="21" t="str">
        <f>IF('12 - Device_Configuration'!AY294="","",'12 - Device_Configuration'!AY294)</f>
        <v/>
      </c>
      <c r="S293" s="21" t="str">
        <f>IF('12 - Device_Configuration'!AX294="","",'12 - Device_Configuration'!AX294)</f>
        <v/>
      </c>
      <c r="T293" s="21" t="str">
        <f>IF('12 - Device_Configuration'!AV294="","",'12 - Device_Configuration'!AV294)</f>
        <v/>
      </c>
      <c r="U293" s="21" t="str">
        <f>IF('12 - Device_Configuration'!AW294="","",'12 - Device_Configuration'!AW294)</f>
        <v/>
      </c>
      <c r="V293" s="21" t="str">
        <f>IF('12 - Device_Configuration'!BA294="","",'12 - Device_Configuration'!BA294)</f>
        <v/>
      </c>
      <c r="W293" s="21" t="str">
        <f>IF('12 - Device_Configuration'!BC294="","",'12 - Device_Configuration'!BC294)</f>
        <v/>
      </c>
      <c r="X293" s="21" t="str">
        <f>IF('12 - Device_Configuration'!BK294="","",'12 - Device_Configuration'!BK294)</f>
        <v/>
      </c>
      <c r="Y293" s="21" t="str">
        <f>IF('12 - Device_Configuration'!BB294="","",'12 - Device_Configuration'!BB294)</f>
        <v/>
      </c>
      <c r="Z293" s="21" t="str">
        <f>IF('12 - Device_Configuration'!P294="","",'12 - Device_Configuration'!P294)</f>
        <v/>
      </c>
      <c r="AA293" s="21" t="str">
        <f>IF('12 - Device_Configuration'!Q294="","",'12 - Device_Configuration'!Q294)</f>
        <v/>
      </c>
    </row>
    <row r="294" spans="1:27">
      <c r="A294" s="22"/>
      <c r="B294" s="22"/>
      <c r="C294" s="21" t="str">
        <f>IF('12 - Device_Configuration'!H295="","",'12 - Device_Configuration'!H295)</f>
        <v/>
      </c>
      <c r="D294" s="21" t="str">
        <f>IF('12 - Device_Configuration'!AE295="","",'12 - Device_Configuration'!AE295)</f>
        <v/>
      </c>
      <c r="E294" s="21" t="str">
        <f>IF('12 - Device_Configuration'!AF295="","",'12 - Device_Configuration'!AF295)</f>
        <v/>
      </c>
      <c r="F294" s="21" t="str">
        <f>IF('12 - Device_Configuration'!AG295="","",'12 - Device_Configuration'!AG295)</f>
        <v/>
      </c>
      <c r="G294" s="21" t="str">
        <f>IF('12 - Device_Configuration'!AH295="","",'12 - Device_Configuration'!AH295)</f>
        <v/>
      </c>
      <c r="H294" s="21" t="str">
        <f>IF('12 - Device_Configuration'!A295="","",'12 - Device_Configuration'!A295)</f>
        <v/>
      </c>
      <c r="I294" s="21" t="str">
        <f>IF('12 - Device_Configuration'!AI295="","",'12 - Device_Configuration'!AI295)</f>
        <v/>
      </c>
      <c r="J294" s="21" t="str">
        <f>IF('12 - Device_Configuration'!AJ295="","",'12 - Device_Configuration'!AJ295)</f>
        <v/>
      </c>
      <c r="K294" s="21" t="str">
        <f>IF('12 - Device_Configuration'!AA295="","",'12 - Device_Configuration'!AA295)</f>
        <v/>
      </c>
      <c r="L294" s="21" t="str">
        <f>IF('12 - Device_Configuration'!I295="","",'12 - Device_Configuration'!I295)</f>
        <v/>
      </c>
      <c r="M294" s="22"/>
      <c r="N294" s="21" t="str">
        <f>IF('12 - Device_Configuration'!J295="","",'12 - Device_Configuration'!J295)</f>
        <v/>
      </c>
      <c r="O294" s="21" t="str">
        <f>IF('12 - Device_Configuration'!K295="","",'12 - Device_Configuration'!K295)</f>
        <v/>
      </c>
      <c r="P294" s="21" t="str">
        <f>IF('12 - Device_Configuration'!L295="","",'12 - Device_Configuration'!L295)</f>
        <v/>
      </c>
      <c r="Q294" s="22"/>
      <c r="R294" s="21" t="str">
        <f>IF('12 - Device_Configuration'!AY295="","",'12 - Device_Configuration'!AY295)</f>
        <v/>
      </c>
      <c r="S294" s="21" t="str">
        <f>IF('12 - Device_Configuration'!AX295="","",'12 - Device_Configuration'!AX295)</f>
        <v/>
      </c>
      <c r="T294" s="21" t="str">
        <f>IF('12 - Device_Configuration'!AV295="","",'12 - Device_Configuration'!AV295)</f>
        <v/>
      </c>
      <c r="U294" s="21" t="str">
        <f>IF('12 - Device_Configuration'!AW295="","",'12 - Device_Configuration'!AW295)</f>
        <v/>
      </c>
      <c r="V294" s="21" t="str">
        <f>IF('12 - Device_Configuration'!BA295="","",'12 - Device_Configuration'!BA295)</f>
        <v/>
      </c>
      <c r="W294" s="21" t="str">
        <f>IF('12 - Device_Configuration'!BC295="","",'12 - Device_Configuration'!BC295)</f>
        <v/>
      </c>
      <c r="X294" s="21" t="str">
        <f>IF('12 - Device_Configuration'!BK295="","",'12 - Device_Configuration'!BK295)</f>
        <v/>
      </c>
      <c r="Y294" s="21" t="str">
        <f>IF('12 - Device_Configuration'!BB295="","",'12 - Device_Configuration'!BB295)</f>
        <v/>
      </c>
      <c r="Z294" s="21" t="str">
        <f>IF('12 - Device_Configuration'!P295="","",'12 - Device_Configuration'!P295)</f>
        <v/>
      </c>
      <c r="AA294" s="21" t="str">
        <f>IF('12 - Device_Configuration'!Q295="","",'12 - Device_Configuration'!Q295)</f>
        <v/>
      </c>
    </row>
    <row r="295" spans="1:27">
      <c r="A295" s="22"/>
      <c r="B295" s="22"/>
      <c r="C295" s="21" t="str">
        <f>IF('12 - Device_Configuration'!H296="","",'12 - Device_Configuration'!H296)</f>
        <v/>
      </c>
      <c r="D295" s="21" t="str">
        <f>IF('12 - Device_Configuration'!AE296="","",'12 - Device_Configuration'!AE296)</f>
        <v/>
      </c>
      <c r="E295" s="21" t="str">
        <f>IF('12 - Device_Configuration'!AF296="","",'12 - Device_Configuration'!AF296)</f>
        <v/>
      </c>
      <c r="F295" s="21" t="str">
        <f>IF('12 - Device_Configuration'!AG296="","",'12 - Device_Configuration'!AG296)</f>
        <v/>
      </c>
      <c r="G295" s="21" t="str">
        <f>IF('12 - Device_Configuration'!AH296="","",'12 - Device_Configuration'!AH296)</f>
        <v/>
      </c>
      <c r="H295" s="21" t="str">
        <f>IF('12 - Device_Configuration'!A296="","",'12 - Device_Configuration'!A296)</f>
        <v/>
      </c>
      <c r="I295" s="21" t="str">
        <f>IF('12 - Device_Configuration'!AI296="","",'12 - Device_Configuration'!AI296)</f>
        <v/>
      </c>
      <c r="J295" s="21" t="str">
        <f>IF('12 - Device_Configuration'!AJ296="","",'12 - Device_Configuration'!AJ296)</f>
        <v/>
      </c>
      <c r="K295" s="21" t="str">
        <f>IF('12 - Device_Configuration'!AA296="","",'12 - Device_Configuration'!AA296)</f>
        <v/>
      </c>
      <c r="L295" s="21" t="str">
        <f>IF('12 - Device_Configuration'!I296="","",'12 - Device_Configuration'!I296)</f>
        <v/>
      </c>
      <c r="M295" s="22"/>
      <c r="N295" s="21" t="str">
        <f>IF('12 - Device_Configuration'!J296="","",'12 - Device_Configuration'!J296)</f>
        <v/>
      </c>
      <c r="O295" s="21" t="str">
        <f>IF('12 - Device_Configuration'!K296="","",'12 - Device_Configuration'!K296)</f>
        <v/>
      </c>
      <c r="P295" s="21" t="str">
        <f>IF('12 - Device_Configuration'!L296="","",'12 - Device_Configuration'!L296)</f>
        <v/>
      </c>
      <c r="Q295" s="22"/>
      <c r="R295" s="21" t="str">
        <f>IF('12 - Device_Configuration'!AY296="","",'12 - Device_Configuration'!AY296)</f>
        <v/>
      </c>
      <c r="S295" s="21" t="str">
        <f>IF('12 - Device_Configuration'!AX296="","",'12 - Device_Configuration'!AX296)</f>
        <v/>
      </c>
      <c r="T295" s="21" t="str">
        <f>IF('12 - Device_Configuration'!AV296="","",'12 - Device_Configuration'!AV296)</f>
        <v/>
      </c>
      <c r="U295" s="21" t="str">
        <f>IF('12 - Device_Configuration'!AW296="","",'12 - Device_Configuration'!AW296)</f>
        <v/>
      </c>
      <c r="V295" s="21" t="str">
        <f>IF('12 - Device_Configuration'!BA296="","",'12 - Device_Configuration'!BA296)</f>
        <v/>
      </c>
      <c r="W295" s="21" t="str">
        <f>IF('12 - Device_Configuration'!BC296="","",'12 - Device_Configuration'!BC296)</f>
        <v/>
      </c>
      <c r="X295" s="21" t="str">
        <f>IF('12 - Device_Configuration'!BK296="","",'12 - Device_Configuration'!BK296)</f>
        <v/>
      </c>
      <c r="Y295" s="21" t="str">
        <f>IF('12 - Device_Configuration'!BB296="","",'12 - Device_Configuration'!BB296)</f>
        <v/>
      </c>
      <c r="Z295" s="21" t="str">
        <f>IF('12 - Device_Configuration'!P296="","",'12 - Device_Configuration'!P296)</f>
        <v/>
      </c>
      <c r="AA295" s="21" t="str">
        <f>IF('12 - Device_Configuration'!Q296="","",'12 - Device_Configuration'!Q296)</f>
        <v/>
      </c>
    </row>
    <row r="296" spans="1:27">
      <c r="A296" s="22"/>
      <c r="B296" s="22"/>
      <c r="C296" s="21" t="str">
        <f>IF('12 - Device_Configuration'!H297="","",'12 - Device_Configuration'!H297)</f>
        <v/>
      </c>
      <c r="D296" s="21" t="str">
        <f>IF('12 - Device_Configuration'!AE297="","",'12 - Device_Configuration'!AE297)</f>
        <v/>
      </c>
      <c r="E296" s="21" t="str">
        <f>IF('12 - Device_Configuration'!AF297="","",'12 - Device_Configuration'!AF297)</f>
        <v/>
      </c>
      <c r="F296" s="21" t="str">
        <f>IF('12 - Device_Configuration'!AG297="","",'12 - Device_Configuration'!AG297)</f>
        <v/>
      </c>
      <c r="G296" s="21" t="str">
        <f>IF('12 - Device_Configuration'!AH297="","",'12 - Device_Configuration'!AH297)</f>
        <v/>
      </c>
      <c r="H296" s="21" t="str">
        <f>IF('12 - Device_Configuration'!A297="","",'12 - Device_Configuration'!A297)</f>
        <v/>
      </c>
      <c r="I296" s="21" t="str">
        <f>IF('12 - Device_Configuration'!AI297="","",'12 - Device_Configuration'!AI297)</f>
        <v/>
      </c>
      <c r="J296" s="21" t="str">
        <f>IF('12 - Device_Configuration'!AJ297="","",'12 - Device_Configuration'!AJ297)</f>
        <v/>
      </c>
      <c r="K296" s="21" t="str">
        <f>IF('12 - Device_Configuration'!AA297="","",'12 - Device_Configuration'!AA297)</f>
        <v/>
      </c>
      <c r="L296" s="21" t="str">
        <f>IF('12 - Device_Configuration'!I297="","",'12 - Device_Configuration'!I297)</f>
        <v/>
      </c>
      <c r="M296" s="22"/>
      <c r="N296" s="21" t="str">
        <f>IF('12 - Device_Configuration'!J297="","",'12 - Device_Configuration'!J297)</f>
        <v/>
      </c>
      <c r="O296" s="21" t="str">
        <f>IF('12 - Device_Configuration'!K297="","",'12 - Device_Configuration'!K297)</f>
        <v/>
      </c>
      <c r="P296" s="21" t="str">
        <f>IF('12 - Device_Configuration'!L297="","",'12 - Device_Configuration'!L297)</f>
        <v/>
      </c>
      <c r="Q296" s="22"/>
      <c r="R296" s="21" t="str">
        <f>IF('12 - Device_Configuration'!AY297="","",'12 - Device_Configuration'!AY297)</f>
        <v/>
      </c>
      <c r="S296" s="21" t="str">
        <f>IF('12 - Device_Configuration'!AX297="","",'12 - Device_Configuration'!AX297)</f>
        <v/>
      </c>
      <c r="T296" s="21" t="str">
        <f>IF('12 - Device_Configuration'!AV297="","",'12 - Device_Configuration'!AV297)</f>
        <v/>
      </c>
      <c r="U296" s="21" t="str">
        <f>IF('12 - Device_Configuration'!AW297="","",'12 - Device_Configuration'!AW297)</f>
        <v/>
      </c>
      <c r="V296" s="21" t="str">
        <f>IF('12 - Device_Configuration'!BA297="","",'12 - Device_Configuration'!BA297)</f>
        <v/>
      </c>
      <c r="W296" s="21" t="str">
        <f>IF('12 - Device_Configuration'!BC297="","",'12 - Device_Configuration'!BC297)</f>
        <v/>
      </c>
      <c r="X296" s="21" t="str">
        <f>IF('12 - Device_Configuration'!BK297="","",'12 - Device_Configuration'!BK297)</f>
        <v/>
      </c>
      <c r="Y296" s="21" t="str">
        <f>IF('12 - Device_Configuration'!BB297="","",'12 - Device_Configuration'!BB297)</f>
        <v/>
      </c>
      <c r="Z296" s="21" t="str">
        <f>IF('12 - Device_Configuration'!P297="","",'12 - Device_Configuration'!P297)</f>
        <v/>
      </c>
      <c r="AA296" s="21" t="str">
        <f>IF('12 - Device_Configuration'!Q297="","",'12 - Device_Configuration'!Q297)</f>
        <v/>
      </c>
    </row>
    <row r="297" spans="1:27">
      <c r="A297" s="22"/>
      <c r="B297" s="22"/>
      <c r="C297" s="21" t="str">
        <f>IF('12 - Device_Configuration'!H298="","",'12 - Device_Configuration'!H298)</f>
        <v/>
      </c>
      <c r="D297" s="21" t="str">
        <f>IF('12 - Device_Configuration'!AE298="","",'12 - Device_Configuration'!AE298)</f>
        <v/>
      </c>
      <c r="E297" s="21" t="str">
        <f>IF('12 - Device_Configuration'!AF298="","",'12 - Device_Configuration'!AF298)</f>
        <v/>
      </c>
      <c r="F297" s="21" t="str">
        <f>IF('12 - Device_Configuration'!AG298="","",'12 - Device_Configuration'!AG298)</f>
        <v/>
      </c>
      <c r="G297" s="21" t="str">
        <f>IF('12 - Device_Configuration'!AH298="","",'12 - Device_Configuration'!AH298)</f>
        <v/>
      </c>
      <c r="H297" s="21" t="str">
        <f>IF('12 - Device_Configuration'!A298="","",'12 - Device_Configuration'!A298)</f>
        <v/>
      </c>
      <c r="I297" s="21" t="str">
        <f>IF('12 - Device_Configuration'!AI298="","",'12 - Device_Configuration'!AI298)</f>
        <v/>
      </c>
      <c r="J297" s="21" t="str">
        <f>IF('12 - Device_Configuration'!AJ298="","",'12 - Device_Configuration'!AJ298)</f>
        <v/>
      </c>
      <c r="K297" s="21" t="str">
        <f>IF('12 - Device_Configuration'!AA298="","",'12 - Device_Configuration'!AA298)</f>
        <v/>
      </c>
      <c r="L297" s="21" t="str">
        <f>IF('12 - Device_Configuration'!I298="","",'12 - Device_Configuration'!I298)</f>
        <v/>
      </c>
      <c r="M297" s="22"/>
      <c r="N297" s="21" t="str">
        <f>IF('12 - Device_Configuration'!J298="","",'12 - Device_Configuration'!J298)</f>
        <v/>
      </c>
      <c r="O297" s="21" t="str">
        <f>IF('12 - Device_Configuration'!K298="","",'12 - Device_Configuration'!K298)</f>
        <v/>
      </c>
      <c r="P297" s="21" t="str">
        <f>IF('12 - Device_Configuration'!L298="","",'12 - Device_Configuration'!L298)</f>
        <v/>
      </c>
      <c r="Q297" s="22"/>
      <c r="R297" s="21" t="str">
        <f>IF('12 - Device_Configuration'!AY298="","",'12 - Device_Configuration'!AY298)</f>
        <v/>
      </c>
      <c r="S297" s="21" t="str">
        <f>IF('12 - Device_Configuration'!AX298="","",'12 - Device_Configuration'!AX298)</f>
        <v/>
      </c>
      <c r="T297" s="21" t="str">
        <f>IF('12 - Device_Configuration'!AV298="","",'12 - Device_Configuration'!AV298)</f>
        <v/>
      </c>
      <c r="U297" s="21" t="str">
        <f>IF('12 - Device_Configuration'!AW298="","",'12 - Device_Configuration'!AW298)</f>
        <v/>
      </c>
      <c r="V297" s="21" t="str">
        <f>IF('12 - Device_Configuration'!BA298="","",'12 - Device_Configuration'!BA298)</f>
        <v/>
      </c>
      <c r="W297" s="21" t="str">
        <f>IF('12 - Device_Configuration'!BC298="","",'12 - Device_Configuration'!BC298)</f>
        <v/>
      </c>
      <c r="X297" s="21" t="str">
        <f>IF('12 - Device_Configuration'!BK298="","",'12 - Device_Configuration'!BK298)</f>
        <v/>
      </c>
      <c r="Y297" s="21" t="str">
        <f>IF('12 - Device_Configuration'!BB298="","",'12 - Device_Configuration'!BB298)</f>
        <v/>
      </c>
      <c r="Z297" s="21" t="str">
        <f>IF('12 - Device_Configuration'!P298="","",'12 - Device_Configuration'!P298)</f>
        <v/>
      </c>
      <c r="AA297" s="21" t="str">
        <f>IF('12 - Device_Configuration'!Q298="","",'12 - Device_Configuration'!Q298)</f>
        <v/>
      </c>
    </row>
    <row r="298" spans="1:27">
      <c r="A298" s="22"/>
      <c r="B298" s="22"/>
      <c r="C298" s="21" t="str">
        <f>IF('12 - Device_Configuration'!H299="","",'12 - Device_Configuration'!H299)</f>
        <v/>
      </c>
      <c r="D298" s="21" t="str">
        <f>IF('12 - Device_Configuration'!AE299="","",'12 - Device_Configuration'!AE299)</f>
        <v/>
      </c>
      <c r="E298" s="21" t="str">
        <f>IF('12 - Device_Configuration'!AF299="","",'12 - Device_Configuration'!AF299)</f>
        <v/>
      </c>
      <c r="F298" s="21" t="str">
        <f>IF('12 - Device_Configuration'!AG299="","",'12 - Device_Configuration'!AG299)</f>
        <v/>
      </c>
      <c r="G298" s="21" t="str">
        <f>IF('12 - Device_Configuration'!AH299="","",'12 - Device_Configuration'!AH299)</f>
        <v/>
      </c>
      <c r="H298" s="21" t="str">
        <f>IF('12 - Device_Configuration'!A299="","",'12 - Device_Configuration'!A299)</f>
        <v/>
      </c>
      <c r="I298" s="21" t="str">
        <f>IF('12 - Device_Configuration'!AI299="","",'12 - Device_Configuration'!AI299)</f>
        <v/>
      </c>
      <c r="J298" s="21" t="str">
        <f>IF('12 - Device_Configuration'!AJ299="","",'12 - Device_Configuration'!AJ299)</f>
        <v/>
      </c>
      <c r="K298" s="21" t="str">
        <f>IF('12 - Device_Configuration'!AA299="","",'12 - Device_Configuration'!AA299)</f>
        <v/>
      </c>
      <c r="L298" s="21" t="str">
        <f>IF('12 - Device_Configuration'!I299="","",'12 - Device_Configuration'!I299)</f>
        <v/>
      </c>
      <c r="M298" s="22"/>
      <c r="N298" s="21" t="str">
        <f>IF('12 - Device_Configuration'!J299="","",'12 - Device_Configuration'!J299)</f>
        <v/>
      </c>
      <c r="O298" s="21" t="str">
        <f>IF('12 - Device_Configuration'!K299="","",'12 - Device_Configuration'!K299)</f>
        <v/>
      </c>
      <c r="P298" s="21" t="str">
        <f>IF('12 - Device_Configuration'!L299="","",'12 - Device_Configuration'!L299)</f>
        <v/>
      </c>
      <c r="Q298" s="22"/>
      <c r="R298" s="21" t="str">
        <f>IF('12 - Device_Configuration'!AY299="","",'12 - Device_Configuration'!AY299)</f>
        <v/>
      </c>
      <c r="S298" s="21" t="str">
        <f>IF('12 - Device_Configuration'!AX299="","",'12 - Device_Configuration'!AX299)</f>
        <v/>
      </c>
      <c r="T298" s="21" t="str">
        <f>IF('12 - Device_Configuration'!AV299="","",'12 - Device_Configuration'!AV299)</f>
        <v/>
      </c>
      <c r="U298" s="21" t="str">
        <f>IF('12 - Device_Configuration'!AW299="","",'12 - Device_Configuration'!AW299)</f>
        <v/>
      </c>
      <c r="V298" s="21" t="str">
        <f>IF('12 - Device_Configuration'!BA299="","",'12 - Device_Configuration'!BA299)</f>
        <v/>
      </c>
      <c r="W298" s="21" t="str">
        <f>IF('12 - Device_Configuration'!BC299="","",'12 - Device_Configuration'!BC299)</f>
        <v/>
      </c>
      <c r="X298" s="21" t="str">
        <f>IF('12 - Device_Configuration'!BK299="","",'12 - Device_Configuration'!BK299)</f>
        <v/>
      </c>
      <c r="Y298" s="21" t="str">
        <f>IF('12 - Device_Configuration'!BB299="","",'12 - Device_Configuration'!BB299)</f>
        <v/>
      </c>
      <c r="Z298" s="21" t="str">
        <f>IF('12 - Device_Configuration'!P299="","",'12 - Device_Configuration'!P299)</f>
        <v/>
      </c>
      <c r="AA298" s="21" t="str">
        <f>IF('12 - Device_Configuration'!Q299="","",'12 - Device_Configuration'!Q299)</f>
        <v/>
      </c>
    </row>
    <row r="299" spans="1:27">
      <c r="A299" s="22"/>
      <c r="B299" s="22"/>
      <c r="C299" s="21" t="str">
        <f>IF('12 - Device_Configuration'!H300="","",'12 - Device_Configuration'!H300)</f>
        <v/>
      </c>
      <c r="D299" s="21" t="str">
        <f>IF('12 - Device_Configuration'!AE300="","",'12 - Device_Configuration'!AE300)</f>
        <v/>
      </c>
      <c r="E299" s="21" t="str">
        <f>IF('12 - Device_Configuration'!AF300="","",'12 - Device_Configuration'!AF300)</f>
        <v/>
      </c>
      <c r="F299" s="21" t="str">
        <f>IF('12 - Device_Configuration'!AG300="","",'12 - Device_Configuration'!AG300)</f>
        <v/>
      </c>
      <c r="G299" s="21" t="str">
        <f>IF('12 - Device_Configuration'!AH300="","",'12 - Device_Configuration'!AH300)</f>
        <v/>
      </c>
      <c r="H299" s="21" t="str">
        <f>IF('12 - Device_Configuration'!A300="","",'12 - Device_Configuration'!A300)</f>
        <v/>
      </c>
      <c r="I299" s="21" t="str">
        <f>IF('12 - Device_Configuration'!AI300="","",'12 - Device_Configuration'!AI300)</f>
        <v/>
      </c>
      <c r="J299" s="21" t="str">
        <f>IF('12 - Device_Configuration'!AJ300="","",'12 - Device_Configuration'!AJ300)</f>
        <v/>
      </c>
      <c r="K299" s="21" t="str">
        <f>IF('12 - Device_Configuration'!AA300="","",'12 - Device_Configuration'!AA300)</f>
        <v/>
      </c>
      <c r="L299" s="21" t="str">
        <f>IF('12 - Device_Configuration'!I300="","",'12 - Device_Configuration'!I300)</f>
        <v/>
      </c>
      <c r="M299" s="22"/>
      <c r="N299" s="21" t="str">
        <f>IF('12 - Device_Configuration'!J300="","",'12 - Device_Configuration'!J300)</f>
        <v/>
      </c>
      <c r="O299" s="21" t="str">
        <f>IF('12 - Device_Configuration'!K300="","",'12 - Device_Configuration'!K300)</f>
        <v/>
      </c>
      <c r="P299" s="21" t="str">
        <f>IF('12 - Device_Configuration'!L300="","",'12 - Device_Configuration'!L300)</f>
        <v/>
      </c>
      <c r="Q299" s="22"/>
      <c r="R299" s="21" t="str">
        <f>IF('12 - Device_Configuration'!AY300="","",'12 - Device_Configuration'!AY300)</f>
        <v/>
      </c>
      <c r="S299" s="21" t="str">
        <f>IF('12 - Device_Configuration'!AX300="","",'12 - Device_Configuration'!AX300)</f>
        <v/>
      </c>
      <c r="T299" s="21" t="str">
        <f>IF('12 - Device_Configuration'!AV300="","",'12 - Device_Configuration'!AV300)</f>
        <v/>
      </c>
      <c r="U299" s="21" t="str">
        <f>IF('12 - Device_Configuration'!AW300="","",'12 - Device_Configuration'!AW300)</f>
        <v/>
      </c>
      <c r="V299" s="21" t="str">
        <f>IF('12 - Device_Configuration'!BA300="","",'12 - Device_Configuration'!BA300)</f>
        <v/>
      </c>
      <c r="W299" s="21" t="str">
        <f>IF('12 - Device_Configuration'!BC300="","",'12 - Device_Configuration'!BC300)</f>
        <v/>
      </c>
      <c r="X299" s="21" t="str">
        <f>IF('12 - Device_Configuration'!BK300="","",'12 - Device_Configuration'!BK300)</f>
        <v/>
      </c>
      <c r="Y299" s="21" t="str">
        <f>IF('12 - Device_Configuration'!BB300="","",'12 - Device_Configuration'!BB300)</f>
        <v/>
      </c>
      <c r="Z299" s="21" t="str">
        <f>IF('12 - Device_Configuration'!P300="","",'12 - Device_Configuration'!P300)</f>
        <v/>
      </c>
      <c r="AA299" s="21" t="str">
        <f>IF('12 - Device_Configuration'!Q300="","",'12 - Device_Configuration'!Q300)</f>
        <v/>
      </c>
    </row>
    <row r="300" spans="1:27">
      <c r="A300" s="22"/>
      <c r="B300" s="22"/>
      <c r="C300" s="21" t="str">
        <f>IF('12 - Device_Configuration'!H301="","",'12 - Device_Configuration'!H301)</f>
        <v/>
      </c>
      <c r="D300" s="21" t="str">
        <f>IF('12 - Device_Configuration'!AE301="","",'12 - Device_Configuration'!AE301)</f>
        <v/>
      </c>
      <c r="E300" s="21" t="str">
        <f>IF('12 - Device_Configuration'!AF301="","",'12 - Device_Configuration'!AF301)</f>
        <v/>
      </c>
      <c r="F300" s="21" t="str">
        <f>IF('12 - Device_Configuration'!AG301="","",'12 - Device_Configuration'!AG301)</f>
        <v/>
      </c>
      <c r="G300" s="21" t="str">
        <f>IF('12 - Device_Configuration'!AH301="","",'12 - Device_Configuration'!AH301)</f>
        <v/>
      </c>
      <c r="H300" s="21" t="str">
        <f>IF('12 - Device_Configuration'!A301="","",'12 - Device_Configuration'!A301)</f>
        <v/>
      </c>
      <c r="I300" s="21" t="str">
        <f>IF('12 - Device_Configuration'!AI301="","",'12 - Device_Configuration'!AI301)</f>
        <v/>
      </c>
      <c r="J300" s="21" t="str">
        <f>IF('12 - Device_Configuration'!AJ301="","",'12 - Device_Configuration'!AJ301)</f>
        <v/>
      </c>
      <c r="K300" s="21" t="str">
        <f>IF('12 - Device_Configuration'!AA301="","",'12 - Device_Configuration'!AA301)</f>
        <v/>
      </c>
      <c r="L300" s="21" t="str">
        <f>IF('12 - Device_Configuration'!I301="","",'12 - Device_Configuration'!I301)</f>
        <v/>
      </c>
      <c r="M300" s="22"/>
      <c r="N300" s="21" t="str">
        <f>IF('12 - Device_Configuration'!J301="","",'12 - Device_Configuration'!J301)</f>
        <v/>
      </c>
      <c r="O300" s="21" t="str">
        <f>IF('12 - Device_Configuration'!K301="","",'12 - Device_Configuration'!K301)</f>
        <v/>
      </c>
      <c r="P300" s="21" t="str">
        <f>IF('12 - Device_Configuration'!L301="","",'12 - Device_Configuration'!L301)</f>
        <v/>
      </c>
      <c r="Q300" s="22"/>
      <c r="R300" s="21" t="str">
        <f>IF('12 - Device_Configuration'!AY301="","",'12 - Device_Configuration'!AY301)</f>
        <v/>
      </c>
      <c r="S300" s="21" t="str">
        <f>IF('12 - Device_Configuration'!AX301="","",'12 - Device_Configuration'!AX301)</f>
        <v/>
      </c>
      <c r="T300" s="21" t="str">
        <f>IF('12 - Device_Configuration'!AV301="","",'12 - Device_Configuration'!AV301)</f>
        <v/>
      </c>
      <c r="U300" s="21" t="str">
        <f>IF('12 - Device_Configuration'!AW301="","",'12 - Device_Configuration'!AW301)</f>
        <v/>
      </c>
      <c r="V300" s="21" t="str">
        <f>IF('12 - Device_Configuration'!BA301="","",'12 - Device_Configuration'!BA301)</f>
        <v/>
      </c>
      <c r="W300" s="21" t="str">
        <f>IF('12 - Device_Configuration'!BC301="","",'12 - Device_Configuration'!BC301)</f>
        <v/>
      </c>
      <c r="X300" s="21" t="str">
        <f>IF('12 - Device_Configuration'!BK301="","",'12 - Device_Configuration'!BK301)</f>
        <v/>
      </c>
      <c r="Y300" s="21" t="str">
        <f>IF('12 - Device_Configuration'!BB301="","",'12 - Device_Configuration'!BB301)</f>
        <v/>
      </c>
      <c r="Z300" s="21" t="str">
        <f>IF('12 - Device_Configuration'!P301="","",'12 - Device_Configuration'!P301)</f>
        <v/>
      </c>
      <c r="AA300" s="21" t="str">
        <f>IF('12 - Device_Configuration'!Q301="","",'12 - Device_Configuration'!Q301)</f>
        <v/>
      </c>
    </row>
    <row r="301" spans="1:27">
      <c r="A301" s="22"/>
      <c r="B301" s="22"/>
      <c r="C301" s="21" t="str">
        <f>IF('12 - Device_Configuration'!H302="","",'12 - Device_Configuration'!H302)</f>
        <v/>
      </c>
      <c r="D301" s="21" t="str">
        <f>IF('12 - Device_Configuration'!AE302="","",'12 - Device_Configuration'!AE302)</f>
        <v/>
      </c>
      <c r="E301" s="21" t="str">
        <f>IF('12 - Device_Configuration'!AF302="","",'12 - Device_Configuration'!AF302)</f>
        <v/>
      </c>
      <c r="F301" s="21" t="str">
        <f>IF('12 - Device_Configuration'!AG302="","",'12 - Device_Configuration'!AG302)</f>
        <v/>
      </c>
      <c r="G301" s="21" t="str">
        <f>IF('12 - Device_Configuration'!AH302="","",'12 - Device_Configuration'!AH302)</f>
        <v/>
      </c>
      <c r="H301" s="21" t="str">
        <f>IF('12 - Device_Configuration'!A302="","",'12 - Device_Configuration'!A302)</f>
        <v/>
      </c>
      <c r="I301" s="21" t="str">
        <f>IF('12 - Device_Configuration'!AI302="","",'12 - Device_Configuration'!AI302)</f>
        <v/>
      </c>
      <c r="J301" s="21" t="str">
        <f>IF('12 - Device_Configuration'!AJ302="","",'12 - Device_Configuration'!AJ302)</f>
        <v/>
      </c>
      <c r="K301" s="21" t="str">
        <f>IF('12 - Device_Configuration'!AA302="","",'12 - Device_Configuration'!AA302)</f>
        <v/>
      </c>
      <c r="L301" s="21" t="str">
        <f>IF('12 - Device_Configuration'!I302="","",'12 - Device_Configuration'!I302)</f>
        <v/>
      </c>
      <c r="M301" s="22"/>
      <c r="N301" s="21" t="str">
        <f>IF('12 - Device_Configuration'!J302="","",'12 - Device_Configuration'!J302)</f>
        <v/>
      </c>
      <c r="O301" s="21" t="str">
        <f>IF('12 - Device_Configuration'!K302="","",'12 - Device_Configuration'!K302)</f>
        <v/>
      </c>
      <c r="P301" s="21" t="str">
        <f>IF('12 - Device_Configuration'!L302="","",'12 - Device_Configuration'!L302)</f>
        <v/>
      </c>
      <c r="Q301" s="22"/>
      <c r="R301" s="21" t="str">
        <f>IF('12 - Device_Configuration'!AY302="","",'12 - Device_Configuration'!AY302)</f>
        <v/>
      </c>
      <c r="S301" s="21" t="str">
        <f>IF('12 - Device_Configuration'!AX302="","",'12 - Device_Configuration'!AX302)</f>
        <v/>
      </c>
      <c r="T301" s="21" t="str">
        <f>IF('12 - Device_Configuration'!AV302="","",'12 - Device_Configuration'!AV302)</f>
        <v/>
      </c>
      <c r="U301" s="21" t="str">
        <f>IF('12 - Device_Configuration'!AW302="","",'12 - Device_Configuration'!AW302)</f>
        <v/>
      </c>
      <c r="V301" s="21" t="str">
        <f>IF('12 - Device_Configuration'!BA302="","",'12 - Device_Configuration'!BA302)</f>
        <v/>
      </c>
      <c r="W301" s="21" t="str">
        <f>IF('12 - Device_Configuration'!BC302="","",'12 - Device_Configuration'!BC302)</f>
        <v/>
      </c>
      <c r="X301" s="21" t="str">
        <f>IF('12 - Device_Configuration'!BK302="","",'12 - Device_Configuration'!BK302)</f>
        <v/>
      </c>
      <c r="Y301" s="21" t="str">
        <f>IF('12 - Device_Configuration'!BB302="","",'12 - Device_Configuration'!BB302)</f>
        <v/>
      </c>
      <c r="Z301" s="21" t="str">
        <f>IF('12 - Device_Configuration'!P302="","",'12 - Device_Configuration'!P302)</f>
        <v/>
      </c>
      <c r="AA301" s="21" t="str">
        <f>IF('12 - Device_Configuration'!Q302="","",'12 - Device_Configuration'!Q302)</f>
        <v/>
      </c>
    </row>
    <row r="302" spans="1:27">
      <c r="A302" s="22"/>
      <c r="B302" s="22"/>
      <c r="C302" s="21" t="str">
        <f>IF('12 - Device_Configuration'!H303="","",'12 - Device_Configuration'!H303)</f>
        <v/>
      </c>
      <c r="D302" s="21" t="str">
        <f>IF('12 - Device_Configuration'!AE303="","",'12 - Device_Configuration'!AE303)</f>
        <v/>
      </c>
      <c r="E302" s="21" t="str">
        <f>IF('12 - Device_Configuration'!AF303="","",'12 - Device_Configuration'!AF303)</f>
        <v/>
      </c>
      <c r="F302" s="21" t="str">
        <f>IF('12 - Device_Configuration'!AG303="","",'12 - Device_Configuration'!AG303)</f>
        <v/>
      </c>
      <c r="G302" s="21" t="str">
        <f>IF('12 - Device_Configuration'!AH303="","",'12 - Device_Configuration'!AH303)</f>
        <v/>
      </c>
      <c r="H302" s="21" t="str">
        <f>IF('12 - Device_Configuration'!A303="","",'12 - Device_Configuration'!A303)</f>
        <v/>
      </c>
      <c r="I302" s="21" t="str">
        <f>IF('12 - Device_Configuration'!AI303="","",'12 - Device_Configuration'!AI303)</f>
        <v/>
      </c>
      <c r="J302" s="21" t="str">
        <f>IF('12 - Device_Configuration'!AJ303="","",'12 - Device_Configuration'!AJ303)</f>
        <v/>
      </c>
      <c r="K302" s="21" t="str">
        <f>IF('12 - Device_Configuration'!AA303="","",'12 - Device_Configuration'!AA303)</f>
        <v/>
      </c>
      <c r="L302" s="21" t="str">
        <f>IF('12 - Device_Configuration'!I303="","",'12 - Device_Configuration'!I303)</f>
        <v/>
      </c>
      <c r="M302" s="22"/>
      <c r="N302" s="21" t="str">
        <f>IF('12 - Device_Configuration'!J303="","",'12 - Device_Configuration'!J303)</f>
        <v/>
      </c>
      <c r="O302" s="21" t="str">
        <f>IF('12 - Device_Configuration'!K303="","",'12 - Device_Configuration'!K303)</f>
        <v/>
      </c>
      <c r="P302" s="21" t="str">
        <f>IF('12 - Device_Configuration'!L303="","",'12 - Device_Configuration'!L303)</f>
        <v/>
      </c>
      <c r="Q302" s="22"/>
      <c r="R302" s="21" t="str">
        <f>IF('12 - Device_Configuration'!AY303="","",'12 - Device_Configuration'!AY303)</f>
        <v/>
      </c>
      <c r="S302" s="21" t="str">
        <f>IF('12 - Device_Configuration'!AX303="","",'12 - Device_Configuration'!AX303)</f>
        <v/>
      </c>
      <c r="T302" s="21" t="str">
        <f>IF('12 - Device_Configuration'!AV303="","",'12 - Device_Configuration'!AV303)</f>
        <v/>
      </c>
      <c r="U302" s="21" t="str">
        <f>IF('12 - Device_Configuration'!AW303="","",'12 - Device_Configuration'!AW303)</f>
        <v/>
      </c>
      <c r="V302" s="21" t="str">
        <f>IF('12 - Device_Configuration'!BA303="","",'12 - Device_Configuration'!BA303)</f>
        <v/>
      </c>
      <c r="W302" s="21" t="str">
        <f>IF('12 - Device_Configuration'!BC303="","",'12 - Device_Configuration'!BC303)</f>
        <v/>
      </c>
      <c r="X302" s="21" t="str">
        <f>IF('12 - Device_Configuration'!BK303="","",'12 - Device_Configuration'!BK303)</f>
        <v/>
      </c>
      <c r="Y302" s="21" t="str">
        <f>IF('12 - Device_Configuration'!BB303="","",'12 - Device_Configuration'!BB303)</f>
        <v/>
      </c>
      <c r="Z302" s="21" t="str">
        <f>IF('12 - Device_Configuration'!P303="","",'12 - Device_Configuration'!P303)</f>
        <v/>
      </c>
      <c r="AA302" s="21" t="str">
        <f>IF('12 - Device_Configuration'!Q303="","",'12 - Device_Configuration'!Q303)</f>
        <v/>
      </c>
    </row>
    <row r="303" spans="1:27">
      <c r="A303" s="22"/>
      <c r="B303" s="22"/>
      <c r="C303" s="21" t="str">
        <f>IF('12 - Device_Configuration'!H304="","",'12 - Device_Configuration'!H304)</f>
        <v/>
      </c>
      <c r="D303" s="21" t="str">
        <f>IF('12 - Device_Configuration'!AE304="","",'12 - Device_Configuration'!AE304)</f>
        <v/>
      </c>
      <c r="E303" s="21" t="str">
        <f>IF('12 - Device_Configuration'!AF304="","",'12 - Device_Configuration'!AF304)</f>
        <v/>
      </c>
      <c r="F303" s="21" t="str">
        <f>IF('12 - Device_Configuration'!AG304="","",'12 - Device_Configuration'!AG304)</f>
        <v/>
      </c>
      <c r="G303" s="21" t="str">
        <f>IF('12 - Device_Configuration'!AH304="","",'12 - Device_Configuration'!AH304)</f>
        <v/>
      </c>
      <c r="H303" s="21" t="str">
        <f>IF('12 - Device_Configuration'!A304="","",'12 - Device_Configuration'!A304)</f>
        <v/>
      </c>
      <c r="I303" s="21" t="str">
        <f>IF('12 - Device_Configuration'!AI304="","",'12 - Device_Configuration'!AI304)</f>
        <v/>
      </c>
      <c r="J303" s="21" t="str">
        <f>IF('12 - Device_Configuration'!AJ304="","",'12 - Device_Configuration'!AJ304)</f>
        <v/>
      </c>
      <c r="K303" s="21" t="str">
        <f>IF('12 - Device_Configuration'!AA304="","",'12 - Device_Configuration'!AA304)</f>
        <v/>
      </c>
      <c r="L303" s="21" t="str">
        <f>IF('12 - Device_Configuration'!I304="","",'12 - Device_Configuration'!I304)</f>
        <v/>
      </c>
      <c r="M303" s="22"/>
      <c r="N303" s="21" t="str">
        <f>IF('12 - Device_Configuration'!J304="","",'12 - Device_Configuration'!J304)</f>
        <v/>
      </c>
      <c r="O303" s="21" t="str">
        <f>IF('12 - Device_Configuration'!K304="","",'12 - Device_Configuration'!K304)</f>
        <v/>
      </c>
      <c r="P303" s="21" t="str">
        <f>IF('12 - Device_Configuration'!L304="","",'12 - Device_Configuration'!L304)</f>
        <v/>
      </c>
      <c r="Q303" s="22"/>
      <c r="R303" s="21" t="str">
        <f>IF('12 - Device_Configuration'!AY304="","",'12 - Device_Configuration'!AY304)</f>
        <v/>
      </c>
      <c r="S303" s="21" t="str">
        <f>IF('12 - Device_Configuration'!AX304="","",'12 - Device_Configuration'!AX304)</f>
        <v/>
      </c>
      <c r="T303" s="21" t="str">
        <f>IF('12 - Device_Configuration'!AV304="","",'12 - Device_Configuration'!AV304)</f>
        <v/>
      </c>
      <c r="U303" s="21" t="str">
        <f>IF('12 - Device_Configuration'!AW304="","",'12 - Device_Configuration'!AW304)</f>
        <v/>
      </c>
      <c r="V303" s="21" t="str">
        <f>IF('12 - Device_Configuration'!BA304="","",'12 - Device_Configuration'!BA304)</f>
        <v/>
      </c>
      <c r="W303" s="21" t="str">
        <f>IF('12 - Device_Configuration'!BC304="","",'12 - Device_Configuration'!BC304)</f>
        <v/>
      </c>
      <c r="X303" s="21" t="str">
        <f>IF('12 - Device_Configuration'!BK304="","",'12 - Device_Configuration'!BK304)</f>
        <v/>
      </c>
      <c r="Y303" s="21" t="str">
        <f>IF('12 - Device_Configuration'!BB304="","",'12 - Device_Configuration'!BB304)</f>
        <v/>
      </c>
      <c r="Z303" s="21" t="str">
        <f>IF('12 - Device_Configuration'!P304="","",'12 - Device_Configuration'!P304)</f>
        <v/>
      </c>
      <c r="AA303" s="21" t="str">
        <f>IF('12 - Device_Configuration'!Q304="","",'12 - Device_Configuration'!Q304)</f>
        <v/>
      </c>
    </row>
    <row r="304" spans="1:27">
      <c r="A304" s="22"/>
      <c r="B304" s="22"/>
      <c r="C304" s="21" t="str">
        <f>IF('12 - Device_Configuration'!H305="","",'12 - Device_Configuration'!H305)</f>
        <v/>
      </c>
      <c r="D304" s="21" t="str">
        <f>IF('12 - Device_Configuration'!AE305="","",'12 - Device_Configuration'!AE305)</f>
        <v/>
      </c>
      <c r="E304" s="21" t="str">
        <f>IF('12 - Device_Configuration'!AF305="","",'12 - Device_Configuration'!AF305)</f>
        <v/>
      </c>
      <c r="F304" s="21" t="str">
        <f>IF('12 - Device_Configuration'!AG305="","",'12 - Device_Configuration'!AG305)</f>
        <v/>
      </c>
      <c r="G304" s="21" t="str">
        <f>IF('12 - Device_Configuration'!AH305="","",'12 - Device_Configuration'!AH305)</f>
        <v/>
      </c>
      <c r="H304" s="21" t="str">
        <f>IF('12 - Device_Configuration'!A305="","",'12 - Device_Configuration'!A305)</f>
        <v/>
      </c>
      <c r="I304" s="21" t="str">
        <f>IF('12 - Device_Configuration'!AI305="","",'12 - Device_Configuration'!AI305)</f>
        <v/>
      </c>
      <c r="J304" s="21" t="str">
        <f>IF('12 - Device_Configuration'!AJ305="","",'12 - Device_Configuration'!AJ305)</f>
        <v/>
      </c>
      <c r="K304" s="21" t="str">
        <f>IF('12 - Device_Configuration'!AA305="","",'12 - Device_Configuration'!AA305)</f>
        <v/>
      </c>
      <c r="L304" s="21" t="str">
        <f>IF('12 - Device_Configuration'!I305="","",'12 - Device_Configuration'!I305)</f>
        <v/>
      </c>
      <c r="M304" s="22"/>
      <c r="N304" s="21" t="str">
        <f>IF('12 - Device_Configuration'!J305="","",'12 - Device_Configuration'!J305)</f>
        <v/>
      </c>
      <c r="O304" s="21" t="str">
        <f>IF('12 - Device_Configuration'!K305="","",'12 - Device_Configuration'!K305)</f>
        <v/>
      </c>
      <c r="P304" s="21" t="str">
        <f>IF('12 - Device_Configuration'!L305="","",'12 - Device_Configuration'!L305)</f>
        <v/>
      </c>
      <c r="Q304" s="22"/>
      <c r="R304" s="21" t="str">
        <f>IF('12 - Device_Configuration'!AY305="","",'12 - Device_Configuration'!AY305)</f>
        <v/>
      </c>
      <c r="S304" s="21" t="str">
        <f>IF('12 - Device_Configuration'!AX305="","",'12 - Device_Configuration'!AX305)</f>
        <v/>
      </c>
      <c r="T304" s="21" t="str">
        <f>IF('12 - Device_Configuration'!AV305="","",'12 - Device_Configuration'!AV305)</f>
        <v/>
      </c>
      <c r="U304" s="21" t="str">
        <f>IF('12 - Device_Configuration'!AW305="","",'12 - Device_Configuration'!AW305)</f>
        <v/>
      </c>
      <c r="V304" s="21" t="str">
        <f>IF('12 - Device_Configuration'!BA305="","",'12 - Device_Configuration'!BA305)</f>
        <v/>
      </c>
      <c r="W304" s="21" t="str">
        <f>IF('12 - Device_Configuration'!BC305="","",'12 - Device_Configuration'!BC305)</f>
        <v/>
      </c>
      <c r="X304" s="21" t="str">
        <f>IF('12 - Device_Configuration'!BK305="","",'12 - Device_Configuration'!BK305)</f>
        <v/>
      </c>
      <c r="Y304" s="21" t="str">
        <f>IF('12 - Device_Configuration'!BB305="","",'12 - Device_Configuration'!BB305)</f>
        <v/>
      </c>
      <c r="Z304" s="21" t="str">
        <f>IF('12 - Device_Configuration'!P305="","",'12 - Device_Configuration'!P305)</f>
        <v/>
      </c>
      <c r="AA304" s="21" t="str">
        <f>IF('12 - Device_Configuration'!Q305="","",'12 - Device_Configuration'!Q305)</f>
        <v/>
      </c>
    </row>
    <row r="305" spans="1:27">
      <c r="A305" s="22"/>
      <c r="B305" s="22"/>
      <c r="C305" s="21" t="str">
        <f>IF('12 - Device_Configuration'!H306="","",'12 - Device_Configuration'!H306)</f>
        <v/>
      </c>
      <c r="D305" s="21" t="str">
        <f>IF('12 - Device_Configuration'!AE306="","",'12 - Device_Configuration'!AE306)</f>
        <v/>
      </c>
      <c r="E305" s="21" t="str">
        <f>IF('12 - Device_Configuration'!AF306="","",'12 - Device_Configuration'!AF306)</f>
        <v/>
      </c>
      <c r="F305" s="21" t="str">
        <f>IF('12 - Device_Configuration'!AG306="","",'12 - Device_Configuration'!AG306)</f>
        <v/>
      </c>
      <c r="G305" s="21" t="str">
        <f>IF('12 - Device_Configuration'!AH306="","",'12 - Device_Configuration'!AH306)</f>
        <v/>
      </c>
      <c r="H305" s="21" t="str">
        <f>IF('12 - Device_Configuration'!A306="","",'12 - Device_Configuration'!A306)</f>
        <v/>
      </c>
      <c r="I305" s="21" t="str">
        <f>IF('12 - Device_Configuration'!AI306="","",'12 - Device_Configuration'!AI306)</f>
        <v/>
      </c>
      <c r="J305" s="21" t="str">
        <f>IF('12 - Device_Configuration'!AJ306="","",'12 - Device_Configuration'!AJ306)</f>
        <v/>
      </c>
      <c r="K305" s="21" t="str">
        <f>IF('12 - Device_Configuration'!AA306="","",'12 - Device_Configuration'!AA306)</f>
        <v/>
      </c>
      <c r="L305" s="21" t="str">
        <f>IF('12 - Device_Configuration'!I306="","",'12 - Device_Configuration'!I306)</f>
        <v/>
      </c>
      <c r="M305" s="22"/>
      <c r="N305" s="21" t="str">
        <f>IF('12 - Device_Configuration'!J306="","",'12 - Device_Configuration'!J306)</f>
        <v/>
      </c>
      <c r="O305" s="21" t="str">
        <f>IF('12 - Device_Configuration'!K306="","",'12 - Device_Configuration'!K306)</f>
        <v/>
      </c>
      <c r="P305" s="21" t="str">
        <f>IF('12 - Device_Configuration'!L306="","",'12 - Device_Configuration'!L306)</f>
        <v/>
      </c>
      <c r="Q305" s="22"/>
      <c r="R305" s="21" t="str">
        <f>IF('12 - Device_Configuration'!AY306="","",'12 - Device_Configuration'!AY306)</f>
        <v/>
      </c>
      <c r="S305" s="21" t="str">
        <f>IF('12 - Device_Configuration'!AX306="","",'12 - Device_Configuration'!AX306)</f>
        <v/>
      </c>
      <c r="T305" s="21" t="str">
        <f>IF('12 - Device_Configuration'!AV306="","",'12 - Device_Configuration'!AV306)</f>
        <v/>
      </c>
      <c r="U305" s="21" t="str">
        <f>IF('12 - Device_Configuration'!AW306="","",'12 - Device_Configuration'!AW306)</f>
        <v/>
      </c>
      <c r="V305" s="21" t="str">
        <f>IF('12 - Device_Configuration'!BA306="","",'12 - Device_Configuration'!BA306)</f>
        <v/>
      </c>
      <c r="W305" s="21" t="str">
        <f>IF('12 - Device_Configuration'!BC306="","",'12 - Device_Configuration'!BC306)</f>
        <v/>
      </c>
      <c r="X305" s="21" t="str">
        <f>IF('12 - Device_Configuration'!BK306="","",'12 - Device_Configuration'!BK306)</f>
        <v/>
      </c>
      <c r="Y305" s="21" t="str">
        <f>IF('12 - Device_Configuration'!BB306="","",'12 - Device_Configuration'!BB306)</f>
        <v/>
      </c>
      <c r="Z305" s="21" t="str">
        <f>IF('12 - Device_Configuration'!P306="","",'12 - Device_Configuration'!P306)</f>
        <v/>
      </c>
      <c r="AA305" s="21" t="str">
        <f>IF('12 - Device_Configuration'!Q306="","",'12 - Device_Configuration'!Q306)</f>
        <v/>
      </c>
    </row>
    <row r="306" spans="1:27">
      <c r="A306" s="22"/>
      <c r="B306" s="22"/>
      <c r="C306" s="21" t="str">
        <f>IF('12 - Device_Configuration'!H307="","",'12 - Device_Configuration'!H307)</f>
        <v/>
      </c>
      <c r="D306" s="21" t="str">
        <f>IF('12 - Device_Configuration'!AE307="","",'12 - Device_Configuration'!AE307)</f>
        <v/>
      </c>
      <c r="E306" s="21" t="str">
        <f>IF('12 - Device_Configuration'!AF307="","",'12 - Device_Configuration'!AF307)</f>
        <v/>
      </c>
      <c r="F306" s="21" t="str">
        <f>IF('12 - Device_Configuration'!AG307="","",'12 - Device_Configuration'!AG307)</f>
        <v/>
      </c>
      <c r="G306" s="21" t="str">
        <f>IF('12 - Device_Configuration'!AH307="","",'12 - Device_Configuration'!AH307)</f>
        <v/>
      </c>
      <c r="H306" s="21" t="str">
        <f>IF('12 - Device_Configuration'!A307="","",'12 - Device_Configuration'!A307)</f>
        <v/>
      </c>
      <c r="I306" s="21" t="str">
        <f>IF('12 - Device_Configuration'!AI307="","",'12 - Device_Configuration'!AI307)</f>
        <v/>
      </c>
      <c r="J306" s="21" t="str">
        <f>IF('12 - Device_Configuration'!AJ307="","",'12 - Device_Configuration'!AJ307)</f>
        <v/>
      </c>
      <c r="K306" s="21" t="str">
        <f>IF('12 - Device_Configuration'!AA307="","",'12 - Device_Configuration'!AA307)</f>
        <v/>
      </c>
      <c r="L306" s="21" t="str">
        <f>IF('12 - Device_Configuration'!I307="","",'12 - Device_Configuration'!I307)</f>
        <v/>
      </c>
      <c r="M306" s="22"/>
      <c r="N306" s="21" t="str">
        <f>IF('12 - Device_Configuration'!J307="","",'12 - Device_Configuration'!J307)</f>
        <v/>
      </c>
      <c r="O306" s="21" t="str">
        <f>IF('12 - Device_Configuration'!K307="","",'12 - Device_Configuration'!K307)</f>
        <v/>
      </c>
      <c r="P306" s="21" t="str">
        <f>IF('12 - Device_Configuration'!L307="","",'12 - Device_Configuration'!L307)</f>
        <v/>
      </c>
      <c r="Q306" s="22"/>
      <c r="R306" s="21" t="str">
        <f>IF('12 - Device_Configuration'!AY307="","",'12 - Device_Configuration'!AY307)</f>
        <v/>
      </c>
      <c r="S306" s="21" t="str">
        <f>IF('12 - Device_Configuration'!AX307="","",'12 - Device_Configuration'!AX307)</f>
        <v/>
      </c>
      <c r="T306" s="21" t="str">
        <f>IF('12 - Device_Configuration'!AV307="","",'12 - Device_Configuration'!AV307)</f>
        <v/>
      </c>
      <c r="U306" s="21" t="str">
        <f>IF('12 - Device_Configuration'!AW307="","",'12 - Device_Configuration'!AW307)</f>
        <v/>
      </c>
      <c r="V306" s="21" t="str">
        <f>IF('12 - Device_Configuration'!BA307="","",'12 - Device_Configuration'!BA307)</f>
        <v/>
      </c>
      <c r="W306" s="21" t="str">
        <f>IF('12 - Device_Configuration'!BC307="","",'12 - Device_Configuration'!BC307)</f>
        <v/>
      </c>
      <c r="X306" s="21" t="str">
        <f>IF('12 - Device_Configuration'!BK307="","",'12 - Device_Configuration'!BK307)</f>
        <v/>
      </c>
      <c r="Y306" s="21" t="str">
        <f>IF('12 - Device_Configuration'!BB307="","",'12 - Device_Configuration'!BB307)</f>
        <v/>
      </c>
      <c r="Z306" s="21" t="str">
        <f>IF('12 - Device_Configuration'!P307="","",'12 - Device_Configuration'!P307)</f>
        <v/>
      </c>
      <c r="AA306" s="21" t="str">
        <f>IF('12 - Device_Configuration'!Q307="","",'12 - Device_Configuration'!Q307)</f>
        <v/>
      </c>
    </row>
    <row r="307" spans="1:27">
      <c r="A307" s="22"/>
      <c r="B307" s="22"/>
      <c r="C307" s="21" t="str">
        <f>IF('12 - Device_Configuration'!H308="","",'12 - Device_Configuration'!H308)</f>
        <v/>
      </c>
      <c r="D307" s="21" t="str">
        <f>IF('12 - Device_Configuration'!AE308="","",'12 - Device_Configuration'!AE308)</f>
        <v/>
      </c>
      <c r="E307" s="21" t="str">
        <f>IF('12 - Device_Configuration'!AF308="","",'12 - Device_Configuration'!AF308)</f>
        <v/>
      </c>
      <c r="F307" s="21" t="str">
        <f>IF('12 - Device_Configuration'!AG308="","",'12 - Device_Configuration'!AG308)</f>
        <v/>
      </c>
      <c r="G307" s="21" t="str">
        <f>IF('12 - Device_Configuration'!AH308="","",'12 - Device_Configuration'!AH308)</f>
        <v/>
      </c>
      <c r="H307" s="21" t="str">
        <f>IF('12 - Device_Configuration'!A308="","",'12 - Device_Configuration'!A308)</f>
        <v/>
      </c>
      <c r="I307" s="21" t="str">
        <f>IF('12 - Device_Configuration'!AI308="","",'12 - Device_Configuration'!AI308)</f>
        <v/>
      </c>
      <c r="J307" s="21" t="str">
        <f>IF('12 - Device_Configuration'!AJ308="","",'12 - Device_Configuration'!AJ308)</f>
        <v/>
      </c>
      <c r="K307" s="21" t="str">
        <f>IF('12 - Device_Configuration'!AA308="","",'12 - Device_Configuration'!AA308)</f>
        <v/>
      </c>
      <c r="L307" s="21" t="str">
        <f>IF('12 - Device_Configuration'!I308="","",'12 - Device_Configuration'!I308)</f>
        <v/>
      </c>
      <c r="M307" s="22"/>
      <c r="N307" s="21" t="str">
        <f>IF('12 - Device_Configuration'!J308="","",'12 - Device_Configuration'!J308)</f>
        <v/>
      </c>
      <c r="O307" s="21" t="str">
        <f>IF('12 - Device_Configuration'!K308="","",'12 - Device_Configuration'!K308)</f>
        <v/>
      </c>
      <c r="P307" s="21" t="str">
        <f>IF('12 - Device_Configuration'!L308="","",'12 - Device_Configuration'!L308)</f>
        <v/>
      </c>
      <c r="Q307" s="22"/>
      <c r="R307" s="21" t="str">
        <f>IF('12 - Device_Configuration'!AY308="","",'12 - Device_Configuration'!AY308)</f>
        <v/>
      </c>
      <c r="S307" s="21" t="str">
        <f>IF('12 - Device_Configuration'!AX308="","",'12 - Device_Configuration'!AX308)</f>
        <v/>
      </c>
      <c r="T307" s="21" t="str">
        <f>IF('12 - Device_Configuration'!AV308="","",'12 - Device_Configuration'!AV308)</f>
        <v/>
      </c>
      <c r="U307" s="21" t="str">
        <f>IF('12 - Device_Configuration'!AW308="","",'12 - Device_Configuration'!AW308)</f>
        <v/>
      </c>
      <c r="V307" s="21" t="str">
        <f>IF('12 - Device_Configuration'!BA308="","",'12 - Device_Configuration'!BA308)</f>
        <v/>
      </c>
      <c r="W307" s="21" t="str">
        <f>IF('12 - Device_Configuration'!BC308="","",'12 - Device_Configuration'!BC308)</f>
        <v/>
      </c>
      <c r="X307" s="21" t="str">
        <f>IF('12 - Device_Configuration'!BK308="","",'12 - Device_Configuration'!BK308)</f>
        <v/>
      </c>
      <c r="Y307" s="21" t="str">
        <f>IF('12 - Device_Configuration'!BB308="","",'12 - Device_Configuration'!BB308)</f>
        <v/>
      </c>
      <c r="Z307" s="21" t="str">
        <f>IF('12 - Device_Configuration'!P308="","",'12 - Device_Configuration'!P308)</f>
        <v/>
      </c>
      <c r="AA307" s="21" t="str">
        <f>IF('12 - Device_Configuration'!Q308="","",'12 - Device_Configuration'!Q308)</f>
        <v/>
      </c>
    </row>
    <row r="308" spans="1:27">
      <c r="A308" s="22"/>
      <c r="B308" s="22"/>
      <c r="C308" s="21" t="str">
        <f>IF('12 - Device_Configuration'!H309="","",'12 - Device_Configuration'!H309)</f>
        <v/>
      </c>
      <c r="D308" s="21" t="str">
        <f>IF('12 - Device_Configuration'!AE309="","",'12 - Device_Configuration'!AE309)</f>
        <v/>
      </c>
      <c r="E308" s="21" t="str">
        <f>IF('12 - Device_Configuration'!AF309="","",'12 - Device_Configuration'!AF309)</f>
        <v/>
      </c>
      <c r="F308" s="21" t="str">
        <f>IF('12 - Device_Configuration'!AG309="","",'12 - Device_Configuration'!AG309)</f>
        <v/>
      </c>
      <c r="G308" s="21" t="str">
        <f>IF('12 - Device_Configuration'!AH309="","",'12 - Device_Configuration'!AH309)</f>
        <v/>
      </c>
      <c r="H308" s="21" t="str">
        <f>IF('12 - Device_Configuration'!A309="","",'12 - Device_Configuration'!A309)</f>
        <v/>
      </c>
      <c r="I308" s="21" t="str">
        <f>IF('12 - Device_Configuration'!AI309="","",'12 - Device_Configuration'!AI309)</f>
        <v/>
      </c>
      <c r="J308" s="21" t="str">
        <f>IF('12 - Device_Configuration'!AJ309="","",'12 - Device_Configuration'!AJ309)</f>
        <v/>
      </c>
      <c r="K308" s="21" t="str">
        <f>IF('12 - Device_Configuration'!AA309="","",'12 - Device_Configuration'!AA309)</f>
        <v/>
      </c>
      <c r="L308" s="21" t="str">
        <f>IF('12 - Device_Configuration'!I309="","",'12 - Device_Configuration'!I309)</f>
        <v/>
      </c>
      <c r="M308" s="22"/>
      <c r="N308" s="21" t="str">
        <f>IF('12 - Device_Configuration'!J309="","",'12 - Device_Configuration'!J309)</f>
        <v/>
      </c>
      <c r="O308" s="21" t="str">
        <f>IF('12 - Device_Configuration'!K309="","",'12 - Device_Configuration'!K309)</f>
        <v/>
      </c>
      <c r="P308" s="21" t="str">
        <f>IF('12 - Device_Configuration'!L309="","",'12 - Device_Configuration'!L309)</f>
        <v/>
      </c>
      <c r="Q308" s="22"/>
      <c r="R308" s="21" t="str">
        <f>IF('12 - Device_Configuration'!AY309="","",'12 - Device_Configuration'!AY309)</f>
        <v/>
      </c>
      <c r="S308" s="21" t="str">
        <f>IF('12 - Device_Configuration'!AX309="","",'12 - Device_Configuration'!AX309)</f>
        <v/>
      </c>
      <c r="T308" s="21" t="str">
        <f>IF('12 - Device_Configuration'!AV309="","",'12 - Device_Configuration'!AV309)</f>
        <v/>
      </c>
      <c r="U308" s="21" t="str">
        <f>IF('12 - Device_Configuration'!AW309="","",'12 - Device_Configuration'!AW309)</f>
        <v/>
      </c>
      <c r="V308" s="21" t="str">
        <f>IF('12 - Device_Configuration'!BA309="","",'12 - Device_Configuration'!BA309)</f>
        <v/>
      </c>
      <c r="W308" s="21" t="str">
        <f>IF('12 - Device_Configuration'!BC309="","",'12 - Device_Configuration'!BC309)</f>
        <v/>
      </c>
      <c r="X308" s="21" t="str">
        <f>IF('12 - Device_Configuration'!BK309="","",'12 - Device_Configuration'!BK309)</f>
        <v/>
      </c>
      <c r="Y308" s="21" t="str">
        <f>IF('12 - Device_Configuration'!BB309="","",'12 - Device_Configuration'!BB309)</f>
        <v/>
      </c>
      <c r="Z308" s="21" t="str">
        <f>IF('12 - Device_Configuration'!P309="","",'12 - Device_Configuration'!P309)</f>
        <v/>
      </c>
      <c r="AA308" s="21" t="str">
        <f>IF('12 - Device_Configuration'!Q309="","",'12 - Device_Configuration'!Q309)</f>
        <v/>
      </c>
    </row>
    <row r="309" spans="1:27">
      <c r="A309" s="22"/>
      <c r="B309" s="22"/>
      <c r="C309" s="21" t="str">
        <f>IF('12 - Device_Configuration'!H310="","",'12 - Device_Configuration'!H310)</f>
        <v/>
      </c>
      <c r="D309" s="21" t="str">
        <f>IF('12 - Device_Configuration'!AE310="","",'12 - Device_Configuration'!AE310)</f>
        <v/>
      </c>
      <c r="E309" s="21" t="str">
        <f>IF('12 - Device_Configuration'!AF310="","",'12 - Device_Configuration'!AF310)</f>
        <v/>
      </c>
      <c r="F309" s="21" t="str">
        <f>IF('12 - Device_Configuration'!AG310="","",'12 - Device_Configuration'!AG310)</f>
        <v/>
      </c>
      <c r="G309" s="21" t="str">
        <f>IF('12 - Device_Configuration'!AH310="","",'12 - Device_Configuration'!AH310)</f>
        <v/>
      </c>
      <c r="H309" s="21" t="str">
        <f>IF('12 - Device_Configuration'!A310="","",'12 - Device_Configuration'!A310)</f>
        <v/>
      </c>
      <c r="I309" s="21" t="str">
        <f>IF('12 - Device_Configuration'!AI310="","",'12 - Device_Configuration'!AI310)</f>
        <v/>
      </c>
      <c r="J309" s="21" t="str">
        <f>IF('12 - Device_Configuration'!AJ310="","",'12 - Device_Configuration'!AJ310)</f>
        <v/>
      </c>
      <c r="K309" s="21" t="str">
        <f>IF('12 - Device_Configuration'!AA310="","",'12 - Device_Configuration'!AA310)</f>
        <v/>
      </c>
      <c r="L309" s="21" t="str">
        <f>IF('12 - Device_Configuration'!I310="","",'12 - Device_Configuration'!I310)</f>
        <v/>
      </c>
      <c r="M309" s="22"/>
      <c r="N309" s="21" t="str">
        <f>IF('12 - Device_Configuration'!J310="","",'12 - Device_Configuration'!J310)</f>
        <v/>
      </c>
      <c r="O309" s="21" t="str">
        <f>IF('12 - Device_Configuration'!K310="","",'12 - Device_Configuration'!K310)</f>
        <v/>
      </c>
      <c r="P309" s="21" t="str">
        <f>IF('12 - Device_Configuration'!L310="","",'12 - Device_Configuration'!L310)</f>
        <v/>
      </c>
      <c r="Q309" s="22"/>
      <c r="R309" s="21" t="str">
        <f>IF('12 - Device_Configuration'!AY310="","",'12 - Device_Configuration'!AY310)</f>
        <v/>
      </c>
      <c r="S309" s="21" t="str">
        <f>IF('12 - Device_Configuration'!AX310="","",'12 - Device_Configuration'!AX310)</f>
        <v/>
      </c>
      <c r="T309" s="21" t="str">
        <f>IF('12 - Device_Configuration'!AV310="","",'12 - Device_Configuration'!AV310)</f>
        <v/>
      </c>
      <c r="U309" s="21" t="str">
        <f>IF('12 - Device_Configuration'!AW310="","",'12 - Device_Configuration'!AW310)</f>
        <v/>
      </c>
      <c r="V309" s="21" t="str">
        <f>IF('12 - Device_Configuration'!BA310="","",'12 - Device_Configuration'!BA310)</f>
        <v/>
      </c>
      <c r="W309" s="21" t="str">
        <f>IF('12 - Device_Configuration'!BC310="","",'12 - Device_Configuration'!BC310)</f>
        <v/>
      </c>
      <c r="X309" s="21" t="str">
        <f>IF('12 - Device_Configuration'!BK310="","",'12 - Device_Configuration'!BK310)</f>
        <v/>
      </c>
      <c r="Y309" s="21" t="str">
        <f>IF('12 - Device_Configuration'!BB310="","",'12 - Device_Configuration'!BB310)</f>
        <v/>
      </c>
      <c r="Z309" s="21" t="str">
        <f>IF('12 - Device_Configuration'!P310="","",'12 - Device_Configuration'!P310)</f>
        <v/>
      </c>
      <c r="AA309" s="21" t="str">
        <f>IF('12 - Device_Configuration'!Q310="","",'12 - Device_Configuration'!Q310)</f>
        <v/>
      </c>
    </row>
    <row r="310" spans="1:27">
      <c r="A310" s="22"/>
      <c r="B310" s="22"/>
      <c r="C310" s="21" t="str">
        <f>IF('12 - Device_Configuration'!H311="","",'12 - Device_Configuration'!H311)</f>
        <v/>
      </c>
      <c r="D310" s="21" t="str">
        <f>IF('12 - Device_Configuration'!AE311="","",'12 - Device_Configuration'!AE311)</f>
        <v/>
      </c>
      <c r="E310" s="21" t="str">
        <f>IF('12 - Device_Configuration'!AF311="","",'12 - Device_Configuration'!AF311)</f>
        <v/>
      </c>
      <c r="F310" s="21" t="str">
        <f>IF('12 - Device_Configuration'!AG311="","",'12 - Device_Configuration'!AG311)</f>
        <v/>
      </c>
      <c r="G310" s="21" t="str">
        <f>IF('12 - Device_Configuration'!AH311="","",'12 - Device_Configuration'!AH311)</f>
        <v/>
      </c>
      <c r="H310" s="21" t="str">
        <f>IF('12 - Device_Configuration'!A311="","",'12 - Device_Configuration'!A311)</f>
        <v/>
      </c>
      <c r="I310" s="21" t="str">
        <f>IF('12 - Device_Configuration'!AI311="","",'12 - Device_Configuration'!AI311)</f>
        <v/>
      </c>
      <c r="J310" s="21" t="str">
        <f>IF('12 - Device_Configuration'!AJ311="","",'12 - Device_Configuration'!AJ311)</f>
        <v/>
      </c>
      <c r="K310" s="21" t="str">
        <f>IF('12 - Device_Configuration'!AA311="","",'12 - Device_Configuration'!AA311)</f>
        <v/>
      </c>
      <c r="L310" s="21" t="str">
        <f>IF('12 - Device_Configuration'!I311="","",'12 - Device_Configuration'!I311)</f>
        <v/>
      </c>
      <c r="M310" s="22"/>
      <c r="N310" s="21" t="str">
        <f>IF('12 - Device_Configuration'!J311="","",'12 - Device_Configuration'!J311)</f>
        <v/>
      </c>
      <c r="O310" s="21" t="str">
        <f>IF('12 - Device_Configuration'!K311="","",'12 - Device_Configuration'!K311)</f>
        <v/>
      </c>
      <c r="P310" s="21" t="str">
        <f>IF('12 - Device_Configuration'!L311="","",'12 - Device_Configuration'!L311)</f>
        <v/>
      </c>
      <c r="Q310" s="22"/>
      <c r="R310" s="21" t="str">
        <f>IF('12 - Device_Configuration'!AY311="","",'12 - Device_Configuration'!AY311)</f>
        <v/>
      </c>
      <c r="S310" s="21" t="str">
        <f>IF('12 - Device_Configuration'!AX311="","",'12 - Device_Configuration'!AX311)</f>
        <v/>
      </c>
      <c r="T310" s="21" t="str">
        <f>IF('12 - Device_Configuration'!AV311="","",'12 - Device_Configuration'!AV311)</f>
        <v/>
      </c>
      <c r="U310" s="21" t="str">
        <f>IF('12 - Device_Configuration'!AW311="","",'12 - Device_Configuration'!AW311)</f>
        <v/>
      </c>
      <c r="V310" s="21" t="str">
        <f>IF('12 - Device_Configuration'!BA311="","",'12 - Device_Configuration'!BA311)</f>
        <v/>
      </c>
      <c r="W310" s="21" t="str">
        <f>IF('12 - Device_Configuration'!BC311="","",'12 - Device_Configuration'!BC311)</f>
        <v/>
      </c>
      <c r="X310" s="21" t="str">
        <f>IF('12 - Device_Configuration'!BK311="","",'12 - Device_Configuration'!BK311)</f>
        <v/>
      </c>
      <c r="Y310" s="21" t="str">
        <f>IF('12 - Device_Configuration'!BB311="","",'12 - Device_Configuration'!BB311)</f>
        <v/>
      </c>
      <c r="Z310" s="21" t="str">
        <f>IF('12 - Device_Configuration'!P311="","",'12 - Device_Configuration'!P311)</f>
        <v/>
      </c>
      <c r="AA310" s="21" t="str">
        <f>IF('12 - Device_Configuration'!Q311="","",'12 - Device_Configuration'!Q311)</f>
        <v/>
      </c>
    </row>
    <row r="311" spans="1:27">
      <c r="A311" s="22"/>
      <c r="B311" s="22"/>
      <c r="C311" s="21" t="str">
        <f>IF('12 - Device_Configuration'!H312="","",'12 - Device_Configuration'!H312)</f>
        <v/>
      </c>
      <c r="D311" s="21" t="str">
        <f>IF('12 - Device_Configuration'!AE312="","",'12 - Device_Configuration'!AE312)</f>
        <v/>
      </c>
      <c r="E311" s="21" t="str">
        <f>IF('12 - Device_Configuration'!AF312="","",'12 - Device_Configuration'!AF312)</f>
        <v/>
      </c>
      <c r="F311" s="21" t="str">
        <f>IF('12 - Device_Configuration'!AG312="","",'12 - Device_Configuration'!AG312)</f>
        <v/>
      </c>
      <c r="G311" s="21" t="str">
        <f>IF('12 - Device_Configuration'!AH312="","",'12 - Device_Configuration'!AH312)</f>
        <v/>
      </c>
      <c r="H311" s="21" t="str">
        <f>IF('12 - Device_Configuration'!A312="","",'12 - Device_Configuration'!A312)</f>
        <v/>
      </c>
      <c r="I311" s="21" t="str">
        <f>IF('12 - Device_Configuration'!AI312="","",'12 - Device_Configuration'!AI312)</f>
        <v/>
      </c>
      <c r="J311" s="21" t="str">
        <f>IF('12 - Device_Configuration'!AJ312="","",'12 - Device_Configuration'!AJ312)</f>
        <v/>
      </c>
      <c r="K311" s="21" t="str">
        <f>IF('12 - Device_Configuration'!AA312="","",'12 - Device_Configuration'!AA312)</f>
        <v/>
      </c>
      <c r="L311" s="21" t="str">
        <f>IF('12 - Device_Configuration'!I312="","",'12 - Device_Configuration'!I312)</f>
        <v/>
      </c>
      <c r="M311" s="22"/>
      <c r="N311" s="21" t="str">
        <f>IF('12 - Device_Configuration'!J312="","",'12 - Device_Configuration'!J312)</f>
        <v/>
      </c>
      <c r="O311" s="21" t="str">
        <f>IF('12 - Device_Configuration'!K312="","",'12 - Device_Configuration'!K312)</f>
        <v/>
      </c>
      <c r="P311" s="21" t="str">
        <f>IF('12 - Device_Configuration'!L312="","",'12 - Device_Configuration'!L312)</f>
        <v/>
      </c>
      <c r="Q311" s="22"/>
      <c r="R311" s="21" t="str">
        <f>IF('12 - Device_Configuration'!AY312="","",'12 - Device_Configuration'!AY312)</f>
        <v/>
      </c>
      <c r="S311" s="21" t="str">
        <f>IF('12 - Device_Configuration'!AX312="","",'12 - Device_Configuration'!AX312)</f>
        <v/>
      </c>
      <c r="T311" s="21" t="str">
        <f>IF('12 - Device_Configuration'!AV312="","",'12 - Device_Configuration'!AV312)</f>
        <v/>
      </c>
      <c r="U311" s="21" t="str">
        <f>IF('12 - Device_Configuration'!AW312="","",'12 - Device_Configuration'!AW312)</f>
        <v/>
      </c>
      <c r="V311" s="21" t="str">
        <f>IF('12 - Device_Configuration'!BA312="","",'12 - Device_Configuration'!BA312)</f>
        <v/>
      </c>
      <c r="W311" s="21" t="str">
        <f>IF('12 - Device_Configuration'!BC312="","",'12 - Device_Configuration'!BC312)</f>
        <v/>
      </c>
      <c r="X311" s="21" t="str">
        <f>IF('12 - Device_Configuration'!BK312="","",'12 - Device_Configuration'!BK312)</f>
        <v/>
      </c>
      <c r="Y311" s="21" t="str">
        <f>IF('12 - Device_Configuration'!BB312="","",'12 - Device_Configuration'!BB312)</f>
        <v/>
      </c>
      <c r="Z311" s="21" t="str">
        <f>IF('12 - Device_Configuration'!P312="","",'12 - Device_Configuration'!P312)</f>
        <v/>
      </c>
      <c r="AA311" s="21" t="str">
        <f>IF('12 - Device_Configuration'!Q312="","",'12 - Device_Configuration'!Q312)</f>
        <v/>
      </c>
    </row>
    <row r="312" spans="1:27">
      <c r="A312" s="22"/>
      <c r="B312" s="22"/>
      <c r="C312" s="21" t="str">
        <f>IF('12 - Device_Configuration'!H313="","",'12 - Device_Configuration'!H313)</f>
        <v/>
      </c>
      <c r="D312" s="21" t="str">
        <f>IF('12 - Device_Configuration'!AE313="","",'12 - Device_Configuration'!AE313)</f>
        <v/>
      </c>
      <c r="E312" s="21" t="str">
        <f>IF('12 - Device_Configuration'!AF313="","",'12 - Device_Configuration'!AF313)</f>
        <v/>
      </c>
      <c r="F312" s="21" t="str">
        <f>IF('12 - Device_Configuration'!AG313="","",'12 - Device_Configuration'!AG313)</f>
        <v/>
      </c>
      <c r="G312" s="21" t="str">
        <f>IF('12 - Device_Configuration'!AH313="","",'12 - Device_Configuration'!AH313)</f>
        <v/>
      </c>
      <c r="H312" s="21" t="str">
        <f>IF('12 - Device_Configuration'!A313="","",'12 - Device_Configuration'!A313)</f>
        <v/>
      </c>
      <c r="I312" s="21" t="str">
        <f>IF('12 - Device_Configuration'!AI313="","",'12 - Device_Configuration'!AI313)</f>
        <v/>
      </c>
      <c r="J312" s="21" t="str">
        <f>IF('12 - Device_Configuration'!AJ313="","",'12 - Device_Configuration'!AJ313)</f>
        <v/>
      </c>
      <c r="K312" s="21" t="str">
        <f>IF('12 - Device_Configuration'!AA313="","",'12 - Device_Configuration'!AA313)</f>
        <v/>
      </c>
      <c r="L312" s="21" t="str">
        <f>IF('12 - Device_Configuration'!I313="","",'12 - Device_Configuration'!I313)</f>
        <v/>
      </c>
      <c r="M312" s="22"/>
      <c r="N312" s="21" t="str">
        <f>IF('12 - Device_Configuration'!J313="","",'12 - Device_Configuration'!J313)</f>
        <v/>
      </c>
      <c r="O312" s="21" t="str">
        <f>IF('12 - Device_Configuration'!K313="","",'12 - Device_Configuration'!K313)</f>
        <v/>
      </c>
      <c r="P312" s="21" t="str">
        <f>IF('12 - Device_Configuration'!L313="","",'12 - Device_Configuration'!L313)</f>
        <v/>
      </c>
      <c r="Q312" s="22"/>
      <c r="R312" s="21" t="str">
        <f>IF('12 - Device_Configuration'!AY313="","",'12 - Device_Configuration'!AY313)</f>
        <v/>
      </c>
      <c r="S312" s="21" t="str">
        <f>IF('12 - Device_Configuration'!AX313="","",'12 - Device_Configuration'!AX313)</f>
        <v/>
      </c>
      <c r="T312" s="21" t="str">
        <f>IF('12 - Device_Configuration'!AV313="","",'12 - Device_Configuration'!AV313)</f>
        <v/>
      </c>
      <c r="U312" s="21" t="str">
        <f>IF('12 - Device_Configuration'!AW313="","",'12 - Device_Configuration'!AW313)</f>
        <v/>
      </c>
      <c r="V312" s="21" t="str">
        <f>IF('12 - Device_Configuration'!BA313="","",'12 - Device_Configuration'!BA313)</f>
        <v/>
      </c>
      <c r="W312" s="21" t="str">
        <f>IF('12 - Device_Configuration'!BC313="","",'12 - Device_Configuration'!BC313)</f>
        <v/>
      </c>
      <c r="X312" s="21" t="str">
        <f>IF('12 - Device_Configuration'!BK313="","",'12 - Device_Configuration'!BK313)</f>
        <v/>
      </c>
      <c r="Y312" s="21" t="str">
        <f>IF('12 - Device_Configuration'!BB313="","",'12 - Device_Configuration'!BB313)</f>
        <v/>
      </c>
      <c r="Z312" s="21" t="str">
        <f>IF('12 - Device_Configuration'!P313="","",'12 - Device_Configuration'!P313)</f>
        <v/>
      </c>
      <c r="AA312" s="21" t="str">
        <f>IF('12 - Device_Configuration'!Q313="","",'12 - Device_Configuration'!Q313)</f>
        <v/>
      </c>
    </row>
    <row r="313" spans="1:27">
      <c r="A313" s="22"/>
      <c r="B313" s="22"/>
      <c r="C313" s="21" t="str">
        <f>IF('12 - Device_Configuration'!H314="","",'12 - Device_Configuration'!H314)</f>
        <v/>
      </c>
      <c r="D313" s="21" t="str">
        <f>IF('12 - Device_Configuration'!AE314="","",'12 - Device_Configuration'!AE314)</f>
        <v/>
      </c>
      <c r="E313" s="21" t="str">
        <f>IF('12 - Device_Configuration'!AF314="","",'12 - Device_Configuration'!AF314)</f>
        <v/>
      </c>
      <c r="F313" s="21" t="str">
        <f>IF('12 - Device_Configuration'!AG314="","",'12 - Device_Configuration'!AG314)</f>
        <v/>
      </c>
      <c r="G313" s="21" t="str">
        <f>IF('12 - Device_Configuration'!AH314="","",'12 - Device_Configuration'!AH314)</f>
        <v/>
      </c>
      <c r="H313" s="21" t="str">
        <f>IF('12 - Device_Configuration'!A314="","",'12 - Device_Configuration'!A314)</f>
        <v/>
      </c>
      <c r="I313" s="21" t="str">
        <f>IF('12 - Device_Configuration'!AI314="","",'12 - Device_Configuration'!AI314)</f>
        <v/>
      </c>
      <c r="J313" s="21" t="str">
        <f>IF('12 - Device_Configuration'!AJ314="","",'12 - Device_Configuration'!AJ314)</f>
        <v/>
      </c>
      <c r="K313" s="21" t="str">
        <f>IF('12 - Device_Configuration'!AA314="","",'12 - Device_Configuration'!AA314)</f>
        <v/>
      </c>
      <c r="L313" s="21" t="str">
        <f>IF('12 - Device_Configuration'!I314="","",'12 - Device_Configuration'!I314)</f>
        <v/>
      </c>
      <c r="M313" s="22"/>
      <c r="N313" s="21" t="str">
        <f>IF('12 - Device_Configuration'!J314="","",'12 - Device_Configuration'!J314)</f>
        <v/>
      </c>
      <c r="O313" s="21" t="str">
        <f>IF('12 - Device_Configuration'!K314="","",'12 - Device_Configuration'!K314)</f>
        <v/>
      </c>
      <c r="P313" s="21" t="str">
        <f>IF('12 - Device_Configuration'!L314="","",'12 - Device_Configuration'!L314)</f>
        <v/>
      </c>
      <c r="Q313" s="22"/>
      <c r="R313" s="21" t="str">
        <f>IF('12 - Device_Configuration'!AY314="","",'12 - Device_Configuration'!AY314)</f>
        <v/>
      </c>
      <c r="S313" s="21" t="str">
        <f>IF('12 - Device_Configuration'!AX314="","",'12 - Device_Configuration'!AX314)</f>
        <v/>
      </c>
      <c r="T313" s="21" t="str">
        <f>IF('12 - Device_Configuration'!AV314="","",'12 - Device_Configuration'!AV314)</f>
        <v/>
      </c>
      <c r="U313" s="21" t="str">
        <f>IF('12 - Device_Configuration'!AW314="","",'12 - Device_Configuration'!AW314)</f>
        <v/>
      </c>
      <c r="V313" s="21" t="str">
        <f>IF('12 - Device_Configuration'!BA314="","",'12 - Device_Configuration'!BA314)</f>
        <v/>
      </c>
      <c r="W313" s="21" t="str">
        <f>IF('12 - Device_Configuration'!BC314="","",'12 - Device_Configuration'!BC314)</f>
        <v/>
      </c>
      <c r="X313" s="21" t="str">
        <f>IF('12 - Device_Configuration'!BK314="","",'12 - Device_Configuration'!BK314)</f>
        <v/>
      </c>
      <c r="Y313" s="21" t="str">
        <f>IF('12 - Device_Configuration'!BB314="","",'12 - Device_Configuration'!BB314)</f>
        <v/>
      </c>
      <c r="Z313" s="21" t="str">
        <f>IF('12 - Device_Configuration'!P314="","",'12 - Device_Configuration'!P314)</f>
        <v/>
      </c>
      <c r="AA313" s="21" t="str">
        <f>IF('12 - Device_Configuration'!Q314="","",'12 - Device_Configuration'!Q314)</f>
        <v/>
      </c>
    </row>
    <row r="314" spans="1:27">
      <c r="A314" s="22"/>
      <c r="B314" s="22"/>
      <c r="C314" s="21" t="str">
        <f>IF('12 - Device_Configuration'!H315="","",'12 - Device_Configuration'!H315)</f>
        <v/>
      </c>
      <c r="D314" s="21" t="str">
        <f>IF('12 - Device_Configuration'!AE315="","",'12 - Device_Configuration'!AE315)</f>
        <v/>
      </c>
      <c r="E314" s="21" t="str">
        <f>IF('12 - Device_Configuration'!AF315="","",'12 - Device_Configuration'!AF315)</f>
        <v/>
      </c>
      <c r="F314" s="21" t="str">
        <f>IF('12 - Device_Configuration'!AG315="","",'12 - Device_Configuration'!AG315)</f>
        <v/>
      </c>
      <c r="G314" s="21" t="str">
        <f>IF('12 - Device_Configuration'!AH315="","",'12 - Device_Configuration'!AH315)</f>
        <v/>
      </c>
      <c r="H314" s="21" t="str">
        <f>IF('12 - Device_Configuration'!A315="","",'12 - Device_Configuration'!A315)</f>
        <v/>
      </c>
      <c r="I314" s="21" t="str">
        <f>IF('12 - Device_Configuration'!AI315="","",'12 - Device_Configuration'!AI315)</f>
        <v/>
      </c>
      <c r="J314" s="21" t="str">
        <f>IF('12 - Device_Configuration'!AJ315="","",'12 - Device_Configuration'!AJ315)</f>
        <v/>
      </c>
      <c r="K314" s="21" t="str">
        <f>IF('12 - Device_Configuration'!AA315="","",'12 - Device_Configuration'!AA315)</f>
        <v/>
      </c>
      <c r="L314" s="21" t="str">
        <f>IF('12 - Device_Configuration'!I315="","",'12 - Device_Configuration'!I315)</f>
        <v/>
      </c>
      <c r="M314" s="22"/>
      <c r="N314" s="21" t="str">
        <f>IF('12 - Device_Configuration'!J315="","",'12 - Device_Configuration'!J315)</f>
        <v/>
      </c>
      <c r="O314" s="21" t="str">
        <f>IF('12 - Device_Configuration'!K315="","",'12 - Device_Configuration'!K315)</f>
        <v/>
      </c>
      <c r="P314" s="21" t="str">
        <f>IF('12 - Device_Configuration'!L315="","",'12 - Device_Configuration'!L315)</f>
        <v/>
      </c>
      <c r="Q314" s="22"/>
      <c r="R314" s="21" t="str">
        <f>IF('12 - Device_Configuration'!AY315="","",'12 - Device_Configuration'!AY315)</f>
        <v/>
      </c>
      <c r="S314" s="21" t="str">
        <f>IF('12 - Device_Configuration'!AX315="","",'12 - Device_Configuration'!AX315)</f>
        <v/>
      </c>
      <c r="T314" s="21" t="str">
        <f>IF('12 - Device_Configuration'!AV315="","",'12 - Device_Configuration'!AV315)</f>
        <v/>
      </c>
      <c r="U314" s="21" t="str">
        <f>IF('12 - Device_Configuration'!AW315="","",'12 - Device_Configuration'!AW315)</f>
        <v/>
      </c>
      <c r="V314" s="21" t="str">
        <f>IF('12 - Device_Configuration'!BA315="","",'12 - Device_Configuration'!BA315)</f>
        <v/>
      </c>
      <c r="W314" s="21" t="str">
        <f>IF('12 - Device_Configuration'!BC315="","",'12 - Device_Configuration'!BC315)</f>
        <v/>
      </c>
      <c r="X314" s="21" t="str">
        <f>IF('12 - Device_Configuration'!BK315="","",'12 - Device_Configuration'!BK315)</f>
        <v/>
      </c>
      <c r="Y314" s="21" t="str">
        <f>IF('12 - Device_Configuration'!BB315="","",'12 - Device_Configuration'!BB315)</f>
        <v/>
      </c>
      <c r="Z314" s="21" t="str">
        <f>IF('12 - Device_Configuration'!P315="","",'12 - Device_Configuration'!P315)</f>
        <v/>
      </c>
      <c r="AA314" s="21" t="str">
        <f>IF('12 - Device_Configuration'!Q315="","",'12 - Device_Configuration'!Q315)</f>
        <v/>
      </c>
    </row>
    <row r="315" spans="1:27">
      <c r="A315" s="22"/>
      <c r="B315" s="22"/>
      <c r="C315" s="21" t="str">
        <f>IF('12 - Device_Configuration'!H316="","",'12 - Device_Configuration'!H316)</f>
        <v/>
      </c>
      <c r="D315" s="21" t="str">
        <f>IF('12 - Device_Configuration'!AE316="","",'12 - Device_Configuration'!AE316)</f>
        <v/>
      </c>
      <c r="E315" s="21" t="str">
        <f>IF('12 - Device_Configuration'!AF316="","",'12 - Device_Configuration'!AF316)</f>
        <v/>
      </c>
      <c r="F315" s="21" t="str">
        <f>IF('12 - Device_Configuration'!AG316="","",'12 - Device_Configuration'!AG316)</f>
        <v/>
      </c>
      <c r="G315" s="21" t="str">
        <f>IF('12 - Device_Configuration'!AH316="","",'12 - Device_Configuration'!AH316)</f>
        <v/>
      </c>
      <c r="H315" s="21" t="str">
        <f>IF('12 - Device_Configuration'!A316="","",'12 - Device_Configuration'!A316)</f>
        <v/>
      </c>
      <c r="I315" s="21" t="str">
        <f>IF('12 - Device_Configuration'!AI316="","",'12 - Device_Configuration'!AI316)</f>
        <v/>
      </c>
      <c r="J315" s="21" t="str">
        <f>IF('12 - Device_Configuration'!AJ316="","",'12 - Device_Configuration'!AJ316)</f>
        <v/>
      </c>
      <c r="K315" s="21" t="str">
        <f>IF('12 - Device_Configuration'!AA316="","",'12 - Device_Configuration'!AA316)</f>
        <v/>
      </c>
      <c r="L315" s="21" t="str">
        <f>IF('12 - Device_Configuration'!I316="","",'12 - Device_Configuration'!I316)</f>
        <v/>
      </c>
      <c r="M315" s="22"/>
      <c r="N315" s="21" t="str">
        <f>IF('12 - Device_Configuration'!J316="","",'12 - Device_Configuration'!J316)</f>
        <v/>
      </c>
      <c r="O315" s="21" t="str">
        <f>IF('12 - Device_Configuration'!K316="","",'12 - Device_Configuration'!K316)</f>
        <v/>
      </c>
      <c r="P315" s="21" t="str">
        <f>IF('12 - Device_Configuration'!L316="","",'12 - Device_Configuration'!L316)</f>
        <v/>
      </c>
      <c r="Q315" s="22"/>
      <c r="R315" s="21" t="str">
        <f>IF('12 - Device_Configuration'!AY316="","",'12 - Device_Configuration'!AY316)</f>
        <v/>
      </c>
      <c r="S315" s="21" t="str">
        <f>IF('12 - Device_Configuration'!AX316="","",'12 - Device_Configuration'!AX316)</f>
        <v/>
      </c>
      <c r="T315" s="21" t="str">
        <f>IF('12 - Device_Configuration'!AV316="","",'12 - Device_Configuration'!AV316)</f>
        <v/>
      </c>
      <c r="U315" s="21" t="str">
        <f>IF('12 - Device_Configuration'!AW316="","",'12 - Device_Configuration'!AW316)</f>
        <v/>
      </c>
      <c r="V315" s="21" t="str">
        <f>IF('12 - Device_Configuration'!BA316="","",'12 - Device_Configuration'!BA316)</f>
        <v/>
      </c>
      <c r="W315" s="21" t="str">
        <f>IF('12 - Device_Configuration'!BC316="","",'12 - Device_Configuration'!BC316)</f>
        <v/>
      </c>
      <c r="X315" s="21" t="str">
        <f>IF('12 - Device_Configuration'!BK316="","",'12 - Device_Configuration'!BK316)</f>
        <v/>
      </c>
      <c r="Y315" s="21" t="str">
        <f>IF('12 - Device_Configuration'!BB316="","",'12 - Device_Configuration'!BB316)</f>
        <v/>
      </c>
      <c r="Z315" s="21" t="str">
        <f>IF('12 - Device_Configuration'!P316="","",'12 - Device_Configuration'!P316)</f>
        <v/>
      </c>
      <c r="AA315" s="21" t="str">
        <f>IF('12 - Device_Configuration'!Q316="","",'12 - Device_Configuration'!Q316)</f>
        <v/>
      </c>
    </row>
    <row r="316" spans="1:27">
      <c r="A316" s="22"/>
      <c r="B316" s="22"/>
      <c r="C316" s="21" t="str">
        <f>IF('12 - Device_Configuration'!H317="","",'12 - Device_Configuration'!H317)</f>
        <v/>
      </c>
      <c r="D316" s="21" t="str">
        <f>IF('12 - Device_Configuration'!AE317="","",'12 - Device_Configuration'!AE317)</f>
        <v/>
      </c>
      <c r="E316" s="21" t="str">
        <f>IF('12 - Device_Configuration'!AF317="","",'12 - Device_Configuration'!AF317)</f>
        <v/>
      </c>
      <c r="F316" s="21" t="str">
        <f>IF('12 - Device_Configuration'!AG317="","",'12 - Device_Configuration'!AG317)</f>
        <v/>
      </c>
      <c r="G316" s="21" t="str">
        <f>IF('12 - Device_Configuration'!AH317="","",'12 - Device_Configuration'!AH317)</f>
        <v/>
      </c>
      <c r="H316" s="21" t="str">
        <f>IF('12 - Device_Configuration'!A317="","",'12 - Device_Configuration'!A317)</f>
        <v/>
      </c>
      <c r="I316" s="21" t="str">
        <f>IF('12 - Device_Configuration'!AI317="","",'12 - Device_Configuration'!AI317)</f>
        <v/>
      </c>
      <c r="J316" s="21" t="str">
        <f>IF('12 - Device_Configuration'!AJ317="","",'12 - Device_Configuration'!AJ317)</f>
        <v/>
      </c>
      <c r="K316" s="21" t="str">
        <f>IF('12 - Device_Configuration'!AA317="","",'12 - Device_Configuration'!AA317)</f>
        <v/>
      </c>
      <c r="L316" s="21" t="str">
        <f>IF('12 - Device_Configuration'!I317="","",'12 - Device_Configuration'!I317)</f>
        <v/>
      </c>
      <c r="M316" s="22"/>
      <c r="N316" s="21" t="str">
        <f>IF('12 - Device_Configuration'!J317="","",'12 - Device_Configuration'!J317)</f>
        <v/>
      </c>
      <c r="O316" s="21" t="str">
        <f>IF('12 - Device_Configuration'!K317="","",'12 - Device_Configuration'!K317)</f>
        <v/>
      </c>
      <c r="P316" s="21" t="str">
        <f>IF('12 - Device_Configuration'!L317="","",'12 - Device_Configuration'!L317)</f>
        <v/>
      </c>
      <c r="Q316" s="22"/>
      <c r="R316" s="21" t="str">
        <f>IF('12 - Device_Configuration'!AY317="","",'12 - Device_Configuration'!AY317)</f>
        <v/>
      </c>
      <c r="S316" s="21" t="str">
        <f>IF('12 - Device_Configuration'!AX317="","",'12 - Device_Configuration'!AX317)</f>
        <v/>
      </c>
      <c r="T316" s="21" t="str">
        <f>IF('12 - Device_Configuration'!AV317="","",'12 - Device_Configuration'!AV317)</f>
        <v/>
      </c>
      <c r="U316" s="21" t="str">
        <f>IF('12 - Device_Configuration'!AW317="","",'12 - Device_Configuration'!AW317)</f>
        <v/>
      </c>
      <c r="V316" s="21" t="str">
        <f>IF('12 - Device_Configuration'!BA317="","",'12 - Device_Configuration'!BA317)</f>
        <v/>
      </c>
      <c r="W316" s="21" t="str">
        <f>IF('12 - Device_Configuration'!BC317="","",'12 - Device_Configuration'!BC317)</f>
        <v/>
      </c>
      <c r="X316" s="21" t="str">
        <f>IF('12 - Device_Configuration'!BK317="","",'12 - Device_Configuration'!BK317)</f>
        <v/>
      </c>
      <c r="Y316" s="21" t="str">
        <f>IF('12 - Device_Configuration'!BB317="","",'12 - Device_Configuration'!BB317)</f>
        <v/>
      </c>
      <c r="Z316" s="21" t="str">
        <f>IF('12 - Device_Configuration'!P317="","",'12 - Device_Configuration'!P317)</f>
        <v/>
      </c>
      <c r="AA316" s="21" t="str">
        <f>IF('12 - Device_Configuration'!Q317="","",'12 - Device_Configuration'!Q317)</f>
        <v/>
      </c>
    </row>
    <row r="317" spans="1:27">
      <c r="A317" s="22"/>
      <c r="B317" s="22"/>
      <c r="C317" s="21" t="str">
        <f>IF('12 - Device_Configuration'!H318="","",'12 - Device_Configuration'!H318)</f>
        <v/>
      </c>
      <c r="D317" s="21" t="str">
        <f>IF('12 - Device_Configuration'!AE318="","",'12 - Device_Configuration'!AE318)</f>
        <v/>
      </c>
      <c r="E317" s="21" t="str">
        <f>IF('12 - Device_Configuration'!AF318="","",'12 - Device_Configuration'!AF318)</f>
        <v/>
      </c>
      <c r="F317" s="21" t="str">
        <f>IF('12 - Device_Configuration'!AG318="","",'12 - Device_Configuration'!AG318)</f>
        <v/>
      </c>
      <c r="G317" s="21" t="str">
        <f>IF('12 - Device_Configuration'!AH318="","",'12 - Device_Configuration'!AH318)</f>
        <v/>
      </c>
      <c r="H317" s="21" t="str">
        <f>IF('12 - Device_Configuration'!A318="","",'12 - Device_Configuration'!A318)</f>
        <v/>
      </c>
      <c r="I317" s="21" t="str">
        <f>IF('12 - Device_Configuration'!AI318="","",'12 - Device_Configuration'!AI318)</f>
        <v/>
      </c>
      <c r="J317" s="21" t="str">
        <f>IF('12 - Device_Configuration'!AJ318="","",'12 - Device_Configuration'!AJ318)</f>
        <v/>
      </c>
      <c r="K317" s="21" t="str">
        <f>IF('12 - Device_Configuration'!AA318="","",'12 - Device_Configuration'!AA318)</f>
        <v/>
      </c>
      <c r="L317" s="21" t="str">
        <f>IF('12 - Device_Configuration'!I318="","",'12 - Device_Configuration'!I318)</f>
        <v/>
      </c>
      <c r="M317" s="22"/>
      <c r="N317" s="21" t="str">
        <f>IF('12 - Device_Configuration'!J318="","",'12 - Device_Configuration'!J318)</f>
        <v/>
      </c>
      <c r="O317" s="21" t="str">
        <f>IF('12 - Device_Configuration'!K318="","",'12 - Device_Configuration'!K318)</f>
        <v/>
      </c>
      <c r="P317" s="21" t="str">
        <f>IF('12 - Device_Configuration'!L318="","",'12 - Device_Configuration'!L318)</f>
        <v/>
      </c>
      <c r="Q317" s="22"/>
      <c r="R317" s="21" t="str">
        <f>IF('12 - Device_Configuration'!AY318="","",'12 - Device_Configuration'!AY318)</f>
        <v/>
      </c>
      <c r="S317" s="21" t="str">
        <f>IF('12 - Device_Configuration'!AX318="","",'12 - Device_Configuration'!AX318)</f>
        <v/>
      </c>
      <c r="T317" s="21" t="str">
        <f>IF('12 - Device_Configuration'!AV318="","",'12 - Device_Configuration'!AV318)</f>
        <v/>
      </c>
      <c r="U317" s="21" t="str">
        <f>IF('12 - Device_Configuration'!AW318="","",'12 - Device_Configuration'!AW318)</f>
        <v/>
      </c>
      <c r="V317" s="21" t="str">
        <f>IF('12 - Device_Configuration'!BA318="","",'12 - Device_Configuration'!BA318)</f>
        <v/>
      </c>
      <c r="W317" s="21" t="str">
        <f>IF('12 - Device_Configuration'!BC318="","",'12 - Device_Configuration'!BC318)</f>
        <v/>
      </c>
      <c r="X317" s="21" t="str">
        <f>IF('12 - Device_Configuration'!BK318="","",'12 - Device_Configuration'!BK318)</f>
        <v/>
      </c>
      <c r="Y317" s="21" t="str">
        <f>IF('12 - Device_Configuration'!BB318="","",'12 - Device_Configuration'!BB318)</f>
        <v/>
      </c>
      <c r="Z317" s="21" t="str">
        <f>IF('12 - Device_Configuration'!P318="","",'12 - Device_Configuration'!P318)</f>
        <v/>
      </c>
      <c r="AA317" s="21" t="str">
        <f>IF('12 - Device_Configuration'!Q318="","",'12 - Device_Configuration'!Q318)</f>
        <v/>
      </c>
    </row>
    <row r="318" spans="1:27">
      <c r="A318" s="22"/>
      <c r="B318" s="22"/>
      <c r="C318" s="21" t="str">
        <f>IF('12 - Device_Configuration'!H319="","",'12 - Device_Configuration'!H319)</f>
        <v/>
      </c>
      <c r="D318" s="21" t="str">
        <f>IF('12 - Device_Configuration'!AE319="","",'12 - Device_Configuration'!AE319)</f>
        <v/>
      </c>
      <c r="E318" s="21" t="str">
        <f>IF('12 - Device_Configuration'!AF319="","",'12 - Device_Configuration'!AF319)</f>
        <v/>
      </c>
      <c r="F318" s="21" t="str">
        <f>IF('12 - Device_Configuration'!AG319="","",'12 - Device_Configuration'!AG319)</f>
        <v/>
      </c>
      <c r="G318" s="21" t="str">
        <f>IF('12 - Device_Configuration'!AH319="","",'12 - Device_Configuration'!AH319)</f>
        <v/>
      </c>
      <c r="H318" s="21" t="str">
        <f>IF('12 - Device_Configuration'!A319="","",'12 - Device_Configuration'!A319)</f>
        <v/>
      </c>
      <c r="I318" s="21" t="str">
        <f>IF('12 - Device_Configuration'!AI319="","",'12 - Device_Configuration'!AI319)</f>
        <v/>
      </c>
      <c r="J318" s="21" t="str">
        <f>IF('12 - Device_Configuration'!AJ319="","",'12 - Device_Configuration'!AJ319)</f>
        <v/>
      </c>
      <c r="K318" s="21" t="str">
        <f>IF('12 - Device_Configuration'!AA319="","",'12 - Device_Configuration'!AA319)</f>
        <v/>
      </c>
      <c r="L318" s="21" t="str">
        <f>IF('12 - Device_Configuration'!I319="","",'12 - Device_Configuration'!I319)</f>
        <v/>
      </c>
      <c r="M318" s="22"/>
      <c r="N318" s="21" t="str">
        <f>IF('12 - Device_Configuration'!J319="","",'12 - Device_Configuration'!J319)</f>
        <v/>
      </c>
      <c r="O318" s="21" t="str">
        <f>IF('12 - Device_Configuration'!K319="","",'12 - Device_Configuration'!K319)</f>
        <v/>
      </c>
      <c r="P318" s="21" t="str">
        <f>IF('12 - Device_Configuration'!L319="","",'12 - Device_Configuration'!L319)</f>
        <v/>
      </c>
      <c r="Q318" s="22"/>
      <c r="R318" s="21" t="str">
        <f>IF('12 - Device_Configuration'!AY319="","",'12 - Device_Configuration'!AY319)</f>
        <v/>
      </c>
      <c r="S318" s="21" t="str">
        <f>IF('12 - Device_Configuration'!AX319="","",'12 - Device_Configuration'!AX319)</f>
        <v/>
      </c>
      <c r="T318" s="21" t="str">
        <f>IF('12 - Device_Configuration'!AV319="","",'12 - Device_Configuration'!AV319)</f>
        <v/>
      </c>
      <c r="U318" s="21" t="str">
        <f>IF('12 - Device_Configuration'!AW319="","",'12 - Device_Configuration'!AW319)</f>
        <v/>
      </c>
      <c r="V318" s="21" t="str">
        <f>IF('12 - Device_Configuration'!BA319="","",'12 - Device_Configuration'!BA319)</f>
        <v/>
      </c>
      <c r="W318" s="21" t="str">
        <f>IF('12 - Device_Configuration'!BC319="","",'12 - Device_Configuration'!BC319)</f>
        <v/>
      </c>
      <c r="X318" s="21" t="str">
        <f>IF('12 - Device_Configuration'!BK319="","",'12 - Device_Configuration'!BK319)</f>
        <v/>
      </c>
      <c r="Y318" s="21" t="str">
        <f>IF('12 - Device_Configuration'!BB319="","",'12 - Device_Configuration'!BB319)</f>
        <v/>
      </c>
      <c r="Z318" s="21" t="str">
        <f>IF('12 - Device_Configuration'!P319="","",'12 - Device_Configuration'!P319)</f>
        <v/>
      </c>
      <c r="AA318" s="21" t="str">
        <f>IF('12 - Device_Configuration'!Q319="","",'12 - Device_Configuration'!Q319)</f>
        <v/>
      </c>
    </row>
    <row r="319" spans="1:27">
      <c r="A319" s="22"/>
      <c r="B319" s="22"/>
      <c r="C319" s="21" t="str">
        <f>IF('12 - Device_Configuration'!H320="","",'12 - Device_Configuration'!H320)</f>
        <v/>
      </c>
      <c r="D319" s="21" t="str">
        <f>IF('12 - Device_Configuration'!AE320="","",'12 - Device_Configuration'!AE320)</f>
        <v/>
      </c>
      <c r="E319" s="21" t="str">
        <f>IF('12 - Device_Configuration'!AF320="","",'12 - Device_Configuration'!AF320)</f>
        <v/>
      </c>
      <c r="F319" s="21" t="str">
        <f>IF('12 - Device_Configuration'!AG320="","",'12 - Device_Configuration'!AG320)</f>
        <v/>
      </c>
      <c r="G319" s="21" t="str">
        <f>IF('12 - Device_Configuration'!AH320="","",'12 - Device_Configuration'!AH320)</f>
        <v/>
      </c>
      <c r="H319" s="21" t="str">
        <f>IF('12 - Device_Configuration'!A320="","",'12 - Device_Configuration'!A320)</f>
        <v/>
      </c>
      <c r="I319" s="21" t="str">
        <f>IF('12 - Device_Configuration'!AI320="","",'12 - Device_Configuration'!AI320)</f>
        <v/>
      </c>
      <c r="J319" s="21" t="str">
        <f>IF('12 - Device_Configuration'!AJ320="","",'12 - Device_Configuration'!AJ320)</f>
        <v/>
      </c>
      <c r="K319" s="21" t="str">
        <f>IF('12 - Device_Configuration'!AA320="","",'12 - Device_Configuration'!AA320)</f>
        <v/>
      </c>
      <c r="L319" s="21" t="str">
        <f>IF('12 - Device_Configuration'!I320="","",'12 - Device_Configuration'!I320)</f>
        <v/>
      </c>
      <c r="M319" s="22"/>
      <c r="N319" s="21" t="str">
        <f>IF('12 - Device_Configuration'!J320="","",'12 - Device_Configuration'!J320)</f>
        <v/>
      </c>
      <c r="O319" s="21" t="str">
        <f>IF('12 - Device_Configuration'!K320="","",'12 - Device_Configuration'!K320)</f>
        <v/>
      </c>
      <c r="P319" s="21" t="str">
        <f>IF('12 - Device_Configuration'!L320="","",'12 - Device_Configuration'!L320)</f>
        <v/>
      </c>
      <c r="Q319" s="22"/>
      <c r="R319" s="21" t="str">
        <f>IF('12 - Device_Configuration'!AY320="","",'12 - Device_Configuration'!AY320)</f>
        <v/>
      </c>
      <c r="S319" s="21" t="str">
        <f>IF('12 - Device_Configuration'!AX320="","",'12 - Device_Configuration'!AX320)</f>
        <v/>
      </c>
      <c r="T319" s="21" t="str">
        <f>IF('12 - Device_Configuration'!AV320="","",'12 - Device_Configuration'!AV320)</f>
        <v/>
      </c>
      <c r="U319" s="21" t="str">
        <f>IF('12 - Device_Configuration'!AW320="","",'12 - Device_Configuration'!AW320)</f>
        <v/>
      </c>
      <c r="V319" s="21" t="str">
        <f>IF('12 - Device_Configuration'!BA320="","",'12 - Device_Configuration'!BA320)</f>
        <v/>
      </c>
      <c r="W319" s="21" t="str">
        <f>IF('12 - Device_Configuration'!BC320="","",'12 - Device_Configuration'!BC320)</f>
        <v/>
      </c>
      <c r="X319" s="21" t="str">
        <f>IF('12 - Device_Configuration'!BK320="","",'12 - Device_Configuration'!BK320)</f>
        <v/>
      </c>
      <c r="Y319" s="21" t="str">
        <f>IF('12 - Device_Configuration'!BB320="","",'12 - Device_Configuration'!BB320)</f>
        <v/>
      </c>
      <c r="Z319" s="21" t="str">
        <f>IF('12 - Device_Configuration'!P320="","",'12 - Device_Configuration'!P320)</f>
        <v/>
      </c>
      <c r="AA319" s="21" t="str">
        <f>IF('12 - Device_Configuration'!Q320="","",'12 - Device_Configuration'!Q320)</f>
        <v/>
      </c>
    </row>
    <row r="320" spans="1:27">
      <c r="A320" s="22"/>
      <c r="B320" s="22"/>
      <c r="C320" s="21" t="str">
        <f>IF('12 - Device_Configuration'!H321="","",'12 - Device_Configuration'!H321)</f>
        <v/>
      </c>
      <c r="D320" s="21" t="str">
        <f>IF('12 - Device_Configuration'!AE321="","",'12 - Device_Configuration'!AE321)</f>
        <v/>
      </c>
      <c r="E320" s="21" t="str">
        <f>IF('12 - Device_Configuration'!AF321="","",'12 - Device_Configuration'!AF321)</f>
        <v/>
      </c>
      <c r="F320" s="21" t="str">
        <f>IF('12 - Device_Configuration'!AG321="","",'12 - Device_Configuration'!AG321)</f>
        <v/>
      </c>
      <c r="G320" s="21" t="str">
        <f>IF('12 - Device_Configuration'!AH321="","",'12 - Device_Configuration'!AH321)</f>
        <v/>
      </c>
      <c r="H320" s="21" t="str">
        <f>IF('12 - Device_Configuration'!A321="","",'12 - Device_Configuration'!A321)</f>
        <v/>
      </c>
      <c r="I320" s="21" t="str">
        <f>IF('12 - Device_Configuration'!AI321="","",'12 - Device_Configuration'!AI321)</f>
        <v/>
      </c>
      <c r="J320" s="21" t="str">
        <f>IF('12 - Device_Configuration'!AJ321="","",'12 - Device_Configuration'!AJ321)</f>
        <v/>
      </c>
      <c r="K320" s="21" t="str">
        <f>IF('12 - Device_Configuration'!AA321="","",'12 - Device_Configuration'!AA321)</f>
        <v/>
      </c>
      <c r="L320" s="21" t="str">
        <f>IF('12 - Device_Configuration'!I321="","",'12 - Device_Configuration'!I321)</f>
        <v/>
      </c>
      <c r="M320" s="22"/>
      <c r="N320" s="21" t="str">
        <f>IF('12 - Device_Configuration'!J321="","",'12 - Device_Configuration'!J321)</f>
        <v/>
      </c>
      <c r="O320" s="21" t="str">
        <f>IF('12 - Device_Configuration'!K321="","",'12 - Device_Configuration'!K321)</f>
        <v/>
      </c>
      <c r="P320" s="21" t="str">
        <f>IF('12 - Device_Configuration'!L321="","",'12 - Device_Configuration'!L321)</f>
        <v/>
      </c>
      <c r="Q320" s="22"/>
      <c r="R320" s="21" t="str">
        <f>IF('12 - Device_Configuration'!AY321="","",'12 - Device_Configuration'!AY321)</f>
        <v/>
      </c>
      <c r="S320" s="21" t="str">
        <f>IF('12 - Device_Configuration'!AX321="","",'12 - Device_Configuration'!AX321)</f>
        <v/>
      </c>
      <c r="T320" s="21" t="str">
        <f>IF('12 - Device_Configuration'!AV321="","",'12 - Device_Configuration'!AV321)</f>
        <v/>
      </c>
      <c r="U320" s="21" t="str">
        <f>IF('12 - Device_Configuration'!AW321="","",'12 - Device_Configuration'!AW321)</f>
        <v/>
      </c>
      <c r="V320" s="21" t="str">
        <f>IF('12 - Device_Configuration'!BA321="","",'12 - Device_Configuration'!BA321)</f>
        <v/>
      </c>
      <c r="W320" s="21" t="str">
        <f>IF('12 - Device_Configuration'!BC321="","",'12 - Device_Configuration'!BC321)</f>
        <v/>
      </c>
      <c r="X320" s="21" t="str">
        <f>IF('12 - Device_Configuration'!BK321="","",'12 - Device_Configuration'!BK321)</f>
        <v/>
      </c>
      <c r="Y320" s="21" t="str">
        <f>IF('12 - Device_Configuration'!BB321="","",'12 - Device_Configuration'!BB321)</f>
        <v/>
      </c>
      <c r="Z320" s="21" t="str">
        <f>IF('12 - Device_Configuration'!P321="","",'12 - Device_Configuration'!P321)</f>
        <v/>
      </c>
      <c r="AA320" s="21" t="str">
        <f>IF('12 - Device_Configuration'!Q321="","",'12 - Device_Configuration'!Q321)</f>
        <v/>
      </c>
    </row>
    <row r="321" spans="1:27">
      <c r="A321" s="22"/>
      <c r="B321" s="22"/>
      <c r="C321" s="21" t="str">
        <f>IF('12 - Device_Configuration'!H322="","",'12 - Device_Configuration'!H322)</f>
        <v/>
      </c>
      <c r="D321" s="21" t="str">
        <f>IF('12 - Device_Configuration'!AE322="","",'12 - Device_Configuration'!AE322)</f>
        <v/>
      </c>
      <c r="E321" s="21" t="str">
        <f>IF('12 - Device_Configuration'!AF322="","",'12 - Device_Configuration'!AF322)</f>
        <v/>
      </c>
      <c r="F321" s="21" t="str">
        <f>IF('12 - Device_Configuration'!AG322="","",'12 - Device_Configuration'!AG322)</f>
        <v/>
      </c>
      <c r="G321" s="21" t="str">
        <f>IF('12 - Device_Configuration'!AH322="","",'12 - Device_Configuration'!AH322)</f>
        <v/>
      </c>
      <c r="H321" s="21" t="str">
        <f>IF('12 - Device_Configuration'!A322="","",'12 - Device_Configuration'!A322)</f>
        <v/>
      </c>
      <c r="I321" s="21" t="str">
        <f>IF('12 - Device_Configuration'!AI322="","",'12 - Device_Configuration'!AI322)</f>
        <v/>
      </c>
      <c r="J321" s="21" t="str">
        <f>IF('12 - Device_Configuration'!AJ322="","",'12 - Device_Configuration'!AJ322)</f>
        <v/>
      </c>
      <c r="K321" s="21" t="str">
        <f>IF('12 - Device_Configuration'!AA322="","",'12 - Device_Configuration'!AA322)</f>
        <v/>
      </c>
      <c r="L321" s="21" t="str">
        <f>IF('12 - Device_Configuration'!I322="","",'12 - Device_Configuration'!I322)</f>
        <v/>
      </c>
      <c r="M321" s="22"/>
      <c r="N321" s="21" t="str">
        <f>IF('12 - Device_Configuration'!J322="","",'12 - Device_Configuration'!J322)</f>
        <v/>
      </c>
      <c r="O321" s="21" t="str">
        <f>IF('12 - Device_Configuration'!K322="","",'12 - Device_Configuration'!K322)</f>
        <v/>
      </c>
      <c r="P321" s="21" t="str">
        <f>IF('12 - Device_Configuration'!L322="","",'12 - Device_Configuration'!L322)</f>
        <v/>
      </c>
      <c r="Q321" s="22"/>
      <c r="R321" s="21" t="str">
        <f>IF('12 - Device_Configuration'!AY322="","",'12 - Device_Configuration'!AY322)</f>
        <v/>
      </c>
      <c r="S321" s="21" t="str">
        <f>IF('12 - Device_Configuration'!AX322="","",'12 - Device_Configuration'!AX322)</f>
        <v/>
      </c>
      <c r="T321" s="21" t="str">
        <f>IF('12 - Device_Configuration'!AV322="","",'12 - Device_Configuration'!AV322)</f>
        <v/>
      </c>
      <c r="U321" s="21" t="str">
        <f>IF('12 - Device_Configuration'!AW322="","",'12 - Device_Configuration'!AW322)</f>
        <v/>
      </c>
      <c r="V321" s="21" t="str">
        <f>IF('12 - Device_Configuration'!BA322="","",'12 - Device_Configuration'!BA322)</f>
        <v/>
      </c>
      <c r="W321" s="21" t="str">
        <f>IF('12 - Device_Configuration'!BC322="","",'12 - Device_Configuration'!BC322)</f>
        <v/>
      </c>
      <c r="X321" s="21" t="str">
        <f>IF('12 - Device_Configuration'!BK322="","",'12 - Device_Configuration'!BK322)</f>
        <v/>
      </c>
      <c r="Y321" s="21" t="str">
        <f>IF('12 - Device_Configuration'!BB322="","",'12 - Device_Configuration'!BB322)</f>
        <v/>
      </c>
      <c r="Z321" s="21" t="str">
        <f>IF('12 - Device_Configuration'!P322="","",'12 - Device_Configuration'!P322)</f>
        <v/>
      </c>
      <c r="AA321" s="21" t="str">
        <f>IF('12 - Device_Configuration'!Q322="","",'12 - Device_Configuration'!Q322)</f>
        <v/>
      </c>
    </row>
    <row r="322" spans="1:27">
      <c r="A322" s="22"/>
      <c r="B322" s="22"/>
      <c r="C322" s="21" t="str">
        <f>IF('12 - Device_Configuration'!H323="","",'12 - Device_Configuration'!H323)</f>
        <v/>
      </c>
      <c r="D322" s="21" t="str">
        <f>IF('12 - Device_Configuration'!AE323="","",'12 - Device_Configuration'!AE323)</f>
        <v/>
      </c>
      <c r="E322" s="21" t="str">
        <f>IF('12 - Device_Configuration'!AF323="","",'12 - Device_Configuration'!AF323)</f>
        <v/>
      </c>
      <c r="F322" s="21" t="str">
        <f>IF('12 - Device_Configuration'!AG323="","",'12 - Device_Configuration'!AG323)</f>
        <v/>
      </c>
      <c r="G322" s="21" t="str">
        <f>IF('12 - Device_Configuration'!AH323="","",'12 - Device_Configuration'!AH323)</f>
        <v/>
      </c>
      <c r="H322" s="21" t="str">
        <f>IF('12 - Device_Configuration'!A323="","",'12 - Device_Configuration'!A323)</f>
        <v/>
      </c>
      <c r="I322" s="21" t="str">
        <f>IF('12 - Device_Configuration'!AI323="","",'12 - Device_Configuration'!AI323)</f>
        <v/>
      </c>
      <c r="J322" s="21" t="str">
        <f>IF('12 - Device_Configuration'!AJ323="","",'12 - Device_Configuration'!AJ323)</f>
        <v/>
      </c>
      <c r="K322" s="21" t="str">
        <f>IF('12 - Device_Configuration'!AA323="","",'12 - Device_Configuration'!AA323)</f>
        <v/>
      </c>
      <c r="L322" s="21" t="str">
        <f>IF('12 - Device_Configuration'!I323="","",'12 - Device_Configuration'!I323)</f>
        <v/>
      </c>
      <c r="M322" s="22"/>
      <c r="N322" s="21" t="str">
        <f>IF('12 - Device_Configuration'!J323="","",'12 - Device_Configuration'!J323)</f>
        <v/>
      </c>
      <c r="O322" s="21" t="str">
        <f>IF('12 - Device_Configuration'!K323="","",'12 - Device_Configuration'!K323)</f>
        <v/>
      </c>
      <c r="P322" s="21" t="str">
        <f>IF('12 - Device_Configuration'!L323="","",'12 - Device_Configuration'!L323)</f>
        <v/>
      </c>
      <c r="Q322" s="22"/>
      <c r="R322" s="21" t="str">
        <f>IF('12 - Device_Configuration'!AY323="","",'12 - Device_Configuration'!AY323)</f>
        <v/>
      </c>
      <c r="S322" s="21" t="str">
        <f>IF('12 - Device_Configuration'!AX323="","",'12 - Device_Configuration'!AX323)</f>
        <v/>
      </c>
      <c r="T322" s="21" t="str">
        <f>IF('12 - Device_Configuration'!AV323="","",'12 - Device_Configuration'!AV323)</f>
        <v/>
      </c>
      <c r="U322" s="21" t="str">
        <f>IF('12 - Device_Configuration'!AW323="","",'12 - Device_Configuration'!AW323)</f>
        <v/>
      </c>
      <c r="V322" s="21" t="str">
        <f>IF('12 - Device_Configuration'!BA323="","",'12 - Device_Configuration'!BA323)</f>
        <v/>
      </c>
      <c r="W322" s="21" t="str">
        <f>IF('12 - Device_Configuration'!BC323="","",'12 - Device_Configuration'!BC323)</f>
        <v/>
      </c>
      <c r="X322" s="21" t="str">
        <f>IF('12 - Device_Configuration'!BK323="","",'12 - Device_Configuration'!BK323)</f>
        <v/>
      </c>
      <c r="Y322" s="21" t="str">
        <f>IF('12 - Device_Configuration'!BB323="","",'12 - Device_Configuration'!BB323)</f>
        <v/>
      </c>
      <c r="Z322" s="21" t="str">
        <f>IF('12 - Device_Configuration'!P323="","",'12 - Device_Configuration'!P323)</f>
        <v/>
      </c>
      <c r="AA322" s="21" t="str">
        <f>IF('12 - Device_Configuration'!Q323="","",'12 - Device_Configuration'!Q323)</f>
        <v/>
      </c>
    </row>
    <row r="323" spans="1:27">
      <c r="A323" s="22"/>
      <c r="B323" s="22"/>
      <c r="C323" s="21" t="str">
        <f>IF('12 - Device_Configuration'!H324="","",'12 - Device_Configuration'!H324)</f>
        <v/>
      </c>
      <c r="D323" s="21" t="str">
        <f>IF('12 - Device_Configuration'!AE324="","",'12 - Device_Configuration'!AE324)</f>
        <v/>
      </c>
      <c r="E323" s="21" t="str">
        <f>IF('12 - Device_Configuration'!AF324="","",'12 - Device_Configuration'!AF324)</f>
        <v/>
      </c>
      <c r="F323" s="21" t="str">
        <f>IF('12 - Device_Configuration'!AG324="","",'12 - Device_Configuration'!AG324)</f>
        <v/>
      </c>
      <c r="G323" s="21" t="str">
        <f>IF('12 - Device_Configuration'!AH324="","",'12 - Device_Configuration'!AH324)</f>
        <v/>
      </c>
      <c r="H323" s="21" t="str">
        <f>IF('12 - Device_Configuration'!A324="","",'12 - Device_Configuration'!A324)</f>
        <v/>
      </c>
      <c r="I323" s="21" t="str">
        <f>IF('12 - Device_Configuration'!AI324="","",'12 - Device_Configuration'!AI324)</f>
        <v/>
      </c>
      <c r="J323" s="21" t="str">
        <f>IF('12 - Device_Configuration'!AJ324="","",'12 - Device_Configuration'!AJ324)</f>
        <v/>
      </c>
      <c r="K323" s="21" t="str">
        <f>IF('12 - Device_Configuration'!AA324="","",'12 - Device_Configuration'!AA324)</f>
        <v/>
      </c>
      <c r="L323" s="21" t="str">
        <f>IF('12 - Device_Configuration'!I324="","",'12 - Device_Configuration'!I324)</f>
        <v/>
      </c>
      <c r="M323" s="22"/>
      <c r="N323" s="21" t="str">
        <f>IF('12 - Device_Configuration'!J324="","",'12 - Device_Configuration'!J324)</f>
        <v/>
      </c>
      <c r="O323" s="21" t="str">
        <f>IF('12 - Device_Configuration'!K324="","",'12 - Device_Configuration'!K324)</f>
        <v/>
      </c>
      <c r="P323" s="21" t="str">
        <f>IF('12 - Device_Configuration'!L324="","",'12 - Device_Configuration'!L324)</f>
        <v/>
      </c>
      <c r="Q323" s="22"/>
      <c r="R323" s="21" t="str">
        <f>IF('12 - Device_Configuration'!AY324="","",'12 - Device_Configuration'!AY324)</f>
        <v/>
      </c>
      <c r="S323" s="21" t="str">
        <f>IF('12 - Device_Configuration'!AX324="","",'12 - Device_Configuration'!AX324)</f>
        <v/>
      </c>
      <c r="T323" s="21" t="str">
        <f>IF('12 - Device_Configuration'!AV324="","",'12 - Device_Configuration'!AV324)</f>
        <v/>
      </c>
      <c r="U323" s="21" t="str">
        <f>IF('12 - Device_Configuration'!AW324="","",'12 - Device_Configuration'!AW324)</f>
        <v/>
      </c>
      <c r="V323" s="21" t="str">
        <f>IF('12 - Device_Configuration'!BA324="","",'12 - Device_Configuration'!BA324)</f>
        <v/>
      </c>
      <c r="W323" s="21" t="str">
        <f>IF('12 - Device_Configuration'!BC324="","",'12 - Device_Configuration'!BC324)</f>
        <v/>
      </c>
      <c r="X323" s="21" t="str">
        <f>IF('12 - Device_Configuration'!BK324="","",'12 - Device_Configuration'!BK324)</f>
        <v/>
      </c>
      <c r="Y323" s="21" t="str">
        <f>IF('12 - Device_Configuration'!BB324="","",'12 - Device_Configuration'!BB324)</f>
        <v/>
      </c>
      <c r="Z323" s="21" t="str">
        <f>IF('12 - Device_Configuration'!P324="","",'12 - Device_Configuration'!P324)</f>
        <v/>
      </c>
      <c r="AA323" s="21" t="str">
        <f>IF('12 - Device_Configuration'!Q324="","",'12 - Device_Configuration'!Q324)</f>
        <v/>
      </c>
    </row>
    <row r="324" spans="1:27">
      <c r="A324" s="22"/>
      <c r="B324" s="22"/>
      <c r="C324" s="21" t="str">
        <f>IF('12 - Device_Configuration'!H325="","",'12 - Device_Configuration'!H325)</f>
        <v/>
      </c>
      <c r="D324" s="21" t="str">
        <f>IF('12 - Device_Configuration'!AE325="","",'12 - Device_Configuration'!AE325)</f>
        <v/>
      </c>
      <c r="E324" s="21" t="str">
        <f>IF('12 - Device_Configuration'!AF325="","",'12 - Device_Configuration'!AF325)</f>
        <v/>
      </c>
      <c r="F324" s="21" t="str">
        <f>IF('12 - Device_Configuration'!AG325="","",'12 - Device_Configuration'!AG325)</f>
        <v/>
      </c>
      <c r="G324" s="21" t="str">
        <f>IF('12 - Device_Configuration'!AH325="","",'12 - Device_Configuration'!AH325)</f>
        <v/>
      </c>
      <c r="H324" s="21" t="str">
        <f>IF('12 - Device_Configuration'!A325="","",'12 - Device_Configuration'!A325)</f>
        <v/>
      </c>
      <c r="I324" s="21" t="str">
        <f>IF('12 - Device_Configuration'!AI325="","",'12 - Device_Configuration'!AI325)</f>
        <v/>
      </c>
      <c r="J324" s="21" t="str">
        <f>IF('12 - Device_Configuration'!AJ325="","",'12 - Device_Configuration'!AJ325)</f>
        <v/>
      </c>
      <c r="K324" s="21" t="str">
        <f>IF('12 - Device_Configuration'!AA325="","",'12 - Device_Configuration'!AA325)</f>
        <v/>
      </c>
      <c r="L324" s="21" t="str">
        <f>IF('12 - Device_Configuration'!I325="","",'12 - Device_Configuration'!I325)</f>
        <v/>
      </c>
      <c r="M324" s="22"/>
      <c r="N324" s="21" t="str">
        <f>IF('12 - Device_Configuration'!J325="","",'12 - Device_Configuration'!J325)</f>
        <v/>
      </c>
      <c r="O324" s="21" t="str">
        <f>IF('12 - Device_Configuration'!K325="","",'12 - Device_Configuration'!K325)</f>
        <v/>
      </c>
      <c r="P324" s="21" t="str">
        <f>IF('12 - Device_Configuration'!L325="","",'12 - Device_Configuration'!L325)</f>
        <v/>
      </c>
      <c r="Q324" s="22"/>
      <c r="R324" s="21" t="str">
        <f>IF('12 - Device_Configuration'!AY325="","",'12 - Device_Configuration'!AY325)</f>
        <v/>
      </c>
      <c r="S324" s="21" t="str">
        <f>IF('12 - Device_Configuration'!AX325="","",'12 - Device_Configuration'!AX325)</f>
        <v/>
      </c>
      <c r="T324" s="21" t="str">
        <f>IF('12 - Device_Configuration'!AV325="","",'12 - Device_Configuration'!AV325)</f>
        <v/>
      </c>
      <c r="U324" s="21" t="str">
        <f>IF('12 - Device_Configuration'!AW325="","",'12 - Device_Configuration'!AW325)</f>
        <v/>
      </c>
      <c r="V324" s="21" t="str">
        <f>IF('12 - Device_Configuration'!BA325="","",'12 - Device_Configuration'!BA325)</f>
        <v/>
      </c>
      <c r="W324" s="21" t="str">
        <f>IF('12 - Device_Configuration'!BC325="","",'12 - Device_Configuration'!BC325)</f>
        <v/>
      </c>
      <c r="X324" s="21" t="str">
        <f>IF('12 - Device_Configuration'!BK325="","",'12 - Device_Configuration'!BK325)</f>
        <v/>
      </c>
      <c r="Y324" s="21" t="str">
        <f>IF('12 - Device_Configuration'!BB325="","",'12 - Device_Configuration'!BB325)</f>
        <v/>
      </c>
      <c r="Z324" s="21" t="str">
        <f>IF('12 - Device_Configuration'!P325="","",'12 - Device_Configuration'!P325)</f>
        <v/>
      </c>
      <c r="AA324" s="21" t="str">
        <f>IF('12 - Device_Configuration'!Q325="","",'12 - Device_Configuration'!Q325)</f>
        <v/>
      </c>
    </row>
    <row r="325" spans="1:27">
      <c r="A325" s="22"/>
      <c r="B325" s="22"/>
      <c r="C325" s="21" t="str">
        <f>IF('12 - Device_Configuration'!H326="","",'12 - Device_Configuration'!H326)</f>
        <v/>
      </c>
      <c r="D325" s="21" t="str">
        <f>IF('12 - Device_Configuration'!AE326="","",'12 - Device_Configuration'!AE326)</f>
        <v/>
      </c>
      <c r="E325" s="21" t="str">
        <f>IF('12 - Device_Configuration'!AF326="","",'12 - Device_Configuration'!AF326)</f>
        <v/>
      </c>
      <c r="F325" s="21" t="str">
        <f>IF('12 - Device_Configuration'!AG326="","",'12 - Device_Configuration'!AG326)</f>
        <v/>
      </c>
      <c r="G325" s="21" t="str">
        <f>IF('12 - Device_Configuration'!AH326="","",'12 - Device_Configuration'!AH326)</f>
        <v/>
      </c>
      <c r="H325" s="21" t="str">
        <f>IF('12 - Device_Configuration'!A326="","",'12 - Device_Configuration'!A326)</f>
        <v/>
      </c>
      <c r="I325" s="21" t="str">
        <f>IF('12 - Device_Configuration'!AI326="","",'12 - Device_Configuration'!AI326)</f>
        <v/>
      </c>
      <c r="J325" s="21" t="str">
        <f>IF('12 - Device_Configuration'!AJ326="","",'12 - Device_Configuration'!AJ326)</f>
        <v/>
      </c>
      <c r="K325" s="21" t="str">
        <f>IF('12 - Device_Configuration'!AA326="","",'12 - Device_Configuration'!AA326)</f>
        <v/>
      </c>
      <c r="L325" s="21" t="str">
        <f>IF('12 - Device_Configuration'!I326="","",'12 - Device_Configuration'!I326)</f>
        <v/>
      </c>
      <c r="M325" s="22"/>
      <c r="N325" s="21" t="str">
        <f>IF('12 - Device_Configuration'!J326="","",'12 - Device_Configuration'!J326)</f>
        <v/>
      </c>
      <c r="O325" s="21" t="str">
        <f>IF('12 - Device_Configuration'!K326="","",'12 - Device_Configuration'!K326)</f>
        <v/>
      </c>
      <c r="P325" s="21" t="str">
        <f>IF('12 - Device_Configuration'!L326="","",'12 - Device_Configuration'!L326)</f>
        <v/>
      </c>
      <c r="Q325" s="22"/>
      <c r="R325" s="21" t="str">
        <f>IF('12 - Device_Configuration'!AY326="","",'12 - Device_Configuration'!AY326)</f>
        <v/>
      </c>
      <c r="S325" s="21" t="str">
        <f>IF('12 - Device_Configuration'!AX326="","",'12 - Device_Configuration'!AX326)</f>
        <v/>
      </c>
      <c r="T325" s="21" t="str">
        <f>IF('12 - Device_Configuration'!AV326="","",'12 - Device_Configuration'!AV326)</f>
        <v/>
      </c>
      <c r="U325" s="21" t="str">
        <f>IF('12 - Device_Configuration'!AW326="","",'12 - Device_Configuration'!AW326)</f>
        <v/>
      </c>
      <c r="V325" s="21" t="str">
        <f>IF('12 - Device_Configuration'!BA326="","",'12 - Device_Configuration'!BA326)</f>
        <v/>
      </c>
      <c r="W325" s="21" t="str">
        <f>IF('12 - Device_Configuration'!BC326="","",'12 - Device_Configuration'!BC326)</f>
        <v/>
      </c>
      <c r="X325" s="21" t="str">
        <f>IF('12 - Device_Configuration'!BK326="","",'12 - Device_Configuration'!BK326)</f>
        <v/>
      </c>
      <c r="Y325" s="21" t="str">
        <f>IF('12 - Device_Configuration'!BB326="","",'12 - Device_Configuration'!BB326)</f>
        <v/>
      </c>
      <c r="Z325" s="21" t="str">
        <f>IF('12 - Device_Configuration'!P326="","",'12 - Device_Configuration'!P326)</f>
        <v/>
      </c>
      <c r="AA325" s="21" t="str">
        <f>IF('12 - Device_Configuration'!Q326="","",'12 - Device_Configuration'!Q326)</f>
        <v/>
      </c>
    </row>
    <row r="326" spans="1:27">
      <c r="A326" s="22"/>
      <c r="B326" s="22"/>
      <c r="C326" s="21" t="str">
        <f>IF('12 - Device_Configuration'!H327="","",'12 - Device_Configuration'!H327)</f>
        <v/>
      </c>
      <c r="D326" s="21" t="str">
        <f>IF('12 - Device_Configuration'!AE327="","",'12 - Device_Configuration'!AE327)</f>
        <v/>
      </c>
      <c r="E326" s="21" t="str">
        <f>IF('12 - Device_Configuration'!AF327="","",'12 - Device_Configuration'!AF327)</f>
        <v/>
      </c>
      <c r="F326" s="21" t="str">
        <f>IF('12 - Device_Configuration'!AG327="","",'12 - Device_Configuration'!AG327)</f>
        <v/>
      </c>
      <c r="G326" s="21" t="str">
        <f>IF('12 - Device_Configuration'!AH327="","",'12 - Device_Configuration'!AH327)</f>
        <v/>
      </c>
      <c r="H326" s="21" t="str">
        <f>IF('12 - Device_Configuration'!A327="","",'12 - Device_Configuration'!A327)</f>
        <v/>
      </c>
      <c r="I326" s="21" t="str">
        <f>IF('12 - Device_Configuration'!AI327="","",'12 - Device_Configuration'!AI327)</f>
        <v/>
      </c>
      <c r="J326" s="21" t="str">
        <f>IF('12 - Device_Configuration'!AJ327="","",'12 - Device_Configuration'!AJ327)</f>
        <v/>
      </c>
      <c r="K326" s="21" t="str">
        <f>IF('12 - Device_Configuration'!AA327="","",'12 - Device_Configuration'!AA327)</f>
        <v/>
      </c>
      <c r="L326" s="21" t="str">
        <f>IF('12 - Device_Configuration'!I327="","",'12 - Device_Configuration'!I327)</f>
        <v/>
      </c>
      <c r="M326" s="22"/>
      <c r="N326" s="21" t="str">
        <f>IF('12 - Device_Configuration'!J327="","",'12 - Device_Configuration'!J327)</f>
        <v/>
      </c>
      <c r="O326" s="21" t="str">
        <f>IF('12 - Device_Configuration'!K327="","",'12 - Device_Configuration'!K327)</f>
        <v/>
      </c>
      <c r="P326" s="21" t="str">
        <f>IF('12 - Device_Configuration'!L327="","",'12 - Device_Configuration'!L327)</f>
        <v/>
      </c>
      <c r="Q326" s="22"/>
      <c r="R326" s="21" t="str">
        <f>IF('12 - Device_Configuration'!AY327="","",'12 - Device_Configuration'!AY327)</f>
        <v/>
      </c>
      <c r="S326" s="21" t="str">
        <f>IF('12 - Device_Configuration'!AX327="","",'12 - Device_Configuration'!AX327)</f>
        <v/>
      </c>
      <c r="T326" s="21" t="str">
        <f>IF('12 - Device_Configuration'!AV327="","",'12 - Device_Configuration'!AV327)</f>
        <v/>
      </c>
      <c r="U326" s="21" t="str">
        <f>IF('12 - Device_Configuration'!AW327="","",'12 - Device_Configuration'!AW327)</f>
        <v/>
      </c>
      <c r="V326" s="21" t="str">
        <f>IF('12 - Device_Configuration'!BA327="","",'12 - Device_Configuration'!BA327)</f>
        <v/>
      </c>
      <c r="W326" s="21" t="str">
        <f>IF('12 - Device_Configuration'!BC327="","",'12 - Device_Configuration'!BC327)</f>
        <v/>
      </c>
      <c r="X326" s="21" t="str">
        <f>IF('12 - Device_Configuration'!BK327="","",'12 - Device_Configuration'!BK327)</f>
        <v/>
      </c>
      <c r="Y326" s="21" t="str">
        <f>IF('12 - Device_Configuration'!BB327="","",'12 - Device_Configuration'!BB327)</f>
        <v/>
      </c>
      <c r="Z326" s="21" t="str">
        <f>IF('12 - Device_Configuration'!P327="","",'12 - Device_Configuration'!P327)</f>
        <v/>
      </c>
      <c r="AA326" s="21" t="str">
        <f>IF('12 - Device_Configuration'!Q327="","",'12 - Device_Configuration'!Q327)</f>
        <v/>
      </c>
    </row>
    <row r="327" spans="1:27">
      <c r="A327" s="22"/>
      <c r="B327" s="22"/>
      <c r="C327" s="21" t="str">
        <f>IF('12 - Device_Configuration'!H328="","",'12 - Device_Configuration'!H328)</f>
        <v/>
      </c>
      <c r="D327" s="21" t="str">
        <f>IF('12 - Device_Configuration'!AE328="","",'12 - Device_Configuration'!AE328)</f>
        <v/>
      </c>
      <c r="E327" s="21" t="str">
        <f>IF('12 - Device_Configuration'!AF328="","",'12 - Device_Configuration'!AF328)</f>
        <v/>
      </c>
      <c r="F327" s="21" t="str">
        <f>IF('12 - Device_Configuration'!AG328="","",'12 - Device_Configuration'!AG328)</f>
        <v/>
      </c>
      <c r="G327" s="21" t="str">
        <f>IF('12 - Device_Configuration'!AH328="","",'12 - Device_Configuration'!AH328)</f>
        <v/>
      </c>
      <c r="H327" s="21" t="str">
        <f>IF('12 - Device_Configuration'!A328="","",'12 - Device_Configuration'!A328)</f>
        <v/>
      </c>
      <c r="I327" s="21" t="str">
        <f>IF('12 - Device_Configuration'!AI328="","",'12 - Device_Configuration'!AI328)</f>
        <v/>
      </c>
      <c r="J327" s="21" t="str">
        <f>IF('12 - Device_Configuration'!AJ328="","",'12 - Device_Configuration'!AJ328)</f>
        <v/>
      </c>
      <c r="K327" s="21" t="str">
        <f>IF('12 - Device_Configuration'!AA328="","",'12 - Device_Configuration'!AA328)</f>
        <v/>
      </c>
      <c r="L327" s="21" t="str">
        <f>IF('12 - Device_Configuration'!I328="","",'12 - Device_Configuration'!I328)</f>
        <v/>
      </c>
      <c r="M327" s="22"/>
      <c r="N327" s="21" t="str">
        <f>IF('12 - Device_Configuration'!J328="","",'12 - Device_Configuration'!J328)</f>
        <v/>
      </c>
      <c r="O327" s="21" t="str">
        <f>IF('12 - Device_Configuration'!K328="","",'12 - Device_Configuration'!K328)</f>
        <v/>
      </c>
      <c r="P327" s="21" t="str">
        <f>IF('12 - Device_Configuration'!L328="","",'12 - Device_Configuration'!L328)</f>
        <v/>
      </c>
      <c r="Q327" s="22"/>
      <c r="R327" s="21" t="str">
        <f>IF('12 - Device_Configuration'!AY328="","",'12 - Device_Configuration'!AY328)</f>
        <v/>
      </c>
      <c r="S327" s="21" t="str">
        <f>IF('12 - Device_Configuration'!AX328="","",'12 - Device_Configuration'!AX328)</f>
        <v/>
      </c>
      <c r="T327" s="21" t="str">
        <f>IF('12 - Device_Configuration'!AV328="","",'12 - Device_Configuration'!AV328)</f>
        <v/>
      </c>
      <c r="U327" s="21" t="str">
        <f>IF('12 - Device_Configuration'!AW328="","",'12 - Device_Configuration'!AW328)</f>
        <v/>
      </c>
      <c r="V327" s="21" t="str">
        <f>IF('12 - Device_Configuration'!BA328="","",'12 - Device_Configuration'!BA328)</f>
        <v/>
      </c>
      <c r="W327" s="21" t="str">
        <f>IF('12 - Device_Configuration'!BC328="","",'12 - Device_Configuration'!BC328)</f>
        <v/>
      </c>
      <c r="X327" s="21" t="str">
        <f>IF('12 - Device_Configuration'!BK328="","",'12 - Device_Configuration'!BK328)</f>
        <v/>
      </c>
      <c r="Y327" s="21" t="str">
        <f>IF('12 - Device_Configuration'!BB328="","",'12 - Device_Configuration'!BB328)</f>
        <v/>
      </c>
      <c r="Z327" s="21" t="str">
        <f>IF('12 - Device_Configuration'!P328="","",'12 - Device_Configuration'!P328)</f>
        <v/>
      </c>
      <c r="AA327" s="21" t="str">
        <f>IF('12 - Device_Configuration'!Q328="","",'12 - Device_Configuration'!Q328)</f>
        <v/>
      </c>
    </row>
    <row r="328" spans="1:27">
      <c r="A328" s="22"/>
      <c r="B328" s="22"/>
      <c r="C328" s="21" t="str">
        <f>IF('12 - Device_Configuration'!H329="","",'12 - Device_Configuration'!H329)</f>
        <v/>
      </c>
      <c r="D328" s="21" t="str">
        <f>IF('12 - Device_Configuration'!AE329="","",'12 - Device_Configuration'!AE329)</f>
        <v/>
      </c>
      <c r="E328" s="21" t="str">
        <f>IF('12 - Device_Configuration'!AF329="","",'12 - Device_Configuration'!AF329)</f>
        <v/>
      </c>
      <c r="F328" s="21" t="str">
        <f>IF('12 - Device_Configuration'!AG329="","",'12 - Device_Configuration'!AG329)</f>
        <v/>
      </c>
      <c r="G328" s="21" t="str">
        <f>IF('12 - Device_Configuration'!AH329="","",'12 - Device_Configuration'!AH329)</f>
        <v/>
      </c>
      <c r="H328" s="21" t="str">
        <f>IF('12 - Device_Configuration'!A329="","",'12 - Device_Configuration'!A329)</f>
        <v/>
      </c>
      <c r="I328" s="21" t="str">
        <f>IF('12 - Device_Configuration'!AI329="","",'12 - Device_Configuration'!AI329)</f>
        <v/>
      </c>
      <c r="J328" s="21" t="str">
        <f>IF('12 - Device_Configuration'!AJ329="","",'12 - Device_Configuration'!AJ329)</f>
        <v/>
      </c>
      <c r="K328" s="21" t="str">
        <f>IF('12 - Device_Configuration'!AA329="","",'12 - Device_Configuration'!AA329)</f>
        <v/>
      </c>
      <c r="L328" s="21" t="str">
        <f>IF('12 - Device_Configuration'!I329="","",'12 - Device_Configuration'!I329)</f>
        <v/>
      </c>
      <c r="M328" s="22"/>
      <c r="N328" s="21" t="str">
        <f>IF('12 - Device_Configuration'!J329="","",'12 - Device_Configuration'!J329)</f>
        <v/>
      </c>
      <c r="O328" s="21" t="str">
        <f>IF('12 - Device_Configuration'!K329="","",'12 - Device_Configuration'!K329)</f>
        <v/>
      </c>
      <c r="P328" s="21" t="str">
        <f>IF('12 - Device_Configuration'!L329="","",'12 - Device_Configuration'!L329)</f>
        <v/>
      </c>
      <c r="Q328" s="22"/>
      <c r="R328" s="21" t="str">
        <f>IF('12 - Device_Configuration'!AY329="","",'12 - Device_Configuration'!AY329)</f>
        <v/>
      </c>
      <c r="S328" s="21" t="str">
        <f>IF('12 - Device_Configuration'!AX329="","",'12 - Device_Configuration'!AX329)</f>
        <v/>
      </c>
      <c r="T328" s="21" t="str">
        <f>IF('12 - Device_Configuration'!AV329="","",'12 - Device_Configuration'!AV329)</f>
        <v/>
      </c>
      <c r="U328" s="21" t="str">
        <f>IF('12 - Device_Configuration'!AW329="","",'12 - Device_Configuration'!AW329)</f>
        <v/>
      </c>
      <c r="V328" s="21" t="str">
        <f>IF('12 - Device_Configuration'!BA329="","",'12 - Device_Configuration'!BA329)</f>
        <v/>
      </c>
      <c r="W328" s="21" t="str">
        <f>IF('12 - Device_Configuration'!BC329="","",'12 - Device_Configuration'!BC329)</f>
        <v/>
      </c>
      <c r="X328" s="21" t="str">
        <f>IF('12 - Device_Configuration'!BK329="","",'12 - Device_Configuration'!BK329)</f>
        <v/>
      </c>
      <c r="Y328" s="21" t="str">
        <f>IF('12 - Device_Configuration'!BB329="","",'12 - Device_Configuration'!BB329)</f>
        <v/>
      </c>
      <c r="Z328" s="21" t="str">
        <f>IF('12 - Device_Configuration'!P329="","",'12 - Device_Configuration'!P329)</f>
        <v/>
      </c>
      <c r="AA328" s="21" t="str">
        <f>IF('12 - Device_Configuration'!Q329="","",'12 - Device_Configuration'!Q329)</f>
        <v/>
      </c>
    </row>
    <row r="329" spans="1:27">
      <c r="A329" s="22"/>
      <c r="B329" s="22"/>
      <c r="C329" s="21" t="str">
        <f>IF('12 - Device_Configuration'!H330="","",'12 - Device_Configuration'!H330)</f>
        <v/>
      </c>
      <c r="D329" s="21" t="str">
        <f>IF('12 - Device_Configuration'!AE330="","",'12 - Device_Configuration'!AE330)</f>
        <v/>
      </c>
      <c r="E329" s="21" t="str">
        <f>IF('12 - Device_Configuration'!AF330="","",'12 - Device_Configuration'!AF330)</f>
        <v/>
      </c>
      <c r="F329" s="21" t="str">
        <f>IF('12 - Device_Configuration'!AG330="","",'12 - Device_Configuration'!AG330)</f>
        <v/>
      </c>
      <c r="G329" s="21" t="str">
        <f>IF('12 - Device_Configuration'!AH330="","",'12 - Device_Configuration'!AH330)</f>
        <v/>
      </c>
      <c r="H329" s="21" t="str">
        <f>IF('12 - Device_Configuration'!A330="","",'12 - Device_Configuration'!A330)</f>
        <v/>
      </c>
      <c r="I329" s="21" t="str">
        <f>IF('12 - Device_Configuration'!AI330="","",'12 - Device_Configuration'!AI330)</f>
        <v/>
      </c>
      <c r="J329" s="21" t="str">
        <f>IF('12 - Device_Configuration'!AJ330="","",'12 - Device_Configuration'!AJ330)</f>
        <v/>
      </c>
      <c r="K329" s="21" t="str">
        <f>IF('12 - Device_Configuration'!AA330="","",'12 - Device_Configuration'!AA330)</f>
        <v/>
      </c>
      <c r="L329" s="21" t="str">
        <f>IF('12 - Device_Configuration'!I330="","",'12 - Device_Configuration'!I330)</f>
        <v/>
      </c>
      <c r="M329" s="22"/>
      <c r="N329" s="21" t="str">
        <f>IF('12 - Device_Configuration'!J330="","",'12 - Device_Configuration'!J330)</f>
        <v/>
      </c>
      <c r="O329" s="21" t="str">
        <f>IF('12 - Device_Configuration'!K330="","",'12 - Device_Configuration'!K330)</f>
        <v/>
      </c>
      <c r="P329" s="21" t="str">
        <f>IF('12 - Device_Configuration'!L330="","",'12 - Device_Configuration'!L330)</f>
        <v/>
      </c>
      <c r="Q329" s="22"/>
      <c r="R329" s="21" t="str">
        <f>IF('12 - Device_Configuration'!AY330="","",'12 - Device_Configuration'!AY330)</f>
        <v/>
      </c>
      <c r="S329" s="21" t="str">
        <f>IF('12 - Device_Configuration'!AX330="","",'12 - Device_Configuration'!AX330)</f>
        <v/>
      </c>
      <c r="T329" s="21" t="str">
        <f>IF('12 - Device_Configuration'!AV330="","",'12 - Device_Configuration'!AV330)</f>
        <v/>
      </c>
      <c r="U329" s="21" t="str">
        <f>IF('12 - Device_Configuration'!AW330="","",'12 - Device_Configuration'!AW330)</f>
        <v/>
      </c>
      <c r="V329" s="21" t="str">
        <f>IF('12 - Device_Configuration'!BA330="","",'12 - Device_Configuration'!BA330)</f>
        <v/>
      </c>
      <c r="W329" s="21" t="str">
        <f>IF('12 - Device_Configuration'!BC330="","",'12 - Device_Configuration'!BC330)</f>
        <v/>
      </c>
      <c r="X329" s="21" t="str">
        <f>IF('12 - Device_Configuration'!BK330="","",'12 - Device_Configuration'!BK330)</f>
        <v/>
      </c>
      <c r="Y329" s="21" t="str">
        <f>IF('12 - Device_Configuration'!BB330="","",'12 - Device_Configuration'!BB330)</f>
        <v/>
      </c>
      <c r="Z329" s="21" t="str">
        <f>IF('12 - Device_Configuration'!P330="","",'12 - Device_Configuration'!P330)</f>
        <v/>
      </c>
      <c r="AA329" s="21" t="str">
        <f>IF('12 - Device_Configuration'!Q330="","",'12 - Device_Configuration'!Q330)</f>
        <v/>
      </c>
    </row>
    <row r="330" spans="1:27">
      <c r="A330" s="22"/>
      <c r="B330" s="22"/>
      <c r="C330" s="21" t="str">
        <f>IF('12 - Device_Configuration'!H331="","",'12 - Device_Configuration'!H331)</f>
        <v/>
      </c>
      <c r="D330" s="21" t="str">
        <f>IF('12 - Device_Configuration'!AE331="","",'12 - Device_Configuration'!AE331)</f>
        <v/>
      </c>
      <c r="E330" s="21" t="str">
        <f>IF('12 - Device_Configuration'!AF331="","",'12 - Device_Configuration'!AF331)</f>
        <v/>
      </c>
      <c r="F330" s="21" t="str">
        <f>IF('12 - Device_Configuration'!AG331="","",'12 - Device_Configuration'!AG331)</f>
        <v/>
      </c>
      <c r="G330" s="21" t="str">
        <f>IF('12 - Device_Configuration'!AH331="","",'12 - Device_Configuration'!AH331)</f>
        <v/>
      </c>
      <c r="H330" s="21" t="str">
        <f>IF('12 - Device_Configuration'!A331="","",'12 - Device_Configuration'!A331)</f>
        <v/>
      </c>
      <c r="I330" s="21" t="str">
        <f>IF('12 - Device_Configuration'!AI331="","",'12 - Device_Configuration'!AI331)</f>
        <v/>
      </c>
      <c r="J330" s="21" t="str">
        <f>IF('12 - Device_Configuration'!AJ331="","",'12 - Device_Configuration'!AJ331)</f>
        <v/>
      </c>
      <c r="K330" s="21" t="str">
        <f>IF('12 - Device_Configuration'!AA331="","",'12 - Device_Configuration'!AA331)</f>
        <v/>
      </c>
      <c r="L330" s="21" t="str">
        <f>IF('12 - Device_Configuration'!I331="","",'12 - Device_Configuration'!I331)</f>
        <v/>
      </c>
      <c r="M330" s="22"/>
      <c r="N330" s="21" t="str">
        <f>IF('12 - Device_Configuration'!J331="","",'12 - Device_Configuration'!J331)</f>
        <v/>
      </c>
      <c r="O330" s="21" t="str">
        <f>IF('12 - Device_Configuration'!K331="","",'12 - Device_Configuration'!K331)</f>
        <v/>
      </c>
      <c r="P330" s="21" t="str">
        <f>IF('12 - Device_Configuration'!L331="","",'12 - Device_Configuration'!L331)</f>
        <v/>
      </c>
      <c r="Q330" s="22"/>
      <c r="R330" s="21" t="str">
        <f>IF('12 - Device_Configuration'!AY331="","",'12 - Device_Configuration'!AY331)</f>
        <v/>
      </c>
      <c r="S330" s="21" t="str">
        <f>IF('12 - Device_Configuration'!AX331="","",'12 - Device_Configuration'!AX331)</f>
        <v/>
      </c>
      <c r="T330" s="21" t="str">
        <f>IF('12 - Device_Configuration'!AV331="","",'12 - Device_Configuration'!AV331)</f>
        <v/>
      </c>
      <c r="U330" s="21" t="str">
        <f>IF('12 - Device_Configuration'!AW331="","",'12 - Device_Configuration'!AW331)</f>
        <v/>
      </c>
      <c r="V330" s="21" t="str">
        <f>IF('12 - Device_Configuration'!BA331="","",'12 - Device_Configuration'!BA331)</f>
        <v/>
      </c>
      <c r="W330" s="21" t="str">
        <f>IF('12 - Device_Configuration'!BC331="","",'12 - Device_Configuration'!BC331)</f>
        <v/>
      </c>
      <c r="X330" s="21" t="str">
        <f>IF('12 - Device_Configuration'!BK331="","",'12 - Device_Configuration'!BK331)</f>
        <v/>
      </c>
      <c r="Y330" s="21" t="str">
        <f>IF('12 - Device_Configuration'!BB331="","",'12 - Device_Configuration'!BB331)</f>
        <v/>
      </c>
      <c r="Z330" s="21" t="str">
        <f>IF('12 - Device_Configuration'!P331="","",'12 - Device_Configuration'!P331)</f>
        <v/>
      </c>
      <c r="AA330" s="21" t="str">
        <f>IF('12 - Device_Configuration'!Q331="","",'12 - Device_Configuration'!Q331)</f>
        <v/>
      </c>
    </row>
    <row r="331" spans="1:27">
      <c r="A331" s="22"/>
      <c r="B331" s="22"/>
      <c r="C331" s="21" t="str">
        <f>IF('12 - Device_Configuration'!H332="","",'12 - Device_Configuration'!H332)</f>
        <v/>
      </c>
      <c r="D331" s="21" t="str">
        <f>IF('12 - Device_Configuration'!AE332="","",'12 - Device_Configuration'!AE332)</f>
        <v/>
      </c>
      <c r="E331" s="21" t="str">
        <f>IF('12 - Device_Configuration'!AF332="","",'12 - Device_Configuration'!AF332)</f>
        <v/>
      </c>
      <c r="F331" s="21" t="str">
        <f>IF('12 - Device_Configuration'!AG332="","",'12 - Device_Configuration'!AG332)</f>
        <v/>
      </c>
      <c r="G331" s="21" t="str">
        <f>IF('12 - Device_Configuration'!AH332="","",'12 - Device_Configuration'!AH332)</f>
        <v/>
      </c>
      <c r="H331" s="21" t="str">
        <f>IF('12 - Device_Configuration'!A332="","",'12 - Device_Configuration'!A332)</f>
        <v/>
      </c>
      <c r="I331" s="21" t="str">
        <f>IF('12 - Device_Configuration'!AI332="","",'12 - Device_Configuration'!AI332)</f>
        <v/>
      </c>
      <c r="J331" s="21" t="str">
        <f>IF('12 - Device_Configuration'!AJ332="","",'12 - Device_Configuration'!AJ332)</f>
        <v/>
      </c>
      <c r="K331" s="21" t="str">
        <f>IF('12 - Device_Configuration'!AA332="","",'12 - Device_Configuration'!AA332)</f>
        <v/>
      </c>
      <c r="L331" s="21" t="str">
        <f>IF('12 - Device_Configuration'!I332="","",'12 - Device_Configuration'!I332)</f>
        <v/>
      </c>
      <c r="M331" s="22"/>
      <c r="N331" s="21" t="str">
        <f>IF('12 - Device_Configuration'!J332="","",'12 - Device_Configuration'!J332)</f>
        <v/>
      </c>
      <c r="O331" s="21" t="str">
        <f>IF('12 - Device_Configuration'!K332="","",'12 - Device_Configuration'!K332)</f>
        <v/>
      </c>
      <c r="P331" s="21" t="str">
        <f>IF('12 - Device_Configuration'!L332="","",'12 - Device_Configuration'!L332)</f>
        <v/>
      </c>
      <c r="Q331" s="22"/>
      <c r="R331" s="21" t="str">
        <f>IF('12 - Device_Configuration'!AY332="","",'12 - Device_Configuration'!AY332)</f>
        <v/>
      </c>
      <c r="S331" s="21" t="str">
        <f>IF('12 - Device_Configuration'!AX332="","",'12 - Device_Configuration'!AX332)</f>
        <v/>
      </c>
      <c r="T331" s="21" t="str">
        <f>IF('12 - Device_Configuration'!AV332="","",'12 - Device_Configuration'!AV332)</f>
        <v/>
      </c>
      <c r="U331" s="21" t="str">
        <f>IF('12 - Device_Configuration'!AW332="","",'12 - Device_Configuration'!AW332)</f>
        <v/>
      </c>
      <c r="V331" s="21" t="str">
        <f>IF('12 - Device_Configuration'!BA332="","",'12 - Device_Configuration'!BA332)</f>
        <v/>
      </c>
      <c r="W331" s="21" t="str">
        <f>IF('12 - Device_Configuration'!BC332="","",'12 - Device_Configuration'!BC332)</f>
        <v/>
      </c>
      <c r="X331" s="21" t="str">
        <f>IF('12 - Device_Configuration'!BK332="","",'12 - Device_Configuration'!BK332)</f>
        <v/>
      </c>
      <c r="Y331" s="21" t="str">
        <f>IF('12 - Device_Configuration'!BB332="","",'12 - Device_Configuration'!BB332)</f>
        <v/>
      </c>
      <c r="Z331" s="21" t="str">
        <f>IF('12 - Device_Configuration'!P332="","",'12 - Device_Configuration'!P332)</f>
        <v/>
      </c>
      <c r="AA331" s="21" t="str">
        <f>IF('12 - Device_Configuration'!Q332="","",'12 - Device_Configuration'!Q332)</f>
        <v/>
      </c>
    </row>
    <row r="332" spans="1:27">
      <c r="A332" s="22"/>
      <c r="B332" s="22"/>
      <c r="C332" s="21" t="str">
        <f>IF('12 - Device_Configuration'!H333="","",'12 - Device_Configuration'!H333)</f>
        <v/>
      </c>
      <c r="D332" s="21" t="str">
        <f>IF('12 - Device_Configuration'!AE333="","",'12 - Device_Configuration'!AE333)</f>
        <v/>
      </c>
      <c r="E332" s="21" t="str">
        <f>IF('12 - Device_Configuration'!AF333="","",'12 - Device_Configuration'!AF333)</f>
        <v/>
      </c>
      <c r="F332" s="21" t="str">
        <f>IF('12 - Device_Configuration'!AG333="","",'12 - Device_Configuration'!AG333)</f>
        <v/>
      </c>
      <c r="G332" s="21" t="str">
        <f>IF('12 - Device_Configuration'!AH333="","",'12 - Device_Configuration'!AH333)</f>
        <v/>
      </c>
      <c r="H332" s="21" t="str">
        <f>IF('12 - Device_Configuration'!A333="","",'12 - Device_Configuration'!A333)</f>
        <v/>
      </c>
      <c r="I332" s="21" t="str">
        <f>IF('12 - Device_Configuration'!AI333="","",'12 - Device_Configuration'!AI333)</f>
        <v/>
      </c>
      <c r="J332" s="21" t="str">
        <f>IF('12 - Device_Configuration'!AJ333="","",'12 - Device_Configuration'!AJ333)</f>
        <v/>
      </c>
      <c r="K332" s="21" t="str">
        <f>IF('12 - Device_Configuration'!AA333="","",'12 - Device_Configuration'!AA333)</f>
        <v/>
      </c>
      <c r="L332" s="21" t="str">
        <f>IF('12 - Device_Configuration'!I333="","",'12 - Device_Configuration'!I333)</f>
        <v/>
      </c>
      <c r="M332" s="22"/>
      <c r="N332" s="21" t="str">
        <f>IF('12 - Device_Configuration'!J333="","",'12 - Device_Configuration'!J333)</f>
        <v/>
      </c>
      <c r="O332" s="21" t="str">
        <f>IF('12 - Device_Configuration'!K333="","",'12 - Device_Configuration'!K333)</f>
        <v/>
      </c>
      <c r="P332" s="21" t="str">
        <f>IF('12 - Device_Configuration'!L333="","",'12 - Device_Configuration'!L333)</f>
        <v/>
      </c>
      <c r="Q332" s="22"/>
      <c r="R332" s="21" t="str">
        <f>IF('12 - Device_Configuration'!AY333="","",'12 - Device_Configuration'!AY333)</f>
        <v/>
      </c>
      <c r="S332" s="21" t="str">
        <f>IF('12 - Device_Configuration'!AX333="","",'12 - Device_Configuration'!AX333)</f>
        <v/>
      </c>
      <c r="T332" s="21" t="str">
        <f>IF('12 - Device_Configuration'!AV333="","",'12 - Device_Configuration'!AV333)</f>
        <v/>
      </c>
      <c r="U332" s="21" t="str">
        <f>IF('12 - Device_Configuration'!AW333="","",'12 - Device_Configuration'!AW333)</f>
        <v/>
      </c>
      <c r="V332" s="21" t="str">
        <f>IF('12 - Device_Configuration'!BA333="","",'12 - Device_Configuration'!BA333)</f>
        <v/>
      </c>
      <c r="W332" s="21" t="str">
        <f>IF('12 - Device_Configuration'!BC333="","",'12 - Device_Configuration'!BC333)</f>
        <v/>
      </c>
      <c r="X332" s="21" t="str">
        <f>IF('12 - Device_Configuration'!BK333="","",'12 - Device_Configuration'!BK333)</f>
        <v/>
      </c>
      <c r="Y332" s="21" t="str">
        <f>IF('12 - Device_Configuration'!BB333="","",'12 - Device_Configuration'!BB333)</f>
        <v/>
      </c>
      <c r="Z332" s="21" t="str">
        <f>IF('12 - Device_Configuration'!P333="","",'12 - Device_Configuration'!P333)</f>
        <v/>
      </c>
      <c r="AA332" s="21" t="str">
        <f>IF('12 - Device_Configuration'!Q333="","",'12 - Device_Configuration'!Q333)</f>
        <v/>
      </c>
    </row>
    <row r="333" spans="1:27">
      <c r="A333" s="22"/>
      <c r="B333" s="22"/>
      <c r="C333" s="21" t="str">
        <f>IF('12 - Device_Configuration'!H334="","",'12 - Device_Configuration'!H334)</f>
        <v/>
      </c>
      <c r="D333" s="21" t="str">
        <f>IF('12 - Device_Configuration'!AE334="","",'12 - Device_Configuration'!AE334)</f>
        <v/>
      </c>
      <c r="E333" s="21" t="str">
        <f>IF('12 - Device_Configuration'!AF334="","",'12 - Device_Configuration'!AF334)</f>
        <v/>
      </c>
      <c r="F333" s="21" t="str">
        <f>IF('12 - Device_Configuration'!AG334="","",'12 - Device_Configuration'!AG334)</f>
        <v/>
      </c>
      <c r="G333" s="21" t="str">
        <f>IF('12 - Device_Configuration'!AH334="","",'12 - Device_Configuration'!AH334)</f>
        <v/>
      </c>
      <c r="H333" s="21" t="str">
        <f>IF('12 - Device_Configuration'!A334="","",'12 - Device_Configuration'!A334)</f>
        <v/>
      </c>
      <c r="I333" s="21" t="str">
        <f>IF('12 - Device_Configuration'!AI334="","",'12 - Device_Configuration'!AI334)</f>
        <v/>
      </c>
      <c r="J333" s="21" t="str">
        <f>IF('12 - Device_Configuration'!AJ334="","",'12 - Device_Configuration'!AJ334)</f>
        <v/>
      </c>
      <c r="K333" s="21" t="str">
        <f>IF('12 - Device_Configuration'!AA334="","",'12 - Device_Configuration'!AA334)</f>
        <v/>
      </c>
      <c r="L333" s="21" t="str">
        <f>IF('12 - Device_Configuration'!I334="","",'12 - Device_Configuration'!I334)</f>
        <v/>
      </c>
      <c r="M333" s="22"/>
      <c r="N333" s="21" t="str">
        <f>IF('12 - Device_Configuration'!J334="","",'12 - Device_Configuration'!J334)</f>
        <v/>
      </c>
      <c r="O333" s="21" t="str">
        <f>IF('12 - Device_Configuration'!K334="","",'12 - Device_Configuration'!K334)</f>
        <v/>
      </c>
      <c r="P333" s="21" t="str">
        <f>IF('12 - Device_Configuration'!L334="","",'12 - Device_Configuration'!L334)</f>
        <v/>
      </c>
      <c r="Q333" s="22"/>
      <c r="R333" s="21" t="str">
        <f>IF('12 - Device_Configuration'!AY334="","",'12 - Device_Configuration'!AY334)</f>
        <v/>
      </c>
      <c r="S333" s="21" t="str">
        <f>IF('12 - Device_Configuration'!AX334="","",'12 - Device_Configuration'!AX334)</f>
        <v/>
      </c>
      <c r="T333" s="21" t="str">
        <f>IF('12 - Device_Configuration'!AV334="","",'12 - Device_Configuration'!AV334)</f>
        <v/>
      </c>
      <c r="U333" s="21" t="str">
        <f>IF('12 - Device_Configuration'!AW334="","",'12 - Device_Configuration'!AW334)</f>
        <v/>
      </c>
      <c r="V333" s="21" t="str">
        <f>IF('12 - Device_Configuration'!BA334="","",'12 - Device_Configuration'!BA334)</f>
        <v/>
      </c>
      <c r="W333" s="21" t="str">
        <f>IF('12 - Device_Configuration'!BC334="","",'12 - Device_Configuration'!BC334)</f>
        <v/>
      </c>
      <c r="X333" s="21" t="str">
        <f>IF('12 - Device_Configuration'!BK334="","",'12 - Device_Configuration'!BK334)</f>
        <v/>
      </c>
      <c r="Y333" s="21" t="str">
        <f>IF('12 - Device_Configuration'!BB334="","",'12 - Device_Configuration'!BB334)</f>
        <v/>
      </c>
      <c r="Z333" s="21" t="str">
        <f>IF('12 - Device_Configuration'!P334="","",'12 - Device_Configuration'!P334)</f>
        <v/>
      </c>
      <c r="AA333" s="21" t="str">
        <f>IF('12 - Device_Configuration'!Q334="","",'12 - Device_Configuration'!Q334)</f>
        <v/>
      </c>
    </row>
    <row r="334" spans="1:27">
      <c r="A334" s="22"/>
      <c r="B334" s="22"/>
      <c r="C334" s="21" t="str">
        <f>IF('12 - Device_Configuration'!H335="","",'12 - Device_Configuration'!H335)</f>
        <v/>
      </c>
      <c r="D334" s="21" t="str">
        <f>IF('12 - Device_Configuration'!AE335="","",'12 - Device_Configuration'!AE335)</f>
        <v/>
      </c>
      <c r="E334" s="21" t="str">
        <f>IF('12 - Device_Configuration'!AF335="","",'12 - Device_Configuration'!AF335)</f>
        <v/>
      </c>
      <c r="F334" s="21" t="str">
        <f>IF('12 - Device_Configuration'!AG335="","",'12 - Device_Configuration'!AG335)</f>
        <v/>
      </c>
      <c r="G334" s="21" t="str">
        <f>IF('12 - Device_Configuration'!AH335="","",'12 - Device_Configuration'!AH335)</f>
        <v/>
      </c>
      <c r="H334" s="21" t="str">
        <f>IF('12 - Device_Configuration'!A335="","",'12 - Device_Configuration'!A335)</f>
        <v/>
      </c>
      <c r="I334" s="21" t="str">
        <f>IF('12 - Device_Configuration'!AI335="","",'12 - Device_Configuration'!AI335)</f>
        <v/>
      </c>
      <c r="J334" s="21" t="str">
        <f>IF('12 - Device_Configuration'!AJ335="","",'12 - Device_Configuration'!AJ335)</f>
        <v/>
      </c>
      <c r="K334" s="21" t="str">
        <f>IF('12 - Device_Configuration'!AA335="","",'12 - Device_Configuration'!AA335)</f>
        <v/>
      </c>
      <c r="L334" s="21" t="str">
        <f>IF('12 - Device_Configuration'!I335="","",'12 - Device_Configuration'!I335)</f>
        <v/>
      </c>
      <c r="M334" s="22"/>
      <c r="N334" s="21" t="str">
        <f>IF('12 - Device_Configuration'!J335="","",'12 - Device_Configuration'!J335)</f>
        <v/>
      </c>
      <c r="O334" s="21" t="str">
        <f>IF('12 - Device_Configuration'!K335="","",'12 - Device_Configuration'!K335)</f>
        <v/>
      </c>
      <c r="P334" s="21" t="str">
        <f>IF('12 - Device_Configuration'!L335="","",'12 - Device_Configuration'!L335)</f>
        <v/>
      </c>
      <c r="Q334" s="22"/>
      <c r="R334" s="21" t="str">
        <f>IF('12 - Device_Configuration'!AY335="","",'12 - Device_Configuration'!AY335)</f>
        <v/>
      </c>
      <c r="S334" s="21" t="str">
        <f>IF('12 - Device_Configuration'!AX335="","",'12 - Device_Configuration'!AX335)</f>
        <v/>
      </c>
      <c r="T334" s="21" t="str">
        <f>IF('12 - Device_Configuration'!AV335="","",'12 - Device_Configuration'!AV335)</f>
        <v/>
      </c>
      <c r="U334" s="21" t="str">
        <f>IF('12 - Device_Configuration'!AW335="","",'12 - Device_Configuration'!AW335)</f>
        <v/>
      </c>
      <c r="V334" s="21" t="str">
        <f>IF('12 - Device_Configuration'!BA335="","",'12 - Device_Configuration'!BA335)</f>
        <v/>
      </c>
      <c r="W334" s="21" t="str">
        <f>IF('12 - Device_Configuration'!BC335="","",'12 - Device_Configuration'!BC335)</f>
        <v/>
      </c>
      <c r="X334" s="21" t="str">
        <f>IF('12 - Device_Configuration'!BK335="","",'12 - Device_Configuration'!BK335)</f>
        <v/>
      </c>
      <c r="Y334" s="21" t="str">
        <f>IF('12 - Device_Configuration'!BB335="","",'12 - Device_Configuration'!BB335)</f>
        <v/>
      </c>
      <c r="Z334" s="21" t="str">
        <f>IF('12 - Device_Configuration'!P335="","",'12 - Device_Configuration'!P335)</f>
        <v/>
      </c>
      <c r="AA334" s="21" t="str">
        <f>IF('12 - Device_Configuration'!Q335="","",'12 - Device_Configuration'!Q335)</f>
        <v/>
      </c>
    </row>
    <row r="335" spans="1:27">
      <c r="A335" s="22"/>
      <c r="B335" s="22"/>
      <c r="C335" s="21" t="str">
        <f>IF('12 - Device_Configuration'!H336="","",'12 - Device_Configuration'!H336)</f>
        <v/>
      </c>
      <c r="D335" s="21" t="str">
        <f>IF('12 - Device_Configuration'!AE336="","",'12 - Device_Configuration'!AE336)</f>
        <v/>
      </c>
      <c r="E335" s="21" t="str">
        <f>IF('12 - Device_Configuration'!AF336="","",'12 - Device_Configuration'!AF336)</f>
        <v/>
      </c>
      <c r="F335" s="21" t="str">
        <f>IF('12 - Device_Configuration'!AG336="","",'12 - Device_Configuration'!AG336)</f>
        <v/>
      </c>
      <c r="G335" s="21" t="str">
        <f>IF('12 - Device_Configuration'!AH336="","",'12 - Device_Configuration'!AH336)</f>
        <v/>
      </c>
      <c r="H335" s="21" t="str">
        <f>IF('12 - Device_Configuration'!A336="","",'12 - Device_Configuration'!A336)</f>
        <v/>
      </c>
      <c r="I335" s="21" t="str">
        <f>IF('12 - Device_Configuration'!AI336="","",'12 - Device_Configuration'!AI336)</f>
        <v/>
      </c>
      <c r="J335" s="21" t="str">
        <f>IF('12 - Device_Configuration'!AJ336="","",'12 - Device_Configuration'!AJ336)</f>
        <v/>
      </c>
      <c r="K335" s="21" t="str">
        <f>IF('12 - Device_Configuration'!AA336="","",'12 - Device_Configuration'!AA336)</f>
        <v/>
      </c>
      <c r="L335" s="21" t="str">
        <f>IF('12 - Device_Configuration'!I336="","",'12 - Device_Configuration'!I336)</f>
        <v/>
      </c>
      <c r="M335" s="22"/>
      <c r="N335" s="21" t="str">
        <f>IF('12 - Device_Configuration'!J336="","",'12 - Device_Configuration'!J336)</f>
        <v/>
      </c>
      <c r="O335" s="21" t="str">
        <f>IF('12 - Device_Configuration'!K336="","",'12 - Device_Configuration'!K336)</f>
        <v/>
      </c>
      <c r="P335" s="21" t="str">
        <f>IF('12 - Device_Configuration'!L336="","",'12 - Device_Configuration'!L336)</f>
        <v/>
      </c>
      <c r="Q335" s="22"/>
      <c r="R335" s="21" t="str">
        <f>IF('12 - Device_Configuration'!AY336="","",'12 - Device_Configuration'!AY336)</f>
        <v/>
      </c>
      <c r="S335" s="21" t="str">
        <f>IF('12 - Device_Configuration'!AX336="","",'12 - Device_Configuration'!AX336)</f>
        <v/>
      </c>
      <c r="T335" s="21" t="str">
        <f>IF('12 - Device_Configuration'!AV336="","",'12 - Device_Configuration'!AV336)</f>
        <v/>
      </c>
      <c r="U335" s="21" t="str">
        <f>IF('12 - Device_Configuration'!AW336="","",'12 - Device_Configuration'!AW336)</f>
        <v/>
      </c>
      <c r="V335" s="21" t="str">
        <f>IF('12 - Device_Configuration'!BA336="","",'12 - Device_Configuration'!BA336)</f>
        <v/>
      </c>
      <c r="W335" s="21" t="str">
        <f>IF('12 - Device_Configuration'!BC336="","",'12 - Device_Configuration'!BC336)</f>
        <v/>
      </c>
      <c r="X335" s="21" t="str">
        <f>IF('12 - Device_Configuration'!BK336="","",'12 - Device_Configuration'!BK336)</f>
        <v/>
      </c>
      <c r="Y335" s="21" t="str">
        <f>IF('12 - Device_Configuration'!BB336="","",'12 - Device_Configuration'!BB336)</f>
        <v/>
      </c>
      <c r="Z335" s="21" t="str">
        <f>IF('12 - Device_Configuration'!P336="","",'12 - Device_Configuration'!P336)</f>
        <v/>
      </c>
      <c r="AA335" s="21" t="str">
        <f>IF('12 - Device_Configuration'!Q336="","",'12 - Device_Configuration'!Q336)</f>
        <v/>
      </c>
    </row>
    <row r="336" spans="1:27">
      <c r="A336" s="22"/>
      <c r="B336" s="22"/>
      <c r="C336" s="21" t="str">
        <f>IF('12 - Device_Configuration'!H337="","",'12 - Device_Configuration'!H337)</f>
        <v/>
      </c>
      <c r="D336" s="21" t="str">
        <f>IF('12 - Device_Configuration'!AE337="","",'12 - Device_Configuration'!AE337)</f>
        <v/>
      </c>
      <c r="E336" s="21" t="str">
        <f>IF('12 - Device_Configuration'!AF337="","",'12 - Device_Configuration'!AF337)</f>
        <v/>
      </c>
      <c r="F336" s="21" t="str">
        <f>IF('12 - Device_Configuration'!AG337="","",'12 - Device_Configuration'!AG337)</f>
        <v/>
      </c>
      <c r="G336" s="21" t="str">
        <f>IF('12 - Device_Configuration'!AH337="","",'12 - Device_Configuration'!AH337)</f>
        <v/>
      </c>
      <c r="H336" s="21" t="str">
        <f>IF('12 - Device_Configuration'!A337="","",'12 - Device_Configuration'!A337)</f>
        <v/>
      </c>
      <c r="I336" s="21" t="str">
        <f>IF('12 - Device_Configuration'!AI337="","",'12 - Device_Configuration'!AI337)</f>
        <v/>
      </c>
      <c r="J336" s="21" t="str">
        <f>IF('12 - Device_Configuration'!AJ337="","",'12 - Device_Configuration'!AJ337)</f>
        <v/>
      </c>
      <c r="K336" s="21" t="str">
        <f>IF('12 - Device_Configuration'!AA337="","",'12 - Device_Configuration'!AA337)</f>
        <v/>
      </c>
      <c r="L336" s="21" t="str">
        <f>IF('12 - Device_Configuration'!I337="","",'12 - Device_Configuration'!I337)</f>
        <v/>
      </c>
      <c r="M336" s="22"/>
      <c r="N336" s="21" t="str">
        <f>IF('12 - Device_Configuration'!J337="","",'12 - Device_Configuration'!J337)</f>
        <v/>
      </c>
      <c r="O336" s="21" t="str">
        <f>IF('12 - Device_Configuration'!K337="","",'12 - Device_Configuration'!K337)</f>
        <v/>
      </c>
      <c r="P336" s="21" t="str">
        <f>IF('12 - Device_Configuration'!L337="","",'12 - Device_Configuration'!L337)</f>
        <v/>
      </c>
      <c r="Q336" s="22"/>
      <c r="R336" s="21" t="str">
        <f>IF('12 - Device_Configuration'!AY337="","",'12 - Device_Configuration'!AY337)</f>
        <v/>
      </c>
      <c r="S336" s="21" t="str">
        <f>IF('12 - Device_Configuration'!AX337="","",'12 - Device_Configuration'!AX337)</f>
        <v/>
      </c>
      <c r="T336" s="21" t="str">
        <f>IF('12 - Device_Configuration'!AV337="","",'12 - Device_Configuration'!AV337)</f>
        <v/>
      </c>
      <c r="U336" s="21" t="str">
        <f>IF('12 - Device_Configuration'!AW337="","",'12 - Device_Configuration'!AW337)</f>
        <v/>
      </c>
      <c r="V336" s="21" t="str">
        <f>IF('12 - Device_Configuration'!BA337="","",'12 - Device_Configuration'!BA337)</f>
        <v/>
      </c>
      <c r="W336" s="21" t="str">
        <f>IF('12 - Device_Configuration'!BC337="","",'12 - Device_Configuration'!BC337)</f>
        <v/>
      </c>
      <c r="X336" s="21" t="str">
        <f>IF('12 - Device_Configuration'!BK337="","",'12 - Device_Configuration'!BK337)</f>
        <v/>
      </c>
      <c r="Y336" s="21" t="str">
        <f>IF('12 - Device_Configuration'!BB337="","",'12 - Device_Configuration'!BB337)</f>
        <v/>
      </c>
      <c r="Z336" s="21" t="str">
        <f>IF('12 - Device_Configuration'!P337="","",'12 - Device_Configuration'!P337)</f>
        <v/>
      </c>
      <c r="AA336" s="21" t="str">
        <f>IF('12 - Device_Configuration'!Q337="","",'12 - Device_Configuration'!Q337)</f>
        <v/>
      </c>
    </row>
    <row r="337" spans="1:27">
      <c r="A337" s="22"/>
      <c r="B337" s="22"/>
      <c r="C337" s="21" t="str">
        <f>IF('12 - Device_Configuration'!H338="","",'12 - Device_Configuration'!H338)</f>
        <v/>
      </c>
      <c r="D337" s="21" t="str">
        <f>IF('12 - Device_Configuration'!AE338="","",'12 - Device_Configuration'!AE338)</f>
        <v/>
      </c>
      <c r="E337" s="21" t="str">
        <f>IF('12 - Device_Configuration'!AF338="","",'12 - Device_Configuration'!AF338)</f>
        <v/>
      </c>
      <c r="F337" s="21" t="str">
        <f>IF('12 - Device_Configuration'!AG338="","",'12 - Device_Configuration'!AG338)</f>
        <v/>
      </c>
      <c r="G337" s="21" t="str">
        <f>IF('12 - Device_Configuration'!AH338="","",'12 - Device_Configuration'!AH338)</f>
        <v/>
      </c>
      <c r="H337" s="21" t="str">
        <f>IF('12 - Device_Configuration'!A338="","",'12 - Device_Configuration'!A338)</f>
        <v/>
      </c>
      <c r="I337" s="21" t="str">
        <f>IF('12 - Device_Configuration'!AI338="","",'12 - Device_Configuration'!AI338)</f>
        <v/>
      </c>
      <c r="J337" s="21" t="str">
        <f>IF('12 - Device_Configuration'!AJ338="","",'12 - Device_Configuration'!AJ338)</f>
        <v/>
      </c>
      <c r="K337" s="21" t="str">
        <f>IF('12 - Device_Configuration'!AA338="","",'12 - Device_Configuration'!AA338)</f>
        <v/>
      </c>
      <c r="L337" s="21" t="str">
        <f>IF('12 - Device_Configuration'!I338="","",'12 - Device_Configuration'!I338)</f>
        <v/>
      </c>
      <c r="M337" s="22"/>
      <c r="N337" s="21" t="str">
        <f>IF('12 - Device_Configuration'!J338="","",'12 - Device_Configuration'!J338)</f>
        <v/>
      </c>
      <c r="O337" s="21" t="str">
        <f>IF('12 - Device_Configuration'!K338="","",'12 - Device_Configuration'!K338)</f>
        <v/>
      </c>
      <c r="P337" s="21" t="str">
        <f>IF('12 - Device_Configuration'!L338="","",'12 - Device_Configuration'!L338)</f>
        <v/>
      </c>
      <c r="Q337" s="22"/>
      <c r="R337" s="21" t="str">
        <f>IF('12 - Device_Configuration'!AY338="","",'12 - Device_Configuration'!AY338)</f>
        <v/>
      </c>
      <c r="S337" s="21" t="str">
        <f>IF('12 - Device_Configuration'!AX338="","",'12 - Device_Configuration'!AX338)</f>
        <v/>
      </c>
      <c r="T337" s="21" t="str">
        <f>IF('12 - Device_Configuration'!AV338="","",'12 - Device_Configuration'!AV338)</f>
        <v/>
      </c>
      <c r="U337" s="21" t="str">
        <f>IF('12 - Device_Configuration'!AW338="","",'12 - Device_Configuration'!AW338)</f>
        <v/>
      </c>
      <c r="V337" s="21" t="str">
        <f>IF('12 - Device_Configuration'!BA338="","",'12 - Device_Configuration'!BA338)</f>
        <v/>
      </c>
      <c r="W337" s="21" t="str">
        <f>IF('12 - Device_Configuration'!BC338="","",'12 - Device_Configuration'!BC338)</f>
        <v/>
      </c>
      <c r="X337" s="21" t="str">
        <f>IF('12 - Device_Configuration'!BK338="","",'12 - Device_Configuration'!BK338)</f>
        <v/>
      </c>
      <c r="Y337" s="21" t="str">
        <f>IF('12 - Device_Configuration'!BB338="","",'12 - Device_Configuration'!BB338)</f>
        <v/>
      </c>
      <c r="Z337" s="21" t="str">
        <f>IF('12 - Device_Configuration'!P338="","",'12 - Device_Configuration'!P338)</f>
        <v/>
      </c>
      <c r="AA337" s="21" t="str">
        <f>IF('12 - Device_Configuration'!Q338="","",'12 - Device_Configuration'!Q338)</f>
        <v/>
      </c>
    </row>
    <row r="338" spans="1:27">
      <c r="A338" s="22"/>
      <c r="B338" s="22"/>
      <c r="C338" s="21" t="str">
        <f>IF('12 - Device_Configuration'!H339="","",'12 - Device_Configuration'!H339)</f>
        <v/>
      </c>
      <c r="D338" s="21" t="str">
        <f>IF('12 - Device_Configuration'!AE339="","",'12 - Device_Configuration'!AE339)</f>
        <v/>
      </c>
      <c r="E338" s="21" t="str">
        <f>IF('12 - Device_Configuration'!AF339="","",'12 - Device_Configuration'!AF339)</f>
        <v/>
      </c>
      <c r="F338" s="21" t="str">
        <f>IF('12 - Device_Configuration'!AG339="","",'12 - Device_Configuration'!AG339)</f>
        <v/>
      </c>
      <c r="G338" s="21" t="str">
        <f>IF('12 - Device_Configuration'!AH339="","",'12 - Device_Configuration'!AH339)</f>
        <v/>
      </c>
      <c r="H338" s="21" t="str">
        <f>IF('12 - Device_Configuration'!A339="","",'12 - Device_Configuration'!A339)</f>
        <v/>
      </c>
      <c r="I338" s="21" t="str">
        <f>IF('12 - Device_Configuration'!AI339="","",'12 - Device_Configuration'!AI339)</f>
        <v/>
      </c>
      <c r="J338" s="21" t="str">
        <f>IF('12 - Device_Configuration'!AJ339="","",'12 - Device_Configuration'!AJ339)</f>
        <v/>
      </c>
      <c r="K338" s="21" t="str">
        <f>IF('12 - Device_Configuration'!AA339="","",'12 - Device_Configuration'!AA339)</f>
        <v/>
      </c>
      <c r="L338" s="21" t="str">
        <f>IF('12 - Device_Configuration'!I339="","",'12 - Device_Configuration'!I339)</f>
        <v/>
      </c>
      <c r="M338" s="22"/>
      <c r="N338" s="21" t="str">
        <f>IF('12 - Device_Configuration'!J339="","",'12 - Device_Configuration'!J339)</f>
        <v/>
      </c>
      <c r="O338" s="21" t="str">
        <f>IF('12 - Device_Configuration'!K339="","",'12 - Device_Configuration'!K339)</f>
        <v/>
      </c>
      <c r="P338" s="21" t="str">
        <f>IF('12 - Device_Configuration'!L339="","",'12 - Device_Configuration'!L339)</f>
        <v/>
      </c>
      <c r="Q338" s="22"/>
      <c r="R338" s="21" t="str">
        <f>IF('12 - Device_Configuration'!AY339="","",'12 - Device_Configuration'!AY339)</f>
        <v/>
      </c>
      <c r="S338" s="21" t="str">
        <f>IF('12 - Device_Configuration'!AX339="","",'12 - Device_Configuration'!AX339)</f>
        <v/>
      </c>
      <c r="T338" s="21" t="str">
        <f>IF('12 - Device_Configuration'!AV339="","",'12 - Device_Configuration'!AV339)</f>
        <v/>
      </c>
      <c r="U338" s="21" t="str">
        <f>IF('12 - Device_Configuration'!AW339="","",'12 - Device_Configuration'!AW339)</f>
        <v/>
      </c>
      <c r="V338" s="21" t="str">
        <f>IF('12 - Device_Configuration'!BA339="","",'12 - Device_Configuration'!BA339)</f>
        <v/>
      </c>
      <c r="W338" s="21" t="str">
        <f>IF('12 - Device_Configuration'!BC339="","",'12 - Device_Configuration'!BC339)</f>
        <v/>
      </c>
      <c r="X338" s="21" t="str">
        <f>IF('12 - Device_Configuration'!BK339="","",'12 - Device_Configuration'!BK339)</f>
        <v/>
      </c>
      <c r="Y338" s="21" t="str">
        <f>IF('12 - Device_Configuration'!BB339="","",'12 - Device_Configuration'!BB339)</f>
        <v/>
      </c>
      <c r="Z338" s="21" t="str">
        <f>IF('12 - Device_Configuration'!P339="","",'12 - Device_Configuration'!P339)</f>
        <v/>
      </c>
      <c r="AA338" s="21" t="str">
        <f>IF('12 - Device_Configuration'!Q339="","",'12 - Device_Configuration'!Q339)</f>
        <v/>
      </c>
    </row>
    <row r="339" spans="1:27">
      <c r="A339" s="22"/>
      <c r="B339" s="22"/>
      <c r="C339" s="21" t="str">
        <f>IF('12 - Device_Configuration'!H340="","",'12 - Device_Configuration'!H340)</f>
        <v/>
      </c>
      <c r="D339" s="21" t="str">
        <f>IF('12 - Device_Configuration'!AE340="","",'12 - Device_Configuration'!AE340)</f>
        <v/>
      </c>
      <c r="E339" s="21" t="str">
        <f>IF('12 - Device_Configuration'!AF340="","",'12 - Device_Configuration'!AF340)</f>
        <v/>
      </c>
      <c r="F339" s="21" t="str">
        <f>IF('12 - Device_Configuration'!AG340="","",'12 - Device_Configuration'!AG340)</f>
        <v/>
      </c>
      <c r="G339" s="21" t="str">
        <f>IF('12 - Device_Configuration'!AH340="","",'12 - Device_Configuration'!AH340)</f>
        <v/>
      </c>
      <c r="H339" s="21" t="str">
        <f>IF('12 - Device_Configuration'!A340="","",'12 - Device_Configuration'!A340)</f>
        <v/>
      </c>
      <c r="I339" s="21" t="str">
        <f>IF('12 - Device_Configuration'!AI340="","",'12 - Device_Configuration'!AI340)</f>
        <v/>
      </c>
      <c r="J339" s="21" t="str">
        <f>IF('12 - Device_Configuration'!AJ340="","",'12 - Device_Configuration'!AJ340)</f>
        <v/>
      </c>
      <c r="K339" s="21" t="str">
        <f>IF('12 - Device_Configuration'!AA340="","",'12 - Device_Configuration'!AA340)</f>
        <v/>
      </c>
      <c r="L339" s="21" t="str">
        <f>IF('12 - Device_Configuration'!I340="","",'12 - Device_Configuration'!I340)</f>
        <v/>
      </c>
      <c r="M339" s="22"/>
      <c r="N339" s="21" t="str">
        <f>IF('12 - Device_Configuration'!J340="","",'12 - Device_Configuration'!J340)</f>
        <v/>
      </c>
      <c r="O339" s="21" t="str">
        <f>IF('12 - Device_Configuration'!K340="","",'12 - Device_Configuration'!K340)</f>
        <v/>
      </c>
      <c r="P339" s="21" t="str">
        <f>IF('12 - Device_Configuration'!L340="","",'12 - Device_Configuration'!L340)</f>
        <v/>
      </c>
      <c r="Q339" s="22"/>
      <c r="R339" s="21" t="str">
        <f>IF('12 - Device_Configuration'!AY340="","",'12 - Device_Configuration'!AY340)</f>
        <v/>
      </c>
      <c r="S339" s="21" t="str">
        <f>IF('12 - Device_Configuration'!AX340="","",'12 - Device_Configuration'!AX340)</f>
        <v/>
      </c>
      <c r="T339" s="21" t="str">
        <f>IF('12 - Device_Configuration'!AV340="","",'12 - Device_Configuration'!AV340)</f>
        <v/>
      </c>
      <c r="U339" s="21" t="str">
        <f>IF('12 - Device_Configuration'!AW340="","",'12 - Device_Configuration'!AW340)</f>
        <v/>
      </c>
      <c r="V339" s="21" t="str">
        <f>IF('12 - Device_Configuration'!BA340="","",'12 - Device_Configuration'!BA340)</f>
        <v/>
      </c>
      <c r="W339" s="21" t="str">
        <f>IF('12 - Device_Configuration'!BC340="","",'12 - Device_Configuration'!BC340)</f>
        <v/>
      </c>
      <c r="X339" s="21" t="str">
        <f>IF('12 - Device_Configuration'!BK340="","",'12 - Device_Configuration'!BK340)</f>
        <v/>
      </c>
      <c r="Y339" s="21" t="str">
        <f>IF('12 - Device_Configuration'!BB340="","",'12 - Device_Configuration'!BB340)</f>
        <v/>
      </c>
      <c r="Z339" s="21" t="str">
        <f>IF('12 - Device_Configuration'!P340="","",'12 - Device_Configuration'!P340)</f>
        <v/>
      </c>
      <c r="AA339" s="21" t="str">
        <f>IF('12 - Device_Configuration'!Q340="","",'12 - Device_Configuration'!Q340)</f>
        <v/>
      </c>
    </row>
    <row r="340" spans="1:27">
      <c r="A340" s="22"/>
      <c r="B340" s="22"/>
      <c r="C340" s="21" t="str">
        <f>IF('12 - Device_Configuration'!H341="","",'12 - Device_Configuration'!H341)</f>
        <v/>
      </c>
      <c r="D340" s="21" t="str">
        <f>IF('12 - Device_Configuration'!AE341="","",'12 - Device_Configuration'!AE341)</f>
        <v/>
      </c>
      <c r="E340" s="21" t="str">
        <f>IF('12 - Device_Configuration'!AF341="","",'12 - Device_Configuration'!AF341)</f>
        <v/>
      </c>
      <c r="F340" s="21" t="str">
        <f>IF('12 - Device_Configuration'!AG341="","",'12 - Device_Configuration'!AG341)</f>
        <v/>
      </c>
      <c r="G340" s="21" t="str">
        <f>IF('12 - Device_Configuration'!AH341="","",'12 - Device_Configuration'!AH341)</f>
        <v/>
      </c>
      <c r="H340" s="21" t="str">
        <f>IF('12 - Device_Configuration'!A341="","",'12 - Device_Configuration'!A341)</f>
        <v/>
      </c>
      <c r="I340" s="21" t="str">
        <f>IF('12 - Device_Configuration'!AI341="","",'12 - Device_Configuration'!AI341)</f>
        <v/>
      </c>
      <c r="J340" s="21" t="str">
        <f>IF('12 - Device_Configuration'!AJ341="","",'12 - Device_Configuration'!AJ341)</f>
        <v/>
      </c>
      <c r="K340" s="21" t="str">
        <f>IF('12 - Device_Configuration'!AA341="","",'12 - Device_Configuration'!AA341)</f>
        <v/>
      </c>
      <c r="L340" s="21" t="str">
        <f>IF('12 - Device_Configuration'!I341="","",'12 - Device_Configuration'!I341)</f>
        <v/>
      </c>
      <c r="M340" s="22"/>
      <c r="N340" s="21" t="str">
        <f>IF('12 - Device_Configuration'!J341="","",'12 - Device_Configuration'!J341)</f>
        <v/>
      </c>
      <c r="O340" s="21" t="str">
        <f>IF('12 - Device_Configuration'!K341="","",'12 - Device_Configuration'!K341)</f>
        <v/>
      </c>
      <c r="P340" s="21" t="str">
        <f>IF('12 - Device_Configuration'!L341="","",'12 - Device_Configuration'!L341)</f>
        <v/>
      </c>
      <c r="Q340" s="22"/>
      <c r="R340" s="21" t="str">
        <f>IF('12 - Device_Configuration'!AY341="","",'12 - Device_Configuration'!AY341)</f>
        <v/>
      </c>
      <c r="S340" s="21" t="str">
        <f>IF('12 - Device_Configuration'!AX341="","",'12 - Device_Configuration'!AX341)</f>
        <v/>
      </c>
      <c r="T340" s="21" t="str">
        <f>IF('12 - Device_Configuration'!AV341="","",'12 - Device_Configuration'!AV341)</f>
        <v/>
      </c>
      <c r="U340" s="21" t="str">
        <f>IF('12 - Device_Configuration'!AW341="","",'12 - Device_Configuration'!AW341)</f>
        <v/>
      </c>
      <c r="V340" s="21" t="str">
        <f>IF('12 - Device_Configuration'!BA341="","",'12 - Device_Configuration'!BA341)</f>
        <v/>
      </c>
      <c r="W340" s="21" t="str">
        <f>IF('12 - Device_Configuration'!BC341="","",'12 - Device_Configuration'!BC341)</f>
        <v/>
      </c>
      <c r="X340" s="21" t="str">
        <f>IF('12 - Device_Configuration'!BK341="","",'12 - Device_Configuration'!BK341)</f>
        <v/>
      </c>
      <c r="Y340" s="21" t="str">
        <f>IF('12 - Device_Configuration'!BB341="","",'12 - Device_Configuration'!BB341)</f>
        <v/>
      </c>
      <c r="Z340" s="21" t="str">
        <f>IF('12 - Device_Configuration'!P341="","",'12 - Device_Configuration'!P341)</f>
        <v/>
      </c>
      <c r="AA340" s="21" t="str">
        <f>IF('12 - Device_Configuration'!Q341="","",'12 - Device_Configuration'!Q341)</f>
        <v/>
      </c>
    </row>
    <row r="341" spans="1:27">
      <c r="A341" s="22"/>
      <c r="B341" s="22"/>
      <c r="C341" s="21" t="str">
        <f>IF('12 - Device_Configuration'!H342="","",'12 - Device_Configuration'!H342)</f>
        <v/>
      </c>
      <c r="D341" s="21" t="str">
        <f>IF('12 - Device_Configuration'!AE342="","",'12 - Device_Configuration'!AE342)</f>
        <v/>
      </c>
      <c r="E341" s="21" t="str">
        <f>IF('12 - Device_Configuration'!AF342="","",'12 - Device_Configuration'!AF342)</f>
        <v/>
      </c>
      <c r="F341" s="21" t="str">
        <f>IF('12 - Device_Configuration'!AG342="","",'12 - Device_Configuration'!AG342)</f>
        <v/>
      </c>
      <c r="G341" s="21" t="str">
        <f>IF('12 - Device_Configuration'!AH342="","",'12 - Device_Configuration'!AH342)</f>
        <v/>
      </c>
      <c r="H341" s="21" t="str">
        <f>IF('12 - Device_Configuration'!A342="","",'12 - Device_Configuration'!A342)</f>
        <v/>
      </c>
      <c r="I341" s="21" t="str">
        <f>IF('12 - Device_Configuration'!AI342="","",'12 - Device_Configuration'!AI342)</f>
        <v/>
      </c>
      <c r="J341" s="21" t="str">
        <f>IF('12 - Device_Configuration'!AJ342="","",'12 - Device_Configuration'!AJ342)</f>
        <v/>
      </c>
      <c r="K341" s="21" t="str">
        <f>IF('12 - Device_Configuration'!AA342="","",'12 - Device_Configuration'!AA342)</f>
        <v/>
      </c>
      <c r="L341" s="21" t="str">
        <f>IF('12 - Device_Configuration'!I342="","",'12 - Device_Configuration'!I342)</f>
        <v/>
      </c>
      <c r="M341" s="22"/>
      <c r="N341" s="21" t="str">
        <f>IF('12 - Device_Configuration'!J342="","",'12 - Device_Configuration'!J342)</f>
        <v/>
      </c>
      <c r="O341" s="21" t="str">
        <f>IF('12 - Device_Configuration'!K342="","",'12 - Device_Configuration'!K342)</f>
        <v/>
      </c>
      <c r="P341" s="21" t="str">
        <f>IF('12 - Device_Configuration'!L342="","",'12 - Device_Configuration'!L342)</f>
        <v/>
      </c>
      <c r="Q341" s="22"/>
      <c r="R341" s="21" t="str">
        <f>IF('12 - Device_Configuration'!AY342="","",'12 - Device_Configuration'!AY342)</f>
        <v/>
      </c>
      <c r="S341" s="21" t="str">
        <f>IF('12 - Device_Configuration'!AX342="","",'12 - Device_Configuration'!AX342)</f>
        <v/>
      </c>
      <c r="T341" s="21" t="str">
        <f>IF('12 - Device_Configuration'!AV342="","",'12 - Device_Configuration'!AV342)</f>
        <v/>
      </c>
      <c r="U341" s="21" t="str">
        <f>IF('12 - Device_Configuration'!AW342="","",'12 - Device_Configuration'!AW342)</f>
        <v/>
      </c>
      <c r="V341" s="21" t="str">
        <f>IF('12 - Device_Configuration'!BA342="","",'12 - Device_Configuration'!BA342)</f>
        <v/>
      </c>
      <c r="W341" s="21" t="str">
        <f>IF('12 - Device_Configuration'!BC342="","",'12 - Device_Configuration'!BC342)</f>
        <v/>
      </c>
      <c r="X341" s="21" t="str">
        <f>IF('12 - Device_Configuration'!BK342="","",'12 - Device_Configuration'!BK342)</f>
        <v/>
      </c>
      <c r="Y341" s="21" t="str">
        <f>IF('12 - Device_Configuration'!BB342="","",'12 - Device_Configuration'!BB342)</f>
        <v/>
      </c>
      <c r="Z341" s="21" t="str">
        <f>IF('12 - Device_Configuration'!P342="","",'12 - Device_Configuration'!P342)</f>
        <v/>
      </c>
      <c r="AA341" s="21" t="str">
        <f>IF('12 - Device_Configuration'!Q342="","",'12 - Device_Configuration'!Q342)</f>
        <v/>
      </c>
    </row>
    <row r="342" spans="1:27">
      <c r="A342" s="22"/>
      <c r="B342" s="22"/>
      <c r="C342" s="21" t="str">
        <f>IF('12 - Device_Configuration'!H343="","",'12 - Device_Configuration'!H343)</f>
        <v/>
      </c>
      <c r="D342" s="21" t="str">
        <f>IF('12 - Device_Configuration'!AE343="","",'12 - Device_Configuration'!AE343)</f>
        <v/>
      </c>
      <c r="E342" s="21" t="str">
        <f>IF('12 - Device_Configuration'!AF343="","",'12 - Device_Configuration'!AF343)</f>
        <v/>
      </c>
      <c r="F342" s="21" t="str">
        <f>IF('12 - Device_Configuration'!AG343="","",'12 - Device_Configuration'!AG343)</f>
        <v/>
      </c>
      <c r="G342" s="21" t="str">
        <f>IF('12 - Device_Configuration'!AH343="","",'12 - Device_Configuration'!AH343)</f>
        <v/>
      </c>
      <c r="H342" s="21" t="str">
        <f>IF('12 - Device_Configuration'!A343="","",'12 - Device_Configuration'!A343)</f>
        <v/>
      </c>
      <c r="I342" s="21" t="str">
        <f>IF('12 - Device_Configuration'!AI343="","",'12 - Device_Configuration'!AI343)</f>
        <v/>
      </c>
      <c r="J342" s="21" t="str">
        <f>IF('12 - Device_Configuration'!AJ343="","",'12 - Device_Configuration'!AJ343)</f>
        <v/>
      </c>
      <c r="K342" s="21" t="str">
        <f>IF('12 - Device_Configuration'!AA343="","",'12 - Device_Configuration'!AA343)</f>
        <v/>
      </c>
      <c r="L342" s="21" t="str">
        <f>IF('12 - Device_Configuration'!I343="","",'12 - Device_Configuration'!I343)</f>
        <v/>
      </c>
      <c r="M342" s="22"/>
      <c r="N342" s="21" t="str">
        <f>IF('12 - Device_Configuration'!J343="","",'12 - Device_Configuration'!J343)</f>
        <v/>
      </c>
      <c r="O342" s="21" t="str">
        <f>IF('12 - Device_Configuration'!K343="","",'12 - Device_Configuration'!K343)</f>
        <v/>
      </c>
      <c r="P342" s="21" t="str">
        <f>IF('12 - Device_Configuration'!L343="","",'12 - Device_Configuration'!L343)</f>
        <v/>
      </c>
      <c r="Q342" s="22"/>
      <c r="R342" s="21" t="str">
        <f>IF('12 - Device_Configuration'!AY343="","",'12 - Device_Configuration'!AY343)</f>
        <v/>
      </c>
      <c r="S342" s="21" t="str">
        <f>IF('12 - Device_Configuration'!AX343="","",'12 - Device_Configuration'!AX343)</f>
        <v/>
      </c>
      <c r="T342" s="21" t="str">
        <f>IF('12 - Device_Configuration'!AV343="","",'12 - Device_Configuration'!AV343)</f>
        <v/>
      </c>
      <c r="U342" s="21" t="str">
        <f>IF('12 - Device_Configuration'!AW343="","",'12 - Device_Configuration'!AW343)</f>
        <v/>
      </c>
      <c r="V342" s="21" t="str">
        <f>IF('12 - Device_Configuration'!BA343="","",'12 - Device_Configuration'!BA343)</f>
        <v/>
      </c>
      <c r="W342" s="21" t="str">
        <f>IF('12 - Device_Configuration'!BC343="","",'12 - Device_Configuration'!BC343)</f>
        <v/>
      </c>
      <c r="X342" s="21" t="str">
        <f>IF('12 - Device_Configuration'!BK343="","",'12 - Device_Configuration'!BK343)</f>
        <v/>
      </c>
      <c r="Y342" s="21" t="str">
        <f>IF('12 - Device_Configuration'!BB343="","",'12 - Device_Configuration'!BB343)</f>
        <v/>
      </c>
      <c r="Z342" s="21" t="str">
        <f>IF('12 - Device_Configuration'!P343="","",'12 - Device_Configuration'!P343)</f>
        <v/>
      </c>
      <c r="AA342" s="21" t="str">
        <f>IF('12 - Device_Configuration'!Q343="","",'12 - Device_Configuration'!Q343)</f>
        <v/>
      </c>
    </row>
    <row r="343" spans="1:27">
      <c r="A343" s="22"/>
      <c r="B343" s="22"/>
      <c r="C343" s="21" t="str">
        <f>IF('12 - Device_Configuration'!H344="","",'12 - Device_Configuration'!H344)</f>
        <v/>
      </c>
      <c r="D343" s="21" t="str">
        <f>IF('12 - Device_Configuration'!AE344="","",'12 - Device_Configuration'!AE344)</f>
        <v/>
      </c>
      <c r="E343" s="21" t="str">
        <f>IF('12 - Device_Configuration'!AF344="","",'12 - Device_Configuration'!AF344)</f>
        <v/>
      </c>
      <c r="F343" s="21" t="str">
        <f>IF('12 - Device_Configuration'!AG344="","",'12 - Device_Configuration'!AG344)</f>
        <v/>
      </c>
      <c r="G343" s="21" t="str">
        <f>IF('12 - Device_Configuration'!AH344="","",'12 - Device_Configuration'!AH344)</f>
        <v/>
      </c>
      <c r="H343" s="21" t="str">
        <f>IF('12 - Device_Configuration'!A344="","",'12 - Device_Configuration'!A344)</f>
        <v/>
      </c>
      <c r="I343" s="21" t="str">
        <f>IF('12 - Device_Configuration'!AI344="","",'12 - Device_Configuration'!AI344)</f>
        <v/>
      </c>
      <c r="J343" s="21" t="str">
        <f>IF('12 - Device_Configuration'!AJ344="","",'12 - Device_Configuration'!AJ344)</f>
        <v/>
      </c>
      <c r="K343" s="21" t="str">
        <f>IF('12 - Device_Configuration'!AA344="","",'12 - Device_Configuration'!AA344)</f>
        <v/>
      </c>
      <c r="L343" s="21" t="str">
        <f>IF('12 - Device_Configuration'!I344="","",'12 - Device_Configuration'!I344)</f>
        <v/>
      </c>
      <c r="M343" s="22"/>
      <c r="N343" s="21" t="str">
        <f>IF('12 - Device_Configuration'!J344="","",'12 - Device_Configuration'!J344)</f>
        <v/>
      </c>
      <c r="O343" s="21" t="str">
        <f>IF('12 - Device_Configuration'!K344="","",'12 - Device_Configuration'!K344)</f>
        <v/>
      </c>
      <c r="P343" s="21" t="str">
        <f>IF('12 - Device_Configuration'!L344="","",'12 - Device_Configuration'!L344)</f>
        <v/>
      </c>
      <c r="Q343" s="22"/>
      <c r="R343" s="21" t="str">
        <f>IF('12 - Device_Configuration'!AY344="","",'12 - Device_Configuration'!AY344)</f>
        <v/>
      </c>
      <c r="S343" s="21" t="str">
        <f>IF('12 - Device_Configuration'!AX344="","",'12 - Device_Configuration'!AX344)</f>
        <v/>
      </c>
      <c r="T343" s="21" t="str">
        <f>IF('12 - Device_Configuration'!AV344="","",'12 - Device_Configuration'!AV344)</f>
        <v/>
      </c>
      <c r="U343" s="21" t="str">
        <f>IF('12 - Device_Configuration'!AW344="","",'12 - Device_Configuration'!AW344)</f>
        <v/>
      </c>
      <c r="V343" s="21" t="str">
        <f>IF('12 - Device_Configuration'!BA344="","",'12 - Device_Configuration'!BA344)</f>
        <v/>
      </c>
      <c r="W343" s="21" t="str">
        <f>IF('12 - Device_Configuration'!BC344="","",'12 - Device_Configuration'!BC344)</f>
        <v/>
      </c>
      <c r="X343" s="21" t="str">
        <f>IF('12 - Device_Configuration'!BK344="","",'12 - Device_Configuration'!BK344)</f>
        <v/>
      </c>
      <c r="Y343" s="21" t="str">
        <f>IF('12 - Device_Configuration'!BB344="","",'12 - Device_Configuration'!BB344)</f>
        <v/>
      </c>
      <c r="Z343" s="21" t="str">
        <f>IF('12 - Device_Configuration'!P344="","",'12 - Device_Configuration'!P344)</f>
        <v/>
      </c>
      <c r="AA343" s="21" t="str">
        <f>IF('12 - Device_Configuration'!Q344="","",'12 - Device_Configuration'!Q344)</f>
        <v/>
      </c>
    </row>
    <row r="344" spans="1:27">
      <c r="A344" s="22"/>
      <c r="B344" s="22"/>
      <c r="C344" s="21" t="str">
        <f>IF('12 - Device_Configuration'!H345="","",'12 - Device_Configuration'!H345)</f>
        <v/>
      </c>
      <c r="D344" s="21" t="str">
        <f>IF('12 - Device_Configuration'!AE345="","",'12 - Device_Configuration'!AE345)</f>
        <v/>
      </c>
      <c r="E344" s="21" t="str">
        <f>IF('12 - Device_Configuration'!AF345="","",'12 - Device_Configuration'!AF345)</f>
        <v/>
      </c>
      <c r="F344" s="21" t="str">
        <f>IF('12 - Device_Configuration'!AG345="","",'12 - Device_Configuration'!AG345)</f>
        <v/>
      </c>
      <c r="G344" s="21" t="str">
        <f>IF('12 - Device_Configuration'!AH345="","",'12 - Device_Configuration'!AH345)</f>
        <v/>
      </c>
      <c r="H344" s="21" t="str">
        <f>IF('12 - Device_Configuration'!A345="","",'12 - Device_Configuration'!A345)</f>
        <v/>
      </c>
      <c r="I344" s="21" t="str">
        <f>IF('12 - Device_Configuration'!AI345="","",'12 - Device_Configuration'!AI345)</f>
        <v/>
      </c>
      <c r="J344" s="21" t="str">
        <f>IF('12 - Device_Configuration'!AJ345="","",'12 - Device_Configuration'!AJ345)</f>
        <v/>
      </c>
      <c r="K344" s="21" t="str">
        <f>IF('12 - Device_Configuration'!AA345="","",'12 - Device_Configuration'!AA345)</f>
        <v/>
      </c>
      <c r="L344" s="21" t="str">
        <f>IF('12 - Device_Configuration'!I345="","",'12 - Device_Configuration'!I345)</f>
        <v/>
      </c>
      <c r="M344" s="22"/>
      <c r="N344" s="21" t="str">
        <f>IF('12 - Device_Configuration'!J345="","",'12 - Device_Configuration'!J345)</f>
        <v/>
      </c>
      <c r="O344" s="21" t="str">
        <f>IF('12 - Device_Configuration'!K345="","",'12 - Device_Configuration'!K345)</f>
        <v/>
      </c>
      <c r="P344" s="21" t="str">
        <f>IF('12 - Device_Configuration'!L345="","",'12 - Device_Configuration'!L345)</f>
        <v/>
      </c>
      <c r="Q344" s="22"/>
      <c r="R344" s="21" t="str">
        <f>IF('12 - Device_Configuration'!AY345="","",'12 - Device_Configuration'!AY345)</f>
        <v/>
      </c>
      <c r="S344" s="21" t="str">
        <f>IF('12 - Device_Configuration'!AX345="","",'12 - Device_Configuration'!AX345)</f>
        <v/>
      </c>
      <c r="T344" s="21" t="str">
        <f>IF('12 - Device_Configuration'!AV345="","",'12 - Device_Configuration'!AV345)</f>
        <v/>
      </c>
      <c r="U344" s="21" t="str">
        <f>IF('12 - Device_Configuration'!AW345="","",'12 - Device_Configuration'!AW345)</f>
        <v/>
      </c>
      <c r="V344" s="21" t="str">
        <f>IF('12 - Device_Configuration'!BA345="","",'12 - Device_Configuration'!BA345)</f>
        <v/>
      </c>
      <c r="W344" s="21" t="str">
        <f>IF('12 - Device_Configuration'!BC345="","",'12 - Device_Configuration'!BC345)</f>
        <v/>
      </c>
      <c r="X344" s="21" t="str">
        <f>IF('12 - Device_Configuration'!BK345="","",'12 - Device_Configuration'!BK345)</f>
        <v/>
      </c>
      <c r="Y344" s="21" t="str">
        <f>IF('12 - Device_Configuration'!BB345="","",'12 - Device_Configuration'!BB345)</f>
        <v/>
      </c>
      <c r="Z344" s="21" t="str">
        <f>IF('12 - Device_Configuration'!P345="","",'12 - Device_Configuration'!P345)</f>
        <v/>
      </c>
      <c r="AA344" s="21" t="str">
        <f>IF('12 - Device_Configuration'!Q345="","",'12 - Device_Configuration'!Q345)</f>
        <v/>
      </c>
    </row>
    <row r="345" spans="1:27">
      <c r="A345" s="22"/>
      <c r="B345" s="22"/>
      <c r="C345" s="21" t="str">
        <f>IF('12 - Device_Configuration'!H346="","",'12 - Device_Configuration'!H346)</f>
        <v/>
      </c>
      <c r="D345" s="21" t="str">
        <f>IF('12 - Device_Configuration'!AE346="","",'12 - Device_Configuration'!AE346)</f>
        <v/>
      </c>
      <c r="E345" s="21" t="str">
        <f>IF('12 - Device_Configuration'!AF346="","",'12 - Device_Configuration'!AF346)</f>
        <v/>
      </c>
      <c r="F345" s="21" t="str">
        <f>IF('12 - Device_Configuration'!AG346="","",'12 - Device_Configuration'!AG346)</f>
        <v/>
      </c>
      <c r="G345" s="21" t="str">
        <f>IF('12 - Device_Configuration'!AH346="","",'12 - Device_Configuration'!AH346)</f>
        <v/>
      </c>
      <c r="H345" s="21" t="str">
        <f>IF('12 - Device_Configuration'!A346="","",'12 - Device_Configuration'!A346)</f>
        <v/>
      </c>
      <c r="I345" s="21" t="str">
        <f>IF('12 - Device_Configuration'!AI346="","",'12 - Device_Configuration'!AI346)</f>
        <v/>
      </c>
      <c r="J345" s="21" t="str">
        <f>IF('12 - Device_Configuration'!AJ346="","",'12 - Device_Configuration'!AJ346)</f>
        <v/>
      </c>
      <c r="K345" s="21" t="str">
        <f>IF('12 - Device_Configuration'!AA346="","",'12 - Device_Configuration'!AA346)</f>
        <v/>
      </c>
      <c r="L345" s="21" t="str">
        <f>IF('12 - Device_Configuration'!I346="","",'12 - Device_Configuration'!I346)</f>
        <v/>
      </c>
      <c r="M345" s="22"/>
      <c r="N345" s="21" t="str">
        <f>IF('12 - Device_Configuration'!J346="","",'12 - Device_Configuration'!J346)</f>
        <v/>
      </c>
      <c r="O345" s="21" t="str">
        <f>IF('12 - Device_Configuration'!K346="","",'12 - Device_Configuration'!K346)</f>
        <v/>
      </c>
      <c r="P345" s="21" t="str">
        <f>IF('12 - Device_Configuration'!L346="","",'12 - Device_Configuration'!L346)</f>
        <v/>
      </c>
      <c r="Q345" s="22"/>
      <c r="R345" s="21" t="str">
        <f>IF('12 - Device_Configuration'!AY346="","",'12 - Device_Configuration'!AY346)</f>
        <v/>
      </c>
      <c r="S345" s="21" t="str">
        <f>IF('12 - Device_Configuration'!AX346="","",'12 - Device_Configuration'!AX346)</f>
        <v/>
      </c>
      <c r="T345" s="21" t="str">
        <f>IF('12 - Device_Configuration'!AV346="","",'12 - Device_Configuration'!AV346)</f>
        <v/>
      </c>
      <c r="U345" s="21" t="str">
        <f>IF('12 - Device_Configuration'!AW346="","",'12 - Device_Configuration'!AW346)</f>
        <v/>
      </c>
      <c r="V345" s="21" t="str">
        <f>IF('12 - Device_Configuration'!BA346="","",'12 - Device_Configuration'!BA346)</f>
        <v/>
      </c>
      <c r="W345" s="21" t="str">
        <f>IF('12 - Device_Configuration'!BC346="","",'12 - Device_Configuration'!BC346)</f>
        <v/>
      </c>
      <c r="X345" s="21" t="str">
        <f>IF('12 - Device_Configuration'!BK346="","",'12 - Device_Configuration'!BK346)</f>
        <v/>
      </c>
      <c r="Y345" s="21" t="str">
        <f>IF('12 - Device_Configuration'!BB346="","",'12 - Device_Configuration'!BB346)</f>
        <v/>
      </c>
      <c r="Z345" s="21" t="str">
        <f>IF('12 - Device_Configuration'!P346="","",'12 - Device_Configuration'!P346)</f>
        <v/>
      </c>
      <c r="AA345" s="21" t="str">
        <f>IF('12 - Device_Configuration'!Q346="","",'12 - Device_Configuration'!Q346)</f>
        <v/>
      </c>
    </row>
    <row r="346" spans="1:27">
      <c r="A346" s="22"/>
      <c r="B346" s="22"/>
      <c r="C346" s="21" t="str">
        <f>IF('12 - Device_Configuration'!H347="","",'12 - Device_Configuration'!H347)</f>
        <v/>
      </c>
      <c r="D346" s="21" t="str">
        <f>IF('12 - Device_Configuration'!AE347="","",'12 - Device_Configuration'!AE347)</f>
        <v/>
      </c>
      <c r="E346" s="21" t="str">
        <f>IF('12 - Device_Configuration'!AF347="","",'12 - Device_Configuration'!AF347)</f>
        <v/>
      </c>
      <c r="F346" s="21" t="str">
        <f>IF('12 - Device_Configuration'!AG347="","",'12 - Device_Configuration'!AG347)</f>
        <v/>
      </c>
      <c r="G346" s="21" t="str">
        <f>IF('12 - Device_Configuration'!AH347="","",'12 - Device_Configuration'!AH347)</f>
        <v/>
      </c>
      <c r="H346" s="21" t="str">
        <f>IF('12 - Device_Configuration'!A347="","",'12 - Device_Configuration'!A347)</f>
        <v/>
      </c>
      <c r="I346" s="21" t="str">
        <f>IF('12 - Device_Configuration'!AI347="","",'12 - Device_Configuration'!AI347)</f>
        <v/>
      </c>
      <c r="J346" s="21" t="str">
        <f>IF('12 - Device_Configuration'!AJ347="","",'12 - Device_Configuration'!AJ347)</f>
        <v/>
      </c>
      <c r="K346" s="21" t="str">
        <f>IF('12 - Device_Configuration'!AA347="","",'12 - Device_Configuration'!AA347)</f>
        <v/>
      </c>
      <c r="L346" s="21" t="str">
        <f>IF('12 - Device_Configuration'!I347="","",'12 - Device_Configuration'!I347)</f>
        <v/>
      </c>
      <c r="M346" s="22"/>
      <c r="N346" s="21" t="str">
        <f>IF('12 - Device_Configuration'!J347="","",'12 - Device_Configuration'!J347)</f>
        <v/>
      </c>
      <c r="O346" s="21" t="str">
        <f>IF('12 - Device_Configuration'!K347="","",'12 - Device_Configuration'!K347)</f>
        <v/>
      </c>
      <c r="P346" s="21" t="str">
        <f>IF('12 - Device_Configuration'!L347="","",'12 - Device_Configuration'!L347)</f>
        <v/>
      </c>
      <c r="Q346" s="22"/>
      <c r="R346" s="21" t="str">
        <f>IF('12 - Device_Configuration'!AY347="","",'12 - Device_Configuration'!AY347)</f>
        <v/>
      </c>
      <c r="S346" s="21" t="str">
        <f>IF('12 - Device_Configuration'!AX347="","",'12 - Device_Configuration'!AX347)</f>
        <v/>
      </c>
      <c r="T346" s="21" t="str">
        <f>IF('12 - Device_Configuration'!AV347="","",'12 - Device_Configuration'!AV347)</f>
        <v/>
      </c>
      <c r="U346" s="21" t="str">
        <f>IF('12 - Device_Configuration'!AW347="","",'12 - Device_Configuration'!AW347)</f>
        <v/>
      </c>
      <c r="V346" s="21" t="str">
        <f>IF('12 - Device_Configuration'!BA347="","",'12 - Device_Configuration'!BA347)</f>
        <v/>
      </c>
      <c r="W346" s="21" t="str">
        <f>IF('12 - Device_Configuration'!BC347="","",'12 - Device_Configuration'!BC347)</f>
        <v/>
      </c>
      <c r="X346" s="21" t="str">
        <f>IF('12 - Device_Configuration'!BK347="","",'12 - Device_Configuration'!BK347)</f>
        <v/>
      </c>
      <c r="Y346" s="21" t="str">
        <f>IF('12 - Device_Configuration'!BB347="","",'12 - Device_Configuration'!BB347)</f>
        <v/>
      </c>
      <c r="Z346" s="21" t="str">
        <f>IF('12 - Device_Configuration'!P347="","",'12 - Device_Configuration'!P347)</f>
        <v/>
      </c>
      <c r="AA346" s="21" t="str">
        <f>IF('12 - Device_Configuration'!Q347="","",'12 - Device_Configuration'!Q347)</f>
        <v/>
      </c>
    </row>
    <row r="347" spans="1:27">
      <c r="A347" s="22"/>
      <c r="B347" s="22"/>
      <c r="C347" s="21" t="str">
        <f>IF('12 - Device_Configuration'!H348="","",'12 - Device_Configuration'!H348)</f>
        <v/>
      </c>
      <c r="D347" s="21" t="str">
        <f>IF('12 - Device_Configuration'!AE348="","",'12 - Device_Configuration'!AE348)</f>
        <v/>
      </c>
      <c r="E347" s="21" t="str">
        <f>IF('12 - Device_Configuration'!AF348="","",'12 - Device_Configuration'!AF348)</f>
        <v/>
      </c>
      <c r="F347" s="21" t="str">
        <f>IF('12 - Device_Configuration'!AG348="","",'12 - Device_Configuration'!AG348)</f>
        <v/>
      </c>
      <c r="G347" s="21" t="str">
        <f>IF('12 - Device_Configuration'!AH348="","",'12 - Device_Configuration'!AH348)</f>
        <v/>
      </c>
      <c r="H347" s="21" t="str">
        <f>IF('12 - Device_Configuration'!A348="","",'12 - Device_Configuration'!A348)</f>
        <v/>
      </c>
      <c r="I347" s="21" t="str">
        <f>IF('12 - Device_Configuration'!AI348="","",'12 - Device_Configuration'!AI348)</f>
        <v/>
      </c>
      <c r="J347" s="21" t="str">
        <f>IF('12 - Device_Configuration'!AJ348="","",'12 - Device_Configuration'!AJ348)</f>
        <v/>
      </c>
      <c r="K347" s="21" t="str">
        <f>IF('12 - Device_Configuration'!AA348="","",'12 - Device_Configuration'!AA348)</f>
        <v/>
      </c>
      <c r="L347" s="21" t="str">
        <f>IF('12 - Device_Configuration'!I348="","",'12 - Device_Configuration'!I348)</f>
        <v/>
      </c>
      <c r="M347" s="22"/>
      <c r="N347" s="21" t="str">
        <f>IF('12 - Device_Configuration'!J348="","",'12 - Device_Configuration'!J348)</f>
        <v/>
      </c>
      <c r="O347" s="21" t="str">
        <f>IF('12 - Device_Configuration'!K348="","",'12 - Device_Configuration'!K348)</f>
        <v/>
      </c>
      <c r="P347" s="21" t="str">
        <f>IF('12 - Device_Configuration'!L348="","",'12 - Device_Configuration'!L348)</f>
        <v/>
      </c>
      <c r="Q347" s="22"/>
      <c r="R347" s="21" t="str">
        <f>IF('12 - Device_Configuration'!AY348="","",'12 - Device_Configuration'!AY348)</f>
        <v/>
      </c>
      <c r="S347" s="21" t="str">
        <f>IF('12 - Device_Configuration'!AX348="","",'12 - Device_Configuration'!AX348)</f>
        <v/>
      </c>
      <c r="T347" s="21" t="str">
        <f>IF('12 - Device_Configuration'!AV348="","",'12 - Device_Configuration'!AV348)</f>
        <v/>
      </c>
      <c r="U347" s="21" t="str">
        <f>IF('12 - Device_Configuration'!AW348="","",'12 - Device_Configuration'!AW348)</f>
        <v/>
      </c>
      <c r="V347" s="21" t="str">
        <f>IF('12 - Device_Configuration'!BA348="","",'12 - Device_Configuration'!BA348)</f>
        <v/>
      </c>
      <c r="W347" s="21" t="str">
        <f>IF('12 - Device_Configuration'!BC348="","",'12 - Device_Configuration'!BC348)</f>
        <v/>
      </c>
      <c r="X347" s="21" t="str">
        <f>IF('12 - Device_Configuration'!BK348="","",'12 - Device_Configuration'!BK348)</f>
        <v/>
      </c>
      <c r="Y347" s="21" t="str">
        <f>IF('12 - Device_Configuration'!BB348="","",'12 - Device_Configuration'!BB348)</f>
        <v/>
      </c>
      <c r="Z347" s="21" t="str">
        <f>IF('12 - Device_Configuration'!P348="","",'12 - Device_Configuration'!P348)</f>
        <v/>
      </c>
      <c r="AA347" s="21" t="str">
        <f>IF('12 - Device_Configuration'!Q348="","",'12 - Device_Configuration'!Q348)</f>
        <v/>
      </c>
    </row>
    <row r="348" spans="1:27">
      <c r="A348" s="22"/>
      <c r="B348" s="22"/>
      <c r="C348" s="21" t="str">
        <f>IF('12 - Device_Configuration'!H349="","",'12 - Device_Configuration'!H349)</f>
        <v/>
      </c>
      <c r="D348" s="21" t="str">
        <f>IF('12 - Device_Configuration'!AE349="","",'12 - Device_Configuration'!AE349)</f>
        <v/>
      </c>
      <c r="E348" s="21" t="str">
        <f>IF('12 - Device_Configuration'!AF349="","",'12 - Device_Configuration'!AF349)</f>
        <v/>
      </c>
      <c r="F348" s="21" t="str">
        <f>IF('12 - Device_Configuration'!AG349="","",'12 - Device_Configuration'!AG349)</f>
        <v/>
      </c>
      <c r="G348" s="21" t="str">
        <f>IF('12 - Device_Configuration'!AH349="","",'12 - Device_Configuration'!AH349)</f>
        <v/>
      </c>
      <c r="H348" s="21" t="str">
        <f>IF('12 - Device_Configuration'!A349="","",'12 - Device_Configuration'!A349)</f>
        <v/>
      </c>
      <c r="I348" s="21" t="str">
        <f>IF('12 - Device_Configuration'!AI349="","",'12 - Device_Configuration'!AI349)</f>
        <v/>
      </c>
      <c r="J348" s="21" t="str">
        <f>IF('12 - Device_Configuration'!AJ349="","",'12 - Device_Configuration'!AJ349)</f>
        <v/>
      </c>
      <c r="K348" s="21" t="str">
        <f>IF('12 - Device_Configuration'!AA349="","",'12 - Device_Configuration'!AA349)</f>
        <v/>
      </c>
      <c r="L348" s="21" t="str">
        <f>IF('12 - Device_Configuration'!I349="","",'12 - Device_Configuration'!I349)</f>
        <v/>
      </c>
      <c r="M348" s="22"/>
      <c r="N348" s="21" t="str">
        <f>IF('12 - Device_Configuration'!J349="","",'12 - Device_Configuration'!J349)</f>
        <v/>
      </c>
      <c r="O348" s="21" t="str">
        <f>IF('12 - Device_Configuration'!K349="","",'12 - Device_Configuration'!K349)</f>
        <v/>
      </c>
      <c r="P348" s="21" t="str">
        <f>IF('12 - Device_Configuration'!L349="","",'12 - Device_Configuration'!L349)</f>
        <v/>
      </c>
      <c r="Q348" s="22"/>
      <c r="R348" s="21" t="str">
        <f>IF('12 - Device_Configuration'!AY349="","",'12 - Device_Configuration'!AY349)</f>
        <v/>
      </c>
      <c r="S348" s="21" t="str">
        <f>IF('12 - Device_Configuration'!AX349="","",'12 - Device_Configuration'!AX349)</f>
        <v/>
      </c>
      <c r="T348" s="21" t="str">
        <f>IF('12 - Device_Configuration'!AV349="","",'12 - Device_Configuration'!AV349)</f>
        <v/>
      </c>
      <c r="U348" s="21" t="str">
        <f>IF('12 - Device_Configuration'!AW349="","",'12 - Device_Configuration'!AW349)</f>
        <v/>
      </c>
      <c r="V348" s="21" t="str">
        <f>IF('12 - Device_Configuration'!BA349="","",'12 - Device_Configuration'!BA349)</f>
        <v/>
      </c>
      <c r="W348" s="21" t="str">
        <f>IF('12 - Device_Configuration'!BC349="","",'12 - Device_Configuration'!BC349)</f>
        <v/>
      </c>
      <c r="X348" s="21" t="str">
        <f>IF('12 - Device_Configuration'!BK349="","",'12 - Device_Configuration'!BK349)</f>
        <v/>
      </c>
      <c r="Y348" s="21" t="str">
        <f>IF('12 - Device_Configuration'!BB349="","",'12 - Device_Configuration'!BB349)</f>
        <v/>
      </c>
      <c r="Z348" s="21" t="str">
        <f>IF('12 - Device_Configuration'!P349="","",'12 - Device_Configuration'!P349)</f>
        <v/>
      </c>
      <c r="AA348" s="21" t="str">
        <f>IF('12 - Device_Configuration'!Q349="","",'12 - Device_Configuration'!Q349)</f>
        <v/>
      </c>
    </row>
    <row r="349" spans="1:27">
      <c r="A349" s="22"/>
      <c r="B349" s="22"/>
      <c r="C349" s="21" t="str">
        <f>IF('12 - Device_Configuration'!H350="","",'12 - Device_Configuration'!H350)</f>
        <v/>
      </c>
      <c r="D349" s="21" t="str">
        <f>IF('12 - Device_Configuration'!AE350="","",'12 - Device_Configuration'!AE350)</f>
        <v/>
      </c>
      <c r="E349" s="21" t="str">
        <f>IF('12 - Device_Configuration'!AF350="","",'12 - Device_Configuration'!AF350)</f>
        <v/>
      </c>
      <c r="F349" s="21" t="str">
        <f>IF('12 - Device_Configuration'!AG350="","",'12 - Device_Configuration'!AG350)</f>
        <v/>
      </c>
      <c r="G349" s="21" t="str">
        <f>IF('12 - Device_Configuration'!AH350="","",'12 - Device_Configuration'!AH350)</f>
        <v/>
      </c>
      <c r="H349" s="21" t="str">
        <f>IF('12 - Device_Configuration'!A350="","",'12 - Device_Configuration'!A350)</f>
        <v/>
      </c>
      <c r="I349" s="21" t="str">
        <f>IF('12 - Device_Configuration'!AI350="","",'12 - Device_Configuration'!AI350)</f>
        <v/>
      </c>
      <c r="J349" s="21" t="str">
        <f>IF('12 - Device_Configuration'!AJ350="","",'12 - Device_Configuration'!AJ350)</f>
        <v/>
      </c>
      <c r="K349" s="21" t="str">
        <f>IF('12 - Device_Configuration'!AA350="","",'12 - Device_Configuration'!AA350)</f>
        <v/>
      </c>
      <c r="L349" s="21" t="str">
        <f>IF('12 - Device_Configuration'!I350="","",'12 - Device_Configuration'!I350)</f>
        <v/>
      </c>
      <c r="M349" s="22"/>
      <c r="N349" s="21" t="str">
        <f>IF('12 - Device_Configuration'!J350="","",'12 - Device_Configuration'!J350)</f>
        <v/>
      </c>
      <c r="O349" s="21" t="str">
        <f>IF('12 - Device_Configuration'!K350="","",'12 - Device_Configuration'!K350)</f>
        <v/>
      </c>
      <c r="P349" s="21" t="str">
        <f>IF('12 - Device_Configuration'!L350="","",'12 - Device_Configuration'!L350)</f>
        <v/>
      </c>
      <c r="Q349" s="22"/>
      <c r="R349" s="21" t="str">
        <f>IF('12 - Device_Configuration'!AY350="","",'12 - Device_Configuration'!AY350)</f>
        <v/>
      </c>
      <c r="S349" s="21" t="str">
        <f>IF('12 - Device_Configuration'!AX350="","",'12 - Device_Configuration'!AX350)</f>
        <v/>
      </c>
      <c r="T349" s="21" t="str">
        <f>IF('12 - Device_Configuration'!AV350="","",'12 - Device_Configuration'!AV350)</f>
        <v/>
      </c>
      <c r="U349" s="21" t="str">
        <f>IF('12 - Device_Configuration'!AW350="","",'12 - Device_Configuration'!AW350)</f>
        <v/>
      </c>
      <c r="V349" s="21" t="str">
        <f>IF('12 - Device_Configuration'!BA350="","",'12 - Device_Configuration'!BA350)</f>
        <v/>
      </c>
      <c r="W349" s="21" t="str">
        <f>IF('12 - Device_Configuration'!BC350="","",'12 - Device_Configuration'!BC350)</f>
        <v/>
      </c>
      <c r="X349" s="21" t="str">
        <f>IF('12 - Device_Configuration'!BK350="","",'12 - Device_Configuration'!BK350)</f>
        <v/>
      </c>
      <c r="Y349" s="21" t="str">
        <f>IF('12 - Device_Configuration'!BB350="","",'12 - Device_Configuration'!BB350)</f>
        <v/>
      </c>
      <c r="Z349" s="21" t="str">
        <f>IF('12 - Device_Configuration'!P350="","",'12 - Device_Configuration'!P350)</f>
        <v/>
      </c>
      <c r="AA349" s="21" t="str">
        <f>IF('12 - Device_Configuration'!Q350="","",'12 - Device_Configuration'!Q350)</f>
        <v/>
      </c>
    </row>
    <row r="350" spans="1:27">
      <c r="A350" s="22"/>
      <c r="B350" s="22"/>
      <c r="C350" s="21" t="str">
        <f>IF('12 - Device_Configuration'!H351="","",'12 - Device_Configuration'!H351)</f>
        <v/>
      </c>
      <c r="D350" s="21" t="str">
        <f>IF('12 - Device_Configuration'!AE351="","",'12 - Device_Configuration'!AE351)</f>
        <v/>
      </c>
      <c r="E350" s="21" t="str">
        <f>IF('12 - Device_Configuration'!AF351="","",'12 - Device_Configuration'!AF351)</f>
        <v/>
      </c>
      <c r="F350" s="21" t="str">
        <f>IF('12 - Device_Configuration'!AG351="","",'12 - Device_Configuration'!AG351)</f>
        <v/>
      </c>
      <c r="G350" s="21" t="str">
        <f>IF('12 - Device_Configuration'!AH351="","",'12 - Device_Configuration'!AH351)</f>
        <v/>
      </c>
      <c r="H350" s="21" t="str">
        <f>IF('12 - Device_Configuration'!A351="","",'12 - Device_Configuration'!A351)</f>
        <v/>
      </c>
      <c r="I350" s="21" t="str">
        <f>IF('12 - Device_Configuration'!AI351="","",'12 - Device_Configuration'!AI351)</f>
        <v/>
      </c>
      <c r="J350" s="21" t="str">
        <f>IF('12 - Device_Configuration'!AJ351="","",'12 - Device_Configuration'!AJ351)</f>
        <v/>
      </c>
      <c r="K350" s="21" t="str">
        <f>IF('12 - Device_Configuration'!AA351="","",'12 - Device_Configuration'!AA351)</f>
        <v/>
      </c>
      <c r="L350" s="21" t="str">
        <f>IF('12 - Device_Configuration'!I351="","",'12 - Device_Configuration'!I351)</f>
        <v/>
      </c>
      <c r="M350" s="22"/>
      <c r="N350" s="21" t="str">
        <f>IF('12 - Device_Configuration'!J351="","",'12 - Device_Configuration'!J351)</f>
        <v/>
      </c>
      <c r="O350" s="21" t="str">
        <f>IF('12 - Device_Configuration'!K351="","",'12 - Device_Configuration'!K351)</f>
        <v/>
      </c>
      <c r="P350" s="21" t="str">
        <f>IF('12 - Device_Configuration'!L351="","",'12 - Device_Configuration'!L351)</f>
        <v/>
      </c>
      <c r="Q350" s="22"/>
      <c r="R350" s="21" t="str">
        <f>IF('12 - Device_Configuration'!AY351="","",'12 - Device_Configuration'!AY351)</f>
        <v/>
      </c>
      <c r="S350" s="21" t="str">
        <f>IF('12 - Device_Configuration'!AX351="","",'12 - Device_Configuration'!AX351)</f>
        <v/>
      </c>
      <c r="T350" s="21" t="str">
        <f>IF('12 - Device_Configuration'!AV351="","",'12 - Device_Configuration'!AV351)</f>
        <v/>
      </c>
      <c r="U350" s="21" t="str">
        <f>IF('12 - Device_Configuration'!AW351="","",'12 - Device_Configuration'!AW351)</f>
        <v/>
      </c>
      <c r="V350" s="21" t="str">
        <f>IF('12 - Device_Configuration'!BA351="","",'12 - Device_Configuration'!BA351)</f>
        <v/>
      </c>
      <c r="W350" s="21" t="str">
        <f>IF('12 - Device_Configuration'!BC351="","",'12 - Device_Configuration'!BC351)</f>
        <v/>
      </c>
      <c r="X350" s="21" t="str">
        <f>IF('12 - Device_Configuration'!BK351="","",'12 - Device_Configuration'!BK351)</f>
        <v/>
      </c>
      <c r="Y350" s="21" t="str">
        <f>IF('12 - Device_Configuration'!BB351="","",'12 - Device_Configuration'!BB351)</f>
        <v/>
      </c>
      <c r="Z350" s="21" t="str">
        <f>IF('12 - Device_Configuration'!P351="","",'12 - Device_Configuration'!P351)</f>
        <v/>
      </c>
      <c r="AA350" s="21" t="str">
        <f>IF('12 - Device_Configuration'!Q351="","",'12 - Device_Configuration'!Q351)</f>
        <v/>
      </c>
    </row>
    <row r="351" spans="1:27">
      <c r="A351" s="22"/>
      <c r="B351" s="22"/>
      <c r="C351" s="21" t="str">
        <f>IF('12 - Device_Configuration'!H352="","",'12 - Device_Configuration'!H352)</f>
        <v/>
      </c>
      <c r="D351" s="21" t="str">
        <f>IF('12 - Device_Configuration'!AE352="","",'12 - Device_Configuration'!AE352)</f>
        <v/>
      </c>
      <c r="E351" s="21" t="str">
        <f>IF('12 - Device_Configuration'!AF352="","",'12 - Device_Configuration'!AF352)</f>
        <v/>
      </c>
      <c r="F351" s="21" t="str">
        <f>IF('12 - Device_Configuration'!AG352="","",'12 - Device_Configuration'!AG352)</f>
        <v/>
      </c>
      <c r="G351" s="21" t="str">
        <f>IF('12 - Device_Configuration'!AH352="","",'12 - Device_Configuration'!AH352)</f>
        <v/>
      </c>
      <c r="H351" s="21" t="str">
        <f>IF('12 - Device_Configuration'!A352="","",'12 - Device_Configuration'!A352)</f>
        <v/>
      </c>
      <c r="I351" s="21" t="str">
        <f>IF('12 - Device_Configuration'!AI352="","",'12 - Device_Configuration'!AI352)</f>
        <v/>
      </c>
      <c r="J351" s="21" t="str">
        <f>IF('12 - Device_Configuration'!AJ352="","",'12 - Device_Configuration'!AJ352)</f>
        <v/>
      </c>
      <c r="K351" s="21" t="str">
        <f>IF('12 - Device_Configuration'!AA352="","",'12 - Device_Configuration'!AA352)</f>
        <v/>
      </c>
      <c r="L351" s="21" t="str">
        <f>IF('12 - Device_Configuration'!I352="","",'12 - Device_Configuration'!I352)</f>
        <v/>
      </c>
      <c r="M351" s="22"/>
      <c r="N351" s="21" t="str">
        <f>IF('12 - Device_Configuration'!J352="","",'12 - Device_Configuration'!J352)</f>
        <v/>
      </c>
      <c r="O351" s="21" t="str">
        <f>IF('12 - Device_Configuration'!K352="","",'12 - Device_Configuration'!K352)</f>
        <v/>
      </c>
      <c r="P351" s="21" t="str">
        <f>IF('12 - Device_Configuration'!L352="","",'12 - Device_Configuration'!L352)</f>
        <v/>
      </c>
      <c r="Q351" s="22"/>
      <c r="R351" s="21" t="str">
        <f>IF('12 - Device_Configuration'!AY352="","",'12 - Device_Configuration'!AY352)</f>
        <v/>
      </c>
      <c r="S351" s="21" t="str">
        <f>IF('12 - Device_Configuration'!AX352="","",'12 - Device_Configuration'!AX352)</f>
        <v/>
      </c>
      <c r="T351" s="21" t="str">
        <f>IF('12 - Device_Configuration'!AV352="","",'12 - Device_Configuration'!AV352)</f>
        <v/>
      </c>
      <c r="U351" s="21" t="str">
        <f>IF('12 - Device_Configuration'!AW352="","",'12 - Device_Configuration'!AW352)</f>
        <v/>
      </c>
      <c r="V351" s="21" t="str">
        <f>IF('12 - Device_Configuration'!BA352="","",'12 - Device_Configuration'!BA352)</f>
        <v/>
      </c>
      <c r="W351" s="21" t="str">
        <f>IF('12 - Device_Configuration'!BC352="","",'12 - Device_Configuration'!BC352)</f>
        <v/>
      </c>
      <c r="X351" s="21" t="str">
        <f>IF('12 - Device_Configuration'!BK352="","",'12 - Device_Configuration'!BK352)</f>
        <v/>
      </c>
      <c r="Y351" s="21" t="str">
        <f>IF('12 - Device_Configuration'!BB352="","",'12 - Device_Configuration'!BB352)</f>
        <v/>
      </c>
      <c r="Z351" s="21" t="str">
        <f>IF('12 - Device_Configuration'!P352="","",'12 - Device_Configuration'!P352)</f>
        <v/>
      </c>
      <c r="AA351" s="21" t="str">
        <f>IF('12 - Device_Configuration'!Q352="","",'12 - Device_Configuration'!Q352)</f>
        <v/>
      </c>
    </row>
    <row r="352" spans="1:27">
      <c r="A352" s="22"/>
      <c r="B352" s="22"/>
      <c r="C352" s="21" t="str">
        <f>IF('12 - Device_Configuration'!H353="","",'12 - Device_Configuration'!H353)</f>
        <v/>
      </c>
      <c r="D352" s="21" t="str">
        <f>IF('12 - Device_Configuration'!AE353="","",'12 - Device_Configuration'!AE353)</f>
        <v/>
      </c>
      <c r="E352" s="21" t="str">
        <f>IF('12 - Device_Configuration'!AF353="","",'12 - Device_Configuration'!AF353)</f>
        <v/>
      </c>
      <c r="F352" s="21" t="str">
        <f>IF('12 - Device_Configuration'!AG353="","",'12 - Device_Configuration'!AG353)</f>
        <v/>
      </c>
      <c r="G352" s="21" t="str">
        <f>IF('12 - Device_Configuration'!AH353="","",'12 - Device_Configuration'!AH353)</f>
        <v/>
      </c>
      <c r="H352" s="21" t="str">
        <f>IF('12 - Device_Configuration'!A353="","",'12 - Device_Configuration'!A353)</f>
        <v/>
      </c>
      <c r="I352" s="21" t="str">
        <f>IF('12 - Device_Configuration'!AI353="","",'12 - Device_Configuration'!AI353)</f>
        <v/>
      </c>
      <c r="J352" s="21" t="str">
        <f>IF('12 - Device_Configuration'!AJ353="","",'12 - Device_Configuration'!AJ353)</f>
        <v/>
      </c>
      <c r="K352" s="21" t="str">
        <f>IF('12 - Device_Configuration'!AA353="","",'12 - Device_Configuration'!AA353)</f>
        <v/>
      </c>
      <c r="L352" s="21" t="str">
        <f>IF('12 - Device_Configuration'!I353="","",'12 - Device_Configuration'!I353)</f>
        <v/>
      </c>
      <c r="M352" s="22"/>
      <c r="N352" s="21" t="str">
        <f>IF('12 - Device_Configuration'!J353="","",'12 - Device_Configuration'!J353)</f>
        <v/>
      </c>
      <c r="O352" s="21" t="str">
        <f>IF('12 - Device_Configuration'!K353="","",'12 - Device_Configuration'!K353)</f>
        <v/>
      </c>
      <c r="P352" s="21" t="str">
        <f>IF('12 - Device_Configuration'!L353="","",'12 - Device_Configuration'!L353)</f>
        <v/>
      </c>
      <c r="Q352" s="22"/>
      <c r="R352" s="21" t="str">
        <f>IF('12 - Device_Configuration'!AY353="","",'12 - Device_Configuration'!AY353)</f>
        <v/>
      </c>
      <c r="S352" s="21" t="str">
        <f>IF('12 - Device_Configuration'!AX353="","",'12 - Device_Configuration'!AX353)</f>
        <v/>
      </c>
      <c r="T352" s="21" t="str">
        <f>IF('12 - Device_Configuration'!AV353="","",'12 - Device_Configuration'!AV353)</f>
        <v/>
      </c>
      <c r="U352" s="21" t="str">
        <f>IF('12 - Device_Configuration'!AW353="","",'12 - Device_Configuration'!AW353)</f>
        <v/>
      </c>
      <c r="V352" s="21" t="str">
        <f>IF('12 - Device_Configuration'!BA353="","",'12 - Device_Configuration'!BA353)</f>
        <v/>
      </c>
      <c r="W352" s="21" t="str">
        <f>IF('12 - Device_Configuration'!BC353="","",'12 - Device_Configuration'!BC353)</f>
        <v/>
      </c>
      <c r="X352" s="21" t="str">
        <f>IF('12 - Device_Configuration'!BK353="","",'12 - Device_Configuration'!BK353)</f>
        <v/>
      </c>
      <c r="Y352" s="21" t="str">
        <f>IF('12 - Device_Configuration'!BB353="","",'12 - Device_Configuration'!BB353)</f>
        <v/>
      </c>
      <c r="Z352" s="21" t="str">
        <f>IF('12 - Device_Configuration'!P353="","",'12 - Device_Configuration'!P353)</f>
        <v/>
      </c>
      <c r="AA352" s="21" t="str">
        <f>IF('12 - Device_Configuration'!Q353="","",'12 - Device_Configuration'!Q353)</f>
        <v/>
      </c>
    </row>
    <row r="353" spans="1:27">
      <c r="A353" s="22"/>
      <c r="B353" s="22"/>
      <c r="C353" s="21" t="str">
        <f>IF('12 - Device_Configuration'!H354="","",'12 - Device_Configuration'!H354)</f>
        <v/>
      </c>
      <c r="D353" s="21" t="str">
        <f>IF('12 - Device_Configuration'!AE354="","",'12 - Device_Configuration'!AE354)</f>
        <v/>
      </c>
      <c r="E353" s="21" t="str">
        <f>IF('12 - Device_Configuration'!AF354="","",'12 - Device_Configuration'!AF354)</f>
        <v/>
      </c>
      <c r="F353" s="21" t="str">
        <f>IF('12 - Device_Configuration'!AG354="","",'12 - Device_Configuration'!AG354)</f>
        <v/>
      </c>
      <c r="G353" s="21" t="str">
        <f>IF('12 - Device_Configuration'!AH354="","",'12 - Device_Configuration'!AH354)</f>
        <v/>
      </c>
      <c r="H353" s="21" t="str">
        <f>IF('12 - Device_Configuration'!A354="","",'12 - Device_Configuration'!A354)</f>
        <v/>
      </c>
      <c r="I353" s="21" t="str">
        <f>IF('12 - Device_Configuration'!AI354="","",'12 - Device_Configuration'!AI354)</f>
        <v/>
      </c>
      <c r="J353" s="21" t="str">
        <f>IF('12 - Device_Configuration'!AJ354="","",'12 - Device_Configuration'!AJ354)</f>
        <v/>
      </c>
      <c r="K353" s="21" t="str">
        <f>IF('12 - Device_Configuration'!AA354="","",'12 - Device_Configuration'!AA354)</f>
        <v/>
      </c>
      <c r="L353" s="21" t="str">
        <f>IF('12 - Device_Configuration'!I354="","",'12 - Device_Configuration'!I354)</f>
        <v/>
      </c>
      <c r="M353" s="22"/>
      <c r="N353" s="21" t="str">
        <f>IF('12 - Device_Configuration'!J354="","",'12 - Device_Configuration'!J354)</f>
        <v/>
      </c>
      <c r="O353" s="21" t="str">
        <f>IF('12 - Device_Configuration'!K354="","",'12 - Device_Configuration'!K354)</f>
        <v/>
      </c>
      <c r="P353" s="21" t="str">
        <f>IF('12 - Device_Configuration'!L354="","",'12 - Device_Configuration'!L354)</f>
        <v/>
      </c>
      <c r="Q353" s="22"/>
      <c r="R353" s="21" t="str">
        <f>IF('12 - Device_Configuration'!AY354="","",'12 - Device_Configuration'!AY354)</f>
        <v/>
      </c>
      <c r="S353" s="21" t="str">
        <f>IF('12 - Device_Configuration'!AX354="","",'12 - Device_Configuration'!AX354)</f>
        <v/>
      </c>
      <c r="T353" s="21" t="str">
        <f>IF('12 - Device_Configuration'!AV354="","",'12 - Device_Configuration'!AV354)</f>
        <v/>
      </c>
      <c r="U353" s="21" t="str">
        <f>IF('12 - Device_Configuration'!AW354="","",'12 - Device_Configuration'!AW354)</f>
        <v/>
      </c>
      <c r="V353" s="21" t="str">
        <f>IF('12 - Device_Configuration'!BA354="","",'12 - Device_Configuration'!BA354)</f>
        <v/>
      </c>
      <c r="W353" s="21" t="str">
        <f>IF('12 - Device_Configuration'!BC354="","",'12 - Device_Configuration'!BC354)</f>
        <v/>
      </c>
      <c r="X353" s="21" t="str">
        <f>IF('12 - Device_Configuration'!BK354="","",'12 - Device_Configuration'!BK354)</f>
        <v/>
      </c>
      <c r="Y353" s="21" t="str">
        <f>IF('12 - Device_Configuration'!BB354="","",'12 - Device_Configuration'!BB354)</f>
        <v/>
      </c>
      <c r="Z353" s="21" t="str">
        <f>IF('12 - Device_Configuration'!P354="","",'12 - Device_Configuration'!P354)</f>
        <v/>
      </c>
      <c r="AA353" s="21" t="str">
        <f>IF('12 - Device_Configuration'!Q354="","",'12 - Device_Configuration'!Q354)</f>
        <v/>
      </c>
    </row>
    <row r="354" spans="1:27">
      <c r="A354" s="22"/>
      <c r="B354" s="22"/>
      <c r="C354" s="21" t="str">
        <f>IF('12 - Device_Configuration'!H355="","",'12 - Device_Configuration'!H355)</f>
        <v/>
      </c>
      <c r="D354" s="21" t="str">
        <f>IF('12 - Device_Configuration'!AE355="","",'12 - Device_Configuration'!AE355)</f>
        <v/>
      </c>
      <c r="E354" s="21" t="str">
        <f>IF('12 - Device_Configuration'!AF355="","",'12 - Device_Configuration'!AF355)</f>
        <v/>
      </c>
      <c r="F354" s="21" t="str">
        <f>IF('12 - Device_Configuration'!AG355="","",'12 - Device_Configuration'!AG355)</f>
        <v/>
      </c>
      <c r="G354" s="21" t="str">
        <f>IF('12 - Device_Configuration'!AH355="","",'12 - Device_Configuration'!AH355)</f>
        <v/>
      </c>
      <c r="H354" s="21" t="str">
        <f>IF('12 - Device_Configuration'!A355="","",'12 - Device_Configuration'!A355)</f>
        <v/>
      </c>
      <c r="I354" s="21" t="str">
        <f>IF('12 - Device_Configuration'!AI355="","",'12 - Device_Configuration'!AI355)</f>
        <v/>
      </c>
      <c r="J354" s="21" t="str">
        <f>IF('12 - Device_Configuration'!AJ355="","",'12 - Device_Configuration'!AJ355)</f>
        <v/>
      </c>
      <c r="K354" s="21" t="str">
        <f>IF('12 - Device_Configuration'!AA355="","",'12 - Device_Configuration'!AA355)</f>
        <v/>
      </c>
      <c r="L354" s="21" t="str">
        <f>IF('12 - Device_Configuration'!I355="","",'12 - Device_Configuration'!I355)</f>
        <v/>
      </c>
      <c r="M354" s="22"/>
      <c r="N354" s="21" t="str">
        <f>IF('12 - Device_Configuration'!J355="","",'12 - Device_Configuration'!J355)</f>
        <v/>
      </c>
      <c r="O354" s="21" t="str">
        <f>IF('12 - Device_Configuration'!K355="","",'12 - Device_Configuration'!K355)</f>
        <v/>
      </c>
      <c r="P354" s="21" t="str">
        <f>IF('12 - Device_Configuration'!L355="","",'12 - Device_Configuration'!L355)</f>
        <v/>
      </c>
      <c r="Q354" s="22"/>
      <c r="R354" s="21" t="str">
        <f>IF('12 - Device_Configuration'!AY355="","",'12 - Device_Configuration'!AY355)</f>
        <v/>
      </c>
      <c r="S354" s="21" t="str">
        <f>IF('12 - Device_Configuration'!AX355="","",'12 - Device_Configuration'!AX355)</f>
        <v/>
      </c>
      <c r="T354" s="21" t="str">
        <f>IF('12 - Device_Configuration'!AV355="","",'12 - Device_Configuration'!AV355)</f>
        <v/>
      </c>
      <c r="U354" s="21" t="str">
        <f>IF('12 - Device_Configuration'!AW355="","",'12 - Device_Configuration'!AW355)</f>
        <v/>
      </c>
      <c r="V354" s="21" t="str">
        <f>IF('12 - Device_Configuration'!BA355="","",'12 - Device_Configuration'!BA355)</f>
        <v/>
      </c>
      <c r="W354" s="21" t="str">
        <f>IF('12 - Device_Configuration'!BC355="","",'12 - Device_Configuration'!BC355)</f>
        <v/>
      </c>
      <c r="X354" s="21" t="str">
        <f>IF('12 - Device_Configuration'!BK355="","",'12 - Device_Configuration'!BK355)</f>
        <v/>
      </c>
      <c r="Y354" s="21" t="str">
        <f>IF('12 - Device_Configuration'!BB355="","",'12 - Device_Configuration'!BB355)</f>
        <v/>
      </c>
      <c r="Z354" s="21" t="str">
        <f>IF('12 - Device_Configuration'!P355="","",'12 - Device_Configuration'!P355)</f>
        <v/>
      </c>
      <c r="AA354" s="21" t="str">
        <f>IF('12 - Device_Configuration'!Q355="","",'12 - Device_Configuration'!Q355)</f>
        <v/>
      </c>
    </row>
    <row r="355" spans="1:27">
      <c r="A355" s="22"/>
      <c r="B355" s="22"/>
      <c r="C355" s="21" t="str">
        <f>IF('12 - Device_Configuration'!H356="","",'12 - Device_Configuration'!H356)</f>
        <v/>
      </c>
      <c r="D355" s="21" t="str">
        <f>IF('12 - Device_Configuration'!AE356="","",'12 - Device_Configuration'!AE356)</f>
        <v/>
      </c>
      <c r="E355" s="21" t="str">
        <f>IF('12 - Device_Configuration'!AF356="","",'12 - Device_Configuration'!AF356)</f>
        <v/>
      </c>
      <c r="F355" s="21" t="str">
        <f>IF('12 - Device_Configuration'!AG356="","",'12 - Device_Configuration'!AG356)</f>
        <v/>
      </c>
      <c r="G355" s="21" t="str">
        <f>IF('12 - Device_Configuration'!AH356="","",'12 - Device_Configuration'!AH356)</f>
        <v/>
      </c>
      <c r="H355" s="21" t="str">
        <f>IF('12 - Device_Configuration'!A356="","",'12 - Device_Configuration'!A356)</f>
        <v/>
      </c>
      <c r="I355" s="21" t="str">
        <f>IF('12 - Device_Configuration'!AI356="","",'12 - Device_Configuration'!AI356)</f>
        <v/>
      </c>
      <c r="J355" s="21" t="str">
        <f>IF('12 - Device_Configuration'!AJ356="","",'12 - Device_Configuration'!AJ356)</f>
        <v/>
      </c>
      <c r="K355" s="21" t="str">
        <f>IF('12 - Device_Configuration'!AA356="","",'12 - Device_Configuration'!AA356)</f>
        <v/>
      </c>
      <c r="L355" s="21" t="str">
        <f>IF('12 - Device_Configuration'!I356="","",'12 - Device_Configuration'!I356)</f>
        <v/>
      </c>
      <c r="M355" s="22"/>
      <c r="N355" s="21" t="str">
        <f>IF('12 - Device_Configuration'!J356="","",'12 - Device_Configuration'!J356)</f>
        <v/>
      </c>
      <c r="O355" s="21" t="str">
        <f>IF('12 - Device_Configuration'!K356="","",'12 - Device_Configuration'!K356)</f>
        <v/>
      </c>
      <c r="P355" s="21" t="str">
        <f>IF('12 - Device_Configuration'!L356="","",'12 - Device_Configuration'!L356)</f>
        <v/>
      </c>
      <c r="Q355" s="22"/>
      <c r="R355" s="21" t="str">
        <f>IF('12 - Device_Configuration'!AY356="","",'12 - Device_Configuration'!AY356)</f>
        <v/>
      </c>
      <c r="S355" s="21" t="str">
        <f>IF('12 - Device_Configuration'!AX356="","",'12 - Device_Configuration'!AX356)</f>
        <v/>
      </c>
      <c r="T355" s="21" t="str">
        <f>IF('12 - Device_Configuration'!AV356="","",'12 - Device_Configuration'!AV356)</f>
        <v/>
      </c>
      <c r="U355" s="21" t="str">
        <f>IF('12 - Device_Configuration'!AW356="","",'12 - Device_Configuration'!AW356)</f>
        <v/>
      </c>
      <c r="V355" s="21" t="str">
        <f>IF('12 - Device_Configuration'!BA356="","",'12 - Device_Configuration'!BA356)</f>
        <v/>
      </c>
      <c r="W355" s="21" t="str">
        <f>IF('12 - Device_Configuration'!BC356="","",'12 - Device_Configuration'!BC356)</f>
        <v/>
      </c>
      <c r="X355" s="21" t="str">
        <f>IF('12 - Device_Configuration'!BK356="","",'12 - Device_Configuration'!BK356)</f>
        <v/>
      </c>
      <c r="Y355" s="21" t="str">
        <f>IF('12 - Device_Configuration'!BB356="","",'12 - Device_Configuration'!BB356)</f>
        <v/>
      </c>
      <c r="Z355" s="21" t="str">
        <f>IF('12 - Device_Configuration'!P356="","",'12 - Device_Configuration'!P356)</f>
        <v/>
      </c>
      <c r="AA355" s="21" t="str">
        <f>IF('12 - Device_Configuration'!Q356="","",'12 - Device_Configuration'!Q356)</f>
        <v/>
      </c>
    </row>
    <row r="356" spans="1:27">
      <c r="A356" s="22"/>
      <c r="B356" s="22"/>
      <c r="C356" s="21" t="str">
        <f>IF('12 - Device_Configuration'!H357="","",'12 - Device_Configuration'!H357)</f>
        <v/>
      </c>
      <c r="D356" s="21" t="str">
        <f>IF('12 - Device_Configuration'!AE357="","",'12 - Device_Configuration'!AE357)</f>
        <v/>
      </c>
      <c r="E356" s="21" t="str">
        <f>IF('12 - Device_Configuration'!AF357="","",'12 - Device_Configuration'!AF357)</f>
        <v/>
      </c>
      <c r="F356" s="21" t="str">
        <f>IF('12 - Device_Configuration'!AG357="","",'12 - Device_Configuration'!AG357)</f>
        <v/>
      </c>
      <c r="G356" s="21" t="str">
        <f>IF('12 - Device_Configuration'!AH357="","",'12 - Device_Configuration'!AH357)</f>
        <v/>
      </c>
      <c r="H356" s="21" t="str">
        <f>IF('12 - Device_Configuration'!A357="","",'12 - Device_Configuration'!A357)</f>
        <v/>
      </c>
      <c r="I356" s="21" t="str">
        <f>IF('12 - Device_Configuration'!AI357="","",'12 - Device_Configuration'!AI357)</f>
        <v/>
      </c>
      <c r="J356" s="21" t="str">
        <f>IF('12 - Device_Configuration'!AJ357="","",'12 - Device_Configuration'!AJ357)</f>
        <v/>
      </c>
      <c r="K356" s="21" t="str">
        <f>IF('12 - Device_Configuration'!AA357="","",'12 - Device_Configuration'!AA357)</f>
        <v/>
      </c>
      <c r="L356" s="21" t="str">
        <f>IF('12 - Device_Configuration'!I357="","",'12 - Device_Configuration'!I357)</f>
        <v/>
      </c>
      <c r="M356" s="22"/>
      <c r="N356" s="21" t="str">
        <f>IF('12 - Device_Configuration'!J357="","",'12 - Device_Configuration'!J357)</f>
        <v/>
      </c>
      <c r="O356" s="21" t="str">
        <f>IF('12 - Device_Configuration'!K357="","",'12 - Device_Configuration'!K357)</f>
        <v/>
      </c>
      <c r="P356" s="21" t="str">
        <f>IF('12 - Device_Configuration'!L357="","",'12 - Device_Configuration'!L357)</f>
        <v/>
      </c>
      <c r="Q356" s="22"/>
      <c r="R356" s="21" t="str">
        <f>IF('12 - Device_Configuration'!AY357="","",'12 - Device_Configuration'!AY357)</f>
        <v/>
      </c>
      <c r="S356" s="21" t="str">
        <f>IF('12 - Device_Configuration'!AX357="","",'12 - Device_Configuration'!AX357)</f>
        <v/>
      </c>
      <c r="T356" s="21" t="str">
        <f>IF('12 - Device_Configuration'!AV357="","",'12 - Device_Configuration'!AV357)</f>
        <v/>
      </c>
      <c r="U356" s="21" t="str">
        <f>IF('12 - Device_Configuration'!AW357="","",'12 - Device_Configuration'!AW357)</f>
        <v/>
      </c>
      <c r="V356" s="21" t="str">
        <f>IF('12 - Device_Configuration'!BA357="","",'12 - Device_Configuration'!BA357)</f>
        <v/>
      </c>
      <c r="W356" s="21" t="str">
        <f>IF('12 - Device_Configuration'!BC357="","",'12 - Device_Configuration'!BC357)</f>
        <v/>
      </c>
      <c r="X356" s="21" t="str">
        <f>IF('12 - Device_Configuration'!BK357="","",'12 - Device_Configuration'!BK357)</f>
        <v/>
      </c>
      <c r="Y356" s="21" t="str">
        <f>IF('12 - Device_Configuration'!BB357="","",'12 - Device_Configuration'!BB357)</f>
        <v/>
      </c>
      <c r="Z356" s="21" t="str">
        <f>IF('12 - Device_Configuration'!P357="","",'12 - Device_Configuration'!P357)</f>
        <v/>
      </c>
      <c r="AA356" s="21" t="str">
        <f>IF('12 - Device_Configuration'!Q357="","",'12 - Device_Configuration'!Q357)</f>
        <v/>
      </c>
    </row>
    <row r="357" spans="1:27">
      <c r="A357" s="22"/>
      <c r="B357" s="22"/>
      <c r="C357" s="21" t="str">
        <f>IF('12 - Device_Configuration'!H358="","",'12 - Device_Configuration'!H358)</f>
        <v/>
      </c>
      <c r="D357" s="21" t="str">
        <f>IF('12 - Device_Configuration'!AE358="","",'12 - Device_Configuration'!AE358)</f>
        <v/>
      </c>
      <c r="E357" s="21" t="str">
        <f>IF('12 - Device_Configuration'!AF358="","",'12 - Device_Configuration'!AF358)</f>
        <v/>
      </c>
      <c r="F357" s="21" t="str">
        <f>IF('12 - Device_Configuration'!AG358="","",'12 - Device_Configuration'!AG358)</f>
        <v/>
      </c>
      <c r="G357" s="21" t="str">
        <f>IF('12 - Device_Configuration'!AH358="","",'12 - Device_Configuration'!AH358)</f>
        <v/>
      </c>
      <c r="H357" s="21" t="str">
        <f>IF('12 - Device_Configuration'!A358="","",'12 - Device_Configuration'!A358)</f>
        <v/>
      </c>
      <c r="I357" s="21" t="str">
        <f>IF('12 - Device_Configuration'!AI358="","",'12 - Device_Configuration'!AI358)</f>
        <v/>
      </c>
      <c r="J357" s="21" t="str">
        <f>IF('12 - Device_Configuration'!AJ358="","",'12 - Device_Configuration'!AJ358)</f>
        <v/>
      </c>
      <c r="K357" s="21" t="str">
        <f>IF('12 - Device_Configuration'!AA358="","",'12 - Device_Configuration'!AA358)</f>
        <v/>
      </c>
      <c r="L357" s="21" t="str">
        <f>IF('12 - Device_Configuration'!I358="","",'12 - Device_Configuration'!I358)</f>
        <v/>
      </c>
      <c r="M357" s="22"/>
      <c r="N357" s="21" t="str">
        <f>IF('12 - Device_Configuration'!J358="","",'12 - Device_Configuration'!J358)</f>
        <v/>
      </c>
      <c r="O357" s="21" t="str">
        <f>IF('12 - Device_Configuration'!K358="","",'12 - Device_Configuration'!K358)</f>
        <v/>
      </c>
      <c r="P357" s="21" t="str">
        <f>IF('12 - Device_Configuration'!L358="","",'12 - Device_Configuration'!L358)</f>
        <v/>
      </c>
      <c r="Q357" s="22"/>
      <c r="R357" s="21" t="str">
        <f>IF('12 - Device_Configuration'!AY358="","",'12 - Device_Configuration'!AY358)</f>
        <v/>
      </c>
      <c r="S357" s="21" t="str">
        <f>IF('12 - Device_Configuration'!AX358="","",'12 - Device_Configuration'!AX358)</f>
        <v/>
      </c>
      <c r="T357" s="21" t="str">
        <f>IF('12 - Device_Configuration'!AV358="","",'12 - Device_Configuration'!AV358)</f>
        <v/>
      </c>
      <c r="U357" s="21" t="str">
        <f>IF('12 - Device_Configuration'!AW358="","",'12 - Device_Configuration'!AW358)</f>
        <v/>
      </c>
      <c r="V357" s="21" t="str">
        <f>IF('12 - Device_Configuration'!BA358="","",'12 - Device_Configuration'!BA358)</f>
        <v/>
      </c>
      <c r="W357" s="21" t="str">
        <f>IF('12 - Device_Configuration'!BC358="","",'12 - Device_Configuration'!BC358)</f>
        <v/>
      </c>
      <c r="X357" s="21" t="str">
        <f>IF('12 - Device_Configuration'!BK358="","",'12 - Device_Configuration'!BK358)</f>
        <v/>
      </c>
      <c r="Y357" s="21" t="str">
        <f>IF('12 - Device_Configuration'!BB358="","",'12 - Device_Configuration'!BB358)</f>
        <v/>
      </c>
      <c r="Z357" s="21" t="str">
        <f>IF('12 - Device_Configuration'!P358="","",'12 - Device_Configuration'!P358)</f>
        <v/>
      </c>
      <c r="AA357" s="21" t="str">
        <f>IF('12 - Device_Configuration'!Q358="","",'12 - Device_Configuration'!Q358)</f>
        <v/>
      </c>
    </row>
    <row r="358" spans="1:27">
      <c r="A358" s="22"/>
      <c r="B358" s="22"/>
      <c r="C358" s="21" t="str">
        <f>IF('12 - Device_Configuration'!H359="","",'12 - Device_Configuration'!H359)</f>
        <v/>
      </c>
      <c r="D358" s="21" t="str">
        <f>IF('12 - Device_Configuration'!AE359="","",'12 - Device_Configuration'!AE359)</f>
        <v/>
      </c>
      <c r="E358" s="21" t="str">
        <f>IF('12 - Device_Configuration'!AF359="","",'12 - Device_Configuration'!AF359)</f>
        <v/>
      </c>
      <c r="F358" s="21" t="str">
        <f>IF('12 - Device_Configuration'!AG359="","",'12 - Device_Configuration'!AG359)</f>
        <v/>
      </c>
      <c r="G358" s="21" t="str">
        <f>IF('12 - Device_Configuration'!AH359="","",'12 - Device_Configuration'!AH359)</f>
        <v/>
      </c>
      <c r="H358" s="21" t="str">
        <f>IF('12 - Device_Configuration'!A359="","",'12 - Device_Configuration'!A359)</f>
        <v/>
      </c>
      <c r="I358" s="21" t="str">
        <f>IF('12 - Device_Configuration'!AI359="","",'12 - Device_Configuration'!AI359)</f>
        <v/>
      </c>
      <c r="J358" s="21" t="str">
        <f>IF('12 - Device_Configuration'!AJ359="","",'12 - Device_Configuration'!AJ359)</f>
        <v/>
      </c>
      <c r="K358" s="21" t="str">
        <f>IF('12 - Device_Configuration'!AA359="","",'12 - Device_Configuration'!AA359)</f>
        <v/>
      </c>
      <c r="L358" s="21" t="str">
        <f>IF('12 - Device_Configuration'!I359="","",'12 - Device_Configuration'!I359)</f>
        <v/>
      </c>
      <c r="M358" s="22"/>
      <c r="N358" s="21" t="str">
        <f>IF('12 - Device_Configuration'!J359="","",'12 - Device_Configuration'!J359)</f>
        <v/>
      </c>
      <c r="O358" s="21" t="str">
        <f>IF('12 - Device_Configuration'!K359="","",'12 - Device_Configuration'!K359)</f>
        <v/>
      </c>
      <c r="P358" s="21" t="str">
        <f>IF('12 - Device_Configuration'!L359="","",'12 - Device_Configuration'!L359)</f>
        <v/>
      </c>
      <c r="Q358" s="22"/>
      <c r="R358" s="21" t="str">
        <f>IF('12 - Device_Configuration'!AY359="","",'12 - Device_Configuration'!AY359)</f>
        <v/>
      </c>
      <c r="S358" s="21" t="str">
        <f>IF('12 - Device_Configuration'!AX359="","",'12 - Device_Configuration'!AX359)</f>
        <v/>
      </c>
      <c r="T358" s="21" t="str">
        <f>IF('12 - Device_Configuration'!AV359="","",'12 - Device_Configuration'!AV359)</f>
        <v/>
      </c>
      <c r="U358" s="21" t="str">
        <f>IF('12 - Device_Configuration'!AW359="","",'12 - Device_Configuration'!AW359)</f>
        <v/>
      </c>
      <c r="V358" s="21" t="str">
        <f>IF('12 - Device_Configuration'!BA359="","",'12 - Device_Configuration'!BA359)</f>
        <v/>
      </c>
      <c r="W358" s="21" t="str">
        <f>IF('12 - Device_Configuration'!BC359="","",'12 - Device_Configuration'!BC359)</f>
        <v/>
      </c>
      <c r="X358" s="21" t="str">
        <f>IF('12 - Device_Configuration'!BK359="","",'12 - Device_Configuration'!BK359)</f>
        <v/>
      </c>
      <c r="Y358" s="21" t="str">
        <f>IF('12 - Device_Configuration'!BB359="","",'12 - Device_Configuration'!BB359)</f>
        <v/>
      </c>
      <c r="Z358" s="21" t="str">
        <f>IF('12 - Device_Configuration'!P359="","",'12 - Device_Configuration'!P359)</f>
        <v/>
      </c>
      <c r="AA358" s="21" t="str">
        <f>IF('12 - Device_Configuration'!Q359="","",'12 - Device_Configuration'!Q359)</f>
        <v/>
      </c>
    </row>
    <row r="359" spans="1:27">
      <c r="A359" s="22"/>
      <c r="B359" s="22"/>
      <c r="C359" s="21" t="str">
        <f>IF('12 - Device_Configuration'!H360="","",'12 - Device_Configuration'!H360)</f>
        <v/>
      </c>
      <c r="D359" s="21" t="str">
        <f>IF('12 - Device_Configuration'!AE360="","",'12 - Device_Configuration'!AE360)</f>
        <v/>
      </c>
      <c r="E359" s="21" t="str">
        <f>IF('12 - Device_Configuration'!AF360="","",'12 - Device_Configuration'!AF360)</f>
        <v/>
      </c>
      <c r="F359" s="21" t="str">
        <f>IF('12 - Device_Configuration'!AG360="","",'12 - Device_Configuration'!AG360)</f>
        <v/>
      </c>
      <c r="G359" s="21" t="str">
        <f>IF('12 - Device_Configuration'!AH360="","",'12 - Device_Configuration'!AH360)</f>
        <v/>
      </c>
      <c r="H359" s="21" t="str">
        <f>IF('12 - Device_Configuration'!A360="","",'12 - Device_Configuration'!A360)</f>
        <v/>
      </c>
      <c r="I359" s="21" t="str">
        <f>IF('12 - Device_Configuration'!AI360="","",'12 - Device_Configuration'!AI360)</f>
        <v/>
      </c>
      <c r="J359" s="21" t="str">
        <f>IF('12 - Device_Configuration'!AJ360="","",'12 - Device_Configuration'!AJ360)</f>
        <v/>
      </c>
      <c r="K359" s="21" t="str">
        <f>IF('12 - Device_Configuration'!AA360="","",'12 - Device_Configuration'!AA360)</f>
        <v/>
      </c>
      <c r="L359" s="21" t="str">
        <f>IF('12 - Device_Configuration'!I360="","",'12 - Device_Configuration'!I360)</f>
        <v/>
      </c>
      <c r="M359" s="22"/>
      <c r="N359" s="21" t="str">
        <f>IF('12 - Device_Configuration'!J360="","",'12 - Device_Configuration'!J360)</f>
        <v/>
      </c>
      <c r="O359" s="21" t="str">
        <f>IF('12 - Device_Configuration'!K360="","",'12 - Device_Configuration'!K360)</f>
        <v/>
      </c>
      <c r="P359" s="21" t="str">
        <f>IF('12 - Device_Configuration'!L360="","",'12 - Device_Configuration'!L360)</f>
        <v/>
      </c>
      <c r="Q359" s="22"/>
      <c r="R359" s="21" t="str">
        <f>IF('12 - Device_Configuration'!AY360="","",'12 - Device_Configuration'!AY360)</f>
        <v/>
      </c>
      <c r="S359" s="21" t="str">
        <f>IF('12 - Device_Configuration'!AX360="","",'12 - Device_Configuration'!AX360)</f>
        <v/>
      </c>
      <c r="T359" s="21" t="str">
        <f>IF('12 - Device_Configuration'!AV360="","",'12 - Device_Configuration'!AV360)</f>
        <v/>
      </c>
      <c r="U359" s="21" t="str">
        <f>IF('12 - Device_Configuration'!AW360="","",'12 - Device_Configuration'!AW360)</f>
        <v/>
      </c>
      <c r="V359" s="21" t="str">
        <f>IF('12 - Device_Configuration'!BA360="","",'12 - Device_Configuration'!BA360)</f>
        <v/>
      </c>
      <c r="W359" s="21" t="str">
        <f>IF('12 - Device_Configuration'!BC360="","",'12 - Device_Configuration'!BC360)</f>
        <v/>
      </c>
      <c r="X359" s="21" t="str">
        <f>IF('12 - Device_Configuration'!BK360="","",'12 - Device_Configuration'!BK360)</f>
        <v/>
      </c>
      <c r="Y359" s="21" t="str">
        <f>IF('12 - Device_Configuration'!BB360="","",'12 - Device_Configuration'!BB360)</f>
        <v/>
      </c>
      <c r="Z359" s="21" t="str">
        <f>IF('12 - Device_Configuration'!P360="","",'12 - Device_Configuration'!P360)</f>
        <v/>
      </c>
      <c r="AA359" s="21" t="str">
        <f>IF('12 - Device_Configuration'!Q360="","",'12 - Device_Configuration'!Q360)</f>
        <v/>
      </c>
    </row>
    <row r="360" spans="1:27">
      <c r="A360" s="22"/>
      <c r="B360" s="22"/>
      <c r="C360" s="21" t="str">
        <f>IF('12 - Device_Configuration'!H361="","",'12 - Device_Configuration'!H361)</f>
        <v/>
      </c>
      <c r="D360" s="21" t="str">
        <f>IF('12 - Device_Configuration'!AE361="","",'12 - Device_Configuration'!AE361)</f>
        <v/>
      </c>
      <c r="E360" s="21" t="str">
        <f>IF('12 - Device_Configuration'!AF361="","",'12 - Device_Configuration'!AF361)</f>
        <v/>
      </c>
      <c r="F360" s="21" t="str">
        <f>IF('12 - Device_Configuration'!AG361="","",'12 - Device_Configuration'!AG361)</f>
        <v/>
      </c>
      <c r="G360" s="21" t="str">
        <f>IF('12 - Device_Configuration'!AH361="","",'12 - Device_Configuration'!AH361)</f>
        <v/>
      </c>
      <c r="H360" s="21" t="str">
        <f>IF('12 - Device_Configuration'!A361="","",'12 - Device_Configuration'!A361)</f>
        <v/>
      </c>
      <c r="I360" s="21" t="str">
        <f>IF('12 - Device_Configuration'!AI361="","",'12 - Device_Configuration'!AI361)</f>
        <v/>
      </c>
      <c r="J360" s="21" t="str">
        <f>IF('12 - Device_Configuration'!AJ361="","",'12 - Device_Configuration'!AJ361)</f>
        <v/>
      </c>
      <c r="K360" s="21" t="str">
        <f>IF('12 - Device_Configuration'!AA361="","",'12 - Device_Configuration'!AA361)</f>
        <v/>
      </c>
      <c r="L360" s="21" t="str">
        <f>IF('12 - Device_Configuration'!I361="","",'12 - Device_Configuration'!I361)</f>
        <v/>
      </c>
      <c r="M360" s="22"/>
      <c r="N360" s="21" t="str">
        <f>IF('12 - Device_Configuration'!J361="","",'12 - Device_Configuration'!J361)</f>
        <v/>
      </c>
      <c r="O360" s="21" t="str">
        <f>IF('12 - Device_Configuration'!K361="","",'12 - Device_Configuration'!K361)</f>
        <v/>
      </c>
      <c r="P360" s="21" t="str">
        <f>IF('12 - Device_Configuration'!L361="","",'12 - Device_Configuration'!L361)</f>
        <v/>
      </c>
      <c r="Q360" s="22"/>
      <c r="R360" s="21" t="str">
        <f>IF('12 - Device_Configuration'!AY361="","",'12 - Device_Configuration'!AY361)</f>
        <v/>
      </c>
      <c r="S360" s="21" t="str">
        <f>IF('12 - Device_Configuration'!AX361="","",'12 - Device_Configuration'!AX361)</f>
        <v/>
      </c>
      <c r="T360" s="21" t="str">
        <f>IF('12 - Device_Configuration'!AV361="","",'12 - Device_Configuration'!AV361)</f>
        <v/>
      </c>
      <c r="U360" s="21" t="str">
        <f>IF('12 - Device_Configuration'!AW361="","",'12 - Device_Configuration'!AW361)</f>
        <v/>
      </c>
      <c r="V360" s="21" t="str">
        <f>IF('12 - Device_Configuration'!BA361="","",'12 - Device_Configuration'!BA361)</f>
        <v/>
      </c>
      <c r="W360" s="21" t="str">
        <f>IF('12 - Device_Configuration'!BC361="","",'12 - Device_Configuration'!BC361)</f>
        <v/>
      </c>
      <c r="X360" s="21" t="str">
        <f>IF('12 - Device_Configuration'!BK361="","",'12 - Device_Configuration'!BK361)</f>
        <v/>
      </c>
      <c r="Y360" s="21" t="str">
        <f>IF('12 - Device_Configuration'!BB361="","",'12 - Device_Configuration'!BB361)</f>
        <v/>
      </c>
      <c r="Z360" s="21" t="str">
        <f>IF('12 - Device_Configuration'!P361="","",'12 - Device_Configuration'!P361)</f>
        <v/>
      </c>
      <c r="AA360" s="21" t="str">
        <f>IF('12 - Device_Configuration'!Q361="","",'12 - Device_Configuration'!Q361)</f>
        <v/>
      </c>
    </row>
    <row r="361" spans="1:27">
      <c r="A361" s="22"/>
      <c r="B361" s="22"/>
      <c r="C361" s="21" t="str">
        <f>IF('12 - Device_Configuration'!H362="","",'12 - Device_Configuration'!H362)</f>
        <v/>
      </c>
      <c r="D361" s="21" t="str">
        <f>IF('12 - Device_Configuration'!AE362="","",'12 - Device_Configuration'!AE362)</f>
        <v/>
      </c>
      <c r="E361" s="21" t="str">
        <f>IF('12 - Device_Configuration'!AF362="","",'12 - Device_Configuration'!AF362)</f>
        <v/>
      </c>
      <c r="F361" s="21" t="str">
        <f>IF('12 - Device_Configuration'!AG362="","",'12 - Device_Configuration'!AG362)</f>
        <v/>
      </c>
      <c r="G361" s="21" t="str">
        <f>IF('12 - Device_Configuration'!AH362="","",'12 - Device_Configuration'!AH362)</f>
        <v/>
      </c>
      <c r="H361" s="21" t="str">
        <f>IF('12 - Device_Configuration'!A362="","",'12 - Device_Configuration'!A362)</f>
        <v/>
      </c>
      <c r="I361" s="21" t="str">
        <f>IF('12 - Device_Configuration'!AI362="","",'12 - Device_Configuration'!AI362)</f>
        <v/>
      </c>
      <c r="J361" s="21" t="str">
        <f>IF('12 - Device_Configuration'!AJ362="","",'12 - Device_Configuration'!AJ362)</f>
        <v/>
      </c>
      <c r="K361" s="21" t="str">
        <f>IF('12 - Device_Configuration'!AA362="","",'12 - Device_Configuration'!AA362)</f>
        <v/>
      </c>
      <c r="L361" s="21" t="str">
        <f>IF('12 - Device_Configuration'!I362="","",'12 - Device_Configuration'!I362)</f>
        <v/>
      </c>
      <c r="M361" s="22"/>
      <c r="N361" s="21" t="str">
        <f>IF('12 - Device_Configuration'!J362="","",'12 - Device_Configuration'!J362)</f>
        <v/>
      </c>
      <c r="O361" s="21" t="str">
        <f>IF('12 - Device_Configuration'!K362="","",'12 - Device_Configuration'!K362)</f>
        <v/>
      </c>
      <c r="P361" s="21" t="str">
        <f>IF('12 - Device_Configuration'!L362="","",'12 - Device_Configuration'!L362)</f>
        <v/>
      </c>
      <c r="Q361" s="22"/>
      <c r="R361" s="21" t="str">
        <f>IF('12 - Device_Configuration'!AY362="","",'12 - Device_Configuration'!AY362)</f>
        <v/>
      </c>
      <c r="S361" s="21" t="str">
        <f>IF('12 - Device_Configuration'!AX362="","",'12 - Device_Configuration'!AX362)</f>
        <v/>
      </c>
      <c r="T361" s="21" t="str">
        <f>IF('12 - Device_Configuration'!AV362="","",'12 - Device_Configuration'!AV362)</f>
        <v/>
      </c>
      <c r="U361" s="21" t="str">
        <f>IF('12 - Device_Configuration'!AW362="","",'12 - Device_Configuration'!AW362)</f>
        <v/>
      </c>
      <c r="V361" s="21" t="str">
        <f>IF('12 - Device_Configuration'!BA362="","",'12 - Device_Configuration'!BA362)</f>
        <v/>
      </c>
      <c r="W361" s="21" t="str">
        <f>IF('12 - Device_Configuration'!BC362="","",'12 - Device_Configuration'!BC362)</f>
        <v/>
      </c>
      <c r="X361" s="21" t="str">
        <f>IF('12 - Device_Configuration'!BK362="","",'12 - Device_Configuration'!BK362)</f>
        <v/>
      </c>
      <c r="Y361" s="21" t="str">
        <f>IF('12 - Device_Configuration'!BB362="","",'12 - Device_Configuration'!BB362)</f>
        <v/>
      </c>
      <c r="Z361" s="21" t="str">
        <f>IF('12 - Device_Configuration'!P362="","",'12 - Device_Configuration'!P362)</f>
        <v/>
      </c>
      <c r="AA361" s="21" t="str">
        <f>IF('12 - Device_Configuration'!Q362="","",'12 - Device_Configuration'!Q362)</f>
        <v/>
      </c>
    </row>
    <row r="362" spans="1:27">
      <c r="A362" s="22"/>
      <c r="B362" s="22"/>
      <c r="C362" s="21" t="str">
        <f>IF('12 - Device_Configuration'!H363="","",'12 - Device_Configuration'!H363)</f>
        <v/>
      </c>
      <c r="D362" s="21" t="str">
        <f>IF('12 - Device_Configuration'!AE363="","",'12 - Device_Configuration'!AE363)</f>
        <v/>
      </c>
      <c r="E362" s="21" t="str">
        <f>IF('12 - Device_Configuration'!AF363="","",'12 - Device_Configuration'!AF363)</f>
        <v/>
      </c>
      <c r="F362" s="21" t="str">
        <f>IF('12 - Device_Configuration'!AG363="","",'12 - Device_Configuration'!AG363)</f>
        <v/>
      </c>
      <c r="G362" s="21" t="str">
        <f>IF('12 - Device_Configuration'!AH363="","",'12 - Device_Configuration'!AH363)</f>
        <v/>
      </c>
      <c r="H362" s="21" t="str">
        <f>IF('12 - Device_Configuration'!A363="","",'12 - Device_Configuration'!A363)</f>
        <v/>
      </c>
      <c r="I362" s="21" t="str">
        <f>IF('12 - Device_Configuration'!AI363="","",'12 - Device_Configuration'!AI363)</f>
        <v/>
      </c>
      <c r="J362" s="21" t="str">
        <f>IF('12 - Device_Configuration'!AJ363="","",'12 - Device_Configuration'!AJ363)</f>
        <v/>
      </c>
      <c r="K362" s="21" t="str">
        <f>IF('12 - Device_Configuration'!AA363="","",'12 - Device_Configuration'!AA363)</f>
        <v/>
      </c>
      <c r="L362" s="21" t="str">
        <f>IF('12 - Device_Configuration'!I363="","",'12 - Device_Configuration'!I363)</f>
        <v/>
      </c>
      <c r="M362" s="22"/>
      <c r="N362" s="21" t="str">
        <f>IF('12 - Device_Configuration'!J363="","",'12 - Device_Configuration'!J363)</f>
        <v/>
      </c>
      <c r="O362" s="21" t="str">
        <f>IF('12 - Device_Configuration'!K363="","",'12 - Device_Configuration'!K363)</f>
        <v/>
      </c>
      <c r="P362" s="21" t="str">
        <f>IF('12 - Device_Configuration'!L363="","",'12 - Device_Configuration'!L363)</f>
        <v/>
      </c>
      <c r="Q362" s="22"/>
      <c r="R362" s="21" t="str">
        <f>IF('12 - Device_Configuration'!AY363="","",'12 - Device_Configuration'!AY363)</f>
        <v/>
      </c>
      <c r="S362" s="21" t="str">
        <f>IF('12 - Device_Configuration'!AX363="","",'12 - Device_Configuration'!AX363)</f>
        <v/>
      </c>
      <c r="T362" s="21" t="str">
        <f>IF('12 - Device_Configuration'!AV363="","",'12 - Device_Configuration'!AV363)</f>
        <v/>
      </c>
      <c r="U362" s="21" t="str">
        <f>IF('12 - Device_Configuration'!AW363="","",'12 - Device_Configuration'!AW363)</f>
        <v/>
      </c>
      <c r="V362" s="21" t="str">
        <f>IF('12 - Device_Configuration'!BA363="","",'12 - Device_Configuration'!BA363)</f>
        <v/>
      </c>
      <c r="W362" s="21" t="str">
        <f>IF('12 - Device_Configuration'!BC363="","",'12 - Device_Configuration'!BC363)</f>
        <v/>
      </c>
      <c r="X362" s="21" t="str">
        <f>IF('12 - Device_Configuration'!BK363="","",'12 - Device_Configuration'!BK363)</f>
        <v/>
      </c>
      <c r="Y362" s="21" t="str">
        <f>IF('12 - Device_Configuration'!BB363="","",'12 - Device_Configuration'!BB363)</f>
        <v/>
      </c>
      <c r="Z362" s="21" t="str">
        <f>IF('12 - Device_Configuration'!P363="","",'12 - Device_Configuration'!P363)</f>
        <v/>
      </c>
      <c r="AA362" s="21" t="str">
        <f>IF('12 - Device_Configuration'!Q363="","",'12 - Device_Configuration'!Q363)</f>
        <v/>
      </c>
    </row>
    <row r="363" spans="1:27">
      <c r="A363" s="22"/>
      <c r="B363" s="22"/>
      <c r="C363" s="21" t="str">
        <f>IF('12 - Device_Configuration'!H364="","",'12 - Device_Configuration'!H364)</f>
        <v/>
      </c>
      <c r="D363" s="21" t="str">
        <f>IF('12 - Device_Configuration'!AE364="","",'12 - Device_Configuration'!AE364)</f>
        <v/>
      </c>
      <c r="E363" s="21" t="str">
        <f>IF('12 - Device_Configuration'!AF364="","",'12 - Device_Configuration'!AF364)</f>
        <v/>
      </c>
      <c r="F363" s="21" t="str">
        <f>IF('12 - Device_Configuration'!AG364="","",'12 - Device_Configuration'!AG364)</f>
        <v/>
      </c>
      <c r="G363" s="21" t="str">
        <f>IF('12 - Device_Configuration'!AH364="","",'12 - Device_Configuration'!AH364)</f>
        <v/>
      </c>
      <c r="H363" s="21" t="str">
        <f>IF('12 - Device_Configuration'!A364="","",'12 - Device_Configuration'!A364)</f>
        <v/>
      </c>
      <c r="I363" s="21" t="str">
        <f>IF('12 - Device_Configuration'!AI364="","",'12 - Device_Configuration'!AI364)</f>
        <v/>
      </c>
      <c r="J363" s="21" t="str">
        <f>IF('12 - Device_Configuration'!AJ364="","",'12 - Device_Configuration'!AJ364)</f>
        <v/>
      </c>
      <c r="K363" s="21" t="str">
        <f>IF('12 - Device_Configuration'!AA364="","",'12 - Device_Configuration'!AA364)</f>
        <v/>
      </c>
      <c r="L363" s="21" t="str">
        <f>IF('12 - Device_Configuration'!I364="","",'12 - Device_Configuration'!I364)</f>
        <v/>
      </c>
      <c r="M363" s="22"/>
      <c r="N363" s="21" t="str">
        <f>IF('12 - Device_Configuration'!J364="","",'12 - Device_Configuration'!J364)</f>
        <v/>
      </c>
      <c r="O363" s="21" t="str">
        <f>IF('12 - Device_Configuration'!K364="","",'12 - Device_Configuration'!K364)</f>
        <v/>
      </c>
      <c r="P363" s="21" t="str">
        <f>IF('12 - Device_Configuration'!L364="","",'12 - Device_Configuration'!L364)</f>
        <v/>
      </c>
      <c r="Q363" s="22"/>
      <c r="R363" s="21" t="str">
        <f>IF('12 - Device_Configuration'!AY364="","",'12 - Device_Configuration'!AY364)</f>
        <v/>
      </c>
      <c r="S363" s="21" t="str">
        <f>IF('12 - Device_Configuration'!AX364="","",'12 - Device_Configuration'!AX364)</f>
        <v/>
      </c>
      <c r="T363" s="21" t="str">
        <f>IF('12 - Device_Configuration'!AV364="","",'12 - Device_Configuration'!AV364)</f>
        <v/>
      </c>
      <c r="U363" s="21" t="str">
        <f>IF('12 - Device_Configuration'!AW364="","",'12 - Device_Configuration'!AW364)</f>
        <v/>
      </c>
      <c r="V363" s="21" t="str">
        <f>IF('12 - Device_Configuration'!BA364="","",'12 - Device_Configuration'!BA364)</f>
        <v/>
      </c>
      <c r="W363" s="21" t="str">
        <f>IF('12 - Device_Configuration'!BC364="","",'12 - Device_Configuration'!BC364)</f>
        <v/>
      </c>
      <c r="X363" s="21" t="str">
        <f>IF('12 - Device_Configuration'!BK364="","",'12 - Device_Configuration'!BK364)</f>
        <v/>
      </c>
      <c r="Y363" s="21" t="str">
        <f>IF('12 - Device_Configuration'!BB364="","",'12 - Device_Configuration'!BB364)</f>
        <v/>
      </c>
      <c r="Z363" s="21" t="str">
        <f>IF('12 - Device_Configuration'!P364="","",'12 - Device_Configuration'!P364)</f>
        <v/>
      </c>
      <c r="AA363" s="21" t="str">
        <f>IF('12 - Device_Configuration'!Q364="","",'12 - Device_Configuration'!Q364)</f>
        <v/>
      </c>
    </row>
    <row r="364" spans="1:27">
      <c r="A364" s="22"/>
      <c r="B364" s="22"/>
      <c r="C364" s="21" t="str">
        <f>IF('12 - Device_Configuration'!H365="","",'12 - Device_Configuration'!H365)</f>
        <v/>
      </c>
      <c r="D364" s="21" t="str">
        <f>IF('12 - Device_Configuration'!AE365="","",'12 - Device_Configuration'!AE365)</f>
        <v/>
      </c>
      <c r="E364" s="21" t="str">
        <f>IF('12 - Device_Configuration'!AF365="","",'12 - Device_Configuration'!AF365)</f>
        <v/>
      </c>
      <c r="F364" s="21" t="str">
        <f>IF('12 - Device_Configuration'!AG365="","",'12 - Device_Configuration'!AG365)</f>
        <v/>
      </c>
      <c r="G364" s="21" t="str">
        <f>IF('12 - Device_Configuration'!AH365="","",'12 - Device_Configuration'!AH365)</f>
        <v/>
      </c>
      <c r="H364" s="21" t="str">
        <f>IF('12 - Device_Configuration'!A365="","",'12 - Device_Configuration'!A365)</f>
        <v/>
      </c>
      <c r="I364" s="21" t="str">
        <f>IF('12 - Device_Configuration'!AI365="","",'12 - Device_Configuration'!AI365)</f>
        <v/>
      </c>
      <c r="J364" s="21" t="str">
        <f>IF('12 - Device_Configuration'!AJ365="","",'12 - Device_Configuration'!AJ365)</f>
        <v/>
      </c>
      <c r="K364" s="21" t="str">
        <f>IF('12 - Device_Configuration'!AA365="","",'12 - Device_Configuration'!AA365)</f>
        <v/>
      </c>
      <c r="L364" s="21" t="str">
        <f>IF('12 - Device_Configuration'!I365="","",'12 - Device_Configuration'!I365)</f>
        <v/>
      </c>
      <c r="M364" s="22"/>
      <c r="N364" s="21" t="str">
        <f>IF('12 - Device_Configuration'!J365="","",'12 - Device_Configuration'!J365)</f>
        <v/>
      </c>
      <c r="O364" s="21" t="str">
        <f>IF('12 - Device_Configuration'!K365="","",'12 - Device_Configuration'!K365)</f>
        <v/>
      </c>
      <c r="P364" s="21" t="str">
        <f>IF('12 - Device_Configuration'!L365="","",'12 - Device_Configuration'!L365)</f>
        <v/>
      </c>
      <c r="Q364" s="22"/>
      <c r="R364" s="21" t="str">
        <f>IF('12 - Device_Configuration'!AY365="","",'12 - Device_Configuration'!AY365)</f>
        <v/>
      </c>
      <c r="S364" s="21" t="str">
        <f>IF('12 - Device_Configuration'!AX365="","",'12 - Device_Configuration'!AX365)</f>
        <v/>
      </c>
      <c r="T364" s="21" t="str">
        <f>IF('12 - Device_Configuration'!AV365="","",'12 - Device_Configuration'!AV365)</f>
        <v/>
      </c>
      <c r="U364" s="21" t="str">
        <f>IF('12 - Device_Configuration'!AW365="","",'12 - Device_Configuration'!AW365)</f>
        <v/>
      </c>
      <c r="V364" s="21" t="str">
        <f>IF('12 - Device_Configuration'!BA365="","",'12 - Device_Configuration'!BA365)</f>
        <v/>
      </c>
      <c r="W364" s="21" t="str">
        <f>IF('12 - Device_Configuration'!BC365="","",'12 - Device_Configuration'!BC365)</f>
        <v/>
      </c>
      <c r="X364" s="21" t="str">
        <f>IF('12 - Device_Configuration'!BK365="","",'12 - Device_Configuration'!BK365)</f>
        <v/>
      </c>
      <c r="Y364" s="21" t="str">
        <f>IF('12 - Device_Configuration'!BB365="","",'12 - Device_Configuration'!BB365)</f>
        <v/>
      </c>
      <c r="Z364" s="21" t="str">
        <f>IF('12 - Device_Configuration'!P365="","",'12 - Device_Configuration'!P365)</f>
        <v/>
      </c>
      <c r="AA364" s="21" t="str">
        <f>IF('12 - Device_Configuration'!Q365="","",'12 - Device_Configuration'!Q365)</f>
        <v/>
      </c>
    </row>
    <row r="365" spans="1:27">
      <c r="A365" s="22"/>
      <c r="B365" s="22"/>
      <c r="C365" s="21" t="str">
        <f>IF('12 - Device_Configuration'!H366="","",'12 - Device_Configuration'!H366)</f>
        <v/>
      </c>
      <c r="D365" s="21" t="str">
        <f>IF('12 - Device_Configuration'!AE366="","",'12 - Device_Configuration'!AE366)</f>
        <v/>
      </c>
      <c r="E365" s="21" t="str">
        <f>IF('12 - Device_Configuration'!AF366="","",'12 - Device_Configuration'!AF366)</f>
        <v/>
      </c>
      <c r="F365" s="21" t="str">
        <f>IF('12 - Device_Configuration'!AG366="","",'12 - Device_Configuration'!AG366)</f>
        <v/>
      </c>
      <c r="G365" s="21" t="str">
        <f>IF('12 - Device_Configuration'!AH366="","",'12 - Device_Configuration'!AH366)</f>
        <v/>
      </c>
      <c r="H365" s="21" t="str">
        <f>IF('12 - Device_Configuration'!A366="","",'12 - Device_Configuration'!A366)</f>
        <v/>
      </c>
      <c r="I365" s="21" t="str">
        <f>IF('12 - Device_Configuration'!AI366="","",'12 - Device_Configuration'!AI366)</f>
        <v/>
      </c>
      <c r="J365" s="21" t="str">
        <f>IF('12 - Device_Configuration'!AJ366="","",'12 - Device_Configuration'!AJ366)</f>
        <v/>
      </c>
      <c r="K365" s="21" t="str">
        <f>IF('12 - Device_Configuration'!AA366="","",'12 - Device_Configuration'!AA366)</f>
        <v/>
      </c>
      <c r="L365" s="21" t="str">
        <f>IF('12 - Device_Configuration'!I366="","",'12 - Device_Configuration'!I366)</f>
        <v/>
      </c>
      <c r="M365" s="22"/>
      <c r="N365" s="21" t="str">
        <f>IF('12 - Device_Configuration'!J366="","",'12 - Device_Configuration'!J366)</f>
        <v/>
      </c>
      <c r="O365" s="21" t="str">
        <f>IF('12 - Device_Configuration'!K366="","",'12 - Device_Configuration'!K366)</f>
        <v/>
      </c>
      <c r="P365" s="21" t="str">
        <f>IF('12 - Device_Configuration'!L366="","",'12 - Device_Configuration'!L366)</f>
        <v/>
      </c>
      <c r="Q365" s="22"/>
      <c r="R365" s="21" t="str">
        <f>IF('12 - Device_Configuration'!AY366="","",'12 - Device_Configuration'!AY366)</f>
        <v/>
      </c>
      <c r="S365" s="21" t="str">
        <f>IF('12 - Device_Configuration'!AX366="","",'12 - Device_Configuration'!AX366)</f>
        <v/>
      </c>
      <c r="T365" s="21" t="str">
        <f>IF('12 - Device_Configuration'!AV366="","",'12 - Device_Configuration'!AV366)</f>
        <v/>
      </c>
      <c r="U365" s="21" t="str">
        <f>IF('12 - Device_Configuration'!AW366="","",'12 - Device_Configuration'!AW366)</f>
        <v/>
      </c>
      <c r="V365" s="21" t="str">
        <f>IF('12 - Device_Configuration'!BA366="","",'12 - Device_Configuration'!BA366)</f>
        <v/>
      </c>
      <c r="W365" s="21" t="str">
        <f>IF('12 - Device_Configuration'!BC366="","",'12 - Device_Configuration'!BC366)</f>
        <v/>
      </c>
      <c r="X365" s="21" t="str">
        <f>IF('12 - Device_Configuration'!BK366="","",'12 - Device_Configuration'!BK366)</f>
        <v/>
      </c>
      <c r="Y365" s="21" t="str">
        <f>IF('12 - Device_Configuration'!BB366="","",'12 - Device_Configuration'!BB366)</f>
        <v/>
      </c>
      <c r="Z365" s="21" t="str">
        <f>IF('12 - Device_Configuration'!P366="","",'12 - Device_Configuration'!P366)</f>
        <v/>
      </c>
      <c r="AA365" s="21" t="str">
        <f>IF('12 - Device_Configuration'!Q366="","",'12 - Device_Configuration'!Q366)</f>
        <v/>
      </c>
    </row>
    <row r="366" spans="1:27">
      <c r="A366" s="22"/>
      <c r="B366" s="22"/>
      <c r="C366" s="21" t="str">
        <f>IF('12 - Device_Configuration'!H367="","",'12 - Device_Configuration'!H367)</f>
        <v/>
      </c>
      <c r="D366" s="21" t="str">
        <f>IF('12 - Device_Configuration'!AE367="","",'12 - Device_Configuration'!AE367)</f>
        <v/>
      </c>
      <c r="E366" s="21" t="str">
        <f>IF('12 - Device_Configuration'!AF367="","",'12 - Device_Configuration'!AF367)</f>
        <v/>
      </c>
      <c r="F366" s="21" t="str">
        <f>IF('12 - Device_Configuration'!AG367="","",'12 - Device_Configuration'!AG367)</f>
        <v/>
      </c>
      <c r="G366" s="21" t="str">
        <f>IF('12 - Device_Configuration'!AH367="","",'12 - Device_Configuration'!AH367)</f>
        <v/>
      </c>
      <c r="H366" s="21" t="str">
        <f>IF('12 - Device_Configuration'!A367="","",'12 - Device_Configuration'!A367)</f>
        <v/>
      </c>
      <c r="I366" s="21" t="str">
        <f>IF('12 - Device_Configuration'!AI367="","",'12 - Device_Configuration'!AI367)</f>
        <v/>
      </c>
      <c r="J366" s="21" t="str">
        <f>IF('12 - Device_Configuration'!AJ367="","",'12 - Device_Configuration'!AJ367)</f>
        <v/>
      </c>
      <c r="K366" s="21" t="str">
        <f>IF('12 - Device_Configuration'!AA367="","",'12 - Device_Configuration'!AA367)</f>
        <v/>
      </c>
      <c r="L366" s="21" t="str">
        <f>IF('12 - Device_Configuration'!I367="","",'12 - Device_Configuration'!I367)</f>
        <v/>
      </c>
      <c r="M366" s="22"/>
      <c r="N366" s="21" t="str">
        <f>IF('12 - Device_Configuration'!J367="","",'12 - Device_Configuration'!J367)</f>
        <v/>
      </c>
      <c r="O366" s="21" t="str">
        <f>IF('12 - Device_Configuration'!K367="","",'12 - Device_Configuration'!K367)</f>
        <v/>
      </c>
      <c r="P366" s="21" t="str">
        <f>IF('12 - Device_Configuration'!L367="","",'12 - Device_Configuration'!L367)</f>
        <v/>
      </c>
      <c r="Q366" s="22"/>
      <c r="R366" s="21" t="str">
        <f>IF('12 - Device_Configuration'!AY367="","",'12 - Device_Configuration'!AY367)</f>
        <v/>
      </c>
      <c r="S366" s="21" t="str">
        <f>IF('12 - Device_Configuration'!AX367="","",'12 - Device_Configuration'!AX367)</f>
        <v/>
      </c>
      <c r="T366" s="21" t="str">
        <f>IF('12 - Device_Configuration'!AV367="","",'12 - Device_Configuration'!AV367)</f>
        <v/>
      </c>
      <c r="U366" s="21" t="str">
        <f>IF('12 - Device_Configuration'!AW367="","",'12 - Device_Configuration'!AW367)</f>
        <v/>
      </c>
      <c r="V366" s="21" t="str">
        <f>IF('12 - Device_Configuration'!BA367="","",'12 - Device_Configuration'!BA367)</f>
        <v/>
      </c>
      <c r="W366" s="21" t="str">
        <f>IF('12 - Device_Configuration'!BC367="","",'12 - Device_Configuration'!BC367)</f>
        <v/>
      </c>
      <c r="X366" s="21" t="str">
        <f>IF('12 - Device_Configuration'!BK367="","",'12 - Device_Configuration'!BK367)</f>
        <v/>
      </c>
      <c r="Y366" s="21" t="str">
        <f>IF('12 - Device_Configuration'!BB367="","",'12 - Device_Configuration'!BB367)</f>
        <v/>
      </c>
      <c r="Z366" s="21" t="str">
        <f>IF('12 - Device_Configuration'!P367="","",'12 - Device_Configuration'!P367)</f>
        <v/>
      </c>
      <c r="AA366" s="21" t="str">
        <f>IF('12 - Device_Configuration'!Q367="","",'12 - Device_Configuration'!Q367)</f>
        <v/>
      </c>
    </row>
    <row r="367" spans="1:27">
      <c r="A367" s="22"/>
      <c r="B367" s="22"/>
      <c r="C367" s="21" t="str">
        <f>IF('12 - Device_Configuration'!H368="","",'12 - Device_Configuration'!H368)</f>
        <v/>
      </c>
      <c r="D367" s="21" t="str">
        <f>IF('12 - Device_Configuration'!AE368="","",'12 - Device_Configuration'!AE368)</f>
        <v/>
      </c>
      <c r="E367" s="21" t="str">
        <f>IF('12 - Device_Configuration'!AF368="","",'12 - Device_Configuration'!AF368)</f>
        <v/>
      </c>
      <c r="F367" s="21" t="str">
        <f>IF('12 - Device_Configuration'!AG368="","",'12 - Device_Configuration'!AG368)</f>
        <v/>
      </c>
      <c r="G367" s="21" t="str">
        <f>IF('12 - Device_Configuration'!AH368="","",'12 - Device_Configuration'!AH368)</f>
        <v/>
      </c>
      <c r="H367" s="21" t="str">
        <f>IF('12 - Device_Configuration'!A368="","",'12 - Device_Configuration'!A368)</f>
        <v/>
      </c>
      <c r="I367" s="21" t="str">
        <f>IF('12 - Device_Configuration'!AI368="","",'12 - Device_Configuration'!AI368)</f>
        <v/>
      </c>
      <c r="J367" s="21" t="str">
        <f>IF('12 - Device_Configuration'!AJ368="","",'12 - Device_Configuration'!AJ368)</f>
        <v/>
      </c>
      <c r="K367" s="21" t="str">
        <f>IF('12 - Device_Configuration'!AA368="","",'12 - Device_Configuration'!AA368)</f>
        <v/>
      </c>
      <c r="L367" s="21" t="str">
        <f>IF('12 - Device_Configuration'!I368="","",'12 - Device_Configuration'!I368)</f>
        <v/>
      </c>
      <c r="M367" s="22"/>
      <c r="N367" s="21" t="str">
        <f>IF('12 - Device_Configuration'!J368="","",'12 - Device_Configuration'!J368)</f>
        <v/>
      </c>
      <c r="O367" s="21" t="str">
        <f>IF('12 - Device_Configuration'!K368="","",'12 - Device_Configuration'!K368)</f>
        <v/>
      </c>
      <c r="P367" s="21" t="str">
        <f>IF('12 - Device_Configuration'!L368="","",'12 - Device_Configuration'!L368)</f>
        <v/>
      </c>
      <c r="Q367" s="22"/>
      <c r="R367" s="21" t="str">
        <f>IF('12 - Device_Configuration'!AY368="","",'12 - Device_Configuration'!AY368)</f>
        <v/>
      </c>
      <c r="S367" s="21" t="str">
        <f>IF('12 - Device_Configuration'!AX368="","",'12 - Device_Configuration'!AX368)</f>
        <v/>
      </c>
      <c r="T367" s="21" t="str">
        <f>IF('12 - Device_Configuration'!AV368="","",'12 - Device_Configuration'!AV368)</f>
        <v/>
      </c>
      <c r="U367" s="21" t="str">
        <f>IF('12 - Device_Configuration'!AW368="","",'12 - Device_Configuration'!AW368)</f>
        <v/>
      </c>
      <c r="V367" s="21" t="str">
        <f>IF('12 - Device_Configuration'!BA368="","",'12 - Device_Configuration'!BA368)</f>
        <v/>
      </c>
      <c r="W367" s="21" t="str">
        <f>IF('12 - Device_Configuration'!BC368="","",'12 - Device_Configuration'!BC368)</f>
        <v/>
      </c>
      <c r="X367" s="21" t="str">
        <f>IF('12 - Device_Configuration'!BK368="","",'12 - Device_Configuration'!BK368)</f>
        <v/>
      </c>
      <c r="Y367" s="21" t="str">
        <f>IF('12 - Device_Configuration'!BB368="","",'12 - Device_Configuration'!BB368)</f>
        <v/>
      </c>
      <c r="Z367" s="21" t="str">
        <f>IF('12 - Device_Configuration'!P368="","",'12 - Device_Configuration'!P368)</f>
        <v/>
      </c>
      <c r="AA367" s="21" t="str">
        <f>IF('12 - Device_Configuration'!Q368="","",'12 - Device_Configuration'!Q368)</f>
        <v/>
      </c>
    </row>
    <row r="368" spans="1:27">
      <c r="A368" s="22"/>
      <c r="B368" s="22"/>
      <c r="C368" s="21" t="str">
        <f>IF('12 - Device_Configuration'!H369="","",'12 - Device_Configuration'!H369)</f>
        <v/>
      </c>
      <c r="D368" s="21" t="str">
        <f>IF('12 - Device_Configuration'!AE369="","",'12 - Device_Configuration'!AE369)</f>
        <v/>
      </c>
      <c r="E368" s="21" t="str">
        <f>IF('12 - Device_Configuration'!AF369="","",'12 - Device_Configuration'!AF369)</f>
        <v/>
      </c>
      <c r="F368" s="21" t="str">
        <f>IF('12 - Device_Configuration'!AG369="","",'12 - Device_Configuration'!AG369)</f>
        <v/>
      </c>
      <c r="G368" s="21" t="str">
        <f>IF('12 - Device_Configuration'!AH369="","",'12 - Device_Configuration'!AH369)</f>
        <v/>
      </c>
      <c r="H368" s="21" t="str">
        <f>IF('12 - Device_Configuration'!A369="","",'12 - Device_Configuration'!A369)</f>
        <v/>
      </c>
      <c r="I368" s="21" t="str">
        <f>IF('12 - Device_Configuration'!AI369="","",'12 - Device_Configuration'!AI369)</f>
        <v/>
      </c>
      <c r="J368" s="21" t="str">
        <f>IF('12 - Device_Configuration'!AJ369="","",'12 - Device_Configuration'!AJ369)</f>
        <v/>
      </c>
      <c r="K368" s="21" t="str">
        <f>IF('12 - Device_Configuration'!AA369="","",'12 - Device_Configuration'!AA369)</f>
        <v/>
      </c>
      <c r="L368" s="21" t="str">
        <f>IF('12 - Device_Configuration'!I369="","",'12 - Device_Configuration'!I369)</f>
        <v/>
      </c>
      <c r="M368" s="22"/>
      <c r="N368" s="21" t="str">
        <f>IF('12 - Device_Configuration'!J369="","",'12 - Device_Configuration'!J369)</f>
        <v/>
      </c>
      <c r="O368" s="21" t="str">
        <f>IF('12 - Device_Configuration'!K369="","",'12 - Device_Configuration'!K369)</f>
        <v/>
      </c>
      <c r="P368" s="21" t="str">
        <f>IF('12 - Device_Configuration'!L369="","",'12 - Device_Configuration'!L369)</f>
        <v/>
      </c>
      <c r="Q368" s="22"/>
      <c r="R368" s="21" t="str">
        <f>IF('12 - Device_Configuration'!AY369="","",'12 - Device_Configuration'!AY369)</f>
        <v/>
      </c>
      <c r="S368" s="21" t="str">
        <f>IF('12 - Device_Configuration'!AX369="","",'12 - Device_Configuration'!AX369)</f>
        <v/>
      </c>
      <c r="T368" s="21" t="str">
        <f>IF('12 - Device_Configuration'!AV369="","",'12 - Device_Configuration'!AV369)</f>
        <v/>
      </c>
      <c r="U368" s="21" t="str">
        <f>IF('12 - Device_Configuration'!AW369="","",'12 - Device_Configuration'!AW369)</f>
        <v/>
      </c>
      <c r="V368" s="21" t="str">
        <f>IF('12 - Device_Configuration'!BA369="","",'12 - Device_Configuration'!BA369)</f>
        <v/>
      </c>
      <c r="W368" s="21" t="str">
        <f>IF('12 - Device_Configuration'!BC369="","",'12 - Device_Configuration'!BC369)</f>
        <v/>
      </c>
      <c r="X368" s="21" t="str">
        <f>IF('12 - Device_Configuration'!BK369="","",'12 - Device_Configuration'!BK369)</f>
        <v/>
      </c>
      <c r="Y368" s="21" t="str">
        <f>IF('12 - Device_Configuration'!BB369="","",'12 - Device_Configuration'!BB369)</f>
        <v/>
      </c>
      <c r="Z368" s="21" t="str">
        <f>IF('12 - Device_Configuration'!P369="","",'12 - Device_Configuration'!P369)</f>
        <v/>
      </c>
      <c r="AA368" s="21" t="str">
        <f>IF('12 - Device_Configuration'!Q369="","",'12 - Device_Configuration'!Q369)</f>
        <v/>
      </c>
    </row>
    <row r="369" spans="1:27">
      <c r="A369" s="22"/>
      <c r="B369" s="22"/>
      <c r="C369" s="21" t="str">
        <f>IF('12 - Device_Configuration'!H370="","",'12 - Device_Configuration'!H370)</f>
        <v/>
      </c>
      <c r="D369" s="21" t="str">
        <f>IF('12 - Device_Configuration'!AE370="","",'12 - Device_Configuration'!AE370)</f>
        <v/>
      </c>
      <c r="E369" s="21" t="str">
        <f>IF('12 - Device_Configuration'!AF370="","",'12 - Device_Configuration'!AF370)</f>
        <v/>
      </c>
      <c r="F369" s="21" t="str">
        <f>IF('12 - Device_Configuration'!AG370="","",'12 - Device_Configuration'!AG370)</f>
        <v/>
      </c>
      <c r="G369" s="21" t="str">
        <f>IF('12 - Device_Configuration'!AH370="","",'12 - Device_Configuration'!AH370)</f>
        <v/>
      </c>
      <c r="H369" s="21" t="str">
        <f>IF('12 - Device_Configuration'!A370="","",'12 - Device_Configuration'!A370)</f>
        <v/>
      </c>
      <c r="I369" s="21" t="str">
        <f>IF('12 - Device_Configuration'!AI370="","",'12 - Device_Configuration'!AI370)</f>
        <v/>
      </c>
      <c r="J369" s="21" t="str">
        <f>IF('12 - Device_Configuration'!AJ370="","",'12 - Device_Configuration'!AJ370)</f>
        <v/>
      </c>
      <c r="K369" s="21" t="str">
        <f>IF('12 - Device_Configuration'!AA370="","",'12 - Device_Configuration'!AA370)</f>
        <v/>
      </c>
      <c r="L369" s="21" t="str">
        <f>IF('12 - Device_Configuration'!I370="","",'12 - Device_Configuration'!I370)</f>
        <v/>
      </c>
      <c r="M369" s="22"/>
      <c r="N369" s="21" t="str">
        <f>IF('12 - Device_Configuration'!J370="","",'12 - Device_Configuration'!J370)</f>
        <v/>
      </c>
      <c r="O369" s="21" t="str">
        <f>IF('12 - Device_Configuration'!K370="","",'12 - Device_Configuration'!K370)</f>
        <v/>
      </c>
      <c r="P369" s="21" t="str">
        <f>IF('12 - Device_Configuration'!L370="","",'12 - Device_Configuration'!L370)</f>
        <v/>
      </c>
      <c r="Q369" s="22"/>
      <c r="R369" s="21" t="str">
        <f>IF('12 - Device_Configuration'!AY370="","",'12 - Device_Configuration'!AY370)</f>
        <v/>
      </c>
      <c r="S369" s="21" t="str">
        <f>IF('12 - Device_Configuration'!AX370="","",'12 - Device_Configuration'!AX370)</f>
        <v/>
      </c>
      <c r="T369" s="21" t="str">
        <f>IF('12 - Device_Configuration'!AV370="","",'12 - Device_Configuration'!AV370)</f>
        <v/>
      </c>
      <c r="U369" s="21" t="str">
        <f>IF('12 - Device_Configuration'!AW370="","",'12 - Device_Configuration'!AW370)</f>
        <v/>
      </c>
      <c r="V369" s="21" t="str">
        <f>IF('12 - Device_Configuration'!BA370="","",'12 - Device_Configuration'!BA370)</f>
        <v/>
      </c>
      <c r="W369" s="21" t="str">
        <f>IF('12 - Device_Configuration'!BC370="","",'12 - Device_Configuration'!BC370)</f>
        <v/>
      </c>
      <c r="X369" s="21" t="str">
        <f>IF('12 - Device_Configuration'!BK370="","",'12 - Device_Configuration'!BK370)</f>
        <v/>
      </c>
      <c r="Y369" s="21" t="str">
        <f>IF('12 - Device_Configuration'!BB370="","",'12 - Device_Configuration'!BB370)</f>
        <v/>
      </c>
      <c r="Z369" s="21" t="str">
        <f>IF('12 - Device_Configuration'!P370="","",'12 - Device_Configuration'!P370)</f>
        <v/>
      </c>
      <c r="AA369" s="21" t="str">
        <f>IF('12 - Device_Configuration'!Q370="","",'12 - Device_Configuration'!Q370)</f>
        <v/>
      </c>
    </row>
    <row r="370" spans="1:27">
      <c r="A370" s="22"/>
      <c r="B370" s="22"/>
      <c r="C370" s="21" t="str">
        <f>IF('12 - Device_Configuration'!H371="","",'12 - Device_Configuration'!H371)</f>
        <v/>
      </c>
      <c r="D370" s="21" t="str">
        <f>IF('12 - Device_Configuration'!AE371="","",'12 - Device_Configuration'!AE371)</f>
        <v/>
      </c>
      <c r="E370" s="21" t="str">
        <f>IF('12 - Device_Configuration'!AF371="","",'12 - Device_Configuration'!AF371)</f>
        <v/>
      </c>
      <c r="F370" s="21" t="str">
        <f>IF('12 - Device_Configuration'!AG371="","",'12 - Device_Configuration'!AG371)</f>
        <v/>
      </c>
      <c r="G370" s="21" t="str">
        <f>IF('12 - Device_Configuration'!AH371="","",'12 - Device_Configuration'!AH371)</f>
        <v/>
      </c>
      <c r="H370" s="21" t="str">
        <f>IF('12 - Device_Configuration'!A371="","",'12 - Device_Configuration'!A371)</f>
        <v/>
      </c>
      <c r="I370" s="21" t="str">
        <f>IF('12 - Device_Configuration'!AI371="","",'12 - Device_Configuration'!AI371)</f>
        <v/>
      </c>
      <c r="J370" s="21" t="str">
        <f>IF('12 - Device_Configuration'!AJ371="","",'12 - Device_Configuration'!AJ371)</f>
        <v/>
      </c>
      <c r="K370" s="21" t="str">
        <f>IF('12 - Device_Configuration'!AA371="","",'12 - Device_Configuration'!AA371)</f>
        <v/>
      </c>
      <c r="L370" s="21" t="str">
        <f>IF('12 - Device_Configuration'!I371="","",'12 - Device_Configuration'!I371)</f>
        <v/>
      </c>
      <c r="M370" s="22"/>
      <c r="N370" s="21" t="str">
        <f>IF('12 - Device_Configuration'!J371="","",'12 - Device_Configuration'!J371)</f>
        <v/>
      </c>
      <c r="O370" s="21" t="str">
        <f>IF('12 - Device_Configuration'!K371="","",'12 - Device_Configuration'!K371)</f>
        <v/>
      </c>
      <c r="P370" s="21" t="str">
        <f>IF('12 - Device_Configuration'!L371="","",'12 - Device_Configuration'!L371)</f>
        <v/>
      </c>
      <c r="Q370" s="22"/>
      <c r="R370" s="21" t="str">
        <f>IF('12 - Device_Configuration'!AY371="","",'12 - Device_Configuration'!AY371)</f>
        <v/>
      </c>
      <c r="S370" s="21" t="str">
        <f>IF('12 - Device_Configuration'!AX371="","",'12 - Device_Configuration'!AX371)</f>
        <v/>
      </c>
      <c r="T370" s="21" t="str">
        <f>IF('12 - Device_Configuration'!AV371="","",'12 - Device_Configuration'!AV371)</f>
        <v/>
      </c>
      <c r="U370" s="21" t="str">
        <f>IF('12 - Device_Configuration'!AW371="","",'12 - Device_Configuration'!AW371)</f>
        <v/>
      </c>
      <c r="V370" s="21" t="str">
        <f>IF('12 - Device_Configuration'!BA371="","",'12 - Device_Configuration'!BA371)</f>
        <v/>
      </c>
      <c r="W370" s="21" t="str">
        <f>IF('12 - Device_Configuration'!BC371="","",'12 - Device_Configuration'!BC371)</f>
        <v/>
      </c>
      <c r="X370" s="21" t="str">
        <f>IF('12 - Device_Configuration'!BK371="","",'12 - Device_Configuration'!BK371)</f>
        <v/>
      </c>
      <c r="Y370" s="21" t="str">
        <f>IF('12 - Device_Configuration'!BB371="","",'12 - Device_Configuration'!BB371)</f>
        <v/>
      </c>
      <c r="Z370" s="21" t="str">
        <f>IF('12 - Device_Configuration'!P371="","",'12 - Device_Configuration'!P371)</f>
        <v/>
      </c>
      <c r="AA370" s="21" t="str">
        <f>IF('12 - Device_Configuration'!Q371="","",'12 - Device_Configuration'!Q371)</f>
        <v/>
      </c>
    </row>
    <row r="371" spans="1:27">
      <c r="A371" s="22"/>
      <c r="B371" s="22"/>
      <c r="C371" s="21" t="str">
        <f>IF('12 - Device_Configuration'!H372="","",'12 - Device_Configuration'!H372)</f>
        <v/>
      </c>
      <c r="D371" s="21" t="str">
        <f>IF('12 - Device_Configuration'!AE372="","",'12 - Device_Configuration'!AE372)</f>
        <v/>
      </c>
      <c r="E371" s="21" t="str">
        <f>IF('12 - Device_Configuration'!AF372="","",'12 - Device_Configuration'!AF372)</f>
        <v/>
      </c>
      <c r="F371" s="21" t="str">
        <f>IF('12 - Device_Configuration'!AG372="","",'12 - Device_Configuration'!AG372)</f>
        <v/>
      </c>
      <c r="G371" s="21" t="str">
        <f>IF('12 - Device_Configuration'!AH372="","",'12 - Device_Configuration'!AH372)</f>
        <v/>
      </c>
      <c r="H371" s="21" t="str">
        <f>IF('12 - Device_Configuration'!A372="","",'12 - Device_Configuration'!A372)</f>
        <v/>
      </c>
      <c r="I371" s="21" t="str">
        <f>IF('12 - Device_Configuration'!AI372="","",'12 - Device_Configuration'!AI372)</f>
        <v/>
      </c>
      <c r="J371" s="21" t="str">
        <f>IF('12 - Device_Configuration'!AJ372="","",'12 - Device_Configuration'!AJ372)</f>
        <v/>
      </c>
      <c r="K371" s="21" t="str">
        <f>IF('12 - Device_Configuration'!AA372="","",'12 - Device_Configuration'!AA372)</f>
        <v/>
      </c>
      <c r="L371" s="21" t="str">
        <f>IF('12 - Device_Configuration'!I372="","",'12 - Device_Configuration'!I372)</f>
        <v/>
      </c>
      <c r="M371" s="22"/>
      <c r="N371" s="21" t="str">
        <f>IF('12 - Device_Configuration'!J372="","",'12 - Device_Configuration'!J372)</f>
        <v/>
      </c>
      <c r="O371" s="21" t="str">
        <f>IF('12 - Device_Configuration'!K372="","",'12 - Device_Configuration'!K372)</f>
        <v/>
      </c>
      <c r="P371" s="21" t="str">
        <f>IF('12 - Device_Configuration'!L372="","",'12 - Device_Configuration'!L372)</f>
        <v/>
      </c>
      <c r="Q371" s="22"/>
      <c r="R371" s="21" t="str">
        <f>IF('12 - Device_Configuration'!AY372="","",'12 - Device_Configuration'!AY372)</f>
        <v/>
      </c>
      <c r="S371" s="21" t="str">
        <f>IF('12 - Device_Configuration'!AX372="","",'12 - Device_Configuration'!AX372)</f>
        <v/>
      </c>
      <c r="T371" s="21" t="str">
        <f>IF('12 - Device_Configuration'!AV372="","",'12 - Device_Configuration'!AV372)</f>
        <v/>
      </c>
      <c r="U371" s="21" t="str">
        <f>IF('12 - Device_Configuration'!AW372="","",'12 - Device_Configuration'!AW372)</f>
        <v/>
      </c>
      <c r="V371" s="21" t="str">
        <f>IF('12 - Device_Configuration'!BA372="","",'12 - Device_Configuration'!BA372)</f>
        <v/>
      </c>
      <c r="W371" s="21" t="str">
        <f>IF('12 - Device_Configuration'!BC372="","",'12 - Device_Configuration'!BC372)</f>
        <v/>
      </c>
      <c r="X371" s="21" t="str">
        <f>IF('12 - Device_Configuration'!BK372="","",'12 - Device_Configuration'!BK372)</f>
        <v/>
      </c>
      <c r="Y371" s="21" t="str">
        <f>IF('12 - Device_Configuration'!BB372="","",'12 - Device_Configuration'!BB372)</f>
        <v/>
      </c>
      <c r="Z371" s="21" t="str">
        <f>IF('12 - Device_Configuration'!P372="","",'12 - Device_Configuration'!P372)</f>
        <v/>
      </c>
      <c r="AA371" s="21" t="str">
        <f>IF('12 - Device_Configuration'!Q372="","",'12 - Device_Configuration'!Q372)</f>
        <v/>
      </c>
    </row>
    <row r="372" spans="1:27">
      <c r="A372" s="22"/>
      <c r="B372" s="22"/>
      <c r="C372" s="21" t="str">
        <f>IF('12 - Device_Configuration'!H373="","",'12 - Device_Configuration'!H373)</f>
        <v/>
      </c>
      <c r="D372" s="21" t="str">
        <f>IF('12 - Device_Configuration'!AE373="","",'12 - Device_Configuration'!AE373)</f>
        <v/>
      </c>
      <c r="E372" s="21" t="str">
        <f>IF('12 - Device_Configuration'!AF373="","",'12 - Device_Configuration'!AF373)</f>
        <v/>
      </c>
      <c r="F372" s="21" t="str">
        <f>IF('12 - Device_Configuration'!AG373="","",'12 - Device_Configuration'!AG373)</f>
        <v/>
      </c>
      <c r="G372" s="21" t="str">
        <f>IF('12 - Device_Configuration'!AH373="","",'12 - Device_Configuration'!AH373)</f>
        <v/>
      </c>
      <c r="H372" s="21" t="str">
        <f>IF('12 - Device_Configuration'!A373="","",'12 - Device_Configuration'!A373)</f>
        <v/>
      </c>
      <c r="I372" s="21" t="str">
        <f>IF('12 - Device_Configuration'!AI373="","",'12 - Device_Configuration'!AI373)</f>
        <v/>
      </c>
      <c r="J372" s="21" t="str">
        <f>IF('12 - Device_Configuration'!AJ373="","",'12 - Device_Configuration'!AJ373)</f>
        <v/>
      </c>
      <c r="K372" s="21" t="str">
        <f>IF('12 - Device_Configuration'!AA373="","",'12 - Device_Configuration'!AA373)</f>
        <v/>
      </c>
      <c r="L372" s="21" t="str">
        <f>IF('12 - Device_Configuration'!I373="","",'12 - Device_Configuration'!I373)</f>
        <v/>
      </c>
      <c r="M372" s="22"/>
      <c r="N372" s="21" t="str">
        <f>IF('12 - Device_Configuration'!J373="","",'12 - Device_Configuration'!J373)</f>
        <v/>
      </c>
      <c r="O372" s="21" t="str">
        <f>IF('12 - Device_Configuration'!K373="","",'12 - Device_Configuration'!K373)</f>
        <v/>
      </c>
      <c r="P372" s="21" t="str">
        <f>IF('12 - Device_Configuration'!L373="","",'12 - Device_Configuration'!L373)</f>
        <v/>
      </c>
      <c r="Q372" s="22"/>
      <c r="R372" s="21" t="str">
        <f>IF('12 - Device_Configuration'!AY373="","",'12 - Device_Configuration'!AY373)</f>
        <v/>
      </c>
      <c r="S372" s="21" t="str">
        <f>IF('12 - Device_Configuration'!AX373="","",'12 - Device_Configuration'!AX373)</f>
        <v/>
      </c>
      <c r="T372" s="21" t="str">
        <f>IF('12 - Device_Configuration'!AV373="","",'12 - Device_Configuration'!AV373)</f>
        <v/>
      </c>
      <c r="U372" s="21" t="str">
        <f>IF('12 - Device_Configuration'!AW373="","",'12 - Device_Configuration'!AW373)</f>
        <v/>
      </c>
      <c r="V372" s="21" t="str">
        <f>IF('12 - Device_Configuration'!BA373="","",'12 - Device_Configuration'!BA373)</f>
        <v/>
      </c>
      <c r="W372" s="21" t="str">
        <f>IF('12 - Device_Configuration'!BC373="","",'12 - Device_Configuration'!BC373)</f>
        <v/>
      </c>
      <c r="X372" s="21" t="str">
        <f>IF('12 - Device_Configuration'!BK373="","",'12 - Device_Configuration'!BK373)</f>
        <v/>
      </c>
      <c r="Y372" s="21" t="str">
        <f>IF('12 - Device_Configuration'!BB373="","",'12 - Device_Configuration'!BB373)</f>
        <v/>
      </c>
      <c r="Z372" s="21" t="str">
        <f>IF('12 - Device_Configuration'!P373="","",'12 - Device_Configuration'!P373)</f>
        <v/>
      </c>
      <c r="AA372" s="21" t="str">
        <f>IF('12 - Device_Configuration'!Q373="","",'12 - Device_Configuration'!Q373)</f>
        <v/>
      </c>
    </row>
    <row r="373" spans="1:27">
      <c r="A373" s="22"/>
      <c r="B373" s="22"/>
      <c r="C373" s="21" t="str">
        <f>IF('12 - Device_Configuration'!H374="","",'12 - Device_Configuration'!H374)</f>
        <v/>
      </c>
      <c r="D373" s="21" t="str">
        <f>IF('12 - Device_Configuration'!AE374="","",'12 - Device_Configuration'!AE374)</f>
        <v/>
      </c>
      <c r="E373" s="21" t="str">
        <f>IF('12 - Device_Configuration'!AF374="","",'12 - Device_Configuration'!AF374)</f>
        <v/>
      </c>
      <c r="F373" s="21" t="str">
        <f>IF('12 - Device_Configuration'!AG374="","",'12 - Device_Configuration'!AG374)</f>
        <v/>
      </c>
      <c r="G373" s="21" t="str">
        <f>IF('12 - Device_Configuration'!AH374="","",'12 - Device_Configuration'!AH374)</f>
        <v/>
      </c>
      <c r="H373" s="21" t="str">
        <f>IF('12 - Device_Configuration'!A374="","",'12 - Device_Configuration'!A374)</f>
        <v/>
      </c>
      <c r="I373" s="21" t="str">
        <f>IF('12 - Device_Configuration'!AI374="","",'12 - Device_Configuration'!AI374)</f>
        <v/>
      </c>
      <c r="J373" s="21" t="str">
        <f>IF('12 - Device_Configuration'!AJ374="","",'12 - Device_Configuration'!AJ374)</f>
        <v/>
      </c>
      <c r="K373" s="21" t="str">
        <f>IF('12 - Device_Configuration'!AA374="","",'12 - Device_Configuration'!AA374)</f>
        <v/>
      </c>
      <c r="L373" s="21" t="str">
        <f>IF('12 - Device_Configuration'!I374="","",'12 - Device_Configuration'!I374)</f>
        <v/>
      </c>
      <c r="M373" s="22"/>
      <c r="N373" s="21" t="str">
        <f>IF('12 - Device_Configuration'!J374="","",'12 - Device_Configuration'!J374)</f>
        <v/>
      </c>
      <c r="O373" s="21" t="str">
        <f>IF('12 - Device_Configuration'!K374="","",'12 - Device_Configuration'!K374)</f>
        <v/>
      </c>
      <c r="P373" s="21" t="str">
        <f>IF('12 - Device_Configuration'!L374="","",'12 - Device_Configuration'!L374)</f>
        <v/>
      </c>
      <c r="Q373" s="22"/>
      <c r="R373" s="21" t="str">
        <f>IF('12 - Device_Configuration'!AY374="","",'12 - Device_Configuration'!AY374)</f>
        <v/>
      </c>
      <c r="S373" s="21" t="str">
        <f>IF('12 - Device_Configuration'!AX374="","",'12 - Device_Configuration'!AX374)</f>
        <v/>
      </c>
      <c r="T373" s="21" t="str">
        <f>IF('12 - Device_Configuration'!AV374="","",'12 - Device_Configuration'!AV374)</f>
        <v/>
      </c>
      <c r="U373" s="21" t="str">
        <f>IF('12 - Device_Configuration'!AW374="","",'12 - Device_Configuration'!AW374)</f>
        <v/>
      </c>
      <c r="V373" s="21" t="str">
        <f>IF('12 - Device_Configuration'!BA374="","",'12 - Device_Configuration'!BA374)</f>
        <v/>
      </c>
      <c r="W373" s="21" t="str">
        <f>IF('12 - Device_Configuration'!BC374="","",'12 - Device_Configuration'!BC374)</f>
        <v/>
      </c>
      <c r="X373" s="21" t="str">
        <f>IF('12 - Device_Configuration'!BK374="","",'12 - Device_Configuration'!BK374)</f>
        <v/>
      </c>
      <c r="Y373" s="21" t="str">
        <f>IF('12 - Device_Configuration'!BB374="","",'12 - Device_Configuration'!BB374)</f>
        <v/>
      </c>
      <c r="Z373" s="21" t="str">
        <f>IF('12 - Device_Configuration'!P374="","",'12 - Device_Configuration'!P374)</f>
        <v/>
      </c>
      <c r="AA373" s="21" t="str">
        <f>IF('12 - Device_Configuration'!Q374="","",'12 - Device_Configuration'!Q374)</f>
        <v/>
      </c>
    </row>
    <row r="374" spans="1:27">
      <c r="A374" s="22"/>
      <c r="B374" s="22"/>
      <c r="C374" s="21" t="str">
        <f>IF('12 - Device_Configuration'!H375="","",'12 - Device_Configuration'!H375)</f>
        <v/>
      </c>
      <c r="D374" s="21" t="str">
        <f>IF('12 - Device_Configuration'!AE375="","",'12 - Device_Configuration'!AE375)</f>
        <v/>
      </c>
      <c r="E374" s="21" t="str">
        <f>IF('12 - Device_Configuration'!AF375="","",'12 - Device_Configuration'!AF375)</f>
        <v/>
      </c>
      <c r="F374" s="21" t="str">
        <f>IF('12 - Device_Configuration'!AG375="","",'12 - Device_Configuration'!AG375)</f>
        <v/>
      </c>
      <c r="G374" s="21" t="str">
        <f>IF('12 - Device_Configuration'!AH375="","",'12 - Device_Configuration'!AH375)</f>
        <v/>
      </c>
      <c r="H374" s="21" t="str">
        <f>IF('12 - Device_Configuration'!A375="","",'12 - Device_Configuration'!A375)</f>
        <v/>
      </c>
      <c r="I374" s="21" t="str">
        <f>IF('12 - Device_Configuration'!AI375="","",'12 - Device_Configuration'!AI375)</f>
        <v/>
      </c>
      <c r="J374" s="21" t="str">
        <f>IF('12 - Device_Configuration'!AJ375="","",'12 - Device_Configuration'!AJ375)</f>
        <v/>
      </c>
      <c r="K374" s="21" t="str">
        <f>IF('12 - Device_Configuration'!AA375="","",'12 - Device_Configuration'!AA375)</f>
        <v/>
      </c>
      <c r="L374" s="21" t="str">
        <f>IF('12 - Device_Configuration'!I375="","",'12 - Device_Configuration'!I375)</f>
        <v/>
      </c>
      <c r="M374" s="22"/>
      <c r="N374" s="21" t="str">
        <f>IF('12 - Device_Configuration'!J375="","",'12 - Device_Configuration'!J375)</f>
        <v/>
      </c>
      <c r="O374" s="21" t="str">
        <f>IF('12 - Device_Configuration'!K375="","",'12 - Device_Configuration'!K375)</f>
        <v/>
      </c>
      <c r="P374" s="21" t="str">
        <f>IF('12 - Device_Configuration'!L375="","",'12 - Device_Configuration'!L375)</f>
        <v/>
      </c>
      <c r="Q374" s="22"/>
      <c r="R374" s="21" t="str">
        <f>IF('12 - Device_Configuration'!AY375="","",'12 - Device_Configuration'!AY375)</f>
        <v/>
      </c>
      <c r="S374" s="21" t="str">
        <f>IF('12 - Device_Configuration'!AX375="","",'12 - Device_Configuration'!AX375)</f>
        <v/>
      </c>
      <c r="T374" s="21" t="str">
        <f>IF('12 - Device_Configuration'!AV375="","",'12 - Device_Configuration'!AV375)</f>
        <v/>
      </c>
      <c r="U374" s="21" t="str">
        <f>IF('12 - Device_Configuration'!AW375="","",'12 - Device_Configuration'!AW375)</f>
        <v/>
      </c>
      <c r="V374" s="21" t="str">
        <f>IF('12 - Device_Configuration'!BA375="","",'12 - Device_Configuration'!BA375)</f>
        <v/>
      </c>
      <c r="W374" s="21" t="str">
        <f>IF('12 - Device_Configuration'!BC375="","",'12 - Device_Configuration'!BC375)</f>
        <v/>
      </c>
      <c r="X374" s="21" t="str">
        <f>IF('12 - Device_Configuration'!BK375="","",'12 - Device_Configuration'!BK375)</f>
        <v/>
      </c>
      <c r="Y374" s="21" t="str">
        <f>IF('12 - Device_Configuration'!BB375="","",'12 - Device_Configuration'!BB375)</f>
        <v/>
      </c>
      <c r="Z374" s="21" t="str">
        <f>IF('12 - Device_Configuration'!P375="","",'12 - Device_Configuration'!P375)</f>
        <v/>
      </c>
      <c r="AA374" s="21" t="str">
        <f>IF('12 - Device_Configuration'!Q375="","",'12 - Device_Configuration'!Q375)</f>
        <v/>
      </c>
    </row>
    <row r="375" spans="1:27">
      <c r="A375" s="22"/>
      <c r="B375" s="22"/>
      <c r="C375" s="21" t="str">
        <f>IF('12 - Device_Configuration'!H376="","",'12 - Device_Configuration'!H376)</f>
        <v/>
      </c>
      <c r="D375" s="21" t="str">
        <f>IF('12 - Device_Configuration'!AE376="","",'12 - Device_Configuration'!AE376)</f>
        <v/>
      </c>
      <c r="E375" s="21" t="str">
        <f>IF('12 - Device_Configuration'!AF376="","",'12 - Device_Configuration'!AF376)</f>
        <v/>
      </c>
      <c r="F375" s="21" t="str">
        <f>IF('12 - Device_Configuration'!AG376="","",'12 - Device_Configuration'!AG376)</f>
        <v/>
      </c>
      <c r="G375" s="21" t="str">
        <f>IF('12 - Device_Configuration'!AH376="","",'12 - Device_Configuration'!AH376)</f>
        <v/>
      </c>
      <c r="H375" s="21" t="str">
        <f>IF('12 - Device_Configuration'!A376="","",'12 - Device_Configuration'!A376)</f>
        <v/>
      </c>
      <c r="I375" s="21" t="str">
        <f>IF('12 - Device_Configuration'!AI376="","",'12 - Device_Configuration'!AI376)</f>
        <v/>
      </c>
      <c r="J375" s="21" t="str">
        <f>IF('12 - Device_Configuration'!AJ376="","",'12 - Device_Configuration'!AJ376)</f>
        <v/>
      </c>
      <c r="K375" s="21" t="str">
        <f>IF('12 - Device_Configuration'!AA376="","",'12 - Device_Configuration'!AA376)</f>
        <v/>
      </c>
      <c r="L375" s="21" t="str">
        <f>IF('12 - Device_Configuration'!I376="","",'12 - Device_Configuration'!I376)</f>
        <v/>
      </c>
      <c r="M375" s="22"/>
      <c r="N375" s="21" t="str">
        <f>IF('12 - Device_Configuration'!J376="","",'12 - Device_Configuration'!J376)</f>
        <v/>
      </c>
      <c r="O375" s="21" t="str">
        <f>IF('12 - Device_Configuration'!K376="","",'12 - Device_Configuration'!K376)</f>
        <v/>
      </c>
      <c r="P375" s="21" t="str">
        <f>IF('12 - Device_Configuration'!L376="","",'12 - Device_Configuration'!L376)</f>
        <v/>
      </c>
      <c r="Q375" s="22"/>
      <c r="R375" s="21" t="str">
        <f>IF('12 - Device_Configuration'!AY376="","",'12 - Device_Configuration'!AY376)</f>
        <v/>
      </c>
      <c r="S375" s="21" t="str">
        <f>IF('12 - Device_Configuration'!AX376="","",'12 - Device_Configuration'!AX376)</f>
        <v/>
      </c>
      <c r="T375" s="21" t="str">
        <f>IF('12 - Device_Configuration'!AV376="","",'12 - Device_Configuration'!AV376)</f>
        <v/>
      </c>
      <c r="U375" s="21" t="str">
        <f>IF('12 - Device_Configuration'!AW376="","",'12 - Device_Configuration'!AW376)</f>
        <v/>
      </c>
      <c r="V375" s="21" t="str">
        <f>IF('12 - Device_Configuration'!BA376="","",'12 - Device_Configuration'!BA376)</f>
        <v/>
      </c>
      <c r="W375" s="21" t="str">
        <f>IF('12 - Device_Configuration'!BC376="","",'12 - Device_Configuration'!BC376)</f>
        <v/>
      </c>
      <c r="X375" s="21" t="str">
        <f>IF('12 - Device_Configuration'!BK376="","",'12 - Device_Configuration'!BK376)</f>
        <v/>
      </c>
      <c r="Y375" s="21" t="str">
        <f>IF('12 - Device_Configuration'!BB376="","",'12 - Device_Configuration'!BB376)</f>
        <v/>
      </c>
      <c r="Z375" s="21" t="str">
        <f>IF('12 - Device_Configuration'!P376="","",'12 - Device_Configuration'!P376)</f>
        <v/>
      </c>
      <c r="AA375" s="21" t="str">
        <f>IF('12 - Device_Configuration'!Q376="","",'12 - Device_Configuration'!Q376)</f>
        <v/>
      </c>
    </row>
    <row r="376" spans="1:27">
      <c r="A376" s="22"/>
      <c r="B376" s="22"/>
      <c r="C376" s="21" t="str">
        <f>IF('12 - Device_Configuration'!H377="","",'12 - Device_Configuration'!H377)</f>
        <v/>
      </c>
      <c r="D376" s="21" t="str">
        <f>IF('12 - Device_Configuration'!AE377="","",'12 - Device_Configuration'!AE377)</f>
        <v/>
      </c>
      <c r="E376" s="21" t="str">
        <f>IF('12 - Device_Configuration'!AF377="","",'12 - Device_Configuration'!AF377)</f>
        <v/>
      </c>
      <c r="F376" s="21" t="str">
        <f>IF('12 - Device_Configuration'!AG377="","",'12 - Device_Configuration'!AG377)</f>
        <v/>
      </c>
      <c r="G376" s="21" t="str">
        <f>IF('12 - Device_Configuration'!AH377="","",'12 - Device_Configuration'!AH377)</f>
        <v/>
      </c>
      <c r="H376" s="21" t="str">
        <f>IF('12 - Device_Configuration'!A377="","",'12 - Device_Configuration'!A377)</f>
        <v/>
      </c>
      <c r="I376" s="21" t="str">
        <f>IF('12 - Device_Configuration'!AI377="","",'12 - Device_Configuration'!AI377)</f>
        <v/>
      </c>
      <c r="J376" s="21" t="str">
        <f>IF('12 - Device_Configuration'!AJ377="","",'12 - Device_Configuration'!AJ377)</f>
        <v/>
      </c>
      <c r="K376" s="21" t="str">
        <f>IF('12 - Device_Configuration'!AA377="","",'12 - Device_Configuration'!AA377)</f>
        <v/>
      </c>
      <c r="L376" s="21" t="str">
        <f>IF('12 - Device_Configuration'!I377="","",'12 - Device_Configuration'!I377)</f>
        <v/>
      </c>
      <c r="M376" s="22"/>
      <c r="N376" s="21" t="str">
        <f>IF('12 - Device_Configuration'!J377="","",'12 - Device_Configuration'!J377)</f>
        <v/>
      </c>
      <c r="O376" s="21" t="str">
        <f>IF('12 - Device_Configuration'!K377="","",'12 - Device_Configuration'!K377)</f>
        <v/>
      </c>
      <c r="P376" s="21" t="str">
        <f>IF('12 - Device_Configuration'!L377="","",'12 - Device_Configuration'!L377)</f>
        <v/>
      </c>
      <c r="Q376" s="22"/>
      <c r="R376" s="21" t="str">
        <f>IF('12 - Device_Configuration'!AY377="","",'12 - Device_Configuration'!AY377)</f>
        <v/>
      </c>
      <c r="S376" s="21" t="str">
        <f>IF('12 - Device_Configuration'!AX377="","",'12 - Device_Configuration'!AX377)</f>
        <v/>
      </c>
      <c r="T376" s="21" t="str">
        <f>IF('12 - Device_Configuration'!AV377="","",'12 - Device_Configuration'!AV377)</f>
        <v/>
      </c>
      <c r="U376" s="21" t="str">
        <f>IF('12 - Device_Configuration'!AW377="","",'12 - Device_Configuration'!AW377)</f>
        <v/>
      </c>
      <c r="V376" s="21" t="str">
        <f>IF('12 - Device_Configuration'!BA377="","",'12 - Device_Configuration'!BA377)</f>
        <v/>
      </c>
      <c r="W376" s="21" t="str">
        <f>IF('12 - Device_Configuration'!BC377="","",'12 - Device_Configuration'!BC377)</f>
        <v/>
      </c>
      <c r="X376" s="21" t="str">
        <f>IF('12 - Device_Configuration'!BK377="","",'12 - Device_Configuration'!BK377)</f>
        <v/>
      </c>
      <c r="Y376" s="21" t="str">
        <f>IF('12 - Device_Configuration'!BB377="","",'12 - Device_Configuration'!BB377)</f>
        <v/>
      </c>
      <c r="Z376" s="21" t="str">
        <f>IF('12 - Device_Configuration'!P377="","",'12 - Device_Configuration'!P377)</f>
        <v/>
      </c>
      <c r="AA376" s="21" t="str">
        <f>IF('12 - Device_Configuration'!Q377="","",'12 - Device_Configuration'!Q377)</f>
        <v/>
      </c>
    </row>
    <row r="377" spans="1:27">
      <c r="A377" s="22"/>
      <c r="B377" s="22"/>
      <c r="C377" s="21" t="str">
        <f>IF('12 - Device_Configuration'!H378="","",'12 - Device_Configuration'!H378)</f>
        <v/>
      </c>
      <c r="D377" s="21" t="str">
        <f>IF('12 - Device_Configuration'!AE378="","",'12 - Device_Configuration'!AE378)</f>
        <v/>
      </c>
      <c r="E377" s="21" t="str">
        <f>IF('12 - Device_Configuration'!AF378="","",'12 - Device_Configuration'!AF378)</f>
        <v/>
      </c>
      <c r="F377" s="21" t="str">
        <f>IF('12 - Device_Configuration'!AG378="","",'12 - Device_Configuration'!AG378)</f>
        <v/>
      </c>
      <c r="G377" s="21" t="str">
        <f>IF('12 - Device_Configuration'!AH378="","",'12 - Device_Configuration'!AH378)</f>
        <v/>
      </c>
      <c r="H377" s="21" t="str">
        <f>IF('12 - Device_Configuration'!A378="","",'12 - Device_Configuration'!A378)</f>
        <v/>
      </c>
      <c r="I377" s="21" t="str">
        <f>IF('12 - Device_Configuration'!AI378="","",'12 - Device_Configuration'!AI378)</f>
        <v/>
      </c>
      <c r="J377" s="21" t="str">
        <f>IF('12 - Device_Configuration'!AJ378="","",'12 - Device_Configuration'!AJ378)</f>
        <v/>
      </c>
      <c r="K377" s="21" t="str">
        <f>IF('12 - Device_Configuration'!AA378="","",'12 - Device_Configuration'!AA378)</f>
        <v/>
      </c>
      <c r="L377" s="21" t="str">
        <f>IF('12 - Device_Configuration'!I378="","",'12 - Device_Configuration'!I378)</f>
        <v/>
      </c>
      <c r="M377" s="22"/>
      <c r="N377" s="21" t="str">
        <f>IF('12 - Device_Configuration'!J378="","",'12 - Device_Configuration'!J378)</f>
        <v/>
      </c>
      <c r="O377" s="21" t="str">
        <f>IF('12 - Device_Configuration'!K378="","",'12 - Device_Configuration'!K378)</f>
        <v/>
      </c>
      <c r="P377" s="21" t="str">
        <f>IF('12 - Device_Configuration'!L378="","",'12 - Device_Configuration'!L378)</f>
        <v/>
      </c>
      <c r="Q377" s="22"/>
      <c r="R377" s="21" t="str">
        <f>IF('12 - Device_Configuration'!AY378="","",'12 - Device_Configuration'!AY378)</f>
        <v/>
      </c>
      <c r="S377" s="21" t="str">
        <f>IF('12 - Device_Configuration'!AX378="","",'12 - Device_Configuration'!AX378)</f>
        <v/>
      </c>
      <c r="T377" s="21" t="str">
        <f>IF('12 - Device_Configuration'!AV378="","",'12 - Device_Configuration'!AV378)</f>
        <v/>
      </c>
      <c r="U377" s="21" t="str">
        <f>IF('12 - Device_Configuration'!AW378="","",'12 - Device_Configuration'!AW378)</f>
        <v/>
      </c>
      <c r="V377" s="21" t="str">
        <f>IF('12 - Device_Configuration'!BA378="","",'12 - Device_Configuration'!BA378)</f>
        <v/>
      </c>
      <c r="W377" s="21" t="str">
        <f>IF('12 - Device_Configuration'!BC378="","",'12 - Device_Configuration'!BC378)</f>
        <v/>
      </c>
      <c r="X377" s="21" t="str">
        <f>IF('12 - Device_Configuration'!BK378="","",'12 - Device_Configuration'!BK378)</f>
        <v/>
      </c>
      <c r="Y377" s="21" t="str">
        <f>IF('12 - Device_Configuration'!BB378="","",'12 - Device_Configuration'!BB378)</f>
        <v/>
      </c>
      <c r="Z377" s="21" t="str">
        <f>IF('12 - Device_Configuration'!P378="","",'12 - Device_Configuration'!P378)</f>
        <v/>
      </c>
      <c r="AA377" s="21" t="str">
        <f>IF('12 - Device_Configuration'!Q378="","",'12 - Device_Configuration'!Q378)</f>
        <v/>
      </c>
    </row>
    <row r="378" spans="1:27">
      <c r="A378" s="22"/>
      <c r="B378" s="22"/>
      <c r="C378" s="21" t="str">
        <f>IF('12 - Device_Configuration'!H379="","",'12 - Device_Configuration'!H379)</f>
        <v/>
      </c>
      <c r="D378" s="21" t="str">
        <f>IF('12 - Device_Configuration'!AE379="","",'12 - Device_Configuration'!AE379)</f>
        <v/>
      </c>
      <c r="E378" s="21" t="str">
        <f>IF('12 - Device_Configuration'!AF379="","",'12 - Device_Configuration'!AF379)</f>
        <v/>
      </c>
      <c r="F378" s="21" t="str">
        <f>IF('12 - Device_Configuration'!AG379="","",'12 - Device_Configuration'!AG379)</f>
        <v/>
      </c>
      <c r="G378" s="21" t="str">
        <f>IF('12 - Device_Configuration'!AH379="","",'12 - Device_Configuration'!AH379)</f>
        <v/>
      </c>
      <c r="H378" s="21" t="str">
        <f>IF('12 - Device_Configuration'!A379="","",'12 - Device_Configuration'!A379)</f>
        <v/>
      </c>
      <c r="I378" s="21" t="str">
        <f>IF('12 - Device_Configuration'!AI379="","",'12 - Device_Configuration'!AI379)</f>
        <v/>
      </c>
      <c r="J378" s="21" t="str">
        <f>IF('12 - Device_Configuration'!AJ379="","",'12 - Device_Configuration'!AJ379)</f>
        <v/>
      </c>
      <c r="K378" s="21" t="str">
        <f>IF('12 - Device_Configuration'!AA379="","",'12 - Device_Configuration'!AA379)</f>
        <v/>
      </c>
      <c r="L378" s="21" t="str">
        <f>IF('12 - Device_Configuration'!I379="","",'12 - Device_Configuration'!I379)</f>
        <v/>
      </c>
      <c r="M378" s="22"/>
      <c r="N378" s="21" t="str">
        <f>IF('12 - Device_Configuration'!J379="","",'12 - Device_Configuration'!J379)</f>
        <v/>
      </c>
      <c r="O378" s="21" t="str">
        <f>IF('12 - Device_Configuration'!K379="","",'12 - Device_Configuration'!K379)</f>
        <v/>
      </c>
      <c r="P378" s="21" t="str">
        <f>IF('12 - Device_Configuration'!L379="","",'12 - Device_Configuration'!L379)</f>
        <v/>
      </c>
      <c r="Q378" s="22"/>
      <c r="R378" s="21" t="str">
        <f>IF('12 - Device_Configuration'!AY379="","",'12 - Device_Configuration'!AY379)</f>
        <v/>
      </c>
      <c r="S378" s="21" t="str">
        <f>IF('12 - Device_Configuration'!AX379="","",'12 - Device_Configuration'!AX379)</f>
        <v/>
      </c>
      <c r="T378" s="21" t="str">
        <f>IF('12 - Device_Configuration'!AV379="","",'12 - Device_Configuration'!AV379)</f>
        <v/>
      </c>
      <c r="U378" s="21" t="str">
        <f>IF('12 - Device_Configuration'!AW379="","",'12 - Device_Configuration'!AW379)</f>
        <v/>
      </c>
      <c r="V378" s="21" t="str">
        <f>IF('12 - Device_Configuration'!BA379="","",'12 - Device_Configuration'!BA379)</f>
        <v/>
      </c>
      <c r="W378" s="21" t="str">
        <f>IF('12 - Device_Configuration'!BC379="","",'12 - Device_Configuration'!BC379)</f>
        <v/>
      </c>
      <c r="X378" s="21" t="str">
        <f>IF('12 - Device_Configuration'!BK379="","",'12 - Device_Configuration'!BK379)</f>
        <v/>
      </c>
      <c r="Y378" s="21" t="str">
        <f>IF('12 - Device_Configuration'!BB379="","",'12 - Device_Configuration'!BB379)</f>
        <v/>
      </c>
      <c r="Z378" s="21" t="str">
        <f>IF('12 - Device_Configuration'!P379="","",'12 - Device_Configuration'!P379)</f>
        <v/>
      </c>
      <c r="AA378" s="21" t="str">
        <f>IF('12 - Device_Configuration'!Q379="","",'12 - Device_Configuration'!Q379)</f>
        <v/>
      </c>
    </row>
    <row r="379" spans="1:27">
      <c r="A379" s="22"/>
      <c r="B379" s="22"/>
      <c r="C379" s="21" t="str">
        <f>IF('12 - Device_Configuration'!H380="","",'12 - Device_Configuration'!H380)</f>
        <v/>
      </c>
      <c r="D379" s="21" t="str">
        <f>IF('12 - Device_Configuration'!AE380="","",'12 - Device_Configuration'!AE380)</f>
        <v/>
      </c>
      <c r="E379" s="21" t="str">
        <f>IF('12 - Device_Configuration'!AF380="","",'12 - Device_Configuration'!AF380)</f>
        <v/>
      </c>
      <c r="F379" s="21" t="str">
        <f>IF('12 - Device_Configuration'!AG380="","",'12 - Device_Configuration'!AG380)</f>
        <v/>
      </c>
      <c r="G379" s="21" t="str">
        <f>IF('12 - Device_Configuration'!AH380="","",'12 - Device_Configuration'!AH380)</f>
        <v/>
      </c>
      <c r="H379" s="21" t="str">
        <f>IF('12 - Device_Configuration'!A380="","",'12 - Device_Configuration'!A380)</f>
        <v/>
      </c>
      <c r="I379" s="21" t="str">
        <f>IF('12 - Device_Configuration'!AI380="","",'12 - Device_Configuration'!AI380)</f>
        <v/>
      </c>
      <c r="J379" s="21" t="str">
        <f>IF('12 - Device_Configuration'!AJ380="","",'12 - Device_Configuration'!AJ380)</f>
        <v/>
      </c>
      <c r="K379" s="21" t="str">
        <f>IF('12 - Device_Configuration'!AA380="","",'12 - Device_Configuration'!AA380)</f>
        <v/>
      </c>
      <c r="L379" s="21" t="str">
        <f>IF('12 - Device_Configuration'!I380="","",'12 - Device_Configuration'!I380)</f>
        <v/>
      </c>
      <c r="M379" s="22"/>
      <c r="N379" s="21" t="str">
        <f>IF('12 - Device_Configuration'!J380="","",'12 - Device_Configuration'!J380)</f>
        <v/>
      </c>
      <c r="O379" s="21" t="str">
        <f>IF('12 - Device_Configuration'!K380="","",'12 - Device_Configuration'!K380)</f>
        <v/>
      </c>
      <c r="P379" s="21" t="str">
        <f>IF('12 - Device_Configuration'!L380="","",'12 - Device_Configuration'!L380)</f>
        <v/>
      </c>
      <c r="Q379" s="22"/>
      <c r="R379" s="21" t="str">
        <f>IF('12 - Device_Configuration'!AY380="","",'12 - Device_Configuration'!AY380)</f>
        <v/>
      </c>
      <c r="S379" s="21" t="str">
        <f>IF('12 - Device_Configuration'!AX380="","",'12 - Device_Configuration'!AX380)</f>
        <v/>
      </c>
      <c r="T379" s="21" t="str">
        <f>IF('12 - Device_Configuration'!AV380="","",'12 - Device_Configuration'!AV380)</f>
        <v/>
      </c>
      <c r="U379" s="21" t="str">
        <f>IF('12 - Device_Configuration'!AW380="","",'12 - Device_Configuration'!AW380)</f>
        <v/>
      </c>
      <c r="V379" s="21" t="str">
        <f>IF('12 - Device_Configuration'!BA380="","",'12 - Device_Configuration'!BA380)</f>
        <v/>
      </c>
      <c r="W379" s="21" t="str">
        <f>IF('12 - Device_Configuration'!BC380="","",'12 - Device_Configuration'!BC380)</f>
        <v/>
      </c>
      <c r="X379" s="21" t="str">
        <f>IF('12 - Device_Configuration'!BK380="","",'12 - Device_Configuration'!BK380)</f>
        <v/>
      </c>
      <c r="Y379" s="21" t="str">
        <f>IF('12 - Device_Configuration'!BB380="","",'12 - Device_Configuration'!BB380)</f>
        <v/>
      </c>
      <c r="Z379" s="21" t="str">
        <f>IF('12 - Device_Configuration'!P380="","",'12 - Device_Configuration'!P380)</f>
        <v/>
      </c>
      <c r="AA379" s="21" t="str">
        <f>IF('12 - Device_Configuration'!Q380="","",'12 - Device_Configuration'!Q380)</f>
        <v/>
      </c>
    </row>
    <row r="380" spans="1:27">
      <c r="A380" s="22"/>
      <c r="B380" s="22"/>
      <c r="C380" s="21" t="str">
        <f>IF('12 - Device_Configuration'!H381="","",'12 - Device_Configuration'!H381)</f>
        <v/>
      </c>
      <c r="D380" s="21" t="str">
        <f>IF('12 - Device_Configuration'!AE381="","",'12 - Device_Configuration'!AE381)</f>
        <v/>
      </c>
      <c r="E380" s="21" t="str">
        <f>IF('12 - Device_Configuration'!AF381="","",'12 - Device_Configuration'!AF381)</f>
        <v/>
      </c>
      <c r="F380" s="21" t="str">
        <f>IF('12 - Device_Configuration'!AG381="","",'12 - Device_Configuration'!AG381)</f>
        <v/>
      </c>
      <c r="G380" s="21" t="str">
        <f>IF('12 - Device_Configuration'!AH381="","",'12 - Device_Configuration'!AH381)</f>
        <v/>
      </c>
      <c r="H380" s="21" t="str">
        <f>IF('12 - Device_Configuration'!A381="","",'12 - Device_Configuration'!A381)</f>
        <v/>
      </c>
      <c r="I380" s="21" t="str">
        <f>IF('12 - Device_Configuration'!AI381="","",'12 - Device_Configuration'!AI381)</f>
        <v/>
      </c>
      <c r="J380" s="21" t="str">
        <f>IF('12 - Device_Configuration'!AJ381="","",'12 - Device_Configuration'!AJ381)</f>
        <v/>
      </c>
      <c r="K380" s="21" t="str">
        <f>IF('12 - Device_Configuration'!AA381="","",'12 - Device_Configuration'!AA381)</f>
        <v/>
      </c>
      <c r="L380" s="21" t="str">
        <f>IF('12 - Device_Configuration'!I381="","",'12 - Device_Configuration'!I381)</f>
        <v/>
      </c>
      <c r="M380" s="22"/>
      <c r="N380" s="21" t="str">
        <f>IF('12 - Device_Configuration'!J381="","",'12 - Device_Configuration'!J381)</f>
        <v/>
      </c>
      <c r="O380" s="21" t="str">
        <f>IF('12 - Device_Configuration'!K381="","",'12 - Device_Configuration'!K381)</f>
        <v/>
      </c>
      <c r="P380" s="21" t="str">
        <f>IF('12 - Device_Configuration'!L381="","",'12 - Device_Configuration'!L381)</f>
        <v/>
      </c>
      <c r="Q380" s="22"/>
      <c r="R380" s="21" t="str">
        <f>IF('12 - Device_Configuration'!AY381="","",'12 - Device_Configuration'!AY381)</f>
        <v/>
      </c>
      <c r="S380" s="21" t="str">
        <f>IF('12 - Device_Configuration'!AX381="","",'12 - Device_Configuration'!AX381)</f>
        <v/>
      </c>
      <c r="T380" s="21" t="str">
        <f>IF('12 - Device_Configuration'!AV381="","",'12 - Device_Configuration'!AV381)</f>
        <v/>
      </c>
      <c r="U380" s="21" t="str">
        <f>IF('12 - Device_Configuration'!AW381="","",'12 - Device_Configuration'!AW381)</f>
        <v/>
      </c>
      <c r="V380" s="21" t="str">
        <f>IF('12 - Device_Configuration'!BA381="","",'12 - Device_Configuration'!BA381)</f>
        <v/>
      </c>
      <c r="W380" s="21" t="str">
        <f>IF('12 - Device_Configuration'!BC381="","",'12 - Device_Configuration'!BC381)</f>
        <v/>
      </c>
      <c r="X380" s="21" t="str">
        <f>IF('12 - Device_Configuration'!BK381="","",'12 - Device_Configuration'!BK381)</f>
        <v/>
      </c>
      <c r="Y380" s="21" t="str">
        <f>IF('12 - Device_Configuration'!BB381="","",'12 - Device_Configuration'!BB381)</f>
        <v/>
      </c>
      <c r="Z380" s="21" t="str">
        <f>IF('12 - Device_Configuration'!P381="","",'12 - Device_Configuration'!P381)</f>
        <v/>
      </c>
      <c r="AA380" s="21" t="str">
        <f>IF('12 - Device_Configuration'!Q381="","",'12 - Device_Configuration'!Q381)</f>
        <v/>
      </c>
    </row>
    <row r="381" spans="1:27">
      <c r="A381" s="22"/>
      <c r="B381" s="22"/>
      <c r="C381" s="21" t="str">
        <f>IF('12 - Device_Configuration'!H382="","",'12 - Device_Configuration'!H382)</f>
        <v/>
      </c>
      <c r="D381" s="21" t="str">
        <f>IF('12 - Device_Configuration'!AE382="","",'12 - Device_Configuration'!AE382)</f>
        <v/>
      </c>
      <c r="E381" s="21" t="str">
        <f>IF('12 - Device_Configuration'!AF382="","",'12 - Device_Configuration'!AF382)</f>
        <v/>
      </c>
      <c r="F381" s="21" t="str">
        <f>IF('12 - Device_Configuration'!AG382="","",'12 - Device_Configuration'!AG382)</f>
        <v/>
      </c>
      <c r="G381" s="21" t="str">
        <f>IF('12 - Device_Configuration'!AH382="","",'12 - Device_Configuration'!AH382)</f>
        <v/>
      </c>
      <c r="H381" s="21" t="str">
        <f>IF('12 - Device_Configuration'!A382="","",'12 - Device_Configuration'!A382)</f>
        <v/>
      </c>
      <c r="I381" s="21" t="str">
        <f>IF('12 - Device_Configuration'!AI382="","",'12 - Device_Configuration'!AI382)</f>
        <v/>
      </c>
      <c r="J381" s="21" t="str">
        <f>IF('12 - Device_Configuration'!AJ382="","",'12 - Device_Configuration'!AJ382)</f>
        <v/>
      </c>
      <c r="K381" s="21" t="str">
        <f>IF('12 - Device_Configuration'!AA382="","",'12 - Device_Configuration'!AA382)</f>
        <v/>
      </c>
      <c r="L381" s="21" t="str">
        <f>IF('12 - Device_Configuration'!I382="","",'12 - Device_Configuration'!I382)</f>
        <v/>
      </c>
      <c r="M381" s="22"/>
      <c r="N381" s="21" t="str">
        <f>IF('12 - Device_Configuration'!J382="","",'12 - Device_Configuration'!J382)</f>
        <v/>
      </c>
      <c r="O381" s="21" t="str">
        <f>IF('12 - Device_Configuration'!K382="","",'12 - Device_Configuration'!K382)</f>
        <v/>
      </c>
      <c r="P381" s="21" t="str">
        <f>IF('12 - Device_Configuration'!L382="","",'12 - Device_Configuration'!L382)</f>
        <v/>
      </c>
      <c r="Q381" s="22"/>
      <c r="R381" s="21" t="str">
        <f>IF('12 - Device_Configuration'!AY382="","",'12 - Device_Configuration'!AY382)</f>
        <v/>
      </c>
      <c r="S381" s="21" t="str">
        <f>IF('12 - Device_Configuration'!AX382="","",'12 - Device_Configuration'!AX382)</f>
        <v/>
      </c>
      <c r="T381" s="21" t="str">
        <f>IF('12 - Device_Configuration'!AV382="","",'12 - Device_Configuration'!AV382)</f>
        <v/>
      </c>
      <c r="U381" s="21" t="str">
        <f>IF('12 - Device_Configuration'!AW382="","",'12 - Device_Configuration'!AW382)</f>
        <v/>
      </c>
      <c r="V381" s="21" t="str">
        <f>IF('12 - Device_Configuration'!BA382="","",'12 - Device_Configuration'!BA382)</f>
        <v/>
      </c>
      <c r="W381" s="21" t="str">
        <f>IF('12 - Device_Configuration'!BC382="","",'12 - Device_Configuration'!BC382)</f>
        <v/>
      </c>
      <c r="X381" s="21" t="str">
        <f>IF('12 - Device_Configuration'!BK382="","",'12 - Device_Configuration'!BK382)</f>
        <v/>
      </c>
      <c r="Y381" s="21" t="str">
        <f>IF('12 - Device_Configuration'!BB382="","",'12 - Device_Configuration'!BB382)</f>
        <v/>
      </c>
      <c r="Z381" s="21" t="str">
        <f>IF('12 - Device_Configuration'!P382="","",'12 - Device_Configuration'!P382)</f>
        <v/>
      </c>
      <c r="AA381" s="21" t="str">
        <f>IF('12 - Device_Configuration'!Q382="","",'12 - Device_Configuration'!Q382)</f>
        <v/>
      </c>
    </row>
    <row r="382" spans="1:27">
      <c r="A382" s="22"/>
      <c r="B382" s="22"/>
      <c r="C382" s="21" t="str">
        <f>IF('12 - Device_Configuration'!H383="","",'12 - Device_Configuration'!H383)</f>
        <v/>
      </c>
      <c r="D382" s="21" t="str">
        <f>IF('12 - Device_Configuration'!AE383="","",'12 - Device_Configuration'!AE383)</f>
        <v/>
      </c>
      <c r="E382" s="21" t="str">
        <f>IF('12 - Device_Configuration'!AF383="","",'12 - Device_Configuration'!AF383)</f>
        <v/>
      </c>
      <c r="F382" s="21" t="str">
        <f>IF('12 - Device_Configuration'!AG383="","",'12 - Device_Configuration'!AG383)</f>
        <v/>
      </c>
      <c r="G382" s="21" t="str">
        <f>IF('12 - Device_Configuration'!AH383="","",'12 - Device_Configuration'!AH383)</f>
        <v/>
      </c>
      <c r="H382" s="21" t="str">
        <f>IF('12 - Device_Configuration'!A383="","",'12 - Device_Configuration'!A383)</f>
        <v/>
      </c>
      <c r="I382" s="21" t="str">
        <f>IF('12 - Device_Configuration'!AI383="","",'12 - Device_Configuration'!AI383)</f>
        <v/>
      </c>
      <c r="J382" s="21" t="str">
        <f>IF('12 - Device_Configuration'!AJ383="","",'12 - Device_Configuration'!AJ383)</f>
        <v/>
      </c>
      <c r="K382" s="21" t="str">
        <f>IF('12 - Device_Configuration'!AA383="","",'12 - Device_Configuration'!AA383)</f>
        <v/>
      </c>
      <c r="L382" s="21" t="str">
        <f>IF('12 - Device_Configuration'!I383="","",'12 - Device_Configuration'!I383)</f>
        <v/>
      </c>
      <c r="M382" s="22"/>
      <c r="N382" s="21" t="str">
        <f>IF('12 - Device_Configuration'!J383="","",'12 - Device_Configuration'!J383)</f>
        <v/>
      </c>
      <c r="O382" s="21" t="str">
        <f>IF('12 - Device_Configuration'!K383="","",'12 - Device_Configuration'!K383)</f>
        <v/>
      </c>
      <c r="P382" s="21" t="str">
        <f>IF('12 - Device_Configuration'!L383="","",'12 - Device_Configuration'!L383)</f>
        <v/>
      </c>
      <c r="Q382" s="22"/>
      <c r="R382" s="21" t="str">
        <f>IF('12 - Device_Configuration'!AY383="","",'12 - Device_Configuration'!AY383)</f>
        <v/>
      </c>
      <c r="S382" s="21" t="str">
        <f>IF('12 - Device_Configuration'!AX383="","",'12 - Device_Configuration'!AX383)</f>
        <v/>
      </c>
      <c r="T382" s="21" t="str">
        <f>IF('12 - Device_Configuration'!AV383="","",'12 - Device_Configuration'!AV383)</f>
        <v/>
      </c>
      <c r="U382" s="21" t="str">
        <f>IF('12 - Device_Configuration'!AW383="","",'12 - Device_Configuration'!AW383)</f>
        <v/>
      </c>
      <c r="V382" s="21" t="str">
        <f>IF('12 - Device_Configuration'!BA383="","",'12 - Device_Configuration'!BA383)</f>
        <v/>
      </c>
      <c r="W382" s="21" t="str">
        <f>IF('12 - Device_Configuration'!BC383="","",'12 - Device_Configuration'!BC383)</f>
        <v/>
      </c>
      <c r="X382" s="21" t="str">
        <f>IF('12 - Device_Configuration'!BK383="","",'12 - Device_Configuration'!BK383)</f>
        <v/>
      </c>
      <c r="Y382" s="21" t="str">
        <f>IF('12 - Device_Configuration'!BB383="","",'12 - Device_Configuration'!BB383)</f>
        <v/>
      </c>
      <c r="Z382" s="21" t="str">
        <f>IF('12 - Device_Configuration'!P383="","",'12 - Device_Configuration'!P383)</f>
        <v/>
      </c>
      <c r="AA382" s="21" t="str">
        <f>IF('12 - Device_Configuration'!Q383="","",'12 - Device_Configuration'!Q383)</f>
        <v/>
      </c>
    </row>
    <row r="383" spans="1:27">
      <c r="A383" s="22"/>
      <c r="B383" s="22"/>
      <c r="C383" s="21" t="str">
        <f>IF('12 - Device_Configuration'!H384="","",'12 - Device_Configuration'!H384)</f>
        <v/>
      </c>
      <c r="D383" s="21" t="str">
        <f>IF('12 - Device_Configuration'!AE384="","",'12 - Device_Configuration'!AE384)</f>
        <v/>
      </c>
      <c r="E383" s="21" t="str">
        <f>IF('12 - Device_Configuration'!AF384="","",'12 - Device_Configuration'!AF384)</f>
        <v/>
      </c>
      <c r="F383" s="21" t="str">
        <f>IF('12 - Device_Configuration'!AG384="","",'12 - Device_Configuration'!AG384)</f>
        <v/>
      </c>
      <c r="G383" s="21" t="str">
        <f>IF('12 - Device_Configuration'!AH384="","",'12 - Device_Configuration'!AH384)</f>
        <v/>
      </c>
      <c r="H383" s="21" t="str">
        <f>IF('12 - Device_Configuration'!A384="","",'12 - Device_Configuration'!A384)</f>
        <v/>
      </c>
      <c r="I383" s="21" t="str">
        <f>IF('12 - Device_Configuration'!AI384="","",'12 - Device_Configuration'!AI384)</f>
        <v/>
      </c>
      <c r="J383" s="21" t="str">
        <f>IF('12 - Device_Configuration'!AJ384="","",'12 - Device_Configuration'!AJ384)</f>
        <v/>
      </c>
      <c r="K383" s="21" t="str">
        <f>IF('12 - Device_Configuration'!AA384="","",'12 - Device_Configuration'!AA384)</f>
        <v/>
      </c>
      <c r="L383" s="21" t="str">
        <f>IF('12 - Device_Configuration'!I384="","",'12 - Device_Configuration'!I384)</f>
        <v/>
      </c>
      <c r="M383" s="22"/>
      <c r="N383" s="21" t="str">
        <f>IF('12 - Device_Configuration'!J384="","",'12 - Device_Configuration'!J384)</f>
        <v/>
      </c>
      <c r="O383" s="21" t="str">
        <f>IF('12 - Device_Configuration'!K384="","",'12 - Device_Configuration'!K384)</f>
        <v/>
      </c>
      <c r="P383" s="21" t="str">
        <f>IF('12 - Device_Configuration'!L384="","",'12 - Device_Configuration'!L384)</f>
        <v/>
      </c>
      <c r="Q383" s="22"/>
      <c r="R383" s="21" t="str">
        <f>IF('12 - Device_Configuration'!AY384="","",'12 - Device_Configuration'!AY384)</f>
        <v/>
      </c>
      <c r="S383" s="21" t="str">
        <f>IF('12 - Device_Configuration'!AX384="","",'12 - Device_Configuration'!AX384)</f>
        <v/>
      </c>
      <c r="T383" s="21" t="str">
        <f>IF('12 - Device_Configuration'!AV384="","",'12 - Device_Configuration'!AV384)</f>
        <v/>
      </c>
      <c r="U383" s="21" t="str">
        <f>IF('12 - Device_Configuration'!AW384="","",'12 - Device_Configuration'!AW384)</f>
        <v/>
      </c>
      <c r="V383" s="21" t="str">
        <f>IF('12 - Device_Configuration'!BA384="","",'12 - Device_Configuration'!BA384)</f>
        <v/>
      </c>
      <c r="W383" s="21" t="str">
        <f>IF('12 - Device_Configuration'!BC384="","",'12 - Device_Configuration'!BC384)</f>
        <v/>
      </c>
      <c r="X383" s="21" t="str">
        <f>IF('12 - Device_Configuration'!BK384="","",'12 - Device_Configuration'!BK384)</f>
        <v/>
      </c>
      <c r="Y383" s="21" t="str">
        <f>IF('12 - Device_Configuration'!BB384="","",'12 - Device_Configuration'!BB384)</f>
        <v/>
      </c>
      <c r="Z383" s="21" t="str">
        <f>IF('12 - Device_Configuration'!P384="","",'12 - Device_Configuration'!P384)</f>
        <v/>
      </c>
      <c r="AA383" s="21" t="str">
        <f>IF('12 - Device_Configuration'!Q384="","",'12 - Device_Configuration'!Q384)</f>
        <v/>
      </c>
    </row>
    <row r="384" spans="1:27">
      <c r="A384" s="22"/>
      <c r="B384" s="22"/>
      <c r="C384" s="21" t="str">
        <f>IF('12 - Device_Configuration'!H385="","",'12 - Device_Configuration'!H385)</f>
        <v/>
      </c>
      <c r="D384" s="21" t="str">
        <f>IF('12 - Device_Configuration'!AE385="","",'12 - Device_Configuration'!AE385)</f>
        <v/>
      </c>
      <c r="E384" s="21" t="str">
        <f>IF('12 - Device_Configuration'!AF385="","",'12 - Device_Configuration'!AF385)</f>
        <v/>
      </c>
      <c r="F384" s="21" t="str">
        <f>IF('12 - Device_Configuration'!AG385="","",'12 - Device_Configuration'!AG385)</f>
        <v/>
      </c>
      <c r="G384" s="21" t="str">
        <f>IF('12 - Device_Configuration'!AH385="","",'12 - Device_Configuration'!AH385)</f>
        <v/>
      </c>
      <c r="H384" s="21" t="str">
        <f>IF('12 - Device_Configuration'!A385="","",'12 - Device_Configuration'!A385)</f>
        <v/>
      </c>
      <c r="I384" s="21" t="str">
        <f>IF('12 - Device_Configuration'!AI385="","",'12 - Device_Configuration'!AI385)</f>
        <v/>
      </c>
      <c r="J384" s="21" t="str">
        <f>IF('12 - Device_Configuration'!AJ385="","",'12 - Device_Configuration'!AJ385)</f>
        <v/>
      </c>
      <c r="K384" s="21" t="str">
        <f>IF('12 - Device_Configuration'!AA385="","",'12 - Device_Configuration'!AA385)</f>
        <v/>
      </c>
      <c r="L384" s="21" t="str">
        <f>IF('12 - Device_Configuration'!I385="","",'12 - Device_Configuration'!I385)</f>
        <v/>
      </c>
      <c r="M384" s="22"/>
      <c r="N384" s="21" t="str">
        <f>IF('12 - Device_Configuration'!J385="","",'12 - Device_Configuration'!J385)</f>
        <v/>
      </c>
      <c r="O384" s="21" t="str">
        <f>IF('12 - Device_Configuration'!K385="","",'12 - Device_Configuration'!K385)</f>
        <v/>
      </c>
      <c r="P384" s="21" t="str">
        <f>IF('12 - Device_Configuration'!L385="","",'12 - Device_Configuration'!L385)</f>
        <v/>
      </c>
      <c r="Q384" s="22"/>
      <c r="R384" s="21" t="str">
        <f>IF('12 - Device_Configuration'!AY385="","",'12 - Device_Configuration'!AY385)</f>
        <v/>
      </c>
      <c r="S384" s="21" t="str">
        <f>IF('12 - Device_Configuration'!AX385="","",'12 - Device_Configuration'!AX385)</f>
        <v/>
      </c>
      <c r="T384" s="21" t="str">
        <f>IF('12 - Device_Configuration'!AV385="","",'12 - Device_Configuration'!AV385)</f>
        <v/>
      </c>
      <c r="U384" s="21" t="str">
        <f>IF('12 - Device_Configuration'!AW385="","",'12 - Device_Configuration'!AW385)</f>
        <v/>
      </c>
      <c r="V384" s="21" t="str">
        <f>IF('12 - Device_Configuration'!BA385="","",'12 - Device_Configuration'!BA385)</f>
        <v/>
      </c>
      <c r="W384" s="21" t="str">
        <f>IF('12 - Device_Configuration'!BC385="","",'12 - Device_Configuration'!BC385)</f>
        <v/>
      </c>
      <c r="X384" s="21" t="str">
        <f>IF('12 - Device_Configuration'!BK385="","",'12 - Device_Configuration'!BK385)</f>
        <v/>
      </c>
      <c r="Y384" s="21" t="str">
        <f>IF('12 - Device_Configuration'!BB385="","",'12 - Device_Configuration'!BB385)</f>
        <v/>
      </c>
      <c r="Z384" s="21" t="str">
        <f>IF('12 - Device_Configuration'!P385="","",'12 - Device_Configuration'!P385)</f>
        <v/>
      </c>
      <c r="AA384" s="21" t="str">
        <f>IF('12 - Device_Configuration'!Q385="","",'12 - Device_Configuration'!Q385)</f>
        <v/>
      </c>
    </row>
    <row r="385" spans="1:27">
      <c r="A385" s="22"/>
      <c r="B385" s="22"/>
      <c r="C385" s="21" t="str">
        <f>IF('12 - Device_Configuration'!H386="","",'12 - Device_Configuration'!H386)</f>
        <v/>
      </c>
      <c r="D385" s="21" t="str">
        <f>IF('12 - Device_Configuration'!AE386="","",'12 - Device_Configuration'!AE386)</f>
        <v/>
      </c>
      <c r="E385" s="21" t="str">
        <f>IF('12 - Device_Configuration'!AF386="","",'12 - Device_Configuration'!AF386)</f>
        <v/>
      </c>
      <c r="F385" s="21" t="str">
        <f>IF('12 - Device_Configuration'!AG386="","",'12 - Device_Configuration'!AG386)</f>
        <v/>
      </c>
      <c r="G385" s="21" t="str">
        <f>IF('12 - Device_Configuration'!AH386="","",'12 - Device_Configuration'!AH386)</f>
        <v/>
      </c>
      <c r="H385" s="21" t="str">
        <f>IF('12 - Device_Configuration'!A386="","",'12 - Device_Configuration'!A386)</f>
        <v/>
      </c>
      <c r="I385" s="21" t="str">
        <f>IF('12 - Device_Configuration'!AI386="","",'12 - Device_Configuration'!AI386)</f>
        <v/>
      </c>
      <c r="J385" s="21" t="str">
        <f>IF('12 - Device_Configuration'!AJ386="","",'12 - Device_Configuration'!AJ386)</f>
        <v/>
      </c>
      <c r="K385" s="21" t="str">
        <f>IF('12 - Device_Configuration'!AA386="","",'12 - Device_Configuration'!AA386)</f>
        <v/>
      </c>
      <c r="L385" s="21" t="str">
        <f>IF('12 - Device_Configuration'!I386="","",'12 - Device_Configuration'!I386)</f>
        <v/>
      </c>
      <c r="M385" s="22"/>
      <c r="N385" s="21" t="str">
        <f>IF('12 - Device_Configuration'!J386="","",'12 - Device_Configuration'!J386)</f>
        <v/>
      </c>
      <c r="O385" s="21" t="str">
        <f>IF('12 - Device_Configuration'!K386="","",'12 - Device_Configuration'!K386)</f>
        <v/>
      </c>
      <c r="P385" s="21" t="str">
        <f>IF('12 - Device_Configuration'!L386="","",'12 - Device_Configuration'!L386)</f>
        <v/>
      </c>
      <c r="Q385" s="22"/>
      <c r="R385" s="21" t="str">
        <f>IF('12 - Device_Configuration'!AY386="","",'12 - Device_Configuration'!AY386)</f>
        <v/>
      </c>
      <c r="S385" s="21" t="str">
        <f>IF('12 - Device_Configuration'!AX386="","",'12 - Device_Configuration'!AX386)</f>
        <v/>
      </c>
      <c r="T385" s="21" t="str">
        <f>IF('12 - Device_Configuration'!AV386="","",'12 - Device_Configuration'!AV386)</f>
        <v/>
      </c>
      <c r="U385" s="21" t="str">
        <f>IF('12 - Device_Configuration'!AW386="","",'12 - Device_Configuration'!AW386)</f>
        <v/>
      </c>
      <c r="V385" s="21" t="str">
        <f>IF('12 - Device_Configuration'!BA386="","",'12 - Device_Configuration'!BA386)</f>
        <v/>
      </c>
      <c r="W385" s="21" t="str">
        <f>IF('12 - Device_Configuration'!BC386="","",'12 - Device_Configuration'!BC386)</f>
        <v/>
      </c>
      <c r="X385" s="21" t="str">
        <f>IF('12 - Device_Configuration'!BK386="","",'12 - Device_Configuration'!BK386)</f>
        <v/>
      </c>
      <c r="Y385" s="21" t="str">
        <f>IF('12 - Device_Configuration'!BB386="","",'12 - Device_Configuration'!BB386)</f>
        <v/>
      </c>
      <c r="Z385" s="21" t="str">
        <f>IF('12 - Device_Configuration'!P386="","",'12 - Device_Configuration'!P386)</f>
        <v/>
      </c>
      <c r="AA385" s="21" t="str">
        <f>IF('12 - Device_Configuration'!Q386="","",'12 - Device_Configuration'!Q386)</f>
        <v/>
      </c>
    </row>
    <row r="386" spans="1:27">
      <c r="A386" s="22"/>
      <c r="B386" s="22"/>
      <c r="C386" s="21" t="str">
        <f>IF('12 - Device_Configuration'!H387="","",'12 - Device_Configuration'!H387)</f>
        <v/>
      </c>
      <c r="D386" s="21" t="str">
        <f>IF('12 - Device_Configuration'!AE387="","",'12 - Device_Configuration'!AE387)</f>
        <v/>
      </c>
      <c r="E386" s="21" t="str">
        <f>IF('12 - Device_Configuration'!AF387="","",'12 - Device_Configuration'!AF387)</f>
        <v/>
      </c>
      <c r="F386" s="21" t="str">
        <f>IF('12 - Device_Configuration'!AG387="","",'12 - Device_Configuration'!AG387)</f>
        <v/>
      </c>
      <c r="G386" s="21" t="str">
        <f>IF('12 - Device_Configuration'!AH387="","",'12 - Device_Configuration'!AH387)</f>
        <v/>
      </c>
      <c r="H386" s="21" t="str">
        <f>IF('12 - Device_Configuration'!A387="","",'12 - Device_Configuration'!A387)</f>
        <v/>
      </c>
      <c r="I386" s="21" t="str">
        <f>IF('12 - Device_Configuration'!AI387="","",'12 - Device_Configuration'!AI387)</f>
        <v/>
      </c>
      <c r="J386" s="21" t="str">
        <f>IF('12 - Device_Configuration'!AJ387="","",'12 - Device_Configuration'!AJ387)</f>
        <v/>
      </c>
      <c r="K386" s="21" t="str">
        <f>IF('12 - Device_Configuration'!AA387="","",'12 - Device_Configuration'!AA387)</f>
        <v/>
      </c>
      <c r="L386" s="21" t="str">
        <f>IF('12 - Device_Configuration'!I387="","",'12 - Device_Configuration'!I387)</f>
        <v/>
      </c>
      <c r="M386" s="22"/>
      <c r="N386" s="21" t="str">
        <f>IF('12 - Device_Configuration'!J387="","",'12 - Device_Configuration'!J387)</f>
        <v/>
      </c>
      <c r="O386" s="21" t="str">
        <f>IF('12 - Device_Configuration'!K387="","",'12 - Device_Configuration'!K387)</f>
        <v/>
      </c>
      <c r="P386" s="21" t="str">
        <f>IF('12 - Device_Configuration'!L387="","",'12 - Device_Configuration'!L387)</f>
        <v/>
      </c>
      <c r="Q386" s="22"/>
      <c r="R386" s="21" t="str">
        <f>IF('12 - Device_Configuration'!AY387="","",'12 - Device_Configuration'!AY387)</f>
        <v/>
      </c>
      <c r="S386" s="21" t="str">
        <f>IF('12 - Device_Configuration'!AX387="","",'12 - Device_Configuration'!AX387)</f>
        <v/>
      </c>
      <c r="T386" s="21" t="str">
        <f>IF('12 - Device_Configuration'!AV387="","",'12 - Device_Configuration'!AV387)</f>
        <v/>
      </c>
      <c r="U386" s="21" t="str">
        <f>IF('12 - Device_Configuration'!AW387="","",'12 - Device_Configuration'!AW387)</f>
        <v/>
      </c>
      <c r="V386" s="21" t="str">
        <f>IF('12 - Device_Configuration'!BA387="","",'12 - Device_Configuration'!BA387)</f>
        <v/>
      </c>
      <c r="W386" s="21" t="str">
        <f>IF('12 - Device_Configuration'!BC387="","",'12 - Device_Configuration'!BC387)</f>
        <v/>
      </c>
      <c r="X386" s="21" t="str">
        <f>IF('12 - Device_Configuration'!BK387="","",'12 - Device_Configuration'!BK387)</f>
        <v/>
      </c>
      <c r="Y386" s="21" t="str">
        <f>IF('12 - Device_Configuration'!BB387="","",'12 - Device_Configuration'!BB387)</f>
        <v/>
      </c>
      <c r="Z386" s="21" t="str">
        <f>IF('12 - Device_Configuration'!P387="","",'12 - Device_Configuration'!P387)</f>
        <v/>
      </c>
      <c r="AA386" s="21" t="str">
        <f>IF('12 - Device_Configuration'!Q387="","",'12 - Device_Configuration'!Q387)</f>
        <v/>
      </c>
    </row>
    <row r="387" spans="1:27">
      <c r="A387" s="22"/>
      <c r="B387" s="22"/>
      <c r="C387" s="21" t="str">
        <f>IF('12 - Device_Configuration'!H388="","",'12 - Device_Configuration'!H388)</f>
        <v/>
      </c>
      <c r="D387" s="21" t="str">
        <f>IF('12 - Device_Configuration'!AE388="","",'12 - Device_Configuration'!AE388)</f>
        <v/>
      </c>
      <c r="E387" s="21" t="str">
        <f>IF('12 - Device_Configuration'!AF388="","",'12 - Device_Configuration'!AF388)</f>
        <v/>
      </c>
      <c r="F387" s="21" t="str">
        <f>IF('12 - Device_Configuration'!AG388="","",'12 - Device_Configuration'!AG388)</f>
        <v/>
      </c>
      <c r="G387" s="21" t="str">
        <f>IF('12 - Device_Configuration'!AH388="","",'12 - Device_Configuration'!AH388)</f>
        <v/>
      </c>
      <c r="H387" s="21" t="str">
        <f>IF('12 - Device_Configuration'!A388="","",'12 - Device_Configuration'!A388)</f>
        <v/>
      </c>
      <c r="I387" s="21" t="str">
        <f>IF('12 - Device_Configuration'!AI388="","",'12 - Device_Configuration'!AI388)</f>
        <v/>
      </c>
      <c r="J387" s="21" t="str">
        <f>IF('12 - Device_Configuration'!AJ388="","",'12 - Device_Configuration'!AJ388)</f>
        <v/>
      </c>
      <c r="K387" s="21" t="str">
        <f>IF('12 - Device_Configuration'!AA388="","",'12 - Device_Configuration'!AA388)</f>
        <v/>
      </c>
      <c r="L387" s="21" t="str">
        <f>IF('12 - Device_Configuration'!I388="","",'12 - Device_Configuration'!I388)</f>
        <v/>
      </c>
      <c r="M387" s="22"/>
      <c r="N387" s="21" t="str">
        <f>IF('12 - Device_Configuration'!J388="","",'12 - Device_Configuration'!J388)</f>
        <v/>
      </c>
      <c r="O387" s="21" t="str">
        <f>IF('12 - Device_Configuration'!K388="","",'12 - Device_Configuration'!K388)</f>
        <v/>
      </c>
      <c r="P387" s="21" t="str">
        <f>IF('12 - Device_Configuration'!L388="","",'12 - Device_Configuration'!L388)</f>
        <v/>
      </c>
      <c r="Q387" s="22"/>
      <c r="R387" s="21" t="str">
        <f>IF('12 - Device_Configuration'!AY388="","",'12 - Device_Configuration'!AY388)</f>
        <v/>
      </c>
      <c r="S387" s="21" t="str">
        <f>IF('12 - Device_Configuration'!AX388="","",'12 - Device_Configuration'!AX388)</f>
        <v/>
      </c>
      <c r="T387" s="21" t="str">
        <f>IF('12 - Device_Configuration'!AV388="","",'12 - Device_Configuration'!AV388)</f>
        <v/>
      </c>
      <c r="U387" s="21" t="str">
        <f>IF('12 - Device_Configuration'!AW388="","",'12 - Device_Configuration'!AW388)</f>
        <v/>
      </c>
      <c r="V387" s="21" t="str">
        <f>IF('12 - Device_Configuration'!BA388="","",'12 - Device_Configuration'!BA388)</f>
        <v/>
      </c>
      <c r="W387" s="21" t="str">
        <f>IF('12 - Device_Configuration'!BC388="","",'12 - Device_Configuration'!BC388)</f>
        <v/>
      </c>
      <c r="X387" s="21" t="str">
        <f>IF('12 - Device_Configuration'!BK388="","",'12 - Device_Configuration'!BK388)</f>
        <v/>
      </c>
      <c r="Y387" s="21" t="str">
        <f>IF('12 - Device_Configuration'!BB388="","",'12 - Device_Configuration'!BB388)</f>
        <v/>
      </c>
      <c r="Z387" s="21" t="str">
        <f>IF('12 - Device_Configuration'!P388="","",'12 - Device_Configuration'!P388)</f>
        <v/>
      </c>
      <c r="AA387" s="21" t="str">
        <f>IF('12 - Device_Configuration'!Q388="","",'12 - Device_Configuration'!Q388)</f>
        <v/>
      </c>
    </row>
    <row r="388" spans="1:27">
      <c r="A388" s="22"/>
      <c r="B388" s="22"/>
      <c r="C388" s="21" t="str">
        <f>IF('12 - Device_Configuration'!H389="","",'12 - Device_Configuration'!H389)</f>
        <v/>
      </c>
      <c r="D388" s="21" t="str">
        <f>IF('12 - Device_Configuration'!AE389="","",'12 - Device_Configuration'!AE389)</f>
        <v/>
      </c>
      <c r="E388" s="21" t="str">
        <f>IF('12 - Device_Configuration'!AF389="","",'12 - Device_Configuration'!AF389)</f>
        <v/>
      </c>
      <c r="F388" s="21" t="str">
        <f>IF('12 - Device_Configuration'!AG389="","",'12 - Device_Configuration'!AG389)</f>
        <v/>
      </c>
      <c r="G388" s="21" t="str">
        <f>IF('12 - Device_Configuration'!AH389="","",'12 - Device_Configuration'!AH389)</f>
        <v/>
      </c>
      <c r="H388" s="21" t="str">
        <f>IF('12 - Device_Configuration'!A389="","",'12 - Device_Configuration'!A389)</f>
        <v/>
      </c>
      <c r="I388" s="21" t="str">
        <f>IF('12 - Device_Configuration'!AI389="","",'12 - Device_Configuration'!AI389)</f>
        <v/>
      </c>
      <c r="J388" s="21" t="str">
        <f>IF('12 - Device_Configuration'!AJ389="","",'12 - Device_Configuration'!AJ389)</f>
        <v/>
      </c>
      <c r="K388" s="21" t="str">
        <f>IF('12 - Device_Configuration'!AA389="","",'12 - Device_Configuration'!AA389)</f>
        <v/>
      </c>
      <c r="L388" s="21" t="str">
        <f>IF('12 - Device_Configuration'!I389="","",'12 - Device_Configuration'!I389)</f>
        <v/>
      </c>
      <c r="M388" s="22"/>
      <c r="N388" s="21" t="str">
        <f>IF('12 - Device_Configuration'!J389="","",'12 - Device_Configuration'!J389)</f>
        <v/>
      </c>
      <c r="O388" s="21" t="str">
        <f>IF('12 - Device_Configuration'!K389="","",'12 - Device_Configuration'!K389)</f>
        <v/>
      </c>
      <c r="P388" s="21" t="str">
        <f>IF('12 - Device_Configuration'!L389="","",'12 - Device_Configuration'!L389)</f>
        <v/>
      </c>
      <c r="Q388" s="22"/>
      <c r="R388" s="21" t="str">
        <f>IF('12 - Device_Configuration'!AY389="","",'12 - Device_Configuration'!AY389)</f>
        <v/>
      </c>
      <c r="S388" s="21" t="str">
        <f>IF('12 - Device_Configuration'!AX389="","",'12 - Device_Configuration'!AX389)</f>
        <v/>
      </c>
      <c r="T388" s="21" t="str">
        <f>IF('12 - Device_Configuration'!AV389="","",'12 - Device_Configuration'!AV389)</f>
        <v/>
      </c>
      <c r="U388" s="21" t="str">
        <f>IF('12 - Device_Configuration'!AW389="","",'12 - Device_Configuration'!AW389)</f>
        <v/>
      </c>
      <c r="V388" s="21" t="str">
        <f>IF('12 - Device_Configuration'!BA389="","",'12 - Device_Configuration'!BA389)</f>
        <v/>
      </c>
      <c r="W388" s="21" t="str">
        <f>IF('12 - Device_Configuration'!BC389="","",'12 - Device_Configuration'!BC389)</f>
        <v/>
      </c>
      <c r="X388" s="21" t="str">
        <f>IF('12 - Device_Configuration'!BK389="","",'12 - Device_Configuration'!BK389)</f>
        <v/>
      </c>
      <c r="Y388" s="21" t="str">
        <f>IF('12 - Device_Configuration'!BB389="","",'12 - Device_Configuration'!BB389)</f>
        <v/>
      </c>
      <c r="Z388" s="21" t="str">
        <f>IF('12 - Device_Configuration'!P389="","",'12 - Device_Configuration'!P389)</f>
        <v/>
      </c>
      <c r="AA388" s="21" t="str">
        <f>IF('12 - Device_Configuration'!Q389="","",'12 - Device_Configuration'!Q389)</f>
        <v/>
      </c>
    </row>
    <row r="389" spans="1:27">
      <c r="A389" s="22"/>
      <c r="B389" s="22"/>
      <c r="C389" s="21" t="str">
        <f>IF('12 - Device_Configuration'!H390="","",'12 - Device_Configuration'!H390)</f>
        <v/>
      </c>
      <c r="D389" s="21" t="str">
        <f>IF('12 - Device_Configuration'!AE390="","",'12 - Device_Configuration'!AE390)</f>
        <v/>
      </c>
      <c r="E389" s="21" t="str">
        <f>IF('12 - Device_Configuration'!AF390="","",'12 - Device_Configuration'!AF390)</f>
        <v/>
      </c>
      <c r="F389" s="21" t="str">
        <f>IF('12 - Device_Configuration'!AG390="","",'12 - Device_Configuration'!AG390)</f>
        <v/>
      </c>
      <c r="G389" s="21" t="str">
        <f>IF('12 - Device_Configuration'!AH390="","",'12 - Device_Configuration'!AH390)</f>
        <v/>
      </c>
      <c r="H389" s="21" t="str">
        <f>IF('12 - Device_Configuration'!A390="","",'12 - Device_Configuration'!A390)</f>
        <v/>
      </c>
      <c r="I389" s="21" t="str">
        <f>IF('12 - Device_Configuration'!AI390="","",'12 - Device_Configuration'!AI390)</f>
        <v/>
      </c>
      <c r="J389" s="21" t="str">
        <f>IF('12 - Device_Configuration'!AJ390="","",'12 - Device_Configuration'!AJ390)</f>
        <v/>
      </c>
      <c r="K389" s="21" t="str">
        <f>IF('12 - Device_Configuration'!AA390="","",'12 - Device_Configuration'!AA390)</f>
        <v/>
      </c>
      <c r="L389" s="21" t="str">
        <f>IF('12 - Device_Configuration'!I390="","",'12 - Device_Configuration'!I390)</f>
        <v/>
      </c>
      <c r="M389" s="22"/>
      <c r="N389" s="21" t="str">
        <f>IF('12 - Device_Configuration'!J390="","",'12 - Device_Configuration'!J390)</f>
        <v/>
      </c>
      <c r="O389" s="21" t="str">
        <f>IF('12 - Device_Configuration'!K390="","",'12 - Device_Configuration'!K390)</f>
        <v/>
      </c>
      <c r="P389" s="21" t="str">
        <f>IF('12 - Device_Configuration'!L390="","",'12 - Device_Configuration'!L390)</f>
        <v/>
      </c>
      <c r="Q389" s="22"/>
      <c r="R389" s="21" t="str">
        <f>IF('12 - Device_Configuration'!AY390="","",'12 - Device_Configuration'!AY390)</f>
        <v/>
      </c>
      <c r="S389" s="21" t="str">
        <f>IF('12 - Device_Configuration'!AX390="","",'12 - Device_Configuration'!AX390)</f>
        <v/>
      </c>
      <c r="T389" s="21" t="str">
        <f>IF('12 - Device_Configuration'!AV390="","",'12 - Device_Configuration'!AV390)</f>
        <v/>
      </c>
      <c r="U389" s="21" t="str">
        <f>IF('12 - Device_Configuration'!AW390="","",'12 - Device_Configuration'!AW390)</f>
        <v/>
      </c>
      <c r="V389" s="21" t="str">
        <f>IF('12 - Device_Configuration'!BA390="","",'12 - Device_Configuration'!BA390)</f>
        <v/>
      </c>
      <c r="W389" s="21" t="str">
        <f>IF('12 - Device_Configuration'!BC390="","",'12 - Device_Configuration'!BC390)</f>
        <v/>
      </c>
      <c r="X389" s="21" t="str">
        <f>IF('12 - Device_Configuration'!BK390="","",'12 - Device_Configuration'!BK390)</f>
        <v/>
      </c>
      <c r="Y389" s="21" t="str">
        <f>IF('12 - Device_Configuration'!BB390="","",'12 - Device_Configuration'!BB390)</f>
        <v/>
      </c>
      <c r="Z389" s="21" t="str">
        <f>IF('12 - Device_Configuration'!P390="","",'12 - Device_Configuration'!P390)</f>
        <v/>
      </c>
      <c r="AA389" s="21" t="str">
        <f>IF('12 - Device_Configuration'!Q390="","",'12 - Device_Configuration'!Q390)</f>
        <v/>
      </c>
    </row>
    <row r="390" spans="1:27">
      <c r="A390" s="22"/>
      <c r="B390" s="22"/>
      <c r="C390" s="21" t="str">
        <f>IF('12 - Device_Configuration'!H391="","",'12 - Device_Configuration'!H391)</f>
        <v/>
      </c>
      <c r="D390" s="21" t="str">
        <f>IF('12 - Device_Configuration'!AE391="","",'12 - Device_Configuration'!AE391)</f>
        <v/>
      </c>
      <c r="E390" s="21" t="str">
        <f>IF('12 - Device_Configuration'!AF391="","",'12 - Device_Configuration'!AF391)</f>
        <v/>
      </c>
      <c r="F390" s="21" t="str">
        <f>IF('12 - Device_Configuration'!AG391="","",'12 - Device_Configuration'!AG391)</f>
        <v/>
      </c>
      <c r="G390" s="21" t="str">
        <f>IF('12 - Device_Configuration'!AH391="","",'12 - Device_Configuration'!AH391)</f>
        <v/>
      </c>
      <c r="H390" s="21" t="str">
        <f>IF('12 - Device_Configuration'!A391="","",'12 - Device_Configuration'!A391)</f>
        <v/>
      </c>
      <c r="I390" s="21" t="str">
        <f>IF('12 - Device_Configuration'!AI391="","",'12 - Device_Configuration'!AI391)</f>
        <v/>
      </c>
      <c r="J390" s="21" t="str">
        <f>IF('12 - Device_Configuration'!AJ391="","",'12 - Device_Configuration'!AJ391)</f>
        <v/>
      </c>
      <c r="K390" s="21" t="str">
        <f>IF('12 - Device_Configuration'!AA391="","",'12 - Device_Configuration'!AA391)</f>
        <v/>
      </c>
      <c r="L390" s="21" t="str">
        <f>IF('12 - Device_Configuration'!I391="","",'12 - Device_Configuration'!I391)</f>
        <v/>
      </c>
      <c r="M390" s="22"/>
      <c r="N390" s="21" t="str">
        <f>IF('12 - Device_Configuration'!J391="","",'12 - Device_Configuration'!J391)</f>
        <v/>
      </c>
      <c r="O390" s="21" t="str">
        <f>IF('12 - Device_Configuration'!K391="","",'12 - Device_Configuration'!K391)</f>
        <v/>
      </c>
      <c r="P390" s="21" t="str">
        <f>IF('12 - Device_Configuration'!L391="","",'12 - Device_Configuration'!L391)</f>
        <v/>
      </c>
      <c r="Q390" s="22"/>
      <c r="R390" s="21" t="str">
        <f>IF('12 - Device_Configuration'!AY391="","",'12 - Device_Configuration'!AY391)</f>
        <v/>
      </c>
      <c r="S390" s="21" t="str">
        <f>IF('12 - Device_Configuration'!AX391="","",'12 - Device_Configuration'!AX391)</f>
        <v/>
      </c>
      <c r="T390" s="21" t="str">
        <f>IF('12 - Device_Configuration'!AV391="","",'12 - Device_Configuration'!AV391)</f>
        <v/>
      </c>
      <c r="U390" s="21" t="str">
        <f>IF('12 - Device_Configuration'!AW391="","",'12 - Device_Configuration'!AW391)</f>
        <v/>
      </c>
      <c r="V390" s="21" t="str">
        <f>IF('12 - Device_Configuration'!BA391="","",'12 - Device_Configuration'!BA391)</f>
        <v/>
      </c>
      <c r="W390" s="21" t="str">
        <f>IF('12 - Device_Configuration'!BC391="","",'12 - Device_Configuration'!BC391)</f>
        <v/>
      </c>
      <c r="X390" s="21" t="str">
        <f>IF('12 - Device_Configuration'!BK391="","",'12 - Device_Configuration'!BK391)</f>
        <v/>
      </c>
      <c r="Y390" s="21" t="str">
        <f>IF('12 - Device_Configuration'!BB391="","",'12 - Device_Configuration'!BB391)</f>
        <v/>
      </c>
      <c r="Z390" s="21" t="str">
        <f>IF('12 - Device_Configuration'!P391="","",'12 - Device_Configuration'!P391)</f>
        <v/>
      </c>
      <c r="AA390" s="21" t="str">
        <f>IF('12 - Device_Configuration'!Q391="","",'12 - Device_Configuration'!Q391)</f>
        <v/>
      </c>
    </row>
    <row r="391" spans="1:27">
      <c r="A391" s="22"/>
      <c r="B391" s="22"/>
      <c r="C391" s="21" t="str">
        <f>IF('12 - Device_Configuration'!H392="","",'12 - Device_Configuration'!H392)</f>
        <v/>
      </c>
      <c r="D391" s="21" t="str">
        <f>IF('12 - Device_Configuration'!AE392="","",'12 - Device_Configuration'!AE392)</f>
        <v/>
      </c>
      <c r="E391" s="21" t="str">
        <f>IF('12 - Device_Configuration'!AF392="","",'12 - Device_Configuration'!AF392)</f>
        <v/>
      </c>
      <c r="F391" s="21" t="str">
        <f>IF('12 - Device_Configuration'!AG392="","",'12 - Device_Configuration'!AG392)</f>
        <v/>
      </c>
      <c r="G391" s="21" t="str">
        <f>IF('12 - Device_Configuration'!AH392="","",'12 - Device_Configuration'!AH392)</f>
        <v/>
      </c>
      <c r="H391" s="21" t="str">
        <f>IF('12 - Device_Configuration'!A392="","",'12 - Device_Configuration'!A392)</f>
        <v/>
      </c>
      <c r="I391" s="21" t="str">
        <f>IF('12 - Device_Configuration'!AI392="","",'12 - Device_Configuration'!AI392)</f>
        <v/>
      </c>
      <c r="J391" s="21" t="str">
        <f>IF('12 - Device_Configuration'!AJ392="","",'12 - Device_Configuration'!AJ392)</f>
        <v/>
      </c>
      <c r="K391" s="21" t="str">
        <f>IF('12 - Device_Configuration'!AA392="","",'12 - Device_Configuration'!AA392)</f>
        <v/>
      </c>
      <c r="L391" s="21" t="str">
        <f>IF('12 - Device_Configuration'!I392="","",'12 - Device_Configuration'!I392)</f>
        <v/>
      </c>
      <c r="M391" s="22"/>
      <c r="N391" s="21" t="str">
        <f>IF('12 - Device_Configuration'!J392="","",'12 - Device_Configuration'!J392)</f>
        <v/>
      </c>
      <c r="O391" s="21" t="str">
        <f>IF('12 - Device_Configuration'!K392="","",'12 - Device_Configuration'!K392)</f>
        <v/>
      </c>
      <c r="P391" s="21" t="str">
        <f>IF('12 - Device_Configuration'!L392="","",'12 - Device_Configuration'!L392)</f>
        <v/>
      </c>
      <c r="Q391" s="22"/>
      <c r="R391" s="21" t="str">
        <f>IF('12 - Device_Configuration'!AY392="","",'12 - Device_Configuration'!AY392)</f>
        <v/>
      </c>
      <c r="S391" s="21" t="str">
        <f>IF('12 - Device_Configuration'!AX392="","",'12 - Device_Configuration'!AX392)</f>
        <v/>
      </c>
      <c r="T391" s="21" t="str">
        <f>IF('12 - Device_Configuration'!AV392="","",'12 - Device_Configuration'!AV392)</f>
        <v/>
      </c>
      <c r="U391" s="21" t="str">
        <f>IF('12 - Device_Configuration'!AW392="","",'12 - Device_Configuration'!AW392)</f>
        <v/>
      </c>
      <c r="V391" s="21" t="str">
        <f>IF('12 - Device_Configuration'!BA392="","",'12 - Device_Configuration'!BA392)</f>
        <v/>
      </c>
      <c r="W391" s="21" t="str">
        <f>IF('12 - Device_Configuration'!BC392="","",'12 - Device_Configuration'!BC392)</f>
        <v/>
      </c>
      <c r="X391" s="21" t="str">
        <f>IF('12 - Device_Configuration'!BK392="","",'12 - Device_Configuration'!BK392)</f>
        <v/>
      </c>
      <c r="Y391" s="21" t="str">
        <f>IF('12 - Device_Configuration'!BB392="","",'12 - Device_Configuration'!BB392)</f>
        <v/>
      </c>
      <c r="Z391" s="21" t="str">
        <f>IF('12 - Device_Configuration'!P392="","",'12 - Device_Configuration'!P392)</f>
        <v/>
      </c>
      <c r="AA391" s="21" t="str">
        <f>IF('12 - Device_Configuration'!Q392="","",'12 - Device_Configuration'!Q392)</f>
        <v/>
      </c>
    </row>
    <row r="392" spans="1:27">
      <c r="A392" s="22"/>
      <c r="B392" s="22"/>
      <c r="C392" s="21" t="str">
        <f>IF('12 - Device_Configuration'!H393="","",'12 - Device_Configuration'!H393)</f>
        <v/>
      </c>
      <c r="D392" s="21" t="str">
        <f>IF('12 - Device_Configuration'!AE393="","",'12 - Device_Configuration'!AE393)</f>
        <v/>
      </c>
      <c r="E392" s="21" t="str">
        <f>IF('12 - Device_Configuration'!AF393="","",'12 - Device_Configuration'!AF393)</f>
        <v/>
      </c>
      <c r="F392" s="21" t="str">
        <f>IF('12 - Device_Configuration'!AG393="","",'12 - Device_Configuration'!AG393)</f>
        <v/>
      </c>
      <c r="G392" s="21" t="str">
        <f>IF('12 - Device_Configuration'!AH393="","",'12 - Device_Configuration'!AH393)</f>
        <v/>
      </c>
      <c r="H392" s="21" t="str">
        <f>IF('12 - Device_Configuration'!A393="","",'12 - Device_Configuration'!A393)</f>
        <v/>
      </c>
      <c r="I392" s="21" t="str">
        <f>IF('12 - Device_Configuration'!AI393="","",'12 - Device_Configuration'!AI393)</f>
        <v/>
      </c>
      <c r="J392" s="21" t="str">
        <f>IF('12 - Device_Configuration'!AJ393="","",'12 - Device_Configuration'!AJ393)</f>
        <v/>
      </c>
      <c r="K392" s="21" t="str">
        <f>IF('12 - Device_Configuration'!AA393="","",'12 - Device_Configuration'!AA393)</f>
        <v/>
      </c>
      <c r="L392" s="21" t="str">
        <f>IF('12 - Device_Configuration'!I393="","",'12 - Device_Configuration'!I393)</f>
        <v/>
      </c>
      <c r="M392" s="22"/>
      <c r="N392" s="21" t="str">
        <f>IF('12 - Device_Configuration'!J393="","",'12 - Device_Configuration'!J393)</f>
        <v/>
      </c>
      <c r="O392" s="21" t="str">
        <f>IF('12 - Device_Configuration'!K393="","",'12 - Device_Configuration'!K393)</f>
        <v/>
      </c>
      <c r="P392" s="21" t="str">
        <f>IF('12 - Device_Configuration'!L393="","",'12 - Device_Configuration'!L393)</f>
        <v/>
      </c>
      <c r="Q392" s="22"/>
      <c r="R392" s="21" t="str">
        <f>IF('12 - Device_Configuration'!AY393="","",'12 - Device_Configuration'!AY393)</f>
        <v/>
      </c>
      <c r="S392" s="21" t="str">
        <f>IF('12 - Device_Configuration'!AX393="","",'12 - Device_Configuration'!AX393)</f>
        <v/>
      </c>
      <c r="T392" s="21" t="str">
        <f>IF('12 - Device_Configuration'!AV393="","",'12 - Device_Configuration'!AV393)</f>
        <v/>
      </c>
      <c r="U392" s="21" t="str">
        <f>IF('12 - Device_Configuration'!AW393="","",'12 - Device_Configuration'!AW393)</f>
        <v/>
      </c>
      <c r="V392" s="21" t="str">
        <f>IF('12 - Device_Configuration'!BA393="","",'12 - Device_Configuration'!BA393)</f>
        <v/>
      </c>
      <c r="W392" s="21" t="str">
        <f>IF('12 - Device_Configuration'!BC393="","",'12 - Device_Configuration'!BC393)</f>
        <v/>
      </c>
      <c r="X392" s="21" t="str">
        <f>IF('12 - Device_Configuration'!BK393="","",'12 - Device_Configuration'!BK393)</f>
        <v/>
      </c>
      <c r="Y392" s="21" t="str">
        <f>IF('12 - Device_Configuration'!BB393="","",'12 - Device_Configuration'!BB393)</f>
        <v/>
      </c>
      <c r="Z392" s="21" t="str">
        <f>IF('12 - Device_Configuration'!P393="","",'12 - Device_Configuration'!P393)</f>
        <v/>
      </c>
      <c r="AA392" s="21" t="str">
        <f>IF('12 - Device_Configuration'!Q393="","",'12 - Device_Configuration'!Q393)</f>
        <v/>
      </c>
    </row>
    <row r="393" spans="1:27">
      <c r="A393" s="22"/>
      <c r="B393" s="22"/>
      <c r="C393" s="21" t="str">
        <f>IF('12 - Device_Configuration'!H394="","",'12 - Device_Configuration'!H394)</f>
        <v/>
      </c>
      <c r="D393" s="21" t="str">
        <f>IF('12 - Device_Configuration'!AE394="","",'12 - Device_Configuration'!AE394)</f>
        <v/>
      </c>
      <c r="E393" s="21" t="str">
        <f>IF('12 - Device_Configuration'!AF394="","",'12 - Device_Configuration'!AF394)</f>
        <v/>
      </c>
      <c r="F393" s="21" t="str">
        <f>IF('12 - Device_Configuration'!AG394="","",'12 - Device_Configuration'!AG394)</f>
        <v/>
      </c>
      <c r="G393" s="21" t="str">
        <f>IF('12 - Device_Configuration'!AH394="","",'12 - Device_Configuration'!AH394)</f>
        <v/>
      </c>
      <c r="H393" s="21" t="str">
        <f>IF('12 - Device_Configuration'!A394="","",'12 - Device_Configuration'!A394)</f>
        <v/>
      </c>
      <c r="I393" s="21" t="str">
        <f>IF('12 - Device_Configuration'!AI394="","",'12 - Device_Configuration'!AI394)</f>
        <v/>
      </c>
      <c r="J393" s="21" t="str">
        <f>IF('12 - Device_Configuration'!AJ394="","",'12 - Device_Configuration'!AJ394)</f>
        <v/>
      </c>
      <c r="K393" s="21" t="str">
        <f>IF('12 - Device_Configuration'!AA394="","",'12 - Device_Configuration'!AA394)</f>
        <v/>
      </c>
      <c r="L393" s="21" t="str">
        <f>IF('12 - Device_Configuration'!I394="","",'12 - Device_Configuration'!I394)</f>
        <v/>
      </c>
      <c r="M393" s="22"/>
      <c r="N393" s="21" t="str">
        <f>IF('12 - Device_Configuration'!J394="","",'12 - Device_Configuration'!J394)</f>
        <v/>
      </c>
      <c r="O393" s="21" t="str">
        <f>IF('12 - Device_Configuration'!K394="","",'12 - Device_Configuration'!K394)</f>
        <v/>
      </c>
      <c r="P393" s="21" t="str">
        <f>IF('12 - Device_Configuration'!L394="","",'12 - Device_Configuration'!L394)</f>
        <v/>
      </c>
      <c r="Q393" s="22"/>
      <c r="R393" s="21" t="str">
        <f>IF('12 - Device_Configuration'!AY394="","",'12 - Device_Configuration'!AY394)</f>
        <v/>
      </c>
      <c r="S393" s="21" t="str">
        <f>IF('12 - Device_Configuration'!AX394="","",'12 - Device_Configuration'!AX394)</f>
        <v/>
      </c>
      <c r="T393" s="21" t="str">
        <f>IF('12 - Device_Configuration'!AV394="","",'12 - Device_Configuration'!AV394)</f>
        <v/>
      </c>
      <c r="U393" s="21" t="str">
        <f>IF('12 - Device_Configuration'!AW394="","",'12 - Device_Configuration'!AW394)</f>
        <v/>
      </c>
      <c r="V393" s="21" t="str">
        <f>IF('12 - Device_Configuration'!BA394="","",'12 - Device_Configuration'!BA394)</f>
        <v/>
      </c>
      <c r="W393" s="21" t="str">
        <f>IF('12 - Device_Configuration'!BC394="","",'12 - Device_Configuration'!BC394)</f>
        <v/>
      </c>
      <c r="X393" s="21" t="str">
        <f>IF('12 - Device_Configuration'!BK394="","",'12 - Device_Configuration'!BK394)</f>
        <v/>
      </c>
      <c r="Y393" s="21" t="str">
        <f>IF('12 - Device_Configuration'!BB394="","",'12 - Device_Configuration'!BB394)</f>
        <v/>
      </c>
      <c r="Z393" s="21" t="str">
        <f>IF('12 - Device_Configuration'!P394="","",'12 - Device_Configuration'!P394)</f>
        <v/>
      </c>
      <c r="AA393" s="21" t="str">
        <f>IF('12 - Device_Configuration'!Q394="","",'12 - Device_Configuration'!Q394)</f>
        <v/>
      </c>
    </row>
    <row r="394" spans="1:27">
      <c r="A394" s="22"/>
      <c r="B394" s="22"/>
      <c r="C394" s="21" t="str">
        <f>IF('12 - Device_Configuration'!H395="","",'12 - Device_Configuration'!H395)</f>
        <v/>
      </c>
      <c r="D394" s="21" t="str">
        <f>IF('12 - Device_Configuration'!AE395="","",'12 - Device_Configuration'!AE395)</f>
        <v/>
      </c>
      <c r="E394" s="21" t="str">
        <f>IF('12 - Device_Configuration'!AF395="","",'12 - Device_Configuration'!AF395)</f>
        <v/>
      </c>
      <c r="F394" s="21" t="str">
        <f>IF('12 - Device_Configuration'!AG395="","",'12 - Device_Configuration'!AG395)</f>
        <v/>
      </c>
      <c r="G394" s="21" t="str">
        <f>IF('12 - Device_Configuration'!AH395="","",'12 - Device_Configuration'!AH395)</f>
        <v/>
      </c>
      <c r="H394" s="21" t="str">
        <f>IF('12 - Device_Configuration'!A395="","",'12 - Device_Configuration'!A395)</f>
        <v/>
      </c>
      <c r="I394" s="21" t="str">
        <f>IF('12 - Device_Configuration'!AI395="","",'12 - Device_Configuration'!AI395)</f>
        <v/>
      </c>
      <c r="J394" s="21" t="str">
        <f>IF('12 - Device_Configuration'!AJ395="","",'12 - Device_Configuration'!AJ395)</f>
        <v/>
      </c>
      <c r="K394" s="21" t="str">
        <f>IF('12 - Device_Configuration'!AA395="","",'12 - Device_Configuration'!AA395)</f>
        <v/>
      </c>
      <c r="L394" s="21" t="str">
        <f>IF('12 - Device_Configuration'!I395="","",'12 - Device_Configuration'!I395)</f>
        <v/>
      </c>
      <c r="M394" s="22"/>
      <c r="N394" s="21" t="str">
        <f>IF('12 - Device_Configuration'!J395="","",'12 - Device_Configuration'!J395)</f>
        <v/>
      </c>
      <c r="O394" s="21" t="str">
        <f>IF('12 - Device_Configuration'!K395="","",'12 - Device_Configuration'!K395)</f>
        <v/>
      </c>
      <c r="P394" s="21" t="str">
        <f>IF('12 - Device_Configuration'!L395="","",'12 - Device_Configuration'!L395)</f>
        <v/>
      </c>
      <c r="Q394" s="22"/>
      <c r="R394" s="21" t="str">
        <f>IF('12 - Device_Configuration'!AY395="","",'12 - Device_Configuration'!AY395)</f>
        <v/>
      </c>
      <c r="S394" s="21" t="str">
        <f>IF('12 - Device_Configuration'!AX395="","",'12 - Device_Configuration'!AX395)</f>
        <v/>
      </c>
      <c r="T394" s="21" t="str">
        <f>IF('12 - Device_Configuration'!AV395="","",'12 - Device_Configuration'!AV395)</f>
        <v/>
      </c>
      <c r="U394" s="21" t="str">
        <f>IF('12 - Device_Configuration'!AW395="","",'12 - Device_Configuration'!AW395)</f>
        <v/>
      </c>
      <c r="V394" s="21" t="str">
        <f>IF('12 - Device_Configuration'!BA395="","",'12 - Device_Configuration'!BA395)</f>
        <v/>
      </c>
      <c r="W394" s="21" t="str">
        <f>IF('12 - Device_Configuration'!BC395="","",'12 - Device_Configuration'!BC395)</f>
        <v/>
      </c>
      <c r="X394" s="21" t="str">
        <f>IF('12 - Device_Configuration'!BK395="","",'12 - Device_Configuration'!BK395)</f>
        <v/>
      </c>
      <c r="Y394" s="21" t="str">
        <f>IF('12 - Device_Configuration'!BB395="","",'12 - Device_Configuration'!BB395)</f>
        <v/>
      </c>
      <c r="Z394" s="21" t="str">
        <f>IF('12 - Device_Configuration'!P395="","",'12 - Device_Configuration'!P395)</f>
        <v/>
      </c>
      <c r="AA394" s="21" t="str">
        <f>IF('12 - Device_Configuration'!Q395="","",'12 - Device_Configuration'!Q395)</f>
        <v/>
      </c>
    </row>
    <row r="395" spans="1:27">
      <c r="A395" s="22"/>
      <c r="B395" s="22"/>
      <c r="C395" s="21" t="str">
        <f>IF('12 - Device_Configuration'!H396="","",'12 - Device_Configuration'!H396)</f>
        <v/>
      </c>
      <c r="D395" s="21" t="str">
        <f>IF('12 - Device_Configuration'!AE396="","",'12 - Device_Configuration'!AE396)</f>
        <v/>
      </c>
      <c r="E395" s="21" t="str">
        <f>IF('12 - Device_Configuration'!AF396="","",'12 - Device_Configuration'!AF396)</f>
        <v/>
      </c>
      <c r="F395" s="21" t="str">
        <f>IF('12 - Device_Configuration'!AG396="","",'12 - Device_Configuration'!AG396)</f>
        <v/>
      </c>
      <c r="G395" s="21" t="str">
        <f>IF('12 - Device_Configuration'!AH396="","",'12 - Device_Configuration'!AH396)</f>
        <v/>
      </c>
      <c r="H395" s="21" t="str">
        <f>IF('12 - Device_Configuration'!A396="","",'12 - Device_Configuration'!A396)</f>
        <v/>
      </c>
      <c r="I395" s="21" t="str">
        <f>IF('12 - Device_Configuration'!AI396="","",'12 - Device_Configuration'!AI396)</f>
        <v/>
      </c>
      <c r="J395" s="21" t="str">
        <f>IF('12 - Device_Configuration'!AJ396="","",'12 - Device_Configuration'!AJ396)</f>
        <v/>
      </c>
      <c r="K395" s="21" t="str">
        <f>IF('12 - Device_Configuration'!AA396="","",'12 - Device_Configuration'!AA396)</f>
        <v/>
      </c>
      <c r="L395" s="21" t="str">
        <f>IF('12 - Device_Configuration'!I396="","",'12 - Device_Configuration'!I396)</f>
        <v/>
      </c>
      <c r="M395" s="22"/>
      <c r="N395" s="21" t="str">
        <f>IF('12 - Device_Configuration'!J396="","",'12 - Device_Configuration'!J396)</f>
        <v/>
      </c>
      <c r="O395" s="21" t="str">
        <f>IF('12 - Device_Configuration'!K396="","",'12 - Device_Configuration'!K396)</f>
        <v/>
      </c>
      <c r="P395" s="21" t="str">
        <f>IF('12 - Device_Configuration'!L396="","",'12 - Device_Configuration'!L396)</f>
        <v/>
      </c>
      <c r="Q395" s="22"/>
      <c r="R395" s="21" t="str">
        <f>IF('12 - Device_Configuration'!AY396="","",'12 - Device_Configuration'!AY396)</f>
        <v/>
      </c>
      <c r="S395" s="21" t="str">
        <f>IF('12 - Device_Configuration'!AX396="","",'12 - Device_Configuration'!AX396)</f>
        <v/>
      </c>
      <c r="T395" s="21" t="str">
        <f>IF('12 - Device_Configuration'!AV396="","",'12 - Device_Configuration'!AV396)</f>
        <v/>
      </c>
      <c r="U395" s="21" t="str">
        <f>IF('12 - Device_Configuration'!AW396="","",'12 - Device_Configuration'!AW396)</f>
        <v/>
      </c>
      <c r="V395" s="21" t="str">
        <f>IF('12 - Device_Configuration'!BA396="","",'12 - Device_Configuration'!BA396)</f>
        <v/>
      </c>
      <c r="W395" s="21" t="str">
        <f>IF('12 - Device_Configuration'!BC396="","",'12 - Device_Configuration'!BC396)</f>
        <v/>
      </c>
      <c r="X395" s="21" t="str">
        <f>IF('12 - Device_Configuration'!BK396="","",'12 - Device_Configuration'!BK396)</f>
        <v/>
      </c>
      <c r="Y395" s="21" t="str">
        <f>IF('12 - Device_Configuration'!BB396="","",'12 - Device_Configuration'!BB396)</f>
        <v/>
      </c>
      <c r="Z395" s="21" t="str">
        <f>IF('12 - Device_Configuration'!P396="","",'12 - Device_Configuration'!P396)</f>
        <v/>
      </c>
      <c r="AA395" s="21" t="str">
        <f>IF('12 - Device_Configuration'!Q396="","",'12 - Device_Configuration'!Q396)</f>
        <v/>
      </c>
    </row>
    <row r="396" spans="1:27">
      <c r="A396" s="22"/>
      <c r="B396" s="22"/>
      <c r="C396" s="21" t="str">
        <f>IF('12 - Device_Configuration'!H397="","",'12 - Device_Configuration'!H397)</f>
        <v/>
      </c>
      <c r="D396" s="21" t="str">
        <f>IF('12 - Device_Configuration'!AE397="","",'12 - Device_Configuration'!AE397)</f>
        <v/>
      </c>
      <c r="E396" s="21" t="str">
        <f>IF('12 - Device_Configuration'!AF397="","",'12 - Device_Configuration'!AF397)</f>
        <v/>
      </c>
      <c r="F396" s="21" t="str">
        <f>IF('12 - Device_Configuration'!AG397="","",'12 - Device_Configuration'!AG397)</f>
        <v/>
      </c>
      <c r="G396" s="21" t="str">
        <f>IF('12 - Device_Configuration'!AH397="","",'12 - Device_Configuration'!AH397)</f>
        <v/>
      </c>
      <c r="H396" s="21" t="str">
        <f>IF('12 - Device_Configuration'!A397="","",'12 - Device_Configuration'!A397)</f>
        <v/>
      </c>
      <c r="I396" s="21" t="str">
        <f>IF('12 - Device_Configuration'!AI397="","",'12 - Device_Configuration'!AI397)</f>
        <v/>
      </c>
      <c r="J396" s="21" t="str">
        <f>IF('12 - Device_Configuration'!AJ397="","",'12 - Device_Configuration'!AJ397)</f>
        <v/>
      </c>
      <c r="K396" s="21" t="str">
        <f>IF('12 - Device_Configuration'!AA397="","",'12 - Device_Configuration'!AA397)</f>
        <v/>
      </c>
      <c r="L396" s="21" t="str">
        <f>IF('12 - Device_Configuration'!I397="","",'12 - Device_Configuration'!I397)</f>
        <v/>
      </c>
      <c r="M396" s="22"/>
      <c r="N396" s="21" t="str">
        <f>IF('12 - Device_Configuration'!J397="","",'12 - Device_Configuration'!J397)</f>
        <v/>
      </c>
      <c r="O396" s="21" t="str">
        <f>IF('12 - Device_Configuration'!K397="","",'12 - Device_Configuration'!K397)</f>
        <v/>
      </c>
      <c r="P396" s="21" t="str">
        <f>IF('12 - Device_Configuration'!L397="","",'12 - Device_Configuration'!L397)</f>
        <v/>
      </c>
      <c r="Q396" s="22"/>
      <c r="R396" s="21" t="str">
        <f>IF('12 - Device_Configuration'!AY397="","",'12 - Device_Configuration'!AY397)</f>
        <v/>
      </c>
      <c r="S396" s="21" t="str">
        <f>IF('12 - Device_Configuration'!AX397="","",'12 - Device_Configuration'!AX397)</f>
        <v/>
      </c>
      <c r="T396" s="21" t="str">
        <f>IF('12 - Device_Configuration'!AV397="","",'12 - Device_Configuration'!AV397)</f>
        <v/>
      </c>
      <c r="U396" s="21" t="str">
        <f>IF('12 - Device_Configuration'!AW397="","",'12 - Device_Configuration'!AW397)</f>
        <v/>
      </c>
      <c r="V396" s="21" t="str">
        <f>IF('12 - Device_Configuration'!BA397="","",'12 - Device_Configuration'!BA397)</f>
        <v/>
      </c>
      <c r="W396" s="21" t="str">
        <f>IF('12 - Device_Configuration'!BC397="","",'12 - Device_Configuration'!BC397)</f>
        <v/>
      </c>
      <c r="X396" s="21" t="str">
        <f>IF('12 - Device_Configuration'!BK397="","",'12 - Device_Configuration'!BK397)</f>
        <v/>
      </c>
      <c r="Y396" s="21" t="str">
        <f>IF('12 - Device_Configuration'!BB397="","",'12 - Device_Configuration'!BB397)</f>
        <v/>
      </c>
      <c r="Z396" s="21" t="str">
        <f>IF('12 - Device_Configuration'!P397="","",'12 - Device_Configuration'!P397)</f>
        <v/>
      </c>
      <c r="AA396" s="21" t="str">
        <f>IF('12 - Device_Configuration'!Q397="","",'12 - Device_Configuration'!Q397)</f>
        <v/>
      </c>
    </row>
    <row r="397" spans="1:27">
      <c r="A397" s="22"/>
      <c r="B397" s="22"/>
      <c r="C397" s="21" t="str">
        <f>IF('12 - Device_Configuration'!H398="","",'12 - Device_Configuration'!H398)</f>
        <v/>
      </c>
      <c r="D397" s="21" t="str">
        <f>IF('12 - Device_Configuration'!AE398="","",'12 - Device_Configuration'!AE398)</f>
        <v/>
      </c>
      <c r="E397" s="21" t="str">
        <f>IF('12 - Device_Configuration'!AF398="","",'12 - Device_Configuration'!AF398)</f>
        <v/>
      </c>
      <c r="F397" s="21" t="str">
        <f>IF('12 - Device_Configuration'!AG398="","",'12 - Device_Configuration'!AG398)</f>
        <v/>
      </c>
      <c r="G397" s="21" t="str">
        <f>IF('12 - Device_Configuration'!AH398="","",'12 - Device_Configuration'!AH398)</f>
        <v/>
      </c>
      <c r="H397" s="21" t="str">
        <f>IF('12 - Device_Configuration'!A398="","",'12 - Device_Configuration'!A398)</f>
        <v/>
      </c>
      <c r="I397" s="21" t="str">
        <f>IF('12 - Device_Configuration'!AI398="","",'12 - Device_Configuration'!AI398)</f>
        <v/>
      </c>
      <c r="J397" s="21" t="str">
        <f>IF('12 - Device_Configuration'!AJ398="","",'12 - Device_Configuration'!AJ398)</f>
        <v/>
      </c>
      <c r="K397" s="21" t="str">
        <f>IF('12 - Device_Configuration'!AA398="","",'12 - Device_Configuration'!AA398)</f>
        <v/>
      </c>
      <c r="L397" s="21" t="str">
        <f>IF('12 - Device_Configuration'!I398="","",'12 - Device_Configuration'!I398)</f>
        <v/>
      </c>
      <c r="M397" s="22"/>
      <c r="N397" s="21" t="str">
        <f>IF('12 - Device_Configuration'!J398="","",'12 - Device_Configuration'!J398)</f>
        <v/>
      </c>
      <c r="O397" s="21" t="str">
        <f>IF('12 - Device_Configuration'!K398="","",'12 - Device_Configuration'!K398)</f>
        <v/>
      </c>
      <c r="P397" s="21" t="str">
        <f>IF('12 - Device_Configuration'!L398="","",'12 - Device_Configuration'!L398)</f>
        <v/>
      </c>
      <c r="Q397" s="22"/>
      <c r="R397" s="21" t="str">
        <f>IF('12 - Device_Configuration'!AY398="","",'12 - Device_Configuration'!AY398)</f>
        <v/>
      </c>
      <c r="S397" s="21" t="str">
        <f>IF('12 - Device_Configuration'!AX398="","",'12 - Device_Configuration'!AX398)</f>
        <v/>
      </c>
      <c r="T397" s="21" t="str">
        <f>IF('12 - Device_Configuration'!AV398="","",'12 - Device_Configuration'!AV398)</f>
        <v/>
      </c>
      <c r="U397" s="21" t="str">
        <f>IF('12 - Device_Configuration'!AW398="","",'12 - Device_Configuration'!AW398)</f>
        <v/>
      </c>
      <c r="V397" s="21" t="str">
        <f>IF('12 - Device_Configuration'!BA398="","",'12 - Device_Configuration'!BA398)</f>
        <v/>
      </c>
      <c r="W397" s="21" t="str">
        <f>IF('12 - Device_Configuration'!BC398="","",'12 - Device_Configuration'!BC398)</f>
        <v/>
      </c>
      <c r="X397" s="21" t="str">
        <f>IF('12 - Device_Configuration'!BK398="","",'12 - Device_Configuration'!BK398)</f>
        <v/>
      </c>
      <c r="Y397" s="21" t="str">
        <f>IF('12 - Device_Configuration'!BB398="","",'12 - Device_Configuration'!BB398)</f>
        <v/>
      </c>
      <c r="Z397" s="21" t="str">
        <f>IF('12 - Device_Configuration'!P398="","",'12 - Device_Configuration'!P398)</f>
        <v/>
      </c>
      <c r="AA397" s="21" t="str">
        <f>IF('12 - Device_Configuration'!Q398="","",'12 - Device_Configuration'!Q398)</f>
        <v/>
      </c>
    </row>
    <row r="398" spans="1:27">
      <c r="A398" s="22"/>
      <c r="B398" s="22"/>
      <c r="C398" s="21" t="str">
        <f>IF('12 - Device_Configuration'!H399="","",'12 - Device_Configuration'!H399)</f>
        <v/>
      </c>
      <c r="D398" s="21" t="str">
        <f>IF('12 - Device_Configuration'!AE399="","",'12 - Device_Configuration'!AE399)</f>
        <v/>
      </c>
      <c r="E398" s="21" t="str">
        <f>IF('12 - Device_Configuration'!AF399="","",'12 - Device_Configuration'!AF399)</f>
        <v/>
      </c>
      <c r="F398" s="21" t="str">
        <f>IF('12 - Device_Configuration'!AG399="","",'12 - Device_Configuration'!AG399)</f>
        <v/>
      </c>
      <c r="G398" s="21" t="str">
        <f>IF('12 - Device_Configuration'!AH399="","",'12 - Device_Configuration'!AH399)</f>
        <v/>
      </c>
      <c r="H398" s="21" t="str">
        <f>IF('12 - Device_Configuration'!A399="","",'12 - Device_Configuration'!A399)</f>
        <v/>
      </c>
      <c r="I398" s="21" t="str">
        <f>IF('12 - Device_Configuration'!AI399="","",'12 - Device_Configuration'!AI399)</f>
        <v/>
      </c>
      <c r="J398" s="21" t="str">
        <f>IF('12 - Device_Configuration'!AJ399="","",'12 - Device_Configuration'!AJ399)</f>
        <v/>
      </c>
      <c r="K398" s="21" t="str">
        <f>IF('12 - Device_Configuration'!AA399="","",'12 - Device_Configuration'!AA399)</f>
        <v/>
      </c>
      <c r="L398" s="21" t="str">
        <f>IF('12 - Device_Configuration'!I399="","",'12 - Device_Configuration'!I399)</f>
        <v/>
      </c>
      <c r="M398" s="22"/>
      <c r="N398" s="21" t="str">
        <f>IF('12 - Device_Configuration'!J399="","",'12 - Device_Configuration'!J399)</f>
        <v/>
      </c>
      <c r="O398" s="21" t="str">
        <f>IF('12 - Device_Configuration'!K399="","",'12 - Device_Configuration'!K399)</f>
        <v/>
      </c>
      <c r="P398" s="21" t="str">
        <f>IF('12 - Device_Configuration'!L399="","",'12 - Device_Configuration'!L399)</f>
        <v/>
      </c>
      <c r="Q398" s="22"/>
      <c r="R398" s="21" t="str">
        <f>IF('12 - Device_Configuration'!AY399="","",'12 - Device_Configuration'!AY399)</f>
        <v/>
      </c>
      <c r="S398" s="21" t="str">
        <f>IF('12 - Device_Configuration'!AX399="","",'12 - Device_Configuration'!AX399)</f>
        <v/>
      </c>
      <c r="T398" s="21" t="str">
        <f>IF('12 - Device_Configuration'!AV399="","",'12 - Device_Configuration'!AV399)</f>
        <v/>
      </c>
      <c r="U398" s="21" t="str">
        <f>IF('12 - Device_Configuration'!AW399="","",'12 - Device_Configuration'!AW399)</f>
        <v/>
      </c>
      <c r="V398" s="21" t="str">
        <f>IF('12 - Device_Configuration'!BA399="","",'12 - Device_Configuration'!BA399)</f>
        <v/>
      </c>
      <c r="W398" s="21" t="str">
        <f>IF('12 - Device_Configuration'!BC399="","",'12 - Device_Configuration'!BC399)</f>
        <v/>
      </c>
      <c r="X398" s="21" t="str">
        <f>IF('12 - Device_Configuration'!BK399="","",'12 - Device_Configuration'!BK399)</f>
        <v/>
      </c>
      <c r="Y398" s="21" t="str">
        <f>IF('12 - Device_Configuration'!BB399="","",'12 - Device_Configuration'!BB399)</f>
        <v/>
      </c>
      <c r="Z398" s="21" t="str">
        <f>IF('12 - Device_Configuration'!P399="","",'12 - Device_Configuration'!P399)</f>
        <v/>
      </c>
      <c r="AA398" s="21" t="str">
        <f>IF('12 - Device_Configuration'!Q399="","",'12 - Device_Configuration'!Q399)</f>
        <v/>
      </c>
    </row>
    <row r="399" spans="1:27">
      <c r="A399" s="22"/>
      <c r="B399" s="22"/>
      <c r="C399" s="21" t="str">
        <f>IF('12 - Device_Configuration'!H400="","",'12 - Device_Configuration'!H400)</f>
        <v/>
      </c>
      <c r="D399" s="21" t="str">
        <f>IF('12 - Device_Configuration'!AE400="","",'12 - Device_Configuration'!AE400)</f>
        <v/>
      </c>
      <c r="E399" s="21" t="str">
        <f>IF('12 - Device_Configuration'!AF400="","",'12 - Device_Configuration'!AF400)</f>
        <v/>
      </c>
      <c r="F399" s="21" t="str">
        <f>IF('12 - Device_Configuration'!AG400="","",'12 - Device_Configuration'!AG400)</f>
        <v/>
      </c>
      <c r="G399" s="21" t="str">
        <f>IF('12 - Device_Configuration'!AH400="","",'12 - Device_Configuration'!AH400)</f>
        <v/>
      </c>
      <c r="H399" s="21" t="str">
        <f>IF('12 - Device_Configuration'!A400="","",'12 - Device_Configuration'!A400)</f>
        <v/>
      </c>
      <c r="I399" s="21" t="str">
        <f>IF('12 - Device_Configuration'!AI400="","",'12 - Device_Configuration'!AI400)</f>
        <v/>
      </c>
      <c r="J399" s="21" t="str">
        <f>IF('12 - Device_Configuration'!AJ400="","",'12 - Device_Configuration'!AJ400)</f>
        <v/>
      </c>
      <c r="K399" s="21" t="str">
        <f>IF('12 - Device_Configuration'!AA400="","",'12 - Device_Configuration'!AA400)</f>
        <v/>
      </c>
      <c r="L399" s="21" t="str">
        <f>IF('12 - Device_Configuration'!I400="","",'12 - Device_Configuration'!I400)</f>
        <v/>
      </c>
      <c r="M399" s="22"/>
      <c r="N399" s="21" t="str">
        <f>IF('12 - Device_Configuration'!J400="","",'12 - Device_Configuration'!J400)</f>
        <v/>
      </c>
      <c r="O399" s="21" t="str">
        <f>IF('12 - Device_Configuration'!K400="","",'12 - Device_Configuration'!K400)</f>
        <v/>
      </c>
      <c r="P399" s="21" t="str">
        <f>IF('12 - Device_Configuration'!L400="","",'12 - Device_Configuration'!L400)</f>
        <v/>
      </c>
      <c r="Q399" s="22"/>
      <c r="R399" s="21" t="str">
        <f>IF('12 - Device_Configuration'!AY400="","",'12 - Device_Configuration'!AY400)</f>
        <v/>
      </c>
      <c r="S399" s="21" t="str">
        <f>IF('12 - Device_Configuration'!AX400="","",'12 - Device_Configuration'!AX400)</f>
        <v/>
      </c>
      <c r="T399" s="21" t="str">
        <f>IF('12 - Device_Configuration'!AV400="","",'12 - Device_Configuration'!AV400)</f>
        <v/>
      </c>
      <c r="U399" s="21" t="str">
        <f>IF('12 - Device_Configuration'!AW400="","",'12 - Device_Configuration'!AW400)</f>
        <v/>
      </c>
      <c r="V399" s="21" t="str">
        <f>IF('12 - Device_Configuration'!BA400="","",'12 - Device_Configuration'!BA400)</f>
        <v/>
      </c>
      <c r="W399" s="21" t="str">
        <f>IF('12 - Device_Configuration'!BC400="","",'12 - Device_Configuration'!BC400)</f>
        <v/>
      </c>
      <c r="X399" s="21" t="str">
        <f>IF('12 - Device_Configuration'!BK400="","",'12 - Device_Configuration'!BK400)</f>
        <v/>
      </c>
      <c r="Y399" s="21" t="str">
        <f>IF('12 - Device_Configuration'!BB400="","",'12 - Device_Configuration'!BB400)</f>
        <v/>
      </c>
      <c r="Z399" s="21" t="str">
        <f>IF('12 - Device_Configuration'!P400="","",'12 - Device_Configuration'!P400)</f>
        <v/>
      </c>
      <c r="AA399" s="21" t="str">
        <f>IF('12 - Device_Configuration'!Q400="","",'12 - Device_Configuration'!Q400)</f>
        <v/>
      </c>
    </row>
    <row r="400" spans="1:27">
      <c r="A400" s="22"/>
      <c r="B400" s="22"/>
      <c r="C400" s="21" t="str">
        <f>IF('12 - Device_Configuration'!H401="","",'12 - Device_Configuration'!H401)</f>
        <v/>
      </c>
      <c r="D400" s="21" t="str">
        <f>IF('12 - Device_Configuration'!AE401="","",'12 - Device_Configuration'!AE401)</f>
        <v/>
      </c>
      <c r="E400" s="21" t="str">
        <f>IF('12 - Device_Configuration'!AF401="","",'12 - Device_Configuration'!AF401)</f>
        <v/>
      </c>
      <c r="F400" s="21" t="str">
        <f>IF('12 - Device_Configuration'!AG401="","",'12 - Device_Configuration'!AG401)</f>
        <v/>
      </c>
      <c r="G400" s="21" t="str">
        <f>IF('12 - Device_Configuration'!AH401="","",'12 - Device_Configuration'!AH401)</f>
        <v/>
      </c>
      <c r="H400" s="21" t="str">
        <f>IF('12 - Device_Configuration'!A401="","",'12 - Device_Configuration'!A401)</f>
        <v/>
      </c>
      <c r="I400" s="21" t="str">
        <f>IF('12 - Device_Configuration'!AI401="","",'12 - Device_Configuration'!AI401)</f>
        <v/>
      </c>
      <c r="J400" s="21" t="str">
        <f>IF('12 - Device_Configuration'!AJ401="","",'12 - Device_Configuration'!AJ401)</f>
        <v/>
      </c>
      <c r="K400" s="21" t="str">
        <f>IF('12 - Device_Configuration'!AA401="","",'12 - Device_Configuration'!AA401)</f>
        <v/>
      </c>
      <c r="L400" s="21" t="str">
        <f>IF('12 - Device_Configuration'!I401="","",'12 - Device_Configuration'!I401)</f>
        <v/>
      </c>
      <c r="M400" s="22"/>
      <c r="N400" s="21" t="str">
        <f>IF('12 - Device_Configuration'!J401="","",'12 - Device_Configuration'!J401)</f>
        <v/>
      </c>
      <c r="O400" s="21" t="str">
        <f>IF('12 - Device_Configuration'!K401="","",'12 - Device_Configuration'!K401)</f>
        <v/>
      </c>
      <c r="P400" s="21" t="str">
        <f>IF('12 - Device_Configuration'!L401="","",'12 - Device_Configuration'!L401)</f>
        <v/>
      </c>
      <c r="Q400" s="22"/>
      <c r="R400" s="21" t="str">
        <f>IF('12 - Device_Configuration'!AY401="","",'12 - Device_Configuration'!AY401)</f>
        <v/>
      </c>
      <c r="S400" s="21" t="str">
        <f>IF('12 - Device_Configuration'!AX401="","",'12 - Device_Configuration'!AX401)</f>
        <v/>
      </c>
      <c r="T400" s="21" t="str">
        <f>IF('12 - Device_Configuration'!AV401="","",'12 - Device_Configuration'!AV401)</f>
        <v/>
      </c>
      <c r="U400" s="21" t="str">
        <f>IF('12 - Device_Configuration'!AW401="","",'12 - Device_Configuration'!AW401)</f>
        <v/>
      </c>
      <c r="V400" s="21" t="str">
        <f>IF('12 - Device_Configuration'!BA401="","",'12 - Device_Configuration'!BA401)</f>
        <v/>
      </c>
      <c r="W400" s="21" t="str">
        <f>IF('12 - Device_Configuration'!BC401="","",'12 - Device_Configuration'!BC401)</f>
        <v/>
      </c>
      <c r="X400" s="21" t="str">
        <f>IF('12 - Device_Configuration'!BK401="","",'12 - Device_Configuration'!BK401)</f>
        <v/>
      </c>
      <c r="Y400" s="21" t="str">
        <f>IF('12 - Device_Configuration'!BB401="","",'12 - Device_Configuration'!BB401)</f>
        <v/>
      </c>
      <c r="Z400" s="21" t="str">
        <f>IF('12 - Device_Configuration'!P401="","",'12 - Device_Configuration'!P401)</f>
        <v/>
      </c>
      <c r="AA400" s="21" t="str">
        <f>IF('12 - Device_Configuration'!Q401="","",'12 - Device_Configuration'!Q401)</f>
        <v/>
      </c>
    </row>
    <row r="401" spans="1:27">
      <c r="A401" s="22"/>
      <c r="B401" s="22"/>
      <c r="C401" s="21" t="str">
        <f>IF('12 - Device_Configuration'!H402="","",'12 - Device_Configuration'!H402)</f>
        <v/>
      </c>
      <c r="D401" s="21" t="str">
        <f>IF('12 - Device_Configuration'!AE402="","",'12 - Device_Configuration'!AE402)</f>
        <v/>
      </c>
      <c r="E401" s="21" t="str">
        <f>IF('12 - Device_Configuration'!AF402="","",'12 - Device_Configuration'!AF402)</f>
        <v/>
      </c>
      <c r="F401" s="21" t="str">
        <f>IF('12 - Device_Configuration'!AG402="","",'12 - Device_Configuration'!AG402)</f>
        <v/>
      </c>
      <c r="G401" s="21" t="str">
        <f>IF('12 - Device_Configuration'!AH402="","",'12 - Device_Configuration'!AH402)</f>
        <v/>
      </c>
      <c r="H401" s="21" t="str">
        <f>IF('12 - Device_Configuration'!A402="","",'12 - Device_Configuration'!A402)</f>
        <v/>
      </c>
      <c r="I401" s="21" t="str">
        <f>IF('12 - Device_Configuration'!AI402="","",'12 - Device_Configuration'!AI402)</f>
        <v/>
      </c>
      <c r="J401" s="21" t="str">
        <f>IF('12 - Device_Configuration'!AJ402="","",'12 - Device_Configuration'!AJ402)</f>
        <v/>
      </c>
      <c r="K401" s="21" t="str">
        <f>IF('12 - Device_Configuration'!AA402="","",'12 - Device_Configuration'!AA402)</f>
        <v/>
      </c>
      <c r="L401" s="21" t="str">
        <f>IF('12 - Device_Configuration'!I402="","",'12 - Device_Configuration'!I402)</f>
        <v/>
      </c>
      <c r="M401" s="22"/>
      <c r="N401" s="21" t="str">
        <f>IF('12 - Device_Configuration'!J402="","",'12 - Device_Configuration'!J402)</f>
        <v/>
      </c>
      <c r="O401" s="21" t="str">
        <f>IF('12 - Device_Configuration'!K402="","",'12 - Device_Configuration'!K402)</f>
        <v/>
      </c>
      <c r="P401" s="21" t="str">
        <f>IF('12 - Device_Configuration'!L402="","",'12 - Device_Configuration'!L402)</f>
        <v/>
      </c>
      <c r="Q401" s="22"/>
      <c r="R401" s="21" t="str">
        <f>IF('12 - Device_Configuration'!AY402="","",'12 - Device_Configuration'!AY402)</f>
        <v/>
      </c>
      <c r="S401" s="21" t="str">
        <f>IF('12 - Device_Configuration'!AX402="","",'12 - Device_Configuration'!AX402)</f>
        <v/>
      </c>
      <c r="T401" s="21" t="str">
        <f>IF('12 - Device_Configuration'!AV402="","",'12 - Device_Configuration'!AV402)</f>
        <v/>
      </c>
      <c r="U401" s="21" t="str">
        <f>IF('12 - Device_Configuration'!AW402="","",'12 - Device_Configuration'!AW402)</f>
        <v/>
      </c>
      <c r="V401" s="21" t="str">
        <f>IF('12 - Device_Configuration'!BA402="","",'12 - Device_Configuration'!BA402)</f>
        <v/>
      </c>
      <c r="W401" s="21" t="str">
        <f>IF('12 - Device_Configuration'!BC402="","",'12 - Device_Configuration'!BC402)</f>
        <v/>
      </c>
      <c r="X401" s="21" t="str">
        <f>IF('12 - Device_Configuration'!BK402="","",'12 - Device_Configuration'!BK402)</f>
        <v/>
      </c>
      <c r="Y401" s="21" t="str">
        <f>IF('12 - Device_Configuration'!BB402="","",'12 - Device_Configuration'!BB402)</f>
        <v/>
      </c>
      <c r="Z401" s="21" t="str">
        <f>IF('12 - Device_Configuration'!P402="","",'12 - Device_Configuration'!P402)</f>
        <v/>
      </c>
      <c r="AA401" s="21" t="str">
        <f>IF('12 - Device_Configuration'!Q402="","",'12 - Device_Configuration'!Q402)</f>
        <v/>
      </c>
    </row>
    <row r="402" spans="1:27">
      <c r="A402" s="22"/>
      <c r="B402" s="22"/>
      <c r="C402" s="21" t="str">
        <f>IF('12 - Device_Configuration'!H403="","",'12 - Device_Configuration'!H403)</f>
        <v/>
      </c>
      <c r="D402" s="21" t="str">
        <f>IF('12 - Device_Configuration'!AE403="","",'12 - Device_Configuration'!AE403)</f>
        <v/>
      </c>
      <c r="E402" s="21" t="str">
        <f>IF('12 - Device_Configuration'!AF403="","",'12 - Device_Configuration'!AF403)</f>
        <v/>
      </c>
      <c r="F402" s="21" t="str">
        <f>IF('12 - Device_Configuration'!AG403="","",'12 - Device_Configuration'!AG403)</f>
        <v/>
      </c>
      <c r="G402" s="21" t="str">
        <f>IF('12 - Device_Configuration'!AH403="","",'12 - Device_Configuration'!AH403)</f>
        <v/>
      </c>
      <c r="H402" s="21" t="str">
        <f>IF('12 - Device_Configuration'!A403="","",'12 - Device_Configuration'!A403)</f>
        <v/>
      </c>
      <c r="I402" s="21" t="str">
        <f>IF('12 - Device_Configuration'!AI403="","",'12 - Device_Configuration'!AI403)</f>
        <v/>
      </c>
      <c r="J402" s="21" t="str">
        <f>IF('12 - Device_Configuration'!AJ403="","",'12 - Device_Configuration'!AJ403)</f>
        <v/>
      </c>
      <c r="K402" s="21" t="str">
        <f>IF('12 - Device_Configuration'!AA403="","",'12 - Device_Configuration'!AA403)</f>
        <v/>
      </c>
      <c r="L402" s="21" t="str">
        <f>IF('12 - Device_Configuration'!I403="","",'12 - Device_Configuration'!I403)</f>
        <v/>
      </c>
      <c r="M402" s="22"/>
      <c r="N402" s="21" t="str">
        <f>IF('12 - Device_Configuration'!J403="","",'12 - Device_Configuration'!J403)</f>
        <v/>
      </c>
      <c r="O402" s="21" t="str">
        <f>IF('12 - Device_Configuration'!K403="","",'12 - Device_Configuration'!K403)</f>
        <v/>
      </c>
      <c r="P402" s="21" t="str">
        <f>IF('12 - Device_Configuration'!L403="","",'12 - Device_Configuration'!L403)</f>
        <v/>
      </c>
      <c r="Q402" s="22"/>
      <c r="R402" s="21" t="str">
        <f>IF('12 - Device_Configuration'!AY403="","",'12 - Device_Configuration'!AY403)</f>
        <v/>
      </c>
      <c r="S402" s="21" t="str">
        <f>IF('12 - Device_Configuration'!AX403="","",'12 - Device_Configuration'!AX403)</f>
        <v/>
      </c>
      <c r="T402" s="21" t="str">
        <f>IF('12 - Device_Configuration'!AV403="","",'12 - Device_Configuration'!AV403)</f>
        <v/>
      </c>
      <c r="U402" s="21" t="str">
        <f>IF('12 - Device_Configuration'!AW403="","",'12 - Device_Configuration'!AW403)</f>
        <v/>
      </c>
      <c r="V402" s="21" t="str">
        <f>IF('12 - Device_Configuration'!BA403="","",'12 - Device_Configuration'!BA403)</f>
        <v/>
      </c>
      <c r="W402" s="21" t="str">
        <f>IF('12 - Device_Configuration'!BC403="","",'12 - Device_Configuration'!BC403)</f>
        <v/>
      </c>
      <c r="X402" s="21" t="str">
        <f>IF('12 - Device_Configuration'!BK403="","",'12 - Device_Configuration'!BK403)</f>
        <v/>
      </c>
      <c r="Y402" s="21" t="str">
        <f>IF('12 - Device_Configuration'!BB403="","",'12 - Device_Configuration'!BB403)</f>
        <v/>
      </c>
      <c r="Z402" s="21" t="str">
        <f>IF('12 - Device_Configuration'!P403="","",'12 - Device_Configuration'!P403)</f>
        <v/>
      </c>
      <c r="AA402" s="21" t="str">
        <f>IF('12 - Device_Configuration'!Q403="","",'12 - Device_Configuration'!Q403)</f>
        <v/>
      </c>
    </row>
    <row r="403" spans="1:27">
      <c r="A403" s="22"/>
      <c r="B403" s="22"/>
      <c r="C403" s="21" t="str">
        <f>IF('12 - Device_Configuration'!H404="","",'12 - Device_Configuration'!H404)</f>
        <v/>
      </c>
      <c r="D403" s="21" t="str">
        <f>IF('12 - Device_Configuration'!AE404="","",'12 - Device_Configuration'!AE404)</f>
        <v/>
      </c>
      <c r="E403" s="21" t="str">
        <f>IF('12 - Device_Configuration'!AF404="","",'12 - Device_Configuration'!AF404)</f>
        <v/>
      </c>
      <c r="F403" s="21" t="str">
        <f>IF('12 - Device_Configuration'!AG404="","",'12 - Device_Configuration'!AG404)</f>
        <v/>
      </c>
      <c r="G403" s="21" t="str">
        <f>IF('12 - Device_Configuration'!AH404="","",'12 - Device_Configuration'!AH404)</f>
        <v/>
      </c>
      <c r="H403" s="21" t="str">
        <f>IF('12 - Device_Configuration'!A404="","",'12 - Device_Configuration'!A404)</f>
        <v/>
      </c>
      <c r="I403" s="21" t="str">
        <f>IF('12 - Device_Configuration'!AI404="","",'12 - Device_Configuration'!AI404)</f>
        <v/>
      </c>
      <c r="J403" s="21" t="str">
        <f>IF('12 - Device_Configuration'!AJ404="","",'12 - Device_Configuration'!AJ404)</f>
        <v/>
      </c>
      <c r="K403" s="21" t="str">
        <f>IF('12 - Device_Configuration'!AA404="","",'12 - Device_Configuration'!AA404)</f>
        <v/>
      </c>
      <c r="L403" s="21" t="str">
        <f>IF('12 - Device_Configuration'!I404="","",'12 - Device_Configuration'!I404)</f>
        <v/>
      </c>
      <c r="M403" s="22"/>
      <c r="N403" s="21" t="str">
        <f>IF('12 - Device_Configuration'!J404="","",'12 - Device_Configuration'!J404)</f>
        <v/>
      </c>
      <c r="O403" s="21" t="str">
        <f>IF('12 - Device_Configuration'!K404="","",'12 - Device_Configuration'!K404)</f>
        <v/>
      </c>
      <c r="P403" s="21" t="str">
        <f>IF('12 - Device_Configuration'!L404="","",'12 - Device_Configuration'!L404)</f>
        <v/>
      </c>
      <c r="Q403" s="22"/>
      <c r="R403" s="21" t="str">
        <f>IF('12 - Device_Configuration'!AY404="","",'12 - Device_Configuration'!AY404)</f>
        <v/>
      </c>
      <c r="S403" s="21" t="str">
        <f>IF('12 - Device_Configuration'!AX404="","",'12 - Device_Configuration'!AX404)</f>
        <v/>
      </c>
      <c r="T403" s="21" t="str">
        <f>IF('12 - Device_Configuration'!AV404="","",'12 - Device_Configuration'!AV404)</f>
        <v/>
      </c>
      <c r="U403" s="21" t="str">
        <f>IF('12 - Device_Configuration'!AW404="","",'12 - Device_Configuration'!AW404)</f>
        <v/>
      </c>
      <c r="V403" s="21" t="str">
        <f>IF('12 - Device_Configuration'!BA404="","",'12 - Device_Configuration'!BA404)</f>
        <v/>
      </c>
      <c r="W403" s="21" t="str">
        <f>IF('12 - Device_Configuration'!BC404="","",'12 - Device_Configuration'!BC404)</f>
        <v/>
      </c>
      <c r="X403" s="21" t="str">
        <f>IF('12 - Device_Configuration'!BK404="","",'12 - Device_Configuration'!BK404)</f>
        <v/>
      </c>
      <c r="Y403" s="21" t="str">
        <f>IF('12 - Device_Configuration'!BB404="","",'12 - Device_Configuration'!BB404)</f>
        <v/>
      </c>
      <c r="Z403" s="21" t="str">
        <f>IF('12 - Device_Configuration'!P404="","",'12 - Device_Configuration'!P404)</f>
        <v/>
      </c>
      <c r="AA403" s="21" t="str">
        <f>IF('12 - Device_Configuration'!Q404="","",'12 - Device_Configuration'!Q404)</f>
        <v/>
      </c>
    </row>
    <row r="404" spans="1:27">
      <c r="A404" s="22"/>
      <c r="B404" s="22"/>
      <c r="C404" s="21" t="str">
        <f>IF('12 - Device_Configuration'!H405="","",'12 - Device_Configuration'!H405)</f>
        <v/>
      </c>
      <c r="D404" s="21" t="str">
        <f>IF('12 - Device_Configuration'!AE405="","",'12 - Device_Configuration'!AE405)</f>
        <v/>
      </c>
      <c r="E404" s="21" t="str">
        <f>IF('12 - Device_Configuration'!AF405="","",'12 - Device_Configuration'!AF405)</f>
        <v/>
      </c>
      <c r="F404" s="21" t="str">
        <f>IF('12 - Device_Configuration'!AG405="","",'12 - Device_Configuration'!AG405)</f>
        <v/>
      </c>
      <c r="G404" s="21" t="str">
        <f>IF('12 - Device_Configuration'!AH405="","",'12 - Device_Configuration'!AH405)</f>
        <v/>
      </c>
      <c r="H404" s="21" t="str">
        <f>IF('12 - Device_Configuration'!A405="","",'12 - Device_Configuration'!A405)</f>
        <v/>
      </c>
      <c r="I404" s="21" t="str">
        <f>IF('12 - Device_Configuration'!AI405="","",'12 - Device_Configuration'!AI405)</f>
        <v/>
      </c>
      <c r="J404" s="21" t="str">
        <f>IF('12 - Device_Configuration'!AJ405="","",'12 - Device_Configuration'!AJ405)</f>
        <v/>
      </c>
      <c r="K404" s="21" t="str">
        <f>IF('12 - Device_Configuration'!AA405="","",'12 - Device_Configuration'!AA405)</f>
        <v/>
      </c>
      <c r="L404" s="21" t="str">
        <f>IF('12 - Device_Configuration'!I405="","",'12 - Device_Configuration'!I405)</f>
        <v/>
      </c>
      <c r="M404" s="22"/>
      <c r="N404" s="21" t="str">
        <f>IF('12 - Device_Configuration'!J405="","",'12 - Device_Configuration'!J405)</f>
        <v/>
      </c>
      <c r="O404" s="21" t="str">
        <f>IF('12 - Device_Configuration'!K405="","",'12 - Device_Configuration'!K405)</f>
        <v/>
      </c>
      <c r="P404" s="21" t="str">
        <f>IF('12 - Device_Configuration'!L405="","",'12 - Device_Configuration'!L405)</f>
        <v/>
      </c>
      <c r="Q404" s="22"/>
      <c r="R404" s="21" t="str">
        <f>IF('12 - Device_Configuration'!AY405="","",'12 - Device_Configuration'!AY405)</f>
        <v/>
      </c>
      <c r="S404" s="21" t="str">
        <f>IF('12 - Device_Configuration'!AX405="","",'12 - Device_Configuration'!AX405)</f>
        <v/>
      </c>
      <c r="T404" s="21" t="str">
        <f>IF('12 - Device_Configuration'!AV405="","",'12 - Device_Configuration'!AV405)</f>
        <v/>
      </c>
      <c r="U404" s="21" t="str">
        <f>IF('12 - Device_Configuration'!AW405="","",'12 - Device_Configuration'!AW405)</f>
        <v/>
      </c>
      <c r="V404" s="21" t="str">
        <f>IF('12 - Device_Configuration'!BA405="","",'12 - Device_Configuration'!BA405)</f>
        <v/>
      </c>
      <c r="W404" s="21" t="str">
        <f>IF('12 - Device_Configuration'!BC405="","",'12 - Device_Configuration'!BC405)</f>
        <v/>
      </c>
      <c r="X404" s="21" t="str">
        <f>IF('12 - Device_Configuration'!BK405="","",'12 - Device_Configuration'!BK405)</f>
        <v/>
      </c>
      <c r="Y404" s="21" t="str">
        <f>IF('12 - Device_Configuration'!BB405="","",'12 - Device_Configuration'!BB405)</f>
        <v/>
      </c>
      <c r="Z404" s="21" t="str">
        <f>IF('12 - Device_Configuration'!P405="","",'12 - Device_Configuration'!P405)</f>
        <v/>
      </c>
      <c r="AA404" s="21" t="str">
        <f>IF('12 - Device_Configuration'!Q405="","",'12 - Device_Configuration'!Q405)</f>
        <v/>
      </c>
    </row>
    <row r="405" spans="1:27">
      <c r="A405" s="22"/>
      <c r="B405" s="22"/>
      <c r="C405" s="21" t="str">
        <f>IF('12 - Device_Configuration'!H406="","",'12 - Device_Configuration'!H406)</f>
        <v/>
      </c>
      <c r="D405" s="21" t="str">
        <f>IF('12 - Device_Configuration'!AE406="","",'12 - Device_Configuration'!AE406)</f>
        <v/>
      </c>
      <c r="E405" s="21" t="str">
        <f>IF('12 - Device_Configuration'!AF406="","",'12 - Device_Configuration'!AF406)</f>
        <v/>
      </c>
      <c r="F405" s="21" t="str">
        <f>IF('12 - Device_Configuration'!AG406="","",'12 - Device_Configuration'!AG406)</f>
        <v/>
      </c>
      <c r="G405" s="21" t="str">
        <f>IF('12 - Device_Configuration'!AH406="","",'12 - Device_Configuration'!AH406)</f>
        <v/>
      </c>
      <c r="H405" s="21" t="str">
        <f>IF('12 - Device_Configuration'!A406="","",'12 - Device_Configuration'!A406)</f>
        <v/>
      </c>
      <c r="I405" s="21" t="str">
        <f>IF('12 - Device_Configuration'!AI406="","",'12 - Device_Configuration'!AI406)</f>
        <v/>
      </c>
      <c r="J405" s="21" t="str">
        <f>IF('12 - Device_Configuration'!AJ406="","",'12 - Device_Configuration'!AJ406)</f>
        <v/>
      </c>
      <c r="K405" s="21" t="str">
        <f>IF('12 - Device_Configuration'!AA406="","",'12 - Device_Configuration'!AA406)</f>
        <v/>
      </c>
      <c r="L405" s="21" t="str">
        <f>IF('12 - Device_Configuration'!I406="","",'12 - Device_Configuration'!I406)</f>
        <v/>
      </c>
      <c r="M405" s="22"/>
      <c r="N405" s="21" t="str">
        <f>IF('12 - Device_Configuration'!J406="","",'12 - Device_Configuration'!J406)</f>
        <v/>
      </c>
      <c r="O405" s="21" t="str">
        <f>IF('12 - Device_Configuration'!K406="","",'12 - Device_Configuration'!K406)</f>
        <v/>
      </c>
      <c r="P405" s="21" t="str">
        <f>IF('12 - Device_Configuration'!L406="","",'12 - Device_Configuration'!L406)</f>
        <v/>
      </c>
      <c r="Q405" s="22"/>
      <c r="R405" s="21" t="str">
        <f>IF('12 - Device_Configuration'!AY406="","",'12 - Device_Configuration'!AY406)</f>
        <v/>
      </c>
      <c r="S405" s="21" t="str">
        <f>IF('12 - Device_Configuration'!AX406="","",'12 - Device_Configuration'!AX406)</f>
        <v/>
      </c>
      <c r="T405" s="21" t="str">
        <f>IF('12 - Device_Configuration'!AV406="","",'12 - Device_Configuration'!AV406)</f>
        <v/>
      </c>
      <c r="U405" s="21" t="str">
        <f>IF('12 - Device_Configuration'!AW406="","",'12 - Device_Configuration'!AW406)</f>
        <v/>
      </c>
      <c r="V405" s="21" t="str">
        <f>IF('12 - Device_Configuration'!BA406="","",'12 - Device_Configuration'!BA406)</f>
        <v/>
      </c>
      <c r="W405" s="21" t="str">
        <f>IF('12 - Device_Configuration'!BC406="","",'12 - Device_Configuration'!BC406)</f>
        <v/>
      </c>
      <c r="X405" s="21" t="str">
        <f>IF('12 - Device_Configuration'!BK406="","",'12 - Device_Configuration'!BK406)</f>
        <v/>
      </c>
      <c r="Y405" s="21" t="str">
        <f>IF('12 - Device_Configuration'!BB406="","",'12 - Device_Configuration'!BB406)</f>
        <v/>
      </c>
      <c r="Z405" s="21" t="str">
        <f>IF('12 - Device_Configuration'!P406="","",'12 - Device_Configuration'!P406)</f>
        <v/>
      </c>
      <c r="AA405" s="21" t="str">
        <f>IF('12 - Device_Configuration'!Q406="","",'12 - Device_Configuration'!Q406)</f>
        <v/>
      </c>
    </row>
    <row r="406" spans="1:27">
      <c r="A406" s="22"/>
      <c r="B406" s="22"/>
      <c r="C406" s="21" t="str">
        <f>IF('12 - Device_Configuration'!H407="","",'12 - Device_Configuration'!H407)</f>
        <v/>
      </c>
      <c r="D406" s="21" t="str">
        <f>IF('12 - Device_Configuration'!AE407="","",'12 - Device_Configuration'!AE407)</f>
        <v/>
      </c>
      <c r="E406" s="21" t="str">
        <f>IF('12 - Device_Configuration'!AF407="","",'12 - Device_Configuration'!AF407)</f>
        <v/>
      </c>
      <c r="F406" s="21" t="str">
        <f>IF('12 - Device_Configuration'!AG407="","",'12 - Device_Configuration'!AG407)</f>
        <v/>
      </c>
      <c r="G406" s="21" t="str">
        <f>IF('12 - Device_Configuration'!AH407="","",'12 - Device_Configuration'!AH407)</f>
        <v/>
      </c>
      <c r="H406" s="21" t="str">
        <f>IF('12 - Device_Configuration'!A407="","",'12 - Device_Configuration'!A407)</f>
        <v/>
      </c>
      <c r="I406" s="21" t="str">
        <f>IF('12 - Device_Configuration'!AI407="","",'12 - Device_Configuration'!AI407)</f>
        <v/>
      </c>
      <c r="J406" s="21" t="str">
        <f>IF('12 - Device_Configuration'!AJ407="","",'12 - Device_Configuration'!AJ407)</f>
        <v/>
      </c>
      <c r="K406" s="21" t="str">
        <f>IF('12 - Device_Configuration'!AA407="","",'12 - Device_Configuration'!AA407)</f>
        <v/>
      </c>
      <c r="L406" s="21" t="str">
        <f>IF('12 - Device_Configuration'!I407="","",'12 - Device_Configuration'!I407)</f>
        <v/>
      </c>
      <c r="M406" s="22"/>
      <c r="N406" s="21" t="str">
        <f>IF('12 - Device_Configuration'!J407="","",'12 - Device_Configuration'!J407)</f>
        <v/>
      </c>
      <c r="O406" s="21" t="str">
        <f>IF('12 - Device_Configuration'!K407="","",'12 - Device_Configuration'!K407)</f>
        <v/>
      </c>
      <c r="P406" s="21" t="str">
        <f>IF('12 - Device_Configuration'!L407="","",'12 - Device_Configuration'!L407)</f>
        <v/>
      </c>
      <c r="Q406" s="22"/>
      <c r="R406" s="21" t="str">
        <f>IF('12 - Device_Configuration'!AY407="","",'12 - Device_Configuration'!AY407)</f>
        <v/>
      </c>
      <c r="S406" s="21" t="str">
        <f>IF('12 - Device_Configuration'!AX407="","",'12 - Device_Configuration'!AX407)</f>
        <v/>
      </c>
      <c r="T406" s="21" t="str">
        <f>IF('12 - Device_Configuration'!AV407="","",'12 - Device_Configuration'!AV407)</f>
        <v/>
      </c>
      <c r="U406" s="21" t="str">
        <f>IF('12 - Device_Configuration'!AW407="","",'12 - Device_Configuration'!AW407)</f>
        <v/>
      </c>
      <c r="V406" s="21" t="str">
        <f>IF('12 - Device_Configuration'!BA407="","",'12 - Device_Configuration'!BA407)</f>
        <v/>
      </c>
      <c r="W406" s="21" t="str">
        <f>IF('12 - Device_Configuration'!BC407="","",'12 - Device_Configuration'!BC407)</f>
        <v/>
      </c>
      <c r="X406" s="21" t="str">
        <f>IF('12 - Device_Configuration'!BK407="","",'12 - Device_Configuration'!BK407)</f>
        <v/>
      </c>
      <c r="Y406" s="21" t="str">
        <f>IF('12 - Device_Configuration'!BB407="","",'12 - Device_Configuration'!BB407)</f>
        <v/>
      </c>
      <c r="Z406" s="21" t="str">
        <f>IF('12 - Device_Configuration'!P407="","",'12 - Device_Configuration'!P407)</f>
        <v/>
      </c>
      <c r="AA406" s="21" t="str">
        <f>IF('12 - Device_Configuration'!Q407="","",'12 - Device_Configuration'!Q407)</f>
        <v/>
      </c>
    </row>
    <row r="407" spans="1:27">
      <c r="A407" s="22"/>
      <c r="B407" s="22"/>
      <c r="C407" s="21" t="str">
        <f>IF('12 - Device_Configuration'!H408="","",'12 - Device_Configuration'!H408)</f>
        <v/>
      </c>
      <c r="D407" s="21" t="str">
        <f>IF('12 - Device_Configuration'!AE408="","",'12 - Device_Configuration'!AE408)</f>
        <v/>
      </c>
      <c r="E407" s="21" t="str">
        <f>IF('12 - Device_Configuration'!AF408="","",'12 - Device_Configuration'!AF408)</f>
        <v/>
      </c>
      <c r="F407" s="21" t="str">
        <f>IF('12 - Device_Configuration'!AG408="","",'12 - Device_Configuration'!AG408)</f>
        <v/>
      </c>
      <c r="G407" s="21" t="str">
        <f>IF('12 - Device_Configuration'!AH408="","",'12 - Device_Configuration'!AH408)</f>
        <v/>
      </c>
      <c r="H407" s="21" t="str">
        <f>IF('12 - Device_Configuration'!A408="","",'12 - Device_Configuration'!A408)</f>
        <v/>
      </c>
      <c r="I407" s="21" t="str">
        <f>IF('12 - Device_Configuration'!AI408="","",'12 - Device_Configuration'!AI408)</f>
        <v/>
      </c>
      <c r="J407" s="21" t="str">
        <f>IF('12 - Device_Configuration'!AJ408="","",'12 - Device_Configuration'!AJ408)</f>
        <v/>
      </c>
      <c r="K407" s="21" t="str">
        <f>IF('12 - Device_Configuration'!AA408="","",'12 - Device_Configuration'!AA408)</f>
        <v/>
      </c>
      <c r="L407" s="21" t="str">
        <f>IF('12 - Device_Configuration'!I408="","",'12 - Device_Configuration'!I408)</f>
        <v/>
      </c>
      <c r="M407" s="22"/>
      <c r="N407" s="21" t="str">
        <f>IF('12 - Device_Configuration'!J408="","",'12 - Device_Configuration'!J408)</f>
        <v/>
      </c>
      <c r="O407" s="21" t="str">
        <f>IF('12 - Device_Configuration'!K408="","",'12 - Device_Configuration'!K408)</f>
        <v/>
      </c>
      <c r="P407" s="21" t="str">
        <f>IF('12 - Device_Configuration'!L408="","",'12 - Device_Configuration'!L408)</f>
        <v/>
      </c>
      <c r="Q407" s="22"/>
      <c r="R407" s="21" t="str">
        <f>IF('12 - Device_Configuration'!AY408="","",'12 - Device_Configuration'!AY408)</f>
        <v/>
      </c>
      <c r="S407" s="21" t="str">
        <f>IF('12 - Device_Configuration'!AX408="","",'12 - Device_Configuration'!AX408)</f>
        <v/>
      </c>
      <c r="T407" s="21" t="str">
        <f>IF('12 - Device_Configuration'!AV408="","",'12 - Device_Configuration'!AV408)</f>
        <v/>
      </c>
      <c r="U407" s="21" t="str">
        <f>IF('12 - Device_Configuration'!AW408="","",'12 - Device_Configuration'!AW408)</f>
        <v/>
      </c>
      <c r="V407" s="21" t="str">
        <f>IF('12 - Device_Configuration'!BA408="","",'12 - Device_Configuration'!BA408)</f>
        <v/>
      </c>
      <c r="W407" s="21" t="str">
        <f>IF('12 - Device_Configuration'!BC408="","",'12 - Device_Configuration'!BC408)</f>
        <v/>
      </c>
      <c r="X407" s="21" t="str">
        <f>IF('12 - Device_Configuration'!BK408="","",'12 - Device_Configuration'!BK408)</f>
        <v/>
      </c>
      <c r="Y407" s="21" t="str">
        <f>IF('12 - Device_Configuration'!BB408="","",'12 - Device_Configuration'!BB408)</f>
        <v/>
      </c>
      <c r="Z407" s="21" t="str">
        <f>IF('12 - Device_Configuration'!P408="","",'12 - Device_Configuration'!P408)</f>
        <v/>
      </c>
      <c r="AA407" s="21" t="str">
        <f>IF('12 - Device_Configuration'!Q408="","",'12 - Device_Configuration'!Q408)</f>
        <v/>
      </c>
    </row>
    <row r="408" spans="1:27">
      <c r="A408" s="22"/>
      <c r="B408" s="22"/>
      <c r="C408" s="21" t="str">
        <f>IF('12 - Device_Configuration'!H409="","",'12 - Device_Configuration'!H409)</f>
        <v/>
      </c>
      <c r="D408" s="21" t="str">
        <f>IF('12 - Device_Configuration'!AE409="","",'12 - Device_Configuration'!AE409)</f>
        <v/>
      </c>
      <c r="E408" s="21" t="str">
        <f>IF('12 - Device_Configuration'!AF409="","",'12 - Device_Configuration'!AF409)</f>
        <v/>
      </c>
      <c r="F408" s="21" t="str">
        <f>IF('12 - Device_Configuration'!AG409="","",'12 - Device_Configuration'!AG409)</f>
        <v/>
      </c>
      <c r="G408" s="21" t="str">
        <f>IF('12 - Device_Configuration'!AH409="","",'12 - Device_Configuration'!AH409)</f>
        <v/>
      </c>
      <c r="H408" s="21" t="str">
        <f>IF('12 - Device_Configuration'!A409="","",'12 - Device_Configuration'!A409)</f>
        <v/>
      </c>
      <c r="I408" s="21" t="str">
        <f>IF('12 - Device_Configuration'!AI409="","",'12 - Device_Configuration'!AI409)</f>
        <v/>
      </c>
      <c r="J408" s="21" t="str">
        <f>IF('12 - Device_Configuration'!AJ409="","",'12 - Device_Configuration'!AJ409)</f>
        <v/>
      </c>
      <c r="K408" s="21" t="str">
        <f>IF('12 - Device_Configuration'!AA409="","",'12 - Device_Configuration'!AA409)</f>
        <v/>
      </c>
      <c r="L408" s="21" t="str">
        <f>IF('12 - Device_Configuration'!I409="","",'12 - Device_Configuration'!I409)</f>
        <v/>
      </c>
      <c r="M408" s="22"/>
      <c r="N408" s="21" t="str">
        <f>IF('12 - Device_Configuration'!J409="","",'12 - Device_Configuration'!J409)</f>
        <v/>
      </c>
      <c r="O408" s="21" t="str">
        <f>IF('12 - Device_Configuration'!K409="","",'12 - Device_Configuration'!K409)</f>
        <v/>
      </c>
      <c r="P408" s="21" t="str">
        <f>IF('12 - Device_Configuration'!L409="","",'12 - Device_Configuration'!L409)</f>
        <v/>
      </c>
      <c r="Q408" s="22"/>
      <c r="R408" s="21" t="str">
        <f>IF('12 - Device_Configuration'!AY409="","",'12 - Device_Configuration'!AY409)</f>
        <v/>
      </c>
      <c r="S408" s="21" t="str">
        <f>IF('12 - Device_Configuration'!AX409="","",'12 - Device_Configuration'!AX409)</f>
        <v/>
      </c>
      <c r="T408" s="21" t="str">
        <f>IF('12 - Device_Configuration'!AV409="","",'12 - Device_Configuration'!AV409)</f>
        <v/>
      </c>
      <c r="U408" s="21" t="str">
        <f>IF('12 - Device_Configuration'!AW409="","",'12 - Device_Configuration'!AW409)</f>
        <v/>
      </c>
      <c r="V408" s="21" t="str">
        <f>IF('12 - Device_Configuration'!BA409="","",'12 - Device_Configuration'!BA409)</f>
        <v/>
      </c>
      <c r="W408" s="21" t="str">
        <f>IF('12 - Device_Configuration'!BC409="","",'12 - Device_Configuration'!BC409)</f>
        <v/>
      </c>
      <c r="X408" s="21" t="str">
        <f>IF('12 - Device_Configuration'!BK409="","",'12 - Device_Configuration'!BK409)</f>
        <v/>
      </c>
      <c r="Y408" s="21" t="str">
        <f>IF('12 - Device_Configuration'!BB409="","",'12 - Device_Configuration'!BB409)</f>
        <v/>
      </c>
      <c r="Z408" s="21" t="str">
        <f>IF('12 - Device_Configuration'!P409="","",'12 - Device_Configuration'!P409)</f>
        <v/>
      </c>
      <c r="AA408" s="21" t="str">
        <f>IF('12 - Device_Configuration'!Q409="","",'12 - Device_Configuration'!Q409)</f>
        <v/>
      </c>
    </row>
    <row r="409" spans="1:27">
      <c r="A409" s="22"/>
      <c r="B409" s="22"/>
      <c r="C409" s="21" t="str">
        <f>IF('12 - Device_Configuration'!H410="","",'12 - Device_Configuration'!H410)</f>
        <v/>
      </c>
      <c r="D409" s="21" t="str">
        <f>IF('12 - Device_Configuration'!AE410="","",'12 - Device_Configuration'!AE410)</f>
        <v/>
      </c>
      <c r="E409" s="21" t="str">
        <f>IF('12 - Device_Configuration'!AF410="","",'12 - Device_Configuration'!AF410)</f>
        <v/>
      </c>
      <c r="F409" s="21" t="str">
        <f>IF('12 - Device_Configuration'!AG410="","",'12 - Device_Configuration'!AG410)</f>
        <v/>
      </c>
      <c r="G409" s="21" t="str">
        <f>IF('12 - Device_Configuration'!AH410="","",'12 - Device_Configuration'!AH410)</f>
        <v/>
      </c>
      <c r="H409" s="21" t="str">
        <f>IF('12 - Device_Configuration'!A410="","",'12 - Device_Configuration'!A410)</f>
        <v/>
      </c>
      <c r="I409" s="21" t="str">
        <f>IF('12 - Device_Configuration'!AI410="","",'12 - Device_Configuration'!AI410)</f>
        <v/>
      </c>
      <c r="J409" s="21" t="str">
        <f>IF('12 - Device_Configuration'!AJ410="","",'12 - Device_Configuration'!AJ410)</f>
        <v/>
      </c>
      <c r="K409" s="21" t="str">
        <f>IF('12 - Device_Configuration'!AA410="","",'12 - Device_Configuration'!AA410)</f>
        <v/>
      </c>
      <c r="L409" s="21" t="str">
        <f>IF('12 - Device_Configuration'!I410="","",'12 - Device_Configuration'!I410)</f>
        <v/>
      </c>
      <c r="M409" s="22"/>
      <c r="N409" s="21" t="str">
        <f>IF('12 - Device_Configuration'!J410="","",'12 - Device_Configuration'!J410)</f>
        <v/>
      </c>
      <c r="O409" s="21" t="str">
        <f>IF('12 - Device_Configuration'!K410="","",'12 - Device_Configuration'!K410)</f>
        <v/>
      </c>
      <c r="P409" s="21" t="str">
        <f>IF('12 - Device_Configuration'!L410="","",'12 - Device_Configuration'!L410)</f>
        <v/>
      </c>
      <c r="Q409" s="22"/>
      <c r="R409" s="21" t="str">
        <f>IF('12 - Device_Configuration'!AY410="","",'12 - Device_Configuration'!AY410)</f>
        <v/>
      </c>
      <c r="S409" s="21" t="str">
        <f>IF('12 - Device_Configuration'!AX410="","",'12 - Device_Configuration'!AX410)</f>
        <v/>
      </c>
      <c r="T409" s="21" t="str">
        <f>IF('12 - Device_Configuration'!AV410="","",'12 - Device_Configuration'!AV410)</f>
        <v/>
      </c>
      <c r="U409" s="21" t="str">
        <f>IF('12 - Device_Configuration'!AW410="","",'12 - Device_Configuration'!AW410)</f>
        <v/>
      </c>
      <c r="V409" s="21" t="str">
        <f>IF('12 - Device_Configuration'!BA410="","",'12 - Device_Configuration'!BA410)</f>
        <v/>
      </c>
      <c r="W409" s="21" t="str">
        <f>IF('12 - Device_Configuration'!BC410="","",'12 - Device_Configuration'!BC410)</f>
        <v/>
      </c>
      <c r="X409" s="21" t="str">
        <f>IF('12 - Device_Configuration'!BK410="","",'12 - Device_Configuration'!BK410)</f>
        <v/>
      </c>
      <c r="Y409" s="21" t="str">
        <f>IF('12 - Device_Configuration'!BB410="","",'12 - Device_Configuration'!BB410)</f>
        <v/>
      </c>
      <c r="Z409" s="21" t="str">
        <f>IF('12 - Device_Configuration'!P410="","",'12 - Device_Configuration'!P410)</f>
        <v/>
      </c>
      <c r="AA409" s="21" t="str">
        <f>IF('12 - Device_Configuration'!Q410="","",'12 - Device_Configuration'!Q410)</f>
        <v/>
      </c>
    </row>
    <row r="410" spans="1:27">
      <c r="A410" s="22"/>
      <c r="B410" s="22"/>
      <c r="C410" s="21" t="str">
        <f>IF('12 - Device_Configuration'!H411="","",'12 - Device_Configuration'!H411)</f>
        <v/>
      </c>
      <c r="D410" s="21" t="str">
        <f>IF('12 - Device_Configuration'!AE411="","",'12 - Device_Configuration'!AE411)</f>
        <v/>
      </c>
      <c r="E410" s="21" t="str">
        <f>IF('12 - Device_Configuration'!AF411="","",'12 - Device_Configuration'!AF411)</f>
        <v/>
      </c>
      <c r="F410" s="21" t="str">
        <f>IF('12 - Device_Configuration'!AG411="","",'12 - Device_Configuration'!AG411)</f>
        <v/>
      </c>
      <c r="G410" s="21" t="str">
        <f>IF('12 - Device_Configuration'!AH411="","",'12 - Device_Configuration'!AH411)</f>
        <v/>
      </c>
      <c r="H410" s="21" t="str">
        <f>IF('12 - Device_Configuration'!A411="","",'12 - Device_Configuration'!A411)</f>
        <v/>
      </c>
      <c r="I410" s="21" t="str">
        <f>IF('12 - Device_Configuration'!AI411="","",'12 - Device_Configuration'!AI411)</f>
        <v/>
      </c>
      <c r="J410" s="21" t="str">
        <f>IF('12 - Device_Configuration'!AJ411="","",'12 - Device_Configuration'!AJ411)</f>
        <v/>
      </c>
      <c r="K410" s="21" t="str">
        <f>IF('12 - Device_Configuration'!AA411="","",'12 - Device_Configuration'!AA411)</f>
        <v/>
      </c>
      <c r="L410" s="21" t="str">
        <f>IF('12 - Device_Configuration'!I411="","",'12 - Device_Configuration'!I411)</f>
        <v/>
      </c>
      <c r="M410" s="22"/>
      <c r="N410" s="21" t="str">
        <f>IF('12 - Device_Configuration'!J411="","",'12 - Device_Configuration'!J411)</f>
        <v/>
      </c>
      <c r="O410" s="21" t="str">
        <f>IF('12 - Device_Configuration'!K411="","",'12 - Device_Configuration'!K411)</f>
        <v/>
      </c>
      <c r="P410" s="21" t="str">
        <f>IF('12 - Device_Configuration'!L411="","",'12 - Device_Configuration'!L411)</f>
        <v/>
      </c>
      <c r="Q410" s="22"/>
      <c r="R410" s="21" t="str">
        <f>IF('12 - Device_Configuration'!AY411="","",'12 - Device_Configuration'!AY411)</f>
        <v/>
      </c>
      <c r="S410" s="21" t="str">
        <f>IF('12 - Device_Configuration'!AX411="","",'12 - Device_Configuration'!AX411)</f>
        <v/>
      </c>
      <c r="T410" s="21" t="str">
        <f>IF('12 - Device_Configuration'!AV411="","",'12 - Device_Configuration'!AV411)</f>
        <v/>
      </c>
      <c r="U410" s="21" t="str">
        <f>IF('12 - Device_Configuration'!AW411="","",'12 - Device_Configuration'!AW411)</f>
        <v/>
      </c>
      <c r="V410" s="21" t="str">
        <f>IF('12 - Device_Configuration'!BA411="","",'12 - Device_Configuration'!BA411)</f>
        <v/>
      </c>
      <c r="W410" s="21" t="str">
        <f>IF('12 - Device_Configuration'!BC411="","",'12 - Device_Configuration'!BC411)</f>
        <v/>
      </c>
      <c r="X410" s="21" t="str">
        <f>IF('12 - Device_Configuration'!BK411="","",'12 - Device_Configuration'!BK411)</f>
        <v/>
      </c>
      <c r="Y410" s="21" t="str">
        <f>IF('12 - Device_Configuration'!BB411="","",'12 - Device_Configuration'!BB411)</f>
        <v/>
      </c>
      <c r="Z410" s="21" t="str">
        <f>IF('12 - Device_Configuration'!P411="","",'12 - Device_Configuration'!P411)</f>
        <v/>
      </c>
      <c r="AA410" s="21" t="str">
        <f>IF('12 - Device_Configuration'!Q411="","",'12 - Device_Configuration'!Q411)</f>
        <v/>
      </c>
    </row>
    <row r="411" spans="1:27">
      <c r="A411" s="22"/>
      <c r="B411" s="22"/>
      <c r="C411" s="21" t="str">
        <f>IF('12 - Device_Configuration'!H412="","",'12 - Device_Configuration'!H412)</f>
        <v/>
      </c>
      <c r="D411" s="21" t="str">
        <f>IF('12 - Device_Configuration'!AE412="","",'12 - Device_Configuration'!AE412)</f>
        <v/>
      </c>
      <c r="E411" s="21" t="str">
        <f>IF('12 - Device_Configuration'!AF412="","",'12 - Device_Configuration'!AF412)</f>
        <v/>
      </c>
      <c r="F411" s="21" t="str">
        <f>IF('12 - Device_Configuration'!AG412="","",'12 - Device_Configuration'!AG412)</f>
        <v/>
      </c>
      <c r="G411" s="21" t="str">
        <f>IF('12 - Device_Configuration'!AH412="","",'12 - Device_Configuration'!AH412)</f>
        <v/>
      </c>
      <c r="H411" s="21" t="str">
        <f>IF('12 - Device_Configuration'!A412="","",'12 - Device_Configuration'!A412)</f>
        <v/>
      </c>
      <c r="I411" s="21" t="str">
        <f>IF('12 - Device_Configuration'!AI412="","",'12 - Device_Configuration'!AI412)</f>
        <v/>
      </c>
      <c r="J411" s="21" t="str">
        <f>IF('12 - Device_Configuration'!AJ412="","",'12 - Device_Configuration'!AJ412)</f>
        <v/>
      </c>
      <c r="K411" s="21" t="str">
        <f>IF('12 - Device_Configuration'!AA412="","",'12 - Device_Configuration'!AA412)</f>
        <v/>
      </c>
      <c r="L411" s="21" t="str">
        <f>IF('12 - Device_Configuration'!I412="","",'12 - Device_Configuration'!I412)</f>
        <v/>
      </c>
      <c r="M411" s="22"/>
      <c r="N411" s="21" t="str">
        <f>IF('12 - Device_Configuration'!J412="","",'12 - Device_Configuration'!J412)</f>
        <v/>
      </c>
      <c r="O411" s="21" t="str">
        <f>IF('12 - Device_Configuration'!K412="","",'12 - Device_Configuration'!K412)</f>
        <v/>
      </c>
      <c r="P411" s="21" t="str">
        <f>IF('12 - Device_Configuration'!L412="","",'12 - Device_Configuration'!L412)</f>
        <v/>
      </c>
      <c r="Q411" s="22"/>
      <c r="R411" s="21" t="str">
        <f>IF('12 - Device_Configuration'!AY412="","",'12 - Device_Configuration'!AY412)</f>
        <v/>
      </c>
      <c r="S411" s="21" t="str">
        <f>IF('12 - Device_Configuration'!AX412="","",'12 - Device_Configuration'!AX412)</f>
        <v/>
      </c>
      <c r="T411" s="21" t="str">
        <f>IF('12 - Device_Configuration'!AV412="","",'12 - Device_Configuration'!AV412)</f>
        <v/>
      </c>
      <c r="U411" s="21" t="str">
        <f>IF('12 - Device_Configuration'!AW412="","",'12 - Device_Configuration'!AW412)</f>
        <v/>
      </c>
      <c r="V411" s="21" t="str">
        <f>IF('12 - Device_Configuration'!BA412="","",'12 - Device_Configuration'!BA412)</f>
        <v/>
      </c>
      <c r="W411" s="21" t="str">
        <f>IF('12 - Device_Configuration'!BC412="","",'12 - Device_Configuration'!BC412)</f>
        <v/>
      </c>
      <c r="X411" s="21" t="str">
        <f>IF('12 - Device_Configuration'!BK412="","",'12 - Device_Configuration'!BK412)</f>
        <v/>
      </c>
      <c r="Y411" s="21" t="str">
        <f>IF('12 - Device_Configuration'!BB412="","",'12 - Device_Configuration'!BB412)</f>
        <v/>
      </c>
      <c r="Z411" s="21" t="str">
        <f>IF('12 - Device_Configuration'!P412="","",'12 - Device_Configuration'!P412)</f>
        <v/>
      </c>
      <c r="AA411" s="21" t="str">
        <f>IF('12 - Device_Configuration'!Q412="","",'12 - Device_Configuration'!Q412)</f>
        <v/>
      </c>
    </row>
    <row r="412" spans="1:27">
      <c r="A412" s="22"/>
      <c r="B412" s="22"/>
      <c r="C412" s="21" t="str">
        <f>IF('12 - Device_Configuration'!H413="","",'12 - Device_Configuration'!H413)</f>
        <v/>
      </c>
      <c r="D412" s="21" t="str">
        <f>IF('12 - Device_Configuration'!AE413="","",'12 - Device_Configuration'!AE413)</f>
        <v/>
      </c>
      <c r="E412" s="21" t="str">
        <f>IF('12 - Device_Configuration'!AF413="","",'12 - Device_Configuration'!AF413)</f>
        <v/>
      </c>
      <c r="F412" s="21" t="str">
        <f>IF('12 - Device_Configuration'!AG413="","",'12 - Device_Configuration'!AG413)</f>
        <v/>
      </c>
      <c r="G412" s="21" t="str">
        <f>IF('12 - Device_Configuration'!AH413="","",'12 - Device_Configuration'!AH413)</f>
        <v/>
      </c>
      <c r="H412" s="21" t="str">
        <f>IF('12 - Device_Configuration'!A413="","",'12 - Device_Configuration'!A413)</f>
        <v/>
      </c>
      <c r="I412" s="21" t="str">
        <f>IF('12 - Device_Configuration'!AI413="","",'12 - Device_Configuration'!AI413)</f>
        <v/>
      </c>
      <c r="J412" s="21" t="str">
        <f>IF('12 - Device_Configuration'!AJ413="","",'12 - Device_Configuration'!AJ413)</f>
        <v/>
      </c>
      <c r="K412" s="21" t="str">
        <f>IF('12 - Device_Configuration'!AA413="","",'12 - Device_Configuration'!AA413)</f>
        <v/>
      </c>
      <c r="L412" s="21" t="str">
        <f>IF('12 - Device_Configuration'!I413="","",'12 - Device_Configuration'!I413)</f>
        <v/>
      </c>
      <c r="M412" s="22"/>
      <c r="N412" s="21" t="str">
        <f>IF('12 - Device_Configuration'!J413="","",'12 - Device_Configuration'!J413)</f>
        <v/>
      </c>
      <c r="O412" s="21" t="str">
        <f>IF('12 - Device_Configuration'!K413="","",'12 - Device_Configuration'!K413)</f>
        <v/>
      </c>
      <c r="P412" s="21" t="str">
        <f>IF('12 - Device_Configuration'!L413="","",'12 - Device_Configuration'!L413)</f>
        <v/>
      </c>
      <c r="Q412" s="22"/>
      <c r="R412" s="21" t="str">
        <f>IF('12 - Device_Configuration'!AY413="","",'12 - Device_Configuration'!AY413)</f>
        <v/>
      </c>
      <c r="S412" s="21" t="str">
        <f>IF('12 - Device_Configuration'!AX413="","",'12 - Device_Configuration'!AX413)</f>
        <v/>
      </c>
      <c r="T412" s="21" t="str">
        <f>IF('12 - Device_Configuration'!AV413="","",'12 - Device_Configuration'!AV413)</f>
        <v/>
      </c>
      <c r="U412" s="21" t="str">
        <f>IF('12 - Device_Configuration'!AW413="","",'12 - Device_Configuration'!AW413)</f>
        <v/>
      </c>
      <c r="V412" s="21" t="str">
        <f>IF('12 - Device_Configuration'!BA413="","",'12 - Device_Configuration'!BA413)</f>
        <v/>
      </c>
      <c r="W412" s="21" t="str">
        <f>IF('12 - Device_Configuration'!BC413="","",'12 - Device_Configuration'!BC413)</f>
        <v/>
      </c>
      <c r="X412" s="21" t="str">
        <f>IF('12 - Device_Configuration'!BK413="","",'12 - Device_Configuration'!BK413)</f>
        <v/>
      </c>
      <c r="Y412" s="21" t="str">
        <f>IF('12 - Device_Configuration'!BB413="","",'12 - Device_Configuration'!BB413)</f>
        <v/>
      </c>
      <c r="Z412" s="21" t="str">
        <f>IF('12 - Device_Configuration'!P413="","",'12 - Device_Configuration'!P413)</f>
        <v/>
      </c>
      <c r="AA412" s="21" t="str">
        <f>IF('12 - Device_Configuration'!Q413="","",'12 - Device_Configuration'!Q413)</f>
        <v/>
      </c>
    </row>
    <row r="413" spans="1:27">
      <c r="A413" s="22"/>
      <c r="B413" s="22"/>
      <c r="C413" s="21" t="str">
        <f>IF('12 - Device_Configuration'!H414="","",'12 - Device_Configuration'!H414)</f>
        <v/>
      </c>
      <c r="D413" s="21" t="str">
        <f>IF('12 - Device_Configuration'!AE414="","",'12 - Device_Configuration'!AE414)</f>
        <v/>
      </c>
      <c r="E413" s="21" t="str">
        <f>IF('12 - Device_Configuration'!AF414="","",'12 - Device_Configuration'!AF414)</f>
        <v/>
      </c>
      <c r="F413" s="21" t="str">
        <f>IF('12 - Device_Configuration'!AG414="","",'12 - Device_Configuration'!AG414)</f>
        <v/>
      </c>
      <c r="G413" s="21" t="str">
        <f>IF('12 - Device_Configuration'!AH414="","",'12 - Device_Configuration'!AH414)</f>
        <v/>
      </c>
      <c r="H413" s="21" t="str">
        <f>IF('12 - Device_Configuration'!A414="","",'12 - Device_Configuration'!A414)</f>
        <v/>
      </c>
      <c r="I413" s="21" t="str">
        <f>IF('12 - Device_Configuration'!AI414="","",'12 - Device_Configuration'!AI414)</f>
        <v/>
      </c>
      <c r="J413" s="21" t="str">
        <f>IF('12 - Device_Configuration'!AJ414="","",'12 - Device_Configuration'!AJ414)</f>
        <v/>
      </c>
      <c r="K413" s="21" t="str">
        <f>IF('12 - Device_Configuration'!AA414="","",'12 - Device_Configuration'!AA414)</f>
        <v/>
      </c>
      <c r="L413" s="21" t="str">
        <f>IF('12 - Device_Configuration'!I414="","",'12 - Device_Configuration'!I414)</f>
        <v/>
      </c>
      <c r="M413" s="22"/>
      <c r="N413" s="21" t="str">
        <f>IF('12 - Device_Configuration'!J414="","",'12 - Device_Configuration'!J414)</f>
        <v/>
      </c>
      <c r="O413" s="21" t="str">
        <f>IF('12 - Device_Configuration'!K414="","",'12 - Device_Configuration'!K414)</f>
        <v/>
      </c>
      <c r="P413" s="21" t="str">
        <f>IF('12 - Device_Configuration'!L414="","",'12 - Device_Configuration'!L414)</f>
        <v/>
      </c>
      <c r="Q413" s="22"/>
      <c r="R413" s="21" t="str">
        <f>IF('12 - Device_Configuration'!AY414="","",'12 - Device_Configuration'!AY414)</f>
        <v/>
      </c>
      <c r="S413" s="21" t="str">
        <f>IF('12 - Device_Configuration'!AX414="","",'12 - Device_Configuration'!AX414)</f>
        <v/>
      </c>
      <c r="T413" s="21" t="str">
        <f>IF('12 - Device_Configuration'!AV414="","",'12 - Device_Configuration'!AV414)</f>
        <v/>
      </c>
      <c r="U413" s="21" t="str">
        <f>IF('12 - Device_Configuration'!AW414="","",'12 - Device_Configuration'!AW414)</f>
        <v/>
      </c>
      <c r="V413" s="21" t="str">
        <f>IF('12 - Device_Configuration'!BA414="","",'12 - Device_Configuration'!BA414)</f>
        <v/>
      </c>
      <c r="W413" s="21" t="str">
        <f>IF('12 - Device_Configuration'!BC414="","",'12 - Device_Configuration'!BC414)</f>
        <v/>
      </c>
      <c r="X413" s="21" t="str">
        <f>IF('12 - Device_Configuration'!BK414="","",'12 - Device_Configuration'!BK414)</f>
        <v/>
      </c>
      <c r="Y413" s="21" t="str">
        <f>IF('12 - Device_Configuration'!BB414="","",'12 - Device_Configuration'!BB414)</f>
        <v/>
      </c>
      <c r="Z413" s="21" t="str">
        <f>IF('12 - Device_Configuration'!P414="","",'12 - Device_Configuration'!P414)</f>
        <v/>
      </c>
      <c r="AA413" s="21" t="str">
        <f>IF('12 - Device_Configuration'!Q414="","",'12 - Device_Configuration'!Q414)</f>
        <v/>
      </c>
    </row>
    <row r="414" spans="1:27">
      <c r="A414" s="22"/>
      <c r="B414" s="22"/>
      <c r="C414" s="21" t="str">
        <f>IF('12 - Device_Configuration'!H415="","",'12 - Device_Configuration'!H415)</f>
        <v/>
      </c>
      <c r="D414" s="21" t="str">
        <f>IF('12 - Device_Configuration'!AE415="","",'12 - Device_Configuration'!AE415)</f>
        <v/>
      </c>
      <c r="E414" s="21" t="str">
        <f>IF('12 - Device_Configuration'!AF415="","",'12 - Device_Configuration'!AF415)</f>
        <v/>
      </c>
      <c r="F414" s="21" t="str">
        <f>IF('12 - Device_Configuration'!AG415="","",'12 - Device_Configuration'!AG415)</f>
        <v/>
      </c>
      <c r="G414" s="21" t="str">
        <f>IF('12 - Device_Configuration'!AH415="","",'12 - Device_Configuration'!AH415)</f>
        <v/>
      </c>
      <c r="H414" s="21" t="str">
        <f>IF('12 - Device_Configuration'!A415="","",'12 - Device_Configuration'!A415)</f>
        <v/>
      </c>
      <c r="I414" s="21" t="str">
        <f>IF('12 - Device_Configuration'!AI415="","",'12 - Device_Configuration'!AI415)</f>
        <v/>
      </c>
      <c r="J414" s="21" t="str">
        <f>IF('12 - Device_Configuration'!AJ415="","",'12 - Device_Configuration'!AJ415)</f>
        <v/>
      </c>
      <c r="K414" s="21" t="str">
        <f>IF('12 - Device_Configuration'!AA415="","",'12 - Device_Configuration'!AA415)</f>
        <v/>
      </c>
      <c r="L414" s="21" t="str">
        <f>IF('12 - Device_Configuration'!I415="","",'12 - Device_Configuration'!I415)</f>
        <v/>
      </c>
      <c r="M414" s="22"/>
      <c r="N414" s="21" t="str">
        <f>IF('12 - Device_Configuration'!J415="","",'12 - Device_Configuration'!J415)</f>
        <v/>
      </c>
      <c r="O414" s="21" t="str">
        <f>IF('12 - Device_Configuration'!K415="","",'12 - Device_Configuration'!K415)</f>
        <v/>
      </c>
      <c r="P414" s="21" t="str">
        <f>IF('12 - Device_Configuration'!L415="","",'12 - Device_Configuration'!L415)</f>
        <v/>
      </c>
      <c r="Q414" s="22"/>
      <c r="R414" s="21" t="str">
        <f>IF('12 - Device_Configuration'!AY415="","",'12 - Device_Configuration'!AY415)</f>
        <v/>
      </c>
      <c r="S414" s="21" t="str">
        <f>IF('12 - Device_Configuration'!AX415="","",'12 - Device_Configuration'!AX415)</f>
        <v/>
      </c>
      <c r="T414" s="21" t="str">
        <f>IF('12 - Device_Configuration'!AV415="","",'12 - Device_Configuration'!AV415)</f>
        <v/>
      </c>
      <c r="U414" s="21" t="str">
        <f>IF('12 - Device_Configuration'!AW415="","",'12 - Device_Configuration'!AW415)</f>
        <v/>
      </c>
      <c r="V414" s="21" t="str">
        <f>IF('12 - Device_Configuration'!BA415="","",'12 - Device_Configuration'!BA415)</f>
        <v/>
      </c>
      <c r="W414" s="21" t="str">
        <f>IF('12 - Device_Configuration'!BC415="","",'12 - Device_Configuration'!BC415)</f>
        <v/>
      </c>
      <c r="X414" s="21" t="str">
        <f>IF('12 - Device_Configuration'!BK415="","",'12 - Device_Configuration'!BK415)</f>
        <v/>
      </c>
      <c r="Y414" s="21" t="str">
        <f>IF('12 - Device_Configuration'!BB415="","",'12 - Device_Configuration'!BB415)</f>
        <v/>
      </c>
      <c r="Z414" s="21" t="str">
        <f>IF('12 - Device_Configuration'!P415="","",'12 - Device_Configuration'!P415)</f>
        <v/>
      </c>
      <c r="AA414" s="21" t="str">
        <f>IF('12 - Device_Configuration'!Q415="","",'12 - Device_Configuration'!Q415)</f>
        <v/>
      </c>
    </row>
    <row r="415" spans="1:27">
      <c r="A415" s="22"/>
      <c r="B415" s="22"/>
      <c r="C415" s="21" t="str">
        <f>IF('12 - Device_Configuration'!H416="","",'12 - Device_Configuration'!H416)</f>
        <v/>
      </c>
      <c r="D415" s="21" t="str">
        <f>IF('12 - Device_Configuration'!AE416="","",'12 - Device_Configuration'!AE416)</f>
        <v/>
      </c>
      <c r="E415" s="21" t="str">
        <f>IF('12 - Device_Configuration'!AF416="","",'12 - Device_Configuration'!AF416)</f>
        <v/>
      </c>
      <c r="F415" s="21" t="str">
        <f>IF('12 - Device_Configuration'!AG416="","",'12 - Device_Configuration'!AG416)</f>
        <v/>
      </c>
      <c r="G415" s="21" t="str">
        <f>IF('12 - Device_Configuration'!AH416="","",'12 - Device_Configuration'!AH416)</f>
        <v/>
      </c>
      <c r="H415" s="21" t="str">
        <f>IF('12 - Device_Configuration'!A416="","",'12 - Device_Configuration'!A416)</f>
        <v/>
      </c>
      <c r="I415" s="21" t="str">
        <f>IF('12 - Device_Configuration'!AI416="","",'12 - Device_Configuration'!AI416)</f>
        <v/>
      </c>
      <c r="J415" s="21" t="str">
        <f>IF('12 - Device_Configuration'!AJ416="","",'12 - Device_Configuration'!AJ416)</f>
        <v/>
      </c>
      <c r="K415" s="21" t="str">
        <f>IF('12 - Device_Configuration'!AA416="","",'12 - Device_Configuration'!AA416)</f>
        <v/>
      </c>
      <c r="L415" s="21" t="str">
        <f>IF('12 - Device_Configuration'!I416="","",'12 - Device_Configuration'!I416)</f>
        <v/>
      </c>
      <c r="M415" s="22"/>
      <c r="N415" s="21" t="str">
        <f>IF('12 - Device_Configuration'!J416="","",'12 - Device_Configuration'!J416)</f>
        <v/>
      </c>
      <c r="O415" s="21" t="str">
        <f>IF('12 - Device_Configuration'!K416="","",'12 - Device_Configuration'!K416)</f>
        <v/>
      </c>
      <c r="P415" s="21" t="str">
        <f>IF('12 - Device_Configuration'!L416="","",'12 - Device_Configuration'!L416)</f>
        <v/>
      </c>
      <c r="Q415" s="22"/>
      <c r="R415" s="21" t="str">
        <f>IF('12 - Device_Configuration'!AY416="","",'12 - Device_Configuration'!AY416)</f>
        <v/>
      </c>
      <c r="S415" s="21" t="str">
        <f>IF('12 - Device_Configuration'!AX416="","",'12 - Device_Configuration'!AX416)</f>
        <v/>
      </c>
      <c r="T415" s="21" t="str">
        <f>IF('12 - Device_Configuration'!AV416="","",'12 - Device_Configuration'!AV416)</f>
        <v/>
      </c>
      <c r="U415" s="21" t="str">
        <f>IF('12 - Device_Configuration'!AW416="","",'12 - Device_Configuration'!AW416)</f>
        <v/>
      </c>
      <c r="V415" s="21" t="str">
        <f>IF('12 - Device_Configuration'!BA416="","",'12 - Device_Configuration'!BA416)</f>
        <v/>
      </c>
      <c r="W415" s="21" t="str">
        <f>IF('12 - Device_Configuration'!BC416="","",'12 - Device_Configuration'!BC416)</f>
        <v/>
      </c>
      <c r="X415" s="21" t="str">
        <f>IF('12 - Device_Configuration'!BK416="","",'12 - Device_Configuration'!BK416)</f>
        <v/>
      </c>
      <c r="Y415" s="21" t="str">
        <f>IF('12 - Device_Configuration'!BB416="","",'12 - Device_Configuration'!BB416)</f>
        <v/>
      </c>
      <c r="Z415" s="21" t="str">
        <f>IF('12 - Device_Configuration'!P416="","",'12 - Device_Configuration'!P416)</f>
        <v/>
      </c>
      <c r="AA415" s="21" t="str">
        <f>IF('12 - Device_Configuration'!Q416="","",'12 - Device_Configuration'!Q416)</f>
        <v/>
      </c>
    </row>
    <row r="416" spans="1:27">
      <c r="A416" s="22"/>
      <c r="B416" s="22"/>
      <c r="C416" s="21" t="str">
        <f>IF('12 - Device_Configuration'!H417="","",'12 - Device_Configuration'!H417)</f>
        <v/>
      </c>
      <c r="D416" s="21" t="str">
        <f>IF('12 - Device_Configuration'!AE417="","",'12 - Device_Configuration'!AE417)</f>
        <v/>
      </c>
      <c r="E416" s="21" t="str">
        <f>IF('12 - Device_Configuration'!AF417="","",'12 - Device_Configuration'!AF417)</f>
        <v/>
      </c>
      <c r="F416" s="21" t="str">
        <f>IF('12 - Device_Configuration'!AG417="","",'12 - Device_Configuration'!AG417)</f>
        <v/>
      </c>
      <c r="G416" s="21" t="str">
        <f>IF('12 - Device_Configuration'!AH417="","",'12 - Device_Configuration'!AH417)</f>
        <v/>
      </c>
      <c r="H416" s="21" t="str">
        <f>IF('12 - Device_Configuration'!A417="","",'12 - Device_Configuration'!A417)</f>
        <v/>
      </c>
      <c r="I416" s="21" t="str">
        <f>IF('12 - Device_Configuration'!AI417="","",'12 - Device_Configuration'!AI417)</f>
        <v/>
      </c>
      <c r="J416" s="21" t="str">
        <f>IF('12 - Device_Configuration'!AJ417="","",'12 - Device_Configuration'!AJ417)</f>
        <v/>
      </c>
      <c r="K416" s="21" t="str">
        <f>IF('12 - Device_Configuration'!AA417="","",'12 - Device_Configuration'!AA417)</f>
        <v/>
      </c>
      <c r="L416" s="21" t="str">
        <f>IF('12 - Device_Configuration'!I417="","",'12 - Device_Configuration'!I417)</f>
        <v/>
      </c>
      <c r="M416" s="22"/>
      <c r="N416" s="21" t="str">
        <f>IF('12 - Device_Configuration'!J417="","",'12 - Device_Configuration'!J417)</f>
        <v/>
      </c>
      <c r="O416" s="21" t="str">
        <f>IF('12 - Device_Configuration'!K417="","",'12 - Device_Configuration'!K417)</f>
        <v/>
      </c>
      <c r="P416" s="21" t="str">
        <f>IF('12 - Device_Configuration'!L417="","",'12 - Device_Configuration'!L417)</f>
        <v/>
      </c>
      <c r="Q416" s="22"/>
      <c r="R416" s="21" t="str">
        <f>IF('12 - Device_Configuration'!AY417="","",'12 - Device_Configuration'!AY417)</f>
        <v/>
      </c>
      <c r="S416" s="21" t="str">
        <f>IF('12 - Device_Configuration'!AX417="","",'12 - Device_Configuration'!AX417)</f>
        <v/>
      </c>
      <c r="T416" s="21" t="str">
        <f>IF('12 - Device_Configuration'!AV417="","",'12 - Device_Configuration'!AV417)</f>
        <v/>
      </c>
      <c r="U416" s="21" t="str">
        <f>IF('12 - Device_Configuration'!AW417="","",'12 - Device_Configuration'!AW417)</f>
        <v/>
      </c>
      <c r="V416" s="21" t="str">
        <f>IF('12 - Device_Configuration'!BA417="","",'12 - Device_Configuration'!BA417)</f>
        <v/>
      </c>
      <c r="W416" s="21" t="str">
        <f>IF('12 - Device_Configuration'!BC417="","",'12 - Device_Configuration'!BC417)</f>
        <v/>
      </c>
      <c r="X416" s="21" t="str">
        <f>IF('12 - Device_Configuration'!BK417="","",'12 - Device_Configuration'!BK417)</f>
        <v/>
      </c>
      <c r="Y416" s="21" t="str">
        <f>IF('12 - Device_Configuration'!BB417="","",'12 - Device_Configuration'!BB417)</f>
        <v/>
      </c>
      <c r="Z416" s="21" t="str">
        <f>IF('12 - Device_Configuration'!P417="","",'12 - Device_Configuration'!P417)</f>
        <v/>
      </c>
      <c r="AA416" s="21" t="str">
        <f>IF('12 - Device_Configuration'!Q417="","",'12 - Device_Configuration'!Q417)</f>
        <v/>
      </c>
    </row>
    <row r="417" spans="1:27">
      <c r="A417" s="22"/>
      <c r="B417" s="22"/>
      <c r="C417" s="21" t="str">
        <f>IF('12 - Device_Configuration'!H418="","",'12 - Device_Configuration'!H418)</f>
        <v/>
      </c>
      <c r="D417" s="21" t="str">
        <f>IF('12 - Device_Configuration'!AE418="","",'12 - Device_Configuration'!AE418)</f>
        <v/>
      </c>
      <c r="E417" s="21" t="str">
        <f>IF('12 - Device_Configuration'!AF418="","",'12 - Device_Configuration'!AF418)</f>
        <v/>
      </c>
      <c r="F417" s="21" t="str">
        <f>IF('12 - Device_Configuration'!AG418="","",'12 - Device_Configuration'!AG418)</f>
        <v/>
      </c>
      <c r="G417" s="21" t="str">
        <f>IF('12 - Device_Configuration'!AH418="","",'12 - Device_Configuration'!AH418)</f>
        <v/>
      </c>
      <c r="H417" s="21" t="str">
        <f>IF('12 - Device_Configuration'!A418="","",'12 - Device_Configuration'!A418)</f>
        <v/>
      </c>
      <c r="I417" s="21" t="str">
        <f>IF('12 - Device_Configuration'!AI418="","",'12 - Device_Configuration'!AI418)</f>
        <v/>
      </c>
      <c r="J417" s="21" t="str">
        <f>IF('12 - Device_Configuration'!AJ418="","",'12 - Device_Configuration'!AJ418)</f>
        <v/>
      </c>
      <c r="K417" s="21" t="str">
        <f>IF('12 - Device_Configuration'!AA418="","",'12 - Device_Configuration'!AA418)</f>
        <v/>
      </c>
      <c r="L417" s="21" t="str">
        <f>IF('12 - Device_Configuration'!I418="","",'12 - Device_Configuration'!I418)</f>
        <v/>
      </c>
      <c r="M417" s="22"/>
      <c r="N417" s="21" t="str">
        <f>IF('12 - Device_Configuration'!J418="","",'12 - Device_Configuration'!J418)</f>
        <v/>
      </c>
      <c r="O417" s="21" t="str">
        <f>IF('12 - Device_Configuration'!K418="","",'12 - Device_Configuration'!K418)</f>
        <v/>
      </c>
      <c r="P417" s="21" t="str">
        <f>IF('12 - Device_Configuration'!L418="","",'12 - Device_Configuration'!L418)</f>
        <v/>
      </c>
      <c r="Q417" s="22"/>
      <c r="R417" s="21" t="str">
        <f>IF('12 - Device_Configuration'!AY418="","",'12 - Device_Configuration'!AY418)</f>
        <v/>
      </c>
      <c r="S417" s="21" t="str">
        <f>IF('12 - Device_Configuration'!AX418="","",'12 - Device_Configuration'!AX418)</f>
        <v/>
      </c>
      <c r="T417" s="21" t="str">
        <f>IF('12 - Device_Configuration'!AV418="","",'12 - Device_Configuration'!AV418)</f>
        <v/>
      </c>
      <c r="U417" s="21" t="str">
        <f>IF('12 - Device_Configuration'!AW418="","",'12 - Device_Configuration'!AW418)</f>
        <v/>
      </c>
      <c r="V417" s="21" t="str">
        <f>IF('12 - Device_Configuration'!BA418="","",'12 - Device_Configuration'!BA418)</f>
        <v/>
      </c>
      <c r="W417" s="21" t="str">
        <f>IF('12 - Device_Configuration'!BC418="","",'12 - Device_Configuration'!BC418)</f>
        <v/>
      </c>
      <c r="X417" s="21" t="str">
        <f>IF('12 - Device_Configuration'!BK418="","",'12 - Device_Configuration'!BK418)</f>
        <v/>
      </c>
      <c r="Y417" s="21" t="str">
        <f>IF('12 - Device_Configuration'!BB418="","",'12 - Device_Configuration'!BB418)</f>
        <v/>
      </c>
      <c r="Z417" s="21" t="str">
        <f>IF('12 - Device_Configuration'!P418="","",'12 - Device_Configuration'!P418)</f>
        <v/>
      </c>
      <c r="AA417" s="21" t="str">
        <f>IF('12 - Device_Configuration'!Q418="","",'12 - Device_Configuration'!Q418)</f>
        <v/>
      </c>
    </row>
    <row r="418" spans="1:27">
      <c r="A418" s="22"/>
      <c r="B418" s="22"/>
      <c r="C418" s="21" t="str">
        <f>IF('12 - Device_Configuration'!H419="","",'12 - Device_Configuration'!H419)</f>
        <v/>
      </c>
      <c r="D418" s="21" t="str">
        <f>IF('12 - Device_Configuration'!AE419="","",'12 - Device_Configuration'!AE419)</f>
        <v/>
      </c>
      <c r="E418" s="21" t="str">
        <f>IF('12 - Device_Configuration'!AF419="","",'12 - Device_Configuration'!AF419)</f>
        <v/>
      </c>
      <c r="F418" s="21" t="str">
        <f>IF('12 - Device_Configuration'!AG419="","",'12 - Device_Configuration'!AG419)</f>
        <v/>
      </c>
      <c r="G418" s="21" t="str">
        <f>IF('12 - Device_Configuration'!AH419="","",'12 - Device_Configuration'!AH419)</f>
        <v/>
      </c>
      <c r="H418" s="21" t="str">
        <f>IF('12 - Device_Configuration'!A419="","",'12 - Device_Configuration'!A419)</f>
        <v/>
      </c>
      <c r="I418" s="21" t="str">
        <f>IF('12 - Device_Configuration'!AI419="","",'12 - Device_Configuration'!AI419)</f>
        <v/>
      </c>
      <c r="J418" s="21" t="str">
        <f>IF('12 - Device_Configuration'!AJ419="","",'12 - Device_Configuration'!AJ419)</f>
        <v/>
      </c>
      <c r="K418" s="21" t="str">
        <f>IF('12 - Device_Configuration'!AA419="","",'12 - Device_Configuration'!AA419)</f>
        <v/>
      </c>
      <c r="L418" s="21" t="str">
        <f>IF('12 - Device_Configuration'!I419="","",'12 - Device_Configuration'!I419)</f>
        <v/>
      </c>
      <c r="M418" s="22"/>
      <c r="N418" s="21" t="str">
        <f>IF('12 - Device_Configuration'!J419="","",'12 - Device_Configuration'!J419)</f>
        <v/>
      </c>
      <c r="O418" s="21" t="str">
        <f>IF('12 - Device_Configuration'!K419="","",'12 - Device_Configuration'!K419)</f>
        <v/>
      </c>
      <c r="P418" s="21" t="str">
        <f>IF('12 - Device_Configuration'!L419="","",'12 - Device_Configuration'!L419)</f>
        <v/>
      </c>
      <c r="Q418" s="22"/>
      <c r="R418" s="21" t="str">
        <f>IF('12 - Device_Configuration'!AY419="","",'12 - Device_Configuration'!AY419)</f>
        <v/>
      </c>
      <c r="S418" s="21" t="str">
        <f>IF('12 - Device_Configuration'!AX419="","",'12 - Device_Configuration'!AX419)</f>
        <v/>
      </c>
      <c r="T418" s="21" t="str">
        <f>IF('12 - Device_Configuration'!AV419="","",'12 - Device_Configuration'!AV419)</f>
        <v/>
      </c>
      <c r="U418" s="21" t="str">
        <f>IF('12 - Device_Configuration'!AW419="","",'12 - Device_Configuration'!AW419)</f>
        <v/>
      </c>
      <c r="V418" s="21" t="str">
        <f>IF('12 - Device_Configuration'!BA419="","",'12 - Device_Configuration'!BA419)</f>
        <v/>
      </c>
      <c r="W418" s="21" t="str">
        <f>IF('12 - Device_Configuration'!BC419="","",'12 - Device_Configuration'!BC419)</f>
        <v/>
      </c>
      <c r="X418" s="21" t="str">
        <f>IF('12 - Device_Configuration'!BK419="","",'12 - Device_Configuration'!BK419)</f>
        <v/>
      </c>
      <c r="Y418" s="21" t="str">
        <f>IF('12 - Device_Configuration'!BB419="","",'12 - Device_Configuration'!BB419)</f>
        <v/>
      </c>
      <c r="Z418" s="21" t="str">
        <f>IF('12 - Device_Configuration'!P419="","",'12 - Device_Configuration'!P419)</f>
        <v/>
      </c>
      <c r="AA418" s="21" t="str">
        <f>IF('12 - Device_Configuration'!Q419="","",'12 - Device_Configuration'!Q419)</f>
        <v/>
      </c>
    </row>
    <row r="419" spans="1:27">
      <c r="A419" s="22"/>
      <c r="B419" s="22"/>
      <c r="C419" s="21" t="str">
        <f>IF('12 - Device_Configuration'!H420="","",'12 - Device_Configuration'!H420)</f>
        <v/>
      </c>
      <c r="D419" s="21" t="str">
        <f>IF('12 - Device_Configuration'!AE420="","",'12 - Device_Configuration'!AE420)</f>
        <v/>
      </c>
      <c r="E419" s="21" t="str">
        <f>IF('12 - Device_Configuration'!AF420="","",'12 - Device_Configuration'!AF420)</f>
        <v/>
      </c>
      <c r="F419" s="21" t="str">
        <f>IF('12 - Device_Configuration'!AG420="","",'12 - Device_Configuration'!AG420)</f>
        <v/>
      </c>
      <c r="G419" s="21" t="str">
        <f>IF('12 - Device_Configuration'!AH420="","",'12 - Device_Configuration'!AH420)</f>
        <v/>
      </c>
      <c r="H419" s="21" t="str">
        <f>IF('12 - Device_Configuration'!A420="","",'12 - Device_Configuration'!A420)</f>
        <v/>
      </c>
      <c r="I419" s="21" t="str">
        <f>IF('12 - Device_Configuration'!AI420="","",'12 - Device_Configuration'!AI420)</f>
        <v/>
      </c>
      <c r="J419" s="21" t="str">
        <f>IF('12 - Device_Configuration'!AJ420="","",'12 - Device_Configuration'!AJ420)</f>
        <v/>
      </c>
      <c r="K419" s="21" t="str">
        <f>IF('12 - Device_Configuration'!AA420="","",'12 - Device_Configuration'!AA420)</f>
        <v/>
      </c>
      <c r="L419" s="21" t="str">
        <f>IF('12 - Device_Configuration'!I420="","",'12 - Device_Configuration'!I420)</f>
        <v/>
      </c>
      <c r="M419" s="22"/>
      <c r="N419" s="21" t="str">
        <f>IF('12 - Device_Configuration'!J420="","",'12 - Device_Configuration'!J420)</f>
        <v/>
      </c>
      <c r="O419" s="21" t="str">
        <f>IF('12 - Device_Configuration'!K420="","",'12 - Device_Configuration'!K420)</f>
        <v/>
      </c>
      <c r="P419" s="21" t="str">
        <f>IF('12 - Device_Configuration'!L420="","",'12 - Device_Configuration'!L420)</f>
        <v/>
      </c>
      <c r="Q419" s="22"/>
      <c r="R419" s="21" t="str">
        <f>IF('12 - Device_Configuration'!AY420="","",'12 - Device_Configuration'!AY420)</f>
        <v/>
      </c>
      <c r="S419" s="21" t="str">
        <f>IF('12 - Device_Configuration'!AX420="","",'12 - Device_Configuration'!AX420)</f>
        <v/>
      </c>
      <c r="T419" s="21" t="str">
        <f>IF('12 - Device_Configuration'!AV420="","",'12 - Device_Configuration'!AV420)</f>
        <v/>
      </c>
      <c r="U419" s="21" t="str">
        <f>IF('12 - Device_Configuration'!AW420="","",'12 - Device_Configuration'!AW420)</f>
        <v/>
      </c>
      <c r="V419" s="21" t="str">
        <f>IF('12 - Device_Configuration'!BA420="","",'12 - Device_Configuration'!BA420)</f>
        <v/>
      </c>
      <c r="W419" s="21" t="str">
        <f>IF('12 - Device_Configuration'!BC420="","",'12 - Device_Configuration'!BC420)</f>
        <v/>
      </c>
      <c r="X419" s="21" t="str">
        <f>IF('12 - Device_Configuration'!BK420="","",'12 - Device_Configuration'!BK420)</f>
        <v/>
      </c>
      <c r="Y419" s="21" t="str">
        <f>IF('12 - Device_Configuration'!BB420="","",'12 - Device_Configuration'!BB420)</f>
        <v/>
      </c>
      <c r="Z419" s="21" t="str">
        <f>IF('12 - Device_Configuration'!P420="","",'12 - Device_Configuration'!P420)</f>
        <v/>
      </c>
      <c r="AA419" s="21" t="str">
        <f>IF('12 - Device_Configuration'!Q420="","",'12 - Device_Configuration'!Q420)</f>
        <v/>
      </c>
    </row>
    <row r="420" spans="1:27">
      <c r="A420" s="22"/>
      <c r="B420" s="22"/>
      <c r="C420" s="21" t="str">
        <f>IF('12 - Device_Configuration'!H421="","",'12 - Device_Configuration'!H421)</f>
        <v/>
      </c>
      <c r="D420" s="21" t="str">
        <f>IF('12 - Device_Configuration'!AE421="","",'12 - Device_Configuration'!AE421)</f>
        <v/>
      </c>
      <c r="E420" s="21" t="str">
        <f>IF('12 - Device_Configuration'!AF421="","",'12 - Device_Configuration'!AF421)</f>
        <v/>
      </c>
      <c r="F420" s="21" t="str">
        <f>IF('12 - Device_Configuration'!AG421="","",'12 - Device_Configuration'!AG421)</f>
        <v/>
      </c>
      <c r="G420" s="21" t="str">
        <f>IF('12 - Device_Configuration'!AH421="","",'12 - Device_Configuration'!AH421)</f>
        <v/>
      </c>
      <c r="H420" s="21" t="str">
        <f>IF('12 - Device_Configuration'!A421="","",'12 - Device_Configuration'!A421)</f>
        <v/>
      </c>
      <c r="I420" s="21" t="str">
        <f>IF('12 - Device_Configuration'!AI421="","",'12 - Device_Configuration'!AI421)</f>
        <v/>
      </c>
      <c r="J420" s="21" t="str">
        <f>IF('12 - Device_Configuration'!AJ421="","",'12 - Device_Configuration'!AJ421)</f>
        <v/>
      </c>
      <c r="K420" s="21" t="str">
        <f>IF('12 - Device_Configuration'!AA421="","",'12 - Device_Configuration'!AA421)</f>
        <v/>
      </c>
      <c r="L420" s="21" t="str">
        <f>IF('12 - Device_Configuration'!I421="","",'12 - Device_Configuration'!I421)</f>
        <v/>
      </c>
      <c r="M420" s="22"/>
      <c r="N420" s="21" t="str">
        <f>IF('12 - Device_Configuration'!J421="","",'12 - Device_Configuration'!J421)</f>
        <v/>
      </c>
      <c r="O420" s="21" t="str">
        <f>IF('12 - Device_Configuration'!K421="","",'12 - Device_Configuration'!K421)</f>
        <v/>
      </c>
      <c r="P420" s="21" t="str">
        <f>IF('12 - Device_Configuration'!L421="","",'12 - Device_Configuration'!L421)</f>
        <v/>
      </c>
      <c r="Q420" s="22"/>
      <c r="R420" s="21" t="str">
        <f>IF('12 - Device_Configuration'!AY421="","",'12 - Device_Configuration'!AY421)</f>
        <v/>
      </c>
      <c r="S420" s="21" t="str">
        <f>IF('12 - Device_Configuration'!AX421="","",'12 - Device_Configuration'!AX421)</f>
        <v/>
      </c>
      <c r="T420" s="21" t="str">
        <f>IF('12 - Device_Configuration'!AV421="","",'12 - Device_Configuration'!AV421)</f>
        <v/>
      </c>
      <c r="U420" s="21" t="str">
        <f>IF('12 - Device_Configuration'!AW421="","",'12 - Device_Configuration'!AW421)</f>
        <v/>
      </c>
      <c r="V420" s="21" t="str">
        <f>IF('12 - Device_Configuration'!BA421="","",'12 - Device_Configuration'!BA421)</f>
        <v/>
      </c>
      <c r="W420" s="21" t="str">
        <f>IF('12 - Device_Configuration'!BC421="","",'12 - Device_Configuration'!BC421)</f>
        <v/>
      </c>
      <c r="X420" s="21" t="str">
        <f>IF('12 - Device_Configuration'!BK421="","",'12 - Device_Configuration'!BK421)</f>
        <v/>
      </c>
      <c r="Y420" s="21" t="str">
        <f>IF('12 - Device_Configuration'!BB421="","",'12 - Device_Configuration'!BB421)</f>
        <v/>
      </c>
      <c r="Z420" s="21" t="str">
        <f>IF('12 - Device_Configuration'!P421="","",'12 - Device_Configuration'!P421)</f>
        <v/>
      </c>
      <c r="AA420" s="21" t="str">
        <f>IF('12 - Device_Configuration'!Q421="","",'12 - Device_Configuration'!Q421)</f>
        <v/>
      </c>
    </row>
    <row r="421" spans="1:27">
      <c r="A421" s="22"/>
      <c r="B421" s="22"/>
      <c r="C421" s="21" t="str">
        <f>IF('12 - Device_Configuration'!H422="","",'12 - Device_Configuration'!H422)</f>
        <v/>
      </c>
      <c r="D421" s="21" t="str">
        <f>IF('12 - Device_Configuration'!AE422="","",'12 - Device_Configuration'!AE422)</f>
        <v/>
      </c>
      <c r="E421" s="21" t="str">
        <f>IF('12 - Device_Configuration'!AF422="","",'12 - Device_Configuration'!AF422)</f>
        <v/>
      </c>
      <c r="F421" s="21" t="str">
        <f>IF('12 - Device_Configuration'!AG422="","",'12 - Device_Configuration'!AG422)</f>
        <v/>
      </c>
      <c r="G421" s="21" t="str">
        <f>IF('12 - Device_Configuration'!AH422="","",'12 - Device_Configuration'!AH422)</f>
        <v/>
      </c>
      <c r="H421" s="21" t="str">
        <f>IF('12 - Device_Configuration'!A422="","",'12 - Device_Configuration'!A422)</f>
        <v/>
      </c>
      <c r="I421" s="21" t="str">
        <f>IF('12 - Device_Configuration'!AI422="","",'12 - Device_Configuration'!AI422)</f>
        <v/>
      </c>
      <c r="J421" s="21" t="str">
        <f>IF('12 - Device_Configuration'!AJ422="","",'12 - Device_Configuration'!AJ422)</f>
        <v/>
      </c>
      <c r="K421" s="21" t="str">
        <f>IF('12 - Device_Configuration'!AA422="","",'12 - Device_Configuration'!AA422)</f>
        <v/>
      </c>
      <c r="L421" s="21" t="str">
        <f>IF('12 - Device_Configuration'!I422="","",'12 - Device_Configuration'!I422)</f>
        <v/>
      </c>
      <c r="M421" s="22"/>
      <c r="N421" s="21" t="str">
        <f>IF('12 - Device_Configuration'!J422="","",'12 - Device_Configuration'!J422)</f>
        <v/>
      </c>
      <c r="O421" s="21" t="str">
        <f>IF('12 - Device_Configuration'!K422="","",'12 - Device_Configuration'!K422)</f>
        <v/>
      </c>
      <c r="P421" s="21" t="str">
        <f>IF('12 - Device_Configuration'!L422="","",'12 - Device_Configuration'!L422)</f>
        <v/>
      </c>
      <c r="Q421" s="22"/>
      <c r="R421" s="21" t="str">
        <f>IF('12 - Device_Configuration'!AY422="","",'12 - Device_Configuration'!AY422)</f>
        <v/>
      </c>
      <c r="S421" s="21" t="str">
        <f>IF('12 - Device_Configuration'!AX422="","",'12 - Device_Configuration'!AX422)</f>
        <v/>
      </c>
      <c r="T421" s="21" t="str">
        <f>IF('12 - Device_Configuration'!AV422="","",'12 - Device_Configuration'!AV422)</f>
        <v/>
      </c>
      <c r="U421" s="21" t="str">
        <f>IF('12 - Device_Configuration'!AW422="","",'12 - Device_Configuration'!AW422)</f>
        <v/>
      </c>
      <c r="V421" s="21" t="str">
        <f>IF('12 - Device_Configuration'!BA422="","",'12 - Device_Configuration'!BA422)</f>
        <v/>
      </c>
      <c r="W421" s="21" t="str">
        <f>IF('12 - Device_Configuration'!BC422="","",'12 - Device_Configuration'!BC422)</f>
        <v/>
      </c>
      <c r="X421" s="21" t="str">
        <f>IF('12 - Device_Configuration'!BK422="","",'12 - Device_Configuration'!BK422)</f>
        <v/>
      </c>
      <c r="Y421" s="21" t="str">
        <f>IF('12 - Device_Configuration'!BB422="","",'12 - Device_Configuration'!BB422)</f>
        <v/>
      </c>
      <c r="Z421" s="21" t="str">
        <f>IF('12 - Device_Configuration'!P422="","",'12 - Device_Configuration'!P422)</f>
        <v/>
      </c>
      <c r="AA421" s="21" t="str">
        <f>IF('12 - Device_Configuration'!Q422="","",'12 - Device_Configuration'!Q422)</f>
        <v/>
      </c>
    </row>
    <row r="422" spans="1:27">
      <c r="A422" s="22"/>
      <c r="B422" s="22"/>
      <c r="C422" s="21" t="str">
        <f>IF('12 - Device_Configuration'!H423="","",'12 - Device_Configuration'!H423)</f>
        <v/>
      </c>
      <c r="D422" s="21" t="str">
        <f>IF('12 - Device_Configuration'!AE423="","",'12 - Device_Configuration'!AE423)</f>
        <v/>
      </c>
      <c r="E422" s="21" t="str">
        <f>IF('12 - Device_Configuration'!AF423="","",'12 - Device_Configuration'!AF423)</f>
        <v/>
      </c>
      <c r="F422" s="21" t="str">
        <f>IF('12 - Device_Configuration'!AG423="","",'12 - Device_Configuration'!AG423)</f>
        <v/>
      </c>
      <c r="G422" s="21" t="str">
        <f>IF('12 - Device_Configuration'!AH423="","",'12 - Device_Configuration'!AH423)</f>
        <v/>
      </c>
      <c r="H422" s="21" t="str">
        <f>IF('12 - Device_Configuration'!A423="","",'12 - Device_Configuration'!A423)</f>
        <v/>
      </c>
      <c r="I422" s="21" t="str">
        <f>IF('12 - Device_Configuration'!AI423="","",'12 - Device_Configuration'!AI423)</f>
        <v/>
      </c>
      <c r="J422" s="21" t="str">
        <f>IF('12 - Device_Configuration'!AJ423="","",'12 - Device_Configuration'!AJ423)</f>
        <v/>
      </c>
      <c r="K422" s="21" t="str">
        <f>IF('12 - Device_Configuration'!AA423="","",'12 - Device_Configuration'!AA423)</f>
        <v/>
      </c>
      <c r="L422" s="21" t="str">
        <f>IF('12 - Device_Configuration'!I423="","",'12 - Device_Configuration'!I423)</f>
        <v/>
      </c>
      <c r="M422" s="22"/>
      <c r="N422" s="21" t="str">
        <f>IF('12 - Device_Configuration'!J423="","",'12 - Device_Configuration'!J423)</f>
        <v/>
      </c>
      <c r="O422" s="21" t="str">
        <f>IF('12 - Device_Configuration'!K423="","",'12 - Device_Configuration'!K423)</f>
        <v/>
      </c>
      <c r="P422" s="21" t="str">
        <f>IF('12 - Device_Configuration'!L423="","",'12 - Device_Configuration'!L423)</f>
        <v/>
      </c>
      <c r="Q422" s="22"/>
      <c r="R422" s="21" t="str">
        <f>IF('12 - Device_Configuration'!AY423="","",'12 - Device_Configuration'!AY423)</f>
        <v/>
      </c>
      <c r="S422" s="21" t="str">
        <f>IF('12 - Device_Configuration'!AX423="","",'12 - Device_Configuration'!AX423)</f>
        <v/>
      </c>
      <c r="T422" s="21" t="str">
        <f>IF('12 - Device_Configuration'!AV423="","",'12 - Device_Configuration'!AV423)</f>
        <v/>
      </c>
      <c r="U422" s="21" t="str">
        <f>IF('12 - Device_Configuration'!AW423="","",'12 - Device_Configuration'!AW423)</f>
        <v/>
      </c>
      <c r="V422" s="21" t="str">
        <f>IF('12 - Device_Configuration'!BA423="","",'12 - Device_Configuration'!BA423)</f>
        <v/>
      </c>
      <c r="W422" s="21" t="str">
        <f>IF('12 - Device_Configuration'!BC423="","",'12 - Device_Configuration'!BC423)</f>
        <v/>
      </c>
      <c r="X422" s="21" t="str">
        <f>IF('12 - Device_Configuration'!BK423="","",'12 - Device_Configuration'!BK423)</f>
        <v/>
      </c>
      <c r="Y422" s="21" t="str">
        <f>IF('12 - Device_Configuration'!BB423="","",'12 - Device_Configuration'!BB423)</f>
        <v/>
      </c>
      <c r="Z422" s="21" t="str">
        <f>IF('12 - Device_Configuration'!P423="","",'12 - Device_Configuration'!P423)</f>
        <v/>
      </c>
      <c r="AA422" s="21" t="str">
        <f>IF('12 - Device_Configuration'!Q423="","",'12 - Device_Configuration'!Q423)</f>
        <v/>
      </c>
    </row>
    <row r="423" spans="1:27">
      <c r="A423" s="22"/>
      <c r="B423" s="22"/>
      <c r="C423" s="21" t="str">
        <f>IF('12 - Device_Configuration'!H424="","",'12 - Device_Configuration'!H424)</f>
        <v/>
      </c>
      <c r="D423" s="21" t="str">
        <f>IF('12 - Device_Configuration'!AE424="","",'12 - Device_Configuration'!AE424)</f>
        <v/>
      </c>
      <c r="E423" s="21" t="str">
        <f>IF('12 - Device_Configuration'!AF424="","",'12 - Device_Configuration'!AF424)</f>
        <v/>
      </c>
      <c r="F423" s="21" t="str">
        <f>IF('12 - Device_Configuration'!AG424="","",'12 - Device_Configuration'!AG424)</f>
        <v/>
      </c>
      <c r="G423" s="21" t="str">
        <f>IF('12 - Device_Configuration'!AH424="","",'12 - Device_Configuration'!AH424)</f>
        <v/>
      </c>
      <c r="H423" s="21" t="str">
        <f>IF('12 - Device_Configuration'!A424="","",'12 - Device_Configuration'!A424)</f>
        <v/>
      </c>
      <c r="I423" s="21" t="str">
        <f>IF('12 - Device_Configuration'!AI424="","",'12 - Device_Configuration'!AI424)</f>
        <v/>
      </c>
      <c r="J423" s="21" t="str">
        <f>IF('12 - Device_Configuration'!AJ424="","",'12 - Device_Configuration'!AJ424)</f>
        <v/>
      </c>
      <c r="K423" s="21" t="str">
        <f>IF('12 - Device_Configuration'!AA424="","",'12 - Device_Configuration'!AA424)</f>
        <v/>
      </c>
      <c r="L423" s="21" t="str">
        <f>IF('12 - Device_Configuration'!I424="","",'12 - Device_Configuration'!I424)</f>
        <v/>
      </c>
      <c r="M423" s="22"/>
      <c r="N423" s="21" t="str">
        <f>IF('12 - Device_Configuration'!J424="","",'12 - Device_Configuration'!J424)</f>
        <v/>
      </c>
      <c r="O423" s="21" t="str">
        <f>IF('12 - Device_Configuration'!K424="","",'12 - Device_Configuration'!K424)</f>
        <v/>
      </c>
      <c r="P423" s="21" t="str">
        <f>IF('12 - Device_Configuration'!L424="","",'12 - Device_Configuration'!L424)</f>
        <v/>
      </c>
      <c r="Q423" s="22"/>
      <c r="R423" s="21" t="str">
        <f>IF('12 - Device_Configuration'!AY424="","",'12 - Device_Configuration'!AY424)</f>
        <v/>
      </c>
      <c r="S423" s="21" t="str">
        <f>IF('12 - Device_Configuration'!AX424="","",'12 - Device_Configuration'!AX424)</f>
        <v/>
      </c>
      <c r="T423" s="21" t="str">
        <f>IF('12 - Device_Configuration'!AV424="","",'12 - Device_Configuration'!AV424)</f>
        <v/>
      </c>
      <c r="U423" s="21" t="str">
        <f>IF('12 - Device_Configuration'!AW424="","",'12 - Device_Configuration'!AW424)</f>
        <v/>
      </c>
      <c r="V423" s="21" t="str">
        <f>IF('12 - Device_Configuration'!BA424="","",'12 - Device_Configuration'!BA424)</f>
        <v/>
      </c>
      <c r="W423" s="21" t="str">
        <f>IF('12 - Device_Configuration'!BC424="","",'12 - Device_Configuration'!BC424)</f>
        <v/>
      </c>
      <c r="X423" s="21" t="str">
        <f>IF('12 - Device_Configuration'!BK424="","",'12 - Device_Configuration'!BK424)</f>
        <v/>
      </c>
      <c r="Y423" s="21" t="str">
        <f>IF('12 - Device_Configuration'!BB424="","",'12 - Device_Configuration'!BB424)</f>
        <v/>
      </c>
      <c r="Z423" s="21" t="str">
        <f>IF('12 - Device_Configuration'!P424="","",'12 - Device_Configuration'!P424)</f>
        <v/>
      </c>
      <c r="AA423" s="21" t="str">
        <f>IF('12 - Device_Configuration'!Q424="","",'12 - Device_Configuration'!Q424)</f>
        <v/>
      </c>
    </row>
    <row r="424" spans="1:27">
      <c r="A424" s="22"/>
      <c r="B424" s="22"/>
      <c r="C424" s="21" t="str">
        <f>IF('12 - Device_Configuration'!H425="","",'12 - Device_Configuration'!H425)</f>
        <v/>
      </c>
      <c r="D424" s="21" t="str">
        <f>IF('12 - Device_Configuration'!AE425="","",'12 - Device_Configuration'!AE425)</f>
        <v/>
      </c>
      <c r="E424" s="21" t="str">
        <f>IF('12 - Device_Configuration'!AF425="","",'12 - Device_Configuration'!AF425)</f>
        <v/>
      </c>
      <c r="F424" s="21" t="str">
        <f>IF('12 - Device_Configuration'!AG425="","",'12 - Device_Configuration'!AG425)</f>
        <v/>
      </c>
      <c r="G424" s="21" t="str">
        <f>IF('12 - Device_Configuration'!AH425="","",'12 - Device_Configuration'!AH425)</f>
        <v/>
      </c>
      <c r="H424" s="21" t="str">
        <f>IF('12 - Device_Configuration'!A425="","",'12 - Device_Configuration'!A425)</f>
        <v/>
      </c>
      <c r="I424" s="21" t="str">
        <f>IF('12 - Device_Configuration'!AI425="","",'12 - Device_Configuration'!AI425)</f>
        <v/>
      </c>
      <c r="J424" s="21" t="str">
        <f>IF('12 - Device_Configuration'!AJ425="","",'12 - Device_Configuration'!AJ425)</f>
        <v/>
      </c>
      <c r="K424" s="21" t="str">
        <f>IF('12 - Device_Configuration'!AA425="","",'12 - Device_Configuration'!AA425)</f>
        <v/>
      </c>
      <c r="L424" s="21" t="str">
        <f>IF('12 - Device_Configuration'!I425="","",'12 - Device_Configuration'!I425)</f>
        <v/>
      </c>
      <c r="M424" s="22"/>
      <c r="N424" s="21" t="str">
        <f>IF('12 - Device_Configuration'!J425="","",'12 - Device_Configuration'!J425)</f>
        <v/>
      </c>
      <c r="O424" s="21" t="str">
        <f>IF('12 - Device_Configuration'!K425="","",'12 - Device_Configuration'!K425)</f>
        <v/>
      </c>
      <c r="P424" s="21" t="str">
        <f>IF('12 - Device_Configuration'!L425="","",'12 - Device_Configuration'!L425)</f>
        <v/>
      </c>
      <c r="Q424" s="22"/>
      <c r="R424" s="21" t="str">
        <f>IF('12 - Device_Configuration'!AY425="","",'12 - Device_Configuration'!AY425)</f>
        <v/>
      </c>
      <c r="S424" s="21" t="str">
        <f>IF('12 - Device_Configuration'!AX425="","",'12 - Device_Configuration'!AX425)</f>
        <v/>
      </c>
      <c r="T424" s="21" t="str">
        <f>IF('12 - Device_Configuration'!AV425="","",'12 - Device_Configuration'!AV425)</f>
        <v/>
      </c>
      <c r="U424" s="21" t="str">
        <f>IF('12 - Device_Configuration'!AW425="","",'12 - Device_Configuration'!AW425)</f>
        <v/>
      </c>
      <c r="V424" s="21" t="str">
        <f>IF('12 - Device_Configuration'!BA425="","",'12 - Device_Configuration'!BA425)</f>
        <v/>
      </c>
      <c r="W424" s="21" t="str">
        <f>IF('12 - Device_Configuration'!BC425="","",'12 - Device_Configuration'!BC425)</f>
        <v/>
      </c>
      <c r="X424" s="21" t="str">
        <f>IF('12 - Device_Configuration'!BK425="","",'12 - Device_Configuration'!BK425)</f>
        <v/>
      </c>
      <c r="Y424" s="21" t="str">
        <f>IF('12 - Device_Configuration'!BB425="","",'12 - Device_Configuration'!BB425)</f>
        <v/>
      </c>
      <c r="Z424" s="21" t="str">
        <f>IF('12 - Device_Configuration'!P425="","",'12 - Device_Configuration'!P425)</f>
        <v/>
      </c>
      <c r="AA424" s="21" t="str">
        <f>IF('12 - Device_Configuration'!Q425="","",'12 - Device_Configuration'!Q425)</f>
        <v/>
      </c>
    </row>
    <row r="425" spans="1:27">
      <c r="A425" s="22"/>
      <c r="B425" s="22"/>
      <c r="C425" s="21" t="str">
        <f>IF('12 - Device_Configuration'!H426="","",'12 - Device_Configuration'!H426)</f>
        <v/>
      </c>
      <c r="D425" s="21" t="str">
        <f>IF('12 - Device_Configuration'!AE426="","",'12 - Device_Configuration'!AE426)</f>
        <v/>
      </c>
      <c r="E425" s="21" t="str">
        <f>IF('12 - Device_Configuration'!AF426="","",'12 - Device_Configuration'!AF426)</f>
        <v/>
      </c>
      <c r="F425" s="21" t="str">
        <f>IF('12 - Device_Configuration'!AG426="","",'12 - Device_Configuration'!AG426)</f>
        <v/>
      </c>
      <c r="G425" s="21" t="str">
        <f>IF('12 - Device_Configuration'!AH426="","",'12 - Device_Configuration'!AH426)</f>
        <v/>
      </c>
      <c r="H425" s="21" t="str">
        <f>IF('12 - Device_Configuration'!A426="","",'12 - Device_Configuration'!A426)</f>
        <v/>
      </c>
      <c r="I425" s="21" t="str">
        <f>IF('12 - Device_Configuration'!AI426="","",'12 - Device_Configuration'!AI426)</f>
        <v/>
      </c>
      <c r="J425" s="21" t="str">
        <f>IF('12 - Device_Configuration'!AJ426="","",'12 - Device_Configuration'!AJ426)</f>
        <v/>
      </c>
      <c r="K425" s="21" t="str">
        <f>IF('12 - Device_Configuration'!AA426="","",'12 - Device_Configuration'!AA426)</f>
        <v/>
      </c>
      <c r="L425" s="21" t="str">
        <f>IF('12 - Device_Configuration'!I426="","",'12 - Device_Configuration'!I426)</f>
        <v/>
      </c>
      <c r="M425" s="22"/>
      <c r="N425" s="21" t="str">
        <f>IF('12 - Device_Configuration'!J426="","",'12 - Device_Configuration'!J426)</f>
        <v/>
      </c>
      <c r="O425" s="21" t="str">
        <f>IF('12 - Device_Configuration'!K426="","",'12 - Device_Configuration'!K426)</f>
        <v/>
      </c>
      <c r="P425" s="21" t="str">
        <f>IF('12 - Device_Configuration'!L426="","",'12 - Device_Configuration'!L426)</f>
        <v/>
      </c>
      <c r="Q425" s="22"/>
      <c r="R425" s="21" t="str">
        <f>IF('12 - Device_Configuration'!AY426="","",'12 - Device_Configuration'!AY426)</f>
        <v/>
      </c>
      <c r="S425" s="21" t="str">
        <f>IF('12 - Device_Configuration'!AX426="","",'12 - Device_Configuration'!AX426)</f>
        <v/>
      </c>
      <c r="T425" s="21" t="str">
        <f>IF('12 - Device_Configuration'!AV426="","",'12 - Device_Configuration'!AV426)</f>
        <v/>
      </c>
      <c r="U425" s="21" t="str">
        <f>IF('12 - Device_Configuration'!AW426="","",'12 - Device_Configuration'!AW426)</f>
        <v/>
      </c>
      <c r="V425" s="21" t="str">
        <f>IF('12 - Device_Configuration'!BA426="","",'12 - Device_Configuration'!BA426)</f>
        <v/>
      </c>
      <c r="W425" s="21" t="str">
        <f>IF('12 - Device_Configuration'!BC426="","",'12 - Device_Configuration'!BC426)</f>
        <v/>
      </c>
      <c r="X425" s="21" t="str">
        <f>IF('12 - Device_Configuration'!BK426="","",'12 - Device_Configuration'!BK426)</f>
        <v/>
      </c>
      <c r="Y425" s="21" t="str">
        <f>IF('12 - Device_Configuration'!BB426="","",'12 - Device_Configuration'!BB426)</f>
        <v/>
      </c>
      <c r="Z425" s="21" t="str">
        <f>IF('12 - Device_Configuration'!P426="","",'12 - Device_Configuration'!P426)</f>
        <v/>
      </c>
      <c r="AA425" s="21" t="str">
        <f>IF('12 - Device_Configuration'!Q426="","",'12 - Device_Configuration'!Q426)</f>
        <v/>
      </c>
    </row>
    <row r="426" spans="1:27">
      <c r="A426" s="22"/>
      <c r="B426" s="22"/>
      <c r="C426" s="21" t="str">
        <f>IF('12 - Device_Configuration'!H427="","",'12 - Device_Configuration'!H427)</f>
        <v/>
      </c>
      <c r="D426" s="21" t="str">
        <f>IF('12 - Device_Configuration'!AE427="","",'12 - Device_Configuration'!AE427)</f>
        <v/>
      </c>
      <c r="E426" s="21" t="str">
        <f>IF('12 - Device_Configuration'!AF427="","",'12 - Device_Configuration'!AF427)</f>
        <v/>
      </c>
      <c r="F426" s="21" t="str">
        <f>IF('12 - Device_Configuration'!AG427="","",'12 - Device_Configuration'!AG427)</f>
        <v/>
      </c>
      <c r="G426" s="21" t="str">
        <f>IF('12 - Device_Configuration'!AH427="","",'12 - Device_Configuration'!AH427)</f>
        <v/>
      </c>
      <c r="H426" s="21" t="str">
        <f>IF('12 - Device_Configuration'!A427="","",'12 - Device_Configuration'!A427)</f>
        <v/>
      </c>
      <c r="I426" s="21" t="str">
        <f>IF('12 - Device_Configuration'!AI427="","",'12 - Device_Configuration'!AI427)</f>
        <v/>
      </c>
      <c r="J426" s="21" t="str">
        <f>IF('12 - Device_Configuration'!AJ427="","",'12 - Device_Configuration'!AJ427)</f>
        <v/>
      </c>
      <c r="K426" s="21" t="str">
        <f>IF('12 - Device_Configuration'!AA427="","",'12 - Device_Configuration'!AA427)</f>
        <v/>
      </c>
      <c r="L426" s="21" t="str">
        <f>IF('12 - Device_Configuration'!I427="","",'12 - Device_Configuration'!I427)</f>
        <v/>
      </c>
      <c r="M426" s="22"/>
      <c r="N426" s="21" t="str">
        <f>IF('12 - Device_Configuration'!J427="","",'12 - Device_Configuration'!J427)</f>
        <v/>
      </c>
      <c r="O426" s="21" t="str">
        <f>IF('12 - Device_Configuration'!K427="","",'12 - Device_Configuration'!K427)</f>
        <v/>
      </c>
      <c r="P426" s="21" t="str">
        <f>IF('12 - Device_Configuration'!L427="","",'12 - Device_Configuration'!L427)</f>
        <v/>
      </c>
      <c r="Q426" s="22"/>
      <c r="R426" s="21" t="str">
        <f>IF('12 - Device_Configuration'!AY427="","",'12 - Device_Configuration'!AY427)</f>
        <v/>
      </c>
      <c r="S426" s="21" t="str">
        <f>IF('12 - Device_Configuration'!AX427="","",'12 - Device_Configuration'!AX427)</f>
        <v/>
      </c>
      <c r="T426" s="21" t="str">
        <f>IF('12 - Device_Configuration'!AV427="","",'12 - Device_Configuration'!AV427)</f>
        <v/>
      </c>
      <c r="U426" s="21" t="str">
        <f>IF('12 - Device_Configuration'!AW427="","",'12 - Device_Configuration'!AW427)</f>
        <v/>
      </c>
      <c r="V426" s="21" t="str">
        <f>IF('12 - Device_Configuration'!BA427="","",'12 - Device_Configuration'!BA427)</f>
        <v/>
      </c>
      <c r="W426" s="21" t="str">
        <f>IF('12 - Device_Configuration'!BC427="","",'12 - Device_Configuration'!BC427)</f>
        <v/>
      </c>
      <c r="X426" s="21" t="str">
        <f>IF('12 - Device_Configuration'!BK427="","",'12 - Device_Configuration'!BK427)</f>
        <v/>
      </c>
      <c r="Y426" s="21" t="str">
        <f>IF('12 - Device_Configuration'!BB427="","",'12 - Device_Configuration'!BB427)</f>
        <v/>
      </c>
      <c r="Z426" s="21" t="str">
        <f>IF('12 - Device_Configuration'!P427="","",'12 - Device_Configuration'!P427)</f>
        <v/>
      </c>
      <c r="AA426" s="21" t="str">
        <f>IF('12 - Device_Configuration'!Q427="","",'12 - Device_Configuration'!Q427)</f>
        <v/>
      </c>
    </row>
    <row r="427" spans="1:27">
      <c r="A427" s="22"/>
      <c r="B427" s="22"/>
      <c r="C427" s="21" t="str">
        <f>IF('12 - Device_Configuration'!H428="","",'12 - Device_Configuration'!H428)</f>
        <v/>
      </c>
      <c r="D427" s="21" t="str">
        <f>IF('12 - Device_Configuration'!AE428="","",'12 - Device_Configuration'!AE428)</f>
        <v/>
      </c>
      <c r="E427" s="21" t="str">
        <f>IF('12 - Device_Configuration'!AF428="","",'12 - Device_Configuration'!AF428)</f>
        <v/>
      </c>
      <c r="F427" s="21" t="str">
        <f>IF('12 - Device_Configuration'!AG428="","",'12 - Device_Configuration'!AG428)</f>
        <v/>
      </c>
      <c r="G427" s="21" t="str">
        <f>IF('12 - Device_Configuration'!AH428="","",'12 - Device_Configuration'!AH428)</f>
        <v/>
      </c>
      <c r="H427" s="21" t="str">
        <f>IF('12 - Device_Configuration'!A428="","",'12 - Device_Configuration'!A428)</f>
        <v/>
      </c>
      <c r="I427" s="21" t="str">
        <f>IF('12 - Device_Configuration'!AI428="","",'12 - Device_Configuration'!AI428)</f>
        <v/>
      </c>
      <c r="J427" s="21" t="str">
        <f>IF('12 - Device_Configuration'!AJ428="","",'12 - Device_Configuration'!AJ428)</f>
        <v/>
      </c>
      <c r="K427" s="21" t="str">
        <f>IF('12 - Device_Configuration'!AA428="","",'12 - Device_Configuration'!AA428)</f>
        <v/>
      </c>
      <c r="L427" s="21" t="str">
        <f>IF('12 - Device_Configuration'!I428="","",'12 - Device_Configuration'!I428)</f>
        <v/>
      </c>
      <c r="M427" s="22"/>
      <c r="N427" s="21" t="str">
        <f>IF('12 - Device_Configuration'!J428="","",'12 - Device_Configuration'!J428)</f>
        <v/>
      </c>
      <c r="O427" s="21" t="str">
        <f>IF('12 - Device_Configuration'!K428="","",'12 - Device_Configuration'!K428)</f>
        <v/>
      </c>
      <c r="P427" s="21" t="str">
        <f>IF('12 - Device_Configuration'!L428="","",'12 - Device_Configuration'!L428)</f>
        <v/>
      </c>
      <c r="Q427" s="22"/>
      <c r="R427" s="21" t="str">
        <f>IF('12 - Device_Configuration'!AY428="","",'12 - Device_Configuration'!AY428)</f>
        <v/>
      </c>
      <c r="S427" s="21" t="str">
        <f>IF('12 - Device_Configuration'!AX428="","",'12 - Device_Configuration'!AX428)</f>
        <v/>
      </c>
      <c r="T427" s="21" t="str">
        <f>IF('12 - Device_Configuration'!AV428="","",'12 - Device_Configuration'!AV428)</f>
        <v/>
      </c>
      <c r="U427" s="21" t="str">
        <f>IF('12 - Device_Configuration'!AW428="","",'12 - Device_Configuration'!AW428)</f>
        <v/>
      </c>
      <c r="V427" s="21" t="str">
        <f>IF('12 - Device_Configuration'!BA428="","",'12 - Device_Configuration'!BA428)</f>
        <v/>
      </c>
      <c r="W427" s="21" t="str">
        <f>IF('12 - Device_Configuration'!BC428="","",'12 - Device_Configuration'!BC428)</f>
        <v/>
      </c>
      <c r="X427" s="21" t="str">
        <f>IF('12 - Device_Configuration'!BK428="","",'12 - Device_Configuration'!BK428)</f>
        <v/>
      </c>
      <c r="Y427" s="21" t="str">
        <f>IF('12 - Device_Configuration'!BB428="","",'12 - Device_Configuration'!BB428)</f>
        <v/>
      </c>
      <c r="Z427" s="21" t="str">
        <f>IF('12 - Device_Configuration'!P428="","",'12 - Device_Configuration'!P428)</f>
        <v/>
      </c>
      <c r="AA427" s="21" t="str">
        <f>IF('12 - Device_Configuration'!Q428="","",'12 - Device_Configuration'!Q428)</f>
        <v/>
      </c>
    </row>
    <row r="428" spans="1:27">
      <c r="A428" s="22"/>
      <c r="B428" s="22"/>
      <c r="C428" s="21" t="str">
        <f>IF('12 - Device_Configuration'!H429="","",'12 - Device_Configuration'!H429)</f>
        <v/>
      </c>
      <c r="D428" s="21" t="str">
        <f>IF('12 - Device_Configuration'!AE429="","",'12 - Device_Configuration'!AE429)</f>
        <v/>
      </c>
      <c r="E428" s="21" t="str">
        <f>IF('12 - Device_Configuration'!AF429="","",'12 - Device_Configuration'!AF429)</f>
        <v/>
      </c>
      <c r="F428" s="21" t="str">
        <f>IF('12 - Device_Configuration'!AG429="","",'12 - Device_Configuration'!AG429)</f>
        <v/>
      </c>
      <c r="G428" s="21" t="str">
        <f>IF('12 - Device_Configuration'!AH429="","",'12 - Device_Configuration'!AH429)</f>
        <v/>
      </c>
      <c r="H428" s="21" t="str">
        <f>IF('12 - Device_Configuration'!A429="","",'12 - Device_Configuration'!A429)</f>
        <v/>
      </c>
      <c r="I428" s="21" t="str">
        <f>IF('12 - Device_Configuration'!AI429="","",'12 - Device_Configuration'!AI429)</f>
        <v/>
      </c>
      <c r="J428" s="21" t="str">
        <f>IF('12 - Device_Configuration'!AJ429="","",'12 - Device_Configuration'!AJ429)</f>
        <v/>
      </c>
      <c r="K428" s="21" t="str">
        <f>IF('12 - Device_Configuration'!AA429="","",'12 - Device_Configuration'!AA429)</f>
        <v/>
      </c>
      <c r="L428" s="21" t="str">
        <f>IF('12 - Device_Configuration'!I429="","",'12 - Device_Configuration'!I429)</f>
        <v/>
      </c>
      <c r="M428" s="22"/>
      <c r="N428" s="21" t="str">
        <f>IF('12 - Device_Configuration'!J429="","",'12 - Device_Configuration'!J429)</f>
        <v/>
      </c>
      <c r="O428" s="21" t="str">
        <f>IF('12 - Device_Configuration'!K429="","",'12 - Device_Configuration'!K429)</f>
        <v/>
      </c>
      <c r="P428" s="21" t="str">
        <f>IF('12 - Device_Configuration'!L429="","",'12 - Device_Configuration'!L429)</f>
        <v/>
      </c>
      <c r="Q428" s="22"/>
      <c r="R428" s="21" t="str">
        <f>IF('12 - Device_Configuration'!AY429="","",'12 - Device_Configuration'!AY429)</f>
        <v/>
      </c>
      <c r="S428" s="21" t="str">
        <f>IF('12 - Device_Configuration'!AX429="","",'12 - Device_Configuration'!AX429)</f>
        <v/>
      </c>
      <c r="T428" s="21" t="str">
        <f>IF('12 - Device_Configuration'!AV429="","",'12 - Device_Configuration'!AV429)</f>
        <v/>
      </c>
      <c r="U428" s="21" t="str">
        <f>IF('12 - Device_Configuration'!AW429="","",'12 - Device_Configuration'!AW429)</f>
        <v/>
      </c>
      <c r="V428" s="21" t="str">
        <f>IF('12 - Device_Configuration'!BA429="","",'12 - Device_Configuration'!BA429)</f>
        <v/>
      </c>
      <c r="W428" s="21" t="str">
        <f>IF('12 - Device_Configuration'!BC429="","",'12 - Device_Configuration'!BC429)</f>
        <v/>
      </c>
      <c r="X428" s="21" t="str">
        <f>IF('12 - Device_Configuration'!BK429="","",'12 - Device_Configuration'!BK429)</f>
        <v/>
      </c>
      <c r="Y428" s="21" t="str">
        <f>IF('12 - Device_Configuration'!BB429="","",'12 - Device_Configuration'!BB429)</f>
        <v/>
      </c>
      <c r="Z428" s="21" t="str">
        <f>IF('12 - Device_Configuration'!P429="","",'12 - Device_Configuration'!P429)</f>
        <v/>
      </c>
      <c r="AA428" s="21" t="str">
        <f>IF('12 - Device_Configuration'!Q429="","",'12 - Device_Configuration'!Q429)</f>
        <v/>
      </c>
    </row>
    <row r="429" spans="1:27">
      <c r="A429" s="22"/>
      <c r="B429" s="22"/>
      <c r="C429" s="21" t="str">
        <f>IF('12 - Device_Configuration'!H430="","",'12 - Device_Configuration'!H430)</f>
        <v/>
      </c>
      <c r="D429" s="21" t="str">
        <f>IF('12 - Device_Configuration'!AE430="","",'12 - Device_Configuration'!AE430)</f>
        <v/>
      </c>
      <c r="E429" s="21" t="str">
        <f>IF('12 - Device_Configuration'!AF430="","",'12 - Device_Configuration'!AF430)</f>
        <v/>
      </c>
      <c r="F429" s="21" t="str">
        <f>IF('12 - Device_Configuration'!AG430="","",'12 - Device_Configuration'!AG430)</f>
        <v/>
      </c>
      <c r="G429" s="21" t="str">
        <f>IF('12 - Device_Configuration'!AH430="","",'12 - Device_Configuration'!AH430)</f>
        <v/>
      </c>
      <c r="H429" s="21" t="str">
        <f>IF('12 - Device_Configuration'!A430="","",'12 - Device_Configuration'!A430)</f>
        <v/>
      </c>
      <c r="I429" s="21" t="str">
        <f>IF('12 - Device_Configuration'!AI430="","",'12 - Device_Configuration'!AI430)</f>
        <v/>
      </c>
      <c r="J429" s="21" t="str">
        <f>IF('12 - Device_Configuration'!AJ430="","",'12 - Device_Configuration'!AJ430)</f>
        <v/>
      </c>
      <c r="K429" s="21" t="str">
        <f>IF('12 - Device_Configuration'!AA430="","",'12 - Device_Configuration'!AA430)</f>
        <v/>
      </c>
      <c r="L429" s="21" t="str">
        <f>IF('12 - Device_Configuration'!I430="","",'12 - Device_Configuration'!I430)</f>
        <v/>
      </c>
      <c r="M429" s="22"/>
      <c r="N429" s="21" t="str">
        <f>IF('12 - Device_Configuration'!J430="","",'12 - Device_Configuration'!J430)</f>
        <v/>
      </c>
      <c r="O429" s="21" t="str">
        <f>IF('12 - Device_Configuration'!K430="","",'12 - Device_Configuration'!K430)</f>
        <v/>
      </c>
      <c r="P429" s="21" t="str">
        <f>IF('12 - Device_Configuration'!L430="","",'12 - Device_Configuration'!L430)</f>
        <v/>
      </c>
      <c r="Q429" s="22"/>
      <c r="R429" s="21" t="str">
        <f>IF('12 - Device_Configuration'!AY430="","",'12 - Device_Configuration'!AY430)</f>
        <v/>
      </c>
      <c r="S429" s="21" t="str">
        <f>IF('12 - Device_Configuration'!AX430="","",'12 - Device_Configuration'!AX430)</f>
        <v/>
      </c>
      <c r="T429" s="21" t="str">
        <f>IF('12 - Device_Configuration'!AV430="","",'12 - Device_Configuration'!AV430)</f>
        <v/>
      </c>
      <c r="U429" s="21" t="str">
        <f>IF('12 - Device_Configuration'!AW430="","",'12 - Device_Configuration'!AW430)</f>
        <v/>
      </c>
      <c r="V429" s="21" t="str">
        <f>IF('12 - Device_Configuration'!BA430="","",'12 - Device_Configuration'!BA430)</f>
        <v/>
      </c>
      <c r="W429" s="21" t="str">
        <f>IF('12 - Device_Configuration'!BC430="","",'12 - Device_Configuration'!BC430)</f>
        <v/>
      </c>
      <c r="X429" s="21" t="str">
        <f>IF('12 - Device_Configuration'!BK430="","",'12 - Device_Configuration'!BK430)</f>
        <v/>
      </c>
      <c r="Y429" s="21" t="str">
        <f>IF('12 - Device_Configuration'!BB430="","",'12 - Device_Configuration'!BB430)</f>
        <v/>
      </c>
      <c r="Z429" s="21" t="str">
        <f>IF('12 - Device_Configuration'!P430="","",'12 - Device_Configuration'!P430)</f>
        <v/>
      </c>
      <c r="AA429" s="21" t="str">
        <f>IF('12 - Device_Configuration'!Q430="","",'12 - Device_Configuration'!Q430)</f>
        <v/>
      </c>
    </row>
    <row r="430" spans="1:27">
      <c r="A430" s="22"/>
      <c r="B430" s="22"/>
      <c r="C430" s="21" t="str">
        <f>IF('12 - Device_Configuration'!H431="","",'12 - Device_Configuration'!H431)</f>
        <v/>
      </c>
      <c r="D430" s="21" t="str">
        <f>IF('12 - Device_Configuration'!AE431="","",'12 - Device_Configuration'!AE431)</f>
        <v/>
      </c>
      <c r="E430" s="21" t="str">
        <f>IF('12 - Device_Configuration'!AF431="","",'12 - Device_Configuration'!AF431)</f>
        <v/>
      </c>
      <c r="F430" s="21" t="str">
        <f>IF('12 - Device_Configuration'!AG431="","",'12 - Device_Configuration'!AG431)</f>
        <v/>
      </c>
      <c r="G430" s="21" t="str">
        <f>IF('12 - Device_Configuration'!AH431="","",'12 - Device_Configuration'!AH431)</f>
        <v/>
      </c>
      <c r="H430" s="21" t="str">
        <f>IF('12 - Device_Configuration'!A431="","",'12 - Device_Configuration'!A431)</f>
        <v/>
      </c>
      <c r="I430" s="21" t="str">
        <f>IF('12 - Device_Configuration'!AI431="","",'12 - Device_Configuration'!AI431)</f>
        <v/>
      </c>
      <c r="J430" s="21" t="str">
        <f>IF('12 - Device_Configuration'!AJ431="","",'12 - Device_Configuration'!AJ431)</f>
        <v/>
      </c>
      <c r="K430" s="21" t="str">
        <f>IF('12 - Device_Configuration'!AA431="","",'12 - Device_Configuration'!AA431)</f>
        <v/>
      </c>
      <c r="L430" s="21" t="str">
        <f>IF('12 - Device_Configuration'!I431="","",'12 - Device_Configuration'!I431)</f>
        <v/>
      </c>
      <c r="M430" s="22"/>
      <c r="N430" s="21" t="str">
        <f>IF('12 - Device_Configuration'!J431="","",'12 - Device_Configuration'!J431)</f>
        <v/>
      </c>
      <c r="O430" s="21" t="str">
        <f>IF('12 - Device_Configuration'!K431="","",'12 - Device_Configuration'!K431)</f>
        <v/>
      </c>
      <c r="P430" s="21" t="str">
        <f>IF('12 - Device_Configuration'!L431="","",'12 - Device_Configuration'!L431)</f>
        <v/>
      </c>
      <c r="Q430" s="22"/>
      <c r="R430" s="21" t="str">
        <f>IF('12 - Device_Configuration'!AY431="","",'12 - Device_Configuration'!AY431)</f>
        <v/>
      </c>
      <c r="S430" s="21" t="str">
        <f>IF('12 - Device_Configuration'!AX431="","",'12 - Device_Configuration'!AX431)</f>
        <v/>
      </c>
      <c r="T430" s="21" t="str">
        <f>IF('12 - Device_Configuration'!AV431="","",'12 - Device_Configuration'!AV431)</f>
        <v/>
      </c>
      <c r="U430" s="21" t="str">
        <f>IF('12 - Device_Configuration'!AW431="","",'12 - Device_Configuration'!AW431)</f>
        <v/>
      </c>
      <c r="V430" s="21" t="str">
        <f>IF('12 - Device_Configuration'!BA431="","",'12 - Device_Configuration'!BA431)</f>
        <v/>
      </c>
      <c r="W430" s="21" t="str">
        <f>IF('12 - Device_Configuration'!BC431="","",'12 - Device_Configuration'!BC431)</f>
        <v/>
      </c>
      <c r="X430" s="21" t="str">
        <f>IF('12 - Device_Configuration'!BK431="","",'12 - Device_Configuration'!BK431)</f>
        <v/>
      </c>
      <c r="Y430" s="21" t="str">
        <f>IF('12 - Device_Configuration'!BB431="","",'12 - Device_Configuration'!BB431)</f>
        <v/>
      </c>
      <c r="Z430" s="21" t="str">
        <f>IF('12 - Device_Configuration'!P431="","",'12 - Device_Configuration'!P431)</f>
        <v/>
      </c>
      <c r="AA430" s="21" t="str">
        <f>IF('12 - Device_Configuration'!Q431="","",'12 - Device_Configuration'!Q431)</f>
        <v/>
      </c>
    </row>
    <row r="431" spans="1:27">
      <c r="A431" s="22"/>
      <c r="B431" s="22"/>
      <c r="C431" s="21" t="str">
        <f>IF('12 - Device_Configuration'!H432="","",'12 - Device_Configuration'!H432)</f>
        <v/>
      </c>
      <c r="D431" s="21" t="str">
        <f>IF('12 - Device_Configuration'!AE432="","",'12 - Device_Configuration'!AE432)</f>
        <v/>
      </c>
      <c r="E431" s="21" t="str">
        <f>IF('12 - Device_Configuration'!AF432="","",'12 - Device_Configuration'!AF432)</f>
        <v/>
      </c>
      <c r="F431" s="21" t="str">
        <f>IF('12 - Device_Configuration'!AG432="","",'12 - Device_Configuration'!AG432)</f>
        <v/>
      </c>
      <c r="G431" s="21" t="str">
        <f>IF('12 - Device_Configuration'!AH432="","",'12 - Device_Configuration'!AH432)</f>
        <v/>
      </c>
      <c r="H431" s="21" t="str">
        <f>IF('12 - Device_Configuration'!A432="","",'12 - Device_Configuration'!A432)</f>
        <v/>
      </c>
      <c r="I431" s="21" t="str">
        <f>IF('12 - Device_Configuration'!AI432="","",'12 - Device_Configuration'!AI432)</f>
        <v/>
      </c>
      <c r="J431" s="21" t="str">
        <f>IF('12 - Device_Configuration'!AJ432="","",'12 - Device_Configuration'!AJ432)</f>
        <v/>
      </c>
      <c r="K431" s="21" t="str">
        <f>IF('12 - Device_Configuration'!AA432="","",'12 - Device_Configuration'!AA432)</f>
        <v/>
      </c>
      <c r="L431" s="21" t="str">
        <f>IF('12 - Device_Configuration'!I432="","",'12 - Device_Configuration'!I432)</f>
        <v/>
      </c>
      <c r="M431" s="22"/>
      <c r="N431" s="21" t="str">
        <f>IF('12 - Device_Configuration'!J432="","",'12 - Device_Configuration'!J432)</f>
        <v/>
      </c>
      <c r="O431" s="21" t="str">
        <f>IF('12 - Device_Configuration'!K432="","",'12 - Device_Configuration'!K432)</f>
        <v/>
      </c>
      <c r="P431" s="21" t="str">
        <f>IF('12 - Device_Configuration'!L432="","",'12 - Device_Configuration'!L432)</f>
        <v/>
      </c>
      <c r="Q431" s="22"/>
      <c r="R431" s="21" t="str">
        <f>IF('12 - Device_Configuration'!AY432="","",'12 - Device_Configuration'!AY432)</f>
        <v/>
      </c>
      <c r="S431" s="21" t="str">
        <f>IF('12 - Device_Configuration'!AX432="","",'12 - Device_Configuration'!AX432)</f>
        <v/>
      </c>
      <c r="T431" s="21" t="str">
        <f>IF('12 - Device_Configuration'!AV432="","",'12 - Device_Configuration'!AV432)</f>
        <v/>
      </c>
      <c r="U431" s="21" t="str">
        <f>IF('12 - Device_Configuration'!AW432="","",'12 - Device_Configuration'!AW432)</f>
        <v/>
      </c>
      <c r="V431" s="21" t="str">
        <f>IF('12 - Device_Configuration'!BA432="","",'12 - Device_Configuration'!BA432)</f>
        <v/>
      </c>
      <c r="W431" s="21" t="str">
        <f>IF('12 - Device_Configuration'!BC432="","",'12 - Device_Configuration'!BC432)</f>
        <v/>
      </c>
      <c r="X431" s="21" t="str">
        <f>IF('12 - Device_Configuration'!BK432="","",'12 - Device_Configuration'!BK432)</f>
        <v/>
      </c>
      <c r="Y431" s="21" t="str">
        <f>IF('12 - Device_Configuration'!BB432="","",'12 - Device_Configuration'!BB432)</f>
        <v/>
      </c>
      <c r="Z431" s="21" t="str">
        <f>IF('12 - Device_Configuration'!P432="","",'12 - Device_Configuration'!P432)</f>
        <v/>
      </c>
      <c r="AA431" s="21" t="str">
        <f>IF('12 - Device_Configuration'!Q432="","",'12 - Device_Configuration'!Q432)</f>
        <v/>
      </c>
    </row>
    <row r="432" spans="1:27">
      <c r="A432" s="22"/>
      <c r="B432" s="22"/>
      <c r="C432" s="21" t="str">
        <f>IF('12 - Device_Configuration'!H433="","",'12 - Device_Configuration'!H433)</f>
        <v/>
      </c>
      <c r="D432" s="21" t="str">
        <f>IF('12 - Device_Configuration'!AE433="","",'12 - Device_Configuration'!AE433)</f>
        <v/>
      </c>
      <c r="E432" s="21" t="str">
        <f>IF('12 - Device_Configuration'!AF433="","",'12 - Device_Configuration'!AF433)</f>
        <v/>
      </c>
      <c r="F432" s="21" t="str">
        <f>IF('12 - Device_Configuration'!AG433="","",'12 - Device_Configuration'!AG433)</f>
        <v/>
      </c>
      <c r="G432" s="21" t="str">
        <f>IF('12 - Device_Configuration'!AH433="","",'12 - Device_Configuration'!AH433)</f>
        <v/>
      </c>
      <c r="H432" s="21" t="str">
        <f>IF('12 - Device_Configuration'!A433="","",'12 - Device_Configuration'!A433)</f>
        <v/>
      </c>
      <c r="I432" s="21" t="str">
        <f>IF('12 - Device_Configuration'!AI433="","",'12 - Device_Configuration'!AI433)</f>
        <v/>
      </c>
      <c r="J432" s="21" t="str">
        <f>IF('12 - Device_Configuration'!AJ433="","",'12 - Device_Configuration'!AJ433)</f>
        <v/>
      </c>
      <c r="K432" s="21" t="str">
        <f>IF('12 - Device_Configuration'!AA433="","",'12 - Device_Configuration'!AA433)</f>
        <v/>
      </c>
      <c r="L432" s="21" t="str">
        <f>IF('12 - Device_Configuration'!I433="","",'12 - Device_Configuration'!I433)</f>
        <v/>
      </c>
      <c r="M432" s="22"/>
      <c r="N432" s="21" t="str">
        <f>IF('12 - Device_Configuration'!J433="","",'12 - Device_Configuration'!J433)</f>
        <v/>
      </c>
      <c r="O432" s="21" t="str">
        <f>IF('12 - Device_Configuration'!K433="","",'12 - Device_Configuration'!K433)</f>
        <v/>
      </c>
      <c r="P432" s="21" t="str">
        <f>IF('12 - Device_Configuration'!L433="","",'12 - Device_Configuration'!L433)</f>
        <v/>
      </c>
      <c r="Q432" s="22"/>
      <c r="R432" s="21" t="str">
        <f>IF('12 - Device_Configuration'!AY433="","",'12 - Device_Configuration'!AY433)</f>
        <v/>
      </c>
      <c r="S432" s="21" t="str">
        <f>IF('12 - Device_Configuration'!AX433="","",'12 - Device_Configuration'!AX433)</f>
        <v/>
      </c>
      <c r="T432" s="21" t="str">
        <f>IF('12 - Device_Configuration'!AV433="","",'12 - Device_Configuration'!AV433)</f>
        <v/>
      </c>
      <c r="U432" s="21" t="str">
        <f>IF('12 - Device_Configuration'!AW433="","",'12 - Device_Configuration'!AW433)</f>
        <v/>
      </c>
      <c r="V432" s="21" t="str">
        <f>IF('12 - Device_Configuration'!BA433="","",'12 - Device_Configuration'!BA433)</f>
        <v/>
      </c>
      <c r="W432" s="21" t="str">
        <f>IF('12 - Device_Configuration'!BC433="","",'12 - Device_Configuration'!BC433)</f>
        <v/>
      </c>
      <c r="X432" s="21" t="str">
        <f>IF('12 - Device_Configuration'!BK433="","",'12 - Device_Configuration'!BK433)</f>
        <v/>
      </c>
      <c r="Y432" s="21" t="str">
        <f>IF('12 - Device_Configuration'!BB433="","",'12 - Device_Configuration'!BB433)</f>
        <v/>
      </c>
      <c r="Z432" s="21" t="str">
        <f>IF('12 - Device_Configuration'!P433="","",'12 - Device_Configuration'!P433)</f>
        <v/>
      </c>
      <c r="AA432" s="21" t="str">
        <f>IF('12 - Device_Configuration'!Q433="","",'12 - Device_Configuration'!Q433)</f>
        <v/>
      </c>
    </row>
    <row r="433" spans="1:27">
      <c r="A433" s="22"/>
      <c r="B433" s="22"/>
      <c r="C433" s="21" t="str">
        <f>IF('12 - Device_Configuration'!H434="","",'12 - Device_Configuration'!H434)</f>
        <v/>
      </c>
      <c r="D433" s="21" t="str">
        <f>IF('12 - Device_Configuration'!AE434="","",'12 - Device_Configuration'!AE434)</f>
        <v/>
      </c>
      <c r="E433" s="21" t="str">
        <f>IF('12 - Device_Configuration'!AF434="","",'12 - Device_Configuration'!AF434)</f>
        <v/>
      </c>
      <c r="F433" s="21" t="str">
        <f>IF('12 - Device_Configuration'!AG434="","",'12 - Device_Configuration'!AG434)</f>
        <v/>
      </c>
      <c r="G433" s="21" t="str">
        <f>IF('12 - Device_Configuration'!AH434="","",'12 - Device_Configuration'!AH434)</f>
        <v/>
      </c>
      <c r="H433" s="21" t="str">
        <f>IF('12 - Device_Configuration'!A434="","",'12 - Device_Configuration'!A434)</f>
        <v/>
      </c>
      <c r="I433" s="21" t="str">
        <f>IF('12 - Device_Configuration'!AI434="","",'12 - Device_Configuration'!AI434)</f>
        <v/>
      </c>
      <c r="J433" s="21" t="str">
        <f>IF('12 - Device_Configuration'!AJ434="","",'12 - Device_Configuration'!AJ434)</f>
        <v/>
      </c>
      <c r="K433" s="21" t="str">
        <f>IF('12 - Device_Configuration'!AA434="","",'12 - Device_Configuration'!AA434)</f>
        <v/>
      </c>
      <c r="L433" s="21" t="str">
        <f>IF('12 - Device_Configuration'!I434="","",'12 - Device_Configuration'!I434)</f>
        <v/>
      </c>
      <c r="M433" s="22"/>
      <c r="N433" s="21" t="str">
        <f>IF('12 - Device_Configuration'!J434="","",'12 - Device_Configuration'!J434)</f>
        <v/>
      </c>
      <c r="O433" s="21" t="str">
        <f>IF('12 - Device_Configuration'!K434="","",'12 - Device_Configuration'!K434)</f>
        <v/>
      </c>
      <c r="P433" s="21" t="str">
        <f>IF('12 - Device_Configuration'!L434="","",'12 - Device_Configuration'!L434)</f>
        <v/>
      </c>
      <c r="Q433" s="22"/>
      <c r="R433" s="21" t="str">
        <f>IF('12 - Device_Configuration'!AY434="","",'12 - Device_Configuration'!AY434)</f>
        <v/>
      </c>
      <c r="S433" s="21" t="str">
        <f>IF('12 - Device_Configuration'!AX434="","",'12 - Device_Configuration'!AX434)</f>
        <v/>
      </c>
      <c r="T433" s="21" t="str">
        <f>IF('12 - Device_Configuration'!AV434="","",'12 - Device_Configuration'!AV434)</f>
        <v/>
      </c>
      <c r="U433" s="21" t="str">
        <f>IF('12 - Device_Configuration'!AW434="","",'12 - Device_Configuration'!AW434)</f>
        <v/>
      </c>
      <c r="V433" s="21" t="str">
        <f>IF('12 - Device_Configuration'!BA434="","",'12 - Device_Configuration'!BA434)</f>
        <v/>
      </c>
      <c r="W433" s="21" t="str">
        <f>IF('12 - Device_Configuration'!BC434="","",'12 - Device_Configuration'!BC434)</f>
        <v/>
      </c>
      <c r="X433" s="21" t="str">
        <f>IF('12 - Device_Configuration'!BK434="","",'12 - Device_Configuration'!BK434)</f>
        <v/>
      </c>
      <c r="Y433" s="21" t="str">
        <f>IF('12 - Device_Configuration'!BB434="","",'12 - Device_Configuration'!BB434)</f>
        <v/>
      </c>
      <c r="Z433" s="21" t="str">
        <f>IF('12 - Device_Configuration'!P434="","",'12 - Device_Configuration'!P434)</f>
        <v/>
      </c>
      <c r="AA433" s="21" t="str">
        <f>IF('12 - Device_Configuration'!Q434="","",'12 - Device_Configuration'!Q434)</f>
        <v/>
      </c>
    </row>
    <row r="434" spans="1:27">
      <c r="A434" s="22"/>
      <c r="B434" s="22"/>
      <c r="C434" s="21" t="str">
        <f>IF('12 - Device_Configuration'!H435="","",'12 - Device_Configuration'!H435)</f>
        <v/>
      </c>
      <c r="D434" s="21" t="str">
        <f>IF('12 - Device_Configuration'!AE435="","",'12 - Device_Configuration'!AE435)</f>
        <v/>
      </c>
      <c r="E434" s="21" t="str">
        <f>IF('12 - Device_Configuration'!AF435="","",'12 - Device_Configuration'!AF435)</f>
        <v/>
      </c>
      <c r="F434" s="21" t="str">
        <f>IF('12 - Device_Configuration'!AG435="","",'12 - Device_Configuration'!AG435)</f>
        <v/>
      </c>
      <c r="G434" s="21" t="str">
        <f>IF('12 - Device_Configuration'!AH435="","",'12 - Device_Configuration'!AH435)</f>
        <v/>
      </c>
      <c r="H434" s="21" t="str">
        <f>IF('12 - Device_Configuration'!A435="","",'12 - Device_Configuration'!A435)</f>
        <v/>
      </c>
      <c r="I434" s="21" t="str">
        <f>IF('12 - Device_Configuration'!AI435="","",'12 - Device_Configuration'!AI435)</f>
        <v/>
      </c>
      <c r="J434" s="21" t="str">
        <f>IF('12 - Device_Configuration'!AJ435="","",'12 - Device_Configuration'!AJ435)</f>
        <v/>
      </c>
      <c r="K434" s="21" t="str">
        <f>IF('12 - Device_Configuration'!AA435="","",'12 - Device_Configuration'!AA435)</f>
        <v/>
      </c>
      <c r="L434" s="21" t="str">
        <f>IF('12 - Device_Configuration'!I435="","",'12 - Device_Configuration'!I435)</f>
        <v/>
      </c>
      <c r="M434" s="22"/>
      <c r="N434" s="21" t="str">
        <f>IF('12 - Device_Configuration'!J435="","",'12 - Device_Configuration'!J435)</f>
        <v/>
      </c>
      <c r="O434" s="21" t="str">
        <f>IF('12 - Device_Configuration'!K435="","",'12 - Device_Configuration'!K435)</f>
        <v/>
      </c>
      <c r="P434" s="21" t="str">
        <f>IF('12 - Device_Configuration'!L435="","",'12 - Device_Configuration'!L435)</f>
        <v/>
      </c>
      <c r="Q434" s="22"/>
      <c r="R434" s="21" t="str">
        <f>IF('12 - Device_Configuration'!AY435="","",'12 - Device_Configuration'!AY435)</f>
        <v/>
      </c>
      <c r="S434" s="21" t="str">
        <f>IF('12 - Device_Configuration'!AX435="","",'12 - Device_Configuration'!AX435)</f>
        <v/>
      </c>
      <c r="T434" s="21" t="str">
        <f>IF('12 - Device_Configuration'!AV435="","",'12 - Device_Configuration'!AV435)</f>
        <v/>
      </c>
      <c r="U434" s="21" t="str">
        <f>IF('12 - Device_Configuration'!AW435="","",'12 - Device_Configuration'!AW435)</f>
        <v/>
      </c>
      <c r="V434" s="21" t="str">
        <f>IF('12 - Device_Configuration'!BA435="","",'12 - Device_Configuration'!BA435)</f>
        <v/>
      </c>
      <c r="W434" s="21" t="str">
        <f>IF('12 - Device_Configuration'!BC435="","",'12 - Device_Configuration'!BC435)</f>
        <v/>
      </c>
      <c r="X434" s="21" t="str">
        <f>IF('12 - Device_Configuration'!BK435="","",'12 - Device_Configuration'!BK435)</f>
        <v/>
      </c>
      <c r="Y434" s="21" t="str">
        <f>IF('12 - Device_Configuration'!BB435="","",'12 - Device_Configuration'!BB435)</f>
        <v/>
      </c>
      <c r="Z434" s="21" t="str">
        <f>IF('12 - Device_Configuration'!P435="","",'12 - Device_Configuration'!P435)</f>
        <v/>
      </c>
      <c r="AA434" s="21" t="str">
        <f>IF('12 - Device_Configuration'!Q435="","",'12 - Device_Configuration'!Q435)</f>
        <v/>
      </c>
    </row>
    <row r="435" spans="1:27">
      <c r="A435" s="22"/>
      <c r="B435" s="22"/>
      <c r="C435" s="21" t="str">
        <f>IF('12 - Device_Configuration'!H436="","",'12 - Device_Configuration'!H436)</f>
        <v/>
      </c>
      <c r="D435" s="21" t="str">
        <f>IF('12 - Device_Configuration'!AE436="","",'12 - Device_Configuration'!AE436)</f>
        <v/>
      </c>
      <c r="E435" s="21" t="str">
        <f>IF('12 - Device_Configuration'!AF436="","",'12 - Device_Configuration'!AF436)</f>
        <v/>
      </c>
      <c r="F435" s="21" t="str">
        <f>IF('12 - Device_Configuration'!AG436="","",'12 - Device_Configuration'!AG436)</f>
        <v/>
      </c>
      <c r="G435" s="21" t="str">
        <f>IF('12 - Device_Configuration'!AH436="","",'12 - Device_Configuration'!AH436)</f>
        <v/>
      </c>
      <c r="H435" s="21" t="str">
        <f>IF('12 - Device_Configuration'!A436="","",'12 - Device_Configuration'!A436)</f>
        <v/>
      </c>
      <c r="I435" s="21" t="str">
        <f>IF('12 - Device_Configuration'!AI436="","",'12 - Device_Configuration'!AI436)</f>
        <v/>
      </c>
      <c r="J435" s="21" t="str">
        <f>IF('12 - Device_Configuration'!AJ436="","",'12 - Device_Configuration'!AJ436)</f>
        <v/>
      </c>
      <c r="K435" s="21" t="str">
        <f>IF('12 - Device_Configuration'!AA436="","",'12 - Device_Configuration'!AA436)</f>
        <v/>
      </c>
      <c r="L435" s="21" t="str">
        <f>IF('12 - Device_Configuration'!I436="","",'12 - Device_Configuration'!I436)</f>
        <v/>
      </c>
      <c r="M435" s="22"/>
      <c r="N435" s="21" t="str">
        <f>IF('12 - Device_Configuration'!J436="","",'12 - Device_Configuration'!J436)</f>
        <v/>
      </c>
      <c r="O435" s="21" t="str">
        <f>IF('12 - Device_Configuration'!K436="","",'12 - Device_Configuration'!K436)</f>
        <v/>
      </c>
      <c r="P435" s="21" t="str">
        <f>IF('12 - Device_Configuration'!L436="","",'12 - Device_Configuration'!L436)</f>
        <v/>
      </c>
      <c r="Q435" s="22"/>
      <c r="R435" s="21" t="str">
        <f>IF('12 - Device_Configuration'!AY436="","",'12 - Device_Configuration'!AY436)</f>
        <v/>
      </c>
      <c r="S435" s="21" t="str">
        <f>IF('12 - Device_Configuration'!AX436="","",'12 - Device_Configuration'!AX436)</f>
        <v/>
      </c>
      <c r="T435" s="21" t="str">
        <f>IF('12 - Device_Configuration'!AV436="","",'12 - Device_Configuration'!AV436)</f>
        <v/>
      </c>
      <c r="U435" s="21" t="str">
        <f>IF('12 - Device_Configuration'!AW436="","",'12 - Device_Configuration'!AW436)</f>
        <v/>
      </c>
      <c r="V435" s="21" t="str">
        <f>IF('12 - Device_Configuration'!BA436="","",'12 - Device_Configuration'!BA436)</f>
        <v/>
      </c>
      <c r="W435" s="21" t="str">
        <f>IF('12 - Device_Configuration'!BC436="","",'12 - Device_Configuration'!BC436)</f>
        <v/>
      </c>
      <c r="X435" s="21" t="str">
        <f>IF('12 - Device_Configuration'!BK436="","",'12 - Device_Configuration'!BK436)</f>
        <v/>
      </c>
      <c r="Y435" s="21" t="str">
        <f>IF('12 - Device_Configuration'!BB436="","",'12 - Device_Configuration'!BB436)</f>
        <v/>
      </c>
      <c r="Z435" s="21" t="str">
        <f>IF('12 - Device_Configuration'!P436="","",'12 - Device_Configuration'!P436)</f>
        <v/>
      </c>
      <c r="AA435" s="21" t="str">
        <f>IF('12 - Device_Configuration'!Q436="","",'12 - Device_Configuration'!Q436)</f>
        <v/>
      </c>
    </row>
    <row r="436" spans="1:27">
      <c r="A436" s="22"/>
      <c r="B436" s="22"/>
      <c r="C436" s="21" t="str">
        <f>IF('12 - Device_Configuration'!H437="","",'12 - Device_Configuration'!H437)</f>
        <v/>
      </c>
      <c r="D436" s="21" t="str">
        <f>IF('12 - Device_Configuration'!AE437="","",'12 - Device_Configuration'!AE437)</f>
        <v/>
      </c>
      <c r="E436" s="21" t="str">
        <f>IF('12 - Device_Configuration'!AF437="","",'12 - Device_Configuration'!AF437)</f>
        <v/>
      </c>
      <c r="F436" s="21" t="str">
        <f>IF('12 - Device_Configuration'!AG437="","",'12 - Device_Configuration'!AG437)</f>
        <v/>
      </c>
      <c r="G436" s="21" t="str">
        <f>IF('12 - Device_Configuration'!AH437="","",'12 - Device_Configuration'!AH437)</f>
        <v/>
      </c>
      <c r="H436" s="21" t="str">
        <f>IF('12 - Device_Configuration'!A437="","",'12 - Device_Configuration'!A437)</f>
        <v/>
      </c>
      <c r="I436" s="21" t="str">
        <f>IF('12 - Device_Configuration'!AI437="","",'12 - Device_Configuration'!AI437)</f>
        <v/>
      </c>
      <c r="J436" s="21" t="str">
        <f>IF('12 - Device_Configuration'!AJ437="","",'12 - Device_Configuration'!AJ437)</f>
        <v/>
      </c>
      <c r="K436" s="21" t="str">
        <f>IF('12 - Device_Configuration'!AA437="","",'12 - Device_Configuration'!AA437)</f>
        <v/>
      </c>
      <c r="L436" s="21" t="str">
        <f>IF('12 - Device_Configuration'!I437="","",'12 - Device_Configuration'!I437)</f>
        <v/>
      </c>
      <c r="M436" s="22"/>
      <c r="N436" s="21" t="str">
        <f>IF('12 - Device_Configuration'!J437="","",'12 - Device_Configuration'!J437)</f>
        <v/>
      </c>
      <c r="O436" s="21" t="str">
        <f>IF('12 - Device_Configuration'!K437="","",'12 - Device_Configuration'!K437)</f>
        <v/>
      </c>
      <c r="P436" s="21" t="str">
        <f>IF('12 - Device_Configuration'!L437="","",'12 - Device_Configuration'!L437)</f>
        <v/>
      </c>
      <c r="Q436" s="22"/>
      <c r="R436" s="21" t="str">
        <f>IF('12 - Device_Configuration'!AY437="","",'12 - Device_Configuration'!AY437)</f>
        <v/>
      </c>
      <c r="S436" s="21" t="str">
        <f>IF('12 - Device_Configuration'!AX437="","",'12 - Device_Configuration'!AX437)</f>
        <v/>
      </c>
      <c r="T436" s="21" t="str">
        <f>IF('12 - Device_Configuration'!AV437="","",'12 - Device_Configuration'!AV437)</f>
        <v/>
      </c>
      <c r="U436" s="21" t="str">
        <f>IF('12 - Device_Configuration'!AW437="","",'12 - Device_Configuration'!AW437)</f>
        <v/>
      </c>
      <c r="V436" s="21" t="str">
        <f>IF('12 - Device_Configuration'!BA437="","",'12 - Device_Configuration'!BA437)</f>
        <v/>
      </c>
      <c r="W436" s="21" t="str">
        <f>IF('12 - Device_Configuration'!BC437="","",'12 - Device_Configuration'!BC437)</f>
        <v/>
      </c>
      <c r="X436" s="21" t="str">
        <f>IF('12 - Device_Configuration'!BK437="","",'12 - Device_Configuration'!BK437)</f>
        <v/>
      </c>
      <c r="Y436" s="21" t="str">
        <f>IF('12 - Device_Configuration'!BB437="","",'12 - Device_Configuration'!BB437)</f>
        <v/>
      </c>
      <c r="Z436" s="21" t="str">
        <f>IF('12 - Device_Configuration'!P437="","",'12 - Device_Configuration'!P437)</f>
        <v/>
      </c>
      <c r="AA436" s="21" t="str">
        <f>IF('12 - Device_Configuration'!Q437="","",'12 - Device_Configuration'!Q437)</f>
        <v/>
      </c>
    </row>
    <row r="437" spans="1:27">
      <c r="A437" s="22"/>
      <c r="B437" s="22"/>
      <c r="C437" s="21" t="str">
        <f>IF('12 - Device_Configuration'!H438="","",'12 - Device_Configuration'!H438)</f>
        <v/>
      </c>
      <c r="D437" s="21" t="str">
        <f>IF('12 - Device_Configuration'!AE438="","",'12 - Device_Configuration'!AE438)</f>
        <v/>
      </c>
      <c r="E437" s="21" t="str">
        <f>IF('12 - Device_Configuration'!AF438="","",'12 - Device_Configuration'!AF438)</f>
        <v/>
      </c>
      <c r="F437" s="21" t="str">
        <f>IF('12 - Device_Configuration'!AG438="","",'12 - Device_Configuration'!AG438)</f>
        <v/>
      </c>
      <c r="G437" s="21" t="str">
        <f>IF('12 - Device_Configuration'!AH438="","",'12 - Device_Configuration'!AH438)</f>
        <v/>
      </c>
      <c r="H437" s="21" t="str">
        <f>IF('12 - Device_Configuration'!A438="","",'12 - Device_Configuration'!A438)</f>
        <v/>
      </c>
      <c r="I437" s="21" t="str">
        <f>IF('12 - Device_Configuration'!AI438="","",'12 - Device_Configuration'!AI438)</f>
        <v/>
      </c>
      <c r="J437" s="21" t="str">
        <f>IF('12 - Device_Configuration'!AJ438="","",'12 - Device_Configuration'!AJ438)</f>
        <v/>
      </c>
      <c r="K437" s="21" t="str">
        <f>IF('12 - Device_Configuration'!AA438="","",'12 - Device_Configuration'!AA438)</f>
        <v/>
      </c>
      <c r="L437" s="21" t="str">
        <f>IF('12 - Device_Configuration'!I438="","",'12 - Device_Configuration'!I438)</f>
        <v/>
      </c>
      <c r="M437" s="22"/>
      <c r="N437" s="21" t="str">
        <f>IF('12 - Device_Configuration'!J438="","",'12 - Device_Configuration'!J438)</f>
        <v/>
      </c>
      <c r="O437" s="21" t="str">
        <f>IF('12 - Device_Configuration'!K438="","",'12 - Device_Configuration'!K438)</f>
        <v/>
      </c>
      <c r="P437" s="21" t="str">
        <f>IF('12 - Device_Configuration'!L438="","",'12 - Device_Configuration'!L438)</f>
        <v/>
      </c>
      <c r="Q437" s="22"/>
      <c r="R437" s="21" t="str">
        <f>IF('12 - Device_Configuration'!AY438="","",'12 - Device_Configuration'!AY438)</f>
        <v/>
      </c>
      <c r="S437" s="21" t="str">
        <f>IF('12 - Device_Configuration'!AX438="","",'12 - Device_Configuration'!AX438)</f>
        <v/>
      </c>
      <c r="T437" s="21" t="str">
        <f>IF('12 - Device_Configuration'!AV438="","",'12 - Device_Configuration'!AV438)</f>
        <v/>
      </c>
      <c r="U437" s="21" t="str">
        <f>IF('12 - Device_Configuration'!AW438="","",'12 - Device_Configuration'!AW438)</f>
        <v/>
      </c>
      <c r="V437" s="21" t="str">
        <f>IF('12 - Device_Configuration'!BA438="","",'12 - Device_Configuration'!BA438)</f>
        <v/>
      </c>
      <c r="W437" s="21" t="str">
        <f>IF('12 - Device_Configuration'!BC438="","",'12 - Device_Configuration'!BC438)</f>
        <v/>
      </c>
      <c r="X437" s="21" t="str">
        <f>IF('12 - Device_Configuration'!BK438="","",'12 - Device_Configuration'!BK438)</f>
        <v/>
      </c>
      <c r="Y437" s="21" t="str">
        <f>IF('12 - Device_Configuration'!BB438="","",'12 - Device_Configuration'!BB438)</f>
        <v/>
      </c>
      <c r="Z437" s="21" t="str">
        <f>IF('12 - Device_Configuration'!P438="","",'12 - Device_Configuration'!P438)</f>
        <v/>
      </c>
      <c r="AA437" s="21" t="str">
        <f>IF('12 - Device_Configuration'!Q438="","",'12 - Device_Configuration'!Q438)</f>
        <v/>
      </c>
    </row>
    <row r="438" spans="1:27">
      <c r="A438" s="22"/>
      <c r="B438" s="22"/>
      <c r="C438" s="21" t="str">
        <f>IF('12 - Device_Configuration'!H439="","",'12 - Device_Configuration'!H439)</f>
        <v/>
      </c>
      <c r="D438" s="21" t="str">
        <f>IF('12 - Device_Configuration'!AE439="","",'12 - Device_Configuration'!AE439)</f>
        <v/>
      </c>
      <c r="E438" s="21" t="str">
        <f>IF('12 - Device_Configuration'!AF439="","",'12 - Device_Configuration'!AF439)</f>
        <v/>
      </c>
      <c r="F438" s="21" t="str">
        <f>IF('12 - Device_Configuration'!AG439="","",'12 - Device_Configuration'!AG439)</f>
        <v/>
      </c>
      <c r="G438" s="21" t="str">
        <f>IF('12 - Device_Configuration'!AH439="","",'12 - Device_Configuration'!AH439)</f>
        <v/>
      </c>
      <c r="H438" s="21" t="str">
        <f>IF('12 - Device_Configuration'!A439="","",'12 - Device_Configuration'!A439)</f>
        <v/>
      </c>
      <c r="I438" s="21" t="str">
        <f>IF('12 - Device_Configuration'!AI439="","",'12 - Device_Configuration'!AI439)</f>
        <v/>
      </c>
      <c r="J438" s="21" t="str">
        <f>IF('12 - Device_Configuration'!AJ439="","",'12 - Device_Configuration'!AJ439)</f>
        <v/>
      </c>
      <c r="K438" s="21" t="str">
        <f>IF('12 - Device_Configuration'!AA439="","",'12 - Device_Configuration'!AA439)</f>
        <v/>
      </c>
      <c r="L438" s="21" t="str">
        <f>IF('12 - Device_Configuration'!I439="","",'12 - Device_Configuration'!I439)</f>
        <v/>
      </c>
      <c r="M438" s="22"/>
      <c r="N438" s="21" t="str">
        <f>IF('12 - Device_Configuration'!J439="","",'12 - Device_Configuration'!J439)</f>
        <v/>
      </c>
      <c r="O438" s="21" t="str">
        <f>IF('12 - Device_Configuration'!K439="","",'12 - Device_Configuration'!K439)</f>
        <v/>
      </c>
      <c r="P438" s="21" t="str">
        <f>IF('12 - Device_Configuration'!L439="","",'12 - Device_Configuration'!L439)</f>
        <v/>
      </c>
      <c r="Q438" s="22"/>
      <c r="R438" s="21" t="str">
        <f>IF('12 - Device_Configuration'!AY439="","",'12 - Device_Configuration'!AY439)</f>
        <v/>
      </c>
      <c r="S438" s="21" t="str">
        <f>IF('12 - Device_Configuration'!AX439="","",'12 - Device_Configuration'!AX439)</f>
        <v/>
      </c>
      <c r="T438" s="21" t="str">
        <f>IF('12 - Device_Configuration'!AV439="","",'12 - Device_Configuration'!AV439)</f>
        <v/>
      </c>
      <c r="U438" s="21" t="str">
        <f>IF('12 - Device_Configuration'!AW439="","",'12 - Device_Configuration'!AW439)</f>
        <v/>
      </c>
      <c r="V438" s="21" t="str">
        <f>IF('12 - Device_Configuration'!BA439="","",'12 - Device_Configuration'!BA439)</f>
        <v/>
      </c>
      <c r="W438" s="21" t="str">
        <f>IF('12 - Device_Configuration'!BC439="","",'12 - Device_Configuration'!BC439)</f>
        <v/>
      </c>
      <c r="X438" s="21" t="str">
        <f>IF('12 - Device_Configuration'!BK439="","",'12 - Device_Configuration'!BK439)</f>
        <v/>
      </c>
      <c r="Y438" s="21" t="str">
        <f>IF('12 - Device_Configuration'!BB439="","",'12 - Device_Configuration'!BB439)</f>
        <v/>
      </c>
      <c r="Z438" s="21" t="str">
        <f>IF('12 - Device_Configuration'!P439="","",'12 - Device_Configuration'!P439)</f>
        <v/>
      </c>
      <c r="AA438" s="21" t="str">
        <f>IF('12 - Device_Configuration'!Q439="","",'12 - Device_Configuration'!Q439)</f>
        <v/>
      </c>
    </row>
    <row r="439" spans="1:27">
      <c r="A439" s="22"/>
      <c r="B439" s="22"/>
      <c r="C439" s="21" t="str">
        <f>IF('12 - Device_Configuration'!H440="","",'12 - Device_Configuration'!H440)</f>
        <v/>
      </c>
      <c r="D439" s="21" t="str">
        <f>IF('12 - Device_Configuration'!AE440="","",'12 - Device_Configuration'!AE440)</f>
        <v/>
      </c>
      <c r="E439" s="21" t="str">
        <f>IF('12 - Device_Configuration'!AF440="","",'12 - Device_Configuration'!AF440)</f>
        <v/>
      </c>
      <c r="F439" s="21" t="str">
        <f>IF('12 - Device_Configuration'!AG440="","",'12 - Device_Configuration'!AG440)</f>
        <v/>
      </c>
      <c r="G439" s="21" t="str">
        <f>IF('12 - Device_Configuration'!AH440="","",'12 - Device_Configuration'!AH440)</f>
        <v/>
      </c>
      <c r="H439" s="21" t="str">
        <f>IF('12 - Device_Configuration'!A440="","",'12 - Device_Configuration'!A440)</f>
        <v/>
      </c>
      <c r="I439" s="21" t="str">
        <f>IF('12 - Device_Configuration'!AI440="","",'12 - Device_Configuration'!AI440)</f>
        <v/>
      </c>
      <c r="J439" s="21" t="str">
        <f>IF('12 - Device_Configuration'!AJ440="","",'12 - Device_Configuration'!AJ440)</f>
        <v/>
      </c>
      <c r="K439" s="21" t="str">
        <f>IF('12 - Device_Configuration'!AA440="","",'12 - Device_Configuration'!AA440)</f>
        <v/>
      </c>
      <c r="L439" s="21" t="str">
        <f>IF('12 - Device_Configuration'!I440="","",'12 - Device_Configuration'!I440)</f>
        <v/>
      </c>
      <c r="M439" s="22"/>
      <c r="N439" s="21" t="str">
        <f>IF('12 - Device_Configuration'!J440="","",'12 - Device_Configuration'!J440)</f>
        <v/>
      </c>
      <c r="O439" s="21" t="str">
        <f>IF('12 - Device_Configuration'!K440="","",'12 - Device_Configuration'!K440)</f>
        <v/>
      </c>
      <c r="P439" s="21" t="str">
        <f>IF('12 - Device_Configuration'!L440="","",'12 - Device_Configuration'!L440)</f>
        <v/>
      </c>
      <c r="Q439" s="22"/>
      <c r="R439" s="21" t="str">
        <f>IF('12 - Device_Configuration'!AY440="","",'12 - Device_Configuration'!AY440)</f>
        <v/>
      </c>
      <c r="S439" s="21" t="str">
        <f>IF('12 - Device_Configuration'!AX440="","",'12 - Device_Configuration'!AX440)</f>
        <v/>
      </c>
      <c r="T439" s="21" t="str">
        <f>IF('12 - Device_Configuration'!AV440="","",'12 - Device_Configuration'!AV440)</f>
        <v/>
      </c>
      <c r="U439" s="21" t="str">
        <f>IF('12 - Device_Configuration'!AW440="","",'12 - Device_Configuration'!AW440)</f>
        <v/>
      </c>
      <c r="V439" s="21" t="str">
        <f>IF('12 - Device_Configuration'!BA440="","",'12 - Device_Configuration'!BA440)</f>
        <v/>
      </c>
      <c r="W439" s="21" t="str">
        <f>IF('12 - Device_Configuration'!BC440="","",'12 - Device_Configuration'!BC440)</f>
        <v/>
      </c>
      <c r="X439" s="21" t="str">
        <f>IF('12 - Device_Configuration'!BK440="","",'12 - Device_Configuration'!BK440)</f>
        <v/>
      </c>
      <c r="Y439" s="21" t="str">
        <f>IF('12 - Device_Configuration'!BB440="","",'12 - Device_Configuration'!BB440)</f>
        <v/>
      </c>
      <c r="Z439" s="21" t="str">
        <f>IF('12 - Device_Configuration'!P440="","",'12 - Device_Configuration'!P440)</f>
        <v/>
      </c>
      <c r="AA439" s="21" t="str">
        <f>IF('12 - Device_Configuration'!Q440="","",'12 - Device_Configuration'!Q440)</f>
        <v/>
      </c>
    </row>
    <row r="440" spans="1:27">
      <c r="A440" s="22"/>
      <c r="B440" s="22"/>
      <c r="C440" s="21" t="str">
        <f>IF('12 - Device_Configuration'!H441="","",'12 - Device_Configuration'!H441)</f>
        <v/>
      </c>
      <c r="D440" s="21" t="str">
        <f>IF('12 - Device_Configuration'!AE441="","",'12 - Device_Configuration'!AE441)</f>
        <v/>
      </c>
      <c r="E440" s="21" t="str">
        <f>IF('12 - Device_Configuration'!AF441="","",'12 - Device_Configuration'!AF441)</f>
        <v/>
      </c>
      <c r="F440" s="21" t="str">
        <f>IF('12 - Device_Configuration'!AG441="","",'12 - Device_Configuration'!AG441)</f>
        <v/>
      </c>
      <c r="G440" s="21" t="str">
        <f>IF('12 - Device_Configuration'!AH441="","",'12 - Device_Configuration'!AH441)</f>
        <v/>
      </c>
      <c r="H440" s="21" t="str">
        <f>IF('12 - Device_Configuration'!A441="","",'12 - Device_Configuration'!A441)</f>
        <v/>
      </c>
      <c r="I440" s="21" t="str">
        <f>IF('12 - Device_Configuration'!AI441="","",'12 - Device_Configuration'!AI441)</f>
        <v/>
      </c>
      <c r="J440" s="21" t="str">
        <f>IF('12 - Device_Configuration'!AJ441="","",'12 - Device_Configuration'!AJ441)</f>
        <v/>
      </c>
      <c r="K440" s="21" t="str">
        <f>IF('12 - Device_Configuration'!AA441="","",'12 - Device_Configuration'!AA441)</f>
        <v/>
      </c>
      <c r="L440" s="21" t="str">
        <f>IF('12 - Device_Configuration'!I441="","",'12 - Device_Configuration'!I441)</f>
        <v/>
      </c>
      <c r="M440" s="22"/>
      <c r="N440" s="21" t="str">
        <f>IF('12 - Device_Configuration'!J441="","",'12 - Device_Configuration'!J441)</f>
        <v/>
      </c>
      <c r="O440" s="21" t="str">
        <f>IF('12 - Device_Configuration'!K441="","",'12 - Device_Configuration'!K441)</f>
        <v/>
      </c>
      <c r="P440" s="21" t="str">
        <f>IF('12 - Device_Configuration'!L441="","",'12 - Device_Configuration'!L441)</f>
        <v/>
      </c>
      <c r="Q440" s="22"/>
      <c r="R440" s="21" t="str">
        <f>IF('12 - Device_Configuration'!AY441="","",'12 - Device_Configuration'!AY441)</f>
        <v/>
      </c>
      <c r="S440" s="21" t="str">
        <f>IF('12 - Device_Configuration'!AX441="","",'12 - Device_Configuration'!AX441)</f>
        <v/>
      </c>
      <c r="T440" s="21" t="str">
        <f>IF('12 - Device_Configuration'!AV441="","",'12 - Device_Configuration'!AV441)</f>
        <v/>
      </c>
      <c r="U440" s="21" t="str">
        <f>IF('12 - Device_Configuration'!AW441="","",'12 - Device_Configuration'!AW441)</f>
        <v/>
      </c>
      <c r="V440" s="21" t="str">
        <f>IF('12 - Device_Configuration'!BA441="","",'12 - Device_Configuration'!BA441)</f>
        <v/>
      </c>
      <c r="W440" s="21" t="str">
        <f>IF('12 - Device_Configuration'!BC441="","",'12 - Device_Configuration'!BC441)</f>
        <v/>
      </c>
      <c r="X440" s="21" t="str">
        <f>IF('12 - Device_Configuration'!BK441="","",'12 - Device_Configuration'!BK441)</f>
        <v/>
      </c>
      <c r="Y440" s="21" t="str">
        <f>IF('12 - Device_Configuration'!BB441="","",'12 - Device_Configuration'!BB441)</f>
        <v/>
      </c>
      <c r="Z440" s="21" t="str">
        <f>IF('12 - Device_Configuration'!P441="","",'12 - Device_Configuration'!P441)</f>
        <v/>
      </c>
      <c r="AA440" s="21" t="str">
        <f>IF('12 - Device_Configuration'!Q441="","",'12 - Device_Configuration'!Q441)</f>
        <v/>
      </c>
    </row>
    <row r="441" spans="1:27">
      <c r="A441" s="22"/>
      <c r="B441" s="22"/>
      <c r="C441" s="21" t="str">
        <f>IF('12 - Device_Configuration'!H442="","",'12 - Device_Configuration'!H442)</f>
        <v/>
      </c>
      <c r="D441" s="21" t="str">
        <f>IF('12 - Device_Configuration'!AE442="","",'12 - Device_Configuration'!AE442)</f>
        <v/>
      </c>
      <c r="E441" s="21" t="str">
        <f>IF('12 - Device_Configuration'!AF442="","",'12 - Device_Configuration'!AF442)</f>
        <v/>
      </c>
      <c r="F441" s="21" t="str">
        <f>IF('12 - Device_Configuration'!AG442="","",'12 - Device_Configuration'!AG442)</f>
        <v/>
      </c>
      <c r="G441" s="21" t="str">
        <f>IF('12 - Device_Configuration'!AH442="","",'12 - Device_Configuration'!AH442)</f>
        <v/>
      </c>
      <c r="H441" s="21" t="str">
        <f>IF('12 - Device_Configuration'!A442="","",'12 - Device_Configuration'!A442)</f>
        <v/>
      </c>
      <c r="I441" s="21" t="str">
        <f>IF('12 - Device_Configuration'!AI442="","",'12 - Device_Configuration'!AI442)</f>
        <v/>
      </c>
      <c r="J441" s="21" t="str">
        <f>IF('12 - Device_Configuration'!AJ442="","",'12 - Device_Configuration'!AJ442)</f>
        <v/>
      </c>
      <c r="K441" s="21" t="str">
        <f>IF('12 - Device_Configuration'!AA442="","",'12 - Device_Configuration'!AA442)</f>
        <v/>
      </c>
      <c r="L441" s="21" t="str">
        <f>IF('12 - Device_Configuration'!I442="","",'12 - Device_Configuration'!I442)</f>
        <v/>
      </c>
      <c r="M441" s="22"/>
      <c r="N441" s="21" t="str">
        <f>IF('12 - Device_Configuration'!J442="","",'12 - Device_Configuration'!J442)</f>
        <v/>
      </c>
      <c r="O441" s="21" t="str">
        <f>IF('12 - Device_Configuration'!K442="","",'12 - Device_Configuration'!K442)</f>
        <v/>
      </c>
      <c r="P441" s="21" t="str">
        <f>IF('12 - Device_Configuration'!L442="","",'12 - Device_Configuration'!L442)</f>
        <v/>
      </c>
      <c r="Q441" s="22"/>
      <c r="R441" s="21" t="str">
        <f>IF('12 - Device_Configuration'!AY442="","",'12 - Device_Configuration'!AY442)</f>
        <v/>
      </c>
      <c r="S441" s="21" t="str">
        <f>IF('12 - Device_Configuration'!AX442="","",'12 - Device_Configuration'!AX442)</f>
        <v/>
      </c>
      <c r="T441" s="21" t="str">
        <f>IF('12 - Device_Configuration'!AV442="","",'12 - Device_Configuration'!AV442)</f>
        <v/>
      </c>
      <c r="U441" s="21" t="str">
        <f>IF('12 - Device_Configuration'!AW442="","",'12 - Device_Configuration'!AW442)</f>
        <v/>
      </c>
      <c r="V441" s="21" t="str">
        <f>IF('12 - Device_Configuration'!BA442="","",'12 - Device_Configuration'!BA442)</f>
        <v/>
      </c>
      <c r="W441" s="21" t="str">
        <f>IF('12 - Device_Configuration'!BC442="","",'12 - Device_Configuration'!BC442)</f>
        <v/>
      </c>
      <c r="X441" s="21" t="str">
        <f>IF('12 - Device_Configuration'!BK442="","",'12 - Device_Configuration'!BK442)</f>
        <v/>
      </c>
      <c r="Y441" s="21" t="str">
        <f>IF('12 - Device_Configuration'!BB442="","",'12 - Device_Configuration'!BB442)</f>
        <v/>
      </c>
      <c r="Z441" s="21" t="str">
        <f>IF('12 - Device_Configuration'!P442="","",'12 - Device_Configuration'!P442)</f>
        <v/>
      </c>
      <c r="AA441" s="21" t="str">
        <f>IF('12 - Device_Configuration'!Q442="","",'12 - Device_Configuration'!Q442)</f>
        <v/>
      </c>
    </row>
    <row r="442" spans="1:27">
      <c r="A442" s="22"/>
      <c r="B442" s="22"/>
      <c r="C442" s="21" t="str">
        <f>IF('12 - Device_Configuration'!H443="","",'12 - Device_Configuration'!H443)</f>
        <v/>
      </c>
      <c r="D442" s="21" t="str">
        <f>IF('12 - Device_Configuration'!AE443="","",'12 - Device_Configuration'!AE443)</f>
        <v/>
      </c>
      <c r="E442" s="21" t="str">
        <f>IF('12 - Device_Configuration'!AF443="","",'12 - Device_Configuration'!AF443)</f>
        <v/>
      </c>
      <c r="F442" s="21" t="str">
        <f>IF('12 - Device_Configuration'!AG443="","",'12 - Device_Configuration'!AG443)</f>
        <v/>
      </c>
      <c r="G442" s="21" t="str">
        <f>IF('12 - Device_Configuration'!AH443="","",'12 - Device_Configuration'!AH443)</f>
        <v/>
      </c>
      <c r="H442" s="21" t="str">
        <f>IF('12 - Device_Configuration'!A443="","",'12 - Device_Configuration'!A443)</f>
        <v/>
      </c>
      <c r="I442" s="21" t="str">
        <f>IF('12 - Device_Configuration'!AI443="","",'12 - Device_Configuration'!AI443)</f>
        <v/>
      </c>
      <c r="J442" s="21" t="str">
        <f>IF('12 - Device_Configuration'!AJ443="","",'12 - Device_Configuration'!AJ443)</f>
        <v/>
      </c>
      <c r="K442" s="21" t="str">
        <f>IF('12 - Device_Configuration'!AA443="","",'12 - Device_Configuration'!AA443)</f>
        <v/>
      </c>
      <c r="L442" s="21" t="str">
        <f>IF('12 - Device_Configuration'!I443="","",'12 - Device_Configuration'!I443)</f>
        <v/>
      </c>
      <c r="M442" s="22"/>
      <c r="N442" s="21" t="str">
        <f>IF('12 - Device_Configuration'!J443="","",'12 - Device_Configuration'!J443)</f>
        <v/>
      </c>
      <c r="O442" s="21" t="str">
        <f>IF('12 - Device_Configuration'!K443="","",'12 - Device_Configuration'!K443)</f>
        <v/>
      </c>
      <c r="P442" s="21" t="str">
        <f>IF('12 - Device_Configuration'!L443="","",'12 - Device_Configuration'!L443)</f>
        <v/>
      </c>
      <c r="Q442" s="22"/>
      <c r="R442" s="21" t="str">
        <f>IF('12 - Device_Configuration'!AY443="","",'12 - Device_Configuration'!AY443)</f>
        <v/>
      </c>
      <c r="S442" s="21" t="str">
        <f>IF('12 - Device_Configuration'!AX443="","",'12 - Device_Configuration'!AX443)</f>
        <v/>
      </c>
      <c r="T442" s="21" t="str">
        <f>IF('12 - Device_Configuration'!AV443="","",'12 - Device_Configuration'!AV443)</f>
        <v/>
      </c>
      <c r="U442" s="21" t="str">
        <f>IF('12 - Device_Configuration'!AW443="","",'12 - Device_Configuration'!AW443)</f>
        <v/>
      </c>
      <c r="V442" s="21" t="str">
        <f>IF('12 - Device_Configuration'!BA443="","",'12 - Device_Configuration'!BA443)</f>
        <v/>
      </c>
      <c r="W442" s="21" t="str">
        <f>IF('12 - Device_Configuration'!BC443="","",'12 - Device_Configuration'!BC443)</f>
        <v/>
      </c>
      <c r="X442" s="21" t="str">
        <f>IF('12 - Device_Configuration'!BK443="","",'12 - Device_Configuration'!BK443)</f>
        <v/>
      </c>
      <c r="Y442" s="21" t="str">
        <f>IF('12 - Device_Configuration'!BB443="","",'12 - Device_Configuration'!BB443)</f>
        <v/>
      </c>
      <c r="Z442" s="21" t="str">
        <f>IF('12 - Device_Configuration'!P443="","",'12 - Device_Configuration'!P443)</f>
        <v/>
      </c>
      <c r="AA442" s="21" t="str">
        <f>IF('12 - Device_Configuration'!Q443="","",'12 - Device_Configuration'!Q443)</f>
        <v/>
      </c>
    </row>
    <row r="443" spans="1:27">
      <c r="A443" s="22"/>
      <c r="B443" s="22"/>
      <c r="C443" s="21" t="str">
        <f>IF('12 - Device_Configuration'!H444="","",'12 - Device_Configuration'!H444)</f>
        <v/>
      </c>
      <c r="D443" s="21" t="str">
        <f>IF('12 - Device_Configuration'!AE444="","",'12 - Device_Configuration'!AE444)</f>
        <v/>
      </c>
      <c r="E443" s="21" t="str">
        <f>IF('12 - Device_Configuration'!AF444="","",'12 - Device_Configuration'!AF444)</f>
        <v/>
      </c>
      <c r="F443" s="21" t="str">
        <f>IF('12 - Device_Configuration'!AG444="","",'12 - Device_Configuration'!AG444)</f>
        <v/>
      </c>
      <c r="G443" s="21" t="str">
        <f>IF('12 - Device_Configuration'!AH444="","",'12 - Device_Configuration'!AH444)</f>
        <v/>
      </c>
      <c r="H443" s="21" t="str">
        <f>IF('12 - Device_Configuration'!A444="","",'12 - Device_Configuration'!A444)</f>
        <v/>
      </c>
      <c r="I443" s="21" t="str">
        <f>IF('12 - Device_Configuration'!AI444="","",'12 - Device_Configuration'!AI444)</f>
        <v/>
      </c>
      <c r="J443" s="21" t="str">
        <f>IF('12 - Device_Configuration'!AJ444="","",'12 - Device_Configuration'!AJ444)</f>
        <v/>
      </c>
      <c r="K443" s="21" t="str">
        <f>IF('12 - Device_Configuration'!AA444="","",'12 - Device_Configuration'!AA444)</f>
        <v/>
      </c>
      <c r="L443" s="21" t="str">
        <f>IF('12 - Device_Configuration'!I444="","",'12 - Device_Configuration'!I444)</f>
        <v/>
      </c>
      <c r="M443" s="22"/>
      <c r="N443" s="21" t="str">
        <f>IF('12 - Device_Configuration'!J444="","",'12 - Device_Configuration'!J444)</f>
        <v/>
      </c>
      <c r="O443" s="21" t="str">
        <f>IF('12 - Device_Configuration'!K444="","",'12 - Device_Configuration'!K444)</f>
        <v/>
      </c>
      <c r="P443" s="21" t="str">
        <f>IF('12 - Device_Configuration'!L444="","",'12 - Device_Configuration'!L444)</f>
        <v/>
      </c>
      <c r="Q443" s="22"/>
      <c r="R443" s="21" t="str">
        <f>IF('12 - Device_Configuration'!AY444="","",'12 - Device_Configuration'!AY444)</f>
        <v/>
      </c>
      <c r="S443" s="21" t="str">
        <f>IF('12 - Device_Configuration'!AX444="","",'12 - Device_Configuration'!AX444)</f>
        <v/>
      </c>
      <c r="T443" s="21" t="str">
        <f>IF('12 - Device_Configuration'!AV444="","",'12 - Device_Configuration'!AV444)</f>
        <v/>
      </c>
      <c r="U443" s="21" t="str">
        <f>IF('12 - Device_Configuration'!AW444="","",'12 - Device_Configuration'!AW444)</f>
        <v/>
      </c>
      <c r="V443" s="21" t="str">
        <f>IF('12 - Device_Configuration'!BA444="","",'12 - Device_Configuration'!BA444)</f>
        <v/>
      </c>
      <c r="W443" s="21" t="str">
        <f>IF('12 - Device_Configuration'!BC444="","",'12 - Device_Configuration'!BC444)</f>
        <v/>
      </c>
      <c r="X443" s="21" t="str">
        <f>IF('12 - Device_Configuration'!BK444="","",'12 - Device_Configuration'!BK444)</f>
        <v/>
      </c>
      <c r="Y443" s="21" t="str">
        <f>IF('12 - Device_Configuration'!BB444="","",'12 - Device_Configuration'!BB444)</f>
        <v/>
      </c>
      <c r="Z443" s="21" t="str">
        <f>IF('12 - Device_Configuration'!P444="","",'12 - Device_Configuration'!P444)</f>
        <v/>
      </c>
      <c r="AA443" s="21" t="str">
        <f>IF('12 - Device_Configuration'!Q444="","",'12 - Device_Configuration'!Q444)</f>
        <v/>
      </c>
    </row>
    <row r="444" spans="1:27">
      <c r="A444" s="22"/>
      <c r="B444" s="22"/>
      <c r="C444" s="21" t="str">
        <f>IF('12 - Device_Configuration'!H445="","",'12 - Device_Configuration'!H445)</f>
        <v/>
      </c>
      <c r="D444" s="21" t="str">
        <f>IF('12 - Device_Configuration'!AE445="","",'12 - Device_Configuration'!AE445)</f>
        <v/>
      </c>
      <c r="E444" s="21" t="str">
        <f>IF('12 - Device_Configuration'!AF445="","",'12 - Device_Configuration'!AF445)</f>
        <v/>
      </c>
      <c r="F444" s="21" t="str">
        <f>IF('12 - Device_Configuration'!AG445="","",'12 - Device_Configuration'!AG445)</f>
        <v/>
      </c>
      <c r="G444" s="21" t="str">
        <f>IF('12 - Device_Configuration'!AH445="","",'12 - Device_Configuration'!AH445)</f>
        <v/>
      </c>
      <c r="H444" s="21" t="str">
        <f>IF('12 - Device_Configuration'!A445="","",'12 - Device_Configuration'!A445)</f>
        <v/>
      </c>
      <c r="I444" s="21" t="str">
        <f>IF('12 - Device_Configuration'!AI445="","",'12 - Device_Configuration'!AI445)</f>
        <v/>
      </c>
      <c r="J444" s="21" t="str">
        <f>IF('12 - Device_Configuration'!AJ445="","",'12 - Device_Configuration'!AJ445)</f>
        <v/>
      </c>
      <c r="K444" s="21" t="str">
        <f>IF('12 - Device_Configuration'!AA445="","",'12 - Device_Configuration'!AA445)</f>
        <v/>
      </c>
      <c r="L444" s="21" t="str">
        <f>IF('12 - Device_Configuration'!I445="","",'12 - Device_Configuration'!I445)</f>
        <v/>
      </c>
      <c r="M444" s="22"/>
      <c r="N444" s="21" t="str">
        <f>IF('12 - Device_Configuration'!J445="","",'12 - Device_Configuration'!J445)</f>
        <v/>
      </c>
      <c r="O444" s="21" t="str">
        <f>IF('12 - Device_Configuration'!K445="","",'12 - Device_Configuration'!K445)</f>
        <v/>
      </c>
      <c r="P444" s="21" t="str">
        <f>IF('12 - Device_Configuration'!L445="","",'12 - Device_Configuration'!L445)</f>
        <v/>
      </c>
      <c r="Q444" s="22"/>
      <c r="R444" s="21" t="str">
        <f>IF('12 - Device_Configuration'!AY445="","",'12 - Device_Configuration'!AY445)</f>
        <v/>
      </c>
      <c r="S444" s="21" t="str">
        <f>IF('12 - Device_Configuration'!AX445="","",'12 - Device_Configuration'!AX445)</f>
        <v/>
      </c>
      <c r="T444" s="21" t="str">
        <f>IF('12 - Device_Configuration'!AV445="","",'12 - Device_Configuration'!AV445)</f>
        <v/>
      </c>
      <c r="U444" s="21" t="str">
        <f>IF('12 - Device_Configuration'!AW445="","",'12 - Device_Configuration'!AW445)</f>
        <v/>
      </c>
      <c r="V444" s="21" t="str">
        <f>IF('12 - Device_Configuration'!BA445="","",'12 - Device_Configuration'!BA445)</f>
        <v/>
      </c>
      <c r="W444" s="21" t="str">
        <f>IF('12 - Device_Configuration'!BC445="","",'12 - Device_Configuration'!BC445)</f>
        <v/>
      </c>
      <c r="X444" s="21" t="str">
        <f>IF('12 - Device_Configuration'!BK445="","",'12 - Device_Configuration'!BK445)</f>
        <v/>
      </c>
      <c r="Y444" s="21" t="str">
        <f>IF('12 - Device_Configuration'!BB445="","",'12 - Device_Configuration'!BB445)</f>
        <v/>
      </c>
      <c r="Z444" s="21" t="str">
        <f>IF('12 - Device_Configuration'!P445="","",'12 - Device_Configuration'!P445)</f>
        <v/>
      </c>
      <c r="AA444" s="21" t="str">
        <f>IF('12 - Device_Configuration'!Q445="","",'12 - Device_Configuration'!Q445)</f>
        <v/>
      </c>
    </row>
    <row r="445" spans="1:27">
      <c r="A445" s="22"/>
      <c r="B445" s="22"/>
      <c r="C445" s="21" t="str">
        <f>IF('12 - Device_Configuration'!H446="","",'12 - Device_Configuration'!H446)</f>
        <v/>
      </c>
      <c r="D445" s="21" t="str">
        <f>IF('12 - Device_Configuration'!AE446="","",'12 - Device_Configuration'!AE446)</f>
        <v/>
      </c>
      <c r="E445" s="21" t="str">
        <f>IF('12 - Device_Configuration'!AF446="","",'12 - Device_Configuration'!AF446)</f>
        <v/>
      </c>
      <c r="F445" s="21" t="str">
        <f>IF('12 - Device_Configuration'!AG446="","",'12 - Device_Configuration'!AG446)</f>
        <v/>
      </c>
      <c r="G445" s="21" t="str">
        <f>IF('12 - Device_Configuration'!AH446="","",'12 - Device_Configuration'!AH446)</f>
        <v/>
      </c>
      <c r="H445" s="21" t="str">
        <f>IF('12 - Device_Configuration'!A446="","",'12 - Device_Configuration'!A446)</f>
        <v/>
      </c>
      <c r="I445" s="21" t="str">
        <f>IF('12 - Device_Configuration'!AI446="","",'12 - Device_Configuration'!AI446)</f>
        <v/>
      </c>
      <c r="J445" s="21" t="str">
        <f>IF('12 - Device_Configuration'!AJ446="","",'12 - Device_Configuration'!AJ446)</f>
        <v/>
      </c>
      <c r="K445" s="21" t="str">
        <f>IF('12 - Device_Configuration'!AA446="","",'12 - Device_Configuration'!AA446)</f>
        <v/>
      </c>
      <c r="L445" s="21" t="str">
        <f>IF('12 - Device_Configuration'!I446="","",'12 - Device_Configuration'!I446)</f>
        <v/>
      </c>
      <c r="M445" s="22"/>
      <c r="N445" s="21" t="str">
        <f>IF('12 - Device_Configuration'!J446="","",'12 - Device_Configuration'!J446)</f>
        <v/>
      </c>
      <c r="O445" s="21" t="str">
        <f>IF('12 - Device_Configuration'!K446="","",'12 - Device_Configuration'!K446)</f>
        <v/>
      </c>
      <c r="P445" s="21" t="str">
        <f>IF('12 - Device_Configuration'!L446="","",'12 - Device_Configuration'!L446)</f>
        <v/>
      </c>
      <c r="Q445" s="22"/>
      <c r="R445" s="21" t="str">
        <f>IF('12 - Device_Configuration'!AY446="","",'12 - Device_Configuration'!AY446)</f>
        <v/>
      </c>
      <c r="S445" s="21" t="str">
        <f>IF('12 - Device_Configuration'!AX446="","",'12 - Device_Configuration'!AX446)</f>
        <v/>
      </c>
      <c r="T445" s="21" t="str">
        <f>IF('12 - Device_Configuration'!AV446="","",'12 - Device_Configuration'!AV446)</f>
        <v/>
      </c>
      <c r="U445" s="21" t="str">
        <f>IF('12 - Device_Configuration'!AW446="","",'12 - Device_Configuration'!AW446)</f>
        <v/>
      </c>
      <c r="V445" s="21" t="str">
        <f>IF('12 - Device_Configuration'!BA446="","",'12 - Device_Configuration'!BA446)</f>
        <v/>
      </c>
      <c r="W445" s="21" t="str">
        <f>IF('12 - Device_Configuration'!BC446="","",'12 - Device_Configuration'!BC446)</f>
        <v/>
      </c>
      <c r="X445" s="21" t="str">
        <f>IF('12 - Device_Configuration'!BK446="","",'12 - Device_Configuration'!BK446)</f>
        <v/>
      </c>
      <c r="Y445" s="21" t="str">
        <f>IF('12 - Device_Configuration'!BB446="","",'12 - Device_Configuration'!BB446)</f>
        <v/>
      </c>
      <c r="Z445" s="21" t="str">
        <f>IF('12 - Device_Configuration'!P446="","",'12 - Device_Configuration'!P446)</f>
        <v/>
      </c>
      <c r="AA445" s="21" t="str">
        <f>IF('12 - Device_Configuration'!Q446="","",'12 - Device_Configuration'!Q446)</f>
        <v/>
      </c>
    </row>
    <row r="446" spans="1:27">
      <c r="A446" s="22"/>
      <c r="B446" s="22"/>
      <c r="C446" s="21" t="str">
        <f>IF('12 - Device_Configuration'!H447="","",'12 - Device_Configuration'!H447)</f>
        <v/>
      </c>
      <c r="D446" s="21" t="str">
        <f>IF('12 - Device_Configuration'!AE447="","",'12 - Device_Configuration'!AE447)</f>
        <v/>
      </c>
      <c r="E446" s="21" t="str">
        <f>IF('12 - Device_Configuration'!AF447="","",'12 - Device_Configuration'!AF447)</f>
        <v/>
      </c>
      <c r="F446" s="21" t="str">
        <f>IF('12 - Device_Configuration'!AG447="","",'12 - Device_Configuration'!AG447)</f>
        <v/>
      </c>
      <c r="G446" s="21" t="str">
        <f>IF('12 - Device_Configuration'!AH447="","",'12 - Device_Configuration'!AH447)</f>
        <v/>
      </c>
      <c r="H446" s="21" t="str">
        <f>IF('12 - Device_Configuration'!A447="","",'12 - Device_Configuration'!A447)</f>
        <v/>
      </c>
      <c r="I446" s="21" t="str">
        <f>IF('12 - Device_Configuration'!AI447="","",'12 - Device_Configuration'!AI447)</f>
        <v/>
      </c>
      <c r="J446" s="21" t="str">
        <f>IF('12 - Device_Configuration'!AJ447="","",'12 - Device_Configuration'!AJ447)</f>
        <v/>
      </c>
      <c r="K446" s="21" t="str">
        <f>IF('12 - Device_Configuration'!AA447="","",'12 - Device_Configuration'!AA447)</f>
        <v/>
      </c>
      <c r="L446" s="21" t="str">
        <f>IF('12 - Device_Configuration'!I447="","",'12 - Device_Configuration'!I447)</f>
        <v/>
      </c>
      <c r="M446" s="22"/>
      <c r="N446" s="21" t="str">
        <f>IF('12 - Device_Configuration'!J447="","",'12 - Device_Configuration'!J447)</f>
        <v/>
      </c>
      <c r="O446" s="21" t="str">
        <f>IF('12 - Device_Configuration'!K447="","",'12 - Device_Configuration'!K447)</f>
        <v/>
      </c>
      <c r="P446" s="21" t="str">
        <f>IF('12 - Device_Configuration'!L447="","",'12 - Device_Configuration'!L447)</f>
        <v/>
      </c>
      <c r="Q446" s="22"/>
      <c r="R446" s="21" t="str">
        <f>IF('12 - Device_Configuration'!AY447="","",'12 - Device_Configuration'!AY447)</f>
        <v/>
      </c>
      <c r="S446" s="21" t="str">
        <f>IF('12 - Device_Configuration'!AX447="","",'12 - Device_Configuration'!AX447)</f>
        <v/>
      </c>
      <c r="T446" s="21" t="str">
        <f>IF('12 - Device_Configuration'!AV447="","",'12 - Device_Configuration'!AV447)</f>
        <v/>
      </c>
      <c r="U446" s="21" t="str">
        <f>IF('12 - Device_Configuration'!AW447="","",'12 - Device_Configuration'!AW447)</f>
        <v/>
      </c>
      <c r="V446" s="21" t="str">
        <f>IF('12 - Device_Configuration'!BA447="","",'12 - Device_Configuration'!BA447)</f>
        <v/>
      </c>
      <c r="W446" s="21" t="str">
        <f>IF('12 - Device_Configuration'!BC447="","",'12 - Device_Configuration'!BC447)</f>
        <v/>
      </c>
      <c r="X446" s="21" t="str">
        <f>IF('12 - Device_Configuration'!BK447="","",'12 - Device_Configuration'!BK447)</f>
        <v/>
      </c>
      <c r="Y446" s="21" t="str">
        <f>IF('12 - Device_Configuration'!BB447="","",'12 - Device_Configuration'!BB447)</f>
        <v/>
      </c>
      <c r="Z446" s="21" t="str">
        <f>IF('12 - Device_Configuration'!P447="","",'12 - Device_Configuration'!P447)</f>
        <v/>
      </c>
      <c r="AA446" s="21" t="str">
        <f>IF('12 - Device_Configuration'!Q447="","",'12 - Device_Configuration'!Q447)</f>
        <v/>
      </c>
    </row>
    <row r="447" spans="1:27">
      <c r="A447" s="22"/>
      <c r="B447" s="22"/>
      <c r="C447" s="21" t="str">
        <f>IF('12 - Device_Configuration'!H448="","",'12 - Device_Configuration'!H448)</f>
        <v/>
      </c>
      <c r="D447" s="21" t="str">
        <f>IF('12 - Device_Configuration'!AE448="","",'12 - Device_Configuration'!AE448)</f>
        <v/>
      </c>
      <c r="E447" s="21" t="str">
        <f>IF('12 - Device_Configuration'!AF448="","",'12 - Device_Configuration'!AF448)</f>
        <v/>
      </c>
      <c r="F447" s="21" t="str">
        <f>IF('12 - Device_Configuration'!AG448="","",'12 - Device_Configuration'!AG448)</f>
        <v/>
      </c>
      <c r="G447" s="21" t="str">
        <f>IF('12 - Device_Configuration'!AH448="","",'12 - Device_Configuration'!AH448)</f>
        <v/>
      </c>
      <c r="H447" s="21" t="str">
        <f>IF('12 - Device_Configuration'!A448="","",'12 - Device_Configuration'!A448)</f>
        <v/>
      </c>
      <c r="I447" s="21" t="str">
        <f>IF('12 - Device_Configuration'!AI448="","",'12 - Device_Configuration'!AI448)</f>
        <v/>
      </c>
      <c r="J447" s="21" t="str">
        <f>IF('12 - Device_Configuration'!AJ448="","",'12 - Device_Configuration'!AJ448)</f>
        <v/>
      </c>
      <c r="K447" s="21" t="str">
        <f>IF('12 - Device_Configuration'!AA448="","",'12 - Device_Configuration'!AA448)</f>
        <v/>
      </c>
      <c r="L447" s="21" t="str">
        <f>IF('12 - Device_Configuration'!I448="","",'12 - Device_Configuration'!I448)</f>
        <v/>
      </c>
      <c r="M447" s="22"/>
      <c r="N447" s="21" t="str">
        <f>IF('12 - Device_Configuration'!J448="","",'12 - Device_Configuration'!J448)</f>
        <v/>
      </c>
      <c r="O447" s="21" t="str">
        <f>IF('12 - Device_Configuration'!K448="","",'12 - Device_Configuration'!K448)</f>
        <v/>
      </c>
      <c r="P447" s="21" t="str">
        <f>IF('12 - Device_Configuration'!L448="","",'12 - Device_Configuration'!L448)</f>
        <v/>
      </c>
      <c r="Q447" s="22"/>
      <c r="R447" s="21" t="str">
        <f>IF('12 - Device_Configuration'!AY448="","",'12 - Device_Configuration'!AY448)</f>
        <v/>
      </c>
      <c r="S447" s="21" t="str">
        <f>IF('12 - Device_Configuration'!AX448="","",'12 - Device_Configuration'!AX448)</f>
        <v/>
      </c>
      <c r="T447" s="21" t="str">
        <f>IF('12 - Device_Configuration'!AV448="","",'12 - Device_Configuration'!AV448)</f>
        <v/>
      </c>
      <c r="U447" s="21" t="str">
        <f>IF('12 - Device_Configuration'!AW448="","",'12 - Device_Configuration'!AW448)</f>
        <v/>
      </c>
      <c r="V447" s="21" t="str">
        <f>IF('12 - Device_Configuration'!BA448="","",'12 - Device_Configuration'!BA448)</f>
        <v/>
      </c>
      <c r="W447" s="21" t="str">
        <f>IF('12 - Device_Configuration'!BC448="","",'12 - Device_Configuration'!BC448)</f>
        <v/>
      </c>
      <c r="X447" s="21" t="str">
        <f>IF('12 - Device_Configuration'!BK448="","",'12 - Device_Configuration'!BK448)</f>
        <v/>
      </c>
      <c r="Y447" s="21" t="str">
        <f>IF('12 - Device_Configuration'!BB448="","",'12 - Device_Configuration'!BB448)</f>
        <v/>
      </c>
      <c r="Z447" s="21" t="str">
        <f>IF('12 - Device_Configuration'!P448="","",'12 - Device_Configuration'!P448)</f>
        <v/>
      </c>
      <c r="AA447" s="21" t="str">
        <f>IF('12 - Device_Configuration'!Q448="","",'12 - Device_Configuration'!Q448)</f>
        <v/>
      </c>
    </row>
    <row r="448" spans="1:27">
      <c r="A448" s="22"/>
      <c r="B448" s="22"/>
      <c r="C448" s="21" t="str">
        <f>IF('12 - Device_Configuration'!H449="","",'12 - Device_Configuration'!H449)</f>
        <v/>
      </c>
      <c r="D448" s="21" t="str">
        <f>IF('12 - Device_Configuration'!AE449="","",'12 - Device_Configuration'!AE449)</f>
        <v/>
      </c>
      <c r="E448" s="21" t="str">
        <f>IF('12 - Device_Configuration'!AF449="","",'12 - Device_Configuration'!AF449)</f>
        <v/>
      </c>
      <c r="F448" s="21" t="str">
        <f>IF('12 - Device_Configuration'!AG449="","",'12 - Device_Configuration'!AG449)</f>
        <v/>
      </c>
      <c r="G448" s="21" t="str">
        <f>IF('12 - Device_Configuration'!AH449="","",'12 - Device_Configuration'!AH449)</f>
        <v/>
      </c>
      <c r="H448" s="21" t="str">
        <f>IF('12 - Device_Configuration'!A449="","",'12 - Device_Configuration'!A449)</f>
        <v/>
      </c>
      <c r="I448" s="21" t="str">
        <f>IF('12 - Device_Configuration'!AI449="","",'12 - Device_Configuration'!AI449)</f>
        <v/>
      </c>
      <c r="J448" s="21" t="str">
        <f>IF('12 - Device_Configuration'!AJ449="","",'12 - Device_Configuration'!AJ449)</f>
        <v/>
      </c>
      <c r="K448" s="21" t="str">
        <f>IF('12 - Device_Configuration'!AA449="","",'12 - Device_Configuration'!AA449)</f>
        <v/>
      </c>
      <c r="L448" s="21" t="str">
        <f>IF('12 - Device_Configuration'!I449="","",'12 - Device_Configuration'!I449)</f>
        <v/>
      </c>
      <c r="M448" s="22"/>
      <c r="N448" s="21" t="str">
        <f>IF('12 - Device_Configuration'!J449="","",'12 - Device_Configuration'!J449)</f>
        <v/>
      </c>
      <c r="O448" s="21" t="str">
        <f>IF('12 - Device_Configuration'!K449="","",'12 - Device_Configuration'!K449)</f>
        <v/>
      </c>
      <c r="P448" s="21" t="str">
        <f>IF('12 - Device_Configuration'!L449="","",'12 - Device_Configuration'!L449)</f>
        <v/>
      </c>
      <c r="Q448" s="22"/>
      <c r="R448" s="21" t="str">
        <f>IF('12 - Device_Configuration'!AY449="","",'12 - Device_Configuration'!AY449)</f>
        <v/>
      </c>
      <c r="S448" s="21" t="str">
        <f>IF('12 - Device_Configuration'!AX449="","",'12 - Device_Configuration'!AX449)</f>
        <v/>
      </c>
      <c r="T448" s="21" t="str">
        <f>IF('12 - Device_Configuration'!AV449="","",'12 - Device_Configuration'!AV449)</f>
        <v/>
      </c>
      <c r="U448" s="21" t="str">
        <f>IF('12 - Device_Configuration'!AW449="","",'12 - Device_Configuration'!AW449)</f>
        <v/>
      </c>
      <c r="V448" s="21" t="str">
        <f>IF('12 - Device_Configuration'!BA449="","",'12 - Device_Configuration'!BA449)</f>
        <v/>
      </c>
      <c r="W448" s="21" t="str">
        <f>IF('12 - Device_Configuration'!BC449="","",'12 - Device_Configuration'!BC449)</f>
        <v/>
      </c>
      <c r="X448" s="21" t="str">
        <f>IF('12 - Device_Configuration'!BK449="","",'12 - Device_Configuration'!BK449)</f>
        <v/>
      </c>
      <c r="Y448" s="21" t="str">
        <f>IF('12 - Device_Configuration'!BB449="","",'12 - Device_Configuration'!BB449)</f>
        <v/>
      </c>
      <c r="Z448" s="21" t="str">
        <f>IF('12 - Device_Configuration'!P449="","",'12 - Device_Configuration'!P449)</f>
        <v/>
      </c>
      <c r="AA448" s="21" t="str">
        <f>IF('12 - Device_Configuration'!Q449="","",'12 - Device_Configuration'!Q449)</f>
        <v/>
      </c>
    </row>
    <row r="449" spans="1:27">
      <c r="A449" s="22"/>
      <c r="B449" s="22"/>
      <c r="C449" s="21" t="str">
        <f>IF('12 - Device_Configuration'!H450="","",'12 - Device_Configuration'!H450)</f>
        <v/>
      </c>
      <c r="D449" s="21" t="str">
        <f>IF('12 - Device_Configuration'!AE450="","",'12 - Device_Configuration'!AE450)</f>
        <v/>
      </c>
      <c r="E449" s="21" t="str">
        <f>IF('12 - Device_Configuration'!AF450="","",'12 - Device_Configuration'!AF450)</f>
        <v/>
      </c>
      <c r="F449" s="21" t="str">
        <f>IF('12 - Device_Configuration'!AG450="","",'12 - Device_Configuration'!AG450)</f>
        <v/>
      </c>
      <c r="G449" s="21" t="str">
        <f>IF('12 - Device_Configuration'!AH450="","",'12 - Device_Configuration'!AH450)</f>
        <v/>
      </c>
      <c r="H449" s="21" t="str">
        <f>IF('12 - Device_Configuration'!A450="","",'12 - Device_Configuration'!A450)</f>
        <v/>
      </c>
      <c r="I449" s="21" t="str">
        <f>IF('12 - Device_Configuration'!AI450="","",'12 - Device_Configuration'!AI450)</f>
        <v/>
      </c>
      <c r="J449" s="21" t="str">
        <f>IF('12 - Device_Configuration'!AJ450="","",'12 - Device_Configuration'!AJ450)</f>
        <v/>
      </c>
      <c r="K449" s="21" t="str">
        <f>IF('12 - Device_Configuration'!AA450="","",'12 - Device_Configuration'!AA450)</f>
        <v/>
      </c>
      <c r="L449" s="21" t="str">
        <f>IF('12 - Device_Configuration'!I450="","",'12 - Device_Configuration'!I450)</f>
        <v/>
      </c>
      <c r="M449" s="22"/>
      <c r="N449" s="21" t="str">
        <f>IF('12 - Device_Configuration'!J450="","",'12 - Device_Configuration'!J450)</f>
        <v/>
      </c>
      <c r="O449" s="21" t="str">
        <f>IF('12 - Device_Configuration'!K450="","",'12 - Device_Configuration'!K450)</f>
        <v/>
      </c>
      <c r="P449" s="21" t="str">
        <f>IF('12 - Device_Configuration'!L450="","",'12 - Device_Configuration'!L450)</f>
        <v/>
      </c>
      <c r="Q449" s="22"/>
      <c r="R449" s="21" t="str">
        <f>IF('12 - Device_Configuration'!AY450="","",'12 - Device_Configuration'!AY450)</f>
        <v/>
      </c>
      <c r="S449" s="21" t="str">
        <f>IF('12 - Device_Configuration'!AX450="","",'12 - Device_Configuration'!AX450)</f>
        <v/>
      </c>
      <c r="T449" s="21" t="str">
        <f>IF('12 - Device_Configuration'!AV450="","",'12 - Device_Configuration'!AV450)</f>
        <v/>
      </c>
      <c r="U449" s="21" t="str">
        <f>IF('12 - Device_Configuration'!AW450="","",'12 - Device_Configuration'!AW450)</f>
        <v/>
      </c>
      <c r="V449" s="21" t="str">
        <f>IF('12 - Device_Configuration'!BA450="","",'12 - Device_Configuration'!BA450)</f>
        <v/>
      </c>
      <c r="W449" s="21" t="str">
        <f>IF('12 - Device_Configuration'!BC450="","",'12 - Device_Configuration'!BC450)</f>
        <v/>
      </c>
      <c r="X449" s="21" t="str">
        <f>IF('12 - Device_Configuration'!BK450="","",'12 - Device_Configuration'!BK450)</f>
        <v/>
      </c>
      <c r="Y449" s="21" t="str">
        <f>IF('12 - Device_Configuration'!BB450="","",'12 - Device_Configuration'!BB450)</f>
        <v/>
      </c>
      <c r="Z449" s="21" t="str">
        <f>IF('12 - Device_Configuration'!P450="","",'12 - Device_Configuration'!P450)</f>
        <v/>
      </c>
      <c r="AA449" s="21" t="str">
        <f>IF('12 - Device_Configuration'!Q450="","",'12 - Device_Configuration'!Q450)</f>
        <v/>
      </c>
    </row>
    <row r="450" spans="1:27">
      <c r="A450" s="22"/>
      <c r="B450" s="22"/>
      <c r="C450" s="21" t="str">
        <f>IF('12 - Device_Configuration'!H451="","",'12 - Device_Configuration'!H451)</f>
        <v/>
      </c>
      <c r="D450" s="21" t="str">
        <f>IF('12 - Device_Configuration'!AE451="","",'12 - Device_Configuration'!AE451)</f>
        <v/>
      </c>
      <c r="E450" s="21" t="str">
        <f>IF('12 - Device_Configuration'!AF451="","",'12 - Device_Configuration'!AF451)</f>
        <v/>
      </c>
      <c r="F450" s="21" t="str">
        <f>IF('12 - Device_Configuration'!AG451="","",'12 - Device_Configuration'!AG451)</f>
        <v/>
      </c>
      <c r="G450" s="21" t="str">
        <f>IF('12 - Device_Configuration'!AH451="","",'12 - Device_Configuration'!AH451)</f>
        <v/>
      </c>
      <c r="H450" s="21" t="str">
        <f>IF('12 - Device_Configuration'!A451="","",'12 - Device_Configuration'!A451)</f>
        <v/>
      </c>
      <c r="I450" s="21" t="str">
        <f>IF('12 - Device_Configuration'!AI451="","",'12 - Device_Configuration'!AI451)</f>
        <v/>
      </c>
      <c r="J450" s="21" t="str">
        <f>IF('12 - Device_Configuration'!AJ451="","",'12 - Device_Configuration'!AJ451)</f>
        <v/>
      </c>
      <c r="K450" s="21" t="str">
        <f>IF('12 - Device_Configuration'!AA451="","",'12 - Device_Configuration'!AA451)</f>
        <v/>
      </c>
      <c r="L450" s="21" t="str">
        <f>IF('12 - Device_Configuration'!I451="","",'12 - Device_Configuration'!I451)</f>
        <v/>
      </c>
      <c r="M450" s="22"/>
      <c r="N450" s="21" t="str">
        <f>IF('12 - Device_Configuration'!J451="","",'12 - Device_Configuration'!J451)</f>
        <v/>
      </c>
      <c r="O450" s="21" t="str">
        <f>IF('12 - Device_Configuration'!K451="","",'12 - Device_Configuration'!K451)</f>
        <v/>
      </c>
      <c r="P450" s="21" t="str">
        <f>IF('12 - Device_Configuration'!L451="","",'12 - Device_Configuration'!L451)</f>
        <v/>
      </c>
      <c r="Q450" s="22"/>
      <c r="R450" s="21" t="str">
        <f>IF('12 - Device_Configuration'!AY451="","",'12 - Device_Configuration'!AY451)</f>
        <v/>
      </c>
      <c r="S450" s="21" t="str">
        <f>IF('12 - Device_Configuration'!AX451="","",'12 - Device_Configuration'!AX451)</f>
        <v/>
      </c>
      <c r="T450" s="21" t="str">
        <f>IF('12 - Device_Configuration'!AV451="","",'12 - Device_Configuration'!AV451)</f>
        <v/>
      </c>
      <c r="U450" s="21" t="str">
        <f>IF('12 - Device_Configuration'!AW451="","",'12 - Device_Configuration'!AW451)</f>
        <v/>
      </c>
      <c r="V450" s="21" t="str">
        <f>IF('12 - Device_Configuration'!BA451="","",'12 - Device_Configuration'!BA451)</f>
        <v/>
      </c>
      <c r="W450" s="21" t="str">
        <f>IF('12 - Device_Configuration'!BC451="","",'12 - Device_Configuration'!BC451)</f>
        <v/>
      </c>
      <c r="X450" s="21" t="str">
        <f>IF('12 - Device_Configuration'!BK451="","",'12 - Device_Configuration'!BK451)</f>
        <v/>
      </c>
      <c r="Y450" s="21" t="str">
        <f>IF('12 - Device_Configuration'!BB451="","",'12 - Device_Configuration'!BB451)</f>
        <v/>
      </c>
      <c r="Z450" s="21" t="str">
        <f>IF('12 - Device_Configuration'!P451="","",'12 - Device_Configuration'!P451)</f>
        <v/>
      </c>
      <c r="AA450" s="21" t="str">
        <f>IF('12 - Device_Configuration'!Q451="","",'12 - Device_Configuration'!Q451)</f>
        <v/>
      </c>
    </row>
    <row r="451" spans="1:27">
      <c r="A451" s="22"/>
      <c r="B451" s="22"/>
      <c r="C451" s="21" t="str">
        <f>IF('12 - Device_Configuration'!H452="","",'12 - Device_Configuration'!H452)</f>
        <v/>
      </c>
      <c r="D451" s="21" t="str">
        <f>IF('12 - Device_Configuration'!AE452="","",'12 - Device_Configuration'!AE452)</f>
        <v/>
      </c>
      <c r="E451" s="21" t="str">
        <f>IF('12 - Device_Configuration'!AF452="","",'12 - Device_Configuration'!AF452)</f>
        <v/>
      </c>
      <c r="F451" s="21" t="str">
        <f>IF('12 - Device_Configuration'!AG452="","",'12 - Device_Configuration'!AG452)</f>
        <v/>
      </c>
      <c r="G451" s="21" t="str">
        <f>IF('12 - Device_Configuration'!AH452="","",'12 - Device_Configuration'!AH452)</f>
        <v/>
      </c>
      <c r="H451" s="21" t="str">
        <f>IF('12 - Device_Configuration'!A452="","",'12 - Device_Configuration'!A452)</f>
        <v/>
      </c>
      <c r="I451" s="21" t="str">
        <f>IF('12 - Device_Configuration'!AI452="","",'12 - Device_Configuration'!AI452)</f>
        <v/>
      </c>
      <c r="J451" s="21" t="str">
        <f>IF('12 - Device_Configuration'!AJ452="","",'12 - Device_Configuration'!AJ452)</f>
        <v/>
      </c>
      <c r="K451" s="21" t="str">
        <f>IF('12 - Device_Configuration'!AA452="","",'12 - Device_Configuration'!AA452)</f>
        <v/>
      </c>
      <c r="L451" s="21" t="str">
        <f>IF('12 - Device_Configuration'!I452="","",'12 - Device_Configuration'!I452)</f>
        <v/>
      </c>
      <c r="M451" s="22"/>
      <c r="N451" s="21" t="str">
        <f>IF('12 - Device_Configuration'!J452="","",'12 - Device_Configuration'!J452)</f>
        <v/>
      </c>
      <c r="O451" s="21" t="str">
        <f>IF('12 - Device_Configuration'!K452="","",'12 - Device_Configuration'!K452)</f>
        <v/>
      </c>
      <c r="P451" s="21" t="str">
        <f>IF('12 - Device_Configuration'!L452="","",'12 - Device_Configuration'!L452)</f>
        <v/>
      </c>
      <c r="Q451" s="22"/>
      <c r="R451" s="21" t="str">
        <f>IF('12 - Device_Configuration'!AY452="","",'12 - Device_Configuration'!AY452)</f>
        <v/>
      </c>
      <c r="S451" s="21" t="str">
        <f>IF('12 - Device_Configuration'!AX452="","",'12 - Device_Configuration'!AX452)</f>
        <v/>
      </c>
      <c r="T451" s="21" t="str">
        <f>IF('12 - Device_Configuration'!AV452="","",'12 - Device_Configuration'!AV452)</f>
        <v/>
      </c>
      <c r="U451" s="21" t="str">
        <f>IF('12 - Device_Configuration'!AW452="","",'12 - Device_Configuration'!AW452)</f>
        <v/>
      </c>
      <c r="V451" s="21" t="str">
        <f>IF('12 - Device_Configuration'!BA452="","",'12 - Device_Configuration'!BA452)</f>
        <v/>
      </c>
      <c r="W451" s="21" t="str">
        <f>IF('12 - Device_Configuration'!BC452="","",'12 - Device_Configuration'!BC452)</f>
        <v/>
      </c>
      <c r="X451" s="21" t="str">
        <f>IF('12 - Device_Configuration'!BK452="","",'12 - Device_Configuration'!BK452)</f>
        <v/>
      </c>
      <c r="Y451" s="21" t="str">
        <f>IF('12 - Device_Configuration'!BB452="","",'12 - Device_Configuration'!BB452)</f>
        <v/>
      </c>
      <c r="Z451" s="21" t="str">
        <f>IF('12 - Device_Configuration'!P452="","",'12 - Device_Configuration'!P452)</f>
        <v/>
      </c>
      <c r="AA451" s="21" t="str">
        <f>IF('12 - Device_Configuration'!Q452="","",'12 - Device_Configuration'!Q452)</f>
        <v/>
      </c>
    </row>
    <row r="452" spans="1:27">
      <c r="A452" s="22"/>
      <c r="B452" s="22"/>
      <c r="C452" s="21" t="str">
        <f>IF('12 - Device_Configuration'!H453="","",'12 - Device_Configuration'!H453)</f>
        <v/>
      </c>
      <c r="D452" s="21" t="str">
        <f>IF('12 - Device_Configuration'!AE453="","",'12 - Device_Configuration'!AE453)</f>
        <v/>
      </c>
      <c r="E452" s="21" t="str">
        <f>IF('12 - Device_Configuration'!AF453="","",'12 - Device_Configuration'!AF453)</f>
        <v/>
      </c>
      <c r="F452" s="21" t="str">
        <f>IF('12 - Device_Configuration'!AG453="","",'12 - Device_Configuration'!AG453)</f>
        <v/>
      </c>
      <c r="G452" s="21" t="str">
        <f>IF('12 - Device_Configuration'!AH453="","",'12 - Device_Configuration'!AH453)</f>
        <v/>
      </c>
      <c r="H452" s="21" t="str">
        <f>IF('12 - Device_Configuration'!A453="","",'12 - Device_Configuration'!A453)</f>
        <v/>
      </c>
      <c r="I452" s="21" t="str">
        <f>IF('12 - Device_Configuration'!AI453="","",'12 - Device_Configuration'!AI453)</f>
        <v/>
      </c>
      <c r="J452" s="21" t="str">
        <f>IF('12 - Device_Configuration'!AJ453="","",'12 - Device_Configuration'!AJ453)</f>
        <v/>
      </c>
      <c r="K452" s="21" t="str">
        <f>IF('12 - Device_Configuration'!AA453="","",'12 - Device_Configuration'!AA453)</f>
        <v/>
      </c>
      <c r="L452" s="21" t="str">
        <f>IF('12 - Device_Configuration'!I453="","",'12 - Device_Configuration'!I453)</f>
        <v/>
      </c>
      <c r="M452" s="22"/>
      <c r="N452" s="21" t="str">
        <f>IF('12 - Device_Configuration'!J453="","",'12 - Device_Configuration'!J453)</f>
        <v/>
      </c>
      <c r="O452" s="21" t="str">
        <f>IF('12 - Device_Configuration'!K453="","",'12 - Device_Configuration'!K453)</f>
        <v/>
      </c>
      <c r="P452" s="21" t="str">
        <f>IF('12 - Device_Configuration'!L453="","",'12 - Device_Configuration'!L453)</f>
        <v/>
      </c>
      <c r="Q452" s="22"/>
      <c r="R452" s="21" t="str">
        <f>IF('12 - Device_Configuration'!AY453="","",'12 - Device_Configuration'!AY453)</f>
        <v/>
      </c>
      <c r="S452" s="21" t="str">
        <f>IF('12 - Device_Configuration'!AX453="","",'12 - Device_Configuration'!AX453)</f>
        <v/>
      </c>
      <c r="T452" s="21" t="str">
        <f>IF('12 - Device_Configuration'!AV453="","",'12 - Device_Configuration'!AV453)</f>
        <v/>
      </c>
      <c r="U452" s="21" t="str">
        <f>IF('12 - Device_Configuration'!AW453="","",'12 - Device_Configuration'!AW453)</f>
        <v/>
      </c>
      <c r="V452" s="21" t="str">
        <f>IF('12 - Device_Configuration'!BA453="","",'12 - Device_Configuration'!BA453)</f>
        <v/>
      </c>
      <c r="W452" s="21" t="str">
        <f>IF('12 - Device_Configuration'!BC453="","",'12 - Device_Configuration'!BC453)</f>
        <v/>
      </c>
      <c r="X452" s="21" t="str">
        <f>IF('12 - Device_Configuration'!BK453="","",'12 - Device_Configuration'!BK453)</f>
        <v/>
      </c>
      <c r="Y452" s="21" t="str">
        <f>IF('12 - Device_Configuration'!BB453="","",'12 - Device_Configuration'!BB453)</f>
        <v/>
      </c>
      <c r="Z452" s="21" t="str">
        <f>IF('12 - Device_Configuration'!P453="","",'12 - Device_Configuration'!P453)</f>
        <v/>
      </c>
      <c r="AA452" s="21" t="str">
        <f>IF('12 - Device_Configuration'!Q453="","",'12 - Device_Configuration'!Q453)</f>
        <v/>
      </c>
    </row>
    <row r="453" spans="1:27">
      <c r="A453" s="22"/>
      <c r="B453" s="22"/>
      <c r="C453" s="21" t="str">
        <f>IF('12 - Device_Configuration'!H454="","",'12 - Device_Configuration'!H454)</f>
        <v/>
      </c>
      <c r="D453" s="21" t="str">
        <f>IF('12 - Device_Configuration'!AE454="","",'12 - Device_Configuration'!AE454)</f>
        <v/>
      </c>
      <c r="E453" s="21" t="str">
        <f>IF('12 - Device_Configuration'!AF454="","",'12 - Device_Configuration'!AF454)</f>
        <v/>
      </c>
      <c r="F453" s="21" t="str">
        <f>IF('12 - Device_Configuration'!AG454="","",'12 - Device_Configuration'!AG454)</f>
        <v/>
      </c>
      <c r="G453" s="21" t="str">
        <f>IF('12 - Device_Configuration'!AH454="","",'12 - Device_Configuration'!AH454)</f>
        <v/>
      </c>
      <c r="H453" s="21" t="str">
        <f>IF('12 - Device_Configuration'!A454="","",'12 - Device_Configuration'!A454)</f>
        <v/>
      </c>
      <c r="I453" s="21" t="str">
        <f>IF('12 - Device_Configuration'!AI454="","",'12 - Device_Configuration'!AI454)</f>
        <v/>
      </c>
      <c r="J453" s="21" t="str">
        <f>IF('12 - Device_Configuration'!AJ454="","",'12 - Device_Configuration'!AJ454)</f>
        <v/>
      </c>
      <c r="K453" s="21" t="str">
        <f>IF('12 - Device_Configuration'!AA454="","",'12 - Device_Configuration'!AA454)</f>
        <v/>
      </c>
      <c r="L453" s="21" t="str">
        <f>IF('12 - Device_Configuration'!I454="","",'12 - Device_Configuration'!I454)</f>
        <v/>
      </c>
      <c r="M453" s="22"/>
      <c r="N453" s="21" t="str">
        <f>IF('12 - Device_Configuration'!J454="","",'12 - Device_Configuration'!J454)</f>
        <v/>
      </c>
      <c r="O453" s="21" t="str">
        <f>IF('12 - Device_Configuration'!K454="","",'12 - Device_Configuration'!K454)</f>
        <v/>
      </c>
      <c r="P453" s="21" t="str">
        <f>IF('12 - Device_Configuration'!L454="","",'12 - Device_Configuration'!L454)</f>
        <v/>
      </c>
      <c r="Q453" s="22"/>
      <c r="R453" s="21" t="str">
        <f>IF('12 - Device_Configuration'!AY454="","",'12 - Device_Configuration'!AY454)</f>
        <v/>
      </c>
      <c r="S453" s="21" t="str">
        <f>IF('12 - Device_Configuration'!AX454="","",'12 - Device_Configuration'!AX454)</f>
        <v/>
      </c>
      <c r="T453" s="21" t="str">
        <f>IF('12 - Device_Configuration'!AV454="","",'12 - Device_Configuration'!AV454)</f>
        <v/>
      </c>
      <c r="U453" s="21" t="str">
        <f>IF('12 - Device_Configuration'!AW454="","",'12 - Device_Configuration'!AW454)</f>
        <v/>
      </c>
      <c r="V453" s="21" t="str">
        <f>IF('12 - Device_Configuration'!BA454="","",'12 - Device_Configuration'!BA454)</f>
        <v/>
      </c>
      <c r="W453" s="21" t="str">
        <f>IF('12 - Device_Configuration'!BC454="","",'12 - Device_Configuration'!BC454)</f>
        <v/>
      </c>
      <c r="X453" s="21" t="str">
        <f>IF('12 - Device_Configuration'!BK454="","",'12 - Device_Configuration'!BK454)</f>
        <v/>
      </c>
      <c r="Y453" s="21" t="str">
        <f>IF('12 - Device_Configuration'!BB454="","",'12 - Device_Configuration'!BB454)</f>
        <v/>
      </c>
      <c r="Z453" s="21" t="str">
        <f>IF('12 - Device_Configuration'!P454="","",'12 - Device_Configuration'!P454)</f>
        <v/>
      </c>
      <c r="AA453" s="21" t="str">
        <f>IF('12 - Device_Configuration'!Q454="","",'12 - Device_Configuration'!Q454)</f>
        <v/>
      </c>
    </row>
    <row r="454" spans="1:27">
      <c r="A454" s="22"/>
      <c r="B454" s="22"/>
      <c r="C454" s="21" t="str">
        <f>IF('12 - Device_Configuration'!H455="","",'12 - Device_Configuration'!H455)</f>
        <v/>
      </c>
      <c r="D454" s="21" t="str">
        <f>IF('12 - Device_Configuration'!AE455="","",'12 - Device_Configuration'!AE455)</f>
        <v/>
      </c>
      <c r="E454" s="21" t="str">
        <f>IF('12 - Device_Configuration'!AF455="","",'12 - Device_Configuration'!AF455)</f>
        <v/>
      </c>
      <c r="F454" s="21" t="str">
        <f>IF('12 - Device_Configuration'!AG455="","",'12 - Device_Configuration'!AG455)</f>
        <v/>
      </c>
      <c r="G454" s="21" t="str">
        <f>IF('12 - Device_Configuration'!AH455="","",'12 - Device_Configuration'!AH455)</f>
        <v/>
      </c>
      <c r="H454" s="21" t="str">
        <f>IF('12 - Device_Configuration'!A455="","",'12 - Device_Configuration'!A455)</f>
        <v/>
      </c>
      <c r="I454" s="21" t="str">
        <f>IF('12 - Device_Configuration'!AI455="","",'12 - Device_Configuration'!AI455)</f>
        <v/>
      </c>
      <c r="J454" s="21" t="str">
        <f>IF('12 - Device_Configuration'!AJ455="","",'12 - Device_Configuration'!AJ455)</f>
        <v/>
      </c>
      <c r="K454" s="21" t="str">
        <f>IF('12 - Device_Configuration'!AA455="","",'12 - Device_Configuration'!AA455)</f>
        <v/>
      </c>
      <c r="L454" s="21" t="str">
        <f>IF('12 - Device_Configuration'!I455="","",'12 - Device_Configuration'!I455)</f>
        <v/>
      </c>
      <c r="M454" s="22"/>
      <c r="N454" s="21" t="str">
        <f>IF('12 - Device_Configuration'!J455="","",'12 - Device_Configuration'!J455)</f>
        <v/>
      </c>
      <c r="O454" s="21" t="str">
        <f>IF('12 - Device_Configuration'!K455="","",'12 - Device_Configuration'!K455)</f>
        <v/>
      </c>
      <c r="P454" s="21" t="str">
        <f>IF('12 - Device_Configuration'!L455="","",'12 - Device_Configuration'!L455)</f>
        <v/>
      </c>
      <c r="Q454" s="22"/>
      <c r="R454" s="21" t="str">
        <f>IF('12 - Device_Configuration'!AY455="","",'12 - Device_Configuration'!AY455)</f>
        <v/>
      </c>
      <c r="S454" s="21" t="str">
        <f>IF('12 - Device_Configuration'!AX455="","",'12 - Device_Configuration'!AX455)</f>
        <v/>
      </c>
      <c r="T454" s="21" t="str">
        <f>IF('12 - Device_Configuration'!AV455="","",'12 - Device_Configuration'!AV455)</f>
        <v/>
      </c>
      <c r="U454" s="21" t="str">
        <f>IF('12 - Device_Configuration'!AW455="","",'12 - Device_Configuration'!AW455)</f>
        <v/>
      </c>
      <c r="V454" s="21" t="str">
        <f>IF('12 - Device_Configuration'!BA455="","",'12 - Device_Configuration'!BA455)</f>
        <v/>
      </c>
      <c r="W454" s="21" t="str">
        <f>IF('12 - Device_Configuration'!BC455="","",'12 - Device_Configuration'!BC455)</f>
        <v/>
      </c>
      <c r="X454" s="21" t="str">
        <f>IF('12 - Device_Configuration'!BK455="","",'12 - Device_Configuration'!BK455)</f>
        <v/>
      </c>
      <c r="Y454" s="21" t="str">
        <f>IF('12 - Device_Configuration'!BB455="","",'12 - Device_Configuration'!BB455)</f>
        <v/>
      </c>
      <c r="Z454" s="21" t="str">
        <f>IF('12 - Device_Configuration'!P455="","",'12 - Device_Configuration'!P455)</f>
        <v/>
      </c>
      <c r="AA454" s="21" t="str">
        <f>IF('12 - Device_Configuration'!Q455="","",'12 - Device_Configuration'!Q455)</f>
        <v/>
      </c>
    </row>
    <row r="455" spans="1:27">
      <c r="A455" s="22"/>
      <c r="B455" s="22"/>
      <c r="C455" s="21" t="str">
        <f>IF('12 - Device_Configuration'!H456="","",'12 - Device_Configuration'!H456)</f>
        <v/>
      </c>
      <c r="D455" s="21" t="str">
        <f>IF('12 - Device_Configuration'!AE456="","",'12 - Device_Configuration'!AE456)</f>
        <v/>
      </c>
      <c r="E455" s="21" t="str">
        <f>IF('12 - Device_Configuration'!AF456="","",'12 - Device_Configuration'!AF456)</f>
        <v/>
      </c>
      <c r="F455" s="21" t="str">
        <f>IF('12 - Device_Configuration'!AG456="","",'12 - Device_Configuration'!AG456)</f>
        <v/>
      </c>
      <c r="G455" s="21" t="str">
        <f>IF('12 - Device_Configuration'!AH456="","",'12 - Device_Configuration'!AH456)</f>
        <v/>
      </c>
      <c r="H455" s="21" t="str">
        <f>IF('12 - Device_Configuration'!A456="","",'12 - Device_Configuration'!A456)</f>
        <v/>
      </c>
      <c r="I455" s="21" t="str">
        <f>IF('12 - Device_Configuration'!AI456="","",'12 - Device_Configuration'!AI456)</f>
        <v/>
      </c>
      <c r="J455" s="21" t="str">
        <f>IF('12 - Device_Configuration'!AJ456="","",'12 - Device_Configuration'!AJ456)</f>
        <v/>
      </c>
      <c r="K455" s="21" t="str">
        <f>IF('12 - Device_Configuration'!AA456="","",'12 - Device_Configuration'!AA456)</f>
        <v/>
      </c>
      <c r="L455" s="21" t="str">
        <f>IF('12 - Device_Configuration'!I456="","",'12 - Device_Configuration'!I456)</f>
        <v/>
      </c>
      <c r="M455" s="22"/>
      <c r="N455" s="21" t="str">
        <f>IF('12 - Device_Configuration'!J456="","",'12 - Device_Configuration'!J456)</f>
        <v/>
      </c>
      <c r="O455" s="21" t="str">
        <f>IF('12 - Device_Configuration'!K456="","",'12 - Device_Configuration'!K456)</f>
        <v/>
      </c>
      <c r="P455" s="21" t="str">
        <f>IF('12 - Device_Configuration'!L456="","",'12 - Device_Configuration'!L456)</f>
        <v/>
      </c>
      <c r="Q455" s="22"/>
      <c r="R455" s="21" t="str">
        <f>IF('12 - Device_Configuration'!AY456="","",'12 - Device_Configuration'!AY456)</f>
        <v/>
      </c>
      <c r="S455" s="21" t="str">
        <f>IF('12 - Device_Configuration'!AX456="","",'12 - Device_Configuration'!AX456)</f>
        <v/>
      </c>
      <c r="T455" s="21" t="str">
        <f>IF('12 - Device_Configuration'!AV456="","",'12 - Device_Configuration'!AV456)</f>
        <v/>
      </c>
      <c r="U455" s="21" t="str">
        <f>IF('12 - Device_Configuration'!AW456="","",'12 - Device_Configuration'!AW456)</f>
        <v/>
      </c>
      <c r="V455" s="21" t="str">
        <f>IF('12 - Device_Configuration'!BA456="","",'12 - Device_Configuration'!BA456)</f>
        <v/>
      </c>
      <c r="W455" s="21" t="str">
        <f>IF('12 - Device_Configuration'!BC456="","",'12 - Device_Configuration'!BC456)</f>
        <v/>
      </c>
      <c r="X455" s="21" t="str">
        <f>IF('12 - Device_Configuration'!BK456="","",'12 - Device_Configuration'!BK456)</f>
        <v/>
      </c>
      <c r="Y455" s="21" t="str">
        <f>IF('12 - Device_Configuration'!BB456="","",'12 - Device_Configuration'!BB456)</f>
        <v/>
      </c>
      <c r="Z455" s="21" t="str">
        <f>IF('12 - Device_Configuration'!P456="","",'12 - Device_Configuration'!P456)</f>
        <v/>
      </c>
      <c r="AA455" s="21" t="str">
        <f>IF('12 - Device_Configuration'!Q456="","",'12 - Device_Configuration'!Q456)</f>
        <v/>
      </c>
    </row>
    <row r="456" spans="1:27">
      <c r="A456" s="22"/>
      <c r="B456" s="22"/>
      <c r="C456" s="21" t="str">
        <f>IF('12 - Device_Configuration'!H457="","",'12 - Device_Configuration'!H457)</f>
        <v/>
      </c>
      <c r="D456" s="21" t="str">
        <f>IF('12 - Device_Configuration'!AE457="","",'12 - Device_Configuration'!AE457)</f>
        <v/>
      </c>
      <c r="E456" s="21" t="str">
        <f>IF('12 - Device_Configuration'!AF457="","",'12 - Device_Configuration'!AF457)</f>
        <v/>
      </c>
      <c r="F456" s="21" t="str">
        <f>IF('12 - Device_Configuration'!AG457="","",'12 - Device_Configuration'!AG457)</f>
        <v/>
      </c>
      <c r="G456" s="21" t="str">
        <f>IF('12 - Device_Configuration'!AH457="","",'12 - Device_Configuration'!AH457)</f>
        <v/>
      </c>
      <c r="H456" s="21" t="str">
        <f>IF('12 - Device_Configuration'!A457="","",'12 - Device_Configuration'!A457)</f>
        <v/>
      </c>
      <c r="I456" s="21" t="str">
        <f>IF('12 - Device_Configuration'!AI457="","",'12 - Device_Configuration'!AI457)</f>
        <v/>
      </c>
      <c r="J456" s="21" t="str">
        <f>IF('12 - Device_Configuration'!AJ457="","",'12 - Device_Configuration'!AJ457)</f>
        <v/>
      </c>
      <c r="K456" s="21" t="str">
        <f>IF('12 - Device_Configuration'!AA457="","",'12 - Device_Configuration'!AA457)</f>
        <v/>
      </c>
      <c r="L456" s="21" t="str">
        <f>IF('12 - Device_Configuration'!I457="","",'12 - Device_Configuration'!I457)</f>
        <v/>
      </c>
      <c r="M456" s="22"/>
      <c r="N456" s="21" t="str">
        <f>IF('12 - Device_Configuration'!J457="","",'12 - Device_Configuration'!J457)</f>
        <v/>
      </c>
      <c r="O456" s="21" t="str">
        <f>IF('12 - Device_Configuration'!K457="","",'12 - Device_Configuration'!K457)</f>
        <v/>
      </c>
      <c r="P456" s="21" t="str">
        <f>IF('12 - Device_Configuration'!L457="","",'12 - Device_Configuration'!L457)</f>
        <v/>
      </c>
      <c r="Q456" s="22"/>
      <c r="R456" s="21" t="str">
        <f>IF('12 - Device_Configuration'!AY457="","",'12 - Device_Configuration'!AY457)</f>
        <v/>
      </c>
      <c r="S456" s="21" t="str">
        <f>IF('12 - Device_Configuration'!AX457="","",'12 - Device_Configuration'!AX457)</f>
        <v/>
      </c>
      <c r="T456" s="21" t="str">
        <f>IF('12 - Device_Configuration'!AV457="","",'12 - Device_Configuration'!AV457)</f>
        <v/>
      </c>
      <c r="U456" s="21" t="str">
        <f>IF('12 - Device_Configuration'!AW457="","",'12 - Device_Configuration'!AW457)</f>
        <v/>
      </c>
      <c r="V456" s="21" t="str">
        <f>IF('12 - Device_Configuration'!BA457="","",'12 - Device_Configuration'!BA457)</f>
        <v/>
      </c>
      <c r="W456" s="21" t="str">
        <f>IF('12 - Device_Configuration'!BC457="","",'12 - Device_Configuration'!BC457)</f>
        <v/>
      </c>
      <c r="X456" s="21" t="str">
        <f>IF('12 - Device_Configuration'!BK457="","",'12 - Device_Configuration'!BK457)</f>
        <v/>
      </c>
      <c r="Y456" s="21" t="str">
        <f>IF('12 - Device_Configuration'!BB457="","",'12 - Device_Configuration'!BB457)</f>
        <v/>
      </c>
      <c r="Z456" s="21" t="str">
        <f>IF('12 - Device_Configuration'!P457="","",'12 - Device_Configuration'!P457)</f>
        <v/>
      </c>
      <c r="AA456" s="21" t="str">
        <f>IF('12 - Device_Configuration'!Q457="","",'12 - Device_Configuration'!Q457)</f>
        <v/>
      </c>
    </row>
    <row r="457" spans="1:27">
      <c r="A457" s="22"/>
      <c r="B457" s="22"/>
      <c r="C457" s="21" t="str">
        <f>IF('12 - Device_Configuration'!H458="","",'12 - Device_Configuration'!H458)</f>
        <v/>
      </c>
      <c r="D457" s="21" t="str">
        <f>IF('12 - Device_Configuration'!AE458="","",'12 - Device_Configuration'!AE458)</f>
        <v/>
      </c>
      <c r="E457" s="21" t="str">
        <f>IF('12 - Device_Configuration'!AF458="","",'12 - Device_Configuration'!AF458)</f>
        <v/>
      </c>
      <c r="F457" s="21" t="str">
        <f>IF('12 - Device_Configuration'!AG458="","",'12 - Device_Configuration'!AG458)</f>
        <v/>
      </c>
      <c r="G457" s="21" t="str">
        <f>IF('12 - Device_Configuration'!AH458="","",'12 - Device_Configuration'!AH458)</f>
        <v/>
      </c>
      <c r="H457" s="21" t="str">
        <f>IF('12 - Device_Configuration'!A458="","",'12 - Device_Configuration'!A458)</f>
        <v/>
      </c>
      <c r="I457" s="21" t="str">
        <f>IF('12 - Device_Configuration'!AI458="","",'12 - Device_Configuration'!AI458)</f>
        <v/>
      </c>
      <c r="J457" s="21" t="str">
        <f>IF('12 - Device_Configuration'!AJ458="","",'12 - Device_Configuration'!AJ458)</f>
        <v/>
      </c>
      <c r="K457" s="21" t="str">
        <f>IF('12 - Device_Configuration'!AA458="","",'12 - Device_Configuration'!AA458)</f>
        <v/>
      </c>
      <c r="L457" s="21" t="str">
        <f>IF('12 - Device_Configuration'!I458="","",'12 - Device_Configuration'!I458)</f>
        <v/>
      </c>
      <c r="M457" s="22"/>
      <c r="N457" s="21" t="str">
        <f>IF('12 - Device_Configuration'!J458="","",'12 - Device_Configuration'!J458)</f>
        <v/>
      </c>
      <c r="O457" s="21" t="str">
        <f>IF('12 - Device_Configuration'!K458="","",'12 - Device_Configuration'!K458)</f>
        <v/>
      </c>
      <c r="P457" s="21" t="str">
        <f>IF('12 - Device_Configuration'!L458="","",'12 - Device_Configuration'!L458)</f>
        <v/>
      </c>
      <c r="Q457" s="22"/>
      <c r="R457" s="21" t="str">
        <f>IF('12 - Device_Configuration'!AY458="","",'12 - Device_Configuration'!AY458)</f>
        <v/>
      </c>
      <c r="S457" s="21" t="str">
        <f>IF('12 - Device_Configuration'!AX458="","",'12 - Device_Configuration'!AX458)</f>
        <v/>
      </c>
      <c r="T457" s="21" t="str">
        <f>IF('12 - Device_Configuration'!AV458="","",'12 - Device_Configuration'!AV458)</f>
        <v/>
      </c>
      <c r="U457" s="21" t="str">
        <f>IF('12 - Device_Configuration'!AW458="","",'12 - Device_Configuration'!AW458)</f>
        <v/>
      </c>
      <c r="V457" s="21" t="str">
        <f>IF('12 - Device_Configuration'!BA458="","",'12 - Device_Configuration'!BA458)</f>
        <v/>
      </c>
      <c r="W457" s="21" t="str">
        <f>IF('12 - Device_Configuration'!BC458="","",'12 - Device_Configuration'!BC458)</f>
        <v/>
      </c>
      <c r="X457" s="21" t="str">
        <f>IF('12 - Device_Configuration'!BK458="","",'12 - Device_Configuration'!BK458)</f>
        <v/>
      </c>
      <c r="Y457" s="21" t="str">
        <f>IF('12 - Device_Configuration'!BB458="","",'12 - Device_Configuration'!BB458)</f>
        <v/>
      </c>
      <c r="Z457" s="21" t="str">
        <f>IF('12 - Device_Configuration'!P458="","",'12 - Device_Configuration'!P458)</f>
        <v/>
      </c>
      <c r="AA457" s="21" t="str">
        <f>IF('12 - Device_Configuration'!Q458="","",'12 - Device_Configuration'!Q458)</f>
        <v/>
      </c>
    </row>
    <row r="458" spans="1:27">
      <c r="A458" s="22"/>
      <c r="B458" s="22"/>
      <c r="C458" s="21" t="str">
        <f>IF('12 - Device_Configuration'!H459="","",'12 - Device_Configuration'!H459)</f>
        <v/>
      </c>
      <c r="D458" s="21" t="str">
        <f>IF('12 - Device_Configuration'!AE459="","",'12 - Device_Configuration'!AE459)</f>
        <v/>
      </c>
      <c r="E458" s="21" t="str">
        <f>IF('12 - Device_Configuration'!AF459="","",'12 - Device_Configuration'!AF459)</f>
        <v/>
      </c>
      <c r="F458" s="21" t="str">
        <f>IF('12 - Device_Configuration'!AG459="","",'12 - Device_Configuration'!AG459)</f>
        <v/>
      </c>
      <c r="G458" s="21" t="str">
        <f>IF('12 - Device_Configuration'!AH459="","",'12 - Device_Configuration'!AH459)</f>
        <v/>
      </c>
      <c r="H458" s="21" t="str">
        <f>IF('12 - Device_Configuration'!A459="","",'12 - Device_Configuration'!A459)</f>
        <v/>
      </c>
      <c r="I458" s="21" t="str">
        <f>IF('12 - Device_Configuration'!AI459="","",'12 - Device_Configuration'!AI459)</f>
        <v/>
      </c>
      <c r="J458" s="21" t="str">
        <f>IF('12 - Device_Configuration'!AJ459="","",'12 - Device_Configuration'!AJ459)</f>
        <v/>
      </c>
      <c r="K458" s="21" t="str">
        <f>IF('12 - Device_Configuration'!AA459="","",'12 - Device_Configuration'!AA459)</f>
        <v/>
      </c>
      <c r="L458" s="21" t="str">
        <f>IF('12 - Device_Configuration'!I459="","",'12 - Device_Configuration'!I459)</f>
        <v/>
      </c>
      <c r="M458" s="22"/>
      <c r="N458" s="21" t="str">
        <f>IF('12 - Device_Configuration'!J459="","",'12 - Device_Configuration'!J459)</f>
        <v/>
      </c>
      <c r="O458" s="21" t="str">
        <f>IF('12 - Device_Configuration'!K459="","",'12 - Device_Configuration'!K459)</f>
        <v/>
      </c>
      <c r="P458" s="21" t="str">
        <f>IF('12 - Device_Configuration'!L459="","",'12 - Device_Configuration'!L459)</f>
        <v/>
      </c>
      <c r="Q458" s="22"/>
      <c r="R458" s="21" t="str">
        <f>IF('12 - Device_Configuration'!AY459="","",'12 - Device_Configuration'!AY459)</f>
        <v/>
      </c>
      <c r="S458" s="21" t="str">
        <f>IF('12 - Device_Configuration'!AX459="","",'12 - Device_Configuration'!AX459)</f>
        <v/>
      </c>
      <c r="T458" s="21" t="str">
        <f>IF('12 - Device_Configuration'!AV459="","",'12 - Device_Configuration'!AV459)</f>
        <v/>
      </c>
      <c r="U458" s="21" t="str">
        <f>IF('12 - Device_Configuration'!AW459="","",'12 - Device_Configuration'!AW459)</f>
        <v/>
      </c>
      <c r="V458" s="21" t="str">
        <f>IF('12 - Device_Configuration'!BA459="","",'12 - Device_Configuration'!BA459)</f>
        <v/>
      </c>
      <c r="W458" s="21" t="str">
        <f>IF('12 - Device_Configuration'!BC459="","",'12 - Device_Configuration'!BC459)</f>
        <v/>
      </c>
      <c r="X458" s="21" t="str">
        <f>IF('12 - Device_Configuration'!BK459="","",'12 - Device_Configuration'!BK459)</f>
        <v/>
      </c>
      <c r="Y458" s="21" t="str">
        <f>IF('12 - Device_Configuration'!BB459="","",'12 - Device_Configuration'!BB459)</f>
        <v/>
      </c>
      <c r="Z458" s="21" t="str">
        <f>IF('12 - Device_Configuration'!P459="","",'12 - Device_Configuration'!P459)</f>
        <v/>
      </c>
      <c r="AA458" s="21" t="str">
        <f>IF('12 - Device_Configuration'!Q459="","",'12 - Device_Configuration'!Q459)</f>
        <v/>
      </c>
    </row>
    <row r="459" spans="1:27">
      <c r="A459" s="22"/>
      <c r="B459" s="22"/>
      <c r="C459" s="21" t="str">
        <f>IF('12 - Device_Configuration'!H460="","",'12 - Device_Configuration'!H460)</f>
        <v/>
      </c>
      <c r="D459" s="21" t="str">
        <f>IF('12 - Device_Configuration'!AE460="","",'12 - Device_Configuration'!AE460)</f>
        <v/>
      </c>
      <c r="E459" s="21" t="str">
        <f>IF('12 - Device_Configuration'!AF460="","",'12 - Device_Configuration'!AF460)</f>
        <v/>
      </c>
      <c r="F459" s="21" t="str">
        <f>IF('12 - Device_Configuration'!AG460="","",'12 - Device_Configuration'!AG460)</f>
        <v/>
      </c>
      <c r="G459" s="21" t="str">
        <f>IF('12 - Device_Configuration'!AH460="","",'12 - Device_Configuration'!AH460)</f>
        <v/>
      </c>
      <c r="H459" s="21" t="str">
        <f>IF('12 - Device_Configuration'!A460="","",'12 - Device_Configuration'!A460)</f>
        <v/>
      </c>
      <c r="I459" s="21" t="str">
        <f>IF('12 - Device_Configuration'!AI460="","",'12 - Device_Configuration'!AI460)</f>
        <v/>
      </c>
      <c r="J459" s="21" t="str">
        <f>IF('12 - Device_Configuration'!AJ460="","",'12 - Device_Configuration'!AJ460)</f>
        <v/>
      </c>
      <c r="K459" s="21" t="str">
        <f>IF('12 - Device_Configuration'!AA460="","",'12 - Device_Configuration'!AA460)</f>
        <v/>
      </c>
      <c r="L459" s="21" t="str">
        <f>IF('12 - Device_Configuration'!I460="","",'12 - Device_Configuration'!I460)</f>
        <v/>
      </c>
      <c r="M459" s="22"/>
      <c r="N459" s="21" t="str">
        <f>IF('12 - Device_Configuration'!J460="","",'12 - Device_Configuration'!J460)</f>
        <v/>
      </c>
      <c r="O459" s="21" t="str">
        <f>IF('12 - Device_Configuration'!K460="","",'12 - Device_Configuration'!K460)</f>
        <v/>
      </c>
      <c r="P459" s="21" t="str">
        <f>IF('12 - Device_Configuration'!L460="","",'12 - Device_Configuration'!L460)</f>
        <v/>
      </c>
      <c r="Q459" s="22"/>
      <c r="R459" s="21" t="str">
        <f>IF('12 - Device_Configuration'!AY460="","",'12 - Device_Configuration'!AY460)</f>
        <v/>
      </c>
      <c r="S459" s="21" t="str">
        <f>IF('12 - Device_Configuration'!AX460="","",'12 - Device_Configuration'!AX460)</f>
        <v/>
      </c>
      <c r="T459" s="21" t="str">
        <f>IF('12 - Device_Configuration'!AV460="","",'12 - Device_Configuration'!AV460)</f>
        <v/>
      </c>
      <c r="U459" s="21" t="str">
        <f>IF('12 - Device_Configuration'!AW460="","",'12 - Device_Configuration'!AW460)</f>
        <v/>
      </c>
      <c r="V459" s="21" t="str">
        <f>IF('12 - Device_Configuration'!BA460="","",'12 - Device_Configuration'!BA460)</f>
        <v/>
      </c>
      <c r="W459" s="21" t="str">
        <f>IF('12 - Device_Configuration'!BC460="","",'12 - Device_Configuration'!BC460)</f>
        <v/>
      </c>
      <c r="X459" s="21" t="str">
        <f>IF('12 - Device_Configuration'!BK460="","",'12 - Device_Configuration'!BK460)</f>
        <v/>
      </c>
      <c r="Y459" s="21" t="str">
        <f>IF('12 - Device_Configuration'!BB460="","",'12 - Device_Configuration'!BB460)</f>
        <v/>
      </c>
      <c r="Z459" s="21" t="str">
        <f>IF('12 - Device_Configuration'!P460="","",'12 - Device_Configuration'!P460)</f>
        <v/>
      </c>
      <c r="AA459" s="21" t="str">
        <f>IF('12 - Device_Configuration'!Q460="","",'12 - Device_Configuration'!Q460)</f>
        <v/>
      </c>
    </row>
    <row r="460" spans="1:27">
      <c r="A460" s="22"/>
      <c r="B460" s="22"/>
      <c r="C460" s="21" t="str">
        <f>IF('12 - Device_Configuration'!H461="","",'12 - Device_Configuration'!H461)</f>
        <v/>
      </c>
      <c r="D460" s="21" t="str">
        <f>IF('12 - Device_Configuration'!AE461="","",'12 - Device_Configuration'!AE461)</f>
        <v/>
      </c>
      <c r="E460" s="21" t="str">
        <f>IF('12 - Device_Configuration'!AF461="","",'12 - Device_Configuration'!AF461)</f>
        <v/>
      </c>
      <c r="F460" s="21" t="str">
        <f>IF('12 - Device_Configuration'!AG461="","",'12 - Device_Configuration'!AG461)</f>
        <v/>
      </c>
      <c r="G460" s="21" t="str">
        <f>IF('12 - Device_Configuration'!AH461="","",'12 - Device_Configuration'!AH461)</f>
        <v/>
      </c>
      <c r="H460" s="21" t="str">
        <f>IF('12 - Device_Configuration'!A461="","",'12 - Device_Configuration'!A461)</f>
        <v/>
      </c>
      <c r="I460" s="21" t="str">
        <f>IF('12 - Device_Configuration'!AI461="","",'12 - Device_Configuration'!AI461)</f>
        <v/>
      </c>
      <c r="J460" s="21" t="str">
        <f>IF('12 - Device_Configuration'!AJ461="","",'12 - Device_Configuration'!AJ461)</f>
        <v/>
      </c>
      <c r="K460" s="21" t="str">
        <f>IF('12 - Device_Configuration'!AA461="","",'12 - Device_Configuration'!AA461)</f>
        <v/>
      </c>
      <c r="L460" s="21" t="str">
        <f>IF('12 - Device_Configuration'!I461="","",'12 - Device_Configuration'!I461)</f>
        <v/>
      </c>
      <c r="M460" s="22"/>
      <c r="N460" s="21" t="str">
        <f>IF('12 - Device_Configuration'!J461="","",'12 - Device_Configuration'!J461)</f>
        <v/>
      </c>
      <c r="O460" s="21" t="str">
        <f>IF('12 - Device_Configuration'!K461="","",'12 - Device_Configuration'!K461)</f>
        <v/>
      </c>
      <c r="P460" s="21" t="str">
        <f>IF('12 - Device_Configuration'!L461="","",'12 - Device_Configuration'!L461)</f>
        <v/>
      </c>
      <c r="Q460" s="22"/>
      <c r="R460" s="21" t="str">
        <f>IF('12 - Device_Configuration'!AY461="","",'12 - Device_Configuration'!AY461)</f>
        <v/>
      </c>
      <c r="S460" s="21" t="str">
        <f>IF('12 - Device_Configuration'!AX461="","",'12 - Device_Configuration'!AX461)</f>
        <v/>
      </c>
      <c r="T460" s="21" t="str">
        <f>IF('12 - Device_Configuration'!AV461="","",'12 - Device_Configuration'!AV461)</f>
        <v/>
      </c>
      <c r="U460" s="21" t="str">
        <f>IF('12 - Device_Configuration'!AW461="","",'12 - Device_Configuration'!AW461)</f>
        <v/>
      </c>
      <c r="V460" s="21" t="str">
        <f>IF('12 - Device_Configuration'!BA461="","",'12 - Device_Configuration'!BA461)</f>
        <v/>
      </c>
      <c r="W460" s="21" t="str">
        <f>IF('12 - Device_Configuration'!BC461="","",'12 - Device_Configuration'!BC461)</f>
        <v/>
      </c>
      <c r="X460" s="21" t="str">
        <f>IF('12 - Device_Configuration'!BK461="","",'12 - Device_Configuration'!BK461)</f>
        <v/>
      </c>
      <c r="Y460" s="21" t="str">
        <f>IF('12 - Device_Configuration'!BB461="","",'12 - Device_Configuration'!BB461)</f>
        <v/>
      </c>
      <c r="Z460" s="21" t="str">
        <f>IF('12 - Device_Configuration'!P461="","",'12 - Device_Configuration'!P461)</f>
        <v/>
      </c>
      <c r="AA460" s="21" t="str">
        <f>IF('12 - Device_Configuration'!Q461="","",'12 - Device_Configuration'!Q461)</f>
        <v/>
      </c>
    </row>
    <row r="461" spans="1:27">
      <c r="A461" s="22"/>
      <c r="B461" s="22"/>
      <c r="C461" s="21" t="str">
        <f>IF('12 - Device_Configuration'!H462="","",'12 - Device_Configuration'!H462)</f>
        <v/>
      </c>
      <c r="D461" s="21" t="str">
        <f>IF('12 - Device_Configuration'!AE462="","",'12 - Device_Configuration'!AE462)</f>
        <v/>
      </c>
      <c r="E461" s="21" t="str">
        <f>IF('12 - Device_Configuration'!AF462="","",'12 - Device_Configuration'!AF462)</f>
        <v/>
      </c>
      <c r="F461" s="21" t="str">
        <f>IF('12 - Device_Configuration'!AG462="","",'12 - Device_Configuration'!AG462)</f>
        <v/>
      </c>
      <c r="G461" s="21" t="str">
        <f>IF('12 - Device_Configuration'!AH462="","",'12 - Device_Configuration'!AH462)</f>
        <v/>
      </c>
      <c r="H461" s="21" t="str">
        <f>IF('12 - Device_Configuration'!A462="","",'12 - Device_Configuration'!A462)</f>
        <v/>
      </c>
      <c r="I461" s="21" t="str">
        <f>IF('12 - Device_Configuration'!AI462="","",'12 - Device_Configuration'!AI462)</f>
        <v/>
      </c>
      <c r="J461" s="21" t="str">
        <f>IF('12 - Device_Configuration'!AJ462="","",'12 - Device_Configuration'!AJ462)</f>
        <v/>
      </c>
      <c r="K461" s="21" t="str">
        <f>IF('12 - Device_Configuration'!AA462="","",'12 - Device_Configuration'!AA462)</f>
        <v/>
      </c>
      <c r="L461" s="21" t="str">
        <f>IF('12 - Device_Configuration'!I462="","",'12 - Device_Configuration'!I462)</f>
        <v/>
      </c>
      <c r="M461" s="22"/>
      <c r="N461" s="21" t="str">
        <f>IF('12 - Device_Configuration'!J462="","",'12 - Device_Configuration'!J462)</f>
        <v/>
      </c>
      <c r="O461" s="21" t="str">
        <f>IF('12 - Device_Configuration'!K462="","",'12 - Device_Configuration'!K462)</f>
        <v/>
      </c>
      <c r="P461" s="21" t="str">
        <f>IF('12 - Device_Configuration'!L462="","",'12 - Device_Configuration'!L462)</f>
        <v/>
      </c>
      <c r="Q461" s="22"/>
      <c r="R461" s="21" t="str">
        <f>IF('12 - Device_Configuration'!AY462="","",'12 - Device_Configuration'!AY462)</f>
        <v/>
      </c>
      <c r="S461" s="21" t="str">
        <f>IF('12 - Device_Configuration'!AX462="","",'12 - Device_Configuration'!AX462)</f>
        <v/>
      </c>
      <c r="T461" s="21" t="str">
        <f>IF('12 - Device_Configuration'!AV462="","",'12 - Device_Configuration'!AV462)</f>
        <v/>
      </c>
      <c r="U461" s="21" t="str">
        <f>IF('12 - Device_Configuration'!AW462="","",'12 - Device_Configuration'!AW462)</f>
        <v/>
      </c>
      <c r="V461" s="21" t="str">
        <f>IF('12 - Device_Configuration'!BA462="","",'12 - Device_Configuration'!BA462)</f>
        <v/>
      </c>
      <c r="W461" s="21" t="str">
        <f>IF('12 - Device_Configuration'!BC462="","",'12 - Device_Configuration'!BC462)</f>
        <v/>
      </c>
      <c r="X461" s="21" t="str">
        <f>IF('12 - Device_Configuration'!BK462="","",'12 - Device_Configuration'!BK462)</f>
        <v/>
      </c>
      <c r="Y461" s="21" t="str">
        <f>IF('12 - Device_Configuration'!BB462="","",'12 - Device_Configuration'!BB462)</f>
        <v/>
      </c>
      <c r="Z461" s="21" t="str">
        <f>IF('12 - Device_Configuration'!P462="","",'12 - Device_Configuration'!P462)</f>
        <v/>
      </c>
      <c r="AA461" s="21" t="str">
        <f>IF('12 - Device_Configuration'!Q462="","",'12 - Device_Configuration'!Q462)</f>
        <v/>
      </c>
    </row>
    <row r="462" spans="1:27">
      <c r="A462" s="22"/>
      <c r="B462" s="22"/>
      <c r="C462" s="21" t="str">
        <f>IF('12 - Device_Configuration'!H463="","",'12 - Device_Configuration'!H463)</f>
        <v/>
      </c>
      <c r="D462" s="21" t="str">
        <f>IF('12 - Device_Configuration'!AE463="","",'12 - Device_Configuration'!AE463)</f>
        <v/>
      </c>
      <c r="E462" s="21" t="str">
        <f>IF('12 - Device_Configuration'!AF463="","",'12 - Device_Configuration'!AF463)</f>
        <v/>
      </c>
      <c r="F462" s="21" t="str">
        <f>IF('12 - Device_Configuration'!AG463="","",'12 - Device_Configuration'!AG463)</f>
        <v/>
      </c>
      <c r="G462" s="21" t="str">
        <f>IF('12 - Device_Configuration'!AH463="","",'12 - Device_Configuration'!AH463)</f>
        <v/>
      </c>
      <c r="H462" s="21" t="str">
        <f>IF('12 - Device_Configuration'!A463="","",'12 - Device_Configuration'!A463)</f>
        <v/>
      </c>
      <c r="I462" s="21" t="str">
        <f>IF('12 - Device_Configuration'!AI463="","",'12 - Device_Configuration'!AI463)</f>
        <v/>
      </c>
      <c r="J462" s="21" t="str">
        <f>IF('12 - Device_Configuration'!AJ463="","",'12 - Device_Configuration'!AJ463)</f>
        <v/>
      </c>
      <c r="K462" s="21" t="str">
        <f>IF('12 - Device_Configuration'!AA463="","",'12 - Device_Configuration'!AA463)</f>
        <v/>
      </c>
      <c r="L462" s="21" t="str">
        <f>IF('12 - Device_Configuration'!I463="","",'12 - Device_Configuration'!I463)</f>
        <v/>
      </c>
      <c r="M462" s="22"/>
      <c r="N462" s="21" t="str">
        <f>IF('12 - Device_Configuration'!J463="","",'12 - Device_Configuration'!J463)</f>
        <v/>
      </c>
      <c r="O462" s="21" t="str">
        <f>IF('12 - Device_Configuration'!K463="","",'12 - Device_Configuration'!K463)</f>
        <v/>
      </c>
      <c r="P462" s="21" t="str">
        <f>IF('12 - Device_Configuration'!L463="","",'12 - Device_Configuration'!L463)</f>
        <v/>
      </c>
      <c r="Q462" s="22"/>
      <c r="R462" s="21" t="str">
        <f>IF('12 - Device_Configuration'!AY463="","",'12 - Device_Configuration'!AY463)</f>
        <v/>
      </c>
      <c r="S462" s="21" t="str">
        <f>IF('12 - Device_Configuration'!AX463="","",'12 - Device_Configuration'!AX463)</f>
        <v/>
      </c>
      <c r="T462" s="21" t="str">
        <f>IF('12 - Device_Configuration'!AV463="","",'12 - Device_Configuration'!AV463)</f>
        <v/>
      </c>
      <c r="U462" s="21" t="str">
        <f>IF('12 - Device_Configuration'!AW463="","",'12 - Device_Configuration'!AW463)</f>
        <v/>
      </c>
      <c r="V462" s="21" t="str">
        <f>IF('12 - Device_Configuration'!BA463="","",'12 - Device_Configuration'!BA463)</f>
        <v/>
      </c>
      <c r="W462" s="21" t="str">
        <f>IF('12 - Device_Configuration'!BC463="","",'12 - Device_Configuration'!BC463)</f>
        <v/>
      </c>
      <c r="X462" s="21" t="str">
        <f>IF('12 - Device_Configuration'!BK463="","",'12 - Device_Configuration'!BK463)</f>
        <v/>
      </c>
      <c r="Y462" s="21" t="str">
        <f>IF('12 - Device_Configuration'!BB463="","",'12 - Device_Configuration'!BB463)</f>
        <v/>
      </c>
      <c r="Z462" s="21" t="str">
        <f>IF('12 - Device_Configuration'!P463="","",'12 - Device_Configuration'!P463)</f>
        <v/>
      </c>
      <c r="AA462" s="21" t="str">
        <f>IF('12 - Device_Configuration'!Q463="","",'12 - Device_Configuration'!Q463)</f>
        <v/>
      </c>
    </row>
    <row r="463" spans="1:27">
      <c r="A463" s="22"/>
      <c r="B463" s="22"/>
      <c r="C463" s="21" t="str">
        <f>IF('12 - Device_Configuration'!H464="","",'12 - Device_Configuration'!H464)</f>
        <v/>
      </c>
      <c r="D463" s="21" t="str">
        <f>IF('12 - Device_Configuration'!AE464="","",'12 - Device_Configuration'!AE464)</f>
        <v/>
      </c>
      <c r="E463" s="21" t="str">
        <f>IF('12 - Device_Configuration'!AF464="","",'12 - Device_Configuration'!AF464)</f>
        <v/>
      </c>
      <c r="F463" s="21" t="str">
        <f>IF('12 - Device_Configuration'!AG464="","",'12 - Device_Configuration'!AG464)</f>
        <v/>
      </c>
      <c r="G463" s="21" t="str">
        <f>IF('12 - Device_Configuration'!AH464="","",'12 - Device_Configuration'!AH464)</f>
        <v/>
      </c>
      <c r="H463" s="21" t="str">
        <f>IF('12 - Device_Configuration'!A464="","",'12 - Device_Configuration'!A464)</f>
        <v/>
      </c>
      <c r="I463" s="21" t="str">
        <f>IF('12 - Device_Configuration'!AI464="","",'12 - Device_Configuration'!AI464)</f>
        <v/>
      </c>
      <c r="J463" s="21" t="str">
        <f>IF('12 - Device_Configuration'!AJ464="","",'12 - Device_Configuration'!AJ464)</f>
        <v/>
      </c>
      <c r="K463" s="21" t="str">
        <f>IF('12 - Device_Configuration'!AA464="","",'12 - Device_Configuration'!AA464)</f>
        <v/>
      </c>
      <c r="L463" s="21" t="str">
        <f>IF('12 - Device_Configuration'!I464="","",'12 - Device_Configuration'!I464)</f>
        <v/>
      </c>
      <c r="M463" s="22"/>
      <c r="N463" s="21" t="str">
        <f>IF('12 - Device_Configuration'!J464="","",'12 - Device_Configuration'!J464)</f>
        <v/>
      </c>
      <c r="O463" s="21" t="str">
        <f>IF('12 - Device_Configuration'!K464="","",'12 - Device_Configuration'!K464)</f>
        <v/>
      </c>
      <c r="P463" s="21" t="str">
        <f>IF('12 - Device_Configuration'!L464="","",'12 - Device_Configuration'!L464)</f>
        <v/>
      </c>
      <c r="Q463" s="22"/>
      <c r="R463" s="21" t="str">
        <f>IF('12 - Device_Configuration'!AY464="","",'12 - Device_Configuration'!AY464)</f>
        <v/>
      </c>
      <c r="S463" s="21" t="str">
        <f>IF('12 - Device_Configuration'!AX464="","",'12 - Device_Configuration'!AX464)</f>
        <v/>
      </c>
      <c r="T463" s="21" t="str">
        <f>IF('12 - Device_Configuration'!AV464="","",'12 - Device_Configuration'!AV464)</f>
        <v/>
      </c>
      <c r="U463" s="21" t="str">
        <f>IF('12 - Device_Configuration'!AW464="","",'12 - Device_Configuration'!AW464)</f>
        <v/>
      </c>
      <c r="V463" s="21" t="str">
        <f>IF('12 - Device_Configuration'!BA464="","",'12 - Device_Configuration'!BA464)</f>
        <v/>
      </c>
      <c r="W463" s="21" t="str">
        <f>IF('12 - Device_Configuration'!BC464="","",'12 - Device_Configuration'!BC464)</f>
        <v/>
      </c>
      <c r="X463" s="21" t="str">
        <f>IF('12 - Device_Configuration'!BK464="","",'12 - Device_Configuration'!BK464)</f>
        <v/>
      </c>
      <c r="Y463" s="21" t="str">
        <f>IF('12 - Device_Configuration'!BB464="","",'12 - Device_Configuration'!BB464)</f>
        <v/>
      </c>
      <c r="Z463" s="21" t="str">
        <f>IF('12 - Device_Configuration'!P464="","",'12 - Device_Configuration'!P464)</f>
        <v/>
      </c>
      <c r="AA463" s="21" t="str">
        <f>IF('12 - Device_Configuration'!Q464="","",'12 - Device_Configuration'!Q464)</f>
        <v/>
      </c>
    </row>
    <row r="464" spans="1:27">
      <c r="A464" s="22"/>
      <c r="B464" s="22"/>
      <c r="C464" s="21" t="str">
        <f>IF('12 - Device_Configuration'!H465="","",'12 - Device_Configuration'!H465)</f>
        <v/>
      </c>
      <c r="D464" s="21" t="str">
        <f>IF('12 - Device_Configuration'!AE465="","",'12 - Device_Configuration'!AE465)</f>
        <v/>
      </c>
      <c r="E464" s="21" t="str">
        <f>IF('12 - Device_Configuration'!AF465="","",'12 - Device_Configuration'!AF465)</f>
        <v/>
      </c>
      <c r="F464" s="21" t="str">
        <f>IF('12 - Device_Configuration'!AG465="","",'12 - Device_Configuration'!AG465)</f>
        <v/>
      </c>
      <c r="G464" s="21" t="str">
        <f>IF('12 - Device_Configuration'!AH465="","",'12 - Device_Configuration'!AH465)</f>
        <v/>
      </c>
      <c r="H464" s="21" t="str">
        <f>IF('12 - Device_Configuration'!A465="","",'12 - Device_Configuration'!A465)</f>
        <v/>
      </c>
      <c r="I464" s="21" t="str">
        <f>IF('12 - Device_Configuration'!AI465="","",'12 - Device_Configuration'!AI465)</f>
        <v/>
      </c>
      <c r="J464" s="21" t="str">
        <f>IF('12 - Device_Configuration'!AJ465="","",'12 - Device_Configuration'!AJ465)</f>
        <v/>
      </c>
      <c r="K464" s="21" t="str">
        <f>IF('12 - Device_Configuration'!AA465="","",'12 - Device_Configuration'!AA465)</f>
        <v/>
      </c>
      <c r="L464" s="21" t="str">
        <f>IF('12 - Device_Configuration'!I465="","",'12 - Device_Configuration'!I465)</f>
        <v/>
      </c>
      <c r="M464" s="22"/>
      <c r="N464" s="21" t="str">
        <f>IF('12 - Device_Configuration'!J465="","",'12 - Device_Configuration'!J465)</f>
        <v/>
      </c>
      <c r="O464" s="21" t="str">
        <f>IF('12 - Device_Configuration'!K465="","",'12 - Device_Configuration'!K465)</f>
        <v/>
      </c>
      <c r="P464" s="21" t="str">
        <f>IF('12 - Device_Configuration'!L465="","",'12 - Device_Configuration'!L465)</f>
        <v/>
      </c>
      <c r="Q464" s="22"/>
      <c r="R464" s="21" t="str">
        <f>IF('12 - Device_Configuration'!AY465="","",'12 - Device_Configuration'!AY465)</f>
        <v/>
      </c>
      <c r="S464" s="21" t="str">
        <f>IF('12 - Device_Configuration'!AX465="","",'12 - Device_Configuration'!AX465)</f>
        <v/>
      </c>
      <c r="T464" s="21" t="str">
        <f>IF('12 - Device_Configuration'!AV465="","",'12 - Device_Configuration'!AV465)</f>
        <v/>
      </c>
      <c r="U464" s="21" t="str">
        <f>IF('12 - Device_Configuration'!AW465="","",'12 - Device_Configuration'!AW465)</f>
        <v/>
      </c>
      <c r="V464" s="21" t="str">
        <f>IF('12 - Device_Configuration'!BA465="","",'12 - Device_Configuration'!BA465)</f>
        <v/>
      </c>
      <c r="W464" s="21" t="str">
        <f>IF('12 - Device_Configuration'!BC465="","",'12 - Device_Configuration'!BC465)</f>
        <v/>
      </c>
      <c r="X464" s="21" t="str">
        <f>IF('12 - Device_Configuration'!BK465="","",'12 - Device_Configuration'!BK465)</f>
        <v/>
      </c>
      <c r="Y464" s="21" t="str">
        <f>IF('12 - Device_Configuration'!BB465="","",'12 - Device_Configuration'!BB465)</f>
        <v/>
      </c>
      <c r="Z464" s="21" t="str">
        <f>IF('12 - Device_Configuration'!P465="","",'12 - Device_Configuration'!P465)</f>
        <v/>
      </c>
      <c r="AA464" s="21" t="str">
        <f>IF('12 - Device_Configuration'!Q465="","",'12 - Device_Configuration'!Q465)</f>
        <v/>
      </c>
    </row>
    <row r="465" spans="1:27">
      <c r="A465" s="22"/>
      <c r="B465" s="22"/>
      <c r="C465" s="21" t="str">
        <f>IF('12 - Device_Configuration'!H466="","",'12 - Device_Configuration'!H466)</f>
        <v/>
      </c>
      <c r="D465" s="21" t="str">
        <f>IF('12 - Device_Configuration'!AE466="","",'12 - Device_Configuration'!AE466)</f>
        <v/>
      </c>
      <c r="E465" s="21" t="str">
        <f>IF('12 - Device_Configuration'!AF466="","",'12 - Device_Configuration'!AF466)</f>
        <v/>
      </c>
      <c r="F465" s="21" t="str">
        <f>IF('12 - Device_Configuration'!AG466="","",'12 - Device_Configuration'!AG466)</f>
        <v/>
      </c>
      <c r="G465" s="21" t="str">
        <f>IF('12 - Device_Configuration'!AH466="","",'12 - Device_Configuration'!AH466)</f>
        <v/>
      </c>
      <c r="H465" s="21" t="str">
        <f>IF('12 - Device_Configuration'!A466="","",'12 - Device_Configuration'!A466)</f>
        <v/>
      </c>
      <c r="I465" s="21" t="str">
        <f>IF('12 - Device_Configuration'!AI466="","",'12 - Device_Configuration'!AI466)</f>
        <v/>
      </c>
      <c r="J465" s="21" t="str">
        <f>IF('12 - Device_Configuration'!AJ466="","",'12 - Device_Configuration'!AJ466)</f>
        <v/>
      </c>
      <c r="K465" s="21" t="str">
        <f>IF('12 - Device_Configuration'!AA466="","",'12 - Device_Configuration'!AA466)</f>
        <v/>
      </c>
      <c r="L465" s="21" t="str">
        <f>IF('12 - Device_Configuration'!I466="","",'12 - Device_Configuration'!I466)</f>
        <v/>
      </c>
      <c r="M465" s="22"/>
      <c r="N465" s="21" t="str">
        <f>IF('12 - Device_Configuration'!J466="","",'12 - Device_Configuration'!J466)</f>
        <v/>
      </c>
      <c r="O465" s="21" t="str">
        <f>IF('12 - Device_Configuration'!K466="","",'12 - Device_Configuration'!K466)</f>
        <v/>
      </c>
      <c r="P465" s="21" t="str">
        <f>IF('12 - Device_Configuration'!L466="","",'12 - Device_Configuration'!L466)</f>
        <v/>
      </c>
      <c r="Q465" s="22"/>
      <c r="R465" s="21" t="str">
        <f>IF('12 - Device_Configuration'!AY466="","",'12 - Device_Configuration'!AY466)</f>
        <v/>
      </c>
      <c r="S465" s="21" t="str">
        <f>IF('12 - Device_Configuration'!AX466="","",'12 - Device_Configuration'!AX466)</f>
        <v/>
      </c>
      <c r="T465" s="21" t="str">
        <f>IF('12 - Device_Configuration'!AV466="","",'12 - Device_Configuration'!AV466)</f>
        <v/>
      </c>
      <c r="U465" s="21" t="str">
        <f>IF('12 - Device_Configuration'!AW466="","",'12 - Device_Configuration'!AW466)</f>
        <v/>
      </c>
      <c r="V465" s="21" t="str">
        <f>IF('12 - Device_Configuration'!BA466="","",'12 - Device_Configuration'!BA466)</f>
        <v/>
      </c>
      <c r="W465" s="21" t="str">
        <f>IF('12 - Device_Configuration'!BC466="","",'12 - Device_Configuration'!BC466)</f>
        <v/>
      </c>
      <c r="X465" s="21" t="str">
        <f>IF('12 - Device_Configuration'!BK466="","",'12 - Device_Configuration'!BK466)</f>
        <v/>
      </c>
      <c r="Y465" s="21" t="str">
        <f>IF('12 - Device_Configuration'!BB466="","",'12 - Device_Configuration'!BB466)</f>
        <v/>
      </c>
      <c r="Z465" s="21" t="str">
        <f>IF('12 - Device_Configuration'!P466="","",'12 - Device_Configuration'!P466)</f>
        <v/>
      </c>
      <c r="AA465" s="21" t="str">
        <f>IF('12 - Device_Configuration'!Q466="","",'12 - Device_Configuration'!Q466)</f>
        <v/>
      </c>
    </row>
    <row r="466" spans="1:27">
      <c r="A466" s="22"/>
      <c r="B466" s="22"/>
      <c r="C466" s="21" t="str">
        <f>IF('12 - Device_Configuration'!H467="","",'12 - Device_Configuration'!H467)</f>
        <v/>
      </c>
      <c r="D466" s="21" t="str">
        <f>IF('12 - Device_Configuration'!AE467="","",'12 - Device_Configuration'!AE467)</f>
        <v/>
      </c>
      <c r="E466" s="21" t="str">
        <f>IF('12 - Device_Configuration'!AF467="","",'12 - Device_Configuration'!AF467)</f>
        <v/>
      </c>
      <c r="F466" s="21" t="str">
        <f>IF('12 - Device_Configuration'!AG467="","",'12 - Device_Configuration'!AG467)</f>
        <v/>
      </c>
      <c r="G466" s="21" t="str">
        <f>IF('12 - Device_Configuration'!AH467="","",'12 - Device_Configuration'!AH467)</f>
        <v/>
      </c>
      <c r="H466" s="21" t="str">
        <f>IF('12 - Device_Configuration'!A467="","",'12 - Device_Configuration'!A467)</f>
        <v/>
      </c>
      <c r="I466" s="21" t="str">
        <f>IF('12 - Device_Configuration'!AI467="","",'12 - Device_Configuration'!AI467)</f>
        <v/>
      </c>
      <c r="J466" s="21" t="str">
        <f>IF('12 - Device_Configuration'!AJ467="","",'12 - Device_Configuration'!AJ467)</f>
        <v/>
      </c>
      <c r="K466" s="21" t="str">
        <f>IF('12 - Device_Configuration'!AA467="","",'12 - Device_Configuration'!AA467)</f>
        <v/>
      </c>
      <c r="L466" s="21" t="str">
        <f>IF('12 - Device_Configuration'!I467="","",'12 - Device_Configuration'!I467)</f>
        <v/>
      </c>
      <c r="M466" s="22"/>
      <c r="N466" s="21" t="str">
        <f>IF('12 - Device_Configuration'!J467="","",'12 - Device_Configuration'!J467)</f>
        <v/>
      </c>
      <c r="O466" s="21" t="str">
        <f>IF('12 - Device_Configuration'!K467="","",'12 - Device_Configuration'!K467)</f>
        <v/>
      </c>
      <c r="P466" s="21" t="str">
        <f>IF('12 - Device_Configuration'!L467="","",'12 - Device_Configuration'!L467)</f>
        <v/>
      </c>
      <c r="Q466" s="22"/>
      <c r="R466" s="21" t="str">
        <f>IF('12 - Device_Configuration'!AY467="","",'12 - Device_Configuration'!AY467)</f>
        <v/>
      </c>
      <c r="S466" s="21" t="str">
        <f>IF('12 - Device_Configuration'!AX467="","",'12 - Device_Configuration'!AX467)</f>
        <v/>
      </c>
      <c r="T466" s="21" t="str">
        <f>IF('12 - Device_Configuration'!AV467="","",'12 - Device_Configuration'!AV467)</f>
        <v/>
      </c>
      <c r="U466" s="21" t="str">
        <f>IF('12 - Device_Configuration'!AW467="","",'12 - Device_Configuration'!AW467)</f>
        <v/>
      </c>
      <c r="V466" s="21" t="str">
        <f>IF('12 - Device_Configuration'!BA467="","",'12 - Device_Configuration'!BA467)</f>
        <v/>
      </c>
      <c r="W466" s="21" t="str">
        <f>IF('12 - Device_Configuration'!BC467="","",'12 - Device_Configuration'!BC467)</f>
        <v/>
      </c>
      <c r="X466" s="21" t="str">
        <f>IF('12 - Device_Configuration'!BK467="","",'12 - Device_Configuration'!BK467)</f>
        <v/>
      </c>
      <c r="Y466" s="21" t="str">
        <f>IF('12 - Device_Configuration'!BB467="","",'12 - Device_Configuration'!BB467)</f>
        <v/>
      </c>
      <c r="Z466" s="21" t="str">
        <f>IF('12 - Device_Configuration'!P467="","",'12 - Device_Configuration'!P467)</f>
        <v/>
      </c>
      <c r="AA466" s="21" t="str">
        <f>IF('12 - Device_Configuration'!Q467="","",'12 - Device_Configuration'!Q467)</f>
        <v/>
      </c>
    </row>
    <row r="467" spans="1:27">
      <c r="A467" s="22"/>
      <c r="B467" s="22"/>
      <c r="C467" s="21" t="str">
        <f>IF('12 - Device_Configuration'!H468="","",'12 - Device_Configuration'!H468)</f>
        <v/>
      </c>
      <c r="D467" s="21" t="str">
        <f>IF('12 - Device_Configuration'!AE468="","",'12 - Device_Configuration'!AE468)</f>
        <v/>
      </c>
      <c r="E467" s="21" t="str">
        <f>IF('12 - Device_Configuration'!AF468="","",'12 - Device_Configuration'!AF468)</f>
        <v/>
      </c>
      <c r="F467" s="21" t="str">
        <f>IF('12 - Device_Configuration'!AG468="","",'12 - Device_Configuration'!AG468)</f>
        <v/>
      </c>
      <c r="G467" s="21" t="str">
        <f>IF('12 - Device_Configuration'!AH468="","",'12 - Device_Configuration'!AH468)</f>
        <v/>
      </c>
      <c r="H467" s="21" t="str">
        <f>IF('12 - Device_Configuration'!A468="","",'12 - Device_Configuration'!A468)</f>
        <v/>
      </c>
      <c r="I467" s="21" t="str">
        <f>IF('12 - Device_Configuration'!AI468="","",'12 - Device_Configuration'!AI468)</f>
        <v/>
      </c>
      <c r="J467" s="21" t="str">
        <f>IF('12 - Device_Configuration'!AJ468="","",'12 - Device_Configuration'!AJ468)</f>
        <v/>
      </c>
      <c r="K467" s="21" t="str">
        <f>IF('12 - Device_Configuration'!AA468="","",'12 - Device_Configuration'!AA468)</f>
        <v/>
      </c>
      <c r="L467" s="21" t="str">
        <f>IF('12 - Device_Configuration'!I468="","",'12 - Device_Configuration'!I468)</f>
        <v/>
      </c>
      <c r="M467" s="22"/>
      <c r="N467" s="21" t="str">
        <f>IF('12 - Device_Configuration'!J468="","",'12 - Device_Configuration'!J468)</f>
        <v/>
      </c>
      <c r="O467" s="21" t="str">
        <f>IF('12 - Device_Configuration'!K468="","",'12 - Device_Configuration'!K468)</f>
        <v/>
      </c>
      <c r="P467" s="21" t="str">
        <f>IF('12 - Device_Configuration'!L468="","",'12 - Device_Configuration'!L468)</f>
        <v/>
      </c>
      <c r="Q467" s="22"/>
      <c r="R467" s="21" t="str">
        <f>IF('12 - Device_Configuration'!AY468="","",'12 - Device_Configuration'!AY468)</f>
        <v/>
      </c>
      <c r="S467" s="21" t="str">
        <f>IF('12 - Device_Configuration'!AX468="","",'12 - Device_Configuration'!AX468)</f>
        <v/>
      </c>
      <c r="T467" s="21" t="str">
        <f>IF('12 - Device_Configuration'!AV468="","",'12 - Device_Configuration'!AV468)</f>
        <v/>
      </c>
      <c r="U467" s="21" t="str">
        <f>IF('12 - Device_Configuration'!AW468="","",'12 - Device_Configuration'!AW468)</f>
        <v/>
      </c>
      <c r="V467" s="21" t="str">
        <f>IF('12 - Device_Configuration'!BA468="","",'12 - Device_Configuration'!BA468)</f>
        <v/>
      </c>
      <c r="W467" s="21" t="str">
        <f>IF('12 - Device_Configuration'!BC468="","",'12 - Device_Configuration'!BC468)</f>
        <v/>
      </c>
      <c r="X467" s="21" t="str">
        <f>IF('12 - Device_Configuration'!BK468="","",'12 - Device_Configuration'!BK468)</f>
        <v/>
      </c>
      <c r="Y467" s="21" t="str">
        <f>IF('12 - Device_Configuration'!BB468="","",'12 - Device_Configuration'!BB468)</f>
        <v/>
      </c>
      <c r="Z467" s="21" t="str">
        <f>IF('12 - Device_Configuration'!P468="","",'12 - Device_Configuration'!P468)</f>
        <v/>
      </c>
      <c r="AA467" s="21" t="str">
        <f>IF('12 - Device_Configuration'!Q468="","",'12 - Device_Configuration'!Q468)</f>
        <v/>
      </c>
    </row>
    <row r="468" spans="1:27">
      <c r="A468" s="22"/>
      <c r="B468" s="22"/>
      <c r="C468" s="21" t="str">
        <f>IF('12 - Device_Configuration'!H469="","",'12 - Device_Configuration'!H469)</f>
        <v/>
      </c>
      <c r="D468" s="21" t="str">
        <f>IF('12 - Device_Configuration'!AE469="","",'12 - Device_Configuration'!AE469)</f>
        <v/>
      </c>
      <c r="E468" s="21" t="str">
        <f>IF('12 - Device_Configuration'!AF469="","",'12 - Device_Configuration'!AF469)</f>
        <v/>
      </c>
      <c r="F468" s="21" t="str">
        <f>IF('12 - Device_Configuration'!AG469="","",'12 - Device_Configuration'!AG469)</f>
        <v/>
      </c>
      <c r="G468" s="21" t="str">
        <f>IF('12 - Device_Configuration'!AH469="","",'12 - Device_Configuration'!AH469)</f>
        <v/>
      </c>
      <c r="H468" s="21" t="str">
        <f>IF('12 - Device_Configuration'!A469="","",'12 - Device_Configuration'!A469)</f>
        <v/>
      </c>
      <c r="I468" s="21" t="str">
        <f>IF('12 - Device_Configuration'!AI469="","",'12 - Device_Configuration'!AI469)</f>
        <v/>
      </c>
      <c r="J468" s="21" t="str">
        <f>IF('12 - Device_Configuration'!AJ469="","",'12 - Device_Configuration'!AJ469)</f>
        <v/>
      </c>
      <c r="K468" s="21" t="str">
        <f>IF('12 - Device_Configuration'!AA469="","",'12 - Device_Configuration'!AA469)</f>
        <v/>
      </c>
      <c r="L468" s="21" t="str">
        <f>IF('12 - Device_Configuration'!I469="","",'12 - Device_Configuration'!I469)</f>
        <v/>
      </c>
      <c r="M468" s="22"/>
      <c r="N468" s="21" t="str">
        <f>IF('12 - Device_Configuration'!J469="","",'12 - Device_Configuration'!J469)</f>
        <v/>
      </c>
      <c r="O468" s="21" t="str">
        <f>IF('12 - Device_Configuration'!K469="","",'12 - Device_Configuration'!K469)</f>
        <v/>
      </c>
      <c r="P468" s="21" t="str">
        <f>IF('12 - Device_Configuration'!L469="","",'12 - Device_Configuration'!L469)</f>
        <v/>
      </c>
      <c r="Q468" s="22"/>
      <c r="R468" s="21" t="str">
        <f>IF('12 - Device_Configuration'!AY469="","",'12 - Device_Configuration'!AY469)</f>
        <v/>
      </c>
      <c r="S468" s="21" t="str">
        <f>IF('12 - Device_Configuration'!AX469="","",'12 - Device_Configuration'!AX469)</f>
        <v/>
      </c>
      <c r="T468" s="21" t="str">
        <f>IF('12 - Device_Configuration'!AV469="","",'12 - Device_Configuration'!AV469)</f>
        <v/>
      </c>
      <c r="U468" s="21" t="str">
        <f>IF('12 - Device_Configuration'!AW469="","",'12 - Device_Configuration'!AW469)</f>
        <v/>
      </c>
      <c r="V468" s="21" t="str">
        <f>IF('12 - Device_Configuration'!BA469="","",'12 - Device_Configuration'!BA469)</f>
        <v/>
      </c>
      <c r="W468" s="21" t="str">
        <f>IF('12 - Device_Configuration'!BC469="","",'12 - Device_Configuration'!BC469)</f>
        <v/>
      </c>
      <c r="X468" s="21" t="str">
        <f>IF('12 - Device_Configuration'!BK469="","",'12 - Device_Configuration'!BK469)</f>
        <v/>
      </c>
      <c r="Y468" s="21" t="str">
        <f>IF('12 - Device_Configuration'!BB469="","",'12 - Device_Configuration'!BB469)</f>
        <v/>
      </c>
      <c r="Z468" s="21" t="str">
        <f>IF('12 - Device_Configuration'!P469="","",'12 - Device_Configuration'!P469)</f>
        <v/>
      </c>
      <c r="AA468" s="21" t="str">
        <f>IF('12 - Device_Configuration'!Q469="","",'12 - Device_Configuration'!Q469)</f>
        <v/>
      </c>
    </row>
    <row r="469" spans="1:27">
      <c r="A469" s="22"/>
      <c r="B469" s="22"/>
      <c r="C469" s="21" t="str">
        <f>IF('12 - Device_Configuration'!H470="","",'12 - Device_Configuration'!H470)</f>
        <v/>
      </c>
      <c r="D469" s="21" t="str">
        <f>IF('12 - Device_Configuration'!AE470="","",'12 - Device_Configuration'!AE470)</f>
        <v/>
      </c>
      <c r="E469" s="21" t="str">
        <f>IF('12 - Device_Configuration'!AF470="","",'12 - Device_Configuration'!AF470)</f>
        <v/>
      </c>
      <c r="F469" s="21" t="str">
        <f>IF('12 - Device_Configuration'!AG470="","",'12 - Device_Configuration'!AG470)</f>
        <v/>
      </c>
      <c r="G469" s="21" t="str">
        <f>IF('12 - Device_Configuration'!AH470="","",'12 - Device_Configuration'!AH470)</f>
        <v/>
      </c>
      <c r="H469" s="21" t="str">
        <f>IF('12 - Device_Configuration'!A470="","",'12 - Device_Configuration'!A470)</f>
        <v/>
      </c>
      <c r="I469" s="21" t="str">
        <f>IF('12 - Device_Configuration'!AI470="","",'12 - Device_Configuration'!AI470)</f>
        <v/>
      </c>
      <c r="J469" s="21" t="str">
        <f>IF('12 - Device_Configuration'!AJ470="","",'12 - Device_Configuration'!AJ470)</f>
        <v/>
      </c>
      <c r="K469" s="21" t="str">
        <f>IF('12 - Device_Configuration'!AA470="","",'12 - Device_Configuration'!AA470)</f>
        <v/>
      </c>
      <c r="L469" s="21" t="str">
        <f>IF('12 - Device_Configuration'!I470="","",'12 - Device_Configuration'!I470)</f>
        <v/>
      </c>
      <c r="M469" s="22"/>
      <c r="N469" s="21" t="str">
        <f>IF('12 - Device_Configuration'!J470="","",'12 - Device_Configuration'!J470)</f>
        <v/>
      </c>
      <c r="O469" s="21" t="str">
        <f>IF('12 - Device_Configuration'!K470="","",'12 - Device_Configuration'!K470)</f>
        <v/>
      </c>
      <c r="P469" s="21" t="str">
        <f>IF('12 - Device_Configuration'!L470="","",'12 - Device_Configuration'!L470)</f>
        <v/>
      </c>
      <c r="Q469" s="22"/>
      <c r="R469" s="21" t="str">
        <f>IF('12 - Device_Configuration'!AY470="","",'12 - Device_Configuration'!AY470)</f>
        <v/>
      </c>
      <c r="S469" s="21" t="str">
        <f>IF('12 - Device_Configuration'!AX470="","",'12 - Device_Configuration'!AX470)</f>
        <v/>
      </c>
      <c r="T469" s="21" t="str">
        <f>IF('12 - Device_Configuration'!AV470="","",'12 - Device_Configuration'!AV470)</f>
        <v/>
      </c>
      <c r="U469" s="21" t="str">
        <f>IF('12 - Device_Configuration'!AW470="","",'12 - Device_Configuration'!AW470)</f>
        <v/>
      </c>
      <c r="V469" s="21" t="str">
        <f>IF('12 - Device_Configuration'!BA470="","",'12 - Device_Configuration'!BA470)</f>
        <v/>
      </c>
      <c r="W469" s="21" t="str">
        <f>IF('12 - Device_Configuration'!BC470="","",'12 - Device_Configuration'!BC470)</f>
        <v/>
      </c>
      <c r="X469" s="21" t="str">
        <f>IF('12 - Device_Configuration'!BK470="","",'12 - Device_Configuration'!BK470)</f>
        <v/>
      </c>
      <c r="Y469" s="21" t="str">
        <f>IF('12 - Device_Configuration'!BB470="","",'12 - Device_Configuration'!BB470)</f>
        <v/>
      </c>
      <c r="Z469" s="21" t="str">
        <f>IF('12 - Device_Configuration'!P470="","",'12 - Device_Configuration'!P470)</f>
        <v/>
      </c>
      <c r="AA469" s="21" t="str">
        <f>IF('12 - Device_Configuration'!Q470="","",'12 - Device_Configuration'!Q470)</f>
        <v/>
      </c>
    </row>
    <row r="470" spans="1:27">
      <c r="A470" s="22"/>
      <c r="B470" s="22"/>
      <c r="C470" s="21" t="str">
        <f>IF('12 - Device_Configuration'!H471="","",'12 - Device_Configuration'!H471)</f>
        <v/>
      </c>
      <c r="D470" s="21" t="str">
        <f>IF('12 - Device_Configuration'!AE471="","",'12 - Device_Configuration'!AE471)</f>
        <v/>
      </c>
      <c r="E470" s="21" t="str">
        <f>IF('12 - Device_Configuration'!AF471="","",'12 - Device_Configuration'!AF471)</f>
        <v/>
      </c>
      <c r="F470" s="21" t="str">
        <f>IF('12 - Device_Configuration'!AG471="","",'12 - Device_Configuration'!AG471)</f>
        <v/>
      </c>
      <c r="G470" s="21" t="str">
        <f>IF('12 - Device_Configuration'!AH471="","",'12 - Device_Configuration'!AH471)</f>
        <v/>
      </c>
      <c r="H470" s="21" t="str">
        <f>IF('12 - Device_Configuration'!A471="","",'12 - Device_Configuration'!A471)</f>
        <v/>
      </c>
      <c r="I470" s="21" t="str">
        <f>IF('12 - Device_Configuration'!AI471="","",'12 - Device_Configuration'!AI471)</f>
        <v/>
      </c>
      <c r="J470" s="21" t="str">
        <f>IF('12 - Device_Configuration'!AJ471="","",'12 - Device_Configuration'!AJ471)</f>
        <v/>
      </c>
      <c r="K470" s="21" t="str">
        <f>IF('12 - Device_Configuration'!AA471="","",'12 - Device_Configuration'!AA471)</f>
        <v/>
      </c>
      <c r="L470" s="21" t="str">
        <f>IF('12 - Device_Configuration'!I471="","",'12 - Device_Configuration'!I471)</f>
        <v/>
      </c>
      <c r="M470" s="22"/>
      <c r="N470" s="21" t="str">
        <f>IF('12 - Device_Configuration'!J471="","",'12 - Device_Configuration'!J471)</f>
        <v/>
      </c>
      <c r="O470" s="21" t="str">
        <f>IF('12 - Device_Configuration'!K471="","",'12 - Device_Configuration'!K471)</f>
        <v/>
      </c>
      <c r="P470" s="21" t="str">
        <f>IF('12 - Device_Configuration'!L471="","",'12 - Device_Configuration'!L471)</f>
        <v/>
      </c>
      <c r="Q470" s="22"/>
      <c r="R470" s="21" t="str">
        <f>IF('12 - Device_Configuration'!AY471="","",'12 - Device_Configuration'!AY471)</f>
        <v/>
      </c>
      <c r="S470" s="21" t="str">
        <f>IF('12 - Device_Configuration'!AX471="","",'12 - Device_Configuration'!AX471)</f>
        <v/>
      </c>
      <c r="T470" s="21" t="str">
        <f>IF('12 - Device_Configuration'!AV471="","",'12 - Device_Configuration'!AV471)</f>
        <v/>
      </c>
      <c r="U470" s="21" t="str">
        <f>IF('12 - Device_Configuration'!AW471="","",'12 - Device_Configuration'!AW471)</f>
        <v/>
      </c>
      <c r="V470" s="21" t="str">
        <f>IF('12 - Device_Configuration'!BA471="","",'12 - Device_Configuration'!BA471)</f>
        <v/>
      </c>
      <c r="W470" s="21" t="str">
        <f>IF('12 - Device_Configuration'!BC471="","",'12 - Device_Configuration'!BC471)</f>
        <v/>
      </c>
      <c r="X470" s="21" t="str">
        <f>IF('12 - Device_Configuration'!BK471="","",'12 - Device_Configuration'!BK471)</f>
        <v/>
      </c>
      <c r="Y470" s="21" t="str">
        <f>IF('12 - Device_Configuration'!BB471="","",'12 - Device_Configuration'!BB471)</f>
        <v/>
      </c>
      <c r="Z470" s="21" t="str">
        <f>IF('12 - Device_Configuration'!P471="","",'12 - Device_Configuration'!P471)</f>
        <v/>
      </c>
      <c r="AA470" s="21" t="str">
        <f>IF('12 - Device_Configuration'!Q471="","",'12 - Device_Configuration'!Q471)</f>
        <v/>
      </c>
    </row>
    <row r="471" spans="1:27">
      <c r="A471" s="22"/>
      <c r="B471" s="22"/>
      <c r="C471" s="21" t="str">
        <f>IF('12 - Device_Configuration'!H472="","",'12 - Device_Configuration'!H472)</f>
        <v/>
      </c>
      <c r="D471" s="21" t="str">
        <f>IF('12 - Device_Configuration'!AE472="","",'12 - Device_Configuration'!AE472)</f>
        <v/>
      </c>
      <c r="E471" s="21" t="str">
        <f>IF('12 - Device_Configuration'!AF472="","",'12 - Device_Configuration'!AF472)</f>
        <v/>
      </c>
      <c r="F471" s="21" t="str">
        <f>IF('12 - Device_Configuration'!AG472="","",'12 - Device_Configuration'!AG472)</f>
        <v/>
      </c>
      <c r="G471" s="21" t="str">
        <f>IF('12 - Device_Configuration'!AH472="","",'12 - Device_Configuration'!AH472)</f>
        <v/>
      </c>
      <c r="H471" s="21" t="str">
        <f>IF('12 - Device_Configuration'!A472="","",'12 - Device_Configuration'!A472)</f>
        <v/>
      </c>
      <c r="I471" s="21" t="str">
        <f>IF('12 - Device_Configuration'!AI472="","",'12 - Device_Configuration'!AI472)</f>
        <v/>
      </c>
      <c r="J471" s="21" t="str">
        <f>IF('12 - Device_Configuration'!AJ472="","",'12 - Device_Configuration'!AJ472)</f>
        <v/>
      </c>
      <c r="K471" s="21" t="str">
        <f>IF('12 - Device_Configuration'!AA472="","",'12 - Device_Configuration'!AA472)</f>
        <v/>
      </c>
      <c r="L471" s="21" t="str">
        <f>IF('12 - Device_Configuration'!I472="","",'12 - Device_Configuration'!I472)</f>
        <v/>
      </c>
      <c r="M471" s="22"/>
      <c r="N471" s="21" t="str">
        <f>IF('12 - Device_Configuration'!J472="","",'12 - Device_Configuration'!J472)</f>
        <v/>
      </c>
      <c r="O471" s="21" t="str">
        <f>IF('12 - Device_Configuration'!K472="","",'12 - Device_Configuration'!K472)</f>
        <v/>
      </c>
      <c r="P471" s="21" t="str">
        <f>IF('12 - Device_Configuration'!L472="","",'12 - Device_Configuration'!L472)</f>
        <v/>
      </c>
      <c r="Q471" s="22"/>
      <c r="R471" s="21" t="str">
        <f>IF('12 - Device_Configuration'!AY472="","",'12 - Device_Configuration'!AY472)</f>
        <v/>
      </c>
      <c r="S471" s="21" t="str">
        <f>IF('12 - Device_Configuration'!AX472="","",'12 - Device_Configuration'!AX472)</f>
        <v/>
      </c>
      <c r="T471" s="21" t="str">
        <f>IF('12 - Device_Configuration'!AV472="","",'12 - Device_Configuration'!AV472)</f>
        <v/>
      </c>
      <c r="U471" s="21" t="str">
        <f>IF('12 - Device_Configuration'!AW472="","",'12 - Device_Configuration'!AW472)</f>
        <v/>
      </c>
      <c r="V471" s="21" t="str">
        <f>IF('12 - Device_Configuration'!BA472="","",'12 - Device_Configuration'!BA472)</f>
        <v/>
      </c>
      <c r="W471" s="21" t="str">
        <f>IF('12 - Device_Configuration'!BC472="","",'12 - Device_Configuration'!BC472)</f>
        <v/>
      </c>
      <c r="X471" s="21" t="str">
        <f>IF('12 - Device_Configuration'!BK472="","",'12 - Device_Configuration'!BK472)</f>
        <v/>
      </c>
      <c r="Y471" s="21" t="str">
        <f>IF('12 - Device_Configuration'!BB472="","",'12 - Device_Configuration'!BB472)</f>
        <v/>
      </c>
      <c r="Z471" s="21" t="str">
        <f>IF('12 - Device_Configuration'!P472="","",'12 - Device_Configuration'!P472)</f>
        <v/>
      </c>
      <c r="AA471" s="21" t="str">
        <f>IF('12 - Device_Configuration'!Q472="","",'12 - Device_Configuration'!Q472)</f>
        <v/>
      </c>
    </row>
    <row r="472" spans="1:27">
      <c r="A472" s="22"/>
      <c r="B472" s="22"/>
      <c r="C472" s="21" t="str">
        <f>IF('12 - Device_Configuration'!H473="","",'12 - Device_Configuration'!H473)</f>
        <v/>
      </c>
      <c r="D472" s="21" t="str">
        <f>IF('12 - Device_Configuration'!AE473="","",'12 - Device_Configuration'!AE473)</f>
        <v/>
      </c>
      <c r="E472" s="21" t="str">
        <f>IF('12 - Device_Configuration'!AF473="","",'12 - Device_Configuration'!AF473)</f>
        <v/>
      </c>
      <c r="F472" s="21" t="str">
        <f>IF('12 - Device_Configuration'!AG473="","",'12 - Device_Configuration'!AG473)</f>
        <v/>
      </c>
      <c r="G472" s="21" t="str">
        <f>IF('12 - Device_Configuration'!AH473="","",'12 - Device_Configuration'!AH473)</f>
        <v/>
      </c>
      <c r="H472" s="21" t="str">
        <f>IF('12 - Device_Configuration'!A473="","",'12 - Device_Configuration'!A473)</f>
        <v/>
      </c>
      <c r="I472" s="21" t="str">
        <f>IF('12 - Device_Configuration'!AI473="","",'12 - Device_Configuration'!AI473)</f>
        <v/>
      </c>
      <c r="J472" s="21" t="str">
        <f>IF('12 - Device_Configuration'!AJ473="","",'12 - Device_Configuration'!AJ473)</f>
        <v/>
      </c>
      <c r="K472" s="21" t="str">
        <f>IF('12 - Device_Configuration'!AA473="","",'12 - Device_Configuration'!AA473)</f>
        <v/>
      </c>
      <c r="L472" s="21" t="str">
        <f>IF('12 - Device_Configuration'!I473="","",'12 - Device_Configuration'!I473)</f>
        <v/>
      </c>
      <c r="M472" s="22"/>
      <c r="N472" s="21" t="str">
        <f>IF('12 - Device_Configuration'!J473="","",'12 - Device_Configuration'!J473)</f>
        <v/>
      </c>
      <c r="O472" s="21" t="str">
        <f>IF('12 - Device_Configuration'!K473="","",'12 - Device_Configuration'!K473)</f>
        <v/>
      </c>
      <c r="P472" s="21" t="str">
        <f>IF('12 - Device_Configuration'!L473="","",'12 - Device_Configuration'!L473)</f>
        <v/>
      </c>
      <c r="Q472" s="22"/>
      <c r="R472" s="21" t="str">
        <f>IF('12 - Device_Configuration'!AY473="","",'12 - Device_Configuration'!AY473)</f>
        <v/>
      </c>
      <c r="S472" s="21" t="str">
        <f>IF('12 - Device_Configuration'!AX473="","",'12 - Device_Configuration'!AX473)</f>
        <v/>
      </c>
      <c r="T472" s="21" t="str">
        <f>IF('12 - Device_Configuration'!AV473="","",'12 - Device_Configuration'!AV473)</f>
        <v/>
      </c>
      <c r="U472" s="21" t="str">
        <f>IF('12 - Device_Configuration'!AW473="","",'12 - Device_Configuration'!AW473)</f>
        <v/>
      </c>
      <c r="V472" s="21" t="str">
        <f>IF('12 - Device_Configuration'!BA473="","",'12 - Device_Configuration'!BA473)</f>
        <v/>
      </c>
      <c r="W472" s="21" t="str">
        <f>IF('12 - Device_Configuration'!BC473="","",'12 - Device_Configuration'!BC473)</f>
        <v/>
      </c>
      <c r="X472" s="21" t="str">
        <f>IF('12 - Device_Configuration'!BK473="","",'12 - Device_Configuration'!BK473)</f>
        <v/>
      </c>
      <c r="Y472" s="21" t="str">
        <f>IF('12 - Device_Configuration'!BB473="","",'12 - Device_Configuration'!BB473)</f>
        <v/>
      </c>
      <c r="Z472" s="21" t="str">
        <f>IF('12 - Device_Configuration'!P473="","",'12 - Device_Configuration'!P473)</f>
        <v/>
      </c>
      <c r="AA472" s="21" t="str">
        <f>IF('12 - Device_Configuration'!Q473="","",'12 - Device_Configuration'!Q473)</f>
        <v/>
      </c>
    </row>
    <row r="473" spans="1:27">
      <c r="A473" s="22"/>
      <c r="B473" s="22"/>
      <c r="C473" s="21" t="str">
        <f>IF('12 - Device_Configuration'!H474="","",'12 - Device_Configuration'!H474)</f>
        <v/>
      </c>
      <c r="D473" s="21" t="str">
        <f>IF('12 - Device_Configuration'!AE474="","",'12 - Device_Configuration'!AE474)</f>
        <v/>
      </c>
      <c r="E473" s="21" t="str">
        <f>IF('12 - Device_Configuration'!AF474="","",'12 - Device_Configuration'!AF474)</f>
        <v/>
      </c>
      <c r="F473" s="21" t="str">
        <f>IF('12 - Device_Configuration'!AG474="","",'12 - Device_Configuration'!AG474)</f>
        <v/>
      </c>
      <c r="G473" s="21" t="str">
        <f>IF('12 - Device_Configuration'!AH474="","",'12 - Device_Configuration'!AH474)</f>
        <v/>
      </c>
      <c r="H473" s="21" t="str">
        <f>IF('12 - Device_Configuration'!A474="","",'12 - Device_Configuration'!A474)</f>
        <v/>
      </c>
      <c r="I473" s="21" t="str">
        <f>IF('12 - Device_Configuration'!AI474="","",'12 - Device_Configuration'!AI474)</f>
        <v/>
      </c>
      <c r="J473" s="21" t="str">
        <f>IF('12 - Device_Configuration'!AJ474="","",'12 - Device_Configuration'!AJ474)</f>
        <v/>
      </c>
      <c r="K473" s="21" t="str">
        <f>IF('12 - Device_Configuration'!AA474="","",'12 - Device_Configuration'!AA474)</f>
        <v/>
      </c>
      <c r="L473" s="21" t="str">
        <f>IF('12 - Device_Configuration'!I474="","",'12 - Device_Configuration'!I474)</f>
        <v/>
      </c>
      <c r="M473" s="22"/>
      <c r="N473" s="21" t="str">
        <f>IF('12 - Device_Configuration'!J474="","",'12 - Device_Configuration'!J474)</f>
        <v/>
      </c>
      <c r="O473" s="21" t="str">
        <f>IF('12 - Device_Configuration'!K474="","",'12 - Device_Configuration'!K474)</f>
        <v/>
      </c>
      <c r="P473" s="21" t="str">
        <f>IF('12 - Device_Configuration'!L474="","",'12 - Device_Configuration'!L474)</f>
        <v/>
      </c>
      <c r="Q473" s="22"/>
      <c r="R473" s="21" t="str">
        <f>IF('12 - Device_Configuration'!AY474="","",'12 - Device_Configuration'!AY474)</f>
        <v/>
      </c>
      <c r="S473" s="21" t="str">
        <f>IF('12 - Device_Configuration'!AX474="","",'12 - Device_Configuration'!AX474)</f>
        <v/>
      </c>
      <c r="T473" s="21" t="str">
        <f>IF('12 - Device_Configuration'!AV474="","",'12 - Device_Configuration'!AV474)</f>
        <v/>
      </c>
      <c r="U473" s="21" t="str">
        <f>IF('12 - Device_Configuration'!AW474="","",'12 - Device_Configuration'!AW474)</f>
        <v/>
      </c>
      <c r="V473" s="21" t="str">
        <f>IF('12 - Device_Configuration'!BA474="","",'12 - Device_Configuration'!BA474)</f>
        <v/>
      </c>
      <c r="W473" s="21" t="str">
        <f>IF('12 - Device_Configuration'!BC474="","",'12 - Device_Configuration'!BC474)</f>
        <v/>
      </c>
      <c r="X473" s="21" t="str">
        <f>IF('12 - Device_Configuration'!BK474="","",'12 - Device_Configuration'!BK474)</f>
        <v/>
      </c>
      <c r="Y473" s="21" t="str">
        <f>IF('12 - Device_Configuration'!BB474="","",'12 - Device_Configuration'!BB474)</f>
        <v/>
      </c>
      <c r="Z473" s="21" t="str">
        <f>IF('12 - Device_Configuration'!P474="","",'12 - Device_Configuration'!P474)</f>
        <v/>
      </c>
      <c r="AA473" s="21" t="str">
        <f>IF('12 - Device_Configuration'!Q474="","",'12 - Device_Configuration'!Q474)</f>
        <v/>
      </c>
    </row>
    <row r="474" spans="1:27">
      <c r="A474" s="22"/>
      <c r="B474" s="22"/>
      <c r="C474" s="21" t="str">
        <f>IF('12 - Device_Configuration'!H475="","",'12 - Device_Configuration'!H475)</f>
        <v/>
      </c>
      <c r="D474" s="21" t="str">
        <f>IF('12 - Device_Configuration'!AE475="","",'12 - Device_Configuration'!AE475)</f>
        <v/>
      </c>
      <c r="E474" s="21" t="str">
        <f>IF('12 - Device_Configuration'!AF475="","",'12 - Device_Configuration'!AF475)</f>
        <v/>
      </c>
      <c r="F474" s="21" t="str">
        <f>IF('12 - Device_Configuration'!AG475="","",'12 - Device_Configuration'!AG475)</f>
        <v/>
      </c>
      <c r="G474" s="21" t="str">
        <f>IF('12 - Device_Configuration'!AH475="","",'12 - Device_Configuration'!AH475)</f>
        <v/>
      </c>
      <c r="H474" s="21" t="str">
        <f>IF('12 - Device_Configuration'!A475="","",'12 - Device_Configuration'!A475)</f>
        <v/>
      </c>
      <c r="I474" s="21" t="str">
        <f>IF('12 - Device_Configuration'!AI475="","",'12 - Device_Configuration'!AI475)</f>
        <v/>
      </c>
      <c r="J474" s="21" t="str">
        <f>IF('12 - Device_Configuration'!AJ475="","",'12 - Device_Configuration'!AJ475)</f>
        <v/>
      </c>
      <c r="K474" s="21" t="str">
        <f>IF('12 - Device_Configuration'!AA475="","",'12 - Device_Configuration'!AA475)</f>
        <v/>
      </c>
      <c r="L474" s="21" t="str">
        <f>IF('12 - Device_Configuration'!I475="","",'12 - Device_Configuration'!I475)</f>
        <v/>
      </c>
      <c r="M474" s="22"/>
      <c r="N474" s="21" t="str">
        <f>IF('12 - Device_Configuration'!J475="","",'12 - Device_Configuration'!J475)</f>
        <v/>
      </c>
      <c r="O474" s="21" t="str">
        <f>IF('12 - Device_Configuration'!K475="","",'12 - Device_Configuration'!K475)</f>
        <v/>
      </c>
      <c r="P474" s="21" t="str">
        <f>IF('12 - Device_Configuration'!L475="","",'12 - Device_Configuration'!L475)</f>
        <v/>
      </c>
      <c r="Q474" s="22"/>
      <c r="R474" s="21" t="str">
        <f>IF('12 - Device_Configuration'!AY475="","",'12 - Device_Configuration'!AY475)</f>
        <v/>
      </c>
      <c r="S474" s="21" t="str">
        <f>IF('12 - Device_Configuration'!AX475="","",'12 - Device_Configuration'!AX475)</f>
        <v/>
      </c>
      <c r="T474" s="21" t="str">
        <f>IF('12 - Device_Configuration'!AV475="","",'12 - Device_Configuration'!AV475)</f>
        <v/>
      </c>
      <c r="U474" s="21" t="str">
        <f>IF('12 - Device_Configuration'!AW475="","",'12 - Device_Configuration'!AW475)</f>
        <v/>
      </c>
      <c r="V474" s="21" t="str">
        <f>IF('12 - Device_Configuration'!BA475="","",'12 - Device_Configuration'!BA475)</f>
        <v/>
      </c>
      <c r="W474" s="21" t="str">
        <f>IF('12 - Device_Configuration'!BC475="","",'12 - Device_Configuration'!BC475)</f>
        <v/>
      </c>
      <c r="X474" s="21" t="str">
        <f>IF('12 - Device_Configuration'!BK475="","",'12 - Device_Configuration'!BK475)</f>
        <v/>
      </c>
      <c r="Y474" s="21" t="str">
        <f>IF('12 - Device_Configuration'!BB475="","",'12 - Device_Configuration'!BB475)</f>
        <v/>
      </c>
      <c r="Z474" s="21" t="str">
        <f>IF('12 - Device_Configuration'!P475="","",'12 - Device_Configuration'!P475)</f>
        <v/>
      </c>
      <c r="AA474" s="21" t="str">
        <f>IF('12 - Device_Configuration'!Q475="","",'12 - Device_Configuration'!Q475)</f>
        <v/>
      </c>
    </row>
    <row r="475" spans="1:27">
      <c r="A475" s="22"/>
      <c r="B475" s="22"/>
      <c r="C475" s="21" t="str">
        <f>IF('12 - Device_Configuration'!H476="","",'12 - Device_Configuration'!H476)</f>
        <v/>
      </c>
      <c r="D475" s="21" t="str">
        <f>IF('12 - Device_Configuration'!AE476="","",'12 - Device_Configuration'!AE476)</f>
        <v/>
      </c>
      <c r="E475" s="21" t="str">
        <f>IF('12 - Device_Configuration'!AF476="","",'12 - Device_Configuration'!AF476)</f>
        <v/>
      </c>
      <c r="F475" s="21" t="str">
        <f>IF('12 - Device_Configuration'!AG476="","",'12 - Device_Configuration'!AG476)</f>
        <v/>
      </c>
      <c r="G475" s="21" t="str">
        <f>IF('12 - Device_Configuration'!AH476="","",'12 - Device_Configuration'!AH476)</f>
        <v/>
      </c>
      <c r="H475" s="21" t="str">
        <f>IF('12 - Device_Configuration'!A476="","",'12 - Device_Configuration'!A476)</f>
        <v/>
      </c>
      <c r="I475" s="21" t="str">
        <f>IF('12 - Device_Configuration'!AI476="","",'12 - Device_Configuration'!AI476)</f>
        <v/>
      </c>
      <c r="J475" s="21" t="str">
        <f>IF('12 - Device_Configuration'!AJ476="","",'12 - Device_Configuration'!AJ476)</f>
        <v/>
      </c>
      <c r="K475" s="21" t="str">
        <f>IF('12 - Device_Configuration'!AA476="","",'12 - Device_Configuration'!AA476)</f>
        <v/>
      </c>
      <c r="L475" s="21" t="str">
        <f>IF('12 - Device_Configuration'!I476="","",'12 - Device_Configuration'!I476)</f>
        <v/>
      </c>
      <c r="M475" s="22"/>
      <c r="N475" s="21" t="str">
        <f>IF('12 - Device_Configuration'!J476="","",'12 - Device_Configuration'!J476)</f>
        <v/>
      </c>
      <c r="O475" s="21" t="str">
        <f>IF('12 - Device_Configuration'!K476="","",'12 - Device_Configuration'!K476)</f>
        <v/>
      </c>
      <c r="P475" s="21" t="str">
        <f>IF('12 - Device_Configuration'!L476="","",'12 - Device_Configuration'!L476)</f>
        <v/>
      </c>
      <c r="Q475" s="22"/>
      <c r="R475" s="21" t="str">
        <f>IF('12 - Device_Configuration'!AY476="","",'12 - Device_Configuration'!AY476)</f>
        <v/>
      </c>
      <c r="S475" s="21" t="str">
        <f>IF('12 - Device_Configuration'!AX476="","",'12 - Device_Configuration'!AX476)</f>
        <v/>
      </c>
      <c r="T475" s="21" t="str">
        <f>IF('12 - Device_Configuration'!AV476="","",'12 - Device_Configuration'!AV476)</f>
        <v/>
      </c>
      <c r="U475" s="21" t="str">
        <f>IF('12 - Device_Configuration'!AW476="","",'12 - Device_Configuration'!AW476)</f>
        <v/>
      </c>
      <c r="V475" s="21" t="str">
        <f>IF('12 - Device_Configuration'!BA476="","",'12 - Device_Configuration'!BA476)</f>
        <v/>
      </c>
      <c r="W475" s="21" t="str">
        <f>IF('12 - Device_Configuration'!BC476="","",'12 - Device_Configuration'!BC476)</f>
        <v/>
      </c>
      <c r="X475" s="21" t="str">
        <f>IF('12 - Device_Configuration'!BK476="","",'12 - Device_Configuration'!BK476)</f>
        <v/>
      </c>
      <c r="Y475" s="21" t="str">
        <f>IF('12 - Device_Configuration'!BB476="","",'12 - Device_Configuration'!BB476)</f>
        <v/>
      </c>
      <c r="Z475" s="21" t="str">
        <f>IF('12 - Device_Configuration'!P476="","",'12 - Device_Configuration'!P476)</f>
        <v/>
      </c>
      <c r="AA475" s="21" t="str">
        <f>IF('12 - Device_Configuration'!Q476="","",'12 - Device_Configuration'!Q476)</f>
        <v/>
      </c>
    </row>
    <row r="476" spans="1:27">
      <c r="A476" s="22"/>
      <c r="B476" s="22"/>
      <c r="C476" s="21" t="str">
        <f>IF('12 - Device_Configuration'!H477="","",'12 - Device_Configuration'!H477)</f>
        <v/>
      </c>
      <c r="D476" s="21" t="str">
        <f>IF('12 - Device_Configuration'!AE477="","",'12 - Device_Configuration'!AE477)</f>
        <v/>
      </c>
      <c r="E476" s="21" t="str">
        <f>IF('12 - Device_Configuration'!AF477="","",'12 - Device_Configuration'!AF477)</f>
        <v/>
      </c>
      <c r="F476" s="21" t="str">
        <f>IF('12 - Device_Configuration'!AG477="","",'12 - Device_Configuration'!AG477)</f>
        <v/>
      </c>
      <c r="G476" s="21" t="str">
        <f>IF('12 - Device_Configuration'!AH477="","",'12 - Device_Configuration'!AH477)</f>
        <v/>
      </c>
      <c r="H476" s="21" t="str">
        <f>IF('12 - Device_Configuration'!A477="","",'12 - Device_Configuration'!A477)</f>
        <v/>
      </c>
      <c r="I476" s="21" t="str">
        <f>IF('12 - Device_Configuration'!AI477="","",'12 - Device_Configuration'!AI477)</f>
        <v/>
      </c>
      <c r="J476" s="21" t="str">
        <f>IF('12 - Device_Configuration'!AJ477="","",'12 - Device_Configuration'!AJ477)</f>
        <v/>
      </c>
      <c r="K476" s="21" t="str">
        <f>IF('12 - Device_Configuration'!AA477="","",'12 - Device_Configuration'!AA477)</f>
        <v/>
      </c>
      <c r="L476" s="21" t="str">
        <f>IF('12 - Device_Configuration'!I477="","",'12 - Device_Configuration'!I477)</f>
        <v/>
      </c>
      <c r="M476" s="22"/>
      <c r="N476" s="21" t="str">
        <f>IF('12 - Device_Configuration'!J477="","",'12 - Device_Configuration'!J477)</f>
        <v/>
      </c>
      <c r="O476" s="21" t="str">
        <f>IF('12 - Device_Configuration'!K477="","",'12 - Device_Configuration'!K477)</f>
        <v/>
      </c>
      <c r="P476" s="21" t="str">
        <f>IF('12 - Device_Configuration'!L477="","",'12 - Device_Configuration'!L477)</f>
        <v/>
      </c>
      <c r="Q476" s="22"/>
      <c r="R476" s="21" t="str">
        <f>IF('12 - Device_Configuration'!AY477="","",'12 - Device_Configuration'!AY477)</f>
        <v/>
      </c>
      <c r="S476" s="21" t="str">
        <f>IF('12 - Device_Configuration'!AX477="","",'12 - Device_Configuration'!AX477)</f>
        <v/>
      </c>
      <c r="T476" s="21" t="str">
        <f>IF('12 - Device_Configuration'!AV477="","",'12 - Device_Configuration'!AV477)</f>
        <v/>
      </c>
      <c r="U476" s="21" t="str">
        <f>IF('12 - Device_Configuration'!AW477="","",'12 - Device_Configuration'!AW477)</f>
        <v/>
      </c>
      <c r="V476" s="21" t="str">
        <f>IF('12 - Device_Configuration'!BA477="","",'12 - Device_Configuration'!BA477)</f>
        <v/>
      </c>
      <c r="W476" s="21" t="str">
        <f>IF('12 - Device_Configuration'!BC477="","",'12 - Device_Configuration'!BC477)</f>
        <v/>
      </c>
      <c r="X476" s="21" t="str">
        <f>IF('12 - Device_Configuration'!BK477="","",'12 - Device_Configuration'!BK477)</f>
        <v/>
      </c>
      <c r="Y476" s="21" t="str">
        <f>IF('12 - Device_Configuration'!BB477="","",'12 - Device_Configuration'!BB477)</f>
        <v/>
      </c>
      <c r="Z476" s="21" t="str">
        <f>IF('12 - Device_Configuration'!P477="","",'12 - Device_Configuration'!P477)</f>
        <v/>
      </c>
      <c r="AA476" s="21" t="str">
        <f>IF('12 - Device_Configuration'!Q477="","",'12 - Device_Configuration'!Q477)</f>
        <v/>
      </c>
    </row>
    <row r="477" spans="1:27">
      <c r="A477" s="22"/>
      <c r="B477" s="22"/>
      <c r="C477" s="21" t="str">
        <f>IF('12 - Device_Configuration'!H478="","",'12 - Device_Configuration'!H478)</f>
        <v/>
      </c>
      <c r="D477" s="21" t="str">
        <f>IF('12 - Device_Configuration'!AE478="","",'12 - Device_Configuration'!AE478)</f>
        <v/>
      </c>
      <c r="E477" s="21" t="str">
        <f>IF('12 - Device_Configuration'!AF478="","",'12 - Device_Configuration'!AF478)</f>
        <v/>
      </c>
      <c r="F477" s="21" t="str">
        <f>IF('12 - Device_Configuration'!AG478="","",'12 - Device_Configuration'!AG478)</f>
        <v/>
      </c>
      <c r="G477" s="21" t="str">
        <f>IF('12 - Device_Configuration'!AH478="","",'12 - Device_Configuration'!AH478)</f>
        <v/>
      </c>
      <c r="H477" s="21" t="str">
        <f>IF('12 - Device_Configuration'!A478="","",'12 - Device_Configuration'!A478)</f>
        <v/>
      </c>
      <c r="I477" s="21" t="str">
        <f>IF('12 - Device_Configuration'!AI478="","",'12 - Device_Configuration'!AI478)</f>
        <v/>
      </c>
      <c r="J477" s="21" t="str">
        <f>IF('12 - Device_Configuration'!AJ478="","",'12 - Device_Configuration'!AJ478)</f>
        <v/>
      </c>
      <c r="K477" s="21" t="str">
        <f>IF('12 - Device_Configuration'!AA478="","",'12 - Device_Configuration'!AA478)</f>
        <v/>
      </c>
      <c r="L477" s="21" t="str">
        <f>IF('12 - Device_Configuration'!I478="","",'12 - Device_Configuration'!I478)</f>
        <v/>
      </c>
      <c r="M477" s="22"/>
      <c r="N477" s="21" t="str">
        <f>IF('12 - Device_Configuration'!J478="","",'12 - Device_Configuration'!J478)</f>
        <v/>
      </c>
      <c r="O477" s="21" t="str">
        <f>IF('12 - Device_Configuration'!K478="","",'12 - Device_Configuration'!K478)</f>
        <v/>
      </c>
      <c r="P477" s="21" t="str">
        <f>IF('12 - Device_Configuration'!L478="","",'12 - Device_Configuration'!L478)</f>
        <v/>
      </c>
      <c r="Q477" s="22"/>
      <c r="R477" s="21" t="str">
        <f>IF('12 - Device_Configuration'!AY478="","",'12 - Device_Configuration'!AY478)</f>
        <v/>
      </c>
      <c r="S477" s="21" t="str">
        <f>IF('12 - Device_Configuration'!AX478="","",'12 - Device_Configuration'!AX478)</f>
        <v/>
      </c>
      <c r="T477" s="21" t="str">
        <f>IF('12 - Device_Configuration'!AV478="","",'12 - Device_Configuration'!AV478)</f>
        <v/>
      </c>
      <c r="U477" s="21" t="str">
        <f>IF('12 - Device_Configuration'!AW478="","",'12 - Device_Configuration'!AW478)</f>
        <v/>
      </c>
      <c r="V477" s="21" t="str">
        <f>IF('12 - Device_Configuration'!BA478="","",'12 - Device_Configuration'!BA478)</f>
        <v/>
      </c>
      <c r="W477" s="21" t="str">
        <f>IF('12 - Device_Configuration'!BC478="","",'12 - Device_Configuration'!BC478)</f>
        <v/>
      </c>
      <c r="X477" s="21" t="str">
        <f>IF('12 - Device_Configuration'!BK478="","",'12 - Device_Configuration'!BK478)</f>
        <v/>
      </c>
      <c r="Y477" s="21" t="str">
        <f>IF('12 - Device_Configuration'!BB478="","",'12 - Device_Configuration'!BB478)</f>
        <v/>
      </c>
      <c r="Z477" s="21" t="str">
        <f>IF('12 - Device_Configuration'!P478="","",'12 - Device_Configuration'!P478)</f>
        <v/>
      </c>
      <c r="AA477" s="21" t="str">
        <f>IF('12 - Device_Configuration'!Q478="","",'12 - Device_Configuration'!Q478)</f>
        <v/>
      </c>
    </row>
    <row r="478" spans="1:27">
      <c r="A478" s="22"/>
      <c r="B478" s="22"/>
      <c r="C478" s="21" t="str">
        <f>IF('12 - Device_Configuration'!H479="","",'12 - Device_Configuration'!H479)</f>
        <v/>
      </c>
      <c r="D478" s="21" t="str">
        <f>IF('12 - Device_Configuration'!AE479="","",'12 - Device_Configuration'!AE479)</f>
        <v/>
      </c>
      <c r="E478" s="21" t="str">
        <f>IF('12 - Device_Configuration'!AF479="","",'12 - Device_Configuration'!AF479)</f>
        <v/>
      </c>
      <c r="F478" s="21" t="str">
        <f>IF('12 - Device_Configuration'!AG479="","",'12 - Device_Configuration'!AG479)</f>
        <v/>
      </c>
      <c r="G478" s="21" t="str">
        <f>IF('12 - Device_Configuration'!AH479="","",'12 - Device_Configuration'!AH479)</f>
        <v/>
      </c>
      <c r="H478" s="21" t="str">
        <f>IF('12 - Device_Configuration'!A479="","",'12 - Device_Configuration'!A479)</f>
        <v/>
      </c>
      <c r="I478" s="21" t="str">
        <f>IF('12 - Device_Configuration'!AI479="","",'12 - Device_Configuration'!AI479)</f>
        <v/>
      </c>
      <c r="J478" s="21" t="str">
        <f>IF('12 - Device_Configuration'!AJ479="","",'12 - Device_Configuration'!AJ479)</f>
        <v/>
      </c>
      <c r="K478" s="21" t="str">
        <f>IF('12 - Device_Configuration'!AA479="","",'12 - Device_Configuration'!AA479)</f>
        <v/>
      </c>
      <c r="L478" s="21" t="str">
        <f>IF('12 - Device_Configuration'!I479="","",'12 - Device_Configuration'!I479)</f>
        <v/>
      </c>
      <c r="M478" s="22"/>
      <c r="N478" s="21" t="str">
        <f>IF('12 - Device_Configuration'!J479="","",'12 - Device_Configuration'!J479)</f>
        <v/>
      </c>
      <c r="O478" s="21" t="str">
        <f>IF('12 - Device_Configuration'!K479="","",'12 - Device_Configuration'!K479)</f>
        <v/>
      </c>
      <c r="P478" s="21" t="str">
        <f>IF('12 - Device_Configuration'!L479="","",'12 - Device_Configuration'!L479)</f>
        <v/>
      </c>
      <c r="Q478" s="22"/>
      <c r="R478" s="21" t="str">
        <f>IF('12 - Device_Configuration'!AY479="","",'12 - Device_Configuration'!AY479)</f>
        <v/>
      </c>
      <c r="S478" s="21" t="str">
        <f>IF('12 - Device_Configuration'!AX479="","",'12 - Device_Configuration'!AX479)</f>
        <v/>
      </c>
      <c r="T478" s="21" t="str">
        <f>IF('12 - Device_Configuration'!AV479="","",'12 - Device_Configuration'!AV479)</f>
        <v/>
      </c>
      <c r="U478" s="21" t="str">
        <f>IF('12 - Device_Configuration'!AW479="","",'12 - Device_Configuration'!AW479)</f>
        <v/>
      </c>
      <c r="V478" s="21" t="str">
        <f>IF('12 - Device_Configuration'!BA479="","",'12 - Device_Configuration'!BA479)</f>
        <v/>
      </c>
      <c r="W478" s="21" t="str">
        <f>IF('12 - Device_Configuration'!BC479="","",'12 - Device_Configuration'!BC479)</f>
        <v/>
      </c>
      <c r="X478" s="21" t="str">
        <f>IF('12 - Device_Configuration'!BK479="","",'12 - Device_Configuration'!BK479)</f>
        <v/>
      </c>
      <c r="Y478" s="21" t="str">
        <f>IF('12 - Device_Configuration'!BB479="","",'12 - Device_Configuration'!BB479)</f>
        <v/>
      </c>
      <c r="Z478" s="21" t="str">
        <f>IF('12 - Device_Configuration'!P479="","",'12 - Device_Configuration'!P479)</f>
        <v/>
      </c>
      <c r="AA478" s="21" t="str">
        <f>IF('12 - Device_Configuration'!Q479="","",'12 - Device_Configuration'!Q479)</f>
        <v/>
      </c>
    </row>
    <row r="479" spans="1:27">
      <c r="A479" s="22"/>
      <c r="B479" s="22"/>
      <c r="C479" s="21" t="str">
        <f>IF('12 - Device_Configuration'!H480="","",'12 - Device_Configuration'!H480)</f>
        <v/>
      </c>
      <c r="D479" s="21" t="str">
        <f>IF('12 - Device_Configuration'!AE480="","",'12 - Device_Configuration'!AE480)</f>
        <v/>
      </c>
      <c r="E479" s="21" t="str">
        <f>IF('12 - Device_Configuration'!AF480="","",'12 - Device_Configuration'!AF480)</f>
        <v/>
      </c>
      <c r="F479" s="21" t="str">
        <f>IF('12 - Device_Configuration'!AG480="","",'12 - Device_Configuration'!AG480)</f>
        <v/>
      </c>
      <c r="G479" s="21" t="str">
        <f>IF('12 - Device_Configuration'!AH480="","",'12 - Device_Configuration'!AH480)</f>
        <v/>
      </c>
      <c r="H479" s="21" t="str">
        <f>IF('12 - Device_Configuration'!A480="","",'12 - Device_Configuration'!A480)</f>
        <v/>
      </c>
      <c r="I479" s="21" t="str">
        <f>IF('12 - Device_Configuration'!AI480="","",'12 - Device_Configuration'!AI480)</f>
        <v/>
      </c>
      <c r="J479" s="21" t="str">
        <f>IF('12 - Device_Configuration'!AJ480="","",'12 - Device_Configuration'!AJ480)</f>
        <v/>
      </c>
      <c r="K479" s="21" t="str">
        <f>IF('12 - Device_Configuration'!AA480="","",'12 - Device_Configuration'!AA480)</f>
        <v/>
      </c>
      <c r="L479" s="21" t="str">
        <f>IF('12 - Device_Configuration'!I480="","",'12 - Device_Configuration'!I480)</f>
        <v/>
      </c>
      <c r="M479" s="22"/>
      <c r="N479" s="21" t="str">
        <f>IF('12 - Device_Configuration'!J480="","",'12 - Device_Configuration'!J480)</f>
        <v/>
      </c>
      <c r="O479" s="21" t="str">
        <f>IF('12 - Device_Configuration'!K480="","",'12 - Device_Configuration'!K480)</f>
        <v/>
      </c>
      <c r="P479" s="21" t="str">
        <f>IF('12 - Device_Configuration'!L480="","",'12 - Device_Configuration'!L480)</f>
        <v/>
      </c>
      <c r="Q479" s="22"/>
      <c r="R479" s="21" t="str">
        <f>IF('12 - Device_Configuration'!AY480="","",'12 - Device_Configuration'!AY480)</f>
        <v/>
      </c>
      <c r="S479" s="21" t="str">
        <f>IF('12 - Device_Configuration'!AX480="","",'12 - Device_Configuration'!AX480)</f>
        <v/>
      </c>
      <c r="T479" s="21" t="str">
        <f>IF('12 - Device_Configuration'!AV480="","",'12 - Device_Configuration'!AV480)</f>
        <v/>
      </c>
      <c r="U479" s="21" t="str">
        <f>IF('12 - Device_Configuration'!AW480="","",'12 - Device_Configuration'!AW480)</f>
        <v/>
      </c>
      <c r="V479" s="21" t="str">
        <f>IF('12 - Device_Configuration'!BA480="","",'12 - Device_Configuration'!BA480)</f>
        <v/>
      </c>
      <c r="W479" s="21" t="str">
        <f>IF('12 - Device_Configuration'!BC480="","",'12 - Device_Configuration'!BC480)</f>
        <v/>
      </c>
      <c r="X479" s="21" t="str">
        <f>IF('12 - Device_Configuration'!BK480="","",'12 - Device_Configuration'!BK480)</f>
        <v/>
      </c>
      <c r="Y479" s="21" t="str">
        <f>IF('12 - Device_Configuration'!BB480="","",'12 - Device_Configuration'!BB480)</f>
        <v/>
      </c>
      <c r="Z479" s="21" t="str">
        <f>IF('12 - Device_Configuration'!P480="","",'12 - Device_Configuration'!P480)</f>
        <v/>
      </c>
      <c r="AA479" s="21" t="str">
        <f>IF('12 - Device_Configuration'!Q480="","",'12 - Device_Configuration'!Q480)</f>
        <v/>
      </c>
    </row>
    <row r="480" spans="1:27">
      <c r="A480" s="22"/>
      <c r="B480" s="22"/>
      <c r="C480" s="21" t="str">
        <f>IF('12 - Device_Configuration'!H481="","",'12 - Device_Configuration'!H481)</f>
        <v/>
      </c>
      <c r="D480" s="21" t="str">
        <f>IF('12 - Device_Configuration'!AE481="","",'12 - Device_Configuration'!AE481)</f>
        <v/>
      </c>
      <c r="E480" s="21" t="str">
        <f>IF('12 - Device_Configuration'!AF481="","",'12 - Device_Configuration'!AF481)</f>
        <v/>
      </c>
      <c r="F480" s="21" t="str">
        <f>IF('12 - Device_Configuration'!AG481="","",'12 - Device_Configuration'!AG481)</f>
        <v/>
      </c>
      <c r="G480" s="21" t="str">
        <f>IF('12 - Device_Configuration'!AH481="","",'12 - Device_Configuration'!AH481)</f>
        <v/>
      </c>
      <c r="H480" s="21" t="str">
        <f>IF('12 - Device_Configuration'!A481="","",'12 - Device_Configuration'!A481)</f>
        <v/>
      </c>
      <c r="I480" s="21" t="str">
        <f>IF('12 - Device_Configuration'!AI481="","",'12 - Device_Configuration'!AI481)</f>
        <v/>
      </c>
      <c r="J480" s="21" t="str">
        <f>IF('12 - Device_Configuration'!AJ481="","",'12 - Device_Configuration'!AJ481)</f>
        <v/>
      </c>
      <c r="K480" s="21" t="str">
        <f>IF('12 - Device_Configuration'!AA481="","",'12 - Device_Configuration'!AA481)</f>
        <v/>
      </c>
      <c r="L480" s="21" t="str">
        <f>IF('12 - Device_Configuration'!I481="","",'12 - Device_Configuration'!I481)</f>
        <v/>
      </c>
      <c r="M480" s="22"/>
      <c r="N480" s="21" t="str">
        <f>IF('12 - Device_Configuration'!J481="","",'12 - Device_Configuration'!J481)</f>
        <v/>
      </c>
      <c r="O480" s="21" t="str">
        <f>IF('12 - Device_Configuration'!K481="","",'12 - Device_Configuration'!K481)</f>
        <v/>
      </c>
      <c r="P480" s="21" t="str">
        <f>IF('12 - Device_Configuration'!L481="","",'12 - Device_Configuration'!L481)</f>
        <v/>
      </c>
      <c r="Q480" s="22"/>
      <c r="R480" s="21" t="str">
        <f>IF('12 - Device_Configuration'!AY481="","",'12 - Device_Configuration'!AY481)</f>
        <v/>
      </c>
      <c r="S480" s="21" t="str">
        <f>IF('12 - Device_Configuration'!AX481="","",'12 - Device_Configuration'!AX481)</f>
        <v/>
      </c>
      <c r="T480" s="21" t="str">
        <f>IF('12 - Device_Configuration'!AV481="","",'12 - Device_Configuration'!AV481)</f>
        <v/>
      </c>
      <c r="U480" s="21" t="str">
        <f>IF('12 - Device_Configuration'!AW481="","",'12 - Device_Configuration'!AW481)</f>
        <v/>
      </c>
      <c r="V480" s="21" t="str">
        <f>IF('12 - Device_Configuration'!BA481="","",'12 - Device_Configuration'!BA481)</f>
        <v/>
      </c>
      <c r="W480" s="21" t="str">
        <f>IF('12 - Device_Configuration'!BC481="","",'12 - Device_Configuration'!BC481)</f>
        <v/>
      </c>
      <c r="X480" s="21" t="str">
        <f>IF('12 - Device_Configuration'!BK481="","",'12 - Device_Configuration'!BK481)</f>
        <v/>
      </c>
      <c r="Y480" s="21" t="str">
        <f>IF('12 - Device_Configuration'!BB481="","",'12 - Device_Configuration'!BB481)</f>
        <v/>
      </c>
      <c r="Z480" s="21" t="str">
        <f>IF('12 - Device_Configuration'!P481="","",'12 - Device_Configuration'!P481)</f>
        <v/>
      </c>
      <c r="AA480" s="21" t="str">
        <f>IF('12 - Device_Configuration'!Q481="","",'12 - Device_Configuration'!Q481)</f>
        <v/>
      </c>
    </row>
    <row r="481" spans="1:27">
      <c r="A481" s="22"/>
      <c r="B481" s="22"/>
      <c r="C481" s="21" t="str">
        <f>IF('12 - Device_Configuration'!H482="","",'12 - Device_Configuration'!H482)</f>
        <v/>
      </c>
      <c r="D481" s="21" t="str">
        <f>IF('12 - Device_Configuration'!AE482="","",'12 - Device_Configuration'!AE482)</f>
        <v/>
      </c>
      <c r="E481" s="21" t="str">
        <f>IF('12 - Device_Configuration'!AF482="","",'12 - Device_Configuration'!AF482)</f>
        <v/>
      </c>
      <c r="F481" s="21" t="str">
        <f>IF('12 - Device_Configuration'!AG482="","",'12 - Device_Configuration'!AG482)</f>
        <v/>
      </c>
      <c r="G481" s="21" t="str">
        <f>IF('12 - Device_Configuration'!AH482="","",'12 - Device_Configuration'!AH482)</f>
        <v/>
      </c>
      <c r="H481" s="21" t="str">
        <f>IF('12 - Device_Configuration'!A482="","",'12 - Device_Configuration'!A482)</f>
        <v/>
      </c>
      <c r="I481" s="21" t="str">
        <f>IF('12 - Device_Configuration'!AI482="","",'12 - Device_Configuration'!AI482)</f>
        <v/>
      </c>
      <c r="J481" s="21" t="str">
        <f>IF('12 - Device_Configuration'!AJ482="","",'12 - Device_Configuration'!AJ482)</f>
        <v/>
      </c>
      <c r="K481" s="21" t="str">
        <f>IF('12 - Device_Configuration'!AA482="","",'12 - Device_Configuration'!AA482)</f>
        <v/>
      </c>
      <c r="L481" s="21" t="str">
        <f>IF('12 - Device_Configuration'!I482="","",'12 - Device_Configuration'!I482)</f>
        <v/>
      </c>
      <c r="M481" s="22"/>
      <c r="N481" s="21" t="str">
        <f>IF('12 - Device_Configuration'!J482="","",'12 - Device_Configuration'!J482)</f>
        <v/>
      </c>
      <c r="O481" s="21" t="str">
        <f>IF('12 - Device_Configuration'!K482="","",'12 - Device_Configuration'!K482)</f>
        <v/>
      </c>
      <c r="P481" s="21" t="str">
        <f>IF('12 - Device_Configuration'!L482="","",'12 - Device_Configuration'!L482)</f>
        <v/>
      </c>
      <c r="Q481" s="22"/>
      <c r="R481" s="21" t="str">
        <f>IF('12 - Device_Configuration'!AY482="","",'12 - Device_Configuration'!AY482)</f>
        <v/>
      </c>
      <c r="S481" s="21" t="str">
        <f>IF('12 - Device_Configuration'!AX482="","",'12 - Device_Configuration'!AX482)</f>
        <v/>
      </c>
      <c r="T481" s="21" t="str">
        <f>IF('12 - Device_Configuration'!AV482="","",'12 - Device_Configuration'!AV482)</f>
        <v/>
      </c>
      <c r="U481" s="21" t="str">
        <f>IF('12 - Device_Configuration'!AW482="","",'12 - Device_Configuration'!AW482)</f>
        <v/>
      </c>
      <c r="V481" s="21" t="str">
        <f>IF('12 - Device_Configuration'!BA482="","",'12 - Device_Configuration'!BA482)</f>
        <v/>
      </c>
      <c r="W481" s="21" t="str">
        <f>IF('12 - Device_Configuration'!BC482="","",'12 - Device_Configuration'!BC482)</f>
        <v/>
      </c>
      <c r="X481" s="21" t="str">
        <f>IF('12 - Device_Configuration'!BK482="","",'12 - Device_Configuration'!BK482)</f>
        <v/>
      </c>
      <c r="Y481" s="21" t="str">
        <f>IF('12 - Device_Configuration'!BB482="","",'12 - Device_Configuration'!BB482)</f>
        <v/>
      </c>
      <c r="Z481" s="21" t="str">
        <f>IF('12 - Device_Configuration'!P482="","",'12 - Device_Configuration'!P482)</f>
        <v/>
      </c>
      <c r="AA481" s="21" t="str">
        <f>IF('12 - Device_Configuration'!Q482="","",'12 - Device_Configuration'!Q482)</f>
        <v/>
      </c>
    </row>
    <row r="482" spans="1:27">
      <c r="A482" s="22"/>
      <c r="B482" s="22"/>
      <c r="C482" s="21" t="str">
        <f>IF('12 - Device_Configuration'!H483="","",'12 - Device_Configuration'!H483)</f>
        <v/>
      </c>
      <c r="D482" s="21" t="str">
        <f>IF('12 - Device_Configuration'!AE483="","",'12 - Device_Configuration'!AE483)</f>
        <v/>
      </c>
      <c r="E482" s="21" t="str">
        <f>IF('12 - Device_Configuration'!AF483="","",'12 - Device_Configuration'!AF483)</f>
        <v/>
      </c>
      <c r="F482" s="21" t="str">
        <f>IF('12 - Device_Configuration'!AG483="","",'12 - Device_Configuration'!AG483)</f>
        <v/>
      </c>
      <c r="G482" s="21" t="str">
        <f>IF('12 - Device_Configuration'!AH483="","",'12 - Device_Configuration'!AH483)</f>
        <v/>
      </c>
      <c r="H482" s="21" t="str">
        <f>IF('12 - Device_Configuration'!A483="","",'12 - Device_Configuration'!A483)</f>
        <v/>
      </c>
      <c r="I482" s="21" t="str">
        <f>IF('12 - Device_Configuration'!AI483="","",'12 - Device_Configuration'!AI483)</f>
        <v/>
      </c>
      <c r="J482" s="21" t="str">
        <f>IF('12 - Device_Configuration'!AJ483="","",'12 - Device_Configuration'!AJ483)</f>
        <v/>
      </c>
      <c r="K482" s="21" t="str">
        <f>IF('12 - Device_Configuration'!AA483="","",'12 - Device_Configuration'!AA483)</f>
        <v/>
      </c>
      <c r="L482" s="21" t="str">
        <f>IF('12 - Device_Configuration'!I483="","",'12 - Device_Configuration'!I483)</f>
        <v/>
      </c>
      <c r="M482" s="22"/>
      <c r="N482" s="21" t="str">
        <f>IF('12 - Device_Configuration'!J483="","",'12 - Device_Configuration'!J483)</f>
        <v/>
      </c>
      <c r="O482" s="21" t="str">
        <f>IF('12 - Device_Configuration'!K483="","",'12 - Device_Configuration'!K483)</f>
        <v/>
      </c>
      <c r="P482" s="21" t="str">
        <f>IF('12 - Device_Configuration'!L483="","",'12 - Device_Configuration'!L483)</f>
        <v/>
      </c>
      <c r="Q482" s="22"/>
      <c r="R482" s="21" t="str">
        <f>IF('12 - Device_Configuration'!AY483="","",'12 - Device_Configuration'!AY483)</f>
        <v/>
      </c>
      <c r="S482" s="21" t="str">
        <f>IF('12 - Device_Configuration'!AX483="","",'12 - Device_Configuration'!AX483)</f>
        <v/>
      </c>
      <c r="T482" s="21" t="str">
        <f>IF('12 - Device_Configuration'!AV483="","",'12 - Device_Configuration'!AV483)</f>
        <v/>
      </c>
      <c r="U482" s="21" t="str">
        <f>IF('12 - Device_Configuration'!AW483="","",'12 - Device_Configuration'!AW483)</f>
        <v/>
      </c>
      <c r="V482" s="21" t="str">
        <f>IF('12 - Device_Configuration'!BA483="","",'12 - Device_Configuration'!BA483)</f>
        <v/>
      </c>
      <c r="W482" s="21" t="str">
        <f>IF('12 - Device_Configuration'!BC483="","",'12 - Device_Configuration'!BC483)</f>
        <v/>
      </c>
      <c r="X482" s="21" t="str">
        <f>IF('12 - Device_Configuration'!BK483="","",'12 - Device_Configuration'!BK483)</f>
        <v/>
      </c>
      <c r="Y482" s="21" t="str">
        <f>IF('12 - Device_Configuration'!BB483="","",'12 - Device_Configuration'!BB483)</f>
        <v/>
      </c>
      <c r="Z482" s="21" t="str">
        <f>IF('12 - Device_Configuration'!P483="","",'12 - Device_Configuration'!P483)</f>
        <v/>
      </c>
      <c r="AA482" s="21" t="str">
        <f>IF('12 - Device_Configuration'!Q483="","",'12 - Device_Configuration'!Q483)</f>
        <v/>
      </c>
    </row>
    <row r="483" spans="1:27">
      <c r="A483" s="22"/>
      <c r="B483" s="22"/>
      <c r="C483" s="21" t="str">
        <f>IF('12 - Device_Configuration'!H484="","",'12 - Device_Configuration'!H484)</f>
        <v/>
      </c>
      <c r="D483" s="21" t="str">
        <f>IF('12 - Device_Configuration'!AE484="","",'12 - Device_Configuration'!AE484)</f>
        <v/>
      </c>
      <c r="E483" s="21" t="str">
        <f>IF('12 - Device_Configuration'!AF484="","",'12 - Device_Configuration'!AF484)</f>
        <v/>
      </c>
      <c r="F483" s="21" t="str">
        <f>IF('12 - Device_Configuration'!AG484="","",'12 - Device_Configuration'!AG484)</f>
        <v/>
      </c>
      <c r="G483" s="21" t="str">
        <f>IF('12 - Device_Configuration'!AH484="","",'12 - Device_Configuration'!AH484)</f>
        <v/>
      </c>
      <c r="H483" s="21" t="str">
        <f>IF('12 - Device_Configuration'!A484="","",'12 - Device_Configuration'!A484)</f>
        <v/>
      </c>
      <c r="I483" s="21" t="str">
        <f>IF('12 - Device_Configuration'!AI484="","",'12 - Device_Configuration'!AI484)</f>
        <v/>
      </c>
      <c r="J483" s="21" t="str">
        <f>IF('12 - Device_Configuration'!AJ484="","",'12 - Device_Configuration'!AJ484)</f>
        <v/>
      </c>
      <c r="K483" s="21" t="str">
        <f>IF('12 - Device_Configuration'!AA484="","",'12 - Device_Configuration'!AA484)</f>
        <v/>
      </c>
      <c r="L483" s="21" t="str">
        <f>IF('12 - Device_Configuration'!I484="","",'12 - Device_Configuration'!I484)</f>
        <v/>
      </c>
      <c r="M483" s="22"/>
      <c r="N483" s="21" t="str">
        <f>IF('12 - Device_Configuration'!J484="","",'12 - Device_Configuration'!J484)</f>
        <v/>
      </c>
      <c r="O483" s="21" t="str">
        <f>IF('12 - Device_Configuration'!K484="","",'12 - Device_Configuration'!K484)</f>
        <v/>
      </c>
      <c r="P483" s="21" t="str">
        <f>IF('12 - Device_Configuration'!L484="","",'12 - Device_Configuration'!L484)</f>
        <v/>
      </c>
      <c r="Q483" s="22"/>
      <c r="R483" s="21" t="str">
        <f>IF('12 - Device_Configuration'!AY484="","",'12 - Device_Configuration'!AY484)</f>
        <v/>
      </c>
      <c r="S483" s="21" t="str">
        <f>IF('12 - Device_Configuration'!AX484="","",'12 - Device_Configuration'!AX484)</f>
        <v/>
      </c>
      <c r="T483" s="21" t="str">
        <f>IF('12 - Device_Configuration'!AV484="","",'12 - Device_Configuration'!AV484)</f>
        <v/>
      </c>
      <c r="U483" s="21" t="str">
        <f>IF('12 - Device_Configuration'!AW484="","",'12 - Device_Configuration'!AW484)</f>
        <v/>
      </c>
      <c r="V483" s="21" t="str">
        <f>IF('12 - Device_Configuration'!BA484="","",'12 - Device_Configuration'!BA484)</f>
        <v/>
      </c>
      <c r="W483" s="21" t="str">
        <f>IF('12 - Device_Configuration'!BC484="","",'12 - Device_Configuration'!BC484)</f>
        <v/>
      </c>
      <c r="X483" s="21" t="str">
        <f>IF('12 - Device_Configuration'!BK484="","",'12 - Device_Configuration'!BK484)</f>
        <v/>
      </c>
      <c r="Y483" s="21" t="str">
        <f>IF('12 - Device_Configuration'!BB484="","",'12 - Device_Configuration'!BB484)</f>
        <v/>
      </c>
      <c r="Z483" s="21" t="str">
        <f>IF('12 - Device_Configuration'!P484="","",'12 - Device_Configuration'!P484)</f>
        <v/>
      </c>
      <c r="AA483" s="21" t="str">
        <f>IF('12 - Device_Configuration'!Q484="","",'12 - Device_Configuration'!Q484)</f>
        <v/>
      </c>
    </row>
    <row r="484" spans="1:27">
      <c r="A484" s="22"/>
      <c r="B484" s="22"/>
      <c r="C484" s="21" t="str">
        <f>IF('12 - Device_Configuration'!H485="","",'12 - Device_Configuration'!H485)</f>
        <v/>
      </c>
      <c r="D484" s="21" t="str">
        <f>IF('12 - Device_Configuration'!AE485="","",'12 - Device_Configuration'!AE485)</f>
        <v/>
      </c>
      <c r="E484" s="21" t="str">
        <f>IF('12 - Device_Configuration'!AF485="","",'12 - Device_Configuration'!AF485)</f>
        <v/>
      </c>
      <c r="F484" s="21" t="str">
        <f>IF('12 - Device_Configuration'!AG485="","",'12 - Device_Configuration'!AG485)</f>
        <v/>
      </c>
      <c r="G484" s="21" t="str">
        <f>IF('12 - Device_Configuration'!AH485="","",'12 - Device_Configuration'!AH485)</f>
        <v/>
      </c>
      <c r="H484" s="21" t="str">
        <f>IF('12 - Device_Configuration'!A485="","",'12 - Device_Configuration'!A485)</f>
        <v/>
      </c>
      <c r="I484" s="21" t="str">
        <f>IF('12 - Device_Configuration'!AI485="","",'12 - Device_Configuration'!AI485)</f>
        <v/>
      </c>
      <c r="J484" s="21" t="str">
        <f>IF('12 - Device_Configuration'!AJ485="","",'12 - Device_Configuration'!AJ485)</f>
        <v/>
      </c>
      <c r="K484" s="21" t="str">
        <f>IF('12 - Device_Configuration'!AA485="","",'12 - Device_Configuration'!AA485)</f>
        <v/>
      </c>
      <c r="L484" s="21" t="str">
        <f>IF('12 - Device_Configuration'!I485="","",'12 - Device_Configuration'!I485)</f>
        <v/>
      </c>
      <c r="M484" s="22"/>
      <c r="N484" s="21" t="str">
        <f>IF('12 - Device_Configuration'!J485="","",'12 - Device_Configuration'!J485)</f>
        <v/>
      </c>
      <c r="O484" s="21" t="str">
        <f>IF('12 - Device_Configuration'!K485="","",'12 - Device_Configuration'!K485)</f>
        <v/>
      </c>
      <c r="P484" s="21" t="str">
        <f>IF('12 - Device_Configuration'!L485="","",'12 - Device_Configuration'!L485)</f>
        <v/>
      </c>
      <c r="Q484" s="22"/>
      <c r="R484" s="21" t="str">
        <f>IF('12 - Device_Configuration'!AY485="","",'12 - Device_Configuration'!AY485)</f>
        <v/>
      </c>
      <c r="S484" s="21" t="str">
        <f>IF('12 - Device_Configuration'!AX485="","",'12 - Device_Configuration'!AX485)</f>
        <v/>
      </c>
      <c r="T484" s="21" t="str">
        <f>IF('12 - Device_Configuration'!AV485="","",'12 - Device_Configuration'!AV485)</f>
        <v/>
      </c>
      <c r="U484" s="21" t="str">
        <f>IF('12 - Device_Configuration'!AW485="","",'12 - Device_Configuration'!AW485)</f>
        <v/>
      </c>
      <c r="V484" s="21" t="str">
        <f>IF('12 - Device_Configuration'!BA485="","",'12 - Device_Configuration'!BA485)</f>
        <v/>
      </c>
      <c r="W484" s="21" t="str">
        <f>IF('12 - Device_Configuration'!BC485="","",'12 - Device_Configuration'!BC485)</f>
        <v/>
      </c>
      <c r="X484" s="21" t="str">
        <f>IF('12 - Device_Configuration'!BK485="","",'12 - Device_Configuration'!BK485)</f>
        <v/>
      </c>
      <c r="Y484" s="21" t="str">
        <f>IF('12 - Device_Configuration'!BB485="","",'12 - Device_Configuration'!BB485)</f>
        <v/>
      </c>
      <c r="Z484" s="21" t="str">
        <f>IF('12 - Device_Configuration'!P485="","",'12 - Device_Configuration'!P485)</f>
        <v/>
      </c>
      <c r="AA484" s="21" t="str">
        <f>IF('12 - Device_Configuration'!Q485="","",'12 - Device_Configuration'!Q485)</f>
        <v/>
      </c>
    </row>
    <row r="485" spans="1:27">
      <c r="A485" s="22"/>
      <c r="B485" s="22"/>
      <c r="C485" s="21" t="str">
        <f>IF('12 - Device_Configuration'!H486="","",'12 - Device_Configuration'!H486)</f>
        <v/>
      </c>
      <c r="D485" s="21" t="str">
        <f>IF('12 - Device_Configuration'!AE486="","",'12 - Device_Configuration'!AE486)</f>
        <v/>
      </c>
      <c r="E485" s="21" t="str">
        <f>IF('12 - Device_Configuration'!AF486="","",'12 - Device_Configuration'!AF486)</f>
        <v/>
      </c>
      <c r="F485" s="21" t="str">
        <f>IF('12 - Device_Configuration'!AG486="","",'12 - Device_Configuration'!AG486)</f>
        <v/>
      </c>
      <c r="G485" s="21" t="str">
        <f>IF('12 - Device_Configuration'!AH486="","",'12 - Device_Configuration'!AH486)</f>
        <v/>
      </c>
      <c r="H485" s="21" t="str">
        <f>IF('12 - Device_Configuration'!A486="","",'12 - Device_Configuration'!A486)</f>
        <v/>
      </c>
      <c r="I485" s="21" t="str">
        <f>IF('12 - Device_Configuration'!AI486="","",'12 - Device_Configuration'!AI486)</f>
        <v/>
      </c>
      <c r="J485" s="21" t="str">
        <f>IF('12 - Device_Configuration'!AJ486="","",'12 - Device_Configuration'!AJ486)</f>
        <v/>
      </c>
      <c r="K485" s="21" t="str">
        <f>IF('12 - Device_Configuration'!AA486="","",'12 - Device_Configuration'!AA486)</f>
        <v/>
      </c>
      <c r="L485" s="21" t="str">
        <f>IF('12 - Device_Configuration'!I486="","",'12 - Device_Configuration'!I486)</f>
        <v/>
      </c>
      <c r="M485" s="22"/>
      <c r="N485" s="21" t="str">
        <f>IF('12 - Device_Configuration'!J486="","",'12 - Device_Configuration'!J486)</f>
        <v/>
      </c>
      <c r="O485" s="21" t="str">
        <f>IF('12 - Device_Configuration'!K486="","",'12 - Device_Configuration'!K486)</f>
        <v/>
      </c>
      <c r="P485" s="21" t="str">
        <f>IF('12 - Device_Configuration'!L486="","",'12 - Device_Configuration'!L486)</f>
        <v/>
      </c>
      <c r="Q485" s="22"/>
      <c r="R485" s="21" t="str">
        <f>IF('12 - Device_Configuration'!AY486="","",'12 - Device_Configuration'!AY486)</f>
        <v/>
      </c>
      <c r="S485" s="21" t="str">
        <f>IF('12 - Device_Configuration'!AX486="","",'12 - Device_Configuration'!AX486)</f>
        <v/>
      </c>
      <c r="T485" s="21" t="str">
        <f>IF('12 - Device_Configuration'!AV486="","",'12 - Device_Configuration'!AV486)</f>
        <v/>
      </c>
      <c r="U485" s="21" t="str">
        <f>IF('12 - Device_Configuration'!AW486="","",'12 - Device_Configuration'!AW486)</f>
        <v/>
      </c>
      <c r="V485" s="21" t="str">
        <f>IF('12 - Device_Configuration'!BA486="","",'12 - Device_Configuration'!BA486)</f>
        <v/>
      </c>
      <c r="W485" s="21" t="str">
        <f>IF('12 - Device_Configuration'!BC486="","",'12 - Device_Configuration'!BC486)</f>
        <v/>
      </c>
      <c r="X485" s="21" t="str">
        <f>IF('12 - Device_Configuration'!BK486="","",'12 - Device_Configuration'!BK486)</f>
        <v/>
      </c>
      <c r="Y485" s="21" t="str">
        <f>IF('12 - Device_Configuration'!BB486="","",'12 - Device_Configuration'!BB486)</f>
        <v/>
      </c>
      <c r="Z485" s="21" t="str">
        <f>IF('12 - Device_Configuration'!P486="","",'12 - Device_Configuration'!P486)</f>
        <v/>
      </c>
      <c r="AA485" s="21" t="str">
        <f>IF('12 - Device_Configuration'!Q486="","",'12 - Device_Configuration'!Q486)</f>
        <v/>
      </c>
    </row>
    <row r="486" spans="1:27">
      <c r="A486" s="22"/>
      <c r="B486" s="22"/>
      <c r="C486" s="21" t="str">
        <f>IF('12 - Device_Configuration'!H487="","",'12 - Device_Configuration'!H487)</f>
        <v/>
      </c>
      <c r="D486" s="21" t="str">
        <f>IF('12 - Device_Configuration'!AE487="","",'12 - Device_Configuration'!AE487)</f>
        <v/>
      </c>
      <c r="E486" s="21" t="str">
        <f>IF('12 - Device_Configuration'!AF487="","",'12 - Device_Configuration'!AF487)</f>
        <v/>
      </c>
      <c r="F486" s="21" t="str">
        <f>IF('12 - Device_Configuration'!AG487="","",'12 - Device_Configuration'!AG487)</f>
        <v/>
      </c>
      <c r="G486" s="21" t="str">
        <f>IF('12 - Device_Configuration'!AH487="","",'12 - Device_Configuration'!AH487)</f>
        <v/>
      </c>
      <c r="H486" s="21" t="str">
        <f>IF('12 - Device_Configuration'!A487="","",'12 - Device_Configuration'!A487)</f>
        <v/>
      </c>
      <c r="I486" s="21" t="str">
        <f>IF('12 - Device_Configuration'!AI487="","",'12 - Device_Configuration'!AI487)</f>
        <v/>
      </c>
      <c r="J486" s="21" t="str">
        <f>IF('12 - Device_Configuration'!AJ487="","",'12 - Device_Configuration'!AJ487)</f>
        <v/>
      </c>
      <c r="K486" s="21" t="str">
        <f>IF('12 - Device_Configuration'!AA487="","",'12 - Device_Configuration'!AA487)</f>
        <v/>
      </c>
      <c r="L486" s="21" t="str">
        <f>IF('12 - Device_Configuration'!I487="","",'12 - Device_Configuration'!I487)</f>
        <v/>
      </c>
      <c r="M486" s="22"/>
      <c r="N486" s="21" t="str">
        <f>IF('12 - Device_Configuration'!J487="","",'12 - Device_Configuration'!J487)</f>
        <v/>
      </c>
      <c r="O486" s="21" t="str">
        <f>IF('12 - Device_Configuration'!K487="","",'12 - Device_Configuration'!K487)</f>
        <v/>
      </c>
      <c r="P486" s="21" t="str">
        <f>IF('12 - Device_Configuration'!L487="","",'12 - Device_Configuration'!L487)</f>
        <v/>
      </c>
      <c r="Q486" s="22"/>
      <c r="R486" s="21" t="str">
        <f>IF('12 - Device_Configuration'!AY487="","",'12 - Device_Configuration'!AY487)</f>
        <v/>
      </c>
      <c r="S486" s="21" t="str">
        <f>IF('12 - Device_Configuration'!AX487="","",'12 - Device_Configuration'!AX487)</f>
        <v/>
      </c>
      <c r="T486" s="21" t="str">
        <f>IF('12 - Device_Configuration'!AV487="","",'12 - Device_Configuration'!AV487)</f>
        <v/>
      </c>
      <c r="U486" s="21" t="str">
        <f>IF('12 - Device_Configuration'!AW487="","",'12 - Device_Configuration'!AW487)</f>
        <v/>
      </c>
      <c r="V486" s="21" t="str">
        <f>IF('12 - Device_Configuration'!BA487="","",'12 - Device_Configuration'!BA487)</f>
        <v/>
      </c>
      <c r="W486" s="21" t="str">
        <f>IF('12 - Device_Configuration'!BC487="","",'12 - Device_Configuration'!BC487)</f>
        <v/>
      </c>
      <c r="X486" s="21" t="str">
        <f>IF('12 - Device_Configuration'!BK487="","",'12 - Device_Configuration'!BK487)</f>
        <v/>
      </c>
      <c r="Y486" s="21" t="str">
        <f>IF('12 - Device_Configuration'!BB487="","",'12 - Device_Configuration'!BB487)</f>
        <v/>
      </c>
      <c r="Z486" s="21" t="str">
        <f>IF('12 - Device_Configuration'!P487="","",'12 - Device_Configuration'!P487)</f>
        <v/>
      </c>
      <c r="AA486" s="21" t="str">
        <f>IF('12 - Device_Configuration'!Q487="","",'12 - Device_Configuration'!Q487)</f>
        <v/>
      </c>
    </row>
    <row r="487" spans="1:27">
      <c r="A487" s="22"/>
      <c r="B487" s="22"/>
      <c r="C487" s="21" t="str">
        <f>IF('12 - Device_Configuration'!H488="","",'12 - Device_Configuration'!H488)</f>
        <v/>
      </c>
      <c r="D487" s="21" t="str">
        <f>IF('12 - Device_Configuration'!AE488="","",'12 - Device_Configuration'!AE488)</f>
        <v/>
      </c>
      <c r="E487" s="21" t="str">
        <f>IF('12 - Device_Configuration'!AF488="","",'12 - Device_Configuration'!AF488)</f>
        <v/>
      </c>
      <c r="F487" s="21" t="str">
        <f>IF('12 - Device_Configuration'!AG488="","",'12 - Device_Configuration'!AG488)</f>
        <v/>
      </c>
      <c r="G487" s="21" t="str">
        <f>IF('12 - Device_Configuration'!AH488="","",'12 - Device_Configuration'!AH488)</f>
        <v/>
      </c>
      <c r="H487" s="21" t="str">
        <f>IF('12 - Device_Configuration'!A488="","",'12 - Device_Configuration'!A488)</f>
        <v/>
      </c>
      <c r="I487" s="21" t="str">
        <f>IF('12 - Device_Configuration'!AI488="","",'12 - Device_Configuration'!AI488)</f>
        <v/>
      </c>
      <c r="J487" s="21" t="str">
        <f>IF('12 - Device_Configuration'!AJ488="","",'12 - Device_Configuration'!AJ488)</f>
        <v/>
      </c>
      <c r="K487" s="21" t="str">
        <f>IF('12 - Device_Configuration'!AA488="","",'12 - Device_Configuration'!AA488)</f>
        <v/>
      </c>
      <c r="L487" s="21" t="str">
        <f>IF('12 - Device_Configuration'!I488="","",'12 - Device_Configuration'!I488)</f>
        <v/>
      </c>
      <c r="M487" s="22"/>
      <c r="N487" s="21" t="str">
        <f>IF('12 - Device_Configuration'!J488="","",'12 - Device_Configuration'!J488)</f>
        <v/>
      </c>
      <c r="O487" s="21" t="str">
        <f>IF('12 - Device_Configuration'!K488="","",'12 - Device_Configuration'!K488)</f>
        <v/>
      </c>
      <c r="P487" s="21" t="str">
        <f>IF('12 - Device_Configuration'!L488="","",'12 - Device_Configuration'!L488)</f>
        <v/>
      </c>
      <c r="Q487" s="22"/>
      <c r="R487" s="21" t="str">
        <f>IF('12 - Device_Configuration'!AY488="","",'12 - Device_Configuration'!AY488)</f>
        <v/>
      </c>
      <c r="S487" s="21" t="str">
        <f>IF('12 - Device_Configuration'!AX488="","",'12 - Device_Configuration'!AX488)</f>
        <v/>
      </c>
      <c r="T487" s="21" t="str">
        <f>IF('12 - Device_Configuration'!AV488="","",'12 - Device_Configuration'!AV488)</f>
        <v/>
      </c>
      <c r="U487" s="21" t="str">
        <f>IF('12 - Device_Configuration'!AW488="","",'12 - Device_Configuration'!AW488)</f>
        <v/>
      </c>
      <c r="V487" s="21" t="str">
        <f>IF('12 - Device_Configuration'!BA488="","",'12 - Device_Configuration'!BA488)</f>
        <v/>
      </c>
      <c r="W487" s="21" t="str">
        <f>IF('12 - Device_Configuration'!BC488="","",'12 - Device_Configuration'!BC488)</f>
        <v/>
      </c>
      <c r="X487" s="21" t="str">
        <f>IF('12 - Device_Configuration'!BK488="","",'12 - Device_Configuration'!BK488)</f>
        <v/>
      </c>
      <c r="Y487" s="21" t="str">
        <f>IF('12 - Device_Configuration'!BB488="","",'12 - Device_Configuration'!BB488)</f>
        <v/>
      </c>
      <c r="Z487" s="21" t="str">
        <f>IF('12 - Device_Configuration'!P488="","",'12 - Device_Configuration'!P488)</f>
        <v/>
      </c>
      <c r="AA487" s="21" t="str">
        <f>IF('12 - Device_Configuration'!Q488="","",'12 - Device_Configuration'!Q488)</f>
        <v/>
      </c>
    </row>
    <row r="488" spans="1:27">
      <c r="A488" s="22"/>
      <c r="B488" s="22"/>
      <c r="C488" s="21" t="str">
        <f>IF('12 - Device_Configuration'!H489="","",'12 - Device_Configuration'!H489)</f>
        <v/>
      </c>
      <c r="D488" s="21" t="str">
        <f>IF('12 - Device_Configuration'!AE489="","",'12 - Device_Configuration'!AE489)</f>
        <v/>
      </c>
      <c r="E488" s="21" t="str">
        <f>IF('12 - Device_Configuration'!AF489="","",'12 - Device_Configuration'!AF489)</f>
        <v/>
      </c>
      <c r="F488" s="21" t="str">
        <f>IF('12 - Device_Configuration'!AG489="","",'12 - Device_Configuration'!AG489)</f>
        <v/>
      </c>
      <c r="G488" s="21" t="str">
        <f>IF('12 - Device_Configuration'!AH489="","",'12 - Device_Configuration'!AH489)</f>
        <v/>
      </c>
      <c r="H488" s="21" t="str">
        <f>IF('12 - Device_Configuration'!A489="","",'12 - Device_Configuration'!A489)</f>
        <v/>
      </c>
      <c r="I488" s="21" t="str">
        <f>IF('12 - Device_Configuration'!AI489="","",'12 - Device_Configuration'!AI489)</f>
        <v/>
      </c>
      <c r="J488" s="21" t="str">
        <f>IF('12 - Device_Configuration'!AJ489="","",'12 - Device_Configuration'!AJ489)</f>
        <v/>
      </c>
      <c r="K488" s="21" t="str">
        <f>IF('12 - Device_Configuration'!AA489="","",'12 - Device_Configuration'!AA489)</f>
        <v/>
      </c>
      <c r="L488" s="21" t="str">
        <f>IF('12 - Device_Configuration'!I489="","",'12 - Device_Configuration'!I489)</f>
        <v/>
      </c>
      <c r="M488" s="22"/>
      <c r="N488" s="21" t="str">
        <f>IF('12 - Device_Configuration'!J489="","",'12 - Device_Configuration'!J489)</f>
        <v/>
      </c>
      <c r="O488" s="21" t="str">
        <f>IF('12 - Device_Configuration'!K489="","",'12 - Device_Configuration'!K489)</f>
        <v/>
      </c>
      <c r="P488" s="21" t="str">
        <f>IF('12 - Device_Configuration'!L489="","",'12 - Device_Configuration'!L489)</f>
        <v/>
      </c>
      <c r="Q488" s="22"/>
      <c r="R488" s="21" t="str">
        <f>IF('12 - Device_Configuration'!AY489="","",'12 - Device_Configuration'!AY489)</f>
        <v/>
      </c>
      <c r="S488" s="21" t="str">
        <f>IF('12 - Device_Configuration'!AX489="","",'12 - Device_Configuration'!AX489)</f>
        <v/>
      </c>
      <c r="T488" s="21" t="str">
        <f>IF('12 - Device_Configuration'!AV489="","",'12 - Device_Configuration'!AV489)</f>
        <v/>
      </c>
      <c r="U488" s="21" t="str">
        <f>IF('12 - Device_Configuration'!AW489="","",'12 - Device_Configuration'!AW489)</f>
        <v/>
      </c>
      <c r="V488" s="21" t="str">
        <f>IF('12 - Device_Configuration'!BA489="","",'12 - Device_Configuration'!BA489)</f>
        <v/>
      </c>
      <c r="W488" s="21" t="str">
        <f>IF('12 - Device_Configuration'!BC489="","",'12 - Device_Configuration'!BC489)</f>
        <v/>
      </c>
      <c r="X488" s="21" t="str">
        <f>IF('12 - Device_Configuration'!BK489="","",'12 - Device_Configuration'!BK489)</f>
        <v/>
      </c>
      <c r="Y488" s="21" t="str">
        <f>IF('12 - Device_Configuration'!BB489="","",'12 - Device_Configuration'!BB489)</f>
        <v/>
      </c>
      <c r="Z488" s="21" t="str">
        <f>IF('12 - Device_Configuration'!P489="","",'12 - Device_Configuration'!P489)</f>
        <v/>
      </c>
      <c r="AA488" s="21" t="str">
        <f>IF('12 - Device_Configuration'!Q489="","",'12 - Device_Configuration'!Q489)</f>
        <v/>
      </c>
    </row>
    <row r="489" spans="1:27">
      <c r="A489" s="22"/>
      <c r="B489" s="22"/>
      <c r="C489" s="21" t="str">
        <f>IF('12 - Device_Configuration'!H490="","",'12 - Device_Configuration'!H490)</f>
        <v/>
      </c>
      <c r="D489" s="21" t="str">
        <f>IF('12 - Device_Configuration'!AE490="","",'12 - Device_Configuration'!AE490)</f>
        <v/>
      </c>
      <c r="E489" s="21" t="str">
        <f>IF('12 - Device_Configuration'!AF490="","",'12 - Device_Configuration'!AF490)</f>
        <v/>
      </c>
      <c r="F489" s="21" t="str">
        <f>IF('12 - Device_Configuration'!AG490="","",'12 - Device_Configuration'!AG490)</f>
        <v/>
      </c>
      <c r="G489" s="21" t="str">
        <f>IF('12 - Device_Configuration'!AH490="","",'12 - Device_Configuration'!AH490)</f>
        <v/>
      </c>
      <c r="H489" s="21" t="str">
        <f>IF('12 - Device_Configuration'!A490="","",'12 - Device_Configuration'!A490)</f>
        <v/>
      </c>
      <c r="I489" s="21" t="str">
        <f>IF('12 - Device_Configuration'!AI490="","",'12 - Device_Configuration'!AI490)</f>
        <v/>
      </c>
      <c r="J489" s="21" t="str">
        <f>IF('12 - Device_Configuration'!AJ490="","",'12 - Device_Configuration'!AJ490)</f>
        <v/>
      </c>
      <c r="K489" s="21" t="str">
        <f>IF('12 - Device_Configuration'!AA490="","",'12 - Device_Configuration'!AA490)</f>
        <v/>
      </c>
      <c r="L489" s="21" t="str">
        <f>IF('12 - Device_Configuration'!I490="","",'12 - Device_Configuration'!I490)</f>
        <v/>
      </c>
      <c r="M489" s="22"/>
      <c r="N489" s="21" t="str">
        <f>IF('12 - Device_Configuration'!J490="","",'12 - Device_Configuration'!J490)</f>
        <v/>
      </c>
      <c r="O489" s="21" t="str">
        <f>IF('12 - Device_Configuration'!K490="","",'12 - Device_Configuration'!K490)</f>
        <v/>
      </c>
      <c r="P489" s="21" t="str">
        <f>IF('12 - Device_Configuration'!L490="","",'12 - Device_Configuration'!L490)</f>
        <v/>
      </c>
      <c r="Q489" s="22"/>
      <c r="R489" s="21" t="str">
        <f>IF('12 - Device_Configuration'!AY490="","",'12 - Device_Configuration'!AY490)</f>
        <v/>
      </c>
      <c r="S489" s="21" t="str">
        <f>IF('12 - Device_Configuration'!AX490="","",'12 - Device_Configuration'!AX490)</f>
        <v/>
      </c>
      <c r="T489" s="21" t="str">
        <f>IF('12 - Device_Configuration'!AV490="","",'12 - Device_Configuration'!AV490)</f>
        <v/>
      </c>
      <c r="U489" s="21" t="str">
        <f>IF('12 - Device_Configuration'!AW490="","",'12 - Device_Configuration'!AW490)</f>
        <v/>
      </c>
      <c r="V489" s="21" t="str">
        <f>IF('12 - Device_Configuration'!BA490="","",'12 - Device_Configuration'!BA490)</f>
        <v/>
      </c>
      <c r="W489" s="21" t="str">
        <f>IF('12 - Device_Configuration'!BC490="","",'12 - Device_Configuration'!BC490)</f>
        <v/>
      </c>
      <c r="X489" s="21" t="str">
        <f>IF('12 - Device_Configuration'!BK490="","",'12 - Device_Configuration'!BK490)</f>
        <v/>
      </c>
      <c r="Y489" s="21" t="str">
        <f>IF('12 - Device_Configuration'!BB490="","",'12 - Device_Configuration'!BB490)</f>
        <v/>
      </c>
      <c r="Z489" s="21" t="str">
        <f>IF('12 - Device_Configuration'!P490="","",'12 - Device_Configuration'!P490)</f>
        <v/>
      </c>
      <c r="AA489" s="21" t="str">
        <f>IF('12 - Device_Configuration'!Q490="","",'12 - Device_Configuration'!Q490)</f>
        <v/>
      </c>
    </row>
    <row r="490" spans="1:27">
      <c r="A490" s="22"/>
      <c r="B490" s="22"/>
      <c r="C490" s="21" t="str">
        <f>IF('12 - Device_Configuration'!H491="","",'12 - Device_Configuration'!H491)</f>
        <v/>
      </c>
      <c r="D490" s="21" t="str">
        <f>IF('12 - Device_Configuration'!AE491="","",'12 - Device_Configuration'!AE491)</f>
        <v/>
      </c>
      <c r="E490" s="21" t="str">
        <f>IF('12 - Device_Configuration'!AF491="","",'12 - Device_Configuration'!AF491)</f>
        <v/>
      </c>
      <c r="F490" s="21" t="str">
        <f>IF('12 - Device_Configuration'!AG491="","",'12 - Device_Configuration'!AG491)</f>
        <v/>
      </c>
      <c r="G490" s="21" t="str">
        <f>IF('12 - Device_Configuration'!AH491="","",'12 - Device_Configuration'!AH491)</f>
        <v/>
      </c>
      <c r="H490" s="21" t="str">
        <f>IF('12 - Device_Configuration'!A491="","",'12 - Device_Configuration'!A491)</f>
        <v/>
      </c>
      <c r="I490" s="21" t="str">
        <f>IF('12 - Device_Configuration'!AI491="","",'12 - Device_Configuration'!AI491)</f>
        <v/>
      </c>
      <c r="J490" s="21" t="str">
        <f>IF('12 - Device_Configuration'!AJ491="","",'12 - Device_Configuration'!AJ491)</f>
        <v/>
      </c>
      <c r="K490" s="21" t="str">
        <f>IF('12 - Device_Configuration'!AA491="","",'12 - Device_Configuration'!AA491)</f>
        <v/>
      </c>
      <c r="L490" s="21" t="str">
        <f>IF('12 - Device_Configuration'!I491="","",'12 - Device_Configuration'!I491)</f>
        <v/>
      </c>
      <c r="M490" s="22"/>
      <c r="N490" s="21" t="str">
        <f>IF('12 - Device_Configuration'!J491="","",'12 - Device_Configuration'!J491)</f>
        <v/>
      </c>
      <c r="O490" s="21" t="str">
        <f>IF('12 - Device_Configuration'!K491="","",'12 - Device_Configuration'!K491)</f>
        <v/>
      </c>
      <c r="P490" s="21" t="str">
        <f>IF('12 - Device_Configuration'!L491="","",'12 - Device_Configuration'!L491)</f>
        <v/>
      </c>
      <c r="Q490" s="22"/>
      <c r="R490" s="21" t="str">
        <f>IF('12 - Device_Configuration'!AY491="","",'12 - Device_Configuration'!AY491)</f>
        <v/>
      </c>
      <c r="S490" s="21" t="str">
        <f>IF('12 - Device_Configuration'!AX491="","",'12 - Device_Configuration'!AX491)</f>
        <v/>
      </c>
      <c r="T490" s="21" t="str">
        <f>IF('12 - Device_Configuration'!AV491="","",'12 - Device_Configuration'!AV491)</f>
        <v/>
      </c>
      <c r="U490" s="21" t="str">
        <f>IF('12 - Device_Configuration'!AW491="","",'12 - Device_Configuration'!AW491)</f>
        <v/>
      </c>
      <c r="V490" s="21" t="str">
        <f>IF('12 - Device_Configuration'!BA491="","",'12 - Device_Configuration'!BA491)</f>
        <v/>
      </c>
      <c r="W490" s="21" t="str">
        <f>IF('12 - Device_Configuration'!BC491="","",'12 - Device_Configuration'!BC491)</f>
        <v/>
      </c>
      <c r="X490" s="21" t="str">
        <f>IF('12 - Device_Configuration'!BK491="","",'12 - Device_Configuration'!BK491)</f>
        <v/>
      </c>
      <c r="Y490" s="21" t="str">
        <f>IF('12 - Device_Configuration'!BB491="","",'12 - Device_Configuration'!BB491)</f>
        <v/>
      </c>
      <c r="Z490" s="21" t="str">
        <f>IF('12 - Device_Configuration'!P491="","",'12 - Device_Configuration'!P491)</f>
        <v/>
      </c>
      <c r="AA490" s="21" t="str">
        <f>IF('12 - Device_Configuration'!Q491="","",'12 - Device_Configuration'!Q491)</f>
        <v/>
      </c>
    </row>
    <row r="491" spans="1:27">
      <c r="A491" s="22"/>
      <c r="B491" s="22"/>
      <c r="C491" s="21" t="str">
        <f>IF('12 - Device_Configuration'!H492="","",'12 - Device_Configuration'!H492)</f>
        <v/>
      </c>
      <c r="D491" s="21" t="str">
        <f>IF('12 - Device_Configuration'!AE492="","",'12 - Device_Configuration'!AE492)</f>
        <v/>
      </c>
      <c r="E491" s="21" t="str">
        <f>IF('12 - Device_Configuration'!AF492="","",'12 - Device_Configuration'!AF492)</f>
        <v/>
      </c>
      <c r="F491" s="21" t="str">
        <f>IF('12 - Device_Configuration'!AG492="","",'12 - Device_Configuration'!AG492)</f>
        <v/>
      </c>
      <c r="G491" s="21" t="str">
        <f>IF('12 - Device_Configuration'!AH492="","",'12 - Device_Configuration'!AH492)</f>
        <v/>
      </c>
      <c r="H491" s="21" t="str">
        <f>IF('12 - Device_Configuration'!A492="","",'12 - Device_Configuration'!A492)</f>
        <v/>
      </c>
      <c r="I491" s="21" t="str">
        <f>IF('12 - Device_Configuration'!AI492="","",'12 - Device_Configuration'!AI492)</f>
        <v/>
      </c>
      <c r="J491" s="21" t="str">
        <f>IF('12 - Device_Configuration'!AJ492="","",'12 - Device_Configuration'!AJ492)</f>
        <v/>
      </c>
      <c r="K491" s="21" t="str">
        <f>IF('12 - Device_Configuration'!AA492="","",'12 - Device_Configuration'!AA492)</f>
        <v/>
      </c>
      <c r="L491" s="21" t="str">
        <f>IF('12 - Device_Configuration'!I492="","",'12 - Device_Configuration'!I492)</f>
        <v/>
      </c>
      <c r="M491" s="22"/>
      <c r="N491" s="21" t="str">
        <f>IF('12 - Device_Configuration'!J492="","",'12 - Device_Configuration'!J492)</f>
        <v/>
      </c>
      <c r="O491" s="21" t="str">
        <f>IF('12 - Device_Configuration'!K492="","",'12 - Device_Configuration'!K492)</f>
        <v/>
      </c>
      <c r="P491" s="21" t="str">
        <f>IF('12 - Device_Configuration'!L492="","",'12 - Device_Configuration'!L492)</f>
        <v/>
      </c>
      <c r="Q491" s="22"/>
      <c r="R491" s="21" t="str">
        <f>IF('12 - Device_Configuration'!AY492="","",'12 - Device_Configuration'!AY492)</f>
        <v/>
      </c>
      <c r="S491" s="21" t="str">
        <f>IF('12 - Device_Configuration'!AX492="","",'12 - Device_Configuration'!AX492)</f>
        <v/>
      </c>
      <c r="T491" s="21" t="str">
        <f>IF('12 - Device_Configuration'!AV492="","",'12 - Device_Configuration'!AV492)</f>
        <v/>
      </c>
      <c r="U491" s="21" t="str">
        <f>IF('12 - Device_Configuration'!AW492="","",'12 - Device_Configuration'!AW492)</f>
        <v/>
      </c>
      <c r="V491" s="21" t="str">
        <f>IF('12 - Device_Configuration'!BA492="","",'12 - Device_Configuration'!BA492)</f>
        <v/>
      </c>
      <c r="W491" s="21" t="str">
        <f>IF('12 - Device_Configuration'!BC492="","",'12 - Device_Configuration'!BC492)</f>
        <v/>
      </c>
      <c r="X491" s="21" t="str">
        <f>IF('12 - Device_Configuration'!BK492="","",'12 - Device_Configuration'!BK492)</f>
        <v/>
      </c>
      <c r="Y491" s="21" t="str">
        <f>IF('12 - Device_Configuration'!BB492="","",'12 - Device_Configuration'!BB492)</f>
        <v/>
      </c>
      <c r="Z491" s="21" t="str">
        <f>IF('12 - Device_Configuration'!P492="","",'12 - Device_Configuration'!P492)</f>
        <v/>
      </c>
      <c r="AA491" s="21" t="str">
        <f>IF('12 - Device_Configuration'!Q492="","",'12 - Device_Configuration'!Q492)</f>
        <v/>
      </c>
    </row>
    <row r="492" spans="1:27">
      <c r="A492" s="22"/>
      <c r="B492" s="22"/>
      <c r="C492" s="21" t="str">
        <f>IF('12 - Device_Configuration'!H493="","",'12 - Device_Configuration'!H493)</f>
        <v/>
      </c>
      <c r="D492" s="21" t="str">
        <f>IF('12 - Device_Configuration'!AE493="","",'12 - Device_Configuration'!AE493)</f>
        <v/>
      </c>
      <c r="E492" s="21" t="str">
        <f>IF('12 - Device_Configuration'!AF493="","",'12 - Device_Configuration'!AF493)</f>
        <v/>
      </c>
      <c r="F492" s="21" t="str">
        <f>IF('12 - Device_Configuration'!AG493="","",'12 - Device_Configuration'!AG493)</f>
        <v/>
      </c>
      <c r="G492" s="21" t="str">
        <f>IF('12 - Device_Configuration'!AH493="","",'12 - Device_Configuration'!AH493)</f>
        <v/>
      </c>
      <c r="H492" s="21" t="str">
        <f>IF('12 - Device_Configuration'!A493="","",'12 - Device_Configuration'!A493)</f>
        <v/>
      </c>
      <c r="I492" s="21" t="str">
        <f>IF('12 - Device_Configuration'!AI493="","",'12 - Device_Configuration'!AI493)</f>
        <v/>
      </c>
      <c r="J492" s="21" t="str">
        <f>IF('12 - Device_Configuration'!AJ493="","",'12 - Device_Configuration'!AJ493)</f>
        <v/>
      </c>
      <c r="K492" s="21" t="str">
        <f>IF('12 - Device_Configuration'!AA493="","",'12 - Device_Configuration'!AA493)</f>
        <v/>
      </c>
      <c r="L492" s="21" t="str">
        <f>IF('12 - Device_Configuration'!I493="","",'12 - Device_Configuration'!I493)</f>
        <v/>
      </c>
      <c r="M492" s="22"/>
      <c r="N492" s="21" t="str">
        <f>IF('12 - Device_Configuration'!J493="","",'12 - Device_Configuration'!J493)</f>
        <v/>
      </c>
      <c r="O492" s="21" t="str">
        <f>IF('12 - Device_Configuration'!K493="","",'12 - Device_Configuration'!K493)</f>
        <v/>
      </c>
      <c r="P492" s="21" t="str">
        <f>IF('12 - Device_Configuration'!L493="","",'12 - Device_Configuration'!L493)</f>
        <v/>
      </c>
      <c r="Q492" s="22"/>
      <c r="R492" s="21" t="str">
        <f>IF('12 - Device_Configuration'!AY493="","",'12 - Device_Configuration'!AY493)</f>
        <v/>
      </c>
      <c r="S492" s="21" t="str">
        <f>IF('12 - Device_Configuration'!AX493="","",'12 - Device_Configuration'!AX493)</f>
        <v/>
      </c>
      <c r="T492" s="21" t="str">
        <f>IF('12 - Device_Configuration'!AV493="","",'12 - Device_Configuration'!AV493)</f>
        <v/>
      </c>
      <c r="U492" s="21" t="str">
        <f>IF('12 - Device_Configuration'!AW493="","",'12 - Device_Configuration'!AW493)</f>
        <v/>
      </c>
      <c r="V492" s="21" t="str">
        <f>IF('12 - Device_Configuration'!BA493="","",'12 - Device_Configuration'!BA493)</f>
        <v/>
      </c>
      <c r="W492" s="21" t="str">
        <f>IF('12 - Device_Configuration'!BC493="","",'12 - Device_Configuration'!BC493)</f>
        <v/>
      </c>
      <c r="X492" s="21" t="str">
        <f>IF('12 - Device_Configuration'!BK493="","",'12 - Device_Configuration'!BK493)</f>
        <v/>
      </c>
      <c r="Y492" s="21" t="str">
        <f>IF('12 - Device_Configuration'!BB493="","",'12 - Device_Configuration'!BB493)</f>
        <v/>
      </c>
      <c r="Z492" s="21" t="str">
        <f>IF('12 - Device_Configuration'!P493="","",'12 - Device_Configuration'!P493)</f>
        <v/>
      </c>
      <c r="AA492" s="21" t="str">
        <f>IF('12 - Device_Configuration'!Q493="","",'12 - Device_Configuration'!Q493)</f>
        <v/>
      </c>
    </row>
    <row r="493" spans="1:27">
      <c r="A493" s="22"/>
      <c r="B493" s="22"/>
      <c r="C493" s="21" t="str">
        <f>IF('12 - Device_Configuration'!H494="","",'12 - Device_Configuration'!H494)</f>
        <v/>
      </c>
      <c r="D493" s="21" t="str">
        <f>IF('12 - Device_Configuration'!AE494="","",'12 - Device_Configuration'!AE494)</f>
        <v/>
      </c>
      <c r="E493" s="21" t="str">
        <f>IF('12 - Device_Configuration'!AF494="","",'12 - Device_Configuration'!AF494)</f>
        <v/>
      </c>
      <c r="F493" s="21" t="str">
        <f>IF('12 - Device_Configuration'!AG494="","",'12 - Device_Configuration'!AG494)</f>
        <v/>
      </c>
      <c r="G493" s="21" t="str">
        <f>IF('12 - Device_Configuration'!AH494="","",'12 - Device_Configuration'!AH494)</f>
        <v/>
      </c>
      <c r="H493" s="21" t="str">
        <f>IF('12 - Device_Configuration'!A494="","",'12 - Device_Configuration'!A494)</f>
        <v/>
      </c>
      <c r="I493" s="21" t="str">
        <f>IF('12 - Device_Configuration'!AI494="","",'12 - Device_Configuration'!AI494)</f>
        <v/>
      </c>
      <c r="J493" s="21" t="str">
        <f>IF('12 - Device_Configuration'!AJ494="","",'12 - Device_Configuration'!AJ494)</f>
        <v/>
      </c>
      <c r="K493" s="21" t="str">
        <f>IF('12 - Device_Configuration'!AA494="","",'12 - Device_Configuration'!AA494)</f>
        <v/>
      </c>
      <c r="L493" s="21" t="str">
        <f>IF('12 - Device_Configuration'!I494="","",'12 - Device_Configuration'!I494)</f>
        <v/>
      </c>
      <c r="M493" s="22"/>
      <c r="N493" s="21" t="str">
        <f>IF('12 - Device_Configuration'!J494="","",'12 - Device_Configuration'!J494)</f>
        <v/>
      </c>
      <c r="O493" s="21" t="str">
        <f>IF('12 - Device_Configuration'!K494="","",'12 - Device_Configuration'!K494)</f>
        <v/>
      </c>
      <c r="P493" s="21" t="str">
        <f>IF('12 - Device_Configuration'!L494="","",'12 - Device_Configuration'!L494)</f>
        <v/>
      </c>
      <c r="Q493" s="22"/>
      <c r="R493" s="21" t="str">
        <f>IF('12 - Device_Configuration'!AY494="","",'12 - Device_Configuration'!AY494)</f>
        <v/>
      </c>
      <c r="S493" s="21" t="str">
        <f>IF('12 - Device_Configuration'!AX494="","",'12 - Device_Configuration'!AX494)</f>
        <v/>
      </c>
      <c r="T493" s="21" t="str">
        <f>IF('12 - Device_Configuration'!AV494="","",'12 - Device_Configuration'!AV494)</f>
        <v/>
      </c>
      <c r="U493" s="21" t="str">
        <f>IF('12 - Device_Configuration'!AW494="","",'12 - Device_Configuration'!AW494)</f>
        <v/>
      </c>
      <c r="V493" s="21" t="str">
        <f>IF('12 - Device_Configuration'!BA494="","",'12 - Device_Configuration'!BA494)</f>
        <v/>
      </c>
      <c r="W493" s="21" t="str">
        <f>IF('12 - Device_Configuration'!BC494="","",'12 - Device_Configuration'!BC494)</f>
        <v/>
      </c>
      <c r="X493" s="21" t="str">
        <f>IF('12 - Device_Configuration'!BK494="","",'12 - Device_Configuration'!BK494)</f>
        <v/>
      </c>
      <c r="Y493" s="21" t="str">
        <f>IF('12 - Device_Configuration'!BB494="","",'12 - Device_Configuration'!BB494)</f>
        <v/>
      </c>
      <c r="Z493" s="21" t="str">
        <f>IF('12 - Device_Configuration'!P494="","",'12 - Device_Configuration'!P494)</f>
        <v/>
      </c>
      <c r="AA493" s="21" t="str">
        <f>IF('12 - Device_Configuration'!Q494="","",'12 - Device_Configuration'!Q494)</f>
        <v/>
      </c>
    </row>
    <row r="494" spans="1:27">
      <c r="A494" s="22"/>
      <c r="B494" s="22"/>
      <c r="C494" s="21" t="str">
        <f>IF('12 - Device_Configuration'!H495="","",'12 - Device_Configuration'!H495)</f>
        <v/>
      </c>
      <c r="D494" s="21" t="str">
        <f>IF('12 - Device_Configuration'!AE495="","",'12 - Device_Configuration'!AE495)</f>
        <v/>
      </c>
      <c r="E494" s="21" t="str">
        <f>IF('12 - Device_Configuration'!AF495="","",'12 - Device_Configuration'!AF495)</f>
        <v/>
      </c>
      <c r="F494" s="21" t="str">
        <f>IF('12 - Device_Configuration'!AG495="","",'12 - Device_Configuration'!AG495)</f>
        <v/>
      </c>
      <c r="G494" s="21" t="str">
        <f>IF('12 - Device_Configuration'!AH495="","",'12 - Device_Configuration'!AH495)</f>
        <v/>
      </c>
      <c r="H494" s="21" t="str">
        <f>IF('12 - Device_Configuration'!A495="","",'12 - Device_Configuration'!A495)</f>
        <v/>
      </c>
      <c r="I494" s="21" t="str">
        <f>IF('12 - Device_Configuration'!AI495="","",'12 - Device_Configuration'!AI495)</f>
        <v/>
      </c>
      <c r="J494" s="21" t="str">
        <f>IF('12 - Device_Configuration'!AJ495="","",'12 - Device_Configuration'!AJ495)</f>
        <v/>
      </c>
      <c r="K494" s="21" t="str">
        <f>IF('12 - Device_Configuration'!AA495="","",'12 - Device_Configuration'!AA495)</f>
        <v/>
      </c>
      <c r="L494" s="21" t="str">
        <f>IF('12 - Device_Configuration'!I495="","",'12 - Device_Configuration'!I495)</f>
        <v/>
      </c>
      <c r="M494" s="22"/>
      <c r="N494" s="21" t="str">
        <f>IF('12 - Device_Configuration'!J495="","",'12 - Device_Configuration'!J495)</f>
        <v/>
      </c>
      <c r="O494" s="21" t="str">
        <f>IF('12 - Device_Configuration'!K495="","",'12 - Device_Configuration'!K495)</f>
        <v/>
      </c>
      <c r="P494" s="21" t="str">
        <f>IF('12 - Device_Configuration'!L495="","",'12 - Device_Configuration'!L495)</f>
        <v/>
      </c>
      <c r="Q494" s="22"/>
      <c r="R494" s="21" t="str">
        <f>IF('12 - Device_Configuration'!AY495="","",'12 - Device_Configuration'!AY495)</f>
        <v/>
      </c>
      <c r="S494" s="21" t="str">
        <f>IF('12 - Device_Configuration'!AX495="","",'12 - Device_Configuration'!AX495)</f>
        <v/>
      </c>
      <c r="T494" s="21" t="str">
        <f>IF('12 - Device_Configuration'!AV495="","",'12 - Device_Configuration'!AV495)</f>
        <v/>
      </c>
      <c r="U494" s="21" t="str">
        <f>IF('12 - Device_Configuration'!AW495="","",'12 - Device_Configuration'!AW495)</f>
        <v/>
      </c>
      <c r="V494" s="21" t="str">
        <f>IF('12 - Device_Configuration'!BA495="","",'12 - Device_Configuration'!BA495)</f>
        <v/>
      </c>
      <c r="W494" s="21" t="str">
        <f>IF('12 - Device_Configuration'!BC495="","",'12 - Device_Configuration'!BC495)</f>
        <v/>
      </c>
      <c r="X494" s="21" t="str">
        <f>IF('12 - Device_Configuration'!BK495="","",'12 - Device_Configuration'!BK495)</f>
        <v/>
      </c>
      <c r="Y494" s="21" t="str">
        <f>IF('12 - Device_Configuration'!BB495="","",'12 - Device_Configuration'!BB495)</f>
        <v/>
      </c>
      <c r="Z494" s="21" t="str">
        <f>IF('12 - Device_Configuration'!P495="","",'12 - Device_Configuration'!P495)</f>
        <v/>
      </c>
      <c r="AA494" s="21" t="str">
        <f>IF('12 - Device_Configuration'!Q495="","",'12 - Device_Configuration'!Q495)</f>
        <v/>
      </c>
    </row>
    <row r="495" spans="1:27">
      <c r="A495" s="22"/>
      <c r="B495" s="22"/>
      <c r="C495" s="21" t="str">
        <f>IF('12 - Device_Configuration'!H496="","",'12 - Device_Configuration'!H496)</f>
        <v/>
      </c>
      <c r="D495" s="21" t="str">
        <f>IF('12 - Device_Configuration'!AE496="","",'12 - Device_Configuration'!AE496)</f>
        <v/>
      </c>
      <c r="E495" s="21" t="str">
        <f>IF('12 - Device_Configuration'!AF496="","",'12 - Device_Configuration'!AF496)</f>
        <v/>
      </c>
      <c r="F495" s="21" t="str">
        <f>IF('12 - Device_Configuration'!AG496="","",'12 - Device_Configuration'!AG496)</f>
        <v/>
      </c>
      <c r="G495" s="21" t="str">
        <f>IF('12 - Device_Configuration'!AH496="","",'12 - Device_Configuration'!AH496)</f>
        <v/>
      </c>
      <c r="H495" s="21" t="str">
        <f>IF('12 - Device_Configuration'!A496="","",'12 - Device_Configuration'!A496)</f>
        <v/>
      </c>
      <c r="I495" s="21" t="str">
        <f>IF('12 - Device_Configuration'!AI496="","",'12 - Device_Configuration'!AI496)</f>
        <v/>
      </c>
      <c r="J495" s="21" t="str">
        <f>IF('12 - Device_Configuration'!AJ496="","",'12 - Device_Configuration'!AJ496)</f>
        <v/>
      </c>
      <c r="K495" s="21" t="str">
        <f>IF('12 - Device_Configuration'!AA496="","",'12 - Device_Configuration'!AA496)</f>
        <v/>
      </c>
      <c r="L495" s="21" t="str">
        <f>IF('12 - Device_Configuration'!I496="","",'12 - Device_Configuration'!I496)</f>
        <v/>
      </c>
      <c r="M495" s="22"/>
      <c r="N495" s="21" t="str">
        <f>IF('12 - Device_Configuration'!J496="","",'12 - Device_Configuration'!J496)</f>
        <v/>
      </c>
      <c r="O495" s="21" t="str">
        <f>IF('12 - Device_Configuration'!K496="","",'12 - Device_Configuration'!K496)</f>
        <v/>
      </c>
      <c r="P495" s="21" t="str">
        <f>IF('12 - Device_Configuration'!L496="","",'12 - Device_Configuration'!L496)</f>
        <v/>
      </c>
      <c r="Q495" s="22"/>
      <c r="R495" s="21" t="str">
        <f>IF('12 - Device_Configuration'!AY496="","",'12 - Device_Configuration'!AY496)</f>
        <v/>
      </c>
      <c r="S495" s="21" t="str">
        <f>IF('12 - Device_Configuration'!AX496="","",'12 - Device_Configuration'!AX496)</f>
        <v/>
      </c>
      <c r="T495" s="21" t="str">
        <f>IF('12 - Device_Configuration'!AV496="","",'12 - Device_Configuration'!AV496)</f>
        <v/>
      </c>
      <c r="U495" s="21" t="str">
        <f>IF('12 - Device_Configuration'!AW496="","",'12 - Device_Configuration'!AW496)</f>
        <v/>
      </c>
      <c r="V495" s="21" t="str">
        <f>IF('12 - Device_Configuration'!BA496="","",'12 - Device_Configuration'!BA496)</f>
        <v/>
      </c>
      <c r="W495" s="21" t="str">
        <f>IF('12 - Device_Configuration'!BC496="","",'12 - Device_Configuration'!BC496)</f>
        <v/>
      </c>
      <c r="X495" s="21" t="str">
        <f>IF('12 - Device_Configuration'!BK496="","",'12 - Device_Configuration'!BK496)</f>
        <v/>
      </c>
      <c r="Y495" s="21" t="str">
        <f>IF('12 - Device_Configuration'!BB496="","",'12 - Device_Configuration'!BB496)</f>
        <v/>
      </c>
      <c r="Z495" s="21" t="str">
        <f>IF('12 - Device_Configuration'!P496="","",'12 - Device_Configuration'!P496)</f>
        <v/>
      </c>
      <c r="AA495" s="21" t="str">
        <f>IF('12 - Device_Configuration'!Q496="","",'12 - Device_Configuration'!Q496)</f>
        <v/>
      </c>
    </row>
    <row r="496" spans="1:27">
      <c r="A496" s="22"/>
      <c r="B496" s="22"/>
      <c r="C496" s="21" t="str">
        <f>IF('12 - Device_Configuration'!H497="","",'12 - Device_Configuration'!H497)</f>
        <v/>
      </c>
      <c r="D496" s="21" t="str">
        <f>IF('12 - Device_Configuration'!AE497="","",'12 - Device_Configuration'!AE497)</f>
        <v/>
      </c>
      <c r="E496" s="21" t="str">
        <f>IF('12 - Device_Configuration'!AF497="","",'12 - Device_Configuration'!AF497)</f>
        <v/>
      </c>
      <c r="F496" s="21" t="str">
        <f>IF('12 - Device_Configuration'!AG497="","",'12 - Device_Configuration'!AG497)</f>
        <v/>
      </c>
      <c r="G496" s="21" t="str">
        <f>IF('12 - Device_Configuration'!AH497="","",'12 - Device_Configuration'!AH497)</f>
        <v/>
      </c>
      <c r="H496" s="21" t="str">
        <f>IF('12 - Device_Configuration'!A497="","",'12 - Device_Configuration'!A497)</f>
        <v/>
      </c>
      <c r="I496" s="21" t="str">
        <f>IF('12 - Device_Configuration'!AI497="","",'12 - Device_Configuration'!AI497)</f>
        <v/>
      </c>
      <c r="J496" s="21" t="str">
        <f>IF('12 - Device_Configuration'!AJ497="","",'12 - Device_Configuration'!AJ497)</f>
        <v/>
      </c>
      <c r="K496" s="21" t="str">
        <f>IF('12 - Device_Configuration'!AA497="","",'12 - Device_Configuration'!AA497)</f>
        <v/>
      </c>
      <c r="L496" s="21" t="str">
        <f>IF('12 - Device_Configuration'!I497="","",'12 - Device_Configuration'!I497)</f>
        <v/>
      </c>
      <c r="M496" s="22"/>
      <c r="N496" s="21" t="str">
        <f>IF('12 - Device_Configuration'!J497="","",'12 - Device_Configuration'!J497)</f>
        <v/>
      </c>
      <c r="O496" s="21" t="str">
        <f>IF('12 - Device_Configuration'!K497="","",'12 - Device_Configuration'!K497)</f>
        <v/>
      </c>
      <c r="P496" s="21" t="str">
        <f>IF('12 - Device_Configuration'!L497="","",'12 - Device_Configuration'!L497)</f>
        <v/>
      </c>
      <c r="Q496" s="22"/>
      <c r="R496" s="21" t="str">
        <f>IF('12 - Device_Configuration'!AY497="","",'12 - Device_Configuration'!AY497)</f>
        <v/>
      </c>
      <c r="S496" s="21" t="str">
        <f>IF('12 - Device_Configuration'!AX497="","",'12 - Device_Configuration'!AX497)</f>
        <v/>
      </c>
      <c r="T496" s="21" t="str">
        <f>IF('12 - Device_Configuration'!AV497="","",'12 - Device_Configuration'!AV497)</f>
        <v/>
      </c>
      <c r="U496" s="21" t="str">
        <f>IF('12 - Device_Configuration'!AW497="","",'12 - Device_Configuration'!AW497)</f>
        <v/>
      </c>
      <c r="V496" s="21" t="str">
        <f>IF('12 - Device_Configuration'!BA497="","",'12 - Device_Configuration'!BA497)</f>
        <v/>
      </c>
      <c r="W496" s="21" t="str">
        <f>IF('12 - Device_Configuration'!BC497="","",'12 - Device_Configuration'!BC497)</f>
        <v/>
      </c>
      <c r="X496" s="21" t="str">
        <f>IF('12 - Device_Configuration'!BK497="","",'12 - Device_Configuration'!BK497)</f>
        <v/>
      </c>
      <c r="Y496" s="21" t="str">
        <f>IF('12 - Device_Configuration'!BB497="","",'12 - Device_Configuration'!BB497)</f>
        <v/>
      </c>
      <c r="Z496" s="21" t="str">
        <f>IF('12 - Device_Configuration'!P497="","",'12 - Device_Configuration'!P497)</f>
        <v/>
      </c>
      <c r="AA496" s="21" t="str">
        <f>IF('12 - Device_Configuration'!Q497="","",'12 - Device_Configuration'!Q497)</f>
        <v/>
      </c>
    </row>
    <row r="497" spans="1:27">
      <c r="A497" s="22"/>
      <c r="B497" s="22"/>
      <c r="C497" s="21" t="str">
        <f>IF('12 - Device_Configuration'!H498="","",'12 - Device_Configuration'!H498)</f>
        <v/>
      </c>
      <c r="D497" s="21" t="str">
        <f>IF('12 - Device_Configuration'!AE498="","",'12 - Device_Configuration'!AE498)</f>
        <v/>
      </c>
      <c r="E497" s="21" t="str">
        <f>IF('12 - Device_Configuration'!AF498="","",'12 - Device_Configuration'!AF498)</f>
        <v/>
      </c>
      <c r="F497" s="21" t="str">
        <f>IF('12 - Device_Configuration'!AG498="","",'12 - Device_Configuration'!AG498)</f>
        <v/>
      </c>
      <c r="G497" s="21" t="str">
        <f>IF('12 - Device_Configuration'!AH498="","",'12 - Device_Configuration'!AH498)</f>
        <v/>
      </c>
      <c r="H497" s="21" t="str">
        <f>IF('12 - Device_Configuration'!A498="","",'12 - Device_Configuration'!A498)</f>
        <v/>
      </c>
      <c r="I497" s="21" t="str">
        <f>IF('12 - Device_Configuration'!AI498="","",'12 - Device_Configuration'!AI498)</f>
        <v/>
      </c>
      <c r="J497" s="21" t="str">
        <f>IF('12 - Device_Configuration'!AJ498="","",'12 - Device_Configuration'!AJ498)</f>
        <v/>
      </c>
      <c r="K497" s="21" t="str">
        <f>IF('12 - Device_Configuration'!AA498="","",'12 - Device_Configuration'!AA498)</f>
        <v/>
      </c>
      <c r="L497" s="21" t="str">
        <f>IF('12 - Device_Configuration'!I498="","",'12 - Device_Configuration'!I498)</f>
        <v/>
      </c>
      <c r="M497" s="22"/>
      <c r="N497" s="21" t="str">
        <f>IF('12 - Device_Configuration'!J498="","",'12 - Device_Configuration'!J498)</f>
        <v/>
      </c>
      <c r="O497" s="21" t="str">
        <f>IF('12 - Device_Configuration'!K498="","",'12 - Device_Configuration'!K498)</f>
        <v/>
      </c>
      <c r="P497" s="21" t="str">
        <f>IF('12 - Device_Configuration'!L498="","",'12 - Device_Configuration'!L498)</f>
        <v/>
      </c>
      <c r="Q497" s="22"/>
      <c r="R497" s="21" t="str">
        <f>IF('12 - Device_Configuration'!AY498="","",'12 - Device_Configuration'!AY498)</f>
        <v/>
      </c>
      <c r="S497" s="21" t="str">
        <f>IF('12 - Device_Configuration'!AX498="","",'12 - Device_Configuration'!AX498)</f>
        <v/>
      </c>
      <c r="T497" s="21" t="str">
        <f>IF('12 - Device_Configuration'!AV498="","",'12 - Device_Configuration'!AV498)</f>
        <v/>
      </c>
      <c r="U497" s="21" t="str">
        <f>IF('12 - Device_Configuration'!AW498="","",'12 - Device_Configuration'!AW498)</f>
        <v/>
      </c>
      <c r="V497" s="21" t="str">
        <f>IF('12 - Device_Configuration'!BA498="","",'12 - Device_Configuration'!BA498)</f>
        <v/>
      </c>
      <c r="W497" s="21" t="str">
        <f>IF('12 - Device_Configuration'!BC498="","",'12 - Device_Configuration'!BC498)</f>
        <v/>
      </c>
      <c r="X497" s="21" t="str">
        <f>IF('12 - Device_Configuration'!BK498="","",'12 - Device_Configuration'!BK498)</f>
        <v/>
      </c>
      <c r="Y497" s="21" t="str">
        <f>IF('12 - Device_Configuration'!BB498="","",'12 - Device_Configuration'!BB498)</f>
        <v/>
      </c>
      <c r="Z497" s="21" t="str">
        <f>IF('12 - Device_Configuration'!P498="","",'12 - Device_Configuration'!P498)</f>
        <v/>
      </c>
      <c r="AA497" s="21" t="str">
        <f>IF('12 - Device_Configuration'!Q498="","",'12 - Device_Configuration'!Q498)</f>
        <v/>
      </c>
    </row>
    <row r="498" spans="1:27">
      <c r="A498" s="22"/>
      <c r="B498" s="22"/>
      <c r="C498" s="21" t="str">
        <f>IF('12 - Device_Configuration'!H499="","",'12 - Device_Configuration'!H499)</f>
        <v/>
      </c>
      <c r="D498" s="21" t="str">
        <f>IF('12 - Device_Configuration'!AE499="","",'12 - Device_Configuration'!AE499)</f>
        <v/>
      </c>
      <c r="E498" s="21" t="str">
        <f>IF('12 - Device_Configuration'!AF499="","",'12 - Device_Configuration'!AF499)</f>
        <v/>
      </c>
      <c r="F498" s="21" t="str">
        <f>IF('12 - Device_Configuration'!AG499="","",'12 - Device_Configuration'!AG499)</f>
        <v/>
      </c>
      <c r="G498" s="21" t="str">
        <f>IF('12 - Device_Configuration'!AH499="","",'12 - Device_Configuration'!AH499)</f>
        <v/>
      </c>
      <c r="H498" s="21" t="str">
        <f>IF('12 - Device_Configuration'!A499="","",'12 - Device_Configuration'!A499)</f>
        <v/>
      </c>
      <c r="I498" s="21" t="str">
        <f>IF('12 - Device_Configuration'!AI499="","",'12 - Device_Configuration'!AI499)</f>
        <v/>
      </c>
      <c r="J498" s="21" t="str">
        <f>IF('12 - Device_Configuration'!AJ499="","",'12 - Device_Configuration'!AJ499)</f>
        <v/>
      </c>
      <c r="K498" s="21" t="str">
        <f>IF('12 - Device_Configuration'!AA499="","",'12 - Device_Configuration'!AA499)</f>
        <v/>
      </c>
      <c r="L498" s="21" t="str">
        <f>IF('12 - Device_Configuration'!I499="","",'12 - Device_Configuration'!I499)</f>
        <v/>
      </c>
      <c r="M498" s="22"/>
      <c r="N498" s="21" t="str">
        <f>IF('12 - Device_Configuration'!J499="","",'12 - Device_Configuration'!J499)</f>
        <v/>
      </c>
      <c r="O498" s="21" t="str">
        <f>IF('12 - Device_Configuration'!K499="","",'12 - Device_Configuration'!K499)</f>
        <v/>
      </c>
      <c r="P498" s="21" t="str">
        <f>IF('12 - Device_Configuration'!L499="","",'12 - Device_Configuration'!L499)</f>
        <v/>
      </c>
      <c r="Q498" s="22"/>
      <c r="R498" s="21" t="str">
        <f>IF('12 - Device_Configuration'!AY499="","",'12 - Device_Configuration'!AY499)</f>
        <v/>
      </c>
      <c r="S498" s="21" t="str">
        <f>IF('12 - Device_Configuration'!AX499="","",'12 - Device_Configuration'!AX499)</f>
        <v/>
      </c>
      <c r="T498" s="21" t="str">
        <f>IF('12 - Device_Configuration'!AV499="","",'12 - Device_Configuration'!AV499)</f>
        <v/>
      </c>
      <c r="U498" s="21" t="str">
        <f>IF('12 - Device_Configuration'!AW499="","",'12 - Device_Configuration'!AW499)</f>
        <v/>
      </c>
      <c r="V498" s="21" t="str">
        <f>IF('12 - Device_Configuration'!BA499="","",'12 - Device_Configuration'!BA499)</f>
        <v/>
      </c>
      <c r="W498" s="21" t="str">
        <f>IF('12 - Device_Configuration'!BC499="","",'12 - Device_Configuration'!BC499)</f>
        <v/>
      </c>
      <c r="X498" s="21" t="str">
        <f>IF('12 - Device_Configuration'!BK499="","",'12 - Device_Configuration'!BK499)</f>
        <v/>
      </c>
      <c r="Y498" s="21" t="str">
        <f>IF('12 - Device_Configuration'!BB499="","",'12 - Device_Configuration'!BB499)</f>
        <v/>
      </c>
      <c r="Z498" s="21" t="str">
        <f>IF('12 - Device_Configuration'!P499="","",'12 - Device_Configuration'!P499)</f>
        <v/>
      </c>
      <c r="AA498" s="21" t="str">
        <f>IF('12 - Device_Configuration'!Q499="","",'12 - Device_Configuration'!Q499)</f>
        <v/>
      </c>
    </row>
    <row r="499" spans="1:27">
      <c r="A499" s="22"/>
      <c r="B499" s="22"/>
      <c r="C499" s="21" t="str">
        <f>IF('12 - Device_Configuration'!H500="","",'12 - Device_Configuration'!H500)</f>
        <v/>
      </c>
      <c r="D499" s="21" t="str">
        <f>IF('12 - Device_Configuration'!AE500="","",'12 - Device_Configuration'!AE500)</f>
        <v/>
      </c>
      <c r="E499" s="21" t="str">
        <f>IF('12 - Device_Configuration'!AF500="","",'12 - Device_Configuration'!AF500)</f>
        <v/>
      </c>
      <c r="F499" s="21" t="str">
        <f>IF('12 - Device_Configuration'!AG500="","",'12 - Device_Configuration'!AG500)</f>
        <v/>
      </c>
      <c r="G499" s="21" t="str">
        <f>IF('12 - Device_Configuration'!AH500="","",'12 - Device_Configuration'!AH500)</f>
        <v/>
      </c>
      <c r="H499" s="21" t="str">
        <f>IF('12 - Device_Configuration'!A500="","",'12 - Device_Configuration'!A500)</f>
        <v/>
      </c>
      <c r="I499" s="21" t="str">
        <f>IF('12 - Device_Configuration'!AI500="","",'12 - Device_Configuration'!AI500)</f>
        <v/>
      </c>
      <c r="J499" s="21" t="str">
        <f>IF('12 - Device_Configuration'!AJ500="","",'12 - Device_Configuration'!AJ500)</f>
        <v/>
      </c>
      <c r="K499" s="21" t="str">
        <f>IF('12 - Device_Configuration'!AA500="","",'12 - Device_Configuration'!AA500)</f>
        <v/>
      </c>
      <c r="L499" s="21" t="str">
        <f>IF('12 - Device_Configuration'!I500="","",'12 - Device_Configuration'!I500)</f>
        <v/>
      </c>
      <c r="M499" s="22"/>
      <c r="N499" s="21" t="str">
        <f>IF('12 - Device_Configuration'!J500="","",'12 - Device_Configuration'!J500)</f>
        <v/>
      </c>
      <c r="O499" s="21" t="str">
        <f>IF('12 - Device_Configuration'!K500="","",'12 - Device_Configuration'!K500)</f>
        <v/>
      </c>
      <c r="P499" s="21" t="str">
        <f>IF('12 - Device_Configuration'!L500="","",'12 - Device_Configuration'!L500)</f>
        <v/>
      </c>
      <c r="Q499" s="22"/>
      <c r="R499" s="21" t="str">
        <f>IF('12 - Device_Configuration'!AY500="","",'12 - Device_Configuration'!AY500)</f>
        <v/>
      </c>
      <c r="S499" s="21" t="str">
        <f>IF('12 - Device_Configuration'!AX500="","",'12 - Device_Configuration'!AX500)</f>
        <v/>
      </c>
      <c r="T499" s="21" t="str">
        <f>IF('12 - Device_Configuration'!AV500="","",'12 - Device_Configuration'!AV500)</f>
        <v/>
      </c>
      <c r="U499" s="21" t="str">
        <f>IF('12 - Device_Configuration'!AW500="","",'12 - Device_Configuration'!AW500)</f>
        <v/>
      </c>
      <c r="V499" s="21" t="str">
        <f>IF('12 - Device_Configuration'!BA500="","",'12 - Device_Configuration'!BA500)</f>
        <v/>
      </c>
      <c r="W499" s="21" t="str">
        <f>IF('12 - Device_Configuration'!BC500="","",'12 - Device_Configuration'!BC500)</f>
        <v/>
      </c>
      <c r="X499" s="21" t="str">
        <f>IF('12 - Device_Configuration'!BK500="","",'12 - Device_Configuration'!BK500)</f>
        <v/>
      </c>
      <c r="Y499" s="21" t="str">
        <f>IF('12 - Device_Configuration'!BB500="","",'12 - Device_Configuration'!BB500)</f>
        <v/>
      </c>
      <c r="Z499" s="21" t="str">
        <f>IF('12 - Device_Configuration'!P500="","",'12 - Device_Configuration'!P500)</f>
        <v/>
      </c>
      <c r="AA499" s="21" t="str">
        <f>IF('12 - Device_Configuration'!Q500="","",'12 - Device_Configuration'!Q500)</f>
        <v/>
      </c>
    </row>
    <row r="500" spans="1:27">
      <c r="A500" s="22"/>
      <c r="B500" s="22"/>
      <c r="C500" s="21" t="str">
        <f>IF('12 - Device_Configuration'!H501="","",'12 - Device_Configuration'!H501)</f>
        <v/>
      </c>
      <c r="D500" s="21" t="str">
        <f>IF('12 - Device_Configuration'!AE501="","",'12 - Device_Configuration'!AE501)</f>
        <v/>
      </c>
      <c r="E500" s="21" t="str">
        <f>IF('12 - Device_Configuration'!AF501="","",'12 - Device_Configuration'!AF501)</f>
        <v/>
      </c>
      <c r="F500" s="21" t="str">
        <f>IF('12 - Device_Configuration'!AG501="","",'12 - Device_Configuration'!AG501)</f>
        <v/>
      </c>
      <c r="G500" s="21" t="str">
        <f>IF('12 - Device_Configuration'!AH501="","",'12 - Device_Configuration'!AH501)</f>
        <v/>
      </c>
      <c r="H500" s="21" t="str">
        <f>IF('12 - Device_Configuration'!A501="","",'12 - Device_Configuration'!A501)</f>
        <v/>
      </c>
      <c r="I500" s="21" t="str">
        <f>IF('12 - Device_Configuration'!AI501="","",'12 - Device_Configuration'!AI501)</f>
        <v/>
      </c>
      <c r="J500" s="21" t="str">
        <f>IF('12 - Device_Configuration'!AJ501="","",'12 - Device_Configuration'!AJ501)</f>
        <v/>
      </c>
      <c r="K500" s="21" t="str">
        <f>IF('12 - Device_Configuration'!AA501="","",'12 - Device_Configuration'!AA501)</f>
        <v/>
      </c>
      <c r="L500" s="21" t="str">
        <f>IF('12 - Device_Configuration'!I501="","",'12 - Device_Configuration'!I501)</f>
        <v/>
      </c>
      <c r="M500" s="22"/>
      <c r="N500" s="21" t="str">
        <f>IF('12 - Device_Configuration'!J501="","",'12 - Device_Configuration'!J501)</f>
        <v/>
      </c>
      <c r="O500" s="21" t="str">
        <f>IF('12 - Device_Configuration'!K501="","",'12 - Device_Configuration'!K501)</f>
        <v/>
      </c>
      <c r="P500" s="21" t="str">
        <f>IF('12 - Device_Configuration'!L501="","",'12 - Device_Configuration'!L501)</f>
        <v/>
      </c>
      <c r="Q500" s="22"/>
      <c r="R500" s="21" t="str">
        <f>IF('12 - Device_Configuration'!AY501="","",'12 - Device_Configuration'!AY501)</f>
        <v/>
      </c>
      <c r="S500" s="21" t="str">
        <f>IF('12 - Device_Configuration'!AX501="","",'12 - Device_Configuration'!AX501)</f>
        <v/>
      </c>
      <c r="T500" s="21" t="str">
        <f>IF('12 - Device_Configuration'!AV501="","",'12 - Device_Configuration'!AV501)</f>
        <v/>
      </c>
      <c r="U500" s="21" t="str">
        <f>IF('12 - Device_Configuration'!AW501="","",'12 - Device_Configuration'!AW501)</f>
        <v/>
      </c>
      <c r="V500" s="21" t="str">
        <f>IF('12 - Device_Configuration'!BA501="","",'12 - Device_Configuration'!BA501)</f>
        <v/>
      </c>
      <c r="W500" s="21" t="str">
        <f>IF('12 - Device_Configuration'!BC501="","",'12 - Device_Configuration'!BC501)</f>
        <v/>
      </c>
      <c r="X500" s="21" t="str">
        <f>IF('12 - Device_Configuration'!BK501="","",'12 - Device_Configuration'!BK501)</f>
        <v/>
      </c>
      <c r="Y500" s="21" t="str">
        <f>IF('12 - Device_Configuration'!BB501="","",'12 - Device_Configuration'!BB501)</f>
        <v/>
      </c>
      <c r="Z500" s="21" t="str">
        <f>IF('12 - Device_Configuration'!P501="","",'12 - Device_Configuration'!P501)</f>
        <v/>
      </c>
      <c r="AA500" s="21" t="str">
        <f>IF('12 - Device_Configuration'!Q501="","",'12 - Device_Configuration'!Q501)</f>
        <v/>
      </c>
    </row>
    <row r="501" spans="1:27">
      <c r="A501" s="22"/>
      <c r="B501" s="22"/>
      <c r="C501" s="21" t="str">
        <f>IF('12 - Device_Configuration'!H502="","",'12 - Device_Configuration'!H502)</f>
        <v/>
      </c>
      <c r="D501" s="21" t="str">
        <f>IF('12 - Device_Configuration'!AE502="","",'12 - Device_Configuration'!AE502)</f>
        <v/>
      </c>
      <c r="E501" s="21" t="str">
        <f>IF('12 - Device_Configuration'!AF502="","",'12 - Device_Configuration'!AF502)</f>
        <v/>
      </c>
      <c r="F501" s="21" t="str">
        <f>IF('12 - Device_Configuration'!AG502="","",'12 - Device_Configuration'!AG502)</f>
        <v/>
      </c>
      <c r="G501" s="21" t="str">
        <f>IF('12 - Device_Configuration'!AH502="","",'12 - Device_Configuration'!AH502)</f>
        <v/>
      </c>
      <c r="H501" s="21" t="str">
        <f>IF('12 - Device_Configuration'!A502="","",'12 - Device_Configuration'!A502)</f>
        <v/>
      </c>
      <c r="I501" s="21" t="str">
        <f>IF('12 - Device_Configuration'!AI502="","",'12 - Device_Configuration'!AI502)</f>
        <v/>
      </c>
      <c r="J501" s="21" t="str">
        <f>IF('12 - Device_Configuration'!AJ502="","",'12 - Device_Configuration'!AJ502)</f>
        <v/>
      </c>
      <c r="K501" s="21" t="str">
        <f>IF('12 - Device_Configuration'!AA502="","",'12 - Device_Configuration'!AA502)</f>
        <v/>
      </c>
      <c r="L501" s="21" t="str">
        <f>IF('12 - Device_Configuration'!I502="","",'12 - Device_Configuration'!I502)</f>
        <v/>
      </c>
      <c r="M501" s="22"/>
      <c r="N501" s="21" t="str">
        <f>IF('12 - Device_Configuration'!J502="","",'12 - Device_Configuration'!J502)</f>
        <v/>
      </c>
      <c r="O501" s="21" t="str">
        <f>IF('12 - Device_Configuration'!K502="","",'12 - Device_Configuration'!K502)</f>
        <v/>
      </c>
      <c r="P501" s="21" t="str">
        <f>IF('12 - Device_Configuration'!L502="","",'12 - Device_Configuration'!L502)</f>
        <v/>
      </c>
      <c r="Q501" s="22"/>
      <c r="R501" s="21" t="str">
        <f>IF('12 - Device_Configuration'!AY502="","",'12 - Device_Configuration'!AY502)</f>
        <v/>
      </c>
      <c r="S501" s="21" t="str">
        <f>IF('12 - Device_Configuration'!AX502="","",'12 - Device_Configuration'!AX502)</f>
        <v/>
      </c>
      <c r="T501" s="21" t="str">
        <f>IF('12 - Device_Configuration'!AV502="","",'12 - Device_Configuration'!AV502)</f>
        <v/>
      </c>
      <c r="U501" s="21" t="str">
        <f>IF('12 - Device_Configuration'!AW502="","",'12 - Device_Configuration'!AW502)</f>
        <v/>
      </c>
      <c r="V501" s="21" t="str">
        <f>IF('12 - Device_Configuration'!BA502="","",'12 - Device_Configuration'!BA502)</f>
        <v/>
      </c>
      <c r="W501" s="21" t="str">
        <f>IF('12 - Device_Configuration'!BC502="","",'12 - Device_Configuration'!BC502)</f>
        <v/>
      </c>
      <c r="X501" s="21" t="str">
        <f>IF('12 - Device_Configuration'!BK502="","",'12 - Device_Configuration'!BK502)</f>
        <v/>
      </c>
      <c r="Y501" s="21" t="str">
        <f>IF('12 - Device_Configuration'!BB502="","",'12 - Device_Configuration'!BB502)</f>
        <v/>
      </c>
      <c r="Z501" s="21" t="str">
        <f>IF('12 - Device_Configuration'!P502="","",'12 - Device_Configuration'!P502)</f>
        <v/>
      </c>
      <c r="AA501" s="21" t="str">
        <f>IF('12 - Device_Configuration'!Q502="","",'12 - Device_Configuration'!Q502)</f>
        <v/>
      </c>
    </row>
    <row r="502" spans="1:27">
      <c r="A502" s="22"/>
      <c r="B502" s="22"/>
      <c r="C502" s="21" t="str">
        <f>IF('12 - Device_Configuration'!H503="","",'12 - Device_Configuration'!H503)</f>
        <v/>
      </c>
      <c r="D502" s="21" t="str">
        <f>IF('12 - Device_Configuration'!AE503="","",'12 - Device_Configuration'!AE503)</f>
        <v/>
      </c>
      <c r="E502" s="21" t="str">
        <f>IF('12 - Device_Configuration'!AF503="","",'12 - Device_Configuration'!AF503)</f>
        <v/>
      </c>
      <c r="F502" s="21" t="str">
        <f>IF('12 - Device_Configuration'!AG503="","",'12 - Device_Configuration'!AG503)</f>
        <v/>
      </c>
      <c r="G502" s="21" t="str">
        <f>IF('12 - Device_Configuration'!AH503="","",'12 - Device_Configuration'!AH503)</f>
        <v/>
      </c>
      <c r="H502" s="21" t="str">
        <f>IF('12 - Device_Configuration'!A503="","",'12 - Device_Configuration'!A503)</f>
        <v/>
      </c>
      <c r="I502" s="21" t="str">
        <f>IF('12 - Device_Configuration'!AI503="","",'12 - Device_Configuration'!AI503)</f>
        <v/>
      </c>
      <c r="J502" s="21" t="str">
        <f>IF('12 - Device_Configuration'!AJ503="","",'12 - Device_Configuration'!AJ503)</f>
        <v/>
      </c>
      <c r="K502" s="21" t="str">
        <f>IF('12 - Device_Configuration'!AA503="","",'12 - Device_Configuration'!AA503)</f>
        <v/>
      </c>
      <c r="L502" s="21" t="str">
        <f>IF('12 - Device_Configuration'!I503="","",'12 - Device_Configuration'!I503)</f>
        <v/>
      </c>
      <c r="M502" s="22"/>
      <c r="N502" s="21" t="str">
        <f>IF('12 - Device_Configuration'!J503="","",'12 - Device_Configuration'!J503)</f>
        <v/>
      </c>
      <c r="O502" s="21" t="str">
        <f>IF('12 - Device_Configuration'!K503="","",'12 - Device_Configuration'!K503)</f>
        <v/>
      </c>
      <c r="P502" s="21" t="str">
        <f>IF('12 - Device_Configuration'!L503="","",'12 - Device_Configuration'!L503)</f>
        <v/>
      </c>
      <c r="Q502" s="22"/>
      <c r="R502" s="21" t="str">
        <f>IF('12 - Device_Configuration'!AY503="","",'12 - Device_Configuration'!AY503)</f>
        <v/>
      </c>
      <c r="S502" s="21" t="str">
        <f>IF('12 - Device_Configuration'!AX503="","",'12 - Device_Configuration'!AX503)</f>
        <v/>
      </c>
      <c r="T502" s="21" t="str">
        <f>IF('12 - Device_Configuration'!AV503="","",'12 - Device_Configuration'!AV503)</f>
        <v/>
      </c>
      <c r="U502" s="21" t="str">
        <f>IF('12 - Device_Configuration'!AW503="","",'12 - Device_Configuration'!AW503)</f>
        <v/>
      </c>
      <c r="V502" s="21" t="str">
        <f>IF('12 - Device_Configuration'!BA503="","",'12 - Device_Configuration'!BA503)</f>
        <v/>
      </c>
      <c r="W502" s="21" t="str">
        <f>IF('12 - Device_Configuration'!BC503="","",'12 - Device_Configuration'!BC503)</f>
        <v/>
      </c>
      <c r="X502" s="21" t="str">
        <f>IF('12 - Device_Configuration'!BK503="","",'12 - Device_Configuration'!BK503)</f>
        <v/>
      </c>
      <c r="Y502" s="21" t="str">
        <f>IF('12 - Device_Configuration'!BB503="","",'12 - Device_Configuration'!BB503)</f>
        <v/>
      </c>
      <c r="Z502" s="21" t="str">
        <f>IF('12 - Device_Configuration'!P503="","",'12 - Device_Configuration'!P503)</f>
        <v/>
      </c>
      <c r="AA502" s="21" t="str">
        <f>IF('12 - Device_Configuration'!Q503="","",'12 - Device_Configuration'!Q503)</f>
        <v/>
      </c>
    </row>
    <row r="503" spans="1:27">
      <c r="A503" s="22"/>
      <c r="B503" s="22"/>
      <c r="C503" s="21" t="str">
        <f>IF('12 - Device_Configuration'!H504="","",'12 - Device_Configuration'!H504)</f>
        <v/>
      </c>
      <c r="D503" s="21" t="str">
        <f>IF('12 - Device_Configuration'!AE504="","",'12 - Device_Configuration'!AE504)</f>
        <v/>
      </c>
      <c r="E503" s="21" t="str">
        <f>IF('12 - Device_Configuration'!AF504="","",'12 - Device_Configuration'!AF504)</f>
        <v/>
      </c>
      <c r="F503" s="21" t="str">
        <f>IF('12 - Device_Configuration'!AG504="","",'12 - Device_Configuration'!AG504)</f>
        <v/>
      </c>
      <c r="G503" s="21" t="str">
        <f>IF('12 - Device_Configuration'!AH504="","",'12 - Device_Configuration'!AH504)</f>
        <v/>
      </c>
      <c r="H503" s="21" t="str">
        <f>IF('12 - Device_Configuration'!A504="","",'12 - Device_Configuration'!A504)</f>
        <v/>
      </c>
      <c r="I503" s="21" t="str">
        <f>IF('12 - Device_Configuration'!AI504="","",'12 - Device_Configuration'!AI504)</f>
        <v/>
      </c>
      <c r="J503" s="21" t="str">
        <f>IF('12 - Device_Configuration'!AJ504="","",'12 - Device_Configuration'!AJ504)</f>
        <v/>
      </c>
      <c r="K503" s="21" t="str">
        <f>IF('12 - Device_Configuration'!AA504="","",'12 - Device_Configuration'!AA504)</f>
        <v/>
      </c>
      <c r="L503" s="21" t="str">
        <f>IF('12 - Device_Configuration'!I504="","",'12 - Device_Configuration'!I504)</f>
        <v/>
      </c>
      <c r="M503" s="22"/>
      <c r="N503" s="21" t="str">
        <f>IF('12 - Device_Configuration'!J504="","",'12 - Device_Configuration'!J504)</f>
        <v/>
      </c>
      <c r="O503" s="21" t="str">
        <f>IF('12 - Device_Configuration'!K504="","",'12 - Device_Configuration'!K504)</f>
        <v/>
      </c>
      <c r="P503" s="21" t="str">
        <f>IF('12 - Device_Configuration'!L504="","",'12 - Device_Configuration'!L504)</f>
        <v/>
      </c>
      <c r="Q503" s="22"/>
      <c r="R503" s="21" t="str">
        <f>IF('12 - Device_Configuration'!AY504="","",'12 - Device_Configuration'!AY504)</f>
        <v/>
      </c>
      <c r="S503" s="21" t="str">
        <f>IF('12 - Device_Configuration'!AX504="","",'12 - Device_Configuration'!AX504)</f>
        <v/>
      </c>
      <c r="T503" s="21" t="str">
        <f>IF('12 - Device_Configuration'!AV504="","",'12 - Device_Configuration'!AV504)</f>
        <v/>
      </c>
      <c r="U503" s="21" t="str">
        <f>IF('12 - Device_Configuration'!AW504="","",'12 - Device_Configuration'!AW504)</f>
        <v/>
      </c>
      <c r="V503" s="21" t="str">
        <f>IF('12 - Device_Configuration'!BA504="","",'12 - Device_Configuration'!BA504)</f>
        <v/>
      </c>
      <c r="W503" s="21" t="str">
        <f>IF('12 - Device_Configuration'!BC504="","",'12 - Device_Configuration'!BC504)</f>
        <v/>
      </c>
      <c r="X503" s="21" t="str">
        <f>IF('12 - Device_Configuration'!BK504="","",'12 - Device_Configuration'!BK504)</f>
        <v/>
      </c>
      <c r="Y503" s="21" t="str">
        <f>IF('12 - Device_Configuration'!BB504="","",'12 - Device_Configuration'!BB504)</f>
        <v/>
      </c>
      <c r="Z503" s="21" t="str">
        <f>IF('12 - Device_Configuration'!P504="","",'12 - Device_Configuration'!P504)</f>
        <v/>
      </c>
      <c r="AA503" s="21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1392</v>
      </c>
      <c r="B1" s="42" t="s">
        <v>1416</v>
      </c>
      <c r="C1" s="42" t="s">
        <v>1417</v>
      </c>
      <c r="D1" s="42" t="s">
        <v>1398</v>
      </c>
      <c r="E1" s="42" t="s">
        <v>1402</v>
      </c>
      <c r="F1" s="42" t="s">
        <v>1403</v>
      </c>
      <c r="G1" s="42" t="s">
        <v>1404</v>
      </c>
      <c r="H1" s="42" t="s">
        <v>1401</v>
      </c>
      <c r="I1" s="42" t="s">
        <v>1418</v>
      </c>
      <c r="J1" s="42" t="s">
        <v>1419</v>
      </c>
      <c r="K1" s="42" t="s">
        <v>1420</v>
      </c>
      <c r="L1" s="42" t="s">
        <v>1413</v>
      </c>
      <c r="M1" s="42" t="s">
        <v>1414</v>
      </c>
      <c r="N1" s="42" t="s">
        <v>1412</v>
      </c>
      <c r="O1" s="42" t="s">
        <v>1421</v>
      </c>
      <c r="P1" s="42" t="s">
        <v>1410</v>
      </c>
      <c r="Q1" s="42" t="s">
        <v>1422</v>
      </c>
      <c r="R1" s="42" t="s">
        <v>1423</v>
      </c>
      <c r="S1" s="42" t="s">
        <v>1424</v>
      </c>
      <c r="T1" s="42" t="s">
        <v>1425</v>
      </c>
    </row>
    <row r="2" spans="1:20">
      <c r="A2" s="23" t="str">
        <f>'12 - Device_Configuration'!H2</f>
        <v>LIJ SDF</v>
      </c>
      <c r="B2" s="23" t="str">
        <f>'12 - Device_Configuration'!S2</f>
        <v>LIJ-SDF-MACH-A</v>
      </c>
      <c r="C2" s="23" t="str">
        <f>'12 - Device_Configuration'!T2</f>
        <v>A0F5097FEC20</v>
      </c>
      <c r="D2" s="15" t="str">
        <f>'12 - Device_Configuration'!AJ2</f>
        <v>2008T</v>
      </c>
      <c r="E2" s="15" t="str">
        <f>'12 - Device_Configuration'!J2</f>
        <v>NA</v>
      </c>
      <c r="F2" s="23" t="str">
        <f>'12 - Device_Configuration'!K2</f>
        <v>NA</v>
      </c>
      <c r="G2" s="15" t="str">
        <f>'12 - Device_Configuration'!L2</f>
        <v>NA</v>
      </c>
      <c r="H2" s="15">
        <f>'13 - Config_Intake_View'!M2</f>
        <v>0</v>
      </c>
      <c r="I2" s="23" t="str">
        <f>IF('13 - Config_Intake_View'!Q2&lt;&gt;"",'13 - Config_Intake_View'!Q2,'12 - Device_Configuration'!BH2)</f>
        <v>test</v>
      </c>
      <c r="J2" s="15" t="str">
        <f>IF('13 - Config_Intake_View'!Q2&lt;&gt;"","PM Approved",IF('12 - Device_Configuration'!BH2&lt;&gt;"","Assumed",""))</f>
        <v>Assumed</v>
      </c>
      <c r="K2" s="23" t="str">
        <f>'12 - Device_Configuration'!BG2</f>
        <v>Yes</v>
      </c>
      <c r="L2" s="15">
        <f>'12 - Device_Configuration'!P2</f>
        <v>0</v>
      </c>
      <c r="M2" s="15">
        <f>'12 - Device_Configuration'!Q2</f>
        <v>0</v>
      </c>
      <c r="N2" s="15" t="str">
        <f>'12 - Device_Configuration'!BK2</f>
        <v>Power Cable, Battery, Epic Beans Relay</v>
      </c>
      <c r="O2" s="23" t="str">
        <f>'12 - Device_Configuration'!BL2</f>
        <v>Blocked</v>
      </c>
      <c r="P2" s="2" t="str">
        <f>'12 - Device_Configuration'!BA2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'12 - Device_Configuration'!H3</f>
        <v>LIJ SDF</v>
      </c>
      <c r="B3" s="23" t="str">
        <f>'12 - Device_Configuration'!S3</f>
        <v>LIJ-SDF-MACH-B</v>
      </c>
      <c r="C3" s="23" t="str">
        <f>'12 - Device_Configuration'!T3</f>
        <v>A0F5097FEEFA</v>
      </c>
      <c r="D3" s="15" t="str">
        <f>'12 - Device_Configuration'!AJ3</f>
        <v>2008T</v>
      </c>
      <c r="E3" s="15" t="str">
        <f>'12 - Device_Configuration'!J3</f>
        <v>NA</v>
      </c>
      <c r="F3" s="23" t="str">
        <f>'12 - Device_Configuration'!K3</f>
        <v>NA</v>
      </c>
      <c r="G3" s="15" t="str">
        <f>'12 - Device_Configuration'!L3</f>
        <v>NA</v>
      </c>
      <c r="H3" s="15">
        <f>'13 - Config_Intake_View'!M3</f>
        <v>0</v>
      </c>
      <c r="I3" s="23">
        <f>IF('13 - Config_Intake_View'!Q3&lt;&gt;"",'13 - Config_Intake_View'!Q3,'12 - Device_Configuration'!BH3)</f>
        <v>0</v>
      </c>
      <c r="J3" s="15" t="str">
        <f>IF('13 - Config_Intake_View'!Q3&lt;&gt;"","PM Approved",IF('12 - Device_Configuration'!BH3&lt;&gt;"","Assumed",""))</f>
        <v/>
      </c>
      <c r="K3" s="23" t="str">
        <f>'12 - Device_Configuration'!BG3</f>
        <v>Yes</v>
      </c>
      <c r="L3" s="15">
        <f>'12 - Device_Configuration'!P3</f>
        <v>0</v>
      </c>
      <c r="M3" s="15">
        <f>'12 - Device_Configuration'!Q3</f>
        <v>0</v>
      </c>
      <c r="N3" s="15" t="str">
        <f>'12 - Device_Configuration'!BK3</f>
        <v>Power Cable, Battery, Epic Beans Relay</v>
      </c>
      <c r="O3" s="23" t="str">
        <f>'12 - Device_Configuration'!BL3</f>
        <v>Blocked</v>
      </c>
      <c r="P3" s="2" t="str">
        <f>'12 - Device_Configuration'!BA3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'12 - Device_Configuration'!H4</f>
        <v>LIJ SDF</v>
      </c>
      <c r="B4" s="23" t="str">
        <f>'12 - Device_Configuration'!S4</f>
        <v>LIJ-SDF-MACH-C</v>
      </c>
      <c r="C4" s="23" t="str">
        <f>'12 - Device_Configuration'!T4</f>
        <v>A0F5097B89E1</v>
      </c>
      <c r="D4" s="15" t="str">
        <f>'12 - Device_Configuration'!AJ4</f>
        <v>2008T</v>
      </c>
      <c r="E4" s="15" t="str">
        <f>'12 - Device_Configuration'!J4</f>
        <v>NA</v>
      </c>
      <c r="F4" s="23" t="str">
        <f>'12 - Device_Configuration'!K4</f>
        <v>NA</v>
      </c>
      <c r="G4" s="15" t="str">
        <f>'12 - Device_Configuration'!L4</f>
        <v>NA</v>
      </c>
      <c r="H4" s="15">
        <f>'13 - Config_Intake_View'!M4</f>
        <v>0</v>
      </c>
      <c r="I4" s="23">
        <f>IF('13 - Config_Intake_View'!Q4&lt;&gt;"",'13 - Config_Intake_View'!Q4,'12 - Device_Configuration'!BH4)</f>
        <v>0</v>
      </c>
      <c r="J4" s="15" t="str">
        <f>IF('13 - Config_Intake_View'!Q4&lt;&gt;"","PM Approved",IF('12 - Device_Configuration'!BH4&lt;&gt;"","Assumed",""))</f>
        <v/>
      </c>
      <c r="K4" s="23" t="str">
        <f>'12 - Device_Configuration'!BG4</f>
        <v>Yes</v>
      </c>
      <c r="L4" s="15">
        <f>'12 - Device_Configuration'!P4</f>
        <v>0</v>
      </c>
      <c r="M4" s="15">
        <f>'12 - Device_Configuration'!Q4</f>
        <v>0</v>
      </c>
      <c r="N4" s="15" t="str">
        <f>'12 - Device_Configuration'!BK4</f>
        <v>Power Cable, Battery, Epic Beans Relay</v>
      </c>
      <c r="O4" s="23" t="str">
        <f>'12 - Device_Configuration'!BL4</f>
        <v>Blocked</v>
      </c>
      <c r="P4" s="2" t="str">
        <f>'12 - Device_Configuration'!BA4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'12 - Device_Configuration'!H5</f>
        <v>LIJ SDF</v>
      </c>
      <c r="B5" s="23" t="str">
        <f>'12 - Device_Configuration'!S5</f>
        <v>LIJ-SDF-MACH-D</v>
      </c>
      <c r="C5" s="23" t="str">
        <f>'12 - Device_Configuration'!T5</f>
        <v>A0F5097FE484</v>
      </c>
      <c r="D5" s="15" t="str">
        <f>'12 - Device_Configuration'!AJ5</f>
        <v>2008T</v>
      </c>
      <c r="E5" s="15" t="str">
        <f>'12 - Device_Configuration'!J5</f>
        <v>NA</v>
      </c>
      <c r="F5" s="23" t="str">
        <f>'12 - Device_Configuration'!K5</f>
        <v>NA</v>
      </c>
      <c r="G5" s="15" t="str">
        <f>'12 - Device_Configuration'!L5</f>
        <v>NA</v>
      </c>
      <c r="H5" s="15">
        <f>'13 - Config_Intake_View'!M5</f>
        <v>0</v>
      </c>
      <c r="I5" s="23">
        <f>IF('13 - Config_Intake_View'!Q5&lt;&gt;"",'13 - Config_Intake_View'!Q5,'12 - Device_Configuration'!BH5)</f>
        <v>0</v>
      </c>
      <c r="J5" s="15" t="str">
        <f>IF('13 - Config_Intake_View'!Q5&lt;&gt;"","PM Approved",IF('12 - Device_Configuration'!BH5&lt;&gt;"","Assumed",""))</f>
        <v/>
      </c>
      <c r="K5" s="23" t="str">
        <f>'12 - Device_Configuration'!BG5</f>
        <v>Yes</v>
      </c>
      <c r="L5" s="15">
        <f>'12 - Device_Configuration'!P5</f>
        <v>0</v>
      </c>
      <c r="M5" s="15">
        <f>'12 - Device_Configuration'!Q5</f>
        <v>0</v>
      </c>
      <c r="N5" s="15" t="str">
        <f>'12 - Device_Configuration'!BK5</f>
        <v>Power Cable, Battery, Epic Beans Relay</v>
      </c>
      <c r="O5" s="23" t="str">
        <f>'12 - Device_Configuration'!BL5</f>
        <v>Blocked</v>
      </c>
      <c r="P5" s="2" t="str">
        <f>'12 - Device_Configuration'!BA5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'12 - Device_Configuration'!H6</f>
        <v>LIJ SDF</v>
      </c>
      <c r="B6" s="23" t="str">
        <f>'12 - Device_Configuration'!S6</f>
        <v>LIJ-SDF-MACH-E</v>
      </c>
      <c r="C6" s="23" t="str">
        <f>'12 - Device_Configuration'!T6</f>
        <v>A0F5097FF05E</v>
      </c>
      <c r="D6" s="15" t="str">
        <f>'12 - Device_Configuration'!AJ6</f>
        <v>2008T</v>
      </c>
      <c r="E6" s="15" t="str">
        <f>'12 - Device_Configuration'!J6</f>
        <v>NA</v>
      </c>
      <c r="F6" s="23" t="str">
        <f>'12 - Device_Configuration'!K6</f>
        <v>NA</v>
      </c>
      <c r="G6" s="15" t="str">
        <f>'12 - Device_Configuration'!L6</f>
        <v>NA</v>
      </c>
      <c r="H6" s="15">
        <f>'13 - Config_Intake_View'!M6</f>
        <v>0</v>
      </c>
      <c r="I6" s="23">
        <f>IF('13 - Config_Intake_View'!Q6&lt;&gt;"",'13 - Config_Intake_View'!Q6,'12 - Device_Configuration'!BH6)</f>
        <v>0</v>
      </c>
      <c r="J6" s="15" t="str">
        <f>IF('13 - Config_Intake_View'!Q6&lt;&gt;"","PM Approved",IF('12 - Device_Configuration'!BH6&lt;&gt;"","Assumed",""))</f>
        <v/>
      </c>
      <c r="K6" s="23" t="str">
        <f>'12 - Device_Configuration'!BG6</f>
        <v>Yes</v>
      </c>
      <c r="L6" s="15">
        <f>'12 - Device_Configuration'!P6</f>
        <v>0</v>
      </c>
      <c r="M6" s="15">
        <f>'12 - Device_Configuration'!Q6</f>
        <v>0</v>
      </c>
      <c r="N6" s="15" t="str">
        <f>'12 - Device_Configuration'!BK6</f>
        <v>Power Cable, Battery, Epic Beans Relay</v>
      </c>
      <c r="O6" s="23" t="str">
        <f>'12 - Device_Configuration'!BL6</f>
        <v>Blocked</v>
      </c>
      <c r="P6" s="2" t="str">
        <f>'12 - Device_Configuration'!BA6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'12 - Device_Configuration'!H7</f>
        <v>LIJ SDF</v>
      </c>
      <c r="B7" s="23" t="str">
        <f>'12 - Device_Configuration'!S7</f>
        <v>LIJ-SDF-MACH-F</v>
      </c>
      <c r="C7" s="23" t="str">
        <f>'12 - Device_Configuration'!T7</f>
        <v>A0F5097FE3A5</v>
      </c>
      <c r="D7" s="15" t="str">
        <f>'12 - Device_Configuration'!AJ7</f>
        <v>2008T</v>
      </c>
      <c r="E7" s="15" t="str">
        <f>'12 - Device_Configuration'!J7</f>
        <v>NA</v>
      </c>
      <c r="F7" s="23" t="str">
        <f>'12 - Device_Configuration'!K7</f>
        <v>NA</v>
      </c>
      <c r="G7" s="15" t="str">
        <f>'12 - Device_Configuration'!L7</f>
        <v>NA</v>
      </c>
      <c r="H7" s="15">
        <f>'13 - Config_Intake_View'!M7</f>
        <v>0</v>
      </c>
      <c r="I7" s="23">
        <f>IF('13 - Config_Intake_View'!Q7&lt;&gt;"",'13 - Config_Intake_View'!Q7,'12 - Device_Configuration'!BH7)</f>
        <v>0</v>
      </c>
      <c r="J7" s="15" t="str">
        <f>IF('13 - Config_Intake_View'!Q7&lt;&gt;"","PM Approved",IF('12 - Device_Configuration'!BH7&lt;&gt;"","Assumed",""))</f>
        <v/>
      </c>
      <c r="K7" s="23" t="str">
        <f>'12 - Device_Configuration'!BG7</f>
        <v>Yes</v>
      </c>
      <c r="L7" s="15">
        <f>'12 - Device_Configuration'!P7</f>
        <v>0</v>
      </c>
      <c r="M7" s="15">
        <f>'12 - Device_Configuration'!Q7</f>
        <v>0</v>
      </c>
      <c r="N7" s="15" t="str">
        <f>'12 - Device_Configuration'!BK7</f>
        <v>Power Cable, Battery, Epic Beans Relay</v>
      </c>
      <c r="O7" s="23" t="str">
        <f>'12 - Device_Configuration'!BL7</f>
        <v>Blocked</v>
      </c>
      <c r="P7" s="2" t="str">
        <f>'12 - Device_Configuration'!BA7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'12 - Device_Configuration'!H8</f>
        <v>LIJ SDF</v>
      </c>
      <c r="B8" s="23" t="str">
        <f>'12 - Device_Configuration'!S8</f>
        <v>LIJ-SDF-MACH-G</v>
      </c>
      <c r="C8" s="23" t="str">
        <f>'12 - Device_Configuration'!T8</f>
        <v>A0F5097FE012</v>
      </c>
      <c r="D8" s="15" t="str">
        <f>'12 - Device_Configuration'!AJ8</f>
        <v>2008T</v>
      </c>
      <c r="E8" s="15" t="str">
        <f>'12 - Device_Configuration'!J8</f>
        <v>NA</v>
      </c>
      <c r="F8" s="23" t="str">
        <f>'12 - Device_Configuration'!K8</f>
        <v>NA</v>
      </c>
      <c r="G8" s="15" t="str">
        <f>'12 - Device_Configuration'!L8</f>
        <v>NA</v>
      </c>
      <c r="H8" s="15">
        <f>'13 - Config_Intake_View'!M8</f>
        <v>0</v>
      </c>
      <c r="I8" s="23">
        <f>IF('13 - Config_Intake_View'!Q8&lt;&gt;"",'13 - Config_Intake_View'!Q8,'12 - Device_Configuration'!BH8)</f>
        <v>0</v>
      </c>
      <c r="J8" s="15" t="str">
        <f>IF('13 - Config_Intake_View'!Q8&lt;&gt;"","PM Approved",IF('12 - Device_Configuration'!BH8&lt;&gt;"","Assumed",""))</f>
        <v/>
      </c>
      <c r="K8" s="23" t="str">
        <f>'12 - Device_Configuration'!BG8</f>
        <v>Yes</v>
      </c>
      <c r="L8" s="15">
        <f>'12 - Device_Configuration'!P8</f>
        <v>0</v>
      </c>
      <c r="M8" s="15">
        <f>'12 - Device_Configuration'!Q8</f>
        <v>0</v>
      </c>
      <c r="N8" s="15" t="str">
        <f>'12 - Device_Configuration'!BK8</f>
        <v>Power Cable, Battery, Epic Beans Relay</v>
      </c>
      <c r="O8" s="23" t="str">
        <f>'12 - Device_Configuration'!BL8</f>
        <v>Blocked</v>
      </c>
      <c r="P8" s="2" t="str">
        <f>'12 - Device_Configuration'!BA8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'12 - Device_Configuration'!H9</f>
        <v>LIJ SDF</v>
      </c>
      <c r="B9" s="23" t="str">
        <f>'12 - Device_Configuration'!S9</f>
        <v>LIJ-SDF-MACH-H</v>
      </c>
      <c r="C9" s="23" t="str">
        <f>'12 - Device_Configuration'!T9</f>
        <v>A0F5097FEB57</v>
      </c>
      <c r="D9" s="15" t="str">
        <f>'12 - Device_Configuration'!AJ9</f>
        <v>2008T</v>
      </c>
      <c r="E9" s="15" t="str">
        <f>'12 - Device_Configuration'!J9</f>
        <v>NA</v>
      </c>
      <c r="F9" s="23" t="str">
        <f>'12 - Device_Configuration'!K9</f>
        <v>NA</v>
      </c>
      <c r="G9" s="15" t="str">
        <f>'12 - Device_Configuration'!L9</f>
        <v>NA</v>
      </c>
      <c r="H9" s="15">
        <f>'13 - Config_Intake_View'!M9</f>
        <v>0</v>
      </c>
      <c r="I9" s="23">
        <f>IF('13 - Config_Intake_View'!Q9&lt;&gt;"",'13 - Config_Intake_View'!Q9,'12 - Device_Configuration'!BH9)</f>
        <v>0</v>
      </c>
      <c r="J9" s="15" t="str">
        <f>IF('13 - Config_Intake_View'!Q9&lt;&gt;"","PM Approved",IF('12 - Device_Configuration'!BH9&lt;&gt;"","Assumed",""))</f>
        <v/>
      </c>
      <c r="K9" s="23" t="str">
        <f>'12 - Device_Configuration'!BG9</f>
        <v>Yes</v>
      </c>
      <c r="L9" s="15">
        <f>'12 - Device_Configuration'!P9</f>
        <v>0</v>
      </c>
      <c r="M9" s="15">
        <f>'12 - Device_Configuration'!Q9</f>
        <v>0</v>
      </c>
      <c r="N9" s="15" t="str">
        <f>'12 - Device_Configuration'!BK9</f>
        <v>Power Cable, Battery, Epic Beans Relay</v>
      </c>
      <c r="O9" s="23" t="str">
        <f>'12 - Device_Configuration'!BL9</f>
        <v>Blocked</v>
      </c>
      <c r="P9" s="2" t="str">
        <f>'12 - Device_Configuration'!BA9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'12 - Device_Configuration'!H10</f>
        <v>LIJ SDF</v>
      </c>
      <c r="B10" s="23" t="str">
        <f>'12 - Device_Configuration'!S10</f>
        <v>LIJ-SDF-MACH-I</v>
      </c>
      <c r="C10" s="23" t="str">
        <f>'12 - Device_Configuration'!T10</f>
        <v>A0F5097FDF60</v>
      </c>
      <c r="D10" s="15" t="str">
        <f>'12 - Device_Configuration'!AJ10</f>
        <v>2008T</v>
      </c>
      <c r="E10" s="15" t="str">
        <f>'12 - Device_Configuration'!J10</f>
        <v>NA</v>
      </c>
      <c r="F10" s="23" t="str">
        <f>'12 - Device_Configuration'!K10</f>
        <v>NA</v>
      </c>
      <c r="G10" s="15" t="str">
        <f>'12 - Device_Configuration'!L10</f>
        <v>NA</v>
      </c>
      <c r="H10" s="15">
        <f>'13 - Config_Intake_View'!M10</f>
        <v>0</v>
      </c>
      <c r="I10" s="23">
        <f>IF('13 - Config_Intake_View'!Q10&lt;&gt;"",'13 - Config_Intake_View'!Q10,'12 - Device_Configuration'!BH10)</f>
        <v>0</v>
      </c>
      <c r="J10" s="15" t="str">
        <f>IF('13 - Config_Intake_View'!Q10&lt;&gt;"","PM Approved",IF('12 - Device_Configuration'!BH10&lt;&gt;"","Assumed",""))</f>
        <v/>
      </c>
      <c r="K10" s="23" t="str">
        <f>'12 - Device_Configuration'!BG10</f>
        <v>Yes</v>
      </c>
      <c r="L10" s="15">
        <f>'12 - Device_Configuration'!P10</f>
        <v>0</v>
      </c>
      <c r="M10" s="15">
        <f>'12 - Device_Configuration'!Q10</f>
        <v>0</v>
      </c>
      <c r="N10" s="15" t="str">
        <f>'12 - Device_Configuration'!BK10</f>
        <v>Power Cable, Battery, Epic Beans Relay</v>
      </c>
      <c r="O10" s="23" t="str">
        <f>'12 - Device_Configuration'!BL10</f>
        <v>Blocked</v>
      </c>
      <c r="P10" s="2" t="str">
        <f>'12 - Device_Configuration'!BA10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'12 - Device_Configuration'!H11</f>
        <v>LIJ SDF</v>
      </c>
      <c r="B11" s="23" t="str">
        <f>'12 - Device_Configuration'!S11</f>
        <v>LIJ-SDF-MACH-J</v>
      </c>
      <c r="C11" s="23" t="str">
        <f>'12 - Device_Configuration'!T11</f>
        <v>A0F5097FF17E</v>
      </c>
      <c r="D11" s="15" t="str">
        <f>'12 - Device_Configuration'!AJ11</f>
        <v>2008T</v>
      </c>
      <c r="E11" s="15" t="str">
        <f>'12 - Device_Configuration'!J11</f>
        <v>NA</v>
      </c>
      <c r="F11" s="23" t="str">
        <f>'12 - Device_Configuration'!K11</f>
        <v>NA</v>
      </c>
      <c r="G11" s="15" t="str">
        <f>'12 - Device_Configuration'!L11</f>
        <v>NA</v>
      </c>
      <c r="H11" s="15">
        <f>'13 - Config_Intake_View'!M11</f>
        <v>0</v>
      </c>
      <c r="I11" s="23">
        <f>IF('13 - Config_Intake_View'!Q11&lt;&gt;"",'13 - Config_Intake_View'!Q11,'12 - Device_Configuration'!BH11)</f>
        <v>0</v>
      </c>
      <c r="J11" s="15" t="str">
        <f>IF('13 - Config_Intake_View'!Q11&lt;&gt;"","PM Approved",IF('12 - Device_Configuration'!BH11&lt;&gt;"","Assumed",""))</f>
        <v/>
      </c>
      <c r="K11" s="23" t="str">
        <f>'12 - Device_Configuration'!BG11</f>
        <v>Yes</v>
      </c>
      <c r="L11" s="15">
        <f>'12 - Device_Configuration'!P11</f>
        <v>0</v>
      </c>
      <c r="M11" s="15">
        <f>'12 - Device_Configuration'!Q11</f>
        <v>0</v>
      </c>
      <c r="N11" s="15" t="str">
        <f>'12 - Device_Configuration'!BK11</f>
        <v>Power Cable, Battery, Epic Beans Relay</v>
      </c>
      <c r="O11" s="23" t="str">
        <f>'12 - Device_Configuration'!BL11</f>
        <v>Blocked</v>
      </c>
      <c r="P11" s="2" t="str">
        <f>'12 - Device_Configuration'!BA11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'12 - Device_Configuration'!H12</f>
        <v>LIJ SDF</v>
      </c>
      <c r="B12" s="23" t="str">
        <f>'12 - Device_Configuration'!S12</f>
        <v>LIJ-SDF-MACH-K</v>
      </c>
      <c r="C12" s="23" t="str">
        <f>'12 - Device_Configuration'!T12</f>
        <v>A0F5097FDE6F</v>
      </c>
      <c r="D12" s="15" t="str">
        <f>'12 - Device_Configuration'!AJ12</f>
        <v>2008T</v>
      </c>
      <c r="E12" s="15" t="str">
        <f>'12 - Device_Configuration'!J12</f>
        <v>NA</v>
      </c>
      <c r="F12" s="23" t="str">
        <f>'12 - Device_Configuration'!K12</f>
        <v>NA</v>
      </c>
      <c r="G12" s="15" t="str">
        <f>'12 - Device_Configuration'!L12</f>
        <v>NA</v>
      </c>
      <c r="H12" s="15">
        <f>'13 - Config_Intake_View'!M12</f>
        <v>0</v>
      </c>
      <c r="I12" s="23">
        <f>IF('13 - Config_Intake_View'!Q12&lt;&gt;"",'13 - Config_Intake_View'!Q12,'12 - Device_Configuration'!BH12)</f>
        <v>0</v>
      </c>
      <c r="J12" s="15" t="str">
        <f>IF('13 - Config_Intake_View'!Q12&lt;&gt;"","PM Approved",IF('12 - Device_Configuration'!BH12&lt;&gt;"","Assumed",""))</f>
        <v/>
      </c>
      <c r="K12" s="23" t="str">
        <f>'12 - Device_Configuration'!BG12</f>
        <v>Yes</v>
      </c>
      <c r="L12" s="15">
        <f>'12 - Device_Configuration'!P12</f>
        <v>0</v>
      </c>
      <c r="M12" s="15">
        <f>'12 - Device_Configuration'!Q12</f>
        <v>0</v>
      </c>
      <c r="N12" s="15" t="str">
        <f>'12 - Device_Configuration'!BK12</f>
        <v>Power Cable, Battery, Epic Beans Relay</v>
      </c>
      <c r="O12" s="23" t="str">
        <f>'12 - Device_Configuration'!BL12</f>
        <v>Blocked</v>
      </c>
      <c r="P12" s="2" t="str">
        <f>'12 - Device_Configuration'!BA12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'12 - Device_Configuration'!H13</f>
        <v>LIJ SDF</v>
      </c>
      <c r="B13" s="23" t="str">
        <f>'12 - Device_Configuration'!S13</f>
        <v>LIJ-SDF-MACH-L</v>
      </c>
      <c r="C13" s="23" t="str">
        <f>'12 - Device_Configuration'!T13</f>
        <v>A0F5097FEFFB</v>
      </c>
      <c r="D13" s="15" t="str">
        <f>'12 - Device_Configuration'!AJ13</f>
        <v>2008T</v>
      </c>
      <c r="E13" s="15" t="str">
        <f>'12 - Device_Configuration'!J13</f>
        <v>NA</v>
      </c>
      <c r="F13" s="23" t="str">
        <f>'12 - Device_Configuration'!K13</f>
        <v>NA</v>
      </c>
      <c r="G13" s="15" t="str">
        <f>'12 - Device_Configuration'!L13</f>
        <v>NA</v>
      </c>
      <c r="H13" s="15">
        <f>'13 - Config_Intake_View'!M13</f>
        <v>0</v>
      </c>
      <c r="I13" s="23">
        <f>IF('13 - Config_Intake_View'!Q13&lt;&gt;"",'13 - Config_Intake_View'!Q13,'12 - Device_Configuration'!BH13)</f>
        <v>0</v>
      </c>
      <c r="J13" s="15" t="str">
        <f>IF('13 - Config_Intake_View'!Q13&lt;&gt;"","PM Approved",IF('12 - Device_Configuration'!BH13&lt;&gt;"","Assumed",""))</f>
        <v/>
      </c>
      <c r="K13" s="23" t="str">
        <f>'12 - Device_Configuration'!BG13</f>
        <v>Yes</v>
      </c>
      <c r="L13" s="15">
        <f>'12 - Device_Configuration'!P13</f>
        <v>0</v>
      </c>
      <c r="M13" s="15">
        <f>'12 - Device_Configuration'!Q13</f>
        <v>0</v>
      </c>
      <c r="N13" s="15" t="str">
        <f>'12 - Device_Configuration'!BK13</f>
        <v>Power Cable, Battery, Epic Beans Relay</v>
      </c>
      <c r="O13" s="23" t="str">
        <f>'12 - Device_Configuration'!BL13</f>
        <v>Blocked</v>
      </c>
      <c r="P13" s="2" t="str">
        <f>'12 - Device_Configuration'!BA13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'12 - Device_Configuration'!H14</f>
        <v>LIJ SDF</v>
      </c>
      <c r="B14" s="23" t="str">
        <f>'12 - Device_Configuration'!S14</f>
        <v>LIJ-SDF-MACH-M</v>
      </c>
      <c r="C14" s="23" t="str">
        <f>'12 - Device_Configuration'!T14</f>
        <v>A0F5097FEF3A</v>
      </c>
      <c r="D14" s="15" t="str">
        <f>'12 - Device_Configuration'!AJ14</f>
        <v>2008T</v>
      </c>
      <c r="E14" s="15" t="str">
        <f>'12 - Device_Configuration'!J14</f>
        <v>NA</v>
      </c>
      <c r="F14" s="23" t="str">
        <f>'12 - Device_Configuration'!K14</f>
        <v>NA</v>
      </c>
      <c r="G14" s="15" t="str">
        <f>'12 - Device_Configuration'!L14</f>
        <v>NA</v>
      </c>
      <c r="H14" s="15">
        <f>'13 - Config_Intake_View'!M14</f>
        <v>0</v>
      </c>
      <c r="I14" s="23">
        <f>IF('13 - Config_Intake_View'!Q14&lt;&gt;"",'13 - Config_Intake_View'!Q14,'12 - Device_Configuration'!BH14)</f>
        <v>0</v>
      </c>
      <c r="J14" s="15" t="str">
        <f>IF('13 - Config_Intake_View'!Q14&lt;&gt;"","PM Approved",IF('12 - Device_Configuration'!BH14&lt;&gt;"","Assumed",""))</f>
        <v/>
      </c>
      <c r="K14" s="23" t="str">
        <f>'12 - Device_Configuration'!BG14</f>
        <v>Yes</v>
      </c>
      <c r="L14" s="15">
        <f>'12 - Device_Configuration'!P14</f>
        <v>0</v>
      </c>
      <c r="M14" s="15">
        <f>'12 - Device_Configuration'!Q14</f>
        <v>0</v>
      </c>
      <c r="N14" s="15" t="str">
        <f>'12 - Device_Configuration'!BK14</f>
        <v>Power Cable, Battery, Epic Beans Relay</v>
      </c>
      <c r="O14" s="23" t="str">
        <f>'12 - Device_Configuration'!BL14</f>
        <v>Blocked</v>
      </c>
      <c r="P14" s="2" t="str">
        <f>'12 - Device_Configuration'!BA14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'12 - Device_Configuration'!H15</f>
        <v>LIJ SDF</v>
      </c>
      <c r="B15" s="23" t="str">
        <f>'12 - Device_Configuration'!S15</f>
        <v>LIJ-SDF-MACH-N</v>
      </c>
      <c r="C15" s="23" t="str">
        <f>'12 - Device_Configuration'!T15</f>
        <v>A0F5097B98D9</v>
      </c>
      <c r="D15" s="15" t="str">
        <f>'12 - Device_Configuration'!AJ15</f>
        <v>2008T</v>
      </c>
      <c r="E15" s="15" t="str">
        <f>'12 - Device_Configuration'!J15</f>
        <v>NA</v>
      </c>
      <c r="F15" s="23" t="str">
        <f>'12 - Device_Configuration'!K15</f>
        <v>NA</v>
      </c>
      <c r="G15" s="15" t="str">
        <f>'12 - Device_Configuration'!L15</f>
        <v>NA</v>
      </c>
      <c r="H15" s="15">
        <f>'13 - Config_Intake_View'!M15</f>
        <v>0</v>
      </c>
      <c r="I15" s="23">
        <f>IF('13 - Config_Intake_View'!Q15&lt;&gt;"",'13 - Config_Intake_View'!Q15,'12 - Device_Configuration'!BH15)</f>
        <v>0</v>
      </c>
      <c r="J15" s="15" t="str">
        <f>IF('13 - Config_Intake_View'!Q15&lt;&gt;"","PM Approved",IF('12 - Device_Configuration'!BH15&lt;&gt;"","Assumed",""))</f>
        <v/>
      </c>
      <c r="K15" s="23" t="str">
        <f>'12 - Device_Configuration'!BG15</f>
        <v>Yes</v>
      </c>
      <c r="L15" s="15">
        <f>'12 - Device_Configuration'!P15</f>
        <v>0</v>
      </c>
      <c r="M15" s="15">
        <f>'12 - Device_Configuration'!Q15</f>
        <v>0</v>
      </c>
      <c r="N15" s="15" t="str">
        <f>'12 - Device_Configuration'!BK15</f>
        <v>Power Cable, Battery, Epic Beans Relay</v>
      </c>
      <c r="O15" s="23" t="str">
        <f>'12 - Device_Configuration'!BL15</f>
        <v>Blocked</v>
      </c>
      <c r="P15" s="2" t="str">
        <f>'12 - Device_Configuration'!BA15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'12 - Device_Configuration'!H16</f>
        <v>LIJ SDF</v>
      </c>
      <c r="B16" s="23" t="str">
        <f>'12 - Device_Configuration'!S16</f>
        <v>LIJ-SDF-MACH-O</v>
      </c>
      <c r="C16" s="23" t="str">
        <f>'12 - Device_Configuration'!T16</f>
        <v>A0F5097BA0A3</v>
      </c>
      <c r="D16" s="15" t="str">
        <f>'12 - Device_Configuration'!AJ16</f>
        <v>2008T</v>
      </c>
      <c r="E16" s="15" t="str">
        <f>'12 - Device_Configuration'!J16</f>
        <v>NA</v>
      </c>
      <c r="F16" s="23" t="str">
        <f>'12 - Device_Configuration'!K16</f>
        <v>NA</v>
      </c>
      <c r="G16" s="15" t="str">
        <f>'12 - Device_Configuration'!L16</f>
        <v>NA</v>
      </c>
      <c r="H16" s="15">
        <f>'13 - Config_Intake_View'!M16</f>
        <v>0</v>
      </c>
      <c r="I16" s="23">
        <f>IF('13 - Config_Intake_View'!Q16&lt;&gt;"",'13 - Config_Intake_View'!Q16,'12 - Device_Configuration'!BH16)</f>
        <v>0</v>
      </c>
      <c r="J16" s="15" t="str">
        <f>IF('13 - Config_Intake_View'!Q16&lt;&gt;"","PM Approved",IF('12 - Device_Configuration'!BH16&lt;&gt;"","Assumed",""))</f>
        <v/>
      </c>
      <c r="K16" s="23" t="str">
        <f>'12 - Device_Configuration'!BG16</f>
        <v>Yes</v>
      </c>
      <c r="L16" s="15">
        <f>'12 - Device_Configuration'!P16</f>
        <v>0</v>
      </c>
      <c r="M16" s="15">
        <f>'12 - Device_Configuration'!Q16</f>
        <v>0</v>
      </c>
      <c r="N16" s="15" t="str">
        <f>'12 - Device_Configuration'!BK16</f>
        <v>Power Cable, Battery, Epic Beans Relay</v>
      </c>
      <c r="O16" s="23" t="str">
        <f>'12 - Device_Configuration'!BL16</f>
        <v>Blocked</v>
      </c>
      <c r="P16" s="2" t="str">
        <f>'12 - Device_Configuration'!BA16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'12 - Device_Configuration'!H17</f>
        <v>LIJ SDF</v>
      </c>
      <c r="B17" s="23" t="str">
        <f>'12 - Device_Configuration'!S17</f>
        <v>LIJ-SDF-MACH-P</v>
      </c>
      <c r="C17" s="23" t="str">
        <f>'12 - Device_Configuration'!T17</f>
        <v>A0F5097FE29D</v>
      </c>
      <c r="D17" s="15" t="str">
        <f>'12 - Device_Configuration'!AJ17</f>
        <v>2008T</v>
      </c>
      <c r="E17" s="15" t="str">
        <f>'12 - Device_Configuration'!J17</f>
        <v>NA</v>
      </c>
      <c r="F17" s="23" t="str">
        <f>'12 - Device_Configuration'!K17</f>
        <v>NA</v>
      </c>
      <c r="G17" s="15" t="str">
        <f>'12 - Device_Configuration'!L17</f>
        <v>NA</v>
      </c>
      <c r="H17" s="15">
        <f>'13 - Config_Intake_View'!M17</f>
        <v>0</v>
      </c>
      <c r="I17" s="23">
        <f>IF('13 - Config_Intake_View'!Q17&lt;&gt;"",'13 - Config_Intake_View'!Q17,'12 - Device_Configuration'!BH17)</f>
        <v>0</v>
      </c>
      <c r="J17" s="15" t="str">
        <f>IF('13 - Config_Intake_View'!Q17&lt;&gt;"","PM Approved",IF('12 - Device_Configuration'!BH17&lt;&gt;"","Assumed",""))</f>
        <v/>
      </c>
      <c r="K17" s="23" t="str">
        <f>'12 - Device_Configuration'!BG17</f>
        <v>Yes</v>
      </c>
      <c r="L17" s="15">
        <f>'12 - Device_Configuration'!P17</f>
        <v>0</v>
      </c>
      <c r="M17" s="15">
        <f>'12 - Device_Configuration'!Q17</f>
        <v>0</v>
      </c>
      <c r="N17" s="15" t="str">
        <f>'12 - Device_Configuration'!BK17</f>
        <v>Power Cable, Battery, Epic Beans Relay</v>
      </c>
      <c r="O17" s="23" t="str">
        <f>'12 - Device_Configuration'!BL17</f>
        <v>Blocked</v>
      </c>
      <c r="P17" s="2" t="str">
        <f>'12 - Device_Configuration'!BA17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'12 - Device_Configuration'!H18</f>
        <v>LIJ SDF</v>
      </c>
      <c r="B18" s="23" t="str">
        <f>'12 - Device_Configuration'!S18</f>
        <v>LIJ-SDF-MACH-Q</v>
      </c>
      <c r="C18" s="23" t="str">
        <f>'12 - Device_Configuration'!T18</f>
        <v>A0F5097FDF52</v>
      </c>
      <c r="D18" s="15" t="str">
        <f>'12 - Device_Configuration'!AJ18</f>
        <v>2008T</v>
      </c>
      <c r="E18" s="15" t="str">
        <f>'12 - Device_Configuration'!J18</f>
        <v>NA</v>
      </c>
      <c r="F18" s="23" t="str">
        <f>'12 - Device_Configuration'!K18</f>
        <v>NA</v>
      </c>
      <c r="G18" s="15" t="str">
        <f>'12 - Device_Configuration'!L18</f>
        <v>NA</v>
      </c>
      <c r="H18" s="15">
        <f>'13 - Config_Intake_View'!M18</f>
        <v>0</v>
      </c>
      <c r="I18" s="23">
        <f>IF('13 - Config_Intake_View'!Q18&lt;&gt;"",'13 - Config_Intake_View'!Q18,'12 - Device_Configuration'!BH18)</f>
        <v>0</v>
      </c>
      <c r="J18" s="15" t="str">
        <f>IF('13 - Config_Intake_View'!Q18&lt;&gt;"","PM Approved",IF('12 - Device_Configuration'!BH18&lt;&gt;"","Assumed",""))</f>
        <v/>
      </c>
      <c r="K18" s="23" t="str">
        <f>'12 - Device_Configuration'!BG18</f>
        <v>Yes</v>
      </c>
      <c r="L18" s="15">
        <f>'12 - Device_Configuration'!P18</f>
        <v>0</v>
      </c>
      <c r="M18" s="15">
        <f>'12 - Device_Configuration'!Q18</f>
        <v>0</v>
      </c>
      <c r="N18" s="15" t="str">
        <f>'12 - Device_Configuration'!BK18</f>
        <v>Power Cable, Battery, Epic Beans Relay</v>
      </c>
      <c r="O18" s="23" t="str">
        <f>'12 - Device_Configuration'!BL18</f>
        <v>Blocked</v>
      </c>
      <c r="P18" s="2" t="str">
        <f>'12 - Device_Configuration'!BA18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'12 - Device_Configuration'!H19</f>
        <v>LIJ SDF</v>
      </c>
      <c r="B19" s="23" t="str">
        <f>'12 - Device_Configuration'!S19</f>
        <v>LIJ-SDF-MACH-R</v>
      </c>
      <c r="C19" s="23" t="str">
        <f>'12 - Device_Configuration'!T19</f>
        <v>A0F5097B99F8</v>
      </c>
      <c r="D19" s="15" t="str">
        <f>'12 - Device_Configuration'!AJ19</f>
        <v>2008T</v>
      </c>
      <c r="E19" s="15" t="str">
        <f>'12 - Device_Configuration'!J19</f>
        <v>NA</v>
      </c>
      <c r="F19" s="23" t="str">
        <f>'12 - Device_Configuration'!K19</f>
        <v>NA</v>
      </c>
      <c r="G19" s="15" t="str">
        <f>'12 - Device_Configuration'!L19</f>
        <v>NA</v>
      </c>
      <c r="H19" s="15">
        <f>'13 - Config_Intake_View'!M19</f>
        <v>0</v>
      </c>
      <c r="I19" s="23">
        <f>IF('13 - Config_Intake_View'!Q19&lt;&gt;"",'13 - Config_Intake_View'!Q19,'12 - Device_Configuration'!BH19)</f>
        <v>0</v>
      </c>
      <c r="J19" s="15" t="str">
        <f>IF('13 - Config_Intake_View'!Q19&lt;&gt;"","PM Approved",IF('12 - Device_Configuration'!BH19&lt;&gt;"","Assumed",""))</f>
        <v/>
      </c>
      <c r="K19" s="23" t="str">
        <f>'12 - Device_Configuration'!BG19</f>
        <v>Yes</v>
      </c>
      <c r="L19" s="15">
        <f>'12 - Device_Configuration'!P19</f>
        <v>0</v>
      </c>
      <c r="M19" s="15">
        <f>'12 - Device_Configuration'!Q19</f>
        <v>0</v>
      </c>
      <c r="N19" s="15" t="str">
        <f>'12 - Device_Configuration'!BK19</f>
        <v>Power Cable, Battery, Epic Beans Relay</v>
      </c>
      <c r="O19" s="23" t="str">
        <f>'12 - Device_Configuration'!BL19</f>
        <v>Blocked</v>
      </c>
      <c r="P19" s="2" t="str">
        <f>'12 - Device_Configuration'!BA19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'12 - Device_Configuration'!H20</f>
        <v>LIJ SDF</v>
      </c>
      <c r="B20" s="23" t="str">
        <f>'12 - Device_Configuration'!S20</f>
        <v>LIJ-SDF-MACH-S</v>
      </c>
      <c r="C20" s="23" t="str">
        <f>'12 - Device_Configuration'!T20</f>
        <v>A0F5097B975D</v>
      </c>
      <c r="D20" s="15" t="str">
        <f>'12 - Device_Configuration'!AJ20</f>
        <v>2008T</v>
      </c>
      <c r="E20" s="15" t="str">
        <f>'12 - Device_Configuration'!J20</f>
        <v>NA</v>
      </c>
      <c r="F20" s="23" t="str">
        <f>'12 - Device_Configuration'!K20</f>
        <v>NA</v>
      </c>
      <c r="G20" s="15" t="str">
        <f>'12 - Device_Configuration'!L20</f>
        <v>NA</v>
      </c>
      <c r="H20" s="15">
        <f>'13 - Config_Intake_View'!M20</f>
        <v>0</v>
      </c>
      <c r="I20" s="23">
        <f>IF('13 - Config_Intake_View'!Q20&lt;&gt;"",'13 - Config_Intake_View'!Q20,'12 - Device_Configuration'!BH20)</f>
        <v>0</v>
      </c>
      <c r="J20" s="15" t="str">
        <f>IF('13 - Config_Intake_View'!Q20&lt;&gt;"","PM Approved",IF('12 - Device_Configuration'!BH20&lt;&gt;"","Assumed",""))</f>
        <v/>
      </c>
      <c r="K20" s="23" t="str">
        <f>'12 - Device_Configuration'!BG20</f>
        <v>Yes</v>
      </c>
      <c r="L20" s="15">
        <f>'12 - Device_Configuration'!P20</f>
        <v>0</v>
      </c>
      <c r="M20" s="15">
        <f>'12 - Device_Configuration'!Q20</f>
        <v>0</v>
      </c>
      <c r="N20" s="15" t="str">
        <f>'12 - Device_Configuration'!BK20</f>
        <v>Power Cable, Battery, Epic Beans Relay</v>
      </c>
      <c r="O20" s="23" t="str">
        <f>'12 - Device_Configuration'!BL20</f>
        <v>Blocked</v>
      </c>
      <c r="P20" s="2" t="str">
        <f>'12 - Device_Configuration'!BA20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'12 - Device_Configuration'!H21</f>
        <v>LIJ SDF</v>
      </c>
      <c r="B21" s="23" t="str">
        <f>'12 - Device_Configuration'!S21</f>
        <v>LIJ-SDF-MACH-T</v>
      </c>
      <c r="C21" s="23" t="str">
        <f>'12 - Device_Configuration'!T21</f>
        <v>A0F5097BA007</v>
      </c>
      <c r="D21" s="15" t="str">
        <f>'12 - Device_Configuration'!AJ21</f>
        <v>2008T</v>
      </c>
      <c r="E21" s="15" t="str">
        <f>'12 - Device_Configuration'!J21</f>
        <v>NA</v>
      </c>
      <c r="F21" s="23" t="str">
        <f>'12 - Device_Configuration'!K21</f>
        <v>NA</v>
      </c>
      <c r="G21" s="15" t="str">
        <f>'12 - Device_Configuration'!L21</f>
        <v>NA</v>
      </c>
      <c r="H21" s="15">
        <f>'13 - Config_Intake_View'!M21</f>
        <v>0</v>
      </c>
      <c r="I21" s="23">
        <f>IF('13 - Config_Intake_View'!Q21&lt;&gt;"",'13 - Config_Intake_View'!Q21,'12 - Device_Configuration'!BH21)</f>
        <v>0</v>
      </c>
      <c r="J21" s="15" t="str">
        <f>IF('13 - Config_Intake_View'!Q21&lt;&gt;"","PM Approved",IF('12 - Device_Configuration'!BH21&lt;&gt;"","Assumed",""))</f>
        <v/>
      </c>
      <c r="K21" s="23" t="str">
        <f>'12 - Device_Configuration'!BG21</f>
        <v>Yes</v>
      </c>
      <c r="L21" s="15">
        <f>'12 - Device_Configuration'!P21</f>
        <v>0</v>
      </c>
      <c r="M21" s="15">
        <f>'12 - Device_Configuration'!Q21</f>
        <v>0</v>
      </c>
      <c r="N21" s="15" t="str">
        <f>'12 - Device_Configuration'!BK21</f>
        <v>Power Cable, Battery, Epic Beans Relay</v>
      </c>
      <c r="O21" s="23" t="str">
        <f>'12 - Device_Configuration'!BL21</f>
        <v>Blocked</v>
      </c>
      <c r="P21" s="2" t="str">
        <f>'12 - Device_Configuration'!BA21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'12 - Device_Configuration'!H22</f>
        <v>LIJ SDF</v>
      </c>
      <c r="B22" s="23" t="str">
        <f>'12 - Device_Configuration'!S22</f>
        <v>LIJ-SDF-MACH-U</v>
      </c>
      <c r="C22" s="23" t="str">
        <f>'12 - Device_Configuration'!T22</f>
        <v>A0F5097B9629</v>
      </c>
      <c r="D22" s="15" t="str">
        <f>'12 - Device_Configuration'!AJ22</f>
        <v>2008T</v>
      </c>
      <c r="E22" s="15" t="str">
        <f>'12 - Device_Configuration'!J22</f>
        <v>NA</v>
      </c>
      <c r="F22" s="23" t="str">
        <f>'12 - Device_Configuration'!K22</f>
        <v>NA</v>
      </c>
      <c r="G22" s="15" t="str">
        <f>'12 - Device_Configuration'!L22</f>
        <v>NA</v>
      </c>
      <c r="H22" s="15">
        <f>'13 - Config_Intake_View'!M22</f>
        <v>0</v>
      </c>
      <c r="I22" s="23">
        <f>IF('13 - Config_Intake_View'!Q22&lt;&gt;"",'13 - Config_Intake_View'!Q22,'12 - Device_Configuration'!BH22)</f>
        <v>0</v>
      </c>
      <c r="J22" s="15" t="str">
        <f>IF('13 - Config_Intake_View'!Q22&lt;&gt;"","PM Approved",IF('12 - Device_Configuration'!BH22&lt;&gt;"","Assumed",""))</f>
        <v/>
      </c>
      <c r="K22" s="23" t="str">
        <f>'12 - Device_Configuration'!BG22</f>
        <v>Yes</v>
      </c>
      <c r="L22" s="15">
        <f>'12 - Device_Configuration'!P22</f>
        <v>0</v>
      </c>
      <c r="M22" s="15">
        <f>'12 - Device_Configuration'!Q22</f>
        <v>0</v>
      </c>
      <c r="N22" s="15" t="str">
        <f>'12 - Device_Configuration'!BK22</f>
        <v>Power Cable, Battery, Epic Beans Relay</v>
      </c>
      <c r="O22" s="23" t="str">
        <f>'12 - Device_Configuration'!BL22</f>
        <v>Blocked</v>
      </c>
      <c r="P22" s="2" t="str">
        <f>'12 - Device_Configuration'!BA22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'12 - Device_Configuration'!H23</f>
        <v>LIJ SDF</v>
      </c>
      <c r="B23" s="23" t="str">
        <f>'12 - Device_Configuration'!S23</f>
        <v>LIJ-SDF-MACH-V</v>
      </c>
      <c r="C23" s="23" t="str">
        <f>'12 - Device_Configuration'!T23</f>
        <v>A0F5097B9C84</v>
      </c>
      <c r="D23" s="15" t="str">
        <f>'12 - Device_Configuration'!AJ23</f>
        <v>2008T</v>
      </c>
      <c r="E23" s="15" t="str">
        <f>'12 - Device_Configuration'!J23</f>
        <v>NA</v>
      </c>
      <c r="F23" s="23" t="str">
        <f>'12 - Device_Configuration'!K23</f>
        <v>NA</v>
      </c>
      <c r="G23" s="15" t="str">
        <f>'12 - Device_Configuration'!L23</f>
        <v>NA</v>
      </c>
      <c r="H23" s="15">
        <f>'13 - Config_Intake_View'!M23</f>
        <v>0</v>
      </c>
      <c r="I23" s="23">
        <f>IF('13 - Config_Intake_View'!Q23&lt;&gt;"",'13 - Config_Intake_View'!Q23,'12 - Device_Configuration'!BH23)</f>
        <v>0</v>
      </c>
      <c r="J23" s="15" t="str">
        <f>IF('13 - Config_Intake_View'!Q23&lt;&gt;"","PM Approved",IF('12 - Device_Configuration'!BH23&lt;&gt;"","Assumed",""))</f>
        <v/>
      </c>
      <c r="K23" s="23" t="str">
        <f>'12 - Device_Configuration'!BG23</f>
        <v>Yes</v>
      </c>
      <c r="L23" s="15">
        <f>'12 - Device_Configuration'!P23</f>
        <v>0</v>
      </c>
      <c r="M23" s="15">
        <f>'12 - Device_Configuration'!Q23</f>
        <v>0</v>
      </c>
      <c r="N23" s="15" t="str">
        <f>'12 - Device_Configuration'!BK23</f>
        <v>Power Cable, Battery, Epic Beans Relay</v>
      </c>
      <c r="O23" s="23" t="str">
        <f>'12 - Device_Configuration'!BL23</f>
        <v>Blocked</v>
      </c>
      <c r="P23" s="2" t="str">
        <f>'12 - Device_Configuration'!BA23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'12 - Device_Configuration'!H24</f>
        <v>LIJ SDF</v>
      </c>
      <c r="B24" s="23" t="str">
        <f>'12 - Device_Configuration'!S24</f>
        <v>LIJ-SDF-MACH-W</v>
      </c>
      <c r="C24" s="23" t="str">
        <f>'12 - Device_Configuration'!T24</f>
        <v>A0F5097FDD3F</v>
      </c>
      <c r="D24" s="15" t="str">
        <f>'12 - Device_Configuration'!AJ24</f>
        <v>2008T</v>
      </c>
      <c r="E24" s="15" t="str">
        <f>'12 - Device_Configuration'!J24</f>
        <v>NA</v>
      </c>
      <c r="F24" s="23" t="str">
        <f>'12 - Device_Configuration'!K24</f>
        <v>NA</v>
      </c>
      <c r="G24" s="15" t="str">
        <f>'12 - Device_Configuration'!L24</f>
        <v>NA</v>
      </c>
      <c r="H24" s="15">
        <f>'13 - Config_Intake_View'!M24</f>
        <v>0</v>
      </c>
      <c r="I24" s="23">
        <f>IF('13 - Config_Intake_View'!Q24&lt;&gt;"",'13 - Config_Intake_View'!Q24,'12 - Device_Configuration'!BH24)</f>
        <v>0</v>
      </c>
      <c r="J24" s="15" t="str">
        <f>IF('13 - Config_Intake_View'!Q24&lt;&gt;"","PM Approved",IF('12 - Device_Configuration'!BH24&lt;&gt;"","Assumed",""))</f>
        <v/>
      </c>
      <c r="K24" s="23" t="str">
        <f>'12 - Device_Configuration'!BG24</f>
        <v>Yes</v>
      </c>
      <c r="L24" s="15">
        <f>'12 - Device_Configuration'!P24</f>
        <v>0</v>
      </c>
      <c r="M24" s="15">
        <f>'12 - Device_Configuration'!Q24</f>
        <v>0</v>
      </c>
      <c r="N24" s="15" t="str">
        <f>'12 - Device_Configuration'!BK24</f>
        <v>Power Cable, Battery, Epic Beans Relay</v>
      </c>
      <c r="O24" s="23" t="str">
        <f>'12 - Device_Configuration'!BL24</f>
        <v>Blocked</v>
      </c>
      <c r="P24" s="2" t="str">
        <f>'12 - Device_Configuration'!BA24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'12 - Device_Configuration'!H25</f>
        <v>LIJ SDF</v>
      </c>
      <c r="B25" s="23" t="str">
        <f>'12 - Device_Configuration'!S25</f>
        <v>LIJ-SDF-MACH-X</v>
      </c>
      <c r="C25" s="23" t="str">
        <f>'12 - Device_Configuration'!T25</f>
        <v>A0F5097FEBFE</v>
      </c>
      <c r="D25" s="15" t="str">
        <f>'12 - Device_Configuration'!AJ25</f>
        <v>2008T</v>
      </c>
      <c r="E25" s="15" t="str">
        <f>'12 - Device_Configuration'!J25</f>
        <v>NA</v>
      </c>
      <c r="F25" s="23" t="str">
        <f>'12 - Device_Configuration'!K25</f>
        <v>NA</v>
      </c>
      <c r="G25" s="15" t="str">
        <f>'12 - Device_Configuration'!L25</f>
        <v>NA</v>
      </c>
      <c r="H25" s="15">
        <f>'13 - Config_Intake_View'!M25</f>
        <v>0</v>
      </c>
      <c r="I25" s="23">
        <f>IF('13 - Config_Intake_View'!Q25&lt;&gt;"",'13 - Config_Intake_View'!Q25,'12 - Device_Configuration'!BH25)</f>
        <v>0</v>
      </c>
      <c r="J25" s="15" t="str">
        <f>IF('13 - Config_Intake_View'!Q25&lt;&gt;"","PM Approved",IF('12 - Device_Configuration'!BH25&lt;&gt;"","Assumed",""))</f>
        <v/>
      </c>
      <c r="K25" s="23" t="str">
        <f>'12 - Device_Configuration'!BG25</f>
        <v>Yes</v>
      </c>
      <c r="L25" s="15">
        <f>'12 - Device_Configuration'!P25</f>
        <v>0</v>
      </c>
      <c r="M25" s="15">
        <f>'12 - Device_Configuration'!Q25</f>
        <v>0</v>
      </c>
      <c r="N25" s="15" t="str">
        <f>'12 - Device_Configuration'!BK25</f>
        <v>Power Cable, Battery, Epic Beans Relay</v>
      </c>
      <c r="O25" s="23" t="str">
        <f>'12 - Device_Configuration'!BL25</f>
        <v>Blocked</v>
      </c>
      <c r="P25" s="2" t="str">
        <f>'12 - Device_Configuration'!BA25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'12 - Device_Configuration'!H26</f>
        <v>LIJ SDF</v>
      </c>
      <c r="B26" s="23" t="str">
        <f>'12 - Device_Configuration'!S26</f>
        <v>LIJ-SDF-MACH-Y</v>
      </c>
      <c r="C26" s="23" t="str">
        <f>'12 - Device_Configuration'!T26</f>
        <v>A0F5097B9FA6</v>
      </c>
      <c r="D26" s="15" t="str">
        <f>'12 - Device_Configuration'!AJ26</f>
        <v>2008T</v>
      </c>
      <c r="E26" s="15" t="str">
        <f>'12 - Device_Configuration'!J26</f>
        <v>NA</v>
      </c>
      <c r="F26" s="23" t="str">
        <f>'12 - Device_Configuration'!K26</f>
        <v>NA</v>
      </c>
      <c r="G26" s="15" t="str">
        <f>'12 - Device_Configuration'!L26</f>
        <v>NA</v>
      </c>
      <c r="H26" s="15">
        <f>'13 - Config_Intake_View'!M26</f>
        <v>0</v>
      </c>
      <c r="I26" s="23">
        <f>IF('13 - Config_Intake_View'!Q26&lt;&gt;"",'13 - Config_Intake_View'!Q26,'12 - Device_Configuration'!BH26)</f>
        <v>0</v>
      </c>
      <c r="J26" s="15" t="str">
        <f>IF('13 - Config_Intake_View'!Q26&lt;&gt;"","PM Approved",IF('12 - Device_Configuration'!BH26&lt;&gt;"","Assumed",""))</f>
        <v/>
      </c>
      <c r="K26" s="23" t="str">
        <f>'12 - Device_Configuration'!BG26</f>
        <v>Yes</v>
      </c>
      <c r="L26" s="15">
        <f>'12 - Device_Configuration'!P26</f>
        <v>0</v>
      </c>
      <c r="M26" s="15">
        <f>'12 - Device_Configuration'!Q26</f>
        <v>0</v>
      </c>
      <c r="N26" s="15" t="str">
        <f>'12 - Device_Configuration'!BK26</f>
        <v>Power Cable, Battery, Epic Beans Relay</v>
      </c>
      <c r="O26" s="23" t="str">
        <f>'12 - Device_Configuration'!BL26</f>
        <v>Blocked</v>
      </c>
      <c r="P26" s="2" t="str">
        <f>'12 - Device_Configuration'!BA26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'12 - Device_Configuration'!H27</f>
        <v>LIJ SDF</v>
      </c>
      <c r="B27" s="23" t="str">
        <f>'12 - Device_Configuration'!S27</f>
        <v>LIJ-SDF-MACH-Z</v>
      </c>
      <c r="C27" s="23" t="str">
        <f>'12 - Device_Configuration'!T27</f>
        <v>A0F5097B9FB3</v>
      </c>
      <c r="D27" s="15">
        <f>'12 - Device_Configuration'!AJ27</f>
        <v>0</v>
      </c>
      <c r="E27" s="15" t="str">
        <f>'12 - Device_Configuration'!J27</f>
        <v>NA</v>
      </c>
      <c r="F27" s="23" t="str">
        <f>'12 - Device_Configuration'!K27</f>
        <v>NA</v>
      </c>
      <c r="G27" s="15" t="str">
        <f>'12 - Device_Configuration'!L27</f>
        <v>NA</v>
      </c>
      <c r="H27" s="15">
        <f>'13 - Config_Intake_View'!M27</f>
        <v>0</v>
      </c>
      <c r="I27" s="23">
        <f>IF('13 - Config_Intake_View'!Q27&lt;&gt;"",'13 - Config_Intake_View'!Q27,'12 - Device_Configuration'!BH27)</f>
        <v>0</v>
      </c>
      <c r="J27" s="15" t="str">
        <f>IF('13 - Config_Intake_View'!Q27&lt;&gt;"","PM Approved",IF('12 - Device_Configuration'!BH27&lt;&gt;"","Assumed",""))</f>
        <v/>
      </c>
      <c r="K27" s="23" t="str">
        <f>'12 - Device_Configuration'!BG27</f>
        <v>Yes</v>
      </c>
      <c r="L27" s="15">
        <f>'12 - Device_Configuration'!P27</f>
        <v>0</v>
      </c>
      <c r="M27" s="15">
        <f>'12 - Device_Configuration'!Q27</f>
        <v>0</v>
      </c>
      <c r="N27" s="15" t="str">
        <f>'12 - Device_Configuration'!BK27</f>
        <v>Power Cable, Battery, Epic Beans Relay</v>
      </c>
      <c r="O27" s="23" t="str">
        <f>'12 - Device_Configuration'!BL27</f>
        <v>Blocked</v>
      </c>
      <c r="P27" s="2" t="str">
        <f>'12 - Device_Configuration'!BA27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'12 - Device_Configuration'!H28</f>
        <v>LIJ SDF</v>
      </c>
      <c r="B28" s="23" t="str">
        <f>'12 - Device_Configuration'!S28</f>
        <v>LIJ-SDF-MACH-AA</v>
      </c>
      <c r="C28" s="23" t="str">
        <f>'12 - Device_Configuration'!T28</f>
        <v>A0F5097BA00D</v>
      </c>
      <c r="D28" s="15">
        <f>'12 - Device_Configuration'!AJ28</f>
        <v>0</v>
      </c>
      <c r="E28" s="15" t="str">
        <f>'12 - Device_Configuration'!J28</f>
        <v>NA</v>
      </c>
      <c r="F28" s="23" t="str">
        <f>'12 - Device_Configuration'!K28</f>
        <v>NA</v>
      </c>
      <c r="G28" s="15" t="str">
        <f>'12 - Device_Configuration'!L28</f>
        <v>NA</v>
      </c>
      <c r="H28" s="15">
        <f>'13 - Config_Intake_View'!M28</f>
        <v>0</v>
      </c>
      <c r="I28" s="23">
        <f>IF('13 - Config_Intake_View'!Q28&lt;&gt;"",'13 - Config_Intake_View'!Q28,'12 - Device_Configuration'!BH28)</f>
        <v>0</v>
      </c>
      <c r="J28" s="15" t="str">
        <f>IF('13 - Config_Intake_View'!Q28&lt;&gt;"","PM Approved",IF('12 - Device_Configuration'!BH28&lt;&gt;"","Assumed",""))</f>
        <v/>
      </c>
      <c r="K28" s="23" t="str">
        <f>'12 - Device_Configuration'!BG28</f>
        <v>Yes</v>
      </c>
      <c r="L28" s="15">
        <f>'12 - Device_Configuration'!P28</f>
        <v>0</v>
      </c>
      <c r="M28" s="15">
        <f>'12 - Device_Configuration'!Q28</f>
        <v>0</v>
      </c>
      <c r="N28" s="15" t="str">
        <f>'12 - Device_Configuration'!BK28</f>
        <v>Power Cable, Battery, Epic Beans Relay</v>
      </c>
      <c r="O28" s="23" t="str">
        <f>'12 - Device_Configuration'!BL28</f>
        <v>Blocked</v>
      </c>
      <c r="P28" s="2" t="str">
        <f>'12 - Device_Configuration'!BA28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'12 - Device_Configuration'!H29</f>
        <v>LIJ SDF</v>
      </c>
      <c r="B29" s="23" t="str">
        <f>'12 - Device_Configuration'!S29</f>
        <v>LIJ-SDF-MACH-AB</v>
      </c>
      <c r="C29" s="23" t="str">
        <f>'12 - Device_Configuration'!T29</f>
        <v>A0F5097B8E58</v>
      </c>
      <c r="D29" s="15">
        <f>'12 - Device_Configuration'!AJ29</f>
        <v>0</v>
      </c>
      <c r="E29" s="15" t="str">
        <f>'12 - Device_Configuration'!J29</f>
        <v>NA</v>
      </c>
      <c r="F29" s="23" t="str">
        <f>'12 - Device_Configuration'!K29</f>
        <v>NA</v>
      </c>
      <c r="G29" s="15" t="str">
        <f>'12 - Device_Configuration'!L29</f>
        <v>NA</v>
      </c>
      <c r="H29" s="15">
        <f>'13 - Config_Intake_View'!M29</f>
        <v>0</v>
      </c>
      <c r="I29" s="23">
        <f>IF('13 - Config_Intake_View'!Q29&lt;&gt;"",'13 - Config_Intake_View'!Q29,'12 - Device_Configuration'!BH29)</f>
        <v>0</v>
      </c>
      <c r="J29" s="15" t="str">
        <f>IF('13 - Config_Intake_View'!Q29&lt;&gt;"","PM Approved",IF('12 - Device_Configuration'!BH29&lt;&gt;"","Assumed",""))</f>
        <v/>
      </c>
      <c r="K29" s="23" t="str">
        <f>'12 - Device_Configuration'!BG29</f>
        <v>Yes</v>
      </c>
      <c r="L29" s="15">
        <f>'12 - Device_Configuration'!P29</f>
        <v>0</v>
      </c>
      <c r="M29" s="15">
        <f>'12 - Device_Configuration'!Q29</f>
        <v>0</v>
      </c>
      <c r="N29" s="15" t="str">
        <f>'12 - Device_Configuration'!BK29</f>
        <v>Power Cable, Battery, Epic Beans Relay</v>
      </c>
      <c r="O29" s="23" t="str">
        <f>'12 - Device_Configuration'!BL29</f>
        <v>Blocked</v>
      </c>
      <c r="P29" s="2" t="str">
        <f>'12 - Device_Configuration'!BA29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'12 - Device_Configuration'!H30</f>
        <v>LIJ SDF</v>
      </c>
      <c r="B30" s="23" t="str">
        <f>'12 - Device_Configuration'!S30</f>
        <v>LIJ-SDF-MACH-AC</v>
      </c>
      <c r="C30" s="23" t="str">
        <f>'12 - Device_Configuration'!T30</f>
        <v>A0F5097B8B74</v>
      </c>
      <c r="D30" s="15">
        <f>'12 - Device_Configuration'!AJ30</f>
        <v>0</v>
      </c>
      <c r="E30" s="15">
        <f>'12 - Device_Configuration'!J30</f>
        <v>0</v>
      </c>
      <c r="F30" s="23">
        <f>'12 - Device_Configuration'!K30</f>
        <v>0</v>
      </c>
      <c r="G30" s="15">
        <f>'12 - Device_Configuration'!L30</f>
        <v>0</v>
      </c>
      <c r="H30" s="15">
        <f>'13 - Config_Intake_View'!M30</f>
        <v>0</v>
      </c>
      <c r="I30" s="23">
        <f>IF('13 - Config_Intake_View'!Q30&lt;&gt;"",'13 - Config_Intake_View'!Q30,'12 - Device_Configuration'!BH30)</f>
        <v>0</v>
      </c>
      <c r="J30" s="15" t="str">
        <f>IF('13 - Config_Intake_View'!Q30&lt;&gt;"","PM Approved",IF('12 - Device_Configuration'!BH30&lt;&gt;"","Assumed",""))</f>
        <v/>
      </c>
      <c r="K30" s="23" t="str">
        <f>'12 - Device_Configuration'!BG30</f>
        <v>Yes</v>
      </c>
      <c r="L30" s="15">
        <f>'12 - Device_Configuration'!P30</f>
        <v>0</v>
      </c>
      <c r="M30" s="15">
        <f>'12 - Device_Configuration'!Q30</f>
        <v>0</v>
      </c>
      <c r="N30" s="15" t="str">
        <f>'12 - Device_Configuration'!BK30</f>
        <v>Power Cable, Battery, Epic Beans Relay</v>
      </c>
      <c r="O30" s="23" t="str">
        <f>'12 - Device_Configuration'!BL30</f>
        <v>Blocked</v>
      </c>
      <c r="P30" s="2" t="str">
        <f>'12 - Device_Configuration'!BA30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'12 - Device_Configuration'!H31</f>
        <v>LIJ SDF</v>
      </c>
      <c r="B31" s="23" t="str">
        <f>'12 - Device_Configuration'!S31</f>
        <v>LIJ-SDF-MACH-AD</v>
      </c>
      <c r="C31" s="23" t="str">
        <f>'12 - Device_Configuration'!T31</f>
        <v>A0F5097BA067</v>
      </c>
      <c r="D31" s="15">
        <f>'12 - Device_Configuration'!AJ31</f>
        <v>0</v>
      </c>
      <c r="E31" s="15">
        <f>'12 - Device_Configuration'!J31</f>
        <v>0</v>
      </c>
      <c r="F31" s="23">
        <f>'12 - Device_Configuration'!K31</f>
        <v>0</v>
      </c>
      <c r="G31" s="15">
        <f>'12 - Device_Configuration'!L31</f>
        <v>0</v>
      </c>
      <c r="H31" s="15">
        <f>'13 - Config_Intake_View'!M31</f>
        <v>0</v>
      </c>
      <c r="I31" s="23">
        <f>IF('13 - Config_Intake_View'!Q31&lt;&gt;"",'13 - Config_Intake_View'!Q31,'12 - Device_Configuration'!BH31)</f>
        <v>0</v>
      </c>
      <c r="J31" s="15" t="str">
        <f>IF('13 - Config_Intake_View'!Q31&lt;&gt;"","PM Approved",IF('12 - Device_Configuration'!BH31&lt;&gt;"","Assumed",""))</f>
        <v/>
      </c>
      <c r="K31" s="23" t="str">
        <f>'12 - Device_Configuration'!BG31</f>
        <v>Yes</v>
      </c>
      <c r="L31" s="15">
        <f>'12 - Device_Configuration'!P31</f>
        <v>0</v>
      </c>
      <c r="M31" s="15">
        <f>'12 - Device_Configuration'!Q31</f>
        <v>0</v>
      </c>
      <c r="N31" s="15" t="str">
        <f>'12 - Device_Configuration'!BK31</f>
        <v>Power Cable, Battery, Epic Beans Relay</v>
      </c>
      <c r="O31" s="23" t="str">
        <f>'12 - Device_Configuration'!BL31</f>
        <v>Blocked</v>
      </c>
      <c r="P31" s="2" t="str">
        <f>'12 - Device_Configuration'!BA31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'12 - Device_Configuration'!H32</f>
        <v>LIJ SDF</v>
      </c>
      <c r="B32" s="23" t="str">
        <f>'12 - Device_Configuration'!S32</f>
        <v>LIJ-SDF-MACH-AE</v>
      </c>
      <c r="C32" s="23" t="str">
        <f>'12 - Device_Configuration'!T32</f>
        <v>A0F5097B8AFD</v>
      </c>
      <c r="D32" s="15">
        <f>'12 - Device_Configuration'!AJ32</f>
        <v>0</v>
      </c>
      <c r="E32" s="15">
        <f>'12 - Device_Configuration'!J32</f>
        <v>0</v>
      </c>
      <c r="F32" s="23">
        <f>'12 - Device_Configuration'!K32</f>
        <v>0</v>
      </c>
      <c r="G32" s="15">
        <f>'12 - Device_Configuration'!L32</f>
        <v>0</v>
      </c>
      <c r="H32" s="15">
        <f>'13 - Config_Intake_View'!M32</f>
        <v>0</v>
      </c>
      <c r="I32" s="23">
        <f>IF('13 - Config_Intake_View'!Q32&lt;&gt;"",'13 - Config_Intake_View'!Q32,'12 - Device_Configuration'!BH32)</f>
        <v>0</v>
      </c>
      <c r="J32" s="15" t="str">
        <f>IF('13 - Config_Intake_View'!Q32&lt;&gt;"","PM Approved",IF('12 - Device_Configuration'!BH32&lt;&gt;"","Assumed",""))</f>
        <v/>
      </c>
      <c r="K32" s="23" t="str">
        <f>'12 - Device_Configuration'!BG32</f>
        <v>Yes</v>
      </c>
      <c r="L32" s="15">
        <f>'12 - Device_Configuration'!P32</f>
        <v>0</v>
      </c>
      <c r="M32" s="15">
        <f>'12 - Device_Configuration'!Q32</f>
        <v>0</v>
      </c>
      <c r="N32" s="15" t="str">
        <f>'12 - Device_Configuration'!BK32</f>
        <v>Power Cable, Battery, Epic Beans Relay</v>
      </c>
      <c r="O32" s="23" t="str">
        <f>'12 - Device_Configuration'!BL32</f>
        <v>Blocked</v>
      </c>
      <c r="P32" s="2" t="str">
        <f>'12 - Device_Configuration'!BA32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'12 - Device_Configuration'!H33</f>
        <v>LIJ SDF</v>
      </c>
      <c r="B33" s="23" t="str">
        <f>'12 - Device_Configuration'!S33</f>
        <v>LIJ-SDF-MACH-AF</v>
      </c>
      <c r="C33" s="23" t="str">
        <f>'12 - Device_Configuration'!T33</f>
        <v>A0F5097B8ADC</v>
      </c>
      <c r="D33" s="15">
        <f>'12 - Device_Configuration'!AJ33</f>
        <v>0</v>
      </c>
      <c r="E33" s="15">
        <f>'12 - Device_Configuration'!J33</f>
        <v>0</v>
      </c>
      <c r="F33" s="23">
        <f>'12 - Device_Configuration'!K33</f>
        <v>0</v>
      </c>
      <c r="G33" s="15">
        <f>'12 - Device_Configuration'!L33</f>
        <v>0</v>
      </c>
      <c r="H33" s="15">
        <f>'13 - Config_Intake_View'!M33</f>
        <v>0</v>
      </c>
      <c r="I33" s="23">
        <f>IF('13 - Config_Intake_View'!Q33&lt;&gt;"",'13 - Config_Intake_View'!Q33,'12 - Device_Configuration'!BH33)</f>
        <v>0</v>
      </c>
      <c r="J33" s="15" t="str">
        <f>IF('13 - Config_Intake_View'!Q33&lt;&gt;"","PM Approved",IF('12 - Device_Configuration'!BH33&lt;&gt;"","Assumed",""))</f>
        <v/>
      </c>
      <c r="K33" s="23" t="str">
        <f>'12 - Device_Configuration'!BG33</f>
        <v>Yes</v>
      </c>
      <c r="L33" s="15">
        <f>'12 - Device_Configuration'!P33</f>
        <v>0</v>
      </c>
      <c r="M33" s="15">
        <f>'12 - Device_Configuration'!Q33</f>
        <v>0</v>
      </c>
      <c r="N33" s="15" t="str">
        <f>'12 - Device_Configuration'!BK33</f>
        <v>Power Cable, Battery, Epic Beans Relay</v>
      </c>
      <c r="O33" s="23" t="str">
        <f>'12 - Device_Configuration'!BL33</f>
        <v>Blocked</v>
      </c>
      <c r="P33" s="2" t="str">
        <f>'12 - Device_Configuration'!BA33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'12 - Device_Configuration'!H34</f>
        <v>PBMC</v>
      </c>
      <c r="B34" s="23" t="str">
        <f>'12 - Device_Configuration'!S34</f>
        <v>PBMC-MACH-N</v>
      </c>
      <c r="C34" s="23" t="str">
        <f>'12 - Device_Configuration'!T34</f>
        <v>A0F5097BA02C</v>
      </c>
      <c r="D34" s="15" t="str">
        <f>'12 - Device_Configuration'!AJ34</f>
        <v>Atlan A350</v>
      </c>
      <c r="E34" s="15" t="str">
        <f>'12 - Device_Configuration'!J34</f>
        <v>NA</v>
      </c>
      <c r="F34" s="23" t="str">
        <f>'12 - Device_Configuration'!K34</f>
        <v>NA</v>
      </c>
      <c r="G34" s="15" t="str">
        <f>'12 - Device_Configuration'!L34</f>
        <v>NA</v>
      </c>
      <c r="H34" s="15">
        <f>'13 - Config_Intake_View'!M34</f>
        <v>0</v>
      </c>
      <c r="I34" s="23">
        <f>IF('13 - Config_Intake_View'!Q34&lt;&gt;"",'13 - Config_Intake_View'!Q34,'12 - Device_Configuration'!BH34)</f>
        <v>0</v>
      </c>
      <c r="J34" s="15" t="str">
        <f>IF('13 - Config_Intake_View'!Q34&lt;&gt;"","PM Approved",IF('12 - Device_Configuration'!BH34&lt;&gt;"","Assumed",""))</f>
        <v/>
      </c>
      <c r="K34" s="23" t="str">
        <f>'12 - Device_Configuration'!BG34</f>
        <v>Yes</v>
      </c>
      <c r="L34" s="15">
        <f>'12 - Device_Configuration'!P34</f>
        <v>0</v>
      </c>
      <c r="M34" s="15">
        <f>'12 - Device_Configuration'!Q34</f>
        <v>0</v>
      </c>
      <c r="N34" s="15" t="str">
        <f>'12 - Device_Configuration'!BK34</f>
        <v>Power Cable, Battery, Epic Beans Relay</v>
      </c>
      <c r="O34" s="23" t="str">
        <f>'12 - Device_Configuration'!BL34</f>
        <v>Blocked</v>
      </c>
      <c r="P34" s="2" t="str">
        <f>'12 - Device_Configuration'!BA34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'12 - Device_Configuration'!H35</f>
        <v>PBMC</v>
      </c>
      <c r="B35" s="23" t="str">
        <f>'12 - Device_Configuration'!S35</f>
        <v>n/a</v>
      </c>
      <c r="C35" s="23" t="str">
        <f>'12 - Device_Configuration'!T35</f>
        <v>n/a</v>
      </c>
      <c r="D35" s="15" t="str">
        <f>'12 - Device_Configuration'!AJ35</f>
        <v>Atlan A350</v>
      </c>
      <c r="E35" s="15">
        <f>'12 - Device_Configuration'!J35</f>
        <v>0</v>
      </c>
      <c r="F35" s="23">
        <f>'12 - Device_Configuration'!K35</f>
        <v>0</v>
      </c>
      <c r="G35" s="15">
        <f>'12 - Device_Configuration'!L35</f>
        <v>0</v>
      </c>
      <c r="H35" s="15">
        <f>'13 - Config_Intake_View'!M35</f>
        <v>0</v>
      </c>
      <c r="I35" s="23">
        <f>IF('13 - Config_Intake_View'!Q35&lt;&gt;"",'13 - Config_Intake_View'!Q35,'12 - Device_Configuration'!BH35)</f>
        <v>0</v>
      </c>
      <c r="J35" s="15" t="str">
        <f>IF('13 - Config_Intake_View'!Q35&lt;&gt;"","PM Approved",IF('12 - Device_Configuration'!BH35&lt;&gt;"","Assumed",""))</f>
        <v/>
      </c>
      <c r="K35" s="23" t="str">
        <f>'12 - Device_Configuration'!BG35</f>
        <v>Yes</v>
      </c>
      <c r="L35" s="15">
        <f>'12 - Device_Configuration'!P35</f>
        <v>0</v>
      </c>
      <c r="M35" s="15">
        <f>'12 - Device_Configuration'!Q35</f>
        <v>0</v>
      </c>
      <c r="N35" s="15" t="str">
        <f>'12 - Device_Configuration'!BK35</f>
        <v>Power Cable, Battery, Epic Beans Relay</v>
      </c>
      <c r="O35" s="23" t="str">
        <f>'12 - Device_Configuration'!BL35</f>
        <v>Blocked</v>
      </c>
      <c r="P35" s="2" t="str">
        <f>'12 - Device_Configuration'!BA35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'12 - Device_Configuration'!H36</f>
        <v>MEETH</v>
      </c>
      <c r="B36" s="23" t="str">
        <f>'12 - Device_Configuration'!S36</f>
        <v>MEETH-MACH-U</v>
      </c>
      <c r="C36" s="23" t="str">
        <f>'12 - Device_Configuration'!T36</f>
        <v>A0F5097BA067</v>
      </c>
      <c r="D36" s="15">
        <f>'12 - Device_Configuration'!AJ36</f>
        <v>0</v>
      </c>
      <c r="E36" s="15" t="str">
        <f>'12 - Device_Configuration'!J36</f>
        <v>NA</v>
      </c>
      <c r="F36" s="23" t="str">
        <f>'12 - Device_Configuration'!K36</f>
        <v>NA</v>
      </c>
      <c r="G36" s="15" t="str">
        <f>'12 - Device_Configuration'!L36</f>
        <v>NA</v>
      </c>
      <c r="H36" s="15">
        <f>'13 - Config_Intake_View'!M36</f>
        <v>0</v>
      </c>
      <c r="I36" s="23">
        <f>IF('13 - Config_Intake_View'!Q36&lt;&gt;"",'13 - Config_Intake_View'!Q36,'12 - Device_Configuration'!BH36)</f>
        <v>0</v>
      </c>
      <c r="J36" s="15" t="str">
        <f>IF('13 - Config_Intake_View'!Q36&lt;&gt;"","PM Approved",IF('12 - Device_Configuration'!BH36&lt;&gt;"","Assumed",""))</f>
        <v/>
      </c>
      <c r="K36" s="23">
        <f>'12 - Device_Configuration'!BG36</f>
        <v>0</v>
      </c>
      <c r="L36" s="15">
        <f>'12 - Device_Configuration'!P36</f>
        <v>0</v>
      </c>
      <c r="M36" s="15">
        <f>'12 - Device_Configuration'!Q36</f>
        <v>0</v>
      </c>
      <c r="N36" s="15" t="str">
        <f>'12 - Device_Configuration'!BK36</f>
        <v>Power Cable, Battery, Firmware Download, Device ID, Epic Beans Relay</v>
      </c>
      <c r="O36" s="23" t="str">
        <f>'12 - Device_Configuration'!BL36</f>
        <v>Blocked</v>
      </c>
      <c r="P36" s="2">
        <f>'12 - Device_Configuration'!BA36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'12 - Device_Configuration'!H37</f>
        <v>MEETH</v>
      </c>
      <c r="B37" s="23" t="str">
        <f>'12 - Device_Configuration'!S37</f>
        <v>MEETH-MACH-V</v>
      </c>
      <c r="C37" s="23" t="str">
        <f>'12 - Device_Configuration'!T37</f>
        <v>A0F5097BA08B</v>
      </c>
      <c r="D37" s="15">
        <f>'12 - Device_Configuration'!AJ37</f>
        <v>0</v>
      </c>
      <c r="E37" s="15" t="str">
        <f>'12 - Device_Configuration'!J37</f>
        <v>NA</v>
      </c>
      <c r="F37" s="23" t="str">
        <f>'12 - Device_Configuration'!K37</f>
        <v>NA</v>
      </c>
      <c r="G37" s="15" t="str">
        <f>'12 - Device_Configuration'!L37</f>
        <v>NA</v>
      </c>
      <c r="H37" s="15">
        <f>'13 - Config_Intake_View'!M37</f>
        <v>0</v>
      </c>
      <c r="I37" s="23">
        <f>IF('13 - Config_Intake_View'!Q37&lt;&gt;"",'13 - Config_Intake_View'!Q37,'12 - Device_Configuration'!BH37)</f>
        <v>0</v>
      </c>
      <c r="J37" s="15" t="str">
        <f>IF('13 - Config_Intake_View'!Q37&lt;&gt;"","PM Approved",IF('12 - Device_Configuration'!BH37&lt;&gt;"","Assumed",""))</f>
        <v/>
      </c>
      <c r="K37" s="23">
        <f>'12 - Device_Configuration'!BG37</f>
        <v>0</v>
      </c>
      <c r="L37" s="15">
        <f>'12 - Device_Configuration'!P37</f>
        <v>0</v>
      </c>
      <c r="M37" s="15">
        <f>'12 - Device_Configuration'!Q37</f>
        <v>0</v>
      </c>
      <c r="N37" s="15" t="str">
        <f>'12 - Device_Configuration'!BK37</f>
        <v>Power Cable, Battery, Firmware Download, Device ID, Epic Beans Relay</v>
      </c>
      <c r="O37" s="23" t="str">
        <f>'12 - Device_Configuration'!BL37</f>
        <v>Blocked</v>
      </c>
      <c r="P37" s="2">
        <f>'12 - Device_Configuration'!BA37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'12 - Device_Configuration'!H38</f>
        <v>MEETH</v>
      </c>
      <c r="B38" s="23" t="str">
        <f>'12 - Device_Configuration'!S38</f>
        <v>MEETH-MACH-W</v>
      </c>
      <c r="C38" s="23" t="str">
        <f>'12 - Device_Configuration'!T38</f>
        <v>A0F5097B969A</v>
      </c>
      <c r="D38" s="15">
        <f>'12 - Device_Configuration'!AJ38</f>
        <v>0</v>
      </c>
      <c r="E38" s="15" t="str">
        <f>'12 - Device_Configuration'!J38</f>
        <v>NA</v>
      </c>
      <c r="F38" s="23" t="str">
        <f>'12 - Device_Configuration'!K38</f>
        <v>NA</v>
      </c>
      <c r="G38" s="15" t="str">
        <f>'12 - Device_Configuration'!L38</f>
        <v>NA</v>
      </c>
      <c r="H38" s="15">
        <f>'13 - Config_Intake_View'!M38</f>
        <v>0</v>
      </c>
      <c r="I38" s="23">
        <f>IF('13 - Config_Intake_View'!Q38&lt;&gt;"",'13 - Config_Intake_View'!Q38,'12 - Device_Configuration'!BH38)</f>
        <v>0</v>
      </c>
      <c r="J38" s="15" t="str">
        <f>IF('13 - Config_Intake_View'!Q38&lt;&gt;"","PM Approved",IF('12 - Device_Configuration'!BH38&lt;&gt;"","Assumed",""))</f>
        <v/>
      </c>
      <c r="K38" s="23">
        <f>'12 - Device_Configuration'!BG38</f>
        <v>0</v>
      </c>
      <c r="L38" s="15">
        <f>'12 - Device_Configuration'!P38</f>
        <v>0</v>
      </c>
      <c r="M38" s="15">
        <f>'12 - Device_Configuration'!Q38</f>
        <v>0</v>
      </c>
      <c r="N38" s="15" t="str">
        <f>'12 - Device_Configuration'!BK38</f>
        <v>Power Cable, Battery, Firmware Download, Device ID, Epic Beans Relay</v>
      </c>
      <c r="O38" s="23" t="str">
        <f>'12 - Device_Configuration'!BL38</f>
        <v>Blocked</v>
      </c>
      <c r="P38" s="2">
        <f>'12 - Device_Configuration'!BA38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'12 - Device_Configuration'!H39</f>
        <v>ZUCKER HOSPITAL</v>
      </c>
      <c r="B39" s="23" t="str">
        <f>'12 - Device_Configuration'!S39</f>
        <v>ZHH-MACH-A</v>
      </c>
      <c r="C39" s="23" t="str">
        <f>'12 - Device_Configuration'!T39</f>
        <v>A0F5097B961B</v>
      </c>
      <c r="D39" s="15">
        <f>'12 - Device_Configuration'!AJ39</f>
        <v>0</v>
      </c>
      <c r="E39" s="15" t="str">
        <f>'12 - Device_Configuration'!J39</f>
        <v>NA</v>
      </c>
      <c r="F39" s="23" t="str">
        <f>'12 - Device_Configuration'!K39</f>
        <v>NA</v>
      </c>
      <c r="G39" s="15" t="str">
        <f>'12 - Device_Configuration'!L39</f>
        <v>NA</v>
      </c>
      <c r="H39" s="15">
        <f>'13 - Config_Intake_View'!M39</f>
        <v>0</v>
      </c>
      <c r="I39" s="23">
        <f>IF('13 - Config_Intake_View'!Q39&lt;&gt;"",'13 - Config_Intake_View'!Q39,'12 - Device_Configuration'!BH39)</f>
        <v>0</v>
      </c>
      <c r="J39" s="15" t="str">
        <f>IF('13 - Config_Intake_View'!Q39&lt;&gt;"","PM Approved",IF('12 - Device_Configuration'!BH39&lt;&gt;"","Assumed",""))</f>
        <v/>
      </c>
      <c r="K39" s="23">
        <f>'12 - Device_Configuration'!BG39</f>
        <v>0</v>
      </c>
      <c r="L39" s="15">
        <f>'12 - Device_Configuration'!P39</f>
        <v>0</v>
      </c>
      <c r="M39" s="15">
        <f>'12 - Device_Configuration'!Q39</f>
        <v>0</v>
      </c>
      <c r="N39" s="15" t="str">
        <f>'12 - Device_Configuration'!BK39</f>
        <v>Power Cable, Battery, Firmware Download, Device ID, Epic Beans Relay</v>
      </c>
      <c r="O39" s="23" t="str">
        <f>'12 - Device_Configuration'!BL39</f>
        <v>Blocked</v>
      </c>
      <c r="P39" s="2">
        <f>'12 - Device_Configuration'!BA39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'12 - Device_Configuration'!H40</f>
        <v>ZUCKER HOSPITAL</v>
      </c>
      <c r="B40" s="23" t="str">
        <f>'12 - Device_Configuration'!S40</f>
        <v>ZHH-MACH-B</v>
      </c>
      <c r="C40" s="23" t="str">
        <f>'12 - Device_Configuration'!T40</f>
        <v>A0F5097B8D8E</v>
      </c>
      <c r="D40" s="15">
        <f>'12 - Device_Configuration'!AJ40</f>
        <v>0</v>
      </c>
      <c r="E40" s="15" t="str">
        <f>'12 - Device_Configuration'!J40</f>
        <v>NA</v>
      </c>
      <c r="F40" s="23" t="str">
        <f>'12 - Device_Configuration'!K40</f>
        <v>NA</v>
      </c>
      <c r="G40" s="15" t="str">
        <f>'12 - Device_Configuration'!L40</f>
        <v>NA</v>
      </c>
      <c r="H40" s="15">
        <f>'13 - Config_Intake_View'!M40</f>
        <v>0</v>
      </c>
      <c r="I40" s="23">
        <f>IF('13 - Config_Intake_View'!Q40&lt;&gt;"",'13 - Config_Intake_View'!Q40,'12 - Device_Configuration'!BH40)</f>
        <v>0</v>
      </c>
      <c r="J40" s="15" t="str">
        <f>IF('13 - Config_Intake_View'!Q40&lt;&gt;"","PM Approved",IF('12 - Device_Configuration'!BH40&lt;&gt;"","Assumed",""))</f>
        <v/>
      </c>
      <c r="K40" s="23">
        <f>'12 - Device_Configuration'!BG40</f>
        <v>0</v>
      </c>
      <c r="L40" s="15">
        <f>'12 - Device_Configuration'!P40</f>
        <v>0</v>
      </c>
      <c r="M40" s="15">
        <f>'12 - Device_Configuration'!Q40</f>
        <v>0</v>
      </c>
      <c r="N40" s="15" t="str">
        <f>'12 - Device_Configuration'!BK40</f>
        <v>Power Cable, Battery, Firmware Download, Device ID, Epic Beans Relay</v>
      </c>
      <c r="O40" s="23" t="str">
        <f>'12 - Device_Configuration'!BL40</f>
        <v>Blocked</v>
      </c>
      <c r="P40" s="2">
        <f>'12 - Device_Configuration'!BA40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'12 - Device_Configuration'!H41</f>
        <v>ZUCKER HOSPITAL</v>
      </c>
      <c r="B41" s="23" t="str">
        <f>'12 - Device_Configuration'!S41</f>
        <v>ZHH-MACH-C</v>
      </c>
      <c r="C41" s="23" t="str">
        <f>'12 - Device_Configuration'!T41</f>
        <v>A0F5097B9BB8</v>
      </c>
      <c r="D41" s="15">
        <f>'12 - Device_Configuration'!AJ41</f>
        <v>0</v>
      </c>
      <c r="E41" s="15" t="str">
        <f>'12 - Device_Configuration'!J41</f>
        <v>NA</v>
      </c>
      <c r="F41" s="23" t="str">
        <f>'12 - Device_Configuration'!K41</f>
        <v>NA</v>
      </c>
      <c r="G41" s="15" t="str">
        <f>'12 - Device_Configuration'!L41</f>
        <v>NA</v>
      </c>
      <c r="H41" s="15">
        <f>'13 - Config_Intake_View'!M41</f>
        <v>0</v>
      </c>
      <c r="I41" s="23">
        <f>IF('13 - Config_Intake_View'!Q41&lt;&gt;"",'13 - Config_Intake_View'!Q41,'12 - Device_Configuration'!BH41)</f>
        <v>0</v>
      </c>
      <c r="J41" s="15" t="str">
        <f>IF('13 - Config_Intake_View'!Q41&lt;&gt;"","PM Approved",IF('12 - Device_Configuration'!BH41&lt;&gt;"","Assumed",""))</f>
        <v/>
      </c>
      <c r="K41" s="23">
        <f>'12 - Device_Configuration'!BG41</f>
        <v>0</v>
      </c>
      <c r="L41" s="15">
        <f>'12 - Device_Configuration'!P41</f>
        <v>0</v>
      </c>
      <c r="M41" s="15">
        <f>'12 - Device_Configuration'!Q41</f>
        <v>0</v>
      </c>
      <c r="N41" s="15" t="str">
        <f>'12 - Device_Configuration'!BK41</f>
        <v>Power Cable, Battery, Firmware Download, Device ID, Epic Beans Relay</v>
      </c>
      <c r="O41" s="23" t="str">
        <f>'12 - Device_Configuration'!BL41</f>
        <v>Blocked</v>
      </c>
      <c r="P41" s="2">
        <f>'12 - Device_Configuration'!BA41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'12 - Device_Configuration'!H42</f>
        <v>CCMC</v>
      </c>
      <c r="B42" s="23" t="str">
        <f>'12 - Device_Configuration'!S42</f>
        <v>CCMC-MACH-A</v>
      </c>
      <c r="C42" s="23" t="str">
        <f>'12 - Device_Configuration'!T42</f>
        <v>A0F5097B8C9F</v>
      </c>
      <c r="D42" s="15">
        <f>'12 - Device_Configuration'!AJ42</f>
        <v>0</v>
      </c>
      <c r="E42" s="15" t="str">
        <f>'12 - Device_Configuration'!J42</f>
        <v>NA</v>
      </c>
      <c r="F42" s="23" t="str">
        <f>'12 - Device_Configuration'!K42</f>
        <v>NA</v>
      </c>
      <c r="G42" s="15" t="str">
        <f>'12 - Device_Configuration'!L42</f>
        <v>NA</v>
      </c>
      <c r="H42" s="15">
        <f>'13 - Config_Intake_View'!M42</f>
        <v>0</v>
      </c>
      <c r="I42" s="23">
        <f>IF('13 - Config_Intake_View'!Q42&lt;&gt;"",'13 - Config_Intake_View'!Q42,'12 - Device_Configuration'!BH42)</f>
        <v>0</v>
      </c>
      <c r="J42" s="15" t="str">
        <f>IF('13 - Config_Intake_View'!Q42&lt;&gt;"","PM Approved",IF('12 - Device_Configuration'!BH42&lt;&gt;"","Assumed",""))</f>
        <v/>
      </c>
      <c r="K42" s="23">
        <f>'12 - Device_Configuration'!BG42</f>
        <v>0</v>
      </c>
      <c r="L42" s="15">
        <f>'12 - Device_Configuration'!P42</f>
        <v>0</v>
      </c>
      <c r="M42" s="15">
        <f>'12 - Device_Configuration'!Q42</f>
        <v>0</v>
      </c>
      <c r="N42" s="15" t="str">
        <f>'12 - Device_Configuration'!BK42</f>
        <v>Power Cable, Battery, Firmware Download, Device ID, Epic Beans Relay</v>
      </c>
      <c r="O42" s="23" t="str">
        <f>'12 - Device_Configuration'!BL42</f>
        <v>Blocked</v>
      </c>
      <c r="P42" s="2">
        <f>'12 - Device_Configuration'!BA42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'12 - Device_Configuration'!H43</f>
        <v>Glen Cove</v>
      </c>
      <c r="B43" s="23" t="str">
        <f>'12 - Device_Configuration'!S43</f>
        <v>GCH-MACH-E</v>
      </c>
      <c r="C43" s="23" t="str">
        <f>'12 - Device_Configuration'!T43</f>
        <v>A0F5097B8E02</v>
      </c>
      <c r="D43" s="15">
        <f>'12 - Device_Configuration'!AJ43</f>
        <v>0</v>
      </c>
      <c r="E43" s="15" t="str">
        <f>'12 - Device_Configuration'!J43</f>
        <v>NA</v>
      </c>
      <c r="F43" s="23" t="str">
        <f>'12 - Device_Configuration'!K43</f>
        <v>NA</v>
      </c>
      <c r="G43" s="15" t="str">
        <f>'12 - Device_Configuration'!L43</f>
        <v>NA</v>
      </c>
      <c r="H43" s="15">
        <f>'13 - Config_Intake_View'!M43</f>
        <v>0</v>
      </c>
      <c r="I43" s="23">
        <f>IF('13 - Config_Intake_View'!Q43&lt;&gt;"",'13 - Config_Intake_View'!Q43,'12 - Device_Configuration'!BH43)</f>
        <v>0</v>
      </c>
      <c r="J43" s="15" t="str">
        <f>IF('13 - Config_Intake_View'!Q43&lt;&gt;"","PM Approved",IF('12 - Device_Configuration'!BH43&lt;&gt;"","Assumed",""))</f>
        <v/>
      </c>
      <c r="K43" s="23">
        <f>'12 - Device_Configuration'!BG43</f>
        <v>0</v>
      </c>
      <c r="L43" s="15">
        <f>'12 - Device_Configuration'!P43</f>
        <v>0</v>
      </c>
      <c r="M43" s="15">
        <f>'12 - Device_Configuration'!Q43</f>
        <v>0</v>
      </c>
      <c r="N43" s="15" t="str">
        <f>'12 - Device_Configuration'!BK43</f>
        <v>Power Cable, Battery, Firmware Download, Device ID, Epic Beans Relay</v>
      </c>
      <c r="O43" s="23" t="str">
        <f>'12 - Device_Configuration'!BL43</f>
        <v>Blocked</v>
      </c>
      <c r="P43" s="2">
        <f>'12 - Device_Configuration'!BA43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'12 - Device_Configuration'!H44</f>
        <v>Glen Cove</v>
      </c>
      <c r="B44" s="23" t="str">
        <f>'12 - Device_Configuration'!S44</f>
        <v>GCH-MACH-F</v>
      </c>
      <c r="C44" s="23" t="str">
        <f>'12 - Device_Configuration'!T44</f>
        <v>A0F5097B8BC2</v>
      </c>
      <c r="D44" s="15">
        <f>'12 - Device_Configuration'!AJ44</f>
        <v>0</v>
      </c>
      <c r="E44" s="15" t="str">
        <f>'12 - Device_Configuration'!J44</f>
        <v>NA</v>
      </c>
      <c r="F44" s="23" t="str">
        <f>'12 - Device_Configuration'!K44</f>
        <v>NA</v>
      </c>
      <c r="G44" s="15" t="str">
        <f>'12 - Device_Configuration'!L44</f>
        <v>NA</v>
      </c>
      <c r="H44" s="15">
        <f>'13 - Config_Intake_View'!M44</f>
        <v>0</v>
      </c>
      <c r="I44" s="23">
        <f>IF('13 - Config_Intake_View'!Q44&lt;&gt;"",'13 - Config_Intake_View'!Q44,'12 - Device_Configuration'!BH44)</f>
        <v>0</v>
      </c>
      <c r="J44" s="15" t="str">
        <f>IF('13 - Config_Intake_View'!Q44&lt;&gt;"","PM Approved",IF('12 - Device_Configuration'!BH44&lt;&gt;"","Assumed",""))</f>
        <v/>
      </c>
      <c r="K44" s="23">
        <f>'12 - Device_Configuration'!BG44</f>
        <v>0</v>
      </c>
      <c r="L44" s="15">
        <f>'12 - Device_Configuration'!P44</f>
        <v>0</v>
      </c>
      <c r="M44" s="15">
        <f>'12 - Device_Configuration'!Q44</f>
        <v>0</v>
      </c>
      <c r="N44" s="15" t="str">
        <f>'12 - Device_Configuration'!BK44</f>
        <v>Power Cable, Battery, Firmware Download, Device ID, Epic Beans Relay</v>
      </c>
      <c r="O44" s="23" t="str">
        <f>'12 - Device_Configuration'!BL44</f>
        <v>Blocked</v>
      </c>
      <c r="P44" s="2">
        <f>'12 - Device_Configuration'!BA44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'12 - Device_Configuration'!H45</f>
        <v>Glen Cove</v>
      </c>
      <c r="B45" s="23" t="str">
        <f>'12 - Device_Configuration'!S45</f>
        <v>GCH-MACH-G</v>
      </c>
      <c r="C45" s="23" t="str">
        <f>'12 - Device_Configuration'!T45</f>
        <v>A0F5097B8E6F</v>
      </c>
      <c r="D45" s="15">
        <f>'12 - Device_Configuration'!AJ45</f>
        <v>0</v>
      </c>
      <c r="E45" s="15" t="str">
        <f>'12 - Device_Configuration'!J45</f>
        <v>NA</v>
      </c>
      <c r="F45" s="23" t="str">
        <f>'12 - Device_Configuration'!K45</f>
        <v>NA</v>
      </c>
      <c r="G45" s="15" t="str">
        <f>'12 - Device_Configuration'!L45</f>
        <v>NA</v>
      </c>
      <c r="H45" s="15">
        <f>'13 - Config_Intake_View'!M45</f>
        <v>0</v>
      </c>
      <c r="I45" s="23">
        <f>IF('13 - Config_Intake_View'!Q45&lt;&gt;"",'13 - Config_Intake_View'!Q45,'12 - Device_Configuration'!BH45)</f>
        <v>0</v>
      </c>
      <c r="J45" s="15" t="str">
        <f>IF('13 - Config_Intake_View'!Q45&lt;&gt;"","PM Approved",IF('12 - Device_Configuration'!BH45&lt;&gt;"","Assumed",""))</f>
        <v/>
      </c>
      <c r="K45" s="23">
        <f>'12 - Device_Configuration'!BG45</f>
        <v>0</v>
      </c>
      <c r="L45" s="15">
        <f>'12 - Device_Configuration'!P45</f>
        <v>0</v>
      </c>
      <c r="M45" s="15">
        <f>'12 - Device_Configuration'!Q45</f>
        <v>0</v>
      </c>
      <c r="N45" s="15" t="str">
        <f>'12 - Device_Configuration'!BK45</f>
        <v>Power Cable, Battery, Firmware Download, Device ID, Epic Beans Relay</v>
      </c>
      <c r="O45" s="23" t="str">
        <f>'12 - Device_Configuration'!BL45</f>
        <v>Blocked</v>
      </c>
      <c r="P45" s="2">
        <f>'12 - Device_Configuration'!BA45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'12 - Device_Configuration'!H46</f>
        <v>Glen Cove</v>
      </c>
      <c r="B46" s="23" t="str">
        <f>'12 - Device_Configuration'!S46</f>
        <v>GCH-MACH-H</v>
      </c>
      <c r="C46" s="23" t="str">
        <f>'12 - Device_Configuration'!T46</f>
        <v>A0F5097B8CD0</v>
      </c>
      <c r="D46" s="15">
        <f>'12 - Device_Configuration'!AJ46</f>
        <v>0</v>
      </c>
      <c r="E46" s="15">
        <f>'12 - Device_Configuration'!J46</f>
        <v>0</v>
      </c>
      <c r="F46" s="23">
        <f>'12 - Device_Configuration'!K46</f>
        <v>0</v>
      </c>
      <c r="G46" s="15">
        <f>'12 - Device_Configuration'!L46</f>
        <v>0</v>
      </c>
      <c r="H46" s="15">
        <f>'13 - Config_Intake_View'!M46</f>
        <v>0</v>
      </c>
      <c r="I46" s="23">
        <f>IF('13 - Config_Intake_View'!Q46&lt;&gt;"",'13 - Config_Intake_View'!Q46,'12 - Device_Configuration'!BH46)</f>
        <v>0</v>
      </c>
      <c r="J46" s="15" t="str">
        <f>IF('13 - Config_Intake_View'!Q46&lt;&gt;"","PM Approved",IF('12 - Device_Configuration'!BH46&lt;&gt;"","Assumed",""))</f>
        <v/>
      </c>
      <c r="K46" s="23">
        <f>'12 - Device_Configuration'!BG46</f>
        <v>0</v>
      </c>
      <c r="L46" s="15">
        <f>'12 - Device_Configuration'!P46</f>
        <v>0</v>
      </c>
      <c r="M46" s="15">
        <f>'12 - Device_Configuration'!Q46</f>
        <v>0</v>
      </c>
      <c r="N46" s="15" t="str">
        <f>'12 - Device_Configuration'!BK46</f>
        <v>Power Cable, Battery, Firmware Download, Device ID, Epic Beans Relay</v>
      </c>
      <c r="O46" s="23" t="str">
        <f>'12 - Device_Configuration'!BL46</f>
        <v>Blocked</v>
      </c>
      <c r="P46" s="2">
        <f>'12 - Device_Configuration'!BA46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'12 - Device_Configuration'!H47</f>
        <v>Glen Cove</v>
      </c>
      <c r="B47" s="23" t="str">
        <f>'12 - Device_Configuration'!S47</f>
        <v>GCH-MACH-I</v>
      </c>
      <c r="C47" s="23" t="str">
        <f>'12 - Device_Configuration'!T47</f>
        <v>A0F5097B8B9A</v>
      </c>
      <c r="D47" s="15">
        <f>'12 - Device_Configuration'!AJ47</f>
        <v>0</v>
      </c>
      <c r="E47" s="15" t="str">
        <f>'12 - Device_Configuration'!J47</f>
        <v>NA</v>
      </c>
      <c r="F47" s="23" t="str">
        <f>'12 - Device_Configuration'!K47</f>
        <v>NA</v>
      </c>
      <c r="G47" s="15" t="str">
        <f>'12 - Device_Configuration'!L47</f>
        <v>NA</v>
      </c>
      <c r="H47" s="15">
        <f>'13 - Config_Intake_View'!M47</f>
        <v>0</v>
      </c>
      <c r="I47" s="23">
        <f>IF('13 - Config_Intake_View'!Q47&lt;&gt;"",'13 - Config_Intake_View'!Q47,'12 - Device_Configuration'!BH47)</f>
        <v>0</v>
      </c>
      <c r="J47" s="15" t="str">
        <f>IF('13 - Config_Intake_View'!Q47&lt;&gt;"","PM Approved",IF('12 - Device_Configuration'!BH47&lt;&gt;"","Assumed",""))</f>
        <v/>
      </c>
      <c r="K47" s="23">
        <f>'12 - Device_Configuration'!BG47</f>
        <v>0</v>
      </c>
      <c r="L47" s="15">
        <f>'12 - Device_Configuration'!P47</f>
        <v>0</v>
      </c>
      <c r="M47" s="15">
        <f>'12 - Device_Configuration'!Q47</f>
        <v>0</v>
      </c>
      <c r="N47" s="15" t="str">
        <f>'12 - Device_Configuration'!BK47</f>
        <v>Power Cable, Battery, Firmware Download, Device ID, Epic Beans Relay</v>
      </c>
      <c r="O47" s="23" t="str">
        <f>'12 - Device_Configuration'!BL47</f>
        <v>Blocked</v>
      </c>
      <c r="P47" s="2">
        <f>'12 - Device_Configuration'!BA47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'12 - Device_Configuration'!H48</f>
        <v>Glen Cove</v>
      </c>
      <c r="B48" s="23" t="str">
        <f>'12 - Device_Configuration'!S48</f>
        <v>GCH-MACH-J</v>
      </c>
      <c r="C48" s="23" t="str">
        <f>'12 - Device_Configuration'!T48</f>
        <v>A0F5097B8CF9</v>
      </c>
      <c r="D48" s="15">
        <f>'12 - Device_Configuration'!AJ48</f>
        <v>0</v>
      </c>
      <c r="E48" s="15" t="str">
        <f>'12 - Device_Configuration'!J48</f>
        <v>NA</v>
      </c>
      <c r="F48" s="23" t="str">
        <f>'12 - Device_Configuration'!K48</f>
        <v>NA</v>
      </c>
      <c r="G48" s="15" t="str">
        <f>'12 - Device_Configuration'!L48</f>
        <v>NA</v>
      </c>
      <c r="H48" s="15">
        <f>'13 - Config_Intake_View'!M48</f>
        <v>0</v>
      </c>
      <c r="I48" s="23">
        <f>IF('13 - Config_Intake_View'!Q48&lt;&gt;"",'13 - Config_Intake_View'!Q48,'12 - Device_Configuration'!BH48)</f>
        <v>0</v>
      </c>
      <c r="J48" s="15" t="str">
        <f>IF('13 - Config_Intake_View'!Q48&lt;&gt;"","PM Approved",IF('12 - Device_Configuration'!BH48&lt;&gt;"","Assumed",""))</f>
        <v/>
      </c>
      <c r="K48" s="23">
        <f>'12 - Device_Configuration'!BG48</f>
        <v>0</v>
      </c>
      <c r="L48" s="15">
        <f>'12 - Device_Configuration'!P48</f>
        <v>0</v>
      </c>
      <c r="M48" s="15">
        <f>'12 - Device_Configuration'!Q48</f>
        <v>0</v>
      </c>
      <c r="N48" s="15" t="str">
        <f>'12 - Device_Configuration'!BK48</f>
        <v>Power Cable, Battery, Firmware Download, Device ID, Epic Beans Relay</v>
      </c>
      <c r="O48" s="23" t="str">
        <f>'12 - Device_Configuration'!BL48</f>
        <v>Blocked</v>
      </c>
      <c r="P48" s="2">
        <f>'12 - Device_Configuration'!BA48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'12 - Device_Configuration'!H49</f>
        <v>Glen Cove</v>
      </c>
      <c r="B49" s="23" t="str">
        <f>'12 - Device_Configuration'!S49</f>
        <v>GCH-MACH-K</v>
      </c>
      <c r="C49" s="23" t="str">
        <f>'12 - Device_Configuration'!T49</f>
        <v>A0F5097B8B74</v>
      </c>
      <c r="D49" s="15">
        <f>'12 - Device_Configuration'!AJ49</f>
        <v>0</v>
      </c>
      <c r="E49" s="15" t="str">
        <f>'12 - Device_Configuration'!J49</f>
        <v>NA</v>
      </c>
      <c r="F49" s="23" t="str">
        <f>'12 - Device_Configuration'!K49</f>
        <v>NA</v>
      </c>
      <c r="G49" s="15" t="str">
        <f>'12 - Device_Configuration'!L49</f>
        <v>NA</v>
      </c>
      <c r="H49" s="15">
        <f>'13 - Config_Intake_View'!M49</f>
        <v>0</v>
      </c>
      <c r="I49" s="23">
        <f>IF('13 - Config_Intake_View'!Q49&lt;&gt;"",'13 - Config_Intake_View'!Q49,'12 - Device_Configuration'!BH49)</f>
        <v>0</v>
      </c>
      <c r="J49" s="15" t="str">
        <f>IF('13 - Config_Intake_View'!Q49&lt;&gt;"","PM Approved",IF('12 - Device_Configuration'!BH49&lt;&gt;"","Assumed",""))</f>
        <v/>
      </c>
      <c r="K49" s="23">
        <f>'12 - Device_Configuration'!BG49</f>
        <v>0</v>
      </c>
      <c r="L49" s="15">
        <f>'12 - Device_Configuration'!P49</f>
        <v>0</v>
      </c>
      <c r="M49" s="15">
        <f>'12 - Device_Configuration'!Q49</f>
        <v>0</v>
      </c>
      <c r="N49" s="15" t="str">
        <f>'12 - Device_Configuration'!BK49</f>
        <v>Power Cable, Battery, Firmware Download, Device ID, Epic Beans Relay</v>
      </c>
      <c r="O49" s="23" t="str">
        <f>'12 - Device_Configuration'!BL49</f>
        <v>Blocked</v>
      </c>
      <c r="P49" s="2">
        <f>'12 - Device_Configuration'!BA49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'12 - Device_Configuration'!H50</f>
        <v>LIJ-IR</v>
      </c>
      <c r="B50" s="23" t="str">
        <f>'12 - Device_Configuration'!S50</f>
        <v>WNH270INR001</v>
      </c>
      <c r="C50" s="23">
        <f>'12 - Device_Configuration'!T50</f>
        <v>0</v>
      </c>
      <c r="D50" s="15" t="str">
        <f>'12 - Device_Configuration'!AJ50</f>
        <v>CyberMed-S24 TGL</v>
      </c>
      <c r="E50" s="15" t="str">
        <f>'12 - Device_Configuration'!J50</f>
        <v>Yes</v>
      </c>
      <c r="F50" s="23" t="str">
        <f>'12 - Device_Configuration'!K50</f>
        <v>No</v>
      </c>
      <c r="G50" s="15" t="str">
        <f>'12 - Device_Configuration'!L50</f>
        <v>No</v>
      </c>
      <c r="H50" s="15">
        <f>'13 - Config_Intake_View'!M50</f>
        <v>0</v>
      </c>
      <c r="I50" s="23">
        <f>IF('13 - Config_Intake_View'!Q50&lt;&gt;"",'13 - Config_Intake_View'!Q50,'12 - Device_Configuration'!BH50)</f>
        <v>0</v>
      </c>
      <c r="J50" s="15" t="str">
        <f>IF('13 - Config_Intake_View'!Q50&lt;&gt;"","PM Approved",IF('12 - Device_Configuration'!BH50&lt;&gt;"","Assumed",""))</f>
        <v/>
      </c>
      <c r="K50" s="23">
        <f>'12 - Device_Configuration'!BG50</f>
        <v>0</v>
      </c>
      <c r="L50" s="15">
        <f>'12 - Device_Configuration'!P50</f>
        <v>0</v>
      </c>
      <c r="M50" s="15">
        <f>'12 - Device_Configuration'!Q50</f>
        <v>0</v>
      </c>
      <c r="N50" s="15" t="str">
        <f>'12 - Device_Configuration'!BK50</f>
        <v/>
      </c>
      <c r="O50" s="23" t="str">
        <f>'12 - Device_Configuration'!BL50</f>
        <v/>
      </c>
      <c r="P50" s="2">
        <f>'12 - Device_Configuration'!BA50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'12 - Device_Configuration'!H51</f>
        <v>LIJ-IR</v>
      </c>
      <c r="B51" s="23" t="str">
        <f>'12 - Device_Configuration'!S51</f>
        <v>WNH270INR002</v>
      </c>
      <c r="C51" s="23">
        <f>'12 - Device_Configuration'!T51</f>
        <v>0</v>
      </c>
      <c r="D51" s="15" t="str">
        <f>'12 - Device_Configuration'!AJ51</f>
        <v>CyberMed-S24 TGL</v>
      </c>
      <c r="E51" s="15" t="str">
        <f>'12 - Device_Configuration'!J51</f>
        <v>Yes</v>
      </c>
      <c r="F51" s="23" t="str">
        <f>'12 - Device_Configuration'!K51</f>
        <v>No</v>
      </c>
      <c r="G51" s="15" t="str">
        <f>'12 - Device_Configuration'!L51</f>
        <v>No</v>
      </c>
      <c r="H51" s="15">
        <f>'13 - Config_Intake_View'!M51</f>
        <v>0</v>
      </c>
      <c r="I51" s="23">
        <f>IF('13 - Config_Intake_View'!Q51&lt;&gt;"",'13 - Config_Intake_View'!Q51,'12 - Device_Configuration'!BH51)</f>
        <v>0</v>
      </c>
      <c r="J51" s="15" t="str">
        <f>IF('13 - Config_Intake_View'!Q51&lt;&gt;"","PM Approved",IF('12 - Device_Configuration'!BH51&lt;&gt;"","Assumed",""))</f>
        <v/>
      </c>
      <c r="K51" s="23">
        <f>'12 - Device_Configuration'!BG51</f>
        <v>0</v>
      </c>
      <c r="L51" s="15">
        <f>'12 - Device_Configuration'!P51</f>
        <v>0</v>
      </c>
      <c r="M51" s="15">
        <f>'12 - Device_Configuration'!Q51</f>
        <v>0</v>
      </c>
      <c r="N51" s="15" t="str">
        <f>'12 - Device_Configuration'!BK51</f>
        <v/>
      </c>
      <c r="O51" s="23" t="str">
        <f>'12 - Device_Configuration'!BL51</f>
        <v/>
      </c>
      <c r="P51" s="2">
        <f>'12 - Device_Configuration'!BA51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'12 - Device_Configuration'!H52</f>
        <v>MEETH</v>
      </c>
      <c r="B52" s="23" t="str">
        <f>'12 - Device_Configuration'!S52</f>
        <v>WNY210OPR053</v>
      </c>
      <c r="C52" s="23">
        <f>'12 - Device_Configuration'!T52</f>
        <v>0</v>
      </c>
      <c r="D52" s="15">
        <f>'12 - Device_Configuration'!AJ52</f>
        <v>0</v>
      </c>
      <c r="E52" s="15" t="str">
        <f>'12 - Device_Configuration'!J52</f>
        <v>Yes</v>
      </c>
      <c r="F52" s="23" t="str">
        <f>'12 - Device_Configuration'!K52</f>
        <v>No</v>
      </c>
      <c r="G52" s="15" t="str">
        <f>'12 - Device_Configuration'!L52</f>
        <v>No</v>
      </c>
      <c r="H52" s="15">
        <f>'13 - Config_Intake_View'!M52</f>
        <v>0</v>
      </c>
      <c r="I52" s="23">
        <f>IF('13 - Config_Intake_View'!Q52&lt;&gt;"",'13 - Config_Intake_View'!Q52,'12 - Device_Configuration'!BH52)</f>
        <v>0</v>
      </c>
      <c r="J52" s="15" t="str">
        <f>IF('13 - Config_Intake_View'!Q52&lt;&gt;"","PM Approved",IF('12 - Device_Configuration'!BH52&lt;&gt;"","Assumed",""))</f>
        <v/>
      </c>
      <c r="K52" s="23">
        <f>'12 - Device_Configuration'!BG52</f>
        <v>0</v>
      </c>
      <c r="L52" s="15">
        <f>'12 - Device_Configuration'!P52</f>
        <v>0</v>
      </c>
      <c r="M52" s="15">
        <f>'12 - Device_Configuration'!Q52</f>
        <v>0</v>
      </c>
      <c r="N52" s="15" t="str">
        <f>'12 - Device_Configuration'!BK52</f>
        <v/>
      </c>
      <c r="O52" s="23" t="str">
        <f>'12 - Device_Configuration'!BL52</f>
        <v/>
      </c>
      <c r="P52" s="2">
        <f>'12 - Device_Configuration'!BA52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'12 - Device_Configuration'!H53</f>
        <v>MEETH</v>
      </c>
      <c r="B53" s="23" t="str">
        <f>'12 - Device_Configuration'!S53</f>
        <v>WNY210OPR054</v>
      </c>
      <c r="C53" s="23">
        <f>'12 - Device_Configuration'!T53</f>
        <v>0</v>
      </c>
      <c r="D53" s="15">
        <f>'12 - Device_Configuration'!AJ53</f>
        <v>0</v>
      </c>
      <c r="E53" s="15" t="str">
        <f>'12 - Device_Configuration'!J53</f>
        <v>Yes</v>
      </c>
      <c r="F53" s="23" t="str">
        <f>'12 - Device_Configuration'!K53</f>
        <v>No</v>
      </c>
      <c r="G53" s="15" t="str">
        <f>'12 - Device_Configuration'!L53</f>
        <v>No</v>
      </c>
      <c r="H53" s="15">
        <f>'13 - Config_Intake_View'!M53</f>
        <v>0</v>
      </c>
      <c r="I53" s="23">
        <f>IF('13 - Config_Intake_View'!Q53&lt;&gt;"",'13 - Config_Intake_View'!Q53,'12 - Device_Configuration'!BH53)</f>
        <v>0</v>
      </c>
      <c r="J53" s="15" t="str">
        <f>IF('13 - Config_Intake_View'!Q53&lt;&gt;"","PM Approved",IF('12 - Device_Configuration'!BH53&lt;&gt;"","Assumed",""))</f>
        <v/>
      </c>
      <c r="K53" s="23">
        <f>'12 - Device_Configuration'!BG53</f>
        <v>0</v>
      </c>
      <c r="L53" s="15">
        <f>'12 - Device_Configuration'!P53</f>
        <v>0</v>
      </c>
      <c r="M53" s="15">
        <f>'12 - Device_Configuration'!Q53</f>
        <v>0</v>
      </c>
      <c r="N53" s="15" t="str">
        <f>'12 - Device_Configuration'!BK53</f>
        <v/>
      </c>
      <c r="O53" s="23" t="str">
        <f>'12 - Device_Configuration'!BL53</f>
        <v/>
      </c>
      <c r="P53" s="2">
        <f>'12 - Device_Configuration'!BA53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'12 - Device_Configuration'!H54</f>
        <v>NSUH</v>
      </c>
      <c r="B54" s="23" t="str">
        <f>'12 - Device_Configuration'!S54</f>
        <v>WMH300OPR336</v>
      </c>
      <c r="C54" s="23">
        <f>'12 - Device_Configuration'!T54</f>
        <v>0</v>
      </c>
      <c r="D54" s="15" t="str">
        <f>'12 - Device_Configuration'!AJ54</f>
        <v>CyberMed-S24 TGL</v>
      </c>
      <c r="E54" s="15" t="str">
        <f>'12 - Device_Configuration'!J54</f>
        <v>Yes</v>
      </c>
      <c r="F54" s="23" t="str">
        <f>'12 - Device_Configuration'!K54</f>
        <v>No</v>
      </c>
      <c r="G54" s="15" t="str">
        <f>'12 - Device_Configuration'!L54</f>
        <v>No</v>
      </c>
      <c r="H54" s="15">
        <f>'13 - Config_Intake_View'!M54</f>
        <v>0</v>
      </c>
      <c r="I54" s="23">
        <f>IF('13 - Config_Intake_View'!Q54&lt;&gt;"",'13 - Config_Intake_View'!Q54,'12 - Device_Configuration'!BH54)</f>
        <v>0</v>
      </c>
      <c r="J54" s="15" t="str">
        <f>IF('13 - Config_Intake_View'!Q54&lt;&gt;"","PM Approved",IF('12 - Device_Configuration'!BH54&lt;&gt;"","Assumed",""))</f>
        <v/>
      </c>
      <c r="K54" s="23">
        <f>'12 - Device_Configuration'!BG54</f>
        <v>0</v>
      </c>
      <c r="L54" s="15">
        <f>'12 - Device_Configuration'!P54</f>
        <v>0</v>
      </c>
      <c r="M54" s="15">
        <f>'12 - Device_Configuration'!Q54</f>
        <v>0</v>
      </c>
      <c r="N54" s="15" t="str">
        <f>'12 - Device_Configuration'!BK54</f>
        <v/>
      </c>
      <c r="O54" s="23" t="str">
        <f>'12 - Device_Configuration'!BL54</f>
        <v/>
      </c>
      <c r="P54" s="2">
        <f>'12 - Device_Configuration'!BA54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'12 - Device_Configuration'!H55</f>
        <v>NSUH</v>
      </c>
      <c r="B55" s="23" t="str">
        <f>'12 - Device_Configuration'!S55</f>
        <v>WMH300OPR337</v>
      </c>
      <c r="C55" s="23">
        <f>'12 - Device_Configuration'!T55</f>
        <v>0</v>
      </c>
      <c r="D55" s="15" t="str">
        <f>'12 - Device_Configuration'!AJ55</f>
        <v>CyberMed-S24 TGL</v>
      </c>
      <c r="E55" s="15" t="str">
        <f>'12 - Device_Configuration'!J55</f>
        <v>Yes</v>
      </c>
      <c r="F55" s="23" t="str">
        <f>'12 - Device_Configuration'!K55</f>
        <v>No</v>
      </c>
      <c r="G55" s="15" t="str">
        <f>'12 - Device_Configuration'!L55</f>
        <v>No</v>
      </c>
      <c r="H55" s="15">
        <f>'13 - Config_Intake_View'!M55</f>
        <v>0</v>
      </c>
      <c r="I55" s="23">
        <f>IF('13 - Config_Intake_View'!Q55&lt;&gt;"",'13 - Config_Intake_View'!Q55,'12 - Device_Configuration'!BH55)</f>
        <v>0</v>
      </c>
      <c r="J55" s="15" t="str">
        <f>IF('13 - Config_Intake_View'!Q55&lt;&gt;"","PM Approved",IF('12 - Device_Configuration'!BH55&lt;&gt;"","Assumed",""))</f>
        <v/>
      </c>
      <c r="K55" s="23">
        <f>'12 - Device_Configuration'!BG55</f>
        <v>0</v>
      </c>
      <c r="L55" s="15">
        <f>'12 - Device_Configuration'!P55</f>
        <v>0</v>
      </c>
      <c r="M55" s="15">
        <f>'12 - Device_Configuration'!Q55</f>
        <v>0</v>
      </c>
      <c r="N55" s="15" t="str">
        <f>'12 - Device_Configuration'!BK55</f>
        <v/>
      </c>
      <c r="O55" s="23" t="str">
        <f>'12 - Device_Configuration'!BL55</f>
        <v/>
      </c>
      <c r="P55" s="2">
        <f>'12 - Device_Configuration'!BA55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'12 - Device_Configuration'!H56</f>
        <v>NSUH</v>
      </c>
      <c r="B56" s="23" t="str">
        <f>'12 - Device_Configuration'!S56</f>
        <v>WMH300OPR338</v>
      </c>
      <c r="C56" s="23">
        <f>'12 - Device_Configuration'!T56</f>
        <v>0</v>
      </c>
      <c r="D56" s="15">
        <f>'12 - Device_Configuration'!AJ56</f>
        <v>0</v>
      </c>
      <c r="E56" s="15" t="str">
        <f>'12 - Device_Configuration'!J56</f>
        <v>Yes</v>
      </c>
      <c r="F56" s="23" t="str">
        <f>'12 - Device_Configuration'!K56</f>
        <v>No</v>
      </c>
      <c r="G56" s="15" t="str">
        <f>'12 - Device_Configuration'!L56</f>
        <v>No</v>
      </c>
      <c r="H56" s="15">
        <f>'13 - Config_Intake_View'!M56</f>
        <v>0</v>
      </c>
      <c r="I56" s="23">
        <f>IF('13 - Config_Intake_View'!Q56&lt;&gt;"",'13 - Config_Intake_View'!Q56,'12 - Device_Configuration'!BH56)</f>
        <v>0</v>
      </c>
      <c r="J56" s="15" t="str">
        <f>IF('13 - Config_Intake_View'!Q56&lt;&gt;"","PM Approved",IF('12 - Device_Configuration'!BH56&lt;&gt;"","Assumed",""))</f>
        <v/>
      </c>
      <c r="K56" s="23">
        <f>'12 - Device_Configuration'!BG56</f>
        <v>0</v>
      </c>
      <c r="L56" s="15">
        <f>'12 - Device_Configuration'!P56</f>
        <v>0</v>
      </c>
      <c r="M56" s="15">
        <f>'12 - Device_Configuration'!Q56</f>
        <v>0</v>
      </c>
      <c r="N56" s="15" t="str">
        <f>'12 - Device_Configuration'!BK56</f>
        <v/>
      </c>
      <c r="O56" s="23" t="str">
        <f>'12 - Device_Configuration'!BL56</f>
        <v/>
      </c>
      <c r="P56" s="2">
        <f>'12 - Device_Configuration'!BA56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'12 - Device_Configuration'!H57</f>
        <v>NSUH</v>
      </c>
      <c r="B57" s="23" t="str">
        <f>'12 - Device_Configuration'!S57</f>
        <v>WMH300OPR339</v>
      </c>
      <c r="C57" s="23">
        <f>'12 - Device_Configuration'!T57</f>
        <v>0</v>
      </c>
      <c r="D57" s="15">
        <f>'12 - Device_Configuration'!AJ57</f>
        <v>0</v>
      </c>
      <c r="E57" s="15" t="str">
        <f>'12 - Device_Configuration'!J57</f>
        <v>Yes</v>
      </c>
      <c r="F57" s="23" t="str">
        <f>'12 - Device_Configuration'!K57</f>
        <v>No</v>
      </c>
      <c r="G57" s="15" t="str">
        <f>'12 - Device_Configuration'!L57</f>
        <v>No</v>
      </c>
      <c r="H57" s="15">
        <f>'13 - Config_Intake_View'!M57</f>
        <v>0</v>
      </c>
      <c r="I57" s="23">
        <f>IF('13 - Config_Intake_View'!Q57&lt;&gt;"",'13 - Config_Intake_View'!Q57,'12 - Device_Configuration'!BH57)</f>
        <v>0</v>
      </c>
      <c r="J57" s="15" t="str">
        <f>IF('13 - Config_Intake_View'!Q57&lt;&gt;"","PM Approved",IF('12 - Device_Configuration'!BH57&lt;&gt;"","Assumed",""))</f>
        <v/>
      </c>
      <c r="K57" s="23">
        <f>'12 - Device_Configuration'!BG57</f>
        <v>0</v>
      </c>
      <c r="L57" s="15">
        <f>'12 - Device_Configuration'!P57</f>
        <v>0</v>
      </c>
      <c r="M57" s="15">
        <f>'12 - Device_Configuration'!Q57</f>
        <v>0</v>
      </c>
      <c r="N57" s="15" t="str">
        <f>'12 - Device_Configuration'!BK57</f>
        <v/>
      </c>
      <c r="O57" s="23" t="str">
        <f>'12 - Device_Configuration'!BL57</f>
        <v/>
      </c>
      <c r="P57" s="2">
        <f>'12 - Device_Configuration'!BA57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'12 - Device_Configuration'!H58</f>
        <v>NSUH</v>
      </c>
      <c r="B58" s="23" t="str">
        <f>'12 - Device_Configuration'!S58</f>
        <v>WMH300OPR340</v>
      </c>
      <c r="C58" s="23">
        <f>'12 - Device_Configuration'!T58</f>
        <v>0</v>
      </c>
      <c r="D58" s="15">
        <f>'12 - Device_Configuration'!AJ58</f>
        <v>0</v>
      </c>
      <c r="E58" s="15" t="str">
        <f>'12 - Device_Configuration'!J58</f>
        <v>Yes</v>
      </c>
      <c r="F58" s="23" t="str">
        <f>'12 - Device_Configuration'!K58</f>
        <v>No</v>
      </c>
      <c r="G58" s="15" t="str">
        <f>'12 - Device_Configuration'!L58</f>
        <v>No</v>
      </c>
      <c r="H58" s="15">
        <f>'13 - Config_Intake_View'!M58</f>
        <v>0</v>
      </c>
      <c r="I58" s="23">
        <f>IF('13 - Config_Intake_View'!Q58&lt;&gt;"",'13 - Config_Intake_View'!Q58,'12 - Device_Configuration'!BH58)</f>
        <v>0</v>
      </c>
      <c r="J58" s="15" t="str">
        <f>IF('13 - Config_Intake_View'!Q58&lt;&gt;"","PM Approved",IF('12 - Device_Configuration'!BH58&lt;&gt;"","Assumed",""))</f>
        <v/>
      </c>
      <c r="K58" s="23">
        <f>'12 - Device_Configuration'!BG58</f>
        <v>0</v>
      </c>
      <c r="L58" s="15">
        <f>'12 - Device_Configuration'!P58</f>
        <v>0</v>
      </c>
      <c r="M58" s="15">
        <f>'12 - Device_Configuration'!Q58</f>
        <v>0</v>
      </c>
      <c r="N58" s="15" t="str">
        <f>'12 - Device_Configuration'!BK58</f>
        <v/>
      </c>
      <c r="O58" s="23" t="str">
        <f>'12 - Device_Configuration'!BL58</f>
        <v/>
      </c>
      <c r="P58" s="2">
        <f>'12 - Device_Configuration'!BA58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'12 - Device_Configuration'!H59</f>
        <v>NSUH</v>
      </c>
      <c r="B59" s="23" t="str">
        <f>'12 - Device_Configuration'!S59</f>
        <v>WMH300OPR341</v>
      </c>
      <c r="C59" s="23">
        <f>'12 - Device_Configuration'!T59</f>
        <v>0</v>
      </c>
      <c r="D59" s="15">
        <f>'12 - Device_Configuration'!AJ59</f>
        <v>0</v>
      </c>
      <c r="E59" s="15" t="str">
        <f>'12 - Device_Configuration'!J59</f>
        <v>Yes</v>
      </c>
      <c r="F59" s="23" t="str">
        <f>'12 - Device_Configuration'!K59</f>
        <v>No</v>
      </c>
      <c r="G59" s="15" t="str">
        <f>'12 - Device_Configuration'!L59</f>
        <v>No</v>
      </c>
      <c r="H59" s="15">
        <f>'13 - Config_Intake_View'!M59</f>
        <v>0</v>
      </c>
      <c r="I59" s="23">
        <f>IF('13 - Config_Intake_View'!Q59&lt;&gt;"",'13 - Config_Intake_View'!Q59,'12 - Device_Configuration'!BH59)</f>
        <v>0</v>
      </c>
      <c r="J59" s="15" t="str">
        <f>IF('13 - Config_Intake_View'!Q59&lt;&gt;"","PM Approved",IF('12 - Device_Configuration'!BH59&lt;&gt;"","Assumed",""))</f>
        <v/>
      </c>
      <c r="K59" s="23">
        <f>'12 - Device_Configuration'!BG59</f>
        <v>0</v>
      </c>
      <c r="L59" s="15">
        <f>'12 - Device_Configuration'!P59</f>
        <v>0</v>
      </c>
      <c r="M59" s="15">
        <f>'12 - Device_Configuration'!Q59</f>
        <v>0</v>
      </c>
      <c r="N59" s="15" t="str">
        <f>'12 - Device_Configuration'!BK59</f>
        <v/>
      </c>
      <c r="O59" s="23" t="str">
        <f>'12 - Device_Configuration'!BL59</f>
        <v/>
      </c>
      <c r="P59" s="2">
        <f>'12 - Device_Configuration'!BA59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'12 - Device_Configuration'!H60</f>
        <v>NSUH</v>
      </c>
      <c r="B60" s="23" t="str">
        <f>'12 - Device_Configuration'!S60</f>
        <v>WMH300OPR342</v>
      </c>
      <c r="C60" s="23">
        <f>'12 - Device_Configuration'!T60</f>
        <v>0</v>
      </c>
      <c r="D60" s="15">
        <f>'12 - Device_Configuration'!AJ60</f>
        <v>0</v>
      </c>
      <c r="E60" s="15" t="str">
        <f>'12 - Device_Configuration'!J60</f>
        <v>Yes</v>
      </c>
      <c r="F60" s="23" t="str">
        <f>'12 - Device_Configuration'!K60</f>
        <v>No</v>
      </c>
      <c r="G60" s="15" t="str">
        <f>'12 - Device_Configuration'!L60</f>
        <v>No</v>
      </c>
      <c r="H60" s="15">
        <f>'13 - Config_Intake_View'!M60</f>
        <v>0</v>
      </c>
      <c r="I60" s="23">
        <f>IF('13 - Config_Intake_View'!Q60&lt;&gt;"",'13 - Config_Intake_View'!Q60,'12 - Device_Configuration'!BH60)</f>
        <v>0</v>
      </c>
      <c r="J60" s="15" t="str">
        <f>IF('13 - Config_Intake_View'!Q60&lt;&gt;"","PM Approved",IF('12 - Device_Configuration'!BH60&lt;&gt;"","Assumed",""))</f>
        <v/>
      </c>
      <c r="K60" s="23">
        <f>'12 - Device_Configuration'!BG60</f>
        <v>0</v>
      </c>
      <c r="L60" s="15">
        <f>'12 - Device_Configuration'!P60</f>
        <v>0</v>
      </c>
      <c r="M60" s="15">
        <f>'12 - Device_Configuration'!Q60</f>
        <v>0</v>
      </c>
      <c r="N60" s="15" t="str">
        <f>'12 - Device_Configuration'!BK60</f>
        <v/>
      </c>
      <c r="O60" s="23" t="str">
        <f>'12 - Device_Configuration'!BL60</f>
        <v/>
      </c>
      <c r="P60" s="2">
        <f>'12 - Device_Configuration'!BA60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'12 - Device_Configuration'!H61</f>
        <v>NSUH</v>
      </c>
      <c r="B61" s="23" t="str">
        <f>'12 - Device_Configuration'!S61</f>
        <v>WMH300OPR343</v>
      </c>
      <c r="C61" s="23">
        <f>'12 - Device_Configuration'!T61</f>
        <v>0</v>
      </c>
      <c r="D61" s="15">
        <f>'12 - Device_Configuration'!AJ61</f>
        <v>0</v>
      </c>
      <c r="E61" s="15" t="str">
        <f>'12 - Device_Configuration'!J61</f>
        <v>Yes</v>
      </c>
      <c r="F61" s="23" t="str">
        <f>'12 - Device_Configuration'!K61</f>
        <v>No</v>
      </c>
      <c r="G61" s="15" t="str">
        <f>'12 - Device_Configuration'!L61</f>
        <v>No</v>
      </c>
      <c r="H61" s="15">
        <f>'13 - Config_Intake_View'!M61</f>
        <v>0</v>
      </c>
      <c r="I61" s="23">
        <f>IF('13 - Config_Intake_View'!Q61&lt;&gt;"",'13 - Config_Intake_View'!Q61,'12 - Device_Configuration'!BH61)</f>
        <v>0</v>
      </c>
      <c r="J61" s="15" t="str">
        <f>IF('13 - Config_Intake_View'!Q61&lt;&gt;"","PM Approved",IF('12 - Device_Configuration'!BH61&lt;&gt;"","Assumed",""))</f>
        <v/>
      </c>
      <c r="K61" s="23">
        <f>'12 - Device_Configuration'!BG61</f>
        <v>0</v>
      </c>
      <c r="L61" s="15">
        <f>'12 - Device_Configuration'!P61</f>
        <v>0</v>
      </c>
      <c r="M61" s="15">
        <f>'12 - Device_Configuration'!Q61</f>
        <v>0</v>
      </c>
      <c r="N61" s="15" t="str">
        <f>'12 - Device_Configuration'!BK61</f>
        <v/>
      </c>
      <c r="O61" s="23" t="str">
        <f>'12 - Device_Configuration'!BL61</f>
        <v/>
      </c>
      <c r="P61" s="2">
        <f>'12 - Device_Configuration'!BA61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'12 - Device_Configuration'!H62</f>
        <v>NSUH</v>
      </c>
      <c r="B62" s="23" t="str">
        <f>'12 - Device_Configuration'!S62</f>
        <v>WMH300OPR344</v>
      </c>
      <c r="C62" s="23">
        <f>'12 - Device_Configuration'!T62</f>
        <v>0</v>
      </c>
      <c r="D62" s="15">
        <f>'12 - Device_Configuration'!AJ62</f>
        <v>0</v>
      </c>
      <c r="E62" s="15" t="str">
        <f>'12 - Device_Configuration'!J62</f>
        <v>Yes</v>
      </c>
      <c r="F62" s="23" t="str">
        <f>'12 - Device_Configuration'!K62</f>
        <v>No</v>
      </c>
      <c r="G62" s="15" t="str">
        <f>'12 - Device_Configuration'!L62</f>
        <v>No</v>
      </c>
      <c r="H62" s="15">
        <f>'13 - Config_Intake_View'!M62</f>
        <v>0</v>
      </c>
      <c r="I62" s="23">
        <f>IF('13 - Config_Intake_View'!Q62&lt;&gt;"",'13 - Config_Intake_View'!Q62,'12 - Device_Configuration'!BH62)</f>
        <v>0</v>
      </c>
      <c r="J62" s="15" t="str">
        <f>IF('13 - Config_Intake_View'!Q62&lt;&gt;"","PM Approved",IF('12 - Device_Configuration'!BH62&lt;&gt;"","Assumed",""))</f>
        <v/>
      </c>
      <c r="K62" s="23">
        <f>'12 - Device_Configuration'!BG62</f>
        <v>0</v>
      </c>
      <c r="L62" s="15">
        <f>'12 - Device_Configuration'!P62</f>
        <v>0</v>
      </c>
      <c r="M62" s="15">
        <f>'12 - Device_Configuration'!Q62</f>
        <v>0</v>
      </c>
      <c r="N62" s="15" t="str">
        <f>'12 - Device_Configuration'!BK62</f>
        <v/>
      </c>
      <c r="O62" s="23" t="str">
        <f>'12 - Device_Configuration'!BL62</f>
        <v/>
      </c>
      <c r="P62" s="2">
        <f>'12 - Device_Configuration'!BA62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'12 - Device_Configuration'!H63</f>
        <v>NSUH</v>
      </c>
      <c r="B63" s="23" t="str">
        <f>'12 - Device_Configuration'!S63</f>
        <v>WMH300OPR345</v>
      </c>
      <c r="C63" s="23">
        <f>'12 - Device_Configuration'!T63</f>
        <v>0</v>
      </c>
      <c r="D63" s="15">
        <f>'12 - Device_Configuration'!AJ63</f>
        <v>0</v>
      </c>
      <c r="E63" s="15" t="str">
        <f>'12 - Device_Configuration'!J63</f>
        <v>Yes</v>
      </c>
      <c r="F63" s="23" t="str">
        <f>'12 - Device_Configuration'!K63</f>
        <v>No</v>
      </c>
      <c r="G63" s="15" t="str">
        <f>'12 - Device_Configuration'!L63</f>
        <v>No</v>
      </c>
      <c r="H63" s="15">
        <f>'13 - Config_Intake_View'!M63</f>
        <v>0</v>
      </c>
      <c r="I63" s="23">
        <f>IF('13 - Config_Intake_View'!Q63&lt;&gt;"",'13 - Config_Intake_View'!Q63,'12 - Device_Configuration'!BH63)</f>
        <v>0</v>
      </c>
      <c r="J63" s="15" t="str">
        <f>IF('13 - Config_Intake_View'!Q63&lt;&gt;"","PM Approved",IF('12 - Device_Configuration'!BH63&lt;&gt;"","Assumed",""))</f>
        <v/>
      </c>
      <c r="K63" s="23">
        <f>'12 - Device_Configuration'!BG63</f>
        <v>0</v>
      </c>
      <c r="L63" s="15">
        <f>'12 - Device_Configuration'!P63</f>
        <v>0</v>
      </c>
      <c r="M63" s="15">
        <f>'12 - Device_Configuration'!Q63</f>
        <v>0</v>
      </c>
      <c r="N63" s="15" t="str">
        <f>'12 - Device_Configuration'!BK63</f>
        <v/>
      </c>
      <c r="O63" s="23" t="str">
        <f>'12 - Device_Configuration'!BL63</f>
        <v/>
      </c>
      <c r="P63" s="2">
        <f>'12 - Device_Configuration'!BA63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'12 - Device_Configuration'!H64</f>
        <v>NSUH</v>
      </c>
      <c r="B64" s="23" t="str">
        <f>'12 - Device_Configuration'!S64</f>
        <v>WMH300OPR346</v>
      </c>
      <c r="C64" s="23">
        <f>'12 - Device_Configuration'!T64</f>
        <v>0</v>
      </c>
      <c r="D64" s="15">
        <f>'12 - Device_Configuration'!AJ64</f>
        <v>0</v>
      </c>
      <c r="E64" s="15" t="str">
        <f>'12 - Device_Configuration'!J64</f>
        <v>Yes</v>
      </c>
      <c r="F64" s="23" t="str">
        <f>'12 - Device_Configuration'!K64</f>
        <v>No</v>
      </c>
      <c r="G64" s="15" t="str">
        <f>'12 - Device_Configuration'!L64</f>
        <v>No</v>
      </c>
      <c r="H64" s="15">
        <f>'13 - Config_Intake_View'!M64</f>
        <v>0</v>
      </c>
      <c r="I64" s="23">
        <f>IF('13 - Config_Intake_View'!Q64&lt;&gt;"",'13 - Config_Intake_View'!Q64,'12 - Device_Configuration'!BH64)</f>
        <v>0</v>
      </c>
      <c r="J64" s="15" t="str">
        <f>IF('13 - Config_Intake_View'!Q64&lt;&gt;"","PM Approved",IF('12 - Device_Configuration'!BH64&lt;&gt;"","Assumed",""))</f>
        <v/>
      </c>
      <c r="K64" s="23">
        <f>'12 - Device_Configuration'!BG64</f>
        <v>0</v>
      </c>
      <c r="L64" s="15">
        <f>'12 - Device_Configuration'!P64</f>
        <v>0</v>
      </c>
      <c r="M64" s="15">
        <f>'12 - Device_Configuration'!Q64</f>
        <v>0</v>
      </c>
      <c r="N64" s="15" t="str">
        <f>'12 - Device_Configuration'!BK64</f>
        <v/>
      </c>
      <c r="O64" s="23" t="str">
        <f>'12 - Device_Configuration'!BL64</f>
        <v/>
      </c>
      <c r="P64" s="2">
        <f>'12 - Device_Configuration'!BA64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'12 - Device_Configuration'!H65</f>
        <v>NSUH</v>
      </c>
      <c r="B65" s="23" t="str">
        <f>'12 - Device_Configuration'!S65</f>
        <v>WMH300OPR347</v>
      </c>
      <c r="C65" s="23">
        <f>'12 - Device_Configuration'!T65</f>
        <v>0</v>
      </c>
      <c r="D65" s="15">
        <f>'12 - Device_Configuration'!AJ65</f>
        <v>0</v>
      </c>
      <c r="E65" s="15" t="str">
        <f>'12 - Device_Configuration'!J65</f>
        <v>Yes</v>
      </c>
      <c r="F65" s="23" t="str">
        <f>'12 - Device_Configuration'!K65</f>
        <v>No</v>
      </c>
      <c r="G65" s="15" t="str">
        <f>'12 - Device_Configuration'!L65</f>
        <v>No</v>
      </c>
      <c r="H65" s="15">
        <f>'13 - Config_Intake_View'!M65</f>
        <v>0</v>
      </c>
      <c r="I65" s="23">
        <f>IF('13 - Config_Intake_View'!Q65&lt;&gt;"",'13 - Config_Intake_View'!Q65,'12 - Device_Configuration'!BH65)</f>
        <v>0</v>
      </c>
      <c r="J65" s="15" t="str">
        <f>IF('13 - Config_Intake_View'!Q65&lt;&gt;"","PM Approved",IF('12 - Device_Configuration'!BH65&lt;&gt;"","Assumed",""))</f>
        <v/>
      </c>
      <c r="K65" s="23">
        <f>'12 - Device_Configuration'!BG65</f>
        <v>0</v>
      </c>
      <c r="L65" s="15">
        <f>'12 - Device_Configuration'!P65</f>
        <v>0</v>
      </c>
      <c r="M65" s="15">
        <f>'12 - Device_Configuration'!Q65</f>
        <v>0</v>
      </c>
      <c r="N65" s="15" t="str">
        <f>'12 - Device_Configuration'!BK65</f>
        <v/>
      </c>
      <c r="O65" s="23" t="str">
        <f>'12 - Device_Configuration'!BL65</f>
        <v/>
      </c>
      <c r="P65" s="2">
        <f>'12 - Device_Configuration'!BA65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'12 - Device_Configuration'!H66</f>
        <v>NSUH</v>
      </c>
      <c r="B66" s="23" t="str">
        <f>'12 - Device_Configuration'!S66</f>
        <v>WMH300OPR348</v>
      </c>
      <c r="C66" s="23">
        <f>'12 - Device_Configuration'!T66</f>
        <v>0</v>
      </c>
      <c r="D66" s="15">
        <f>'12 - Device_Configuration'!AJ66</f>
        <v>0</v>
      </c>
      <c r="E66" s="15" t="str">
        <f>'12 - Device_Configuration'!J66</f>
        <v>Yes</v>
      </c>
      <c r="F66" s="23" t="str">
        <f>'12 - Device_Configuration'!K66</f>
        <v>No</v>
      </c>
      <c r="G66" s="15" t="str">
        <f>'12 - Device_Configuration'!L66</f>
        <v>No</v>
      </c>
      <c r="H66" s="15">
        <f>'13 - Config_Intake_View'!M66</f>
        <v>0</v>
      </c>
      <c r="I66" s="23">
        <f>IF('13 - Config_Intake_View'!Q66&lt;&gt;"",'13 - Config_Intake_View'!Q66,'12 - Device_Configuration'!BH66)</f>
        <v>0</v>
      </c>
      <c r="J66" s="15" t="str">
        <f>IF('13 - Config_Intake_View'!Q66&lt;&gt;"","PM Approved",IF('12 - Device_Configuration'!BH66&lt;&gt;"","Assumed",""))</f>
        <v/>
      </c>
      <c r="K66" s="23">
        <f>'12 - Device_Configuration'!BG66</f>
        <v>0</v>
      </c>
      <c r="L66" s="15">
        <f>'12 - Device_Configuration'!P66</f>
        <v>0</v>
      </c>
      <c r="M66" s="15">
        <f>'12 - Device_Configuration'!Q66</f>
        <v>0</v>
      </c>
      <c r="N66" s="15" t="str">
        <f>'12 - Device_Configuration'!BK66</f>
        <v/>
      </c>
      <c r="O66" s="23" t="str">
        <f>'12 - Device_Configuration'!BL66</f>
        <v/>
      </c>
      <c r="P66" s="2">
        <f>'12 - Device_Configuration'!BA66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'12 - Device_Configuration'!H67</f>
        <v>NSUH</v>
      </c>
      <c r="B67" s="23" t="str">
        <f>'12 - Device_Configuration'!S67</f>
        <v>WMH300OPR349</v>
      </c>
      <c r="C67" s="23">
        <f>'12 - Device_Configuration'!T67</f>
        <v>0</v>
      </c>
      <c r="D67" s="15">
        <f>'12 - Device_Configuration'!AJ67</f>
        <v>0</v>
      </c>
      <c r="E67" s="15" t="str">
        <f>'12 - Device_Configuration'!J67</f>
        <v>Yes</v>
      </c>
      <c r="F67" s="23" t="str">
        <f>'12 - Device_Configuration'!K67</f>
        <v>No</v>
      </c>
      <c r="G67" s="15" t="str">
        <f>'12 - Device_Configuration'!L67</f>
        <v>No</v>
      </c>
      <c r="H67" s="15">
        <f>'13 - Config_Intake_View'!M67</f>
        <v>0</v>
      </c>
      <c r="I67" s="23">
        <f>IF('13 - Config_Intake_View'!Q67&lt;&gt;"",'13 - Config_Intake_View'!Q67,'12 - Device_Configuration'!BH67)</f>
        <v>0</v>
      </c>
      <c r="J67" s="15" t="str">
        <f>IF('13 - Config_Intake_View'!Q67&lt;&gt;"","PM Approved",IF('12 - Device_Configuration'!BH67&lt;&gt;"","Assumed",""))</f>
        <v/>
      </c>
      <c r="K67" s="23">
        <f>'12 - Device_Configuration'!BG67</f>
        <v>0</v>
      </c>
      <c r="L67" s="15">
        <f>'12 - Device_Configuration'!P67</f>
        <v>0</v>
      </c>
      <c r="M67" s="15">
        <f>'12 - Device_Configuration'!Q67</f>
        <v>0</v>
      </c>
      <c r="N67" s="15" t="str">
        <f>'12 - Device_Configuration'!BK67</f>
        <v/>
      </c>
      <c r="O67" s="23" t="str">
        <f>'12 - Device_Configuration'!BL67</f>
        <v/>
      </c>
      <c r="P67" s="2">
        <f>'12 - Device_Configuration'!BA67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'12 - Device_Configuration'!H68</f>
        <v>NSUH</v>
      </c>
      <c r="B68" s="23" t="str">
        <f>'12 - Device_Configuration'!S68</f>
        <v>WMH300OPR350</v>
      </c>
      <c r="C68" s="23">
        <f>'12 - Device_Configuration'!T68</f>
        <v>0</v>
      </c>
      <c r="D68" s="15">
        <f>'12 - Device_Configuration'!AJ68</f>
        <v>0</v>
      </c>
      <c r="E68" s="15" t="str">
        <f>'12 - Device_Configuration'!J68</f>
        <v>Yes</v>
      </c>
      <c r="F68" s="23" t="str">
        <f>'12 - Device_Configuration'!K68</f>
        <v>No</v>
      </c>
      <c r="G68" s="15" t="str">
        <f>'12 - Device_Configuration'!L68</f>
        <v>No</v>
      </c>
      <c r="H68" s="15">
        <f>'13 - Config_Intake_View'!M68</f>
        <v>0</v>
      </c>
      <c r="I68" s="23">
        <f>IF('13 - Config_Intake_View'!Q68&lt;&gt;"",'13 - Config_Intake_View'!Q68,'12 - Device_Configuration'!BH68)</f>
        <v>0</v>
      </c>
      <c r="J68" s="15" t="str">
        <f>IF('13 - Config_Intake_View'!Q68&lt;&gt;"","PM Approved",IF('12 - Device_Configuration'!BH68&lt;&gt;"","Assumed",""))</f>
        <v/>
      </c>
      <c r="K68" s="23">
        <f>'12 - Device_Configuration'!BG68</f>
        <v>0</v>
      </c>
      <c r="L68" s="15">
        <f>'12 - Device_Configuration'!P68</f>
        <v>0</v>
      </c>
      <c r="M68" s="15">
        <f>'12 - Device_Configuration'!Q68</f>
        <v>0</v>
      </c>
      <c r="N68" s="15" t="str">
        <f>'12 - Device_Configuration'!BK68</f>
        <v/>
      </c>
      <c r="O68" s="23" t="str">
        <f>'12 - Device_Configuration'!BL68</f>
        <v/>
      </c>
      <c r="P68" s="2">
        <f>'12 - Device_Configuration'!BA68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'12 - Device_Configuration'!H69</f>
        <v>LIJ - CCMC</v>
      </c>
      <c r="B69" s="23" t="str">
        <f>'12 - Device_Configuration'!S69</f>
        <v>WNH269OPR013</v>
      </c>
      <c r="C69" s="23">
        <f>'12 - Device_Configuration'!T69</f>
        <v>0</v>
      </c>
      <c r="D69" s="15">
        <f>'12 - Device_Configuration'!AJ69</f>
        <v>0</v>
      </c>
      <c r="E69" s="15" t="str">
        <f>'12 - Device_Configuration'!J69</f>
        <v>Yes</v>
      </c>
      <c r="F69" s="23" t="str">
        <f>'12 - Device_Configuration'!K69</f>
        <v>No</v>
      </c>
      <c r="G69" s="15" t="str">
        <f>'12 - Device_Configuration'!L69</f>
        <v>No</v>
      </c>
      <c r="H69" s="15">
        <f>'13 - Config_Intake_View'!M69</f>
        <v>0</v>
      </c>
      <c r="I69" s="23">
        <f>IF('13 - Config_Intake_View'!Q69&lt;&gt;"",'13 - Config_Intake_View'!Q69,'12 - Device_Configuration'!BH69)</f>
        <v>0</v>
      </c>
      <c r="J69" s="15" t="str">
        <f>IF('13 - Config_Intake_View'!Q69&lt;&gt;"","PM Approved",IF('12 - Device_Configuration'!BH69&lt;&gt;"","Assumed",""))</f>
        <v/>
      </c>
      <c r="K69" s="23">
        <f>'12 - Device_Configuration'!BG69</f>
        <v>0</v>
      </c>
      <c r="L69" s="15">
        <f>'12 - Device_Configuration'!P69</f>
        <v>0</v>
      </c>
      <c r="M69" s="15">
        <f>'12 - Device_Configuration'!Q69</f>
        <v>0</v>
      </c>
      <c r="N69" s="15" t="str">
        <f>'12 - Device_Configuration'!BK69</f>
        <v/>
      </c>
      <c r="O69" s="23" t="str">
        <f>'12 - Device_Configuration'!BL69</f>
        <v/>
      </c>
      <c r="P69" s="2">
        <f>'12 - Device_Configuration'!BA69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'12 - Device_Configuration'!H70</f>
        <v>LIJ - CCMC</v>
      </c>
      <c r="B70" s="23" t="str">
        <f>'12 - Device_Configuration'!S70</f>
        <v>WNH269OPR014</v>
      </c>
      <c r="C70" s="23">
        <f>'12 - Device_Configuration'!T70</f>
        <v>0</v>
      </c>
      <c r="D70" s="15">
        <f>'12 - Device_Configuration'!AJ70</f>
        <v>0</v>
      </c>
      <c r="E70" s="15" t="str">
        <f>'12 - Device_Configuration'!J70</f>
        <v>Yes</v>
      </c>
      <c r="F70" s="23" t="str">
        <f>'12 - Device_Configuration'!K70</f>
        <v>No</v>
      </c>
      <c r="G70" s="15" t="str">
        <f>'12 - Device_Configuration'!L70</f>
        <v>No</v>
      </c>
      <c r="H70" s="15">
        <f>'13 - Config_Intake_View'!M70</f>
        <v>0</v>
      </c>
      <c r="I70" s="23">
        <f>IF('13 - Config_Intake_View'!Q70&lt;&gt;"",'13 - Config_Intake_View'!Q70,'12 - Device_Configuration'!BH70)</f>
        <v>0</v>
      </c>
      <c r="J70" s="15" t="str">
        <f>IF('13 - Config_Intake_View'!Q70&lt;&gt;"","PM Approved",IF('12 - Device_Configuration'!BH70&lt;&gt;"","Assumed",""))</f>
        <v/>
      </c>
      <c r="K70" s="23">
        <f>'12 - Device_Configuration'!BG70</f>
        <v>0</v>
      </c>
      <c r="L70" s="15">
        <f>'12 - Device_Configuration'!P70</f>
        <v>0</v>
      </c>
      <c r="M70" s="15">
        <f>'12 - Device_Configuration'!Q70</f>
        <v>0</v>
      </c>
      <c r="N70" s="15" t="str">
        <f>'12 - Device_Configuration'!BK70</f>
        <v/>
      </c>
      <c r="O70" s="23" t="str">
        <f>'12 - Device_Configuration'!BL70</f>
        <v/>
      </c>
      <c r="P70" s="2">
        <f>'12 - Device_Configuration'!BA70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'12 - Device_Configuration'!H71</f>
        <v>LIJ - CCMC</v>
      </c>
      <c r="B71" s="23" t="str">
        <f>'12 - Device_Configuration'!S71</f>
        <v>WNH269OPR015</v>
      </c>
      <c r="C71" s="23">
        <f>'12 - Device_Configuration'!T71</f>
        <v>0</v>
      </c>
      <c r="D71" s="15">
        <f>'12 - Device_Configuration'!AJ71</f>
        <v>0</v>
      </c>
      <c r="E71" s="15" t="str">
        <f>'12 - Device_Configuration'!J71</f>
        <v>Yes</v>
      </c>
      <c r="F71" s="23" t="str">
        <f>'12 - Device_Configuration'!K71</f>
        <v>No</v>
      </c>
      <c r="G71" s="15" t="str">
        <f>'12 - Device_Configuration'!L71</f>
        <v>No</v>
      </c>
      <c r="H71" s="15">
        <f>'13 - Config_Intake_View'!M71</f>
        <v>0</v>
      </c>
      <c r="I71" s="23">
        <f>IF('13 - Config_Intake_View'!Q71&lt;&gt;"",'13 - Config_Intake_View'!Q71,'12 - Device_Configuration'!BH71)</f>
        <v>0</v>
      </c>
      <c r="J71" s="15" t="str">
        <f>IF('13 - Config_Intake_View'!Q71&lt;&gt;"","PM Approved",IF('12 - Device_Configuration'!BH71&lt;&gt;"","Assumed",""))</f>
        <v/>
      </c>
      <c r="K71" s="23">
        <f>'12 - Device_Configuration'!BG71</f>
        <v>0</v>
      </c>
      <c r="L71" s="15">
        <f>'12 - Device_Configuration'!P71</f>
        <v>0</v>
      </c>
      <c r="M71" s="15">
        <f>'12 - Device_Configuration'!Q71</f>
        <v>0</v>
      </c>
      <c r="N71" s="15" t="str">
        <f>'12 - Device_Configuration'!BK71</f>
        <v/>
      </c>
      <c r="O71" s="23" t="str">
        <f>'12 - Device_Configuration'!BL71</f>
        <v/>
      </c>
      <c r="P71" s="2">
        <f>'12 - Device_Configuration'!BA71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'12 - Device_Configuration'!H72</f>
        <v>LIJ - CCMC</v>
      </c>
      <c r="B72" s="23" t="str">
        <f>'12 - Device_Configuration'!S72</f>
        <v>WNH269OPR016</v>
      </c>
      <c r="C72" s="23">
        <f>'12 - Device_Configuration'!T72</f>
        <v>0</v>
      </c>
      <c r="D72" s="15">
        <f>'12 - Device_Configuration'!AJ72</f>
        <v>0</v>
      </c>
      <c r="E72" s="15" t="str">
        <f>'12 - Device_Configuration'!J72</f>
        <v>Yes</v>
      </c>
      <c r="F72" s="23" t="str">
        <f>'12 - Device_Configuration'!K72</f>
        <v>No</v>
      </c>
      <c r="G72" s="15" t="str">
        <f>'12 - Device_Configuration'!L72</f>
        <v>No</v>
      </c>
      <c r="H72" s="15">
        <f>'13 - Config_Intake_View'!M72</f>
        <v>0</v>
      </c>
      <c r="I72" s="23">
        <f>IF('13 - Config_Intake_View'!Q72&lt;&gt;"",'13 - Config_Intake_View'!Q72,'12 - Device_Configuration'!BH72)</f>
        <v>0</v>
      </c>
      <c r="J72" s="15" t="str">
        <f>IF('13 - Config_Intake_View'!Q72&lt;&gt;"","PM Approved",IF('12 - Device_Configuration'!BH72&lt;&gt;"","Assumed",""))</f>
        <v/>
      </c>
      <c r="K72" s="23">
        <f>'12 - Device_Configuration'!BG72</f>
        <v>0</v>
      </c>
      <c r="L72" s="15">
        <f>'12 - Device_Configuration'!P72</f>
        <v>0</v>
      </c>
      <c r="M72" s="15">
        <f>'12 - Device_Configuration'!Q72</f>
        <v>0</v>
      </c>
      <c r="N72" s="15" t="str">
        <f>'12 - Device_Configuration'!BK72</f>
        <v/>
      </c>
      <c r="O72" s="23" t="str">
        <f>'12 - Device_Configuration'!BL72</f>
        <v/>
      </c>
      <c r="P72" s="2">
        <f>'12 - Device_Configuration'!BA72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'12 - Device_Configuration'!H73</f>
        <v>LIJ - CCMC</v>
      </c>
      <c r="B73" s="23" t="str">
        <f>'12 - Device_Configuration'!S73</f>
        <v>WNH269OPR017</v>
      </c>
      <c r="C73" s="23">
        <f>'12 - Device_Configuration'!T73</f>
        <v>0</v>
      </c>
      <c r="D73" s="15">
        <f>'12 - Device_Configuration'!AJ73</f>
        <v>0</v>
      </c>
      <c r="E73" s="15" t="str">
        <f>'12 - Device_Configuration'!J73</f>
        <v>Yes</v>
      </c>
      <c r="F73" s="23" t="str">
        <f>'12 - Device_Configuration'!K73</f>
        <v>No</v>
      </c>
      <c r="G73" s="15" t="str">
        <f>'12 - Device_Configuration'!L73</f>
        <v>No</v>
      </c>
      <c r="H73" s="15">
        <f>'13 - Config_Intake_View'!M73</f>
        <v>0</v>
      </c>
      <c r="I73" s="23">
        <f>IF('13 - Config_Intake_View'!Q73&lt;&gt;"",'13 - Config_Intake_View'!Q73,'12 - Device_Configuration'!BH73)</f>
        <v>0</v>
      </c>
      <c r="J73" s="15" t="str">
        <f>IF('13 - Config_Intake_View'!Q73&lt;&gt;"","PM Approved",IF('12 - Device_Configuration'!BH73&lt;&gt;"","Assumed",""))</f>
        <v/>
      </c>
      <c r="K73" s="23">
        <f>'12 - Device_Configuration'!BG73</f>
        <v>0</v>
      </c>
      <c r="L73" s="15">
        <f>'12 - Device_Configuration'!P73</f>
        <v>0</v>
      </c>
      <c r="M73" s="15">
        <f>'12 - Device_Configuration'!Q73</f>
        <v>0</v>
      </c>
      <c r="N73" s="15" t="str">
        <f>'12 - Device_Configuration'!BK73</f>
        <v/>
      </c>
      <c r="O73" s="23" t="str">
        <f>'12 - Device_Configuration'!BL73</f>
        <v/>
      </c>
      <c r="P73" s="2">
        <f>'12 - Device_Configuration'!BA73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'12 - Device_Configuration'!H74</f>
        <v>LIJ - CCMC</v>
      </c>
      <c r="B74" s="23" t="str">
        <f>'12 - Device_Configuration'!S74</f>
        <v>WNH269OPR018</v>
      </c>
      <c r="C74" s="23">
        <f>'12 - Device_Configuration'!T74</f>
        <v>0</v>
      </c>
      <c r="D74" s="15">
        <f>'12 - Device_Configuration'!AJ74</f>
        <v>0</v>
      </c>
      <c r="E74" s="15" t="str">
        <f>'12 - Device_Configuration'!J74</f>
        <v>Yes</v>
      </c>
      <c r="F74" s="23" t="str">
        <f>'12 - Device_Configuration'!K74</f>
        <v>No</v>
      </c>
      <c r="G74" s="15" t="str">
        <f>'12 - Device_Configuration'!L74</f>
        <v>No</v>
      </c>
      <c r="H74" s="15">
        <f>'13 - Config_Intake_View'!M74</f>
        <v>0</v>
      </c>
      <c r="I74" s="23">
        <f>IF('13 - Config_Intake_View'!Q74&lt;&gt;"",'13 - Config_Intake_View'!Q74,'12 - Device_Configuration'!BH74)</f>
        <v>0</v>
      </c>
      <c r="J74" s="15" t="str">
        <f>IF('13 - Config_Intake_View'!Q74&lt;&gt;"","PM Approved",IF('12 - Device_Configuration'!BH74&lt;&gt;"","Assumed",""))</f>
        <v/>
      </c>
      <c r="K74" s="23">
        <f>'12 - Device_Configuration'!BG74</f>
        <v>0</v>
      </c>
      <c r="L74" s="15">
        <f>'12 - Device_Configuration'!P74</f>
        <v>0</v>
      </c>
      <c r="M74" s="15">
        <f>'12 - Device_Configuration'!Q74</f>
        <v>0</v>
      </c>
      <c r="N74" s="15" t="str">
        <f>'12 - Device_Configuration'!BK74</f>
        <v/>
      </c>
      <c r="O74" s="23" t="str">
        <f>'12 - Device_Configuration'!BL74</f>
        <v/>
      </c>
      <c r="P74" s="2">
        <f>'12 - Device_Configuration'!BA74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'12 - Device_Configuration'!H75</f>
        <v>LIJ - CCMC</v>
      </c>
      <c r="B75" s="23" t="str">
        <f>'12 - Device_Configuration'!S75</f>
        <v>WNH269OPR019</v>
      </c>
      <c r="C75" s="23">
        <f>'12 - Device_Configuration'!T75</f>
        <v>0</v>
      </c>
      <c r="D75" s="15">
        <f>'12 - Device_Configuration'!AJ75</f>
        <v>0</v>
      </c>
      <c r="E75" s="15" t="str">
        <f>'12 - Device_Configuration'!J75</f>
        <v>Yes</v>
      </c>
      <c r="F75" s="23" t="str">
        <f>'12 - Device_Configuration'!K75</f>
        <v>No</v>
      </c>
      <c r="G75" s="15" t="str">
        <f>'12 - Device_Configuration'!L75</f>
        <v>No</v>
      </c>
      <c r="H75" s="15">
        <f>'13 - Config_Intake_View'!M75</f>
        <v>0</v>
      </c>
      <c r="I75" s="23">
        <f>IF('13 - Config_Intake_View'!Q75&lt;&gt;"",'13 - Config_Intake_View'!Q75,'12 - Device_Configuration'!BH75)</f>
        <v>0</v>
      </c>
      <c r="J75" s="15" t="str">
        <f>IF('13 - Config_Intake_View'!Q75&lt;&gt;"","PM Approved",IF('12 - Device_Configuration'!BH75&lt;&gt;"","Assumed",""))</f>
        <v/>
      </c>
      <c r="K75" s="23">
        <f>'12 - Device_Configuration'!BG75</f>
        <v>0</v>
      </c>
      <c r="L75" s="15">
        <f>'12 - Device_Configuration'!P75</f>
        <v>0</v>
      </c>
      <c r="M75" s="15">
        <f>'12 - Device_Configuration'!Q75</f>
        <v>0</v>
      </c>
      <c r="N75" s="15" t="str">
        <f>'12 - Device_Configuration'!BK75</f>
        <v/>
      </c>
      <c r="O75" s="23" t="str">
        <f>'12 - Device_Configuration'!BL75</f>
        <v/>
      </c>
      <c r="P75" s="2">
        <f>'12 - Device_Configuration'!BA75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'12 - Device_Configuration'!H76</f>
        <v>LIJ - CCMC</v>
      </c>
      <c r="B76" s="23" t="str">
        <f>'12 - Device_Configuration'!S76</f>
        <v>WNH269OPR020</v>
      </c>
      <c r="C76" s="23">
        <f>'12 - Device_Configuration'!T76</f>
        <v>0</v>
      </c>
      <c r="D76" s="15">
        <f>'12 - Device_Configuration'!AJ76</f>
        <v>0</v>
      </c>
      <c r="E76" s="15" t="str">
        <f>'12 - Device_Configuration'!J76</f>
        <v>Yes</v>
      </c>
      <c r="F76" s="23" t="str">
        <f>'12 - Device_Configuration'!K76</f>
        <v>No</v>
      </c>
      <c r="G76" s="15" t="str">
        <f>'12 - Device_Configuration'!L76</f>
        <v>No</v>
      </c>
      <c r="H76" s="15">
        <f>'13 - Config_Intake_View'!M76</f>
        <v>0</v>
      </c>
      <c r="I76" s="23">
        <f>IF('13 - Config_Intake_View'!Q76&lt;&gt;"",'13 - Config_Intake_View'!Q76,'12 - Device_Configuration'!BH76)</f>
        <v>0</v>
      </c>
      <c r="J76" s="15" t="str">
        <f>IF('13 - Config_Intake_View'!Q76&lt;&gt;"","PM Approved",IF('12 - Device_Configuration'!BH76&lt;&gt;"","Assumed",""))</f>
        <v/>
      </c>
      <c r="K76" s="23">
        <f>'12 - Device_Configuration'!BG76</f>
        <v>0</v>
      </c>
      <c r="L76" s="15">
        <f>'12 - Device_Configuration'!P76</f>
        <v>0</v>
      </c>
      <c r="M76" s="15">
        <f>'12 - Device_Configuration'!Q76</f>
        <v>0</v>
      </c>
      <c r="N76" s="15" t="str">
        <f>'12 - Device_Configuration'!BK76</f>
        <v/>
      </c>
      <c r="O76" s="23" t="str">
        <f>'12 - Device_Configuration'!BL76</f>
        <v/>
      </c>
      <c r="P76" s="2">
        <f>'12 - Device_Configuration'!BA76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'12 - Device_Configuration'!H77</f>
        <v>LIJ - CCMC</v>
      </c>
      <c r="B77" s="23" t="str">
        <f>'12 - Device_Configuration'!S77</f>
        <v>WNH269OPR021</v>
      </c>
      <c r="C77" s="23">
        <f>'12 - Device_Configuration'!T77</f>
        <v>0</v>
      </c>
      <c r="D77" s="15">
        <f>'12 - Device_Configuration'!AJ77</f>
        <v>0</v>
      </c>
      <c r="E77" s="15" t="str">
        <f>'12 - Device_Configuration'!J77</f>
        <v>Yes</v>
      </c>
      <c r="F77" s="23" t="str">
        <f>'12 - Device_Configuration'!K77</f>
        <v>No</v>
      </c>
      <c r="G77" s="15" t="str">
        <f>'12 - Device_Configuration'!L77</f>
        <v>No</v>
      </c>
      <c r="H77" s="15">
        <f>'13 - Config_Intake_View'!M77</f>
        <v>0</v>
      </c>
      <c r="I77" s="23">
        <f>IF('13 - Config_Intake_View'!Q77&lt;&gt;"",'13 - Config_Intake_View'!Q77,'12 - Device_Configuration'!BH77)</f>
        <v>0</v>
      </c>
      <c r="J77" s="15" t="str">
        <f>IF('13 - Config_Intake_View'!Q77&lt;&gt;"","PM Approved",IF('12 - Device_Configuration'!BH77&lt;&gt;"","Assumed",""))</f>
        <v/>
      </c>
      <c r="K77" s="23">
        <f>'12 - Device_Configuration'!BG77</f>
        <v>0</v>
      </c>
      <c r="L77" s="15">
        <f>'12 - Device_Configuration'!P77</f>
        <v>0</v>
      </c>
      <c r="M77" s="15">
        <f>'12 - Device_Configuration'!Q77</f>
        <v>0</v>
      </c>
      <c r="N77" s="15" t="str">
        <f>'12 - Device_Configuration'!BK77</f>
        <v/>
      </c>
      <c r="O77" s="23" t="str">
        <f>'12 - Device_Configuration'!BL77</f>
        <v/>
      </c>
      <c r="P77" s="2">
        <f>'12 - Device_Configuration'!BA77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'12 - Device_Configuration'!H78</f>
        <v>CFAM</v>
      </c>
      <c r="B78" s="23" t="str">
        <f>'12 - Device_Configuration'!S78</f>
        <v>WLS450OPR001</v>
      </c>
      <c r="C78" s="23">
        <f>'12 - Device_Configuration'!T78</f>
        <v>0</v>
      </c>
      <c r="D78" s="15">
        <f>'12 - Device_Configuration'!AJ78</f>
        <v>0</v>
      </c>
      <c r="E78" s="15" t="str">
        <f>'12 - Device_Configuration'!J78</f>
        <v>Yes</v>
      </c>
      <c r="F78" s="23" t="str">
        <f>'12 - Device_Configuration'!K78</f>
        <v>No</v>
      </c>
      <c r="G78" s="15" t="str">
        <f>'12 - Device_Configuration'!L78</f>
        <v>No</v>
      </c>
      <c r="H78" s="15">
        <f>'13 - Config_Intake_View'!M78</f>
        <v>0</v>
      </c>
      <c r="I78" s="23">
        <f>IF('13 - Config_Intake_View'!Q78&lt;&gt;"",'13 - Config_Intake_View'!Q78,'12 - Device_Configuration'!BH78)</f>
        <v>0</v>
      </c>
      <c r="J78" s="15" t="str">
        <f>IF('13 - Config_Intake_View'!Q78&lt;&gt;"","PM Approved",IF('12 - Device_Configuration'!BH78&lt;&gt;"","Assumed",""))</f>
        <v/>
      </c>
      <c r="K78" s="23">
        <f>'12 - Device_Configuration'!BG78</f>
        <v>0</v>
      </c>
      <c r="L78" s="15">
        <f>'12 - Device_Configuration'!P78</f>
        <v>0</v>
      </c>
      <c r="M78" s="15">
        <f>'12 - Device_Configuration'!Q78</f>
        <v>0</v>
      </c>
      <c r="N78" s="15" t="str">
        <f>'12 - Device_Configuration'!BK78</f>
        <v/>
      </c>
      <c r="O78" s="23" t="str">
        <f>'12 - Device_Configuration'!BL78</f>
        <v/>
      </c>
      <c r="P78" s="2">
        <f>'12 - Device_Configuration'!BA78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'12 - Device_Configuration'!H79</f>
        <v>CFAM</v>
      </c>
      <c r="B79" s="23" t="str">
        <f>'12 - Device_Configuration'!S79</f>
        <v>WLS450OPR002</v>
      </c>
      <c r="C79" s="23">
        <f>'12 - Device_Configuration'!T79</f>
        <v>0</v>
      </c>
      <c r="D79" s="15">
        <f>'12 - Device_Configuration'!AJ79</f>
        <v>0</v>
      </c>
      <c r="E79" s="15" t="str">
        <f>'12 - Device_Configuration'!J79</f>
        <v>Yes</v>
      </c>
      <c r="F79" s="23" t="str">
        <f>'12 - Device_Configuration'!K79</f>
        <v>No</v>
      </c>
      <c r="G79" s="15" t="str">
        <f>'12 - Device_Configuration'!L79</f>
        <v>No</v>
      </c>
      <c r="H79" s="15">
        <f>'13 - Config_Intake_View'!M79</f>
        <v>0</v>
      </c>
      <c r="I79" s="23">
        <f>IF('13 - Config_Intake_View'!Q79&lt;&gt;"",'13 - Config_Intake_View'!Q79,'12 - Device_Configuration'!BH79)</f>
        <v>0</v>
      </c>
      <c r="J79" s="15" t="str">
        <f>IF('13 - Config_Intake_View'!Q79&lt;&gt;"","PM Approved",IF('12 - Device_Configuration'!BH79&lt;&gt;"","Assumed",""))</f>
        <v/>
      </c>
      <c r="K79" s="23">
        <f>'12 - Device_Configuration'!BG79</f>
        <v>0</v>
      </c>
      <c r="L79" s="15">
        <f>'12 - Device_Configuration'!P79</f>
        <v>0</v>
      </c>
      <c r="M79" s="15">
        <f>'12 - Device_Configuration'!Q79</f>
        <v>0</v>
      </c>
      <c r="N79" s="15" t="str">
        <f>'12 - Device_Configuration'!BK79</f>
        <v/>
      </c>
      <c r="O79" s="23" t="str">
        <f>'12 - Device_Configuration'!BL79</f>
        <v/>
      </c>
      <c r="P79" s="2">
        <f>'12 - Device_Configuration'!BA79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'12 - Device_Configuration'!H80</f>
        <v>CFAM</v>
      </c>
      <c r="B80" s="23" t="str">
        <f>'12 - Device_Configuration'!S80</f>
        <v>WLS450OPR003</v>
      </c>
      <c r="C80" s="23">
        <f>'12 - Device_Configuration'!T80</f>
        <v>0</v>
      </c>
      <c r="D80" s="15">
        <f>'12 - Device_Configuration'!AJ80</f>
        <v>0</v>
      </c>
      <c r="E80" s="15" t="str">
        <f>'12 - Device_Configuration'!J80</f>
        <v>Yes</v>
      </c>
      <c r="F80" s="23" t="str">
        <f>'12 - Device_Configuration'!K80</f>
        <v>No</v>
      </c>
      <c r="G80" s="15" t="str">
        <f>'12 - Device_Configuration'!L80</f>
        <v>No</v>
      </c>
      <c r="H80" s="15">
        <f>'13 - Config_Intake_View'!M80</f>
        <v>0</v>
      </c>
      <c r="I80" s="23">
        <f>IF('13 - Config_Intake_View'!Q80&lt;&gt;"",'13 - Config_Intake_View'!Q80,'12 - Device_Configuration'!BH80)</f>
        <v>0</v>
      </c>
      <c r="J80" s="15" t="str">
        <f>IF('13 - Config_Intake_View'!Q80&lt;&gt;"","PM Approved",IF('12 - Device_Configuration'!BH80&lt;&gt;"","Assumed",""))</f>
        <v/>
      </c>
      <c r="K80" s="23">
        <f>'12 - Device_Configuration'!BG80</f>
        <v>0</v>
      </c>
      <c r="L80" s="15">
        <f>'12 - Device_Configuration'!P80</f>
        <v>0</v>
      </c>
      <c r="M80" s="15">
        <f>'12 - Device_Configuration'!Q80</f>
        <v>0</v>
      </c>
      <c r="N80" s="15" t="str">
        <f>'12 - Device_Configuration'!BK80</f>
        <v/>
      </c>
      <c r="O80" s="23" t="str">
        <f>'12 - Device_Configuration'!BL80</f>
        <v/>
      </c>
      <c r="P80" s="2">
        <f>'12 - Device_Configuration'!BA80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'12 - Device_Configuration'!H81</f>
        <v>CFAM</v>
      </c>
      <c r="B81" s="23" t="str">
        <f>'12 - Device_Configuration'!S81</f>
        <v>WLS450OPR004</v>
      </c>
      <c r="C81" s="23">
        <f>'12 - Device_Configuration'!T81</f>
        <v>0</v>
      </c>
      <c r="D81" s="15">
        <f>'12 - Device_Configuration'!AJ81</f>
        <v>0</v>
      </c>
      <c r="E81" s="15" t="str">
        <f>'12 - Device_Configuration'!J81</f>
        <v>Yes</v>
      </c>
      <c r="F81" s="23" t="str">
        <f>'12 - Device_Configuration'!K81</f>
        <v>No</v>
      </c>
      <c r="G81" s="15" t="str">
        <f>'12 - Device_Configuration'!L81</f>
        <v>No</v>
      </c>
      <c r="H81" s="15">
        <f>'13 - Config_Intake_View'!M81</f>
        <v>0</v>
      </c>
      <c r="I81" s="23">
        <f>IF('13 - Config_Intake_View'!Q81&lt;&gt;"",'13 - Config_Intake_View'!Q81,'12 - Device_Configuration'!BH81)</f>
        <v>0</v>
      </c>
      <c r="J81" s="15" t="str">
        <f>IF('13 - Config_Intake_View'!Q81&lt;&gt;"","PM Approved",IF('12 - Device_Configuration'!BH81&lt;&gt;"","Assumed",""))</f>
        <v/>
      </c>
      <c r="K81" s="23">
        <f>'12 - Device_Configuration'!BG81</f>
        <v>0</v>
      </c>
      <c r="L81" s="15">
        <f>'12 - Device_Configuration'!P81</f>
        <v>0</v>
      </c>
      <c r="M81" s="15">
        <f>'12 - Device_Configuration'!Q81</f>
        <v>0</v>
      </c>
      <c r="N81" s="15" t="str">
        <f>'12 - Device_Configuration'!BK81</f>
        <v/>
      </c>
      <c r="O81" s="23" t="str">
        <f>'12 - Device_Configuration'!BL81</f>
        <v/>
      </c>
      <c r="P81" s="2">
        <f>'12 - Device_Configuration'!BA81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'12 - Device_Configuration'!H82</f>
        <v>CFAM</v>
      </c>
      <c r="B82" s="23" t="str">
        <f>'12 - Device_Configuration'!S82</f>
        <v>WLS450OPR005</v>
      </c>
      <c r="C82" s="23">
        <f>'12 - Device_Configuration'!T82</f>
        <v>0</v>
      </c>
      <c r="D82" s="15">
        <f>'12 - Device_Configuration'!AJ82</f>
        <v>0</v>
      </c>
      <c r="E82" s="15" t="str">
        <f>'12 - Device_Configuration'!J82</f>
        <v>Yes</v>
      </c>
      <c r="F82" s="23" t="str">
        <f>'12 - Device_Configuration'!K82</f>
        <v>No</v>
      </c>
      <c r="G82" s="15" t="str">
        <f>'12 - Device_Configuration'!L82</f>
        <v>No</v>
      </c>
      <c r="H82" s="15">
        <f>'13 - Config_Intake_View'!M82</f>
        <v>0</v>
      </c>
      <c r="I82" s="23">
        <f>IF('13 - Config_Intake_View'!Q82&lt;&gt;"",'13 - Config_Intake_View'!Q82,'12 - Device_Configuration'!BH82)</f>
        <v>0</v>
      </c>
      <c r="J82" s="15" t="str">
        <f>IF('13 - Config_Intake_View'!Q82&lt;&gt;"","PM Approved",IF('12 - Device_Configuration'!BH82&lt;&gt;"","Assumed",""))</f>
        <v/>
      </c>
      <c r="K82" s="23">
        <f>'12 - Device_Configuration'!BG82</f>
        <v>0</v>
      </c>
      <c r="L82" s="15">
        <f>'12 - Device_Configuration'!P82</f>
        <v>0</v>
      </c>
      <c r="M82" s="15">
        <f>'12 - Device_Configuration'!Q82</f>
        <v>0</v>
      </c>
      <c r="N82" s="15" t="str">
        <f>'12 - Device_Configuration'!BK82</f>
        <v/>
      </c>
      <c r="O82" s="23" t="str">
        <f>'12 - Device_Configuration'!BL82</f>
        <v/>
      </c>
      <c r="P82" s="2">
        <f>'12 - Device_Configuration'!BA82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'12 - Device_Configuration'!H83</f>
        <v>CFAM</v>
      </c>
      <c r="B83" s="23" t="str">
        <f>'12 - Device_Configuration'!S83</f>
        <v>WLS450OPR006</v>
      </c>
      <c r="C83" s="23">
        <f>'12 - Device_Configuration'!T83</f>
        <v>0</v>
      </c>
      <c r="D83" s="15">
        <f>'12 - Device_Configuration'!AJ83</f>
        <v>0</v>
      </c>
      <c r="E83" s="15" t="str">
        <f>'12 - Device_Configuration'!J83</f>
        <v>Yes</v>
      </c>
      <c r="F83" s="23" t="str">
        <f>'12 - Device_Configuration'!K83</f>
        <v>No</v>
      </c>
      <c r="G83" s="15" t="str">
        <f>'12 - Device_Configuration'!L83</f>
        <v>No</v>
      </c>
      <c r="H83" s="15">
        <f>'13 - Config_Intake_View'!M83</f>
        <v>0</v>
      </c>
      <c r="I83" s="23">
        <f>IF('13 - Config_Intake_View'!Q83&lt;&gt;"",'13 - Config_Intake_View'!Q83,'12 - Device_Configuration'!BH83)</f>
        <v>0</v>
      </c>
      <c r="J83" s="15" t="str">
        <f>IF('13 - Config_Intake_View'!Q83&lt;&gt;"","PM Approved",IF('12 - Device_Configuration'!BH83&lt;&gt;"","Assumed",""))</f>
        <v/>
      </c>
      <c r="K83" s="23">
        <f>'12 - Device_Configuration'!BG83</f>
        <v>0</v>
      </c>
      <c r="L83" s="15">
        <f>'12 - Device_Configuration'!P83</f>
        <v>0</v>
      </c>
      <c r="M83" s="15">
        <f>'12 - Device_Configuration'!Q83</f>
        <v>0</v>
      </c>
      <c r="N83" s="15" t="str">
        <f>'12 - Device_Configuration'!BK83</f>
        <v/>
      </c>
      <c r="O83" s="23" t="str">
        <f>'12 - Device_Configuration'!BL83</f>
        <v/>
      </c>
      <c r="P83" s="2">
        <f>'12 - Device_Configuration'!BA83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'12 - Device_Configuration'!H84</f>
        <v>CFAM</v>
      </c>
      <c r="B84" s="23" t="str">
        <f>'12 - Device_Configuration'!S84</f>
        <v>WLS450OPR007</v>
      </c>
      <c r="C84" s="23">
        <f>'12 - Device_Configuration'!T84</f>
        <v>0</v>
      </c>
      <c r="D84" s="15">
        <f>'12 - Device_Configuration'!AJ84</f>
        <v>0</v>
      </c>
      <c r="E84" s="15" t="str">
        <f>'12 - Device_Configuration'!J84</f>
        <v>Yes</v>
      </c>
      <c r="F84" s="23" t="str">
        <f>'12 - Device_Configuration'!K84</f>
        <v>No</v>
      </c>
      <c r="G84" s="15" t="str">
        <f>'12 - Device_Configuration'!L84</f>
        <v>No</v>
      </c>
      <c r="H84" s="15">
        <f>'13 - Config_Intake_View'!M84</f>
        <v>0</v>
      </c>
      <c r="I84" s="23">
        <f>IF('13 - Config_Intake_View'!Q84&lt;&gt;"",'13 - Config_Intake_View'!Q84,'12 - Device_Configuration'!BH84)</f>
        <v>0</v>
      </c>
      <c r="J84" s="15" t="str">
        <f>IF('13 - Config_Intake_View'!Q84&lt;&gt;"","PM Approved",IF('12 - Device_Configuration'!BH84&lt;&gt;"","Assumed",""))</f>
        <v/>
      </c>
      <c r="K84" s="23">
        <f>'12 - Device_Configuration'!BG84</f>
        <v>0</v>
      </c>
      <c r="L84" s="15">
        <f>'12 - Device_Configuration'!P84</f>
        <v>0</v>
      </c>
      <c r="M84" s="15">
        <f>'12 - Device_Configuration'!Q84</f>
        <v>0</v>
      </c>
      <c r="N84" s="15" t="str">
        <f>'12 - Device_Configuration'!BK84</f>
        <v/>
      </c>
      <c r="O84" s="23" t="str">
        <f>'12 - Device_Configuration'!BL84</f>
        <v/>
      </c>
      <c r="P84" s="2">
        <f>'12 - Device_Configuration'!BA84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'12 - Device_Configuration'!H85</f>
        <v>LIJ - CCMC</v>
      </c>
      <c r="B85" s="23" t="str">
        <f>'12 - Device_Configuration'!S85</f>
        <v>WNH269OPR022</v>
      </c>
      <c r="C85" s="23">
        <f>'12 - Device_Configuration'!T85</f>
        <v>0</v>
      </c>
      <c r="D85" s="15">
        <f>'12 - Device_Configuration'!AJ85</f>
        <v>0</v>
      </c>
      <c r="E85" s="15" t="str">
        <f>'12 - Device_Configuration'!J85</f>
        <v>Yes</v>
      </c>
      <c r="F85" s="23" t="str">
        <f>'12 - Device_Configuration'!K85</f>
        <v>No</v>
      </c>
      <c r="G85" s="15" t="str">
        <f>'12 - Device_Configuration'!L85</f>
        <v>No</v>
      </c>
      <c r="H85" s="15">
        <f>'13 - Config_Intake_View'!M85</f>
        <v>0</v>
      </c>
      <c r="I85" s="23">
        <f>IF('13 - Config_Intake_View'!Q85&lt;&gt;"",'13 - Config_Intake_View'!Q85,'12 - Device_Configuration'!BH85)</f>
        <v>0</v>
      </c>
      <c r="J85" s="15" t="str">
        <f>IF('13 - Config_Intake_View'!Q85&lt;&gt;"","PM Approved",IF('12 - Device_Configuration'!BH85&lt;&gt;"","Assumed",""))</f>
        <v/>
      </c>
      <c r="K85" s="23">
        <f>'12 - Device_Configuration'!BG85</f>
        <v>0</v>
      </c>
      <c r="L85" s="15">
        <f>'12 - Device_Configuration'!P85</f>
        <v>0</v>
      </c>
      <c r="M85" s="15">
        <f>'12 - Device_Configuration'!Q85</f>
        <v>0</v>
      </c>
      <c r="N85" s="15" t="str">
        <f>'12 - Device_Configuration'!BK85</f>
        <v/>
      </c>
      <c r="O85" s="23" t="str">
        <f>'12 - Device_Configuration'!BL85</f>
        <v/>
      </c>
      <c r="P85" s="2">
        <f>'12 - Device_Configuration'!BA85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'12 - Device_Configuration'!H86</f>
        <v>LIJ - CCMC</v>
      </c>
      <c r="B86" s="23" t="str">
        <f>'12 - Device_Configuration'!S86</f>
        <v>WNH269OPR023</v>
      </c>
      <c r="C86" s="23">
        <f>'12 - Device_Configuration'!T86</f>
        <v>0</v>
      </c>
      <c r="D86" s="15">
        <f>'12 - Device_Configuration'!AJ86</f>
        <v>0</v>
      </c>
      <c r="E86" s="15" t="str">
        <f>'12 - Device_Configuration'!J86</f>
        <v>Yes</v>
      </c>
      <c r="F86" s="23" t="str">
        <f>'12 - Device_Configuration'!K86</f>
        <v>No</v>
      </c>
      <c r="G86" s="15" t="str">
        <f>'12 - Device_Configuration'!L86</f>
        <v>No</v>
      </c>
      <c r="H86" s="15">
        <f>'13 - Config_Intake_View'!M86</f>
        <v>0</v>
      </c>
      <c r="I86" s="23">
        <f>IF('13 - Config_Intake_View'!Q86&lt;&gt;"",'13 - Config_Intake_View'!Q86,'12 - Device_Configuration'!BH86)</f>
        <v>0</v>
      </c>
      <c r="J86" s="15" t="str">
        <f>IF('13 - Config_Intake_View'!Q86&lt;&gt;"","PM Approved",IF('12 - Device_Configuration'!BH86&lt;&gt;"","Assumed",""))</f>
        <v/>
      </c>
      <c r="K86" s="23">
        <f>'12 - Device_Configuration'!BG86</f>
        <v>0</v>
      </c>
      <c r="L86" s="15">
        <f>'12 - Device_Configuration'!P86</f>
        <v>0</v>
      </c>
      <c r="M86" s="15">
        <f>'12 - Device_Configuration'!Q86</f>
        <v>0</v>
      </c>
      <c r="N86" s="15" t="str">
        <f>'12 - Device_Configuration'!BK86</f>
        <v/>
      </c>
      <c r="O86" s="23" t="str">
        <f>'12 - Device_Configuration'!BL86</f>
        <v/>
      </c>
      <c r="P86" s="2">
        <f>'12 - Device_Configuration'!BA86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'12 - Device_Configuration'!H87</f>
        <v>LIJ - CCMC</v>
      </c>
      <c r="B87" s="23" t="str">
        <f>'12 - Device_Configuration'!S87</f>
        <v>WNH269OPR024</v>
      </c>
      <c r="C87" s="23">
        <f>'12 - Device_Configuration'!T87</f>
        <v>0</v>
      </c>
      <c r="D87" s="15">
        <f>'12 - Device_Configuration'!AJ87</f>
        <v>0</v>
      </c>
      <c r="E87" s="15" t="str">
        <f>'12 - Device_Configuration'!J87</f>
        <v>Yes</v>
      </c>
      <c r="F87" s="23" t="str">
        <f>'12 - Device_Configuration'!K87</f>
        <v>No</v>
      </c>
      <c r="G87" s="15" t="str">
        <f>'12 - Device_Configuration'!L87</f>
        <v>No</v>
      </c>
      <c r="H87" s="15">
        <f>'13 - Config_Intake_View'!M87</f>
        <v>0</v>
      </c>
      <c r="I87" s="23">
        <f>IF('13 - Config_Intake_View'!Q87&lt;&gt;"",'13 - Config_Intake_View'!Q87,'12 - Device_Configuration'!BH87)</f>
        <v>0</v>
      </c>
      <c r="J87" s="15" t="str">
        <f>IF('13 - Config_Intake_View'!Q87&lt;&gt;"","PM Approved",IF('12 - Device_Configuration'!BH87&lt;&gt;"","Assumed",""))</f>
        <v/>
      </c>
      <c r="K87" s="23">
        <f>'12 - Device_Configuration'!BG87</f>
        <v>0</v>
      </c>
      <c r="L87" s="15">
        <f>'12 - Device_Configuration'!P87</f>
        <v>0</v>
      </c>
      <c r="M87" s="15">
        <f>'12 - Device_Configuration'!Q87</f>
        <v>0</v>
      </c>
      <c r="N87" s="15" t="str">
        <f>'12 - Device_Configuration'!BK87</f>
        <v/>
      </c>
      <c r="O87" s="23" t="str">
        <f>'12 - Device_Configuration'!BL87</f>
        <v/>
      </c>
      <c r="P87" s="2">
        <f>'12 - Device_Configuration'!BA87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'12 - Device_Configuration'!H88</f>
        <v>LIJ - CCMC</v>
      </c>
      <c r="B88" s="23" t="str">
        <f>'12 - Device_Configuration'!S88</f>
        <v>WNH269OPR025</v>
      </c>
      <c r="C88" s="23">
        <f>'12 - Device_Configuration'!T88</f>
        <v>0</v>
      </c>
      <c r="D88" s="15">
        <f>'12 - Device_Configuration'!AJ88</f>
        <v>0</v>
      </c>
      <c r="E88" s="15" t="str">
        <f>'12 - Device_Configuration'!J88</f>
        <v>Yes</v>
      </c>
      <c r="F88" s="23" t="str">
        <f>'12 - Device_Configuration'!K88</f>
        <v>No</v>
      </c>
      <c r="G88" s="15" t="str">
        <f>'12 - Device_Configuration'!L88</f>
        <v>No</v>
      </c>
      <c r="H88" s="15">
        <f>'13 - Config_Intake_View'!M88</f>
        <v>0</v>
      </c>
      <c r="I88" s="23">
        <f>IF('13 - Config_Intake_View'!Q88&lt;&gt;"",'13 - Config_Intake_View'!Q88,'12 - Device_Configuration'!BH88)</f>
        <v>0</v>
      </c>
      <c r="J88" s="15" t="str">
        <f>IF('13 - Config_Intake_View'!Q88&lt;&gt;"","PM Approved",IF('12 - Device_Configuration'!BH88&lt;&gt;"","Assumed",""))</f>
        <v/>
      </c>
      <c r="K88" s="23">
        <f>'12 - Device_Configuration'!BG88</f>
        <v>0</v>
      </c>
      <c r="L88" s="15">
        <f>'12 - Device_Configuration'!P88</f>
        <v>0</v>
      </c>
      <c r="M88" s="15">
        <f>'12 - Device_Configuration'!Q88</f>
        <v>0</v>
      </c>
      <c r="N88" s="15" t="str">
        <f>'12 - Device_Configuration'!BK88</f>
        <v/>
      </c>
      <c r="O88" s="23" t="str">
        <f>'12 - Device_Configuration'!BL88</f>
        <v/>
      </c>
      <c r="P88" s="2">
        <f>'12 - Device_Configuration'!BA88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'12 - Device_Configuration'!H89</f>
        <v>LIJ - CCMC</v>
      </c>
      <c r="B89" s="23" t="str">
        <f>'12 - Device_Configuration'!S89</f>
        <v>WNH269OPR026</v>
      </c>
      <c r="C89" s="23">
        <f>'12 - Device_Configuration'!T89</f>
        <v>0</v>
      </c>
      <c r="D89" s="15">
        <f>'12 - Device_Configuration'!AJ89</f>
        <v>0</v>
      </c>
      <c r="E89" s="15" t="str">
        <f>'12 - Device_Configuration'!J89</f>
        <v>Yes</v>
      </c>
      <c r="F89" s="23" t="str">
        <f>'12 - Device_Configuration'!K89</f>
        <v>No</v>
      </c>
      <c r="G89" s="15" t="str">
        <f>'12 - Device_Configuration'!L89</f>
        <v>No</v>
      </c>
      <c r="H89" s="15">
        <f>'13 - Config_Intake_View'!M89</f>
        <v>0</v>
      </c>
      <c r="I89" s="23">
        <f>IF('13 - Config_Intake_View'!Q89&lt;&gt;"",'13 - Config_Intake_View'!Q89,'12 - Device_Configuration'!BH89)</f>
        <v>0</v>
      </c>
      <c r="J89" s="15" t="str">
        <f>IF('13 - Config_Intake_View'!Q89&lt;&gt;"","PM Approved",IF('12 - Device_Configuration'!BH89&lt;&gt;"","Assumed",""))</f>
        <v/>
      </c>
      <c r="K89" s="23">
        <f>'12 - Device_Configuration'!BG89</f>
        <v>0</v>
      </c>
      <c r="L89" s="15">
        <f>'12 - Device_Configuration'!P89</f>
        <v>0</v>
      </c>
      <c r="M89" s="15">
        <f>'12 - Device_Configuration'!Q89</f>
        <v>0</v>
      </c>
      <c r="N89" s="15" t="str">
        <f>'12 - Device_Configuration'!BK89</f>
        <v/>
      </c>
      <c r="O89" s="23" t="str">
        <f>'12 - Device_Configuration'!BL89</f>
        <v/>
      </c>
      <c r="P89" s="2">
        <f>'12 - Device_Configuration'!BA89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'12 - Device_Configuration'!H90</f>
        <v>LIJ - Other</v>
      </c>
      <c r="B90" s="23" t="str">
        <f>'12 - Device_Configuration'!S90</f>
        <v>WNH270OPR403</v>
      </c>
      <c r="C90" s="23">
        <f>'12 - Device_Configuration'!T90</f>
        <v>0</v>
      </c>
      <c r="D90" s="15">
        <f>'12 - Device_Configuration'!AJ90</f>
        <v>0</v>
      </c>
      <c r="E90" s="15" t="str">
        <f>'12 - Device_Configuration'!J90</f>
        <v>Yes</v>
      </c>
      <c r="F90" s="23" t="str">
        <f>'12 - Device_Configuration'!K90</f>
        <v>No</v>
      </c>
      <c r="G90" s="15" t="str">
        <f>'12 - Device_Configuration'!L90</f>
        <v>No</v>
      </c>
      <c r="H90" s="15">
        <f>'13 - Config_Intake_View'!M90</f>
        <v>0</v>
      </c>
      <c r="I90" s="23">
        <f>IF('13 - Config_Intake_View'!Q90&lt;&gt;"",'13 - Config_Intake_View'!Q90,'12 - Device_Configuration'!BH90)</f>
        <v>0</v>
      </c>
      <c r="J90" s="15" t="str">
        <f>IF('13 - Config_Intake_View'!Q90&lt;&gt;"","PM Approved",IF('12 - Device_Configuration'!BH90&lt;&gt;"","Assumed",""))</f>
        <v/>
      </c>
      <c r="K90" s="23">
        <f>'12 - Device_Configuration'!BG90</f>
        <v>0</v>
      </c>
      <c r="L90" s="15">
        <f>'12 - Device_Configuration'!P90</f>
        <v>0</v>
      </c>
      <c r="M90" s="15">
        <f>'12 - Device_Configuration'!Q90</f>
        <v>0</v>
      </c>
      <c r="N90" s="15" t="str">
        <f>'12 - Device_Configuration'!BK90</f>
        <v/>
      </c>
      <c r="O90" s="23" t="str">
        <f>'12 - Device_Configuration'!BL90</f>
        <v/>
      </c>
      <c r="P90" s="2">
        <f>'12 - Device_Configuration'!BA90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'12 - Device_Configuration'!H91</f>
        <v>LIJ - Other</v>
      </c>
      <c r="B91" s="23" t="str">
        <f>'12 - Device_Configuration'!S91</f>
        <v>WNH270OPR404</v>
      </c>
      <c r="C91" s="23">
        <f>'12 - Device_Configuration'!T91</f>
        <v>0</v>
      </c>
      <c r="D91" s="15">
        <f>'12 - Device_Configuration'!AJ91</f>
        <v>0</v>
      </c>
      <c r="E91" s="15" t="str">
        <f>'12 - Device_Configuration'!J91</f>
        <v>Yes</v>
      </c>
      <c r="F91" s="23" t="str">
        <f>'12 - Device_Configuration'!K91</f>
        <v>No</v>
      </c>
      <c r="G91" s="15" t="str">
        <f>'12 - Device_Configuration'!L91</f>
        <v>No</v>
      </c>
      <c r="H91" s="15">
        <f>'13 - Config_Intake_View'!M91</f>
        <v>0</v>
      </c>
      <c r="I91" s="23">
        <f>IF('13 - Config_Intake_View'!Q91&lt;&gt;"",'13 - Config_Intake_View'!Q91,'12 - Device_Configuration'!BH91)</f>
        <v>0</v>
      </c>
      <c r="J91" s="15" t="str">
        <f>IF('13 - Config_Intake_View'!Q91&lt;&gt;"","PM Approved",IF('12 - Device_Configuration'!BH91&lt;&gt;"","Assumed",""))</f>
        <v/>
      </c>
      <c r="K91" s="23">
        <f>'12 - Device_Configuration'!BG91</f>
        <v>0</v>
      </c>
      <c r="L91" s="15">
        <f>'12 - Device_Configuration'!P91</f>
        <v>0</v>
      </c>
      <c r="M91" s="15">
        <f>'12 - Device_Configuration'!Q91</f>
        <v>0</v>
      </c>
      <c r="N91" s="15" t="str">
        <f>'12 - Device_Configuration'!BK91</f>
        <v/>
      </c>
      <c r="O91" s="23" t="str">
        <f>'12 - Device_Configuration'!BL91</f>
        <v/>
      </c>
      <c r="P91" s="2">
        <f>'12 - Device_Configuration'!BA91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'12 - Device_Configuration'!H92</f>
        <v>LIJ - Other</v>
      </c>
      <c r="B92" s="23" t="str">
        <f>'12 - Device_Configuration'!S92</f>
        <v>WNH270OPR405</v>
      </c>
      <c r="C92" s="23">
        <f>'12 - Device_Configuration'!T92</f>
        <v>0</v>
      </c>
      <c r="D92" s="15">
        <f>'12 - Device_Configuration'!AJ92</f>
        <v>0</v>
      </c>
      <c r="E92" s="15" t="str">
        <f>'12 - Device_Configuration'!J92</f>
        <v>Yes</v>
      </c>
      <c r="F92" s="23" t="str">
        <f>'12 - Device_Configuration'!K92</f>
        <v>No</v>
      </c>
      <c r="G92" s="15" t="str">
        <f>'12 - Device_Configuration'!L92</f>
        <v>No</v>
      </c>
      <c r="H92" s="15">
        <f>'13 - Config_Intake_View'!M92</f>
        <v>0</v>
      </c>
      <c r="I92" s="23">
        <f>IF('13 - Config_Intake_View'!Q92&lt;&gt;"",'13 - Config_Intake_View'!Q92,'12 - Device_Configuration'!BH92)</f>
        <v>0</v>
      </c>
      <c r="J92" s="15" t="str">
        <f>IF('13 - Config_Intake_View'!Q92&lt;&gt;"","PM Approved",IF('12 - Device_Configuration'!BH92&lt;&gt;"","Assumed",""))</f>
        <v/>
      </c>
      <c r="K92" s="23">
        <f>'12 - Device_Configuration'!BG92</f>
        <v>0</v>
      </c>
      <c r="L92" s="15">
        <f>'12 - Device_Configuration'!P92</f>
        <v>0</v>
      </c>
      <c r="M92" s="15">
        <f>'12 - Device_Configuration'!Q92</f>
        <v>0</v>
      </c>
      <c r="N92" s="15" t="str">
        <f>'12 - Device_Configuration'!BK92</f>
        <v/>
      </c>
      <c r="O92" s="23" t="str">
        <f>'12 - Device_Configuration'!BL92</f>
        <v/>
      </c>
      <c r="P92" s="2">
        <f>'12 - Device_Configuration'!BA92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'12 - Device_Configuration'!H93</f>
        <v>LIJ - Other</v>
      </c>
      <c r="B93" s="23" t="str">
        <f>'12 - Device_Configuration'!S93</f>
        <v>WNH270OPR406</v>
      </c>
      <c r="C93" s="23">
        <f>'12 - Device_Configuration'!T93</f>
        <v>0</v>
      </c>
      <c r="D93" s="15">
        <f>'12 - Device_Configuration'!AJ93</f>
        <v>0</v>
      </c>
      <c r="E93" s="15" t="str">
        <f>'12 - Device_Configuration'!J93</f>
        <v>Yes</v>
      </c>
      <c r="F93" s="23" t="str">
        <f>'12 - Device_Configuration'!K93</f>
        <v>No</v>
      </c>
      <c r="G93" s="15" t="str">
        <f>'12 - Device_Configuration'!L93</f>
        <v>No</v>
      </c>
      <c r="H93" s="15">
        <f>'13 - Config_Intake_View'!M93</f>
        <v>0</v>
      </c>
      <c r="I93" s="23">
        <f>IF('13 - Config_Intake_View'!Q93&lt;&gt;"",'13 - Config_Intake_View'!Q93,'12 - Device_Configuration'!BH93)</f>
        <v>0</v>
      </c>
      <c r="J93" s="15" t="str">
        <f>IF('13 - Config_Intake_View'!Q93&lt;&gt;"","PM Approved",IF('12 - Device_Configuration'!BH93&lt;&gt;"","Assumed",""))</f>
        <v/>
      </c>
      <c r="K93" s="23">
        <f>'12 - Device_Configuration'!BG93</f>
        <v>0</v>
      </c>
      <c r="L93" s="15">
        <f>'12 - Device_Configuration'!P93</f>
        <v>0</v>
      </c>
      <c r="M93" s="15">
        <f>'12 - Device_Configuration'!Q93</f>
        <v>0</v>
      </c>
      <c r="N93" s="15" t="str">
        <f>'12 - Device_Configuration'!BK93</f>
        <v/>
      </c>
      <c r="O93" s="23" t="str">
        <f>'12 - Device_Configuration'!BL93</f>
        <v/>
      </c>
      <c r="P93" s="2">
        <f>'12 - Device_Configuration'!BA93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'12 - Device_Configuration'!H94</f>
        <v>LIJ - Other</v>
      </c>
      <c r="B94" s="23" t="str">
        <f>'12 - Device_Configuration'!S94</f>
        <v>WNH270OPR407</v>
      </c>
      <c r="C94" s="23">
        <f>'12 - Device_Configuration'!T94</f>
        <v>0</v>
      </c>
      <c r="D94" s="15">
        <f>'12 - Device_Configuration'!AJ94</f>
        <v>0</v>
      </c>
      <c r="E94" s="15" t="str">
        <f>'12 - Device_Configuration'!J94</f>
        <v>Yes</v>
      </c>
      <c r="F94" s="23" t="str">
        <f>'12 - Device_Configuration'!K94</f>
        <v>No</v>
      </c>
      <c r="G94" s="15" t="str">
        <f>'12 - Device_Configuration'!L94</f>
        <v>No</v>
      </c>
      <c r="H94" s="15">
        <f>'13 - Config_Intake_View'!M94</f>
        <v>0</v>
      </c>
      <c r="I94" s="23">
        <f>IF('13 - Config_Intake_View'!Q94&lt;&gt;"",'13 - Config_Intake_View'!Q94,'12 - Device_Configuration'!BH94)</f>
        <v>0</v>
      </c>
      <c r="J94" s="15" t="str">
        <f>IF('13 - Config_Intake_View'!Q94&lt;&gt;"","PM Approved",IF('12 - Device_Configuration'!BH94&lt;&gt;"","Assumed",""))</f>
        <v/>
      </c>
      <c r="K94" s="23">
        <f>'12 - Device_Configuration'!BG94</f>
        <v>0</v>
      </c>
      <c r="L94" s="15">
        <f>'12 - Device_Configuration'!P94</f>
        <v>0</v>
      </c>
      <c r="M94" s="15">
        <f>'12 - Device_Configuration'!Q94</f>
        <v>0</v>
      </c>
      <c r="N94" s="15" t="str">
        <f>'12 - Device_Configuration'!BK94</f>
        <v/>
      </c>
      <c r="O94" s="23" t="str">
        <f>'12 - Device_Configuration'!BL94</f>
        <v/>
      </c>
      <c r="P94" s="2">
        <f>'12 - Device_Configuration'!BA94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'12 - Device_Configuration'!H95</f>
        <v>LIJ - Other</v>
      </c>
      <c r="B95" s="23" t="str">
        <f>'12 - Device_Configuration'!S95</f>
        <v>WNH270OPR408</v>
      </c>
      <c r="C95" s="23">
        <f>'12 - Device_Configuration'!T95</f>
        <v>0</v>
      </c>
      <c r="D95" s="15">
        <f>'12 - Device_Configuration'!AJ95</f>
        <v>0</v>
      </c>
      <c r="E95" s="15" t="str">
        <f>'12 - Device_Configuration'!J95</f>
        <v>Yes</v>
      </c>
      <c r="F95" s="23" t="str">
        <f>'12 - Device_Configuration'!K95</f>
        <v>No</v>
      </c>
      <c r="G95" s="15" t="str">
        <f>'12 - Device_Configuration'!L95</f>
        <v>No</v>
      </c>
      <c r="H95" s="15">
        <f>'13 - Config_Intake_View'!M95</f>
        <v>0</v>
      </c>
      <c r="I95" s="23">
        <f>IF('13 - Config_Intake_View'!Q95&lt;&gt;"",'13 - Config_Intake_View'!Q95,'12 - Device_Configuration'!BH95)</f>
        <v>0</v>
      </c>
      <c r="J95" s="15" t="str">
        <f>IF('13 - Config_Intake_View'!Q95&lt;&gt;"","PM Approved",IF('12 - Device_Configuration'!BH95&lt;&gt;"","Assumed",""))</f>
        <v/>
      </c>
      <c r="K95" s="23">
        <f>'12 - Device_Configuration'!BG95</f>
        <v>0</v>
      </c>
      <c r="L95" s="15">
        <f>'12 - Device_Configuration'!P95</f>
        <v>0</v>
      </c>
      <c r="M95" s="15">
        <f>'12 - Device_Configuration'!Q95</f>
        <v>0</v>
      </c>
      <c r="N95" s="15" t="str">
        <f>'12 - Device_Configuration'!BK95</f>
        <v/>
      </c>
      <c r="O95" s="23" t="str">
        <f>'12 - Device_Configuration'!BL95</f>
        <v/>
      </c>
      <c r="P95" s="2">
        <f>'12 - Device_Configuration'!BA95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'12 - Device_Configuration'!H96</f>
        <v>LIJ - Other</v>
      </c>
      <c r="B96" s="23" t="str">
        <f>'12 - Device_Configuration'!S96</f>
        <v>WNH270OPR409</v>
      </c>
      <c r="C96" s="23">
        <f>'12 - Device_Configuration'!T96</f>
        <v>0</v>
      </c>
      <c r="D96" s="15">
        <f>'12 - Device_Configuration'!AJ96</f>
        <v>0</v>
      </c>
      <c r="E96" s="15" t="str">
        <f>'12 - Device_Configuration'!J96</f>
        <v>Yes</v>
      </c>
      <c r="F96" s="23" t="str">
        <f>'12 - Device_Configuration'!K96</f>
        <v>No</v>
      </c>
      <c r="G96" s="15" t="str">
        <f>'12 - Device_Configuration'!L96</f>
        <v>No</v>
      </c>
      <c r="H96" s="15">
        <f>'13 - Config_Intake_View'!M96</f>
        <v>0</v>
      </c>
      <c r="I96" s="23">
        <f>IF('13 - Config_Intake_View'!Q96&lt;&gt;"",'13 - Config_Intake_View'!Q96,'12 - Device_Configuration'!BH96)</f>
        <v>0</v>
      </c>
      <c r="J96" s="15" t="str">
        <f>IF('13 - Config_Intake_View'!Q96&lt;&gt;"","PM Approved",IF('12 - Device_Configuration'!BH96&lt;&gt;"","Assumed",""))</f>
        <v/>
      </c>
      <c r="K96" s="23">
        <f>'12 - Device_Configuration'!BG96</f>
        <v>0</v>
      </c>
      <c r="L96" s="15">
        <f>'12 - Device_Configuration'!P96</f>
        <v>0</v>
      </c>
      <c r="M96" s="15">
        <f>'12 - Device_Configuration'!Q96</f>
        <v>0</v>
      </c>
      <c r="N96" s="15" t="str">
        <f>'12 - Device_Configuration'!BK96</f>
        <v/>
      </c>
      <c r="O96" s="23" t="str">
        <f>'12 - Device_Configuration'!BL96</f>
        <v/>
      </c>
      <c r="P96" s="2">
        <f>'12 - Device_Configuration'!BA96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'12 - Device_Configuration'!H97</f>
        <v>LIJ - Other</v>
      </c>
      <c r="B97" s="23" t="str">
        <f>'12 - Device_Configuration'!S97</f>
        <v>WNH270OPR410</v>
      </c>
      <c r="C97" s="23">
        <f>'12 - Device_Configuration'!T97</f>
        <v>0</v>
      </c>
      <c r="D97" s="15">
        <f>'12 - Device_Configuration'!AJ97</f>
        <v>0</v>
      </c>
      <c r="E97" s="15" t="str">
        <f>'12 - Device_Configuration'!J97</f>
        <v>Yes</v>
      </c>
      <c r="F97" s="23" t="str">
        <f>'12 - Device_Configuration'!K97</f>
        <v>No</v>
      </c>
      <c r="G97" s="15" t="str">
        <f>'12 - Device_Configuration'!L97</f>
        <v>No</v>
      </c>
      <c r="H97" s="15">
        <f>'13 - Config_Intake_View'!M97</f>
        <v>0</v>
      </c>
      <c r="I97" s="23">
        <f>IF('13 - Config_Intake_View'!Q97&lt;&gt;"",'13 - Config_Intake_View'!Q97,'12 - Device_Configuration'!BH97)</f>
        <v>0</v>
      </c>
      <c r="J97" s="15" t="str">
        <f>IF('13 - Config_Intake_View'!Q97&lt;&gt;"","PM Approved",IF('12 - Device_Configuration'!BH97&lt;&gt;"","Assumed",""))</f>
        <v/>
      </c>
      <c r="K97" s="23">
        <f>'12 - Device_Configuration'!BG97</f>
        <v>0</v>
      </c>
      <c r="L97" s="15">
        <f>'12 - Device_Configuration'!P97</f>
        <v>0</v>
      </c>
      <c r="M97" s="15">
        <f>'12 - Device_Configuration'!Q97</f>
        <v>0</v>
      </c>
      <c r="N97" s="15" t="str">
        <f>'12 - Device_Configuration'!BK97</f>
        <v/>
      </c>
      <c r="O97" s="23" t="str">
        <f>'12 - Device_Configuration'!BL97</f>
        <v/>
      </c>
      <c r="P97" s="2">
        <f>'12 - Device_Configuration'!BA97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'12 - Device_Configuration'!H98</f>
        <v>LIJ - Other</v>
      </c>
      <c r="B98" s="23" t="str">
        <f>'12 - Device_Configuration'!S98</f>
        <v>WNH270OPR411</v>
      </c>
      <c r="C98" s="23">
        <f>'12 - Device_Configuration'!T98</f>
        <v>0</v>
      </c>
      <c r="D98" s="15">
        <f>'12 - Device_Configuration'!AJ98</f>
        <v>0</v>
      </c>
      <c r="E98" s="15" t="str">
        <f>'12 - Device_Configuration'!J98</f>
        <v>Yes</v>
      </c>
      <c r="F98" s="23" t="str">
        <f>'12 - Device_Configuration'!K98</f>
        <v>No</v>
      </c>
      <c r="G98" s="15" t="str">
        <f>'12 - Device_Configuration'!L98</f>
        <v>No</v>
      </c>
      <c r="H98" s="15">
        <f>'13 - Config_Intake_View'!M98</f>
        <v>0</v>
      </c>
      <c r="I98" s="23">
        <f>IF('13 - Config_Intake_View'!Q98&lt;&gt;"",'13 - Config_Intake_View'!Q98,'12 - Device_Configuration'!BH98)</f>
        <v>0</v>
      </c>
      <c r="J98" s="15" t="str">
        <f>IF('13 - Config_Intake_View'!Q98&lt;&gt;"","PM Approved",IF('12 - Device_Configuration'!BH98&lt;&gt;"","Assumed",""))</f>
        <v/>
      </c>
      <c r="K98" s="23">
        <f>'12 - Device_Configuration'!BG98</f>
        <v>0</v>
      </c>
      <c r="L98" s="15">
        <f>'12 - Device_Configuration'!P98</f>
        <v>0</v>
      </c>
      <c r="M98" s="15">
        <f>'12 - Device_Configuration'!Q98</f>
        <v>0</v>
      </c>
      <c r="N98" s="15" t="str">
        <f>'12 - Device_Configuration'!BK98</f>
        <v/>
      </c>
      <c r="O98" s="23" t="str">
        <f>'12 - Device_Configuration'!BL98</f>
        <v/>
      </c>
      <c r="P98" s="2">
        <f>'12 - Device_Configuration'!BA98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'12 - Device_Configuration'!H99</f>
        <v>LIJ - Other</v>
      </c>
      <c r="B99" s="23" t="str">
        <f>'12 - Device_Configuration'!S99</f>
        <v>WNH270OPR412</v>
      </c>
      <c r="C99" s="23">
        <f>'12 - Device_Configuration'!T99</f>
        <v>0</v>
      </c>
      <c r="D99" s="15">
        <f>'12 - Device_Configuration'!AJ99</f>
        <v>0</v>
      </c>
      <c r="E99" s="15" t="str">
        <f>'12 - Device_Configuration'!J99</f>
        <v>Yes</v>
      </c>
      <c r="F99" s="23" t="str">
        <f>'12 - Device_Configuration'!K99</f>
        <v>No</v>
      </c>
      <c r="G99" s="15" t="str">
        <f>'12 - Device_Configuration'!L99</f>
        <v>No</v>
      </c>
      <c r="H99" s="15">
        <f>'13 - Config_Intake_View'!M99</f>
        <v>0</v>
      </c>
      <c r="I99" s="23">
        <f>IF('13 - Config_Intake_View'!Q99&lt;&gt;"",'13 - Config_Intake_View'!Q99,'12 - Device_Configuration'!BH99)</f>
        <v>0</v>
      </c>
      <c r="J99" s="15" t="str">
        <f>IF('13 - Config_Intake_View'!Q99&lt;&gt;"","PM Approved",IF('12 - Device_Configuration'!BH99&lt;&gt;"","Assumed",""))</f>
        <v/>
      </c>
      <c r="K99" s="23">
        <f>'12 - Device_Configuration'!BG99</f>
        <v>0</v>
      </c>
      <c r="L99" s="15">
        <f>'12 - Device_Configuration'!P99</f>
        <v>0</v>
      </c>
      <c r="M99" s="15">
        <f>'12 - Device_Configuration'!Q99</f>
        <v>0</v>
      </c>
      <c r="N99" s="15" t="str">
        <f>'12 - Device_Configuration'!BK99</f>
        <v/>
      </c>
      <c r="O99" s="23" t="str">
        <f>'12 - Device_Configuration'!BL99</f>
        <v/>
      </c>
      <c r="P99" s="2">
        <f>'12 - Device_Configuration'!BA99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'12 - Device_Configuration'!H100</f>
        <v>LIJ - Other</v>
      </c>
      <c r="B100" s="23" t="str">
        <f>'12 - Device_Configuration'!S100</f>
        <v>BROKEN - Bluescreen@boot</v>
      </c>
      <c r="C100" s="23">
        <f>'12 - Device_Configuration'!T100</f>
        <v>0</v>
      </c>
      <c r="D100" s="15">
        <f>'12 - Device_Configuration'!AJ100</f>
        <v>0</v>
      </c>
      <c r="E100" s="15" t="str">
        <f>'12 - Device_Configuration'!J100</f>
        <v>Yes</v>
      </c>
      <c r="F100" s="23" t="str">
        <f>'12 - Device_Configuration'!K100</f>
        <v>No</v>
      </c>
      <c r="G100" s="15" t="str">
        <f>'12 - Device_Configuration'!L100</f>
        <v>No</v>
      </c>
      <c r="H100" s="15">
        <f>'13 - Config_Intake_View'!M100</f>
        <v>0</v>
      </c>
      <c r="I100" s="23">
        <f>IF('13 - Config_Intake_View'!Q100&lt;&gt;"",'13 - Config_Intake_View'!Q100,'12 - Device_Configuration'!BH100)</f>
        <v>0</v>
      </c>
      <c r="J100" s="15" t="str">
        <f>IF('13 - Config_Intake_View'!Q100&lt;&gt;"","PM Approved",IF('12 - Device_Configuration'!BH100&lt;&gt;"","Assumed",""))</f>
        <v/>
      </c>
      <c r="K100" s="23">
        <f>'12 - Device_Configuration'!BG100</f>
        <v>0</v>
      </c>
      <c r="L100" s="15">
        <f>'12 - Device_Configuration'!P100</f>
        <v>0</v>
      </c>
      <c r="M100" s="15">
        <f>'12 - Device_Configuration'!Q100</f>
        <v>0</v>
      </c>
      <c r="N100" s="15" t="str">
        <f>'12 - Device_Configuration'!BK100</f>
        <v/>
      </c>
      <c r="O100" s="23" t="str">
        <f>'12 - Device_Configuration'!BL100</f>
        <v/>
      </c>
      <c r="P100" s="2">
        <f>'12 - Device_Configuration'!BA100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'12 - Device_Configuration'!H101</f>
        <v>LIJ - Other</v>
      </c>
      <c r="B101" s="23" t="str">
        <f>'12 - Device_Configuration'!S101</f>
        <v>WNH270OPR413</v>
      </c>
      <c r="C101" s="23">
        <f>'12 - Device_Configuration'!T101</f>
        <v>0</v>
      </c>
      <c r="D101" s="15">
        <f>'12 - Device_Configuration'!AJ101</f>
        <v>0</v>
      </c>
      <c r="E101" s="15" t="str">
        <f>'12 - Device_Configuration'!J101</f>
        <v>Yes</v>
      </c>
      <c r="F101" s="23" t="str">
        <f>'12 - Device_Configuration'!K101</f>
        <v>No</v>
      </c>
      <c r="G101" s="15" t="str">
        <f>'12 - Device_Configuration'!L101</f>
        <v>No</v>
      </c>
      <c r="H101" s="15">
        <f>'13 - Config_Intake_View'!M101</f>
        <v>0</v>
      </c>
      <c r="I101" s="23">
        <f>IF('13 - Config_Intake_View'!Q101&lt;&gt;"",'13 - Config_Intake_View'!Q101,'12 - Device_Configuration'!BH101)</f>
        <v>0</v>
      </c>
      <c r="J101" s="15" t="str">
        <f>IF('13 - Config_Intake_View'!Q101&lt;&gt;"","PM Approved",IF('12 - Device_Configuration'!BH101&lt;&gt;"","Assumed",""))</f>
        <v/>
      </c>
      <c r="K101" s="23">
        <f>'12 - Device_Configuration'!BG101</f>
        <v>0</v>
      </c>
      <c r="L101" s="15">
        <f>'12 - Device_Configuration'!P101</f>
        <v>0</v>
      </c>
      <c r="M101" s="15">
        <f>'12 - Device_Configuration'!Q101</f>
        <v>0</v>
      </c>
      <c r="N101" s="15" t="str">
        <f>'12 - Device_Configuration'!BK101</f>
        <v/>
      </c>
      <c r="O101" s="23" t="str">
        <f>'12 - Device_Configuration'!BL101</f>
        <v/>
      </c>
      <c r="P101" s="2">
        <f>'12 - Device_Configuration'!BA101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'12 - Device_Configuration'!H102</f>
        <v>LIJ - Other</v>
      </c>
      <c r="B102" s="23" t="str">
        <f>'12 - Device_Configuration'!S102</f>
        <v>WNH270OPR414</v>
      </c>
      <c r="C102" s="23">
        <f>'12 - Device_Configuration'!T102</f>
        <v>0</v>
      </c>
      <c r="D102" s="15">
        <f>'12 - Device_Configuration'!AJ102</f>
        <v>0</v>
      </c>
      <c r="E102" s="15" t="str">
        <f>'12 - Device_Configuration'!J102</f>
        <v>Yes</v>
      </c>
      <c r="F102" s="23" t="str">
        <f>'12 - Device_Configuration'!K102</f>
        <v>No</v>
      </c>
      <c r="G102" s="15" t="str">
        <f>'12 - Device_Configuration'!L102</f>
        <v>No</v>
      </c>
      <c r="H102" s="15">
        <f>'13 - Config_Intake_View'!M102</f>
        <v>0</v>
      </c>
      <c r="I102" s="23">
        <f>IF('13 - Config_Intake_View'!Q102&lt;&gt;"",'13 - Config_Intake_View'!Q102,'12 - Device_Configuration'!BH102)</f>
        <v>0</v>
      </c>
      <c r="J102" s="15" t="str">
        <f>IF('13 - Config_Intake_View'!Q102&lt;&gt;"","PM Approved",IF('12 - Device_Configuration'!BH102&lt;&gt;"","Assumed",""))</f>
        <v/>
      </c>
      <c r="K102" s="23">
        <f>'12 - Device_Configuration'!BG102</f>
        <v>0</v>
      </c>
      <c r="L102" s="15">
        <f>'12 - Device_Configuration'!P102</f>
        <v>0</v>
      </c>
      <c r="M102" s="15">
        <f>'12 - Device_Configuration'!Q102</f>
        <v>0</v>
      </c>
      <c r="N102" s="15" t="str">
        <f>'12 - Device_Configuration'!BK102</f>
        <v/>
      </c>
      <c r="O102" s="23" t="str">
        <f>'12 - Device_Configuration'!BL102</f>
        <v/>
      </c>
      <c r="P102" s="2">
        <f>'12 - Device_Configuration'!BA102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'12 - Device_Configuration'!H103</f>
        <v>LIJ - Other</v>
      </c>
      <c r="B103" s="23" t="str">
        <f>'12 - Device_Configuration'!S103</f>
        <v>WNH270OPR415</v>
      </c>
      <c r="C103" s="23">
        <f>'12 - Device_Configuration'!T103</f>
        <v>0</v>
      </c>
      <c r="D103" s="15">
        <f>'12 - Device_Configuration'!AJ103</f>
        <v>0</v>
      </c>
      <c r="E103" s="15" t="str">
        <f>'12 - Device_Configuration'!J103</f>
        <v>Yes</v>
      </c>
      <c r="F103" s="23" t="str">
        <f>'12 - Device_Configuration'!K103</f>
        <v>No</v>
      </c>
      <c r="G103" s="15" t="str">
        <f>'12 - Device_Configuration'!L103</f>
        <v>No</v>
      </c>
      <c r="H103" s="15">
        <f>'13 - Config_Intake_View'!M103</f>
        <v>0</v>
      </c>
      <c r="I103" s="23">
        <f>IF('13 - Config_Intake_View'!Q103&lt;&gt;"",'13 - Config_Intake_View'!Q103,'12 - Device_Configuration'!BH103)</f>
        <v>0</v>
      </c>
      <c r="J103" s="15" t="str">
        <f>IF('13 - Config_Intake_View'!Q103&lt;&gt;"","PM Approved",IF('12 - Device_Configuration'!BH103&lt;&gt;"","Assumed",""))</f>
        <v/>
      </c>
      <c r="K103" s="23">
        <f>'12 - Device_Configuration'!BG103</f>
        <v>0</v>
      </c>
      <c r="L103" s="15">
        <f>'12 - Device_Configuration'!P103</f>
        <v>0</v>
      </c>
      <c r="M103" s="15">
        <f>'12 - Device_Configuration'!Q103</f>
        <v>0</v>
      </c>
      <c r="N103" s="15" t="str">
        <f>'12 - Device_Configuration'!BK103</f>
        <v/>
      </c>
      <c r="O103" s="23" t="str">
        <f>'12 - Device_Configuration'!BL103</f>
        <v/>
      </c>
      <c r="P103" s="2">
        <f>'12 - Device_Configuration'!BA103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'12 - Device_Configuration'!H104</f>
        <v>LIJ - Other</v>
      </c>
      <c r="B104" s="23" t="str">
        <f>'12 - Device_Configuration'!S104</f>
        <v>WNH270OPR416</v>
      </c>
      <c r="C104" s="23">
        <f>'12 - Device_Configuration'!T104</f>
        <v>0</v>
      </c>
      <c r="D104" s="15">
        <f>'12 - Device_Configuration'!AJ104</f>
        <v>0</v>
      </c>
      <c r="E104" s="15" t="str">
        <f>'12 - Device_Configuration'!J104</f>
        <v>Yes</v>
      </c>
      <c r="F104" s="23" t="str">
        <f>'12 - Device_Configuration'!K104</f>
        <v>No</v>
      </c>
      <c r="G104" s="15" t="str">
        <f>'12 - Device_Configuration'!L104</f>
        <v>No</v>
      </c>
      <c r="H104" s="15">
        <f>'13 - Config_Intake_View'!M104</f>
        <v>0</v>
      </c>
      <c r="I104" s="23">
        <f>IF('13 - Config_Intake_View'!Q104&lt;&gt;"",'13 - Config_Intake_View'!Q104,'12 - Device_Configuration'!BH104)</f>
        <v>0</v>
      </c>
      <c r="J104" s="15" t="str">
        <f>IF('13 - Config_Intake_View'!Q104&lt;&gt;"","PM Approved",IF('12 - Device_Configuration'!BH104&lt;&gt;"","Assumed",""))</f>
        <v/>
      </c>
      <c r="K104" s="23">
        <f>'12 - Device_Configuration'!BG104</f>
        <v>0</v>
      </c>
      <c r="L104" s="15">
        <f>'12 - Device_Configuration'!P104</f>
        <v>0</v>
      </c>
      <c r="M104" s="15">
        <f>'12 - Device_Configuration'!Q104</f>
        <v>0</v>
      </c>
      <c r="N104" s="15" t="str">
        <f>'12 - Device_Configuration'!BK104</f>
        <v/>
      </c>
      <c r="O104" s="23" t="str">
        <f>'12 - Device_Configuration'!BL104</f>
        <v/>
      </c>
      <c r="P104" s="2">
        <f>'12 - Device_Configuration'!BA104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'12 - Device_Configuration'!H105</f>
        <v>LIJ - Other</v>
      </c>
      <c r="B105" s="23" t="str">
        <f>'12 - Device_Configuration'!S105</f>
        <v>WNH270OPR417</v>
      </c>
      <c r="C105" s="23">
        <f>'12 - Device_Configuration'!T105</f>
        <v>0</v>
      </c>
      <c r="D105" s="15">
        <f>'12 - Device_Configuration'!AJ105</f>
        <v>0</v>
      </c>
      <c r="E105" s="15" t="str">
        <f>'12 - Device_Configuration'!J105</f>
        <v>Yes</v>
      </c>
      <c r="F105" s="23" t="str">
        <f>'12 - Device_Configuration'!K105</f>
        <v>No</v>
      </c>
      <c r="G105" s="15" t="str">
        <f>'12 - Device_Configuration'!L105</f>
        <v>No</v>
      </c>
      <c r="H105" s="15">
        <f>'13 - Config_Intake_View'!M105</f>
        <v>0</v>
      </c>
      <c r="I105" s="23">
        <f>IF('13 - Config_Intake_View'!Q105&lt;&gt;"",'13 - Config_Intake_View'!Q105,'12 - Device_Configuration'!BH105)</f>
        <v>0</v>
      </c>
      <c r="J105" s="15" t="str">
        <f>IF('13 - Config_Intake_View'!Q105&lt;&gt;"","PM Approved",IF('12 - Device_Configuration'!BH105&lt;&gt;"","Assumed",""))</f>
        <v/>
      </c>
      <c r="K105" s="23">
        <f>'12 - Device_Configuration'!BG105</f>
        <v>0</v>
      </c>
      <c r="L105" s="15">
        <f>'12 - Device_Configuration'!P105</f>
        <v>0</v>
      </c>
      <c r="M105" s="15">
        <f>'12 - Device_Configuration'!Q105</f>
        <v>0</v>
      </c>
      <c r="N105" s="15" t="str">
        <f>'12 - Device_Configuration'!BK105</f>
        <v/>
      </c>
      <c r="O105" s="23" t="str">
        <f>'12 - Device_Configuration'!BL105</f>
        <v/>
      </c>
      <c r="P105" s="2">
        <f>'12 - Device_Configuration'!BA105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'12 - Device_Configuration'!H106</f>
        <v>LIJ - Other</v>
      </c>
      <c r="B106" s="23" t="str">
        <f>'12 - Device_Configuration'!S106</f>
        <v>WNH270OPR418</v>
      </c>
      <c r="C106" s="23">
        <f>'12 - Device_Configuration'!T106</f>
        <v>0</v>
      </c>
      <c r="D106" s="15">
        <f>'12 - Device_Configuration'!AJ106</f>
        <v>0</v>
      </c>
      <c r="E106" s="15" t="str">
        <f>'12 - Device_Configuration'!J106</f>
        <v>Yes</v>
      </c>
      <c r="F106" s="23" t="str">
        <f>'12 - Device_Configuration'!K106</f>
        <v>No</v>
      </c>
      <c r="G106" s="15" t="str">
        <f>'12 - Device_Configuration'!L106</f>
        <v>No</v>
      </c>
      <c r="H106" s="15">
        <f>'13 - Config_Intake_View'!M106</f>
        <v>0</v>
      </c>
      <c r="I106" s="23">
        <f>IF('13 - Config_Intake_View'!Q106&lt;&gt;"",'13 - Config_Intake_View'!Q106,'12 - Device_Configuration'!BH106)</f>
        <v>0</v>
      </c>
      <c r="J106" s="15" t="str">
        <f>IF('13 - Config_Intake_View'!Q106&lt;&gt;"","PM Approved",IF('12 - Device_Configuration'!BH106&lt;&gt;"","Assumed",""))</f>
        <v/>
      </c>
      <c r="K106" s="23">
        <f>'12 - Device_Configuration'!BG106</f>
        <v>0</v>
      </c>
      <c r="L106" s="15">
        <f>'12 - Device_Configuration'!P106</f>
        <v>0</v>
      </c>
      <c r="M106" s="15">
        <f>'12 - Device_Configuration'!Q106</f>
        <v>0</v>
      </c>
      <c r="N106" s="15" t="str">
        <f>'12 - Device_Configuration'!BK106</f>
        <v/>
      </c>
      <c r="O106" s="23" t="str">
        <f>'12 - Device_Configuration'!BL106</f>
        <v/>
      </c>
      <c r="P106" s="2">
        <f>'12 - Device_Configuration'!BA106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'12 - Device_Configuration'!H107</f>
        <v>LIJ - Other</v>
      </c>
      <c r="B107" s="23" t="str">
        <f>'12 - Device_Configuration'!S107</f>
        <v>WNH270OPR419</v>
      </c>
      <c r="C107" s="23">
        <f>'12 - Device_Configuration'!T107</f>
        <v>0</v>
      </c>
      <c r="D107" s="15">
        <f>'12 - Device_Configuration'!AJ107</f>
        <v>0</v>
      </c>
      <c r="E107" s="15" t="str">
        <f>'12 - Device_Configuration'!J107</f>
        <v>Yes</v>
      </c>
      <c r="F107" s="23" t="str">
        <f>'12 - Device_Configuration'!K107</f>
        <v>No</v>
      </c>
      <c r="G107" s="15" t="str">
        <f>'12 - Device_Configuration'!L107</f>
        <v>No</v>
      </c>
      <c r="H107" s="15">
        <f>'13 - Config_Intake_View'!M107</f>
        <v>0</v>
      </c>
      <c r="I107" s="23">
        <f>IF('13 - Config_Intake_View'!Q107&lt;&gt;"",'13 - Config_Intake_View'!Q107,'12 - Device_Configuration'!BH107)</f>
        <v>0</v>
      </c>
      <c r="J107" s="15" t="str">
        <f>IF('13 - Config_Intake_View'!Q107&lt;&gt;"","PM Approved",IF('12 - Device_Configuration'!BH107&lt;&gt;"","Assumed",""))</f>
        <v/>
      </c>
      <c r="K107" s="23">
        <f>'12 - Device_Configuration'!BG107</f>
        <v>0</v>
      </c>
      <c r="L107" s="15">
        <f>'12 - Device_Configuration'!P107</f>
        <v>0</v>
      </c>
      <c r="M107" s="15">
        <f>'12 - Device_Configuration'!Q107</f>
        <v>0</v>
      </c>
      <c r="N107" s="15" t="str">
        <f>'12 - Device_Configuration'!BK107</f>
        <v/>
      </c>
      <c r="O107" s="23" t="str">
        <f>'12 - Device_Configuration'!BL107</f>
        <v/>
      </c>
      <c r="P107" s="2">
        <f>'12 - Device_Configuration'!BA107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'12 - Device_Configuration'!H108</f>
        <v>LIJ - Other</v>
      </c>
      <c r="B108" s="23" t="str">
        <f>'12 - Device_Configuration'!S108</f>
        <v>WNH270OPR420</v>
      </c>
      <c r="C108" s="23">
        <f>'12 - Device_Configuration'!T108</f>
        <v>0</v>
      </c>
      <c r="D108" s="15">
        <f>'12 - Device_Configuration'!AJ108</f>
        <v>0</v>
      </c>
      <c r="E108" s="15" t="str">
        <f>'12 - Device_Configuration'!J108</f>
        <v>Yes</v>
      </c>
      <c r="F108" s="23" t="str">
        <f>'12 - Device_Configuration'!K108</f>
        <v>No</v>
      </c>
      <c r="G108" s="15" t="str">
        <f>'12 - Device_Configuration'!L108</f>
        <v>No</v>
      </c>
      <c r="H108" s="15">
        <f>'13 - Config_Intake_View'!M108</f>
        <v>0</v>
      </c>
      <c r="I108" s="23">
        <f>IF('13 - Config_Intake_View'!Q108&lt;&gt;"",'13 - Config_Intake_View'!Q108,'12 - Device_Configuration'!BH108)</f>
        <v>0</v>
      </c>
      <c r="J108" s="15" t="str">
        <f>IF('13 - Config_Intake_View'!Q108&lt;&gt;"","PM Approved",IF('12 - Device_Configuration'!BH108&lt;&gt;"","Assumed",""))</f>
        <v/>
      </c>
      <c r="K108" s="23">
        <f>'12 - Device_Configuration'!BG108</f>
        <v>0</v>
      </c>
      <c r="L108" s="15">
        <f>'12 - Device_Configuration'!P108</f>
        <v>0</v>
      </c>
      <c r="M108" s="15">
        <f>'12 - Device_Configuration'!Q108</f>
        <v>0</v>
      </c>
      <c r="N108" s="15" t="str">
        <f>'12 - Device_Configuration'!BK108</f>
        <v/>
      </c>
      <c r="O108" s="23" t="str">
        <f>'12 - Device_Configuration'!BL108</f>
        <v/>
      </c>
      <c r="P108" s="2">
        <f>'12 - Device_Configuration'!BA108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'12 - Device_Configuration'!H109</f>
        <v>LIJ - Other</v>
      </c>
      <c r="B109" s="23" t="str">
        <f>'12 - Device_Configuration'!S109</f>
        <v>WNH270OPR421</v>
      </c>
      <c r="C109" s="23">
        <f>'12 - Device_Configuration'!T109</f>
        <v>0</v>
      </c>
      <c r="D109" s="15">
        <f>'12 - Device_Configuration'!AJ109</f>
        <v>0</v>
      </c>
      <c r="E109" s="15" t="str">
        <f>'12 - Device_Configuration'!J109</f>
        <v>Yes</v>
      </c>
      <c r="F109" s="23" t="str">
        <f>'12 - Device_Configuration'!K109</f>
        <v>No</v>
      </c>
      <c r="G109" s="15" t="str">
        <f>'12 - Device_Configuration'!L109</f>
        <v>No</v>
      </c>
      <c r="H109" s="15">
        <f>'13 - Config_Intake_View'!M109</f>
        <v>0</v>
      </c>
      <c r="I109" s="23">
        <f>IF('13 - Config_Intake_View'!Q109&lt;&gt;"",'13 - Config_Intake_View'!Q109,'12 - Device_Configuration'!BH109)</f>
        <v>0</v>
      </c>
      <c r="J109" s="15" t="str">
        <f>IF('13 - Config_Intake_View'!Q109&lt;&gt;"","PM Approved",IF('12 - Device_Configuration'!BH109&lt;&gt;"","Assumed",""))</f>
        <v/>
      </c>
      <c r="K109" s="23">
        <f>'12 - Device_Configuration'!BG109</f>
        <v>0</v>
      </c>
      <c r="L109" s="15">
        <f>'12 - Device_Configuration'!P109</f>
        <v>0</v>
      </c>
      <c r="M109" s="15">
        <f>'12 - Device_Configuration'!Q109</f>
        <v>0</v>
      </c>
      <c r="N109" s="15" t="str">
        <f>'12 - Device_Configuration'!BK109</f>
        <v/>
      </c>
      <c r="O109" s="23" t="str">
        <f>'12 - Device_Configuration'!BL109</f>
        <v/>
      </c>
      <c r="P109" s="2">
        <f>'12 - Device_Configuration'!BA109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'12 - Device_Configuration'!H110</f>
        <v>LIJ - OR</v>
      </c>
      <c r="B110" s="23" t="str">
        <f>'12 - Device_Configuration'!S110</f>
        <v>WNH270OPR422</v>
      </c>
      <c r="C110" s="23">
        <f>'12 - Device_Configuration'!T110</f>
        <v>0</v>
      </c>
      <c r="D110" s="15">
        <f>'12 - Device_Configuration'!AJ110</f>
        <v>0</v>
      </c>
      <c r="E110" s="15" t="str">
        <f>'12 - Device_Configuration'!J110</f>
        <v>Yes</v>
      </c>
      <c r="F110" s="23" t="str">
        <f>'12 - Device_Configuration'!K110</f>
        <v>No</v>
      </c>
      <c r="G110" s="15" t="str">
        <f>'12 - Device_Configuration'!L110</f>
        <v>No</v>
      </c>
      <c r="H110" s="15">
        <f>'13 - Config_Intake_View'!M110</f>
        <v>0</v>
      </c>
      <c r="I110" s="23">
        <f>IF('13 - Config_Intake_View'!Q110&lt;&gt;"",'13 - Config_Intake_View'!Q110,'12 - Device_Configuration'!BH110)</f>
        <v>0</v>
      </c>
      <c r="J110" s="15" t="str">
        <f>IF('13 - Config_Intake_View'!Q110&lt;&gt;"","PM Approved",IF('12 - Device_Configuration'!BH110&lt;&gt;"","Assumed",""))</f>
        <v/>
      </c>
      <c r="K110" s="23">
        <f>'12 - Device_Configuration'!BG110</f>
        <v>0</v>
      </c>
      <c r="L110" s="15">
        <f>'12 - Device_Configuration'!P110</f>
        <v>0</v>
      </c>
      <c r="M110" s="15">
        <f>'12 - Device_Configuration'!Q110</f>
        <v>0</v>
      </c>
      <c r="N110" s="15" t="str">
        <f>'12 - Device_Configuration'!BK110</f>
        <v/>
      </c>
      <c r="O110" s="23" t="str">
        <f>'12 - Device_Configuration'!BL110</f>
        <v/>
      </c>
      <c r="P110" s="2">
        <f>'12 - Device_Configuration'!BA110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'12 - Device_Configuration'!H111</f>
        <v>LIJ - OR</v>
      </c>
      <c r="B111" s="23" t="str">
        <f>'12 - Device_Configuration'!S111</f>
        <v>WNH270OPR423</v>
      </c>
      <c r="C111" s="23">
        <f>'12 - Device_Configuration'!T111</f>
        <v>0</v>
      </c>
      <c r="D111" s="15">
        <f>'12 - Device_Configuration'!AJ111</f>
        <v>0</v>
      </c>
      <c r="E111" s="15" t="str">
        <f>'12 - Device_Configuration'!J111</f>
        <v>Yes</v>
      </c>
      <c r="F111" s="23" t="str">
        <f>'12 - Device_Configuration'!K111</f>
        <v>No</v>
      </c>
      <c r="G111" s="15" t="str">
        <f>'12 - Device_Configuration'!L111</f>
        <v>No</v>
      </c>
      <c r="H111" s="15">
        <f>'13 - Config_Intake_View'!M111</f>
        <v>0</v>
      </c>
      <c r="I111" s="23">
        <f>IF('13 - Config_Intake_View'!Q111&lt;&gt;"",'13 - Config_Intake_View'!Q111,'12 - Device_Configuration'!BH111)</f>
        <v>0</v>
      </c>
      <c r="J111" s="15" t="str">
        <f>IF('13 - Config_Intake_View'!Q111&lt;&gt;"","PM Approved",IF('12 - Device_Configuration'!BH111&lt;&gt;"","Assumed",""))</f>
        <v/>
      </c>
      <c r="K111" s="23">
        <f>'12 - Device_Configuration'!BG111</f>
        <v>0</v>
      </c>
      <c r="L111" s="15">
        <f>'12 - Device_Configuration'!P111</f>
        <v>0</v>
      </c>
      <c r="M111" s="15">
        <f>'12 - Device_Configuration'!Q111</f>
        <v>0</v>
      </c>
      <c r="N111" s="15" t="str">
        <f>'12 - Device_Configuration'!BK111</f>
        <v/>
      </c>
      <c r="O111" s="23" t="str">
        <f>'12 - Device_Configuration'!BL111</f>
        <v/>
      </c>
      <c r="P111" s="2">
        <f>'12 - Device_Configuration'!BA111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'12 - Device_Configuration'!H112</f>
        <v>LIJ - OR</v>
      </c>
      <c r="B112" s="23" t="str">
        <f>'12 - Device_Configuration'!S112</f>
        <v>WNH270OPR424</v>
      </c>
      <c r="C112" s="23">
        <f>'12 - Device_Configuration'!T112</f>
        <v>0</v>
      </c>
      <c r="D112" s="15">
        <f>'12 - Device_Configuration'!AJ112</f>
        <v>0</v>
      </c>
      <c r="E112" s="15" t="str">
        <f>'12 - Device_Configuration'!J112</f>
        <v>Yes</v>
      </c>
      <c r="F112" s="23" t="str">
        <f>'12 - Device_Configuration'!K112</f>
        <v>No</v>
      </c>
      <c r="G112" s="15" t="str">
        <f>'12 - Device_Configuration'!L112</f>
        <v>No</v>
      </c>
      <c r="H112" s="15">
        <f>'13 - Config_Intake_View'!M112</f>
        <v>0</v>
      </c>
      <c r="I112" s="23">
        <f>IF('13 - Config_Intake_View'!Q112&lt;&gt;"",'13 - Config_Intake_View'!Q112,'12 - Device_Configuration'!BH112)</f>
        <v>0</v>
      </c>
      <c r="J112" s="15" t="str">
        <f>IF('13 - Config_Intake_View'!Q112&lt;&gt;"","PM Approved",IF('12 - Device_Configuration'!BH112&lt;&gt;"","Assumed",""))</f>
        <v/>
      </c>
      <c r="K112" s="23">
        <f>'12 - Device_Configuration'!BG112</f>
        <v>0</v>
      </c>
      <c r="L112" s="15">
        <f>'12 - Device_Configuration'!P112</f>
        <v>0</v>
      </c>
      <c r="M112" s="15">
        <f>'12 - Device_Configuration'!Q112</f>
        <v>0</v>
      </c>
      <c r="N112" s="15" t="str">
        <f>'12 - Device_Configuration'!BK112</f>
        <v/>
      </c>
      <c r="O112" s="23" t="str">
        <f>'12 - Device_Configuration'!BL112</f>
        <v/>
      </c>
      <c r="P112" s="2">
        <f>'12 - Device_Configuration'!BA112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'12 - Device_Configuration'!H113</f>
        <v>LIJ - OR</v>
      </c>
      <c r="B113" s="23" t="str">
        <f>'12 - Device_Configuration'!S113</f>
        <v>WNH270OPR425</v>
      </c>
      <c r="C113" s="23">
        <f>'12 - Device_Configuration'!T113</f>
        <v>0</v>
      </c>
      <c r="D113" s="15">
        <f>'12 - Device_Configuration'!AJ113</f>
        <v>0</v>
      </c>
      <c r="E113" s="15" t="str">
        <f>'12 - Device_Configuration'!J113</f>
        <v>Yes</v>
      </c>
      <c r="F113" s="23" t="str">
        <f>'12 - Device_Configuration'!K113</f>
        <v>No</v>
      </c>
      <c r="G113" s="15" t="str">
        <f>'12 - Device_Configuration'!L113</f>
        <v>No</v>
      </c>
      <c r="H113" s="15">
        <f>'13 - Config_Intake_View'!M113</f>
        <v>0</v>
      </c>
      <c r="I113" s="23">
        <f>IF('13 - Config_Intake_View'!Q113&lt;&gt;"",'13 - Config_Intake_View'!Q113,'12 - Device_Configuration'!BH113)</f>
        <v>0</v>
      </c>
      <c r="J113" s="15" t="str">
        <f>IF('13 - Config_Intake_View'!Q113&lt;&gt;"","PM Approved",IF('12 - Device_Configuration'!BH113&lt;&gt;"","Assumed",""))</f>
        <v/>
      </c>
      <c r="K113" s="23">
        <f>'12 - Device_Configuration'!BG113</f>
        <v>0</v>
      </c>
      <c r="L113" s="15">
        <f>'12 - Device_Configuration'!P113</f>
        <v>0</v>
      </c>
      <c r="M113" s="15">
        <f>'12 - Device_Configuration'!Q113</f>
        <v>0</v>
      </c>
      <c r="N113" s="15" t="str">
        <f>'12 - Device_Configuration'!BK113</f>
        <v/>
      </c>
      <c r="O113" s="23" t="str">
        <f>'12 - Device_Configuration'!BL113</f>
        <v/>
      </c>
      <c r="P113" s="2">
        <f>'12 - Device_Configuration'!BA113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'12 - Device_Configuration'!H114</f>
        <v>LIJ - OR</v>
      </c>
      <c r="B114" s="23" t="str">
        <f>'12 - Device_Configuration'!S114</f>
        <v>WNH270OPR426</v>
      </c>
      <c r="C114" s="23">
        <f>'12 - Device_Configuration'!T114</f>
        <v>0</v>
      </c>
      <c r="D114" s="15">
        <f>'12 - Device_Configuration'!AJ114</f>
        <v>0</v>
      </c>
      <c r="E114" s="15" t="str">
        <f>'12 - Device_Configuration'!J114</f>
        <v>Yes</v>
      </c>
      <c r="F114" s="23" t="str">
        <f>'12 - Device_Configuration'!K114</f>
        <v>No</v>
      </c>
      <c r="G114" s="15" t="str">
        <f>'12 - Device_Configuration'!L114</f>
        <v>No</v>
      </c>
      <c r="H114" s="15">
        <f>'13 - Config_Intake_View'!M114</f>
        <v>0</v>
      </c>
      <c r="I114" s="23">
        <f>IF('13 - Config_Intake_View'!Q114&lt;&gt;"",'13 - Config_Intake_View'!Q114,'12 - Device_Configuration'!BH114)</f>
        <v>0</v>
      </c>
      <c r="J114" s="15" t="str">
        <f>IF('13 - Config_Intake_View'!Q114&lt;&gt;"","PM Approved",IF('12 - Device_Configuration'!BH114&lt;&gt;"","Assumed",""))</f>
        <v/>
      </c>
      <c r="K114" s="23">
        <f>'12 - Device_Configuration'!BG114</f>
        <v>0</v>
      </c>
      <c r="L114" s="15">
        <f>'12 - Device_Configuration'!P114</f>
        <v>0</v>
      </c>
      <c r="M114" s="15">
        <f>'12 - Device_Configuration'!Q114</f>
        <v>0</v>
      </c>
      <c r="N114" s="15" t="str">
        <f>'12 - Device_Configuration'!BK114</f>
        <v/>
      </c>
      <c r="O114" s="23" t="str">
        <f>'12 - Device_Configuration'!BL114</f>
        <v/>
      </c>
      <c r="P114" s="2">
        <f>'12 - Device_Configuration'!BA114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'12 - Device_Configuration'!H115</f>
        <v>LIJ - OR</v>
      </c>
      <c r="B115" s="23" t="str">
        <f>'12 - Device_Configuration'!S115</f>
        <v>WNH270OPR427</v>
      </c>
      <c r="C115" s="23">
        <f>'12 - Device_Configuration'!T115</f>
        <v>0</v>
      </c>
      <c r="D115" s="15">
        <f>'12 - Device_Configuration'!AJ115</f>
        <v>0</v>
      </c>
      <c r="E115" s="15" t="str">
        <f>'12 - Device_Configuration'!J115</f>
        <v>Yes</v>
      </c>
      <c r="F115" s="23" t="str">
        <f>'12 - Device_Configuration'!K115</f>
        <v>No</v>
      </c>
      <c r="G115" s="15" t="str">
        <f>'12 - Device_Configuration'!L115</f>
        <v>No</v>
      </c>
      <c r="H115" s="15">
        <f>'13 - Config_Intake_View'!M115</f>
        <v>0</v>
      </c>
      <c r="I115" s="23">
        <f>IF('13 - Config_Intake_View'!Q115&lt;&gt;"",'13 - Config_Intake_View'!Q115,'12 - Device_Configuration'!BH115)</f>
        <v>0</v>
      </c>
      <c r="J115" s="15" t="str">
        <f>IF('13 - Config_Intake_View'!Q115&lt;&gt;"","PM Approved",IF('12 - Device_Configuration'!BH115&lt;&gt;"","Assumed",""))</f>
        <v/>
      </c>
      <c r="K115" s="23">
        <f>'12 - Device_Configuration'!BG115</f>
        <v>0</v>
      </c>
      <c r="L115" s="15">
        <f>'12 - Device_Configuration'!P115</f>
        <v>0</v>
      </c>
      <c r="M115" s="15">
        <f>'12 - Device_Configuration'!Q115</f>
        <v>0</v>
      </c>
      <c r="N115" s="15" t="str">
        <f>'12 - Device_Configuration'!BK115</f>
        <v/>
      </c>
      <c r="O115" s="23" t="str">
        <f>'12 - Device_Configuration'!BL115</f>
        <v/>
      </c>
      <c r="P115" s="2">
        <f>'12 - Device_Configuration'!BA115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'12 - Device_Configuration'!H116</f>
        <v>LIJ - OR</v>
      </c>
      <c r="B116" s="23" t="str">
        <f>'12 - Device_Configuration'!S116</f>
        <v>WNH270OPR428</v>
      </c>
      <c r="C116" s="23">
        <f>'12 - Device_Configuration'!T116</f>
        <v>0</v>
      </c>
      <c r="D116" s="15">
        <f>'12 - Device_Configuration'!AJ116</f>
        <v>0</v>
      </c>
      <c r="E116" s="15" t="str">
        <f>'12 - Device_Configuration'!J116</f>
        <v>Yes</v>
      </c>
      <c r="F116" s="23" t="str">
        <f>'12 - Device_Configuration'!K116</f>
        <v>No</v>
      </c>
      <c r="G116" s="15" t="str">
        <f>'12 - Device_Configuration'!L116</f>
        <v>No</v>
      </c>
      <c r="H116" s="15">
        <f>'13 - Config_Intake_View'!M116</f>
        <v>0</v>
      </c>
      <c r="I116" s="23">
        <f>IF('13 - Config_Intake_View'!Q116&lt;&gt;"",'13 - Config_Intake_View'!Q116,'12 - Device_Configuration'!BH116)</f>
        <v>0</v>
      </c>
      <c r="J116" s="15" t="str">
        <f>IF('13 - Config_Intake_View'!Q116&lt;&gt;"","PM Approved",IF('12 - Device_Configuration'!BH116&lt;&gt;"","Assumed",""))</f>
        <v/>
      </c>
      <c r="K116" s="23">
        <f>'12 - Device_Configuration'!BG116</f>
        <v>0</v>
      </c>
      <c r="L116" s="15">
        <f>'12 - Device_Configuration'!P116</f>
        <v>0</v>
      </c>
      <c r="M116" s="15">
        <f>'12 - Device_Configuration'!Q116</f>
        <v>0</v>
      </c>
      <c r="N116" s="15" t="str">
        <f>'12 - Device_Configuration'!BK116</f>
        <v/>
      </c>
      <c r="O116" s="23" t="str">
        <f>'12 - Device_Configuration'!BL116</f>
        <v/>
      </c>
      <c r="P116" s="2">
        <f>'12 - Device_Configuration'!BA116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'12 - Device_Configuration'!H117</f>
        <v>LIJ - OR</v>
      </c>
      <c r="B117" s="23" t="str">
        <f>'12 - Device_Configuration'!S117</f>
        <v>WNH270OPR429</v>
      </c>
      <c r="C117" s="23">
        <f>'12 - Device_Configuration'!T117</f>
        <v>0</v>
      </c>
      <c r="D117" s="15">
        <f>'12 - Device_Configuration'!AJ117</f>
        <v>0</v>
      </c>
      <c r="E117" s="15" t="str">
        <f>'12 - Device_Configuration'!J117</f>
        <v>Yes</v>
      </c>
      <c r="F117" s="23" t="str">
        <f>'12 - Device_Configuration'!K117</f>
        <v>No</v>
      </c>
      <c r="G117" s="15" t="str">
        <f>'12 - Device_Configuration'!L117</f>
        <v>No</v>
      </c>
      <c r="H117" s="15">
        <f>'13 - Config_Intake_View'!M117</f>
        <v>0</v>
      </c>
      <c r="I117" s="23">
        <f>IF('13 - Config_Intake_View'!Q117&lt;&gt;"",'13 - Config_Intake_View'!Q117,'12 - Device_Configuration'!BH117)</f>
        <v>0</v>
      </c>
      <c r="J117" s="15" t="str">
        <f>IF('13 - Config_Intake_View'!Q117&lt;&gt;"","PM Approved",IF('12 - Device_Configuration'!BH117&lt;&gt;"","Assumed",""))</f>
        <v/>
      </c>
      <c r="K117" s="23">
        <f>'12 - Device_Configuration'!BG117</f>
        <v>0</v>
      </c>
      <c r="L117" s="15">
        <f>'12 - Device_Configuration'!P117</f>
        <v>0</v>
      </c>
      <c r="M117" s="15">
        <f>'12 - Device_Configuration'!Q117</f>
        <v>0</v>
      </c>
      <c r="N117" s="15" t="str">
        <f>'12 - Device_Configuration'!BK117</f>
        <v/>
      </c>
      <c r="O117" s="23" t="str">
        <f>'12 - Device_Configuration'!BL117</f>
        <v/>
      </c>
      <c r="P117" s="2">
        <f>'12 - Device_Configuration'!BA117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'12 - Device_Configuration'!H118</f>
        <v>LIJ - OR</v>
      </c>
      <c r="B118" s="23" t="str">
        <f>'12 - Device_Configuration'!S118</f>
        <v>WNH270OPR430</v>
      </c>
      <c r="C118" s="23">
        <f>'12 - Device_Configuration'!T118</f>
        <v>0</v>
      </c>
      <c r="D118" s="15">
        <f>'12 - Device_Configuration'!AJ118</f>
        <v>0</v>
      </c>
      <c r="E118" s="15" t="str">
        <f>'12 - Device_Configuration'!J118</f>
        <v>Yes</v>
      </c>
      <c r="F118" s="23" t="str">
        <f>'12 - Device_Configuration'!K118</f>
        <v>No</v>
      </c>
      <c r="G118" s="15" t="str">
        <f>'12 - Device_Configuration'!L118</f>
        <v>No</v>
      </c>
      <c r="H118" s="15">
        <f>'13 - Config_Intake_View'!M118</f>
        <v>0</v>
      </c>
      <c r="I118" s="23">
        <f>IF('13 - Config_Intake_View'!Q118&lt;&gt;"",'13 - Config_Intake_View'!Q118,'12 - Device_Configuration'!BH118)</f>
        <v>0</v>
      </c>
      <c r="J118" s="15" t="str">
        <f>IF('13 - Config_Intake_View'!Q118&lt;&gt;"","PM Approved",IF('12 - Device_Configuration'!BH118&lt;&gt;"","Assumed",""))</f>
        <v/>
      </c>
      <c r="K118" s="23">
        <f>'12 - Device_Configuration'!BG118</f>
        <v>0</v>
      </c>
      <c r="L118" s="15">
        <f>'12 - Device_Configuration'!P118</f>
        <v>0</v>
      </c>
      <c r="M118" s="15">
        <f>'12 - Device_Configuration'!Q118</f>
        <v>0</v>
      </c>
      <c r="N118" s="15" t="str">
        <f>'12 - Device_Configuration'!BK118</f>
        <v/>
      </c>
      <c r="O118" s="23" t="str">
        <f>'12 - Device_Configuration'!BL118</f>
        <v/>
      </c>
      <c r="P118" s="2">
        <f>'12 - Device_Configuration'!BA118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'12 - Device_Configuration'!H119</f>
        <v>LIJ - OR</v>
      </c>
      <c r="B119" s="23" t="str">
        <f>'12 - Device_Configuration'!S119</f>
        <v>WNH270OPR431</v>
      </c>
      <c r="C119" s="23">
        <f>'12 - Device_Configuration'!T119</f>
        <v>0</v>
      </c>
      <c r="D119" s="15">
        <f>'12 - Device_Configuration'!AJ119</f>
        <v>0</v>
      </c>
      <c r="E119" s="15" t="str">
        <f>'12 - Device_Configuration'!J119</f>
        <v>Yes</v>
      </c>
      <c r="F119" s="23" t="str">
        <f>'12 - Device_Configuration'!K119</f>
        <v>No</v>
      </c>
      <c r="G119" s="15" t="str">
        <f>'12 - Device_Configuration'!L119</f>
        <v>No</v>
      </c>
      <c r="H119" s="15">
        <f>'13 - Config_Intake_View'!M119</f>
        <v>0</v>
      </c>
      <c r="I119" s="23">
        <f>IF('13 - Config_Intake_View'!Q119&lt;&gt;"",'13 - Config_Intake_View'!Q119,'12 - Device_Configuration'!BH119)</f>
        <v>0</v>
      </c>
      <c r="J119" s="15" t="str">
        <f>IF('13 - Config_Intake_View'!Q119&lt;&gt;"","PM Approved",IF('12 - Device_Configuration'!BH119&lt;&gt;"","Assumed",""))</f>
        <v/>
      </c>
      <c r="K119" s="23">
        <f>'12 - Device_Configuration'!BG119</f>
        <v>0</v>
      </c>
      <c r="L119" s="15">
        <f>'12 - Device_Configuration'!P119</f>
        <v>0</v>
      </c>
      <c r="M119" s="15">
        <f>'12 - Device_Configuration'!Q119</f>
        <v>0</v>
      </c>
      <c r="N119" s="15" t="str">
        <f>'12 - Device_Configuration'!BK119</f>
        <v/>
      </c>
      <c r="O119" s="23" t="str">
        <f>'12 - Device_Configuration'!BL119</f>
        <v/>
      </c>
      <c r="P119" s="2">
        <f>'12 - Device_Configuration'!BA119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'12 - Device_Configuration'!H120</f>
        <v>LIJ - OR</v>
      </c>
      <c r="B120" s="23" t="str">
        <f>'12 - Device_Configuration'!S120</f>
        <v>WNH270OPR432</v>
      </c>
      <c r="C120" s="23">
        <f>'12 - Device_Configuration'!T120</f>
        <v>0</v>
      </c>
      <c r="D120" s="15">
        <f>'12 - Device_Configuration'!AJ120</f>
        <v>0</v>
      </c>
      <c r="E120" s="15" t="str">
        <f>'12 - Device_Configuration'!J120</f>
        <v>Yes</v>
      </c>
      <c r="F120" s="23" t="str">
        <f>'12 - Device_Configuration'!K120</f>
        <v>No</v>
      </c>
      <c r="G120" s="15" t="str">
        <f>'12 - Device_Configuration'!L120</f>
        <v>No</v>
      </c>
      <c r="H120" s="15">
        <f>'13 - Config_Intake_View'!M120</f>
        <v>0</v>
      </c>
      <c r="I120" s="23">
        <f>IF('13 - Config_Intake_View'!Q120&lt;&gt;"",'13 - Config_Intake_View'!Q120,'12 - Device_Configuration'!BH120)</f>
        <v>0</v>
      </c>
      <c r="J120" s="15" t="str">
        <f>IF('13 - Config_Intake_View'!Q120&lt;&gt;"","PM Approved",IF('12 - Device_Configuration'!BH120&lt;&gt;"","Assumed",""))</f>
        <v/>
      </c>
      <c r="K120" s="23">
        <f>'12 - Device_Configuration'!BG120</f>
        <v>0</v>
      </c>
      <c r="L120" s="15">
        <f>'12 - Device_Configuration'!P120</f>
        <v>0</v>
      </c>
      <c r="M120" s="15">
        <f>'12 - Device_Configuration'!Q120</f>
        <v>0</v>
      </c>
      <c r="N120" s="15" t="str">
        <f>'12 - Device_Configuration'!BK120</f>
        <v/>
      </c>
      <c r="O120" s="23" t="str">
        <f>'12 - Device_Configuration'!BL120</f>
        <v/>
      </c>
      <c r="P120" s="2">
        <f>'12 - Device_Configuration'!BA120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'12 - Device_Configuration'!H121</f>
        <v>LIJ - OR</v>
      </c>
      <c r="B121" s="23" t="str">
        <f>'12 - Device_Configuration'!S121</f>
        <v>WNH270OPR433</v>
      </c>
      <c r="C121" s="23">
        <f>'12 - Device_Configuration'!T121</f>
        <v>0</v>
      </c>
      <c r="D121" s="15">
        <f>'12 - Device_Configuration'!AJ121</f>
        <v>0</v>
      </c>
      <c r="E121" s="15" t="str">
        <f>'12 - Device_Configuration'!J121</f>
        <v>Yes</v>
      </c>
      <c r="F121" s="23" t="str">
        <f>'12 - Device_Configuration'!K121</f>
        <v>No</v>
      </c>
      <c r="G121" s="15" t="str">
        <f>'12 - Device_Configuration'!L121</f>
        <v>No</v>
      </c>
      <c r="H121" s="15">
        <f>'13 - Config_Intake_View'!M121</f>
        <v>0</v>
      </c>
      <c r="I121" s="23">
        <f>IF('13 - Config_Intake_View'!Q121&lt;&gt;"",'13 - Config_Intake_View'!Q121,'12 - Device_Configuration'!BH121)</f>
        <v>0</v>
      </c>
      <c r="J121" s="15" t="str">
        <f>IF('13 - Config_Intake_View'!Q121&lt;&gt;"","PM Approved",IF('12 - Device_Configuration'!BH121&lt;&gt;"","Assumed",""))</f>
        <v/>
      </c>
      <c r="K121" s="23">
        <f>'12 - Device_Configuration'!BG121</f>
        <v>0</v>
      </c>
      <c r="L121" s="15">
        <f>'12 - Device_Configuration'!P121</f>
        <v>0</v>
      </c>
      <c r="M121" s="15">
        <f>'12 - Device_Configuration'!Q121</f>
        <v>0</v>
      </c>
      <c r="N121" s="15" t="str">
        <f>'12 - Device_Configuration'!BK121</f>
        <v/>
      </c>
      <c r="O121" s="23" t="str">
        <f>'12 - Device_Configuration'!BL121</f>
        <v/>
      </c>
      <c r="P121" s="2">
        <f>'12 - Device_Configuration'!BA121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'12 - Device_Configuration'!H122</f>
        <v>LIJ - OR</v>
      </c>
      <c r="B122" s="23" t="str">
        <f>'12 - Device_Configuration'!S122</f>
        <v>WNH270OPR434</v>
      </c>
      <c r="C122" s="23">
        <f>'12 - Device_Configuration'!T122</f>
        <v>0</v>
      </c>
      <c r="D122" s="15">
        <f>'12 - Device_Configuration'!AJ122</f>
        <v>0</v>
      </c>
      <c r="E122" s="15" t="str">
        <f>'12 - Device_Configuration'!J122</f>
        <v>Yes</v>
      </c>
      <c r="F122" s="23" t="str">
        <f>'12 - Device_Configuration'!K122</f>
        <v>No</v>
      </c>
      <c r="G122" s="15" t="str">
        <f>'12 - Device_Configuration'!L122</f>
        <v>No</v>
      </c>
      <c r="H122" s="15">
        <f>'13 - Config_Intake_View'!M122</f>
        <v>0</v>
      </c>
      <c r="I122" s="23">
        <f>IF('13 - Config_Intake_View'!Q122&lt;&gt;"",'13 - Config_Intake_View'!Q122,'12 - Device_Configuration'!BH122)</f>
        <v>0</v>
      </c>
      <c r="J122" s="15" t="str">
        <f>IF('13 - Config_Intake_View'!Q122&lt;&gt;"","PM Approved",IF('12 - Device_Configuration'!BH122&lt;&gt;"","Assumed",""))</f>
        <v/>
      </c>
      <c r="K122" s="23">
        <f>'12 - Device_Configuration'!BG122</f>
        <v>0</v>
      </c>
      <c r="L122" s="15">
        <f>'12 - Device_Configuration'!P122</f>
        <v>0</v>
      </c>
      <c r="M122" s="15">
        <f>'12 - Device_Configuration'!Q122</f>
        <v>0</v>
      </c>
      <c r="N122" s="15" t="str">
        <f>'12 - Device_Configuration'!BK122</f>
        <v/>
      </c>
      <c r="O122" s="23" t="str">
        <f>'12 - Device_Configuration'!BL122</f>
        <v/>
      </c>
      <c r="P122" s="2">
        <f>'12 - Device_Configuration'!BA122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'12 - Device_Configuration'!H123</f>
        <v>LIJ - OR</v>
      </c>
      <c r="B123" s="23" t="str">
        <f>'12 - Device_Configuration'!S123</f>
        <v>WNH270OPR435</v>
      </c>
      <c r="C123" s="23">
        <f>'12 - Device_Configuration'!T123</f>
        <v>0</v>
      </c>
      <c r="D123" s="15">
        <f>'12 - Device_Configuration'!AJ123</f>
        <v>0</v>
      </c>
      <c r="E123" s="15" t="str">
        <f>'12 - Device_Configuration'!J123</f>
        <v>Yes</v>
      </c>
      <c r="F123" s="23" t="str">
        <f>'12 - Device_Configuration'!K123</f>
        <v>No</v>
      </c>
      <c r="G123" s="15" t="str">
        <f>'12 - Device_Configuration'!L123</f>
        <v>No</v>
      </c>
      <c r="H123" s="15">
        <f>'13 - Config_Intake_View'!M123</f>
        <v>0</v>
      </c>
      <c r="I123" s="23">
        <f>IF('13 - Config_Intake_View'!Q123&lt;&gt;"",'13 - Config_Intake_View'!Q123,'12 - Device_Configuration'!BH123)</f>
        <v>0</v>
      </c>
      <c r="J123" s="15" t="str">
        <f>IF('13 - Config_Intake_View'!Q123&lt;&gt;"","PM Approved",IF('12 - Device_Configuration'!BH123&lt;&gt;"","Assumed",""))</f>
        <v/>
      </c>
      <c r="K123" s="23">
        <f>'12 - Device_Configuration'!BG123</f>
        <v>0</v>
      </c>
      <c r="L123" s="15">
        <f>'12 - Device_Configuration'!P123</f>
        <v>0</v>
      </c>
      <c r="M123" s="15">
        <f>'12 - Device_Configuration'!Q123</f>
        <v>0</v>
      </c>
      <c r="N123" s="15" t="str">
        <f>'12 - Device_Configuration'!BK123</f>
        <v/>
      </c>
      <c r="O123" s="23" t="str">
        <f>'12 - Device_Configuration'!BL123</f>
        <v/>
      </c>
      <c r="P123" s="2">
        <f>'12 - Device_Configuration'!BA123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'12 - Device_Configuration'!H124</f>
        <v>LIJ - OR</v>
      </c>
      <c r="B124" s="23" t="str">
        <f>'12 - Device_Configuration'!S124</f>
        <v>WNH270OPR436</v>
      </c>
      <c r="C124" s="23">
        <f>'12 - Device_Configuration'!T124</f>
        <v>0</v>
      </c>
      <c r="D124" s="15">
        <f>'12 - Device_Configuration'!AJ124</f>
        <v>0</v>
      </c>
      <c r="E124" s="15" t="str">
        <f>'12 - Device_Configuration'!J124</f>
        <v>Yes</v>
      </c>
      <c r="F124" s="23" t="str">
        <f>'12 - Device_Configuration'!K124</f>
        <v>No</v>
      </c>
      <c r="G124" s="15" t="str">
        <f>'12 - Device_Configuration'!L124</f>
        <v>No</v>
      </c>
      <c r="H124" s="15">
        <f>'13 - Config_Intake_View'!M124</f>
        <v>0</v>
      </c>
      <c r="I124" s="23">
        <f>IF('13 - Config_Intake_View'!Q124&lt;&gt;"",'13 - Config_Intake_View'!Q124,'12 - Device_Configuration'!BH124)</f>
        <v>0</v>
      </c>
      <c r="J124" s="15" t="str">
        <f>IF('13 - Config_Intake_View'!Q124&lt;&gt;"","PM Approved",IF('12 - Device_Configuration'!BH124&lt;&gt;"","Assumed",""))</f>
        <v/>
      </c>
      <c r="K124" s="23">
        <f>'12 - Device_Configuration'!BG124</f>
        <v>0</v>
      </c>
      <c r="L124" s="15">
        <f>'12 - Device_Configuration'!P124</f>
        <v>0</v>
      </c>
      <c r="M124" s="15">
        <f>'12 - Device_Configuration'!Q124</f>
        <v>0</v>
      </c>
      <c r="N124" s="15" t="str">
        <f>'12 - Device_Configuration'!BK124</f>
        <v/>
      </c>
      <c r="O124" s="23" t="str">
        <f>'12 - Device_Configuration'!BL124</f>
        <v/>
      </c>
      <c r="P124" s="2">
        <f>'12 - Device_Configuration'!BA124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'12 - Device_Configuration'!H125</f>
        <v>LIJ - OR</v>
      </c>
      <c r="B125" s="23" t="str">
        <f>'12 - Device_Configuration'!S125</f>
        <v>WNH270OPR437</v>
      </c>
      <c r="C125" s="23">
        <f>'12 - Device_Configuration'!T125</f>
        <v>0</v>
      </c>
      <c r="D125" s="15">
        <f>'12 - Device_Configuration'!AJ125</f>
        <v>0</v>
      </c>
      <c r="E125" s="15" t="str">
        <f>'12 - Device_Configuration'!J125</f>
        <v>Yes</v>
      </c>
      <c r="F125" s="23" t="str">
        <f>'12 - Device_Configuration'!K125</f>
        <v>No</v>
      </c>
      <c r="G125" s="15" t="str">
        <f>'12 - Device_Configuration'!L125</f>
        <v>No</v>
      </c>
      <c r="H125" s="15">
        <f>'13 - Config_Intake_View'!M125</f>
        <v>0</v>
      </c>
      <c r="I125" s="23">
        <f>IF('13 - Config_Intake_View'!Q125&lt;&gt;"",'13 - Config_Intake_View'!Q125,'12 - Device_Configuration'!BH125)</f>
        <v>0</v>
      </c>
      <c r="J125" s="15" t="str">
        <f>IF('13 - Config_Intake_View'!Q125&lt;&gt;"","PM Approved",IF('12 - Device_Configuration'!BH125&lt;&gt;"","Assumed",""))</f>
        <v/>
      </c>
      <c r="K125" s="23">
        <f>'12 - Device_Configuration'!BG125</f>
        <v>0</v>
      </c>
      <c r="L125" s="15">
        <f>'12 - Device_Configuration'!P125</f>
        <v>0</v>
      </c>
      <c r="M125" s="15">
        <f>'12 - Device_Configuration'!Q125</f>
        <v>0</v>
      </c>
      <c r="N125" s="15" t="str">
        <f>'12 - Device_Configuration'!BK125</f>
        <v/>
      </c>
      <c r="O125" s="23" t="str">
        <f>'12 - Device_Configuration'!BL125</f>
        <v/>
      </c>
      <c r="P125" s="2">
        <f>'12 - Device_Configuration'!BA125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'12 - Device_Configuration'!H126</f>
        <v>LIJ - OR</v>
      </c>
      <c r="B126" s="23" t="str">
        <f>'12 - Device_Configuration'!S126</f>
        <v>WNH270OPR438</v>
      </c>
      <c r="C126" s="23">
        <f>'12 - Device_Configuration'!T126</f>
        <v>0</v>
      </c>
      <c r="D126" s="15">
        <f>'12 - Device_Configuration'!AJ126</f>
        <v>0</v>
      </c>
      <c r="E126" s="15" t="str">
        <f>'12 - Device_Configuration'!J126</f>
        <v>Yes</v>
      </c>
      <c r="F126" s="23" t="str">
        <f>'12 - Device_Configuration'!K126</f>
        <v>No</v>
      </c>
      <c r="G126" s="15" t="str">
        <f>'12 - Device_Configuration'!L126</f>
        <v>No</v>
      </c>
      <c r="H126" s="15">
        <f>'13 - Config_Intake_View'!M126</f>
        <v>0</v>
      </c>
      <c r="I126" s="23">
        <f>IF('13 - Config_Intake_View'!Q126&lt;&gt;"",'13 - Config_Intake_View'!Q126,'12 - Device_Configuration'!BH126)</f>
        <v>0</v>
      </c>
      <c r="J126" s="15" t="str">
        <f>IF('13 - Config_Intake_View'!Q126&lt;&gt;"","PM Approved",IF('12 - Device_Configuration'!BH126&lt;&gt;"","Assumed",""))</f>
        <v/>
      </c>
      <c r="K126" s="23">
        <f>'12 - Device_Configuration'!BG126</f>
        <v>0</v>
      </c>
      <c r="L126" s="15">
        <f>'12 - Device_Configuration'!P126</f>
        <v>0</v>
      </c>
      <c r="M126" s="15">
        <f>'12 - Device_Configuration'!Q126</f>
        <v>0</v>
      </c>
      <c r="N126" s="15" t="str">
        <f>'12 - Device_Configuration'!BK126</f>
        <v/>
      </c>
      <c r="O126" s="23" t="str">
        <f>'12 - Device_Configuration'!BL126</f>
        <v/>
      </c>
      <c r="P126" s="2">
        <f>'12 - Device_Configuration'!BA126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'12 - Device_Configuration'!H127</f>
        <v>LIJ - OR</v>
      </c>
      <c r="B127" s="23" t="str">
        <f>'12 - Device_Configuration'!S127</f>
        <v>WNH270OPR439</v>
      </c>
      <c r="C127" s="23">
        <f>'12 - Device_Configuration'!T127</f>
        <v>0</v>
      </c>
      <c r="D127" s="15">
        <f>'12 - Device_Configuration'!AJ127</f>
        <v>0</v>
      </c>
      <c r="E127" s="15" t="str">
        <f>'12 - Device_Configuration'!J127</f>
        <v>Yes</v>
      </c>
      <c r="F127" s="23" t="str">
        <f>'12 - Device_Configuration'!K127</f>
        <v>No</v>
      </c>
      <c r="G127" s="15" t="str">
        <f>'12 - Device_Configuration'!L127</f>
        <v>No</v>
      </c>
      <c r="H127" s="15">
        <f>'13 - Config_Intake_View'!M127</f>
        <v>0</v>
      </c>
      <c r="I127" s="23">
        <f>IF('13 - Config_Intake_View'!Q127&lt;&gt;"",'13 - Config_Intake_View'!Q127,'12 - Device_Configuration'!BH127)</f>
        <v>0</v>
      </c>
      <c r="J127" s="15" t="str">
        <f>IF('13 - Config_Intake_View'!Q127&lt;&gt;"","PM Approved",IF('12 - Device_Configuration'!BH127&lt;&gt;"","Assumed",""))</f>
        <v/>
      </c>
      <c r="K127" s="23">
        <f>'12 - Device_Configuration'!BG127</f>
        <v>0</v>
      </c>
      <c r="L127" s="15">
        <f>'12 - Device_Configuration'!P127</f>
        <v>0</v>
      </c>
      <c r="M127" s="15">
        <f>'12 - Device_Configuration'!Q127</f>
        <v>0</v>
      </c>
      <c r="N127" s="15" t="str">
        <f>'12 - Device_Configuration'!BK127</f>
        <v/>
      </c>
      <c r="O127" s="23" t="str">
        <f>'12 - Device_Configuration'!BL127</f>
        <v/>
      </c>
      <c r="P127" s="2">
        <f>'12 - Device_Configuration'!BA127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'12 - Device_Configuration'!H128</f>
        <v>LIJ - OR</v>
      </c>
      <c r="B128" s="23" t="str">
        <f>'12 - Device_Configuration'!S128</f>
        <v>WNH270OPR440</v>
      </c>
      <c r="C128" s="23">
        <f>'12 - Device_Configuration'!T128</f>
        <v>0</v>
      </c>
      <c r="D128" s="15">
        <f>'12 - Device_Configuration'!AJ128</f>
        <v>0</v>
      </c>
      <c r="E128" s="15" t="str">
        <f>'12 - Device_Configuration'!J128</f>
        <v>Yes</v>
      </c>
      <c r="F128" s="23" t="str">
        <f>'12 - Device_Configuration'!K128</f>
        <v>No</v>
      </c>
      <c r="G128" s="15" t="str">
        <f>'12 - Device_Configuration'!L128</f>
        <v>No</v>
      </c>
      <c r="H128" s="15">
        <f>'13 - Config_Intake_View'!M128</f>
        <v>0</v>
      </c>
      <c r="I128" s="23">
        <f>IF('13 - Config_Intake_View'!Q128&lt;&gt;"",'13 - Config_Intake_View'!Q128,'12 - Device_Configuration'!BH128)</f>
        <v>0</v>
      </c>
      <c r="J128" s="15" t="str">
        <f>IF('13 - Config_Intake_View'!Q128&lt;&gt;"","PM Approved",IF('12 - Device_Configuration'!BH128&lt;&gt;"","Assumed",""))</f>
        <v/>
      </c>
      <c r="K128" s="23">
        <f>'12 - Device_Configuration'!BG128</f>
        <v>0</v>
      </c>
      <c r="L128" s="15">
        <f>'12 - Device_Configuration'!P128</f>
        <v>0</v>
      </c>
      <c r="M128" s="15">
        <f>'12 - Device_Configuration'!Q128</f>
        <v>0</v>
      </c>
      <c r="N128" s="15" t="str">
        <f>'12 - Device_Configuration'!BK128</f>
        <v/>
      </c>
      <c r="O128" s="23" t="str">
        <f>'12 - Device_Configuration'!BL128</f>
        <v/>
      </c>
      <c r="P128" s="2">
        <f>'12 - Device_Configuration'!BA128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'12 - Device_Configuration'!H129</f>
        <v>LIJ - OR</v>
      </c>
      <c r="B129" s="23" t="str">
        <f>'12 - Device_Configuration'!S129</f>
        <v>WNH270OPR441</v>
      </c>
      <c r="C129" s="23">
        <f>'12 - Device_Configuration'!T129</f>
        <v>0</v>
      </c>
      <c r="D129" s="15">
        <f>'12 - Device_Configuration'!AJ129</f>
        <v>0</v>
      </c>
      <c r="E129" s="15" t="str">
        <f>'12 - Device_Configuration'!J129</f>
        <v>Yes</v>
      </c>
      <c r="F129" s="23" t="str">
        <f>'12 - Device_Configuration'!K129</f>
        <v>No</v>
      </c>
      <c r="G129" s="15" t="str">
        <f>'12 - Device_Configuration'!L129</f>
        <v>No</v>
      </c>
      <c r="H129" s="15">
        <f>'13 - Config_Intake_View'!M129</f>
        <v>0</v>
      </c>
      <c r="I129" s="23">
        <f>IF('13 - Config_Intake_View'!Q129&lt;&gt;"",'13 - Config_Intake_View'!Q129,'12 - Device_Configuration'!BH129)</f>
        <v>0</v>
      </c>
      <c r="J129" s="15" t="str">
        <f>IF('13 - Config_Intake_View'!Q129&lt;&gt;"","PM Approved",IF('12 - Device_Configuration'!BH129&lt;&gt;"","Assumed",""))</f>
        <v/>
      </c>
      <c r="K129" s="23">
        <f>'12 - Device_Configuration'!BG129</f>
        <v>0</v>
      </c>
      <c r="L129" s="15">
        <f>'12 - Device_Configuration'!P129</f>
        <v>0</v>
      </c>
      <c r="M129" s="15">
        <f>'12 - Device_Configuration'!Q129</f>
        <v>0</v>
      </c>
      <c r="N129" s="15" t="str">
        <f>'12 - Device_Configuration'!BK129</f>
        <v/>
      </c>
      <c r="O129" s="23" t="str">
        <f>'12 - Device_Configuration'!BL129</f>
        <v/>
      </c>
      <c r="P129" s="2">
        <f>'12 - Device_Configuration'!BA129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'12 - Device_Configuration'!H130</f>
        <v>LIJ - OR</v>
      </c>
      <c r="B130" s="23" t="str">
        <f>'12 - Device_Configuration'!S130</f>
        <v>WNH270OPR442</v>
      </c>
      <c r="C130" s="23">
        <f>'12 - Device_Configuration'!T130</f>
        <v>0</v>
      </c>
      <c r="D130" s="15">
        <f>'12 - Device_Configuration'!AJ130</f>
        <v>0</v>
      </c>
      <c r="E130" s="15" t="str">
        <f>'12 - Device_Configuration'!J130</f>
        <v>Yes</v>
      </c>
      <c r="F130" s="23" t="str">
        <f>'12 - Device_Configuration'!K130</f>
        <v>No</v>
      </c>
      <c r="G130" s="15" t="str">
        <f>'12 - Device_Configuration'!L130</f>
        <v>No</v>
      </c>
      <c r="H130" s="15">
        <f>'13 - Config_Intake_View'!M130</f>
        <v>0</v>
      </c>
      <c r="I130" s="23">
        <f>IF('13 - Config_Intake_View'!Q130&lt;&gt;"",'13 - Config_Intake_View'!Q130,'12 - Device_Configuration'!BH130)</f>
        <v>0</v>
      </c>
      <c r="J130" s="15" t="str">
        <f>IF('13 - Config_Intake_View'!Q130&lt;&gt;"","PM Approved",IF('12 - Device_Configuration'!BH130&lt;&gt;"","Assumed",""))</f>
        <v/>
      </c>
      <c r="K130" s="23">
        <f>'12 - Device_Configuration'!BG130</f>
        <v>0</v>
      </c>
      <c r="L130" s="15">
        <f>'12 - Device_Configuration'!P130</f>
        <v>0</v>
      </c>
      <c r="M130" s="15">
        <f>'12 - Device_Configuration'!Q130</f>
        <v>0</v>
      </c>
      <c r="N130" s="15" t="str">
        <f>'12 - Device_Configuration'!BK130</f>
        <v/>
      </c>
      <c r="O130" s="23" t="str">
        <f>'12 - Device_Configuration'!BL130</f>
        <v/>
      </c>
      <c r="P130" s="2">
        <f>'12 - Device_Configuration'!BA130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'12 - Device_Configuration'!H131</f>
        <v>LIJ - OR</v>
      </c>
      <c r="B131" s="23" t="str">
        <f>'12 - Device_Configuration'!S131</f>
        <v>WNH270OPR443</v>
      </c>
      <c r="C131" s="23">
        <f>'12 - Device_Configuration'!T131</f>
        <v>0</v>
      </c>
      <c r="D131" s="15">
        <f>'12 - Device_Configuration'!AJ131</f>
        <v>0</v>
      </c>
      <c r="E131" s="15" t="str">
        <f>'12 - Device_Configuration'!J131</f>
        <v>Yes</v>
      </c>
      <c r="F131" s="23" t="str">
        <f>'12 - Device_Configuration'!K131</f>
        <v>No</v>
      </c>
      <c r="G131" s="15" t="str">
        <f>'12 - Device_Configuration'!L131</f>
        <v>No</v>
      </c>
      <c r="H131" s="15">
        <f>'13 - Config_Intake_View'!M131</f>
        <v>0</v>
      </c>
      <c r="I131" s="23">
        <f>IF('13 - Config_Intake_View'!Q131&lt;&gt;"",'13 - Config_Intake_View'!Q131,'12 - Device_Configuration'!BH131)</f>
        <v>0</v>
      </c>
      <c r="J131" s="15" t="str">
        <f>IF('13 - Config_Intake_View'!Q131&lt;&gt;"","PM Approved",IF('12 - Device_Configuration'!BH131&lt;&gt;"","Assumed",""))</f>
        <v/>
      </c>
      <c r="K131" s="23">
        <f>'12 - Device_Configuration'!BG131</f>
        <v>0</v>
      </c>
      <c r="L131" s="15">
        <f>'12 - Device_Configuration'!P131</f>
        <v>0</v>
      </c>
      <c r="M131" s="15">
        <f>'12 - Device_Configuration'!Q131</f>
        <v>0</v>
      </c>
      <c r="N131" s="15" t="str">
        <f>'12 - Device_Configuration'!BK131</f>
        <v/>
      </c>
      <c r="O131" s="23" t="str">
        <f>'12 - Device_Configuration'!BL131</f>
        <v/>
      </c>
      <c r="P131" s="2">
        <f>'12 - Device_Configuration'!BA131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'12 - Device_Configuration'!H132</f>
        <v>LIJ - OR</v>
      </c>
      <c r="B132" s="23" t="str">
        <f>'12 - Device_Configuration'!S132</f>
        <v>WNH270OPR444</v>
      </c>
      <c r="C132" s="23">
        <f>'12 - Device_Configuration'!T132</f>
        <v>0</v>
      </c>
      <c r="D132" s="15">
        <f>'12 - Device_Configuration'!AJ132</f>
        <v>0</v>
      </c>
      <c r="E132" s="15" t="str">
        <f>'12 - Device_Configuration'!J132</f>
        <v>Yes</v>
      </c>
      <c r="F132" s="23" t="str">
        <f>'12 - Device_Configuration'!K132</f>
        <v>No</v>
      </c>
      <c r="G132" s="15" t="str">
        <f>'12 - Device_Configuration'!L132</f>
        <v>No</v>
      </c>
      <c r="H132" s="15">
        <f>'13 - Config_Intake_View'!M132</f>
        <v>0</v>
      </c>
      <c r="I132" s="23">
        <f>IF('13 - Config_Intake_View'!Q132&lt;&gt;"",'13 - Config_Intake_View'!Q132,'12 - Device_Configuration'!BH132)</f>
        <v>0</v>
      </c>
      <c r="J132" s="15" t="str">
        <f>IF('13 - Config_Intake_View'!Q132&lt;&gt;"","PM Approved",IF('12 - Device_Configuration'!BH132&lt;&gt;"","Assumed",""))</f>
        <v/>
      </c>
      <c r="K132" s="23">
        <f>'12 - Device_Configuration'!BG132</f>
        <v>0</v>
      </c>
      <c r="L132" s="15">
        <f>'12 - Device_Configuration'!P132</f>
        <v>0</v>
      </c>
      <c r="M132" s="15">
        <f>'12 - Device_Configuration'!Q132</f>
        <v>0</v>
      </c>
      <c r="N132" s="15" t="str">
        <f>'12 - Device_Configuration'!BK132</f>
        <v/>
      </c>
      <c r="O132" s="23" t="str">
        <f>'12 - Device_Configuration'!BL132</f>
        <v/>
      </c>
      <c r="P132" s="2">
        <f>'12 - Device_Configuration'!BA132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'12 - Device_Configuration'!H133</f>
        <v>LIJ - OR</v>
      </c>
      <c r="B133" s="23" t="str">
        <f>'12 - Device_Configuration'!S133</f>
        <v>WNH270OPR445</v>
      </c>
      <c r="C133" s="23">
        <f>'12 - Device_Configuration'!T133</f>
        <v>0</v>
      </c>
      <c r="D133" s="15">
        <f>'12 - Device_Configuration'!AJ133</f>
        <v>0</v>
      </c>
      <c r="E133" s="15" t="str">
        <f>'12 - Device_Configuration'!J133</f>
        <v>Yes</v>
      </c>
      <c r="F133" s="23" t="str">
        <f>'12 - Device_Configuration'!K133</f>
        <v>No</v>
      </c>
      <c r="G133" s="15" t="str">
        <f>'12 - Device_Configuration'!L133</f>
        <v>No</v>
      </c>
      <c r="H133" s="15">
        <f>'13 - Config_Intake_View'!M133</f>
        <v>0</v>
      </c>
      <c r="I133" s="23">
        <f>IF('13 - Config_Intake_View'!Q133&lt;&gt;"",'13 - Config_Intake_View'!Q133,'12 - Device_Configuration'!BH133)</f>
        <v>0</v>
      </c>
      <c r="J133" s="15" t="str">
        <f>IF('13 - Config_Intake_View'!Q133&lt;&gt;"","PM Approved",IF('12 - Device_Configuration'!BH133&lt;&gt;"","Assumed",""))</f>
        <v/>
      </c>
      <c r="K133" s="23">
        <f>'12 - Device_Configuration'!BG133</f>
        <v>0</v>
      </c>
      <c r="L133" s="15">
        <f>'12 - Device_Configuration'!P133</f>
        <v>0</v>
      </c>
      <c r="M133" s="15">
        <f>'12 - Device_Configuration'!Q133</f>
        <v>0</v>
      </c>
      <c r="N133" s="15" t="str">
        <f>'12 - Device_Configuration'!BK133</f>
        <v/>
      </c>
      <c r="O133" s="23" t="str">
        <f>'12 - Device_Configuration'!BL133</f>
        <v/>
      </c>
      <c r="P133" s="2">
        <f>'12 - Device_Configuration'!BA133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'12 - Device_Configuration'!H134</f>
        <v>LIJ - OR</v>
      </c>
      <c r="B134" s="23" t="str">
        <f>'12 - Device_Configuration'!S134</f>
        <v>WNH270OPR446</v>
      </c>
      <c r="C134" s="23">
        <f>'12 - Device_Configuration'!T134</f>
        <v>0</v>
      </c>
      <c r="D134" s="15">
        <f>'12 - Device_Configuration'!AJ134</f>
        <v>0</v>
      </c>
      <c r="E134" s="15" t="str">
        <f>'12 - Device_Configuration'!J134</f>
        <v>Yes</v>
      </c>
      <c r="F134" s="23" t="str">
        <f>'12 - Device_Configuration'!K134</f>
        <v>No</v>
      </c>
      <c r="G134" s="15" t="str">
        <f>'12 - Device_Configuration'!L134</f>
        <v>No</v>
      </c>
      <c r="H134" s="15">
        <f>'13 - Config_Intake_View'!M134</f>
        <v>0</v>
      </c>
      <c r="I134" s="23">
        <f>IF('13 - Config_Intake_View'!Q134&lt;&gt;"",'13 - Config_Intake_View'!Q134,'12 - Device_Configuration'!BH134)</f>
        <v>0</v>
      </c>
      <c r="J134" s="15" t="str">
        <f>IF('13 - Config_Intake_View'!Q134&lt;&gt;"","PM Approved",IF('12 - Device_Configuration'!BH134&lt;&gt;"","Assumed",""))</f>
        <v/>
      </c>
      <c r="K134" s="23">
        <f>'12 - Device_Configuration'!BG134</f>
        <v>0</v>
      </c>
      <c r="L134" s="15">
        <f>'12 - Device_Configuration'!P134</f>
        <v>0</v>
      </c>
      <c r="M134" s="15">
        <f>'12 - Device_Configuration'!Q134</f>
        <v>0</v>
      </c>
      <c r="N134" s="15" t="str">
        <f>'12 - Device_Configuration'!BK134</f>
        <v/>
      </c>
      <c r="O134" s="23" t="str">
        <f>'12 - Device_Configuration'!BL134</f>
        <v/>
      </c>
      <c r="P134" s="2">
        <f>'12 - Device_Configuration'!BA134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'12 - Device_Configuration'!H135</f>
        <v>LIJ - OR</v>
      </c>
      <c r="B135" s="23" t="str">
        <f>'12 - Device_Configuration'!S135</f>
        <v>WNH270OPR447</v>
      </c>
      <c r="C135" s="23">
        <f>'12 - Device_Configuration'!T135</f>
        <v>0</v>
      </c>
      <c r="D135" s="15">
        <f>'12 - Device_Configuration'!AJ135</f>
        <v>0</v>
      </c>
      <c r="E135" s="15" t="str">
        <f>'12 - Device_Configuration'!J135</f>
        <v>Yes</v>
      </c>
      <c r="F135" s="23" t="str">
        <f>'12 - Device_Configuration'!K135</f>
        <v>No</v>
      </c>
      <c r="G135" s="15" t="str">
        <f>'12 - Device_Configuration'!L135</f>
        <v>No</v>
      </c>
      <c r="H135" s="15">
        <f>'13 - Config_Intake_View'!M135</f>
        <v>0</v>
      </c>
      <c r="I135" s="23">
        <f>IF('13 - Config_Intake_View'!Q135&lt;&gt;"",'13 - Config_Intake_View'!Q135,'12 - Device_Configuration'!BH135)</f>
        <v>0</v>
      </c>
      <c r="J135" s="15" t="str">
        <f>IF('13 - Config_Intake_View'!Q135&lt;&gt;"","PM Approved",IF('12 - Device_Configuration'!BH135&lt;&gt;"","Assumed",""))</f>
        <v/>
      </c>
      <c r="K135" s="23">
        <f>'12 - Device_Configuration'!BG135</f>
        <v>0</v>
      </c>
      <c r="L135" s="15">
        <f>'12 - Device_Configuration'!P135</f>
        <v>0</v>
      </c>
      <c r="M135" s="15">
        <f>'12 - Device_Configuration'!Q135</f>
        <v>0</v>
      </c>
      <c r="N135" s="15" t="str">
        <f>'12 - Device_Configuration'!BK135</f>
        <v/>
      </c>
      <c r="O135" s="23" t="str">
        <f>'12 - Device_Configuration'!BL135</f>
        <v/>
      </c>
      <c r="P135" s="2">
        <f>'12 - Device_Configuration'!BA135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'12 - Device_Configuration'!H136</f>
        <v>LIJ - OR</v>
      </c>
      <c r="B136" s="23" t="str">
        <f>'12 - Device_Configuration'!S136</f>
        <v>WNH270OPR448</v>
      </c>
      <c r="C136" s="23">
        <f>'12 - Device_Configuration'!T136</f>
        <v>0</v>
      </c>
      <c r="D136" s="15">
        <f>'12 - Device_Configuration'!AJ136</f>
        <v>0</v>
      </c>
      <c r="E136" s="15" t="str">
        <f>'12 - Device_Configuration'!J136</f>
        <v>Yes</v>
      </c>
      <c r="F136" s="23" t="str">
        <f>'12 - Device_Configuration'!K136</f>
        <v>No</v>
      </c>
      <c r="G136" s="15" t="str">
        <f>'12 - Device_Configuration'!L136</f>
        <v>No</v>
      </c>
      <c r="H136" s="15">
        <f>'13 - Config_Intake_View'!M136</f>
        <v>0</v>
      </c>
      <c r="I136" s="23">
        <f>IF('13 - Config_Intake_View'!Q136&lt;&gt;"",'13 - Config_Intake_View'!Q136,'12 - Device_Configuration'!BH136)</f>
        <v>0</v>
      </c>
      <c r="J136" s="15" t="str">
        <f>IF('13 - Config_Intake_View'!Q136&lt;&gt;"","PM Approved",IF('12 - Device_Configuration'!BH136&lt;&gt;"","Assumed",""))</f>
        <v/>
      </c>
      <c r="K136" s="23">
        <f>'12 - Device_Configuration'!BG136</f>
        <v>0</v>
      </c>
      <c r="L136" s="15">
        <f>'12 - Device_Configuration'!P136</f>
        <v>0</v>
      </c>
      <c r="M136" s="15">
        <f>'12 - Device_Configuration'!Q136</f>
        <v>0</v>
      </c>
      <c r="N136" s="15" t="str">
        <f>'12 - Device_Configuration'!BK136</f>
        <v/>
      </c>
      <c r="O136" s="23" t="str">
        <f>'12 - Device_Configuration'!BL136</f>
        <v/>
      </c>
      <c r="P136" s="2">
        <f>'12 - Device_Configuration'!BA136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'12 - Device_Configuration'!H137</f>
        <v>LIJ - OR</v>
      </c>
      <c r="B137" s="23" t="str">
        <f>'12 - Device_Configuration'!S137</f>
        <v>WNH270OPR449</v>
      </c>
      <c r="C137" s="23">
        <f>'12 - Device_Configuration'!T137</f>
        <v>0</v>
      </c>
      <c r="D137" s="15">
        <f>'12 - Device_Configuration'!AJ137</f>
        <v>0</v>
      </c>
      <c r="E137" s="15" t="str">
        <f>'12 - Device_Configuration'!J137</f>
        <v>Yes</v>
      </c>
      <c r="F137" s="23" t="str">
        <f>'12 - Device_Configuration'!K137</f>
        <v>No</v>
      </c>
      <c r="G137" s="15" t="str">
        <f>'12 - Device_Configuration'!L137</f>
        <v>No</v>
      </c>
      <c r="H137" s="15">
        <f>'13 - Config_Intake_View'!M137</f>
        <v>0</v>
      </c>
      <c r="I137" s="23">
        <f>IF('13 - Config_Intake_View'!Q137&lt;&gt;"",'13 - Config_Intake_View'!Q137,'12 - Device_Configuration'!BH137)</f>
        <v>0</v>
      </c>
      <c r="J137" s="15" t="str">
        <f>IF('13 - Config_Intake_View'!Q137&lt;&gt;"","PM Approved",IF('12 - Device_Configuration'!BH137&lt;&gt;"","Assumed",""))</f>
        <v/>
      </c>
      <c r="K137" s="23">
        <f>'12 - Device_Configuration'!BG137</f>
        <v>0</v>
      </c>
      <c r="L137" s="15">
        <f>'12 - Device_Configuration'!P137</f>
        <v>0</v>
      </c>
      <c r="M137" s="15">
        <f>'12 - Device_Configuration'!Q137</f>
        <v>0</v>
      </c>
      <c r="N137" s="15" t="str">
        <f>'12 - Device_Configuration'!BK137</f>
        <v/>
      </c>
      <c r="O137" s="23" t="str">
        <f>'12 - Device_Configuration'!BL137</f>
        <v/>
      </c>
      <c r="P137" s="2">
        <f>'12 - Device_Configuration'!BA137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'12 - Device_Configuration'!H139</f>
        <v>LIJVS</v>
      </c>
      <c r="B138" s="23" t="str">
        <f>'12 - Device_Configuration'!S139</f>
        <v>WVS900OPR028</v>
      </c>
      <c r="C138" s="23" t="str">
        <f>'12 - Device_Configuration'!T139</f>
        <v>A0F5097FA59B</v>
      </c>
      <c r="D138" s="15">
        <f>'12 - Device_Configuration'!AJ139</f>
        <v>0</v>
      </c>
      <c r="E138" s="15">
        <f>'12 - Device_Configuration'!J139</f>
        <v>0</v>
      </c>
      <c r="F138" s="23">
        <f>'12 - Device_Configuration'!K139</f>
        <v>0</v>
      </c>
      <c r="G138" s="15">
        <f>'12 - Device_Configuration'!L139</f>
        <v>0</v>
      </c>
      <c r="H138" s="15">
        <f>'13 - Config_Intake_View'!M138</f>
        <v>0</v>
      </c>
      <c r="I138" s="23">
        <f>IF('13 - Config_Intake_View'!Q138&lt;&gt;"",'13 - Config_Intake_View'!Q138,'12 - Device_Configuration'!BH139)</f>
        <v>0</v>
      </c>
      <c r="J138" s="15" t="str">
        <f>IF('13 - Config_Intake_View'!Q138&lt;&gt;"","PM Approved",IF('12 - Device_Configuration'!BH139&lt;&gt;"","Assumed",""))</f>
        <v/>
      </c>
      <c r="K138" s="23">
        <f>'12 - Device_Configuration'!BG139</f>
        <v>0</v>
      </c>
      <c r="L138" s="15">
        <f>'12 - Device_Configuration'!P139</f>
        <v>0</v>
      </c>
      <c r="M138" s="15">
        <f>'12 - Device_Configuration'!Q139</f>
        <v>0</v>
      </c>
      <c r="N138" s="15" t="str">
        <f>'12 - Device_Configuration'!BK139</f>
        <v>Power Cable, Battery, Firmware Download, Device ID, Epic Beans Relay</v>
      </c>
      <c r="O138" s="23" t="str">
        <f>'12 - Device_Configuration'!BL139</f>
        <v>Blocked</v>
      </c>
      <c r="P138" s="2" t="str">
        <f>'12 - Device_Configuration'!BA139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'12 - Device_Configuration'!H140</f>
        <v>LIJVS</v>
      </c>
      <c r="B139" s="23" t="str">
        <f>'12 - Device_Configuration'!S140</f>
        <v>WVS900OPR023</v>
      </c>
      <c r="C139" s="23" t="str">
        <f>'12 - Device_Configuration'!T140</f>
        <v>A0F5097FA526</v>
      </c>
      <c r="D139" s="15">
        <f>'12 - Device_Configuration'!AJ140</f>
        <v>0</v>
      </c>
      <c r="E139" s="15">
        <f>'12 - Device_Configuration'!J140</f>
        <v>0</v>
      </c>
      <c r="F139" s="23">
        <f>'12 - Device_Configuration'!K140</f>
        <v>0</v>
      </c>
      <c r="G139" s="15">
        <f>'12 - Device_Configuration'!L140</f>
        <v>0</v>
      </c>
      <c r="H139" s="15">
        <f>'13 - Config_Intake_View'!M139</f>
        <v>0</v>
      </c>
      <c r="I139" s="23">
        <f>IF('13 - Config_Intake_View'!Q139&lt;&gt;"",'13 - Config_Intake_View'!Q139,'12 - Device_Configuration'!BH140)</f>
        <v>0</v>
      </c>
      <c r="J139" s="15" t="str">
        <f>IF('13 - Config_Intake_View'!Q139&lt;&gt;"","PM Approved",IF('12 - Device_Configuration'!BH140&lt;&gt;"","Assumed",""))</f>
        <v/>
      </c>
      <c r="K139" s="23">
        <f>'12 - Device_Configuration'!BG140</f>
        <v>0</v>
      </c>
      <c r="L139" s="15">
        <f>'12 - Device_Configuration'!P140</f>
        <v>0</v>
      </c>
      <c r="M139" s="15">
        <f>'12 - Device_Configuration'!Q140</f>
        <v>0</v>
      </c>
      <c r="N139" s="15" t="str">
        <f>'12 - Device_Configuration'!BK140</f>
        <v>Power Cable, Battery, Firmware Download, Device ID, Epic Beans Relay</v>
      </c>
      <c r="O139" s="23" t="str">
        <f>'12 - Device_Configuration'!BL140</f>
        <v>Blocked</v>
      </c>
      <c r="P139" s="2" t="str">
        <f>'12 - Device_Configuration'!BA140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'12 - Device_Configuration'!H141</f>
        <v>LIJVS</v>
      </c>
      <c r="B140" s="23" t="str">
        <f>'12 - Device_Configuration'!S141</f>
        <v>WVS900OPR026</v>
      </c>
      <c r="C140" s="23" t="str">
        <f>'12 - Device_Configuration'!T141</f>
        <v>A0F5097FA52B</v>
      </c>
      <c r="D140" s="15">
        <f>'12 - Device_Configuration'!AJ141</f>
        <v>0</v>
      </c>
      <c r="E140" s="15">
        <f>'12 - Device_Configuration'!J141</f>
        <v>0</v>
      </c>
      <c r="F140" s="23">
        <f>'12 - Device_Configuration'!K141</f>
        <v>0</v>
      </c>
      <c r="G140" s="15">
        <f>'12 - Device_Configuration'!L141</f>
        <v>0</v>
      </c>
      <c r="H140" s="15">
        <f>'13 - Config_Intake_View'!M140</f>
        <v>0</v>
      </c>
      <c r="I140" s="23">
        <f>IF('13 - Config_Intake_View'!Q140&lt;&gt;"",'13 - Config_Intake_View'!Q140,'12 - Device_Configuration'!BH141)</f>
        <v>0</v>
      </c>
      <c r="J140" s="15" t="str">
        <f>IF('13 - Config_Intake_View'!Q140&lt;&gt;"","PM Approved",IF('12 - Device_Configuration'!BH141&lt;&gt;"","Assumed",""))</f>
        <v/>
      </c>
      <c r="K140" s="23">
        <f>'12 - Device_Configuration'!BG141</f>
        <v>0</v>
      </c>
      <c r="L140" s="15">
        <f>'12 - Device_Configuration'!P141</f>
        <v>0</v>
      </c>
      <c r="M140" s="15">
        <f>'12 - Device_Configuration'!Q141</f>
        <v>0</v>
      </c>
      <c r="N140" s="15" t="str">
        <f>'12 - Device_Configuration'!BK141</f>
        <v>Power Cable, Battery, Firmware Download, Device ID, Epic Beans Relay</v>
      </c>
      <c r="O140" s="23" t="str">
        <f>'12 - Device_Configuration'!BL141</f>
        <v>Blocked</v>
      </c>
      <c r="P140" s="2" t="str">
        <f>'12 - Device_Configuration'!BA141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'12 - Device_Configuration'!H142</f>
        <v>LIJVS</v>
      </c>
      <c r="B141" s="23" t="str">
        <f>'12 - Device_Configuration'!S142</f>
        <v>WVS900OPR030</v>
      </c>
      <c r="C141" s="23" t="str">
        <f>'12 - Device_Configuration'!T142</f>
        <v>A0F5097FA5C5</v>
      </c>
      <c r="D141" s="15">
        <f>'12 - Device_Configuration'!AJ142</f>
        <v>0</v>
      </c>
      <c r="E141" s="15">
        <f>'12 - Device_Configuration'!J142</f>
        <v>0</v>
      </c>
      <c r="F141" s="23">
        <f>'12 - Device_Configuration'!K142</f>
        <v>0</v>
      </c>
      <c r="G141" s="15">
        <f>'12 - Device_Configuration'!L142</f>
        <v>0</v>
      </c>
      <c r="H141" s="15">
        <f>'13 - Config_Intake_View'!M141</f>
        <v>0</v>
      </c>
      <c r="I141" s="23">
        <f>IF('13 - Config_Intake_View'!Q141&lt;&gt;"",'13 - Config_Intake_View'!Q141,'12 - Device_Configuration'!BH142)</f>
        <v>0</v>
      </c>
      <c r="J141" s="15" t="str">
        <f>IF('13 - Config_Intake_View'!Q141&lt;&gt;"","PM Approved",IF('12 - Device_Configuration'!BH142&lt;&gt;"","Assumed",""))</f>
        <v/>
      </c>
      <c r="K141" s="23">
        <f>'12 - Device_Configuration'!BG142</f>
        <v>0</v>
      </c>
      <c r="L141" s="15">
        <f>'12 - Device_Configuration'!P142</f>
        <v>0</v>
      </c>
      <c r="M141" s="15">
        <f>'12 - Device_Configuration'!Q142</f>
        <v>0</v>
      </c>
      <c r="N141" s="15" t="str">
        <f>'12 - Device_Configuration'!BK142</f>
        <v>Power Cable, Battery, Firmware Download, Device ID, Epic Beans Relay</v>
      </c>
      <c r="O141" s="23" t="str">
        <f>'12 - Device_Configuration'!BL142</f>
        <v>Blocked</v>
      </c>
      <c r="P141" s="2" t="str">
        <f>'12 - Device_Configuration'!BA142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'12 - Device_Configuration'!H143</f>
        <v>LIJVS</v>
      </c>
      <c r="B142" s="23" t="str">
        <f>'12 - Device_Configuration'!S143</f>
        <v>WVS900OPR029</v>
      </c>
      <c r="C142" s="23" t="str">
        <f>'12 - Device_Configuration'!T143</f>
        <v>A0F5097FA3F3</v>
      </c>
      <c r="D142" s="15">
        <f>'12 - Device_Configuration'!AJ143</f>
        <v>0</v>
      </c>
      <c r="E142" s="15">
        <f>'12 - Device_Configuration'!J143</f>
        <v>0</v>
      </c>
      <c r="F142" s="23">
        <f>'12 - Device_Configuration'!K143</f>
        <v>0</v>
      </c>
      <c r="G142" s="15">
        <f>'12 - Device_Configuration'!L143</f>
        <v>0</v>
      </c>
      <c r="H142" s="15">
        <f>'13 - Config_Intake_View'!M142</f>
        <v>0</v>
      </c>
      <c r="I142" s="23">
        <f>IF('13 - Config_Intake_View'!Q142&lt;&gt;"",'13 - Config_Intake_View'!Q142,'12 - Device_Configuration'!BH143)</f>
        <v>0</v>
      </c>
      <c r="J142" s="15" t="str">
        <f>IF('13 - Config_Intake_View'!Q142&lt;&gt;"","PM Approved",IF('12 - Device_Configuration'!BH143&lt;&gt;"","Assumed",""))</f>
        <v/>
      </c>
      <c r="K142" s="23">
        <f>'12 - Device_Configuration'!BG143</f>
        <v>0</v>
      </c>
      <c r="L142" s="15">
        <f>'12 - Device_Configuration'!P143</f>
        <v>0</v>
      </c>
      <c r="M142" s="15">
        <f>'12 - Device_Configuration'!Q143</f>
        <v>0</v>
      </c>
      <c r="N142" s="15" t="str">
        <f>'12 - Device_Configuration'!BK143</f>
        <v>Power Cable, Battery, Firmware Download, Device ID, Epic Beans Relay</v>
      </c>
      <c r="O142" s="23" t="str">
        <f>'12 - Device_Configuration'!BL143</f>
        <v>Blocked</v>
      </c>
      <c r="P142" s="2" t="str">
        <f>'12 - Device_Configuration'!BA143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'12 - Device_Configuration'!H144</f>
        <v>LIJVS</v>
      </c>
      <c r="B143" s="23" t="str">
        <f>'12 - Device_Configuration'!S144</f>
        <v>WVS900OPR024</v>
      </c>
      <c r="C143" s="23" t="str">
        <f>'12 - Device_Configuration'!T144</f>
        <v>A0F5097FA58A</v>
      </c>
      <c r="D143" s="15">
        <f>'12 - Device_Configuration'!AJ144</f>
        <v>0</v>
      </c>
      <c r="E143" s="15">
        <f>'12 - Device_Configuration'!J144</f>
        <v>0</v>
      </c>
      <c r="F143" s="23">
        <f>'12 - Device_Configuration'!K144</f>
        <v>0</v>
      </c>
      <c r="G143" s="15">
        <f>'12 - Device_Configuration'!L144</f>
        <v>0</v>
      </c>
      <c r="H143" s="15">
        <f>'13 - Config_Intake_View'!M143</f>
        <v>0</v>
      </c>
      <c r="I143" s="23">
        <f>IF('13 - Config_Intake_View'!Q143&lt;&gt;"",'13 - Config_Intake_View'!Q143,'12 - Device_Configuration'!BH144)</f>
        <v>0</v>
      </c>
      <c r="J143" s="15" t="str">
        <f>IF('13 - Config_Intake_View'!Q143&lt;&gt;"","PM Approved",IF('12 - Device_Configuration'!BH144&lt;&gt;"","Assumed",""))</f>
        <v/>
      </c>
      <c r="K143" s="23">
        <f>'12 - Device_Configuration'!BG144</f>
        <v>0</v>
      </c>
      <c r="L143" s="15">
        <f>'12 - Device_Configuration'!P144</f>
        <v>0</v>
      </c>
      <c r="M143" s="15">
        <f>'12 - Device_Configuration'!Q144</f>
        <v>0</v>
      </c>
      <c r="N143" s="15" t="str">
        <f>'12 - Device_Configuration'!BK144</f>
        <v>Power Cable, Battery, Firmware Download, Device ID, Epic Beans Relay</v>
      </c>
      <c r="O143" s="23" t="str">
        <f>'12 - Device_Configuration'!BL144</f>
        <v>Blocked</v>
      </c>
      <c r="P143" s="2" t="str">
        <f>'12 - Device_Configuration'!BA144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'12 - Device_Configuration'!H145</f>
        <v>LIJVS</v>
      </c>
      <c r="B144" s="23" t="str">
        <f>'12 - Device_Configuration'!S145</f>
        <v>WVS900OPR025</v>
      </c>
      <c r="C144" s="23" t="str">
        <f>'12 - Device_Configuration'!T145</f>
        <v>A0F5097F9550</v>
      </c>
      <c r="D144" s="15">
        <f>'12 - Device_Configuration'!AJ145</f>
        <v>0</v>
      </c>
      <c r="E144" s="15">
        <f>'12 - Device_Configuration'!J145</f>
        <v>0</v>
      </c>
      <c r="F144" s="23">
        <f>'12 - Device_Configuration'!K145</f>
        <v>0</v>
      </c>
      <c r="G144" s="15">
        <f>'12 - Device_Configuration'!L145</f>
        <v>0</v>
      </c>
      <c r="H144" s="15">
        <f>'13 - Config_Intake_View'!M144</f>
        <v>0</v>
      </c>
      <c r="I144" s="23">
        <f>IF('13 - Config_Intake_View'!Q144&lt;&gt;"",'13 - Config_Intake_View'!Q144,'12 - Device_Configuration'!BH145)</f>
        <v>0</v>
      </c>
      <c r="J144" s="15" t="str">
        <f>IF('13 - Config_Intake_View'!Q144&lt;&gt;"","PM Approved",IF('12 - Device_Configuration'!BH145&lt;&gt;"","Assumed",""))</f>
        <v/>
      </c>
      <c r="K144" s="23">
        <f>'12 - Device_Configuration'!BG145</f>
        <v>0</v>
      </c>
      <c r="L144" s="15">
        <f>'12 - Device_Configuration'!P145</f>
        <v>0</v>
      </c>
      <c r="M144" s="15">
        <f>'12 - Device_Configuration'!Q145</f>
        <v>0</v>
      </c>
      <c r="N144" s="15" t="str">
        <f>'12 - Device_Configuration'!BK145</f>
        <v>Power Cable, Battery, Firmware Download, Device ID, Epic Beans Relay</v>
      </c>
      <c r="O144" s="23" t="str">
        <f>'12 - Device_Configuration'!BL145</f>
        <v>Blocked</v>
      </c>
      <c r="P144" s="2" t="str">
        <f>'12 - Device_Configuration'!BA145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'12 - Device_Configuration'!H146</f>
        <v>LIJVS</v>
      </c>
      <c r="B145" s="23">
        <f>'12 - Device_Configuration'!S146</f>
        <v>0</v>
      </c>
      <c r="C145" s="23">
        <f>'12 - Device_Configuration'!T146</f>
        <v>0</v>
      </c>
      <c r="D145" s="15">
        <f>'12 - Device_Configuration'!AJ146</f>
        <v>0</v>
      </c>
      <c r="E145" s="15">
        <f>'12 - Device_Configuration'!J146</f>
        <v>0</v>
      </c>
      <c r="F145" s="23">
        <f>'12 - Device_Configuration'!K146</f>
        <v>0</v>
      </c>
      <c r="G145" s="15">
        <f>'12 - Device_Configuration'!L146</f>
        <v>0</v>
      </c>
      <c r="H145" s="15">
        <f>'13 - Config_Intake_View'!M145</f>
        <v>0</v>
      </c>
      <c r="I145" s="23">
        <f>IF('13 - Config_Intake_View'!Q145&lt;&gt;"",'13 - Config_Intake_View'!Q145,'12 - Device_Configuration'!BH146)</f>
        <v>0</v>
      </c>
      <c r="J145" s="15" t="str">
        <f>IF('13 - Config_Intake_View'!Q145&lt;&gt;"","PM Approved",IF('12 - Device_Configuration'!BH146&lt;&gt;"","Assumed",""))</f>
        <v/>
      </c>
      <c r="K145" s="23">
        <f>'12 - Device_Configuration'!BG146</f>
        <v>0</v>
      </c>
      <c r="L145" s="15">
        <f>'12 - Device_Configuration'!P146</f>
        <v>0</v>
      </c>
      <c r="M145" s="15">
        <f>'12 - Device_Configuration'!Q146</f>
        <v>0</v>
      </c>
      <c r="N145" s="15" t="str">
        <f>'12 - Device_Configuration'!BK146</f>
        <v/>
      </c>
      <c r="O145" s="23" t="str">
        <f>'12 - Device_Configuration'!BL146</f>
        <v/>
      </c>
      <c r="P145" s="2" t="str">
        <f>'12 - Device_Configuration'!BA146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'12 - Device_Configuration'!H147</f>
        <v>LIJVS</v>
      </c>
      <c r="B146" s="23">
        <f>'12 - Device_Configuration'!S147</f>
        <v>0</v>
      </c>
      <c r="C146" s="23">
        <f>'12 - Device_Configuration'!T147</f>
        <v>0</v>
      </c>
      <c r="D146" s="15">
        <f>'12 - Device_Configuration'!AJ147</f>
        <v>0</v>
      </c>
      <c r="E146" s="15">
        <f>'12 - Device_Configuration'!J147</f>
        <v>0</v>
      </c>
      <c r="F146" s="23">
        <f>'12 - Device_Configuration'!K147</f>
        <v>0</v>
      </c>
      <c r="G146" s="15">
        <f>'12 - Device_Configuration'!L147</f>
        <v>0</v>
      </c>
      <c r="H146" s="15">
        <f>'13 - Config_Intake_View'!M146</f>
        <v>0</v>
      </c>
      <c r="I146" s="23">
        <f>IF('13 - Config_Intake_View'!Q146&lt;&gt;"",'13 - Config_Intake_View'!Q146,'12 - Device_Configuration'!BH147)</f>
        <v>0</v>
      </c>
      <c r="J146" s="15" t="str">
        <f>IF('13 - Config_Intake_View'!Q146&lt;&gt;"","PM Approved",IF('12 - Device_Configuration'!BH147&lt;&gt;"","Assumed",""))</f>
        <v/>
      </c>
      <c r="K146" s="23">
        <f>'12 - Device_Configuration'!BG147</f>
        <v>0</v>
      </c>
      <c r="L146" s="15">
        <f>'12 - Device_Configuration'!P147</f>
        <v>0</v>
      </c>
      <c r="M146" s="15">
        <f>'12 - Device_Configuration'!Q147</f>
        <v>0</v>
      </c>
      <c r="N146" s="15" t="str">
        <f>'12 - Device_Configuration'!BK147</f>
        <v/>
      </c>
      <c r="O146" s="23" t="str">
        <f>'12 - Device_Configuration'!BL147</f>
        <v/>
      </c>
      <c r="P146" s="2" t="str">
        <f>'12 - Device_Configuration'!BA147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'12 - Device_Configuration'!H148</f>
        <v>LIJVS</v>
      </c>
      <c r="B147" s="23">
        <f>'12 - Device_Configuration'!S148</f>
        <v>0</v>
      </c>
      <c r="C147" s="23">
        <f>'12 - Device_Configuration'!T148</f>
        <v>0</v>
      </c>
      <c r="D147" s="15">
        <f>'12 - Device_Configuration'!AJ148</f>
        <v>0</v>
      </c>
      <c r="E147" s="15">
        <f>'12 - Device_Configuration'!J148</f>
        <v>0</v>
      </c>
      <c r="F147" s="23">
        <f>'12 - Device_Configuration'!K148</f>
        <v>0</v>
      </c>
      <c r="G147" s="15">
        <f>'12 - Device_Configuration'!L148</f>
        <v>0</v>
      </c>
      <c r="H147" s="15">
        <f>'13 - Config_Intake_View'!M147</f>
        <v>0</v>
      </c>
      <c r="I147" s="23">
        <f>IF('13 - Config_Intake_View'!Q147&lt;&gt;"",'13 - Config_Intake_View'!Q147,'12 - Device_Configuration'!BH148)</f>
        <v>0</v>
      </c>
      <c r="J147" s="15" t="str">
        <f>IF('13 - Config_Intake_View'!Q147&lt;&gt;"","PM Approved",IF('12 - Device_Configuration'!BH148&lt;&gt;"","Assumed",""))</f>
        <v/>
      </c>
      <c r="K147" s="23">
        <f>'12 - Device_Configuration'!BG148</f>
        <v>0</v>
      </c>
      <c r="L147" s="15">
        <f>'12 - Device_Configuration'!P148</f>
        <v>0</v>
      </c>
      <c r="M147" s="15">
        <f>'12 - Device_Configuration'!Q148</f>
        <v>0</v>
      </c>
      <c r="N147" s="15" t="str">
        <f>'12 - Device_Configuration'!BK148</f>
        <v/>
      </c>
      <c r="O147" s="23" t="str">
        <f>'12 - Device_Configuration'!BL148</f>
        <v/>
      </c>
      <c r="P147" s="2" t="str">
        <f>'12 - Device_Configuration'!BA148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'12 - Device_Configuration'!H149</f>
        <v>0</v>
      </c>
      <c r="B148" s="23">
        <f>'12 - Device_Configuration'!S149</f>
        <v>0</v>
      </c>
      <c r="C148" s="23">
        <f>'12 - Device_Configuration'!T149</f>
        <v>0</v>
      </c>
      <c r="D148" s="15">
        <f>'12 - Device_Configuration'!AJ149</f>
        <v>0</v>
      </c>
      <c r="E148" s="15">
        <f>'12 - Device_Configuration'!J149</f>
        <v>0</v>
      </c>
      <c r="F148" s="23">
        <f>'12 - Device_Configuration'!K149</f>
        <v>0</v>
      </c>
      <c r="G148" s="15">
        <f>'12 - Device_Configuration'!L149</f>
        <v>0</v>
      </c>
      <c r="H148" s="15">
        <f>'13 - Config_Intake_View'!M148</f>
        <v>0</v>
      </c>
      <c r="I148" s="23">
        <f>IF('13 - Config_Intake_View'!Q148&lt;&gt;"",'13 - Config_Intake_View'!Q148,'12 - Device_Configuration'!BH149)</f>
        <v>0</v>
      </c>
      <c r="J148" s="15" t="str">
        <f>IF('13 - Config_Intake_View'!Q148&lt;&gt;"","PM Approved",IF('12 - Device_Configuration'!BH149&lt;&gt;"","Assumed",""))</f>
        <v/>
      </c>
      <c r="K148" s="23">
        <f>'12 - Device_Configuration'!BG149</f>
        <v>0</v>
      </c>
      <c r="L148" s="15">
        <f>'12 - Device_Configuration'!P149</f>
        <v>0</v>
      </c>
      <c r="M148" s="15">
        <f>'12 - Device_Configuration'!Q149</f>
        <v>0</v>
      </c>
      <c r="N148" s="15" t="str">
        <f>'12 - Device_Configuration'!BK149</f>
        <v/>
      </c>
      <c r="O148" s="23" t="str">
        <f>'12 - Device_Configuration'!BL149</f>
        <v/>
      </c>
      <c r="P148" s="2">
        <f>'12 - Device_Configuration'!BA149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'12 - Device_Configuration'!H150</f>
        <v>0</v>
      </c>
      <c r="B149" s="23">
        <f>'12 - Device_Configuration'!S150</f>
        <v>0</v>
      </c>
      <c r="C149" s="23">
        <f>'12 - Device_Configuration'!T150</f>
        <v>0</v>
      </c>
      <c r="D149" s="15">
        <f>'12 - Device_Configuration'!AJ150</f>
        <v>0</v>
      </c>
      <c r="E149" s="15">
        <f>'12 - Device_Configuration'!J150</f>
        <v>0</v>
      </c>
      <c r="F149" s="23">
        <f>'12 - Device_Configuration'!K150</f>
        <v>0</v>
      </c>
      <c r="G149" s="15">
        <f>'12 - Device_Configuration'!L150</f>
        <v>0</v>
      </c>
      <c r="H149" s="15">
        <f>'13 - Config_Intake_View'!M149</f>
        <v>0</v>
      </c>
      <c r="I149" s="23">
        <f>IF('13 - Config_Intake_View'!Q149&lt;&gt;"",'13 - Config_Intake_View'!Q149,'12 - Device_Configuration'!BH150)</f>
        <v>0</v>
      </c>
      <c r="J149" s="15" t="str">
        <f>IF('13 - Config_Intake_View'!Q149&lt;&gt;"","PM Approved",IF('12 - Device_Configuration'!BH150&lt;&gt;"","Assumed",""))</f>
        <v/>
      </c>
      <c r="K149" s="23">
        <f>'12 - Device_Configuration'!BG150</f>
        <v>0</v>
      </c>
      <c r="L149" s="15">
        <f>'12 - Device_Configuration'!P150</f>
        <v>0</v>
      </c>
      <c r="M149" s="15">
        <f>'12 - Device_Configuration'!Q150</f>
        <v>0</v>
      </c>
      <c r="N149" s="15" t="str">
        <f>'12 - Device_Configuration'!BK150</f>
        <v/>
      </c>
      <c r="O149" s="23" t="str">
        <f>'12 - Device_Configuration'!BL150</f>
        <v/>
      </c>
      <c r="P149" s="2">
        <f>'12 - Device_Configuration'!BA150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'12 - Device_Configuration'!H151</f>
        <v>0</v>
      </c>
      <c r="B150" s="23">
        <f>'12 - Device_Configuration'!S151</f>
        <v>0</v>
      </c>
      <c r="C150" s="23">
        <f>'12 - Device_Configuration'!T151</f>
        <v>0</v>
      </c>
      <c r="D150" s="15">
        <f>'12 - Device_Configuration'!AJ151</f>
        <v>0</v>
      </c>
      <c r="E150" s="15">
        <f>'12 - Device_Configuration'!J151</f>
        <v>0</v>
      </c>
      <c r="F150" s="23">
        <f>'12 - Device_Configuration'!K151</f>
        <v>0</v>
      </c>
      <c r="G150" s="15">
        <f>'12 - Device_Configuration'!L151</f>
        <v>0</v>
      </c>
      <c r="H150" s="15">
        <f>'13 - Config_Intake_View'!M150</f>
        <v>0</v>
      </c>
      <c r="I150" s="23">
        <f>IF('13 - Config_Intake_View'!Q150&lt;&gt;"",'13 - Config_Intake_View'!Q150,'12 - Device_Configuration'!BH151)</f>
        <v>0</v>
      </c>
      <c r="J150" s="15" t="str">
        <f>IF('13 - Config_Intake_View'!Q150&lt;&gt;"","PM Approved",IF('12 - Device_Configuration'!BH151&lt;&gt;"","Assumed",""))</f>
        <v/>
      </c>
      <c r="K150" s="23">
        <f>'12 - Device_Configuration'!BG151</f>
        <v>0</v>
      </c>
      <c r="L150" s="15">
        <f>'12 - Device_Configuration'!P151</f>
        <v>0</v>
      </c>
      <c r="M150" s="15">
        <f>'12 - Device_Configuration'!Q151</f>
        <v>0</v>
      </c>
      <c r="N150" s="15" t="str">
        <f>'12 - Device_Configuration'!BK151</f>
        <v/>
      </c>
      <c r="O150" s="23" t="str">
        <f>'12 - Device_Configuration'!BL151</f>
        <v/>
      </c>
      <c r="P150" s="2">
        <f>'12 - Device_Configuration'!BA151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'12 - Device_Configuration'!H152</f>
        <v>0</v>
      </c>
      <c r="B151" s="23">
        <f>'12 - Device_Configuration'!S152</f>
        <v>0</v>
      </c>
      <c r="C151" s="23">
        <f>'12 - Device_Configuration'!T152</f>
        <v>0</v>
      </c>
      <c r="D151" s="15">
        <f>'12 - Device_Configuration'!AJ152</f>
        <v>0</v>
      </c>
      <c r="E151" s="15">
        <f>'12 - Device_Configuration'!J152</f>
        <v>0</v>
      </c>
      <c r="F151" s="23">
        <f>'12 - Device_Configuration'!K152</f>
        <v>0</v>
      </c>
      <c r="G151" s="15">
        <f>'12 - Device_Configuration'!L152</f>
        <v>0</v>
      </c>
      <c r="H151" s="15">
        <f>'13 - Config_Intake_View'!M151</f>
        <v>0</v>
      </c>
      <c r="I151" s="23">
        <f>IF('13 - Config_Intake_View'!Q151&lt;&gt;"",'13 - Config_Intake_View'!Q151,'12 - Device_Configuration'!BH152)</f>
        <v>0</v>
      </c>
      <c r="J151" s="15" t="str">
        <f>IF('13 - Config_Intake_View'!Q151&lt;&gt;"","PM Approved",IF('12 - Device_Configuration'!BH152&lt;&gt;"","Assumed",""))</f>
        <v/>
      </c>
      <c r="K151" s="23">
        <f>'12 - Device_Configuration'!BG152</f>
        <v>0</v>
      </c>
      <c r="L151" s="15">
        <f>'12 - Device_Configuration'!P152</f>
        <v>0</v>
      </c>
      <c r="M151" s="15">
        <f>'12 - Device_Configuration'!Q152</f>
        <v>0</v>
      </c>
      <c r="N151" s="15" t="str">
        <f>'12 - Device_Configuration'!BK152</f>
        <v/>
      </c>
      <c r="O151" s="23" t="str">
        <f>'12 - Device_Configuration'!BL152</f>
        <v/>
      </c>
      <c r="P151" s="2">
        <f>'12 - Device_Configuration'!BA152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'12 - Device_Configuration'!H153</f>
        <v>0</v>
      </c>
      <c r="B152" s="23">
        <f>'12 - Device_Configuration'!S153</f>
        <v>0</v>
      </c>
      <c r="C152" s="23">
        <f>'12 - Device_Configuration'!T153</f>
        <v>0</v>
      </c>
      <c r="D152" s="15">
        <f>'12 - Device_Configuration'!AJ153</f>
        <v>0</v>
      </c>
      <c r="E152" s="15">
        <f>'12 - Device_Configuration'!J153</f>
        <v>0</v>
      </c>
      <c r="F152" s="23">
        <f>'12 - Device_Configuration'!K153</f>
        <v>0</v>
      </c>
      <c r="G152" s="15">
        <f>'12 - Device_Configuration'!L153</f>
        <v>0</v>
      </c>
      <c r="H152" s="15">
        <f>'13 - Config_Intake_View'!M152</f>
        <v>0</v>
      </c>
      <c r="I152" s="23">
        <f>IF('13 - Config_Intake_View'!Q152&lt;&gt;"",'13 - Config_Intake_View'!Q152,'12 - Device_Configuration'!BH153)</f>
        <v>0</v>
      </c>
      <c r="J152" s="15" t="str">
        <f>IF('13 - Config_Intake_View'!Q152&lt;&gt;"","PM Approved",IF('12 - Device_Configuration'!BH153&lt;&gt;"","Assumed",""))</f>
        <v/>
      </c>
      <c r="K152" s="23">
        <f>'12 - Device_Configuration'!BG153</f>
        <v>0</v>
      </c>
      <c r="L152" s="15">
        <f>'12 - Device_Configuration'!P153</f>
        <v>0</v>
      </c>
      <c r="M152" s="15">
        <f>'12 - Device_Configuration'!Q153</f>
        <v>0</v>
      </c>
      <c r="N152" s="15" t="str">
        <f>'12 - Device_Configuration'!BK153</f>
        <v/>
      </c>
      <c r="O152" s="23" t="str">
        <f>'12 - Device_Configuration'!BL153</f>
        <v/>
      </c>
      <c r="P152" s="2">
        <f>'12 - Device_Configuration'!BA153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'12 - Device_Configuration'!H154</f>
        <v>0</v>
      </c>
      <c r="B153" s="23">
        <f>'12 - Device_Configuration'!S154</f>
        <v>0</v>
      </c>
      <c r="C153" s="23">
        <f>'12 - Device_Configuration'!T154</f>
        <v>0</v>
      </c>
      <c r="D153" s="15">
        <f>'12 - Device_Configuration'!AJ154</f>
        <v>0</v>
      </c>
      <c r="E153" s="15">
        <f>'12 - Device_Configuration'!J154</f>
        <v>0</v>
      </c>
      <c r="F153" s="23">
        <f>'12 - Device_Configuration'!K154</f>
        <v>0</v>
      </c>
      <c r="G153" s="15">
        <f>'12 - Device_Configuration'!L154</f>
        <v>0</v>
      </c>
      <c r="H153" s="15">
        <f>'13 - Config_Intake_View'!M153</f>
        <v>0</v>
      </c>
      <c r="I153" s="23">
        <f>IF('13 - Config_Intake_View'!Q153&lt;&gt;"",'13 - Config_Intake_View'!Q153,'12 - Device_Configuration'!BH154)</f>
        <v>0</v>
      </c>
      <c r="J153" s="15" t="str">
        <f>IF('13 - Config_Intake_View'!Q153&lt;&gt;"","PM Approved",IF('12 - Device_Configuration'!BH154&lt;&gt;"","Assumed",""))</f>
        <v/>
      </c>
      <c r="K153" s="23">
        <f>'12 - Device_Configuration'!BG154</f>
        <v>0</v>
      </c>
      <c r="L153" s="15">
        <f>'12 - Device_Configuration'!P154</f>
        <v>0</v>
      </c>
      <c r="M153" s="15">
        <f>'12 - Device_Configuration'!Q154</f>
        <v>0</v>
      </c>
      <c r="N153" s="15" t="str">
        <f>'12 - Device_Configuration'!BK154</f>
        <v/>
      </c>
      <c r="O153" s="23" t="str">
        <f>'12 - Device_Configuration'!BL154</f>
        <v/>
      </c>
      <c r="P153" s="2">
        <f>'12 - Device_Configuration'!BA154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'12 - Device_Configuration'!H155</f>
        <v>0</v>
      </c>
      <c r="B154" s="23">
        <f>'12 - Device_Configuration'!S155</f>
        <v>0</v>
      </c>
      <c r="C154" s="23">
        <f>'12 - Device_Configuration'!T155</f>
        <v>0</v>
      </c>
      <c r="D154" s="15">
        <f>'12 - Device_Configuration'!AJ155</f>
        <v>0</v>
      </c>
      <c r="E154" s="15">
        <f>'12 - Device_Configuration'!J155</f>
        <v>0</v>
      </c>
      <c r="F154" s="23">
        <f>'12 - Device_Configuration'!K155</f>
        <v>0</v>
      </c>
      <c r="G154" s="15">
        <f>'12 - Device_Configuration'!L155</f>
        <v>0</v>
      </c>
      <c r="H154" s="15">
        <f>'13 - Config_Intake_View'!M154</f>
        <v>0</v>
      </c>
      <c r="I154" s="23">
        <f>IF('13 - Config_Intake_View'!Q154&lt;&gt;"",'13 - Config_Intake_View'!Q154,'12 - Device_Configuration'!BH155)</f>
        <v>0</v>
      </c>
      <c r="J154" s="15" t="str">
        <f>IF('13 - Config_Intake_View'!Q154&lt;&gt;"","PM Approved",IF('12 - Device_Configuration'!BH155&lt;&gt;"","Assumed",""))</f>
        <v/>
      </c>
      <c r="K154" s="23">
        <f>'12 - Device_Configuration'!BG155</f>
        <v>0</v>
      </c>
      <c r="L154" s="15">
        <f>'12 - Device_Configuration'!P155</f>
        <v>0</v>
      </c>
      <c r="M154" s="15">
        <f>'12 - Device_Configuration'!Q155</f>
        <v>0</v>
      </c>
      <c r="N154" s="15" t="str">
        <f>'12 - Device_Configuration'!BK155</f>
        <v/>
      </c>
      <c r="O154" s="23" t="str">
        <f>'12 - Device_Configuration'!BL155</f>
        <v/>
      </c>
      <c r="P154" s="2">
        <f>'12 - Device_Configuration'!BA155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'12 - Device_Configuration'!H156</f>
        <v>0</v>
      </c>
      <c r="B155" s="23">
        <f>'12 - Device_Configuration'!S156</f>
        <v>0</v>
      </c>
      <c r="C155" s="23">
        <f>'12 - Device_Configuration'!T156</f>
        <v>0</v>
      </c>
      <c r="D155" s="15">
        <f>'12 - Device_Configuration'!AJ156</f>
        <v>0</v>
      </c>
      <c r="E155" s="15">
        <f>'12 - Device_Configuration'!J156</f>
        <v>0</v>
      </c>
      <c r="F155" s="23">
        <f>'12 - Device_Configuration'!K156</f>
        <v>0</v>
      </c>
      <c r="G155" s="15">
        <f>'12 - Device_Configuration'!L156</f>
        <v>0</v>
      </c>
      <c r="H155" s="15">
        <f>'13 - Config_Intake_View'!M155</f>
        <v>0</v>
      </c>
      <c r="I155" s="23">
        <f>IF('13 - Config_Intake_View'!Q155&lt;&gt;"",'13 - Config_Intake_View'!Q155,'12 - Device_Configuration'!BH156)</f>
        <v>0</v>
      </c>
      <c r="J155" s="15" t="str">
        <f>IF('13 - Config_Intake_View'!Q155&lt;&gt;"","PM Approved",IF('12 - Device_Configuration'!BH156&lt;&gt;"","Assumed",""))</f>
        <v/>
      </c>
      <c r="K155" s="23">
        <f>'12 - Device_Configuration'!BG156</f>
        <v>0</v>
      </c>
      <c r="L155" s="15">
        <f>'12 - Device_Configuration'!P156</f>
        <v>0</v>
      </c>
      <c r="M155" s="15">
        <f>'12 - Device_Configuration'!Q156</f>
        <v>0</v>
      </c>
      <c r="N155" s="15" t="str">
        <f>'12 - Device_Configuration'!BK156</f>
        <v/>
      </c>
      <c r="O155" s="23" t="str">
        <f>'12 - Device_Configuration'!BL156</f>
        <v/>
      </c>
      <c r="P155" s="2">
        <f>'12 - Device_Configuration'!BA156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'12 - Device_Configuration'!H157</f>
        <v>0</v>
      </c>
      <c r="B156" s="23">
        <f>'12 - Device_Configuration'!S157</f>
        <v>0</v>
      </c>
      <c r="C156" s="23">
        <f>'12 - Device_Configuration'!T157</f>
        <v>0</v>
      </c>
      <c r="D156" s="15">
        <f>'12 - Device_Configuration'!AJ157</f>
        <v>0</v>
      </c>
      <c r="E156" s="15">
        <f>'12 - Device_Configuration'!J157</f>
        <v>0</v>
      </c>
      <c r="F156" s="23">
        <f>'12 - Device_Configuration'!K157</f>
        <v>0</v>
      </c>
      <c r="G156" s="15">
        <f>'12 - Device_Configuration'!L157</f>
        <v>0</v>
      </c>
      <c r="H156" s="15">
        <f>'13 - Config_Intake_View'!M156</f>
        <v>0</v>
      </c>
      <c r="I156" s="23">
        <f>IF('13 - Config_Intake_View'!Q156&lt;&gt;"",'13 - Config_Intake_View'!Q156,'12 - Device_Configuration'!BH157)</f>
        <v>0</v>
      </c>
      <c r="J156" s="15" t="str">
        <f>IF('13 - Config_Intake_View'!Q156&lt;&gt;"","PM Approved",IF('12 - Device_Configuration'!BH157&lt;&gt;"","Assumed",""))</f>
        <v/>
      </c>
      <c r="K156" s="23">
        <f>'12 - Device_Configuration'!BG157</f>
        <v>0</v>
      </c>
      <c r="L156" s="15">
        <f>'12 - Device_Configuration'!P157</f>
        <v>0</v>
      </c>
      <c r="M156" s="15">
        <f>'12 - Device_Configuration'!Q157</f>
        <v>0</v>
      </c>
      <c r="N156" s="15" t="str">
        <f>'12 - Device_Configuration'!BK157</f>
        <v/>
      </c>
      <c r="O156" s="23" t="str">
        <f>'12 - Device_Configuration'!BL157</f>
        <v/>
      </c>
      <c r="P156" s="2">
        <f>'12 - Device_Configuration'!BA157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'12 - Device_Configuration'!H158</f>
        <v>0</v>
      </c>
      <c r="B157" s="23">
        <f>'12 - Device_Configuration'!S158</f>
        <v>0</v>
      </c>
      <c r="C157" s="23">
        <f>'12 - Device_Configuration'!T158</f>
        <v>0</v>
      </c>
      <c r="D157" s="15">
        <f>'12 - Device_Configuration'!AJ158</f>
        <v>0</v>
      </c>
      <c r="E157" s="15">
        <f>'12 - Device_Configuration'!J158</f>
        <v>0</v>
      </c>
      <c r="F157" s="23">
        <f>'12 - Device_Configuration'!K158</f>
        <v>0</v>
      </c>
      <c r="G157" s="15">
        <f>'12 - Device_Configuration'!L158</f>
        <v>0</v>
      </c>
      <c r="H157" s="15">
        <f>'13 - Config_Intake_View'!M157</f>
        <v>0</v>
      </c>
      <c r="I157" s="23">
        <f>IF('13 - Config_Intake_View'!Q157&lt;&gt;"",'13 - Config_Intake_View'!Q157,'12 - Device_Configuration'!BH158)</f>
        <v>0</v>
      </c>
      <c r="J157" s="15" t="str">
        <f>IF('13 - Config_Intake_View'!Q157&lt;&gt;"","PM Approved",IF('12 - Device_Configuration'!BH158&lt;&gt;"","Assumed",""))</f>
        <v/>
      </c>
      <c r="K157" s="23">
        <f>'12 - Device_Configuration'!BG158</f>
        <v>0</v>
      </c>
      <c r="L157" s="15">
        <f>'12 - Device_Configuration'!P158</f>
        <v>0</v>
      </c>
      <c r="M157" s="15">
        <f>'12 - Device_Configuration'!Q158</f>
        <v>0</v>
      </c>
      <c r="N157" s="15" t="str">
        <f>'12 - Device_Configuration'!BK158</f>
        <v/>
      </c>
      <c r="O157" s="23" t="str">
        <f>'12 - Device_Configuration'!BL158</f>
        <v/>
      </c>
      <c r="P157" s="2">
        <f>'12 - Device_Configuration'!BA158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'12 - Device_Configuration'!H159</f>
        <v>0</v>
      </c>
      <c r="B158" s="23">
        <f>'12 - Device_Configuration'!S159</f>
        <v>0</v>
      </c>
      <c r="C158" s="23">
        <f>'12 - Device_Configuration'!T159</f>
        <v>0</v>
      </c>
      <c r="D158" s="15">
        <f>'12 - Device_Configuration'!AJ159</f>
        <v>0</v>
      </c>
      <c r="E158" s="15">
        <f>'12 - Device_Configuration'!J159</f>
        <v>0</v>
      </c>
      <c r="F158" s="23">
        <f>'12 - Device_Configuration'!K159</f>
        <v>0</v>
      </c>
      <c r="G158" s="15">
        <f>'12 - Device_Configuration'!L159</f>
        <v>0</v>
      </c>
      <c r="H158" s="15">
        <f>'13 - Config_Intake_View'!M158</f>
        <v>0</v>
      </c>
      <c r="I158" s="23">
        <f>IF('13 - Config_Intake_View'!Q158&lt;&gt;"",'13 - Config_Intake_View'!Q158,'12 - Device_Configuration'!BH159)</f>
        <v>0</v>
      </c>
      <c r="J158" s="15" t="str">
        <f>IF('13 - Config_Intake_View'!Q158&lt;&gt;"","PM Approved",IF('12 - Device_Configuration'!BH159&lt;&gt;"","Assumed",""))</f>
        <v/>
      </c>
      <c r="K158" s="23">
        <f>'12 - Device_Configuration'!BG159</f>
        <v>0</v>
      </c>
      <c r="L158" s="15">
        <f>'12 - Device_Configuration'!P159</f>
        <v>0</v>
      </c>
      <c r="M158" s="15">
        <f>'12 - Device_Configuration'!Q159</f>
        <v>0</v>
      </c>
      <c r="N158" s="15" t="str">
        <f>'12 - Device_Configuration'!BK159</f>
        <v/>
      </c>
      <c r="O158" s="23" t="str">
        <f>'12 - Device_Configuration'!BL159</f>
        <v/>
      </c>
      <c r="P158" s="2">
        <f>'12 - Device_Configuration'!BA159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'12 - Device_Configuration'!H160</f>
        <v>0</v>
      </c>
      <c r="B159" s="23">
        <f>'12 - Device_Configuration'!S160</f>
        <v>0</v>
      </c>
      <c r="C159" s="23">
        <f>'12 - Device_Configuration'!T160</f>
        <v>0</v>
      </c>
      <c r="D159" s="15">
        <f>'12 - Device_Configuration'!AJ160</f>
        <v>0</v>
      </c>
      <c r="E159" s="15">
        <f>'12 - Device_Configuration'!J160</f>
        <v>0</v>
      </c>
      <c r="F159" s="23">
        <f>'12 - Device_Configuration'!K160</f>
        <v>0</v>
      </c>
      <c r="G159" s="15">
        <f>'12 - Device_Configuration'!L160</f>
        <v>0</v>
      </c>
      <c r="H159" s="15">
        <f>'13 - Config_Intake_View'!M159</f>
        <v>0</v>
      </c>
      <c r="I159" s="23">
        <f>IF('13 - Config_Intake_View'!Q159&lt;&gt;"",'13 - Config_Intake_View'!Q159,'12 - Device_Configuration'!BH160)</f>
        <v>0</v>
      </c>
      <c r="J159" s="15" t="str">
        <f>IF('13 - Config_Intake_View'!Q159&lt;&gt;"","PM Approved",IF('12 - Device_Configuration'!BH160&lt;&gt;"","Assumed",""))</f>
        <v/>
      </c>
      <c r="K159" s="23">
        <f>'12 - Device_Configuration'!BG160</f>
        <v>0</v>
      </c>
      <c r="L159" s="15">
        <f>'12 - Device_Configuration'!P160</f>
        <v>0</v>
      </c>
      <c r="M159" s="15">
        <f>'12 - Device_Configuration'!Q160</f>
        <v>0</v>
      </c>
      <c r="N159" s="15" t="str">
        <f>'12 - Device_Configuration'!BK160</f>
        <v/>
      </c>
      <c r="O159" s="23" t="str">
        <f>'12 - Device_Configuration'!BL160</f>
        <v/>
      </c>
      <c r="P159" s="2">
        <f>'12 - Device_Configuration'!BA160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'12 - Device_Configuration'!H161</f>
        <v>0</v>
      </c>
      <c r="B160" s="23">
        <f>'12 - Device_Configuration'!S161</f>
        <v>0</v>
      </c>
      <c r="C160" s="23">
        <f>'12 - Device_Configuration'!T161</f>
        <v>0</v>
      </c>
      <c r="D160" s="15">
        <f>'12 - Device_Configuration'!AJ161</f>
        <v>0</v>
      </c>
      <c r="E160" s="15">
        <f>'12 - Device_Configuration'!J161</f>
        <v>0</v>
      </c>
      <c r="F160" s="23">
        <f>'12 - Device_Configuration'!K161</f>
        <v>0</v>
      </c>
      <c r="G160" s="15">
        <f>'12 - Device_Configuration'!L161</f>
        <v>0</v>
      </c>
      <c r="H160" s="15">
        <f>'13 - Config_Intake_View'!M160</f>
        <v>0</v>
      </c>
      <c r="I160" s="23">
        <f>IF('13 - Config_Intake_View'!Q160&lt;&gt;"",'13 - Config_Intake_View'!Q160,'12 - Device_Configuration'!BH161)</f>
        <v>0</v>
      </c>
      <c r="J160" s="15" t="str">
        <f>IF('13 - Config_Intake_View'!Q160&lt;&gt;"","PM Approved",IF('12 - Device_Configuration'!BH161&lt;&gt;"","Assumed",""))</f>
        <v/>
      </c>
      <c r="K160" s="23">
        <f>'12 - Device_Configuration'!BG161</f>
        <v>0</v>
      </c>
      <c r="L160" s="15">
        <f>'12 - Device_Configuration'!P161</f>
        <v>0</v>
      </c>
      <c r="M160" s="15">
        <f>'12 - Device_Configuration'!Q161</f>
        <v>0</v>
      </c>
      <c r="N160" s="15" t="str">
        <f>'12 - Device_Configuration'!BK161</f>
        <v/>
      </c>
      <c r="O160" s="23" t="str">
        <f>'12 - Device_Configuration'!BL161</f>
        <v/>
      </c>
      <c r="P160" s="2">
        <f>'12 - Device_Configuration'!BA161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'12 - Device_Configuration'!H162</f>
        <v>0</v>
      </c>
      <c r="B161" s="23">
        <f>'12 - Device_Configuration'!S162</f>
        <v>0</v>
      </c>
      <c r="C161" s="23">
        <f>'12 - Device_Configuration'!T162</f>
        <v>0</v>
      </c>
      <c r="D161" s="15">
        <f>'12 - Device_Configuration'!AJ162</f>
        <v>0</v>
      </c>
      <c r="E161" s="15">
        <f>'12 - Device_Configuration'!J162</f>
        <v>0</v>
      </c>
      <c r="F161" s="23">
        <f>'12 - Device_Configuration'!K162</f>
        <v>0</v>
      </c>
      <c r="G161" s="15">
        <f>'12 - Device_Configuration'!L162</f>
        <v>0</v>
      </c>
      <c r="H161" s="15">
        <f>'13 - Config_Intake_View'!M161</f>
        <v>0</v>
      </c>
      <c r="I161" s="23">
        <f>IF('13 - Config_Intake_View'!Q161&lt;&gt;"",'13 - Config_Intake_View'!Q161,'12 - Device_Configuration'!BH162)</f>
        <v>0</v>
      </c>
      <c r="J161" s="15" t="str">
        <f>IF('13 - Config_Intake_View'!Q161&lt;&gt;"","PM Approved",IF('12 - Device_Configuration'!BH162&lt;&gt;"","Assumed",""))</f>
        <v/>
      </c>
      <c r="K161" s="23">
        <f>'12 - Device_Configuration'!BG162</f>
        <v>0</v>
      </c>
      <c r="L161" s="15">
        <f>'12 - Device_Configuration'!P162</f>
        <v>0</v>
      </c>
      <c r="M161" s="15">
        <f>'12 - Device_Configuration'!Q162</f>
        <v>0</v>
      </c>
      <c r="N161" s="15" t="str">
        <f>'12 - Device_Configuration'!BK162</f>
        <v/>
      </c>
      <c r="O161" s="23" t="str">
        <f>'12 - Device_Configuration'!BL162</f>
        <v/>
      </c>
      <c r="P161" s="2">
        <f>'12 - Device_Configuration'!BA162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'12 - Device_Configuration'!H163</f>
        <v>0</v>
      </c>
      <c r="B162" s="23">
        <f>'12 - Device_Configuration'!S163</f>
        <v>0</v>
      </c>
      <c r="C162" s="23">
        <f>'12 - Device_Configuration'!T163</f>
        <v>0</v>
      </c>
      <c r="D162" s="15">
        <f>'12 - Device_Configuration'!AJ163</f>
        <v>0</v>
      </c>
      <c r="E162" s="15">
        <f>'12 - Device_Configuration'!J163</f>
        <v>0</v>
      </c>
      <c r="F162" s="23">
        <f>'12 - Device_Configuration'!K163</f>
        <v>0</v>
      </c>
      <c r="G162" s="15">
        <f>'12 - Device_Configuration'!L163</f>
        <v>0</v>
      </c>
      <c r="H162" s="15">
        <f>'13 - Config_Intake_View'!M162</f>
        <v>0</v>
      </c>
      <c r="I162" s="23">
        <f>IF('13 - Config_Intake_View'!Q162&lt;&gt;"",'13 - Config_Intake_View'!Q162,'12 - Device_Configuration'!BH163)</f>
        <v>0</v>
      </c>
      <c r="J162" s="15" t="str">
        <f>IF('13 - Config_Intake_View'!Q162&lt;&gt;"","PM Approved",IF('12 - Device_Configuration'!BH163&lt;&gt;"","Assumed",""))</f>
        <v/>
      </c>
      <c r="K162" s="23">
        <f>'12 - Device_Configuration'!BG163</f>
        <v>0</v>
      </c>
      <c r="L162" s="15">
        <f>'12 - Device_Configuration'!P163</f>
        <v>0</v>
      </c>
      <c r="M162" s="15">
        <f>'12 - Device_Configuration'!Q163</f>
        <v>0</v>
      </c>
      <c r="N162" s="15" t="str">
        <f>'12 - Device_Configuration'!BK163</f>
        <v/>
      </c>
      <c r="O162" s="23" t="str">
        <f>'12 - Device_Configuration'!BL163</f>
        <v/>
      </c>
      <c r="P162" s="2">
        <f>'12 - Device_Configuration'!BA163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'12 - Device_Configuration'!H164</f>
        <v>0</v>
      </c>
      <c r="B163" s="23">
        <f>'12 - Device_Configuration'!S164</f>
        <v>0</v>
      </c>
      <c r="C163" s="23">
        <f>'12 - Device_Configuration'!T164</f>
        <v>0</v>
      </c>
      <c r="D163" s="15">
        <f>'12 - Device_Configuration'!AJ164</f>
        <v>0</v>
      </c>
      <c r="E163" s="15">
        <f>'12 - Device_Configuration'!J164</f>
        <v>0</v>
      </c>
      <c r="F163" s="23">
        <f>'12 - Device_Configuration'!K164</f>
        <v>0</v>
      </c>
      <c r="G163" s="15">
        <f>'12 - Device_Configuration'!L164</f>
        <v>0</v>
      </c>
      <c r="H163" s="15">
        <f>'13 - Config_Intake_View'!M163</f>
        <v>0</v>
      </c>
      <c r="I163" s="23">
        <f>IF('13 - Config_Intake_View'!Q163&lt;&gt;"",'13 - Config_Intake_View'!Q163,'12 - Device_Configuration'!BH164)</f>
        <v>0</v>
      </c>
      <c r="J163" s="15" t="str">
        <f>IF('13 - Config_Intake_View'!Q163&lt;&gt;"","PM Approved",IF('12 - Device_Configuration'!BH164&lt;&gt;"","Assumed",""))</f>
        <v/>
      </c>
      <c r="K163" s="23">
        <f>'12 - Device_Configuration'!BG164</f>
        <v>0</v>
      </c>
      <c r="L163" s="15">
        <f>'12 - Device_Configuration'!P164</f>
        <v>0</v>
      </c>
      <c r="M163" s="15">
        <f>'12 - Device_Configuration'!Q164</f>
        <v>0</v>
      </c>
      <c r="N163" s="15" t="str">
        <f>'12 - Device_Configuration'!BK164</f>
        <v/>
      </c>
      <c r="O163" s="23" t="str">
        <f>'12 - Device_Configuration'!BL164</f>
        <v/>
      </c>
      <c r="P163" s="2">
        <f>'12 - Device_Configuration'!BA164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'12 - Device_Configuration'!H165</f>
        <v>0</v>
      </c>
      <c r="B164" s="23">
        <f>'12 - Device_Configuration'!S165</f>
        <v>0</v>
      </c>
      <c r="C164" s="23">
        <f>'12 - Device_Configuration'!T165</f>
        <v>0</v>
      </c>
      <c r="D164" s="15">
        <f>'12 - Device_Configuration'!AJ165</f>
        <v>0</v>
      </c>
      <c r="E164" s="15">
        <f>'12 - Device_Configuration'!J165</f>
        <v>0</v>
      </c>
      <c r="F164" s="23">
        <f>'12 - Device_Configuration'!K165</f>
        <v>0</v>
      </c>
      <c r="G164" s="15">
        <f>'12 - Device_Configuration'!L165</f>
        <v>0</v>
      </c>
      <c r="H164" s="15">
        <f>'13 - Config_Intake_View'!M164</f>
        <v>0</v>
      </c>
      <c r="I164" s="23">
        <f>IF('13 - Config_Intake_View'!Q164&lt;&gt;"",'13 - Config_Intake_View'!Q164,'12 - Device_Configuration'!BH165)</f>
        <v>0</v>
      </c>
      <c r="J164" s="15" t="str">
        <f>IF('13 - Config_Intake_View'!Q164&lt;&gt;"","PM Approved",IF('12 - Device_Configuration'!BH165&lt;&gt;"","Assumed",""))</f>
        <v/>
      </c>
      <c r="K164" s="23">
        <f>'12 - Device_Configuration'!BG165</f>
        <v>0</v>
      </c>
      <c r="L164" s="15">
        <f>'12 - Device_Configuration'!P165</f>
        <v>0</v>
      </c>
      <c r="M164" s="15">
        <f>'12 - Device_Configuration'!Q165</f>
        <v>0</v>
      </c>
      <c r="N164" s="15" t="str">
        <f>'12 - Device_Configuration'!BK165</f>
        <v/>
      </c>
      <c r="O164" s="23" t="str">
        <f>'12 - Device_Configuration'!BL165</f>
        <v/>
      </c>
      <c r="P164" s="2">
        <f>'12 - Device_Configuration'!BA165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'12 - Device_Configuration'!H166</f>
        <v>0</v>
      </c>
      <c r="B165" s="23">
        <f>'12 - Device_Configuration'!S166</f>
        <v>0</v>
      </c>
      <c r="C165" s="23">
        <f>'12 - Device_Configuration'!T166</f>
        <v>0</v>
      </c>
      <c r="D165" s="15">
        <f>'12 - Device_Configuration'!AJ166</f>
        <v>0</v>
      </c>
      <c r="E165" s="15">
        <f>'12 - Device_Configuration'!J166</f>
        <v>0</v>
      </c>
      <c r="F165" s="23">
        <f>'12 - Device_Configuration'!K166</f>
        <v>0</v>
      </c>
      <c r="G165" s="15">
        <f>'12 - Device_Configuration'!L166</f>
        <v>0</v>
      </c>
      <c r="H165" s="15">
        <f>'13 - Config_Intake_View'!M165</f>
        <v>0</v>
      </c>
      <c r="I165" s="23">
        <f>IF('13 - Config_Intake_View'!Q165&lt;&gt;"",'13 - Config_Intake_View'!Q165,'12 - Device_Configuration'!BH166)</f>
        <v>0</v>
      </c>
      <c r="J165" s="15" t="str">
        <f>IF('13 - Config_Intake_View'!Q165&lt;&gt;"","PM Approved",IF('12 - Device_Configuration'!BH166&lt;&gt;"","Assumed",""))</f>
        <v/>
      </c>
      <c r="K165" s="23">
        <f>'12 - Device_Configuration'!BG166</f>
        <v>0</v>
      </c>
      <c r="L165" s="15">
        <f>'12 - Device_Configuration'!P166</f>
        <v>0</v>
      </c>
      <c r="M165" s="15">
        <f>'12 - Device_Configuration'!Q166</f>
        <v>0</v>
      </c>
      <c r="N165" s="15" t="str">
        <f>'12 - Device_Configuration'!BK166</f>
        <v/>
      </c>
      <c r="O165" s="23" t="str">
        <f>'12 - Device_Configuration'!BL166</f>
        <v/>
      </c>
      <c r="P165" s="2">
        <f>'12 - Device_Configuration'!BA166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'12 - Device_Configuration'!H167</f>
        <v>0</v>
      </c>
      <c r="B166" s="23">
        <f>'12 - Device_Configuration'!S167</f>
        <v>0</v>
      </c>
      <c r="C166" s="23">
        <f>'12 - Device_Configuration'!T167</f>
        <v>0</v>
      </c>
      <c r="D166" s="15">
        <f>'12 - Device_Configuration'!AJ167</f>
        <v>0</v>
      </c>
      <c r="E166" s="15">
        <f>'12 - Device_Configuration'!J167</f>
        <v>0</v>
      </c>
      <c r="F166" s="23">
        <f>'12 - Device_Configuration'!K167</f>
        <v>0</v>
      </c>
      <c r="G166" s="15">
        <f>'12 - Device_Configuration'!L167</f>
        <v>0</v>
      </c>
      <c r="H166" s="15">
        <f>'13 - Config_Intake_View'!M166</f>
        <v>0</v>
      </c>
      <c r="I166" s="23">
        <f>IF('13 - Config_Intake_View'!Q166&lt;&gt;"",'13 - Config_Intake_View'!Q166,'12 - Device_Configuration'!BH167)</f>
        <v>0</v>
      </c>
      <c r="J166" s="15" t="str">
        <f>IF('13 - Config_Intake_View'!Q166&lt;&gt;"","PM Approved",IF('12 - Device_Configuration'!BH167&lt;&gt;"","Assumed",""))</f>
        <v/>
      </c>
      <c r="K166" s="23">
        <f>'12 - Device_Configuration'!BG167</f>
        <v>0</v>
      </c>
      <c r="L166" s="15">
        <f>'12 - Device_Configuration'!P167</f>
        <v>0</v>
      </c>
      <c r="M166" s="15">
        <f>'12 - Device_Configuration'!Q167</f>
        <v>0</v>
      </c>
      <c r="N166" s="15" t="str">
        <f>'12 - Device_Configuration'!BK167</f>
        <v/>
      </c>
      <c r="O166" s="23" t="str">
        <f>'12 - Device_Configuration'!BL167</f>
        <v/>
      </c>
      <c r="P166" s="2">
        <f>'12 - Device_Configuration'!BA167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'12 - Device_Configuration'!H168</f>
        <v>0</v>
      </c>
      <c r="B167" s="23">
        <f>'12 - Device_Configuration'!S168</f>
        <v>0</v>
      </c>
      <c r="C167" s="23">
        <f>'12 - Device_Configuration'!T168</f>
        <v>0</v>
      </c>
      <c r="D167" s="15">
        <f>'12 - Device_Configuration'!AJ168</f>
        <v>0</v>
      </c>
      <c r="E167" s="15">
        <f>'12 - Device_Configuration'!J168</f>
        <v>0</v>
      </c>
      <c r="F167" s="23">
        <f>'12 - Device_Configuration'!K168</f>
        <v>0</v>
      </c>
      <c r="G167" s="15">
        <f>'12 - Device_Configuration'!L168</f>
        <v>0</v>
      </c>
      <c r="H167" s="15">
        <f>'13 - Config_Intake_View'!M167</f>
        <v>0</v>
      </c>
      <c r="I167" s="23">
        <f>IF('13 - Config_Intake_View'!Q167&lt;&gt;"",'13 - Config_Intake_View'!Q167,'12 - Device_Configuration'!BH168)</f>
        <v>0</v>
      </c>
      <c r="J167" s="15" t="str">
        <f>IF('13 - Config_Intake_View'!Q167&lt;&gt;"","PM Approved",IF('12 - Device_Configuration'!BH168&lt;&gt;"","Assumed",""))</f>
        <v/>
      </c>
      <c r="K167" s="23">
        <f>'12 - Device_Configuration'!BG168</f>
        <v>0</v>
      </c>
      <c r="L167" s="15">
        <f>'12 - Device_Configuration'!P168</f>
        <v>0</v>
      </c>
      <c r="M167" s="15">
        <f>'12 - Device_Configuration'!Q168</f>
        <v>0</v>
      </c>
      <c r="N167" s="15" t="str">
        <f>'12 - Device_Configuration'!BK168</f>
        <v/>
      </c>
      <c r="O167" s="23" t="str">
        <f>'12 - Device_Configuration'!BL168</f>
        <v/>
      </c>
      <c r="P167" s="2">
        <f>'12 - Device_Configuration'!BA168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'12 - Device_Configuration'!H169</f>
        <v>0</v>
      </c>
      <c r="B168" s="23">
        <f>'12 - Device_Configuration'!S169</f>
        <v>0</v>
      </c>
      <c r="C168" s="23">
        <f>'12 - Device_Configuration'!T169</f>
        <v>0</v>
      </c>
      <c r="D168" s="15">
        <f>'12 - Device_Configuration'!AJ169</f>
        <v>0</v>
      </c>
      <c r="E168" s="15">
        <f>'12 - Device_Configuration'!J169</f>
        <v>0</v>
      </c>
      <c r="F168" s="23">
        <f>'12 - Device_Configuration'!K169</f>
        <v>0</v>
      </c>
      <c r="G168" s="15">
        <f>'12 - Device_Configuration'!L169</f>
        <v>0</v>
      </c>
      <c r="H168" s="15">
        <f>'13 - Config_Intake_View'!M168</f>
        <v>0</v>
      </c>
      <c r="I168" s="23">
        <f>IF('13 - Config_Intake_View'!Q168&lt;&gt;"",'13 - Config_Intake_View'!Q168,'12 - Device_Configuration'!BH169)</f>
        <v>0</v>
      </c>
      <c r="J168" s="15" t="str">
        <f>IF('13 - Config_Intake_View'!Q168&lt;&gt;"","PM Approved",IF('12 - Device_Configuration'!BH169&lt;&gt;"","Assumed",""))</f>
        <v/>
      </c>
      <c r="K168" s="23">
        <f>'12 - Device_Configuration'!BG169</f>
        <v>0</v>
      </c>
      <c r="L168" s="15">
        <f>'12 - Device_Configuration'!P169</f>
        <v>0</v>
      </c>
      <c r="M168" s="15">
        <f>'12 - Device_Configuration'!Q169</f>
        <v>0</v>
      </c>
      <c r="N168" s="15" t="str">
        <f>'12 - Device_Configuration'!BK169</f>
        <v/>
      </c>
      <c r="O168" s="23" t="str">
        <f>'12 - Device_Configuration'!BL169</f>
        <v/>
      </c>
      <c r="P168" s="2">
        <f>'12 - Device_Configuration'!BA169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'12 - Device_Configuration'!H170</f>
        <v>0</v>
      </c>
      <c r="B169" s="23">
        <f>'12 - Device_Configuration'!S170</f>
        <v>0</v>
      </c>
      <c r="C169" s="23">
        <f>'12 - Device_Configuration'!T170</f>
        <v>0</v>
      </c>
      <c r="D169" s="15">
        <f>'12 - Device_Configuration'!AJ170</f>
        <v>0</v>
      </c>
      <c r="E169" s="15">
        <f>'12 - Device_Configuration'!J170</f>
        <v>0</v>
      </c>
      <c r="F169" s="23">
        <f>'12 - Device_Configuration'!K170</f>
        <v>0</v>
      </c>
      <c r="G169" s="15">
        <f>'12 - Device_Configuration'!L170</f>
        <v>0</v>
      </c>
      <c r="H169" s="15">
        <f>'13 - Config_Intake_View'!M169</f>
        <v>0</v>
      </c>
      <c r="I169" s="23">
        <f>IF('13 - Config_Intake_View'!Q169&lt;&gt;"",'13 - Config_Intake_View'!Q169,'12 - Device_Configuration'!BH170)</f>
        <v>0</v>
      </c>
      <c r="J169" s="15" t="str">
        <f>IF('13 - Config_Intake_View'!Q169&lt;&gt;"","PM Approved",IF('12 - Device_Configuration'!BH170&lt;&gt;"","Assumed",""))</f>
        <v/>
      </c>
      <c r="K169" s="23">
        <f>'12 - Device_Configuration'!BG170</f>
        <v>0</v>
      </c>
      <c r="L169" s="15">
        <f>'12 - Device_Configuration'!P170</f>
        <v>0</v>
      </c>
      <c r="M169" s="15">
        <f>'12 - Device_Configuration'!Q170</f>
        <v>0</v>
      </c>
      <c r="N169" s="15" t="str">
        <f>'12 - Device_Configuration'!BK170</f>
        <v/>
      </c>
      <c r="O169" s="23" t="str">
        <f>'12 - Device_Configuration'!BL170</f>
        <v/>
      </c>
      <c r="P169" s="2">
        <f>'12 - Device_Configuration'!BA170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'12 - Device_Configuration'!H171</f>
        <v>0</v>
      </c>
      <c r="B170" s="23">
        <f>'12 - Device_Configuration'!S171</f>
        <v>0</v>
      </c>
      <c r="C170" s="23">
        <f>'12 - Device_Configuration'!T171</f>
        <v>0</v>
      </c>
      <c r="D170" s="15">
        <f>'12 - Device_Configuration'!AJ171</f>
        <v>0</v>
      </c>
      <c r="E170" s="15">
        <f>'12 - Device_Configuration'!J171</f>
        <v>0</v>
      </c>
      <c r="F170" s="23">
        <f>'12 - Device_Configuration'!K171</f>
        <v>0</v>
      </c>
      <c r="G170" s="15">
        <f>'12 - Device_Configuration'!L171</f>
        <v>0</v>
      </c>
      <c r="H170" s="15">
        <f>'13 - Config_Intake_View'!M170</f>
        <v>0</v>
      </c>
      <c r="I170" s="23">
        <f>IF('13 - Config_Intake_View'!Q170&lt;&gt;"",'13 - Config_Intake_View'!Q170,'12 - Device_Configuration'!BH171)</f>
        <v>0</v>
      </c>
      <c r="J170" s="15" t="str">
        <f>IF('13 - Config_Intake_View'!Q170&lt;&gt;"","PM Approved",IF('12 - Device_Configuration'!BH171&lt;&gt;"","Assumed",""))</f>
        <v/>
      </c>
      <c r="K170" s="23">
        <f>'12 - Device_Configuration'!BG171</f>
        <v>0</v>
      </c>
      <c r="L170" s="15">
        <f>'12 - Device_Configuration'!P171</f>
        <v>0</v>
      </c>
      <c r="M170" s="15">
        <f>'12 - Device_Configuration'!Q171</f>
        <v>0</v>
      </c>
      <c r="N170" s="15" t="str">
        <f>'12 - Device_Configuration'!BK171</f>
        <v/>
      </c>
      <c r="O170" s="23" t="str">
        <f>'12 - Device_Configuration'!BL171</f>
        <v/>
      </c>
      <c r="P170" s="2">
        <f>'12 - Device_Configuration'!BA171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'12 - Device_Configuration'!H172</f>
        <v>0</v>
      </c>
      <c r="B171" s="23">
        <f>'12 - Device_Configuration'!S172</f>
        <v>0</v>
      </c>
      <c r="C171" s="23">
        <f>'12 - Device_Configuration'!T172</f>
        <v>0</v>
      </c>
      <c r="D171" s="15">
        <f>'12 - Device_Configuration'!AJ172</f>
        <v>0</v>
      </c>
      <c r="E171" s="15">
        <f>'12 - Device_Configuration'!J172</f>
        <v>0</v>
      </c>
      <c r="F171" s="23">
        <f>'12 - Device_Configuration'!K172</f>
        <v>0</v>
      </c>
      <c r="G171" s="15">
        <f>'12 - Device_Configuration'!L172</f>
        <v>0</v>
      </c>
      <c r="H171" s="15">
        <f>'13 - Config_Intake_View'!M171</f>
        <v>0</v>
      </c>
      <c r="I171" s="23">
        <f>IF('13 - Config_Intake_View'!Q171&lt;&gt;"",'13 - Config_Intake_View'!Q171,'12 - Device_Configuration'!BH172)</f>
        <v>0</v>
      </c>
      <c r="J171" s="15" t="str">
        <f>IF('13 - Config_Intake_View'!Q171&lt;&gt;"","PM Approved",IF('12 - Device_Configuration'!BH172&lt;&gt;"","Assumed",""))</f>
        <v/>
      </c>
      <c r="K171" s="23">
        <f>'12 - Device_Configuration'!BG172</f>
        <v>0</v>
      </c>
      <c r="L171" s="15">
        <f>'12 - Device_Configuration'!P172</f>
        <v>0</v>
      </c>
      <c r="M171" s="15">
        <f>'12 - Device_Configuration'!Q172</f>
        <v>0</v>
      </c>
      <c r="N171" s="15" t="str">
        <f>'12 - Device_Configuration'!BK172</f>
        <v/>
      </c>
      <c r="O171" s="23" t="str">
        <f>'12 - Device_Configuration'!BL172</f>
        <v/>
      </c>
      <c r="P171" s="2">
        <f>'12 - Device_Configuration'!BA172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'12 - Device_Configuration'!H173</f>
        <v>0</v>
      </c>
      <c r="B172" s="23">
        <f>'12 - Device_Configuration'!S173</f>
        <v>0</v>
      </c>
      <c r="C172" s="23">
        <f>'12 - Device_Configuration'!T173</f>
        <v>0</v>
      </c>
      <c r="D172" s="15">
        <f>'12 - Device_Configuration'!AJ173</f>
        <v>0</v>
      </c>
      <c r="E172" s="15">
        <f>'12 - Device_Configuration'!J173</f>
        <v>0</v>
      </c>
      <c r="F172" s="23">
        <f>'12 - Device_Configuration'!K173</f>
        <v>0</v>
      </c>
      <c r="G172" s="15">
        <f>'12 - Device_Configuration'!L173</f>
        <v>0</v>
      </c>
      <c r="H172" s="15">
        <f>'13 - Config_Intake_View'!M172</f>
        <v>0</v>
      </c>
      <c r="I172" s="23">
        <f>IF('13 - Config_Intake_View'!Q172&lt;&gt;"",'13 - Config_Intake_View'!Q172,'12 - Device_Configuration'!BH173)</f>
        <v>0</v>
      </c>
      <c r="J172" s="15" t="str">
        <f>IF('13 - Config_Intake_View'!Q172&lt;&gt;"","PM Approved",IF('12 - Device_Configuration'!BH173&lt;&gt;"","Assumed",""))</f>
        <v/>
      </c>
      <c r="K172" s="23">
        <f>'12 - Device_Configuration'!BG173</f>
        <v>0</v>
      </c>
      <c r="L172" s="15">
        <f>'12 - Device_Configuration'!P173</f>
        <v>0</v>
      </c>
      <c r="M172" s="15">
        <f>'12 - Device_Configuration'!Q173</f>
        <v>0</v>
      </c>
      <c r="N172" s="15" t="str">
        <f>'12 - Device_Configuration'!BK173</f>
        <v/>
      </c>
      <c r="O172" s="23" t="str">
        <f>'12 - Device_Configuration'!BL173</f>
        <v/>
      </c>
      <c r="P172" s="2">
        <f>'12 - Device_Configuration'!BA173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'12 - Device_Configuration'!H174</f>
        <v>0</v>
      </c>
      <c r="B173" s="23">
        <f>'12 - Device_Configuration'!S174</f>
        <v>0</v>
      </c>
      <c r="C173" s="23">
        <f>'12 - Device_Configuration'!T174</f>
        <v>0</v>
      </c>
      <c r="D173" s="15">
        <f>'12 - Device_Configuration'!AJ174</f>
        <v>0</v>
      </c>
      <c r="E173" s="15">
        <f>'12 - Device_Configuration'!J174</f>
        <v>0</v>
      </c>
      <c r="F173" s="23">
        <f>'12 - Device_Configuration'!K174</f>
        <v>0</v>
      </c>
      <c r="G173" s="15">
        <f>'12 - Device_Configuration'!L174</f>
        <v>0</v>
      </c>
      <c r="H173" s="15">
        <f>'13 - Config_Intake_View'!M173</f>
        <v>0</v>
      </c>
      <c r="I173" s="23">
        <f>IF('13 - Config_Intake_View'!Q173&lt;&gt;"",'13 - Config_Intake_View'!Q173,'12 - Device_Configuration'!BH174)</f>
        <v>0</v>
      </c>
      <c r="J173" s="15" t="str">
        <f>IF('13 - Config_Intake_View'!Q173&lt;&gt;"","PM Approved",IF('12 - Device_Configuration'!BH174&lt;&gt;"","Assumed",""))</f>
        <v/>
      </c>
      <c r="K173" s="23">
        <f>'12 - Device_Configuration'!BG174</f>
        <v>0</v>
      </c>
      <c r="L173" s="15">
        <f>'12 - Device_Configuration'!P174</f>
        <v>0</v>
      </c>
      <c r="M173" s="15">
        <f>'12 - Device_Configuration'!Q174</f>
        <v>0</v>
      </c>
      <c r="N173" s="15" t="str">
        <f>'12 - Device_Configuration'!BK174</f>
        <v/>
      </c>
      <c r="O173" s="23" t="str">
        <f>'12 - Device_Configuration'!BL174</f>
        <v/>
      </c>
      <c r="P173" s="2">
        <f>'12 - Device_Configuration'!BA174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'12 - Device_Configuration'!H175</f>
        <v>0</v>
      </c>
      <c r="B174" s="23">
        <f>'12 - Device_Configuration'!S175</f>
        <v>0</v>
      </c>
      <c r="C174" s="23">
        <f>'12 - Device_Configuration'!T175</f>
        <v>0</v>
      </c>
      <c r="D174" s="15">
        <f>'12 - Device_Configuration'!AJ175</f>
        <v>0</v>
      </c>
      <c r="E174" s="15">
        <f>'12 - Device_Configuration'!J175</f>
        <v>0</v>
      </c>
      <c r="F174" s="23">
        <f>'12 - Device_Configuration'!K175</f>
        <v>0</v>
      </c>
      <c r="G174" s="15">
        <f>'12 - Device_Configuration'!L175</f>
        <v>0</v>
      </c>
      <c r="H174" s="15">
        <f>'13 - Config_Intake_View'!M174</f>
        <v>0</v>
      </c>
      <c r="I174" s="23">
        <f>IF('13 - Config_Intake_View'!Q174&lt;&gt;"",'13 - Config_Intake_View'!Q174,'12 - Device_Configuration'!BH175)</f>
        <v>0</v>
      </c>
      <c r="J174" s="15" t="str">
        <f>IF('13 - Config_Intake_View'!Q174&lt;&gt;"","PM Approved",IF('12 - Device_Configuration'!BH175&lt;&gt;"","Assumed",""))</f>
        <v/>
      </c>
      <c r="K174" s="23">
        <f>'12 - Device_Configuration'!BG175</f>
        <v>0</v>
      </c>
      <c r="L174" s="15">
        <f>'12 - Device_Configuration'!P175</f>
        <v>0</v>
      </c>
      <c r="M174" s="15">
        <f>'12 - Device_Configuration'!Q175</f>
        <v>0</v>
      </c>
      <c r="N174" s="15" t="str">
        <f>'12 - Device_Configuration'!BK175</f>
        <v/>
      </c>
      <c r="O174" s="23" t="str">
        <f>'12 - Device_Configuration'!BL175</f>
        <v/>
      </c>
      <c r="P174" s="2">
        <f>'12 - Device_Configuration'!BA175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'12 - Device_Configuration'!H176</f>
        <v>0</v>
      </c>
      <c r="B175" s="23">
        <f>'12 - Device_Configuration'!S176</f>
        <v>0</v>
      </c>
      <c r="C175" s="23">
        <f>'12 - Device_Configuration'!T176</f>
        <v>0</v>
      </c>
      <c r="D175" s="15">
        <f>'12 - Device_Configuration'!AJ176</f>
        <v>0</v>
      </c>
      <c r="E175" s="15">
        <f>'12 - Device_Configuration'!J176</f>
        <v>0</v>
      </c>
      <c r="F175" s="23">
        <f>'12 - Device_Configuration'!K176</f>
        <v>0</v>
      </c>
      <c r="G175" s="15">
        <f>'12 - Device_Configuration'!L176</f>
        <v>0</v>
      </c>
      <c r="H175" s="15">
        <f>'13 - Config_Intake_View'!M175</f>
        <v>0</v>
      </c>
      <c r="I175" s="23">
        <f>IF('13 - Config_Intake_View'!Q175&lt;&gt;"",'13 - Config_Intake_View'!Q175,'12 - Device_Configuration'!BH176)</f>
        <v>0</v>
      </c>
      <c r="J175" s="15" t="str">
        <f>IF('13 - Config_Intake_View'!Q175&lt;&gt;"","PM Approved",IF('12 - Device_Configuration'!BH176&lt;&gt;"","Assumed",""))</f>
        <v/>
      </c>
      <c r="K175" s="23">
        <f>'12 - Device_Configuration'!BG176</f>
        <v>0</v>
      </c>
      <c r="L175" s="15">
        <f>'12 - Device_Configuration'!P176</f>
        <v>0</v>
      </c>
      <c r="M175" s="15">
        <f>'12 - Device_Configuration'!Q176</f>
        <v>0</v>
      </c>
      <c r="N175" s="15" t="str">
        <f>'12 - Device_Configuration'!BK176</f>
        <v/>
      </c>
      <c r="O175" s="23" t="str">
        <f>'12 - Device_Configuration'!BL176</f>
        <v/>
      </c>
      <c r="P175" s="2">
        <f>'12 - Device_Configuration'!BA176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'12 - Device_Configuration'!H177</f>
        <v>0</v>
      </c>
      <c r="B176" s="23">
        <f>'12 - Device_Configuration'!S177</f>
        <v>0</v>
      </c>
      <c r="C176" s="23">
        <f>'12 - Device_Configuration'!T177</f>
        <v>0</v>
      </c>
      <c r="D176" s="15">
        <f>'12 - Device_Configuration'!AJ177</f>
        <v>0</v>
      </c>
      <c r="E176" s="15">
        <f>'12 - Device_Configuration'!J177</f>
        <v>0</v>
      </c>
      <c r="F176" s="23">
        <f>'12 - Device_Configuration'!K177</f>
        <v>0</v>
      </c>
      <c r="G176" s="15">
        <f>'12 - Device_Configuration'!L177</f>
        <v>0</v>
      </c>
      <c r="H176" s="15">
        <f>'13 - Config_Intake_View'!M176</f>
        <v>0</v>
      </c>
      <c r="I176" s="23">
        <f>IF('13 - Config_Intake_View'!Q176&lt;&gt;"",'13 - Config_Intake_View'!Q176,'12 - Device_Configuration'!BH177)</f>
        <v>0</v>
      </c>
      <c r="J176" s="15" t="str">
        <f>IF('13 - Config_Intake_View'!Q176&lt;&gt;"","PM Approved",IF('12 - Device_Configuration'!BH177&lt;&gt;"","Assumed",""))</f>
        <v/>
      </c>
      <c r="K176" s="23">
        <f>'12 - Device_Configuration'!BG177</f>
        <v>0</v>
      </c>
      <c r="L176" s="15">
        <f>'12 - Device_Configuration'!P177</f>
        <v>0</v>
      </c>
      <c r="M176" s="15">
        <f>'12 - Device_Configuration'!Q177</f>
        <v>0</v>
      </c>
      <c r="N176" s="15" t="str">
        <f>'12 - Device_Configuration'!BK177</f>
        <v/>
      </c>
      <c r="O176" s="23" t="str">
        <f>'12 - Device_Configuration'!BL177</f>
        <v/>
      </c>
      <c r="P176" s="2">
        <f>'12 - Device_Configuration'!BA177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'12 - Device_Configuration'!H178</f>
        <v>0</v>
      </c>
      <c r="B177" s="23">
        <f>'12 - Device_Configuration'!S178</f>
        <v>0</v>
      </c>
      <c r="C177" s="23">
        <f>'12 - Device_Configuration'!T178</f>
        <v>0</v>
      </c>
      <c r="D177" s="15">
        <f>'12 - Device_Configuration'!AJ178</f>
        <v>0</v>
      </c>
      <c r="E177" s="15">
        <f>'12 - Device_Configuration'!J178</f>
        <v>0</v>
      </c>
      <c r="F177" s="23">
        <f>'12 - Device_Configuration'!K178</f>
        <v>0</v>
      </c>
      <c r="G177" s="15">
        <f>'12 - Device_Configuration'!L178</f>
        <v>0</v>
      </c>
      <c r="H177" s="15">
        <f>'13 - Config_Intake_View'!M177</f>
        <v>0</v>
      </c>
      <c r="I177" s="23">
        <f>IF('13 - Config_Intake_View'!Q177&lt;&gt;"",'13 - Config_Intake_View'!Q177,'12 - Device_Configuration'!BH178)</f>
        <v>0</v>
      </c>
      <c r="J177" s="15" t="str">
        <f>IF('13 - Config_Intake_View'!Q177&lt;&gt;"","PM Approved",IF('12 - Device_Configuration'!BH178&lt;&gt;"","Assumed",""))</f>
        <v/>
      </c>
      <c r="K177" s="23">
        <f>'12 - Device_Configuration'!BG178</f>
        <v>0</v>
      </c>
      <c r="L177" s="15">
        <f>'12 - Device_Configuration'!P178</f>
        <v>0</v>
      </c>
      <c r="M177" s="15">
        <f>'12 - Device_Configuration'!Q178</f>
        <v>0</v>
      </c>
      <c r="N177" s="15" t="str">
        <f>'12 - Device_Configuration'!BK178</f>
        <v/>
      </c>
      <c r="O177" s="23" t="str">
        <f>'12 - Device_Configuration'!BL178</f>
        <v/>
      </c>
      <c r="P177" s="2">
        <f>'12 - Device_Configuration'!BA178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'12 - Device_Configuration'!H179</f>
        <v>0</v>
      </c>
      <c r="B178" s="23">
        <f>'12 - Device_Configuration'!S179</f>
        <v>0</v>
      </c>
      <c r="C178" s="23">
        <f>'12 - Device_Configuration'!T179</f>
        <v>0</v>
      </c>
      <c r="D178" s="15">
        <f>'12 - Device_Configuration'!AJ179</f>
        <v>0</v>
      </c>
      <c r="E178" s="15">
        <f>'12 - Device_Configuration'!J179</f>
        <v>0</v>
      </c>
      <c r="F178" s="23">
        <f>'12 - Device_Configuration'!K179</f>
        <v>0</v>
      </c>
      <c r="G178" s="15">
        <f>'12 - Device_Configuration'!L179</f>
        <v>0</v>
      </c>
      <c r="H178" s="15">
        <f>'13 - Config_Intake_View'!M178</f>
        <v>0</v>
      </c>
      <c r="I178" s="23">
        <f>IF('13 - Config_Intake_View'!Q178&lt;&gt;"",'13 - Config_Intake_View'!Q178,'12 - Device_Configuration'!BH179)</f>
        <v>0</v>
      </c>
      <c r="J178" s="15" t="str">
        <f>IF('13 - Config_Intake_View'!Q178&lt;&gt;"","PM Approved",IF('12 - Device_Configuration'!BH179&lt;&gt;"","Assumed",""))</f>
        <v/>
      </c>
      <c r="K178" s="23">
        <f>'12 - Device_Configuration'!BG179</f>
        <v>0</v>
      </c>
      <c r="L178" s="15">
        <f>'12 - Device_Configuration'!P179</f>
        <v>0</v>
      </c>
      <c r="M178" s="15">
        <f>'12 - Device_Configuration'!Q179</f>
        <v>0</v>
      </c>
      <c r="N178" s="15" t="str">
        <f>'12 - Device_Configuration'!BK179</f>
        <v/>
      </c>
      <c r="O178" s="23" t="str">
        <f>'12 - Device_Configuration'!BL179</f>
        <v/>
      </c>
      <c r="P178" s="2">
        <f>'12 - Device_Configuration'!BA179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'12 - Device_Configuration'!H180</f>
        <v>0</v>
      </c>
      <c r="B179" s="23">
        <f>'12 - Device_Configuration'!S180</f>
        <v>0</v>
      </c>
      <c r="C179" s="23">
        <f>'12 - Device_Configuration'!T180</f>
        <v>0</v>
      </c>
      <c r="D179" s="15">
        <f>'12 - Device_Configuration'!AJ180</f>
        <v>0</v>
      </c>
      <c r="E179" s="15">
        <f>'12 - Device_Configuration'!J180</f>
        <v>0</v>
      </c>
      <c r="F179" s="23">
        <f>'12 - Device_Configuration'!K180</f>
        <v>0</v>
      </c>
      <c r="G179" s="15">
        <f>'12 - Device_Configuration'!L180</f>
        <v>0</v>
      </c>
      <c r="H179" s="15">
        <f>'13 - Config_Intake_View'!M179</f>
        <v>0</v>
      </c>
      <c r="I179" s="23">
        <f>IF('13 - Config_Intake_View'!Q179&lt;&gt;"",'13 - Config_Intake_View'!Q179,'12 - Device_Configuration'!BH180)</f>
        <v>0</v>
      </c>
      <c r="J179" s="15" t="str">
        <f>IF('13 - Config_Intake_View'!Q179&lt;&gt;"","PM Approved",IF('12 - Device_Configuration'!BH180&lt;&gt;"","Assumed",""))</f>
        <v/>
      </c>
      <c r="K179" s="23">
        <f>'12 - Device_Configuration'!BG180</f>
        <v>0</v>
      </c>
      <c r="L179" s="15">
        <f>'12 - Device_Configuration'!P180</f>
        <v>0</v>
      </c>
      <c r="M179" s="15">
        <f>'12 - Device_Configuration'!Q180</f>
        <v>0</v>
      </c>
      <c r="N179" s="15" t="str">
        <f>'12 - Device_Configuration'!BK180</f>
        <v/>
      </c>
      <c r="O179" s="23" t="str">
        <f>'12 - Device_Configuration'!BL180</f>
        <v/>
      </c>
      <c r="P179" s="2">
        <f>'12 - Device_Configuration'!BA180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'12 - Device_Configuration'!H181</f>
        <v>0</v>
      </c>
      <c r="B180" s="23">
        <f>'12 - Device_Configuration'!S181</f>
        <v>0</v>
      </c>
      <c r="C180" s="23">
        <f>'12 - Device_Configuration'!T181</f>
        <v>0</v>
      </c>
      <c r="D180" s="15">
        <f>'12 - Device_Configuration'!AJ181</f>
        <v>0</v>
      </c>
      <c r="E180" s="15">
        <f>'12 - Device_Configuration'!J181</f>
        <v>0</v>
      </c>
      <c r="F180" s="23">
        <f>'12 - Device_Configuration'!K181</f>
        <v>0</v>
      </c>
      <c r="G180" s="15">
        <f>'12 - Device_Configuration'!L181</f>
        <v>0</v>
      </c>
      <c r="H180" s="15">
        <f>'13 - Config_Intake_View'!M180</f>
        <v>0</v>
      </c>
      <c r="I180" s="23">
        <f>IF('13 - Config_Intake_View'!Q180&lt;&gt;"",'13 - Config_Intake_View'!Q180,'12 - Device_Configuration'!BH181)</f>
        <v>0</v>
      </c>
      <c r="J180" s="15" t="str">
        <f>IF('13 - Config_Intake_View'!Q180&lt;&gt;"","PM Approved",IF('12 - Device_Configuration'!BH181&lt;&gt;"","Assumed",""))</f>
        <v/>
      </c>
      <c r="K180" s="23">
        <f>'12 - Device_Configuration'!BG181</f>
        <v>0</v>
      </c>
      <c r="L180" s="15">
        <f>'12 - Device_Configuration'!P181</f>
        <v>0</v>
      </c>
      <c r="M180" s="15">
        <f>'12 - Device_Configuration'!Q181</f>
        <v>0</v>
      </c>
      <c r="N180" s="15" t="str">
        <f>'12 - Device_Configuration'!BK181</f>
        <v/>
      </c>
      <c r="O180" s="23" t="str">
        <f>'12 - Device_Configuration'!BL181</f>
        <v/>
      </c>
      <c r="P180" s="2">
        <f>'12 - Device_Configuration'!BA181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'12 - Device_Configuration'!H182</f>
        <v>0</v>
      </c>
      <c r="B181" s="23">
        <f>'12 - Device_Configuration'!S182</f>
        <v>0</v>
      </c>
      <c r="C181" s="23">
        <f>'12 - Device_Configuration'!T182</f>
        <v>0</v>
      </c>
      <c r="D181" s="15">
        <f>'12 - Device_Configuration'!AJ182</f>
        <v>0</v>
      </c>
      <c r="E181" s="15">
        <f>'12 - Device_Configuration'!J182</f>
        <v>0</v>
      </c>
      <c r="F181" s="23">
        <f>'12 - Device_Configuration'!K182</f>
        <v>0</v>
      </c>
      <c r="G181" s="15">
        <f>'12 - Device_Configuration'!L182</f>
        <v>0</v>
      </c>
      <c r="H181" s="15">
        <f>'13 - Config_Intake_View'!M181</f>
        <v>0</v>
      </c>
      <c r="I181" s="23">
        <f>IF('13 - Config_Intake_View'!Q181&lt;&gt;"",'13 - Config_Intake_View'!Q181,'12 - Device_Configuration'!BH182)</f>
        <v>0</v>
      </c>
      <c r="J181" s="15" t="str">
        <f>IF('13 - Config_Intake_View'!Q181&lt;&gt;"","PM Approved",IF('12 - Device_Configuration'!BH182&lt;&gt;"","Assumed",""))</f>
        <v/>
      </c>
      <c r="K181" s="23">
        <f>'12 - Device_Configuration'!BG182</f>
        <v>0</v>
      </c>
      <c r="L181" s="15">
        <f>'12 - Device_Configuration'!P182</f>
        <v>0</v>
      </c>
      <c r="M181" s="15">
        <f>'12 - Device_Configuration'!Q182</f>
        <v>0</v>
      </c>
      <c r="N181" s="15" t="str">
        <f>'12 - Device_Configuration'!BK182</f>
        <v/>
      </c>
      <c r="O181" s="23" t="str">
        <f>'12 - Device_Configuration'!BL182</f>
        <v/>
      </c>
      <c r="P181" s="2">
        <f>'12 - Device_Configuration'!BA182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'12 - Device_Configuration'!H183</f>
        <v>0</v>
      </c>
      <c r="B182" s="23">
        <f>'12 - Device_Configuration'!S183</f>
        <v>0</v>
      </c>
      <c r="C182" s="23">
        <f>'12 - Device_Configuration'!T183</f>
        <v>0</v>
      </c>
      <c r="D182" s="15">
        <f>'12 - Device_Configuration'!AJ183</f>
        <v>0</v>
      </c>
      <c r="E182" s="15">
        <f>'12 - Device_Configuration'!J183</f>
        <v>0</v>
      </c>
      <c r="F182" s="23">
        <f>'12 - Device_Configuration'!K183</f>
        <v>0</v>
      </c>
      <c r="G182" s="15">
        <f>'12 - Device_Configuration'!L183</f>
        <v>0</v>
      </c>
      <c r="H182" s="15">
        <f>'13 - Config_Intake_View'!M182</f>
        <v>0</v>
      </c>
      <c r="I182" s="23">
        <f>IF('13 - Config_Intake_View'!Q182&lt;&gt;"",'13 - Config_Intake_View'!Q182,'12 - Device_Configuration'!BH183)</f>
        <v>0</v>
      </c>
      <c r="J182" s="15" t="str">
        <f>IF('13 - Config_Intake_View'!Q182&lt;&gt;"","PM Approved",IF('12 - Device_Configuration'!BH183&lt;&gt;"","Assumed",""))</f>
        <v/>
      </c>
      <c r="K182" s="23">
        <f>'12 - Device_Configuration'!BG183</f>
        <v>0</v>
      </c>
      <c r="L182" s="15">
        <f>'12 - Device_Configuration'!P183</f>
        <v>0</v>
      </c>
      <c r="M182" s="15">
        <f>'12 - Device_Configuration'!Q183</f>
        <v>0</v>
      </c>
      <c r="N182" s="15" t="str">
        <f>'12 - Device_Configuration'!BK183</f>
        <v/>
      </c>
      <c r="O182" s="23" t="str">
        <f>'12 - Device_Configuration'!BL183</f>
        <v/>
      </c>
      <c r="P182" s="2">
        <f>'12 - Device_Configuration'!BA183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'12 - Device_Configuration'!H184</f>
        <v>0</v>
      </c>
      <c r="B183" s="23">
        <f>'12 - Device_Configuration'!S184</f>
        <v>0</v>
      </c>
      <c r="C183" s="23">
        <f>'12 - Device_Configuration'!T184</f>
        <v>0</v>
      </c>
      <c r="D183" s="15">
        <f>'12 - Device_Configuration'!AJ184</f>
        <v>0</v>
      </c>
      <c r="E183" s="15">
        <f>'12 - Device_Configuration'!J184</f>
        <v>0</v>
      </c>
      <c r="F183" s="23">
        <f>'12 - Device_Configuration'!K184</f>
        <v>0</v>
      </c>
      <c r="G183" s="15">
        <f>'12 - Device_Configuration'!L184</f>
        <v>0</v>
      </c>
      <c r="H183" s="15">
        <f>'13 - Config_Intake_View'!M183</f>
        <v>0</v>
      </c>
      <c r="I183" s="23">
        <f>IF('13 - Config_Intake_View'!Q183&lt;&gt;"",'13 - Config_Intake_View'!Q183,'12 - Device_Configuration'!BH184)</f>
        <v>0</v>
      </c>
      <c r="J183" s="15" t="str">
        <f>IF('13 - Config_Intake_View'!Q183&lt;&gt;"","PM Approved",IF('12 - Device_Configuration'!BH184&lt;&gt;"","Assumed",""))</f>
        <v/>
      </c>
      <c r="K183" s="23">
        <f>'12 - Device_Configuration'!BG184</f>
        <v>0</v>
      </c>
      <c r="L183" s="15">
        <f>'12 - Device_Configuration'!P184</f>
        <v>0</v>
      </c>
      <c r="M183" s="15">
        <f>'12 - Device_Configuration'!Q184</f>
        <v>0</v>
      </c>
      <c r="N183" s="15" t="str">
        <f>'12 - Device_Configuration'!BK184</f>
        <v/>
      </c>
      <c r="O183" s="23" t="str">
        <f>'12 - Device_Configuration'!BL184</f>
        <v/>
      </c>
      <c r="P183" s="2">
        <f>'12 - Device_Configuration'!BA184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'12 - Device_Configuration'!H185</f>
        <v>0</v>
      </c>
      <c r="B184" s="23">
        <f>'12 - Device_Configuration'!S185</f>
        <v>0</v>
      </c>
      <c r="C184" s="23">
        <f>'12 - Device_Configuration'!T185</f>
        <v>0</v>
      </c>
      <c r="D184" s="15">
        <f>'12 - Device_Configuration'!AJ185</f>
        <v>0</v>
      </c>
      <c r="E184" s="15">
        <f>'12 - Device_Configuration'!J185</f>
        <v>0</v>
      </c>
      <c r="F184" s="23">
        <f>'12 - Device_Configuration'!K185</f>
        <v>0</v>
      </c>
      <c r="G184" s="15">
        <f>'12 - Device_Configuration'!L185</f>
        <v>0</v>
      </c>
      <c r="H184" s="15">
        <f>'13 - Config_Intake_View'!M184</f>
        <v>0</v>
      </c>
      <c r="I184" s="23">
        <f>IF('13 - Config_Intake_View'!Q184&lt;&gt;"",'13 - Config_Intake_View'!Q184,'12 - Device_Configuration'!BH185)</f>
        <v>0</v>
      </c>
      <c r="J184" s="15" t="str">
        <f>IF('13 - Config_Intake_View'!Q184&lt;&gt;"","PM Approved",IF('12 - Device_Configuration'!BH185&lt;&gt;"","Assumed",""))</f>
        <v/>
      </c>
      <c r="K184" s="23">
        <f>'12 - Device_Configuration'!BG185</f>
        <v>0</v>
      </c>
      <c r="L184" s="15">
        <f>'12 - Device_Configuration'!P185</f>
        <v>0</v>
      </c>
      <c r="M184" s="15">
        <f>'12 - Device_Configuration'!Q185</f>
        <v>0</v>
      </c>
      <c r="N184" s="15" t="str">
        <f>'12 - Device_Configuration'!BK185</f>
        <v/>
      </c>
      <c r="O184" s="23" t="str">
        <f>'12 - Device_Configuration'!BL185</f>
        <v/>
      </c>
      <c r="P184" s="2">
        <f>'12 - Device_Configuration'!BA185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'12 - Device_Configuration'!H186</f>
        <v>0</v>
      </c>
      <c r="B185" s="23">
        <f>'12 - Device_Configuration'!S186</f>
        <v>0</v>
      </c>
      <c r="C185" s="23">
        <f>'12 - Device_Configuration'!T186</f>
        <v>0</v>
      </c>
      <c r="D185" s="15">
        <f>'12 - Device_Configuration'!AJ186</f>
        <v>0</v>
      </c>
      <c r="E185" s="15">
        <f>'12 - Device_Configuration'!J186</f>
        <v>0</v>
      </c>
      <c r="F185" s="23">
        <f>'12 - Device_Configuration'!K186</f>
        <v>0</v>
      </c>
      <c r="G185" s="15">
        <f>'12 - Device_Configuration'!L186</f>
        <v>0</v>
      </c>
      <c r="H185" s="15">
        <f>'13 - Config_Intake_View'!M185</f>
        <v>0</v>
      </c>
      <c r="I185" s="23">
        <f>IF('13 - Config_Intake_View'!Q185&lt;&gt;"",'13 - Config_Intake_View'!Q185,'12 - Device_Configuration'!BH186)</f>
        <v>0</v>
      </c>
      <c r="J185" s="15" t="str">
        <f>IF('13 - Config_Intake_View'!Q185&lt;&gt;"","PM Approved",IF('12 - Device_Configuration'!BH186&lt;&gt;"","Assumed",""))</f>
        <v/>
      </c>
      <c r="K185" s="23">
        <f>'12 - Device_Configuration'!BG186</f>
        <v>0</v>
      </c>
      <c r="L185" s="15">
        <f>'12 - Device_Configuration'!P186</f>
        <v>0</v>
      </c>
      <c r="M185" s="15">
        <f>'12 - Device_Configuration'!Q186</f>
        <v>0</v>
      </c>
      <c r="N185" s="15" t="str">
        <f>'12 - Device_Configuration'!BK186</f>
        <v/>
      </c>
      <c r="O185" s="23" t="str">
        <f>'12 - Device_Configuration'!BL186</f>
        <v/>
      </c>
      <c r="P185" s="2">
        <f>'12 - Device_Configuration'!BA186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'12 - Device_Configuration'!H187</f>
        <v>0</v>
      </c>
      <c r="B186" s="23">
        <f>'12 - Device_Configuration'!S187</f>
        <v>0</v>
      </c>
      <c r="C186" s="23">
        <f>'12 - Device_Configuration'!T187</f>
        <v>0</v>
      </c>
      <c r="D186" s="15">
        <f>'12 - Device_Configuration'!AJ187</f>
        <v>0</v>
      </c>
      <c r="E186" s="15">
        <f>'12 - Device_Configuration'!J187</f>
        <v>0</v>
      </c>
      <c r="F186" s="23">
        <f>'12 - Device_Configuration'!K187</f>
        <v>0</v>
      </c>
      <c r="G186" s="15">
        <f>'12 - Device_Configuration'!L187</f>
        <v>0</v>
      </c>
      <c r="H186" s="15">
        <f>'13 - Config_Intake_View'!M186</f>
        <v>0</v>
      </c>
      <c r="I186" s="23">
        <f>IF('13 - Config_Intake_View'!Q186&lt;&gt;"",'13 - Config_Intake_View'!Q186,'12 - Device_Configuration'!BH187)</f>
        <v>0</v>
      </c>
      <c r="J186" s="15" t="str">
        <f>IF('13 - Config_Intake_View'!Q186&lt;&gt;"","PM Approved",IF('12 - Device_Configuration'!BH187&lt;&gt;"","Assumed",""))</f>
        <v/>
      </c>
      <c r="K186" s="23">
        <f>'12 - Device_Configuration'!BG187</f>
        <v>0</v>
      </c>
      <c r="L186" s="15">
        <f>'12 - Device_Configuration'!P187</f>
        <v>0</v>
      </c>
      <c r="M186" s="15">
        <f>'12 - Device_Configuration'!Q187</f>
        <v>0</v>
      </c>
      <c r="N186" s="15" t="str">
        <f>'12 - Device_Configuration'!BK187</f>
        <v/>
      </c>
      <c r="O186" s="23" t="str">
        <f>'12 - Device_Configuration'!BL187</f>
        <v/>
      </c>
      <c r="P186" s="2">
        <f>'12 - Device_Configuration'!BA187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'12 - Device_Configuration'!H188</f>
        <v>0</v>
      </c>
      <c r="B187" s="23">
        <f>'12 - Device_Configuration'!S188</f>
        <v>0</v>
      </c>
      <c r="C187" s="23">
        <f>'12 - Device_Configuration'!T188</f>
        <v>0</v>
      </c>
      <c r="D187" s="15">
        <f>'12 - Device_Configuration'!AJ188</f>
        <v>0</v>
      </c>
      <c r="E187" s="15">
        <f>'12 - Device_Configuration'!J188</f>
        <v>0</v>
      </c>
      <c r="F187" s="23">
        <f>'12 - Device_Configuration'!K188</f>
        <v>0</v>
      </c>
      <c r="G187" s="15">
        <f>'12 - Device_Configuration'!L188</f>
        <v>0</v>
      </c>
      <c r="H187" s="15">
        <f>'13 - Config_Intake_View'!M187</f>
        <v>0</v>
      </c>
      <c r="I187" s="23">
        <f>IF('13 - Config_Intake_View'!Q187&lt;&gt;"",'13 - Config_Intake_View'!Q187,'12 - Device_Configuration'!BH188)</f>
        <v>0</v>
      </c>
      <c r="J187" s="15" t="str">
        <f>IF('13 - Config_Intake_View'!Q187&lt;&gt;"","PM Approved",IF('12 - Device_Configuration'!BH188&lt;&gt;"","Assumed",""))</f>
        <v/>
      </c>
      <c r="K187" s="23">
        <f>'12 - Device_Configuration'!BG188</f>
        <v>0</v>
      </c>
      <c r="L187" s="15">
        <f>'12 - Device_Configuration'!P188</f>
        <v>0</v>
      </c>
      <c r="M187" s="15">
        <f>'12 - Device_Configuration'!Q188</f>
        <v>0</v>
      </c>
      <c r="N187" s="15" t="str">
        <f>'12 - Device_Configuration'!BK188</f>
        <v/>
      </c>
      <c r="O187" s="23" t="str">
        <f>'12 - Device_Configuration'!BL188</f>
        <v/>
      </c>
      <c r="P187" s="2">
        <f>'12 - Device_Configuration'!BA188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'12 - Device_Configuration'!H189</f>
        <v>0</v>
      </c>
      <c r="B188" s="23">
        <f>'12 - Device_Configuration'!S189</f>
        <v>0</v>
      </c>
      <c r="C188" s="23">
        <f>'12 - Device_Configuration'!T189</f>
        <v>0</v>
      </c>
      <c r="D188" s="15">
        <f>'12 - Device_Configuration'!AJ189</f>
        <v>0</v>
      </c>
      <c r="E188" s="15">
        <f>'12 - Device_Configuration'!J189</f>
        <v>0</v>
      </c>
      <c r="F188" s="23">
        <f>'12 - Device_Configuration'!K189</f>
        <v>0</v>
      </c>
      <c r="G188" s="15">
        <f>'12 - Device_Configuration'!L189</f>
        <v>0</v>
      </c>
      <c r="H188" s="15">
        <f>'13 - Config_Intake_View'!M188</f>
        <v>0</v>
      </c>
      <c r="I188" s="23">
        <f>IF('13 - Config_Intake_View'!Q188&lt;&gt;"",'13 - Config_Intake_View'!Q188,'12 - Device_Configuration'!BH189)</f>
        <v>0</v>
      </c>
      <c r="J188" s="15" t="str">
        <f>IF('13 - Config_Intake_View'!Q188&lt;&gt;"","PM Approved",IF('12 - Device_Configuration'!BH189&lt;&gt;"","Assumed",""))</f>
        <v/>
      </c>
      <c r="K188" s="23">
        <f>'12 - Device_Configuration'!BG189</f>
        <v>0</v>
      </c>
      <c r="L188" s="15">
        <f>'12 - Device_Configuration'!P189</f>
        <v>0</v>
      </c>
      <c r="M188" s="15">
        <f>'12 - Device_Configuration'!Q189</f>
        <v>0</v>
      </c>
      <c r="N188" s="15" t="str">
        <f>'12 - Device_Configuration'!BK189</f>
        <v/>
      </c>
      <c r="O188" s="23" t="str">
        <f>'12 - Device_Configuration'!BL189</f>
        <v/>
      </c>
      <c r="P188" s="2">
        <f>'12 - Device_Configuration'!BA189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'12 - Device_Configuration'!H190</f>
        <v>0</v>
      </c>
      <c r="B189" s="23">
        <f>'12 - Device_Configuration'!S190</f>
        <v>0</v>
      </c>
      <c r="C189" s="23">
        <f>'12 - Device_Configuration'!T190</f>
        <v>0</v>
      </c>
      <c r="D189" s="15">
        <f>'12 - Device_Configuration'!AJ190</f>
        <v>0</v>
      </c>
      <c r="E189" s="15">
        <f>'12 - Device_Configuration'!J190</f>
        <v>0</v>
      </c>
      <c r="F189" s="23">
        <f>'12 - Device_Configuration'!K190</f>
        <v>0</v>
      </c>
      <c r="G189" s="15">
        <f>'12 - Device_Configuration'!L190</f>
        <v>0</v>
      </c>
      <c r="H189" s="15">
        <f>'13 - Config_Intake_View'!M189</f>
        <v>0</v>
      </c>
      <c r="I189" s="23">
        <f>IF('13 - Config_Intake_View'!Q189&lt;&gt;"",'13 - Config_Intake_View'!Q189,'12 - Device_Configuration'!BH190)</f>
        <v>0</v>
      </c>
      <c r="J189" s="15" t="str">
        <f>IF('13 - Config_Intake_View'!Q189&lt;&gt;"","PM Approved",IF('12 - Device_Configuration'!BH190&lt;&gt;"","Assumed",""))</f>
        <v/>
      </c>
      <c r="K189" s="23">
        <f>'12 - Device_Configuration'!BG190</f>
        <v>0</v>
      </c>
      <c r="L189" s="15">
        <f>'12 - Device_Configuration'!P190</f>
        <v>0</v>
      </c>
      <c r="M189" s="15">
        <f>'12 - Device_Configuration'!Q190</f>
        <v>0</v>
      </c>
      <c r="N189" s="15" t="str">
        <f>'12 - Device_Configuration'!BK190</f>
        <v/>
      </c>
      <c r="O189" s="23" t="str">
        <f>'12 - Device_Configuration'!BL190</f>
        <v/>
      </c>
      <c r="P189" s="2">
        <f>'12 - Device_Configuration'!BA190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'12 - Device_Configuration'!H191</f>
        <v>0</v>
      </c>
      <c r="B190" s="23">
        <f>'12 - Device_Configuration'!S191</f>
        <v>0</v>
      </c>
      <c r="C190" s="23">
        <f>'12 - Device_Configuration'!T191</f>
        <v>0</v>
      </c>
      <c r="D190" s="15">
        <f>'12 - Device_Configuration'!AJ191</f>
        <v>0</v>
      </c>
      <c r="E190" s="15">
        <f>'12 - Device_Configuration'!J191</f>
        <v>0</v>
      </c>
      <c r="F190" s="23">
        <f>'12 - Device_Configuration'!K191</f>
        <v>0</v>
      </c>
      <c r="G190" s="15">
        <f>'12 - Device_Configuration'!L191</f>
        <v>0</v>
      </c>
      <c r="H190" s="15">
        <f>'13 - Config_Intake_View'!M190</f>
        <v>0</v>
      </c>
      <c r="I190" s="23">
        <f>IF('13 - Config_Intake_View'!Q190&lt;&gt;"",'13 - Config_Intake_View'!Q190,'12 - Device_Configuration'!BH191)</f>
        <v>0</v>
      </c>
      <c r="J190" s="15" t="str">
        <f>IF('13 - Config_Intake_View'!Q190&lt;&gt;"","PM Approved",IF('12 - Device_Configuration'!BH191&lt;&gt;"","Assumed",""))</f>
        <v/>
      </c>
      <c r="K190" s="23">
        <f>'12 - Device_Configuration'!BG191</f>
        <v>0</v>
      </c>
      <c r="L190" s="15">
        <f>'12 - Device_Configuration'!P191</f>
        <v>0</v>
      </c>
      <c r="M190" s="15">
        <f>'12 - Device_Configuration'!Q191</f>
        <v>0</v>
      </c>
      <c r="N190" s="15" t="str">
        <f>'12 - Device_Configuration'!BK191</f>
        <v/>
      </c>
      <c r="O190" s="23" t="str">
        <f>'12 - Device_Configuration'!BL191</f>
        <v/>
      </c>
      <c r="P190" s="2">
        <f>'12 - Device_Configuration'!BA191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'12 - Device_Configuration'!H192</f>
        <v>0</v>
      </c>
      <c r="B191" s="23">
        <f>'12 - Device_Configuration'!S192</f>
        <v>0</v>
      </c>
      <c r="C191" s="23">
        <f>'12 - Device_Configuration'!T192</f>
        <v>0</v>
      </c>
      <c r="D191" s="15">
        <f>'12 - Device_Configuration'!AJ192</f>
        <v>0</v>
      </c>
      <c r="E191" s="15">
        <f>'12 - Device_Configuration'!J192</f>
        <v>0</v>
      </c>
      <c r="F191" s="23">
        <f>'12 - Device_Configuration'!K192</f>
        <v>0</v>
      </c>
      <c r="G191" s="15">
        <f>'12 - Device_Configuration'!L192</f>
        <v>0</v>
      </c>
      <c r="H191" s="15">
        <f>'13 - Config_Intake_View'!M191</f>
        <v>0</v>
      </c>
      <c r="I191" s="23">
        <f>IF('13 - Config_Intake_View'!Q191&lt;&gt;"",'13 - Config_Intake_View'!Q191,'12 - Device_Configuration'!BH192)</f>
        <v>0</v>
      </c>
      <c r="J191" s="15" t="str">
        <f>IF('13 - Config_Intake_View'!Q191&lt;&gt;"","PM Approved",IF('12 - Device_Configuration'!BH192&lt;&gt;"","Assumed",""))</f>
        <v/>
      </c>
      <c r="K191" s="23">
        <f>'12 - Device_Configuration'!BG192</f>
        <v>0</v>
      </c>
      <c r="L191" s="15">
        <f>'12 - Device_Configuration'!P192</f>
        <v>0</v>
      </c>
      <c r="M191" s="15">
        <f>'12 - Device_Configuration'!Q192</f>
        <v>0</v>
      </c>
      <c r="N191" s="15" t="str">
        <f>'12 - Device_Configuration'!BK192</f>
        <v/>
      </c>
      <c r="O191" s="23" t="str">
        <f>'12 - Device_Configuration'!BL192</f>
        <v/>
      </c>
      <c r="P191" s="2">
        <f>'12 - Device_Configuration'!BA192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'12 - Device_Configuration'!H193</f>
        <v>0</v>
      </c>
      <c r="B192" s="23">
        <f>'12 - Device_Configuration'!S193</f>
        <v>0</v>
      </c>
      <c r="C192" s="23">
        <f>'12 - Device_Configuration'!T193</f>
        <v>0</v>
      </c>
      <c r="D192" s="15">
        <f>'12 - Device_Configuration'!AJ193</f>
        <v>0</v>
      </c>
      <c r="E192" s="15">
        <f>'12 - Device_Configuration'!J193</f>
        <v>0</v>
      </c>
      <c r="F192" s="23">
        <f>'12 - Device_Configuration'!K193</f>
        <v>0</v>
      </c>
      <c r="G192" s="15">
        <f>'12 - Device_Configuration'!L193</f>
        <v>0</v>
      </c>
      <c r="H192" s="15">
        <f>'13 - Config_Intake_View'!M192</f>
        <v>0</v>
      </c>
      <c r="I192" s="23">
        <f>IF('13 - Config_Intake_View'!Q192&lt;&gt;"",'13 - Config_Intake_View'!Q192,'12 - Device_Configuration'!BH193)</f>
        <v>0</v>
      </c>
      <c r="J192" s="15" t="str">
        <f>IF('13 - Config_Intake_View'!Q192&lt;&gt;"","PM Approved",IF('12 - Device_Configuration'!BH193&lt;&gt;"","Assumed",""))</f>
        <v/>
      </c>
      <c r="K192" s="23">
        <f>'12 - Device_Configuration'!BG193</f>
        <v>0</v>
      </c>
      <c r="L192" s="15">
        <f>'12 - Device_Configuration'!P193</f>
        <v>0</v>
      </c>
      <c r="M192" s="15">
        <f>'12 - Device_Configuration'!Q193</f>
        <v>0</v>
      </c>
      <c r="N192" s="15" t="str">
        <f>'12 - Device_Configuration'!BK193</f>
        <v/>
      </c>
      <c r="O192" s="23" t="str">
        <f>'12 - Device_Configuration'!BL193</f>
        <v/>
      </c>
      <c r="P192" s="2">
        <f>'12 - Device_Configuration'!BA193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'12 - Device_Configuration'!H194</f>
        <v>0</v>
      </c>
      <c r="B193" s="23">
        <f>'12 - Device_Configuration'!S194</f>
        <v>0</v>
      </c>
      <c r="C193" s="23">
        <f>'12 - Device_Configuration'!T194</f>
        <v>0</v>
      </c>
      <c r="D193" s="15">
        <f>'12 - Device_Configuration'!AJ194</f>
        <v>0</v>
      </c>
      <c r="E193" s="15">
        <f>'12 - Device_Configuration'!J194</f>
        <v>0</v>
      </c>
      <c r="F193" s="23">
        <f>'12 - Device_Configuration'!K194</f>
        <v>0</v>
      </c>
      <c r="G193" s="15">
        <f>'12 - Device_Configuration'!L194</f>
        <v>0</v>
      </c>
      <c r="H193" s="15">
        <f>'13 - Config_Intake_View'!M193</f>
        <v>0</v>
      </c>
      <c r="I193" s="23">
        <f>IF('13 - Config_Intake_View'!Q193&lt;&gt;"",'13 - Config_Intake_View'!Q193,'12 - Device_Configuration'!BH194)</f>
        <v>0</v>
      </c>
      <c r="J193" s="15" t="str">
        <f>IF('13 - Config_Intake_View'!Q193&lt;&gt;"","PM Approved",IF('12 - Device_Configuration'!BH194&lt;&gt;"","Assumed",""))</f>
        <v/>
      </c>
      <c r="K193" s="23">
        <f>'12 - Device_Configuration'!BG194</f>
        <v>0</v>
      </c>
      <c r="L193" s="15">
        <f>'12 - Device_Configuration'!P194</f>
        <v>0</v>
      </c>
      <c r="M193" s="15">
        <f>'12 - Device_Configuration'!Q194</f>
        <v>0</v>
      </c>
      <c r="N193" s="15" t="str">
        <f>'12 - Device_Configuration'!BK194</f>
        <v/>
      </c>
      <c r="O193" s="23" t="str">
        <f>'12 - Device_Configuration'!BL194</f>
        <v/>
      </c>
      <c r="P193" s="2">
        <f>'12 - Device_Configuration'!BA194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'12 - Device_Configuration'!H195</f>
        <v>0</v>
      </c>
      <c r="B194" s="23">
        <f>'12 - Device_Configuration'!S195</f>
        <v>0</v>
      </c>
      <c r="C194" s="23">
        <f>'12 - Device_Configuration'!T195</f>
        <v>0</v>
      </c>
      <c r="D194" s="15">
        <f>'12 - Device_Configuration'!AJ195</f>
        <v>0</v>
      </c>
      <c r="E194" s="15">
        <f>'12 - Device_Configuration'!J195</f>
        <v>0</v>
      </c>
      <c r="F194" s="23">
        <f>'12 - Device_Configuration'!K195</f>
        <v>0</v>
      </c>
      <c r="G194" s="15">
        <f>'12 - Device_Configuration'!L195</f>
        <v>0</v>
      </c>
      <c r="H194" s="15">
        <f>'13 - Config_Intake_View'!M194</f>
        <v>0</v>
      </c>
      <c r="I194" s="23">
        <f>IF('13 - Config_Intake_View'!Q194&lt;&gt;"",'13 - Config_Intake_View'!Q194,'12 - Device_Configuration'!BH195)</f>
        <v>0</v>
      </c>
      <c r="J194" s="15" t="str">
        <f>IF('13 - Config_Intake_View'!Q194&lt;&gt;"","PM Approved",IF('12 - Device_Configuration'!BH195&lt;&gt;"","Assumed",""))</f>
        <v/>
      </c>
      <c r="K194" s="23">
        <f>'12 - Device_Configuration'!BG195</f>
        <v>0</v>
      </c>
      <c r="L194" s="15">
        <f>'12 - Device_Configuration'!P195</f>
        <v>0</v>
      </c>
      <c r="M194" s="15">
        <f>'12 - Device_Configuration'!Q195</f>
        <v>0</v>
      </c>
      <c r="N194" s="15" t="str">
        <f>'12 - Device_Configuration'!BK195</f>
        <v/>
      </c>
      <c r="O194" s="23" t="str">
        <f>'12 - Device_Configuration'!BL195</f>
        <v/>
      </c>
      <c r="P194" s="2">
        <f>'12 - Device_Configuration'!BA195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'12 - Device_Configuration'!H196</f>
        <v>0</v>
      </c>
      <c r="B195" s="23">
        <f>'12 - Device_Configuration'!S196</f>
        <v>0</v>
      </c>
      <c r="C195" s="23">
        <f>'12 - Device_Configuration'!T196</f>
        <v>0</v>
      </c>
      <c r="D195" s="15">
        <f>'12 - Device_Configuration'!AJ196</f>
        <v>0</v>
      </c>
      <c r="E195" s="15">
        <f>'12 - Device_Configuration'!J196</f>
        <v>0</v>
      </c>
      <c r="F195" s="23">
        <f>'12 - Device_Configuration'!K196</f>
        <v>0</v>
      </c>
      <c r="G195" s="15">
        <f>'12 - Device_Configuration'!L196</f>
        <v>0</v>
      </c>
      <c r="H195" s="15">
        <f>'13 - Config_Intake_View'!M195</f>
        <v>0</v>
      </c>
      <c r="I195" s="23">
        <f>IF('13 - Config_Intake_View'!Q195&lt;&gt;"",'13 - Config_Intake_View'!Q195,'12 - Device_Configuration'!BH196)</f>
        <v>0</v>
      </c>
      <c r="J195" s="15" t="str">
        <f>IF('13 - Config_Intake_View'!Q195&lt;&gt;"","PM Approved",IF('12 - Device_Configuration'!BH196&lt;&gt;"","Assumed",""))</f>
        <v/>
      </c>
      <c r="K195" s="23">
        <f>'12 - Device_Configuration'!BG196</f>
        <v>0</v>
      </c>
      <c r="L195" s="15">
        <f>'12 - Device_Configuration'!P196</f>
        <v>0</v>
      </c>
      <c r="M195" s="15">
        <f>'12 - Device_Configuration'!Q196</f>
        <v>0</v>
      </c>
      <c r="N195" s="15" t="str">
        <f>'12 - Device_Configuration'!BK196</f>
        <v/>
      </c>
      <c r="O195" s="23" t="str">
        <f>'12 - Device_Configuration'!BL196</f>
        <v/>
      </c>
      <c r="P195" s="2">
        <f>'12 - Device_Configuration'!BA196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'12 - Device_Configuration'!H197</f>
        <v>0</v>
      </c>
      <c r="B196" s="23">
        <f>'12 - Device_Configuration'!S197</f>
        <v>0</v>
      </c>
      <c r="C196" s="23">
        <f>'12 - Device_Configuration'!T197</f>
        <v>0</v>
      </c>
      <c r="D196" s="15">
        <f>'12 - Device_Configuration'!AJ197</f>
        <v>0</v>
      </c>
      <c r="E196" s="15">
        <f>'12 - Device_Configuration'!J197</f>
        <v>0</v>
      </c>
      <c r="F196" s="23">
        <f>'12 - Device_Configuration'!K197</f>
        <v>0</v>
      </c>
      <c r="G196" s="15">
        <f>'12 - Device_Configuration'!L197</f>
        <v>0</v>
      </c>
      <c r="H196" s="15">
        <f>'13 - Config_Intake_View'!M196</f>
        <v>0</v>
      </c>
      <c r="I196" s="23">
        <f>IF('13 - Config_Intake_View'!Q196&lt;&gt;"",'13 - Config_Intake_View'!Q196,'12 - Device_Configuration'!BH197)</f>
        <v>0</v>
      </c>
      <c r="J196" s="15" t="str">
        <f>IF('13 - Config_Intake_View'!Q196&lt;&gt;"","PM Approved",IF('12 - Device_Configuration'!BH197&lt;&gt;"","Assumed",""))</f>
        <v/>
      </c>
      <c r="K196" s="23">
        <f>'12 - Device_Configuration'!BG197</f>
        <v>0</v>
      </c>
      <c r="L196" s="15">
        <f>'12 - Device_Configuration'!P197</f>
        <v>0</v>
      </c>
      <c r="M196" s="15">
        <f>'12 - Device_Configuration'!Q197</f>
        <v>0</v>
      </c>
      <c r="N196" s="15" t="str">
        <f>'12 - Device_Configuration'!BK197</f>
        <v/>
      </c>
      <c r="O196" s="23" t="str">
        <f>'12 - Device_Configuration'!BL197</f>
        <v/>
      </c>
      <c r="P196" s="2">
        <f>'12 - Device_Configuration'!BA197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'12 - Device_Configuration'!H198</f>
        <v>0</v>
      </c>
      <c r="B197" s="23">
        <f>'12 - Device_Configuration'!S198</f>
        <v>0</v>
      </c>
      <c r="C197" s="23">
        <f>'12 - Device_Configuration'!T198</f>
        <v>0</v>
      </c>
      <c r="D197" s="15">
        <f>'12 - Device_Configuration'!AJ198</f>
        <v>0</v>
      </c>
      <c r="E197" s="15">
        <f>'12 - Device_Configuration'!J198</f>
        <v>0</v>
      </c>
      <c r="F197" s="23">
        <f>'12 - Device_Configuration'!K198</f>
        <v>0</v>
      </c>
      <c r="G197" s="15">
        <f>'12 - Device_Configuration'!L198</f>
        <v>0</v>
      </c>
      <c r="H197" s="15">
        <f>'13 - Config_Intake_View'!M197</f>
        <v>0</v>
      </c>
      <c r="I197" s="23">
        <f>IF('13 - Config_Intake_View'!Q197&lt;&gt;"",'13 - Config_Intake_View'!Q197,'12 - Device_Configuration'!BH198)</f>
        <v>0</v>
      </c>
      <c r="J197" s="15" t="str">
        <f>IF('13 - Config_Intake_View'!Q197&lt;&gt;"","PM Approved",IF('12 - Device_Configuration'!BH198&lt;&gt;"","Assumed",""))</f>
        <v/>
      </c>
      <c r="K197" s="23">
        <f>'12 - Device_Configuration'!BG198</f>
        <v>0</v>
      </c>
      <c r="L197" s="15">
        <f>'12 - Device_Configuration'!P198</f>
        <v>0</v>
      </c>
      <c r="M197" s="15">
        <f>'12 - Device_Configuration'!Q198</f>
        <v>0</v>
      </c>
      <c r="N197" s="15" t="str">
        <f>'12 - Device_Configuration'!BK198</f>
        <v/>
      </c>
      <c r="O197" s="23" t="str">
        <f>'12 - Device_Configuration'!BL198</f>
        <v/>
      </c>
      <c r="P197" s="2">
        <f>'12 - Device_Configuration'!BA198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'12 - Device_Configuration'!H199</f>
        <v>0</v>
      </c>
      <c r="B198" s="23">
        <f>'12 - Device_Configuration'!S199</f>
        <v>0</v>
      </c>
      <c r="C198" s="23">
        <f>'12 - Device_Configuration'!T199</f>
        <v>0</v>
      </c>
      <c r="D198" s="15">
        <f>'12 - Device_Configuration'!AJ199</f>
        <v>0</v>
      </c>
      <c r="E198" s="15">
        <f>'12 - Device_Configuration'!J199</f>
        <v>0</v>
      </c>
      <c r="F198" s="23">
        <f>'12 - Device_Configuration'!K199</f>
        <v>0</v>
      </c>
      <c r="G198" s="15">
        <f>'12 - Device_Configuration'!L199</f>
        <v>0</v>
      </c>
      <c r="H198" s="15">
        <f>'13 - Config_Intake_View'!M198</f>
        <v>0</v>
      </c>
      <c r="I198" s="23">
        <f>IF('13 - Config_Intake_View'!Q198&lt;&gt;"",'13 - Config_Intake_View'!Q198,'12 - Device_Configuration'!BH199)</f>
        <v>0</v>
      </c>
      <c r="J198" s="15" t="str">
        <f>IF('13 - Config_Intake_View'!Q198&lt;&gt;"","PM Approved",IF('12 - Device_Configuration'!BH199&lt;&gt;"","Assumed",""))</f>
        <v/>
      </c>
      <c r="K198" s="23">
        <f>'12 - Device_Configuration'!BG199</f>
        <v>0</v>
      </c>
      <c r="L198" s="15">
        <f>'12 - Device_Configuration'!P199</f>
        <v>0</v>
      </c>
      <c r="M198" s="15">
        <f>'12 - Device_Configuration'!Q199</f>
        <v>0</v>
      </c>
      <c r="N198" s="15" t="str">
        <f>'12 - Device_Configuration'!BK199</f>
        <v/>
      </c>
      <c r="O198" s="23" t="str">
        <f>'12 - Device_Configuration'!BL199</f>
        <v/>
      </c>
      <c r="P198" s="2">
        <f>'12 - Device_Configuration'!BA199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'12 - Device_Configuration'!H200</f>
        <v>0</v>
      </c>
      <c r="B199" s="23">
        <f>'12 - Device_Configuration'!S200</f>
        <v>0</v>
      </c>
      <c r="C199" s="23">
        <f>'12 - Device_Configuration'!T200</f>
        <v>0</v>
      </c>
      <c r="D199" s="15">
        <f>'12 - Device_Configuration'!AJ200</f>
        <v>0</v>
      </c>
      <c r="E199" s="15">
        <f>'12 - Device_Configuration'!J200</f>
        <v>0</v>
      </c>
      <c r="F199" s="23">
        <f>'12 - Device_Configuration'!K200</f>
        <v>0</v>
      </c>
      <c r="G199" s="15">
        <f>'12 - Device_Configuration'!L200</f>
        <v>0</v>
      </c>
      <c r="H199" s="15">
        <f>'13 - Config_Intake_View'!M199</f>
        <v>0</v>
      </c>
      <c r="I199" s="23">
        <f>IF('13 - Config_Intake_View'!Q199&lt;&gt;"",'13 - Config_Intake_View'!Q199,'12 - Device_Configuration'!BH200)</f>
        <v>0</v>
      </c>
      <c r="J199" s="15" t="str">
        <f>IF('13 - Config_Intake_View'!Q199&lt;&gt;"","PM Approved",IF('12 - Device_Configuration'!BH200&lt;&gt;"","Assumed",""))</f>
        <v/>
      </c>
      <c r="K199" s="23">
        <f>'12 - Device_Configuration'!BG200</f>
        <v>0</v>
      </c>
      <c r="L199" s="15">
        <f>'12 - Device_Configuration'!P200</f>
        <v>0</v>
      </c>
      <c r="M199" s="15">
        <f>'12 - Device_Configuration'!Q200</f>
        <v>0</v>
      </c>
      <c r="N199" s="15" t="str">
        <f>'12 - Device_Configuration'!BK200</f>
        <v/>
      </c>
      <c r="O199" s="23" t="str">
        <f>'12 - Device_Configuration'!BL200</f>
        <v/>
      </c>
      <c r="P199" s="2">
        <f>'12 - Device_Configuration'!BA200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'12 - Device_Configuration'!H201</f>
        <v>0</v>
      </c>
      <c r="B200" s="23">
        <f>'12 - Device_Configuration'!S201</f>
        <v>0</v>
      </c>
      <c r="C200" s="23">
        <f>'12 - Device_Configuration'!T201</f>
        <v>0</v>
      </c>
      <c r="D200" s="15">
        <f>'12 - Device_Configuration'!AJ201</f>
        <v>0</v>
      </c>
      <c r="E200" s="15">
        <f>'12 - Device_Configuration'!J201</f>
        <v>0</v>
      </c>
      <c r="F200" s="23">
        <f>'12 - Device_Configuration'!K201</f>
        <v>0</v>
      </c>
      <c r="G200" s="15">
        <f>'12 - Device_Configuration'!L201</f>
        <v>0</v>
      </c>
      <c r="H200" s="15">
        <f>'13 - Config_Intake_View'!M200</f>
        <v>0</v>
      </c>
      <c r="I200" s="23">
        <f>IF('13 - Config_Intake_View'!Q200&lt;&gt;"",'13 - Config_Intake_View'!Q200,'12 - Device_Configuration'!BH201)</f>
        <v>0</v>
      </c>
      <c r="J200" s="15" t="str">
        <f>IF('13 - Config_Intake_View'!Q200&lt;&gt;"","PM Approved",IF('12 - Device_Configuration'!BH201&lt;&gt;"","Assumed",""))</f>
        <v/>
      </c>
      <c r="K200" s="23">
        <f>'12 - Device_Configuration'!BG201</f>
        <v>0</v>
      </c>
      <c r="L200" s="15">
        <f>'12 - Device_Configuration'!P201</f>
        <v>0</v>
      </c>
      <c r="M200" s="15">
        <f>'12 - Device_Configuration'!Q201</f>
        <v>0</v>
      </c>
      <c r="N200" s="15" t="str">
        <f>'12 - Device_Configuration'!BK201</f>
        <v/>
      </c>
      <c r="O200" s="23" t="str">
        <f>'12 - Device_Configuration'!BL201</f>
        <v/>
      </c>
      <c r="P200" s="2">
        <f>'12 - Device_Configuration'!BA201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'12 - Device_Configuration'!H202</f>
        <v>0</v>
      </c>
      <c r="B201" s="23">
        <f>'12 - Device_Configuration'!S202</f>
        <v>0</v>
      </c>
      <c r="C201" s="23">
        <f>'12 - Device_Configuration'!T202</f>
        <v>0</v>
      </c>
      <c r="D201" s="15">
        <f>'12 - Device_Configuration'!AJ202</f>
        <v>0</v>
      </c>
      <c r="E201" s="15">
        <f>'12 - Device_Configuration'!J202</f>
        <v>0</v>
      </c>
      <c r="F201" s="23">
        <f>'12 - Device_Configuration'!K202</f>
        <v>0</v>
      </c>
      <c r="G201" s="15">
        <f>'12 - Device_Configuration'!L202</f>
        <v>0</v>
      </c>
      <c r="H201" s="15">
        <f>'13 - Config_Intake_View'!M201</f>
        <v>0</v>
      </c>
      <c r="I201" s="23">
        <f>IF('13 - Config_Intake_View'!Q201&lt;&gt;"",'13 - Config_Intake_View'!Q201,'12 - Device_Configuration'!BH202)</f>
        <v>0</v>
      </c>
      <c r="J201" s="15" t="str">
        <f>IF('13 - Config_Intake_View'!Q201&lt;&gt;"","PM Approved",IF('12 - Device_Configuration'!BH202&lt;&gt;"","Assumed",""))</f>
        <v/>
      </c>
      <c r="K201" s="23">
        <f>'12 - Device_Configuration'!BG202</f>
        <v>0</v>
      </c>
      <c r="L201" s="15">
        <f>'12 - Device_Configuration'!P202</f>
        <v>0</v>
      </c>
      <c r="M201" s="15">
        <f>'12 - Device_Configuration'!Q202</f>
        <v>0</v>
      </c>
      <c r="N201" s="15" t="str">
        <f>'12 - Device_Configuration'!BK202</f>
        <v/>
      </c>
      <c r="O201" s="23" t="str">
        <f>'12 - Device_Configuration'!BL202</f>
        <v/>
      </c>
      <c r="P201" s="2">
        <f>'12 - Device_Configuration'!BA202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'12 - Device_Configuration'!H203</f>
        <v>0</v>
      </c>
      <c r="B202" s="23">
        <f>'12 - Device_Configuration'!S203</f>
        <v>0</v>
      </c>
      <c r="C202" s="23">
        <f>'12 - Device_Configuration'!T203</f>
        <v>0</v>
      </c>
      <c r="D202" s="15">
        <f>'12 - Device_Configuration'!AJ203</f>
        <v>0</v>
      </c>
      <c r="E202" s="15">
        <f>'12 - Device_Configuration'!J203</f>
        <v>0</v>
      </c>
      <c r="F202" s="23">
        <f>'12 - Device_Configuration'!K203</f>
        <v>0</v>
      </c>
      <c r="G202" s="15">
        <f>'12 - Device_Configuration'!L203</f>
        <v>0</v>
      </c>
      <c r="H202" s="15">
        <f>'13 - Config_Intake_View'!M202</f>
        <v>0</v>
      </c>
      <c r="I202" s="23">
        <f>IF('13 - Config_Intake_View'!Q202&lt;&gt;"",'13 - Config_Intake_View'!Q202,'12 - Device_Configuration'!BH203)</f>
        <v>0</v>
      </c>
      <c r="J202" s="15" t="str">
        <f>IF('13 - Config_Intake_View'!Q202&lt;&gt;"","PM Approved",IF('12 - Device_Configuration'!BH203&lt;&gt;"","Assumed",""))</f>
        <v/>
      </c>
      <c r="K202" s="23">
        <f>'12 - Device_Configuration'!BG203</f>
        <v>0</v>
      </c>
      <c r="L202" s="15">
        <f>'12 - Device_Configuration'!P203</f>
        <v>0</v>
      </c>
      <c r="M202" s="15">
        <f>'12 - Device_Configuration'!Q203</f>
        <v>0</v>
      </c>
      <c r="N202" s="15" t="str">
        <f>'12 - Device_Configuration'!BK203</f>
        <v/>
      </c>
      <c r="O202" s="23" t="str">
        <f>'12 - Device_Configuration'!BL203</f>
        <v/>
      </c>
      <c r="P202" s="2">
        <f>'12 - Device_Configuration'!BA203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'12 - Device_Configuration'!H204</f>
        <v>0</v>
      </c>
      <c r="B203" s="23">
        <f>'12 - Device_Configuration'!S204</f>
        <v>0</v>
      </c>
      <c r="C203" s="23">
        <f>'12 - Device_Configuration'!T204</f>
        <v>0</v>
      </c>
      <c r="D203" s="15">
        <f>'12 - Device_Configuration'!AJ204</f>
        <v>0</v>
      </c>
      <c r="E203" s="15">
        <f>'12 - Device_Configuration'!J204</f>
        <v>0</v>
      </c>
      <c r="F203" s="23">
        <f>'12 - Device_Configuration'!K204</f>
        <v>0</v>
      </c>
      <c r="G203" s="15">
        <f>'12 - Device_Configuration'!L204</f>
        <v>0</v>
      </c>
      <c r="H203" s="15">
        <f>'13 - Config_Intake_View'!M203</f>
        <v>0</v>
      </c>
      <c r="I203" s="23">
        <f>IF('13 - Config_Intake_View'!Q203&lt;&gt;"",'13 - Config_Intake_View'!Q203,'12 - Device_Configuration'!BH204)</f>
        <v>0</v>
      </c>
      <c r="J203" s="15" t="str">
        <f>IF('13 - Config_Intake_View'!Q203&lt;&gt;"","PM Approved",IF('12 - Device_Configuration'!BH204&lt;&gt;"","Assumed",""))</f>
        <v/>
      </c>
      <c r="K203" s="23">
        <f>'12 - Device_Configuration'!BG204</f>
        <v>0</v>
      </c>
      <c r="L203" s="15">
        <f>'12 - Device_Configuration'!P204</f>
        <v>0</v>
      </c>
      <c r="M203" s="15">
        <f>'12 - Device_Configuration'!Q204</f>
        <v>0</v>
      </c>
      <c r="N203" s="15" t="str">
        <f>'12 - Device_Configuration'!BK204</f>
        <v/>
      </c>
      <c r="O203" s="23" t="str">
        <f>'12 - Device_Configuration'!BL204</f>
        <v/>
      </c>
      <c r="P203" s="2">
        <f>'12 - Device_Configuration'!BA204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'12 - Device_Configuration'!H205</f>
        <v>0</v>
      </c>
      <c r="B204" s="23">
        <f>'12 - Device_Configuration'!S205</f>
        <v>0</v>
      </c>
      <c r="C204" s="23">
        <f>'12 - Device_Configuration'!T205</f>
        <v>0</v>
      </c>
      <c r="D204" s="15">
        <f>'12 - Device_Configuration'!AJ205</f>
        <v>0</v>
      </c>
      <c r="E204" s="15">
        <f>'12 - Device_Configuration'!J205</f>
        <v>0</v>
      </c>
      <c r="F204" s="23">
        <f>'12 - Device_Configuration'!K205</f>
        <v>0</v>
      </c>
      <c r="G204" s="15">
        <f>'12 - Device_Configuration'!L205</f>
        <v>0</v>
      </c>
      <c r="H204" s="15">
        <f>'13 - Config_Intake_View'!M204</f>
        <v>0</v>
      </c>
      <c r="I204" s="23">
        <f>IF('13 - Config_Intake_View'!Q204&lt;&gt;"",'13 - Config_Intake_View'!Q204,'12 - Device_Configuration'!BH205)</f>
        <v>0</v>
      </c>
      <c r="J204" s="15" t="str">
        <f>IF('13 - Config_Intake_View'!Q204&lt;&gt;"","PM Approved",IF('12 - Device_Configuration'!BH205&lt;&gt;"","Assumed",""))</f>
        <v/>
      </c>
      <c r="K204" s="23">
        <f>'12 - Device_Configuration'!BG205</f>
        <v>0</v>
      </c>
      <c r="L204" s="15">
        <f>'12 - Device_Configuration'!P205</f>
        <v>0</v>
      </c>
      <c r="M204" s="15">
        <f>'12 - Device_Configuration'!Q205</f>
        <v>0</v>
      </c>
      <c r="N204" s="15" t="str">
        <f>'12 - Device_Configuration'!BK205</f>
        <v/>
      </c>
      <c r="O204" s="23" t="str">
        <f>'12 - Device_Configuration'!BL205</f>
        <v/>
      </c>
      <c r="P204" s="2">
        <f>'12 - Device_Configuration'!BA205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'12 - Device_Configuration'!H206</f>
        <v>0</v>
      </c>
      <c r="B205" s="23">
        <f>'12 - Device_Configuration'!S206</f>
        <v>0</v>
      </c>
      <c r="C205" s="23">
        <f>'12 - Device_Configuration'!T206</f>
        <v>0</v>
      </c>
      <c r="D205" s="15">
        <f>'12 - Device_Configuration'!AJ206</f>
        <v>0</v>
      </c>
      <c r="E205" s="15">
        <f>'12 - Device_Configuration'!J206</f>
        <v>0</v>
      </c>
      <c r="F205" s="23">
        <f>'12 - Device_Configuration'!K206</f>
        <v>0</v>
      </c>
      <c r="G205" s="15">
        <f>'12 - Device_Configuration'!L206</f>
        <v>0</v>
      </c>
      <c r="H205" s="15">
        <f>'13 - Config_Intake_View'!M205</f>
        <v>0</v>
      </c>
      <c r="I205" s="23">
        <f>IF('13 - Config_Intake_View'!Q205&lt;&gt;"",'13 - Config_Intake_View'!Q205,'12 - Device_Configuration'!BH206)</f>
        <v>0</v>
      </c>
      <c r="J205" s="15" t="str">
        <f>IF('13 - Config_Intake_View'!Q205&lt;&gt;"","PM Approved",IF('12 - Device_Configuration'!BH206&lt;&gt;"","Assumed",""))</f>
        <v/>
      </c>
      <c r="K205" s="23">
        <f>'12 - Device_Configuration'!BG206</f>
        <v>0</v>
      </c>
      <c r="L205" s="15">
        <f>'12 - Device_Configuration'!P206</f>
        <v>0</v>
      </c>
      <c r="M205" s="15">
        <f>'12 - Device_Configuration'!Q206</f>
        <v>0</v>
      </c>
      <c r="N205" s="15" t="str">
        <f>'12 - Device_Configuration'!BK206</f>
        <v/>
      </c>
      <c r="O205" s="23" t="str">
        <f>'12 - Device_Configuration'!BL206</f>
        <v/>
      </c>
      <c r="P205" s="2">
        <f>'12 - Device_Configuration'!BA206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'12 - Device_Configuration'!H207</f>
        <v>0</v>
      </c>
      <c r="B206" s="23">
        <f>'12 - Device_Configuration'!S207</f>
        <v>0</v>
      </c>
      <c r="C206" s="23">
        <f>'12 - Device_Configuration'!T207</f>
        <v>0</v>
      </c>
      <c r="D206" s="15">
        <f>'12 - Device_Configuration'!AJ207</f>
        <v>0</v>
      </c>
      <c r="E206" s="15">
        <f>'12 - Device_Configuration'!J207</f>
        <v>0</v>
      </c>
      <c r="F206" s="23">
        <f>'12 - Device_Configuration'!K207</f>
        <v>0</v>
      </c>
      <c r="G206" s="15">
        <f>'12 - Device_Configuration'!L207</f>
        <v>0</v>
      </c>
      <c r="H206" s="15">
        <f>'13 - Config_Intake_View'!M206</f>
        <v>0</v>
      </c>
      <c r="I206" s="23">
        <f>IF('13 - Config_Intake_View'!Q206&lt;&gt;"",'13 - Config_Intake_View'!Q206,'12 - Device_Configuration'!BH207)</f>
        <v>0</v>
      </c>
      <c r="J206" s="15" t="str">
        <f>IF('13 - Config_Intake_View'!Q206&lt;&gt;"","PM Approved",IF('12 - Device_Configuration'!BH207&lt;&gt;"","Assumed",""))</f>
        <v/>
      </c>
      <c r="K206" s="23">
        <f>'12 - Device_Configuration'!BG207</f>
        <v>0</v>
      </c>
      <c r="L206" s="15">
        <f>'12 - Device_Configuration'!P207</f>
        <v>0</v>
      </c>
      <c r="M206" s="15">
        <f>'12 - Device_Configuration'!Q207</f>
        <v>0</v>
      </c>
      <c r="N206" s="15" t="str">
        <f>'12 - Device_Configuration'!BK207</f>
        <v/>
      </c>
      <c r="O206" s="23" t="str">
        <f>'12 - Device_Configuration'!BL207</f>
        <v/>
      </c>
      <c r="P206" s="2">
        <f>'12 - Device_Configuration'!BA207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'12 - Device_Configuration'!H208</f>
        <v>0</v>
      </c>
      <c r="B207" s="23">
        <f>'12 - Device_Configuration'!S208</f>
        <v>0</v>
      </c>
      <c r="C207" s="23">
        <f>'12 - Device_Configuration'!T208</f>
        <v>0</v>
      </c>
      <c r="D207" s="15">
        <f>'12 - Device_Configuration'!AJ208</f>
        <v>0</v>
      </c>
      <c r="E207" s="15">
        <f>'12 - Device_Configuration'!J208</f>
        <v>0</v>
      </c>
      <c r="F207" s="23">
        <f>'12 - Device_Configuration'!K208</f>
        <v>0</v>
      </c>
      <c r="G207" s="15">
        <f>'12 - Device_Configuration'!L208</f>
        <v>0</v>
      </c>
      <c r="H207" s="15">
        <f>'13 - Config_Intake_View'!M207</f>
        <v>0</v>
      </c>
      <c r="I207" s="23">
        <f>IF('13 - Config_Intake_View'!Q207&lt;&gt;"",'13 - Config_Intake_View'!Q207,'12 - Device_Configuration'!BH208)</f>
        <v>0</v>
      </c>
      <c r="J207" s="15" t="str">
        <f>IF('13 - Config_Intake_View'!Q207&lt;&gt;"","PM Approved",IF('12 - Device_Configuration'!BH208&lt;&gt;"","Assumed",""))</f>
        <v/>
      </c>
      <c r="K207" s="23">
        <f>'12 - Device_Configuration'!BG208</f>
        <v>0</v>
      </c>
      <c r="L207" s="15">
        <f>'12 - Device_Configuration'!P208</f>
        <v>0</v>
      </c>
      <c r="M207" s="15">
        <f>'12 - Device_Configuration'!Q208</f>
        <v>0</v>
      </c>
      <c r="N207" s="15" t="str">
        <f>'12 - Device_Configuration'!BK208</f>
        <v/>
      </c>
      <c r="O207" s="23" t="str">
        <f>'12 - Device_Configuration'!BL208</f>
        <v/>
      </c>
      <c r="P207" s="2">
        <f>'12 - Device_Configuration'!BA208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'12 - Device_Configuration'!H209</f>
        <v>0</v>
      </c>
      <c r="B208" s="23">
        <f>'12 - Device_Configuration'!S209</f>
        <v>0</v>
      </c>
      <c r="C208" s="23">
        <f>'12 - Device_Configuration'!T209</f>
        <v>0</v>
      </c>
      <c r="D208" s="15">
        <f>'12 - Device_Configuration'!AJ209</f>
        <v>0</v>
      </c>
      <c r="E208" s="15">
        <f>'12 - Device_Configuration'!J209</f>
        <v>0</v>
      </c>
      <c r="F208" s="23">
        <f>'12 - Device_Configuration'!K209</f>
        <v>0</v>
      </c>
      <c r="G208" s="15">
        <f>'12 - Device_Configuration'!L209</f>
        <v>0</v>
      </c>
      <c r="H208" s="15">
        <f>'13 - Config_Intake_View'!M208</f>
        <v>0</v>
      </c>
      <c r="I208" s="23">
        <f>IF('13 - Config_Intake_View'!Q208&lt;&gt;"",'13 - Config_Intake_View'!Q208,'12 - Device_Configuration'!BH209)</f>
        <v>0</v>
      </c>
      <c r="J208" s="15" t="str">
        <f>IF('13 - Config_Intake_View'!Q208&lt;&gt;"","PM Approved",IF('12 - Device_Configuration'!BH209&lt;&gt;"","Assumed",""))</f>
        <v/>
      </c>
      <c r="K208" s="23">
        <f>'12 - Device_Configuration'!BG209</f>
        <v>0</v>
      </c>
      <c r="L208" s="15">
        <f>'12 - Device_Configuration'!P209</f>
        <v>0</v>
      </c>
      <c r="M208" s="15">
        <f>'12 - Device_Configuration'!Q209</f>
        <v>0</v>
      </c>
      <c r="N208" s="15" t="str">
        <f>'12 - Device_Configuration'!BK209</f>
        <v/>
      </c>
      <c r="O208" s="23" t="str">
        <f>'12 - Device_Configuration'!BL209</f>
        <v/>
      </c>
      <c r="P208" s="2">
        <f>'12 - Device_Configuration'!BA209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'12 - Device_Configuration'!H210</f>
        <v>0</v>
      </c>
      <c r="B209" s="23">
        <f>'12 - Device_Configuration'!S210</f>
        <v>0</v>
      </c>
      <c r="C209" s="23">
        <f>'12 - Device_Configuration'!T210</f>
        <v>0</v>
      </c>
      <c r="D209" s="15">
        <f>'12 - Device_Configuration'!AJ210</f>
        <v>0</v>
      </c>
      <c r="E209" s="15">
        <f>'12 - Device_Configuration'!J210</f>
        <v>0</v>
      </c>
      <c r="F209" s="23">
        <f>'12 - Device_Configuration'!K210</f>
        <v>0</v>
      </c>
      <c r="G209" s="15">
        <f>'12 - Device_Configuration'!L210</f>
        <v>0</v>
      </c>
      <c r="H209" s="15">
        <f>'13 - Config_Intake_View'!M209</f>
        <v>0</v>
      </c>
      <c r="I209" s="23">
        <f>IF('13 - Config_Intake_View'!Q209&lt;&gt;"",'13 - Config_Intake_View'!Q209,'12 - Device_Configuration'!BH210)</f>
        <v>0</v>
      </c>
      <c r="J209" s="15" t="str">
        <f>IF('13 - Config_Intake_View'!Q209&lt;&gt;"","PM Approved",IF('12 - Device_Configuration'!BH210&lt;&gt;"","Assumed",""))</f>
        <v/>
      </c>
      <c r="K209" s="23">
        <f>'12 - Device_Configuration'!BG210</f>
        <v>0</v>
      </c>
      <c r="L209" s="15">
        <f>'12 - Device_Configuration'!P210</f>
        <v>0</v>
      </c>
      <c r="M209" s="15">
        <f>'12 - Device_Configuration'!Q210</f>
        <v>0</v>
      </c>
      <c r="N209" s="15" t="str">
        <f>'12 - Device_Configuration'!BK210</f>
        <v/>
      </c>
      <c r="O209" s="23" t="str">
        <f>'12 - Device_Configuration'!BL210</f>
        <v/>
      </c>
      <c r="P209" s="2">
        <f>'12 - Device_Configuration'!BA210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'12 - Device_Configuration'!H211</f>
        <v>0</v>
      </c>
      <c r="B210" s="23">
        <f>'12 - Device_Configuration'!S211</f>
        <v>0</v>
      </c>
      <c r="C210" s="23">
        <f>'12 - Device_Configuration'!T211</f>
        <v>0</v>
      </c>
      <c r="D210" s="15">
        <f>'12 - Device_Configuration'!AJ211</f>
        <v>0</v>
      </c>
      <c r="E210" s="15">
        <f>'12 - Device_Configuration'!J211</f>
        <v>0</v>
      </c>
      <c r="F210" s="23">
        <f>'12 - Device_Configuration'!K211</f>
        <v>0</v>
      </c>
      <c r="G210" s="15">
        <f>'12 - Device_Configuration'!L211</f>
        <v>0</v>
      </c>
      <c r="H210" s="15">
        <f>'13 - Config_Intake_View'!M210</f>
        <v>0</v>
      </c>
      <c r="I210" s="23">
        <f>IF('13 - Config_Intake_View'!Q210&lt;&gt;"",'13 - Config_Intake_View'!Q210,'12 - Device_Configuration'!BH211)</f>
        <v>0</v>
      </c>
      <c r="J210" s="15" t="str">
        <f>IF('13 - Config_Intake_View'!Q210&lt;&gt;"","PM Approved",IF('12 - Device_Configuration'!BH211&lt;&gt;"","Assumed",""))</f>
        <v/>
      </c>
      <c r="K210" s="23">
        <f>'12 - Device_Configuration'!BG211</f>
        <v>0</v>
      </c>
      <c r="L210" s="15">
        <f>'12 - Device_Configuration'!P211</f>
        <v>0</v>
      </c>
      <c r="M210" s="15">
        <f>'12 - Device_Configuration'!Q211</f>
        <v>0</v>
      </c>
      <c r="N210" s="15" t="str">
        <f>'12 - Device_Configuration'!BK211</f>
        <v/>
      </c>
      <c r="O210" s="23" t="str">
        <f>'12 - Device_Configuration'!BL211</f>
        <v/>
      </c>
      <c r="P210" s="2">
        <f>'12 - Device_Configuration'!BA211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'12 - Device_Configuration'!H212</f>
        <v>0</v>
      </c>
      <c r="B211" s="23">
        <f>'12 - Device_Configuration'!S212</f>
        <v>0</v>
      </c>
      <c r="C211" s="23">
        <f>'12 - Device_Configuration'!T212</f>
        <v>0</v>
      </c>
      <c r="D211" s="15">
        <f>'12 - Device_Configuration'!AJ212</f>
        <v>0</v>
      </c>
      <c r="E211" s="15">
        <f>'12 - Device_Configuration'!J212</f>
        <v>0</v>
      </c>
      <c r="F211" s="23">
        <f>'12 - Device_Configuration'!K212</f>
        <v>0</v>
      </c>
      <c r="G211" s="15">
        <f>'12 - Device_Configuration'!L212</f>
        <v>0</v>
      </c>
      <c r="H211" s="15">
        <f>'13 - Config_Intake_View'!M211</f>
        <v>0</v>
      </c>
      <c r="I211" s="23">
        <f>IF('13 - Config_Intake_View'!Q211&lt;&gt;"",'13 - Config_Intake_View'!Q211,'12 - Device_Configuration'!BH212)</f>
        <v>0</v>
      </c>
      <c r="J211" s="15" t="str">
        <f>IF('13 - Config_Intake_View'!Q211&lt;&gt;"","PM Approved",IF('12 - Device_Configuration'!BH212&lt;&gt;"","Assumed",""))</f>
        <v/>
      </c>
      <c r="K211" s="23">
        <f>'12 - Device_Configuration'!BG212</f>
        <v>0</v>
      </c>
      <c r="L211" s="15">
        <f>'12 - Device_Configuration'!P212</f>
        <v>0</v>
      </c>
      <c r="M211" s="15">
        <f>'12 - Device_Configuration'!Q212</f>
        <v>0</v>
      </c>
      <c r="N211" s="15" t="str">
        <f>'12 - Device_Configuration'!BK212</f>
        <v/>
      </c>
      <c r="O211" s="23" t="str">
        <f>'12 - Device_Configuration'!BL212</f>
        <v/>
      </c>
      <c r="P211" s="2">
        <f>'12 - Device_Configuration'!BA212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'12 - Device_Configuration'!H213</f>
        <v>0</v>
      </c>
      <c r="B212" s="23">
        <f>'12 - Device_Configuration'!S213</f>
        <v>0</v>
      </c>
      <c r="C212" s="23">
        <f>'12 - Device_Configuration'!T213</f>
        <v>0</v>
      </c>
      <c r="D212" s="15">
        <f>'12 - Device_Configuration'!AJ213</f>
        <v>0</v>
      </c>
      <c r="E212" s="15">
        <f>'12 - Device_Configuration'!J213</f>
        <v>0</v>
      </c>
      <c r="F212" s="23">
        <f>'12 - Device_Configuration'!K213</f>
        <v>0</v>
      </c>
      <c r="G212" s="15">
        <f>'12 - Device_Configuration'!L213</f>
        <v>0</v>
      </c>
      <c r="H212" s="15">
        <f>'13 - Config_Intake_View'!M212</f>
        <v>0</v>
      </c>
      <c r="I212" s="23">
        <f>IF('13 - Config_Intake_View'!Q212&lt;&gt;"",'13 - Config_Intake_View'!Q212,'12 - Device_Configuration'!BH213)</f>
        <v>0</v>
      </c>
      <c r="J212" s="15" t="str">
        <f>IF('13 - Config_Intake_View'!Q212&lt;&gt;"","PM Approved",IF('12 - Device_Configuration'!BH213&lt;&gt;"","Assumed",""))</f>
        <v/>
      </c>
      <c r="K212" s="23">
        <f>'12 - Device_Configuration'!BG213</f>
        <v>0</v>
      </c>
      <c r="L212" s="15">
        <f>'12 - Device_Configuration'!P213</f>
        <v>0</v>
      </c>
      <c r="M212" s="15">
        <f>'12 - Device_Configuration'!Q213</f>
        <v>0</v>
      </c>
      <c r="N212" s="15" t="str">
        <f>'12 - Device_Configuration'!BK213</f>
        <v/>
      </c>
      <c r="O212" s="23" t="str">
        <f>'12 - Device_Configuration'!BL213</f>
        <v/>
      </c>
      <c r="P212" s="2">
        <f>'12 - Device_Configuration'!BA213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'12 - Device_Configuration'!H214</f>
        <v>0</v>
      </c>
      <c r="B213" s="23">
        <f>'12 - Device_Configuration'!S214</f>
        <v>0</v>
      </c>
      <c r="C213" s="23">
        <f>'12 - Device_Configuration'!T214</f>
        <v>0</v>
      </c>
      <c r="D213" s="15">
        <f>'12 - Device_Configuration'!AJ214</f>
        <v>0</v>
      </c>
      <c r="E213" s="15">
        <f>'12 - Device_Configuration'!J214</f>
        <v>0</v>
      </c>
      <c r="F213" s="23">
        <f>'12 - Device_Configuration'!K214</f>
        <v>0</v>
      </c>
      <c r="G213" s="15">
        <f>'12 - Device_Configuration'!L214</f>
        <v>0</v>
      </c>
      <c r="H213" s="15">
        <f>'13 - Config_Intake_View'!M213</f>
        <v>0</v>
      </c>
      <c r="I213" s="23">
        <f>IF('13 - Config_Intake_View'!Q213&lt;&gt;"",'13 - Config_Intake_View'!Q213,'12 - Device_Configuration'!BH214)</f>
        <v>0</v>
      </c>
      <c r="J213" s="15" t="str">
        <f>IF('13 - Config_Intake_View'!Q213&lt;&gt;"","PM Approved",IF('12 - Device_Configuration'!BH214&lt;&gt;"","Assumed",""))</f>
        <v/>
      </c>
      <c r="K213" s="23">
        <f>'12 - Device_Configuration'!BG214</f>
        <v>0</v>
      </c>
      <c r="L213" s="15">
        <f>'12 - Device_Configuration'!P214</f>
        <v>0</v>
      </c>
      <c r="M213" s="15">
        <f>'12 - Device_Configuration'!Q214</f>
        <v>0</v>
      </c>
      <c r="N213" s="15" t="str">
        <f>'12 - Device_Configuration'!BK214</f>
        <v/>
      </c>
      <c r="O213" s="23" t="str">
        <f>'12 - Device_Configuration'!BL214</f>
        <v/>
      </c>
      <c r="P213" s="2">
        <f>'12 - Device_Configuration'!BA214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'12 - Device_Configuration'!H215</f>
        <v>0</v>
      </c>
      <c r="B214" s="23">
        <f>'12 - Device_Configuration'!S215</f>
        <v>0</v>
      </c>
      <c r="C214" s="23">
        <f>'12 - Device_Configuration'!T215</f>
        <v>0</v>
      </c>
      <c r="D214" s="15">
        <f>'12 - Device_Configuration'!AJ215</f>
        <v>0</v>
      </c>
      <c r="E214" s="15">
        <f>'12 - Device_Configuration'!J215</f>
        <v>0</v>
      </c>
      <c r="F214" s="23">
        <f>'12 - Device_Configuration'!K215</f>
        <v>0</v>
      </c>
      <c r="G214" s="15">
        <f>'12 - Device_Configuration'!L215</f>
        <v>0</v>
      </c>
      <c r="H214" s="15">
        <f>'13 - Config_Intake_View'!M214</f>
        <v>0</v>
      </c>
      <c r="I214" s="23">
        <f>IF('13 - Config_Intake_View'!Q214&lt;&gt;"",'13 - Config_Intake_View'!Q214,'12 - Device_Configuration'!BH215)</f>
        <v>0</v>
      </c>
      <c r="J214" s="15" t="str">
        <f>IF('13 - Config_Intake_View'!Q214&lt;&gt;"","PM Approved",IF('12 - Device_Configuration'!BH215&lt;&gt;"","Assumed",""))</f>
        <v/>
      </c>
      <c r="K214" s="23">
        <f>'12 - Device_Configuration'!BG215</f>
        <v>0</v>
      </c>
      <c r="L214" s="15">
        <f>'12 - Device_Configuration'!P215</f>
        <v>0</v>
      </c>
      <c r="M214" s="15">
        <f>'12 - Device_Configuration'!Q215</f>
        <v>0</v>
      </c>
      <c r="N214" s="15" t="str">
        <f>'12 - Device_Configuration'!BK215</f>
        <v/>
      </c>
      <c r="O214" s="23" t="str">
        <f>'12 - Device_Configuration'!BL215</f>
        <v/>
      </c>
      <c r="P214" s="2">
        <f>'12 - Device_Configuration'!BA215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'12 - Device_Configuration'!H216</f>
        <v>0</v>
      </c>
      <c r="B215" s="23">
        <f>'12 - Device_Configuration'!S216</f>
        <v>0</v>
      </c>
      <c r="C215" s="23">
        <f>'12 - Device_Configuration'!T216</f>
        <v>0</v>
      </c>
      <c r="D215" s="15">
        <f>'12 - Device_Configuration'!AJ216</f>
        <v>0</v>
      </c>
      <c r="E215" s="15">
        <f>'12 - Device_Configuration'!J216</f>
        <v>0</v>
      </c>
      <c r="F215" s="23">
        <f>'12 - Device_Configuration'!K216</f>
        <v>0</v>
      </c>
      <c r="G215" s="15">
        <f>'12 - Device_Configuration'!L216</f>
        <v>0</v>
      </c>
      <c r="H215" s="15">
        <f>'13 - Config_Intake_View'!M215</f>
        <v>0</v>
      </c>
      <c r="I215" s="23">
        <f>IF('13 - Config_Intake_View'!Q215&lt;&gt;"",'13 - Config_Intake_View'!Q215,'12 - Device_Configuration'!BH216)</f>
        <v>0</v>
      </c>
      <c r="J215" s="15" t="str">
        <f>IF('13 - Config_Intake_View'!Q215&lt;&gt;"","PM Approved",IF('12 - Device_Configuration'!BH216&lt;&gt;"","Assumed",""))</f>
        <v/>
      </c>
      <c r="K215" s="23">
        <f>'12 - Device_Configuration'!BG216</f>
        <v>0</v>
      </c>
      <c r="L215" s="15">
        <f>'12 - Device_Configuration'!P216</f>
        <v>0</v>
      </c>
      <c r="M215" s="15">
        <f>'12 - Device_Configuration'!Q216</f>
        <v>0</v>
      </c>
      <c r="N215" s="15" t="str">
        <f>'12 - Device_Configuration'!BK216</f>
        <v/>
      </c>
      <c r="O215" s="23" t="str">
        <f>'12 - Device_Configuration'!BL216</f>
        <v/>
      </c>
      <c r="P215" s="2">
        <f>'12 - Device_Configuration'!BA216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'12 - Device_Configuration'!H217</f>
        <v>0</v>
      </c>
      <c r="B216" s="23">
        <f>'12 - Device_Configuration'!S217</f>
        <v>0</v>
      </c>
      <c r="C216" s="23">
        <f>'12 - Device_Configuration'!T217</f>
        <v>0</v>
      </c>
      <c r="D216" s="15">
        <f>'12 - Device_Configuration'!AJ217</f>
        <v>0</v>
      </c>
      <c r="E216" s="15">
        <f>'12 - Device_Configuration'!J217</f>
        <v>0</v>
      </c>
      <c r="F216" s="23">
        <f>'12 - Device_Configuration'!K217</f>
        <v>0</v>
      </c>
      <c r="G216" s="15">
        <f>'12 - Device_Configuration'!L217</f>
        <v>0</v>
      </c>
      <c r="H216" s="15">
        <f>'13 - Config_Intake_View'!M216</f>
        <v>0</v>
      </c>
      <c r="I216" s="23">
        <f>IF('13 - Config_Intake_View'!Q216&lt;&gt;"",'13 - Config_Intake_View'!Q216,'12 - Device_Configuration'!BH217)</f>
        <v>0</v>
      </c>
      <c r="J216" s="15" t="str">
        <f>IF('13 - Config_Intake_View'!Q216&lt;&gt;"","PM Approved",IF('12 - Device_Configuration'!BH217&lt;&gt;"","Assumed",""))</f>
        <v/>
      </c>
      <c r="K216" s="23">
        <f>'12 - Device_Configuration'!BG217</f>
        <v>0</v>
      </c>
      <c r="L216" s="15">
        <f>'12 - Device_Configuration'!P217</f>
        <v>0</v>
      </c>
      <c r="M216" s="15">
        <f>'12 - Device_Configuration'!Q217</f>
        <v>0</v>
      </c>
      <c r="N216" s="15" t="str">
        <f>'12 - Device_Configuration'!BK217</f>
        <v/>
      </c>
      <c r="O216" s="23" t="str">
        <f>'12 - Device_Configuration'!BL217</f>
        <v/>
      </c>
      <c r="P216" s="2">
        <f>'12 - Device_Configuration'!BA217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'12 - Device_Configuration'!H218</f>
        <v>0</v>
      </c>
      <c r="B217" s="23">
        <f>'12 - Device_Configuration'!S218</f>
        <v>0</v>
      </c>
      <c r="C217" s="23">
        <f>'12 - Device_Configuration'!T218</f>
        <v>0</v>
      </c>
      <c r="D217" s="15">
        <f>'12 - Device_Configuration'!AJ218</f>
        <v>0</v>
      </c>
      <c r="E217" s="15">
        <f>'12 - Device_Configuration'!J218</f>
        <v>0</v>
      </c>
      <c r="F217" s="23">
        <f>'12 - Device_Configuration'!K218</f>
        <v>0</v>
      </c>
      <c r="G217" s="15">
        <f>'12 - Device_Configuration'!L218</f>
        <v>0</v>
      </c>
      <c r="H217" s="15">
        <f>'13 - Config_Intake_View'!M217</f>
        <v>0</v>
      </c>
      <c r="I217" s="23">
        <f>IF('13 - Config_Intake_View'!Q217&lt;&gt;"",'13 - Config_Intake_View'!Q217,'12 - Device_Configuration'!BH218)</f>
        <v>0</v>
      </c>
      <c r="J217" s="15" t="str">
        <f>IF('13 - Config_Intake_View'!Q217&lt;&gt;"","PM Approved",IF('12 - Device_Configuration'!BH218&lt;&gt;"","Assumed",""))</f>
        <v/>
      </c>
      <c r="K217" s="23">
        <f>'12 - Device_Configuration'!BG218</f>
        <v>0</v>
      </c>
      <c r="L217" s="15">
        <f>'12 - Device_Configuration'!P218</f>
        <v>0</v>
      </c>
      <c r="M217" s="15">
        <f>'12 - Device_Configuration'!Q218</f>
        <v>0</v>
      </c>
      <c r="N217" s="15" t="str">
        <f>'12 - Device_Configuration'!BK218</f>
        <v/>
      </c>
      <c r="O217" s="23" t="str">
        <f>'12 - Device_Configuration'!BL218</f>
        <v/>
      </c>
      <c r="P217" s="2">
        <f>'12 - Device_Configuration'!BA218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'12 - Device_Configuration'!H219</f>
        <v>0</v>
      </c>
      <c r="B218" s="23">
        <f>'12 - Device_Configuration'!S219</f>
        <v>0</v>
      </c>
      <c r="C218" s="23">
        <f>'12 - Device_Configuration'!T219</f>
        <v>0</v>
      </c>
      <c r="D218" s="15">
        <f>'12 - Device_Configuration'!AJ219</f>
        <v>0</v>
      </c>
      <c r="E218" s="15">
        <f>'12 - Device_Configuration'!J219</f>
        <v>0</v>
      </c>
      <c r="F218" s="23">
        <f>'12 - Device_Configuration'!K219</f>
        <v>0</v>
      </c>
      <c r="G218" s="15">
        <f>'12 - Device_Configuration'!L219</f>
        <v>0</v>
      </c>
      <c r="H218" s="15">
        <f>'13 - Config_Intake_View'!M218</f>
        <v>0</v>
      </c>
      <c r="I218" s="23">
        <f>IF('13 - Config_Intake_View'!Q218&lt;&gt;"",'13 - Config_Intake_View'!Q218,'12 - Device_Configuration'!BH219)</f>
        <v>0</v>
      </c>
      <c r="J218" s="15" t="str">
        <f>IF('13 - Config_Intake_View'!Q218&lt;&gt;"","PM Approved",IF('12 - Device_Configuration'!BH219&lt;&gt;"","Assumed",""))</f>
        <v/>
      </c>
      <c r="K218" s="23">
        <f>'12 - Device_Configuration'!BG219</f>
        <v>0</v>
      </c>
      <c r="L218" s="15">
        <f>'12 - Device_Configuration'!P219</f>
        <v>0</v>
      </c>
      <c r="M218" s="15">
        <f>'12 - Device_Configuration'!Q219</f>
        <v>0</v>
      </c>
      <c r="N218" s="15" t="str">
        <f>'12 - Device_Configuration'!BK219</f>
        <v/>
      </c>
      <c r="O218" s="23" t="str">
        <f>'12 - Device_Configuration'!BL219</f>
        <v/>
      </c>
      <c r="P218" s="2">
        <f>'12 - Device_Configuration'!BA219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'12 - Device_Configuration'!H220</f>
        <v>0</v>
      </c>
      <c r="B219" s="23">
        <f>'12 - Device_Configuration'!S220</f>
        <v>0</v>
      </c>
      <c r="C219" s="23">
        <f>'12 - Device_Configuration'!T220</f>
        <v>0</v>
      </c>
      <c r="D219" s="15">
        <f>'12 - Device_Configuration'!AJ220</f>
        <v>0</v>
      </c>
      <c r="E219" s="15">
        <f>'12 - Device_Configuration'!J220</f>
        <v>0</v>
      </c>
      <c r="F219" s="23">
        <f>'12 - Device_Configuration'!K220</f>
        <v>0</v>
      </c>
      <c r="G219" s="15">
        <f>'12 - Device_Configuration'!L220</f>
        <v>0</v>
      </c>
      <c r="H219" s="15">
        <f>'13 - Config_Intake_View'!M219</f>
        <v>0</v>
      </c>
      <c r="I219" s="23">
        <f>IF('13 - Config_Intake_View'!Q219&lt;&gt;"",'13 - Config_Intake_View'!Q219,'12 - Device_Configuration'!BH220)</f>
        <v>0</v>
      </c>
      <c r="J219" s="15" t="str">
        <f>IF('13 - Config_Intake_View'!Q219&lt;&gt;"","PM Approved",IF('12 - Device_Configuration'!BH220&lt;&gt;"","Assumed",""))</f>
        <v/>
      </c>
      <c r="K219" s="23">
        <f>'12 - Device_Configuration'!BG220</f>
        <v>0</v>
      </c>
      <c r="L219" s="15">
        <f>'12 - Device_Configuration'!P220</f>
        <v>0</v>
      </c>
      <c r="M219" s="15">
        <f>'12 - Device_Configuration'!Q220</f>
        <v>0</v>
      </c>
      <c r="N219" s="15" t="str">
        <f>'12 - Device_Configuration'!BK220</f>
        <v/>
      </c>
      <c r="O219" s="23" t="str">
        <f>'12 - Device_Configuration'!BL220</f>
        <v/>
      </c>
      <c r="P219" s="2">
        <f>'12 - Device_Configuration'!BA220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'12 - Device_Configuration'!H221</f>
        <v>0</v>
      </c>
      <c r="B220" s="23">
        <f>'12 - Device_Configuration'!S221</f>
        <v>0</v>
      </c>
      <c r="C220" s="23">
        <f>'12 - Device_Configuration'!T221</f>
        <v>0</v>
      </c>
      <c r="D220" s="15">
        <f>'12 - Device_Configuration'!AJ221</f>
        <v>0</v>
      </c>
      <c r="E220" s="15">
        <f>'12 - Device_Configuration'!J221</f>
        <v>0</v>
      </c>
      <c r="F220" s="23">
        <f>'12 - Device_Configuration'!K221</f>
        <v>0</v>
      </c>
      <c r="G220" s="15">
        <f>'12 - Device_Configuration'!L221</f>
        <v>0</v>
      </c>
      <c r="H220" s="15">
        <f>'13 - Config_Intake_View'!M220</f>
        <v>0</v>
      </c>
      <c r="I220" s="23">
        <f>IF('13 - Config_Intake_View'!Q220&lt;&gt;"",'13 - Config_Intake_View'!Q220,'12 - Device_Configuration'!BH221)</f>
        <v>0</v>
      </c>
      <c r="J220" s="15" t="str">
        <f>IF('13 - Config_Intake_View'!Q220&lt;&gt;"","PM Approved",IF('12 - Device_Configuration'!BH221&lt;&gt;"","Assumed",""))</f>
        <v/>
      </c>
      <c r="K220" s="23">
        <f>'12 - Device_Configuration'!BG221</f>
        <v>0</v>
      </c>
      <c r="L220" s="15">
        <f>'12 - Device_Configuration'!P221</f>
        <v>0</v>
      </c>
      <c r="M220" s="15">
        <f>'12 - Device_Configuration'!Q221</f>
        <v>0</v>
      </c>
      <c r="N220" s="15" t="str">
        <f>'12 - Device_Configuration'!BK221</f>
        <v/>
      </c>
      <c r="O220" s="23" t="str">
        <f>'12 - Device_Configuration'!BL221</f>
        <v/>
      </c>
      <c r="P220" s="2">
        <f>'12 - Device_Configuration'!BA221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'12 - Device_Configuration'!H222</f>
        <v>0</v>
      </c>
      <c r="B221" s="23">
        <f>'12 - Device_Configuration'!S222</f>
        <v>0</v>
      </c>
      <c r="C221" s="23">
        <f>'12 - Device_Configuration'!T222</f>
        <v>0</v>
      </c>
      <c r="D221" s="15">
        <f>'12 - Device_Configuration'!AJ222</f>
        <v>0</v>
      </c>
      <c r="E221" s="15">
        <f>'12 - Device_Configuration'!J222</f>
        <v>0</v>
      </c>
      <c r="F221" s="23">
        <f>'12 - Device_Configuration'!K222</f>
        <v>0</v>
      </c>
      <c r="G221" s="15">
        <f>'12 - Device_Configuration'!L222</f>
        <v>0</v>
      </c>
      <c r="H221" s="15">
        <f>'13 - Config_Intake_View'!M221</f>
        <v>0</v>
      </c>
      <c r="I221" s="23">
        <f>IF('13 - Config_Intake_View'!Q221&lt;&gt;"",'13 - Config_Intake_View'!Q221,'12 - Device_Configuration'!BH222)</f>
        <v>0</v>
      </c>
      <c r="J221" s="15" t="str">
        <f>IF('13 - Config_Intake_View'!Q221&lt;&gt;"","PM Approved",IF('12 - Device_Configuration'!BH222&lt;&gt;"","Assumed",""))</f>
        <v/>
      </c>
      <c r="K221" s="23">
        <f>'12 - Device_Configuration'!BG222</f>
        <v>0</v>
      </c>
      <c r="L221" s="15">
        <f>'12 - Device_Configuration'!P222</f>
        <v>0</v>
      </c>
      <c r="M221" s="15">
        <f>'12 - Device_Configuration'!Q222</f>
        <v>0</v>
      </c>
      <c r="N221" s="15" t="str">
        <f>'12 - Device_Configuration'!BK222</f>
        <v/>
      </c>
      <c r="O221" s="23" t="str">
        <f>'12 - Device_Configuration'!BL222</f>
        <v/>
      </c>
      <c r="P221" s="2">
        <f>'12 - Device_Configuration'!BA222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'12 - Device_Configuration'!H223</f>
        <v>0</v>
      </c>
      <c r="B222" s="23">
        <f>'12 - Device_Configuration'!S223</f>
        <v>0</v>
      </c>
      <c r="C222" s="23">
        <f>'12 - Device_Configuration'!T223</f>
        <v>0</v>
      </c>
      <c r="D222" s="15">
        <f>'12 - Device_Configuration'!AJ223</f>
        <v>0</v>
      </c>
      <c r="E222" s="15">
        <f>'12 - Device_Configuration'!J223</f>
        <v>0</v>
      </c>
      <c r="F222" s="23">
        <f>'12 - Device_Configuration'!K223</f>
        <v>0</v>
      </c>
      <c r="G222" s="15">
        <f>'12 - Device_Configuration'!L223</f>
        <v>0</v>
      </c>
      <c r="H222" s="15">
        <f>'13 - Config_Intake_View'!M222</f>
        <v>0</v>
      </c>
      <c r="I222" s="23">
        <f>IF('13 - Config_Intake_View'!Q222&lt;&gt;"",'13 - Config_Intake_View'!Q222,'12 - Device_Configuration'!BH223)</f>
        <v>0</v>
      </c>
      <c r="J222" s="15" t="str">
        <f>IF('13 - Config_Intake_View'!Q222&lt;&gt;"","PM Approved",IF('12 - Device_Configuration'!BH223&lt;&gt;"","Assumed",""))</f>
        <v/>
      </c>
      <c r="K222" s="23">
        <f>'12 - Device_Configuration'!BG223</f>
        <v>0</v>
      </c>
      <c r="L222" s="15">
        <f>'12 - Device_Configuration'!P223</f>
        <v>0</v>
      </c>
      <c r="M222" s="15">
        <f>'12 - Device_Configuration'!Q223</f>
        <v>0</v>
      </c>
      <c r="N222" s="15" t="str">
        <f>'12 - Device_Configuration'!BK223</f>
        <v/>
      </c>
      <c r="O222" s="23" t="str">
        <f>'12 - Device_Configuration'!BL223</f>
        <v/>
      </c>
      <c r="P222" s="2">
        <f>'12 - Device_Configuration'!BA223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'12 - Device_Configuration'!H224</f>
        <v>0</v>
      </c>
      <c r="B223" s="23">
        <f>'12 - Device_Configuration'!S224</f>
        <v>0</v>
      </c>
      <c r="C223" s="23">
        <f>'12 - Device_Configuration'!T224</f>
        <v>0</v>
      </c>
      <c r="D223" s="15">
        <f>'12 - Device_Configuration'!AJ224</f>
        <v>0</v>
      </c>
      <c r="E223" s="15">
        <f>'12 - Device_Configuration'!J224</f>
        <v>0</v>
      </c>
      <c r="F223" s="23">
        <f>'12 - Device_Configuration'!K224</f>
        <v>0</v>
      </c>
      <c r="G223" s="15">
        <f>'12 - Device_Configuration'!L224</f>
        <v>0</v>
      </c>
      <c r="H223" s="15">
        <f>'13 - Config_Intake_View'!M223</f>
        <v>0</v>
      </c>
      <c r="I223" s="23">
        <f>IF('13 - Config_Intake_View'!Q223&lt;&gt;"",'13 - Config_Intake_View'!Q223,'12 - Device_Configuration'!BH224)</f>
        <v>0</v>
      </c>
      <c r="J223" s="15" t="str">
        <f>IF('13 - Config_Intake_View'!Q223&lt;&gt;"","PM Approved",IF('12 - Device_Configuration'!BH224&lt;&gt;"","Assumed",""))</f>
        <v/>
      </c>
      <c r="K223" s="23">
        <f>'12 - Device_Configuration'!BG224</f>
        <v>0</v>
      </c>
      <c r="L223" s="15">
        <f>'12 - Device_Configuration'!P224</f>
        <v>0</v>
      </c>
      <c r="M223" s="15">
        <f>'12 - Device_Configuration'!Q224</f>
        <v>0</v>
      </c>
      <c r="N223" s="15" t="str">
        <f>'12 - Device_Configuration'!BK224</f>
        <v/>
      </c>
      <c r="O223" s="23" t="str">
        <f>'12 - Device_Configuration'!BL224</f>
        <v/>
      </c>
      <c r="P223" s="2">
        <f>'12 - Device_Configuration'!BA224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'12 - Device_Configuration'!H225</f>
        <v>0</v>
      </c>
      <c r="B224" s="23">
        <f>'12 - Device_Configuration'!S225</f>
        <v>0</v>
      </c>
      <c r="C224" s="23">
        <f>'12 - Device_Configuration'!T225</f>
        <v>0</v>
      </c>
      <c r="D224" s="15">
        <f>'12 - Device_Configuration'!AJ225</f>
        <v>0</v>
      </c>
      <c r="E224" s="15">
        <f>'12 - Device_Configuration'!J225</f>
        <v>0</v>
      </c>
      <c r="F224" s="23">
        <f>'12 - Device_Configuration'!K225</f>
        <v>0</v>
      </c>
      <c r="G224" s="15">
        <f>'12 - Device_Configuration'!L225</f>
        <v>0</v>
      </c>
      <c r="H224" s="15">
        <f>'13 - Config_Intake_View'!M224</f>
        <v>0</v>
      </c>
      <c r="I224" s="23">
        <f>IF('13 - Config_Intake_View'!Q224&lt;&gt;"",'13 - Config_Intake_View'!Q224,'12 - Device_Configuration'!BH225)</f>
        <v>0</v>
      </c>
      <c r="J224" s="15" t="str">
        <f>IF('13 - Config_Intake_View'!Q224&lt;&gt;"","PM Approved",IF('12 - Device_Configuration'!BH225&lt;&gt;"","Assumed",""))</f>
        <v/>
      </c>
      <c r="K224" s="23">
        <f>'12 - Device_Configuration'!BG225</f>
        <v>0</v>
      </c>
      <c r="L224" s="15">
        <f>'12 - Device_Configuration'!P225</f>
        <v>0</v>
      </c>
      <c r="M224" s="15">
        <f>'12 - Device_Configuration'!Q225</f>
        <v>0</v>
      </c>
      <c r="N224" s="15" t="str">
        <f>'12 - Device_Configuration'!BK225</f>
        <v/>
      </c>
      <c r="O224" s="23" t="str">
        <f>'12 - Device_Configuration'!BL225</f>
        <v/>
      </c>
      <c r="P224" s="2">
        <f>'12 - Device_Configuration'!BA225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'12 - Device_Configuration'!H226</f>
        <v>0</v>
      </c>
      <c r="B225" s="23">
        <f>'12 - Device_Configuration'!S226</f>
        <v>0</v>
      </c>
      <c r="C225" s="23">
        <f>'12 - Device_Configuration'!T226</f>
        <v>0</v>
      </c>
      <c r="D225" s="15">
        <f>'12 - Device_Configuration'!AJ226</f>
        <v>0</v>
      </c>
      <c r="E225" s="15">
        <f>'12 - Device_Configuration'!J226</f>
        <v>0</v>
      </c>
      <c r="F225" s="23">
        <f>'12 - Device_Configuration'!K226</f>
        <v>0</v>
      </c>
      <c r="G225" s="15">
        <f>'12 - Device_Configuration'!L226</f>
        <v>0</v>
      </c>
      <c r="H225" s="15">
        <f>'13 - Config_Intake_View'!M225</f>
        <v>0</v>
      </c>
      <c r="I225" s="23">
        <f>IF('13 - Config_Intake_View'!Q225&lt;&gt;"",'13 - Config_Intake_View'!Q225,'12 - Device_Configuration'!BH226)</f>
        <v>0</v>
      </c>
      <c r="J225" s="15" t="str">
        <f>IF('13 - Config_Intake_View'!Q225&lt;&gt;"","PM Approved",IF('12 - Device_Configuration'!BH226&lt;&gt;"","Assumed",""))</f>
        <v/>
      </c>
      <c r="K225" s="23">
        <f>'12 - Device_Configuration'!BG226</f>
        <v>0</v>
      </c>
      <c r="L225" s="15">
        <f>'12 - Device_Configuration'!P226</f>
        <v>0</v>
      </c>
      <c r="M225" s="15">
        <f>'12 - Device_Configuration'!Q226</f>
        <v>0</v>
      </c>
      <c r="N225" s="15" t="str">
        <f>'12 - Device_Configuration'!BK226</f>
        <v/>
      </c>
      <c r="O225" s="23" t="str">
        <f>'12 - Device_Configuration'!BL226</f>
        <v/>
      </c>
      <c r="P225" s="2">
        <f>'12 - Device_Configuration'!BA226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'12 - Device_Configuration'!H227</f>
        <v>0</v>
      </c>
      <c r="B226" s="23">
        <f>'12 - Device_Configuration'!S227</f>
        <v>0</v>
      </c>
      <c r="C226" s="23">
        <f>'12 - Device_Configuration'!T227</f>
        <v>0</v>
      </c>
      <c r="D226" s="15">
        <f>'12 - Device_Configuration'!AJ227</f>
        <v>0</v>
      </c>
      <c r="E226" s="15">
        <f>'12 - Device_Configuration'!J227</f>
        <v>0</v>
      </c>
      <c r="F226" s="23">
        <f>'12 - Device_Configuration'!K227</f>
        <v>0</v>
      </c>
      <c r="G226" s="15">
        <f>'12 - Device_Configuration'!L227</f>
        <v>0</v>
      </c>
      <c r="H226" s="15">
        <f>'13 - Config_Intake_View'!M226</f>
        <v>0</v>
      </c>
      <c r="I226" s="23">
        <f>IF('13 - Config_Intake_View'!Q226&lt;&gt;"",'13 - Config_Intake_View'!Q226,'12 - Device_Configuration'!BH227)</f>
        <v>0</v>
      </c>
      <c r="J226" s="15" t="str">
        <f>IF('13 - Config_Intake_View'!Q226&lt;&gt;"","PM Approved",IF('12 - Device_Configuration'!BH227&lt;&gt;"","Assumed",""))</f>
        <v/>
      </c>
      <c r="K226" s="23">
        <f>'12 - Device_Configuration'!BG227</f>
        <v>0</v>
      </c>
      <c r="L226" s="15">
        <f>'12 - Device_Configuration'!P227</f>
        <v>0</v>
      </c>
      <c r="M226" s="15">
        <f>'12 - Device_Configuration'!Q227</f>
        <v>0</v>
      </c>
      <c r="N226" s="15" t="str">
        <f>'12 - Device_Configuration'!BK227</f>
        <v/>
      </c>
      <c r="O226" s="23" t="str">
        <f>'12 - Device_Configuration'!BL227</f>
        <v/>
      </c>
      <c r="P226" s="2">
        <f>'12 - Device_Configuration'!BA227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'12 - Device_Configuration'!H228</f>
        <v>0</v>
      </c>
      <c r="B227" s="23">
        <f>'12 - Device_Configuration'!S228</f>
        <v>0</v>
      </c>
      <c r="C227" s="23">
        <f>'12 - Device_Configuration'!T228</f>
        <v>0</v>
      </c>
      <c r="D227" s="15">
        <f>'12 - Device_Configuration'!AJ228</f>
        <v>0</v>
      </c>
      <c r="E227" s="15">
        <f>'12 - Device_Configuration'!J228</f>
        <v>0</v>
      </c>
      <c r="F227" s="23">
        <f>'12 - Device_Configuration'!K228</f>
        <v>0</v>
      </c>
      <c r="G227" s="15">
        <f>'12 - Device_Configuration'!L228</f>
        <v>0</v>
      </c>
      <c r="H227" s="15">
        <f>'13 - Config_Intake_View'!M227</f>
        <v>0</v>
      </c>
      <c r="I227" s="23">
        <f>IF('13 - Config_Intake_View'!Q227&lt;&gt;"",'13 - Config_Intake_View'!Q227,'12 - Device_Configuration'!BH228)</f>
        <v>0</v>
      </c>
      <c r="J227" s="15" t="str">
        <f>IF('13 - Config_Intake_View'!Q227&lt;&gt;"","PM Approved",IF('12 - Device_Configuration'!BH228&lt;&gt;"","Assumed",""))</f>
        <v/>
      </c>
      <c r="K227" s="23">
        <f>'12 - Device_Configuration'!BG228</f>
        <v>0</v>
      </c>
      <c r="L227" s="15">
        <f>'12 - Device_Configuration'!P228</f>
        <v>0</v>
      </c>
      <c r="M227" s="15">
        <f>'12 - Device_Configuration'!Q228</f>
        <v>0</v>
      </c>
      <c r="N227" s="15" t="str">
        <f>'12 - Device_Configuration'!BK228</f>
        <v/>
      </c>
      <c r="O227" s="23" t="str">
        <f>'12 - Device_Configuration'!BL228</f>
        <v/>
      </c>
      <c r="P227" s="2">
        <f>'12 - Device_Configuration'!BA228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'12 - Device_Configuration'!H229</f>
        <v>0</v>
      </c>
      <c r="B228" s="23">
        <f>'12 - Device_Configuration'!S229</f>
        <v>0</v>
      </c>
      <c r="C228" s="23">
        <f>'12 - Device_Configuration'!T229</f>
        <v>0</v>
      </c>
      <c r="D228" s="15">
        <f>'12 - Device_Configuration'!AJ229</f>
        <v>0</v>
      </c>
      <c r="E228" s="15">
        <f>'12 - Device_Configuration'!J229</f>
        <v>0</v>
      </c>
      <c r="F228" s="23">
        <f>'12 - Device_Configuration'!K229</f>
        <v>0</v>
      </c>
      <c r="G228" s="15">
        <f>'12 - Device_Configuration'!L229</f>
        <v>0</v>
      </c>
      <c r="H228" s="15">
        <f>'13 - Config_Intake_View'!M228</f>
        <v>0</v>
      </c>
      <c r="I228" s="23">
        <f>IF('13 - Config_Intake_View'!Q228&lt;&gt;"",'13 - Config_Intake_View'!Q228,'12 - Device_Configuration'!BH229)</f>
        <v>0</v>
      </c>
      <c r="J228" s="15" t="str">
        <f>IF('13 - Config_Intake_View'!Q228&lt;&gt;"","PM Approved",IF('12 - Device_Configuration'!BH229&lt;&gt;"","Assumed",""))</f>
        <v/>
      </c>
      <c r="K228" s="23">
        <f>'12 - Device_Configuration'!BG229</f>
        <v>0</v>
      </c>
      <c r="L228" s="15">
        <f>'12 - Device_Configuration'!P229</f>
        <v>0</v>
      </c>
      <c r="M228" s="15">
        <f>'12 - Device_Configuration'!Q229</f>
        <v>0</v>
      </c>
      <c r="N228" s="15" t="str">
        <f>'12 - Device_Configuration'!BK229</f>
        <v/>
      </c>
      <c r="O228" s="23" t="str">
        <f>'12 - Device_Configuration'!BL229</f>
        <v/>
      </c>
      <c r="P228" s="2">
        <f>'12 - Device_Configuration'!BA229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'12 - Device_Configuration'!H230</f>
        <v>0</v>
      </c>
      <c r="B229" s="23">
        <f>'12 - Device_Configuration'!S230</f>
        <v>0</v>
      </c>
      <c r="C229" s="23">
        <f>'12 - Device_Configuration'!T230</f>
        <v>0</v>
      </c>
      <c r="D229" s="15">
        <f>'12 - Device_Configuration'!AJ230</f>
        <v>0</v>
      </c>
      <c r="E229" s="15">
        <f>'12 - Device_Configuration'!J230</f>
        <v>0</v>
      </c>
      <c r="F229" s="23">
        <f>'12 - Device_Configuration'!K230</f>
        <v>0</v>
      </c>
      <c r="G229" s="15">
        <f>'12 - Device_Configuration'!L230</f>
        <v>0</v>
      </c>
      <c r="H229" s="15">
        <f>'13 - Config_Intake_View'!M229</f>
        <v>0</v>
      </c>
      <c r="I229" s="23">
        <f>IF('13 - Config_Intake_View'!Q229&lt;&gt;"",'13 - Config_Intake_View'!Q229,'12 - Device_Configuration'!BH230)</f>
        <v>0</v>
      </c>
      <c r="J229" s="15" t="str">
        <f>IF('13 - Config_Intake_View'!Q229&lt;&gt;"","PM Approved",IF('12 - Device_Configuration'!BH230&lt;&gt;"","Assumed",""))</f>
        <v/>
      </c>
      <c r="K229" s="23">
        <f>'12 - Device_Configuration'!BG230</f>
        <v>0</v>
      </c>
      <c r="L229" s="15">
        <f>'12 - Device_Configuration'!P230</f>
        <v>0</v>
      </c>
      <c r="M229" s="15">
        <f>'12 - Device_Configuration'!Q230</f>
        <v>0</v>
      </c>
      <c r="N229" s="15" t="str">
        <f>'12 - Device_Configuration'!BK230</f>
        <v/>
      </c>
      <c r="O229" s="23" t="str">
        <f>'12 - Device_Configuration'!BL230</f>
        <v/>
      </c>
      <c r="P229" s="2">
        <f>'12 - Device_Configuration'!BA230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'12 - Device_Configuration'!H231</f>
        <v>0</v>
      </c>
      <c r="B230" s="23">
        <f>'12 - Device_Configuration'!S231</f>
        <v>0</v>
      </c>
      <c r="C230" s="23">
        <f>'12 - Device_Configuration'!T231</f>
        <v>0</v>
      </c>
      <c r="D230" s="15">
        <f>'12 - Device_Configuration'!AJ231</f>
        <v>0</v>
      </c>
      <c r="E230" s="15">
        <f>'12 - Device_Configuration'!J231</f>
        <v>0</v>
      </c>
      <c r="F230" s="23">
        <f>'12 - Device_Configuration'!K231</f>
        <v>0</v>
      </c>
      <c r="G230" s="15">
        <f>'12 - Device_Configuration'!L231</f>
        <v>0</v>
      </c>
      <c r="H230" s="15">
        <f>'13 - Config_Intake_View'!M230</f>
        <v>0</v>
      </c>
      <c r="I230" s="23">
        <f>IF('13 - Config_Intake_View'!Q230&lt;&gt;"",'13 - Config_Intake_View'!Q230,'12 - Device_Configuration'!BH231)</f>
        <v>0</v>
      </c>
      <c r="J230" s="15" t="str">
        <f>IF('13 - Config_Intake_View'!Q230&lt;&gt;"","PM Approved",IF('12 - Device_Configuration'!BH231&lt;&gt;"","Assumed",""))</f>
        <v/>
      </c>
      <c r="K230" s="23">
        <f>'12 - Device_Configuration'!BG231</f>
        <v>0</v>
      </c>
      <c r="L230" s="15">
        <f>'12 - Device_Configuration'!P231</f>
        <v>0</v>
      </c>
      <c r="M230" s="15">
        <f>'12 - Device_Configuration'!Q231</f>
        <v>0</v>
      </c>
      <c r="N230" s="15" t="str">
        <f>'12 - Device_Configuration'!BK231</f>
        <v/>
      </c>
      <c r="O230" s="23" t="str">
        <f>'12 - Device_Configuration'!BL231</f>
        <v/>
      </c>
      <c r="P230" s="2">
        <f>'12 - Device_Configuration'!BA231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'12 - Device_Configuration'!H232</f>
        <v>0</v>
      </c>
      <c r="B231" s="23">
        <f>'12 - Device_Configuration'!S232</f>
        <v>0</v>
      </c>
      <c r="C231" s="23">
        <f>'12 - Device_Configuration'!T232</f>
        <v>0</v>
      </c>
      <c r="D231" s="15">
        <f>'12 - Device_Configuration'!AJ232</f>
        <v>0</v>
      </c>
      <c r="E231" s="15">
        <f>'12 - Device_Configuration'!J232</f>
        <v>0</v>
      </c>
      <c r="F231" s="23">
        <f>'12 - Device_Configuration'!K232</f>
        <v>0</v>
      </c>
      <c r="G231" s="15">
        <f>'12 - Device_Configuration'!L232</f>
        <v>0</v>
      </c>
      <c r="H231" s="15">
        <f>'13 - Config_Intake_View'!M231</f>
        <v>0</v>
      </c>
      <c r="I231" s="23">
        <f>IF('13 - Config_Intake_View'!Q231&lt;&gt;"",'13 - Config_Intake_View'!Q231,'12 - Device_Configuration'!BH232)</f>
        <v>0</v>
      </c>
      <c r="J231" s="15" t="str">
        <f>IF('13 - Config_Intake_View'!Q231&lt;&gt;"","PM Approved",IF('12 - Device_Configuration'!BH232&lt;&gt;"","Assumed",""))</f>
        <v/>
      </c>
      <c r="K231" s="23">
        <f>'12 - Device_Configuration'!BG232</f>
        <v>0</v>
      </c>
      <c r="L231" s="15">
        <f>'12 - Device_Configuration'!P232</f>
        <v>0</v>
      </c>
      <c r="M231" s="15">
        <f>'12 - Device_Configuration'!Q232</f>
        <v>0</v>
      </c>
      <c r="N231" s="15" t="str">
        <f>'12 - Device_Configuration'!BK232</f>
        <v/>
      </c>
      <c r="O231" s="23" t="str">
        <f>'12 - Device_Configuration'!BL232</f>
        <v/>
      </c>
      <c r="P231" s="2">
        <f>'12 - Device_Configuration'!BA232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'12 - Device_Configuration'!H233</f>
        <v>0</v>
      </c>
      <c r="B232" s="23">
        <f>'12 - Device_Configuration'!S233</f>
        <v>0</v>
      </c>
      <c r="C232" s="23">
        <f>'12 - Device_Configuration'!T233</f>
        <v>0</v>
      </c>
      <c r="D232" s="15">
        <f>'12 - Device_Configuration'!AJ233</f>
        <v>0</v>
      </c>
      <c r="E232" s="15">
        <f>'12 - Device_Configuration'!J233</f>
        <v>0</v>
      </c>
      <c r="F232" s="23">
        <f>'12 - Device_Configuration'!K233</f>
        <v>0</v>
      </c>
      <c r="G232" s="15">
        <f>'12 - Device_Configuration'!L233</f>
        <v>0</v>
      </c>
      <c r="H232" s="15">
        <f>'13 - Config_Intake_View'!M232</f>
        <v>0</v>
      </c>
      <c r="I232" s="23">
        <f>IF('13 - Config_Intake_View'!Q232&lt;&gt;"",'13 - Config_Intake_View'!Q232,'12 - Device_Configuration'!BH233)</f>
        <v>0</v>
      </c>
      <c r="J232" s="15" t="str">
        <f>IF('13 - Config_Intake_View'!Q232&lt;&gt;"","PM Approved",IF('12 - Device_Configuration'!BH233&lt;&gt;"","Assumed",""))</f>
        <v/>
      </c>
      <c r="K232" s="23">
        <f>'12 - Device_Configuration'!BG233</f>
        <v>0</v>
      </c>
      <c r="L232" s="15">
        <f>'12 - Device_Configuration'!P233</f>
        <v>0</v>
      </c>
      <c r="M232" s="15">
        <f>'12 - Device_Configuration'!Q233</f>
        <v>0</v>
      </c>
      <c r="N232" s="15" t="str">
        <f>'12 - Device_Configuration'!BK233</f>
        <v/>
      </c>
      <c r="O232" s="23" t="str">
        <f>'12 - Device_Configuration'!BL233</f>
        <v/>
      </c>
      <c r="P232" s="2">
        <f>'12 - Device_Configuration'!BA233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'12 - Device_Configuration'!H234</f>
        <v>0</v>
      </c>
      <c r="B233" s="23">
        <f>'12 - Device_Configuration'!S234</f>
        <v>0</v>
      </c>
      <c r="C233" s="23">
        <f>'12 - Device_Configuration'!T234</f>
        <v>0</v>
      </c>
      <c r="D233" s="15">
        <f>'12 - Device_Configuration'!AJ234</f>
        <v>0</v>
      </c>
      <c r="E233" s="15">
        <f>'12 - Device_Configuration'!J234</f>
        <v>0</v>
      </c>
      <c r="F233" s="23">
        <f>'12 - Device_Configuration'!K234</f>
        <v>0</v>
      </c>
      <c r="G233" s="15">
        <f>'12 - Device_Configuration'!L234</f>
        <v>0</v>
      </c>
      <c r="H233" s="15">
        <f>'13 - Config_Intake_View'!M233</f>
        <v>0</v>
      </c>
      <c r="I233" s="23">
        <f>IF('13 - Config_Intake_View'!Q233&lt;&gt;"",'13 - Config_Intake_View'!Q233,'12 - Device_Configuration'!BH234)</f>
        <v>0</v>
      </c>
      <c r="J233" s="15" t="str">
        <f>IF('13 - Config_Intake_View'!Q233&lt;&gt;"","PM Approved",IF('12 - Device_Configuration'!BH234&lt;&gt;"","Assumed",""))</f>
        <v/>
      </c>
      <c r="K233" s="23">
        <f>'12 - Device_Configuration'!BG234</f>
        <v>0</v>
      </c>
      <c r="L233" s="15">
        <f>'12 - Device_Configuration'!P234</f>
        <v>0</v>
      </c>
      <c r="M233" s="15">
        <f>'12 - Device_Configuration'!Q234</f>
        <v>0</v>
      </c>
      <c r="N233" s="15" t="str">
        <f>'12 - Device_Configuration'!BK234</f>
        <v/>
      </c>
      <c r="O233" s="23" t="str">
        <f>'12 - Device_Configuration'!BL234</f>
        <v/>
      </c>
      <c r="P233" s="2">
        <f>'12 - Device_Configuration'!BA234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'12 - Device_Configuration'!H235</f>
        <v>0</v>
      </c>
      <c r="B234" s="23">
        <f>'12 - Device_Configuration'!S235</f>
        <v>0</v>
      </c>
      <c r="C234" s="23">
        <f>'12 - Device_Configuration'!T235</f>
        <v>0</v>
      </c>
      <c r="D234" s="15">
        <f>'12 - Device_Configuration'!AJ235</f>
        <v>0</v>
      </c>
      <c r="E234" s="15">
        <f>'12 - Device_Configuration'!J235</f>
        <v>0</v>
      </c>
      <c r="F234" s="23">
        <f>'12 - Device_Configuration'!K235</f>
        <v>0</v>
      </c>
      <c r="G234" s="15">
        <f>'12 - Device_Configuration'!L235</f>
        <v>0</v>
      </c>
      <c r="H234" s="15">
        <f>'13 - Config_Intake_View'!M234</f>
        <v>0</v>
      </c>
      <c r="I234" s="23">
        <f>IF('13 - Config_Intake_View'!Q234&lt;&gt;"",'13 - Config_Intake_View'!Q234,'12 - Device_Configuration'!BH235)</f>
        <v>0</v>
      </c>
      <c r="J234" s="15" t="str">
        <f>IF('13 - Config_Intake_View'!Q234&lt;&gt;"","PM Approved",IF('12 - Device_Configuration'!BH235&lt;&gt;"","Assumed",""))</f>
        <v/>
      </c>
      <c r="K234" s="23">
        <f>'12 - Device_Configuration'!BG235</f>
        <v>0</v>
      </c>
      <c r="L234" s="15">
        <f>'12 - Device_Configuration'!P235</f>
        <v>0</v>
      </c>
      <c r="M234" s="15">
        <f>'12 - Device_Configuration'!Q235</f>
        <v>0</v>
      </c>
      <c r="N234" s="15" t="str">
        <f>'12 - Device_Configuration'!BK235</f>
        <v/>
      </c>
      <c r="O234" s="23" t="str">
        <f>'12 - Device_Configuration'!BL235</f>
        <v/>
      </c>
      <c r="P234" s="2">
        <f>'12 - Device_Configuration'!BA235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'12 - Device_Configuration'!H236</f>
        <v>0</v>
      </c>
      <c r="B235" s="23">
        <f>'12 - Device_Configuration'!S236</f>
        <v>0</v>
      </c>
      <c r="C235" s="23">
        <f>'12 - Device_Configuration'!T236</f>
        <v>0</v>
      </c>
      <c r="D235" s="15">
        <f>'12 - Device_Configuration'!AJ236</f>
        <v>0</v>
      </c>
      <c r="E235" s="15">
        <f>'12 - Device_Configuration'!J236</f>
        <v>0</v>
      </c>
      <c r="F235" s="23">
        <f>'12 - Device_Configuration'!K236</f>
        <v>0</v>
      </c>
      <c r="G235" s="15">
        <f>'12 - Device_Configuration'!L236</f>
        <v>0</v>
      </c>
      <c r="H235" s="15">
        <f>'13 - Config_Intake_View'!M235</f>
        <v>0</v>
      </c>
      <c r="I235" s="23">
        <f>IF('13 - Config_Intake_View'!Q235&lt;&gt;"",'13 - Config_Intake_View'!Q235,'12 - Device_Configuration'!BH236)</f>
        <v>0</v>
      </c>
      <c r="J235" s="15" t="str">
        <f>IF('13 - Config_Intake_View'!Q235&lt;&gt;"","PM Approved",IF('12 - Device_Configuration'!BH236&lt;&gt;"","Assumed",""))</f>
        <v/>
      </c>
      <c r="K235" s="23">
        <f>'12 - Device_Configuration'!BG236</f>
        <v>0</v>
      </c>
      <c r="L235" s="15">
        <f>'12 - Device_Configuration'!P236</f>
        <v>0</v>
      </c>
      <c r="M235" s="15">
        <f>'12 - Device_Configuration'!Q236</f>
        <v>0</v>
      </c>
      <c r="N235" s="15" t="str">
        <f>'12 - Device_Configuration'!BK236</f>
        <v/>
      </c>
      <c r="O235" s="23" t="str">
        <f>'12 - Device_Configuration'!BL236</f>
        <v/>
      </c>
      <c r="P235" s="2">
        <f>'12 - Device_Configuration'!BA236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'12 - Device_Configuration'!H237</f>
        <v>0</v>
      </c>
      <c r="B236" s="23">
        <f>'12 - Device_Configuration'!S237</f>
        <v>0</v>
      </c>
      <c r="C236" s="23">
        <f>'12 - Device_Configuration'!T237</f>
        <v>0</v>
      </c>
      <c r="D236" s="15">
        <f>'12 - Device_Configuration'!AJ237</f>
        <v>0</v>
      </c>
      <c r="E236" s="15">
        <f>'12 - Device_Configuration'!J237</f>
        <v>0</v>
      </c>
      <c r="F236" s="23">
        <f>'12 - Device_Configuration'!K237</f>
        <v>0</v>
      </c>
      <c r="G236" s="15">
        <f>'12 - Device_Configuration'!L237</f>
        <v>0</v>
      </c>
      <c r="H236" s="15">
        <f>'13 - Config_Intake_View'!M236</f>
        <v>0</v>
      </c>
      <c r="I236" s="23">
        <f>IF('13 - Config_Intake_View'!Q236&lt;&gt;"",'13 - Config_Intake_View'!Q236,'12 - Device_Configuration'!BH237)</f>
        <v>0</v>
      </c>
      <c r="J236" s="15" t="str">
        <f>IF('13 - Config_Intake_View'!Q236&lt;&gt;"","PM Approved",IF('12 - Device_Configuration'!BH237&lt;&gt;"","Assumed",""))</f>
        <v/>
      </c>
      <c r="K236" s="23">
        <f>'12 - Device_Configuration'!BG237</f>
        <v>0</v>
      </c>
      <c r="L236" s="15">
        <f>'12 - Device_Configuration'!P237</f>
        <v>0</v>
      </c>
      <c r="M236" s="15">
        <f>'12 - Device_Configuration'!Q237</f>
        <v>0</v>
      </c>
      <c r="N236" s="15" t="str">
        <f>'12 - Device_Configuration'!BK237</f>
        <v/>
      </c>
      <c r="O236" s="23" t="str">
        <f>'12 - Device_Configuration'!BL237</f>
        <v/>
      </c>
      <c r="P236" s="2">
        <f>'12 - Device_Configuration'!BA237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'12 - Device_Configuration'!H238</f>
        <v>0</v>
      </c>
      <c r="B237" s="23">
        <f>'12 - Device_Configuration'!S238</f>
        <v>0</v>
      </c>
      <c r="C237" s="23">
        <f>'12 - Device_Configuration'!T238</f>
        <v>0</v>
      </c>
      <c r="D237" s="15">
        <f>'12 - Device_Configuration'!AJ238</f>
        <v>0</v>
      </c>
      <c r="E237" s="15">
        <f>'12 - Device_Configuration'!J238</f>
        <v>0</v>
      </c>
      <c r="F237" s="23">
        <f>'12 - Device_Configuration'!K238</f>
        <v>0</v>
      </c>
      <c r="G237" s="15">
        <f>'12 - Device_Configuration'!L238</f>
        <v>0</v>
      </c>
      <c r="H237" s="15">
        <f>'13 - Config_Intake_View'!M237</f>
        <v>0</v>
      </c>
      <c r="I237" s="23">
        <f>IF('13 - Config_Intake_View'!Q237&lt;&gt;"",'13 - Config_Intake_View'!Q237,'12 - Device_Configuration'!BH238)</f>
        <v>0</v>
      </c>
      <c r="J237" s="15" t="str">
        <f>IF('13 - Config_Intake_View'!Q237&lt;&gt;"","PM Approved",IF('12 - Device_Configuration'!BH238&lt;&gt;"","Assumed",""))</f>
        <v/>
      </c>
      <c r="K237" s="23">
        <f>'12 - Device_Configuration'!BG238</f>
        <v>0</v>
      </c>
      <c r="L237" s="15">
        <f>'12 - Device_Configuration'!P238</f>
        <v>0</v>
      </c>
      <c r="M237" s="15">
        <f>'12 - Device_Configuration'!Q238</f>
        <v>0</v>
      </c>
      <c r="N237" s="15" t="str">
        <f>'12 - Device_Configuration'!BK238</f>
        <v/>
      </c>
      <c r="O237" s="23" t="str">
        <f>'12 - Device_Configuration'!BL238</f>
        <v/>
      </c>
      <c r="P237" s="2">
        <f>'12 - Device_Configuration'!BA238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'12 - Device_Configuration'!H239</f>
        <v>0</v>
      </c>
      <c r="B238" s="23">
        <f>'12 - Device_Configuration'!S239</f>
        <v>0</v>
      </c>
      <c r="C238" s="23">
        <f>'12 - Device_Configuration'!T239</f>
        <v>0</v>
      </c>
      <c r="D238" s="15">
        <f>'12 - Device_Configuration'!AJ239</f>
        <v>0</v>
      </c>
      <c r="E238" s="15">
        <f>'12 - Device_Configuration'!J239</f>
        <v>0</v>
      </c>
      <c r="F238" s="23">
        <f>'12 - Device_Configuration'!K239</f>
        <v>0</v>
      </c>
      <c r="G238" s="15">
        <f>'12 - Device_Configuration'!L239</f>
        <v>0</v>
      </c>
      <c r="H238" s="15">
        <f>'13 - Config_Intake_View'!M238</f>
        <v>0</v>
      </c>
      <c r="I238" s="23">
        <f>IF('13 - Config_Intake_View'!Q238&lt;&gt;"",'13 - Config_Intake_View'!Q238,'12 - Device_Configuration'!BH239)</f>
        <v>0</v>
      </c>
      <c r="J238" s="15" t="str">
        <f>IF('13 - Config_Intake_View'!Q238&lt;&gt;"","PM Approved",IF('12 - Device_Configuration'!BH239&lt;&gt;"","Assumed",""))</f>
        <v/>
      </c>
      <c r="K238" s="23">
        <f>'12 - Device_Configuration'!BG239</f>
        <v>0</v>
      </c>
      <c r="L238" s="15">
        <f>'12 - Device_Configuration'!P239</f>
        <v>0</v>
      </c>
      <c r="M238" s="15">
        <f>'12 - Device_Configuration'!Q239</f>
        <v>0</v>
      </c>
      <c r="N238" s="15" t="str">
        <f>'12 - Device_Configuration'!BK239</f>
        <v/>
      </c>
      <c r="O238" s="23" t="str">
        <f>'12 - Device_Configuration'!BL239</f>
        <v/>
      </c>
      <c r="P238" s="2">
        <f>'12 - Device_Configuration'!BA239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'12 - Device_Configuration'!H240</f>
        <v>0</v>
      </c>
      <c r="B239" s="23">
        <f>'12 - Device_Configuration'!S240</f>
        <v>0</v>
      </c>
      <c r="C239" s="23">
        <f>'12 - Device_Configuration'!T240</f>
        <v>0</v>
      </c>
      <c r="D239" s="15">
        <f>'12 - Device_Configuration'!AJ240</f>
        <v>0</v>
      </c>
      <c r="E239" s="15">
        <f>'12 - Device_Configuration'!J240</f>
        <v>0</v>
      </c>
      <c r="F239" s="23">
        <f>'12 - Device_Configuration'!K240</f>
        <v>0</v>
      </c>
      <c r="G239" s="15">
        <f>'12 - Device_Configuration'!L240</f>
        <v>0</v>
      </c>
      <c r="H239" s="15">
        <f>'13 - Config_Intake_View'!M239</f>
        <v>0</v>
      </c>
      <c r="I239" s="23">
        <f>IF('13 - Config_Intake_View'!Q239&lt;&gt;"",'13 - Config_Intake_View'!Q239,'12 - Device_Configuration'!BH240)</f>
        <v>0</v>
      </c>
      <c r="J239" s="15" t="str">
        <f>IF('13 - Config_Intake_View'!Q239&lt;&gt;"","PM Approved",IF('12 - Device_Configuration'!BH240&lt;&gt;"","Assumed",""))</f>
        <v/>
      </c>
      <c r="K239" s="23">
        <f>'12 - Device_Configuration'!BG240</f>
        <v>0</v>
      </c>
      <c r="L239" s="15">
        <f>'12 - Device_Configuration'!P240</f>
        <v>0</v>
      </c>
      <c r="M239" s="15">
        <f>'12 - Device_Configuration'!Q240</f>
        <v>0</v>
      </c>
      <c r="N239" s="15" t="str">
        <f>'12 - Device_Configuration'!BK240</f>
        <v/>
      </c>
      <c r="O239" s="23" t="str">
        <f>'12 - Device_Configuration'!BL240</f>
        <v/>
      </c>
      <c r="P239" s="2">
        <f>'12 - Device_Configuration'!BA240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'12 - Device_Configuration'!H241</f>
        <v>0</v>
      </c>
      <c r="B240" s="23">
        <f>'12 - Device_Configuration'!S241</f>
        <v>0</v>
      </c>
      <c r="C240" s="23">
        <f>'12 - Device_Configuration'!T241</f>
        <v>0</v>
      </c>
      <c r="D240" s="15">
        <f>'12 - Device_Configuration'!AJ241</f>
        <v>0</v>
      </c>
      <c r="E240" s="15">
        <f>'12 - Device_Configuration'!J241</f>
        <v>0</v>
      </c>
      <c r="F240" s="23">
        <f>'12 - Device_Configuration'!K241</f>
        <v>0</v>
      </c>
      <c r="G240" s="15">
        <f>'12 - Device_Configuration'!L241</f>
        <v>0</v>
      </c>
      <c r="H240" s="15">
        <f>'13 - Config_Intake_View'!M240</f>
        <v>0</v>
      </c>
      <c r="I240" s="23">
        <f>IF('13 - Config_Intake_View'!Q240&lt;&gt;"",'13 - Config_Intake_View'!Q240,'12 - Device_Configuration'!BH241)</f>
        <v>0</v>
      </c>
      <c r="J240" s="15" t="str">
        <f>IF('13 - Config_Intake_View'!Q240&lt;&gt;"","PM Approved",IF('12 - Device_Configuration'!BH241&lt;&gt;"","Assumed",""))</f>
        <v/>
      </c>
      <c r="K240" s="23">
        <f>'12 - Device_Configuration'!BG241</f>
        <v>0</v>
      </c>
      <c r="L240" s="15">
        <f>'12 - Device_Configuration'!P241</f>
        <v>0</v>
      </c>
      <c r="M240" s="15">
        <f>'12 - Device_Configuration'!Q241</f>
        <v>0</v>
      </c>
      <c r="N240" s="15" t="str">
        <f>'12 - Device_Configuration'!BK241</f>
        <v/>
      </c>
      <c r="O240" s="23" t="str">
        <f>'12 - Device_Configuration'!BL241</f>
        <v/>
      </c>
      <c r="P240" s="2">
        <f>'12 - Device_Configuration'!BA241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'12 - Device_Configuration'!H242</f>
        <v>0</v>
      </c>
      <c r="B241" s="23">
        <f>'12 - Device_Configuration'!S242</f>
        <v>0</v>
      </c>
      <c r="C241" s="23">
        <f>'12 - Device_Configuration'!T242</f>
        <v>0</v>
      </c>
      <c r="D241" s="15">
        <f>'12 - Device_Configuration'!AJ242</f>
        <v>0</v>
      </c>
      <c r="E241" s="15">
        <f>'12 - Device_Configuration'!J242</f>
        <v>0</v>
      </c>
      <c r="F241" s="23">
        <f>'12 - Device_Configuration'!K242</f>
        <v>0</v>
      </c>
      <c r="G241" s="15">
        <f>'12 - Device_Configuration'!L242</f>
        <v>0</v>
      </c>
      <c r="H241" s="15">
        <f>'13 - Config_Intake_View'!M241</f>
        <v>0</v>
      </c>
      <c r="I241" s="23">
        <f>IF('13 - Config_Intake_View'!Q241&lt;&gt;"",'13 - Config_Intake_View'!Q241,'12 - Device_Configuration'!BH242)</f>
        <v>0</v>
      </c>
      <c r="J241" s="15" t="str">
        <f>IF('13 - Config_Intake_View'!Q241&lt;&gt;"","PM Approved",IF('12 - Device_Configuration'!BH242&lt;&gt;"","Assumed",""))</f>
        <v/>
      </c>
      <c r="K241" s="23">
        <f>'12 - Device_Configuration'!BG242</f>
        <v>0</v>
      </c>
      <c r="L241" s="15">
        <f>'12 - Device_Configuration'!P242</f>
        <v>0</v>
      </c>
      <c r="M241" s="15">
        <f>'12 - Device_Configuration'!Q242</f>
        <v>0</v>
      </c>
      <c r="N241" s="15" t="str">
        <f>'12 - Device_Configuration'!BK242</f>
        <v/>
      </c>
      <c r="O241" s="23" t="str">
        <f>'12 - Device_Configuration'!BL242</f>
        <v/>
      </c>
      <c r="P241" s="2">
        <f>'12 - Device_Configuration'!BA242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'12 - Device_Configuration'!H243</f>
        <v>0</v>
      </c>
      <c r="B242" s="23">
        <f>'12 - Device_Configuration'!S243</f>
        <v>0</v>
      </c>
      <c r="C242" s="23">
        <f>'12 - Device_Configuration'!T243</f>
        <v>0</v>
      </c>
      <c r="D242" s="15">
        <f>'12 - Device_Configuration'!AJ243</f>
        <v>0</v>
      </c>
      <c r="E242" s="15">
        <f>'12 - Device_Configuration'!J243</f>
        <v>0</v>
      </c>
      <c r="F242" s="23">
        <f>'12 - Device_Configuration'!K243</f>
        <v>0</v>
      </c>
      <c r="G242" s="15">
        <f>'12 - Device_Configuration'!L243</f>
        <v>0</v>
      </c>
      <c r="H242" s="15">
        <f>'13 - Config_Intake_View'!M242</f>
        <v>0</v>
      </c>
      <c r="I242" s="23">
        <f>IF('13 - Config_Intake_View'!Q242&lt;&gt;"",'13 - Config_Intake_View'!Q242,'12 - Device_Configuration'!BH243)</f>
        <v>0</v>
      </c>
      <c r="J242" s="15" t="str">
        <f>IF('13 - Config_Intake_View'!Q242&lt;&gt;"","PM Approved",IF('12 - Device_Configuration'!BH243&lt;&gt;"","Assumed",""))</f>
        <v/>
      </c>
      <c r="K242" s="23">
        <f>'12 - Device_Configuration'!BG243</f>
        <v>0</v>
      </c>
      <c r="L242" s="15">
        <f>'12 - Device_Configuration'!P243</f>
        <v>0</v>
      </c>
      <c r="M242" s="15">
        <f>'12 - Device_Configuration'!Q243</f>
        <v>0</v>
      </c>
      <c r="N242" s="15" t="str">
        <f>'12 - Device_Configuration'!BK243</f>
        <v/>
      </c>
      <c r="O242" s="23" t="str">
        <f>'12 - Device_Configuration'!BL243</f>
        <v/>
      </c>
      <c r="P242" s="2">
        <f>'12 - Device_Configuration'!BA243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'12 - Device_Configuration'!H244</f>
        <v>0</v>
      </c>
      <c r="B243" s="23">
        <f>'12 - Device_Configuration'!S244</f>
        <v>0</v>
      </c>
      <c r="C243" s="23">
        <f>'12 - Device_Configuration'!T244</f>
        <v>0</v>
      </c>
      <c r="D243" s="15">
        <f>'12 - Device_Configuration'!AJ244</f>
        <v>0</v>
      </c>
      <c r="E243" s="15">
        <f>'12 - Device_Configuration'!J244</f>
        <v>0</v>
      </c>
      <c r="F243" s="23">
        <f>'12 - Device_Configuration'!K244</f>
        <v>0</v>
      </c>
      <c r="G243" s="15">
        <f>'12 - Device_Configuration'!L244</f>
        <v>0</v>
      </c>
      <c r="H243" s="15">
        <f>'13 - Config_Intake_View'!M243</f>
        <v>0</v>
      </c>
      <c r="I243" s="23">
        <f>IF('13 - Config_Intake_View'!Q243&lt;&gt;"",'13 - Config_Intake_View'!Q243,'12 - Device_Configuration'!BH244)</f>
        <v>0</v>
      </c>
      <c r="J243" s="15" t="str">
        <f>IF('13 - Config_Intake_View'!Q243&lt;&gt;"","PM Approved",IF('12 - Device_Configuration'!BH244&lt;&gt;"","Assumed",""))</f>
        <v/>
      </c>
      <c r="K243" s="23">
        <f>'12 - Device_Configuration'!BG244</f>
        <v>0</v>
      </c>
      <c r="L243" s="15">
        <f>'12 - Device_Configuration'!P244</f>
        <v>0</v>
      </c>
      <c r="M243" s="15">
        <f>'12 - Device_Configuration'!Q244</f>
        <v>0</v>
      </c>
      <c r="N243" s="15" t="str">
        <f>'12 - Device_Configuration'!BK244</f>
        <v/>
      </c>
      <c r="O243" s="23" t="str">
        <f>'12 - Device_Configuration'!BL244</f>
        <v/>
      </c>
      <c r="P243" s="2">
        <f>'12 - Device_Configuration'!BA244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'12 - Device_Configuration'!H245</f>
        <v>0</v>
      </c>
      <c r="B244" s="23">
        <f>'12 - Device_Configuration'!S245</f>
        <v>0</v>
      </c>
      <c r="C244" s="23">
        <f>'12 - Device_Configuration'!T245</f>
        <v>0</v>
      </c>
      <c r="D244" s="15">
        <f>'12 - Device_Configuration'!AJ245</f>
        <v>0</v>
      </c>
      <c r="E244" s="15">
        <f>'12 - Device_Configuration'!J245</f>
        <v>0</v>
      </c>
      <c r="F244" s="23">
        <f>'12 - Device_Configuration'!K245</f>
        <v>0</v>
      </c>
      <c r="G244" s="15">
        <f>'12 - Device_Configuration'!L245</f>
        <v>0</v>
      </c>
      <c r="H244" s="15">
        <f>'13 - Config_Intake_View'!M244</f>
        <v>0</v>
      </c>
      <c r="I244" s="23">
        <f>IF('13 - Config_Intake_View'!Q244&lt;&gt;"",'13 - Config_Intake_View'!Q244,'12 - Device_Configuration'!BH245)</f>
        <v>0</v>
      </c>
      <c r="J244" s="15" t="str">
        <f>IF('13 - Config_Intake_View'!Q244&lt;&gt;"","PM Approved",IF('12 - Device_Configuration'!BH245&lt;&gt;"","Assumed",""))</f>
        <v/>
      </c>
      <c r="K244" s="23">
        <f>'12 - Device_Configuration'!BG245</f>
        <v>0</v>
      </c>
      <c r="L244" s="15">
        <f>'12 - Device_Configuration'!P245</f>
        <v>0</v>
      </c>
      <c r="M244" s="15">
        <f>'12 - Device_Configuration'!Q245</f>
        <v>0</v>
      </c>
      <c r="N244" s="15" t="str">
        <f>'12 - Device_Configuration'!BK245</f>
        <v/>
      </c>
      <c r="O244" s="23" t="str">
        <f>'12 - Device_Configuration'!BL245</f>
        <v/>
      </c>
      <c r="P244" s="2">
        <f>'12 - Device_Configuration'!BA245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'12 - Device_Configuration'!H246</f>
        <v>0</v>
      </c>
      <c r="B245" s="23">
        <f>'12 - Device_Configuration'!S246</f>
        <v>0</v>
      </c>
      <c r="C245" s="23">
        <f>'12 - Device_Configuration'!T246</f>
        <v>0</v>
      </c>
      <c r="D245" s="15">
        <f>'12 - Device_Configuration'!AJ246</f>
        <v>0</v>
      </c>
      <c r="E245" s="15">
        <f>'12 - Device_Configuration'!J246</f>
        <v>0</v>
      </c>
      <c r="F245" s="23">
        <f>'12 - Device_Configuration'!K246</f>
        <v>0</v>
      </c>
      <c r="G245" s="15">
        <f>'12 - Device_Configuration'!L246</f>
        <v>0</v>
      </c>
      <c r="H245" s="15">
        <f>'13 - Config_Intake_View'!M245</f>
        <v>0</v>
      </c>
      <c r="I245" s="23">
        <f>IF('13 - Config_Intake_View'!Q245&lt;&gt;"",'13 - Config_Intake_View'!Q245,'12 - Device_Configuration'!BH246)</f>
        <v>0</v>
      </c>
      <c r="J245" s="15" t="str">
        <f>IF('13 - Config_Intake_View'!Q245&lt;&gt;"","PM Approved",IF('12 - Device_Configuration'!BH246&lt;&gt;"","Assumed",""))</f>
        <v/>
      </c>
      <c r="K245" s="23">
        <f>'12 - Device_Configuration'!BG246</f>
        <v>0</v>
      </c>
      <c r="L245" s="15">
        <f>'12 - Device_Configuration'!P246</f>
        <v>0</v>
      </c>
      <c r="M245" s="15">
        <f>'12 - Device_Configuration'!Q246</f>
        <v>0</v>
      </c>
      <c r="N245" s="15" t="str">
        <f>'12 - Device_Configuration'!BK246</f>
        <v/>
      </c>
      <c r="O245" s="23" t="str">
        <f>'12 - Device_Configuration'!BL246</f>
        <v/>
      </c>
      <c r="P245" s="2">
        <f>'12 - Device_Configuration'!BA246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'12 - Device_Configuration'!H247</f>
        <v>0</v>
      </c>
      <c r="B246" s="23">
        <f>'12 - Device_Configuration'!S247</f>
        <v>0</v>
      </c>
      <c r="C246" s="23">
        <f>'12 - Device_Configuration'!T247</f>
        <v>0</v>
      </c>
      <c r="D246" s="15">
        <f>'12 - Device_Configuration'!AJ247</f>
        <v>0</v>
      </c>
      <c r="E246" s="15">
        <f>'12 - Device_Configuration'!J247</f>
        <v>0</v>
      </c>
      <c r="F246" s="23">
        <f>'12 - Device_Configuration'!K247</f>
        <v>0</v>
      </c>
      <c r="G246" s="15">
        <f>'12 - Device_Configuration'!L247</f>
        <v>0</v>
      </c>
      <c r="H246" s="15">
        <f>'13 - Config_Intake_View'!M246</f>
        <v>0</v>
      </c>
      <c r="I246" s="23">
        <f>IF('13 - Config_Intake_View'!Q246&lt;&gt;"",'13 - Config_Intake_View'!Q246,'12 - Device_Configuration'!BH247)</f>
        <v>0</v>
      </c>
      <c r="J246" s="15" t="str">
        <f>IF('13 - Config_Intake_View'!Q246&lt;&gt;"","PM Approved",IF('12 - Device_Configuration'!BH247&lt;&gt;"","Assumed",""))</f>
        <v/>
      </c>
      <c r="K246" s="23">
        <f>'12 - Device_Configuration'!BG247</f>
        <v>0</v>
      </c>
      <c r="L246" s="15">
        <f>'12 - Device_Configuration'!P247</f>
        <v>0</v>
      </c>
      <c r="M246" s="15">
        <f>'12 - Device_Configuration'!Q247</f>
        <v>0</v>
      </c>
      <c r="N246" s="15" t="str">
        <f>'12 - Device_Configuration'!BK247</f>
        <v/>
      </c>
      <c r="O246" s="23" t="str">
        <f>'12 - Device_Configuration'!BL247</f>
        <v/>
      </c>
      <c r="P246" s="2">
        <f>'12 - Device_Configuration'!BA247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'12 - Device_Configuration'!H248</f>
        <v>0</v>
      </c>
      <c r="B247" s="23">
        <f>'12 - Device_Configuration'!S248</f>
        <v>0</v>
      </c>
      <c r="C247" s="23">
        <f>'12 - Device_Configuration'!T248</f>
        <v>0</v>
      </c>
      <c r="D247" s="15">
        <f>'12 - Device_Configuration'!AJ248</f>
        <v>0</v>
      </c>
      <c r="E247" s="15">
        <f>'12 - Device_Configuration'!J248</f>
        <v>0</v>
      </c>
      <c r="F247" s="23">
        <f>'12 - Device_Configuration'!K248</f>
        <v>0</v>
      </c>
      <c r="G247" s="15">
        <f>'12 - Device_Configuration'!L248</f>
        <v>0</v>
      </c>
      <c r="H247" s="15">
        <f>'13 - Config_Intake_View'!M247</f>
        <v>0</v>
      </c>
      <c r="I247" s="23">
        <f>IF('13 - Config_Intake_View'!Q247&lt;&gt;"",'13 - Config_Intake_View'!Q247,'12 - Device_Configuration'!BH248)</f>
        <v>0</v>
      </c>
      <c r="J247" s="15" t="str">
        <f>IF('13 - Config_Intake_View'!Q247&lt;&gt;"","PM Approved",IF('12 - Device_Configuration'!BH248&lt;&gt;"","Assumed",""))</f>
        <v/>
      </c>
      <c r="K247" s="23">
        <f>'12 - Device_Configuration'!BG248</f>
        <v>0</v>
      </c>
      <c r="L247" s="15">
        <f>'12 - Device_Configuration'!P248</f>
        <v>0</v>
      </c>
      <c r="M247" s="15">
        <f>'12 - Device_Configuration'!Q248</f>
        <v>0</v>
      </c>
      <c r="N247" s="15" t="str">
        <f>'12 - Device_Configuration'!BK248</f>
        <v/>
      </c>
      <c r="O247" s="23" t="str">
        <f>'12 - Device_Configuration'!BL248</f>
        <v/>
      </c>
      <c r="P247" s="2">
        <f>'12 - Device_Configuration'!BA248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'12 - Device_Configuration'!H249</f>
        <v>0</v>
      </c>
      <c r="B248" s="23">
        <f>'12 - Device_Configuration'!S249</f>
        <v>0</v>
      </c>
      <c r="C248" s="23">
        <f>'12 - Device_Configuration'!T249</f>
        <v>0</v>
      </c>
      <c r="D248" s="15">
        <f>'12 - Device_Configuration'!AJ249</f>
        <v>0</v>
      </c>
      <c r="E248" s="15">
        <f>'12 - Device_Configuration'!J249</f>
        <v>0</v>
      </c>
      <c r="F248" s="23">
        <f>'12 - Device_Configuration'!K249</f>
        <v>0</v>
      </c>
      <c r="G248" s="15">
        <f>'12 - Device_Configuration'!L249</f>
        <v>0</v>
      </c>
      <c r="H248" s="15">
        <f>'13 - Config_Intake_View'!M248</f>
        <v>0</v>
      </c>
      <c r="I248" s="23">
        <f>IF('13 - Config_Intake_View'!Q248&lt;&gt;"",'13 - Config_Intake_View'!Q248,'12 - Device_Configuration'!BH249)</f>
        <v>0</v>
      </c>
      <c r="J248" s="15" t="str">
        <f>IF('13 - Config_Intake_View'!Q248&lt;&gt;"","PM Approved",IF('12 - Device_Configuration'!BH249&lt;&gt;"","Assumed",""))</f>
        <v/>
      </c>
      <c r="K248" s="23">
        <f>'12 - Device_Configuration'!BG249</f>
        <v>0</v>
      </c>
      <c r="L248" s="15">
        <f>'12 - Device_Configuration'!P249</f>
        <v>0</v>
      </c>
      <c r="M248" s="15">
        <f>'12 - Device_Configuration'!Q249</f>
        <v>0</v>
      </c>
      <c r="N248" s="15" t="str">
        <f>'12 - Device_Configuration'!BK249</f>
        <v/>
      </c>
      <c r="O248" s="23" t="str">
        <f>'12 - Device_Configuration'!BL249</f>
        <v/>
      </c>
      <c r="P248" s="2">
        <f>'12 - Device_Configuration'!BA249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'12 - Device_Configuration'!H250</f>
        <v>0</v>
      </c>
      <c r="B249" s="23">
        <f>'12 - Device_Configuration'!S250</f>
        <v>0</v>
      </c>
      <c r="C249" s="23">
        <f>'12 - Device_Configuration'!T250</f>
        <v>0</v>
      </c>
      <c r="D249" s="15">
        <f>'12 - Device_Configuration'!AJ250</f>
        <v>0</v>
      </c>
      <c r="E249" s="15">
        <f>'12 - Device_Configuration'!J250</f>
        <v>0</v>
      </c>
      <c r="F249" s="23">
        <f>'12 - Device_Configuration'!K250</f>
        <v>0</v>
      </c>
      <c r="G249" s="15">
        <f>'12 - Device_Configuration'!L250</f>
        <v>0</v>
      </c>
      <c r="H249" s="15">
        <f>'13 - Config_Intake_View'!M249</f>
        <v>0</v>
      </c>
      <c r="I249" s="23">
        <f>IF('13 - Config_Intake_View'!Q249&lt;&gt;"",'13 - Config_Intake_View'!Q249,'12 - Device_Configuration'!BH250)</f>
        <v>0</v>
      </c>
      <c r="J249" s="15" t="str">
        <f>IF('13 - Config_Intake_View'!Q249&lt;&gt;"","PM Approved",IF('12 - Device_Configuration'!BH250&lt;&gt;"","Assumed",""))</f>
        <v/>
      </c>
      <c r="K249" s="23">
        <f>'12 - Device_Configuration'!BG250</f>
        <v>0</v>
      </c>
      <c r="L249" s="15">
        <f>'12 - Device_Configuration'!P250</f>
        <v>0</v>
      </c>
      <c r="M249" s="15">
        <f>'12 - Device_Configuration'!Q250</f>
        <v>0</v>
      </c>
      <c r="N249" s="15" t="str">
        <f>'12 - Device_Configuration'!BK250</f>
        <v/>
      </c>
      <c r="O249" s="23" t="str">
        <f>'12 - Device_Configuration'!BL250</f>
        <v/>
      </c>
      <c r="P249" s="2">
        <f>'12 - Device_Configuration'!BA250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'12 - Device_Configuration'!H251</f>
        <v>0</v>
      </c>
      <c r="B250" s="23">
        <f>'12 - Device_Configuration'!S251</f>
        <v>0</v>
      </c>
      <c r="C250" s="23">
        <f>'12 - Device_Configuration'!T251</f>
        <v>0</v>
      </c>
      <c r="D250" s="15">
        <f>'12 - Device_Configuration'!AJ251</f>
        <v>0</v>
      </c>
      <c r="E250" s="15">
        <f>'12 - Device_Configuration'!J251</f>
        <v>0</v>
      </c>
      <c r="F250" s="23">
        <f>'12 - Device_Configuration'!K251</f>
        <v>0</v>
      </c>
      <c r="G250" s="15">
        <f>'12 - Device_Configuration'!L251</f>
        <v>0</v>
      </c>
      <c r="H250" s="15">
        <f>'13 - Config_Intake_View'!M250</f>
        <v>0</v>
      </c>
      <c r="I250" s="23">
        <f>IF('13 - Config_Intake_View'!Q250&lt;&gt;"",'13 - Config_Intake_View'!Q250,'12 - Device_Configuration'!BH251)</f>
        <v>0</v>
      </c>
      <c r="J250" s="15" t="str">
        <f>IF('13 - Config_Intake_View'!Q250&lt;&gt;"","PM Approved",IF('12 - Device_Configuration'!BH251&lt;&gt;"","Assumed",""))</f>
        <v/>
      </c>
      <c r="K250" s="23">
        <f>'12 - Device_Configuration'!BG251</f>
        <v>0</v>
      </c>
      <c r="L250" s="15">
        <f>'12 - Device_Configuration'!P251</f>
        <v>0</v>
      </c>
      <c r="M250" s="15">
        <f>'12 - Device_Configuration'!Q251</f>
        <v>0</v>
      </c>
      <c r="N250" s="15" t="str">
        <f>'12 - Device_Configuration'!BK251</f>
        <v/>
      </c>
      <c r="O250" s="23" t="str">
        <f>'12 - Device_Configuration'!BL251</f>
        <v/>
      </c>
      <c r="P250" s="2">
        <f>'12 - Device_Configuration'!BA251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'12 - Device_Configuration'!H252</f>
        <v>0</v>
      </c>
      <c r="B251" s="23">
        <f>'12 - Device_Configuration'!S252</f>
        <v>0</v>
      </c>
      <c r="C251" s="23">
        <f>'12 - Device_Configuration'!T252</f>
        <v>0</v>
      </c>
      <c r="D251" s="15">
        <f>'12 - Device_Configuration'!AJ252</f>
        <v>0</v>
      </c>
      <c r="E251" s="15">
        <f>'12 - Device_Configuration'!J252</f>
        <v>0</v>
      </c>
      <c r="F251" s="23">
        <f>'12 - Device_Configuration'!K252</f>
        <v>0</v>
      </c>
      <c r="G251" s="15">
        <f>'12 - Device_Configuration'!L252</f>
        <v>0</v>
      </c>
      <c r="H251" s="15">
        <f>'13 - Config_Intake_View'!M251</f>
        <v>0</v>
      </c>
      <c r="I251" s="23">
        <f>IF('13 - Config_Intake_View'!Q251&lt;&gt;"",'13 - Config_Intake_View'!Q251,'12 - Device_Configuration'!BH252)</f>
        <v>0</v>
      </c>
      <c r="J251" s="15" t="str">
        <f>IF('13 - Config_Intake_View'!Q251&lt;&gt;"","PM Approved",IF('12 - Device_Configuration'!BH252&lt;&gt;"","Assumed",""))</f>
        <v/>
      </c>
      <c r="K251" s="23">
        <f>'12 - Device_Configuration'!BG252</f>
        <v>0</v>
      </c>
      <c r="L251" s="15">
        <f>'12 - Device_Configuration'!P252</f>
        <v>0</v>
      </c>
      <c r="M251" s="15">
        <f>'12 - Device_Configuration'!Q252</f>
        <v>0</v>
      </c>
      <c r="N251" s="15" t="str">
        <f>'12 - Device_Configuration'!BK252</f>
        <v/>
      </c>
      <c r="O251" s="23" t="str">
        <f>'12 - Device_Configuration'!BL252</f>
        <v/>
      </c>
      <c r="P251" s="2">
        <f>'12 - Device_Configuration'!BA252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'12 - Device_Configuration'!H253</f>
        <v>0</v>
      </c>
      <c r="B252" s="23">
        <f>'12 - Device_Configuration'!S253</f>
        <v>0</v>
      </c>
      <c r="C252" s="23">
        <f>'12 - Device_Configuration'!T253</f>
        <v>0</v>
      </c>
      <c r="D252" s="15">
        <f>'12 - Device_Configuration'!AJ253</f>
        <v>0</v>
      </c>
      <c r="E252" s="15">
        <f>'12 - Device_Configuration'!J253</f>
        <v>0</v>
      </c>
      <c r="F252" s="23">
        <f>'12 - Device_Configuration'!K253</f>
        <v>0</v>
      </c>
      <c r="G252" s="15">
        <f>'12 - Device_Configuration'!L253</f>
        <v>0</v>
      </c>
      <c r="H252" s="15">
        <f>'13 - Config_Intake_View'!M252</f>
        <v>0</v>
      </c>
      <c r="I252" s="23">
        <f>IF('13 - Config_Intake_View'!Q252&lt;&gt;"",'13 - Config_Intake_View'!Q252,'12 - Device_Configuration'!BH253)</f>
        <v>0</v>
      </c>
      <c r="J252" s="15" t="str">
        <f>IF('13 - Config_Intake_View'!Q252&lt;&gt;"","PM Approved",IF('12 - Device_Configuration'!BH253&lt;&gt;"","Assumed",""))</f>
        <v/>
      </c>
      <c r="K252" s="23">
        <f>'12 - Device_Configuration'!BG253</f>
        <v>0</v>
      </c>
      <c r="L252" s="15">
        <f>'12 - Device_Configuration'!P253</f>
        <v>0</v>
      </c>
      <c r="M252" s="15">
        <f>'12 - Device_Configuration'!Q253</f>
        <v>0</v>
      </c>
      <c r="N252" s="15" t="str">
        <f>'12 - Device_Configuration'!BK253</f>
        <v/>
      </c>
      <c r="O252" s="23" t="str">
        <f>'12 - Device_Configuration'!BL253</f>
        <v/>
      </c>
      <c r="P252" s="2">
        <f>'12 - Device_Configuration'!BA253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'12 - Device_Configuration'!H254</f>
        <v>0</v>
      </c>
      <c r="B253" s="23">
        <f>'12 - Device_Configuration'!S254</f>
        <v>0</v>
      </c>
      <c r="C253" s="23">
        <f>'12 - Device_Configuration'!T254</f>
        <v>0</v>
      </c>
      <c r="D253" s="15">
        <f>'12 - Device_Configuration'!AJ254</f>
        <v>0</v>
      </c>
      <c r="E253" s="15">
        <f>'12 - Device_Configuration'!J254</f>
        <v>0</v>
      </c>
      <c r="F253" s="23">
        <f>'12 - Device_Configuration'!K254</f>
        <v>0</v>
      </c>
      <c r="G253" s="15">
        <f>'12 - Device_Configuration'!L254</f>
        <v>0</v>
      </c>
      <c r="H253" s="15">
        <f>'13 - Config_Intake_View'!M253</f>
        <v>0</v>
      </c>
      <c r="I253" s="23">
        <f>IF('13 - Config_Intake_View'!Q253&lt;&gt;"",'13 - Config_Intake_View'!Q253,'12 - Device_Configuration'!BH254)</f>
        <v>0</v>
      </c>
      <c r="J253" s="15" t="str">
        <f>IF('13 - Config_Intake_View'!Q253&lt;&gt;"","PM Approved",IF('12 - Device_Configuration'!BH254&lt;&gt;"","Assumed",""))</f>
        <v/>
      </c>
      <c r="K253" s="23">
        <f>'12 - Device_Configuration'!BG254</f>
        <v>0</v>
      </c>
      <c r="L253" s="15">
        <f>'12 - Device_Configuration'!P254</f>
        <v>0</v>
      </c>
      <c r="M253" s="15">
        <f>'12 - Device_Configuration'!Q254</f>
        <v>0</v>
      </c>
      <c r="N253" s="15" t="str">
        <f>'12 - Device_Configuration'!BK254</f>
        <v/>
      </c>
      <c r="O253" s="23" t="str">
        <f>'12 - Device_Configuration'!BL254</f>
        <v/>
      </c>
      <c r="P253" s="2">
        <f>'12 - Device_Configuration'!BA254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'12 - Device_Configuration'!H255</f>
        <v>0</v>
      </c>
      <c r="B254" s="23">
        <f>'12 - Device_Configuration'!S255</f>
        <v>0</v>
      </c>
      <c r="C254" s="23">
        <f>'12 - Device_Configuration'!T255</f>
        <v>0</v>
      </c>
      <c r="D254" s="15">
        <f>'12 - Device_Configuration'!AJ255</f>
        <v>0</v>
      </c>
      <c r="E254" s="15">
        <f>'12 - Device_Configuration'!J255</f>
        <v>0</v>
      </c>
      <c r="F254" s="23">
        <f>'12 - Device_Configuration'!K255</f>
        <v>0</v>
      </c>
      <c r="G254" s="15">
        <f>'12 - Device_Configuration'!L255</f>
        <v>0</v>
      </c>
      <c r="H254" s="15">
        <f>'13 - Config_Intake_View'!M254</f>
        <v>0</v>
      </c>
      <c r="I254" s="23">
        <f>IF('13 - Config_Intake_View'!Q254&lt;&gt;"",'13 - Config_Intake_View'!Q254,'12 - Device_Configuration'!BH255)</f>
        <v>0</v>
      </c>
      <c r="J254" s="15" t="str">
        <f>IF('13 - Config_Intake_View'!Q254&lt;&gt;"","PM Approved",IF('12 - Device_Configuration'!BH255&lt;&gt;"","Assumed",""))</f>
        <v/>
      </c>
      <c r="K254" s="23">
        <f>'12 - Device_Configuration'!BG255</f>
        <v>0</v>
      </c>
      <c r="L254" s="15">
        <f>'12 - Device_Configuration'!P255</f>
        <v>0</v>
      </c>
      <c r="M254" s="15">
        <f>'12 - Device_Configuration'!Q255</f>
        <v>0</v>
      </c>
      <c r="N254" s="15" t="str">
        <f>'12 - Device_Configuration'!BK255</f>
        <v/>
      </c>
      <c r="O254" s="23" t="str">
        <f>'12 - Device_Configuration'!BL255</f>
        <v/>
      </c>
      <c r="P254" s="2">
        <f>'12 - Device_Configuration'!BA255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'12 - Device_Configuration'!H256</f>
        <v>0</v>
      </c>
      <c r="B255" s="23">
        <f>'12 - Device_Configuration'!S256</f>
        <v>0</v>
      </c>
      <c r="C255" s="23">
        <f>'12 - Device_Configuration'!T256</f>
        <v>0</v>
      </c>
      <c r="D255" s="15">
        <f>'12 - Device_Configuration'!AJ256</f>
        <v>0</v>
      </c>
      <c r="E255" s="15">
        <f>'12 - Device_Configuration'!J256</f>
        <v>0</v>
      </c>
      <c r="F255" s="23">
        <f>'12 - Device_Configuration'!K256</f>
        <v>0</v>
      </c>
      <c r="G255" s="15">
        <f>'12 - Device_Configuration'!L256</f>
        <v>0</v>
      </c>
      <c r="H255" s="15">
        <f>'13 - Config_Intake_View'!M255</f>
        <v>0</v>
      </c>
      <c r="I255" s="23">
        <f>IF('13 - Config_Intake_View'!Q255&lt;&gt;"",'13 - Config_Intake_View'!Q255,'12 - Device_Configuration'!BH256)</f>
        <v>0</v>
      </c>
      <c r="J255" s="15" t="str">
        <f>IF('13 - Config_Intake_View'!Q255&lt;&gt;"","PM Approved",IF('12 - Device_Configuration'!BH256&lt;&gt;"","Assumed",""))</f>
        <v/>
      </c>
      <c r="K255" s="23">
        <f>'12 - Device_Configuration'!BG256</f>
        <v>0</v>
      </c>
      <c r="L255" s="15">
        <f>'12 - Device_Configuration'!P256</f>
        <v>0</v>
      </c>
      <c r="M255" s="15">
        <f>'12 - Device_Configuration'!Q256</f>
        <v>0</v>
      </c>
      <c r="N255" s="15" t="str">
        <f>'12 - Device_Configuration'!BK256</f>
        <v/>
      </c>
      <c r="O255" s="23" t="str">
        <f>'12 - Device_Configuration'!BL256</f>
        <v/>
      </c>
      <c r="P255" s="2">
        <f>'12 - Device_Configuration'!BA256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'12 - Device_Configuration'!H257</f>
        <v>0</v>
      </c>
      <c r="B256" s="23">
        <f>'12 - Device_Configuration'!S257</f>
        <v>0</v>
      </c>
      <c r="C256" s="23">
        <f>'12 - Device_Configuration'!T257</f>
        <v>0</v>
      </c>
      <c r="D256" s="15">
        <f>'12 - Device_Configuration'!AJ257</f>
        <v>0</v>
      </c>
      <c r="E256" s="15">
        <f>'12 - Device_Configuration'!J257</f>
        <v>0</v>
      </c>
      <c r="F256" s="23">
        <f>'12 - Device_Configuration'!K257</f>
        <v>0</v>
      </c>
      <c r="G256" s="15">
        <f>'12 - Device_Configuration'!L257</f>
        <v>0</v>
      </c>
      <c r="H256" s="15">
        <f>'13 - Config_Intake_View'!M256</f>
        <v>0</v>
      </c>
      <c r="I256" s="23">
        <f>IF('13 - Config_Intake_View'!Q256&lt;&gt;"",'13 - Config_Intake_View'!Q256,'12 - Device_Configuration'!BH257)</f>
        <v>0</v>
      </c>
      <c r="J256" s="15" t="str">
        <f>IF('13 - Config_Intake_View'!Q256&lt;&gt;"","PM Approved",IF('12 - Device_Configuration'!BH257&lt;&gt;"","Assumed",""))</f>
        <v/>
      </c>
      <c r="K256" s="23">
        <f>'12 - Device_Configuration'!BG257</f>
        <v>0</v>
      </c>
      <c r="L256" s="15">
        <f>'12 - Device_Configuration'!P257</f>
        <v>0</v>
      </c>
      <c r="M256" s="15">
        <f>'12 - Device_Configuration'!Q257</f>
        <v>0</v>
      </c>
      <c r="N256" s="15" t="str">
        <f>'12 - Device_Configuration'!BK257</f>
        <v/>
      </c>
      <c r="O256" s="23" t="str">
        <f>'12 - Device_Configuration'!BL257</f>
        <v/>
      </c>
      <c r="P256" s="2">
        <f>'12 - Device_Configuration'!BA257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'12 - Device_Configuration'!H258</f>
        <v>0</v>
      </c>
      <c r="B257" s="23">
        <f>'12 - Device_Configuration'!S258</f>
        <v>0</v>
      </c>
      <c r="C257" s="23">
        <f>'12 - Device_Configuration'!T258</f>
        <v>0</v>
      </c>
      <c r="D257" s="15">
        <f>'12 - Device_Configuration'!AJ258</f>
        <v>0</v>
      </c>
      <c r="E257" s="15">
        <f>'12 - Device_Configuration'!J258</f>
        <v>0</v>
      </c>
      <c r="F257" s="23">
        <f>'12 - Device_Configuration'!K258</f>
        <v>0</v>
      </c>
      <c r="G257" s="15">
        <f>'12 - Device_Configuration'!L258</f>
        <v>0</v>
      </c>
      <c r="H257" s="15">
        <f>'13 - Config_Intake_View'!M257</f>
        <v>0</v>
      </c>
      <c r="I257" s="23">
        <f>IF('13 - Config_Intake_View'!Q257&lt;&gt;"",'13 - Config_Intake_View'!Q257,'12 - Device_Configuration'!BH258)</f>
        <v>0</v>
      </c>
      <c r="J257" s="15" t="str">
        <f>IF('13 - Config_Intake_View'!Q257&lt;&gt;"","PM Approved",IF('12 - Device_Configuration'!BH258&lt;&gt;"","Assumed",""))</f>
        <v/>
      </c>
      <c r="K257" s="23">
        <f>'12 - Device_Configuration'!BG258</f>
        <v>0</v>
      </c>
      <c r="L257" s="15">
        <f>'12 - Device_Configuration'!P258</f>
        <v>0</v>
      </c>
      <c r="M257" s="15">
        <f>'12 - Device_Configuration'!Q258</f>
        <v>0</v>
      </c>
      <c r="N257" s="15" t="str">
        <f>'12 - Device_Configuration'!BK258</f>
        <v/>
      </c>
      <c r="O257" s="23" t="str">
        <f>'12 - Device_Configuration'!BL258</f>
        <v/>
      </c>
      <c r="P257" s="2">
        <f>'12 - Device_Configuration'!BA258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'12 - Device_Configuration'!H259</f>
        <v>0</v>
      </c>
      <c r="B258" s="23">
        <f>'12 - Device_Configuration'!S259</f>
        <v>0</v>
      </c>
      <c r="C258" s="23">
        <f>'12 - Device_Configuration'!T259</f>
        <v>0</v>
      </c>
      <c r="D258" s="15">
        <f>'12 - Device_Configuration'!AJ259</f>
        <v>0</v>
      </c>
      <c r="E258" s="15">
        <f>'12 - Device_Configuration'!J259</f>
        <v>0</v>
      </c>
      <c r="F258" s="23">
        <f>'12 - Device_Configuration'!K259</f>
        <v>0</v>
      </c>
      <c r="G258" s="15">
        <f>'12 - Device_Configuration'!L259</f>
        <v>0</v>
      </c>
      <c r="H258" s="15">
        <f>'13 - Config_Intake_View'!M258</f>
        <v>0</v>
      </c>
      <c r="I258" s="23">
        <f>IF('13 - Config_Intake_View'!Q258&lt;&gt;"",'13 - Config_Intake_View'!Q258,'12 - Device_Configuration'!BH259)</f>
        <v>0</v>
      </c>
      <c r="J258" s="15" t="str">
        <f>IF('13 - Config_Intake_View'!Q258&lt;&gt;"","PM Approved",IF('12 - Device_Configuration'!BH259&lt;&gt;"","Assumed",""))</f>
        <v/>
      </c>
      <c r="K258" s="23">
        <f>'12 - Device_Configuration'!BG259</f>
        <v>0</v>
      </c>
      <c r="L258" s="15">
        <f>'12 - Device_Configuration'!P259</f>
        <v>0</v>
      </c>
      <c r="M258" s="15">
        <f>'12 - Device_Configuration'!Q259</f>
        <v>0</v>
      </c>
      <c r="N258" s="15" t="str">
        <f>'12 - Device_Configuration'!BK259</f>
        <v/>
      </c>
      <c r="O258" s="23" t="str">
        <f>'12 - Device_Configuration'!BL259</f>
        <v/>
      </c>
      <c r="P258" s="2">
        <f>'12 - Device_Configuration'!BA259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'12 - Device_Configuration'!H260</f>
        <v>0</v>
      </c>
      <c r="B259" s="23">
        <f>'12 - Device_Configuration'!S260</f>
        <v>0</v>
      </c>
      <c r="C259" s="23">
        <f>'12 - Device_Configuration'!T260</f>
        <v>0</v>
      </c>
      <c r="D259" s="15">
        <f>'12 - Device_Configuration'!AJ260</f>
        <v>0</v>
      </c>
      <c r="E259" s="15">
        <f>'12 - Device_Configuration'!J260</f>
        <v>0</v>
      </c>
      <c r="F259" s="23">
        <f>'12 - Device_Configuration'!K260</f>
        <v>0</v>
      </c>
      <c r="G259" s="15">
        <f>'12 - Device_Configuration'!L260</f>
        <v>0</v>
      </c>
      <c r="H259" s="15">
        <f>'13 - Config_Intake_View'!M259</f>
        <v>0</v>
      </c>
      <c r="I259" s="23">
        <f>IF('13 - Config_Intake_View'!Q259&lt;&gt;"",'13 - Config_Intake_View'!Q259,'12 - Device_Configuration'!BH260)</f>
        <v>0</v>
      </c>
      <c r="J259" s="15" t="str">
        <f>IF('13 - Config_Intake_View'!Q259&lt;&gt;"","PM Approved",IF('12 - Device_Configuration'!BH260&lt;&gt;"","Assumed",""))</f>
        <v/>
      </c>
      <c r="K259" s="23">
        <f>'12 - Device_Configuration'!BG260</f>
        <v>0</v>
      </c>
      <c r="L259" s="15">
        <f>'12 - Device_Configuration'!P260</f>
        <v>0</v>
      </c>
      <c r="M259" s="15">
        <f>'12 - Device_Configuration'!Q260</f>
        <v>0</v>
      </c>
      <c r="N259" s="15" t="str">
        <f>'12 - Device_Configuration'!BK260</f>
        <v/>
      </c>
      <c r="O259" s="23" t="str">
        <f>'12 - Device_Configuration'!BL260</f>
        <v/>
      </c>
      <c r="P259" s="2">
        <f>'12 - Device_Configuration'!BA260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'12 - Device_Configuration'!H261</f>
        <v>0</v>
      </c>
      <c r="B260" s="23">
        <f>'12 - Device_Configuration'!S261</f>
        <v>0</v>
      </c>
      <c r="C260" s="23">
        <f>'12 - Device_Configuration'!T261</f>
        <v>0</v>
      </c>
      <c r="D260" s="15">
        <f>'12 - Device_Configuration'!AJ261</f>
        <v>0</v>
      </c>
      <c r="E260" s="15">
        <f>'12 - Device_Configuration'!J261</f>
        <v>0</v>
      </c>
      <c r="F260" s="23">
        <f>'12 - Device_Configuration'!K261</f>
        <v>0</v>
      </c>
      <c r="G260" s="15">
        <f>'12 - Device_Configuration'!L261</f>
        <v>0</v>
      </c>
      <c r="H260" s="15">
        <f>'13 - Config_Intake_View'!M260</f>
        <v>0</v>
      </c>
      <c r="I260" s="23">
        <f>IF('13 - Config_Intake_View'!Q260&lt;&gt;"",'13 - Config_Intake_View'!Q260,'12 - Device_Configuration'!BH261)</f>
        <v>0</v>
      </c>
      <c r="J260" s="15" t="str">
        <f>IF('13 - Config_Intake_View'!Q260&lt;&gt;"","PM Approved",IF('12 - Device_Configuration'!BH261&lt;&gt;"","Assumed",""))</f>
        <v/>
      </c>
      <c r="K260" s="23">
        <f>'12 - Device_Configuration'!BG261</f>
        <v>0</v>
      </c>
      <c r="L260" s="15">
        <f>'12 - Device_Configuration'!P261</f>
        <v>0</v>
      </c>
      <c r="M260" s="15">
        <f>'12 - Device_Configuration'!Q261</f>
        <v>0</v>
      </c>
      <c r="N260" s="15" t="str">
        <f>'12 - Device_Configuration'!BK261</f>
        <v/>
      </c>
      <c r="O260" s="23" t="str">
        <f>'12 - Device_Configuration'!BL261</f>
        <v/>
      </c>
      <c r="P260" s="2">
        <f>'12 - Device_Configuration'!BA261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'12 - Device_Configuration'!H262</f>
        <v>0</v>
      </c>
      <c r="B261" s="23">
        <f>'12 - Device_Configuration'!S262</f>
        <v>0</v>
      </c>
      <c r="C261" s="23">
        <f>'12 - Device_Configuration'!T262</f>
        <v>0</v>
      </c>
      <c r="D261" s="15">
        <f>'12 - Device_Configuration'!AJ262</f>
        <v>0</v>
      </c>
      <c r="E261" s="15">
        <f>'12 - Device_Configuration'!J262</f>
        <v>0</v>
      </c>
      <c r="F261" s="23">
        <f>'12 - Device_Configuration'!K262</f>
        <v>0</v>
      </c>
      <c r="G261" s="15">
        <f>'12 - Device_Configuration'!L262</f>
        <v>0</v>
      </c>
      <c r="H261" s="15">
        <f>'13 - Config_Intake_View'!M261</f>
        <v>0</v>
      </c>
      <c r="I261" s="23">
        <f>IF('13 - Config_Intake_View'!Q261&lt;&gt;"",'13 - Config_Intake_View'!Q261,'12 - Device_Configuration'!BH262)</f>
        <v>0</v>
      </c>
      <c r="J261" s="15" t="str">
        <f>IF('13 - Config_Intake_View'!Q261&lt;&gt;"","PM Approved",IF('12 - Device_Configuration'!BH262&lt;&gt;"","Assumed",""))</f>
        <v/>
      </c>
      <c r="K261" s="23">
        <f>'12 - Device_Configuration'!BG262</f>
        <v>0</v>
      </c>
      <c r="L261" s="15">
        <f>'12 - Device_Configuration'!P262</f>
        <v>0</v>
      </c>
      <c r="M261" s="15">
        <f>'12 - Device_Configuration'!Q262</f>
        <v>0</v>
      </c>
      <c r="N261" s="15" t="str">
        <f>'12 - Device_Configuration'!BK262</f>
        <v/>
      </c>
      <c r="O261" s="23" t="str">
        <f>'12 - Device_Configuration'!BL262</f>
        <v/>
      </c>
      <c r="P261" s="2">
        <f>'12 - Device_Configuration'!BA262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'12 - Device_Configuration'!H263</f>
        <v>0</v>
      </c>
      <c r="B262" s="23">
        <f>'12 - Device_Configuration'!S263</f>
        <v>0</v>
      </c>
      <c r="C262" s="23">
        <f>'12 - Device_Configuration'!T263</f>
        <v>0</v>
      </c>
      <c r="D262" s="15">
        <f>'12 - Device_Configuration'!AJ263</f>
        <v>0</v>
      </c>
      <c r="E262" s="15">
        <f>'12 - Device_Configuration'!J263</f>
        <v>0</v>
      </c>
      <c r="F262" s="23">
        <f>'12 - Device_Configuration'!K263</f>
        <v>0</v>
      </c>
      <c r="G262" s="15">
        <f>'12 - Device_Configuration'!L263</f>
        <v>0</v>
      </c>
      <c r="H262" s="15">
        <f>'13 - Config_Intake_View'!M262</f>
        <v>0</v>
      </c>
      <c r="I262" s="23">
        <f>IF('13 - Config_Intake_View'!Q262&lt;&gt;"",'13 - Config_Intake_View'!Q262,'12 - Device_Configuration'!BH263)</f>
        <v>0</v>
      </c>
      <c r="J262" s="15" t="str">
        <f>IF('13 - Config_Intake_View'!Q262&lt;&gt;"","PM Approved",IF('12 - Device_Configuration'!BH263&lt;&gt;"","Assumed",""))</f>
        <v/>
      </c>
      <c r="K262" s="23">
        <f>'12 - Device_Configuration'!BG263</f>
        <v>0</v>
      </c>
      <c r="L262" s="15">
        <f>'12 - Device_Configuration'!P263</f>
        <v>0</v>
      </c>
      <c r="M262" s="15">
        <f>'12 - Device_Configuration'!Q263</f>
        <v>0</v>
      </c>
      <c r="N262" s="15" t="str">
        <f>'12 - Device_Configuration'!BK263</f>
        <v/>
      </c>
      <c r="O262" s="23" t="str">
        <f>'12 - Device_Configuration'!BL263</f>
        <v/>
      </c>
      <c r="P262" s="2">
        <f>'12 - Device_Configuration'!BA263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'12 - Device_Configuration'!H264</f>
        <v>0</v>
      </c>
      <c r="B263" s="23">
        <f>'12 - Device_Configuration'!S264</f>
        <v>0</v>
      </c>
      <c r="C263" s="23">
        <f>'12 - Device_Configuration'!T264</f>
        <v>0</v>
      </c>
      <c r="D263" s="15">
        <f>'12 - Device_Configuration'!AJ264</f>
        <v>0</v>
      </c>
      <c r="E263" s="15">
        <f>'12 - Device_Configuration'!J264</f>
        <v>0</v>
      </c>
      <c r="F263" s="23">
        <f>'12 - Device_Configuration'!K264</f>
        <v>0</v>
      </c>
      <c r="G263" s="15">
        <f>'12 - Device_Configuration'!L264</f>
        <v>0</v>
      </c>
      <c r="H263" s="15">
        <f>'13 - Config_Intake_View'!M263</f>
        <v>0</v>
      </c>
      <c r="I263" s="23">
        <f>IF('13 - Config_Intake_View'!Q263&lt;&gt;"",'13 - Config_Intake_View'!Q263,'12 - Device_Configuration'!BH264)</f>
        <v>0</v>
      </c>
      <c r="J263" s="15" t="str">
        <f>IF('13 - Config_Intake_View'!Q263&lt;&gt;"","PM Approved",IF('12 - Device_Configuration'!BH264&lt;&gt;"","Assumed",""))</f>
        <v/>
      </c>
      <c r="K263" s="23">
        <f>'12 - Device_Configuration'!BG264</f>
        <v>0</v>
      </c>
      <c r="L263" s="15">
        <f>'12 - Device_Configuration'!P264</f>
        <v>0</v>
      </c>
      <c r="M263" s="15">
        <f>'12 - Device_Configuration'!Q264</f>
        <v>0</v>
      </c>
      <c r="N263" s="15" t="str">
        <f>'12 - Device_Configuration'!BK264</f>
        <v/>
      </c>
      <c r="O263" s="23" t="str">
        <f>'12 - Device_Configuration'!BL264</f>
        <v/>
      </c>
      <c r="P263" s="2">
        <f>'12 - Device_Configuration'!BA264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'12 - Device_Configuration'!H265</f>
        <v>0</v>
      </c>
      <c r="B264" s="23">
        <f>'12 - Device_Configuration'!S265</f>
        <v>0</v>
      </c>
      <c r="C264" s="23">
        <f>'12 - Device_Configuration'!T265</f>
        <v>0</v>
      </c>
      <c r="D264" s="15">
        <f>'12 - Device_Configuration'!AJ265</f>
        <v>0</v>
      </c>
      <c r="E264" s="15">
        <f>'12 - Device_Configuration'!J265</f>
        <v>0</v>
      </c>
      <c r="F264" s="23">
        <f>'12 - Device_Configuration'!K265</f>
        <v>0</v>
      </c>
      <c r="G264" s="15">
        <f>'12 - Device_Configuration'!L265</f>
        <v>0</v>
      </c>
      <c r="H264" s="15">
        <f>'13 - Config_Intake_View'!M264</f>
        <v>0</v>
      </c>
      <c r="I264" s="23">
        <f>IF('13 - Config_Intake_View'!Q264&lt;&gt;"",'13 - Config_Intake_View'!Q264,'12 - Device_Configuration'!BH265)</f>
        <v>0</v>
      </c>
      <c r="J264" s="15" t="str">
        <f>IF('13 - Config_Intake_View'!Q264&lt;&gt;"","PM Approved",IF('12 - Device_Configuration'!BH265&lt;&gt;"","Assumed",""))</f>
        <v/>
      </c>
      <c r="K264" s="23">
        <f>'12 - Device_Configuration'!BG265</f>
        <v>0</v>
      </c>
      <c r="L264" s="15">
        <f>'12 - Device_Configuration'!P265</f>
        <v>0</v>
      </c>
      <c r="M264" s="15">
        <f>'12 - Device_Configuration'!Q265</f>
        <v>0</v>
      </c>
      <c r="N264" s="15" t="str">
        <f>'12 - Device_Configuration'!BK265</f>
        <v/>
      </c>
      <c r="O264" s="23" t="str">
        <f>'12 - Device_Configuration'!BL265</f>
        <v/>
      </c>
      <c r="P264" s="2">
        <f>'12 - Device_Configuration'!BA265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'12 - Device_Configuration'!H266</f>
        <v>0</v>
      </c>
      <c r="B265" s="23">
        <f>'12 - Device_Configuration'!S266</f>
        <v>0</v>
      </c>
      <c r="C265" s="23">
        <f>'12 - Device_Configuration'!T266</f>
        <v>0</v>
      </c>
      <c r="D265" s="15">
        <f>'12 - Device_Configuration'!AJ266</f>
        <v>0</v>
      </c>
      <c r="E265" s="15">
        <f>'12 - Device_Configuration'!J266</f>
        <v>0</v>
      </c>
      <c r="F265" s="23">
        <f>'12 - Device_Configuration'!K266</f>
        <v>0</v>
      </c>
      <c r="G265" s="15">
        <f>'12 - Device_Configuration'!L266</f>
        <v>0</v>
      </c>
      <c r="H265" s="15">
        <f>'13 - Config_Intake_View'!M265</f>
        <v>0</v>
      </c>
      <c r="I265" s="23">
        <f>IF('13 - Config_Intake_View'!Q265&lt;&gt;"",'13 - Config_Intake_View'!Q265,'12 - Device_Configuration'!BH266)</f>
        <v>0</v>
      </c>
      <c r="J265" s="15" t="str">
        <f>IF('13 - Config_Intake_View'!Q265&lt;&gt;"","PM Approved",IF('12 - Device_Configuration'!BH266&lt;&gt;"","Assumed",""))</f>
        <v/>
      </c>
      <c r="K265" s="23">
        <f>'12 - Device_Configuration'!BG266</f>
        <v>0</v>
      </c>
      <c r="L265" s="15">
        <f>'12 - Device_Configuration'!P266</f>
        <v>0</v>
      </c>
      <c r="M265" s="15">
        <f>'12 - Device_Configuration'!Q266</f>
        <v>0</v>
      </c>
      <c r="N265" s="15" t="str">
        <f>'12 - Device_Configuration'!BK266</f>
        <v/>
      </c>
      <c r="O265" s="23" t="str">
        <f>'12 - Device_Configuration'!BL266</f>
        <v/>
      </c>
      <c r="P265" s="2">
        <f>'12 - Device_Configuration'!BA266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'12 - Device_Configuration'!H267</f>
        <v>0</v>
      </c>
      <c r="B266" s="23">
        <f>'12 - Device_Configuration'!S267</f>
        <v>0</v>
      </c>
      <c r="C266" s="23">
        <f>'12 - Device_Configuration'!T267</f>
        <v>0</v>
      </c>
      <c r="D266" s="15">
        <f>'12 - Device_Configuration'!AJ267</f>
        <v>0</v>
      </c>
      <c r="E266" s="15">
        <f>'12 - Device_Configuration'!J267</f>
        <v>0</v>
      </c>
      <c r="F266" s="23">
        <f>'12 - Device_Configuration'!K267</f>
        <v>0</v>
      </c>
      <c r="G266" s="15">
        <f>'12 - Device_Configuration'!L267</f>
        <v>0</v>
      </c>
      <c r="H266" s="15">
        <f>'13 - Config_Intake_View'!M266</f>
        <v>0</v>
      </c>
      <c r="I266" s="23">
        <f>IF('13 - Config_Intake_View'!Q266&lt;&gt;"",'13 - Config_Intake_View'!Q266,'12 - Device_Configuration'!BH267)</f>
        <v>0</v>
      </c>
      <c r="J266" s="15" t="str">
        <f>IF('13 - Config_Intake_View'!Q266&lt;&gt;"","PM Approved",IF('12 - Device_Configuration'!BH267&lt;&gt;"","Assumed",""))</f>
        <v/>
      </c>
      <c r="K266" s="23">
        <f>'12 - Device_Configuration'!BG267</f>
        <v>0</v>
      </c>
      <c r="L266" s="15">
        <f>'12 - Device_Configuration'!P267</f>
        <v>0</v>
      </c>
      <c r="M266" s="15">
        <f>'12 - Device_Configuration'!Q267</f>
        <v>0</v>
      </c>
      <c r="N266" s="15" t="str">
        <f>'12 - Device_Configuration'!BK267</f>
        <v/>
      </c>
      <c r="O266" s="23" t="str">
        <f>'12 - Device_Configuration'!BL267</f>
        <v/>
      </c>
      <c r="P266" s="2">
        <f>'12 - Device_Configuration'!BA267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'12 - Device_Configuration'!H268</f>
        <v>0</v>
      </c>
      <c r="B267" s="23">
        <f>'12 - Device_Configuration'!S268</f>
        <v>0</v>
      </c>
      <c r="C267" s="23">
        <f>'12 - Device_Configuration'!T268</f>
        <v>0</v>
      </c>
      <c r="D267" s="15">
        <f>'12 - Device_Configuration'!AJ268</f>
        <v>0</v>
      </c>
      <c r="E267" s="15">
        <f>'12 - Device_Configuration'!J268</f>
        <v>0</v>
      </c>
      <c r="F267" s="23">
        <f>'12 - Device_Configuration'!K268</f>
        <v>0</v>
      </c>
      <c r="G267" s="15">
        <f>'12 - Device_Configuration'!L268</f>
        <v>0</v>
      </c>
      <c r="H267" s="15">
        <f>'13 - Config_Intake_View'!M267</f>
        <v>0</v>
      </c>
      <c r="I267" s="23">
        <f>IF('13 - Config_Intake_View'!Q267&lt;&gt;"",'13 - Config_Intake_View'!Q267,'12 - Device_Configuration'!BH268)</f>
        <v>0</v>
      </c>
      <c r="J267" s="15" t="str">
        <f>IF('13 - Config_Intake_View'!Q267&lt;&gt;"","PM Approved",IF('12 - Device_Configuration'!BH268&lt;&gt;"","Assumed",""))</f>
        <v/>
      </c>
      <c r="K267" s="23">
        <f>'12 - Device_Configuration'!BG268</f>
        <v>0</v>
      </c>
      <c r="L267" s="15">
        <f>'12 - Device_Configuration'!P268</f>
        <v>0</v>
      </c>
      <c r="M267" s="15">
        <f>'12 - Device_Configuration'!Q268</f>
        <v>0</v>
      </c>
      <c r="N267" s="15" t="str">
        <f>'12 - Device_Configuration'!BK268</f>
        <v/>
      </c>
      <c r="O267" s="23" t="str">
        <f>'12 - Device_Configuration'!BL268</f>
        <v/>
      </c>
      <c r="P267" s="2">
        <f>'12 - Device_Configuration'!BA268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'12 - Device_Configuration'!H269</f>
        <v>0</v>
      </c>
      <c r="B268" s="23">
        <f>'12 - Device_Configuration'!S269</f>
        <v>0</v>
      </c>
      <c r="C268" s="23">
        <f>'12 - Device_Configuration'!T269</f>
        <v>0</v>
      </c>
      <c r="D268" s="15">
        <f>'12 - Device_Configuration'!AJ269</f>
        <v>0</v>
      </c>
      <c r="E268" s="15">
        <f>'12 - Device_Configuration'!J269</f>
        <v>0</v>
      </c>
      <c r="F268" s="23">
        <f>'12 - Device_Configuration'!K269</f>
        <v>0</v>
      </c>
      <c r="G268" s="15">
        <f>'12 - Device_Configuration'!L269</f>
        <v>0</v>
      </c>
      <c r="H268" s="15">
        <f>'13 - Config_Intake_View'!M268</f>
        <v>0</v>
      </c>
      <c r="I268" s="23">
        <f>IF('13 - Config_Intake_View'!Q268&lt;&gt;"",'13 - Config_Intake_View'!Q268,'12 - Device_Configuration'!BH269)</f>
        <v>0</v>
      </c>
      <c r="J268" s="15" t="str">
        <f>IF('13 - Config_Intake_View'!Q268&lt;&gt;"","PM Approved",IF('12 - Device_Configuration'!BH269&lt;&gt;"","Assumed",""))</f>
        <v/>
      </c>
      <c r="K268" s="23">
        <f>'12 - Device_Configuration'!BG269</f>
        <v>0</v>
      </c>
      <c r="L268" s="15">
        <f>'12 - Device_Configuration'!P269</f>
        <v>0</v>
      </c>
      <c r="M268" s="15">
        <f>'12 - Device_Configuration'!Q269</f>
        <v>0</v>
      </c>
      <c r="N268" s="15" t="str">
        <f>'12 - Device_Configuration'!BK269</f>
        <v/>
      </c>
      <c r="O268" s="23" t="str">
        <f>'12 - Device_Configuration'!BL269</f>
        <v/>
      </c>
      <c r="P268" s="2">
        <f>'12 - Device_Configuration'!BA269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'12 - Device_Configuration'!H270</f>
        <v>0</v>
      </c>
      <c r="B269" s="23">
        <f>'12 - Device_Configuration'!S270</f>
        <v>0</v>
      </c>
      <c r="C269" s="23">
        <f>'12 - Device_Configuration'!T270</f>
        <v>0</v>
      </c>
      <c r="D269" s="15">
        <f>'12 - Device_Configuration'!AJ270</f>
        <v>0</v>
      </c>
      <c r="E269" s="15">
        <f>'12 - Device_Configuration'!J270</f>
        <v>0</v>
      </c>
      <c r="F269" s="23">
        <f>'12 - Device_Configuration'!K270</f>
        <v>0</v>
      </c>
      <c r="G269" s="15">
        <f>'12 - Device_Configuration'!L270</f>
        <v>0</v>
      </c>
      <c r="H269" s="15">
        <f>'13 - Config_Intake_View'!M269</f>
        <v>0</v>
      </c>
      <c r="I269" s="23">
        <f>IF('13 - Config_Intake_View'!Q269&lt;&gt;"",'13 - Config_Intake_View'!Q269,'12 - Device_Configuration'!BH270)</f>
        <v>0</v>
      </c>
      <c r="J269" s="15" t="str">
        <f>IF('13 - Config_Intake_View'!Q269&lt;&gt;"","PM Approved",IF('12 - Device_Configuration'!BH270&lt;&gt;"","Assumed",""))</f>
        <v/>
      </c>
      <c r="K269" s="23">
        <f>'12 - Device_Configuration'!BG270</f>
        <v>0</v>
      </c>
      <c r="L269" s="15">
        <f>'12 - Device_Configuration'!P270</f>
        <v>0</v>
      </c>
      <c r="M269" s="15">
        <f>'12 - Device_Configuration'!Q270</f>
        <v>0</v>
      </c>
      <c r="N269" s="15" t="str">
        <f>'12 - Device_Configuration'!BK270</f>
        <v/>
      </c>
      <c r="O269" s="23" t="str">
        <f>'12 - Device_Configuration'!BL270</f>
        <v/>
      </c>
      <c r="P269" s="2">
        <f>'12 - Device_Configuration'!BA270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'12 - Device_Configuration'!H271</f>
        <v>0</v>
      </c>
      <c r="B270" s="23">
        <f>'12 - Device_Configuration'!S271</f>
        <v>0</v>
      </c>
      <c r="C270" s="23">
        <f>'12 - Device_Configuration'!T271</f>
        <v>0</v>
      </c>
      <c r="D270" s="15">
        <f>'12 - Device_Configuration'!AJ271</f>
        <v>0</v>
      </c>
      <c r="E270" s="15">
        <f>'12 - Device_Configuration'!J271</f>
        <v>0</v>
      </c>
      <c r="F270" s="23">
        <f>'12 - Device_Configuration'!K271</f>
        <v>0</v>
      </c>
      <c r="G270" s="15">
        <f>'12 - Device_Configuration'!L271</f>
        <v>0</v>
      </c>
      <c r="H270" s="15">
        <f>'13 - Config_Intake_View'!M270</f>
        <v>0</v>
      </c>
      <c r="I270" s="23">
        <f>IF('13 - Config_Intake_View'!Q270&lt;&gt;"",'13 - Config_Intake_View'!Q270,'12 - Device_Configuration'!BH271)</f>
        <v>0</v>
      </c>
      <c r="J270" s="15" t="str">
        <f>IF('13 - Config_Intake_View'!Q270&lt;&gt;"","PM Approved",IF('12 - Device_Configuration'!BH271&lt;&gt;"","Assumed",""))</f>
        <v/>
      </c>
      <c r="K270" s="23">
        <f>'12 - Device_Configuration'!BG271</f>
        <v>0</v>
      </c>
      <c r="L270" s="15">
        <f>'12 - Device_Configuration'!P271</f>
        <v>0</v>
      </c>
      <c r="M270" s="15">
        <f>'12 - Device_Configuration'!Q271</f>
        <v>0</v>
      </c>
      <c r="N270" s="15" t="str">
        <f>'12 - Device_Configuration'!BK271</f>
        <v/>
      </c>
      <c r="O270" s="23" t="str">
        <f>'12 - Device_Configuration'!BL271</f>
        <v/>
      </c>
      <c r="P270" s="2">
        <f>'12 - Device_Configuration'!BA271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'12 - Device_Configuration'!H272</f>
        <v>0</v>
      </c>
      <c r="B271" s="23">
        <f>'12 - Device_Configuration'!S272</f>
        <v>0</v>
      </c>
      <c r="C271" s="23">
        <f>'12 - Device_Configuration'!T272</f>
        <v>0</v>
      </c>
      <c r="D271" s="15">
        <f>'12 - Device_Configuration'!AJ272</f>
        <v>0</v>
      </c>
      <c r="E271" s="15">
        <f>'12 - Device_Configuration'!J272</f>
        <v>0</v>
      </c>
      <c r="F271" s="23">
        <f>'12 - Device_Configuration'!K272</f>
        <v>0</v>
      </c>
      <c r="G271" s="15">
        <f>'12 - Device_Configuration'!L272</f>
        <v>0</v>
      </c>
      <c r="H271" s="15">
        <f>'13 - Config_Intake_View'!M271</f>
        <v>0</v>
      </c>
      <c r="I271" s="23">
        <f>IF('13 - Config_Intake_View'!Q271&lt;&gt;"",'13 - Config_Intake_View'!Q271,'12 - Device_Configuration'!BH272)</f>
        <v>0</v>
      </c>
      <c r="J271" s="15" t="str">
        <f>IF('13 - Config_Intake_View'!Q271&lt;&gt;"","PM Approved",IF('12 - Device_Configuration'!BH272&lt;&gt;"","Assumed",""))</f>
        <v/>
      </c>
      <c r="K271" s="23">
        <f>'12 - Device_Configuration'!BG272</f>
        <v>0</v>
      </c>
      <c r="L271" s="15">
        <f>'12 - Device_Configuration'!P272</f>
        <v>0</v>
      </c>
      <c r="M271" s="15">
        <f>'12 - Device_Configuration'!Q272</f>
        <v>0</v>
      </c>
      <c r="N271" s="15" t="str">
        <f>'12 - Device_Configuration'!BK272</f>
        <v/>
      </c>
      <c r="O271" s="23" t="str">
        <f>'12 - Device_Configuration'!BL272</f>
        <v/>
      </c>
      <c r="P271" s="2">
        <f>'12 - Device_Configuration'!BA272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'12 - Device_Configuration'!H273</f>
        <v>0</v>
      </c>
      <c r="B272" s="23">
        <f>'12 - Device_Configuration'!S273</f>
        <v>0</v>
      </c>
      <c r="C272" s="23">
        <f>'12 - Device_Configuration'!T273</f>
        <v>0</v>
      </c>
      <c r="D272" s="15">
        <f>'12 - Device_Configuration'!AJ273</f>
        <v>0</v>
      </c>
      <c r="E272" s="15">
        <f>'12 - Device_Configuration'!J273</f>
        <v>0</v>
      </c>
      <c r="F272" s="23">
        <f>'12 - Device_Configuration'!K273</f>
        <v>0</v>
      </c>
      <c r="G272" s="15">
        <f>'12 - Device_Configuration'!L273</f>
        <v>0</v>
      </c>
      <c r="H272" s="15">
        <f>'13 - Config_Intake_View'!M272</f>
        <v>0</v>
      </c>
      <c r="I272" s="23">
        <f>IF('13 - Config_Intake_View'!Q272&lt;&gt;"",'13 - Config_Intake_View'!Q272,'12 - Device_Configuration'!BH273)</f>
        <v>0</v>
      </c>
      <c r="J272" s="15" t="str">
        <f>IF('13 - Config_Intake_View'!Q272&lt;&gt;"","PM Approved",IF('12 - Device_Configuration'!BH273&lt;&gt;"","Assumed",""))</f>
        <v/>
      </c>
      <c r="K272" s="23">
        <f>'12 - Device_Configuration'!BG273</f>
        <v>0</v>
      </c>
      <c r="L272" s="15">
        <f>'12 - Device_Configuration'!P273</f>
        <v>0</v>
      </c>
      <c r="M272" s="15">
        <f>'12 - Device_Configuration'!Q273</f>
        <v>0</v>
      </c>
      <c r="N272" s="15" t="str">
        <f>'12 - Device_Configuration'!BK273</f>
        <v/>
      </c>
      <c r="O272" s="23" t="str">
        <f>'12 - Device_Configuration'!BL273</f>
        <v/>
      </c>
      <c r="P272" s="2">
        <f>'12 - Device_Configuration'!BA273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'12 - Device_Configuration'!H274</f>
        <v>0</v>
      </c>
      <c r="B273" s="23">
        <f>'12 - Device_Configuration'!S274</f>
        <v>0</v>
      </c>
      <c r="C273" s="23">
        <f>'12 - Device_Configuration'!T274</f>
        <v>0</v>
      </c>
      <c r="D273" s="15">
        <f>'12 - Device_Configuration'!AJ274</f>
        <v>0</v>
      </c>
      <c r="E273" s="15">
        <f>'12 - Device_Configuration'!J274</f>
        <v>0</v>
      </c>
      <c r="F273" s="23">
        <f>'12 - Device_Configuration'!K274</f>
        <v>0</v>
      </c>
      <c r="G273" s="15">
        <f>'12 - Device_Configuration'!L274</f>
        <v>0</v>
      </c>
      <c r="H273" s="15">
        <f>'13 - Config_Intake_View'!M273</f>
        <v>0</v>
      </c>
      <c r="I273" s="23">
        <f>IF('13 - Config_Intake_View'!Q273&lt;&gt;"",'13 - Config_Intake_View'!Q273,'12 - Device_Configuration'!BH274)</f>
        <v>0</v>
      </c>
      <c r="J273" s="15" t="str">
        <f>IF('13 - Config_Intake_View'!Q273&lt;&gt;"","PM Approved",IF('12 - Device_Configuration'!BH274&lt;&gt;"","Assumed",""))</f>
        <v/>
      </c>
      <c r="K273" s="23">
        <f>'12 - Device_Configuration'!BG274</f>
        <v>0</v>
      </c>
      <c r="L273" s="15">
        <f>'12 - Device_Configuration'!P274</f>
        <v>0</v>
      </c>
      <c r="M273" s="15">
        <f>'12 - Device_Configuration'!Q274</f>
        <v>0</v>
      </c>
      <c r="N273" s="15" t="str">
        <f>'12 - Device_Configuration'!BK274</f>
        <v/>
      </c>
      <c r="O273" s="23" t="str">
        <f>'12 - Device_Configuration'!BL274</f>
        <v/>
      </c>
      <c r="P273" s="2">
        <f>'12 - Device_Configuration'!BA274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'12 - Device_Configuration'!H275</f>
        <v>0</v>
      </c>
      <c r="B274" s="23">
        <f>'12 - Device_Configuration'!S275</f>
        <v>0</v>
      </c>
      <c r="C274" s="23">
        <f>'12 - Device_Configuration'!T275</f>
        <v>0</v>
      </c>
      <c r="D274" s="15">
        <f>'12 - Device_Configuration'!AJ275</f>
        <v>0</v>
      </c>
      <c r="E274" s="15">
        <f>'12 - Device_Configuration'!J275</f>
        <v>0</v>
      </c>
      <c r="F274" s="23">
        <f>'12 - Device_Configuration'!K275</f>
        <v>0</v>
      </c>
      <c r="G274" s="15">
        <f>'12 - Device_Configuration'!L275</f>
        <v>0</v>
      </c>
      <c r="H274" s="15">
        <f>'13 - Config_Intake_View'!M274</f>
        <v>0</v>
      </c>
      <c r="I274" s="23">
        <f>IF('13 - Config_Intake_View'!Q274&lt;&gt;"",'13 - Config_Intake_View'!Q274,'12 - Device_Configuration'!BH275)</f>
        <v>0</v>
      </c>
      <c r="J274" s="15" t="str">
        <f>IF('13 - Config_Intake_View'!Q274&lt;&gt;"","PM Approved",IF('12 - Device_Configuration'!BH275&lt;&gt;"","Assumed",""))</f>
        <v/>
      </c>
      <c r="K274" s="23">
        <f>'12 - Device_Configuration'!BG275</f>
        <v>0</v>
      </c>
      <c r="L274" s="15">
        <f>'12 - Device_Configuration'!P275</f>
        <v>0</v>
      </c>
      <c r="M274" s="15">
        <f>'12 - Device_Configuration'!Q275</f>
        <v>0</v>
      </c>
      <c r="N274" s="15" t="str">
        <f>'12 - Device_Configuration'!BK275</f>
        <v/>
      </c>
      <c r="O274" s="23" t="str">
        <f>'12 - Device_Configuration'!BL275</f>
        <v/>
      </c>
      <c r="P274" s="2">
        <f>'12 - Device_Configuration'!BA275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'12 - Device_Configuration'!H276</f>
        <v>0</v>
      </c>
      <c r="B275" s="23">
        <f>'12 - Device_Configuration'!S276</f>
        <v>0</v>
      </c>
      <c r="C275" s="23">
        <f>'12 - Device_Configuration'!T276</f>
        <v>0</v>
      </c>
      <c r="D275" s="15">
        <f>'12 - Device_Configuration'!AJ276</f>
        <v>0</v>
      </c>
      <c r="E275" s="15">
        <f>'12 - Device_Configuration'!J276</f>
        <v>0</v>
      </c>
      <c r="F275" s="23">
        <f>'12 - Device_Configuration'!K276</f>
        <v>0</v>
      </c>
      <c r="G275" s="15">
        <f>'12 - Device_Configuration'!L276</f>
        <v>0</v>
      </c>
      <c r="H275" s="15">
        <f>'13 - Config_Intake_View'!M275</f>
        <v>0</v>
      </c>
      <c r="I275" s="23">
        <f>IF('13 - Config_Intake_View'!Q275&lt;&gt;"",'13 - Config_Intake_View'!Q275,'12 - Device_Configuration'!BH276)</f>
        <v>0</v>
      </c>
      <c r="J275" s="15" t="str">
        <f>IF('13 - Config_Intake_View'!Q275&lt;&gt;"","PM Approved",IF('12 - Device_Configuration'!BH276&lt;&gt;"","Assumed",""))</f>
        <v/>
      </c>
      <c r="K275" s="23">
        <f>'12 - Device_Configuration'!BG276</f>
        <v>0</v>
      </c>
      <c r="L275" s="15">
        <f>'12 - Device_Configuration'!P276</f>
        <v>0</v>
      </c>
      <c r="M275" s="15">
        <f>'12 - Device_Configuration'!Q276</f>
        <v>0</v>
      </c>
      <c r="N275" s="15" t="str">
        <f>'12 - Device_Configuration'!BK276</f>
        <v/>
      </c>
      <c r="O275" s="23" t="str">
        <f>'12 - Device_Configuration'!BL276</f>
        <v/>
      </c>
      <c r="P275" s="2">
        <f>'12 - Device_Configuration'!BA276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'12 - Device_Configuration'!H277</f>
        <v>0</v>
      </c>
      <c r="B276" s="23">
        <f>'12 - Device_Configuration'!S277</f>
        <v>0</v>
      </c>
      <c r="C276" s="23">
        <f>'12 - Device_Configuration'!T277</f>
        <v>0</v>
      </c>
      <c r="D276" s="15">
        <f>'12 - Device_Configuration'!AJ277</f>
        <v>0</v>
      </c>
      <c r="E276" s="15">
        <f>'12 - Device_Configuration'!J277</f>
        <v>0</v>
      </c>
      <c r="F276" s="23">
        <f>'12 - Device_Configuration'!K277</f>
        <v>0</v>
      </c>
      <c r="G276" s="15">
        <f>'12 - Device_Configuration'!L277</f>
        <v>0</v>
      </c>
      <c r="H276" s="15">
        <f>'13 - Config_Intake_View'!M276</f>
        <v>0</v>
      </c>
      <c r="I276" s="23">
        <f>IF('13 - Config_Intake_View'!Q276&lt;&gt;"",'13 - Config_Intake_View'!Q276,'12 - Device_Configuration'!BH277)</f>
        <v>0</v>
      </c>
      <c r="J276" s="15" t="str">
        <f>IF('13 - Config_Intake_View'!Q276&lt;&gt;"","PM Approved",IF('12 - Device_Configuration'!BH277&lt;&gt;"","Assumed",""))</f>
        <v/>
      </c>
      <c r="K276" s="23">
        <f>'12 - Device_Configuration'!BG277</f>
        <v>0</v>
      </c>
      <c r="L276" s="15">
        <f>'12 - Device_Configuration'!P277</f>
        <v>0</v>
      </c>
      <c r="M276" s="15">
        <f>'12 - Device_Configuration'!Q277</f>
        <v>0</v>
      </c>
      <c r="N276" s="15" t="str">
        <f>'12 - Device_Configuration'!BK277</f>
        <v/>
      </c>
      <c r="O276" s="23" t="str">
        <f>'12 - Device_Configuration'!BL277</f>
        <v/>
      </c>
      <c r="P276" s="2">
        <f>'12 - Device_Configuration'!BA277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'12 - Device_Configuration'!H278</f>
        <v>0</v>
      </c>
      <c r="B277" s="23">
        <f>'12 - Device_Configuration'!S278</f>
        <v>0</v>
      </c>
      <c r="C277" s="23">
        <f>'12 - Device_Configuration'!T278</f>
        <v>0</v>
      </c>
      <c r="D277" s="15">
        <f>'12 - Device_Configuration'!AJ278</f>
        <v>0</v>
      </c>
      <c r="E277" s="15">
        <f>'12 - Device_Configuration'!J278</f>
        <v>0</v>
      </c>
      <c r="F277" s="23">
        <f>'12 - Device_Configuration'!K278</f>
        <v>0</v>
      </c>
      <c r="G277" s="15">
        <f>'12 - Device_Configuration'!L278</f>
        <v>0</v>
      </c>
      <c r="H277" s="15">
        <f>'13 - Config_Intake_View'!M277</f>
        <v>0</v>
      </c>
      <c r="I277" s="23">
        <f>IF('13 - Config_Intake_View'!Q277&lt;&gt;"",'13 - Config_Intake_View'!Q277,'12 - Device_Configuration'!BH278)</f>
        <v>0</v>
      </c>
      <c r="J277" s="15" t="str">
        <f>IF('13 - Config_Intake_View'!Q277&lt;&gt;"","PM Approved",IF('12 - Device_Configuration'!BH278&lt;&gt;"","Assumed",""))</f>
        <v/>
      </c>
      <c r="K277" s="23">
        <f>'12 - Device_Configuration'!BG278</f>
        <v>0</v>
      </c>
      <c r="L277" s="15">
        <f>'12 - Device_Configuration'!P278</f>
        <v>0</v>
      </c>
      <c r="M277" s="15">
        <f>'12 - Device_Configuration'!Q278</f>
        <v>0</v>
      </c>
      <c r="N277" s="15" t="str">
        <f>'12 - Device_Configuration'!BK278</f>
        <v/>
      </c>
      <c r="O277" s="23" t="str">
        <f>'12 - Device_Configuration'!BL278</f>
        <v/>
      </c>
      <c r="P277" s="2">
        <f>'12 - Device_Configuration'!BA278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'12 - Device_Configuration'!H279</f>
        <v>0</v>
      </c>
      <c r="B278" s="23">
        <f>'12 - Device_Configuration'!S279</f>
        <v>0</v>
      </c>
      <c r="C278" s="23">
        <f>'12 - Device_Configuration'!T279</f>
        <v>0</v>
      </c>
      <c r="D278" s="15">
        <f>'12 - Device_Configuration'!AJ279</f>
        <v>0</v>
      </c>
      <c r="E278" s="15">
        <f>'12 - Device_Configuration'!J279</f>
        <v>0</v>
      </c>
      <c r="F278" s="23">
        <f>'12 - Device_Configuration'!K279</f>
        <v>0</v>
      </c>
      <c r="G278" s="15">
        <f>'12 - Device_Configuration'!L279</f>
        <v>0</v>
      </c>
      <c r="H278" s="15">
        <f>'13 - Config_Intake_View'!M278</f>
        <v>0</v>
      </c>
      <c r="I278" s="23">
        <f>IF('13 - Config_Intake_View'!Q278&lt;&gt;"",'13 - Config_Intake_View'!Q278,'12 - Device_Configuration'!BH279)</f>
        <v>0</v>
      </c>
      <c r="J278" s="15" t="str">
        <f>IF('13 - Config_Intake_View'!Q278&lt;&gt;"","PM Approved",IF('12 - Device_Configuration'!BH279&lt;&gt;"","Assumed",""))</f>
        <v/>
      </c>
      <c r="K278" s="23">
        <f>'12 - Device_Configuration'!BG279</f>
        <v>0</v>
      </c>
      <c r="L278" s="15">
        <f>'12 - Device_Configuration'!P279</f>
        <v>0</v>
      </c>
      <c r="M278" s="15">
        <f>'12 - Device_Configuration'!Q279</f>
        <v>0</v>
      </c>
      <c r="N278" s="15" t="str">
        <f>'12 - Device_Configuration'!BK279</f>
        <v/>
      </c>
      <c r="O278" s="23" t="str">
        <f>'12 - Device_Configuration'!BL279</f>
        <v/>
      </c>
      <c r="P278" s="2">
        <f>'12 - Device_Configuration'!BA279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'12 - Device_Configuration'!H280</f>
        <v>0</v>
      </c>
      <c r="B279" s="23">
        <f>'12 - Device_Configuration'!S280</f>
        <v>0</v>
      </c>
      <c r="C279" s="23">
        <f>'12 - Device_Configuration'!T280</f>
        <v>0</v>
      </c>
      <c r="D279" s="15">
        <f>'12 - Device_Configuration'!AJ280</f>
        <v>0</v>
      </c>
      <c r="E279" s="15">
        <f>'12 - Device_Configuration'!J280</f>
        <v>0</v>
      </c>
      <c r="F279" s="23">
        <f>'12 - Device_Configuration'!K280</f>
        <v>0</v>
      </c>
      <c r="G279" s="15">
        <f>'12 - Device_Configuration'!L280</f>
        <v>0</v>
      </c>
      <c r="H279" s="15">
        <f>'13 - Config_Intake_View'!M279</f>
        <v>0</v>
      </c>
      <c r="I279" s="23">
        <f>IF('13 - Config_Intake_View'!Q279&lt;&gt;"",'13 - Config_Intake_View'!Q279,'12 - Device_Configuration'!BH280)</f>
        <v>0</v>
      </c>
      <c r="J279" s="15" t="str">
        <f>IF('13 - Config_Intake_View'!Q279&lt;&gt;"","PM Approved",IF('12 - Device_Configuration'!BH280&lt;&gt;"","Assumed",""))</f>
        <v/>
      </c>
      <c r="K279" s="23">
        <f>'12 - Device_Configuration'!BG280</f>
        <v>0</v>
      </c>
      <c r="L279" s="15">
        <f>'12 - Device_Configuration'!P280</f>
        <v>0</v>
      </c>
      <c r="M279" s="15">
        <f>'12 - Device_Configuration'!Q280</f>
        <v>0</v>
      </c>
      <c r="N279" s="15" t="str">
        <f>'12 - Device_Configuration'!BK280</f>
        <v/>
      </c>
      <c r="O279" s="23" t="str">
        <f>'12 - Device_Configuration'!BL280</f>
        <v/>
      </c>
      <c r="P279" s="2">
        <f>'12 - Device_Configuration'!BA280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'12 - Device_Configuration'!H281</f>
        <v>0</v>
      </c>
      <c r="B280" s="23">
        <f>'12 - Device_Configuration'!S281</f>
        <v>0</v>
      </c>
      <c r="C280" s="23">
        <f>'12 - Device_Configuration'!T281</f>
        <v>0</v>
      </c>
      <c r="D280" s="15">
        <f>'12 - Device_Configuration'!AJ281</f>
        <v>0</v>
      </c>
      <c r="E280" s="15">
        <f>'12 - Device_Configuration'!J281</f>
        <v>0</v>
      </c>
      <c r="F280" s="23">
        <f>'12 - Device_Configuration'!K281</f>
        <v>0</v>
      </c>
      <c r="G280" s="15">
        <f>'12 - Device_Configuration'!L281</f>
        <v>0</v>
      </c>
      <c r="H280" s="15">
        <f>'13 - Config_Intake_View'!M280</f>
        <v>0</v>
      </c>
      <c r="I280" s="23">
        <f>IF('13 - Config_Intake_View'!Q280&lt;&gt;"",'13 - Config_Intake_View'!Q280,'12 - Device_Configuration'!BH281)</f>
        <v>0</v>
      </c>
      <c r="J280" s="15" t="str">
        <f>IF('13 - Config_Intake_View'!Q280&lt;&gt;"","PM Approved",IF('12 - Device_Configuration'!BH281&lt;&gt;"","Assumed",""))</f>
        <v/>
      </c>
      <c r="K280" s="23">
        <f>'12 - Device_Configuration'!BG281</f>
        <v>0</v>
      </c>
      <c r="L280" s="15">
        <f>'12 - Device_Configuration'!P281</f>
        <v>0</v>
      </c>
      <c r="M280" s="15">
        <f>'12 - Device_Configuration'!Q281</f>
        <v>0</v>
      </c>
      <c r="N280" s="15" t="str">
        <f>'12 - Device_Configuration'!BK281</f>
        <v/>
      </c>
      <c r="O280" s="23" t="str">
        <f>'12 - Device_Configuration'!BL281</f>
        <v/>
      </c>
      <c r="P280" s="2">
        <f>'12 - Device_Configuration'!BA281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'12 - Device_Configuration'!H282</f>
        <v>0</v>
      </c>
      <c r="B281" s="23">
        <f>'12 - Device_Configuration'!S282</f>
        <v>0</v>
      </c>
      <c r="C281" s="23">
        <f>'12 - Device_Configuration'!T282</f>
        <v>0</v>
      </c>
      <c r="D281" s="15">
        <f>'12 - Device_Configuration'!AJ282</f>
        <v>0</v>
      </c>
      <c r="E281" s="15">
        <f>'12 - Device_Configuration'!J282</f>
        <v>0</v>
      </c>
      <c r="F281" s="23">
        <f>'12 - Device_Configuration'!K282</f>
        <v>0</v>
      </c>
      <c r="G281" s="15">
        <f>'12 - Device_Configuration'!L282</f>
        <v>0</v>
      </c>
      <c r="H281" s="15">
        <f>'13 - Config_Intake_View'!M281</f>
        <v>0</v>
      </c>
      <c r="I281" s="23">
        <f>IF('13 - Config_Intake_View'!Q281&lt;&gt;"",'13 - Config_Intake_View'!Q281,'12 - Device_Configuration'!BH282)</f>
        <v>0</v>
      </c>
      <c r="J281" s="15" t="str">
        <f>IF('13 - Config_Intake_View'!Q281&lt;&gt;"","PM Approved",IF('12 - Device_Configuration'!BH282&lt;&gt;"","Assumed",""))</f>
        <v/>
      </c>
      <c r="K281" s="23">
        <f>'12 - Device_Configuration'!BG282</f>
        <v>0</v>
      </c>
      <c r="L281" s="15">
        <f>'12 - Device_Configuration'!P282</f>
        <v>0</v>
      </c>
      <c r="M281" s="15">
        <f>'12 - Device_Configuration'!Q282</f>
        <v>0</v>
      </c>
      <c r="N281" s="15" t="str">
        <f>'12 - Device_Configuration'!BK282</f>
        <v/>
      </c>
      <c r="O281" s="23" t="str">
        <f>'12 - Device_Configuration'!BL282</f>
        <v/>
      </c>
      <c r="P281" s="2">
        <f>'12 - Device_Configuration'!BA282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'12 - Device_Configuration'!H283</f>
        <v>0</v>
      </c>
      <c r="B282" s="23">
        <f>'12 - Device_Configuration'!S283</f>
        <v>0</v>
      </c>
      <c r="C282" s="23">
        <f>'12 - Device_Configuration'!T283</f>
        <v>0</v>
      </c>
      <c r="D282" s="15">
        <f>'12 - Device_Configuration'!AJ283</f>
        <v>0</v>
      </c>
      <c r="E282" s="15">
        <f>'12 - Device_Configuration'!J283</f>
        <v>0</v>
      </c>
      <c r="F282" s="23">
        <f>'12 - Device_Configuration'!K283</f>
        <v>0</v>
      </c>
      <c r="G282" s="15">
        <f>'12 - Device_Configuration'!L283</f>
        <v>0</v>
      </c>
      <c r="H282" s="15">
        <f>'13 - Config_Intake_View'!M282</f>
        <v>0</v>
      </c>
      <c r="I282" s="23">
        <f>IF('13 - Config_Intake_View'!Q282&lt;&gt;"",'13 - Config_Intake_View'!Q282,'12 - Device_Configuration'!BH283)</f>
        <v>0</v>
      </c>
      <c r="J282" s="15" t="str">
        <f>IF('13 - Config_Intake_View'!Q282&lt;&gt;"","PM Approved",IF('12 - Device_Configuration'!BH283&lt;&gt;"","Assumed",""))</f>
        <v/>
      </c>
      <c r="K282" s="23">
        <f>'12 - Device_Configuration'!BG283</f>
        <v>0</v>
      </c>
      <c r="L282" s="15">
        <f>'12 - Device_Configuration'!P283</f>
        <v>0</v>
      </c>
      <c r="M282" s="15">
        <f>'12 - Device_Configuration'!Q283</f>
        <v>0</v>
      </c>
      <c r="N282" s="15" t="str">
        <f>'12 - Device_Configuration'!BK283</f>
        <v/>
      </c>
      <c r="O282" s="23" t="str">
        <f>'12 - Device_Configuration'!BL283</f>
        <v/>
      </c>
      <c r="P282" s="2">
        <f>'12 - Device_Configuration'!BA283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'12 - Device_Configuration'!H284</f>
        <v>0</v>
      </c>
      <c r="B283" s="23">
        <f>'12 - Device_Configuration'!S284</f>
        <v>0</v>
      </c>
      <c r="C283" s="23">
        <f>'12 - Device_Configuration'!T284</f>
        <v>0</v>
      </c>
      <c r="D283" s="15">
        <f>'12 - Device_Configuration'!AJ284</f>
        <v>0</v>
      </c>
      <c r="E283" s="15">
        <f>'12 - Device_Configuration'!J284</f>
        <v>0</v>
      </c>
      <c r="F283" s="23">
        <f>'12 - Device_Configuration'!K284</f>
        <v>0</v>
      </c>
      <c r="G283" s="15">
        <f>'12 - Device_Configuration'!L284</f>
        <v>0</v>
      </c>
      <c r="H283" s="15">
        <f>'13 - Config_Intake_View'!M283</f>
        <v>0</v>
      </c>
      <c r="I283" s="23">
        <f>IF('13 - Config_Intake_View'!Q283&lt;&gt;"",'13 - Config_Intake_View'!Q283,'12 - Device_Configuration'!BH284)</f>
        <v>0</v>
      </c>
      <c r="J283" s="15" t="str">
        <f>IF('13 - Config_Intake_View'!Q283&lt;&gt;"","PM Approved",IF('12 - Device_Configuration'!BH284&lt;&gt;"","Assumed",""))</f>
        <v/>
      </c>
      <c r="K283" s="23">
        <f>'12 - Device_Configuration'!BG284</f>
        <v>0</v>
      </c>
      <c r="L283" s="15">
        <f>'12 - Device_Configuration'!P284</f>
        <v>0</v>
      </c>
      <c r="M283" s="15">
        <f>'12 - Device_Configuration'!Q284</f>
        <v>0</v>
      </c>
      <c r="N283" s="15" t="str">
        <f>'12 - Device_Configuration'!BK284</f>
        <v/>
      </c>
      <c r="O283" s="23" t="str">
        <f>'12 - Device_Configuration'!BL284</f>
        <v/>
      </c>
      <c r="P283" s="2">
        <f>'12 - Device_Configuration'!BA284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'12 - Device_Configuration'!H285</f>
        <v>0</v>
      </c>
      <c r="B284" s="23">
        <f>'12 - Device_Configuration'!S285</f>
        <v>0</v>
      </c>
      <c r="C284" s="23">
        <f>'12 - Device_Configuration'!T285</f>
        <v>0</v>
      </c>
      <c r="D284" s="15">
        <f>'12 - Device_Configuration'!AJ285</f>
        <v>0</v>
      </c>
      <c r="E284" s="15">
        <f>'12 - Device_Configuration'!J285</f>
        <v>0</v>
      </c>
      <c r="F284" s="23">
        <f>'12 - Device_Configuration'!K285</f>
        <v>0</v>
      </c>
      <c r="G284" s="15">
        <f>'12 - Device_Configuration'!L285</f>
        <v>0</v>
      </c>
      <c r="H284" s="15">
        <f>'13 - Config_Intake_View'!M284</f>
        <v>0</v>
      </c>
      <c r="I284" s="23">
        <f>IF('13 - Config_Intake_View'!Q284&lt;&gt;"",'13 - Config_Intake_View'!Q284,'12 - Device_Configuration'!BH285)</f>
        <v>0</v>
      </c>
      <c r="J284" s="15" t="str">
        <f>IF('13 - Config_Intake_View'!Q284&lt;&gt;"","PM Approved",IF('12 - Device_Configuration'!BH285&lt;&gt;"","Assumed",""))</f>
        <v/>
      </c>
      <c r="K284" s="23">
        <f>'12 - Device_Configuration'!BG285</f>
        <v>0</v>
      </c>
      <c r="L284" s="15">
        <f>'12 - Device_Configuration'!P285</f>
        <v>0</v>
      </c>
      <c r="M284" s="15">
        <f>'12 - Device_Configuration'!Q285</f>
        <v>0</v>
      </c>
      <c r="N284" s="15" t="str">
        <f>'12 - Device_Configuration'!BK285</f>
        <v/>
      </c>
      <c r="O284" s="23" t="str">
        <f>'12 - Device_Configuration'!BL285</f>
        <v/>
      </c>
      <c r="P284" s="2">
        <f>'12 - Device_Configuration'!BA285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'12 - Device_Configuration'!H286</f>
        <v>0</v>
      </c>
      <c r="B285" s="23">
        <f>'12 - Device_Configuration'!S286</f>
        <v>0</v>
      </c>
      <c r="C285" s="23">
        <f>'12 - Device_Configuration'!T286</f>
        <v>0</v>
      </c>
      <c r="D285" s="15">
        <f>'12 - Device_Configuration'!AJ286</f>
        <v>0</v>
      </c>
      <c r="E285" s="15">
        <f>'12 - Device_Configuration'!J286</f>
        <v>0</v>
      </c>
      <c r="F285" s="23">
        <f>'12 - Device_Configuration'!K286</f>
        <v>0</v>
      </c>
      <c r="G285" s="15">
        <f>'12 - Device_Configuration'!L286</f>
        <v>0</v>
      </c>
      <c r="H285" s="15">
        <f>'13 - Config_Intake_View'!M285</f>
        <v>0</v>
      </c>
      <c r="I285" s="23">
        <f>IF('13 - Config_Intake_View'!Q285&lt;&gt;"",'13 - Config_Intake_View'!Q285,'12 - Device_Configuration'!BH286)</f>
        <v>0</v>
      </c>
      <c r="J285" s="15" t="str">
        <f>IF('13 - Config_Intake_View'!Q285&lt;&gt;"","PM Approved",IF('12 - Device_Configuration'!BH286&lt;&gt;"","Assumed",""))</f>
        <v/>
      </c>
      <c r="K285" s="23">
        <f>'12 - Device_Configuration'!BG286</f>
        <v>0</v>
      </c>
      <c r="L285" s="15">
        <f>'12 - Device_Configuration'!P286</f>
        <v>0</v>
      </c>
      <c r="M285" s="15">
        <f>'12 - Device_Configuration'!Q286</f>
        <v>0</v>
      </c>
      <c r="N285" s="15" t="str">
        <f>'12 - Device_Configuration'!BK286</f>
        <v/>
      </c>
      <c r="O285" s="23" t="str">
        <f>'12 - Device_Configuration'!BL286</f>
        <v/>
      </c>
      <c r="P285" s="2">
        <f>'12 - Device_Configuration'!BA286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'12 - Device_Configuration'!H287</f>
        <v>0</v>
      </c>
      <c r="B286" s="23">
        <f>'12 - Device_Configuration'!S287</f>
        <v>0</v>
      </c>
      <c r="C286" s="23">
        <f>'12 - Device_Configuration'!T287</f>
        <v>0</v>
      </c>
      <c r="D286" s="15">
        <f>'12 - Device_Configuration'!AJ287</f>
        <v>0</v>
      </c>
      <c r="E286" s="15">
        <f>'12 - Device_Configuration'!J287</f>
        <v>0</v>
      </c>
      <c r="F286" s="23">
        <f>'12 - Device_Configuration'!K287</f>
        <v>0</v>
      </c>
      <c r="G286" s="15">
        <f>'12 - Device_Configuration'!L287</f>
        <v>0</v>
      </c>
      <c r="H286" s="15">
        <f>'13 - Config_Intake_View'!M286</f>
        <v>0</v>
      </c>
      <c r="I286" s="23">
        <f>IF('13 - Config_Intake_View'!Q286&lt;&gt;"",'13 - Config_Intake_View'!Q286,'12 - Device_Configuration'!BH287)</f>
        <v>0</v>
      </c>
      <c r="J286" s="15" t="str">
        <f>IF('13 - Config_Intake_View'!Q286&lt;&gt;"","PM Approved",IF('12 - Device_Configuration'!BH287&lt;&gt;"","Assumed",""))</f>
        <v/>
      </c>
      <c r="K286" s="23">
        <f>'12 - Device_Configuration'!BG287</f>
        <v>0</v>
      </c>
      <c r="L286" s="15">
        <f>'12 - Device_Configuration'!P287</f>
        <v>0</v>
      </c>
      <c r="M286" s="15">
        <f>'12 - Device_Configuration'!Q287</f>
        <v>0</v>
      </c>
      <c r="N286" s="15" t="str">
        <f>'12 - Device_Configuration'!BK287</f>
        <v/>
      </c>
      <c r="O286" s="23" t="str">
        <f>'12 - Device_Configuration'!BL287</f>
        <v/>
      </c>
      <c r="P286" s="2">
        <f>'12 - Device_Configuration'!BA287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'12 - Device_Configuration'!H288</f>
        <v>0</v>
      </c>
      <c r="B287" s="23">
        <f>'12 - Device_Configuration'!S288</f>
        <v>0</v>
      </c>
      <c r="C287" s="23">
        <f>'12 - Device_Configuration'!T288</f>
        <v>0</v>
      </c>
      <c r="D287" s="15">
        <f>'12 - Device_Configuration'!AJ288</f>
        <v>0</v>
      </c>
      <c r="E287" s="15">
        <f>'12 - Device_Configuration'!J288</f>
        <v>0</v>
      </c>
      <c r="F287" s="23">
        <f>'12 - Device_Configuration'!K288</f>
        <v>0</v>
      </c>
      <c r="G287" s="15">
        <f>'12 - Device_Configuration'!L288</f>
        <v>0</v>
      </c>
      <c r="H287" s="15">
        <f>'13 - Config_Intake_View'!M287</f>
        <v>0</v>
      </c>
      <c r="I287" s="23">
        <f>IF('13 - Config_Intake_View'!Q287&lt;&gt;"",'13 - Config_Intake_View'!Q287,'12 - Device_Configuration'!BH288)</f>
        <v>0</v>
      </c>
      <c r="J287" s="15" t="str">
        <f>IF('13 - Config_Intake_View'!Q287&lt;&gt;"","PM Approved",IF('12 - Device_Configuration'!BH288&lt;&gt;"","Assumed",""))</f>
        <v/>
      </c>
      <c r="K287" s="23">
        <f>'12 - Device_Configuration'!BG288</f>
        <v>0</v>
      </c>
      <c r="L287" s="15">
        <f>'12 - Device_Configuration'!P288</f>
        <v>0</v>
      </c>
      <c r="M287" s="15">
        <f>'12 - Device_Configuration'!Q288</f>
        <v>0</v>
      </c>
      <c r="N287" s="15" t="str">
        <f>'12 - Device_Configuration'!BK288</f>
        <v/>
      </c>
      <c r="O287" s="23" t="str">
        <f>'12 - Device_Configuration'!BL288</f>
        <v/>
      </c>
      <c r="P287" s="2">
        <f>'12 - Device_Configuration'!BA288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'12 - Device_Configuration'!H289</f>
        <v>0</v>
      </c>
      <c r="B288" s="23">
        <f>'12 - Device_Configuration'!S289</f>
        <v>0</v>
      </c>
      <c r="C288" s="23">
        <f>'12 - Device_Configuration'!T289</f>
        <v>0</v>
      </c>
      <c r="D288" s="15">
        <f>'12 - Device_Configuration'!AJ289</f>
        <v>0</v>
      </c>
      <c r="E288" s="15">
        <f>'12 - Device_Configuration'!J289</f>
        <v>0</v>
      </c>
      <c r="F288" s="23">
        <f>'12 - Device_Configuration'!K289</f>
        <v>0</v>
      </c>
      <c r="G288" s="15">
        <f>'12 - Device_Configuration'!L289</f>
        <v>0</v>
      </c>
      <c r="H288" s="15">
        <f>'13 - Config_Intake_View'!M288</f>
        <v>0</v>
      </c>
      <c r="I288" s="23">
        <f>IF('13 - Config_Intake_View'!Q288&lt;&gt;"",'13 - Config_Intake_View'!Q288,'12 - Device_Configuration'!BH289)</f>
        <v>0</v>
      </c>
      <c r="J288" s="15" t="str">
        <f>IF('13 - Config_Intake_View'!Q288&lt;&gt;"","PM Approved",IF('12 - Device_Configuration'!BH289&lt;&gt;"","Assumed",""))</f>
        <v/>
      </c>
      <c r="K288" s="23">
        <f>'12 - Device_Configuration'!BG289</f>
        <v>0</v>
      </c>
      <c r="L288" s="15">
        <f>'12 - Device_Configuration'!P289</f>
        <v>0</v>
      </c>
      <c r="M288" s="15">
        <f>'12 - Device_Configuration'!Q289</f>
        <v>0</v>
      </c>
      <c r="N288" s="15" t="str">
        <f>'12 - Device_Configuration'!BK289</f>
        <v/>
      </c>
      <c r="O288" s="23" t="str">
        <f>'12 - Device_Configuration'!BL289</f>
        <v/>
      </c>
      <c r="P288" s="2">
        <f>'12 - Device_Configuration'!BA289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'12 - Device_Configuration'!H290</f>
        <v>0</v>
      </c>
      <c r="B289" s="23">
        <f>'12 - Device_Configuration'!S290</f>
        <v>0</v>
      </c>
      <c r="C289" s="23">
        <f>'12 - Device_Configuration'!T290</f>
        <v>0</v>
      </c>
      <c r="D289" s="15">
        <f>'12 - Device_Configuration'!AJ290</f>
        <v>0</v>
      </c>
      <c r="E289" s="15">
        <f>'12 - Device_Configuration'!J290</f>
        <v>0</v>
      </c>
      <c r="F289" s="23">
        <f>'12 - Device_Configuration'!K290</f>
        <v>0</v>
      </c>
      <c r="G289" s="15">
        <f>'12 - Device_Configuration'!L290</f>
        <v>0</v>
      </c>
      <c r="H289" s="15">
        <f>'13 - Config_Intake_View'!M289</f>
        <v>0</v>
      </c>
      <c r="I289" s="23">
        <f>IF('13 - Config_Intake_View'!Q289&lt;&gt;"",'13 - Config_Intake_View'!Q289,'12 - Device_Configuration'!BH290)</f>
        <v>0</v>
      </c>
      <c r="J289" s="15" t="str">
        <f>IF('13 - Config_Intake_View'!Q289&lt;&gt;"","PM Approved",IF('12 - Device_Configuration'!BH290&lt;&gt;"","Assumed",""))</f>
        <v/>
      </c>
      <c r="K289" s="23">
        <f>'12 - Device_Configuration'!BG290</f>
        <v>0</v>
      </c>
      <c r="L289" s="15">
        <f>'12 - Device_Configuration'!P290</f>
        <v>0</v>
      </c>
      <c r="M289" s="15">
        <f>'12 - Device_Configuration'!Q290</f>
        <v>0</v>
      </c>
      <c r="N289" s="15" t="str">
        <f>'12 - Device_Configuration'!BK290</f>
        <v/>
      </c>
      <c r="O289" s="23" t="str">
        <f>'12 - Device_Configuration'!BL290</f>
        <v/>
      </c>
      <c r="P289" s="2">
        <f>'12 - Device_Configuration'!BA290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'12 - Device_Configuration'!H291</f>
        <v>0</v>
      </c>
      <c r="B290" s="23">
        <f>'12 - Device_Configuration'!S291</f>
        <v>0</v>
      </c>
      <c r="C290" s="23">
        <f>'12 - Device_Configuration'!T291</f>
        <v>0</v>
      </c>
      <c r="D290" s="15">
        <f>'12 - Device_Configuration'!AJ291</f>
        <v>0</v>
      </c>
      <c r="E290" s="15">
        <f>'12 - Device_Configuration'!J291</f>
        <v>0</v>
      </c>
      <c r="F290" s="23">
        <f>'12 - Device_Configuration'!K291</f>
        <v>0</v>
      </c>
      <c r="G290" s="15">
        <f>'12 - Device_Configuration'!L291</f>
        <v>0</v>
      </c>
      <c r="H290" s="15">
        <f>'13 - Config_Intake_View'!M290</f>
        <v>0</v>
      </c>
      <c r="I290" s="23">
        <f>IF('13 - Config_Intake_View'!Q290&lt;&gt;"",'13 - Config_Intake_View'!Q290,'12 - Device_Configuration'!BH291)</f>
        <v>0</v>
      </c>
      <c r="J290" s="15" t="str">
        <f>IF('13 - Config_Intake_View'!Q290&lt;&gt;"","PM Approved",IF('12 - Device_Configuration'!BH291&lt;&gt;"","Assumed",""))</f>
        <v/>
      </c>
      <c r="K290" s="23">
        <f>'12 - Device_Configuration'!BG291</f>
        <v>0</v>
      </c>
      <c r="L290" s="15">
        <f>'12 - Device_Configuration'!P291</f>
        <v>0</v>
      </c>
      <c r="M290" s="15">
        <f>'12 - Device_Configuration'!Q291</f>
        <v>0</v>
      </c>
      <c r="N290" s="15" t="str">
        <f>'12 - Device_Configuration'!BK291</f>
        <v/>
      </c>
      <c r="O290" s="23" t="str">
        <f>'12 - Device_Configuration'!BL291</f>
        <v/>
      </c>
      <c r="P290" s="2">
        <f>'12 - Device_Configuration'!BA291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'12 - Device_Configuration'!H292</f>
        <v>0</v>
      </c>
      <c r="B291" s="23">
        <f>'12 - Device_Configuration'!S292</f>
        <v>0</v>
      </c>
      <c r="C291" s="23">
        <f>'12 - Device_Configuration'!T292</f>
        <v>0</v>
      </c>
      <c r="D291" s="15">
        <f>'12 - Device_Configuration'!AJ292</f>
        <v>0</v>
      </c>
      <c r="E291" s="15">
        <f>'12 - Device_Configuration'!J292</f>
        <v>0</v>
      </c>
      <c r="F291" s="23">
        <f>'12 - Device_Configuration'!K292</f>
        <v>0</v>
      </c>
      <c r="G291" s="15">
        <f>'12 - Device_Configuration'!L292</f>
        <v>0</v>
      </c>
      <c r="H291" s="15">
        <f>'13 - Config_Intake_View'!M291</f>
        <v>0</v>
      </c>
      <c r="I291" s="23">
        <f>IF('13 - Config_Intake_View'!Q291&lt;&gt;"",'13 - Config_Intake_View'!Q291,'12 - Device_Configuration'!BH292)</f>
        <v>0</v>
      </c>
      <c r="J291" s="15" t="str">
        <f>IF('13 - Config_Intake_View'!Q291&lt;&gt;"","PM Approved",IF('12 - Device_Configuration'!BH292&lt;&gt;"","Assumed",""))</f>
        <v/>
      </c>
      <c r="K291" s="23">
        <f>'12 - Device_Configuration'!BG292</f>
        <v>0</v>
      </c>
      <c r="L291" s="15">
        <f>'12 - Device_Configuration'!P292</f>
        <v>0</v>
      </c>
      <c r="M291" s="15">
        <f>'12 - Device_Configuration'!Q292</f>
        <v>0</v>
      </c>
      <c r="N291" s="15" t="str">
        <f>'12 - Device_Configuration'!BK292</f>
        <v/>
      </c>
      <c r="O291" s="23" t="str">
        <f>'12 - Device_Configuration'!BL292</f>
        <v/>
      </c>
      <c r="P291" s="2">
        <f>'12 - Device_Configuration'!BA292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'12 - Device_Configuration'!H293</f>
        <v>0</v>
      </c>
      <c r="B292" s="23">
        <f>'12 - Device_Configuration'!S293</f>
        <v>0</v>
      </c>
      <c r="C292" s="23">
        <f>'12 - Device_Configuration'!T293</f>
        <v>0</v>
      </c>
      <c r="D292" s="15">
        <f>'12 - Device_Configuration'!AJ293</f>
        <v>0</v>
      </c>
      <c r="E292" s="15">
        <f>'12 - Device_Configuration'!J293</f>
        <v>0</v>
      </c>
      <c r="F292" s="23">
        <f>'12 - Device_Configuration'!K293</f>
        <v>0</v>
      </c>
      <c r="G292" s="15">
        <f>'12 - Device_Configuration'!L293</f>
        <v>0</v>
      </c>
      <c r="H292" s="15">
        <f>'13 - Config_Intake_View'!M292</f>
        <v>0</v>
      </c>
      <c r="I292" s="23">
        <f>IF('13 - Config_Intake_View'!Q292&lt;&gt;"",'13 - Config_Intake_View'!Q292,'12 - Device_Configuration'!BH293)</f>
        <v>0</v>
      </c>
      <c r="J292" s="15" t="str">
        <f>IF('13 - Config_Intake_View'!Q292&lt;&gt;"","PM Approved",IF('12 - Device_Configuration'!BH293&lt;&gt;"","Assumed",""))</f>
        <v/>
      </c>
      <c r="K292" s="23">
        <f>'12 - Device_Configuration'!BG293</f>
        <v>0</v>
      </c>
      <c r="L292" s="15">
        <f>'12 - Device_Configuration'!P293</f>
        <v>0</v>
      </c>
      <c r="M292" s="15">
        <f>'12 - Device_Configuration'!Q293</f>
        <v>0</v>
      </c>
      <c r="N292" s="15" t="str">
        <f>'12 - Device_Configuration'!BK293</f>
        <v/>
      </c>
      <c r="O292" s="23" t="str">
        <f>'12 - Device_Configuration'!BL293</f>
        <v/>
      </c>
      <c r="P292" s="2">
        <f>'12 - Device_Configuration'!BA293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'12 - Device_Configuration'!H294</f>
        <v>0</v>
      </c>
      <c r="B293" s="23">
        <f>'12 - Device_Configuration'!S294</f>
        <v>0</v>
      </c>
      <c r="C293" s="23">
        <f>'12 - Device_Configuration'!T294</f>
        <v>0</v>
      </c>
      <c r="D293" s="15">
        <f>'12 - Device_Configuration'!AJ294</f>
        <v>0</v>
      </c>
      <c r="E293" s="15">
        <f>'12 - Device_Configuration'!J294</f>
        <v>0</v>
      </c>
      <c r="F293" s="23">
        <f>'12 - Device_Configuration'!K294</f>
        <v>0</v>
      </c>
      <c r="G293" s="15">
        <f>'12 - Device_Configuration'!L294</f>
        <v>0</v>
      </c>
      <c r="H293" s="15">
        <f>'13 - Config_Intake_View'!M293</f>
        <v>0</v>
      </c>
      <c r="I293" s="23">
        <f>IF('13 - Config_Intake_View'!Q293&lt;&gt;"",'13 - Config_Intake_View'!Q293,'12 - Device_Configuration'!BH294)</f>
        <v>0</v>
      </c>
      <c r="J293" s="15" t="str">
        <f>IF('13 - Config_Intake_View'!Q293&lt;&gt;"","PM Approved",IF('12 - Device_Configuration'!BH294&lt;&gt;"","Assumed",""))</f>
        <v/>
      </c>
      <c r="K293" s="23">
        <f>'12 - Device_Configuration'!BG294</f>
        <v>0</v>
      </c>
      <c r="L293" s="15">
        <f>'12 - Device_Configuration'!P294</f>
        <v>0</v>
      </c>
      <c r="M293" s="15">
        <f>'12 - Device_Configuration'!Q294</f>
        <v>0</v>
      </c>
      <c r="N293" s="15" t="str">
        <f>'12 - Device_Configuration'!BK294</f>
        <v/>
      </c>
      <c r="O293" s="23" t="str">
        <f>'12 - Device_Configuration'!BL294</f>
        <v/>
      </c>
      <c r="P293" s="2">
        <f>'12 - Device_Configuration'!BA294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'12 - Device_Configuration'!H295</f>
        <v>0</v>
      </c>
      <c r="B294" s="23">
        <f>'12 - Device_Configuration'!S295</f>
        <v>0</v>
      </c>
      <c r="C294" s="23">
        <f>'12 - Device_Configuration'!T295</f>
        <v>0</v>
      </c>
      <c r="D294" s="15">
        <f>'12 - Device_Configuration'!AJ295</f>
        <v>0</v>
      </c>
      <c r="E294" s="15">
        <f>'12 - Device_Configuration'!J295</f>
        <v>0</v>
      </c>
      <c r="F294" s="23">
        <f>'12 - Device_Configuration'!K295</f>
        <v>0</v>
      </c>
      <c r="G294" s="15">
        <f>'12 - Device_Configuration'!L295</f>
        <v>0</v>
      </c>
      <c r="H294" s="15">
        <f>'13 - Config_Intake_View'!M294</f>
        <v>0</v>
      </c>
      <c r="I294" s="23">
        <f>IF('13 - Config_Intake_View'!Q294&lt;&gt;"",'13 - Config_Intake_View'!Q294,'12 - Device_Configuration'!BH295)</f>
        <v>0</v>
      </c>
      <c r="J294" s="15" t="str">
        <f>IF('13 - Config_Intake_View'!Q294&lt;&gt;"","PM Approved",IF('12 - Device_Configuration'!BH295&lt;&gt;"","Assumed",""))</f>
        <v/>
      </c>
      <c r="K294" s="23">
        <f>'12 - Device_Configuration'!BG295</f>
        <v>0</v>
      </c>
      <c r="L294" s="15">
        <f>'12 - Device_Configuration'!P295</f>
        <v>0</v>
      </c>
      <c r="M294" s="15">
        <f>'12 - Device_Configuration'!Q295</f>
        <v>0</v>
      </c>
      <c r="N294" s="15" t="str">
        <f>'12 - Device_Configuration'!BK295</f>
        <v/>
      </c>
      <c r="O294" s="23" t="str">
        <f>'12 - Device_Configuration'!BL295</f>
        <v/>
      </c>
      <c r="P294" s="2">
        <f>'12 - Device_Configuration'!BA295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'12 - Device_Configuration'!H296</f>
        <v>0</v>
      </c>
      <c r="B295" s="23">
        <f>'12 - Device_Configuration'!S296</f>
        <v>0</v>
      </c>
      <c r="C295" s="23">
        <f>'12 - Device_Configuration'!T296</f>
        <v>0</v>
      </c>
      <c r="D295" s="15">
        <f>'12 - Device_Configuration'!AJ296</f>
        <v>0</v>
      </c>
      <c r="E295" s="15">
        <f>'12 - Device_Configuration'!J296</f>
        <v>0</v>
      </c>
      <c r="F295" s="23">
        <f>'12 - Device_Configuration'!K296</f>
        <v>0</v>
      </c>
      <c r="G295" s="15">
        <f>'12 - Device_Configuration'!L296</f>
        <v>0</v>
      </c>
      <c r="H295" s="15">
        <f>'13 - Config_Intake_View'!M295</f>
        <v>0</v>
      </c>
      <c r="I295" s="23">
        <f>IF('13 - Config_Intake_View'!Q295&lt;&gt;"",'13 - Config_Intake_View'!Q295,'12 - Device_Configuration'!BH296)</f>
        <v>0</v>
      </c>
      <c r="J295" s="15" t="str">
        <f>IF('13 - Config_Intake_View'!Q295&lt;&gt;"","PM Approved",IF('12 - Device_Configuration'!BH296&lt;&gt;"","Assumed",""))</f>
        <v/>
      </c>
      <c r="K295" s="23">
        <f>'12 - Device_Configuration'!BG296</f>
        <v>0</v>
      </c>
      <c r="L295" s="15">
        <f>'12 - Device_Configuration'!P296</f>
        <v>0</v>
      </c>
      <c r="M295" s="15">
        <f>'12 - Device_Configuration'!Q296</f>
        <v>0</v>
      </c>
      <c r="N295" s="15" t="str">
        <f>'12 - Device_Configuration'!BK296</f>
        <v/>
      </c>
      <c r="O295" s="23" t="str">
        <f>'12 - Device_Configuration'!BL296</f>
        <v/>
      </c>
      <c r="P295" s="2">
        <f>'12 - Device_Configuration'!BA296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'12 - Device_Configuration'!H297</f>
        <v>0</v>
      </c>
      <c r="B296" s="23">
        <f>'12 - Device_Configuration'!S297</f>
        <v>0</v>
      </c>
      <c r="C296" s="23">
        <f>'12 - Device_Configuration'!T297</f>
        <v>0</v>
      </c>
      <c r="D296" s="15">
        <f>'12 - Device_Configuration'!AJ297</f>
        <v>0</v>
      </c>
      <c r="E296" s="15">
        <f>'12 - Device_Configuration'!J297</f>
        <v>0</v>
      </c>
      <c r="F296" s="23">
        <f>'12 - Device_Configuration'!K297</f>
        <v>0</v>
      </c>
      <c r="G296" s="15">
        <f>'12 - Device_Configuration'!L297</f>
        <v>0</v>
      </c>
      <c r="H296" s="15">
        <f>'13 - Config_Intake_View'!M296</f>
        <v>0</v>
      </c>
      <c r="I296" s="23">
        <f>IF('13 - Config_Intake_View'!Q296&lt;&gt;"",'13 - Config_Intake_View'!Q296,'12 - Device_Configuration'!BH297)</f>
        <v>0</v>
      </c>
      <c r="J296" s="15" t="str">
        <f>IF('13 - Config_Intake_View'!Q296&lt;&gt;"","PM Approved",IF('12 - Device_Configuration'!BH297&lt;&gt;"","Assumed",""))</f>
        <v/>
      </c>
      <c r="K296" s="23">
        <f>'12 - Device_Configuration'!BG297</f>
        <v>0</v>
      </c>
      <c r="L296" s="15">
        <f>'12 - Device_Configuration'!P297</f>
        <v>0</v>
      </c>
      <c r="M296" s="15">
        <f>'12 - Device_Configuration'!Q297</f>
        <v>0</v>
      </c>
      <c r="N296" s="15" t="str">
        <f>'12 - Device_Configuration'!BK297</f>
        <v/>
      </c>
      <c r="O296" s="23" t="str">
        <f>'12 - Device_Configuration'!BL297</f>
        <v/>
      </c>
      <c r="P296" s="2">
        <f>'12 - Device_Configuration'!BA297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'12 - Device_Configuration'!H298</f>
        <v>0</v>
      </c>
      <c r="B297" s="23">
        <f>'12 - Device_Configuration'!S298</f>
        <v>0</v>
      </c>
      <c r="C297" s="23">
        <f>'12 - Device_Configuration'!T298</f>
        <v>0</v>
      </c>
      <c r="D297" s="15">
        <f>'12 - Device_Configuration'!AJ298</f>
        <v>0</v>
      </c>
      <c r="E297" s="15">
        <f>'12 - Device_Configuration'!J298</f>
        <v>0</v>
      </c>
      <c r="F297" s="23">
        <f>'12 - Device_Configuration'!K298</f>
        <v>0</v>
      </c>
      <c r="G297" s="15">
        <f>'12 - Device_Configuration'!L298</f>
        <v>0</v>
      </c>
      <c r="H297" s="15">
        <f>'13 - Config_Intake_View'!M297</f>
        <v>0</v>
      </c>
      <c r="I297" s="23">
        <f>IF('13 - Config_Intake_View'!Q297&lt;&gt;"",'13 - Config_Intake_View'!Q297,'12 - Device_Configuration'!BH298)</f>
        <v>0</v>
      </c>
      <c r="J297" s="15" t="str">
        <f>IF('13 - Config_Intake_View'!Q297&lt;&gt;"","PM Approved",IF('12 - Device_Configuration'!BH298&lt;&gt;"","Assumed",""))</f>
        <v/>
      </c>
      <c r="K297" s="23">
        <f>'12 - Device_Configuration'!BG298</f>
        <v>0</v>
      </c>
      <c r="L297" s="15">
        <f>'12 - Device_Configuration'!P298</f>
        <v>0</v>
      </c>
      <c r="M297" s="15">
        <f>'12 - Device_Configuration'!Q298</f>
        <v>0</v>
      </c>
      <c r="N297" s="15" t="str">
        <f>'12 - Device_Configuration'!BK298</f>
        <v/>
      </c>
      <c r="O297" s="23" t="str">
        <f>'12 - Device_Configuration'!BL298</f>
        <v/>
      </c>
      <c r="P297" s="2">
        <f>'12 - Device_Configuration'!BA298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'12 - Device_Configuration'!H299</f>
        <v>0</v>
      </c>
      <c r="B298" s="23">
        <f>'12 - Device_Configuration'!S299</f>
        <v>0</v>
      </c>
      <c r="C298" s="23">
        <f>'12 - Device_Configuration'!T299</f>
        <v>0</v>
      </c>
      <c r="D298" s="15">
        <f>'12 - Device_Configuration'!AJ299</f>
        <v>0</v>
      </c>
      <c r="E298" s="15">
        <f>'12 - Device_Configuration'!J299</f>
        <v>0</v>
      </c>
      <c r="F298" s="23">
        <f>'12 - Device_Configuration'!K299</f>
        <v>0</v>
      </c>
      <c r="G298" s="15">
        <f>'12 - Device_Configuration'!L299</f>
        <v>0</v>
      </c>
      <c r="H298" s="15">
        <f>'13 - Config_Intake_View'!M298</f>
        <v>0</v>
      </c>
      <c r="I298" s="23">
        <f>IF('13 - Config_Intake_View'!Q298&lt;&gt;"",'13 - Config_Intake_View'!Q298,'12 - Device_Configuration'!BH299)</f>
        <v>0</v>
      </c>
      <c r="J298" s="15" t="str">
        <f>IF('13 - Config_Intake_View'!Q298&lt;&gt;"","PM Approved",IF('12 - Device_Configuration'!BH299&lt;&gt;"","Assumed",""))</f>
        <v/>
      </c>
      <c r="K298" s="23">
        <f>'12 - Device_Configuration'!BG299</f>
        <v>0</v>
      </c>
      <c r="L298" s="15">
        <f>'12 - Device_Configuration'!P299</f>
        <v>0</v>
      </c>
      <c r="M298" s="15">
        <f>'12 - Device_Configuration'!Q299</f>
        <v>0</v>
      </c>
      <c r="N298" s="15" t="str">
        <f>'12 - Device_Configuration'!BK299</f>
        <v/>
      </c>
      <c r="O298" s="23" t="str">
        <f>'12 - Device_Configuration'!BL299</f>
        <v/>
      </c>
      <c r="P298" s="2">
        <f>'12 - Device_Configuration'!BA299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'12 - Device_Configuration'!H300</f>
        <v>0</v>
      </c>
      <c r="B299" s="23">
        <f>'12 - Device_Configuration'!S300</f>
        <v>0</v>
      </c>
      <c r="C299" s="23">
        <f>'12 - Device_Configuration'!T300</f>
        <v>0</v>
      </c>
      <c r="D299" s="15">
        <f>'12 - Device_Configuration'!AJ300</f>
        <v>0</v>
      </c>
      <c r="E299" s="15">
        <f>'12 - Device_Configuration'!J300</f>
        <v>0</v>
      </c>
      <c r="F299" s="23">
        <f>'12 - Device_Configuration'!K300</f>
        <v>0</v>
      </c>
      <c r="G299" s="15">
        <f>'12 - Device_Configuration'!L300</f>
        <v>0</v>
      </c>
      <c r="H299" s="15">
        <f>'13 - Config_Intake_View'!M299</f>
        <v>0</v>
      </c>
      <c r="I299" s="23">
        <f>IF('13 - Config_Intake_View'!Q299&lt;&gt;"",'13 - Config_Intake_View'!Q299,'12 - Device_Configuration'!BH300)</f>
        <v>0</v>
      </c>
      <c r="J299" s="15" t="str">
        <f>IF('13 - Config_Intake_View'!Q299&lt;&gt;"","PM Approved",IF('12 - Device_Configuration'!BH300&lt;&gt;"","Assumed",""))</f>
        <v/>
      </c>
      <c r="K299" s="23">
        <f>'12 - Device_Configuration'!BG300</f>
        <v>0</v>
      </c>
      <c r="L299" s="15">
        <f>'12 - Device_Configuration'!P300</f>
        <v>0</v>
      </c>
      <c r="M299" s="15">
        <f>'12 - Device_Configuration'!Q300</f>
        <v>0</v>
      </c>
      <c r="N299" s="15" t="str">
        <f>'12 - Device_Configuration'!BK300</f>
        <v/>
      </c>
      <c r="O299" s="23" t="str">
        <f>'12 - Device_Configuration'!BL300</f>
        <v/>
      </c>
      <c r="P299" s="2">
        <f>'12 - Device_Configuration'!BA300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'12 - Device_Configuration'!H301</f>
        <v>0</v>
      </c>
      <c r="B300" s="23">
        <f>'12 - Device_Configuration'!S301</f>
        <v>0</v>
      </c>
      <c r="C300" s="23">
        <f>'12 - Device_Configuration'!T301</f>
        <v>0</v>
      </c>
      <c r="D300" s="15">
        <f>'12 - Device_Configuration'!AJ301</f>
        <v>0</v>
      </c>
      <c r="E300" s="15">
        <f>'12 - Device_Configuration'!J301</f>
        <v>0</v>
      </c>
      <c r="F300" s="23">
        <f>'12 - Device_Configuration'!K301</f>
        <v>0</v>
      </c>
      <c r="G300" s="15">
        <f>'12 - Device_Configuration'!L301</f>
        <v>0</v>
      </c>
      <c r="H300" s="15">
        <f>'13 - Config_Intake_View'!M300</f>
        <v>0</v>
      </c>
      <c r="I300" s="23">
        <f>IF('13 - Config_Intake_View'!Q300&lt;&gt;"",'13 - Config_Intake_View'!Q300,'12 - Device_Configuration'!BH301)</f>
        <v>0</v>
      </c>
      <c r="J300" s="15" t="str">
        <f>IF('13 - Config_Intake_View'!Q300&lt;&gt;"","PM Approved",IF('12 - Device_Configuration'!BH301&lt;&gt;"","Assumed",""))</f>
        <v/>
      </c>
      <c r="K300" s="23">
        <f>'12 - Device_Configuration'!BG301</f>
        <v>0</v>
      </c>
      <c r="L300" s="15">
        <f>'12 - Device_Configuration'!P301</f>
        <v>0</v>
      </c>
      <c r="M300" s="15">
        <f>'12 - Device_Configuration'!Q301</f>
        <v>0</v>
      </c>
      <c r="N300" s="15" t="str">
        <f>'12 - Device_Configuration'!BK301</f>
        <v/>
      </c>
      <c r="O300" s="23" t="str">
        <f>'12 - Device_Configuration'!BL301</f>
        <v/>
      </c>
      <c r="P300" s="2">
        <f>'12 - Device_Configuration'!BA301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'12 - Device_Configuration'!H302</f>
        <v>0</v>
      </c>
      <c r="B301" s="23">
        <f>'12 - Device_Configuration'!S302</f>
        <v>0</v>
      </c>
      <c r="C301" s="23">
        <f>'12 - Device_Configuration'!T302</f>
        <v>0</v>
      </c>
      <c r="D301" s="15">
        <f>'12 - Device_Configuration'!AJ302</f>
        <v>0</v>
      </c>
      <c r="E301" s="15">
        <f>'12 - Device_Configuration'!J302</f>
        <v>0</v>
      </c>
      <c r="F301" s="23">
        <f>'12 - Device_Configuration'!K302</f>
        <v>0</v>
      </c>
      <c r="G301" s="15">
        <f>'12 - Device_Configuration'!L302</f>
        <v>0</v>
      </c>
      <c r="H301" s="15">
        <f>'13 - Config_Intake_View'!M301</f>
        <v>0</v>
      </c>
      <c r="I301" s="23">
        <f>IF('13 - Config_Intake_View'!Q301&lt;&gt;"",'13 - Config_Intake_View'!Q301,'12 - Device_Configuration'!BH302)</f>
        <v>0</v>
      </c>
      <c r="J301" s="15" t="str">
        <f>IF('13 - Config_Intake_View'!Q301&lt;&gt;"","PM Approved",IF('12 - Device_Configuration'!BH302&lt;&gt;"","Assumed",""))</f>
        <v/>
      </c>
      <c r="K301" s="23">
        <f>'12 - Device_Configuration'!BG302</f>
        <v>0</v>
      </c>
      <c r="L301" s="15">
        <f>'12 - Device_Configuration'!P302</f>
        <v>0</v>
      </c>
      <c r="M301" s="15">
        <f>'12 - Device_Configuration'!Q302</f>
        <v>0</v>
      </c>
      <c r="N301" s="15" t="str">
        <f>'12 - Device_Configuration'!BK302</f>
        <v/>
      </c>
      <c r="O301" s="23" t="str">
        <f>'12 - Device_Configuration'!BL302</f>
        <v/>
      </c>
      <c r="P301" s="2">
        <f>'12 - Device_Configuration'!BA302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'12 - Device_Configuration'!H303</f>
        <v>0</v>
      </c>
      <c r="B302" s="23">
        <f>'12 - Device_Configuration'!S303</f>
        <v>0</v>
      </c>
      <c r="C302" s="23">
        <f>'12 - Device_Configuration'!T303</f>
        <v>0</v>
      </c>
      <c r="D302" s="15">
        <f>'12 - Device_Configuration'!AJ303</f>
        <v>0</v>
      </c>
      <c r="E302" s="15">
        <f>'12 - Device_Configuration'!J303</f>
        <v>0</v>
      </c>
      <c r="F302" s="23">
        <f>'12 - Device_Configuration'!K303</f>
        <v>0</v>
      </c>
      <c r="G302" s="15">
        <f>'12 - Device_Configuration'!L303</f>
        <v>0</v>
      </c>
      <c r="H302" s="15">
        <f>'13 - Config_Intake_View'!M302</f>
        <v>0</v>
      </c>
      <c r="I302" s="23">
        <f>IF('13 - Config_Intake_View'!Q302&lt;&gt;"",'13 - Config_Intake_View'!Q302,'12 - Device_Configuration'!BH303)</f>
        <v>0</v>
      </c>
      <c r="J302" s="15" t="str">
        <f>IF('13 - Config_Intake_View'!Q302&lt;&gt;"","PM Approved",IF('12 - Device_Configuration'!BH303&lt;&gt;"","Assumed",""))</f>
        <v/>
      </c>
      <c r="K302" s="23">
        <f>'12 - Device_Configuration'!BG303</f>
        <v>0</v>
      </c>
      <c r="L302" s="15">
        <f>'12 - Device_Configuration'!P303</f>
        <v>0</v>
      </c>
      <c r="M302" s="15">
        <f>'12 - Device_Configuration'!Q303</f>
        <v>0</v>
      </c>
      <c r="N302" s="15" t="str">
        <f>'12 - Device_Configuration'!BK303</f>
        <v/>
      </c>
      <c r="O302" s="23" t="str">
        <f>'12 - Device_Configuration'!BL303</f>
        <v/>
      </c>
      <c r="P302" s="2">
        <f>'12 - Device_Configuration'!BA303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'12 - Device_Configuration'!H304</f>
        <v>0</v>
      </c>
      <c r="B303" s="23">
        <f>'12 - Device_Configuration'!S304</f>
        <v>0</v>
      </c>
      <c r="C303" s="23">
        <f>'12 - Device_Configuration'!T304</f>
        <v>0</v>
      </c>
      <c r="D303" s="15">
        <f>'12 - Device_Configuration'!AJ304</f>
        <v>0</v>
      </c>
      <c r="E303" s="15">
        <f>'12 - Device_Configuration'!J304</f>
        <v>0</v>
      </c>
      <c r="F303" s="23">
        <f>'12 - Device_Configuration'!K304</f>
        <v>0</v>
      </c>
      <c r="G303" s="15">
        <f>'12 - Device_Configuration'!L304</f>
        <v>0</v>
      </c>
      <c r="H303" s="15">
        <f>'13 - Config_Intake_View'!M303</f>
        <v>0</v>
      </c>
      <c r="I303" s="23">
        <f>IF('13 - Config_Intake_View'!Q303&lt;&gt;"",'13 - Config_Intake_View'!Q303,'12 - Device_Configuration'!BH304)</f>
        <v>0</v>
      </c>
      <c r="J303" s="15" t="str">
        <f>IF('13 - Config_Intake_View'!Q303&lt;&gt;"","PM Approved",IF('12 - Device_Configuration'!BH304&lt;&gt;"","Assumed",""))</f>
        <v/>
      </c>
      <c r="K303" s="23">
        <f>'12 - Device_Configuration'!BG304</f>
        <v>0</v>
      </c>
      <c r="L303" s="15">
        <f>'12 - Device_Configuration'!P304</f>
        <v>0</v>
      </c>
      <c r="M303" s="15">
        <f>'12 - Device_Configuration'!Q304</f>
        <v>0</v>
      </c>
      <c r="N303" s="15" t="str">
        <f>'12 - Device_Configuration'!BK304</f>
        <v/>
      </c>
      <c r="O303" s="23" t="str">
        <f>'12 - Device_Configuration'!BL304</f>
        <v/>
      </c>
      <c r="P303" s="2">
        <f>'12 - Device_Configuration'!BA304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'12 - Device_Configuration'!H305</f>
        <v>0</v>
      </c>
      <c r="B304" s="23">
        <f>'12 - Device_Configuration'!S305</f>
        <v>0</v>
      </c>
      <c r="C304" s="23">
        <f>'12 - Device_Configuration'!T305</f>
        <v>0</v>
      </c>
      <c r="D304" s="15">
        <f>'12 - Device_Configuration'!AJ305</f>
        <v>0</v>
      </c>
      <c r="E304" s="15">
        <f>'12 - Device_Configuration'!J305</f>
        <v>0</v>
      </c>
      <c r="F304" s="23">
        <f>'12 - Device_Configuration'!K305</f>
        <v>0</v>
      </c>
      <c r="G304" s="15">
        <f>'12 - Device_Configuration'!L305</f>
        <v>0</v>
      </c>
      <c r="H304" s="15">
        <f>'13 - Config_Intake_View'!M304</f>
        <v>0</v>
      </c>
      <c r="I304" s="23">
        <f>IF('13 - Config_Intake_View'!Q304&lt;&gt;"",'13 - Config_Intake_View'!Q304,'12 - Device_Configuration'!BH305)</f>
        <v>0</v>
      </c>
      <c r="J304" s="15" t="str">
        <f>IF('13 - Config_Intake_View'!Q304&lt;&gt;"","PM Approved",IF('12 - Device_Configuration'!BH305&lt;&gt;"","Assumed",""))</f>
        <v/>
      </c>
      <c r="K304" s="23">
        <f>'12 - Device_Configuration'!BG305</f>
        <v>0</v>
      </c>
      <c r="L304" s="15">
        <f>'12 - Device_Configuration'!P305</f>
        <v>0</v>
      </c>
      <c r="M304" s="15">
        <f>'12 - Device_Configuration'!Q305</f>
        <v>0</v>
      </c>
      <c r="N304" s="15" t="str">
        <f>'12 - Device_Configuration'!BK305</f>
        <v/>
      </c>
      <c r="O304" s="23" t="str">
        <f>'12 - Device_Configuration'!BL305</f>
        <v/>
      </c>
      <c r="P304" s="2">
        <f>'12 - Device_Configuration'!BA305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'12 - Device_Configuration'!H306</f>
        <v>0</v>
      </c>
      <c r="B305" s="23">
        <f>'12 - Device_Configuration'!S306</f>
        <v>0</v>
      </c>
      <c r="C305" s="23">
        <f>'12 - Device_Configuration'!T306</f>
        <v>0</v>
      </c>
      <c r="D305" s="15">
        <f>'12 - Device_Configuration'!AJ306</f>
        <v>0</v>
      </c>
      <c r="E305" s="15">
        <f>'12 - Device_Configuration'!J306</f>
        <v>0</v>
      </c>
      <c r="F305" s="23">
        <f>'12 - Device_Configuration'!K306</f>
        <v>0</v>
      </c>
      <c r="G305" s="15">
        <f>'12 - Device_Configuration'!L306</f>
        <v>0</v>
      </c>
      <c r="H305" s="15">
        <f>'13 - Config_Intake_View'!M305</f>
        <v>0</v>
      </c>
      <c r="I305" s="23">
        <f>IF('13 - Config_Intake_View'!Q305&lt;&gt;"",'13 - Config_Intake_View'!Q305,'12 - Device_Configuration'!BH306)</f>
        <v>0</v>
      </c>
      <c r="J305" s="15" t="str">
        <f>IF('13 - Config_Intake_View'!Q305&lt;&gt;"","PM Approved",IF('12 - Device_Configuration'!BH306&lt;&gt;"","Assumed",""))</f>
        <v/>
      </c>
      <c r="K305" s="23">
        <f>'12 - Device_Configuration'!BG306</f>
        <v>0</v>
      </c>
      <c r="L305" s="15">
        <f>'12 - Device_Configuration'!P306</f>
        <v>0</v>
      </c>
      <c r="M305" s="15">
        <f>'12 - Device_Configuration'!Q306</f>
        <v>0</v>
      </c>
      <c r="N305" s="15" t="str">
        <f>'12 - Device_Configuration'!BK306</f>
        <v/>
      </c>
      <c r="O305" s="23" t="str">
        <f>'12 - Device_Configuration'!BL306</f>
        <v/>
      </c>
      <c r="P305" s="2">
        <f>'12 - Device_Configuration'!BA306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'12 - Device_Configuration'!H307</f>
        <v>0</v>
      </c>
      <c r="B306" s="23">
        <f>'12 - Device_Configuration'!S307</f>
        <v>0</v>
      </c>
      <c r="C306" s="23">
        <f>'12 - Device_Configuration'!T307</f>
        <v>0</v>
      </c>
      <c r="D306" s="15">
        <f>'12 - Device_Configuration'!AJ307</f>
        <v>0</v>
      </c>
      <c r="E306" s="15">
        <f>'12 - Device_Configuration'!J307</f>
        <v>0</v>
      </c>
      <c r="F306" s="23">
        <f>'12 - Device_Configuration'!K307</f>
        <v>0</v>
      </c>
      <c r="G306" s="15">
        <f>'12 - Device_Configuration'!L307</f>
        <v>0</v>
      </c>
      <c r="H306" s="15">
        <f>'13 - Config_Intake_View'!M306</f>
        <v>0</v>
      </c>
      <c r="I306" s="23">
        <f>IF('13 - Config_Intake_View'!Q306&lt;&gt;"",'13 - Config_Intake_View'!Q306,'12 - Device_Configuration'!BH307)</f>
        <v>0</v>
      </c>
      <c r="J306" s="15" t="str">
        <f>IF('13 - Config_Intake_View'!Q306&lt;&gt;"","PM Approved",IF('12 - Device_Configuration'!BH307&lt;&gt;"","Assumed",""))</f>
        <v/>
      </c>
      <c r="K306" s="23">
        <f>'12 - Device_Configuration'!BG307</f>
        <v>0</v>
      </c>
      <c r="L306" s="15">
        <f>'12 - Device_Configuration'!P307</f>
        <v>0</v>
      </c>
      <c r="M306" s="15">
        <f>'12 - Device_Configuration'!Q307</f>
        <v>0</v>
      </c>
      <c r="N306" s="15" t="str">
        <f>'12 - Device_Configuration'!BK307</f>
        <v/>
      </c>
      <c r="O306" s="23" t="str">
        <f>'12 - Device_Configuration'!BL307</f>
        <v/>
      </c>
      <c r="P306" s="2">
        <f>'12 - Device_Configuration'!BA307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'12 - Device_Configuration'!H308</f>
        <v>0</v>
      </c>
      <c r="B307" s="23">
        <f>'12 - Device_Configuration'!S308</f>
        <v>0</v>
      </c>
      <c r="C307" s="23">
        <f>'12 - Device_Configuration'!T308</f>
        <v>0</v>
      </c>
      <c r="D307" s="15">
        <f>'12 - Device_Configuration'!AJ308</f>
        <v>0</v>
      </c>
      <c r="E307" s="15">
        <f>'12 - Device_Configuration'!J308</f>
        <v>0</v>
      </c>
      <c r="F307" s="23">
        <f>'12 - Device_Configuration'!K308</f>
        <v>0</v>
      </c>
      <c r="G307" s="15">
        <f>'12 - Device_Configuration'!L308</f>
        <v>0</v>
      </c>
      <c r="H307" s="15">
        <f>'13 - Config_Intake_View'!M307</f>
        <v>0</v>
      </c>
      <c r="I307" s="23">
        <f>IF('13 - Config_Intake_View'!Q307&lt;&gt;"",'13 - Config_Intake_View'!Q307,'12 - Device_Configuration'!BH308)</f>
        <v>0</v>
      </c>
      <c r="J307" s="15" t="str">
        <f>IF('13 - Config_Intake_View'!Q307&lt;&gt;"","PM Approved",IF('12 - Device_Configuration'!BH308&lt;&gt;"","Assumed",""))</f>
        <v/>
      </c>
      <c r="K307" s="23">
        <f>'12 - Device_Configuration'!BG308</f>
        <v>0</v>
      </c>
      <c r="L307" s="15">
        <f>'12 - Device_Configuration'!P308</f>
        <v>0</v>
      </c>
      <c r="M307" s="15">
        <f>'12 - Device_Configuration'!Q308</f>
        <v>0</v>
      </c>
      <c r="N307" s="15" t="str">
        <f>'12 - Device_Configuration'!BK308</f>
        <v/>
      </c>
      <c r="O307" s="23" t="str">
        <f>'12 - Device_Configuration'!BL308</f>
        <v/>
      </c>
      <c r="P307" s="2">
        <f>'12 - Device_Configuration'!BA308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'12 - Device_Configuration'!H309</f>
        <v>0</v>
      </c>
      <c r="B308" s="23">
        <f>'12 - Device_Configuration'!S309</f>
        <v>0</v>
      </c>
      <c r="C308" s="23">
        <f>'12 - Device_Configuration'!T309</f>
        <v>0</v>
      </c>
      <c r="D308" s="15">
        <f>'12 - Device_Configuration'!AJ309</f>
        <v>0</v>
      </c>
      <c r="E308" s="15">
        <f>'12 - Device_Configuration'!J309</f>
        <v>0</v>
      </c>
      <c r="F308" s="23">
        <f>'12 - Device_Configuration'!K309</f>
        <v>0</v>
      </c>
      <c r="G308" s="15">
        <f>'12 - Device_Configuration'!L309</f>
        <v>0</v>
      </c>
      <c r="H308" s="15">
        <f>'13 - Config_Intake_View'!M308</f>
        <v>0</v>
      </c>
      <c r="I308" s="23">
        <f>IF('13 - Config_Intake_View'!Q308&lt;&gt;"",'13 - Config_Intake_View'!Q308,'12 - Device_Configuration'!BH309)</f>
        <v>0</v>
      </c>
      <c r="J308" s="15" t="str">
        <f>IF('13 - Config_Intake_View'!Q308&lt;&gt;"","PM Approved",IF('12 - Device_Configuration'!BH309&lt;&gt;"","Assumed",""))</f>
        <v/>
      </c>
      <c r="K308" s="23">
        <f>'12 - Device_Configuration'!BG309</f>
        <v>0</v>
      </c>
      <c r="L308" s="15">
        <f>'12 - Device_Configuration'!P309</f>
        <v>0</v>
      </c>
      <c r="M308" s="15">
        <f>'12 - Device_Configuration'!Q309</f>
        <v>0</v>
      </c>
      <c r="N308" s="15" t="str">
        <f>'12 - Device_Configuration'!BK309</f>
        <v/>
      </c>
      <c r="O308" s="23" t="str">
        <f>'12 - Device_Configuration'!BL309</f>
        <v/>
      </c>
      <c r="P308" s="2">
        <f>'12 - Device_Configuration'!BA309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'12 - Device_Configuration'!H310</f>
        <v>0</v>
      </c>
      <c r="B309" s="23">
        <f>'12 - Device_Configuration'!S310</f>
        <v>0</v>
      </c>
      <c r="C309" s="23">
        <f>'12 - Device_Configuration'!T310</f>
        <v>0</v>
      </c>
      <c r="D309" s="15">
        <f>'12 - Device_Configuration'!AJ310</f>
        <v>0</v>
      </c>
      <c r="E309" s="15">
        <f>'12 - Device_Configuration'!J310</f>
        <v>0</v>
      </c>
      <c r="F309" s="23">
        <f>'12 - Device_Configuration'!K310</f>
        <v>0</v>
      </c>
      <c r="G309" s="15">
        <f>'12 - Device_Configuration'!L310</f>
        <v>0</v>
      </c>
      <c r="H309" s="15">
        <f>'13 - Config_Intake_View'!M309</f>
        <v>0</v>
      </c>
      <c r="I309" s="23">
        <f>IF('13 - Config_Intake_View'!Q309&lt;&gt;"",'13 - Config_Intake_View'!Q309,'12 - Device_Configuration'!BH310)</f>
        <v>0</v>
      </c>
      <c r="J309" s="15" t="str">
        <f>IF('13 - Config_Intake_View'!Q309&lt;&gt;"","PM Approved",IF('12 - Device_Configuration'!BH310&lt;&gt;"","Assumed",""))</f>
        <v/>
      </c>
      <c r="K309" s="23">
        <f>'12 - Device_Configuration'!BG310</f>
        <v>0</v>
      </c>
      <c r="L309" s="15">
        <f>'12 - Device_Configuration'!P310</f>
        <v>0</v>
      </c>
      <c r="M309" s="15">
        <f>'12 - Device_Configuration'!Q310</f>
        <v>0</v>
      </c>
      <c r="N309" s="15" t="str">
        <f>'12 - Device_Configuration'!BK310</f>
        <v/>
      </c>
      <c r="O309" s="23" t="str">
        <f>'12 - Device_Configuration'!BL310</f>
        <v/>
      </c>
      <c r="P309" s="2">
        <f>'12 - Device_Configuration'!BA310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'12 - Device_Configuration'!H311</f>
        <v>0</v>
      </c>
      <c r="B310" s="23">
        <f>'12 - Device_Configuration'!S311</f>
        <v>0</v>
      </c>
      <c r="C310" s="23">
        <f>'12 - Device_Configuration'!T311</f>
        <v>0</v>
      </c>
      <c r="D310" s="15">
        <f>'12 - Device_Configuration'!AJ311</f>
        <v>0</v>
      </c>
      <c r="E310" s="15">
        <f>'12 - Device_Configuration'!J311</f>
        <v>0</v>
      </c>
      <c r="F310" s="23">
        <f>'12 - Device_Configuration'!K311</f>
        <v>0</v>
      </c>
      <c r="G310" s="15">
        <f>'12 - Device_Configuration'!L311</f>
        <v>0</v>
      </c>
      <c r="H310" s="15">
        <f>'13 - Config_Intake_View'!M310</f>
        <v>0</v>
      </c>
      <c r="I310" s="23">
        <f>IF('13 - Config_Intake_View'!Q310&lt;&gt;"",'13 - Config_Intake_View'!Q310,'12 - Device_Configuration'!BH311)</f>
        <v>0</v>
      </c>
      <c r="J310" s="15" t="str">
        <f>IF('13 - Config_Intake_View'!Q310&lt;&gt;"","PM Approved",IF('12 - Device_Configuration'!BH311&lt;&gt;"","Assumed",""))</f>
        <v/>
      </c>
      <c r="K310" s="23">
        <f>'12 - Device_Configuration'!BG311</f>
        <v>0</v>
      </c>
      <c r="L310" s="15">
        <f>'12 - Device_Configuration'!P311</f>
        <v>0</v>
      </c>
      <c r="M310" s="15">
        <f>'12 - Device_Configuration'!Q311</f>
        <v>0</v>
      </c>
      <c r="N310" s="15" t="str">
        <f>'12 - Device_Configuration'!BK311</f>
        <v/>
      </c>
      <c r="O310" s="23" t="str">
        <f>'12 - Device_Configuration'!BL311</f>
        <v/>
      </c>
      <c r="P310" s="2">
        <f>'12 - Device_Configuration'!BA311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'12 - Device_Configuration'!H312</f>
        <v>0</v>
      </c>
      <c r="B311" s="23">
        <f>'12 - Device_Configuration'!S312</f>
        <v>0</v>
      </c>
      <c r="C311" s="23">
        <f>'12 - Device_Configuration'!T312</f>
        <v>0</v>
      </c>
      <c r="D311" s="15">
        <f>'12 - Device_Configuration'!AJ312</f>
        <v>0</v>
      </c>
      <c r="E311" s="15">
        <f>'12 - Device_Configuration'!J312</f>
        <v>0</v>
      </c>
      <c r="F311" s="23">
        <f>'12 - Device_Configuration'!K312</f>
        <v>0</v>
      </c>
      <c r="G311" s="15">
        <f>'12 - Device_Configuration'!L312</f>
        <v>0</v>
      </c>
      <c r="H311" s="15">
        <f>'13 - Config_Intake_View'!M311</f>
        <v>0</v>
      </c>
      <c r="I311" s="23">
        <f>IF('13 - Config_Intake_View'!Q311&lt;&gt;"",'13 - Config_Intake_View'!Q311,'12 - Device_Configuration'!BH312)</f>
        <v>0</v>
      </c>
      <c r="J311" s="15" t="str">
        <f>IF('13 - Config_Intake_View'!Q311&lt;&gt;"","PM Approved",IF('12 - Device_Configuration'!BH312&lt;&gt;"","Assumed",""))</f>
        <v/>
      </c>
      <c r="K311" s="23">
        <f>'12 - Device_Configuration'!BG312</f>
        <v>0</v>
      </c>
      <c r="L311" s="15">
        <f>'12 - Device_Configuration'!P312</f>
        <v>0</v>
      </c>
      <c r="M311" s="15">
        <f>'12 - Device_Configuration'!Q312</f>
        <v>0</v>
      </c>
      <c r="N311" s="15" t="str">
        <f>'12 - Device_Configuration'!BK312</f>
        <v/>
      </c>
      <c r="O311" s="23" t="str">
        <f>'12 - Device_Configuration'!BL312</f>
        <v/>
      </c>
      <c r="P311" s="2">
        <f>'12 - Device_Configuration'!BA312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'12 - Device_Configuration'!H313</f>
        <v>0</v>
      </c>
      <c r="B312" s="23">
        <f>'12 - Device_Configuration'!S313</f>
        <v>0</v>
      </c>
      <c r="C312" s="23">
        <f>'12 - Device_Configuration'!T313</f>
        <v>0</v>
      </c>
      <c r="D312" s="15">
        <f>'12 - Device_Configuration'!AJ313</f>
        <v>0</v>
      </c>
      <c r="E312" s="15">
        <f>'12 - Device_Configuration'!J313</f>
        <v>0</v>
      </c>
      <c r="F312" s="23">
        <f>'12 - Device_Configuration'!K313</f>
        <v>0</v>
      </c>
      <c r="G312" s="15">
        <f>'12 - Device_Configuration'!L313</f>
        <v>0</v>
      </c>
      <c r="H312" s="15">
        <f>'13 - Config_Intake_View'!M312</f>
        <v>0</v>
      </c>
      <c r="I312" s="23">
        <f>IF('13 - Config_Intake_View'!Q312&lt;&gt;"",'13 - Config_Intake_View'!Q312,'12 - Device_Configuration'!BH313)</f>
        <v>0</v>
      </c>
      <c r="J312" s="15" t="str">
        <f>IF('13 - Config_Intake_View'!Q312&lt;&gt;"","PM Approved",IF('12 - Device_Configuration'!BH313&lt;&gt;"","Assumed",""))</f>
        <v/>
      </c>
      <c r="K312" s="23">
        <f>'12 - Device_Configuration'!BG313</f>
        <v>0</v>
      </c>
      <c r="L312" s="15">
        <f>'12 - Device_Configuration'!P313</f>
        <v>0</v>
      </c>
      <c r="M312" s="15">
        <f>'12 - Device_Configuration'!Q313</f>
        <v>0</v>
      </c>
      <c r="N312" s="15" t="str">
        <f>'12 - Device_Configuration'!BK313</f>
        <v/>
      </c>
      <c r="O312" s="23" t="str">
        <f>'12 - Device_Configuration'!BL313</f>
        <v/>
      </c>
      <c r="P312" s="2">
        <f>'12 - Device_Configuration'!BA313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'12 - Device_Configuration'!H314</f>
        <v>0</v>
      </c>
      <c r="B313" s="23">
        <f>'12 - Device_Configuration'!S314</f>
        <v>0</v>
      </c>
      <c r="C313" s="23">
        <f>'12 - Device_Configuration'!T314</f>
        <v>0</v>
      </c>
      <c r="D313" s="15">
        <f>'12 - Device_Configuration'!AJ314</f>
        <v>0</v>
      </c>
      <c r="E313" s="15">
        <f>'12 - Device_Configuration'!J314</f>
        <v>0</v>
      </c>
      <c r="F313" s="23">
        <f>'12 - Device_Configuration'!K314</f>
        <v>0</v>
      </c>
      <c r="G313" s="15">
        <f>'12 - Device_Configuration'!L314</f>
        <v>0</v>
      </c>
      <c r="H313" s="15">
        <f>'13 - Config_Intake_View'!M313</f>
        <v>0</v>
      </c>
      <c r="I313" s="23">
        <f>IF('13 - Config_Intake_View'!Q313&lt;&gt;"",'13 - Config_Intake_View'!Q313,'12 - Device_Configuration'!BH314)</f>
        <v>0</v>
      </c>
      <c r="J313" s="15" t="str">
        <f>IF('13 - Config_Intake_View'!Q313&lt;&gt;"","PM Approved",IF('12 - Device_Configuration'!BH314&lt;&gt;"","Assumed",""))</f>
        <v/>
      </c>
      <c r="K313" s="23">
        <f>'12 - Device_Configuration'!BG314</f>
        <v>0</v>
      </c>
      <c r="L313" s="15">
        <f>'12 - Device_Configuration'!P314</f>
        <v>0</v>
      </c>
      <c r="M313" s="15">
        <f>'12 - Device_Configuration'!Q314</f>
        <v>0</v>
      </c>
      <c r="N313" s="15" t="str">
        <f>'12 - Device_Configuration'!BK314</f>
        <v/>
      </c>
      <c r="O313" s="23" t="str">
        <f>'12 - Device_Configuration'!BL314</f>
        <v/>
      </c>
      <c r="P313" s="2">
        <f>'12 - Device_Configuration'!BA314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'12 - Device_Configuration'!H315</f>
        <v>0</v>
      </c>
      <c r="B314" s="23">
        <f>'12 - Device_Configuration'!S315</f>
        <v>0</v>
      </c>
      <c r="C314" s="23">
        <f>'12 - Device_Configuration'!T315</f>
        <v>0</v>
      </c>
      <c r="D314" s="15">
        <f>'12 - Device_Configuration'!AJ315</f>
        <v>0</v>
      </c>
      <c r="E314" s="15">
        <f>'12 - Device_Configuration'!J315</f>
        <v>0</v>
      </c>
      <c r="F314" s="23">
        <f>'12 - Device_Configuration'!K315</f>
        <v>0</v>
      </c>
      <c r="G314" s="15">
        <f>'12 - Device_Configuration'!L315</f>
        <v>0</v>
      </c>
      <c r="H314" s="15">
        <f>'13 - Config_Intake_View'!M314</f>
        <v>0</v>
      </c>
      <c r="I314" s="23">
        <f>IF('13 - Config_Intake_View'!Q314&lt;&gt;"",'13 - Config_Intake_View'!Q314,'12 - Device_Configuration'!BH315)</f>
        <v>0</v>
      </c>
      <c r="J314" s="15" t="str">
        <f>IF('13 - Config_Intake_View'!Q314&lt;&gt;"","PM Approved",IF('12 - Device_Configuration'!BH315&lt;&gt;"","Assumed",""))</f>
        <v/>
      </c>
      <c r="K314" s="23">
        <f>'12 - Device_Configuration'!BG315</f>
        <v>0</v>
      </c>
      <c r="L314" s="15">
        <f>'12 - Device_Configuration'!P315</f>
        <v>0</v>
      </c>
      <c r="M314" s="15">
        <f>'12 - Device_Configuration'!Q315</f>
        <v>0</v>
      </c>
      <c r="N314" s="15" t="str">
        <f>'12 - Device_Configuration'!BK315</f>
        <v/>
      </c>
      <c r="O314" s="23" t="str">
        <f>'12 - Device_Configuration'!BL315</f>
        <v/>
      </c>
      <c r="P314" s="2">
        <f>'12 - Device_Configuration'!BA315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'12 - Device_Configuration'!H316</f>
        <v>0</v>
      </c>
      <c r="B315" s="23">
        <f>'12 - Device_Configuration'!S316</f>
        <v>0</v>
      </c>
      <c r="C315" s="23">
        <f>'12 - Device_Configuration'!T316</f>
        <v>0</v>
      </c>
      <c r="D315" s="15">
        <f>'12 - Device_Configuration'!AJ316</f>
        <v>0</v>
      </c>
      <c r="E315" s="15">
        <f>'12 - Device_Configuration'!J316</f>
        <v>0</v>
      </c>
      <c r="F315" s="23">
        <f>'12 - Device_Configuration'!K316</f>
        <v>0</v>
      </c>
      <c r="G315" s="15">
        <f>'12 - Device_Configuration'!L316</f>
        <v>0</v>
      </c>
      <c r="H315" s="15">
        <f>'13 - Config_Intake_View'!M315</f>
        <v>0</v>
      </c>
      <c r="I315" s="23">
        <f>IF('13 - Config_Intake_View'!Q315&lt;&gt;"",'13 - Config_Intake_View'!Q315,'12 - Device_Configuration'!BH316)</f>
        <v>0</v>
      </c>
      <c r="J315" s="15" t="str">
        <f>IF('13 - Config_Intake_View'!Q315&lt;&gt;"","PM Approved",IF('12 - Device_Configuration'!BH316&lt;&gt;"","Assumed",""))</f>
        <v/>
      </c>
      <c r="K315" s="23">
        <f>'12 - Device_Configuration'!BG316</f>
        <v>0</v>
      </c>
      <c r="L315" s="15">
        <f>'12 - Device_Configuration'!P316</f>
        <v>0</v>
      </c>
      <c r="M315" s="15">
        <f>'12 - Device_Configuration'!Q316</f>
        <v>0</v>
      </c>
      <c r="N315" s="15" t="str">
        <f>'12 - Device_Configuration'!BK316</f>
        <v/>
      </c>
      <c r="O315" s="23" t="str">
        <f>'12 - Device_Configuration'!BL316</f>
        <v/>
      </c>
      <c r="P315" s="2">
        <f>'12 - Device_Configuration'!BA316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'12 - Device_Configuration'!H317</f>
        <v>0</v>
      </c>
      <c r="B316" s="23">
        <f>'12 - Device_Configuration'!S317</f>
        <v>0</v>
      </c>
      <c r="C316" s="23">
        <f>'12 - Device_Configuration'!T317</f>
        <v>0</v>
      </c>
      <c r="D316" s="15">
        <f>'12 - Device_Configuration'!AJ317</f>
        <v>0</v>
      </c>
      <c r="E316" s="15">
        <f>'12 - Device_Configuration'!J317</f>
        <v>0</v>
      </c>
      <c r="F316" s="23">
        <f>'12 - Device_Configuration'!K317</f>
        <v>0</v>
      </c>
      <c r="G316" s="15">
        <f>'12 - Device_Configuration'!L317</f>
        <v>0</v>
      </c>
      <c r="H316" s="15">
        <f>'13 - Config_Intake_View'!M316</f>
        <v>0</v>
      </c>
      <c r="I316" s="23">
        <f>IF('13 - Config_Intake_View'!Q316&lt;&gt;"",'13 - Config_Intake_View'!Q316,'12 - Device_Configuration'!BH317)</f>
        <v>0</v>
      </c>
      <c r="J316" s="15" t="str">
        <f>IF('13 - Config_Intake_View'!Q316&lt;&gt;"","PM Approved",IF('12 - Device_Configuration'!BH317&lt;&gt;"","Assumed",""))</f>
        <v/>
      </c>
      <c r="K316" s="23">
        <f>'12 - Device_Configuration'!BG317</f>
        <v>0</v>
      </c>
      <c r="L316" s="15">
        <f>'12 - Device_Configuration'!P317</f>
        <v>0</v>
      </c>
      <c r="M316" s="15">
        <f>'12 - Device_Configuration'!Q317</f>
        <v>0</v>
      </c>
      <c r="N316" s="15" t="str">
        <f>'12 - Device_Configuration'!BK317</f>
        <v/>
      </c>
      <c r="O316" s="23" t="str">
        <f>'12 - Device_Configuration'!BL317</f>
        <v/>
      </c>
      <c r="P316" s="2">
        <f>'12 - Device_Configuration'!BA317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'12 - Device_Configuration'!H318</f>
        <v>0</v>
      </c>
      <c r="B317" s="23">
        <f>'12 - Device_Configuration'!S318</f>
        <v>0</v>
      </c>
      <c r="C317" s="23">
        <f>'12 - Device_Configuration'!T318</f>
        <v>0</v>
      </c>
      <c r="D317" s="15">
        <f>'12 - Device_Configuration'!AJ318</f>
        <v>0</v>
      </c>
      <c r="E317" s="15">
        <f>'12 - Device_Configuration'!J318</f>
        <v>0</v>
      </c>
      <c r="F317" s="23">
        <f>'12 - Device_Configuration'!K318</f>
        <v>0</v>
      </c>
      <c r="G317" s="15">
        <f>'12 - Device_Configuration'!L318</f>
        <v>0</v>
      </c>
      <c r="H317" s="15">
        <f>'13 - Config_Intake_View'!M317</f>
        <v>0</v>
      </c>
      <c r="I317" s="23">
        <f>IF('13 - Config_Intake_View'!Q317&lt;&gt;"",'13 - Config_Intake_View'!Q317,'12 - Device_Configuration'!BH318)</f>
        <v>0</v>
      </c>
      <c r="J317" s="15" t="str">
        <f>IF('13 - Config_Intake_View'!Q317&lt;&gt;"","PM Approved",IF('12 - Device_Configuration'!BH318&lt;&gt;"","Assumed",""))</f>
        <v/>
      </c>
      <c r="K317" s="23">
        <f>'12 - Device_Configuration'!BG318</f>
        <v>0</v>
      </c>
      <c r="L317" s="15">
        <f>'12 - Device_Configuration'!P318</f>
        <v>0</v>
      </c>
      <c r="M317" s="15">
        <f>'12 - Device_Configuration'!Q318</f>
        <v>0</v>
      </c>
      <c r="N317" s="15" t="str">
        <f>'12 - Device_Configuration'!BK318</f>
        <v/>
      </c>
      <c r="O317" s="23" t="str">
        <f>'12 - Device_Configuration'!BL318</f>
        <v/>
      </c>
      <c r="P317" s="2">
        <f>'12 - Device_Configuration'!BA318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'12 - Device_Configuration'!H319</f>
        <v>0</v>
      </c>
      <c r="B318" s="23">
        <f>'12 - Device_Configuration'!S319</f>
        <v>0</v>
      </c>
      <c r="C318" s="23">
        <f>'12 - Device_Configuration'!T319</f>
        <v>0</v>
      </c>
      <c r="D318" s="15">
        <f>'12 - Device_Configuration'!AJ319</f>
        <v>0</v>
      </c>
      <c r="E318" s="15">
        <f>'12 - Device_Configuration'!J319</f>
        <v>0</v>
      </c>
      <c r="F318" s="23">
        <f>'12 - Device_Configuration'!K319</f>
        <v>0</v>
      </c>
      <c r="G318" s="15">
        <f>'12 - Device_Configuration'!L319</f>
        <v>0</v>
      </c>
      <c r="H318" s="15">
        <f>'13 - Config_Intake_View'!M318</f>
        <v>0</v>
      </c>
      <c r="I318" s="23">
        <f>IF('13 - Config_Intake_View'!Q318&lt;&gt;"",'13 - Config_Intake_View'!Q318,'12 - Device_Configuration'!BH319)</f>
        <v>0</v>
      </c>
      <c r="J318" s="15" t="str">
        <f>IF('13 - Config_Intake_View'!Q318&lt;&gt;"","PM Approved",IF('12 - Device_Configuration'!BH319&lt;&gt;"","Assumed",""))</f>
        <v/>
      </c>
      <c r="K318" s="23">
        <f>'12 - Device_Configuration'!BG319</f>
        <v>0</v>
      </c>
      <c r="L318" s="15">
        <f>'12 - Device_Configuration'!P319</f>
        <v>0</v>
      </c>
      <c r="M318" s="15">
        <f>'12 - Device_Configuration'!Q319</f>
        <v>0</v>
      </c>
      <c r="N318" s="15" t="str">
        <f>'12 - Device_Configuration'!BK319</f>
        <v/>
      </c>
      <c r="O318" s="23" t="str">
        <f>'12 - Device_Configuration'!BL319</f>
        <v/>
      </c>
      <c r="P318" s="2">
        <f>'12 - Device_Configuration'!BA319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'12 - Device_Configuration'!H320</f>
        <v>0</v>
      </c>
      <c r="B319" s="23">
        <f>'12 - Device_Configuration'!S320</f>
        <v>0</v>
      </c>
      <c r="C319" s="23">
        <f>'12 - Device_Configuration'!T320</f>
        <v>0</v>
      </c>
      <c r="D319" s="15">
        <f>'12 - Device_Configuration'!AJ320</f>
        <v>0</v>
      </c>
      <c r="E319" s="15">
        <f>'12 - Device_Configuration'!J320</f>
        <v>0</v>
      </c>
      <c r="F319" s="23">
        <f>'12 - Device_Configuration'!K320</f>
        <v>0</v>
      </c>
      <c r="G319" s="15">
        <f>'12 - Device_Configuration'!L320</f>
        <v>0</v>
      </c>
      <c r="H319" s="15">
        <f>'13 - Config_Intake_View'!M319</f>
        <v>0</v>
      </c>
      <c r="I319" s="23">
        <f>IF('13 - Config_Intake_View'!Q319&lt;&gt;"",'13 - Config_Intake_View'!Q319,'12 - Device_Configuration'!BH320)</f>
        <v>0</v>
      </c>
      <c r="J319" s="15" t="str">
        <f>IF('13 - Config_Intake_View'!Q319&lt;&gt;"","PM Approved",IF('12 - Device_Configuration'!BH320&lt;&gt;"","Assumed",""))</f>
        <v/>
      </c>
      <c r="K319" s="23">
        <f>'12 - Device_Configuration'!BG320</f>
        <v>0</v>
      </c>
      <c r="L319" s="15">
        <f>'12 - Device_Configuration'!P320</f>
        <v>0</v>
      </c>
      <c r="M319" s="15">
        <f>'12 - Device_Configuration'!Q320</f>
        <v>0</v>
      </c>
      <c r="N319" s="15" t="str">
        <f>'12 - Device_Configuration'!BK320</f>
        <v/>
      </c>
      <c r="O319" s="23" t="str">
        <f>'12 - Device_Configuration'!BL320</f>
        <v/>
      </c>
      <c r="P319" s="2">
        <f>'12 - Device_Configuration'!BA320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'12 - Device_Configuration'!H321</f>
        <v>0</v>
      </c>
      <c r="B320" s="23">
        <f>'12 - Device_Configuration'!S321</f>
        <v>0</v>
      </c>
      <c r="C320" s="23">
        <f>'12 - Device_Configuration'!T321</f>
        <v>0</v>
      </c>
      <c r="D320" s="15">
        <f>'12 - Device_Configuration'!AJ321</f>
        <v>0</v>
      </c>
      <c r="E320" s="15">
        <f>'12 - Device_Configuration'!J321</f>
        <v>0</v>
      </c>
      <c r="F320" s="23">
        <f>'12 - Device_Configuration'!K321</f>
        <v>0</v>
      </c>
      <c r="G320" s="15">
        <f>'12 - Device_Configuration'!L321</f>
        <v>0</v>
      </c>
      <c r="H320" s="15">
        <f>'13 - Config_Intake_View'!M320</f>
        <v>0</v>
      </c>
      <c r="I320" s="23">
        <f>IF('13 - Config_Intake_View'!Q320&lt;&gt;"",'13 - Config_Intake_View'!Q320,'12 - Device_Configuration'!BH321)</f>
        <v>0</v>
      </c>
      <c r="J320" s="15" t="str">
        <f>IF('13 - Config_Intake_View'!Q320&lt;&gt;"","PM Approved",IF('12 - Device_Configuration'!BH321&lt;&gt;"","Assumed",""))</f>
        <v/>
      </c>
      <c r="K320" s="23">
        <f>'12 - Device_Configuration'!BG321</f>
        <v>0</v>
      </c>
      <c r="L320" s="15">
        <f>'12 - Device_Configuration'!P321</f>
        <v>0</v>
      </c>
      <c r="M320" s="15">
        <f>'12 - Device_Configuration'!Q321</f>
        <v>0</v>
      </c>
      <c r="N320" s="15" t="str">
        <f>'12 - Device_Configuration'!BK321</f>
        <v/>
      </c>
      <c r="O320" s="23" t="str">
        <f>'12 - Device_Configuration'!BL321</f>
        <v/>
      </c>
      <c r="P320" s="2">
        <f>'12 - Device_Configuration'!BA321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'12 - Device_Configuration'!H322</f>
        <v>0</v>
      </c>
      <c r="B321" s="23">
        <f>'12 - Device_Configuration'!S322</f>
        <v>0</v>
      </c>
      <c r="C321" s="23">
        <f>'12 - Device_Configuration'!T322</f>
        <v>0</v>
      </c>
      <c r="D321" s="15">
        <f>'12 - Device_Configuration'!AJ322</f>
        <v>0</v>
      </c>
      <c r="E321" s="15">
        <f>'12 - Device_Configuration'!J322</f>
        <v>0</v>
      </c>
      <c r="F321" s="23">
        <f>'12 - Device_Configuration'!K322</f>
        <v>0</v>
      </c>
      <c r="G321" s="15">
        <f>'12 - Device_Configuration'!L322</f>
        <v>0</v>
      </c>
      <c r="H321" s="15">
        <f>'13 - Config_Intake_View'!M321</f>
        <v>0</v>
      </c>
      <c r="I321" s="23">
        <f>IF('13 - Config_Intake_View'!Q321&lt;&gt;"",'13 - Config_Intake_View'!Q321,'12 - Device_Configuration'!BH322)</f>
        <v>0</v>
      </c>
      <c r="J321" s="15" t="str">
        <f>IF('13 - Config_Intake_View'!Q321&lt;&gt;"","PM Approved",IF('12 - Device_Configuration'!BH322&lt;&gt;"","Assumed",""))</f>
        <v/>
      </c>
      <c r="K321" s="23">
        <f>'12 - Device_Configuration'!BG322</f>
        <v>0</v>
      </c>
      <c r="L321" s="15">
        <f>'12 - Device_Configuration'!P322</f>
        <v>0</v>
      </c>
      <c r="M321" s="15">
        <f>'12 - Device_Configuration'!Q322</f>
        <v>0</v>
      </c>
      <c r="N321" s="15" t="str">
        <f>'12 - Device_Configuration'!BK322</f>
        <v/>
      </c>
      <c r="O321" s="23" t="str">
        <f>'12 - Device_Configuration'!BL322</f>
        <v/>
      </c>
      <c r="P321" s="2">
        <f>'12 - Device_Configuration'!BA322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'12 - Device_Configuration'!H323</f>
        <v>0</v>
      </c>
      <c r="B322" s="23">
        <f>'12 - Device_Configuration'!S323</f>
        <v>0</v>
      </c>
      <c r="C322" s="23">
        <f>'12 - Device_Configuration'!T323</f>
        <v>0</v>
      </c>
      <c r="D322" s="15">
        <f>'12 - Device_Configuration'!AJ323</f>
        <v>0</v>
      </c>
      <c r="E322" s="15">
        <f>'12 - Device_Configuration'!J323</f>
        <v>0</v>
      </c>
      <c r="F322" s="23">
        <f>'12 - Device_Configuration'!K323</f>
        <v>0</v>
      </c>
      <c r="G322" s="15">
        <f>'12 - Device_Configuration'!L323</f>
        <v>0</v>
      </c>
      <c r="H322" s="15">
        <f>'13 - Config_Intake_View'!M322</f>
        <v>0</v>
      </c>
      <c r="I322" s="23">
        <f>IF('13 - Config_Intake_View'!Q322&lt;&gt;"",'13 - Config_Intake_View'!Q322,'12 - Device_Configuration'!BH323)</f>
        <v>0</v>
      </c>
      <c r="J322" s="15" t="str">
        <f>IF('13 - Config_Intake_View'!Q322&lt;&gt;"","PM Approved",IF('12 - Device_Configuration'!BH323&lt;&gt;"","Assumed",""))</f>
        <v/>
      </c>
      <c r="K322" s="23">
        <f>'12 - Device_Configuration'!BG323</f>
        <v>0</v>
      </c>
      <c r="L322" s="15">
        <f>'12 - Device_Configuration'!P323</f>
        <v>0</v>
      </c>
      <c r="M322" s="15">
        <f>'12 - Device_Configuration'!Q323</f>
        <v>0</v>
      </c>
      <c r="N322" s="15" t="str">
        <f>'12 - Device_Configuration'!BK323</f>
        <v/>
      </c>
      <c r="O322" s="23" t="str">
        <f>'12 - Device_Configuration'!BL323</f>
        <v/>
      </c>
      <c r="P322" s="2">
        <f>'12 - Device_Configuration'!BA323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'12 - Device_Configuration'!H324</f>
        <v>0</v>
      </c>
      <c r="B323" s="23">
        <f>'12 - Device_Configuration'!S324</f>
        <v>0</v>
      </c>
      <c r="C323" s="23">
        <f>'12 - Device_Configuration'!T324</f>
        <v>0</v>
      </c>
      <c r="D323" s="15">
        <f>'12 - Device_Configuration'!AJ324</f>
        <v>0</v>
      </c>
      <c r="E323" s="15">
        <f>'12 - Device_Configuration'!J324</f>
        <v>0</v>
      </c>
      <c r="F323" s="23">
        <f>'12 - Device_Configuration'!K324</f>
        <v>0</v>
      </c>
      <c r="G323" s="15">
        <f>'12 - Device_Configuration'!L324</f>
        <v>0</v>
      </c>
      <c r="H323" s="15">
        <f>'13 - Config_Intake_View'!M323</f>
        <v>0</v>
      </c>
      <c r="I323" s="23">
        <f>IF('13 - Config_Intake_View'!Q323&lt;&gt;"",'13 - Config_Intake_View'!Q323,'12 - Device_Configuration'!BH324)</f>
        <v>0</v>
      </c>
      <c r="J323" s="15" t="str">
        <f>IF('13 - Config_Intake_View'!Q323&lt;&gt;"","PM Approved",IF('12 - Device_Configuration'!BH324&lt;&gt;"","Assumed",""))</f>
        <v/>
      </c>
      <c r="K323" s="23">
        <f>'12 - Device_Configuration'!BG324</f>
        <v>0</v>
      </c>
      <c r="L323" s="15">
        <f>'12 - Device_Configuration'!P324</f>
        <v>0</v>
      </c>
      <c r="M323" s="15">
        <f>'12 - Device_Configuration'!Q324</f>
        <v>0</v>
      </c>
      <c r="N323" s="15" t="str">
        <f>'12 - Device_Configuration'!BK324</f>
        <v/>
      </c>
      <c r="O323" s="23" t="str">
        <f>'12 - Device_Configuration'!BL324</f>
        <v/>
      </c>
      <c r="P323" s="2">
        <f>'12 - Device_Configuration'!BA324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'12 - Device_Configuration'!H325</f>
        <v>0</v>
      </c>
      <c r="B324" s="23">
        <f>'12 - Device_Configuration'!S325</f>
        <v>0</v>
      </c>
      <c r="C324" s="23">
        <f>'12 - Device_Configuration'!T325</f>
        <v>0</v>
      </c>
      <c r="D324" s="15">
        <f>'12 - Device_Configuration'!AJ325</f>
        <v>0</v>
      </c>
      <c r="E324" s="15">
        <f>'12 - Device_Configuration'!J325</f>
        <v>0</v>
      </c>
      <c r="F324" s="23">
        <f>'12 - Device_Configuration'!K325</f>
        <v>0</v>
      </c>
      <c r="G324" s="15">
        <f>'12 - Device_Configuration'!L325</f>
        <v>0</v>
      </c>
      <c r="H324" s="15">
        <f>'13 - Config_Intake_View'!M324</f>
        <v>0</v>
      </c>
      <c r="I324" s="23">
        <f>IF('13 - Config_Intake_View'!Q324&lt;&gt;"",'13 - Config_Intake_View'!Q324,'12 - Device_Configuration'!BH325)</f>
        <v>0</v>
      </c>
      <c r="J324" s="15" t="str">
        <f>IF('13 - Config_Intake_View'!Q324&lt;&gt;"","PM Approved",IF('12 - Device_Configuration'!BH325&lt;&gt;"","Assumed",""))</f>
        <v/>
      </c>
      <c r="K324" s="23">
        <f>'12 - Device_Configuration'!BG325</f>
        <v>0</v>
      </c>
      <c r="L324" s="15">
        <f>'12 - Device_Configuration'!P325</f>
        <v>0</v>
      </c>
      <c r="M324" s="15">
        <f>'12 - Device_Configuration'!Q325</f>
        <v>0</v>
      </c>
      <c r="N324" s="15" t="str">
        <f>'12 - Device_Configuration'!BK325</f>
        <v/>
      </c>
      <c r="O324" s="23" t="str">
        <f>'12 - Device_Configuration'!BL325</f>
        <v/>
      </c>
      <c r="P324" s="2">
        <f>'12 - Device_Configuration'!BA325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'12 - Device_Configuration'!H326</f>
        <v>0</v>
      </c>
      <c r="B325" s="23">
        <f>'12 - Device_Configuration'!S326</f>
        <v>0</v>
      </c>
      <c r="C325" s="23">
        <f>'12 - Device_Configuration'!T326</f>
        <v>0</v>
      </c>
      <c r="D325" s="15">
        <f>'12 - Device_Configuration'!AJ326</f>
        <v>0</v>
      </c>
      <c r="E325" s="15">
        <f>'12 - Device_Configuration'!J326</f>
        <v>0</v>
      </c>
      <c r="F325" s="23">
        <f>'12 - Device_Configuration'!K326</f>
        <v>0</v>
      </c>
      <c r="G325" s="15">
        <f>'12 - Device_Configuration'!L326</f>
        <v>0</v>
      </c>
      <c r="H325" s="15">
        <f>'13 - Config_Intake_View'!M325</f>
        <v>0</v>
      </c>
      <c r="I325" s="23">
        <f>IF('13 - Config_Intake_View'!Q325&lt;&gt;"",'13 - Config_Intake_View'!Q325,'12 - Device_Configuration'!BH326)</f>
        <v>0</v>
      </c>
      <c r="J325" s="15" t="str">
        <f>IF('13 - Config_Intake_View'!Q325&lt;&gt;"","PM Approved",IF('12 - Device_Configuration'!BH326&lt;&gt;"","Assumed",""))</f>
        <v/>
      </c>
      <c r="K325" s="23">
        <f>'12 - Device_Configuration'!BG326</f>
        <v>0</v>
      </c>
      <c r="L325" s="15">
        <f>'12 - Device_Configuration'!P326</f>
        <v>0</v>
      </c>
      <c r="M325" s="15">
        <f>'12 - Device_Configuration'!Q326</f>
        <v>0</v>
      </c>
      <c r="N325" s="15" t="str">
        <f>'12 - Device_Configuration'!BK326</f>
        <v/>
      </c>
      <c r="O325" s="23" t="str">
        <f>'12 - Device_Configuration'!BL326</f>
        <v/>
      </c>
      <c r="P325" s="2">
        <f>'12 - Device_Configuration'!BA326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'12 - Device_Configuration'!H327</f>
        <v>0</v>
      </c>
      <c r="B326" s="23">
        <f>'12 - Device_Configuration'!S327</f>
        <v>0</v>
      </c>
      <c r="C326" s="23">
        <f>'12 - Device_Configuration'!T327</f>
        <v>0</v>
      </c>
      <c r="D326" s="15">
        <f>'12 - Device_Configuration'!AJ327</f>
        <v>0</v>
      </c>
      <c r="E326" s="15">
        <f>'12 - Device_Configuration'!J327</f>
        <v>0</v>
      </c>
      <c r="F326" s="23">
        <f>'12 - Device_Configuration'!K327</f>
        <v>0</v>
      </c>
      <c r="G326" s="15">
        <f>'12 - Device_Configuration'!L327</f>
        <v>0</v>
      </c>
      <c r="H326" s="15">
        <f>'13 - Config_Intake_View'!M326</f>
        <v>0</v>
      </c>
      <c r="I326" s="23">
        <f>IF('13 - Config_Intake_View'!Q326&lt;&gt;"",'13 - Config_Intake_View'!Q326,'12 - Device_Configuration'!BH327)</f>
        <v>0</v>
      </c>
      <c r="J326" s="15" t="str">
        <f>IF('13 - Config_Intake_View'!Q326&lt;&gt;"","PM Approved",IF('12 - Device_Configuration'!BH327&lt;&gt;"","Assumed",""))</f>
        <v/>
      </c>
      <c r="K326" s="23">
        <f>'12 - Device_Configuration'!BG327</f>
        <v>0</v>
      </c>
      <c r="L326" s="15">
        <f>'12 - Device_Configuration'!P327</f>
        <v>0</v>
      </c>
      <c r="M326" s="15">
        <f>'12 - Device_Configuration'!Q327</f>
        <v>0</v>
      </c>
      <c r="N326" s="15" t="str">
        <f>'12 - Device_Configuration'!BK327</f>
        <v/>
      </c>
      <c r="O326" s="23" t="str">
        <f>'12 - Device_Configuration'!BL327</f>
        <v/>
      </c>
      <c r="P326" s="2">
        <f>'12 - Device_Configuration'!BA327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'12 - Device_Configuration'!H328</f>
        <v>0</v>
      </c>
      <c r="B327" s="23">
        <f>'12 - Device_Configuration'!S328</f>
        <v>0</v>
      </c>
      <c r="C327" s="23">
        <f>'12 - Device_Configuration'!T328</f>
        <v>0</v>
      </c>
      <c r="D327" s="15">
        <f>'12 - Device_Configuration'!AJ328</f>
        <v>0</v>
      </c>
      <c r="E327" s="15">
        <f>'12 - Device_Configuration'!J328</f>
        <v>0</v>
      </c>
      <c r="F327" s="23">
        <f>'12 - Device_Configuration'!K328</f>
        <v>0</v>
      </c>
      <c r="G327" s="15">
        <f>'12 - Device_Configuration'!L328</f>
        <v>0</v>
      </c>
      <c r="H327" s="15">
        <f>'13 - Config_Intake_View'!M327</f>
        <v>0</v>
      </c>
      <c r="I327" s="23">
        <f>IF('13 - Config_Intake_View'!Q327&lt;&gt;"",'13 - Config_Intake_View'!Q327,'12 - Device_Configuration'!BH328)</f>
        <v>0</v>
      </c>
      <c r="J327" s="15" t="str">
        <f>IF('13 - Config_Intake_View'!Q327&lt;&gt;"","PM Approved",IF('12 - Device_Configuration'!BH328&lt;&gt;"","Assumed",""))</f>
        <v/>
      </c>
      <c r="K327" s="23">
        <f>'12 - Device_Configuration'!BG328</f>
        <v>0</v>
      </c>
      <c r="L327" s="15">
        <f>'12 - Device_Configuration'!P328</f>
        <v>0</v>
      </c>
      <c r="M327" s="15">
        <f>'12 - Device_Configuration'!Q328</f>
        <v>0</v>
      </c>
      <c r="N327" s="15" t="str">
        <f>'12 - Device_Configuration'!BK328</f>
        <v/>
      </c>
      <c r="O327" s="23" t="str">
        <f>'12 - Device_Configuration'!BL328</f>
        <v/>
      </c>
      <c r="P327" s="2">
        <f>'12 - Device_Configuration'!BA328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'12 - Device_Configuration'!H329</f>
        <v>0</v>
      </c>
      <c r="B328" s="23">
        <f>'12 - Device_Configuration'!S329</f>
        <v>0</v>
      </c>
      <c r="C328" s="23">
        <f>'12 - Device_Configuration'!T329</f>
        <v>0</v>
      </c>
      <c r="D328" s="15">
        <f>'12 - Device_Configuration'!AJ329</f>
        <v>0</v>
      </c>
      <c r="E328" s="15">
        <f>'12 - Device_Configuration'!J329</f>
        <v>0</v>
      </c>
      <c r="F328" s="23">
        <f>'12 - Device_Configuration'!K329</f>
        <v>0</v>
      </c>
      <c r="G328" s="15">
        <f>'12 - Device_Configuration'!L329</f>
        <v>0</v>
      </c>
      <c r="H328" s="15">
        <f>'13 - Config_Intake_View'!M328</f>
        <v>0</v>
      </c>
      <c r="I328" s="23">
        <f>IF('13 - Config_Intake_View'!Q328&lt;&gt;"",'13 - Config_Intake_View'!Q328,'12 - Device_Configuration'!BH329)</f>
        <v>0</v>
      </c>
      <c r="J328" s="15" t="str">
        <f>IF('13 - Config_Intake_View'!Q328&lt;&gt;"","PM Approved",IF('12 - Device_Configuration'!BH329&lt;&gt;"","Assumed",""))</f>
        <v/>
      </c>
      <c r="K328" s="23">
        <f>'12 - Device_Configuration'!BG329</f>
        <v>0</v>
      </c>
      <c r="L328" s="15">
        <f>'12 - Device_Configuration'!P329</f>
        <v>0</v>
      </c>
      <c r="M328" s="15">
        <f>'12 - Device_Configuration'!Q329</f>
        <v>0</v>
      </c>
      <c r="N328" s="15" t="str">
        <f>'12 - Device_Configuration'!BK329</f>
        <v/>
      </c>
      <c r="O328" s="23" t="str">
        <f>'12 - Device_Configuration'!BL329</f>
        <v/>
      </c>
      <c r="P328" s="2">
        <f>'12 - Device_Configuration'!BA329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'12 - Device_Configuration'!H330</f>
        <v>0</v>
      </c>
      <c r="B329" s="23">
        <f>'12 - Device_Configuration'!S330</f>
        <v>0</v>
      </c>
      <c r="C329" s="23">
        <f>'12 - Device_Configuration'!T330</f>
        <v>0</v>
      </c>
      <c r="D329" s="15">
        <f>'12 - Device_Configuration'!AJ330</f>
        <v>0</v>
      </c>
      <c r="E329" s="15">
        <f>'12 - Device_Configuration'!J330</f>
        <v>0</v>
      </c>
      <c r="F329" s="23">
        <f>'12 - Device_Configuration'!K330</f>
        <v>0</v>
      </c>
      <c r="G329" s="15">
        <f>'12 - Device_Configuration'!L330</f>
        <v>0</v>
      </c>
      <c r="H329" s="15">
        <f>'13 - Config_Intake_View'!M329</f>
        <v>0</v>
      </c>
      <c r="I329" s="23">
        <f>IF('13 - Config_Intake_View'!Q329&lt;&gt;"",'13 - Config_Intake_View'!Q329,'12 - Device_Configuration'!BH330)</f>
        <v>0</v>
      </c>
      <c r="J329" s="15" t="str">
        <f>IF('13 - Config_Intake_View'!Q329&lt;&gt;"","PM Approved",IF('12 - Device_Configuration'!BH330&lt;&gt;"","Assumed",""))</f>
        <v/>
      </c>
      <c r="K329" s="23">
        <f>'12 - Device_Configuration'!BG330</f>
        <v>0</v>
      </c>
      <c r="L329" s="15">
        <f>'12 - Device_Configuration'!P330</f>
        <v>0</v>
      </c>
      <c r="M329" s="15">
        <f>'12 - Device_Configuration'!Q330</f>
        <v>0</v>
      </c>
      <c r="N329" s="15" t="str">
        <f>'12 - Device_Configuration'!BK330</f>
        <v/>
      </c>
      <c r="O329" s="23" t="str">
        <f>'12 - Device_Configuration'!BL330</f>
        <v/>
      </c>
      <c r="P329" s="2">
        <f>'12 - Device_Configuration'!BA330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'12 - Device_Configuration'!H331</f>
        <v>0</v>
      </c>
      <c r="B330" s="23">
        <f>'12 - Device_Configuration'!S331</f>
        <v>0</v>
      </c>
      <c r="C330" s="23">
        <f>'12 - Device_Configuration'!T331</f>
        <v>0</v>
      </c>
      <c r="D330" s="15">
        <f>'12 - Device_Configuration'!AJ331</f>
        <v>0</v>
      </c>
      <c r="E330" s="15">
        <f>'12 - Device_Configuration'!J331</f>
        <v>0</v>
      </c>
      <c r="F330" s="23">
        <f>'12 - Device_Configuration'!K331</f>
        <v>0</v>
      </c>
      <c r="G330" s="15">
        <f>'12 - Device_Configuration'!L331</f>
        <v>0</v>
      </c>
      <c r="H330" s="15">
        <f>'13 - Config_Intake_View'!M330</f>
        <v>0</v>
      </c>
      <c r="I330" s="23">
        <f>IF('13 - Config_Intake_View'!Q330&lt;&gt;"",'13 - Config_Intake_View'!Q330,'12 - Device_Configuration'!BH331)</f>
        <v>0</v>
      </c>
      <c r="J330" s="15" t="str">
        <f>IF('13 - Config_Intake_View'!Q330&lt;&gt;"","PM Approved",IF('12 - Device_Configuration'!BH331&lt;&gt;"","Assumed",""))</f>
        <v/>
      </c>
      <c r="K330" s="23">
        <f>'12 - Device_Configuration'!BG331</f>
        <v>0</v>
      </c>
      <c r="L330" s="15">
        <f>'12 - Device_Configuration'!P331</f>
        <v>0</v>
      </c>
      <c r="M330" s="15">
        <f>'12 - Device_Configuration'!Q331</f>
        <v>0</v>
      </c>
      <c r="N330" s="15" t="str">
        <f>'12 - Device_Configuration'!BK331</f>
        <v/>
      </c>
      <c r="O330" s="23" t="str">
        <f>'12 - Device_Configuration'!BL331</f>
        <v/>
      </c>
      <c r="P330" s="2">
        <f>'12 - Device_Configuration'!BA331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'12 - Device_Configuration'!H332</f>
        <v>0</v>
      </c>
      <c r="B331" s="23">
        <f>'12 - Device_Configuration'!S332</f>
        <v>0</v>
      </c>
      <c r="C331" s="23">
        <f>'12 - Device_Configuration'!T332</f>
        <v>0</v>
      </c>
      <c r="D331" s="15">
        <f>'12 - Device_Configuration'!AJ332</f>
        <v>0</v>
      </c>
      <c r="E331" s="15">
        <f>'12 - Device_Configuration'!J332</f>
        <v>0</v>
      </c>
      <c r="F331" s="23">
        <f>'12 - Device_Configuration'!K332</f>
        <v>0</v>
      </c>
      <c r="G331" s="15">
        <f>'12 - Device_Configuration'!L332</f>
        <v>0</v>
      </c>
      <c r="H331" s="15">
        <f>'13 - Config_Intake_View'!M331</f>
        <v>0</v>
      </c>
      <c r="I331" s="23">
        <f>IF('13 - Config_Intake_View'!Q331&lt;&gt;"",'13 - Config_Intake_View'!Q331,'12 - Device_Configuration'!BH332)</f>
        <v>0</v>
      </c>
      <c r="J331" s="15" t="str">
        <f>IF('13 - Config_Intake_View'!Q331&lt;&gt;"","PM Approved",IF('12 - Device_Configuration'!BH332&lt;&gt;"","Assumed",""))</f>
        <v/>
      </c>
      <c r="K331" s="23">
        <f>'12 - Device_Configuration'!BG332</f>
        <v>0</v>
      </c>
      <c r="L331" s="15">
        <f>'12 - Device_Configuration'!P332</f>
        <v>0</v>
      </c>
      <c r="M331" s="15">
        <f>'12 - Device_Configuration'!Q332</f>
        <v>0</v>
      </c>
      <c r="N331" s="15" t="str">
        <f>'12 - Device_Configuration'!BK332</f>
        <v/>
      </c>
      <c r="O331" s="23" t="str">
        <f>'12 - Device_Configuration'!BL332</f>
        <v/>
      </c>
      <c r="P331" s="2">
        <f>'12 - Device_Configuration'!BA332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'12 - Device_Configuration'!H333</f>
        <v>0</v>
      </c>
      <c r="B332" s="23">
        <f>'12 - Device_Configuration'!S333</f>
        <v>0</v>
      </c>
      <c r="C332" s="23">
        <f>'12 - Device_Configuration'!T333</f>
        <v>0</v>
      </c>
      <c r="D332" s="15">
        <f>'12 - Device_Configuration'!AJ333</f>
        <v>0</v>
      </c>
      <c r="E332" s="15">
        <f>'12 - Device_Configuration'!J333</f>
        <v>0</v>
      </c>
      <c r="F332" s="23">
        <f>'12 - Device_Configuration'!K333</f>
        <v>0</v>
      </c>
      <c r="G332" s="15">
        <f>'12 - Device_Configuration'!L333</f>
        <v>0</v>
      </c>
      <c r="H332" s="15">
        <f>'13 - Config_Intake_View'!M332</f>
        <v>0</v>
      </c>
      <c r="I332" s="23">
        <f>IF('13 - Config_Intake_View'!Q332&lt;&gt;"",'13 - Config_Intake_View'!Q332,'12 - Device_Configuration'!BH333)</f>
        <v>0</v>
      </c>
      <c r="J332" s="15" t="str">
        <f>IF('13 - Config_Intake_View'!Q332&lt;&gt;"","PM Approved",IF('12 - Device_Configuration'!BH333&lt;&gt;"","Assumed",""))</f>
        <v/>
      </c>
      <c r="K332" s="23">
        <f>'12 - Device_Configuration'!BG333</f>
        <v>0</v>
      </c>
      <c r="L332" s="15">
        <f>'12 - Device_Configuration'!P333</f>
        <v>0</v>
      </c>
      <c r="M332" s="15">
        <f>'12 - Device_Configuration'!Q333</f>
        <v>0</v>
      </c>
      <c r="N332" s="15" t="str">
        <f>'12 - Device_Configuration'!BK333</f>
        <v/>
      </c>
      <c r="O332" s="23" t="str">
        <f>'12 - Device_Configuration'!BL333</f>
        <v/>
      </c>
      <c r="P332" s="2">
        <f>'12 - Device_Configuration'!BA333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'12 - Device_Configuration'!H334</f>
        <v>0</v>
      </c>
      <c r="B333" s="23">
        <f>'12 - Device_Configuration'!S334</f>
        <v>0</v>
      </c>
      <c r="C333" s="23">
        <f>'12 - Device_Configuration'!T334</f>
        <v>0</v>
      </c>
      <c r="D333" s="15">
        <f>'12 - Device_Configuration'!AJ334</f>
        <v>0</v>
      </c>
      <c r="E333" s="15">
        <f>'12 - Device_Configuration'!J334</f>
        <v>0</v>
      </c>
      <c r="F333" s="23">
        <f>'12 - Device_Configuration'!K334</f>
        <v>0</v>
      </c>
      <c r="G333" s="15">
        <f>'12 - Device_Configuration'!L334</f>
        <v>0</v>
      </c>
      <c r="H333" s="15">
        <f>'13 - Config_Intake_View'!M333</f>
        <v>0</v>
      </c>
      <c r="I333" s="23">
        <f>IF('13 - Config_Intake_View'!Q333&lt;&gt;"",'13 - Config_Intake_View'!Q333,'12 - Device_Configuration'!BH334)</f>
        <v>0</v>
      </c>
      <c r="J333" s="15" t="str">
        <f>IF('13 - Config_Intake_View'!Q333&lt;&gt;"","PM Approved",IF('12 - Device_Configuration'!BH334&lt;&gt;"","Assumed",""))</f>
        <v/>
      </c>
      <c r="K333" s="23">
        <f>'12 - Device_Configuration'!BG334</f>
        <v>0</v>
      </c>
      <c r="L333" s="15">
        <f>'12 - Device_Configuration'!P334</f>
        <v>0</v>
      </c>
      <c r="M333" s="15">
        <f>'12 - Device_Configuration'!Q334</f>
        <v>0</v>
      </c>
      <c r="N333" s="15" t="str">
        <f>'12 - Device_Configuration'!BK334</f>
        <v/>
      </c>
      <c r="O333" s="23" t="str">
        <f>'12 - Device_Configuration'!BL334</f>
        <v/>
      </c>
      <c r="P333" s="2">
        <f>'12 - Device_Configuration'!BA334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'12 - Device_Configuration'!H335</f>
        <v>0</v>
      </c>
      <c r="B334" s="23">
        <f>'12 - Device_Configuration'!S335</f>
        <v>0</v>
      </c>
      <c r="C334" s="23">
        <f>'12 - Device_Configuration'!T335</f>
        <v>0</v>
      </c>
      <c r="D334" s="15">
        <f>'12 - Device_Configuration'!AJ335</f>
        <v>0</v>
      </c>
      <c r="E334" s="15">
        <f>'12 - Device_Configuration'!J335</f>
        <v>0</v>
      </c>
      <c r="F334" s="23">
        <f>'12 - Device_Configuration'!K335</f>
        <v>0</v>
      </c>
      <c r="G334" s="15">
        <f>'12 - Device_Configuration'!L335</f>
        <v>0</v>
      </c>
      <c r="H334" s="15">
        <f>'13 - Config_Intake_View'!M334</f>
        <v>0</v>
      </c>
      <c r="I334" s="23">
        <f>IF('13 - Config_Intake_View'!Q334&lt;&gt;"",'13 - Config_Intake_View'!Q334,'12 - Device_Configuration'!BH335)</f>
        <v>0</v>
      </c>
      <c r="J334" s="15" t="str">
        <f>IF('13 - Config_Intake_View'!Q334&lt;&gt;"","PM Approved",IF('12 - Device_Configuration'!BH335&lt;&gt;"","Assumed",""))</f>
        <v/>
      </c>
      <c r="K334" s="23">
        <f>'12 - Device_Configuration'!BG335</f>
        <v>0</v>
      </c>
      <c r="L334" s="15">
        <f>'12 - Device_Configuration'!P335</f>
        <v>0</v>
      </c>
      <c r="M334" s="15">
        <f>'12 - Device_Configuration'!Q335</f>
        <v>0</v>
      </c>
      <c r="N334" s="15" t="str">
        <f>'12 - Device_Configuration'!BK335</f>
        <v/>
      </c>
      <c r="O334" s="23" t="str">
        <f>'12 - Device_Configuration'!BL335</f>
        <v/>
      </c>
      <c r="P334" s="2">
        <f>'12 - Device_Configuration'!BA335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'12 - Device_Configuration'!H336</f>
        <v>0</v>
      </c>
      <c r="B335" s="23">
        <f>'12 - Device_Configuration'!S336</f>
        <v>0</v>
      </c>
      <c r="C335" s="23">
        <f>'12 - Device_Configuration'!T336</f>
        <v>0</v>
      </c>
      <c r="D335" s="15">
        <f>'12 - Device_Configuration'!AJ336</f>
        <v>0</v>
      </c>
      <c r="E335" s="15">
        <f>'12 - Device_Configuration'!J336</f>
        <v>0</v>
      </c>
      <c r="F335" s="23">
        <f>'12 - Device_Configuration'!K336</f>
        <v>0</v>
      </c>
      <c r="G335" s="15">
        <f>'12 - Device_Configuration'!L336</f>
        <v>0</v>
      </c>
      <c r="H335" s="15">
        <f>'13 - Config_Intake_View'!M335</f>
        <v>0</v>
      </c>
      <c r="I335" s="23">
        <f>IF('13 - Config_Intake_View'!Q335&lt;&gt;"",'13 - Config_Intake_View'!Q335,'12 - Device_Configuration'!BH336)</f>
        <v>0</v>
      </c>
      <c r="J335" s="15" t="str">
        <f>IF('13 - Config_Intake_View'!Q335&lt;&gt;"","PM Approved",IF('12 - Device_Configuration'!BH336&lt;&gt;"","Assumed",""))</f>
        <v/>
      </c>
      <c r="K335" s="23">
        <f>'12 - Device_Configuration'!BG336</f>
        <v>0</v>
      </c>
      <c r="L335" s="15">
        <f>'12 - Device_Configuration'!P336</f>
        <v>0</v>
      </c>
      <c r="M335" s="15">
        <f>'12 - Device_Configuration'!Q336</f>
        <v>0</v>
      </c>
      <c r="N335" s="15" t="str">
        <f>'12 - Device_Configuration'!BK336</f>
        <v/>
      </c>
      <c r="O335" s="23" t="str">
        <f>'12 - Device_Configuration'!BL336</f>
        <v/>
      </c>
      <c r="P335" s="2">
        <f>'12 - Device_Configuration'!BA336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'12 - Device_Configuration'!H337</f>
        <v>0</v>
      </c>
      <c r="B336" s="23">
        <f>'12 - Device_Configuration'!S337</f>
        <v>0</v>
      </c>
      <c r="C336" s="23">
        <f>'12 - Device_Configuration'!T337</f>
        <v>0</v>
      </c>
      <c r="D336" s="15">
        <f>'12 - Device_Configuration'!AJ337</f>
        <v>0</v>
      </c>
      <c r="E336" s="15">
        <f>'12 - Device_Configuration'!J337</f>
        <v>0</v>
      </c>
      <c r="F336" s="23">
        <f>'12 - Device_Configuration'!K337</f>
        <v>0</v>
      </c>
      <c r="G336" s="15">
        <f>'12 - Device_Configuration'!L337</f>
        <v>0</v>
      </c>
      <c r="H336" s="15">
        <f>'13 - Config_Intake_View'!M336</f>
        <v>0</v>
      </c>
      <c r="I336" s="23">
        <f>IF('13 - Config_Intake_View'!Q336&lt;&gt;"",'13 - Config_Intake_View'!Q336,'12 - Device_Configuration'!BH337)</f>
        <v>0</v>
      </c>
      <c r="J336" s="15" t="str">
        <f>IF('13 - Config_Intake_View'!Q336&lt;&gt;"","PM Approved",IF('12 - Device_Configuration'!BH337&lt;&gt;"","Assumed",""))</f>
        <v/>
      </c>
      <c r="K336" s="23">
        <f>'12 - Device_Configuration'!BG337</f>
        <v>0</v>
      </c>
      <c r="L336" s="15">
        <f>'12 - Device_Configuration'!P337</f>
        <v>0</v>
      </c>
      <c r="M336" s="15">
        <f>'12 - Device_Configuration'!Q337</f>
        <v>0</v>
      </c>
      <c r="N336" s="15" t="str">
        <f>'12 - Device_Configuration'!BK337</f>
        <v/>
      </c>
      <c r="O336" s="23" t="str">
        <f>'12 - Device_Configuration'!BL337</f>
        <v/>
      </c>
      <c r="P336" s="2">
        <f>'12 - Device_Configuration'!BA337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'12 - Device_Configuration'!H338</f>
        <v>0</v>
      </c>
      <c r="B337" s="23">
        <f>'12 - Device_Configuration'!S338</f>
        <v>0</v>
      </c>
      <c r="C337" s="23">
        <f>'12 - Device_Configuration'!T338</f>
        <v>0</v>
      </c>
      <c r="D337" s="15">
        <f>'12 - Device_Configuration'!AJ338</f>
        <v>0</v>
      </c>
      <c r="E337" s="15">
        <f>'12 - Device_Configuration'!J338</f>
        <v>0</v>
      </c>
      <c r="F337" s="23">
        <f>'12 - Device_Configuration'!K338</f>
        <v>0</v>
      </c>
      <c r="G337" s="15">
        <f>'12 - Device_Configuration'!L338</f>
        <v>0</v>
      </c>
      <c r="H337" s="15">
        <f>'13 - Config_Intake_View'!M337</f>
        <v>0</v>
      </c>
      <c r="I337" s="23">
        <f>IF('13 - Config_Intake_View'!Q337&lt;&gt;"",'13 - Config_Intake_View'!Q337,'12 - Device_Configuration'!BH338)</f>
        <v>0</v>
      </c>
      <c r="J337" s="15" t="str">
        <f>IF('13 - Config_Intake_View'!Q337&lt;&gt;"","PM Approved",IF('12 - Device_Configuration'!BH338&lt;&gt;"","Assumed",""))</f>
        <v/>
      </c>
      <c r="K337" s="23">
        <f>'12 - Device_Configuration'!BG338</f>
        <v>0</v>
      </c>
      <c r="L337" s="15">
        <f>'12 - Device_Configuration'!P338</f>
        <v>0</v>
      </c>
      <c r="M337" s="15">
        <f>'12 - Device_Configuration'!Q338</f>
        <v>0</v>
      </c>
      <c r="N337" s="15" t="str">
        <f>'12 - Device_Configuration'!BK338</f>
        <v/>
      </c>
      <c r="O337" s="23" t="str">
        <f>'12 - Device_Configuration'!BL338</f>
        <v/>
      </c>
      <c r="P337" s="2">
        <f>'12 - Device_Configuration'!BA338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'12 - Device_Configuration'!H339</f>
        <v>0</v>
      </c>
      <c r="B338" s="23">
        <f>'12 - Device_Configuration'!S339</f>
        <v>0</v>
      </c>
      <c r="C338" s="23">
        <f>'12 - Device_Configuration'!T339</f>
        <v>0</v>
      </c>
      <c r="D338" s="15">
        <f>'12 - Device_Configuration'!AJ339</f>
        <v>0</v>
      </c>
      <c r="E338" s="15">
        <f>'12 - Device_Configuration'!J339</f>
        <v>0</v>
      </c>
      <c r="F338" s="23">
        <f>'12 - Device_Configuration'!K339</f>
        <v>0</v>
      </c>
      <c r="G338" s="15">
        <f>'12 - Device_Configuration'!L339</f>
        <v>0</v>
      </c>
      <c r="H338" s="15">
        <f>'13 - Config_Intake_View'!M338</f>
        <v>0</v>
      </c>
      <c r="I338" s="23">
        <f>IF('13 - Config_Intake_View'!Q338&lt;&gt;"",'13 - Config_Intake_View'!Q338,'12 - Device_Configuration'!BH339)</f>
        <v>0</v>
      </c>
      <c r="J338" s="15" t="str">
        <f>IF('13 - Config_Intake_View'!Q338&lt;&gt;"","PM Approved",IF('12 - Device_Configuration'!BH339&lt;&gt;"","Assumed",""))</f>
        <v/>
      </c>
      <c r="K338" s="23">
        <f>'12 - Device_Configuration'!BG339</f>
        <v>0</v>
      </c>
      <c r="L338" s="15">
        <f>'12 - Device_Configuration'!P339</f>
        <v>0</v>
      </c>
      <c r="M338" s="15">
        <f>'12 - Device_Configuration'!Q339</f>
        <v>0</v>
      </c>
      <c r="N338" s="15" t="str">
        <f>'12 - Device_Configuration'!BK339</f>
        <v/>
      </c>
      <c r="O338" s="23" t="str">
        <f>'12 - Device_Configuration'!BL339</f>
        <v/>
      </c>
      <c r="P338" s="2">
        <f>'12 - Device_Configuration'!BA339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'12 - Device_Configuration'!H340</f>
        <v>0</v>
      </c>
      <c r="B339" s="23">
        <f>'12 - Device_Configuration'!S340</f>
        <v>0</v>
      </c>
      <c r="C339" s="23">
        <f>'12 - Device_Configuration'!T340</f>
        <v>0</v>
      </c>
      <c r="D339" s="15">
        <f>'12 - Device_Configuration'!AJ340</f>
        <v>0</v>
      </c>
      <c r="E339" s="15">
        <f>'12 - Device_Configuration'!J340</f>
        <v>0</v>
      </c>
      <c r="F339" s="23">
        <f>'12 - Device_Configuration'!K340</f>
        <v>0</v>
      </c>
      <c r="G339" s="15">
        <f>'12 - Device_Configuration'!L340</f>
        <v>0</v>
      </c>
      <c r="H339" s="15">
        <f>'13 - Config_Intake_View'!M339</f>
        <v>0</v>
      </c>
      <c r="I339" s="23">
        <f>IF('13 - Config_Intake_View'!Q339&lt;&gt;"",'13 - Config_Intake_View'!Q339,'12 - Device_Configuration'!BH340)</f>
        <v>0</v>
      </c>
      <c r="J339" s="15" t="str">
        <f>IF('13 - Config_Intake_View'!Q339&lt;&gt;"","PM Approved",IF('12 - Device_Configuration'!BH340&lt;&gt;"","Assumed",""))</f>
        <v/>
      </c>
      <c r="K339" s="23">
        <f>'12 - Device_Configuration'!BG340</f>
        <v>0</v>
      </c>
      <c r="L339" s="15">
        <f>'12 - Device_Configuration'!P340</f>
        <v>0</v>
      </c>
      <c r="M339" s="15">
        <f>'12 - Device_Configuration'!Q340</f>
        <v>0</v>
      </c>
      <c r="N339" s="15" t="str">
        <f>'12 - Device_Configuration'!BK340</f>
        <v/>
      </c>
      <c r="O339" s="23" t="str">
        <f>'12 - Device_Configuration'!BL340</f>
        <v/>
      </c>
      <c r="P339" s="2">
        <f>'12 - Device_Configuration'!BA340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'12 - Device_Configuration'!H341</f>
        <v>0</v>
      </c>
      <c r="B340" s="23">
        <f>'12 - Device_Configuration'!S341</f>
        <v>0</v>
      </c>
      <c r="C340" s="23">
        <f>'12 - Device_Configuration'!T341</f>
        <v>0</v>
      </c>
      <c r="D340" s="15">
        <f>'12 - Device_Configuration'!AJ341</f>
        <v>0</v>
      </c>
      <c r="E340" s="15">
        <f>'12 - Device_Configuration'!J341</f>
        <v>0</v>
      </c>
      <c r="F340" s="23">
        <f>'12 - Device_Configuration'!K341</f>
        <v>0</v>
      </c>
      <c r="G340" s="15">
        <f>'12 - Device_Configuration'!L341</f>
        <v>0</v>
      </c>
      <c r="H340" s="15">
        <f>'13 - Config_Intake_View'!M340</f>
        <v>0</v>
      </c>
      <c r="I340" s="23">
        <f>IF('13 - Config_Intake_View'!Q340&lt;&gt;"",'13 - Config_Intake_View'!Q340,'12 - Device_Configuration'!BH341)</f>
        <v>0</v>
      </c>
      <c r="J340" s="15" t="str">
        <f>IF('13 - Config_Intake_View'!Q340&lt;&gt;"","PM Approved",IF('12 - Device_Configuration'!BH341&lt;&gt;"","Assumed",""))</f>
        <v/>
      </c>
      <c r="K340" s="23">
        <f>'12 - Device_Configuration'!BG341</f>
        <v>0</v>
      </c>
      <c r="L340" s="15">
        <f>'12 - Device_Configuration'!P341</f>
        <v>0</v>
      </c>
      <c r="M340" s="15">
        <f>'12 - Device_Configuration'!Q341</f>
        <v>0</v>
      </c>
      <c r="N340" s="15" t="str">
        <f>'12 - Device_Configuration'!BK341</f>
        <v/>
      </c>
      <c r="O340" s="23" t="str">
        <f>'12 - Device_Configuration'!BL341</f>
        <v/>
      </c>
      <c r="P340" s="2">
        <f>'12 - Device_Configuration'!BA341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'12 - Device_Configuration'!H342</f>
        <v>0</v>
      </c>
      <c r="B341" s="23">
        <f>'12 - Device_Configuration'!S342</f>
        <v>0</v>
      </c>
      <c r="C341" s="23">
        <f>'12 - Device_Configuration'!T342</f>
        <v>0</v>
      </c>
      <c r="D341" s="15">
        <f>'12 - Device_Configuration'!AJ342</f>
        <v>0</v>
      </c>
      <c r="E341" s="15">
        <f>'12 - Device_Configuration'!J342</f>
        <v>0</v>
      </c>
      <c r="F341" s="23">
        <f>'12 - Device_Configuration'!K342</f>
        <v>0</v>
      </c>
      <c r="G341" s="15">
        <f>'12 - Device_Configuration'!L342</f>
        <v>0</v>
      </c>
      <c r="H341" s="15">
        <f>'13 - Config_Intake_View'!M341</f>
        <v>0</v>
      </c>
      <c r="I341" s="23">
        <f>IF('13 - Config_Intake_View'!Q341&lt;&gt;"",'13 - Config_Intake_View'!Q341,'12 - Device_Configuration'!BH342)</f>
        <v>0</v>
      </c>
      <c r="J341" s="15" t="str">
        <f>IF('13 - Config_Intake_View'!Q341&lt;&gt;"","PM Approved",IF('12 - Device_Configuration'!BH342&lt;&gt;"","Assumed",""))</f>
        <v/>
      </c>
      <c r="K341" s="23">
        <f>'12 - Device_Configuration'!BG342</f>
        <v>0</v>
      </c>
      <c r="L341" s="15">
        <f>'12 - Device_Configuration'!P342</f>
        <v>0</v>
      </c>
      <c r="M341" s="15">
        <f>'12 - Device_Configuration'!Q342</f>
        <v>0</v>
      </c>
      <c r="N341" s="15" t="str">
        <f>'12 - Device_Configuration'!BK342</f>
        <v/>
      </c>
      <c r="O341" s="23" t="str">
        <f>'12 - Device_Configuration'!BL342</f>
        <v/>
      </c>
      <c r="P341" s="2">
        <f>'12 - Device_Configuration'!BA342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'12 - Device_Configuration'!H343</f>
        <v>0</v>
      </c>
      <c r="B342" s="23">
        <f>'12 - Device_Configuration'!S343</f>
        <v>0</v>
      </c>
      <c r="C342" s="23">
        <f>'12 - Device_Configuration'!T343</f>
        <v>0</v>
      </c>
      <c r="D342" s="15">
        <f>'12 - Device_Configuration'!AJ343</f>
        <v>0</v>
      </c>
      <c r="E342" s="15">
        <f>'12 - Device_Configuration'!J343</f>
        <v>0</v>
      </c>
      <c r="F342" s="23">
        <f>'12 - Device_Configuration'!K343</f>
        <v>0</v>
      </c>
      <c r="G342" s="15">
        <f>'12 - Device_Configuration'!L343</f>
        <v>0</v>
      </c>
      <c r="H342" s="15">
        <f>'13 - Config_Intake_View'!M342</f>
        <v>0</v>
      </c>
      <c r="I342" s="23">
        <f>IF('13 - Config_Intake_View'!Q342&lt;&gt;"",'13 - Config_Intake_View'!Q342,'12 - Device_Configuration'!BH343)</f>
        <v>0</v>
      </c>
      <c r="J342" s="15" t="str">
        <f>IF('13 - Config_Intake_View'!Q342&lt;&gt;"","PM Approved",IF('12 - Device_Configuration'!BH343&lt;&gt;"","Assumed",""))</f>
        <v/>
      </c>
      <c r="K342" s="23">
        <f>'12 - Device_Configuration'!BG343</f>
        <v>0</v>
      </c>
      <c r="L342" s="15">
        <f>'12 - Device_Configuration'!P343</f>
        <v>0</v>
      </c>
      <c r="M342" s="15">
        <f>'12 - Device_Configuration'!Q343</f>
        <v>0</v>
      </c>
      <c r="N342" s="15" t="str">
        <f>'12 - Device_Configuration'!BK343</f>
        <v/>
      </c>
      <c r="O342" s="23" t="str">
        <f>'12 - Device_Configuration'!BL343</f>
        <v/>
      </c>
      <c r="P342" s="2">
        <f>'12 - Device_Configuration'!BA343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'12 - Device_Configuration'!H344</f>
        <v>0</v>
      </c>
      <c r="B343" s="23">
        <f>'12 - Device_Configuration'!S344</f>
        <v>0</v>
      </c>
      <c r="C343" s="23">
        <f>'12 - Device_Configuration'!T344</f>
        <v>0</v>
      </c>
      <c r="D343" s="15">
        <f>'12 - Device_Configuration'!AJ344</f>
        <v>0</v>
      </c>
      <c r="E343" s="15">
        <f>'12 - Device_Configuration'!J344</f>
        <v>0</v>
      </c>
      <c r="F343" s="23">
        <f>'12 - Device_Configuration'!K344</f>
        <v>0</v>
      </c>
      <c r="G343" s="15">
        <f>'12 - Device_Configuration'!L344</f>
        <v>0</v>
      </c>
      <c r="H343" s="15">
        <f>'13 - Config_Intake_View'!M343</f>
        <v>0</v>
      </c>
      <c r="I343" s="23">
        <f>IF('13 - Config_Intake_View'!Q343&lt;&gt;"",'13 - Config_Intake_View'!Q343,'12 - Device_Configuration'!BH344)</f>
        <v>0</v>
      </c>
      <c r="J343" s="15" t="str">
        <f>IF('13 - Config_Intake_View'!Q343&lt;&gt;"","PM Approved",IF('12 - Device_Configuration'!BH344&lt;&gt;"","Assumed",""))</f>
        <v/>
      </c>
      <c r="K343" s="23">
        <f>'12 - Device_Configuration'!BG344</f>
        <v>0</v>
      </c>
      <c r="L343" s="15">
        <f>'12 - Device_Configuration'!P344</f>
        <v>0</v>
      </c>
      <c r="M343" s="15">
        <f>'12 - Device_Configuration'!Q344</f>
        <v>0</v>
      </c>
      <c r="N343" s="15" t="str">
        <f>'12 - Device_Configuration'!BK344</f>
        <v/>
      </c>
      <c r="O343" s="23" t="str">
        <f>'12 - Device_Configuration'!BL344</f>
        <v/>
      </c>
      <c r="P343" s="2">
        <f>'12 - Device_Configuration'!BA344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'12 - Device_Configuration'!H345</f>
        <v>0</v>
      </c>
      <c r="B344" s="23">
        <f>'12 - Device_Configuration'!S345</f>
        <v>0</v>
      </c>
      <c r="C344" s="23">
        <f>'12 - Device_Configuration'!T345</f>
        <v>0</v>
      </c>
      <c r="D344" s="15">
        <f>'12 - Device_Configuration'!AJ345</f>
        <v>0</v>
      </c>
      <c r="E344" s="15">
        <f>'12 - Device_Configuration'!J345</f>
        <v>0</v>
      </c>
      <c r="F344" s="23">
        <f>'12 - Device_Configuration'!K345</f>
        <v>0</v>
      </c>
      <c r="G344" s="15">
        <f>'12 - Device_Configuration'!L345</f>
        <v>0</v>
      </c>
      <c r="H344" s="15">
        <f>'13 - Config_Intake_View'!M344</f>
        <v>0</v>
      </c>
      <c r="I344" s="23">
        <f>IF('13 - Config_Intake_View'!Q344&lt;&gt;"",'13 - Config_Intake_View'!Q344,'12 - Device_Configuration'!BH345)</f>
        <v>0</v>
      </c>
      <c r="J344" s="15" t="str">
        <f>IF('13 - Config_Intake_View'!Q344&lt;&gt;"","PM Approved",IF('12 - Device_Configuration'!BH345&lt;&gt;"","Assumed",""))</f>
        <v/>
      </c>
      <c r="K344" s="23">
        <f>'12 - Device_Configuration'!BG345</f>
        <v>0</v>
      </c>
      <c r="L344" s="15">
        <f>'12 - Device_Configuration'!P345</f>
        <v>0</v>
      </c>
      <c r="M344" s="15">
        <f>'12 - Device_Configuration'!Q345</f>
        <v>0</v>
      </c>
      <c r="N344" s="15" t="str">
        <f>'12 - Device_Configuration'!BK345</f>
        <v/>
      </c>
      <c r="O344" s="23" t="str">
        <f>'12 - Device_Configuration'!BL345</f>
        <v/>
      </c>
      <c r="P344" s="2">
        <f>'12 - Device_Configuration'!BA345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'12 - Device_Configuration'!H346</f>
        <v>0</v>
      </c>
      <c r="B345" s="23">
        <f>'12 - Device_Configuration'!S346</f>
        <v>0</v>
      </c>
      <c r="C345" s="23">
        <f>'12 - Device_Configuration'!T346</f>
        <v>0</v>
      </c>
      <c r="D345" s="15">
        <f>'12 - Device_Configuration'!AJ346</f>
        <v>0</v>
      </c>
      <c r="E345" s="15">
        <f>'12 - Device_Configuration'!J346</f>
        <v>0</v>
      </c>
      <c r="F345" s="23">
        <f>'12 - Device_Configuration'!K346</f>
        <v>0</v>
      </c>
      <c r="G345" s="15">
        <f>'12 - Device_Configuration'!L346</f>
        <v>0</v>
      </c>
      <c r="H345" s="15">
        <f>'13 - Config_Intake_View'!M345</f>
        <v>0</v>
      </c>
      <c r="I345" s="23">
        <f>IF('13 - Config_Intake_View'!Q345&lt;&gt;"",'13 - Config_Intake_View'!Q345,'12 - Device_Configuration'!BH346)</f>
        <v>0</v>
      </c>
      <c r="J345" s="15" t="str">
        <f>IF('13 - Config_Intake_View'!Q345&lt;&gt;"","PM Approved",IF('12 - Device_Configuration'!BH346&lt;&gt;"","Assumed",""))</f>
        <v/>
      </c>
      <c r="K345" s="23">
        <f>'12 - Device_Configuration'!BG346</f>
        <v>0</v>
      </c>
      <c r="L345" s="15">
        <f>'12 - Device_Configuration'!P346</f>
        <v>0</v>
      </c>
      <c r="M345" s="15">
        <f>'12 - Device_Configuration'!Q346</f>
        <v>0</v>
      </c>
      <c r="N345" s="15" t="str">
        <f>'12 - Device_Configuration'!BK346</f>
        <v/>
      </c>
      <c r="O345" s="23" t="str">
        <f>'12 - Device_Configuration'!BL346</f>
        <v/>
      </c>
      <c r="P345" s="2">
        <f>'12 - Device_Configuration'!BA346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'12 - Device_Configuration'!H347</f>
        <v>0</v>
      </c>
      <c r="B346" s="23">
        <f>'12 - Device_Configuration'!S347</f>
        <v>0</v>
      </c>
      <c r="C346" s="23">
        <f>'12 - Device_Configuration'!T347</f>
        <v>0</v>
      </c>
      <c r="D346" s="15">
        <f>'12 - Device_Configuration'!AJ347</f>
        <v>0</v>
      </c>
      <c r="E346" s="15">
        <f>'12 - Device_Configuration'!J347</f>
        <v>0</v>
      </c>
      <c r="F346" s="23">
        <f>'12 - Device_Configuration'!K347</f>
        <v>0</v>
      </c>
      <c r="G346" s="15">
        <f>'12 - Device_Configuration'!L347</f>
        <v>0</v>
      </c>
      <c r="H346" s="15">
        <f>'13 - Config_Intake_View'!M346</f>
        <v>0</v>
      </c>
      <c r="I346" s="23">
        <f>IF('13 - Config_Intake_View'!Q346&lt;&gt;"",'13 - Config_Intake_View'!Q346,'12 - Device_Configuration'!BH347)</f>
        <v>0</v>
      </c>
      <c r="J346" s="15" t="str">
        <f>IF('13 - Config_Intake_View'!Q346&lt;&gt;"","PM Approved",IF('12 - Device_Configuration'!BH347&lt;&gt;"","Assumed",""))</f>
        <v/>
      </c>
      <c r="K346" s="23">
        <f>'12 - Device_Configuration'!BG347</f>
        <v>0</v>
      </c>
      <c r="L346" s="15">
        <f>'12 - Device_Configuration'!P347</f>
        <v>0</v>
      </c>
      <c r="M346" s="15">
        <f>'12 - Device_Configuration'!Q347</f>
        <v>0</v>
      </c>
      <c r="N346" s="15" t="str">
        <f>'12 - Device_Configuration'!BK347</f>
        <v/>
      </c>
      <c r="O346" s="23" t="str">
        <f>'12 - Device_Configuration'!BL347</f>
        <v/>
      </c>
      <c r="P346" s="2">
        <f>'12 - Device_Configuration'!BA347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'12 - Device_Configuration'!H348</f>
        <v>0</v>
      </c>
      <c r="B347" s="23">
        <f>'12 - Device_Configuration'!S348</f>
        <v>0</v>
      </c>
      <c r="C347" s="23">
        <f>'12 - Device_Configuration'!T348</f>
        <v>0</v>
      </c>
      <c r="D347" s="15">
        <f>'12 - Device_Configuration'!AJ348</f>
        <v>0</v>
      </c>
      <c r="E347" s="15">
        <f>'12 - Device_Configuration'!J348</f>
        <v>0</v>
      </c>
      <c r="F347" s="23">
        <f>'12 - Device_Configuration'!K348</f>
        <v>0</v>
      </c>
      <c r="G347" s="15">
        <f>'12 - Device_Configuration'!L348</f>
        <v>0</v>
      </c>
      <c r="H347" s="15">
        <f>'13 - Config_Intake_View'!M347</f>
        <v>0</v>
      </c>
      <c r="I347" s="23">
        <f>IF('13 - Config_Intake_View'!Q347&lt;&gt;"",'13 - Config_Intake_View'!Q347,'12 - Device_Configuration'!BH348)</f>
        <v>0</v>
      </c>
      <c r="J347" s="15" t="str">
        <f>IF('13 - Config_Intake_View'!Q347&lt;&gt;"","PM Approved",IF('12 - Device_Configuration'!BH348&lt;&gt;"","Assumed",""))</f>
        <v/>
      </c>
      <c r="K347" s="23">
        <f>'12 - Device_Configuration'!BG348</f>
        <v>0</v>
      </c>
      <c r="L347" s="15">
        <f>'12 - Device_Configuration'!P348</f>
        <v>0</v>
      </c>
      <c r="M347" s="15">
        <f>'12 - Device_Configuration'!Q348</f>
        <v>0</v>
      </c>
      <c r="N347" s="15" t="str">
        <f>'12 - Device_Configuration'!BK348</f>
        <v/>
      </c>
      <c r="O347" s="23" t="str">
        <f>'12 - Device_Configuration'!BL348</f>
        <v/>
      </c>
      <c r="P347" s="2">
        <f>'12 - Device_Configuration'!BA348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'12 - Device_Configuration'!H349</f>
        <v>0</v>
      </c>
      <c r="B348" s="23">
        <f>'12 - Device_Configuration'!S349</f>
        <v>0</v>
      </c>
      <c r="C348" s="23">
        <f>'12 - Device_Configuration'!T349</f>
        <v>0</v>
      </c>
      <c r="D348" s="15">
        <f>'12 - Device_Configuration'!AJ349</f>
        <v>0</v>
      </c>
      <c r="E348" s="15">
        <f>'12 - Device_Configuration'!J349</f>
        <v>0</v>
      </c>
      <c r="F348" s="23">
        <f>'12 - Device_Configuration'!K349</f>
        <v>0</v>
      </c>
      <c r="G348" s="15">
        <f>'12 - Device_Configuration'!L349</f>
        <v>0</v>
      </c>
      <c r="H348" s="15">
        <f>'13 - Config_Intake_View'!M348</f>
        <v>0</v>
      </c>
      <c r="I348" s="23">
        <f>IF('13 - Config_Intake_View'!Q348&lt;&gt;"",'13 - Config_Intake_View'!Q348,'12 - Device_Configuration'!BH349)</f>
        <v>0</v>
      </c>
      <c r="J348" s="15" t="str">
        <f>IF('13 - Config_Intake_View'!Q348&lt;&gt;"","PM Approved",IF('12 - Device_Configuration'!BH349&lt;&gt;"","Assumed",""))</f>
        <v/>
      </c>
      <c r="K348" s="23">
        <f>'12 - Device_Configuration'!BG349</f>
        <v>0</v>
      </c>
      <c r="L348" s="15">
        <f>'12 - Device_Configuration'!P349</f>
        <v>0</v>
      </c>
      <c r="M348" s="15">
        <f>'12 - Device_Configuration'!Q349</f>
        <v>0</v>
      </c>
      <c r="N348" s="15" t="str">
        <f>'12 - Device_Configuration'!BK349</f>
        <v/>
      </c>
      <c r="O348" s="23" t="str">
        <f>'12 - Device_Configuration'!BL349</f>
        <v/>
      </c>
      <c r="P348" s="2">
        <f>'12 - Device_Configuration'!BA349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'12 - Device_Configuration'!H350</f>
        <v>0</v>
      </c>
      <c r="B349" s="23">
        <f>'12 - Device_Configuration'!S350</f>
        <v>0</v>
      </c>
      <c r="C349" s="23">
        <f>'12 - Device_Configuration'!T350</f>
        <v>0</v>
      </c>
      <c r="D349" s="15">
        <f>'12 - Device_Configuration'!AJ350</f>
        <v>0</v>
      </c>
      <c r="E349" s="15">
        <f>'12 - Device_Configuration'!J350</f>
        <v>0</v>
      </c>
      <c r="F349" s="23">
        <f>'12 - Device_Configuration'!K350</f>
        <v>0</v>
      </c>
      <c r="G349" s="15">
        <f>'12 - Device_Configuration'!L350</f>
        <v>0</v>
      </c>
      <c r="H349" s="15">
        <f>'13 - Config_Intake_View'!M349</f>
        <v>0</v>
      </c>
      <c r="I349" s="23">
        <f>IF('13 - Config_Intake_View'!Q349&lt;&gt;"",'13 - Config_Intake_View'!Q349,'12 - Device_Configuration'!BH350)</f>
        <v>0</v>
      </c>
      <c r="J349" s="15" t="str">
        <f>IF('13 - Config_Intake_View'!Q349&lt;&gt;"","PM Approved",IF('12 - Device_Configuration'!BH350&lt;&gt;"","Assumed",""))</f>
        <v/>
      </c>
      <c r="K349" s="23">
        <f>'12 - Device_Configuration'!BG350</f>
        <v>0</v>
      </c>
      <c r="L349" s="15">
        <f>'12 - Device_Configuration'!P350</f>
        <v>0</v>
      </c>
      <c r="M349" s="15">
        <f>'12 - Device_Configuration'!Q350</f>
        <v>0</v>
      </c>
      <c r="N349" s="15" t="str">
        <f>'12 - Device_Configuration'!BK350</f>
        <v/>
      </c>
      <c r="O349" s="23" t="str">
        <f>'12 - Device_Configuration'!BL350</f>
        <v/>
      </c>
      <c r="P349" s="2">
        <f>'12 - Device_Configuration'!BA350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'12 - Device_Configuration'!H351</f>
        <v>0</v>
      </c>
      <c r="B350" s="23">
        <f>'12 - Device_Configuration'!S351</f>
        <v>0</v>
      </c>
      <c r="C350" s="23">
        <f>'12 - Device_Configuration'!T351</f>
        <v>0</v>
      </c>
      <c r="D350" s="15">
        <f>'12 - Device_Configuration'!AJ351</f>
        <v>0</v>
      </c>
      <c r="E350" s="15">
        <f>'12 - Device_Configuration'!J351</f>
        <v>0</v>
      </c>
      <c r="F350" s="23">
        <f>'12 - Device_Configuration'!K351</f>
        <v>0</v>
      </c>
      <c r="G350" s="15">
        <f>'12 - Device_Configuration'!L351</f>
        <v>0</v>
      </c>
      <c r="H350" s="15">
        <f>'13 - Config_Intake_View'!M350</f>
        <v>0</v>
      </c>
      <c r="I350" s="23">
        <f>IF('13 - Config_Intake_View'!Q350&lt;&gt;"",'13 - Config_Intake_View'!Q350,'12 - Device_Configuration'!BH351)</f>
        <v>0</v>
      </c>
      <c r="J350" s="15" t="str">
        <f>IF('13 - Config_Intake_View'!Q350&lt;&gt;"","PM Approved",IF('12 - Device_Configuration'!BH351&lt;&gt;"","Assumed",""))</f>
        <v/>
      </c>
      <c r="K350" s="23">
        <f>'12 - Device_Configuration'!BG351</f>
        <v>0</v>
      </c>
      <c r="L350" s="15">
        <f>'12 - Device_Configuration'!P351</f>
        <v>0</v>
      </c>
      <c r="M350" s="15">
        <f>'12 - Device_Configuration'!Q351</f>
        <v>0</v>
      </c>
      <c r="N350" s="15" t="str">
        <f>'12 - Device_Configuration'!BK351</f>
        <v/>
      </c>
      <c r="O350" s="23" t="str">
        <f>'12 - Device_Configuration'!BL351</f>
        <v/>
      </c>
      <c r="P350" s="2">
        <f>'12 - Device_Configuration'!BA351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'12 - Device_Configuration'!H352</f>
        <v>0</v>
      </c>
      <c r="B351" s="23">
        <f>'12 - Device_Configuration'!S352</f>
        <v>0</v>
      </c>
      <c r="C351" s="23">
        <f>'12 - Device_Configuration'!T352</f>
        <v>0</v>
      </c>
      <c r="D351" s="15">
        <f>'12 - Device_Configuration'!AJ352</f>
        <v>0</v>
      </c>
      <c r="E351" s="15">
        <f>'12 - Device_Configuration'!J352</f>
        <v>0</v>
      </c>
      <c r="F351" s="23">
        <f>'12 - Device_Configuration'!K352</f>
        <v>0</v>
      </c>
      <c r="G351" s="15">
        <f>'12 - Device_Configuration'!L352</f>
        <v>0</v>
      </c>
      <c r="H351" s="15">
        <f>'13 - Config_Intake_View'!M351</f>
        <v>0</v>
      </c>
      <c r="I351" s="23">
        <f>IF('13 - Config_Intake_View'!Q351&lt;&gt;"",'13 - Config_Intake_View'!Q351,'12 - Device_Configuration'!BH352)</f>
        <v>0</v>
      </c>
      <c r="J351" s="15" t="str">
        <f>IF('13 - Config_Intake_View'!Q351&lt;&gt;"","PM Approved",IF('12 - Device_Configuration'!BH352&lt;&gt;"","Assumed",""))</f>
        <v/>
      </c>
      <c r="K351" s="23">
        <f>'12 - Device_Configuration'!BG352</f>
        <v>0</v>
      </c>
      <c r="L351" s="15">
        <f>'12 - Device_Configuration'!P352</f>
        <v>0</v>
      </c>
      <c r="M351" s="15">
        <f>'12 - Device_Configuration'!Q352</f>
        <v>0</v>
      </c>
      <c r="N351" s="15" t="str">
        <f>'12 - Device_Configuration'!BK352</f>
        <v/>
      </c>
      <c r="O351" s="23" t="str">
        <f>'12 - Device_Configuration'!BL352</f>
        <v/>
      </c>
      <c r="P351" s="2">
        <f>'12 - Device_Configuration'!BA352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'12 - Device_Configuration'!H353</f>
        <v>0</v>
      </c>
      <c r="B352" s="23">
        <f>'12 - Device_Configuration'!S353</f>
        <v>0</v>
      </c>
      <c r="C352" s="23">
        <f>'12 - Device_Configuration'!T353</f>
        <v>0</v>
      </c>
      <c r="D352" s="15">
        <f>'12 - Device_Configuration'!AJ353</f>
        <v>0</v>
      </c>
      <c r="E352" s="15">
        <f>'12 - Device_Configuration'!J353</f>
        <v>0</v>
      </c>
      <c r="F352" s="23">
        <f>'12 - Device_Configuration'!K353</f>
        <v>0</v>
      </c>
      <c r="G352" s="15">
        <f>'12 - Device_Configuration'!L353</f>
        <v>0</v>
      </c>
      <c r="H352" s="15">
        <f>'13 - Config_Intake_View'!M352</f>
        <v>0</v>
      </c>
      <c r="I352" s="23">
        <f>IF('13 - Config_Intake_View'!Q352&lt;&gt;"",'13 - Config_Intake_View'!Q352,'12 - Device_Configuration'!BH353)</f>
        <v>0</v>
      </c>
      <c r="J352" s="15" t="str">
        <f>IF('13 - Config_Intake_View'!Q352&lt;&gt;"","PM Approved",IF('12 - Device_Configuration'!BH353&lt;&gt;"","Assumed",""))</f>
        <v/>
      </c>
      <c r="K352" s="23">
        <f>'12 - Device_Configuration'!BG353</f>
        <v>0</v>
      </c>
      <c r="L352" s="15">
        <f>'12 - Device_Configuration'!P353</f>
        <v>0</v>
      </c>
      <c r="M352" s="15">
        <f>'12 - Device_Configuration'!Q353</f>
        <v>0</v>
      </c>
      <c r="N352" s="15" t="str">
        <f>'12 - Device_Configuration'!BK353</f>
        <v/>
      </c>
      <c r="O352" s="23" t="str">
        <f>'12 - Device_Configuration'!BL353</f>
        <v/>
      </c>
      <c r="P352" s="2">
        <f>'12 - Device_Configuration'!BA353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'12 - Device_Configuration'!H354</f>
        <v>0</v>
      </c>
      <c r="B353" s="23">
        <f>'12 - Device_Configuration'!S354</f>
        <v>0</v>
      </c>
      <c r="C353" s="23">
        <f>'12 - Device_Configuration'!T354</f>
        <v>0</v>
      </c>
      <c r="D353" s="15">
        <f>'12 - Device_Configuration'!AJ354</f>
        <v>0</v>
      </c>
      <c r="E353" s="15">
        <f>'12 - Device_Configuration'!J354</f>
        <v>0</v>
      </c>
      <c r="F353" s="23">
        <f>'12 - Device_Configuration'!K354</f>
        <v>0</v>
      </c>
      <c r="G353" s="15">
        <f>'12 - Device_Configuration'!L354</f>
        <v>0</v>
      </c>
      <c r="H353" s="15">
        <f>'13 - Config_Intake_View'!M353</f>
        <v>0</v>
      </c>
      <c r="I353" s="23">
        <f>IF('13 - Config_Intake_View'!Q353&lt;&gt;"",'13 - Config_Intake_View'!Q353,'12 - Device_Configuration'!BH354)</f>
        <v>0</v>
      </c>
      <c r="J353" s="15" t="str">
        <f>IF('13 - Config_Intake_View'!Q353&lt;&gt;"","PM Approved",IF('12 - Device_Configuration'!BH354&lt;&gt;"","Assumed",""))</f>
        <v/>
      </c>
      <c r="K353" s="23">
        <f>'12 - Device_Configuration'!BG354</f>
        <v>0</v>
      </c>
      <c r="L353" s="15">
        <f>'12 - Device_Configuration'!P354</f>
        <v>0</v>
      </c>
      <c r="M353" s="15">
        <f>'12 - Device_Configuration'!Q354</f>
        <v>0</v>
      </c>
      <c r="N353" s="15" t="str">
        <f>'12 - Device_Configuration'!BK354</f>
        <v/>
      </c>
      <c r="O353" s="23" t="str">
        <f>'12 - Device_Configuration'!BL354</f>
        <v/>
      </c>
      <c r="P353" s="2">
        <f>'12 - Device_Configuration'!BA354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'12 - Device_Configuration'!H355</f>
        <v>0</v>
      </c>
      <c r="B354" s="23">
        <f>'12 - Device_Configuration'!S355</f>
        <v>0</v>
      </c>
      <c r="C354" s="23">
        <f>'12 - Device_Configuration'!T355</f>
        <v>0</v>
      </c>
      <c r="D354" s="15">
        <f>'12 - Device_Configuration'!AJ355</f>
        <v>0</v>
      </c>
      <c r="E354" s="15">
        <f>'12 - Device_Configuration'!J355</f>
        <v>0</v>
      </c>
      <c r="F354" s="23">
        <f>'12 - Device_Configuration'!K355</f>
        <v>0</v>
      </c>
      <c r="G354" s="15">
        <f>'12 - Device_Configuration'!L355</f>
        <v>0</v>
      </c>
      <c r="H354" s="15">
        <f>'13 - Config_Intake_View'!M354</f>
        <v>0</v>
      </c>
      <c r="I354" s="23">
        <f>IF('13 - Config_Intake_View'!Q354&lt;&gt;"",'13 - Config_Intake_View'!Q354,'12 - Device_Configuration'!BH355)</f>
        <v>0</v>
      </c>
      <c r="J354" s="15" t="str">
        <f>IF('13 - Config_Intake_View'!Q354&lt;&gt;"","PM Approved",IF('12 - Device_Configuration'!BH355&lt;&gt;"","Assumed",""))</f>
        <v/>
      </c>
      <c r="K354" s="23">
        <f>'12 - Device_Configuration'!BG355</f>
        <v>0</v>
      </c>
      <c r="L354" s="15">
        <f>'12 - Device_Configuration'!P355</f>
        <v>0</v>
      </c>
      <c r="M354" s="15">
        <f>'12 - Device_Configuration'!Q355</f>
        <v>0</v>
      </c>
      <c r="N354" s="15" t="str">
        <f>'12 - Device_Configuration'!BK355</f>
        <v/>
      </c>
      <c r="O354" s="23" t="str">
        <f>'12 - Device_Configuration'!BL355</f>
        <v/>
      </c>
      <c r="P354" s="2">
        <f>'12 - Device_Configuration'!BA355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'12 - Device_Configuration'!H356</f>
        <v>0</v>
      </c>
      <c r="B355" s="23">
        <f>'12 - Device_Configuration'!S356</f>
        <v>0</v>
      </c>
      <c r="C355" s="23">
        <f>'12 - Device_Configuration'!T356</f>
        <v>0</v>
      </c>
      <c r="D355" s="15">
        <f>'12 - Device_Configuration'!AJ356</f>
        <v>0</v>
      </c>
      <c r="E355" s="15">
        <f>'12 - Device_Configuration'!J356</f>
        <v>0</v>
      </c>
      <c r="F355" s="23">
        <f>'12 - Device_Configuration'!K356</f>
        <v>0</v>
      </c>
      <c r="G355" s="15">
        <f>'12 - Device_Configuration'!L356</f>
        <v>0</v>
      </c>
      <c r="H355" s="15">
        <f>'13 - Config_Intake_View'!M355</f>
        <v>0</v>
      </c>
      <c r="I355" s="23">
        <f>IF('13 - Config_Intake_View'!Q355&lt;&gt;"",'13 - Config_Intake_View'!Q355,'12 - Device_Configuration'!BH356)</f>
        <v>0</v>
      </c>
      <c r="J355" s="15" t="str">
        <f>IF('13 - Config_Intake_View'!Q355&lt;&gt;"","PM Approved",IF('12 - Device_Configuration'!BH356&lt;&gt;"","Assumed",""))</f>
        <v/>
      </c>
      <c r="K355" s="23">
        <f>'12 - Device_Configuration'!BG356</f>
        <v>0</v>
      </c>
      <c r="L355" s="15">
        <f>'12 - Device_Configuration'!P356</f>
        <v>0</v>
      </c>
      <c r="M355" s="15">
        <f>'12 - Device_Configuration'!Q356</f>
        <v>0</v>
      </c>
      <c r="N355" s="15" t="str">
        <f>'12 - Device_Configuration'!BK356</f>
        <v/>
      </c>
      <c r="O355" s="23" t="str">
        <f>'12 - Device_Configuration'!BL356</f>
        <v/>
      </c>
      <c r="P355" s="2">
        <f>'12 - Device_Configuration'!BA356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'12 - Device_Configuration'!H357</f>
        <v>0</v>
      </c>
      <c r="B356" s="23">
        <f>'12 - Device_Configuration'!S357</f>
        <v>0</v>
      </c>
      <c r="C356" s="23">
        <f>'12 - Device_Configuration'!T357</f>
        <v>0</v>
      </c>
      <c r="D356" s="15">
        <f>'12 - Device_Configuration'!AJ357</f>
        <v>0</v>
      </c>
      <c r="E356" s="15">
        <f>'12 - Device_Configuration'!J357</f>
        <v>0</v>
      </c>
      <c r="F356" s="23">
        <f>'12 - Device_Configuration'!K357</f>
        <v>0</v>
      </c>
      <c r="G356" s="15">
        <f>'12 - Device_Configuration'!L357</f>
        <v>0</v>
      </c>
      <c r="H356" s="15">
        <f>'13 - Config_Intake_View'!M356</f>
        <v>0</v>
      </c>
      <c r="I356" s="23">
        <f>IF('13 - Config_Intake_View'!Q356&lt;&gt;"",'13 - Config_Intake_View'!Q356,'12 - Device_Configuration'!BH357)</f>
        <v>0</v>
      </c>
      <c r="J356" s="15" t="str">
        <f>IF('13 - Config_Intake_View'!Q356&lt;&gt;"","PM Approved",IF('12 - Device_Configuration'!BH357&lt;&gt;"","Assumed",""))</f>
        <v/>
      </c>
      <c r="K356" s="23">
        <f>'12 - Device_Configuration'!BG357</f>
        <v>0</v>
      </c>
      <c r="L356" s="15">
        <f>'12 - Device_Configuration'!P357</f>
        <v>0</v>
      </c>
      <c r="M356" s="15">
        <f>'12 - Device_Configuration'!Q357</f>
        <v>0</v>
      </c>
      <c r="N356" s="15" t="str">
        <f>'12 - Device_Configuration'!BK357</f>
        <v/>
      </c>
      <c r="O356" s="23" t="str">
        <f>'12 - Device_Configuration'!BL357</f>
        <v/>
      </c>
      <c r="P356" s="2">
        <f>'12 - Device_Configuration'!BA357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'12 - Device_Configuration'!H358</f>
        <v>0</v>
      </c>
      <c r="B357" s="23">
        <f>'12 - Device_Configuration'!S358</f>
        <v>0</v>
      </c>
      <c r="C357" s="23">
        <f>'12 - Device_Configuration'!T358</f>
        <v>0</v>
      </c>
      <c r="D357" s="15">
        <f>'12 - Device_Configuration'!AJ358</f>
        <v>0</v>
      </c>
      <c r="E357" s="15">
        <f>'12 - Device_Configuration'!J358</f>
        <v>0</v>
      </c>
      <c r="F357" s="23">
        <f>'12 - Device_Configuration'!K358</f>
        <v>0</v>
      </c>
      <c r="G357" s="15">
        <f>'12 - Device_Configuration'!L358</f>
        <v>0</v>
      </c>
      <c r="H357" s="15">
        <f>'13 - Config_Intake_View'!M357</f>
        <v>0</v>
      </c>
      <c r="I357" s="23">
        <f>IF('13 - Config_Intake_View'!Q357&lt;&gt;"",'13 - Config_Intake_View'!Q357,'12 - Device_Configuration'!BH358)</f>
        <v>0</v>
      </c>
      <c r="J357" s="15" t="str">
        <f>IF('13 - Config_Intake_View'!Q357&lt;&gt;"","PM Approved",IF('12 - Device_Configuration'!BH358&lt;&gt;"","Assumed",""))</f>
        <v/>
      </c>
      <c r="K357" s="23">
        <f>'12 - Device_Configuration'!BG358</f>
        <v>0</v>
      </c>
      <c r="L357" s="15">
        <f>'12 - Device_Configuration'!P358</f>
        <v>0</v>
      </c>
      <c r="M357" s="15">
        <f>'12 - Device_Configuration'!Q358</f>
        <v>0</v>
      </c>
      <c r="N357" s="15" t="str">
        <f>'12 - Device_Configuration'!BK358</f>
        <v/>
      </c>
      <c r="O357" s="23" t="str">
        <f>'12 - Device_Configuration'!BL358</f>
        <v/>
      </c>
      <c r="P357" s="2">
        <f>'12 - Device_Configuration'!BA358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'12 - Device_Configuration'!H359</f>
        <v>0</v>
      </c>
      <c r="B358" s="23">
        <f>'12 - Device_Configuration'!S359</f>
        <v>0</v>
      </c>
      <c r="C358" s="23">
        <f>'12 - Device_Configuration'!T359</f>
        <v>0</v>
      </c>
      <c r="D358" s="15">
        <f>'12 - Device_Configuration'!AJ359</f>
        <v>0</v>
      </c>
      <c r="E358" s="15">
        <f>'12 - Device_Configuration'!J359</f>
        <v>0</v>
      </c>
      <c r="F358" s="23">
        <f>'12 - Device_Configuration'!K359</f>
        <v>0</v>
      </c>
      <c r="G358" s="15">
        <f>'12 - Device_Configuration'!L359</f>
        <v>0</v>
      </c>
      <c r="H358" s="15">
        <f>'13 - Config_Intake_View'!M358</f>
        <v>0</v>
      </c>
      <c r="I358" s="23">
        <f>IF('13 - Config_Intake_View'!Q358&lt;&gt;"",'13 - Config_Intake_View'!Q358,'12 - Device_Configuration'!BH359)</f>
        <v>0</v>
      </c>
      <c r="J358" s="15" t="str">
        <f>IF('13 - Config_Intake_View'!Q358&lt;&gt;"","PM Approved",IF('12 - Device_Configuration'!BH359&lt;&gt;"","Assumed",""))</f>
        <v/>
      </c>
      <c r="K358" s="23">
        <f>'12 - Device_Configuration'!BG359</f>
        <v>0</v>
      </c>
      <c r="L358" s="15">
        <f>'12 - Device_Configuration'!P359</f>
        <v>0</v>
      </c>
      <c r="M358" s="15">
        <f>'12 - Device_Configuration'!Q359</f>
        <v>0</v>
      </c>
      <c r="N358" s="15" t="str">
        <f>'12 - Device_Configuration'!BK359</f>
        <v/>
      </c>
      <c r="O358" s="23" t="str">
        <f>'12 - Device_Configuration'!BL359</f>
        <v/>
      </c>
      <c r="P358" s="2">
        <f>'12 - Device_Configuration'!BA359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'12 - Device_Configuration'!H360</f>
        <v>0</v>
      </c>
      <c r="B359" s="23">
        <f>'12 - Device_Configuration'!S360</f>
        <v>0</v>
      </c>
      <c r="C359" s="23">
        <f>'12 - Device_Configuration'!T360</f>
        <v>0</v>
      </c>
      <c r="D359" s="15">
        <f>'12 - Device_Configuration'!AJ360</f>
        <v>0</v>
      </c>
      <c r="E359" s="15">
        <f>'12 - Device_Configuration'!J360</f>
        <v>0</v>
      </c>
      <c r="F359" s="23">
        <f>'12 - Device_Configuration'!K360</f>
        <v>0</v>
      </c>
      <c r="G359" s="15">
        <f>'12 - Device_Configuration'!L360</f>
        <v>0</v>
      </c>
      <c r="H359" s="15">
        <f>'13 - Config_Intake_View'!M359</f>
        <v>0</v>
      </c>
      <c r="I359" s="23">
        <f>IF('13 - Config_Intake_View'!Q359&lt;&gt;"",'13 - Config_Intake_View'!Q359,'12 - Device_Configuration'!BH360)</f>
        <v>0</v>
      </c>
      <c r="J359" s="15" t="str">
        <f>IF('13 - Config_Intake_View'!Q359&lt;&gt;"","PM Approved",IF('12 - Device_Configuration'!BH360&lt;&gt;"","Assumed",""))</f>
        <v/>
      </c>
      <c r="K359" s="23">
        <f>'12 - Device_Configuration'!BG360</f>
        <v>0</v>
      </c>
      <c r="L359" s="15">
        <f>'12 - Device_Configuration'!P360</f>
        <v>0</v>
      </c>
      <c r="M359" s="15">
        <f>'12 - Device_Configuration'!Q360</f>
        <v>0</v>
      </c>
      <c r="N359" s="15" t="str">
        <f>'12 - Device_Configuration'!BK360</f>
        <v/>
      </c>
      <c r="O359" s="23" t="str">
        <f>'12 - Device_Configuration'!BL360</f>
        <v/>
      </c>
      <c r="P359" s="2">
        <f>'12 - Device_Configuration'!BA360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'12 - Device_Configuration'!H361</f>
        <v>0</v>
      </c>
      <c r="B360" s="23">
        <f>'12 - Device_Configuration'!S361</f>
        <v>0</v>
      </c>
      <c r="C360" s="23">
        <f>'12 - Device_Configuration'!T361</f>
        <v>0</v>
      </c>
      <c r="D360" s="15">
        <f>'12 - Device_Configuration'!AJ361</f>
        <v>0</v>
      </c>
      <c r="E360" s="15">
        <f>'12 - Device_Configuration'!J361</f>
        <v>0</v>
      </c>
      <c r="F360" s="23">
        <f>'12 - Device_Configuration'!K361</f>
        <v>0</v>
      </c>
      <c r="G360" s="15">
        <f>'12 - Device_Configuration'!L361</f>
        <v>0</v>
      </c>
      <c r="H360" s="15">
        <f>'13 - Config_Intake_View'!M360</f>
        <v>0</v>
      </c>
      <c r="I360" s="23">
        <f>IF('13 - Config_Intake_View'!Q360&lt;&gt;"",'13 - Config_Intake_View'!Q360,'12 - Device_Configuration'!BH361)</f>
        <v>0</v>
      </c>
      <c r="J360" s="15" t="str">
        <f>IF('13 - Config_Intake_View'!Q360&lt;&gt;"","PM Approved",IF('12 - Device_Configuration'!BH361&lt;&gt;"","Assumed",""))</f>
        <v/>
      </c>
      <c r="K360" s="23">
        <f>'12 - Device_Configuration'!BG361</f>
        <v>0</v>
      </c>
      <c r="L360" s="15">
        <f>'12 - Device_Configuration'!P361</f>
        <v>0</v>
      </c>
      <c r="M360" s="15">
        <f>'12 - Device_Configuration'!Q361</f>
        <v>0</v>
      </c>
      <c r="N360" s="15" t="str">
        <f>'12 - Device_Configuration'!BK361</f>
        <v/>
      </c>
      <c r="O360" s="23" t="str">
        <f>'12 - Device_Configuration'!BL361</f>
        <v/>
      </c>
      <c r="P360" s="2">
        <f>'12 - Device_Configuration'!BA361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'12 - Device_Configuration'!H362</f>
        <v>0</v>
      </c>
      <c r="B361" s="23">
        <f>'12 - Device_Configuration'!S362</f>
        <v>0</v>
      </c>
      <c r="C361" s="23">
        <f>'12 - Device_Configuration'!T362</f>
        <v>0</v>
      </c>
      <c r="D361" s="15">
        <f>'12 - Device_Configuration'!AJ362</f>
        <v>0</v>
      </c>
      <c r="E361" s="15">
        <f>'12 - Device_Configuration'!J362</f>
        <v>0</v>
      </c>
      <c r="F361" s="23">
        <f>'12 - Device_Configuration'!K362</f>
        <v>0</v>
      </c>
      <c r="G361" s="15">
        <f>'12 - Device_Configuration'!L362</f>
        <v>0</v>
      </c>
      <c r="H361" s="15">
        <f>'13 - Config_Intake_View'!M361</f>
        <v>0</v>
      </c>
      <c r="I361" s="23">
        <f>IF('13 - Config_Intake_View'!Q361&lt;&gt;"",'13 - Config_Intake_View'!Q361,'12 - Device_Configuration'!BH362)</f>
        <v>0</v>
      </c>
      <c r="J361" s="15" t="str">
        <f>IF('13 - Config_Intake_View'!Q361&lt;&gt;"","PM Approved",IF('12 - Device_Configuration'!BH362&lt;&gt;"","Assumed",""))</f>
        <v/>
      </c>
      <c r="K361" s="23">
        <f>'12 - Device_Configuration'!BG362</f>
        <v>0</v>
      </c>
      <c r="L361" s="15">
        <f>'12 - Device_Configuration'!P362</f>
        <v>0</v>
      </c>
      <c r="M361" s="15">
        <f>'12 - Device_Configuration'!Q362</f>
        <v>0</v>
      </c>
      <c r="N361" s="15" t="str">
        <f>'12 - Device_Configuration'!BK362</f>
        <v/>
      </c>
      <c r="O361" s="23" t="str">
        <f>'12 - Device_Configuration'!BL362</f>
        <v/>
      </c>
      <c r="P361" s="2">
        <f>'12 - Device_Configuration'!BA362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'12 - Device_Configuration'!H363</f>
        <v>0</v>
      </c>
      <c r="B362" s="23">
        <f>'12 - Device_Configuration'!S363</f>
        <v>0</v>
      </c>
      <c r="C362" s="23">
        <f>'12 - Device_Configuration'!T363</f>
        <v>0</v>
      </c>
      <c r="D362" s="15">
        <f>'12 - Device_Configuration'!AJ363</f>
        <v>0</v>
      </c>
      <c r="E362" s="15">
        <f>'12 - Device_Configuration'!J363</f>
        <v>0</v>
      </c>
      <c r="F362" s="23">
        <f>'12 - Device_Configuration'!K363</f>
        <v>0</v>
      </c>
      <c r="G362" s="15">
        <f>'12 - Device_Configuration'!L363</f>
        <v>0</v>
      </c>
      <c r="H362" s="15">
        <f>'13 - Config_Intake_View'!M362</f>
        <v>0</v>
      </c>
      <c r="I362" s="23">
        <f>IF('13 - Config_Intake_View'!Q362&lt;&gt;"",'13 - Config_Intake_View'!Q362,'12 - Device_Configuration'!BH363)</f>
        <v>0</v>
      </c>
      <c r="J362" s="15" t="str">
        <f>IF('13 - Config_Intake_View'!Q362&lt;&gt;"","PM Approved",IF('12 - Device_Configuration'!BH363&lt;&gt;"","Assumed",""))</f>
        <v/>
      </c>
      <c r="K362" s="23">
        <f>'12 - Device_Configuration'!BG363</f>
        <v>0</v>
      </c>
      <c r="L362" s="15">
        <f>'12 - Device_Configuration'!P363</f>
        <v>0</v>
      </c>
      <c r="M362" s="15">
        <f>'12 - Device_Configuration'!Q363</f>
        <v>0</v>
      </c>
      <c r="N362" s="15" t="str">
        <f>'12 - Device_Configuration'!BK363</f>
        <v/>
      </c>
      <c r="O362" s="23" t="str">
        <f>'12 - Device_Configuration'!BL363</f>
        <v/>
      </c>
      <c r="P362" s="2">
        <f>'12 - Device_Configuration'!BA363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'12 - Device_Configuration'!H364</f>
        <v>0</v>
      </c>
      <c r="B363" s="23">
        <f>'12 - Device_Configuration'!S364</f>
        <v>0</v>
      </c>
      <c r="C363" s="23">
        <f>'12 - Device_Configuration'!T364</f>
        <v>0</v>
      </c>
      <c r="D363" s="15">
        <f>'12 - Device_Configuration'!AJ364</f>
        <v>0</v>
      </c>
      <c r="E363" s="15">
        <f>'12 - Device_Configuration'!J364</f>
        <v>0</v>
      </c>
      <c r="F363" s="23">
        <f>'12 - Device_Configuration'!K364</f>
        <v>0</v>
      </c>
      <c r="G363" s="15">
        <f>'12 - Device_Configuration'!L364</f>
        <v>0</v>
      </c>
      <c r="H363" s="15">
        <f>'13 - Config_Intake_View'!M363</f>
        <v>0</v>
      </c>
      <c r="I363" s="23">
        <f>IF('13 - Config_Intake_View'!Q363&lt;&gt;"",'13 - Config_Intake_View'!Q363,'12 - Device_Configuration'!BH364)</f>
        <v>0</v>
      </c>
      <c r="J363" s="15" t="str">
        <f>IF('13 - Config_Intake_View'!Q363&lt;&gt;"","PM Approved",IF('12 - Device_Configuration'!BH364&lt;&gt;"","Assumed",""))</f>
        <v/>
      </c>
      <c r="K363" s="23">
        <f>'12 - Device_Configuration'!BG364</f>
        <v>0</v>
      </c>
      <c r="L363" s="15">
        <f>'12 - Device_Configuration'!P364</f>
        <v>0</v>
      </c>
      <c r="M363" s="15">
        <f>'12 - Device_Configuration'!Q364</f>
        <v>0</v>
      </c>
      <c r="N363" s="15" t="str">
        <f>'12 - Device_Configuration'!BK364</f>
        <v/>
      </c>
      <c r="O363" s="23" t="str">
        <f>'12 - Device_Configuration'!BL364</f>
        <v/>
      </c>
      <c r="P363" s="2">
        <f>'12 - Device_Configuration'!BA364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'12 - Device_Configuration'!H365</f>
        <v>0</v>
      </c>
      <c r="B364" s="23">
        <f>'12 - Device_Configuration'!S365</f>
        <v>0</v>
      </c>
      <c r="C364" s="23">
        <f>'12 - Device_Configuration'!T365</f>
        <v>0</v>
      </c>
      <c r="D364" s="15">
        <f>'12 - Device_Configuration'!AJ365</f>
        <v>0</v>
      </c>
      <c r="E364" s="15">
        <f>'12 - Device_Configuration'!J365</f>
        <v>0</v>
      </c>
      <c r="F364" s="23">
        <f>'12 - Device_Configuration'!K365</f>
        <v>0</v>
      </c>
      <c r="G364" s="15">
        <f>'12 - Device_Configuration'!L365</f>
        <v>0</v>
      </c>
      <c r="H364" s="15">
        <f>'13 - Config_Intake_View'!M364</f>
        <v>0</v>
      </c>
      <c r="I364" s="23">
        <f>IF('13 - Config_Intake_View'!Q364&lt;&gt;"",'13 - Config_Intake_View'!Q364,'12 - Device_Configuration'!BH365)</f>
        <v>0</v>
      </c>
      <c r="J364" s="15" t="str">
        <f>IF('13 - Config_Intake_View'!Q364&lt;&gt;"","PM Approved",IF('12 - Device_Configuration'!BH365&lt;&gt;"","Assumed",""))</f>
        <v/>
      </c>
      <c r="K364" s="23">
        <f>'12 - Device_Configuration'!BG365</f>
        <v>0</v>
      </c>
      <c r="L364" s="15">
        <f>'12 - Device_Configuration'!P365</f>
        <v>0</v>
      </c>
      <c r="M364" s="15">
        <f>'12 - Device_Configuration'!Q365</f>
        <v>0</v>
      </c>
      <c r="N364" s="15" t="str">
        <f>'12 - Device_Configuration'!BK365</f>
        <v/>
      </c>
      <c r="O364" s="23" t="str">
        <f>'12 - Device_Configuration'!BL365</f>
        <v/>
      </c>
      <c r="P364" s="2">
        <f>'12 - Device_Configuration'!BA365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'12 - Device_Configuration'!H366</f>
        <v>0</v>
      </c>
      <c r="B365" s="23">
        <f>'12 - Device_Configuration'!S366</f>
        <v>0</v>
      </c>
      <c r="C365" s="23">
        <f>'12 - Device_Configuration'!T366</f>
        <v>0</v>
      </c>
      <c r="D365" s="15">
        <f>'12 - Device_Configuration'!AJ366</f>
        <v>0</v>
      </c>
      <c r="E365" s="15">
        <f>'12 - Device_Configuration'!J366</f>
        <v>0</v>
      </c>
      <c r="F365" s="23">
        <f>'12 - Device_Configuration'!K366</f>
        <v>0</v>
      </c>
      <c r="G365" s="15">
        <f>'12 - Device_Configuration'!L366</f>
        <v>0</v>
      </c>
      <c r="H365" s="15">
        <f>'13 - Config_Intake_View'!M365</f>
        <v>0</v>
      </c>
      <c r="I365" s="23">
        <f>IF('13 - Config_Intake_View'!Q365&lt;&gt;"",'13 - Config_Intake_View'!Q365,'12 - Device_Configuration'!BH366)</f>
        <v>0</v>
      </c>
      <c r="J365" s="15" t="str">
        <f>IF('13 - Config_Intake_View'!Q365&lt;&gt;"","PM Approved",IF('12 - Device_Configuration'!BH366&lt;&gt;"","Assumed",""))</f>
        <v/>
      </c>
      <c r="K365" s="23">
        <f>'12 - Device_Configuration'!BG366</f>
        <v>0</v>
      </c>
      <c r="L365" s="15">
        <f>'12 - Device_Configuration'!P366</f>
        <v>0</v>
      </c>
      <c r="M365" s="15">
        <f>'12 - Device_Configuration'!Q366</f>
        <v>0</v>
      </c>
      <c r="N365" s="15" t="str">
        <f>'12 - Device_Configuration'!BK366</f>
        <v/>
      </c>
      <c r="O365" s="23" t="str">
        <f>'12 - Device_Configuration'!BL366</f>
        <v/>
      </c>
      <c r="P365" s="2">
        <f>'12 - Device_Configuration'!BA366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'12 - Device_Configuration'!H367</f>
        <v>0</v>
      </c>
      <c r="B366" s="23">
        <f>'12 - Device_Configuration'!S367</f>
        <v>0</v>
      </c>
      <c r="C366" s="23">
        <f>'12 - Device_Configuration'!T367</f>
        <v>0</v>
      </c>
      <c r="D366" s="15">
        <f>'12 - Device_Configuration'!AJ367</f>
        <v>0</v>
      </c>
      <c r="E366" s="15">
        <f>'12 - Device_Configuration'!J367</f>
        <v>0</v>
      </c>
      <c r="F366" s="23">
        <f>'12 - Device_Configuration'!K367</f>
        <v>0</v>
      </c>
      <c r="G366" s="15">
        <f>'12 - Device_Configuration'!L367</f>
        <v>0</v>
      </c>
      <c r="H366" s="15">
        <f>'13 - Config_Intake_View'!M366</f>
        <v>0</v>
      </c>
      <c r="I366" s="23">
        <f>IF('13 - Config_Intake_View'!Q366&lt;&gt;"",'13 - Config_Intake_View'!Q366,'12 - Device_Configuration'!BH367)</f>
        <v>0</v>
      </c>
      <c r="J366" s="15" t="str">
        <f>IF('13 - Config_Intake_View'!Q366&lt;&gt;"","PM Approved",IF('12 - Device_Configuration'!BH367&lt;&gt;"","Assumed",""))</f>
        <v/>
      </c>
      <c r="K366" s="23">
        <f>'12 - Device_Configuration'!BG367</f>
        <v>0</v>
      </c>
      <c r="L366" s="15">
        <f>'12 - Device_Configuration'!P367</f>
        <v>0</v>
      </c>
      <c r="M366" s="15">
        <f>'12 - Device_Configuration'!Q367</f>
        <v>0</v>
      </c>
      <c r="N366" s="15" t="str">
        <f>'12 - Device_Configuration'!BK367</f>
        <v/>
      </c>
      <c r="O366" s="23" t="str">
        <f>'12 - Device_Configuration'!BL367</f>
        <v/>
      </c>
      <c r="P366" s="2">
        <f>'12 - Device_Configuration'!BA367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'12 - Device_Configuration'!H368</f>
        <v>0</v>
      </c>
      <c r="B367" s="23">
        <f>'12 - Device_Configuration'!S368</f>
        <v>0</v>
      </c>
      <c r="C367" s="23">
        <f>'12 - Device_Configuration'!T368</f>
        <v>0</v>
      </c>
      <c r="D367" s="15">
        <f>'12 - Device_Configuration'!AJ368</f>
        <v>0</v>
      </c>
      <c r="E367" s="15">
        <f>'12 - Device_Configuration'!J368</f>
        <v>0</v>
      </c>
      <c r="F367" s="23">
        <f>'12 - Device_Configuration'!K368</f>
        <v>0</v>
      </c>
      <c r="G367" s="15">
        <f>'12 - Device_Configuration'!L368</f>
        <v>0</v>
      </c>
      <c r="H367" s="15">
        <f>'13 - Config_Intake_View'!M367</f>
        <v>0</v>
      </c>
      <c r="I367" s="23">
        <f>IF('13 - Config_Intake_View'!Q367&lt;&gt;"",'13 - Config_Intake_View'!Q367,'12 - Device_Configuration'!BH368)</f>
        <v>0</v>
      </c>
      <c r="J367" s="15" t="str">
        <f>IF('13 - Config_Intake_View'!Q367&lt;&gt;"","PM Approved",IF('12 - Device_Configuration'!BH368&lt;&gt;"","Assumed",""))</f>
        <v/>
      </c>
      <c r="K367" s="23">
        <f>'12 - Device_Configuration'!BG368</f>
        <v>0</v>
      </c>
      <c r="L367" s="15">
        <f>'12 - Device_Configuration'!P368</f>
        <v>0</v>
      </c>
      <c r="M367" s="15">
        <f>'12 - Device_Configuration'!Q368</f>
        <v>0</v>
      </c>
      <c r="N367" s="15" t="str">
        <f>'12 - Device_Configuration'!BK368</f>
        <v/>
      </c>
      <c r="O367" s="23" t="str">
        <f>'12 - Device_Configuration'!BL368</f>
        <v/>
      </c>
      <c r="P367" s="2">
        <f>'12 - Device_Configuration'!BA368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'12 - Device_Configuration'!H369</f>
        <v>0</v>
      </c>
      <c r="B368" s="23">
        <f>'12 - Device_Configuration'!S369</f>
        <v>0</v>
      </c>
      <c r="C368" s="23">
        <f>'12 - Device_Configuration'!T369</f>
        <v>0</v>
      </c>
      <c r="D368" s="15">
        <f>'12 - Device_Configuration'!AJ369</f>
        <v>0</v>
      </c>
      <c r="E368" s="15">
        <f>'12 - Device_Configuration'!J369</f>
        <v>0</v>
      </c>
      <c r="F368" s="23">
        <f>'12 - Device_Configuration'!K369</f>
        <v>0</v>
      </c>
      <c r="G368" s="15">
        <f>'12 - Device_Configuration'!L369</f>
        <v>0</v>
      </c>
      <c r="H368" s="15">
        <f>'13 - Config_Intake_View'!M368</f>
        <v>0</v>
      </c>
      <c r="I368" s="23">
        <f>IF('13 - Config_Intake_View'!Q368&lt;&gt;"",'13 - Config_Intake_View'!Q368,'12 - Device_Configuration'!BH369)</f>
        <v>0</v>
      </c>
      <c r="J368" s="15" t="str">
        <f>IF('13 - Config_Intake_View'!Q368&lt;&gt;"","PM Approved",IF('12 - Device_Configuration'!BH369&lt;&gt;"","Assumed",""))</f>
        <v/>
      </c>
      <c r="K368" s="23">
        <f>'12 - Device_Configuration'!BG369</f>
        <v>0</v>
      </c>
      <c r="L368" s="15">
        <f>'12 - Device_Configuration'!P369</f>
        <v>0</v>
      </c>
      <c r="M368" s="15">
        <f>'12 - Device_Configuration'!Q369</f>
        <v>0</v>
      </c>
      <c r="N368" s="15" t="str">
        <f>'12 - Device_Configuration'!BK369</f>
        <v/>
      </c>
      <c r="O368" s="23" t="str">
        <f>'12 - Device_Configuration'!BL369</f>
        <v/>
      </c>
      <c r="P368" s="2">
        <f>'12 - Device_Configuration'!BA369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'12 - Device_Configuration'!H370</f>
        <v>0</v>
      </c>
      <c r="B369" s="23">
        <f>'12 - Device_Configuration'!S370</f>
        <v>0</v>
      </c>
      <c r="C369" s="23">
        <f>'12 - Device_Configuration'!T370</f>
        <v>0</v>
      </c>
      <c r="D369" s="15">
        <f>'12 - Device_Configuration'!AJ370</f>
        <v>0</v>
      </c>
      <c r="E369" s="15">
        <f>'12 - Device_Configuration'!J370</f>
        <v>0</v>
      </c>
      <c r="F369" s="23">
        <f>'12 - Device_Configuration'!K370</f>
        <v>0</v>
      </c>
      <c r="G369" s="15">
        <f>'12 - Device_Configuration'!L370</f>
        <v>0</v>
      </c>
      <c r="H369" s="15">
        <f>'13 - Config_Intake_View'!M369</f>
        <v>0</v>
      </c>
      <c r="I369" s="23">
        <f>IF('13 - Config_Intake_View'!Q369&lt;&gt;"",'13 - Config_Intake_View'!Q369,'12 - Device_Configuration'!BH370)</f>
        <v>0</v>
      </c>
      <c r="J369" s="15" t="str">
        <f>IF('13 - Config_Intake_View'!Q369&lt;&gt;"","PM Approved",IF('12 - Device_Configuration'!BH370&lt;&gt;"","Assumed",""))</f>
        <v/>
      </c>
      <c r="K369" s="23">
        <f>'12 - Device_Configuration'!BG370</f>
        <v>0</v>
      </c>
      <c r="L369" s="15">
        <f>'12 - Device_Configuration'!P370</f>
        <v>0</v>
      </c>
      <c r="M369" s="15">
        <f>'12 - Device_Configuration'!Q370</f>
        <v>0</v>
      </c>
      <c r="N369" s="15" t="str">
        <f>'12 - Device_Configuration'!BK370</f>
        <v/>
      </c>
      <c r="O369" s="23" t="str">
        <f>'12 - Device_Configuration'!BL370</f>
        <v/>
      </c>
      <c r="P369" s="2">
        <f>'12 - Device_Configuration'!BA370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'12 - Device_Configuration'!H371</f>
        <v>0</v>
      </c>
      <c r="B370" s="23">
        <f>'12 - Device_Configuration'!S371</f>
        <v>0</v>
      </c>
      <c r="C370" s="23">
        <f>'12 - Device_Configuration'!T371</f>
        <v>0</v>
      </c>
      <c r="D370" s="15">
        <f>'12 - Device_Configuration'!AJ371</f>
        <v>0</v>
      </c>
      <c r="E370" s="15">
        <f>'12 - Device_Configuration'!J371</f>
        <v>0</v>
      </c>
      <c r="F370" s="23">
        <f>'12 - Device_Configuration'!K371</f>
        <v>0</v>
      </c>
      <c r="G370" s="15">
        <f>'12 - Device_Configuration'!L371</f>
        <v>0</v>
      </c>
      <c r="H370" s="15">
        <f>'13 - Config_Intake_View'!M370</f>
        <v>0</v>
      </c>
      <c r="I370" s="23">
        <f>IF('13 - Config_Intake_View'!Q370&lt;&gt;"",'13 - Config_Intake_View'!Q370,'12 - Device_Configuration'!BH371)</f>
        <v>0</v>
      </c>
      <c r="J370" s="15" t="str">
        <f>IF('13 - Config_Intake_View'!Q370&lt;&gt;"","PM Approved",IF('12 - Device_Configuration'!BH371&lt;&gt;"","Assumed",""))</f>
        <v/>
      </c>
      <c r="K370" s="23">
        <f>'12 - Device_Configuration'!BG371</f>
        <v>0</v>
      </c>
      <c r="L370" s="15">
        <f>'12 - Device_Configuration'!P371</f>
        <v>0</v>
      </c>
      <c r="M370" s="15">
        <f>'12 - Device_Configuration'!Q371</f>
        <v>0</v>
      </c>
      <c r="N370" s="15" t="str">
        <f>'12 - Device_Configuration'!BK371</f>
        <v/>
      </c>
      <c r="O370" s="23" t="str">
        <f>'12 - Device_Configuration'!BL371</f>
        <v/>
      </c>
      <c r="P370" s="2">
        <f>'12 - Device_Configuration'!BA371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'12 - Device_Configuration'!H372</f>
        <v>0</v>
      </c>
      <c r="B371" s="23">
        <f>'12 - Device_Configuration'!S372</f>
        <v>0</v>
      </c>
      <c r="C371" s="23">
        <f>'12 - Device_Configuration'!T372</f>
        <v>0</v>
      </c>
      <c r="D371" s="15">
        <f>'12 - Device_Configuration'!AJ372</f>
        <v>0</v>
      </c>
      <c r="E371" s="15">
        <f>'12 - Device_Configuration'!J372</f>
        <v>0</v>
      </c>
      <c r="F371" s="23">
        <f>'12 - Device_Configuration'!K372</f>
        <v>0</v>
      </c>
      <c r="G371" s="15">
        <f>'12 - Device_Configuration'!L372</f>
        <v>0</v>
      </c>
      <c r="H371" s="15">
        <f>'13 - Config_Intake_View'!M371</f>
        <v>0</v>
      </c>
      <c r="I371" s="23">
        <f>IF('13 - Config_Intake_View'!Q371&lt;&gt;"",'13 - Config_Intake_View'!Q371,'12 - Device_Configuration'!BH372)</f>
        <v>0</v>
      </c>
      <c r="J371" s="15" t="str">
        <f>IF('13 - Config_Intake_View'!Q371&lt;&gt;"","PM Approved",IF('12 - Device_Configuration'!BH372&lt;&gt;"","Assumed",""))</f>
        <v/>
      </c>
      <c r="K371" s="23">
        <f>'12 - Device_Configuration'!BG372</f>
        <v>0</v>
      </c>
      <c r="L371" s="15">
        <f>'12 - Device_Configuration'!P372</f>
        <v>0</v>
      </c>
      <c r="M371" s="15">
        <f>'12 - Device_Configuration'!Q372</f>
        <v>0</v>
      </c>
      <c r="N371" s="15" t="str">
        <f>'12 - Device_Configuration'!BK372</f>
        <v/>
      </c>
      <c r="O371" s="23" t="str">
        <f>'12 - Device_Configuration'!BL372</f>
        <v/>
      </c>
      <c r="P371" s="2">
        <f>'12 - Device_Configuration'!BA372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'12 - Device_Configuration'!H373</f>
        <v>0</v>
      </c>
      <c r="B372" s="23">
        <f>'12 - Device_Configuration'!S373</f>
        <v>0</v>
      </c>
      <c r="C372" s="23">
        <f>'12 - Device_Configuration'!T373</f>
        <v>0</v>
      </c>
      <c r="D372" s="15">
        <f>'12 - Device_Configuration'!AJ373</f>
        <v>0</v>
      </c>
      <c r="E372" s="15">
        <f>'12 - Device_Configuration'!J373</f>
        <v>0</v>
      </c>
      <c r="F372" s="23">
        <f>'12 - Device_Configuration'!K373</f>
        <v>0</v>
      </c>
      <c r="G372" s="15">
        <f>'12 - Device_Configuration'!L373</f>
        <v>0</v>
      </c>
      <c r="H372" s="15">
        <f>'13 - Config_Intake_View'!M372</f>
        <v>0</v>
      </c>
      <c r="I372" s="23">
        <f>IF('13 - Config_Intake_View'!Q372&lt;&gt;"",'13 - Config_Intake_View'!Q372,'12 - Device_Configuration'!BH373)</f>
        <v>0</v>
      </c>
      <c r="J372" s="15" t="str">
        <f>IF('13 - Config_Intake_View'!Q372&lt;&gt;"","PM Approved",IF('12 - Device_Configuration'!BH373&lt;&gt;"","Assumed",""))</f>
        <v/>
      </c>
      <c r="K372" s="23">
        <f>'12 - Device_Configuration'!BG373</f>
        <v>0</v>
      </c>
      <c r="L372" s="15">
        <f>'12 - Device_Configuration'!P373</f>
        <v>0</v>
      </c>
      <c r="M372" s="15">
        <f>'12 - Device_Configuration'!Q373</f>
        <v>0</v>
      </c>
      <c r="N372" s="15" t="str">
        <f>'12 - Device_Configuration'!BK373</f>
        <v/>
      </c>
      <c r="O372" s="23" t="str">
        <f>'12 - Device_Configuration'!BL373</f>
        <v/>
      </c>
      <c r="P372" s="2">
        <f>'12 - Device_Configuration'!BA373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'12 - Device_Configuration'!H374</f>
        <v>0</v>
      </c>
      <c r="B373" s="23">
        <f>'12 - Device_Configuration'!S374</f>
        <v>0</v>
      </c>
      <c r="C373" s="23">
        <f>'12 - Device_Configuration'!T374</f>
        <v>0</v>
      </c>
      <c r="D373" s="15">
        <f>'12 - Device_Configuration'!AJ374</f>
        <v>0</v>
      </c>
      <c r="E373" s="15">
        <f>'12 - Device_Configuration'!J374</f>
        <v>0</v>
      </c>
      <c r="F373" s="23">
        <f>'12 - Device_Configuration'!K374</f>
        <v>0</v>
      </c>
      <c r="G373" s="15">
        <f>'12 - Device_Configuration'!L374</f>
        <v>0</v>
      </c>
      <c r="H373" s="15">
        <f>'13 - Config_Intake_View'!M373</f>
        <v>0</v>
      </c>
      <c r="I373" s="23">
        <f>IF('13 - Config_Intake_View'!Q373&lt;&gt;"",'13 - Config_Intake_View'!Q373,'12 - Device_Configuration'!BH374)</f>
        <v>0</v>
      </c>
      <c r="J373" s="15" t="str">
        <f>IF('13 - Config_Intake_View'!Q373&lt;&gt;"","PM Approved",IF('12 - Device_Configuration'!BH374&lt;&gt;"","Assumed",""))</f>
        <v/>
      </c>
      <c r="K373" s="23">
        <f>'12 - Device_Configuration'!BG374</f>
        <v>0</v>
      </c>
      <c r="L373" s="15">
        <f>'12 - Device_Configuration'!P374</f>
        <v>0</v>
      </c>
      <c r="M373" s="15">
        <f>'12 - Device_Configuration'!Q374</f>
        <v>0</v>
      </c>
      <c r="N373" s="15" t="str">
        <f>'12 - Device_Configuration'!BK374</f>
        <v/>
      </c>
      <c r="O373" s="23" t="str">
        <f>'12 - Device_Configuration'!BL374</f>
        <v/>
      </c>
      <c r="P373" s="2">
        <f>'12 - Device_Configuration'!BA374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'12 - Device_Configuration'!H375</f>
        <v>0</v>
      </c>
      <c r="B374" s="23">
        <f>'12 - Device_Configuration'!S375</f>
        <v>0</v>
      </c>
      <c r="C374" s="23">
        <f>'12 - Device_Configuration'!T375</f>
        <v>0</v>
      </c>
      <c r="D374" s="15">
        <f>'12 - Device_Configuration'!AJ375</f>
        <v>0</v>
      </c>
      <c r="E374" s="15">
        <f>'12 - Device_Configuration'!J375</f>
        <v>0</v>
      </c>
      <c r="F374" s="23">
        <f>'12 - Device_Configuration'!K375</f>
        <v>0</v>
      </c>
      <c r="G374" s="15">
        <f>'12 - Device_Configuration'!L375</f>
        <v>0</v>
      </c>
      <c r="H374" s="15">
        <f>'13 - Config_Intake_View'!M374</f>
        <v>0</v>
      </c>
      <c r="I374" s="23">
        <f>IF('13 - Config_Intake_View'!Q374&lt;&gt;"",'13 - Config_Intake_View'!Q374,'12 - Device_Configuration'!BH375)</f>
        <v>0</v>
      </c>
      <c r="J374" s="15" t="str">
        <f>IF('13 - Config_Intake_View'!Q374&lt;&gt;"","PM Approved",IF('12 - Device_Configuration'!BH375&lt;&gt;"","Assumed",""))</f>
        <v/>
      </c>
      <c r="K374" s="23">
        <f>'12 - Device_Configuration'!BG375</f>
        <v>0</v>
      </c>
      <c r="L374" s="15">
        <f>'12 - Device_Configuration'!P375</f>
        <v>0</v>
      </c>
      <c r="M374" s="15">
        <f>'12 - Device_Configuration'!Q375</f>
        <v>0</v>
      </c>
      <c r="N374" s="15" t="str">
        <f>'12 - Device_Configuration'!BK375</f>
        <v/>
      </c>
      <c r="O374" s="23" t="str">
        <f>'12 - Device_Configuration'!BL375</f>
        <v/>
      </c>
      <c r="P374" s="2">
        <f>'12 - Device_Configuration'!BA375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'12 - Device_Configuration'!H376</f>
        <v>0</v>
      </c>
      <c r="B375" s="23">
        <f>'12 - Device_Configuration'!S376</f>
        <v>0</v>
      </c>
      <c r="C375" s="23">
        <f>'12 - Device_Configuration'!T376</f>
        <v>0</v>
      </c>
      <c r="D375" s="15">
        <f>'12 - Device_Configuration'!AJ376</f>
        <v>0</v>
      </c>
      <c r="E375" s="15">
        <f>'12 - Device_Configuration'!J376</f>
        <v>0</v>
      </c>
      <c r="F375" s="23">
        <f>'12 - Device_Configuration'!K376</f>
        <v>0</v>
      </c>
      <c r="G375" s="15">
        <f>'12 - Device_Configuration'!L376</f>
        <v>0</v>
      </c>
      <c r="H375" s="15">
        <f>'13 - Config_Intake_View'!M375</f>
        <v>0</v>
      </c>
      <c r="I375" s="23">
        <f>IF('13 - Config_Intake_View'!Q375&lt;&gt;"",'13 - Config_Intake_View'!Q375,'12 - Device_Configuration'!BH376)</f>
        <v>0</v>
      </c>
      <c r="J375" s="15" t="str">
        <f>IF('13 - Config_Intake_View'!Q375&lt;&gt;"","PM Approved",IF('12 - Device_Configuration'!BH376&lt;&gt;"","Assumed",""))</f>
        <v/>
      </c>
      <c r="K375" s="23">
        <f>'12 - Device_Configuration'!BG376</f>
        <v>0</v>
      </c>
      <c r="L375" s="15">
        <f>'12 - Device_Configuration'!P376</f>
        <v>0</v>
      </c>
      <c r="M375" s="15">
        <f>'12 - Device_Configuration'!Q376</f>
        <v>0</v>
      </c>
      <c r="N375" s="15" t="str">
        <f>'12 - Device_Configuration'!BK376</f>
        <v/>
      </c>
      <c r="O375" s="23" t="str">
        <f>'12 - Device_Configuration'!BL376</f>
        <v/>
      </c>
      <c r="P375" s="2">
        <f>'12 - Device_Configuration'!BA376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'12 - Device_Configuration'!H377</f>
        <v>0</v>
      </c>
      <c r="B376" s="23">
        <f>'12 - Device_Configuration'!S377</f>
        <v>0</v>
      </c>
      <c r="C376" s="23">
        <f>'12 - Device_Configuration'!T377</f>
        <v>0</v>
      </c>
      <c r="D376" s="15">
        <f>'12 - Device_Configuration'!AJ377</f>
        <v>0</v>
      </c>
      <c r="E376" s="15">
        <f>'12 - Device_Configuration'!J377</f>
        <v>0</v>
      </c>
      <c r="F376" s="23">
        <f>'12 - Device_Configuration'!K377</f>
        <v>0</v>
      </c>
      <c r="G376" s="15">
        <f>'12 - Device_Configuration'!L377</f>
        <v>0</v>
      </c>
      <c r="H376" s="15">
        <f>'13 - Config_Intake_View'!M376</f>
        <v>0</v>
      </c>
      <c r="I376" s="23">
        <f>IF('13 - Config_Intake_View'!Q376&lt;&gt;"",'13 - Config_Intake_View'!Q376,'12 - Device_Configuration'!BH377)</f>
        <v>0</v>
      </c>
      <c r="J376" s="15" t="str">
        <f>IF('13 - Config_Intake_View'!Q376&lt;&gt;"","PM Approved",IF('12 - Device_Configuration'!BH377&lt;&gt;"","Assumed",""))</f>
        <v/>
      </c>
      <c r="K376" s="23">
        <f>'12 - Device_Configuration'!BG377</f>
        <v>0</v>
      </c>
      <c r="L376" s="15">
        <f>'12 - Device_Configuration'!P377</f>
        <v>0</v>
      </c>
      <c r="M376" s="15">
        <f>'12 - Device_Configuration'!Q377</f>
        <v>0</v>
      </c>
      <c r="N376" s="15" t="str">
        <f>'12 - Device_Configuration'!BK377</f>
        <v/>
      </c>
      <c r="O376" s="23" t="str">
        <f>'12 - Device_Configuration'!BL377</f>
        <v/>
      </c>
      <c r="P376" s="2">
        <f>'12 - Device_Configuration'!BA377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'12 - Device_Configuration'!H378</f>
        <v>0</v>
      </c>
      <c r="B377" s="23">
        <f>'12 - Device_Configuration'!S378</f>
        <v>0</v>
      </c>
      <c r="C377" s="23">
        <f>'12 - Device_Configuration'!T378</f>
        <v>0</v>
      </c>
      <c r="D377" s="15">
        <f>'12 - Device_Configuration'!AJ378</f>
        <v>0</v>
      </c>
      <c r="E377" s="15">
        <f>'12 - Device_Configuration'!J378</f>
        <v>0</v>
      </c>
      <c r="F377" s="23">
        <f>'12 - Device_Configuration'!K378</f>
        <v>0</v>
      </c>
      <c r="G377" s="15">
        <f>'12 - Device_Configuration'!L378</f>
        <v>0</v>
      </c>
      <c r="H377" s="15">
        <f>'13 - Config_Intake_View'!M377</f>
        <v>0</v>
      </c>
      <c r="I377" s="23">
        <f>IF('13 - Config_Intake_View'!Q377&lt;&gt;"",'13 - Config_Intake_View'!Q377,'12 - Device_Configuration'!BH378)</f>
        <v>0</v>
      </c>
      <c r="J377" s="15" t="str">
        <f>IF('13 - Config_Intake_View'!Q377&lt;&gt;"","PM Approved",IF('12 - Device_Configuration'!BH378&lt;&gt;"","Assumed",""))</f>
        <v/>
      </c>
      <c r="K377" s="23">
        <f>'12 - Device_Configuration'!BG378</f>
        <v>0</v>
      </c>
      <c r="L377" s="15">
        <f>'12 - Device_Configuration'!P378</f>
        <v>0</v>
      </c>
      <c r="M377" s="15">
        <f>'12 - Device_Configuration'!Q378</f>
        <v>0</v>
      </c>
      <c r="N377" s="15" t="str">
        <f>'12 - Device_Configuration'!BK378</f>
        <v/>
      </c>
      <c r="O377" s="23" t="str">
        <f>'12 - Device_Configuration'!BL378</f>
        <v/>
      </c>
      <c r="P377" s="2">
        <f>'12 - Device_Configuration'!BA378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'12 - Device_Configuration'!H379</f>
        <v>0</v>
      </c>
      <c r="B378" s="23">
        <f>'12 - Device_Configuration'!S379</f>
        <v>0</v>
      </c>
      <c r="C378" s="23">
        <f>'12 - Device_Configuration'!T379</f>
        <v>0</v>
      </c>
      <c r="D378" s="15">
        <f>'12 - Device_Configuration'!AJ379</f>
        <v>0</v>
      </c>
      <c r="E378" s="15">
        <f>'12 - Device_Configuration'!J379</f>
        <v>0</v>
      </c>
      <c r="F378" s="23">
        <f>'12 - Device_Configuration'!K379</f>
        <v>0</v>
      </c>
      <c r="G378" s="15">
        <f>'12 - Device_Configuration'!L379</f>
        <v>0</v>
      </c>
      <c r="H378" s="15">
        <f>'13 - Config_Intake_View'!M378</f>
        <v>0</v>
      </c>
      <c r="I378" s="23">
        <f>IF('13 - Config_Intake_View'!Q378&lt;&gt;"",'13 - Config_Intake_View'!Q378,'12 - Device_Configuration'!BH379)</f>
        <v>0</v>
      </c>
      <c r="J378" s="15" t="str">
        <f>IF('13 - Config_Intake_View'!Q378&lt;&gt;"","PM Approved",IF('12 - Device_Configuration'!BH379&lt;&gt;"","Assumed",""))</f>
        <v/>
      </c>
      <c r="K378" s="23">
        <f>'12 - Device_Configuration'!BG379</f>
        <v>0</v>
      </c>
      <c r="L378" s="15">
        <f>'12 - Device_Configuration'!P379</f>
        <v>0</v>
      </c>
      <c r="M378" s="15">
        <f>'12 - Device_Configuration'!Q379</f>
        <v>0</v>
      </c>
      <c r="N378" s="15" t="str">
        <f>'12 - Device_Configuration'!BK379</f>
        <v/>
      </c>
      <c r="O378" s="23" t="str">
        <f>'12 - Device_Configuration'!BL379</f>
        <v/>
      </c>
      <c r="P378" s="2">
        <f>'12 - Device_Configuration'!BA379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'12 - Device_Configuration'!H380</f>
        <v>0</v>
      </c>
      <c r="B379" s="23">
        <f>'12 - Device_Configuration'!S380</f>
        <v>0</v>
      </c>
      <c r="C379" s="23">
        <f>'12 - Device_Configuration'!T380</f>
        <v>0</v>
      </c>
      <c r="D379" s="15">
        <f>'12 - Device_Configuration'!AJ380</f>
        <v>0</v>
      </c>
      <c r="E379" s="15">
        <f>'12 - Device_Configuration'!J380</f>
        <v>0</v>
      </c>
      <c r="F379" s="23">
        <f>'12 - Device_Configuration'!K380</f>
        <v>0</v>
      </c>
      <c r="G379" s="15">
        <f>'12 - Device_Configuration'!L380</f>
        <v>0</v>
      </c>
      <c r="H379" s="15">
        <f>'13 - Config_Intake_View'!M379</f>
        <v>0</v>
      </c>
      <c r="I379" s="23">
        <f>IF('13 - Config_Intake_View'!Q379&lt;&gt;"",'13 - Config_Intake_View'!Q379,'12 - Device_Configuration'!BH380)</f>
        <v>0</v>
      </c>
      <c r="J379" s="15" t="str">
        <f>IF('13 - Config_Intake_View'!Q379&lt;&gt;"","PM Approved",IF('12 - Device_Configuration'!BH380&lt;&gt;"","Assumed",""))</f>
        <v/>
      </c>
      <c r="K379" s="23">
        <f>'12 - Device_Configuration'!BG380</f>
        <v>0</v>
      </c>
      <c r="L379" s="15">
        <f>'12 - Device_Configuration'!P380</f>
        <v>0</v>
      </c>
      <c r="M379" s="15">
        <f>'12 - Device_Configuration'!Q380</f>
        <v>0</v>
      </c>
      <c r="N379" s="15" t="str">
        <f>'12 - Device_Configuration'!BK380</f>
        <v/>
      </c>
      <c r="O379" s="23" t="str">
        <f>'12 - Device_Configuration'!BL380</f>
        <v/>
      </c>
      <c r="P379" s="2">
        <f>'12 - Device_Configuration'!BA380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'12 - Device_Configuration'!H381</f>
        <v>0</v>
      </c>
      <c r="B380" s="23">
        <f>'12 - Device_Configuration'!S381</f>
        <v>0</v>
      </c>
      <c r="C380" s="23">
        <f>'12 - Device_Configuration'!T381</f>
        <v>0</v>
      </c>
      <c r="D380" s="15">
        <f>'12 - Device_Configuration'!AJ381</f>
        <v>0</v>
      </c>
      <c r="E380" s="15">
        <f>'12 - Device_Configuration'!J381</f>
        <v>0</v>
      </c>
      <c r="F380" s="23">
        <f>'12 - Device_Configuration'!K381</f>
        <v>0</v>
      </c>
      <c r="G380" s="15">
        <f>'12 - Device_Configuration'!L381</f>
        <v>0</v>
      </c>
      <c r="H380" s="15">
        <f>'13 - Config_Intake_View'!M380</f>
        <v>0</v>
      </c>
      <c r="I380" s="23">
        <f>IF('13 - Config_Intake_View'!Q380&lt;&gt;"",'13 - Config_Intake_View'!Q380,'12 - Device_Configuration'!BH381)</f>
        <v>0</v>
      </c>
      <c r="J380" s="15" t="str">
        <f>IF('13 - Config_Intake_View'!Q380&lt;&gt;"","PM Approved",IF('12 - Device_Configuration'!BH381&lt;&gt;"","Assumed",""))</f>
        <v/>
      </c>
      <c r="K380" s="23">
        <f>'12 - Device_Configuration'!BG381</f>
        <v>0</v>
      </c>
      <c r="L380" s="15">
        <f>'12 - Device_Configuration'!P381</f>
        <v>0</v>
      </c>
      <c r="M380" s="15">
        <f>'12 - Device_Configuration'!Q381</f>
        <v>0</v>
      </c>
      <c r="N380" s="15" t="str">
        <f>'12 - Device_Configuration'!BK381</f>
        <v/>
      </c>
      <c r="O380" s="23" t="str">
        <f>'12 - Device_Configuration'!BL381</f>
        <v/>
      </c>
      <c r="P380" s="2">
        <f>'12 - Device_Configuration'!BA381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'12 - Device_Configuration'!H382</f>
        <v>0</v>
      </c>
      <c r="B381" s="23">
        <f>'12 - Device_Configuration'!S382</f>
        <v>0</v>
      </c>
      <c r="C381" s="23">
        <f>'12 - Device_Configuration'!T382</f>
        <v>0</v>
      </c>
      <c r="D381" s="15">
        <f>'12 - Device_Configuration'!AJ382</f>
        <v>0</v>
      </c>
      <c r="E381" s="15">
        <f>'12 - Device_Configuration'!J382</f>
        <v>0</v>
      </c>
      <c r="F381" s="23">
        <f>'12 - Device_Configuration'!K382</f>
        <v>0</v>
      </c>
      <c r="G381" s="15">
        <f>'12 - Device_Configuration'!L382</f>
        <v>0</v>
      </c>
      <c r="H381" s="15">
        <f>'13 - Config_Intake_View'!M381</f>
        <v>0</v>
      </c>
      <c r="I381" s="23">
        <f>IF('13 - Config_Intake_View'!Q381&lt;&gt;"",'13 - Config_Intake_View'!Q381,'12 - Device_Configuration'!BH382)</f>
        <v>0</v>
      </c>
      <c r="J381" s="15" t="str">
        <f>IF('13 - Config_Intake_View'!Q381&lt;&gt;"","PM Approved",IF('12 - Device_Configuration'!BH382&lt;&gt;"","Assumed",""))</f>
        <v/>
      </c>
      <c r="K381" s="23">
        <f>'12 - Device_Configuration'!BG382</f>
        <v>0</v>
      </c>
      <c r="L381" s="15">
        <f>'12 - Device_Configuration'!P382</f>
        <v>0</v>
      </c>
      <c r="M381" s="15">
        <f>'12 - Device_Configuration'!Q382</f>
        <v>0</v>
      </c>
      <c r="N381" s="15" t="str">
        <f>'12 - Device_Configuration'!BK382</f>
        <v/>
      </c>
      <c r="O381" s="23" t="str">
        <f>'12 - Device_Configuration'!BL382</f>
        <v/>
      </c>
      <c r="P381" s="2">
        <f>'12 - Device_Configuration'!BA382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'12 - Device_Configuration'!H383</f>
        <v>0</v>
      </c>
      <c r="B382" s="23">
        <f>'12 - Device_Configuration'!S383</f>
        <v>0</v>
      </c>
      <c r="C382" s="23">
        <f>'12 - Device_Configuration'!T383</f>
        <v>0</v>
      </c>
      <c r="D382" s="15">
        <f>'12 - Device_Configuration'!AJ383</f>
        <v>0</v>
      </c>
      <c r="E382" s="15">
        <f>'12 - Device_Configuration'!J383</f>
        <v>0</v>
      </c>
      <c r="F382" s="23">
        <f>'12 - Device_Configuration'!K383</f>
        <v>0</v>
      </c>
      <c r="G382" s="15">
        <f>'12 - Device_Configuration'!L383</f>
        <v>0</v>
      </c>
      <c r="H382" s="15">
        <f>'13 - Config_Intake_View'!M382</f>
        <v>0</v>
      </c>
      <c r="I382" s="23">
        <f>IF('13 - Config_Intake_View'!Q382&lt;&gt;"",'13 - Config_Intake_View'!Q382,'12 - Device_Configuration'!BH383)</f>
        <v>0</v>
      </c>
      <c r="J382" s="15" t="str">
        <f>IF('13 - Config_Intake_View'!Q382&lt;&gt;"","PM Approved",IF('12 - Device_Configuration'!BH383&lt;&gt;"","Assumed",""))</f>
        <v/>
      </c>
      <c r="K382" s="23">
        <f>'12 - Device_Configuration'!BG383</f>
        <v>0</v>
      </c>
      <c r="L382" s="15">
        <f>'12 - Device_Configuration'!P383</f>
        <v>0</v>
      </c>
      <c r="M382" s="15">
        <f>'12 - Device_Configuration'!Q383</f>
        <v>0</v>
      </c>
      <c r="N382" s="15" t="str">
        <f>'12 - Device_Configuration'!BK383</f>
        <v/>
      </c>
      <c r="O382" s="23" t="str">
        <f>'12 - Device_Configuration'!BL383</f>
        <v/>
      </c>
      <c r="P382" s="2">
        <f>'12 - Device_Configuration'!BA383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'12 - Device_Configuration'!H384</f>
        <v>0</v>
      </c>
      <c r="B383" s="23">
        <f>'12 - Device_Configuration'!S384</f>
        <v>0</v>
      </c>
      <c r="C383" s="23">
        <f>'12 - Device_Configuration'!T384</f>
        <v>0</v>
      </c>
      <c r="D383" s="15">
        <f>'12 - Device_Configuration'!AJ384</f>
        <v>0</v>
      </c>
      <c r="E383" s="15">
        <f>'12 - Device_Configuration'!J384</f>
        <v>0</v>
      </c>
      <c r="F383" s="23">
        <f>'12 - Device_Configuration'!K384</f>
        <v>0</v>
      </c>
      <c r="G383" s="15">
        <f>'12 - Device_Configuration'!L384</f>
        <v>0</v>
      </c>
      <c r="H383" s="15">
        <f>'13 - Config_Intake_View'!M383</f>
        <v>0</v>
      </c>
      <c r="I383" s="23">
        <f>IF('13 - Config_Intake_View'!Q383&lt;&gt;"",'13 - Config_Intake_View'!Q383,'12 - Device_Configuration'!BH384)</f>
        <v>0</v>
      </c>
      <c r="J383" s="15" t="str">
        <f>IF('13 - Config_Intake_View'!Q383&lt;&gt;"","PM Approved",IF('12 - Device_Configuration'!BH384&lt;&gt;"","Assumed",""))</f>
        <v/>
      </c>
      <c r="K383" s="23">
        <f>'12 - Device_Configuration'!BG384</f>
        <v>0</v>
      </c>
      <c r="L383" s="15">
        <f>'12 - Device_Configuration'!P384</f>
        <v>0</v>
      </c>
      <c r="M383" s="15">
        <f>'12 - Device_Configuration'!Q384</f>
        <v>0</v>
      </c>
      <c r="N383" s="15" t="str">
        <f>'12 - Device_Configuration'!BK384</f>
        <v/>
      </c>
      <c r="O383" s="23" t="str">
        <f>'12 - Device_Configuration'!BL384</f>
        <v/>
      </c>
      <c r="P383" s="2">
        <f>'12 - Device_Configuration'!BA384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'12 - Device_Configuration'!H385</f>
        <v>0</v>
      </c>
      <c r="B384" s="23">
        <f>'12 - Device_Configuration'!S385</f>
        <v>0</v>
      </c>
      <c r="C384" s="23">
        <f>'12 - Device_Configuration'!T385</f>
        <v>0</v>
      </c>
      <c r="D384" s="15">
        <f>'12 - Device_Configuration'!AJ385</f>
        <v>0</v>
      </c>
      <c r="E384" s="15">
        <f>'12 - Device_Configuration'!J385</f>
        <v>0</v>
      </c>
      <c r="F384" s="23">
        <f>'12 - Device_Configuration'!K385</f>
        <v>0</v>
      </c>
      <c r="G384" s="15">
        <f>'12 - Device_Configuration'!L385</f>
        <v>0</v>
      </c>
      <c r="H384" s="15">
        <f>'13 - Config_Intake_View'!M384</f>
        <v>0</v>
      </c>
      <c r="I384" s="23">
        <f>IF('13 - Config_Intake_View'!Q384&lt;&gt;"",'13 - Config_Intake_View'!Q384,'12 - Device_Configuration'!BH385)</f>
        <v>0</v>
      </c>
      <c r="J384" s="15" t="str">
        <f>IF('13 - Config_Intake_View'!Q384&lt;&gt;"","PM Approved",IF('12 - Device_Configuration'!BH385&lt;&gt;"","Assumed",""))</f>
        <v/>
      </c>
      <c r="K384" s="23">
        <f>'12 - Device_Configuration'!BG385</f>
        <v>0</v>
      </c>
      <c r="L384" s="15">
        <f>'12 - Device_Configuration'!P385</f>
        <v>0</v>
      </c>
      <c r="M384" s="15">
        <f>'12 - Device_Configuration'!Q385</f>
        <v>0</v>
      </c>
      <c r="N384" s="15" t="str">
        <f>'12 - Device_Configuration'!BK385</f>
        <v/>
      </c>
      <c r="O384" s="23" t="str">
        <f>'12 - Device_Configuration'!BL385</f>
        <v/>
      </c>
      <c r="P384" s="2">
        <f>'12 - Device_Configuration'!BA385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'12 - Device_Configuration'!H386</f>
        <v>0</v>
      </c>
      <c r="B385" s="23">
        <f>'12 - Device_Configuration'!S386</f>
        <v>0</v>
      </c>
      <c r="C385" s="23">
        <f>'12 - Device_Configuration'!T386</f>
        <v>0</v>
      </c>
      <c r="D385" s="15">
        <f>'12 - Device_Configuration'!AJ386</f>
        <v>0</v>
      </c>
      <c r="E385" s="15">
        <f>'12 - Device_Configuration'!J386</f>
        <v>0</v>
      </c>
      <c r="F385" s="23">
        <f>'12 - Device_Configuration'!K386</f>
        <v>0</v>
      </c>
      <c r="G385" s="15">
        <f>'12 - Device_Configuration'!L386</f>
        <v>0</v>
      </c>
      <c r="H385" s="15">
        <f>'13 - Config_Intake_View'!M385</f>
        <v>0</v>
      </c>
      <c r="I385" s="23">
        <f>IF('13 - Config_Intake_View'!Q385&lt;&gt;"",'13 - Config_Intake_View'!Q385,'12 - Device_Configuration'!BH386)</f>
        <v>0</v>
      </c>
      <c r="J385" s="15" t="str">
        <f>IF('13 - Config_Intake_View'!Q385&lt;&gt;"","PM Approved",IF('12 - Device_Configuration'!BH386&lt;&gt;"","Assumed",""))</f>
        <v/>
      </c>
      <c r="K385" s="23">
        <f>'12 - Device_Configuration'!BG386</f>
        <v>0</v>
      </c>
      <c r="L385" s="15">
        <f>'12 - Device_Configuration'!P386</f>
        <v>0</v>
      </c>
      <c r="M385" s="15">
        <f>'12 - Device_Configuration'!Q386</f>
        <v>0</v>
      </c>
      <c r="N385" s="15" t="str">
        <f>'12 - Device_Configuration'!BK386</f>
        <v/>
      </c>
      <c r="O385" s="23" t="str">
        <f>'12 - Device_Configuration'!BL386</f>
        <v/>
      </c>
      <c r="P385" s="2">
        <f>'12 - Device_Configuration'!BA386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'12 - Device_Configuration'!H387</f>
        <v>0</v>
      </c>
      <c r="B386" s="23">
        <f>'12 - Device_Configuration'!S387</f>
        <v>0</v>
      </c>
      <c r="C386" s="23">
        <f>'12 - Device_Configuration'!T387</f>
        <v>0</v>
      </c>
      <c r="D386" s="15">
        <f>'12 - Device_Configuration'!AJ387</f>
        <v>0</v>
      </c>
      <c r="E386" s="15">
        <f>'12 - Device_Configuration'!J387</f>
        <v>0</v>
      </c>
      <c r="F386" s="23">
        <f>'12 - Device_Configuration'!K387</f>
        <v>0</v>
      </c>
      <c r="G386" s="15">
        <f>'12 - Device_Configuration'!L387</f>
        <v>0</v>
      </c>
      <c r="H386" s="15">
        <f>'13 - Config_Intake_View'!M386</f>
        <v>0</v>
      </c>
      <c r="I386" s="23">
        <f>IF('13 - Config_Intake_View'!Q386&lt;&gt;"",'13 - Config_Intake_View'!Q386,'12 - Device_Configuration'!BH387)</f>
        <v>0</v>
      </c>
      <c r="J386" s="15" t="str">
        <f>IF('13 - Config_Intake_View'!Q386&lt;&gt;"","PM Approved",IF('12 - Device_Configuration'!BH387&lt;&gt;"","Assumed",""))</f>
        <v/>
      </c>
      <c r="K386" s="23">
        <f>'12 - Device_Configuration'!BG387</f>
        <v>0</v>
      </c>
      <c r="L386" s="15">
        <f>'12 - Device_Configuration'!P387</f>
        <v>0</v>
      </c>
      <c r="M386" s="15">
        <f>'12 - Device_Configuration'!Q387</f>
        <v>0</v>
      </c>
      <c r="N386" s="15" t="str">
        <f>'12 - Device_Configuration'!BK387</f>
        <v/>
      </c>
      <c r="O386" s="23" t="str">
        <f>'12 - Device_Configuration'!BL387</f>
        <v/>
      </c>
      <c r="P386" s="2">
        <f>'12 - Device_Configuration'!BA387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'12 - Device_Configuration'!H388</f>
        <v>0</v>
      </c>
      <c r="B387" s="23">
        <f>'12 - Device_Configuration'!S388</f>
        <v>0</v>
      </c>
      <c r="C387" s="23">
        <f>'12 - Device_Configuration'!T388</f>
        <v>0</v>
      </c>
      <c r="D387" s="15">
        <f>'12 - Device_Configuration'!AJ388</f>
        <v>0</v>
      </c>
      <c r="E387" s="15">
        <f>'12 - Device_Configuration'!J388</f>
        <v>0</v>
      </c>
      <c r="F387" s="23">
        <f>'12 - Device_Configuration'!K388</f>
        <v>0</v>
      </c>
      <c r="G387" s="15">
        <f>'12 - Device_Configuration'!L388</f>
        <v>0</v>
      </c>
      <c r="H387" s="15">
        <f>'13 - Config_Intake_View'!M387</f>
        <v>0</v>
      </c>
      <c r="I387" s="23">
        <f>IF('13 - Config_Intake_View'!Q387&lt;&gt;"",'13 - Config_Intake_View'!Q387,'12 - Device_Configuration'!BH388)</f>
        <v>0</v>
      </c>
      <c r="J387" s="15" t="str">
        <f>IF('13 - Config_Intake_View'!Q387&lt;&gt;"","PM Approved",IF('12 - Device_Configuration'!BH388&lt;&gt;"","Assumed",""))</f>
        <v/>
      </c>
      <c r="K387" s="23">
        <f>'12 - Device_Configuration'!BG388</f>
        <v>0</v>
      </c>
      <c r="L387" s="15">
        <f>'12 - Device_Configuration'!P388</f>
        <v>0</v>
      </c>
      <c r="M387" s="15">
        <f>'12 - Device_Configuration'!Q388</f>
        <v>0</v>
      </c>
      <c r="N387" s="15" t="str">
        <f>'12 - Device_Configuration'!BK388</f>
        <v/>
      </c>
      <c r="O387" s="23" t="str">
        <f>'12 - Device_Configuration'!BL388</f>
        <v/>
      </c>
      <c r="P387" s="2">
        <f>'12 - Device_Configuration'!BA388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'12 - Device_Configuration'!H389</f>
        <v>0</v>
      </c>
      <c r="B388" s="23">
        <f>'12 - Device_Configuration'!S389</f>
        <v>0</v>
      </c>
      <c r="C388" s="23">
        <f>'12 - Device_Configuration'!T389</f>
        <v>0</v>
      </c>
      <c r="D388" s="15">
        <f>'12 - Device_Configuration'!AJ389</f>
        <v>0</v>
      </c>
      <c r="E388" s="15">
        <f>'12 - Device_Configuration'!J389</f>
        <v>0</v>
      </c>
      <c r="F388" s="23">
        <f>'12 - Device_Configuration'!K389</f>
        <v>0</v>
      </c>
      <c r="G388" s="15">
        <f>'12 - Device_Configuration'!L389</f>
        <v>0</v>
      </c>
      <c r="H388" s="15">
        <f>'13 - Config_Intake_View'!M388</f>
        <v>0</v>
      </c>
      <c r="I388" s="23">
        <f>IF('13 - Config_Intake_View'!Q388&lt;&gt;"",'13 - Config_Intake_View'!Q388,'12 - Device_Configuration'!BH389)</f>
        <v>0</v>
      </c>
      <c r="J388" s="15" t="str">
        <f>IF('13 - Config_Intake_View'!Q388&lt;&gt;"","PM Approved",IF('12 - Device_Configuration'!BH389&lt;&gt;"","Assumed",""))</f>
        <v/>
      </c>
      <c r="K388" s="23">
        <f>'12 - Device_Configuration'!BG389</f>
        <v>0</v>
      </c>
      <c r="L388" s="15">
        <f>'12 - Device_Configuration'!P389</f>
        <v>0</v>
      </c>
      <c r="M388" s="15">
        <f>'12 - Device_Configuration'!Q389</f>
        <v>0</v>
      </c>
      <c r="N388" s="15" t="str">
        <f>'12 - Device_Configuration'!BK389</f>
        <v/>
      </c>
      <c r="O388" s="23" t="str">
        <f>'12 - Device_Configuration'!BL389</f>
        <v/>
      </c>
      <c r="P388" s="2">
        <f>'12 - Device_Configuration'!BA389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'12 - Device_Configuration'!H390</f>
        <v>0</v>
      </c>
      <c r="B389" s="23">
        <f>'12 - Device_Configuration'!S390</f>
        <v>0</v>
      </c>
      <c r="C389" s="23">
        <f>'12 - Device_Configuration'!T390</f>
        <v>0</v>
      </c>
      <c r="D389" s="15">
        <f>'12 - Device_Configuration'!AJ390</f>
        <v>0</v>
      </c>
      <c r="E389" s="15">
        <f>'12 - Device_Configuration'!J390</f>
        <v>0</v>
      </c>
      <c r="F389" s="23">
        <f>'12 - Device_Configuration'!K390</f>
        <v>0</v>
      </c>
      <c r="G389" s="15">
        <f>'12 - Device_Configuration'!L390</f>
        <v>0</v>
      </c>
      <c r="H389" s="15">
        <f>'13 - Config_Intake_View'!M389</f>
        <v>0</v>
      </c>
      <c r="I389" s="23">
        <f>IF('13 - Config_Intake_View'!Q389&lt;&gt;"",'13 - Config_Intake_View'!Q389,'12 - Device_Configuration'!BH390)</f>
        <v>0</v>
      </c>
      <c r="J389" s="15" t="str">
        <f>IF('13 - Config_Intake_View'!Q389&lt;&gt;"","PM Approved",IF('12 - Device_Configuration'!BH390&lt;&gt;"","Assumed",""))</f>
        <v/>
      </c>
      <c r="K389" s="23">
        <f>'12 - Device_Configuration'!BG390</f>
        <v>0</v>
      </c>
      <c r="L389" s="15">
        <f>'12 - Device_Configuration'!P390</f>
        <v>0</v>
      </c>
      <c r="M389" s="15">
        <f>'12 - Device_Configuration'!Q390</f>
        <v>0</v>
      </c>
      <c r="N389" s="15" t="str">
        <f>'12 - Device_Configuration'!BK390</f>
        <v/>
      </c>
      <c r="O389" s="23" t="str">
        <f>'12 - Device_Configuration'!BL390</f>
        <v/>
      </c>
      <c r="P389" s="2">
        <f>'12 - Device_Configuration'!BA390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'12 - Device_Configuration'!H391</f>
        <v>0</v>
      </c>
      <c r="B390" s="23">
        <f>'12 - Device_Configuration'!S391</f>
        <v>0</v>
      </c>
      <c r="C390" s="23">
        <f>'12 - Device_Configuration'!T391</f>
        <v>0</v>
      </c>
      <c r="D390" s="15">
        <f>'12 - Device_Configuration'!AJ391</f>
        <v>0</v>
      </c>
      <c r="E390" s="15">
        <f>'12 - Device_Configuration'!J391</f>
        <v>0</v>
      </c>
      <c r="F390" s="23">
        <f>'12 - Device_Configuration'!K391</f>
        <v>0</v>
      </c>
      <c r="G390" s="15">
        <f>'12 - Device_Configuration'!L391</f>
        <v>0</v>
      </c>
      <c r="H390" s="15">
        <f>'13 - Config_Intake_View'!M390</f>
        <v>0</v>
      </c>
      <c r="I390" s="23">
        <f>IF('13 - Config_Intake_View'!Q390&lt;&gt;"",'13 - Config_Intake_View'!Q390,'12 - Device_Configuration'!BH391)</f>
        <v>0</v>
      </c>
      <c r="J390" s="15" t="str">
        <f>IF('13 - Config_Intake_View'!Q390&lt;&gt;"","PM Approved",IF('12 - Device_Configuration'!BH391&lt;&gt;"","Assumed",""))</f>
        <v/>
      </c>
      <c r="K390" s="23">
        <f>'12 - Device_Configuration'!BG391</f>
        <v>0</v>
      </c>
      <c r="L390" s="15">
        <f>'12 - Device_Configuration'!P391</f>
        <v>0</v>
      </c>
      <c r="M390" s="15">
        <f>'12 - Device_Configuration'!Q391</f>
        <v>0</v>
      </c>
      <c r="N390" s="15" t="str">
        <f>'12 - Device_Configuration'!BK391</f>
        <v/>
      </c>
      <c r="O390" s="23" t="str">
        <f>'12 - Device_Configuration'!BL391</f>
        <v/>
      </c>
      <c r="P390" s="2">
        <f>'12 - Device_Configuration'!BA391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'12 - Device_Configuration'!H392</f>
        <v>0</v>
      </c>
      <c r="B391" s="23">
        <f>'12 - Device_Configuration'!S392</f>
        <v>0</v>
      </c>
      <c r="C391" s="23">
        <f>'12 - Device_Configuration'!T392</f>
        <v>0</v>
      </c>
      <c r="D391" s="15">
        <f>'12 - Device_Configuration'!AJ392</f>
        <v>0</v>
      </c>
      <c r="E391" s="15">
        <f>'12 - Device_Configuration'!J392</f>
        <v>0</v>
      </c>
      <c r="F391" s="23">
        <f>'12 - Device_Configuration'!K392</f>
        <v>0</v>
      </c>
      <c r="G391" s="15">
        <f>'12 - Device_Configuration'!L392</f>
        <v>0</v>
      </c>
      <c r="H391" s="15">
        <f>'13 - Config_Intake_View'!M391</f>
        <v>0</v>
      </c>
      <c r="I391" s="23">
        <f>IF('13 - Config_Intake_View'!Q391&lt;&gt;"",'13 - Config_Intake_View'!Q391,'12 - Device_Configuration'!BH392)</f>
        <v>0</v>
      </c>
      <c r="J391" s="15" t="str">
        <f>IF('13 - Config_Intake_View'!Q391&lt;&gt;"","PM Approved",IF('12 - Device_Configuration'!BH392&lt;&gt;"","Assumed",""))</f>
        <v/>
      </c>
      <c r="K391" s="23">
        <f>'12 - Device_Configuration'!BG392</f>
        <v>0</v>
      </c>
      <c r="L391" s="15">
        <f>'12 - Device_Configuration'!P392</f>
        <v>0</v>
      </c>
      <c r="M391" s="15">
        <f>'12 - Device_Configuration'!Q392</f>
        <v>0</v>
      </c>
      <c r="N391" s="15" t="str">
        <f>'12 - Device_Configuration'!BK392</f>
        <v/>
      </c>
      <c r="O391" s="23" t="str">
        <f>'12 - Device_Configuration'!BL392</f>
        <v/>
      </c>
      <c r="P391" s="2">
        <f>'12 - Device_Configuration'!BA392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'12 - Device_Configuration'!H393</f>
        <v>0</v>
      </c>
      <c r="B392" s="23">
        <f>'12 - Device_Configuration'!S393</f>
        <v>0</v>
      </c>
      <c r="C392" s="23">
        <f>'12 - Device_Configuration'!T393</f>
        <v>0</v>
      </c>
      <c r="D392" s="15">
        <f>'12 - Device_Configuration'!AJ393</f>
        <v>0</v>
      </c>
      <c r="E392" s="15">
        <f>'12 - Device_Configuration'!J393</f>
        <v>0</v>
      </c>
      <c r="F392" s="23">
        <f>'12 - Device_Configuration'!K393</f>
        <v>0</v>
      </c>
      <c r="G392" s="15">
        <f>'12 - Device_Configuration'!L393</f>
        <v>0</v>
      </c>
      <c r="H392" s="15">
        <f>'13 - Config_Intake_View'!M392</f>
        <v>0</v>
      </c>
      <c r="I392" s="23">
        <f>IF('13 - Config_Intake_View'!Q392&lt;&gt;"",'13 - Config_Intake_View'!Q392,'12 - Device_Configuration'!BH393)</f>
        <v>0</v>
      </c>
      <c r="J392" s="15" t="str">
        <f>IF('13 - Config_Intake_View'!Q392&lt;&gt;"","PM Approved",IF('12 - Device_Configuration'!BH393&lt;&gt;"","Assumed",""))</f>
        <v/>
      </c>
      <c r="K392" s="23">
        <f>'12 - Device_Configuration'!BG393</f>
        <v>0</v>
      </c>
      <c r="L392" s="15">
        <f>'12 - Device_Configuration'!P393</f>
        <v>0</v>
      </c>
      <c r="M392" s="15">
        <f>'12 - Device_Configuration'!Q393</f>
        <v>0</v>
      </c>
      <c r="N392" s="15" t="str">
        <f>'12 - Device_Configuration'!BK393</f>
        <v/>
      </c>
      <c r="O392" s="23" t="str">
        <f>'12 - Device_Configuration'!BL393</f>
        <v/>
      </c>
      <c r="P392" s="2">
        <f>'12 - Device_Configuration'!BA393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'12 - Device_Configuration'!H394</f>
        <v>0</v>
      </c>
      <c r="B393" s="23">
        <f>'12 - Device_Configuration'!S394</f>
        <v>0</v>
      </c>
      <c r="C393" s="23">
        <f>'12 - Device_Configuration'!T394</f>
        <v>0</v>
      </c>
      <c r="D393" s="15">
        <f>'12 - Device_Configuration'!AJ394</f>
        <v>0</v>
      </c>
      <c r="E393" s="15">
        <f>'12 - Device_Configuration'!J394</f>
        <v>0</v>
      </c>
      <c r="F393" s="23">
        <f>'12 - Device_Configuration'!K394</f>
        <v>0</v>
      </c>
      <c r="G393" s="15">
        <f>'12 - Device_Configuration'!L394</f>
        <v>0</v>
      </c>
      <c r="H393" s="15">
        <f>'13 - Config_Intake_View'!M393</f>
        <v>0</v>
      </c>
      <c r="I393" s="23">
        <f>IF('13 - Config_Intake_View'!Q393&lt;&gt;"",'13 - Config_Intake_View'!Q393,'12 - Device_Configuration'!BH394)</f>
        <v>0</v>
      </c>
      <c r="J393" s="15" t="str">
        <f>IF('13 - Config_Intake_View'!Q393&lt;&gt;"","PM Approved",IF('12 - Device_Configuration'!BH394&lt;&gt;"","Assumed",""))</f>
        <v/>
      </c>
      <c r="K393" s="23">
        <f>'12 - Device_Configuration'!BG394</f>
        <v>0</v>
      </c>
      <c r="L393" s="15">
        <f>'12 - Device_Configuration'!P394</f>
        <v>0</v>
      </c>
      <c r="M393" s="15">
        <f>'12 - Device_Configuration'!Q394</f>
        <v>0</v>
      </c>
      <c r="N393" s="15" t="str">
        <f>'12 - Device_Configuration'!BK394</f>
        <v/>
      </c>
      <c r="O393" s="23" t="str">
        <f>'12 - Device_Configuration'!BL394</f>
        <v/>
      </c>
      <c r="P393" s="2">
        <f>'12 - Device_Configuration'!BA394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'12 - Device_Configuration'!H395</f>
        <v>0</v>
      </c>
      <c r="B394" s="23">
        <f>'12 - Device_Configuration'!S395</f>
        <v>0</v>
      </c>
      <c r="C394" s="23">
        <f>'12 - Device_Configuration'!T395</f>
        <v>0</v>
      </c>
      <c r="D394" s="15">
        <f>'12 - Device_Configuration'!AJ395</f>
        <v>0</v>
      </c>
      <c r="E394" s="15">
        <f>'12 - Device_Configuration'!J395</f>
        <v>0</v>
      </c>
      <c r="F394" s="23">
        <f>'12 - Device_Configuration'!K395</f>
        <v>0</v>
      </c>
      <c r="G394" s="15">
        <f>'12 - Device_Configuration'!L395</f>
        <v>0</v>
      </c>
      <c r="H394" s="15">
        <f>'13 - Config_Intake_View'!M394</f>
        <v>0</v>
      </c>
      <c r="I394" s="23">
        <f>IF('13 - Config_Intake_View'!Q394&lt;&gt;"",'13 - Config_Intake_View'!Q394,'12 - Device_Configuration'!BH395)</f>
        <v>0</v>
      </c>
      <c r="J394" s="15" t="str">
        <f>IF('13 - Config_Intake_View'!Q394&lt;&gt;"","PM Approved",IF('12 - Device_Configuration'!BH395&lt;&gt;"","Assumed",""))</f>
        <v/>
      </c>
      <c r="K394" s="23">
        <f>'12 - Device_Configuration'!BG395</f>
        <v>0</v>
      </c>
      <c r="L394" s="15">
        <f>'12 - Device_Configuration'!P395</f>
        <v>0</v>
      </c>
      <c r="M394" s="15">
        <f>'12 - Device_Configuration'!Q395</f>
        <v>0</v>
      </c>
      <c r="N394" s="15" t="str">
        <f>'12 - Device_Configuration'!BK395</f>
        <v/>
      </c>
      <c r="O394" s="23" t="str">
        <f>'12 - Device_Configuration'!BL395</f>
        <v/>
      </c>
      <c r="P394" s="2">
        <f>'12 - Device_Configuration'!BA395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'12 - Device_Configuration'!H396</f>
        <v>0</v>
      </c>
      <c r="B395" s="23">
        <f>'12 - Device_Configuration'!S396</f>
        <v>0</v>
      </c>
      <c r="C395" s="23">
        <f>'12 - Device_Configuration'!T396</f>
        <v>0</v>
      </c>
      <c r="D395" s="15">
        <f>'12 - Device_Configuration'!AJ396</f>
        <v>0</v>
      </c>
      <c r="E395" s="15">
        <f>'12 - Device_Configuration'!J396</f>
        <v>0</v>
      </c>
      <c r="F395" s="23">
        <f>'12 - Device_Configuration'!K396</f>
        <v>0</v>
      </c>
      <c r="G395" s="15">
        <f>'12 - Device_Configuration'!L396</f>
        <v>0</v>
      </c>
      <c r="H395" s="15">
        <f>'13 - Config_Intake_View'!M395</f>
        <v>0</v>
      </c>
      <c r="I395" s="23">
        <f>IF('13 - Config_Intake_View'!Q395&lt;&gt;"",'13 - Config_Intake_View'!Q395,'12 - Device_Configuration'!BH396)</f>
        <v>0</v>
      </c>
      <c r="J395" s="15" t="str">
        <f>IF('13 - Config_Intake_View'!Q395&lt;&gt;"","PM Approved",IF('12 - Device_Configuration'!BH396&lt;&gt;"","Assumed",""))</f>
        <v/>
      </c>
      <c r="K395" s="23">
        <f>'12 - Device_Configuration'!BG396</f>
        <v>0</v>
      </c>
      <c r="L395" s="15">
        <f>'12 - Device_Configuration'!P396</f>
        <v>0</v>
      </c>
      <c r="M395" s="15">
        <f>'12 - Device_Configuration'!Q396</f>
        <v>0</v>
      </c>
      <c r="N395" s="15" t="str">
        <f>'12 - Device_Configuration'!BK396</f>
        <v/>
      </c>
      <c r="O395" s="23" t="str">
        <f>'12 - Device_Configuration'!BL396</f>
        <v/>
      </c>
      <c r="P395" s="2">
        <f>'12 - Device_Configuration'!BA396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'12 - Device_Configuration'!H397</f>
        <v>0</v>
      </c>
      <c r="B396" s="23">
        <f>'12 - Device_Configuration'!S397</f>
        <v>0</v>
      </c>
      <c r="C396" s="23">
        <f>'12 - Device_Configuration'!T397</f>
        <v>0</v>
      </c>
      <c r="D396" s="15">
        <f>'12 - Device_Configuration'!AJ397</f>
        <v>0</v>
      </c>
      <c r="E396" s="15">
        <f>'12 - Device_Configuration'!J397</f>
        <v>0</v>
      </c>
      <c r="F396" s="23">
        <f>'12 - Device_Configuration'!K397</f>
        <v>0</v>
      </c>
      <c r="G396" s="15">
        <f>'12 - Device_Configuration'!L397</f>
        <v>0</v>
      </c>
      <c r="H396" s="15">
        <f>'13 - Config_Intake_View'!M396</f>
        <v>0</v>
      </c>
      <c r="I396" s="23">
        <f>IF('13 - Config_Intake_View'!Q396&lt;&gt;"",'13 - Config_Intake_View'!Q396,'12 - Device_Configuration'!BH397)</f>
        <v>0</v>
      </c>
      <c r="J396" s="15" t="str">
        <f>IF('13 - Config_Intake_View'!Q396&lt;&gt;"","PM Approved",IF('12 - Device_Configuration'!BH397&lt;&gt;"","Assumed",""))</f>
        <v/>
      </c>
      <c r="K396" s="23">
        <f>'12 - Device_Configuration'!BG397</f>
        <v>0</v>
      </c>
      <c r="L396" s="15">
        <f>'12 - Device_Configuration'!P397</f>
        <v>0</v>
      </c>
      <c r="M396" s="15">
        <f>'12 - Device_Configuration'!Q397</f>
        <v>0</v>
      </c>
      <c r="N396" s="15" t="str">
        <f>'12 - Device_Configuration'!BK397</f>
        <v/>
      </c>
      <c r="O396" s="23" t="str">
        <f>'12 - Device_Configuration'!BL397</f>
        <v/>
      </c>
      <c r="P396" s="2">
        <f>'12 - Device_Configuration'!BA397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'12 - Device_Configuration'!H398</f>
        <v>0</v>
      </c>
      <c r="B397" s="23">
        <f>'12 - Device_Configuration'!S398</f>
        <v>0</v>
      </c>
      <c r="C397" s="23">
        <f>'12 - Device_Configuration'!T398</f>
        <v>0</v>
      </c>
      <c r="D397" s="15">
        <f>'12 - Device_Configuration'!AJ398</f>
        <v>0</v>
      </c>
      <c r="E397" s="15">
        <f>'12 - Device_Configuration'!J398</f>
        <v>0</v>
      </c>
      <c r="F397" s="23">
        <f>'12 - Device_Configuration'!K398</f>
        <v>0</v>
      </c>
      <c r="G397" s="15">
        <f>'12 - Device_Configuration'!L398</f>
        <v>0</v>
      </c>
      <c r="H397" s="15">
        <f>'13 - Config_Intake_View'!M397</f>
        <v>0</v>
      </c>
      <c r="I397" s="23">
        <f>IF('13 - Config_Intake_View'!Q397&lt;&gt;"",'13 - Config_Intake_View'!Q397,'12 - Device_Configuration'!BH398)</f>
        <v>0</v>
      </c>
      <c r="J397" s="15" t="str">
        <f>IF('13 - Config_Intake_View'!Q397&lt;&gt;"","PM Approved",IF('12 - Device_Configuration'!BH398&lt;&gt;"","Assumed",""))</f>
        <v/>
      </c>
      <c r="K397" s="23">
        <f>'12 - Device_Configuration'!BG398</f>
        <v>0</v>
      </c>
      <c r="L397" s="15">
        <f>'12 - Device_Configuration'!P398</f>
        <v>0</v>
      </c>
      <c r="M397" s="15">
        <f>'12 - Device_Configuration'!Q398</f>
        <v>0</v>
      </c>
      <c r="N397" s="15" t="str">
        <f>'12 - Device_Configuration'!BK398</f>
        <v/>
      </c>
      <c r="O397" s="23" t="str">
        <f>'12 - Device_Configuration'!BL398</f>
        <v/>
      </c>
      <c r="P397" s="2">
        <f>'12 - Device_Configuration'!BA398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'12 - Device_Configuration'!H399</f>
        <v>0</v>
      </c>
      <c r="B398" s="23">
        <f>'12 - Device_Configuration'!S399</f>
        <v>0</v>
      </c>
      <c r="C398" s="23">
        <f>'12 - Device_Configuration'!T399</f>
        <v>0</v>
      </c>
      <c r="D398" s="15">
        <f>'12 - Device_Configuration'!AJ399</f>
        <v>0</v>
      </c>
      <c r="E398" s="15">
        <f>'12 - Device_Configuration'!J399</f>
        <v>0</v>
      </c>
      <c r="F398" s="23">
        <f>'12 - Device_Configuration'!K399</f>
        <v>0</v>
      </c>
      <c r="G398" s="15">
        <f>'12 - Device_Configuration'!L399</f>
        <v>0</v>
      </c>
      <c r="H398" s="15">
        <f>'13 - Config_Intake_View'!M398</f>
        <v>0</v>
      </c>
      <c r="I398" s="23">
        <f>IF('13 - Config_Intake_View'!Q398&lt;&gt;"",'13 - Config_Intake_View'!Q398,'12 - Device_Configuration'!BH399)</f>
        <v>0</v>
      </c>
      <c r="J398" s="15" t="str">
        <f>IF('13 - Config_Intake_View'!Q398&lt;&gt;"","PM Approved",IF('12 - Device_Configuration'!BH399&lt;&gt;"","Assumed",""))</f>
        <v/>
      </c>
      <c r="K398" s="23">
        <f>'12 - Device_Configuration'!BG399</f>
        <v>0</v>
      </c>
      <c r="L398" s="15">
        <f>'12 - Device_Configuration'!P399</f>
        <v>0</v>
      </c>
      <c r="M398" s="15">
        <f>'12 - Device_Configuration'!Q399</f>
        <v>0</v>
      </c>
      <c r="N398" s="15" t="str">
        <f>'12 - Device_Configuration'!BK399</f>
        <v/>
      </c>
      <c r="O398" s="23" t="str">
        <f>'12 - Device_Configuration'!BL399</f>
        <v/>
      </c>
      <c r="P398" s="2">
        <f>'12 - Device_Configuration'!BA399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'12 - Device_Configuration'!H400</f>
        <v>0</v>
      </c>
      <c r="B399" s="23">
        <f>'12 - Device_Configuration'!S400</f>
        <v>0</v>
      </c>
      <c r="C399" s="23">
        <f>'12 - Device_Configuration'!T400</f>
        <v>0</v>
      </c>
      <c r="D399" s="15">
        <f>'12 - Device_Configuration'!AJ400</f>
        <v>0</v>
      </c>
      <c r="E399" s="15">
        <f>'12 - Device_Configuration'!J400</f>
        <v>0</v>
      </c>
      <c r="F399" s="23">
        <f>'12 - Device_Configuration'!K400</f>
        <v>0</v>
      </c>
      <c r="G399" s="15">
        <f>'12 - Device_Configuration'!L400</f>
        <v>0</v>
      </c>
      <c r="H399" s="15">
        <f>'13 - Config_Intake_View'!M399</f>
        <v>0</v>
      </c>
      <c r="I399" s="23">
        <f>IF('13 - Config_Intake_View'!Q399&lt;&gt;"",'13 - Config_Intake_View'!Q399,'12 - Device_Configuration'!BH400)</f>
        <v>0</v>
      </c>
      <c r="J399" s="15" t="str">
        <f>IF('13 - Config_Intake_View'!Q399&lt;&gt;"","PM Approved",IF('12 - Device_Configuration'!BH400&lt;&gt;"","Assumed",""))</f>
        <v/>
      </c>
      <c r="K399" s="23">
        <f>'12 - Device_Configuration'!BG400</f>
        <v>0</v>
      </c>
      <c r="L399" s="15">
        <f>'12 - Device_Configuration'!P400</f>
        <v>0</v>
      </c>
      <c r="M399" s="15">
        <f>'12 - Device_Configuration'!Q400</f>
        <v>0</v>
      </c>
      <c r="N399" s="15" t="str">
        <f>'12 - Device_Configuration'!BK400</f>
        <v/>
      </c>
      <c r="O399" s="23" t="str">
        <f>'12 - Device_Configuration'!BL400</f>
        <v/>
      </c>
      <c r="P399" s="2">
        <f>'12 - Device_Configuration'!BA400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'12 - Device_Configuration'!H401</f>
        <v>0</v>
      </c>
      <c r="B400" s="23">
        <f>'12 - Device_Configuration'!S401</f>
        <v>0</v>
      </c>
      <c r="C400" s="23">
        <f>'12 - Device_Configuration'!T401</f>
        <v>0</v>
      </c>
      <c r="D400" s="15">
        <f>'12 - Device_Configuration'!AJ401</f>
        <v>0</v>
      </c>
      <c r="E400" s="15">
        <f>'12 - Device_Configuration'!J401</f>
        <v>0</v>
      </c>
      <c r="F400" s="23">
        <f>'12 - Device_Configuration'!K401</f>
        <v>0</v>
      </c>
      <c r="G400" s="15">
        <f>'12 - Device_Configuration'!L401</f>
        <v>0</v>
      </c>
      <c r="H400" s="15">
        <f>'13 - Config_Intake_View'!M400</f>
        <v>0</v>
      </c>
      <c r="I400" s="23">
        <f>IF('13 - Config_Intake_View'!Q400&lt;&gt;"",'13 - Config_Intake_View'!Q400,'12 - Device_Configuration'!BH401)</f>
        <v>0</v>
      </c>
      <c r="J400" s="15" t="str">
        <f>IF('13 - Config_Intake_View'!Q400&lt;&gt;"","PM Approved",IF('12 - Device_Configuration'!BH401&lt;&gt;"","Assumed",""))</f>
        <v/>
      </c>
      <c r="K400" s="23">
        <f>'12 - Device_Configuration'!BG401</f>
        <v>0</v>
      </c>
      <c r="L400" s="15">
        <f>'12 - Device_Configuration'!P401</f>
        <v>0</v>
      </c>
      <c r="M400" s="15">
        <f>'12 - Device_Configuration'!Q401</f>
        <v>0</v>
      </c>
      <c r="N400" s="15" t="str">
        <f>'12 - Device_Configuration'!BK401</f>
        <v/>
      </c>
      <c r="O400" s="23" t="str">
        <f>'12 - Device_Configuration'!BL401</f>
        <v/>
      </c>
      <c r="P400" s="2">
        <f>'12 - Device_Configuration'!BA401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'12 - Device_Configuration'!H402</f>
        <v>0</v>
      </c>
      <c r="B401" s="23">
        <f>'12 - Device_Configuration'!S402</f>
        <v>0</v>
      </c>
      <c r="C401" s="23">
        <f>'12 - Device_Configuration'!T402</f>
        <v>0</v>
      </c>
      <c r="D401" s="15">
        <f>'12 - Device_Configuration'!AJ402</f>
        <v>0</v>
      </c>
      <c r="E401" s="15">
        <f>'12 - Device_Configuration'!J402</f>
        <v>0</v>
      </c>
      <c r="F401" s="23">
        <f>'12 - Device_Configuration'!K402</f>
        <v>0</v>
      </c>
      <c r="G401" s="15">
        <f>'12 - Device_Configuration'!L402</f>
        <v>0</v>
      </c>
      <c r="H401" s="15">
        <f>'13 - Config_Intake_View'!M401</f>
        <v>0</v>
      </c>
      <c r="I401" s="23">
        <f>IF('13 - Config_Intake_View'!Q401&lt;&gt;"",'13 - Config_Intake_View'!Q401,'12 - Device_Configuration'!BH402)</f>
        <v>0</v>
      </c>
      <c r="J401" s="15" t="str">
        <f>IF('13 - Config_Intake_View'!Q401&lt;&gt;"","PM Approved",IF('12 - Device_Configuration'!BH402&lt;&gt;"","Assumed",""))</f>
        <v/>
      </c>
      <c r="K401" s="23">
        <f>'12 - Device_Configuration'!BG402</f>
        <v>0</v>
      </c>
      <c r="L401" s="15">
        <f>'12 - Device_Configuration'!P402</f>
        <v>0</v>
      </c>
      <c r="M401" s="15">
        <f>'12 - Device_Configuration'!Q402</f>
        <v>0</v>
      </c>
      <c r="N401" s="15" t="str">
        <f>'12 - Device_Configuration'!BK402</f>
        <v/>
      </c>
      <c r="O401" s="23" t="str">
        <f>'12 - Device_Configuration'!BL402</f>
        <v/>
      </c>
      <c r="P401" s="2">
        <f>'12 - Device_Configuration'!BA402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'12 - Device_Configuration'!H403</f>
        <v>0</v>
      </c>
      <c r="B402" s="23">
        <f>'12 - Device_Configuration'!S403</f>
        <v>0</v>
      </c>
      <c r="C402" s="23">
        <f>'12 - Device_Configuration'!T403</f>
        <v>0</v>
      </c>
      <c r="D402" s="15">
        <f>'12 - Device_Configuration'!AJ403</f>
        <v>0</v>
      </c>
      <c r="E402" s="15">
        <f>'12 - Device_Configuration'!J403</f>
        <v>0</v>
      </c>
      <c r="F402" s="23">
        <f>'12 - Device_Configuration'!K403</f>
        <v>0</v>
      </c>
      <c r="G402" s="15">
        <f>'12 - Device_Configuration'!L403</f>
        <v>0</v>
      </c>
      <c r="H402" s="15">
        <f>'13 - Config_Intake_View'!M402</f>
        <v>0</v>
      </c>
      <c r="I402" s="23">
        <f>IF('13 - Config_Intake_View'!Q402&lt;&gt;"",'13 - Config_Intake_View'!Q402,'12 - Device_Configuration'!BH403)</f>
        <v>0</v>
      </c>
      <c r="J402" s="15" t="str">
        <f>IF('13 - Config_Intake_View'!Q402&lt;&gt;"","PM Approved",IF('12 - Device_Configuration'!BH403&lt;&gt;"","Assumed",""))</f>
        <v/>
      </c>
      <c r="K402" s="23">
        <f>'12 - Device_Configuration'!BG403</f>
        <v>0</v>
      </c>
      <c r="L402" s="15">
        <f>'12 - Device_Configuration'!P403</f>
        <v>0</v>
      </c>
      <c r="M402" s="15">
        <f>'12 - Device_Configuration'!Q403</f>
        <v>0</v>
      </c>
      <c r="N402" s="15" t="str">
        <f>'12 - Device_Configuration'!BK403</f>
        <v/>
      </c>
      <c r="O402" s="23" t="str">
        <f>'12 - Device_Configuration'!BL403</f>
        <v/>
      </c>
      <c r="P402" s="2">
        <f>'12 - Device_Configuration'!BA403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'12 - Device_Configuration'!H404</f>
        <v>0</v>
      </c>
      <c r="B403" s="23">
        <f>'12 - Device_Configuration'!S404</f>
        <v>0</v>
      </c>
      <c r="C403" s="23">
        <f>'12 - Device_Configuration'!T404</f>
        <v>0</v>
      </c>
      <c r="D403" s="15">
        <f>'12 - Device_Configuration'!AJ404</f>
        <v>0</v>
      </c>
      <c r="E403" s="15">
        <f>'12 - Device_Configuration'!J404</f>
        <v>0</v>
      </c>
      <c r="F403" s="23">
        <f>'12 - Device_Configuration'!K404</f>
        <v>0</v>
      </c>
      <c r="G403" s="15">
        <f>'12 - Device_Configuration'!L404</f>
        <v>0</v>
      </c>
      <c r="H403" s="15">
        <f>'13 - Config_Intake_View'!M403</f>
        <v>0</v>
      </c>
      <c r="I403" s="23">
        <f>IF('13 - Config_Intake_View'!Q403&lt;&gt;"",'13 - Config_Intake_View'!Q403,'12 - Device_Configuration'!BH404)</f>
        <v>0</v>
      </c>
      <c r="J403" s="15" t="str">
        <f>IF('13 - Config_Intake_View'!Q403&lt;&gt;"","PM Approved",IF('12 - Device_Configuration'!BH404&lt;&gt;"","Assumed",""))</f>
        <v/>
      </c>
      <c r="K403" s="23">
        <f>'12 - Device_Configuration'!BG404</f>
        <v>0</v>
      </c>
      <c r="L403" s="15">
        <f>'12 - Device_Configuration'!P404</f>
        <v>0</v>
      </c>
      <c r="M403" s="15">
        <f>'12 - Device_Configuration'!Q404</f>
        <v>0</v>
      </c>
      <c r="N403" s="15" t="str">
        <f>'12 - Device_Configuration'!BK404</f>
        <v/>
      </c>
      <c r="O403" s="23" t="str">
        <f>'12 - Device_Configuration'!BL404</f>
        <v/>
      </c>
      <c r="P403" s="2">
        <f>'12 - Device_Configuration'!BA404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'12 - Device_Configuration'!H405</f>
        <v>0</v>
      </c>
      <c r="B404" s="23">
        <f>'12 - Device_Configuration'!S405</f>
        <v>0</v>
      </c>
      <c r="C404" s="23">
        <f>'12 - Device_Configuration'!T405</f>
        <v>0</v>
      </c>
      <c r="D404" s="15">
        <f>'12 - Device_Configuration'!AJ405</f>
        <v>0</v>
      </c>
      <c r="E404" s="15">
        <f>'12 - Device_Configuration'!J405</f>
        <v>0</v>
      </c>
      <c r="F404" s="23">
        <f>'12 - Device_Configuration'!K405</f>
        <v>0</v>
      </c>
      <c r="G404" s="15">
        <f>'12 - Device_Configuration'!L405</f>
        <v>0</v>
      </c>
      <c r="H404" s="15">
        <f>'13 - Config_Intake_View'!M404</f>
        <v>0</v>
      </c>
      <c r="I404" s="23">
        <f>IF('13 - Config_Intake_View'!Q404&lt;&gt;"",'13 - Config_Intake_View'!Q404,'12 - Device_Configuration'!BH405)</f>
        <v>0</v>
      </c>
      <c r="J404" s="15" t="str">
        <f>IF('13 - Config_Intake_View'!Q404&lt;&gt;"","PM Approved",IF('12 - Device_Configuration'!BH405&lt;&gt;"","Assumed",""))</f>
        <v/>
      </c>
      <c r="K404" s="23">
        <f>'12 - Device_Configuration'!BG405</f>
        <v>0</v>
      </c>
      <c r="L404" s="15">
        <f>'12 - Device_Configuration'!P405</f>
        <v>0</v>
      </c>
      <c r="M404" s="15">
        <f>'12 - Device_Configuration'!Q405</f>
        <v>0</v>
      </c>
      <c r="N404" s="15" t="str">
        <f>'12 - Device_Configuration'!BK405</f>
        <v/>
      </c>
      <c r="O404" s="23" t="str">
        <f>'12 - Device_Configuration'!BL405</f>
        <v/>
      </c>
      <c r="P404" s="2">
        <f>'12 - Device_Configuration'!BA405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'12 - Device_Configuration'!H406</f>
        <v>0</v>
      </c>
      <c r="B405" s="23">
        <f>'12 - Device_Configuration'!S406</f>
        <v>0</v>
      </c>
      <c r="C405" s="23">
        <f>'12 - Device_Configuration'!T406</f>
        <v>0</v>
      </c>
      <c r="D405" s="15">
        <f>'12 - Device_Configuration'!AJ406</f>
        <v>0</v>
      </c>
      <c r="E405" s="15">
        <f>'12 - Device_Configuration'!J406</f>
        <v>0</v>
      </c>
      <c r="F405" s="23">
        <f>'12 - Device_Configuration'!K406</f>
        <v>0</v>
      </c>
      <c r="G405" s="15">
        <f>'12 - Device_Configuration'!L406</f>
        <v>0</v>
      </c>
      <c r="H405" s="15">
        <f>'13 - Config_Intake_View'!M405</f>
        <v>0</v>
      </c>
      <c r="I405" s="23">
        <f>IF('13 - Config_Intake_View'!Q405&lt;&gt;"",'13 - Config_Intake_View'!Q405,'12 - Device_Configuration'!BH406)</f>
        <v>0</v>
      </c>
      <c r="J405" s="15" t="str">
        <f>IF('13 - Config_Intake_View'!Q405&lt;&gt;"","PM Approved",IF('12 - Device_Configuration'!BH406&lt;&gt;"","Assumed",""))</f>
        <v/>
      </c>
      <c r="K405" s="23">
        <f>'12 - Device_Configuration'!BG406</f>
        <v>0</v>
      </c>
      <c r="L405" s="15">
        <f>'12 - Device_Configuration'!P406</f>
        <v>0</v>
      </c>
      <c r="M405" s="15">
        <f>'12 - Device_Configuration'!Q406</f>
        <v>0</v>
      </c>
      <c r="N405" s="15" t="str">
        <f>'12 - Device_Configuration'!BK406</f>
        <v/>
      </c>
      <c r="O405" s="23" t="str">
        <f>'12 - Device_Configuration'!BL406</f>
        <v/>
      </c>
      <c r="P405" s="2">
        <f>'12 - Device_Configuration'!BA406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'12 - Device_Configuration'!H407</f>
        <v>0</v>
      </c>
      <c r="B406" s="23">
        <f>'12 - Device_Configuration'!S407</f>
        <v>0</v>
      </c>
      <c r="C406" s="23">
        <f>'12 - Device_Configuration'!T407</f>
        <v>0</v>
      </c>
      <c r="D406" s="15">
        <f>'12 - Device_Configuration'!AJ407</f>
        <v>0</v>
      </c>
      <c r="E406" s="15">
        <f>'12 - Device_Configuration'!J407</f>
        <v>0</v>
      </c>
      <c r="F406" s="23">
        <f>'12 - Device_Configuration'!K407</f>
        <v>0</v>
      </c>
      <c r="G406" s="15">
        <f>'12 - Device_Configuration'!L407</f>
        <v>0</v>
      </c>
      <c r="H406" s="15">
        <f>'13 - Config_Intake_View'!M406</f>
        <v>0</v>
      </c>
      <c r="I406" s="23">
        <f>IF('13 - Config_Intake_View'!Q406&lt;&gt;"",'13 - Config_Intake_View'!Q406,'12 - Device_Configuration'!BH407)</f>
        <v>0</v>
      </c>
      <c r="J406" s="15" t="str">
        <f>IF('13 - Config_Intake_View'!Q406&lt;&gt;"","PM Approved",IF('12 - Device_Configuration'!BH407&lt;&gt;"","Assumed",""))</f>
        <v/>
      </c>
      <c r="K406" s="23">
        <f>'12 - Device_Configuration'!BG407</f>
        <v>0</v>
      </c>
      <c r="L406" s="15">
        <f>'12 - Device_Configuration'!P407</f>
        <v>0</v>
      </c>
      <c r="M406" s="15">
        <f>'12 - Device_Configuration'!Q407</f>
        <v>0</v>
      </c>
      <c r="N406" s="15" t="str">
        <f>'12 - Device_Configuration'!BK407</f>
        <v/>
      </c>
      <c r="O406" s="23" t="str">
        <f>'12 - Device_Configuration'!BL407</f>
        <v/>
      </c>
      <c r="P406" s="2">
        <f>'12 - Device_Configuration'!BA407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'12 - Device_Configuration'!H408</f>
        <v>0</v>
      </c>
      <c r="B407" s="23">
        <f>'12 - Device_Configuration'!S408</f>
        <v>0</v>
      </c>
      <c r="C407" s="23">
        <f>'12 - Device_Configuration'!T408</f>
        <v>0</v>
      </c>
      <c r="D407" s="15">
        <f>'12 - Device_Configuration'!AJ408</f>
        <v>0</v>
      </c>
      <c r="E407" s="15">
        <f>'12 - Device_Configuration'!J408</f>
        <v>0</v>
      </c>
      <c r="F407" s="23">
        <f>'12 - Device_Configuration'!K408</f>
        <v>0</v>
      </c>
      <c r="G407" s="15">
        <f>'12 - Device_Configuration'!L408</f>
        <v>0</v>
      </c>
      <c r="H407" s="15">
        <f>'13 - Config_Intake_View'!M407</f>
        <v>0</v>
      </c>
      <c r="I407" s="23">
        <f>IF('13 - Config_Intake_View'!Q407&lt;&gt;"",'13 - Config_Intake_View'!Q407,'12 - Device_Configuration'!BH408)</f>
        <v>0</v>
      </c>
      <c r="J407" s="15" t="str">
        <f>IF('13 - Config_Intake_View'!Q407&lt;&gt;"","PM Approved",IF('12 - Device_Configuration'!BH408&lt;&gt;"","Assumed",""))</f>
        <v/>
      </c>
      <c r="K407" s="23">
        <f>'12 - Device_Configuration'!BG408</f>
        <v>0</v>
      </c>
      <c r="L407" s="15">
        <f>'12 - Device_Configuration'!P408</f>
        <v>0</v>
      </c>
      <c r="M407" s="15">
        <f>'12 - Device_Configuration'!Q408</f>
        <v>0</v>
      </c>
      <c r="N407" s="15" t="str">
        <f>'12 - Device_Configuration'!BK408</f>
        <v/>
      </c>
      <c r="O407" s="23" t="str">
        <f>'12 - Device_Configuration'!BL408</f>
        <v/>
      </c>
      <c r="P407" s="2">
        <f>'12 - Device_Configuration'!BA408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'12 - Device_Configuration'!H409</f>
        <v>0</v>
      </c>
      <c r="B408" s="23">
        <f>'12 - Device_Configuration'!S409</f>
        <v>0</v>
      </c>
      <c r="C408" s="23">
        <f>'12 - Device_Configuration'!T409</f>
        <v>0</v>
      </c>
      <c r="D408" s="15">
        <f>'12 - Device_Configuration'!AJ409</f>
        <v>0</v>
      </c>
      <c r="E408" s="15">
        <f>'12 - Device_Configuration'!J409</f>
        <v>0</v>
      </c>
      <c r="F408" s="23">
        <f>'12 - Device_Configuration'!K409</f>
        <v>0</v>
      </c>
      <c r="G408" s="15">
        <f>'12 - Device_Configuration'!L409</f>
        <v>0</v>
      </c>
      <c r="H408" s="15">
        <f>'13 - Config_Intake_View'!M408</f>
        <v>0</v>
      </c>
      <c r="I408" s="23">
        <f>IF('13 - Config_Intake_View'!Q408&lt;&gt;"",'13 - Config_Intake_View'!Q408,'12 - Device_Configuration'!BH409)</f>
        <v>0</v>
      </c>
      <c r="J408" s="15" t="str">
        <f>IF('13 - Config_Intake_View'!Q408&lt;&gt;"","PM Approved",IF('12 - Device_Configuration'!BH409&lt;&gt;"","Assumed",""))</f>
        <v/>
      </c>
      <c r="K408" s="23">
        <f>'12 - Device_Configuration'!BG409</f>
        <v>0</v>
      </c>
      <c r="L408" s="15">
        <f>'12 - Device_Configuration'!P409</f>
        <v>0</v>
      </c>
      <c r="M408" s="15">
        <f>'12 - Device_Configuration'!Q409</f>
        <v>0</v>
      </c>
      <c r="N408" s="15" t="str">
        <f>'12 - Device_Configuration'!BK409</f>
        <v/>
      </c>
      <c r="O408" s="23" t="str">
        <f>'12 - Device_Configuration'!BL409</f>
        <v/>
      </c>
      <c r="P408" s="2">
        <f>'12 - Device_Configuration'!BA409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'12 - Device_Configuration'!H410</f>
        <v>0</v>
      </c>
      <c r="B409" s="23">
        <f>'12 - Device_Configuration'!S410</f>
        <v>0</v>
      </c>
      <c r="C409" s="23">
        <f>'12 - Device_Configuration'!T410</f>
        <v>0</v>
      </c>
      <c r="D409" s="15">
        <f>'12 - Device_Configuration'!AJ410</f>
        <v>0</v>
      </c>
      <c r="E409" s="15">
        <f>'12 - Device_Configuration'!J410</f>
        <v>0</v>
      </c>
      <c r="F409" s="23">
        <f>'12 - Device_Configuration'!K410</f>
        <v>0</v>
      </c>
      <c r="G409" s="15">
        <f>'12 - Device_Configuration'!L410</f>
        <v>0</v>
      </c>
      <c r="H409" s="15">
        <f>'13 - Config_Intake_View'!M409</f>
        <v>0</v>
      </c>
      <c r="I409" s="23">
        <f>IF('13 - Config_Intake_View'!Q409&lt;&gt;"",'13 - Config_Intake_View'!Q409,'12 - Device_Configuration'!BH410)</f>
        <v>0</v>
      </c>
      <c r="J409" s="15" t="str">
        <f>IF('13 - Config_Intake_View'!Q409&lt;&gt;"","PM Approved",IF('12 - Device_Configuration'!BH410&lt;&gt;"","Assumed",""))</f>
        <v/>
      </c>
      <c r="K409" s="23">
        <f>'12 - Device_Configuration'!BG410</f>
        <v>0</v>
      </c>
      <c r="L409" s="15">
        <f>'12 - Device_Configuration'!P410</f>
        <v>0</v>
      </c>
      <c r="M409" s="15">
        <f>'12 - Device_Configuration'!Q410</f>
        <v>0</v>
      </c>
      <c r="N409" s="15" t="str">
        <f>'12 - Device_Configuration'!BK410</f>
        <v/>
      </c>
      <c r="O409" s="23" t="str">
        <f>'12 - Device_Configuration'!BL410</f>
        <v/>
      </c>
      <c r="P409" s="2">
        <f>'12 - Device_Configuration'!BA410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'12 - Device_Configuration'!H411</f>
        <v>0</v>
      </c>
      <c r="B410" s="23">
        <f>'12 - Device_Configuration'!S411</f>
        <v>0</v>
      </c>
      <c r="C410" s="23">
        <f>'12 - Device_Configuration'!T411</f>
        <v>0</v>
      </c>
      <c r="D410" s="15">
        <f>'12 - Device_Configuration'!AJ411</f>
        <v>0</v>
      </c>
      <c r="E410" s="15">
        <f>'12 - Device_Configuration'!J411</f>
        <v>0</v>
      </c>
      <c r="F410" s="23">
        <f>'12 - Device_Configuration'!K411</f>
        <v>0</v>
      </c>
      <c r="G410" s="15">
        <f>'12 - Device_Configuration'!L411</f>
        <v>0</v>
      </c>
      <c r="H410" s="15">
        <f>'13 - Config_Intake_View'!M410</f>
        <v>0</v>
      </c>
      <c r="I410" s="23">
        <f>IF('13 - Config_Intake_View'!Q410&lt;&gt;"",'13 - Config_Intake_View'!Q410,'12 - Device_Configuration'!BH411)</f>
        <v>0</v>
      </c>
      <c r="J410" s="15" t="str">
        <f>IF('13 - Config_Intake_View'!Q410&lt;&gt;"","PM Approved",IF('12 - Device_Configuration'!BH411&lt;&gt;"","Assumed",""))</f>
        <v/>
      </c>
      <c r="K410" s="23">
        <f>'12 - Device_Configuration'!BG411</f>
        <v>0</v>
      </c>
      <c r="L410" s="15">
        <f>'12 - Device_Configuration'!P411</f>
        <v>0</v>
      </c>
      <c r="M410" s="15">
        <f>'12 - Device_Configuration'!Q411</f>
        <v>0</v>
      </c>
      <c r="N410" s="15" t="str">
        <f>'12 - Device_Configuration'!BK411</f>
        <v/>
      </c>
      <c r="O410" s="23" t="str">
        <f>'12 - Device_Configuration'!BL411</f>
        <v/>
      </c>
      <c r="P410" s="2">
        <f>'12 - Device_Configuration'!BA411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'12 - Device_Configuration'!H412</f>
        <v>0</v>
      </c>
      <c r="B411" s="23">
        <f>'12 - Device_Configuration'!S412</f>
        <v>0</v>
      </c>
      <c r="C411" s="23">
        <f>'12 - Device_Configuration'!T412</f>
        <v>0</v>
      </c>
      <c r="D411" s="15">
        <f>'12 - Device_Configuration'!AJ412</f>
        <v>0</v>
      </c>
      <c r="E411" s="15">
        <f>'12 - Device_Configuration'!J412</f>
        <v>0</v>
      </c>
      <c r="F411" s="23">
        <f>'12 - Device_Configuration'!K412</f>
        <v>0</v>
      </c>
      <c r="G411" s="15">
        <f>'12 - Device_Configuration'!L412</f>
        <v>0</v>
      </c>
      <c r="H411" s="15">
        <f>'13 - Config_Intake_View'!M411</f>
        <v>0</v>
      </c>
      <c r="I411" s="23">
        <f>IF('13 - Config_Intake_View'!Q411&lt;&gt;"",'13 - Config_Intake_View'!Q411,'12 - Device_Configuration'!BH412)</f>
        <v>0</v>
      </c>
      <c r="J411" s="15" t="str">
        <f>IF('13 - Config_Intake_View'!Q411&lt;&gt;"","PM Approved",IF('12 - Device_Configuration'!BH412&lt;&gt;"","Assumed",""))</f>
        <v/>
      </c>
      <c r="K411" s="23">
        <f>'12 - Device_Configuration'!BG412</f>
        <v>0</v>
      </c>
      <c r="L411" s="15">
        <f>'12 - Device_Configuration'!P412</f>
        <v>0</v>
      </c>
      <c r="M411" s="15">
        <f>'12 - Device_Configuration'!Q412</f>
        <v>0</v>
      </c>
      <c r="N411" s="15" t="str">
        <f>'12 - Device_Configuration'!BK412</f>
        <v/>
      </c>
      <c r="O411" s="23" t="str">
        <f>'12 - Device_Configuration'!BL412</f>
        <v/>
      </c>
      <c r="P411" s="2">
        <f>'12 - Device_Configuration'!BA412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'12 - Device_Configuration'!H413</f>
        <v>0</v>
      </c>
      <c r="B412" s="23">
        <f>'12 - Device_Configuration'!S413</f>
        <v>0</v>
      </c>
      <c r="C412" s="23">
        <f>'12 - Device_Configuration'!T413</f>
        <v>0</v>
      </c>
      <c r="D412" s="15">
        <f>'12 - Device_Configuration'!AJ413</f>
        <v>0</v>
      </c>
      <c r="E412" s="15">
        <f>'12 - Device_Configuration'!J413</f>
        <v>0</v>
      </c>
      <c r="F412" s="23">
        <f>'12 - Device_Configuration'!K413</f>
        <v>0</v>
      </c>
      <c r="G412" s="15">
        <f>'12 - Device_Configuration'!L413</f>
        <v>0</v>
      </c>
      <c r="H412" s="15">
        <f>'13 - Config_Intake_View'!M412</f>
        <v>0</v>
      </c>
      <c r="I412" s="23">
        <f>IF('13 - Config_Intake_View'!Q412&lt;&gt;"",'13 - Config_Intake_View'!Q412,'12 - Device_Configuration'!BH413)</f>
        <v>0</v>
      </c>
      <c r="J412" s="15" t="str">
        <f>IF('13 - Config_Intake_View'!Q412&lt;&gt;"","PM Approved",IF('12 - Device_Configuration'!BH413&lt;&gt;"","Assumed",""))</f>
        <v/>
      </c>
      <c r="K412" s="23">
        <f>'12 - Device_Configuration'!BG413</f>
        <v>0</v>
      </c>
      <c r="L412" s="15">
        <f>'12 - Device_Configuration'!P413</f>
        <v>0</v>
      </c>
      <c r="M412" s="15">
        <f>'12 - Device_Configuration'!Q413</f>
        <v>0</v>
      </c>
      <c r="N412" s="15" t="str">
        <f>'12 - Device_Configuration'!BK413</f>
        <v/>
      </c>
      <c r="O412" s="23" t="str">
        <f>'12 - Device_Configuration'!BL413</f>
        <v/>
      </c>
      <c r="P412" s="2">
        <f>'12 - Device_Configuration'!BA413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'12 - Device_Configuration'!H414</f>
        <v>0</v>
      </c>
      <c r="B413" s="23">
        <f>'12 - Device_Configuration'!S414</f>
        <v>0</v>
      </c>
      <c r="C413" s="23">
        <f>'12 - Device_Configuration'!T414</f>
        <v>0</v>
      </c>
      <c r="D413" s="15">
        <f>'12 - Device_Configuration'!AJ414</f>
        <v>0</v>
      </c>
      <c r="E413" s="15">
        <f>'12 - Device_Configuration'!J414</f>
        <v>0</v>
      </c>
      <c r="F413" s="23">
        <f>'12 - Device_Configuration'!K414</f>
        <v>0</v>
      </c>
      <c r="G413" s="15">
        <f>'12 - Device_Configuration'!L414</f>
        <v>0</v>
      </c>
      <c r="H413" s="15">
        <f>'13 - Config_Intake_View'!M413</f>
        <v>0</v>
      </c>
      <c r="I413" s="23">
        <f>IF('13 - Config_Intake_View'!Q413&lt;&gt;"",'13 - Config_Intake_View'!Q413,'12 - Device_Configuration'!BH414)</f>
        <v>0</v>
      </c>
      <c r="J413" s="15" t="str">
        <f>IF('13 - Config_Intake_View'!Q413&lt;&gt;"","PM Approved",IF('12 - Device_Configuration'!BH414&lt;&gt;"","Assumed",""))</f>
        <v/>
      </c>
      <c r="K413" s="23">
        <f>'12 - Device_Configuration'!BG414</f>
        <v>0</v>
      </c>
      <c r="L413" s="15">
        <f>'12 - Device_Configuration'!P414</f>
        <v>0</v>
      </c>
      <c r="M413" s="15">
        <f>'12 - Device_Configuration'!Q414</f>
        <v>0</v>
      </c>
      <c r="N413" s="15" t="str">
        <f>'12 - Device_Configuration'!BK414</f>
        <v/>
      </c>
      <c r="O413" s="23" t="str">
        <f>'12 - Device_Configuration'!BL414</f>
        <v/>
      </c>
      <c r="P413" s="2">
        <f>'12 - Device_Configuration'!BA414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'12 - Device_Configuration'!H415</f>
        <v>0</v>
      </c>
      <c r="B414" s="23">
        <f>'12 - Device_Configuration'!S415</f>
        <v>0</v>
      </c>
      <c r="C414" s="23">
        <f>'12 - Device_Configuration'!T415</f>
        <v>0</v>
      </c>
      <c r="D414" s="15">
        <f>'12 - Device_Configuration'!AJ415</f>
        <v>0</v>
      </c>
      <c r="E414" s="15">
        <f>'12 - Device_Configuration'!J415</f>
        <v>0</v>
      </c>
      <c r="F414" s="23">
        <f>'12 - Device_Configuration'!K415</f>
        <v>0</v>
      </c>
      <c r="G414" s="15">
        <f>'12 - Device_Configuration'!L415</f>
        <v>0</v>
      </c>
      <c r="H414" s="15">
        <f>'13 - Config_Intake_View'!M414</f>
        <v>0</v>
      </c>
      <c r="I414" s="23">
        <f>IF('13 - Config_Intake_View'!Q414&lt;&gt;"",'13 - Config_Intake_View'!Q414,'12 - Device_Configuration'!BH415)</f>
        <v>0</v>
      </c>
      <c r="J414" s="15" t="str">
        <f>IF('13 - Config_Intake_View'!Q414&lt;&gt;"","PM Approved",IF('12 - Device_Configuration'!BH415&lt;&gt;"","Assumed",""))</f>
        <v/>
      </c>
      <c r="K414" s="23">
        <f>'12 - Device_Configuration'!BG415</f>
        <v>0</v>
      </c>
      <c r="L414" s="15">
        <f>'12 - Device_Configuration'!P415</f>
        <v>0</v>
      </c>
      <c r="M414" s="15">
        <f>'12 - Device_Configuration'!Q415</f>
        <v>0</v>
      </c>
      <c r="N414" s="15" t="str">
        <f>'12 - Device_Configuration'!BK415</f>
        <v/>
      </c>
      <c r="O414" s="23" t="str">
        <f>'12 - Device_Configuration'!BL415</f>
        <v/>
      </c>
      <c r="P414" s="2">
        <f>'12 - Device_Configuration'!BA415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'12 - Device_Configuration'!H416</f>
        <v>0</v>
      </c>
      <c r="B415" s="23">
        <f>'12 - Device_Configuration'!S416</f>
        <v>0</v>
      </c>
      <c r="C415" s="23">
        <f>'12 - Device_Configuration'!T416</f>
        <v>0</v>
      </c>
      <c r="D415" s="15">
        <f>'12 - Device_Configuration'!AJ416</f>
        <v>0</v>
      </c>
      <c r="E415" s="15">
        <f>'12 - Device_Configuration'!J416</f>
        <v>0</v>
      </c>
      <c r="F415" s="23">
        <f>'12 - Device_Configuration'!K416</f>
        <v>0</v>
      </c>
      <c r="G415" s="15">
        <f>'12 - Device_Configuration'!L416</f>
        <v>0</v>
      </c>
      <c r="H415" s="15">
        <f>'13 - Config_Intake_View'!M415</f>
        <v>0</v>
      </c>
      <c r="I415" s="23">
        <f>IF('13 - Config_Intake_View'!Q415&lt;&gt;"",'13 - Config_Intake_View'!Q415,'12 - Device_Configuration'!BH416)</f>
        <v>0</v>
      </c>
      <c r="J415" s="15" t="str">
        <f>IF('13 - Config_Intake_View'!Q415&lt;&gt;"","PM Approved",IF('12 - Device_Configuration'!BH416&lt;&gt;"","Assumed",""))</f>
        <v/>
      </c>
      <c r="K415" s="23">
        <f>'12 - Device_Configuration'!BG416</f>
        <v>0</v>
      </c>
      <c r="L415" s="15">
        <f>'12 - Device_Configuration'!P416</f>
        <v>0</v>
      </c>
      <c r="M415" s="15">
        <f>'12 - Device_Configuration'!Q416</f>
        <v>0</v>
      </c>
      <c r="N415" s="15" t="str">
        <f>'12 - Device_Configuration'!BK416</f>
        <v/>
      </c>
      <c r="O415" s="23" t="str">
        <f>'12 - Device_Configuration'!BL416</f>
        <v/>
      </c>
      <c r="P415" s="2">
        <f>'12 - Device_Configuration'!BA416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'12 - Device_Configuration'!H417</f>
        <v>0</v>
      </c>
      <c r="B416" s="23">
        <f>'12 - Device_Configuration'!S417</f>
        <v>0</v>
      </c>
      <c r="C416" s="23">
        <f>'12 - Device_Configuration'!T417</f>
        <v>0</v>
      </c>
      <c r="D416" s="15">
        <f>'12 - Device_Configuration'!AJ417</f>
        <v>0</v>
      </c>
      <c r="E416" s="15">
        <f>'12 - Device_Configuration'!J417</f>
        <v>0</v>
      </c>
      <c r="F416" s="23">
        <f>'12 - Device_Configuration'!K417</f>
        <v>0</v>
      </c>
      <c r="G416" s="15">
        <f>'12 - Device_Configuration'!L417</f>
        <v>0</v>
      </c>
      <c r="H416" s="15">
        <f>'13 - Config_Intake_View'!M416</f>
        <v>0</v>
      </c>
      <c r="I416" s="23">
        <f>IF('13 - Config_Intake_View'!Q416&lt;&gt;"",'13 - Config_Intake_View'!Q416,'12 - Device_Configuration'!BH417)</f>
        <v>0</v>
      </c>
      <c r="J416" s="15" t="str">
        <f>IF('13 - Config_Intake_View'!Q416&lt;&gt;"","PM Approved",IF('12 - Device_Configuration'!BH417&lt;&gt;"","Assumed",""))</f>
        <v/>
      </c>
      <c r="K416" s="23">
        <f>'12 - Device_Configuration'!BG417</f>
        <v>0</v>
      </c>
      <c r="L416" s="15">
        <f>'12 - Device_Configuration'!P417</f>
        <v>0</v>
      </c>
      <c r="M416" s="15">
        <f>'12 - Device_Configuration'!Q417</f>
        <v>0</v>
      </c>
      <c r="N416" s="15" t="str">
        <f>'12 - Device_Configuration'!BK417</f>
        <v/>
      </c>
      <c r="O416" s="23" t="str">
        <f>'12 - Device_Configuration'!BL417</f>
        <v/>
      </c>
      <c r="P416" s="2">
        <f>'12 - Device_Configuration'!BA417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'12 - Device_Configuration'!H418</f>
        <v>0</v>
      </c>
      <c r="B417" s="23">
        <f>'12 - Device_Configuration'!S418</f>
        <v>0</v>
      </c>
      <c r="C417" s="23">
        <f>'12 - Device_Configuration'!T418</f>
        <v>0</v>
      </c>
      <c r="D417" s="15">
        <f>'12 - Device_Configuration'!AJ418</f>
        <v>0</v>
      </c>
      <c r="E417" s="15">
        <f>'12 - Device_Configuration'!J418</f>
        <v>0</v>
      </c>
      <c r="F417" s="23">
        <f>'12 - Device_Configuration'!K418</f>
        <v>0</v>
      </c>
      <c r="G417" s="15">
        <f>'12 - Device_Configuration'!L418</f>
        <v>0</v>
      </c>
      <c r="H417" s="15">
        <f>'13 - Config_Intake_View'!M417</f>
        <v>0</v>
      </c>
      <c r="I417" s="23">
        <f>IF('13 - Config_Intake_View'!Q417&lt;&gt;"",'13 - Config_Intake_View'!Q417,'12 - Device_Configuration'!BH418)</f>
        <v>0</v>
      </c>
      <c r="J417" s="15" t="str">
        <f>IF('13 - Config_Intake_View'!Q417&lt;&gt;"","PM Approved",IF('12 - Device_Configuration'!BH418&lt;&gt;"","Assumed",""))</f>
        <v/>
      </c>
      <c r="K417" s="23">
        <f>'12 - Device_Configuration'!BG418</f>
        <v>0</v>
      </c>
      <c r="L417" s="15">
        <f>'12 - Device_Configuration'!P418</f>
        <v>0</v>
      </c>
      <c r="M417" s="15">
        <f>'12 - Device_Configuration'!Q418</f>
        <v>0</v>
      </c>
      <c r="N417" s="15" t="str">
        <f>'12 - Device_Configuration'!BK418</f>
        <v/>
      </c>
      <c r="O417" s="23" t="str">
        <f>'12 - Device_Configuration'!BL418</f>
        <v/>
      </c>
      <c r="P417" s="2">
        <f>'12 - Device_Configuration'!BA418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'12 - Device_Configuration'!H419</f>
        <v>0</v>
      </c>
      <c r="B418" s="23">
        <f>'12 - Device_Configuration'!S419</f>
        <v>0</v>
      </c>
      <c r="C418" s="23">
        <f>'12 - Device_Configuration'!T419</f>
        <v>0</v>
      </c>
      <c r="D418" s="15">
        <f>'12 - Device_Configuration'!AJ419</f>
        <v>0</v>
      </c>
      <c r="E418" s="15">
        <f>'12 - Device_Configuration'!J419</f>
        <v>0</v>
      </c>
      <c r="F418" s="23">
        <f>'12 - Device_Configuration'!K419</f>
        <v>0</v>
      </c>
      <c r="G418" s="15">
        <f>'12 - Device_Configuration'!L419</f>
        <v>0</v>
      </c>
      <c r="H418" s="15">
        <f>'13 - Config_Intake_View'!M418</f>
        <v>0</v>
      </c>
      <c r="I418" s="23">
        <f>IF('13 - Config_Intake_View'!Q418&lt;&gt;"",'13 - Config_Intake_View'!Q418,'12 - Device_Configuration'!BH419)</f>
        <v>0</v>
      </c>
      <c r="J418" s="15" t="str">
        <f>IF('13 - Config_Intake_View'!Q418&lt;&gt;"","PM Approved",IF('12 - Device_Configuration'!BH419&lt;&gt;"","Assumed",""))</f>
        <v/>
      </c>
      <c r="K418" s="23">
        <f>'12 - Device_Configuration'!BG419</f>
        <v>0</v>
      </c>
      <c r="L418" s="15">
        <f>'12 - Device_Configuration'!P419</f>
        <v>0</v>
      </c>
      <c r="M418" s="15">
        <f>'12 - Device_Configuration'!Q419</f>
        <v>0</v>
      </c>
      <c r="N418" s="15" t="str">
        <f>'12 - Device_Configuration'!BK419</f>
        <v/>
      </c>
      <c r="O418" s="23" t="str">
        <f>'12 - Device_Configuration'!BL419</f>
        <v/>
      </c>
      <c r="P418" s="2">
        <f>'12 - Device_Configuration'!BA419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'12 - Device_Configuration'!H420</f>
        <v>0</v>
      </c>
      <c r="B419" s="23">
        <f>'12 - Device_Configuration'!S420</f>
        <v>0</v>
      </c>
      <c r="C419" s="23">
        <f>'12 - Device_Configuration'!T420</f>
        <v>0</v>
      </c>
      <c r="D419" s="15">
        <f>'12 - Device_Configuration'!AJ420</f>
        <v>0</v>
      </c>
      <c r="E419" s="15">
        <f>'12 - Device_Configuration'!J420</f>
        <v>0</v>
      </c>
      <c r="F419" s="23">
        <f>'12 - Device_Configuration'!K420</f>
        <v>0</v>
      </c>
      <c r="G419" s="15">
        <f>'12 - Device_Configuration'!L420</f>
        <v>0</v>
      </c>
      <c r="H419" s="15">
        <f>'13 - Config_Intake_View'!M419</f>
        <v>0</v>
      </c>
      <c r="I419" s="23">
        <f>IF('13 - Config_Intake_View'!Q419&lt;&gt;"",'13 - Config_Intake_View'!Q419,'12 - Device_Configuration'!BH420)</f>
        <v>0</v>
      </c>
      <c r="J419" s="15" t="str">
        <f>IF('13 - Config_Intake_View'!Q419&lt;&gt;"","PM Approved",IF('12 - Device_Configuration'!BH420&lt;&gt;"","Assumed",""))</f>
        <v/>
      </c>
      <c r="K419" s="23">
        <f>'12 - Device_Configuration'!BG420</f>
        <v>0</v>
      </c>
      <c r="L419" s="15">
        <f>'12 - Device_Configuration'!P420</f>
        <v>0</v>
      </c>
      <c r="M419" s="15">
        <f>'12 - Device_Configuration'!Q420</f>
        <v>0</v>
      </c>
      <c r="N419" s="15" t="str">
        <f>'12 - Device_Configuration'!BK420</f>
        <v/>
      </c>
      <c r="O419" s="23" t="str">
        <f>'12 - Device_Configuration'!BL420</f>
        <v/>
      </c>
      <c r="P419" s="2">
        <f>'12 - Device_Configuration'!BA420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'12 - Device_Configuration'!H421</f>
        <v>0</v>
      </c>
      <c r="B420" s="23">
        <f>'12 - Device_Configuration'!S421</f>
        <v>0</v>
      </c>
      <c r="C420" s="23">
        <f>'12 - Device_Configuration'!T421</f>
        <v>0</v>
      </c>
      <c r="D420" s="15">
        <f>'12 - Device_Configuration'!AJ421</f>
        <v>0</v>
      </c>
      <c r="E420" s="15">
        <f>'12 - Device_Configuration'!J421</f>
        <v>0</v>
      </c>
      <c r="F420" s="23">
        <f>'12 - Device_Configuration'!K421</f>
        <v>0</v>
      </c>
      <c r="G420" s="15">
        <f>'12 - Device_Configuration'!L421</f>
        <v>0</v>
      </c>
      <c r="H420" s="15">
        <f>'13 - Config_Intake_View'!M420</f>
        <v>0</v>
      </c>
      <c r="I420" s="23">
        <f>IF('13 - Config_Intake_View'!Q420&lt;&gt;"",'13 - Config_Intake_View'!Q420,'12 - Device_Configuration'!BH421)</f>
        <v>0</v>
      </c>
      <c r="J420" s="15" t="str">
        <f>IF('13 - Config_Intake_View'!Q420&lt;&gt;"","PM Approved",IF('12 - Device_Configuration'!BH421&lt;&gt;"","Assumed",""))</f>
        <v/>
      </c>
      <c r="K420" s="23">
        <f>'12 - Device_Configuration'!BG421</f>
        <v>0</v>
      </c>
      <c r="L420" s="15">
        <f>'12 - Device_Configuration'!P421</f>
        <v>0</v>
      </c>
      <c r="M420" s="15">
        <f>'12 - Device_Configuration'!Q421</f>
        <v>0</v>
      </c>
      <c r="N420" s="15" t="str">
        <f>'12 - Device_Configuration'!BK421</f>
        <v/>
      </c>
      <c r="O420" s="23" t="str">
        <f>'12 - Device_Configuration'!BL421</f>
        <v/>
      </c>
      <c r="P420" s="2">
        <f>'12 - Device_Configuration'!BA421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'12 - Device_Configuration'!H422</f>
        <v>0</v>
      </c>
      <c r="B421" s="23">
        <f>'12 - Device_Configuration'!S422</f>
        <v>0</v>
      </c>
      <c r="C421" s="23">
        <f>'12 - Device_Configuration'!T422</f>
        <v>0</v>
      </c>
      <c r="D421" s="15">
        <f>'12 - Device_Configuration'!AJ422</f>
        <v>0</v>
      </c>
      <c r="E421" s="15">
        <f>'12 - Device_Configuration'!J422</f>
        <v>0</v>
      </c>
      <c r="F421" s="23">
        <f>'12 - Device_Configuration'!K422</f>
        <v>0</v>
      </c>
      <c r="G421" s="15">
        <f>'12 - Device_Configuration'!L422</f>
        <v>0</v>
      </c>
      <c r="H421" s="15">
        <f>'13 - Config_Intake_View'!M421</f>
        <v>0</v>
      </c>
      <c r="I421" s="23">
        <f>IF('13 - Config_Intake_View'!Q421&lt;&gt;"",'13 - Config_Intake_View'!Q421,'12 - Device_Configuration'!BH422)</f>
        <v>0</v>
      </c>
      <c r="J421" s="15" t="str">
        <f>IF('13 - Config_Intake_View'!Q421&lt;&gt;"","PM Approved",IF('12 - Device_Configuration'!BH422&lt;&gt;"","Assumed",""))</f>
        <v/>
      </c>
      <c r="K421" s="23">
        <f>'12 - Device_Configuration'!BG422</f>
        <v>0</v>
      </c>
      <c r="L421" s="15">
        <f>'12 - Device_Configuration'!P422</f>
        <v>0</v>
      </c>
      <c r="M421" s="15">
        <f>'12 - Device_Configuration'!Q422</f>
        <v>0</v>
      </c>
      <c r="N421" s="15" t="str">
        <f>'12 - Device_Configuration'!BK422</f>
        <v/>
      </c>
      <c r="O421" s="23" t="str">
        <f>'12 - Device_Configuration'!BL422</f>
        <v/>
      </c>
      <c r="P421" s="2">
        <f>'12 - Device_Configuration'!BA422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'12 - Device_Configuration'!H423</f>
        <v>0</v>
      </c>
      <c r="B422" s="23">
        <f>'12 - Device_Configuration'!S423</f>
        <v>0</v>
      </c>
      <c r="C422" s="23">
        <f>'12 - Device_Configuration'!T423</f>
        <v>0</v>
      </c>
      <c r="D422" s="15">
        <f>'12 - Device_Configuration'!AJ423</f>
        <v>0</v>
      </c>
      <c r="E422" s="15">
        <f>'12 - Device_Configuration'!J423</f>
        <v>0</v>
      </c>
      <c r="F422" s="23">
        <f>'12 - Device_Configuration'!K423</f>
        <v>0</v>
      </c>
      <c r="G422" s="15">
        <f>'12 - Device_Configuration'!L423</f>
        <v>0</v>
      </c>
      <c r="H422" s="15">
        <f>'13 - Config_Intake_View'!M422</f>
        <v>0</v>
      </c>
      <c r="I422" s="23">
        <f>IF('13 - Config_Intake_View'!Q422&lt;&gt;"",'13 - Config_Intake_View'!Q422,'12 - Device_Configuration'!BH423)</f>
        <v>0</v>
      </c>
      <c r="J422" s="15" t="str">
        <f>IF('13 - Config_Intake_View'!Q422&lt;&gt;"","PM Approved",IF('12 - Device_Configuration'!BH423&lt;&gt;"","Assumed",""))</f>
        <v/>
      </c>
      <c r="K422" s="23">
        <f>'12 - Device_Configuration'!BG423</f>
        <v>0</v>
      </c>
      <c r="L422" s="15">
        <f>'12 - Device_Configuration'!P423</f>
        <v>0</v>
      </c>
      <c r="M422" s="15">
        <f>'12 - Device_Configuration'!Q423</f>
        <v>0</v>
      </c>
      <c r="N422" s="15" t="str">
        <f>'12 - Device_Configuration'!BK423</f>
        <v/>
      </c>
      <c r="O422" s="23" t="str">
        <f>'12 - Device_Configuration'!BL423</f>
        <v/>
      </c>
      <c r="P422" s="2">
        <f>'12 - Device_Configuration'!BA423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'12 - Device_Configuration'!H424</f>
        <v>0</v>
      </c>
      <c r="B423" s="23">
        <f>'12 - Device_Configuration'!S424</f>
        <v>0</v>
      </c>
      <c r="C423" s="23">
        <f>'12 - Device_Configuration'!T424</f>
        <v>0</v>
      </c>
      <c r="D423" s="15">
        <f>'12 - Device_Configuration'!AJ424</f>
        <v>0</v>
      </c>
      <c r="E423" s="15">
        <f>'12 - Device_Configuration'!J424</f>
        <v>0</v>
      </c>
      <c r="F423" s="23">
        <f>'12 - Device_Configuration'!K424</f>
        <v>0</v>
      </c>
      <c r="G423" s="15">
        <f>'12 - Device_Configuration'!L424</f>
        <v>0</v>
      </c>
      <c r="H423" s="15">
        <f>'13 - Config_Intake_View'!M423</f>
        <v>0</v>
      </c>
      <c r="I423" s="23">
        <f>IF('13 - Config_Intake_View'!Q423&lt;&gt;"",'13 - Config_Intake_View'!Q423,'12 - Device_Configuration'!BH424)</f>
        <v>0</v>
      </c>
      <c r="J423" s="15" t="str">
        <f>IF('13 - Config_Intake_View'!Q423&lt;&gt;"","PM Approved",IF('12 - Device_Configuration'!BH424&lt;&gt;"","Assumed",""))</f>
        <v/>
      </c>
      <c r="K423" s="23">
        <f>'12 - Device_Configuration'!BG424</f>
        <v>0</v>
      </c>
      <c r="L423" s="15">
        <f>'12 - Device_Configuration'!P424</f>
        <v>0</v>
      </c>
      <c r="M423" s="15">
        <f>'12 - Device_Configuration'!Q424</f>
        <v>0</v>
      </c>
      <c r="N423" s="15" t="str">
        <f>'12 - Device_Configuration'!BK424</f>
        <v/>
      </c>
      <c r="O423" s="23" t="str">
        <f>'12 - Device_Configuration'!BL424</f>
        <v/>
      </c>
      <c r="P423" s="2">
        <f>'12 - Device_Configuration'!BA424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'12 - Device_Configuration'!H425</f>
        <v>0</v>
      </c>
      <c r="B424" s="23">
        <f>'12 - Device_Configuration'!S425</f>
        <v>0</v>
      </c>
      <c r="C424" s="23">
        <f>'12 - Device_Configuration'!T425</f>
        <v>0</v>
      </c>
      <c r="D424" s="15">
        <f>'12 - Device_Configuration'!AJ425</f>
        <v>0</v>
      </c>
      <c r="E424" s="15">
        <f>'12 - Device_Configuration'!J425</f>
        <v>0</v>
      </c>
      <c r="F424" s="23">
        <f>'12 - Device_Configuration'!K425</f>
        <v>0</v>
      </c>
      <c r="G424" s="15">
        <f>'12 - Device_Configuration'!L425</f>
        <v>0</v>
      </c>
      <c r="H424" s="15">
        <f>'13 - Config_Intake_View'!M424</f>
        <v>0</v>
      </c>
      <c r="I424" s="23">
        <f>IF('13 - Config_Intake_View'!Q424&lt;&gt;"",'13 - Config_Intake_View'!Q424,'12 - Device_Configuration'!BH425)</f>
        <v>0</v>
      </c>
      <c r="J424" s="15" t="str">
        <f>IF('13 - Config_Intake_View'!Q424&lt;&gt;"","PM Approved",IF('12 - Device_Configuration'!BH425&lt;&gt;"","Assumed",""))</f>
        <v/>
      </c>
      <c r="K424" s="23">
        <f>'12 - Device_Configuration'!BG425</f>
        <v>0</v>
      </c>
      <c r="L424" s="15">
        <f>'12 - Device_Configuration'!P425</f>
        <v>0</v>
      </c>
      <c r="M424" s="15">
        <f>'12 - Device_Configuration'!Q425</f>
        <v>0</v>
      </c>
      <c r="N424" s="15" t="str">
        <f>'12 - Device_Configuration'!BK425</f>
        <v/>
      </c>
      <c r="O424" s="23" t="str">
        <f>'12 - Device_Configuration'!BL425</f>
        <v/>
      </c>
      <c r="P424" s="2">
        <f>'12 - Device_Configuration'!BA425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'12 - Device_Configuration'!H426</f>
        <v>0</v>
      </c>
      <c r="B425" s="23">
        <f>'12 - Device_Configuration'!S426</f>
        <v>0</v>
      </c>
      <c r="C425" s="23">
        <f>'12 - Device_Configuration'!T426</f>
        <v>0</v>
      </c>
      <c r="D425" s="15">
        <f>'12 - Device_Configuration'!AJ426</f>
        <v>0</v>
      </c>
      <c r="E425" s="15">
        <f>'12 - Device_Configuration'!J426</f>
        <v>0</v>
      </c>
      <c r="F425" s="23">
        <f>'12 - Device_Configuration'!K426</f>
        <v>0</v>
      </c>
      <c r="G425" s="15">
        <f>'12 - Device_Configuration'!L426</f>
        <v>0</v>
      </c>
      <c r="H425" s="15">
        <f>'13 - Config_Intake_View'!M425</f>
        <v>0</v>
      </c>
      <c r="I425" s="23">
        <f>IF('13 - Config_Intake_View'!Q425&lt;&gt;"",'13 - Config_Intake_View'!Q425,'12 - Device_Configuration'!BH426)</f>
        <v>0</v>
      </c>
      <c r="J425" s="15" t="str">
        <f>IF('13 - Config_Intake_View'!Q425&lt;&gt;"","PM Approved",IF('12 - Device_Configuration'!BH426&lt;&gt;"","Assumed",""))</f>
        <v/>
      </c>
      <c r="K425" s="23">
        <f>'12 - Device_Configuration'!BG426</f>
        <v>0</v>
      </c>
      <c r="L425" s="15">
        <f>'12 - Device_Configuration'!P426</f>
        <v>0</v>
      </c>
      <c r="M425" s="15">
        <f>'12 - Device_Configuration'!Q426</f>
        <v>0</v>
      </c>
      <c r="N425" s="15" t="str">
        <f>'12 - Device_Configuration'!BK426</f>
        <v/>
      </c>
      <c r="O425" s="23" t="str">
        <f>'12 - Device_Configuration'!BL426</f>
        <v/>
      </c>
      <c r="P425" s="2">
        <f>'12 - Device_Configuration'!BA426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'12 - Device_Configuration'!H427</f>
        <v>0</v>
      </c>
      <c r="B426" s="23">
        <f>'12 - Device_Configuration'!S427</f>
        <v>0</v>
      </c>
      <c r="C426" s="23">
        <f>'12 - Device_Configuration'!T427</f>
        <v>0</v>
      </c>
      <c r="D426" s="15">
        <f>'12 - Device_Configuration'!AJ427</f>
        <v>0</v>
      </c>
      <c r="E426" s="15">
        <f>'12 - Device_Configuration'!J427</f>
        <v>0</v>
      </c>
      <c r="F426" s="23">
        <f>'12 - Device_Configuration'!K427</f>
        <v>0</v>
      </c>
      <c r="G426" s="15">
        <f>'12 - Device_Configuration'!L427</f>
        <v>0</v>
      </c>
      <c r="H426" s="15">
        <f>'13 - Config_Intake_View'!M426</f>
        <v>0</v>
      </c>
      <c r="I426" s="23">
        <f>IF('13 - Config_Intake_View'!Q426&lt;&gt;"",'13 - Config_Intake_View'!Q426,'12 - Device_Configuration'!BH427)</f>
        <v>0</v>
      </c>
      <c r="J426" s="15" t="str">
        <f>IF('13 - Config_Intake_View'!Q426&lt;&gt;"","PM Approved",IF('12 - Device_Configuration'!BH427&lt;&gt;"","Assumed",""))</f>
        <v/>
      </c>
      <c r="K426" s="23">
        <f>'12 - Device_Configuration'!BG427</f>
        <v>0</v>
      </c>
      <c r="L426" s="15">
        <f>'12 - Device_Configuration'!P427</f>
        <v>0</v>
      </c>
      <c r="M426" s="15">
        <f>'12 - Device_Configuration'!Q427</f>
        <v>0</v>
      </c>
      <c r="N426" s="15" t="str">
        <f>'12 - Device_Configuration'!BK427</f>
        <v/>
      </c>
      <c r="O426" s="23" t="str">
        <f>'12 - Device_Configuration'!BL427</f>
        <v/>
      </c>
      <c r="P426" s="2">
        <f>'12 - Device_Configuration'!BA427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'12 - Device_Configuration'!H428</f>
        <v>0</v>
      </c>
      <c r="B427" s="23">
        <f>'12 - Device_Configuration'!S428</f>
        <v>0</v>
      </c>
      <c r="C427" s="23">
        <f>'12 - Device_Configuration'!T428</f>
        <v>0</v>
      </c>
      <c r="D427" s="15">
        <f>'12 - Device_Configuration'!AJ428</f>
        <v>0</v>
      </c>
      <c r="E427" s="15">
        <f>'12 - Device_Configuration'!J428</f>
        <v>0</v>
      </c>
      <c r="F427" s="23">
        <f>'12 - Device_Configuration'!K428</f>
        <v>0</v>
      </c>
      <c r="G427" s="15">
        <f>'12 - Device_Configuration'!L428</f>
        <v>0</v>
      </c>
      <c r="H427" s="15">
        <f>'13 - Config_Intake_View'!M427</f>
        <v>0</v>
      </c>
      <c r="I427" s="23">
        <f>IF('13 - Config_Intake_View'!Q427&lt;&gt;"",'13 - Config_Intake_View'!Q427,'12 - Device_Configuration'!BH428)</f>
        <v>0</v>
      </c>
      <c r="J427" s="15" t="str">
        <f>IF('13 - Config_Intake_View'!Q427&lt;&gt;"","PM Approved",IF('12 - Device_Configuration'!BH428&lt;&gt;"","Assumed",""))</f>
        <v/>
      </c>
      <c r="K427" s="23">
        <f>'12 - Device_Configuration'!BG428</f>
        <v>0</v>
      </c>
      <c r="L427" s="15">
        <f>'12 - Device_Configuration'!P428</f>
        <v>0</v>
      </c>
      <c r="M427" s="15">
        <f>'12 - Device_Configuration'!Q428</f>
        <v>0</v>
      </c>
      <c r="N427" s="15" t="str">
        <f>'12 - Device_Configuration'!BK428</f>
        <v/>
      </c>
      <c r="O427" s="23" t="str">
        <f>'12 - Device_Configuration'!BL428</f>
        <v/>
      </c>
      <c r="P427" s="2">
        <f>'12 - Device_Configuration'!BA428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'12 - Device_Configuration'!H429</f>
        <v>0</v>
      </c>
      <c r="B428" s="23">
        <f>'12 - Device_Configuration'!S429</f>
        <v>0</v>
      </c>
      <c r="C428" s="23">
        <f>'12 - Device_Configuration'!T429</f>
        <v>0</v>
      </c>
      <c r="D428" s="15">
        <f>'12 - Device_Configuration'!AJ429</f>
        <v>0</v>
      </c>
      <c r="E428" s="15">
        <f>'12 - Device_Configuration'!J429</f>
        <v>0</v>
      </c>
      <c r="F428" s="23">
        <f>'12 - Device_Configuration'!K429</f>
        <v>0</v>
      </c>
      <c r="G428" s="15">
        <f>'12 - Device_Configuration'!L429</f>
        <v>0</v>
      </c>
      <c r="H428" s="15">
        <f>'13 - Config_Intake_View'!M428</f>
        <v>0</v>
      </c>
      <c r="I428" s="23">
        <f>IF('13 - Config_Intake_View'!Q428&lt;&gt;"",'13 - Config_Intake_View'!Q428,'12 - Device_Configuration'!BH429)</f>
        <v>0</v>
      </c>
      <c r="J428" s="15" t="str">
        <f>IF('13 - Config_Intake_View'!Q428&lt;&gt;"","PM Approved",IF('12 - Device_Configuration'!BH429&lt;&gt;"","Assumed",""))</f>
        <v/>
      </c>
      <c r="K428" s="23">
        <f>'12 - Device_Configuration'!BG429</f>
        <v>0</v>
      </c>
      <c r="L428" s="15">
        <f>'12 - Device_Configuration'!P429</f>
        <v>0</v>
      </c>
      <c r="M428" s="15">
        <f>'12 - Device_Configuration'!Q429</f>
        <v>0</v>
      </c>
      <c r="N428" s="15" t="str">
        <f>'12 - Device_Configuration'!BK429</f>
        <v/>
      </c>
      <c r="O428" s="23" t="str">
        <f>'12 - Device_Configuration'!BL429</f>
        <v/>
      </c>
      <c r="P428" s="2">
        <f>'12 - Device_Configuration'!BA429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'12 - Device_Configuration'!H430</f>
        <v>0</v>
      </c>
      <c r="B429" s="23">
        <f>'12 - Device_Configuration'!S430</f>
        <v>0</v>
      </c>
      <c r="C429" s="23">
        <f>'12 - Device_Configuration'!T430</f>
        <v>0</v>
      </c>
      <c r="D429" s="15">
        <f>'12 - Device_Configuration'!AJ430</f>
        <v>0</v>
      </c>
      <c r="E429" s="15">
        <f>'12 - Device_Configuration'!J430</f>
        <v>0</v>
      </c>
      <c r="F429" s="23">
        <f>'12 - Device_Configuration'!K430</f>
        <v>0</v>
      </c>
      <c r="G429" s="15">
        <f>'12 - Device_Configuration'!L430</f>
        <v>0</v>
      </c>
      <c r="H429" s="15">
        <f>'13 - Config_Intake_View'!M429</f>
        <v>0</v>
      </c>
      <c r="I429" s="23">
        <f>IF('13 - Config_Intake_View'!Q429&lt;&gt;"",'13 - Config_Intake_View'!Q429,'12 - Device_Configuration'!BH430)</f>
        <v>0</v>
      </c>
      <c r="J429" s="15" t="str">
        <f>IF('13 - Config_Intake_View'!Q429&lt;&gt;"","PM Approved",IF('12 - Device_Configuration'!BH430&lt;&gt;"","Assumed",""))</f>
        <v/>
      </c>
      <c r="K429" s="23">
        <f>'12 - Device_Configuration'!BG430</f>
        <v>0</v>
      </c>
      <c r="L429" s="15">
        <f>'12 - Device_Configuration'!P430</f>
        <v>0</v>
      </c>
      <c r="M429" s="15">
        <f>'12 - Device_Configuration'!Q430</f>
        <v>0</v>
      </c>
      <c r="N429" s="15" t="str">
        <f>'12 - Device_Configuration'!BK430</f>
        <v/>
      </c>
      <c r="O429" s="23" t="str">
        <f>'12 - Device_Configuration'!BL430</f>
        <v/>
      </c>
      <c r="P429" s="2">
        <f>'12 - Device_Configuration'!BA430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'12 - Device_Configuration'!H431</f>
        <v>0</v>
      </c>
      <c r="B430" s="23">
        <f>'12 - Device_Configuration'!S431</f>
        <v>0</v>
      </c>
      <c r="C430" s="23">
        <f>'12 - Device_Configuration'!T431</f>
        <v>0</v>
      </c>
      <c r="D430" s="15">
        <f>'12 - Device_Configuration'!AJ431</f>
        <v>0</v>
      </c>
      <c r="E430" s="15">
        <f>'12 - Device_Configuration'!J431</f>
        <v>0</v>
      </c>
      <c r="F430" s="23">
        <f>'12 - Device_Configuration'!K431</f>
        <v>0</v>
      </c>
      <c r="G430" s="15">
        <f>'12 - Device_Configuration'!L431</f>
        <v>0</v>
      </c>
      <c r="H430" s="15">
        <f>'13 - Config_Intake_View'!M430</f>
        <v>0</v>
      </c>
      <c r="I430" s="23">
        <f>IF('13 - Config_Intake_View'!Q430&lt;&gt;"",'13 - Config_Intake_View'!Q430,'12 - Device_Configuration'!BH431)</f>
        <v>0</v>
      </c>
      <c r="J430" s="15" t="str">
        <f>IF('13 - Config_Intake_View'!Q430&lt;&gt;"","PM Approved",IF('12 - Device_Configuration'!BH431&lt;&gt;"","Assumed",""))</f>
        <v/>
      </c>
      <c r="K430" s="23">
        <f>'12 - Device_Configuration'!BG431</f>
        <v>0</v>
      </c>
      <c r="L430" s="15">
        <f>'12 - Device_Configuration'!P431</f>
        <v>0</v>
      </c>
      <c r="M430" s="15">
        <f>'12 - Device_Configuration'!Q431</f>
        <v>0</v>
      </c>
      <c r="N430" s="15" t="str">
        <f>'12 - Device_Configuration'!BK431</f>
        <v/>
      </c>
      <c r="O430" s="23" t="str">
        <f>'12 - Device_Configuration'!BL431</f>
        <v/>
      </c>
      <c r="P430" s="2">
        <f>'12 - Device_Configuration'!BA431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'12 - Device_Configuration'!H432</f>
        <v>0</v>
      </c>
      <c r="B431" s="23">
        <f>'12 - Device_Configuration'!S432</f>
        <v>0</v>
      </c>
      <c r="C431" s="23">
        <f>'12 - Device_Configuration'!T432</f>
        <v>0</v>
      </c>
      <c r="D431" s="15">
        <f>'12 - Device_Configuration'!AJ432</f>
        <v>0</v>
      </c>
      <c r="E431" s="15">
        <f>'12 - Device_Configuration'!J432</f>
        <v>0</v>
      </c>
      <c r="F431" s="23">
        <f>'12 - Device_Configuration'!K432</f>
        <v>0</v>
      </c>
      <c r="G431" s="15">
        <f>'12 - Device_Configuration'!L432</f>
        <v>0</v>
      </c>
      <c r="H431" s="15">
        <f>'13 - Config_Intake_View'!M431</f>
        <v>0</v>
      </c>
      <c r="I431" s="23">
        <f>IF('13 - Config_Intake_View'!Q431&lt;&gt;"",'13 - Config_Intake_View'!Q431,'12 - Device_Configuration'!BH432)</f>
        <v>0</v>
      </c>
      <c r="J431" s="15" t="str">
        <f>IF('13 - Config_Intake_View'!Q431&lt;&gt;"","PM Approved",IF('12 - Device_Configuration'!BH432&lt;&gt;"","Assumed",""))</f>
        <v/>
      </c>
      <c r="K431" s="23">
        <f>'12 - Device_Configuration'!BG432</f>
        <v>0</v>
      </c>
      <c r="L431" s="15">
        <f>'12 - Device_Configuration'!P432</f>
        <v>0</v>
      </c>
      <c r="M431" s="15">
        <f>'12 - Device_Configuration'!Q432</f>
        <v>0</v>
      </c>
      <c r="N431" s="15" t="str">
        <f>'12 - Device_Configuration'!BK432</f>
        <v/>
      </c>
      <c r="O431" s="23" t="str">
        <f>'12 - Device_Configuration'!BL432</f>
        <v/>
      </c>
      <c r="P431" s="2">
        <f>'12 - Device_Configuration'!BA432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'12 - Device_Configuration'!H433</f>
        <v>0</v>
      </c>
      <c r="B432" s="23">
        <f>'12 - Device_Configuration'!S433</f>
        <v>0</v>
      </c>
      <c r="C432" s="23">
        <f>'12 - Device_Configuration'!T433</f>
        <v>0</v>
      </c>
      <c r="D432" s="15">
        <f>'12 - Device_Configuration'!AJ433</f>
        <v>0</v>
      </c>
      <c r="E432" s="15">
        <f>'12 - Device_Configuration'!J433</f>
        <v>0</v>
      </c>
      <c r="F432" s="23">
        <f>'12 - Device_Configuration'!K433</f>
        <v>0</v>
      </c>
      <c r="G432" s="15">
        <f>'12 - Device_Configuration'!L433</f>
        <v>0</v>
      </c>
      <c r="H432" s="15">
        <f>'13 - Config_Intake_View'!M432</f>
        <v>0</v>
      </c>
      <c r="I432" s="23">
        <f>IF('13 - Config_Intake_View'!Q432&lt;&gt;"",'13 - Config_Intake_View'!Q432,'12 - Device_Configuration'!BH433)</f>
        <v>0</v>
      </c>
      <c r="J432" s="15" t="str">
        <f>IF('13 - Config_Intake_View'!Q432&lt;&gt;"","PM Approved",IF('12 - Device_Configuration'!BH433&lt;&gt;"","Assumed",""))</f>
        <v/>
      </c>
      <c r="K432" s="23">
        <f>'12 - Device_Configuration'!BG433</f>
        <v>0</v>
      </c>
      <c r="L432" s="15">
        <f>'12 - Device_Configuration'!P433</f>
        <v>0</v>
      </c>
      <c r="M432" s="15">
        <f>'12 - Device_Configuration'!Q433</f>
        <v>0</v>
      </c>
      <c r="N432" s="15" t="str">
        <f>'12 - Device_Configuration'!BK433</f>
        <v/>
      </c>
      <c r="O432" s="23" t="str">
        <f>'12 - Device_Configuration'!BL433</f>
        <v/>
      </c>
      <c r="P432" s="2">
        <f>'12 - Device_Configuration'!BA433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'12 - Device_Configuration'!H434</f>
        <v>0</v>
      </c>
      <c r="B433" s="23">
        <f>'12 - Device_Configuration'!S434</f>
        <v>0</v>
      </c>
      <c r="C433" s="23">
        <f>'12 - Device_Configuration'!T434</f>
        <v>0</v>
      </c>
      <c r="D433" s="15">
        <f>'12 - Device_Configuration'!AJ434</f>
        <v>0</v>
      </c>
      <c r="E433" s="15">
        <f>'12 - Device_Configuration'!J434</f>
        <v>0</v>
      </c>
      <c r="F433" s="23">
        <f>'12 - Device_Configuration'!K434</f>
        <v>0</v>
      </c>
      <c r="G433" s="15">
        <f>'12 - Device_Configuration'!L434</f>
        <v>0</v>
      </c>
      <c r="H433" s="15">
        <f>'13 - Config_Intake_View'!M433</f>
        <v>0</v>
      </c>
      <c r="I433" s="23">
        <f>IF('13 - Config_Intake_View'!Q433&lt;&gt;"",'13 - Config_Intake_View'!Q433,'12 - Device_Configuration'!BH434)</f>
        <v>0</v>
      </c>
      <c r="J433" s="15" t="str">
        <f>IF('13 - Config_Intake_View'!Q433&lt;&gt;"","PM Approved",IF('12 - Device_Configuration'!BH434&lt;&gt;"","Assumed",""))</f>
        <v/>
      </c>
      <c r="K433" s="23">
        <f>'12 - Device_Configuration'!BG434</f>
        <v>0</v>
      </c>
      <c r="L433" s="15">
        <f>'12 - Device_Configuration'!P434</f>
        <v>0</v>
      </c>
      <c r="M433" s="15">
        <f>'12 - Device_Configuration'!Q434</f>
        <v>0</v>
      </c>
      <c r="N433" s="15" t="str">
        <f>'12 - Device_Configuration'!BK434</f>
        <v/>
      </c>
      <c r="O433" s="23" t="str">
        <f>'12 - Device_Configuration'!BL434</f>
        <v/>
      </c>
      <c r="P433" s="2">
        <f>'12 - Device_Configuration'!BA434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'12 - Device_Configuration'!H435</f>
        <v>0</v>
      </c>
      <c r="B434" s="23">
        <f>'12 - Device_Configuration'!S435</f>
        <v>0</v>
      </c>
      <c r="C434" s="23">
        <f>'12 - Device_Configuration'!T435</f>
        <v>0</v>
      </c>
      <c r="D434" s="15">
        <f>'12 - Device_Configuration'!AJ435</f>
        <v>0</v>
      </c>
      <c r="E434" s="15">
        <f>'12 - Device_Configuration'!J435</f>
        <v>0</v>
      </c>
      <c r="F434" s="23">
        <f>'12 - Device_Configuration'!K435</f>
        <v>0</v>
      </c>
      <c r="G434" s="15">
        <f>'12 - Device_Configuration'!L435</f>
        <v>0</v>
      </c>
      <c r="H434" s="15">
        <f>'13 - Config_Intake_View'!M434</f>
        <v>0</v>
      </c>
      <c r="I434" s="23">
        <f>IF('13 - Config_Intake_View'!Q434&lt;&gt;"",'13 - Config_Intake_View'!Q434,'12 - Device_Configuration'!BH435)</f>
        <v>0</v>
      </c>
      <c r="J434" s="15" t="str">
        <f>IF('13 - Config_Intake_View'!Q434&lt;&gt;"","PM Approved",IF('12 - Device_Configuration'!BH435&lt;&gt;"","Assumed",""))</f>
        <v/>
      </c>
      <c r="K434" s="23">
        <f>'12 - Device_Configuration'!BG435</f>
        <v>0</v>
      </c>
      <c r="L434" s="15">
        <f>'12 - Device_Configuration'!P435</f>
        <v>0</v>
      </c>
      <c r="M434" s="15">
        <f>'12 - Device_Configuration'!Q435</f>
        <v>0</v>
      </c>
      <c r="N434" s="15" t="str">
        <f>'12 - Device_Configuration'!BK435</f>
        <v/>
      </c>
      <c r="O434" s="23" t="str">
        <f>'12 - Device_Configuration'!BL435</f>
        <v/>
      </c>
      <c r="P434" s="2">
        <f>'12 - Device_Configuration'!BA435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'12 - Device_Configuration'!H436</f>
        <v>0</v>
      </c>
      <c r="B435" s="23">
        <f>'12 - Device_Configuration'!S436</f>
        <v>0</v>
      </c>
      <c r="C435" s="23">
        <f>'12 - Device_Configuration'!T436</f>
        <v>0</v>
      </c>
      <c r="D435" s="15">
        <f>'12 - Device_Configuration'!AJ436</f>
        <v>0</v>
      </c>
      <c r="E435" s="15">
        <f>'12 - Device_Configuration'!J436</f>
        <v>0</v>
      </c>
      <c r="F435" s="23">
        <f>'12 - Device_Configuration'!K436</f>
        <v>0</v>
      </c>
      <c r="G435" s="15">
        <f>'12 - Device_Configuration'!L436</f>
        <v>0</v>
      </c>
      <c r="H435" s="15">
        <f>'13 - Config_Intake_View'!M435</f>
        <v>0</v>
      </c>
      <c r="I435" s="23">
        <f>IF('13 - Config_Intake_View'!Q435&lt;&gt;"",'13 - Config_Intake_View'!Q435,'12 - Device_Configuration'!BH436)</f>
        <v>0</v>
      </c>
      <c r="J435" s="15" t="str">
        <f>IF('13 - Config_Intake_View'!Q435&lt;&gt;"","PM Approved",IF('12 - Device_Configuration'!BH436&lt;&gt;"","Assumed",""))</f>
        <v/>
      </c>
      <c r="K435" s="23">
        <f>'12 - Device_Configuration'!BG436</f>
        <v>0</v>
      </c>
      <c r="L435" s="15">
        <f>'12 - Device_Configuration'!P436</f>
        <v>0</v>
      </c>
      <c r="M435" s="15">
        <f>'12 - Device_Configuration'!Q436</f>
        <v>0</v>
      </c>
      <c r="N435" s="15" t="str">
        <f>'12 - Device_Configuration'!BK436</f>
        <v/>
      </c>
      <c r="O435" s="23" t="str">
        <f>'12 - Device_Configuration'!BL436</f>
        <v/>
      </c>
      <c r="P435" s="2">
        <f>'12 - Device_Configuration'!BA436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'12 - Device_Configuration'!H437</f>
        <v>0</v>
      </c>
      <c r="B436" s="23">
        <f>'12 - Device_Configuration'!S437</f>
        <v>0</v>
      </c>
      <c r="C436" s="23">
        <f>'12 - Device_Configuration'!T437</f>
        <v>0</v>
      </c>
      <c r="D436" s="15">
        <f>'12 - Device_Configuration'!AJ437</f>
        <v>0</v>
      </c>
      <c r="E436" s="15">
        <f>'12 - Device_Configuration'!J437</f>
        <v>0</v>
      </c>
      <c r="F436" s="23">
        <f>'12 - Device_Configuration'!K437</f>
        <v>0</v>
      </c>
      <c r="G436" s="15">
        <f>'12 - Device_Configuration'!L437</f>
        <v>0</v>
      </c>
      <c r="H436" s="15">
        <f>'13 - Config_Intake_View'!M436</f>
        <v>0</v>
      </c>
      <c r="I436" s="23">
        <f>IF('13 - Config_Intake_View'!Q436&lt;&gt;"",'13 - Config_Intake_View'!Q436,'12 - Device_Configuration'!BH437)</f>
        <v>0</v>
      </c>
      <c r="J436" s="15" t="str">
        <f>IF('13 - Config_Intake_View'!Q436&lt;&gt;"","PM Approved",IF('12 - Device_Configuration'!BH437&lt;&gt;"","Assumed",""))</f>
        <v/>
      </c>
      <c r="K436" s="23">
        <f>'12 - Device_Configuration'!BG437</f>
        <v>0</v>
      </c>
      <c r="L436" s="15">
        <f>'12 - Device_Configuration'!P437</f>
        <v>0</v>
      </c>
      <c r="M436" s="15">
        <f>'12 - Device_Configuration'!Q437</f>
        <v>0</v>
      </c>
      <c r="N436" s="15" t="str">
        <f>'12 - Device_Configuration'!BK437</f>
        <v/>
      </c>
      <c r="O436" s="23" t="str">
        <f>'12 - Device_Configuration'!BL437</f>
        <v/>
      </c>
      <c r="P436" s="2">
        <f>'12 - Device_Configuration'!BA437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'12 - Device_Configuration'!H438</f>
        <v>0</v>
      </c>
      <c r="B437" s="23">
        <f>'12 - Device_Configuration'!S438</f>
        <v>0</v>
      </c>
      <c r="C437" s="23">
        <f>'12 - Device_Configuration'!T438</f>
        <v>0</v>
      </c>
      <c r="D437" s="15">
        <f>'12 - Device_Configuration'!AJ438</f>
        <v>0</v>
      </c>
      <c r="E437" s="15">
        <f>'12 - Device_Configuration'!J438</f>
        <v>0</v>
      </c>
      <c r="F437" s="23">
        <f>'12 - Device_Configuration'!K438</f>
        <v>0</v>
      </c>
      <c r="G437" s="15">
        <f>'12 - Device_Configuration'!L438</f>
        <v>0</v>
      </c>
      <c r="H437" s="15">
        <f>'13 - Config_Intake_View'!M437</f>
        <v>0</v>
      </c>
      <c r="I437" s="23">
        <f>IF('13 - Config_Intake_View'!Q437&lt;&gt;"",'13 - Config_Intake_View'!Q437,'12 - Device_Configuration'!BH438)</f>
        <v>0</v>
      </c>
      <c r="J437" s="15" t="str">
        <f>IF('13 - Config_Intake_View'!Q437&lt;&gt;"","PM Approved",IF('12 - Device_Configuration'!BH438&lt;&gt;"","Assumed",""))</f>
        <v/>
      </c>
      <c r="K437" s="23">
        <f>'12 - Device_Configuration'!BG438</f>
        <v>0</v>
      </c>
      <c r="L437" s="15">
        <f>'12 - Device_Configuration'!P438</f>
        <v>0</v>
      </c>
      <c r="M437" s="15">
        <f>'12 - Device_Configuration'!Q438</f>
        <v>0</v>
      </c>
      <c r="N437" s="15" t="str">
        <f>'12 - Device_Configuration'!BK438</f>
        <v/>
      </c>
      <c r="O437" s="23" t="str">
        <f>'12 - Device_Configuration'!BL438</f>
        <v/>
      </c>
      <c r="P437" s="2">
        <f>'12 - Device_Configuration'!BA438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'12 - Device_Configuration'!H439</f>
        <v>0</v>
      </c>
      <c r="B438" s="23">
        <f>'12 - Device_Configuration'!S439</f>
        <v>0</v>
      </c>
      <c r="C438" s="23">
        <f>'12 - Device_Configuration'!T439</f>
        <v>0</v>
      </c>
      <c r="D438" s="15">
        <f>'12 - Device_Configuration'!AJ439</f>
        <v>0</v>
      </c>
      <c r="E438" s="15">
        <f>'12 - Device_Configuration'!J439</f>
        <v>0</v>
      </c>
      <c r="F438" s="23">
        <f>'12 - Device_Configuration'!K439</f>
        <v>0</v>
      </c>
      <c r="G438" s="15">
        <f>'12 - Device_Configuration'!L439</f>
        <v>0</v>
      </c>
      <c r="H438" s="15">
        <f>'13 - Config_Intake_View'!M438</f>
        <v>0</v>
      </c>
      <c r="I438" s="23">
        <f>IF('13 - Config_Intake_View'!Q438&lt;&gt;"",'13 - Config_Intake_View'!Q438,'12 - Device_Configuration'!BH439)</f>
        <v>0</v>
      </c>
      <c r="J438" s="15" t="str">
        <f>IF('13 - Config_Intake_View'!Q438&lt;&gt;"","PM Approved",IF('12 - Device_Configuration'!BH439&lt;&gt;"","Assumed",""))</f>
        <v/>
      </c>
      <c r="K438" s="23">
        <f>'12 - Device_Configuration'!BG439</f>
        <v>0</v>
      </c>
      <c r="L438" s="15">
        <f>'12 - Device_Configuration'!P439</f>
        <v>0</v>
      </c>
      <c r="M438" s="15">
        <f>'12 - Device_Configuration'!Q439</f>
        <v>0</v>
      </c>
      <c r="N438" s="15" t="str">
        <f>'12 - Device_Configuration'!BK439</f>
        <v/>
      </c>
      <c r="O438" s="23" t="str">
        <f>'12 - Device_Configuration'!BL439</f>
        <v/>
      </c>
      <c r="P438" s="2">
        <f>'12 - Device_Configuration'!BA439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'12 - Device_Configuration'!H440</f>
        <v>0</v>
      </c>
      <c r="B439" s="23">
        <f>'12 - Device_Configuration'!S440</f>
        <v>0</v>
      </c>
      <c r="C439" s="23">
        <f>'12 - Device_Configuration'!T440</f>
        <v>0</v>
      </c>
      <c r="D439" s="15">
        <f>'12 - Device_Configuration'!AJ440</f>
        <v>0</v>
      </c>
      <c r="E439" s="15">
        <f>'12 - Device_Configuration'!J440</f>
        <v>0</v>
      </c>
      <c r="F439" s="23">
        <f>'12 - Device_Configuration'!K440</f>
        <v>0</v>
      </c>
      <c r="G439" s="15">
        <f>'12 - Device_Configuration'!L440</f>
        <v>0</v>
      </c>
      <c r="H439" s="15">
        <f>'13 - Config_Intake_View'!M439</f>
        <v>0</v>
      </c>
      <c r="I439" s="23">
        <f>IF('13 - Config_Intake_View'!Q439&lt;&gt;"",'13 - Config_Intake_View'!Q439,'12 - Device_Configuration'!BH440)</f>
        <v>0</v>
      </c>
      <c r="J439" s="15" t="str">
        <f>IF('13 - Config_Intake_View'!Q439&lt;&gt;"","PM Approved",IF('12 - Device_Configuration'!BH440&lt;&gt;"","Assumed",""))</f>
        <v/>
      </c>
      <c r="K439" s="23">
        <f>'12 - Device_Configuration'!BG440</f>
        <v>0</v>
      </c>
      <c r="L439" s="15">
        <f>'12 - Device_Configuration'!P440</f>
        <v>0</v>
      </c>
      <c r="M439" s="15">
        <f>'12 - Device_Configuration'!Q440</f>
        <v>0</v>
      </c>
      <c r="N439" s="15" t="str">
        <f>'12 - Device_Configuration'!BK440</f>
        <v/>
      </c>
      <c r="O439" s="23" t="str">
        <f>'12 - Device_Configuration'!BL440</f>
        <v/>
      </c>
      <c r="P439" s="2">
        <f>'12 - Device_Configuration'!BA440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'12 - Device_Configuration'!H441</f>
        <v>0</v>
      </c>
      <c r="B440" s="23">
        <f>'12 - Device_Configuration'!S441</f>
        <v>0</v>
      </c>
      <c r="C440" s="23">
        <f>'12 - Device_Configuration'!T441</f>
        <v>0</v>
      </c>
      <c r="D440" s="15">
        <f>'12 - Device_Configuration'!AJ441</f>
        <v>0</v>
      </c>
      <c r="E440" s="15">
        <f>'12 - Device_Configuration'!J441</f>
        <v>0</v>
      </c>
      <c r="F440" s="23">
        <f>'12 - Device_Configuration'!K441</f>
        <v>0</v>
      </c>
      <c r="G440" s="15">
        <f>'12 - Device_Configuration'!L441</f>
        <v>0</v>
      </c>
      <c r="H440" s="15">
        <f>'13 - Config_Intake_View'!M440</f>
        <v>0</v>
      </c>
      <c r="I440" s="23">
        <f>IF('13 - Config_Intake_View'!Q440&lt;&gt;"",'13 - Config_Intake_View'!Q440,'12 - Device_Configuration'!BH441)</f>
        <v>0</v>
      </c>
      <c r="J440" s="15" t="str">
        <f>IF('13 - Config_Intake_View'!Q440&lt;&gt;"","PM Approved",IF('12 - Device_Configuration'!BH441&lt;&gt;"","Assumed",""))</f>
        <v/>
      </c>
      <c r="K440" s="23">
        <f>'12 - Device_Configuration'!BG441</f>
        <v>0</v>
      </c>
      <c r="L440" s="15">
        <f>'12 - Device_Configuration'!P441</f>
        <v>0</v>
      </c>
      <c r="M440" s="15">
        <f>'12 - Device_Configuration'!Q441</f>
        <v>0</v>
      </c>
      <c r="N440" s="15" t="str">
        <f>'12 - Device_Configuration'!BK441</f>
        <v/>
      </c>
      <c r="O440" s="23" t="str">
        <f>'12 - Device_Configuration'!BL441</f>
        <v/>
      </c>
      <c r="P440" s="2">
        <f>'12 - Device_Configuration'!BA441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'12 - Device_Configuration'!H442</f>
        <v>0</v>
      </c>
      <c r="B441" s="23">
        <f>'12 - Device_Configuration'!S442</f>
        <v>0</v>
      </c>
      <c r="C441" s="23">
        <f>'12 - Device_Configuration'!T442</f>
        <v>0</v>
      </c>
      <c r="D441" s="15">
        <f>'12 - Device_Configuration'!AJ442</f>
        <v>0</v>
      </c>
      <c r="E441" s="15">
        <f>'12 - Device_Configuration'!J442</f>
        <v>0</v>
      </c>
      <c r="F441" s="23">
        <f>'12 - Device_Configuration'!K442</f>
        <v>0</v>
      </c>
      <c r="G441" s="15">
        <f>'12 - Device_Configuration'!L442</f>
        <v>0</v>
      </c>
      <c r="H441" s="15">
        <f>'13 - Config_Intake_View'!M441</f>
        <v>0</v>
      </c>
      <c r="I441" s="23">
        <f>IF('13 - Config_Intake_View'!Q441&lt;&gt;"",'13 - Config_Intake_View'!Q441,'12 - Device_Configuration'!BH442)</f>
        <v>0</v>
      </c>
      <c r="J441" s="15" t="str">
        <f>IF('13 - Config_Intake_View'!Q441&lt;&gt;"","PM Approved",IF('12 - Device_Configuration'!BH442&lt;&gt;"","Assumed",""))</f>
        <v/>
      </c>
      <c r="K441" s="23">
        <f>'12 - Device_Configuration'!BG442</f>
        <v>0</v>
      </c>
      <c r="L441" s="15">
        <f>'12 - Device_Configuration'!P442</f>
        <v>0</v>
      </c>
      <c r="M441" s="15">
        <f>'12 - Device_Configuration'!Q442</f>
        <v>0</v>
      </c>
      <c r="N441" s="15" t="str">
        <f>'12 - Device_Configuration'!BK442</f>
        <v/>
      </c>
      <c r="O441" s="23" t="str">
        <f>'12 - Device_Configuration'!BL442</f>
        <v/>
      </c>
      <c r="P441" s="2">
        <f>'12 - Device_Configuration'!BA442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'12 - Device_Configuration'!H443</f>
        <v>0</v>
      </c>
      <c r="B442" s="23">
        <f>'12 - Device_Configuration'!S443</f>
        <v>0</v>
      </c>
      <c r="C442" s="23">
        <f>'12 - Device_Configuration'!T443</f>
        <v>0</v>
      </c>
      <c r="D442" s="15">
        <f>'12 - Device_Configuration'!AJ443</f>
        <v>0</v>
      </c>
      <c r="E442" s="15">
        <f>'12 - Device_Configuration'!J443</f>
        <v>0</v>
      </c>
      <c r="F442" s="23">
        <f>'12 - Device_Configuration'!K443</f>
        <v>0</v>
      </c>
      <c r="G442" s="15">
        <f>'12 - Device_Configuration'!L443</f>
        <v>0</v>
      </c>
      <c r="H442" s="15">
        <f>'13 - Config_Intake_View'!M442</f>
        <v>0</v>
      </c>
      <c r="I442" s="23">
        <f>IF('13 - Config_Intake_View'!Q442&lt;&gt;"",'13 - Config_Intake_View'!Q442,'12 - Device_Configuration'!BH443)</f>
        <v>0</v>
      </c>
      <c r="J442" s="15" t="str">
        <f>IF('13 - Config_Intake_View'!Q442&lt;&gt;"","PM Approved",IF('12 - Device_Configuration'!BH443&lt;&gt;"","Assumed",""))</f>
        <v/>
      </c>
      <c r="K442" s="23">
        <f>'12 - Device_Configuration'!BG443</f>
        <v>0</v>
      </c>
      <c r="L442" s="15">
        <f>'12 - Device_Configuration'!P443</f>
        <v>0</v>
      </c>
      <c r="M442" s="15">
        <f>'12 - Device_Configuration'!Q443</f>
        <v>0</v>
      </c>
      <c r="N442" s="15" t="str">
        <f>'12 - Device_Configuration'!BK443</f>
        <v/>
      </c>
      <c r="O442" s="23" t="str">
        <f>'12 - Device_Configuration'!BL443</f>
        <v/>
      </c>
      <c r="P442" s="2">
        <f>'12 - Device_Configuration'!BA443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'12 - Device_Configuration'!H444</f>
        <v>0</v>
      </c>
      <c r="B443" s="23">
        <f>'12 - Device_Configuration'!S444</f>
        <v>0</v>
      </c>
      <c r="C443" s="23">
        <f>'12 - Device_Configuration'!T444</f>
        <v>0</v>
      </c>
      <c r="D443" s="15">
        <f>'12 - Device_Configuration'!AJ444</f>
        <v>0</v>
      </c>
      <c r="E443" s="15">
        <f>'12 - Device_Configuration'!J444</f>
        <v>0</v>
      </c>
      <c r="F443" s="23">
        <f>'12 - Device_Configuration'!K444</f>
        <v>0</v>
      </c>
      <c r="G443" s="15">
        <f>'12 - Device_Configuration'!L444</f>
        <v>0</v>
      </c>
      <c r="H443" s="15">
        <f>'13 - Config_Intake_View'!M443</f>
        <v>0</v>
      </c>
      <c r="I443" s="23">
        <f>IF('13 - Config_Intake_View'!Q443&lt;&gt;"",'13 - Config_Intake_View'!Q443,'12 - Device_Configuration'!BH444)</f>
        <v>0</v>
      </c>
      <c r="J443" s="15" t="str">
        <f>IF('13 - Config_Intake_View'!Q443&lt;&gt;"","PM Approved",IF('12 - Device_Configuration'!BH444&lt;&gt;"","Assumed",""))</f>
        <v/>
      </c>
      <c r="K443" s="23">
        <f>'12 - Device_Configuration'!BG444</f>
        <v>0</v>
      </c>
      <c r="L443" s="15">
        <f>'12 - Device_Configuration'!P444</f>
        <v>0</v>
      </c>
      <c r="M443" s="15">
        <f>'12 - Device_Configuration'!Q444</f>
        <v>0</v>
      </c>
      <c r="N443" s="15" t="str">
        <f>'12 - Device_Configuration'!BK444</f>
        <v/>
      </c>
      <c r="O443" s="23" t="str">
        <f>'12 - Device_Configuration'!BL444</f>
        <v/>
      </c>
      <c r="P443" s="2">
        <f>'12 - Device_Configuration'!BA444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'12 - Device_Configuration'!H445</f>
        <v>0</v>
      </c>
      <c r="B444" s="23">
        <f>'12 - Device_Configuration'!S445</f>
        <v>0</v>
      </c>
      <c r="C444" s="23">
        <f>'12 - Device_Configuration'!T445</f>
        <v>0</v>
      </c>
      <c r="D444" s="15">
        <f>'12 - Device_Configuration'!AJ445</f>
        <v>0</v>
      </c>
      <c r="E444" s="15">
        <f>'12 - Device_Configuration'!J445</f>
        <v>0</v>
      </c>
      <c r="F444" s="23">
        <f>'12 - Device_Configuration'!K445</f>
        <v>0</v>
      </c>
      <c r="G444" s="15">
        <f>'12 - Device_Configuration'!L445</f>
        <v>0</v>
      </c>
      <c r="H444" s="15">
        <f>'13 - Config_Intake_View'!M444</f>
        <v>0</v>
      </c>
      <c r="I444" s="23">
        <f>IF('13 - Config_Intake_View'!Q444&lt;&gt;"",'13 - Config_Intake_View'!Q444,'12 - Device_Configuration'!BH445)</f>
        <v>0</v>
      </c>
      <c r="J444" s="15" t="str">
        <f>IF('13 - Config_Intake_View'!Q444&lt;&gt;"","PM Approved",IF('12 - Device_Configuration'!BH445&lt;&gt;"","Assumed",""))</f>
        <v/>
      </c>
      <c r="K444" s="23">
        <f>'12 - Device_Configuration'!BG445</f>
        <v>0</v>
      </c>
      <c r="L444" s="15">
        <f>'12 - Device_Configuration'!P445</f>
        <v>0</v>
      </c>
      <c r="M444" s="15">
        <f>'12 - Device_Configuration'!Q445</f>
        <v>0</v>
      </c>
      <c r="N444" s="15" t="str">
        <f>'12 - Device_Configuration'!BK445</f>
        <v/>
      </c>
      <c r="O444" s="23" t="str">
        <f>'12 - Device_Configuration'!BL445</f>
        <v/>
      </c>
      <c r="P444" s="2">
        <f>'12 - Device_Configuration'!BA445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'12 - Device_Configuration'!H446</f>
        <v>0</v>
      </c>
      <c r="B445" s="23">
        <f>'12 - Device_Configuration'!S446</f>
        <v>0</v>
      </c>
      <c r="C445" s="23">
        <f>'12 - Device_Configuration'!T446</f>
        <v>0</v>
      </c>
      <c r="D445" s="15">
        <f>'12 - Device_Configuration'!AJ446</f>
        <v>0</v>
      </c>
      <c r="E445" s="15">
        <f>'12 - Device_Configuration'!J446</f>
        <v>0</v>
      </c>
      <c r="F445" s="23">
        <f>'12 - Device_Configuration'!K446</f>
        <v>0</v>
      </c>
      <c r="G445" s="15">
        <f>'12 - Device_Configuration'!L446</f>
        <v>0</v>
      </c>
      <c r="H445" s="15">
        <f>'13 - Config_Intake_View'!M445</f>
        <v>0</v>
      </c>
      <c r="I445" s="23">
        <f>IF('13 - Config_Intake_View'!Q445&lt;&gt;"",'13 - Config_Intake_View'!Q445,'12 - Device_Configuration'!BH446)</f>
        <v>0</v>
      </c>
      <c r="J445" s="15" t="str">
        <f>IF('13 - Config_Intake_View'!Q445&lt;&gt;"","PM Approved",IF('12 - Device_Configuration'!BH446&lt;&gt;"","Assumed",""))</f>
        <v/>
      </c>
      <c r="K445" s="23">
        <f>'12 - Device_Configuration'!BG446</f>
        <v>0</v>
      </c>
      <c r="L445" s="15">
        <f>'12 - Device_Configuration'!P446</f>
        <v>0</v>
      </c>
      <c r="M445" s="15">
        <f>'12 - Device_Configuration'!Q446</f>
        <v>0</v>
      </c>
      <c r="N445" s="15" t="str">
        <f>'12 - Device_Configuration'!BK446</f>
        <v/>
      </c>
      <c r="O445" s="23" t="str">
        <f>'12 - Device_Configuration'!BL446</f>
        <v/>
      </c>
      <c r="P445" s="2">
        <f>'12 - Device_Configuration'!BA446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'12 - Device_Configuration'!H447</f>
        <v>0</v>
      </c>
      <c r="B446" s="23">
        <f>'12 - Device_Configuration'!S447</f>
        <v>0</v>
      </c>
      <c r="C446" s="23">
        <f>'12 - Device_Configuration'!T447</f>
        <v>0</v>
      </c>
      <c r="D446" s="15">
        <f>'12 - Device_Configuration'!AJ447</f>
        <v>0</v>
      </c>
      <c r="E446" s="15">
        <f>'12 - Device_Configuration'!J447</f>
        <v>0</v>
      </c>
      <c r="F446" s="23">
        <f>'12 - Device_Configuration'!K447</f>
        <v>0</v>
      </c>
      <c r="G446" s="15">
        <f>'12 - Device_Configuration'!L447</f>
        <v>0</v>
      </c>
      <c r="H446" s="15">
        <f>'13 - Config_Intake_View'!M446</f>
        <v>0</v>
      </c>
      <c r="I446" s="23">
        <f>IF('13 - Config_Intake_View'!Q446&lt;&gt;"",'13 - Config_Intake_View'!Q446,'12 - Device_Configuration'!BH447)</f>
        <v>0</v>
      </c>
      <c r="J446" s="15" t="str">
        <f>IF('13 - Config_Intake_View'!Q446&lt;&gt;"","PM Approved",IF('12 - Device_Configuration'!BH447&lt;&gt;"","Assumed",""))</f>
        <v/>
      </c>
      <c r="K446" s="23">
        <f>'12 - Device_Configuration'!BG447</f>
        <v>0</v>
      </c>
      <c r="L446" s="15">
        <f>'12 - Device_Configuration'!P447</f>
        <v>0</v>
      </c>
      <c r="M446" s="15">
        <f>'12 - Device_Configuration'!Q447</f>
        <v>0</v>
      </c>
      <c r="N446" s="15" t="str">
        <f>'12 - Device_Configuration'!BK447</f>
        <v/>
      </c>
      <c r="O446" s="23" t="str">
        <f>'12 - Device_Configuration'!BL447</f>
        <v/>
      </c>
      <c r="P446" s="2">
        <f>'12 - Device_Configuration'!BA447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'12 - Device_Configuration'!H448</f>
        <v>0</v>
      </c>
      <c r="B447" s="23">
        <f>'12 - Device_Configuration'!S448</f>
        <v>0</v>
      </c>
      <c r="C447" s="23">
        <f>'12 - Device_Configuration'!T448</f>
        <v>0</v>
      </c>
      <c r="D447" s="15">
        <f>'12 - Device_Configuration'!AJ448</f>
        <v>0</v>
      </c>
      <c r="E447" s="15">
        <f>'12 - Device_Configuration'!J448</f>
        <v>0</v>
      </c>
      <c r="F447" s="23">
        <f>'12 - Device_Configuration'!K448</f>
        <v>0</v>
      </c>
      <c r="G447" s="15">
        <f>'12 - Device_Configuration'!L448</f>
        <v>0</v>
      </c>
      <c r="H447" s="15">
        <f>'13 - Config_Intake_View'!M447</f>
        <v>0</v>
      </c>
      <c r="I447" s="23">
        <f>IF('13 - Config_Intake_View'!Q447&lt;&gt;"",'13 - Config_Intake_View'!Q447,'12 - Device_Configuration'!BH448)</f>
        <v>0</v>
      </c>
      <c r="J447" s="15" t="str">
        <f>IF('13 - Config_Intake_View'!Q447&lt;&gt;"","PM Approved",IF('12 - Device_Configuration'!BH448&lt;&gt;"","Assumed",""))</f>
        <v/>
      </c>
      <c r="K447" s="23">
        <f>'12 - Device_Configuration'!BG448</f>
        <v>0</v>
      </c>
      <c r="L447" s="15">
        <f>'12 - Device_Configuration'!P448</f>
        <v>0</v>
      </c>
      <c r="M447" s="15">
        <f>'12 - Device_Configuration'!Q448</f>
        <v>0</v>
      </c>
      <c r="N447" s="15" t="str">
        <f>'12 - Device_Configuration'!BK448</f>
        <v/>
      </c>
      <c r="O447" s="23" t="str">
        <f>'12 - Device_Configuration'!BL448</f>
        <v/>
      </c>
      <c r="P447" s="2">
        <f>'12 - Device_Configuration'!BA448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'12 - Device_Configuration'!H449</f>
        <v>0</v>
      </c>
      <c r="B448" s="23">
        <f>'12 - Device_Configuration'!S449</f>
        <v>0</v>
      </c>
      <c r="C448" s="23">
        <f>'12 - Device_Configuration'!T449</f>
        <v>0</v>
      </c>
      <c r="D448" s="15">
        <f>'12 - Device_Configuration'!AJ449</f>
        <v>0</v>
      </c>
      <c r="E448" s="15">
        <f>'12 - Device_Configuration'!J449</f>
        <v>0</v>
      </c>
      <c r="F448" s="23">
        <f>'12 - Device_Configuration'!K449</f>
        <v>0</v>
      </c>
      <c r="G448" s="15">
        <f>'12 - Device_Configuration'!L449</f>
        <v>0</v>
      </c>
      <c r="H448" s="15">
        <f>'13 - Config_Intake_View'!M448</f>
        <v>0</v>
      </c>
      <c r="I448" s="23">
        <f>IF('13 - Config_Intake_View'!Q448&lt;&gt;"",'13 - Config_Intake_View'!Q448,'12 - Device_Configuration'!BH449)</f>
        <v>0</v>
      </c>
      <c r="J448" s="15" t="str">
        <f>IF('13 - Config_Intake_View'!Q448&lt;&gt;"","PM Approved",IF('12 - Device_Configuration'!BH449&lt;&gt;"","Assumed",""))</f>
        <v/>
      </c>
      <c r="K448" s="23">
        <f>'12 - Device_Configuration'!BG449</f>
        <v>0</v>
      </c>
      <c r="L448" s="15">
        <f>'12 - Device_Configuration'!P449</f>
        <v>0</v>
      </c>
      <c r="M448" s="15">
        <f>'12 - Device_Configuration'!Q449</f>
        <v>0</v>
      </c>
      <c r="N448" s="15" t="str">
        <f>'12 - Device_Configuration'!BK449</f>
        <v/>
      </c>
      <c r="O448" s="23" t="str">
        <f>'12 - Device_Configuration'!BL449</f>
        <v/>
      </c>
      <c r="P448" s="2">
        <f>'12 - Device_Configuration'!BA449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'12 - Device_Configuration'!H450</f>
        <v>0</v>
      </c>
      <c r="B449" s="23">
        <f>'12 - Device_Configuration'!S450</f>
        <v>0</v>
      </c>
      <c r="C449" s="23">
        <f>'12 - Device_Configuration'!T450</f>
        <v>0</v>
      </c>
      <c r="D449" s="15">
        <f>'12 - Device_Configuration'!AJ450</f>
        <v>0</v>
      </c>
      <c r="E449" s="15">
        <f>'12 - Device_Configuration'!J450</f>
        <v>0</v>
      </c>
      <c r="F449" s="23">
        <f>'12 - Device_Configuration'!K450</f>
        <v>0</v>
      </c>
      <c r="G449" s="15">
        <f>'12 - Device_Configuration'!L450</f>
        <v>0</v>
      </c>
      <c r="H449" s="15">
        <f>'13 - Config_Intake_View'!M449</f>
        <v>0</v>
      </c>
      <c r="I449" s="23">
        <f>IF('13 - Config_Intake_View'!Q449&lt;&gt;"",'13 - Config_Intake_View'!Q449,'12 - Device_Configuration'!BH450)</f>
        <v>0</v>
      </c>
      <c r="J449" s="15" t="str">
        <f>IF('13 - Config_Intake_View'!Q449&lt;&gt;"","PM Approved",IF('12 - Device_Configuration'!BH450&lt;&gt;"","Assumed",""))</f>
        <v/>
      </c>
      <c r="K449" s="23">
        <f>'12 - Device_Configuration'!BG450</f>
        <v>0</v>
      </c>
      <c r="L449" s="15">
        <f>'12 - Device_Configuration'!P450</f>
        <v>0</v>
      </c>
      <c r="M449" s="15">
        <f>'12 - Device_Configuration'!Q450</f>
        <v>0</v>
      </c>
      <c r="N449" s="15" t="str">
        <f>'12 - Device_Configuration'!BK450</f>
        <v/>
      </c>
      <c r="O449" s="23" t="str">
        <f>'12 - Device_Configuration'!BL450</f>
        <v/>
      </c>
      <c r="P449" s="2">
        <f>'12 - Device_Configuration'!BA450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'12 - Device_Configuration'!H451</f>
        <v>0</v>
      </c>
      <c r="B450" s="23">
        <f>'12 - Device_Configuration'!S451</f>
        <v>0</v>
      </c>
      <c r="C450" s="23">
        <f>'12 - Device_Configuration'!T451</f>
        <v>0</v>
      </c>
      <c r="D450" s="15">
        <f>'12 - Device_Configuration'!AJ451</f>
        <v>0</v>
      </c>
      <c r="E450" s="15">
        <f>'12 - Device_Configuration'!J451</f>
        <v>0</v>
      </c>
      <c r="F450" s="23">
        <f>'12 - Device_Configuration'!K451</f>
        <v>0</v>
      </c>
      <c r="G450" s="15">
        <f>'12 - Device_Configuration'!L451</f>
        <v>0</v>
      </c>
      <c r="H450" s="15">
        <f>'13 - Config_Intake_View'!M450</f>
        <v>0</v>
      </c>
      <c r="I450" s="23">
        <f>IF('13 - Config_Intake_View'!Q450&lt;&gt;"",'13 - Config_Intake_View'!Q450,'12 - Device_Configuration'!BH451)</f>
        <v>0</v>
      </c>
      <c r="J450" s="15" t="str">
        <f>IF('13 - Config_Intake_View'!Q450&lt;&gt;"","PM Approved",IF('12 - Device_Configuration'!BH451&lt;&gt;"","Assumed",""))</f>
        <v/>
      </c>
      <c r="K450" s="23">
        <f>'12 - Device_Configuration'!BG451</f>
        <v>0</v>
      </c>
      <c r="L450" s="15">
        <f>'12 - Device_Configuration'!P451</f>
        <v>0</v>
      </c>
      <c r="M450" s="15">
        <f>'12 - Device_Configuration'!Q451</f>
        <v>0</v>
      </c>
      <c r="N450" s="15" t="str">
        <f>'12 - Device_Configuration'!BK451</f>
        <v/>
      </c>
      <c r="O450" s="23" t="str">
        <f>'12 - Device_Configuration'!BL451</f>
        <v/>
      </c>
      <c r="P450" s="2">
        <f>'12 - Device_Configuration'!BA451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'12 - Device_Configuration'!H452</f>
        <v>0</v>
      </c>
      <c r="B451" s="23">
        <f>'12 - Device_Configuration'!S452</f>
        <v>0</v>
      </c>
      <c r="C451" s="23">
        <f>'12 - Device_Configuration'!T452</f>
        <v>0</v>
      </c>
      <c r="D451" s="15">
        <f>'12 - Device_Configuration'!AJ452</f>
        <v>0</v>
      </c>
      <c r="E451" s="15">
        <f>'12 - Device_Configuration'!J452</f>
        <v>0</v>
      </c>
      <c r="F451" s="23">
        <f>'12 - Device_Configuration'!K452</f>
        <v>0</v>
      </c>
      <c r="G451" s="15">
        <f>'12 - Device_Configuration'!L452</f>
        <v>0</v>
      </c>
      <c r="H451" s="15">
        <f>'13 - Config_Intake_View'!M451</f>
        <v>0</v>
      </c>
      <c r="I451" s="23">
        <f>IF('13 - Config_Intake_View'!Q451&lt;&gt;"",'13 - Config_Intake_View'!Q451,'12 - Device_Configuration'!BH452)</f>
        <v>0</v>
      </c>
      <c r="J451" s="15" t="str">
        <f>IF('13 - Config_Intake_View'!Q451&lt;&gt;"","PM Approved",IF('12 - Device_Configuration'!BH452&lt;&gt;"","Assumed",""))</f>
        <v/>
      </c>
      <c r="K451" s="23">
        <f>'12 - Device_Configuration'!BG452</f>
        <v>0</v>
      </c>
      <c r="L451" s="15">
        <f>'12 - Device_Configuration'!P452</f>
        <v>0</v>
      </c>
      <c r="M451" s="15">
        <f>'12 - Device_Configuration'!Q452</f>
        <v>0</v>
      </c>
      <c r="N451" s="15" t="str">
        <f>'12 - Device_Configuration'!BK452</f>
        <v/>
      </c>
      <c r="O451" s="23" t="str">
        <f>'12 - Device_Configuration'!BL452</f>
        <v/>
      </c>
      <c r="P451" s="2">
        <f>'12 - Device_Configuration'!BA452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'12 - Device_Configuration'!H453</f>
        <v>0</v>
      </c>
      <c r="B452" s="23">
        <f>'12 - Device_Configuration'!S453</f>
        <v>0</v>
      </c>
      <c r="C452" s="23">
        <f>'12 - Device_Configuration'!T453</f>
        <v>0</v>
      </c>
      <c r="D452" s="15">
        <f>'12 - Device_Configuration'!AJ453</f>
        <v>0</v>
      </c>
      <c r="E452" s="15">
        <f>'12 - Device_Configuration'!J453</f>
        <v>0</v>
      </c>
      <c r="F452" s="23">
        <f>'12 - Device_Configuration'!K453</f>
        <v>0</v>
      </c>
      <c r="G452" s="15">
        <f>'12 - Device_Configuration'!L453</f>
        <v>0</v>
      </c>
      <c r="H452" s="15">
        <f>'13 - Config_Intake_View'!M452</f>
        <v>0</v>
      </c>
      <c r="I452" s="23">
        <f>IF('13 - Config_Intake_View'!Q452&lt;&gt;"",'13 - Config_Intake_View'!Q452,'12 - Device_Configuration'!BH453)</f>
        <v>0</v>
      </c>
      <c r="J452" s="15" t="str">
        <f>IF('13 - Config_Intake_View'!Q452&lt;&gt;"","PM Approved",IF('12 - Device_Configuration'!BH453&lt;&gt;"","Assumed",""))</f>
        <v/>
      </c>
      <c r="K452" s="23">
        <f>'12 - Device_Configuration'!BG453</f>
        <v>0</v>
      </c>
      <c r="L452" s="15">
        <f>'12 - Device_Configuration'!P453</f>
        <v>0</v>
      </c>
      <c r="M452" s="15">
        <f>'12 - Device_Configuration'!Q453</f>
        <v>0</v>
      </c>
      <c r="N452" s="15" t="str">
        <f>'12 - Device_Configuration'!BK453</f>
        <v/>
      </c>
      <c r="O452" s="23" t="str">
        <f>'12 - Device_Configuration'!BL453</f>
        <v/>
      </c>
      <c r="P452" s="2">
        <f>'12 - Device_Configuration'!BA453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'12 - Device_Configuration'!H454</f>
        <v>0</v>
      </c>
      <c r="B453" s="23">
        <f>'12 - Device_Configuration'!S454</f>
        <v>0</v>
      </c>
      <c r="C453" s="23">
        <f>'12 - Device_Configuration'!T454</f>
        <v>0</v>
      </c>
      <c r="D453" s="15">
        <f>'12 - Device_Configuration'!AJ454</f>
        <v>0</v>
      </c>
      <c r="E453" s="15">
        <f>'12 - Device_Configuration'!J454</f>
        <v>0</v>
      </c>
      <c r="F453" s="23">
        <f>'12 - Device_Configuration'!K454</f>
        <v>0</v>
      </c>
      <c r="G453" s="15">
        <f>'12 - Device_Configuration'!L454</f>
        <v>0</v>
      </c>
      <c r="H453" s="15">
        <f>'13 - Config_Intake_View'!M453</f>
        <v>0</v>
      </c>
      <c r="I453" s="23">
        <f>IF('13 - Config_Intake_View'!Q453&lt;&gt;"",'13 - Config_Intake_View'!Q453,'12 - Device_Configuration'!BH454)</f>
        <v>0</v>
      </c>
      <c r="J453" s="15" t="str">
        <f>IF('13 - Config_Intake_View'!Q453&lt;&gt;"","PM Approved",IF('12 - Device_Configuration'!BH454&lt;&gt;"","Assumed",""))</f>
        <v/>
      </c>
      <c r="K453" s="23">
        <f>'12 - Device_Configuration'!BG454</f>
        <v>0</v>
      </c>
      <c r="L453" s="15">
        <f>'12 - Device_Configuration'!P454</f>
        <v>0</v>
      </c>
      <c r="M453" s="15">
        <f>'12 - Device_Configuration'!Q454</f>
        <v>0</v>
      </c>
      <c r="N453" s="15" t="str">
        <f>'12 - Device_Configuration'!BK454</f>
        <v/>
      </c>
      <c r="O453" s="23" t="str">
        <f>'12 - Device_Configuration'!BL454</f>
        <v/>
      </c>
      <c r="P453" s="2">
        <f>'12 - Device_Configuration'!BA454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'12 - Device_Configuration'!H455</f>
        <v>0</v>
      </c>
      <c r="B454" s="23">
        <f>'12 - Device_Configuration'!S455</f>
        <v>0</v>
      </c>
      <c r="C454" s="23">
        <f>'12 - Device_Configuration'!T455</f>
        <v>0</v>
      </c>
      <c r="D454" s="15">
        <f>'12 - Device_Configuration'!AJ455</f>
        <v>0</v>
      </c>
      <c r="E454" s="15">
        <f>'12 - Device_Configuration'!J455</f>
        <v>0</v>
      </c>
      <c r="F454" s="23">
        <f>'12 - Device_Configuration'!K455</f>
        <v>0</v>
      </c>
      <c r="G454" s="15">
        <f>'12 - Device_Configuration'!L455</f>
        <v>0</v>
      </c>
      <c r="H454" s="15">
        <f>'13 - Config_Intake_View'!M454</f>
        <v>0</v>
      </c>
      <c r="I454" s="23">
        <f>IF('13 - Config_Intake_View'!Q454&lt;&gt;"",'13 - Config_Intake_View'!Q454,'12 - Device_Configuration'!BH455)</f>
        <v>0</v>
      </c>
      <c r="J454" s="15" t="str">
        <f>IF('13 - Config_Intake_View'!Q454&lt;&gt;"","PM Approved",IF('12 - Device_Configuration'!BH455&lt;&gt;"","Assumed",""))</f>
        <v/>
      </c>
      <c r="K454" s="23">
        <f>'12 - Device_Configuration'!BG455</f>
        <v>0</v>
      </c>
      <c r="L454" s="15">
        <f>'12 - Device_Configuration'!P455</f>
        <v>0</v>
      </c>
      <c r="M454" s="15">
        <f>'12 - Device_Configuration'!Q455</f>
        <v>0</v>
      </c>
      <c r="N454" s="15" t="str">
        <f>'12 - Device_Configuration'!BK455</f>
        <v/>
      </c>
      <c r="O454" s="23" t="str">
        <f>'12 - Device_Configuration'!BL455</f>
        <v/>
      </c>
      <c r="P454" s="2">
        <f>'12 - Device_Configuration'!BA455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'12 - Device_Configuration'!H456</f>
        <v>0</v>
      </c>
      <c r="B455" s="23">
        <f>'12 - Device_Configuration'!S456</f>
        <v>0</v>
      </c>
      <c r="C455" s="23">
        <f>'12 - Device_Configuration'!T456</f>
        <v>0</v>
      </c>
      <c r="D455" s="15">
        <f>'12 - Device_Configuration'!AJ456</f>
        <v>0</v>
      </c>
      <c r="E455" s="15">
        <f>'12 - Device_Configuration'!J456</f>
        <v>0</v>
      </c>
      <c r="F455" s="23">
        <f>'12 - Device_Configuration'!K456</f>
        <v>0</v>
      </c>
      <c r="G455" s="15">
        <f>'12 - Device_Configuration'!L456</f>
        <v>0</v>
      </c>
      <c r="H455" s="15">
        <f>'13 - Config_Intake_View'!M455</f>
        <v>0</v>
      </c>
      <c r="I455" s="23">
        <f>IF('13 - Config_Intake_View'!Q455&lt;&gt;"",'13 - Config_Intake_View'!Q455,'12 - Device_Configuration'!BH456)</f>
        <v>0</v>
      </c>
      <c r="J455" s="15" t="str">
        <f>IF('13 - Config_Intake_View'!Q455&lt;&gt;"","PM Approved",IF('12 - Device_Configuration'!BH456&lt;&gt;"","Assumed",""))</f>
        <v/>
      </c>
      <c r="K455" s="23">
        <f>'12 - Device_Configuration'!BG456</f>
        <v>0</v>
      </c>
      <c r="L455" s="15">
        <f>'12 - Device_Configuration'!P456</f>
        <v>0</v>
      </c>
      <c r="M455" s="15">
        <f>'12 - Device_Configuration'!Q456</f>
        <v>0</v>
      </c>
      <c r="N455" s="15" t="str">
        <f>'12 - Device_Configuration'!BK456</f>
        <v/>
      </c>
      <c r="O455" s="23" t="str">
        <f>'12 - Device_Configuration'!BL456</f>
        <v/>
      </c>
      <c r="P455" s="2">
        <f>'12 - Device_Configuration'!BA456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'12 - Device_Configuration'!H457</f>
        <v>0</v>
      </c>
      <c r="B456" s="23">
        <f>'12 - Device_Configuration'!S457</f>
        <v>0</v>
      </c>
      <c r="C456" s="23">
        <f>'12 - Device_Configuration'!T457</f>
        <v>0</v>
      </c>
      <c r="D456" s="15">
        <f>'12 - Device_Configuration'!AJ457</f>
        <v>0</v>
      </c>
      <c r="E456" s="15">
        <f>'12 - Device_Configuration'!J457</f>
        <v>0</v>
      </c>
      <c r="F456" s="23">
        <f>'12 - Device_Configuration'!K457</f>
        <v>0</v>
      </c>
      <c r="G456" s="15">
        <f>'12 - Device_Configuration'!L457</f>
        <v>0</v>
      </c>
      <c r="H456" s="15">
        <f>'13 - Config_Intake_View'!M456</f>
        <v>0</v>
      </c>
      <c r="I456" s="23">
        <f>IF('13 - Config_Intake_View'!Q456&lt;&gt;"",'13 - Config_Intake_View'!Q456,'12 - Device_Configuration'!BH457)</f>
        <v>0</v>
      </c>
      <c r="J456" s="15" t="str">
        <f>IF('13 - Config_Intake_View'!Q456&lt;&gt;"","PM Approved",IF('12 - Device_Configuration'!BH457&lt;&gt;"","Assumed",""))</f>
        <v/>
      </c>
      <c r="K456" s="23">
        <f>'12 - Device_Configuration'!BG457</f>
        <v>0</v>
      </c>
      <c r="L456" s="15">
        <f>'12 - Device_Configuration'!P457</f>
        <v>0</v>
      </c>
      <c r="M456" s="15">
        <f>'12 - Device_Configuration'!Q457</f>
        <v>0</v>
      </c>
      <c r="N456" s="15" t="str">
        <f>'12 - Device_Configuration'!BK457</f>
        <v/>
      </c>
      <c r="O456" s="23" t="str">
        <f>'12 - Device_Configuration'!BL457</f>
        <v/>
      </c>
      <c r="P456" s="2">
        <f>'12 - Device_Configuration'!BA457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'12 - Device_Configuration'!H458</f>
        <v>0</v>
      </c>
      <c r="B457" s="23">
        <f>'12 - Device_Configuration'!S458</f>
        <v>0</v>
      </c>
      <c r="C457" s="23">
        <f>'12 - Device_Configuration'!T458</f>
        <v>0</v>
      </c>
      <c r="D457" s="15">
        <f>'12 - Device_Configuration'!AJ458</f>
        <v>0</v>
      </c>
      <c r="E457" s="15">
        <f>'12 - Device_Configuration'!J458</f>
        <v>0</v>
      </c>
      <c r="F457" s="23">
        <f>'12 - Device_Configuration'!K458</f>
        <v>0</v>
      </c>
      <c r="G457" s="15">
        <f>'12 - Device_Configuration'!L458</f>
        <v>0</v>
      </c>
      <c r="H457" s="15">
        <f>'13 - Config_Intake_View'!M457</f>
        <v>0</v>
      </c>
      <c r="I457" s="23">
        <f>IF('13 - Config_Intake_View'!Q457&lt;&gt;"",'13 - Config_Intake_View'!Q457,'12 - Device_Configuration'!BH458)</f>
        <v>0</v>
      </c>
      <c r="J457" s="15" t="str">
        <f>IF('13 - Config_Intake_View'!Q457&lt;&gt;"","PM Approved",IF('12 - Device_Configuration'!BH458&lt;&gt;"","Assumed",""))</f>
        <v/>
      </c>
      <c r="K457" s="23">
        <f>'12 - Device_Configuration'!BG458</f>
        <v>0</v>
      </c>
      <c r="L457" s="15">
        <f>'12 - Device_Configuration'!P458</f>
        <v>0</v>
      </c>
      <c r="M457" s="15">
        <f>'12 - Device_Configuration'!Q458</f>
        <v>0</v>
      </c>
      <c r="N457" s="15" t="str">
        <f>'12 - Device_Configuration'!BK458</f>
        <v/>
      </c>
      <c r="O457" s="23" t="str">
        <f>'12 - Device_Configuration'!BL458</f>
        <v/>
      </c>
      <c r="P457" s="2">
        <f>'12 - Device_Configuration'!BA458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'12 - Device_Configuration'!H459</f>
        <v>0</v>
      </c>
      <c r="B458" s="23">
        <f>'12 - Device_Configuration'!S459</f>
        <v>0</v>
      </c>
      <c r="C458" s="23">
        <f>'12 - Device_Configuration'!T459</f>
        <v>0</v>
      </c>
      <c r="D458" s="15">
        <f>'12 - Device_Configuration'!AJ459</f>
        <v>0</v>
      </c>
      <c r="E458" s="15">
        <f>'12 - Device_Configuration'!J459</f>
        <v>0</v>
      </c>
      <c r="F458" s="23">
        <f>'12 - Device_Configuration'!K459</f>
        <v>0</v>
      </c>
      <c r="G458" s="15">
        <f>'12 - Device_Configuration'!L459</f>
        <v>0</v>
      </c>
      <c r="H458" s="15">
        <f>'13 - Config_Intake_View'!M458</f>
        <v>0</v>
      </c>
      <c r="I458" s="23">
        <f>IF('13 - Config_Intake_View'!Q458&lt;&gt;"",'13 - Config_Intake_View'!Q458,'12 - Device_Configuration'!BH459)</f>
        <v>0</v>
      </c>
      <c r="J458" s="15" t="str">
        <f>IF('13 - Config_Intake_View'!Q458&lt;&gt;"","PM Approved",IF('12 - Device_Configuration'!BH459&lt;&gt;"","Assumed",""))</f>
        <v/>
      </c>
      <c r="K458" s="23">
        <f>'12 - Device_Configuration'!BG459</f>
        <v>0</v>
      </c>
      <c r="L458" s="15">
        <f>'12 - Device_Configuration'!P459</f>
        <v>0</v>
      </c>
      <c r="M458" s="15">
        <f>'12 - Device_Configuration'!Q459</f>
        <v>0</v>
      </c>
      <c r="N458" s="15" t="str">
        <f>'12 - Device_Configuration'!BK459</f>
        <v/>
      </c>
      <c r="O458" s="23" t="str">
        <f>'12 - Device_Configuration'!BL459</f>
        <v/>
      </c>
      <c r="P458" s="2">
        <f>'12 - Device_Configuration'!BA459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'12 - Device_Configuration'!H460</f>
        <v>0</v>
      </c>
      <c r="B459" s="23">
        <f>'12 - Device_Configuration'!S460</f>
        <v>0</v>
      </c>
      <c r="C459" s="23">
        <f>'12 - Device_Configuration'!T460</f>
        <v>0</v>
      </c>
      <c r="D459" s="15">
        <f>'12 - Device_Configuration'!AJ460</f>
        <v>0</v>
      </c>
      <c r="E459" s="15">
        <f>'12 - Device_Configuration'!J460</f>
        <v>0</v>
      </c>
      <c r="F459" s="23">
        <f>'12 - Device_Configuration'!K460</f>
        <v>0</v>
      </c>
      <c r="G459" s="15">
        <f>'12 - Device_Configuration'!L460</f>
        <v>0</v>
      </c>
      <c r="H459" s="15">
        <f>'13 - Config_Intake_View'!M459</f>
        <v>0</v>
      </c>
      <c r="I459" s="23">
        <f>IF('13 - Config_Intake_View'!Q459&lt;&gt;"",'13 - Config_Intake_View'!Q459,'12 - Device_Configuration'!BH460)</f>
        <v>0</v>
      </c>
      <c r="J459" s="15" t="str">
        <f>IF('13 - Config_Intake_View'!Q459&lt;&gt;"","PM Approved",IF('12 - Device_Configuration'!BH460&lt;&gt;"","Assumed",""))</f>
        <v/>
      </c>
      <c r="K459" s="23">
        <f>'12 - Device_Configuration'!BG460</f>
        <v>0</v>
      </c>
      <c r="L459" s="15">
        <f>'12 - Device_Configuration'!P460</f>
        <v>0</v>
      </c>
      <c r="M459" s="15">
        <f>'12 - Device_Configuration'!Q460</f>
        <v>0</v>
      </c>
      <c r="N459" s="15" t="str">
        <f>'12 - Device_Configuration'!BK460</f>
        <v/>
      </c>
      <c r="O459" s="23" t="str">
        <f>'12 - Device_Configuration'!BL460</f>
        <v/>
      </c>
      <c r="P459" s="2">
        <f>'12 - Device_Configuration'!BA460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'12 - Device_Configuration'!H461</f>
        <v>0</v>
      </c>
      <c r="B460" s="23">
        <f>'12 - Device_Configuration'!S461</f>
        <v>0</v>
      </c>
      <c r="C460" s="23">
        <f>'12 - Device_Configuration'!T461</f>
        <v>0</v>
      </c>
      <c r="D460" s="15">
        <f>'12 - Device_Configuration'!AJ461</f>
        <v>0</v>
      </c>
      <c r="E460" s="15">
        <f>'12 - Device_Configuration'!J461</f>
        <v>0</v>
      </c>
      <c r="F460" s="23">
        <f>'12 - Device_Configuration'!K461</f>
        <v>0</v>
      </c>
      <c r="G460" s="15">
        <f>'12 - Device_Configuration'!L461</f>
        <v>0</v>
      </c>
      <c r="H460" s="15">
        <f>'13 - Config_Intake_View'!M460</f>
        <v>0</v>
      </c>
      <c r="I460" s="23">
        <f>IF('13 - Config_Intake_View'!Q460&lt;&gt;"",'13 - Config_Intake_View'!Q460,'12 - Device_Configuration'!BH461)</f>
        <v>0</v>
      </c>
      <c r="J460" s="15" t="str">
        <f>IF('13 - Config_Intake_View'!Q460&lt;&gt;"","PM Approved",IF('12 - Device_Configuration'!BH461&lt;&gt;"","Assumed",""))</f>
        <v/>
      </c>
      <c r="K460" s="23">
        <f>'12 - Device_Configuration'!BG461</f>
        <v>0</v>
      </c>
      <c r="L460" s="15">
        <f>'12 - Device_Configuration'!P461</f>
        <v>0</v>
      </c>
      <c r="M460" s="15">
        <f>'12 - Device_Configuration'!Q461</f>
        <v>0</v>
      </c>
      <c r="N460" s="15" t="str">
        <f>'12 - Device_Configuration'!BK461</f>
        <v/>
      </c>
      <c r="O460" s="23" t="str">
        <f>'12 - Device_Configuration'!BL461</f>
        <v/>
      </c>
      <c r="P460" s="2">
        <f>'12 - Device_Configuration'!BA461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'12 - Device_Configuration'!H462</f>
        <v>0</v>
      </c>
      <c r="B461" s="23">
        <f>'12 - Device_Configuration'!S462</f>
        <v>0</v>
      </c>
      <c r="C461" s="23">
        <f>'12 - Device_Configuration'!T462</f>
        <v>0</v>
      </c>
      <c r="D461" s="15">
        <f>'12 - Device_Configuration'!AJ462</f>
        <v>0</v>
      </c>
      <c r="E461" s="15">
        <f>'12 - Device_Configuration'!J462</f>
        <v>0</v>
      </c>
      <c r="F461" s="23">
        <f>'12 - Device_Configuration'!K462</f>
        <v>0</v>
      </c>
      <c r="G461" s="15">
        <f>'12 - Device_Configuration'!L462</f>
        <v>0</v>
      </c>
      <c r="H461" s="15">
        <f>'13 - Config_Intake_View'!M461</f>
        <v>0</v>
      </c>
      <c r="I461" s="23">
        <f>IF('13 - Config_Intake_View'!Q461&lt;&gt;"",'13 - Config_Intake_View'!Q461,'12 - Device_Configuration'!BH462)</f>
        <v>0</v>
      </c>
      <c r="J461" s="15" t="str">
        <f>IF('13 - Config_Intake_View'!Q461&lt;&gt;"","PM Approved",IF('12 - Device_Configuration'!BH462&lt;&gt;"","Assumed",""))</f>
        <v/>
      </c>
      <c r="K461" s="23">
        <f>'12 - Device_Configuration'!BG462</f>
        <v>0</v>
      </c>
      <c r="L461" s="15">
        <f>'12 - Device_Configuration'!P462</f>
        <v>0</v>
      </c>
      <c r="M461" s="15">
        <f>'12 - Device_Configuration'!Q462</f>
        <v>0</v>
      </c>
      <c r="N461" s="15" t="str">
        <f>'12 - Device_Configuration'!BK462</f>
        <v/>
      </c>
      <c r="O461" s="23" t="str">
        <f>'12 - Device_Configuration'!BL462</f>
        <v/>
      </c>
      <c r="P461" s="2">
        <f>'12 - Device_Configuration'!BA462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'12 - Device_Configuration'!H463</f>
        <v>0</v>
      </c>
      <c r="B462" s="23">
        <f>'12 - Device_Configuration'!S463</f>
        <v>0</v>
      </c>
      <c r="C462" s="23">
        <f>'12 - Device_Configuration'!T463</f>
        <v>0</v>
      </c>
      <c r="D462" s="15">
        <f>'12 - Device_Configuration'!AJ463</f>
        <v>0</v>
      </c>
      <c r="E462" s="15">
        <f>'12 - Device_Configuration'!J463</f>
        <v>0</v>
      </c>
      <c r="F462" s="23">
        <f>'12 - Device_Configuration'!K463</f>
        <v>0</v>
      </c>
      <c r="G462" s="15">
        <f>'12 - Device_Configuration'!L463</f>
        <v>0</v>
      </c>
      <c r="H462" s="15">
        <f>'13 - Config_Intake_View'!M462</f>
        <v>0</v>
      </c>
      <c r="I462" s="23">
        <f>IF('13 - Config_Intake_View'!Q462&lt;&gt;"",'13 - Config_Intake_View'!Q462,'12 - Device_Configuration'!BH463)</f>
        <v>0</v>
      </c>
      <c r="J462" s="15" t="str">
        <f>IF('13 - Config_Intake_View'!Q462&lt;&gt;"","PM Approved",IF('12 - Device_Configuration'!BH463&lt;&gt;"","Assumed",""))</f>
        <v/>
      </c>
      <c r="K462" s="23">
        <f>'12 - Device_Configuration'!BG463</f>
        <v>0</v>
      </c>
      <c r="L462" s="15">
        <f>'12 - Device_Configuration'!P463</f>
        <v>0</v>
      </c>
      <c r="M462" s="15">
        <f>'12 - Device_Configuration'!Q463</f>
        <v>0</v>
      </c>
      <c r="N462" s="15" t="str">
        <f>'12 - Device_Configuration'!BK463</f>
        <v/>
      </c>
      <c r="O462" s="23" t="str">
        <f>'12 - Device_Configuration'!BL463</f>
        <v/>
      </c>
      <c r="P462" s="2">
        <f>'12 - Device_Configuration'!BA463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'12 - Device_Configuration'!H464</f>
        <v>0</v>
      </c>
      <c r="B463" s="23">
        <f>'12 - Device_Configuration'!S464</f>
        <v>0</v>
      </c>
      <c r="C463" s="23">
        <f>'12 - Device_Configuration'!T464</f>
        <v>0</v>
      </c>
      <c r="D463" s="15">
        <f>'12 - Device_Configuration'!AJ464</f>
        <v>0</v>
      </c>
      <c r="E463" s="15">
        <f>'12 - Device_Configuration'!J464</f>
        <v>0</v>
      </c>
      <c r="F463" s="23">
        <f>'12 - Device_Configuration'!K464</f>
        <v>0</v>
      </c>
      <c r="G463" s="15">
        <f>'12 - Device_Configuration'!L464</f>
        <v>0</v>
      </c>
      <c r="H463" s="15">
        <f>'13 - Config_Intake_View'!M463</f>
        <v>0</v>
      </c>
      <c r="I463" s="23">
        <f>IF('13 - Config_Intake_View'!Q463&lt;&gt;"",'13 - Config_Intake_View'!Q463,'12 - Device_Configuration'!BH464)</f>
        <v>0</v>
      </c>
      <c r="J463" s="15" t="str">
        <f>IF('13 - Config_Intake_View'!Q463&lt;&gt;"","PM Approved",IF('12 - Device_Configuration'!BH464&lt;&gt;"","Assumed",""))</f>
        <v/>
      </c>
      <c r="K463" s="23">
        <f>'12 - Device_Configuration'!BG464</f>
        <v>0</v>
      </c>
      <c r="L463" s="15">
        <f>'12 - Device_Configuration'!P464</f>
        <v>0</v>
      </c>
      <c r="M463" s="15">
        <f>'12 - Device_Configuration'!Q464</f>
        <v>0</v>
      </c>
      <c r="N463" s="15" t="str">
        <f>'12 - Device_Configuration'!BK464</f>
        <v/>
      </c>
      <c r="O463" s="23" t="str">
        <f>'12 - Device_Configuration'!BL464</f>
        <v/>
      </c>
      <c r="P463" s="2">
        <f>'12 - Device_Configuration'!BA464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'12 - Device_Configuration'!H465</f>
        <v>0</v>
      </c>
      <c r="B464" s="23">
        <f>'12 - Device_Configuration'!S465</f>
        <v>0</v>
      </c>
      <c r="C464" s="23">
        <f>'12 - Device_Configuration'!T465</f>
        <v>0</v>
      </c>
      <c r="D464" s="15">
        <f>'12 - Device_Configuration'!AJ465</f>
        <v>0</v>
      </c>
      <c r="E464" s="15">
        <f>'12 - Device_Configuration'!J465</f>
        <v>0</v>
      </c>
      <c r="F464" s="23">
        <f>'12 - Device_Configuration'!K465</f>
        <v>0</v>
      </c>
      <c r="G464" s="15">
        <f>'12 - Device_Configuration'!L465</f>
        <v>0</v>
      </c>
      <c r="H464" s="15">
        <f>'13 - Config_Intake_View'!M464</f>
        <v>0</v>
      </c>
      <c r="I464" s="23">
        <f>IF('13 - Config_Intake_View'!Q464&lt;&gt;"",'13 - Config_Intake_View'!Q464,'12 - Device_Configuration'!BH465)</f>
        <v>0</v>
      </c>
      <c r="J464" s="15" t="str">
        <f>IF('13 - Config_Intake_View'!Q464&lt;&gt;"","PM Approved",IF('12 - Device_Configuration'!BH465&lt;&gt;"","Assumed",""))</f>
        <v/>
      </c>
      <c r="K464" s="23">
        <f>'12 - Device_Configuration'!BG465</f>
        <v>0</v>
      </c>
      <c r="L464" s="15">
        <f>'12 - Device_Configuration'!P465</f>
        <v>0</v>
      </c>
      <c r="M464" s="15">
        <f>'12 - Device_Configuration'!Q465</f>
        <v>0</v>
      </c>
      <c r="N464" s="15" t="str">
        <f>'12 - Device_Configuration'!BK465</f>
        <v/>
      </c>
      <c r="O464" s="23" t="str">
        <f>'12 - Device_Configuration'!BL465</f>
        <v/>
      </c>
      <c r="P464" s="2">
        <f>'12 - Device_Configuration'!BA465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'12 - Device_Configuration'!H466</f>
        <v>0</v>
      </c>
      <c r="B465" s="23">
        <f>'12 - Device_Configuration'!S466</f>
        <v>0</v>
      </c>
      <c r="C465" s="23">
        <f>'12 - Device_Configuration'!T466</f>
        <v>0</v>
      </c>
      <c r="D465" s="15">
        <f>'12 - Device_Configuration'!AJ466</f>
        <v>0</v>
      </c>
      <c r="E465" s="15">
        <f>'12 - Device_Configuration'!J466</f>
        <v>0</v>
      </c>
      <c r="F465" s="23">
        <f>'12 - Device_Configuration'!K466</f>
        <v>0</v>
      </c>
      <c r="G465" s="15">
        <f>'12 - Device_Configuration'!L466</f>
        <v>0</v>
      </c>
      <c r="H465" s="15">
        <f>'13 - Config_Intake_View'!M465</f>
        <v>0</v>
      </c>
      <c r="I465" s="23">
        <f>IF('13 - Config_Intake_View'!Q465&lt;&gt;"",'13 - Config_Intake_View'!Q465,'12 - Device_Configuration'!BH466)</f>
        <v>0</v>
      </c>
      <c r="J465" s="15" t="str">
        <f>IF('13 - Config_Intake_View'!Q465&lt;&gt;"","PM Approved",IF('12 - Device_Configuration'!BH466&lt;&gt;"","Assumed",""))</f>
        <v/>
      </c>
      <c r="K465" s="23">
        <f>'12 - Device_Configuration'!BG466</f>
        <v>0</v>
      </c>
      <c r="L465" s="15">
        <f>'12 - Device_Configuration'!P466</f>
        <v>0</v>
      </c>
      <c r="M465" s="15">
        <f>'12 - Device_Configuration'!Q466</f>
        <v>0</v>
      </c>
      <c r="N465" s="15" t="str">
        <f>'12 - Device_Configuration'!BK466</f>
        <v/>
      </c>
      <c r="O465" s="23" t="str">
        <f>'12 - Device_Configuration'!BL466</f>
        <v/>
      </c>
      <c r="P465" s="2">
        <f>'12 - Device_Configuration'!BA466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'12 - Device_Configuration'!H467</f>
        <v>0</v>
      </c>
      <c r="B466" s="23">
        <f>'12 - Device_Configuration'!S467</f>
        <v>0</v>
      </c>
      <c r="C466" s="23">
        <f>'12 - Device_Configuration'!T467</f>
        <v>0</v>
      </c>
      <c r="D466" s="15">
        <f>'12 - Device_Configuration'!AJ467</f>
        <v>0</v>
      </c>
      <c r="E466" s="15">
        <f>'12 - Device_Configuration'!J467</f>
        <v>0</v>
      </c>
      <c r="F466" s="23">
        <f>'12 - Device_Configuration'!K467</f>
        <v>0</v>
      </c>
      <c r="G466" s="15">
        <f>'12 - Device_Configuration'!L467</f>
        <v>0</v>
      </c>
      <c r="H466" s="15">
        <f>'13 - Config_Intake_View'!M466</f>
        <v>0</v>
      </c>
      <c r="I466" s="23">
        <f>IF('13 - Config_Intake_View'!Q466&lt;&gt;"",'13 - Config_Intake_View'!Q466,'12 - Device_Configuration'!BH467)</f>
        <v>0</v>
      </c>
      <c r="J466" s="15" t="str">
        <f>IF('13 - Config_Intake_View'!Q466&lt;&gt;"","PM Approved",IF('12 - Device_Configuration'!BH467&lt;&gt;"","Assumed",""))</f>
        <v/>
      </c>
      <c r="K466" s="23">
        <f>'12 - Device_Configuration'!BG467</f>
        <v>0</v>
      </c>
      <c r="L466" s="15">
        <f>'12 - Device_Configuration'!P467</f>
        <v>0</v>
      </c>
      <c r="M466" s="15">
        <f>'12 - Device_Configuration'!Q467</f>
        <v>0</v>
      </c>
      <c r="N466" s="15" t="str">
        <f>'12 - Device_Configuration'!BK467</f>
        <v/>
      </c>
      <c r="O466" s="23" t="str">
        <f>'12 - Device_Configuration'!BL467</f>
        <v/>
      </c>
      <c r="P466" s="2">
        <f>'12 - Device_Configuration'!BA467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'12 - Device_Configuration'!H468</f>
        <v>0</v>
      </c>
      <c r="B467" s="23">
        <f>'12 - Device_Configuration'!S468</f>
        <v>0</v>
      </c>
      <c r="C467" s="23">
        <f>'12 - Device_Configuration'!T468</f>
        <v>0</v>
      </c>
      <c r="D467" s="15">
        <f>'12 - Device_Configuration'!AJ468</f>
        <v>0</v>
      </c>
      <c r="E467" s="15">
        <f>'12 - Device_Configuration'!J468</f>
        <v>0</v>
      </c>
      <c r="F467" s="23">
        <f>'12 - Device_Configuration'!K468</f>
        <v>0</v>
      </c>
      <c r="G467" s="15">
        <f>'12 - Device_Configuration'!L468</f>
        <v>0</v>
      </c>
      <c r="H467" s="15">
        <f>'13 - Config_Intake_View'!M467</f>
        <v>0</v>
      </c>
      <c r="I467" s="23">
        <f>IF('13 - Config_Intake_View'!Q467&lt;&gt;"",'13 - Config_Intake_View'!Q467,'12 - Device_Configuration'!BH468)</f>
        <v>0</v>
      </c>
      <c r="J467" s="15" t="str">
        <f>IF('13 - Config_Intake_View'!Q467&lt;&gt;"","PM Approved",IF('12 - Device_Configuration'!BH468&lt;&gt;"","Assumed",""))</f>
        <v/>
      </c>
      <c r="K467" s="23">
        <f>'12 - Device_Configuration'!BG468</f>
        <v>0</v>
      </c>
      <c r="L467" s="15">
        <f>'12 - Device_Configuration'!P468</f>
        <v>0</v>
      </c>
      <c r="M467" s="15">
        <f>'12 - Device_Configuration'!Q468</f>
        <v>0</v>
      </c>
      <c r="N467" s="15" t="str">
        <f>'12 - Device_Configuration'!BK468</f>
        <v/>
      </c>
      <c r="O467" s="23" t="str">
        <f>'12 - Device_Configuration'!BL468</f>
        <v/>
      </c>
      <c r="P467" s="2">
        <f>'12 - Device_Configuration'!BA468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'12 - Device_Configuration'!H469</f>
        <v>0</v>
      </c>
      <c r="B468" s="23">
        <f>'12 - Device_Configuration'!S469</f>
        <v>0</v>
      </c>
      <c r="C468" s="23">
        <f>'12 - Device_Configuration'!T469</f>
        <v>0</v>
      </c>
      <c r="D468" s="15">
        <f>'12 - Device_Configuration'!AJ469</f>
        <v>0</v>
      </c>
      <c r="E468" s="15">
        <f>'12 - Device_Configuration'!J469</f>
        <v>0</v>
      </c>
      <c r="F468" s="23">
        <f>'12 - Device_Configuration'!K469</f>
        <v>0</v>
      </c>
      <c r="G468" s="15">
        <f>'12 - Device_Configuration'!L469</f>
        <v>0</v>
      </c>
      <c r="H468" s="15">
        <f>'13 - Config_Intake_View'!M468</f>
        <v>0</v>
      </c>
      <c r="I468" s="23">
        <f>IF('13 - Config_Intake_View'!Q468&lt;&gt;"",'13 - Config_Intake_View'!Q468,'12 - Device_Configuration'!BH469)</f>
        <v>0</v>
      </c>
      <c r="J468" s="15" t="str">
        <f>IF('13 - Config_Intake_View'!Q468&lt;&gt;"","PM Approved",IF('12 - Device_Configuration'!BH469&lt;&gt;"","Assumed",""))</f>
        <v/>
      </c>
      <c r="K468" s="23">
        <f>'12 - Device_Configuration'!BG469</f>
        <v>0</v>
      </c>
      <c r="L468" s="15">
        <f>'12 - Device_Configuration'!P469</f>
        <v>0</v>
      </c>
      <c r="M468" s="15">
        <f>'12 - Device_Configuration'!Q469</f>
        <v>0</v>
      </c>
      <c r="N468" s="15" t="str">
        <f>'12 - Device_Configuration'!BK469</f>
        <v/>
      </c>
      <c r="O468" s="23" t="str">
        <f>'12 - Device_Configuration'!BL469</f>
        <v/>
      </c>
      <c r="P468" s="2">
        <f>'12 - Device_Configuration'!BA469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'12 - Device_Configuration'!H470</f>
        <v>0</v>
      </c>
      <c r="B469" s="23">
        <f>'12 - Device_Configuration'!S470</f>
        <v>0</v>
      </c>
      <c r="C469" s="23">
        <f>'12 - Device_Configuration'!T470</f>
        <v>0</v>
      </c>
      <c r="D469" s="15">
        <f>'12 - Device_Configuration'!AJ470</f>
        <v>0</v>
      </c>
      <c r="E469" s="15">
        <f>'12 - Device_Configuration'!J470</f>
        <v>0</v>
      </c>
      <c r="F469" s="23">
        <f>'12 - Device_Configuration'!K470</f>
        <v>0</v>
      </c>
      <c r="G469" s="15">
        <f>'12 - Device_Configuration'!L470</f>
        <v>0</v>
      </c>
      <c r="H469" s="15">
        <f>'13 - Config_Intake_View'!M469</f>
        <v>0</v>
      </c>
      <c r="I469" s="23">
        <f>IF('13 - Config_Intake_View'!Q469&lt;&gt;"",'13 - Config_Intake_View'!Q469,'12 - Device_Configuration'!BH470)</f>
        <v>0</v>
      </c>
      <c r="J469" s="15" t="str">
        <f>IF('13 - Config_Intake_View'!Q469&lt;&gt;"","PM Approved",IF('12 - Device_Configuration'!BH470&lt;&gt;"","Assumed",""))</f>
        <v/>
      </c>
      <c r="K469" s="23">
        <f>'12 - Device_Configuration'!BG470</f>
        <v>0</v>
      </c>
      <c r="L469" s="15">
        <f>'12 - Device_Configuration'!P470</f>
        <v>0</v>
      </c>
      <c r="M469" s="15">
        <f>'12 - Device_Configuration'!Q470</f>
        <v>0</v>
      </c>
      <c r="N469" s="15" t="str">
        <f>'12 - Device_Configuration'!BK470</f>
        <v/>
      </c>
      <c r="O469" s="23" t="str">
        <f>'12 - Device_Configuration'!BL470</f>
        <v/>
      </c>
      <c r="P469" s="2">
        <f>'12 - Device_Configuration'!BA470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'12 - Device_Configuration'!H471</f>
        <v>0</v>
      </c>
      <c r="B470" s="23">
        <f>'12 - Device_Configuration'!S471</f>
        <v>0</v>
      </c>
      <c r="C470" s="23">
        <f>'12 - Device_Configuration'!T471</f>
        <v>0</v>
      </c>
      <c r="D470" s="15">
        <f>'12 - Device_Configuration'!AJ471</f>
        <v>0</v>
      </c>
      <c r="E470" s="15">
        <f>'12 - Device_Configuration'!J471</f>
        <v>0</v>
      </c>
      <c r="F470" s="23">
        <f>'12 - Device_Configuration'!K471</f>
        <v>0</v>
      </c>
      <c r="G470" s="15">
        <f>'12 - Device_Configuration'!L471</f>
        <v>0</v>
      </c>
      <c r="H470" s="15">
        <f>'13 - Config_Intake_View'!M470</f>
        <v>0</v>
      </c>
      <c r="I470" s="23">
        <f>IF('13 - Config_Intake_View'!Q470&lt;&gt;"",'13 - Config_Intake_View'!Q470,'12 - Device_Configuration'!BH471)</f>
        <v>0</v>
      </c>
      <c r="J470" s="15" t="str">
        <f>IF('13 - Config_Intake_View'!Q470&lt;&gt;"","PM Approved",IF('12 - Device_Configuration'!BH471&lt;&gt;"","Assumed",""))</f>
        <v/>
      </c>
      <c r="K470" s="23">
        <f>'12 - Device_Configuration'!BG471</f>
        <v>0</v>
      </c>
      <c r="L470" s="15">
        <f>'12 - Device_Configuration'!P471</f>
        <v>0</v>
      </c>
      <c r="M470" s="15">
        <f>'12 - Device_Configuration'!Q471</f>
        <v>0</v>
      </c>
      <c r="N470" s="15" t="str">
        <f>'12 - Device_Configuration'!BK471</f>
        <v/>
      </c>
      <c r="O470" s="23" t="str">
        <f>'12 - Device_Configuration'!BL471</f>
        <v/>
      </c>
      <c r="P470" s="2">
        <f>'12 - Device_Configuration'!BA471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'12 - Device_Configuration'!H472</f>
        <v>0</v>
      </c>
      <c r="B471" s="23">
        <f>'12 - Device_Configuration'!S472</f>
        <v>0</v>
      </c>
      <c r="C471" s="23">
        <f>'12 - Device_Configuration'!T472</f>
        <v>0</v>
      </c>
      <c r="D471" s="15">
        <f>'12 - Device_Configuration'!AJ472</f>
        <v>0</v>
      </c>
      <c r="E471" s="15">
        <f>'12 - Device_Configuration'!J472</f>
        <v>0</v>
      </c>
      <c r="F471" s="23">
        <f>'12 - Device_Configuration'!K472</f>
        <v>0</v>
      </c>
      <c r="G471" s="15">
        <f>'12 - Device_Configuration'!L472</f>
        <v>0</v>
      </c>
      <c r="H471" s="15">
        <f>'13 - Config_Intake_View'!M471</f>
        <v>0</v>
      </c>
      <c r="I471" s="23">
        <f>IF('13 - Config_Intake_View'!Q471&lt;&gt;"",'13 - Config_Intake_View'!Q471,'12 - Device_Configuration'!BH472)</f>
        <v>0</v>
      </c>
      <c r="J471" s="15" t="str">
        <f>IF('13 - Config_Intake_View'!Q471&lt;&gt;"","PM Approved",IF('12 - Device_Configuration'!BH472&lt;&gt;"","Assumed",""))</f>
        <v/>
      </c>
      <c r="K471" s="23">
        <f>'12 - Device_Configuration'!BG472</f>
        <v>0</v>
      </c>
      <c r="L471" s="15">
        <f>'12 - Device_Configuration'!P472</f>
        <v>0</v>
      </c>
      <c r="M471" s="15">
        <f>'12 - Device_Configuration'!Q472</f>
        <v>0</v>
      </c>
      <c r="N471" s="15" t="str">
        <f>'12 - Device_Configuration'!BK472</f>
        <v/>
      </c>
      <c r="O471" s="23" t="str">
        <f>'12 - Device_Configuration'!BL472</f>
        <v/>
      </c>
      <c r="P471" s="2">
        <f>'12 - Device_Configuration'!BA472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'12 - Device_Configuration'!H473</f>
        <v>0</v>
      </c>
      <c r="B472" s="23">
        <f>'12 - Device_Configuration'!S473</f>
        <v>0</v>
      </c>
      <c r="C472" s="23">
        <f>'12 - Device_Configuration'!T473</f>
        <v>0</v>
      </c>
      <c r="D472" s="15">
        <f>'12 - Device_Configuration'!AJ473</f>
        <v>0</v>
      </c>
      <c r="E472" s="15">
        <f>'12 - Device_Configuration'!J473</f>
        <v>0</v>
      </c>
      <c r="F472" s="23">
        <f>'12 - Device_Configuration'!K473</f>
        <v>0</v>
      </c>
      <c r="G472" s="15">
        <f>'12 - Device_Configuration'!L473</f>
        <v>0</v>
      </c>
      <c r="H472" s="15">
        <f>'13 - Config_Intake_View'!M472</f>
        <v>0</v>
      </c>
      <c r="I472" s="23">
        <f>IF('13 - Config_Intake_View'!Q472&lt;&gt;"",'13 - Config_Intake_View'!Q472,'12 - Device_Configuration'!BH473)</f>
        <v>0</v>
      </c>
      <c r="J472" s="15" t="str">
        <f>IF('13 - Config_Intake_View'!Q472&lt;&gt;"","PM Approved",IF('12 - Device_Configuration'!BH473&lt;&gt;"","Assumed",""))</f>
        <v/>
      </c>
      <c r="K472" s="23">
        <f>'12 - Device_Configuration'!BG473</f>
        <v>0</v>
      </c>
      <c r="L472" s="15">
        <f>'12 - Device_Configuration'!P473</f>
        <v>0</v>
      </c>
      <c r="M472" s="15">
        <f>'12 - Device_Configuration'!Q473</f>
        <v>0</v>
      </c>
      <c r="N472" s="15" t="str">
        <f>'12 - Device_Configuration'!BK473</f>
        <v/>
      </c>
      <c r="O472" s="23" t="str">
        <f>'12 - Device_Configuration'!BL473</f>
        <v/>
      </c>
      <c r="P472" s="2">
        <f>'12 - Device_Configuration'!BA473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'12 - Device_Configuration'!H474</f>
        <v>0</v>
      </c>
      <c r="B473" s="23">
        <f>'12 - Device_Configuration'!S474</f>
        <v>0</v>
      </c>
      <c r="C473" s="23">
        <f>'12 - Device_Configuration'!T474</f>
        <v>0</v>
      </c>
      <c r="D473" s="15">
        <f>'12 - Device_Configuration'!AJ474</f>
        <v>0</v>
      </c>
      <c r="E473" s="15">
        <f>'12 - Device_Configuration'!J474</f>
        <v>0</v>
      </c>
      <c r="F473" s="23">
        <f>'12 - Device_Configuration'!K474</f>
        <v>0</v>
      </c>
      <c r="G473" s="15">
        <f>'12 - Device_Configuration'!L474</f>
        <v>0</v>
      </c>
      <c r="H473" s="15">
        <f>'13 - Config_Intake_View'!M473</f>
        <v>0</v>
      </c>
      <c r="I473" s="23">
        <f>IF('13 - Config_Intake_View'!Q473&lt;&gt;"",'13 - Config_Intake_View'!Q473,'12 - Device_Configuration'!BH474)</f>
        <v>0</v>
      </c>
      <c r="J473" s="15" t="str">
        <f>IF('13 - Config_Intake_View'!Q473&lt;&gt;"","PM Approved",IF('12 - Device_Configuration'!BH474&lt;&gt;"","Assumed",""))</f>
        <v/>
      </c>
      <c r="K473" s="23">
        <f>'12 - Device_Configuration'!BG474</f>
        <v>0</v>
      </c>
      <c r="L473" s="15">
        <f>'12 - Device_Configuration'!P474</f>
        <v>0</v>
      </c>
      <c r="M473" s="15">
        <f>'12 - Device_Configuration'!Q474</f>
        <v>0</v>
      </c>
      <c r="N473" s="15" t="str">
        <f>'12 - Device_Configuration'!BK474</f>
        <v/>
      </c>
      <c r="O473" s="23" t="str">
        <f>'12 - Device_Configuration'!BL474</f>
        <v/>
      </c>
      <c r="P473" s="2">
        <f>'12 - Device_Configuration'!BA474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'12 - Device_Configuration'!H475</f>
        <v>0</v>
      </c>
      <c r="B474" s="23">
        <f>'12 - Device_Configuration'!S475</f>
        <v>0</v>
      </c>
      <c r="C474" s="23">
        <f>'12 - Device_Configuration'!T475</f>
        <v>0</v>
      </c>
      <c r="D474" s="15">
        <f>'12 - Device_Configuration'!AJ475</f>
        <v>0</v>
      </c>
      <c r="E474" s="15">
        <f>'12 - Device_Configuration'!J475</f>
        <v>0</v>
      </c>
      <c r="F474" s="23">
        <f>'12 - Device_Configuration'!K475</f>
        <v>0</v>
      </c>
      <c r="G474" s="15">
        <f>'12 - Device_Configuration'!L475</f>
        <v>0</v>
      </c>
      <c r="H474" s="15">
        <f>'13 - Config_Intake_View'!M474</f>
        <v>0</v>
      </c>
      <c r="I474" s="23">
        <f>IF('13 - Config_Intake_View'!Q474&lt;&gt;"",'13 - Config_Intake_View'!Q474,'12 - Device_Configuration'!BH475)</f>
        <v>0</v>
      </c>
      <c r="J474" s="15" t="str">
        <f>IF('13 - Config_Intake_View'!Q474&lt;&gt;"","PM Approved",IF('12 - Device_Configuration'!BH475&lt;&gt;"","Assumed",""))</f>
        <v/>
      </c>
      <c r="K474" s="23">
        <f>'12 - Device_Configuration'!BG475</f>
        <v>0</v>
      </c>
      <c r="L474" s="15">
        <f>'12 - Device_Configuration'!P475</f>
        <v>0</v>
      </c>
      <c r="M474" s="15">
        <f>'12 - Device_Configuration'!Q475</f>
        <v>0</v>
      </c>
      <c r="N474" s="15" t="str">
        <f>'12 - Device_Configuration'!BK475</f>
        <v/>
      </c>
      <c r="O474" s="23" t="str">
        <f>'12 - Device_Configuration'!BL475</f>
        <v/>
      </c>
      <c r="P474" s="2">
        <f>'12 - Device_Configuration'!BA475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'12 - Device_Configuration'!H476</f>
        <v>0</v>
      </c>
      <c r="B475" s="23">
        <f>'12 - Device_Configuration'!S476</f>
        <v>0</v>
      </c>
      <c r="C475" s="23">
        <f>'12 - Device_Configuration'!T476</f>
        <v>0</v>
      </c>
      <c r="D475" s="15">
        <f>'12 - Device_Configuration'!AJ476</f>
        <v>0</v>
      </c>
      <c r="E475" s="15">
        <f>'12 - Device_Configuration'!J476</f>
        <v>0</v>
      </c>
      <c r="F475" s="23">
        <f>'12 - Device_Configuration'!K476</f>
        <v>0</v>
      </c>
      <c r="G475" s="15">
        <f>'12 - Device_Configuration'!L476</f>
        <v>0</v>
      </c>
      <c r="H475" s="15">
        <f>'13 - Config_Intake_View'!M475</f>
        <v>0</v>
      </c>
      <c r="I475" s="23">
        <f>IF('13 - Config_Intake_View'!Q475&lt;&gt;"",'13 - Config_Intake_View'!Q475,'12 - Device_Configuration'!BH476)</f>
        <v>0</v>
      </c>
      <c r="J475" s="15" t="str">
        <f>IF('13 - Config_Intake_View'!Q475&lt;&gt;"","PM Approved",IF('12 - Device_Configuration'!BH476&lt;&gt;"","Assumed",""))</f>
        <v/>
      </c>
      <c r="K475" s="23">
        <f>'12 - Device_Configuration'!BG476</f>
        <v>0</v>
      </c>
      <c r="L475" s="15">
        <f>'12 - Device_Configuration'!P476</f>
        <v>0</v>
      </c>
      <c r="M475" s="15">
        <f>'12 - Device_Configuration'!Q476</f>
        <v>0</v>
      </c>
      <c r="N475" s="15" t="str">
        <f>'12 - Device_Configuration'!BK476</f>
        <v/>
      </c>
      <c r="O475" s="23" t="str">
        <f>'12 - Device_Configuration'!BL476</f>
        <v/>
      </c>
      <c r="P475" s="2">
        <f>'12 - Device_Configuration'!BA476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'12 - Device_Configuration'!H477</f>
        <v>0</v>
      </c>
      <c r="B476" s="23">
        <f>'12 - Device_Configuration'!S477</f>
        <v>0</v>
      </c>
      <c r="C476" s="23">
        <f>'12 - Device_Configuration'!T477</f>
        <v>0</v>
      </c>
      <c r="D476" s="15">
        <f>'12 - Device_Configuration'!AJ477</f>
        <v>0</v>
      </c>
      <c r="E476" s="15">
        <f>'12 - Device_Configuration'!J477</f>
        <v>0</v>
      </c>
      <c r="F476" s="23">
        <f>'12 - Device_Configuration'!K477</f>
        <v>0</v>
      </c>
      <c r="G476" s="15">
        <f>'12 - Device_Configuration'!L477</f>
        <v>0</v>
      </c>
      <c r="H476" s="15">
        <f>'13 - Config_Intake_View'!M476</f>
        <v>0</v>
      </c>
      <c r="I476" s="23">
        <f>IF('13 - Config_Intake_View'!Q476&lt;&gt;"",'13 - Config_Intake_View'!Q476,'12 - Device_Configuration'!BH477)</f>
        <v>0</v>
      </c>
      <c r="J476" s="15" t="str">
        <f>IF('13 - Config_Intake_View'!Q476&lt;&gt;"","PM Approved",IF('12 - Device_Configuration'!BH477&lt;&gt;"","Assumed",""))</f>
        <v/>
      </c>
      <c r="K476" s="23">
        <f>'12 - Device_Configuration'!BG477</f>
        <v>0</v>
      </c>
      <c r="L476" s="15">
        <f>'12 - Device_Configuration'!P477</f>
        <v>0</v>
      </c>
      <c r="M476" s="15">
        <f>'12 - Device_Configuration'!Q477</f>
        <v>0</v>
      </c>
      <c r="N476" s="15" t="str">
        <f>'12 - Device_Configuration'!BK477</f>
        <v/>
      </c>
      <c r="O476" s="23" t="str">
        <f>'12 - Device_Configuration'!BL477</f>
        <v/>
      </c>
      <c r="P476" s="2">
        <f>'12 - Device_Configuration'!BA477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'12 - Device_Configuration'!H478</f>
        <v>0</v>
      </c>
      <c r="B477" s="23">
        <f>'12 - Device_Configuration'!S478</f>
        <v>0</v>
      </c>
      <c r="C477" s="23">
        <f>'12 - Device_Configuration'!T478</f>
        <v>0</v>
      </c>
      <c r="D477" s="15">
        <f>'12 - Device_Configuration'!AJ478</f>
        <v>0</v>
      </c>
      <c r="E477" s="15">
        <f>'12 - Device_Configuration'!J478</f>
        <v>0</v>
      </c>
      <c r="F477" s="23">
        <f>'12 - Device_Configuration'!K478</f>
        <v>0</v>
      </c>
      <c r="G477" s="15">
        <f>'12 - Device_Configuration'!L478</f>
        <v>0</v>
      </c>
      <c r="H477" s="15">
        <f>'13 - Config_Intake_View'!M477</f>
        <v>0</v>
      </c>
      <c r="I477" s="23">
        <f>IF('13 - Config_Intake_View'!Q477&lt;&gt;"",'13 - Config_Intake_View'!Q477,'12 - Device_Configuration'!BH478)</f>
        <v>0</v>
      </c>
      <c r="J477" s="15" t="str">
        <f>IF('13 - Config_Intake_View'!Q477&lt;&gt;"","PM Approved",IF('12 - Device_Configuration'!BH478&lt;&gt;"","Assumed",""))</f>
        <v/>
      </c>
      <c r="K477" s="23">
        <f>'12 - Device_Configuration'!BG478</f>
        <v>0</v>
      </c>
      <c r="L477" s="15">
        <f>'12 - Device_Configuration'!P478</f>
        <v>0</v>
      </c>
      <c r="M477" s="15">
        <f>'12 - Device_Configuration'!Q478</f>
        <v>0</v>
      </c>
      <c r="N477" s="15" t="str">
        <f>'12 - Device_Configuration'!BK478</f>
        <v/>
      </c>
      <c r="O477" s="23" t="str">
        <f>'12 - Device_Configuration'!BL478</f>
        <v/>
      </c>
      <c r="P477" s="2">
        <f>'12 - Device_Configuration'!BA478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'12 - Device_Configuration'!H479</f>
        <v>0</v>
      </c>
      <c r="B478" s="23">
        <f>'12 - Device_Configuration'!S479</f>
        <v>0</v>
      </c>
      <c r="C478" s="23">
        <f>'12 - Device_Configuration'!T479</f>
        <v>0</v>
      </c>
      <c r="D478" s="15">
        <f>'12 - Device_Configuration'!AJ479</f>
        <v>0</v>
      </c>
      <c r="E478" s="15">
        <f>'12 - Device_Configuration'!J479</f>
        <v>0</v>
      </c>
      <c r="F478" s="23">
        <f>'12 - Device_Configuration'!K479</f>
        <v>0</v>
      </c>
      <c r="G478" s="15">
        <f>'12 - Device_Configuration'!L479</f>
        <v>0</v>
      </c>
      <c r="H478" s="15">
        <f>'13 - Config_Intake_View'!M478</f>
        <v>0</v>
      </c>
      <c r="I478" s="23">
        <f>IF('13 - Config_Intake_View'!Q478&lt;&gt;"",'13 - Config_Intake_View'!Q478,'12 - Device_Configuration'!BH479)</f>
        <v>0</v>
      </c>
      <c r="J478" s="15" t="str">
        <f>IF('13 - Config_Intake_View'!Q478&lt;&gt;"","PM Approved",IF('12 - Device_Configuration'!BH479&lt;&gt;"","Assumed",""))</f>
        <v/>
      </c>
      <c r="K478" s="23">
        <f>'12 - Device_Configuration'!BG479</f>
        <v>0</v>
      </c>
      <c r="L478" s="15">
        <f>'12 - Device_Configuration'!P479</f>
        <v>0</v>
      </c>
      <c r="M478" s="15">
        <f>'12 - Device_Configuration'!Q479</f>
        <v>0</v>
      </c>
      <c r="N478" s="15" t="str">
        <f>'12 - Device_Configuration'!BK479</f>
        <v/>
      </c>
      <c r="O478" s="23" t="str">
        <f>'12 - Device_Configuration'!BL479</f>
        <v/>
      </c>
      <c r="P478" s="2">
        <f>'12 - Device_Configuration'!BA479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'12 - Device_Configuration'!H480</f>
        <v>0</v>
      </c>
      <c r="B479" s="23">
        <f>'12 - Device_Configuration'!S480</f>
        <v>0</v>
      </c>
      <c r="C479" s="23">
        <f>'12 - Device_Configuration'!T480</f>
        <v>0</v>
      </c>
      <c r="D479" s="15">
        <f>'12 - Device_Configuration'!AJ480</f>
        <v>0</v>
      </c>
      <c r="E479" s="15">
        <f>'12 - Device_Configuration'!J480</f>
        <v>0</v>
      </c>
      <c r="F479" s="23">
        <f>'12 - Device_Configuration'!K480</f>
        <v>0</v>
      </c>
      <c r="G479" s="15">
        <f>'12 - Device_Configuration'!L480</f>
        <v>0</v>
      </c>
      <c r="H479" s="15">
        <f>'13 - Config_Intake_View'!M479</f>
        <v>0</v>
      </c>
      <c r="I479" s="23">
        <f>IF('13 - Config_Intake_View'!Q479&lt;&gt;"",'13 - Config_Intake_View'!Q479,'12 - Device_Configuration'!BH480)</f>
        <v>0</v>
      </c>
      <c r="J479" s="15" t="str">
        <f>IF('13 - Config_Intake_View'!Q479&lt;&gt;"","PM Approved",IF('12 - Device_Configuration'!BH480&lt;&gt;"","Assumed",""))</f>
        <v/>
      </c>
      <c r="K479" s="23">
        <f>'12 - Device_Configuration'!BG480</f>
        <v>0</v>
      </c>
      <c r="L479" s="15">
        <f>'12 - Device_Configuration'!P480</f>
        <v>0</v>
      </c>
      <c r="M479" s="15">
        <f>'12 - Device_Configuration'!Q480</f>
        <v>0</v>
      </c>
      <c r="N479" s="15" t="str">
        <f>'12 - Device_Configuration'!BK480</f>
        <v/>
      </c>
      <c r="O479" s="23" t="str">
        <f>'12 - Device_Configuration'!BL480</f>
        <v/>
      </c>
      <c r="P479" s="2">
        <f>'12 - Device_Configuration'!BA480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'12 - Device_Configuration'!H481</f>
        <v>0</v>
      </c>
      <c r="B480" s="23">
        <f>'12 - Device_Configuration'!S481</f>
        <v>0</v>
      </c>
      <c r="C480" s="23">
        <f>'12 - Device_Configuration'!T481</f>
        <v>0</v>
      </c>
      <c r="D480" s="15">
        <f>'12 - Device_Configuration'!AJ481</f>
        <v>0</v>
      </c>
      <c r="E480" s="15">
        <f>'12 - Device_Configuration'!J481</f>
        <v>0</v>
      </c>
      <c r="F480" s="23">
        <f>'12 - Device_Configuration'!K481</f>
        <v>0</v>
      </c>
      <c r="G480" s="15">
        <f>'12 - Device_Configuration'!L481</f>
        <v>0</v>
      </c>
      <c r="H480" s="15">
        <f>'13 - Config_Intake_View'!M480</f>
        <v>0</v>
      </c>
      <c r="I480" s="23">
        <f>IF('13 - Config_Intake_View'!Q480&lt;&gt;"",'13 - Config_Intake_View'!Q480,'12 - Device_Configuration'!BH481)</f>
        <v>0</v>
      </c>
      <c r="J480" s="15" t="str">
        <f>IF('13 - Config_Intake_View'!Q480&lt;&gt;"","PM Approved",IF('12 - Device_Configuration'!BH481&lt;&gt;"","Assumed",""))</f>
        <v/>
      </c>
      <c r="K480" s="23">
        <f>'12 - Device_Configuration'!BG481</f>
        <v>0</v>
      </c>
      <c r="L480" s="15">
        <f>'12 - Device_Configuration'!P481</f>
        <v>0</v>
      </c>
      <c r="M480" s="15">
        <f>'12 - Device_Configuration'!Q481</f>
        <v>0</v>
      </c>
      <c r="N480" s="15" t="str">
        <f>'12 - Device_Configuration'!BK481</f>
        <v/>
      </c>
      <c r="O480" s="23" t="str">
        <f>'12 - Device_Configuration'!BL481</f>
        <v/>
      </c>
      <c r="P480" s="2">
        <f>'12 - Device_Configuration'!BA481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'12 - Device_Configuration'!H482</f>
        <v>0</v>
      </c>
      <c r="B481" s="23">
        <f>'12 - Device_Configuration'!S482</f>
        <v>0</v>
      </c>
      <c r="C481" s="23">
        <f>'12 - Device_Configuration'!T482</f>
        <v>0</v>
      </c>
      <c r="D481" s="15">
        <f>'12 - Device_Configuration'!AJ482</f>
        <v>0</v>
      </c>
      <c r="E481" s="15">
        <f>'12 - Device_Configuration'!J482</f>
        <v>0</v>
      </c>
      <c r="F481" s="23">
        <f>'12 - Device_Configuration'!K482</f>
        <v>0</v>
      </c>
      <c r="G481" s="15">
        <f>'12 - Device_Configuration'!L482</f>
        <v>0</v>
      </c>
      <c r="H481" s="15">
        <f>'13 - Config_Intake_View'!M481</f>
        <v>0</v>
      </c>
      <c r="I481" s="23">
        <f>IF('13 - Config_Intake_View'!Q481&lt;&gt;"",'13 - Config_Intake_View'!Q481,'12 - Device_Configuration'!BH482)</f>
        <v>0</v>
      </c>
      <c r="J481" s="15" t="str">
        <f>IF('13 - Config_Intake_View'!Q481&lt;&gt;"","PM Approved",IF('12 - Device_Configuration'!BH482&lt;&gt;"","Assumed",""))</f>
        <v/>
      </c>
      <c r="K481" s="23">
        <f>'12 - Device_Configuration'!BG482</f>
        <v>0</v>
      </c>
      <c r="L481" s="15">
        <f>'12 - Device_Configuration'!P482</f>
        <v>0</v>
      </c>
      <c r="M481" s="15">
        <f>'12 - Device_Configuration'!Q482</f>
        <v>0</v>
      </c>
      <c r="N481" s="15" t="str">
        <f>'12 - Device_Configuration'!BK482</f>
        <v/>
      </c>
      <c r="O481" s="23" t="str">
        <f>'12 - Device_Configuration'!BL482</f>
        <v/>
      </c>
      <c r="P481" s="2">
        <f>'12 - Device_Configuration'!BA482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'12 - Device_Configuration'!H483</f>
        <v>0</v>
      </c>
      <c r="B482" s="23">
        <f>'12 - Device_Configuration'!S483</f>
        <v>0</v>
      </c>
      <c r="C482" s="23">
        <f>'12 - Device_Configuration'!T483</f>
        <v>0</v>
      </c>
      <c r="D482" s="15">
        <f>'12 - Device_Configuration'!AJ483</f>
        <v>0</v>
      </c>
      <c r="E482" s="15">
        <f>'12 - Device_Configuration'!J483</f>
        <v>0</v>
      </c>
      <c r="F482" s="23">
        <f>'12 - Device_Configuration'!K483</f>
        <v>0</v>
      </c>
      <c r="G482" s="15">
        <f>'12 - Device_Configuration'!L483</f>
        <v>0</v>
      </c>
      <c r="H482" s="15">
        <f>'13 - Config_Intake_View'!M482</f>
        <v>0</v>
      </c>
      <c r="I482" s="23">
        <f>IF('13 - Config_Intake_View'!Q482&lt;&gt;"",'13 - Config_Intake_View'!Q482,'12 - Device_Configuration'!BH483)</f>
        <v>0</v>
      </c>
      <c r="J482" s="15" t="str">
        <f>IF('13 - Config_Intake_View'!Q482&lt;&gt;"","PM Approved",IF('12 - Device_Configuration'!BH483&lt;&gt;"","Assumed",""))</f>
        <v/>
      </c>
      <c r="K482" s="23">
        <f>'12 - Device_Configuration'!BG483</f>
        <v>0</v>
      </c>
      <c r="L482" s="15">
        <f>'12 - Device_Configuration'!P483</f>
        <v>0</v>
      </c>
      <c r="M482" s="15">
        <f>'12 - Device_Configuration'!Q483</f>
        <v>0</v>
      </c>
      <c r="N482" s="15" t="str">
        <f>'12 - Device_Configuration'!BK483</f>
        <v/>
      </c>
      <c r="O482" s="23" t="str">
        <f>'12 - Device_Configuration'!BL483</f>
        <v/>
      </c>
      <c r="P482" s="2">
        <f>'12 - Device_Configuration'!BA483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'12 - Device_Configuration'!H484</f>
        <v>0</v>
      </c>
      <c r="B483" s="23">
        <f>'12 - Device_Configuration'!S484</f>
        <v>0</v>
      </c>
      <c r="C483" s="23">
        <f>'12 - Device_Configuration'!T484</f>
        <v>0</v>
      </c>
      <c r="D483" s="15">
        <f>'12 - Device_Configuration'!AJ484</f>
        <v>0</v>
      </c>
      <c r="E483" s="15">
        <f>'12 - Device_Configuration'!J484</f>
        <v>0</v>
      </c>
      <c r="F483" s="23">
        <f>'12 - Device_Configuration'!K484</f>
        <v>0</v>
      </c>
      <c r="G483" s="15">
        <f>'12 - Device_Configuration'!L484</f>
        <v>0</v>
      </c>
      <c r="H483" s="15">
        <f>'13 - Config_Intake_View'!M483</f>
        <v>0</v>
      </c>
      <c r="I483" s="23">
        <f>IF('13 - Config_Intake_View'!Q483&lt;&gt;"",'13 - Config_Intake_View'!Q483,'12 - Device_Configuration'!BH484)</f>
        <v>0</v>
      </c>
      <c r="J483" s="15" t="str">
        <f>IF('13 - Config_Intake_View'!Q483&lt;&gt;"","PM Approved",IF('12 - Device_Configuration'!BH484&lt;&gt;"","Assumed",""))</f>
        <v/>
      </c>
      <c r="K483" s="23">
        <f>'12 - Device_Configuration'!BG484</f>
        <v>0</v>
      </c>
      <c r="L483" s="15">
        <f>'12 - Device_Configuration'!P484</f>
        <v>0</v>
      </c>
      <c r="M483" s="15">
        <f>'12 - Device_Configuration'!Q484</f>
        <v>0</v>
      </c>
      <c r="N483" s="15" t="str">
        <f>'12 - Device_Configuration'!BK484</f>
        <v/>
      </c>
      <c r="O483" s="23" t="str">
        <f>'12 - Device_Configuration'!BL484</f>
        <v/>
      </c>
      <c r="P483" s="2">
        <f>'12 - Device_Configuration'!BA484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'12 - Device_Configuration'!H485</f>
        <v>0</v>
      </c>
      <c r="B484" s="23">
        <f>'12 - Device_Configuration'!S485</f>
        <v>0</v>
      </c>
      <c r="C484" s="23">
        <f>'12 - Device_Configuration'!T485</f>
        <v>0</v>
      </c>
      <c r="D484" s="15">
        <f>'12 - Device_Configuration'!AJ485</f>
        <v>0</v>
      </c>
      <c r="E484" s="15">
        <f>'12 - Device_Configuration'!J485</f>
        <v>0</v>
      </c>
      <c r="F484" s="23">
        <f>'12 - Device_Configuration'!K485</f>
        <v>0</v>
      </c>
      <c r="G484" s="15">
        <f>'12 - Device_Configuration'!L485</f>
        <v>0</v>
      </c>
      <c r="H484" s="15">
        <f>'13 - Config_Intake_View'!M484</f>
        <v>0</v>
      </c>
      <c r="I484" s="23">
        <f>IF('13 - Config_Intake_View'!Q484&lt;&gt;"",'13 - Config_Intake_View'!Q484,'12 - Device_Configuration'!BH485)</f>
        <v>0</v>
      </c>
      <c r="J484" s="15" t="str">
        <f>IF('13 - Config_Intake_View'!Q484&lt;&gt;"","PM Approved",IF('12 - Device_Configuration'!BH485&lt;&gt;"","Assumed",""))</f>
        <v/>
      </c>
      <c r="K484" s="23">
        <f>'12 - Device_Configuration'!BG485</f>
        <v>0</v>
      </c>
      <c r="L484" s="15">
        <f>'12 - Device_Configuration'!P485</f>
        <v>0</v>
      </c>
      <c r="M484" s="15">
        <f>'12 - Device_Configuration'!Q485</f>
        <v>0</v>
      </c>
      <c r="N484" s="15" t="str">
        <f>'12 - Device_Configuration'!BK485</f>
        <v/>
      </c>
      <c r="O484" s="23" t="str">
        <f>'12 - Device_Configuration'!BL485</f>
        <v/>
      </c>
      <c r="P484" s="2">
        <f>'12 - Device_Configuration'!BA485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'12 - Device_Configuration'!H486</f>
        <v>0</v>
      </c>
      <c r="B485" s="23">
        <f>'12 - Device_Configuration'!S486</f>
        <v>0</v>
      </c>
      <c r="C485" s="23">
        <f>'12 - Device_Configuration'!T486</f>
        <v>0</v>
      </c>
      <c r="D485" s="15">
        <f>'12 - Device_Configuration'!AJ486</f>
        <v>0</v>
      </c>
      <c r="E485" s="15">
        <f>'12 - Device_Configuration'!J486</f>
        <v>0</v>
      </c>
      <c r="F485" s="23">
        <f>'12 - Device_Configuration'!K486</f>
        <v>0</v>
      </c>
      <c r="G485" s="15">
        <f>'12 - Device_Configuration'!L486</f>
        <v>0</v>
      </c>
      <c r="H485" s="15">
        <f>'13 - Config_Intake_View'!M485</f>
        <v>0</v>
      </c>
      <c r="I485" s="23">
        <f>IF('13 - Config_Intake_View'!Q485&lt;&gt;"",'13 - Config_Intake_View'!Q485,'12 - Device_Configuration'!BH486)</f>
        <v>0</v>
      </c>
      <c r="J485" s="15" t="str">
        <f>IF('13 - Config_Intake_View'!Q485&lt;&gt;"","PM Approved",IF('12 - Device_Configuration'!BH486&lt;&gt;"","Assumed",""))</f>
        <v/>
      </c>
      <c r="K485" s="23">
        <f>'12 - Device_Configuration'!BG486</f>
        <v>0</v>
      </c>
      <c r="L485" s="15">
        <f>'12 - Device_Configuration'!P486</f>
        <v>0</v>
      </c>
      <c r="M485" s="15">
        <f>'12 - Device_Configuration'!Q486</f>
        <v>0</v>
      </c>
      <c r="N485" s="15" t="str">
        <f>'12 - Device_Configuration'!BK486</f>
        <v/>
      </c>
      <c r="O485" s="23" t="str">
        <f>'12 - Device_Configuration'!BL486</f>
        <v/>
      </c>
      <c r="P485" s="2">
        <f>'12 - Device_Configuration'!BA486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'12 - Device_Configuration'!H487</f>
        <v>0</v>
      </c>
      <c r="B486" s="23">
        <f>'12 - Device_Configuration'!S487</f>
        <v>0</v>
      </c>
      <c r="C486" s="23">
        <f>'12 - Device_Configuration'!T487</f>
        <v>0</v>
      </c>
      <c r="D486" s="15">
        <f>'12 - Device_Configuration'!AJ487</f>
        <v>0</v>
      </c>
      <c r="E486" s="15">
        <f>'12 - Device_Configuration'!J487</f>
        <v>0</v>
      </c>
      <c r="F486" s="23">
        <f>'12 - Device_Configuration'!K487</f>
        <v>0</v>
      </c>
      <c r="G486" s="15">
        <f>'12 - Device_Configuration'!L487</f>
        <v>0</v>
      </c>
      <c r="H486" s="15">
        <f>'13 - Config_Intake_View'!M486</f>
        <v>0</v>
      </c>
      <c r="I486" s="23">
        <f>IF('13 - Config_Intake_View'!Q486&lt;&gt;"",'13 - Config_Intake_View'!Q486,'12 - Device_Configuration'!BH487)</f>
        <v>0</v>
      </c>
      <c r="J486" s="15" t="str">
        <f>IF('13 - Config_Intake_View'!Q486&lt;&gt;"","PM Approved",IF('12 - Device_Configuration'!BH487&lt;&gt;"","Assumed",""))</f>
        <v/>
      </c>
      <c r="K486" s="23">
        <f>'12 - Device_Configuration'!BG487</f>
        <v>0</v>
      </c>
      <c r="L486" s="15">
        <f>'12 - Device_Configuration'!P487</f>
        <v>0</v>
      </c>
      <c r="M486" s="15">
        <f>'12 - Device_Configuration'!Q487</f>
        <v>0</v>
      </c>
      <c r="N486" s="15" t="str">
        <f>'12 - Device_Configuration'!BK487</f>
        <v/>
      </c>
      <c r="O486" s="23" t="str">
        <f>'12 - Device_Configuration'!BL487</f>
        <v/>
      </c>
      <c r="P486" s="2">
        <f>'12 - Device_Configuration'!BA487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'12 - Device_Configuration'!H488</f>
        <v>0</v>
      </c>
      <c r="B487" s="23">
        <f>'12 - Device_Configuration'!S488</f>
        <v>0</v>
      </c>
      <c r="C487" s="23">
        <f>'12 - Device_Configuration'!T488</f>
        <v>0</v>
      </c>
      <c r="D487" s="15">
        <f>'12 - Device_Configuration'!AJ488</f>
        <v>0</v>
      </c>
      <c r="E487" s="15">
        <f>'12 - Device_Configuration'!J488</f>
        <v>0</v>
      </c>
      <c r="F487" s="23">
        <f>'12 - Device_Configuration'!K488</f>
        <v>0</v>
      </c>
      <c r="G487" s="15">
        <f>'12 - Device_Configuration'!L488</f>
        <v>0</v>
      </c>
      <c r="H487" s="15">
        <f>'13 - Config_Intake_View'!M487</f>
        <v>0</v>
      </c>
      <c r="I487" s="23">
        <f>IF('13 - Config_Intake_View'!Q487&lt;&gt;"",'13 - Config_Intake_View'!Q487,'12 - Device_Configuration'!BH488)</f>
        <v>0</v>
      </c>
      <c r="J487" s="15" t="str">
        <f>IF('13 - Config_Intake_View'!Q487&lt;&gt;"","PM Approved",IF('12 - Device_Configuration'!BH488&lt;&gt;"","Assumed",""))</f>
        <v/>
      </c>
      <c r="K487" s="23">
        <f>'12 - Device_Configuration'!BG488</f>
        <v>0</v>
      </c>
      <c r="L487" s="15">
        <f>'12 - Device_Configuration'!P488</f>
        <v>0</v>
      </c>
      <c r="M487" s="15">
        <f>'12 - Device_Configuration'!Q488</f>
        <v>0</v>
      </c>
      <c r="N487" s="15" t="str">
        <f>'12 - Device_Configuration'!BK488</f>
        <v/>
      </c>
      <c r="O487" s="23" t="str">
        <f>'12 - Device_Configuration'!BL488</f>
        <v/>
      </c>
      <c r="P487" s="2">
        <f>'12 - Device_Configuration'!BA488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'12 - Device_Configuration'!H489</f>
        <v>0</v>
      </c>
      <c r="B488" s="23">
        <f>'12 - Device_Configuration'!S489</f>
        <v>0</v>
      </c>
      <c r="C488" s="23">
        <f>'12 - Device_Configuration'!T489</f>
        <v>0</v>
      </c>
      <c r="D488" s="15">
        <f>'12 - Device_Configuration'!AJ489</f>
        <v>0</v>
      </c>
      <c r="E488" s="15">
        <f>'12 - Device_Configuration'!J489</f>
        <v>0</v>
      </c>
      <c r="F488" s="23">
        <f>'12 - Device_Configuration'!K489</f>
        <v>0</v>
      </c>
      <c r="G488" s="15">
        <f>'12 - Device_Configuration'!L489</f>
        <v>0</v>
      </c>
      <c r="H488" s="15">
        <f>'13 - Config_Intake_View'!M488</f>
        <v>0</v>
      </c>
      <c r="I488" s="23">
        <f>IF('13 - Config_Intake_View'!Q488&lt;&gt;"",'13 - Config_Intake_View'!Q488,'12 - Device_Configuration'!BH489)</f>
        <v>0</v>
      </c>
      <c r="J488" s="15" t="str">
        <f>IF('13 - Config_Intake_View'!Q488&lt;&gt;"","PM Approved",IF('12 - Device_Configuration'!BH489&lt;&gt;"","Assumed",""))</f>
        <v/>
      </c>
      <c r="K488" s="23">
        <f>'12 - Device_Configuration'!BG489</f>
        <v>0</v>
      </c>
      <c r="L488" s="15">
        <f>'12 - Device_Configuration'!P489</f>
        <v>0</v>
      </c>
      <c r="M488" s="15">
        <f>'12 - Device_Configuration'!Q489</f>
        <v>0</v>
      </c>
      <c r="N488" s="15" t="str">
        <f>'12 - Device_Configuration'!BK489</f>
        <v/>
      </c>
      <c r="O488" s="23" t="str">
        <f>'12 - Device_Configuration'!BL489</f>
        <v/>
      </c>
      <c r="P488" s="2">
        <f>'12 - Device_Configuration'!BA489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'12 - Device_Configuration'!H490</f>
        <v>0</v>
      </c>
      <c r="B489" s="23">
        <f>'12 - Device_Configuration'!S490</f>
        <v>0</v>
      </c>
      <c r="C489" s="23">
        <f>'12 - Device_Configuration'!T490</f>
        <v>0</v>
      </c>
      <c r="D489" s="15">
        <f>'12 - Device_Configuration'!AJ490</f>
        <v>0</v>
      </c>
      <c r="E489" s="15">
        <f>'12 - Device_Configuration'!J490</f>
        <v>0</v>
      </c>
      <c r="F489" s="23">
        <f>'12 - Device_Configuration'!K490</f>
        <v>0</v>
      </c>
      <c r="G489" s="15">
        <f>'12 - Device_Configuration'!L490</f>
        <v>0</v>
      </c>
      <c r="H489" s="15">
        <f>'13 - Config_Intake_View'!M489</f>
        <v>0</v>
      </c>
      <c r="I489" s="23">
        <f>IF('13 - Config_Intake_View'!Q489&lt;&gt;"",'13 - Config_Intake_View'!Q489,'12 - Device_Configuration'!BH490)</f>
        <v>0</v>
      </c>
      <c r="J489" s="15" t="str">
        <f>IF('13 - Config_Intake_View'!Q489&lt;&gt;"","PM Approved",IF('12 - Device_Configuration'!BH490&lt;&gt;"","Assumed",""))</f>
        <v/>
      </c>
      <c r="K489" s="23">
        <f>'12 - Device_Configuration'!BG490</f>
        <v>0</v>
      </c>
      <c r="L489" s="15">
        <f>'12 - Device_Configuration'!P490</f>
        <v>0</v>
      </c>
      <c r="M489" s="15">
        <f>'12 - Device_Configuration'!Q490</f>
        <v>0</v>
      </c>
      <c r="N489" s="15" t="str">
        <f>'12 - Device_Configuration'!BK490</f>
        <v/>
      </c>
      <c r="O489" s="23" t="str">
        <f>'12 - Device_Configuration'!BL490</f>
        <v/>
      </c>
      <c r="P489" s="2">
        <f>'12 - Device_Configuration'!BA490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'12 - Device_Configuration'!H491</f>
        <v>0</v>
      </c>
      <c r="B490" s="23">
        <f>'12 - Device_Configuration'!S491</f>
        <v>0</v>
      </c>
      <c r="C490" s="23">
        <f>'12 - Device_Configuration'!T491</f>
        <v>0</v>
      </c>
      <c r="D490" s="15">
        <f>'12 - Device_Configuration'!AJ491</f>
        <v>0</v>
      </c>
      <c r="E490" s="15">
        <f>'12 - Device_Configuration'!J491</f>
        <v>0</v>
      </c>
      <c r="F490" s="23">
        <f>'12 - Device_Configuration'!K491</f>
        <v>0</v>
      </c>
      <c r="G490" s="15">
        <f>'12 - Device_Configuration'!L491</f>
        <v>0</v>
      </c>
      <c r="H490" s="15">
        <f>'13 - Config_Intake_View'!M490</f>
        <v>0</v>
      </c>
      <c r="I490" s="23">
        <f>IF('13 - Config_Intake_View'!Q490&lt;&gt;"",'13 - Config_Intake_View'!Q490,'12 - Device_Configuration'!BH491)</f>
        <v>0</v>
      </c>
      <c r="J490" s="15" t="str">
        <f>IF('13 - Config_Intake_View'!Q490&lt;&gt;"","PM Approved",IF('12 - Device_Configuration'!BH491&lt;&gt;"","Assumed",""))</f>
        <v/>
      </c>
      <c r="K490" s="23">
        <f>'12 - Device_Configuration'!BG491</f>
        <v>0</v>
      </c>
      <c r="L490" s="15">
        <f>'12 - Device_Configuration'!P491</f>
        <v>0</v>
      </c>
      <c r="M490" s="15">
        <f>'12 - Device_Configuration'!Q491</f>
        <v>0</v>
      </c>
      <c r="N490" s="15" t="str">
        <f>'12 - Device_Configuration'!BK491</f>
        <v/>
      </c>
      <c r="O490" s="23" t="str">
        <f>'12 - Device_Configuration'!BL491</f>
        <v/>
      </c>
      <c r="P490" s="2">
        <f>'12 - Device_Configuration'!BA491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'12 - Device_Configuration'!H492</f>
        <v>0</v>
      </c>
      <c r="B491" s="23">
        <f>'12 - Device_Configuration'!S492</f>
        <v>0</v>
      </c>
      <c r="C491" s="23">
        <f>'12 - Device_Configuration'!T492</f>
        <v>0</v>
      </c>
      <c r="D491" s="15">
        <f>'12 - Device_Configuration'!AJ492</f>
        <v>0</v>
      </c>
      <c r="E491" s="15">
        <f>'12 - Device_Configuration'!J492</f>
        <v>0</v>
      </c>
      <c r="F491" s="23">
        <f>'12 - Device_Configuration'!K492</f>
        <v>0</v>
      </c>
      <c r="G491" s="15">
        <f>'12 - Device_Configuration'!L492</f>
        <v>0</v>
      </c>
      <c r="H491" s="15">
        <f>'13 - Config_Intake_View'!M491</f>
        <v>0</v>
      </c>
      <c r="I491" s="23">
        <f>IF('13 - Config_Intake_View'!Q491&lt;&gt;"",'13 - Config_Intake_View'!Q491,'12 - Device_Configuration'!BH492)</f>
        <v>0</v>
      </c>
      <c r="J491" s="15" t="str">
        <f>IF('13 - Config_Intake_View'!Q491&lt;&gt;"","PM Approved",IF('12 - Device_Configuration'!BH492&lt;&gt;"","Assumed",""))</f>
        <v/>
      </c>
      <c r="K491" s="23">
        <f>'12 - Device_Configuration'!BG492</f>
        <v>0</v>
      </c>
      <c r="L491" s="15">
        <f>'12 - Device_Configuration'!P492</f>
        <v>0</v>
      </c>
      <c r="M491" s="15">
        <f>'12 - Device_Configuration'!Q492</f>
        <v>0</v>
      </c>
      <c r="N491" s="15" t="str">
        <f>'12 - Device_Configuration'!BK492</f>
        <v/>
      </c>
      <c r="O491" s="23" t="str">
        <f>'12 - Device_Configuration'!BL492</f>
        <v/>
      </c>
      <c r="P491" s="2">
        <f>'12 - Device_Configuration'!BA492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'12 - Device_Configuration'!H493</f>
        <v>0</v>
      </c>
      <c r="B492" s="23">
        <f>'12 - Device_Configuration'!S493</f>
        <v>0</v>
      </c>
      <c r="C492" s="23">
        <f>'12 - Device_Configuration'!T493</f>
        <v>0</v>
      </c>
      <c r="D492" s="15">
        <f>'12 - Device_Configuration'!AJ493</f>
        <v>0</v>
      </c>
      <c r="E492" s="15">
        <f>'12 - Device_Configuration'!J493</f>
        <v>0</v>
      </c>
      <c r="F492" s="23">
        <f>'12 - Device_Configuration'!K493</f>
        <v>0</v>
      </c>
      <c r="G492" s="15">
        <f>'12 - Device_Configuration'!L493</f>
        <v>0</v>
      </c>
      <c r="H492" s="15">
        <f>'13 - Config_Intake_View'!M492</f>
        <v>0</v>
      </c>
      <c r="I492" s="23">
        <f>IF('13 - Config_Intake_View'!Q492&lt;&gt;"",'13 - Config_Intake_View'!Q492,'12 - Device_Configuration'!BH493)</f>
        <v>0</v>
      </c>
      <c r="J492" s="15" t="str">
        <f>IF('13 - Config_Intake_View'!Q492&lt;&gt;"","PM Approved",IF('12 - Device_Configuration'!BH493&lt;&gt;"","Assumed",""))</f>
        <v/>
      </c>
      <c r="K492" s="23">
        <f>'12 - Device_Configuration'!BG493</f>
        <v>0</v>
      </c>
      <c r="L492" s="15">
        <f>'12 - Device_Configuration'!P493</f>
        <v>0</v>
      </c>
      <c r="M492" s="15">
        <f>'12 - Device_Configuration'!Q493</f>
        <v>0</v>
      </c>
      <c r="N492" s="15" t="str">
        <f>'12 - Device_Configuration'!BK493</f>
        <v/>
      </c>
      <c r="O492" s="23" t="str">
        <f>'12 - Device_Configuration'!BL493</f>
        <v/>
      </c>
      <c r="P492" s="2">
        <f>'12 - Device_Configuration'!BA493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'12 - Device_Configuration'!H494</f>
        <v>0</v>
      </c>
      <c r="B493" s="23">
        <f>'12 - Device_Configuration'!S494</f>
        <v>0</v>
      </c>
      <c r="C493" s="23">
        <f>'12 - Device_Configuration'!T494</f>
        <v>0</v>
      </c>
      <c r="D493" s="15">
        <f>'12 - Device_Configuration'!AJ494</f>
        <v>0</v>
      </c>
      <c r="E493" s="15">
        <f>'12 - Device_Configuration'!J494</f>
        <v>0</v>
      </c>
      <c r="F493" s="23">
        <f>'12 - Device_Configuration'!K494</f>
        <v>0</v>
      </c>
      <c r="G493" s="15">
        <f>'12 - Device_Configuration'!L494</f>
        <v>0</v>
      </c>
      <c r="H493" s="15">
        <f>'13 - Config_Intake_View'!M493</f>
        <v>0</v>
      </c>
      <c r="I493" s="23">
        <f>IF('13 - Config_Intake_View'!Q493&lt;&gt;"",'13 - Config_Intake_View'!Q493,'12 - Device_Configuration'!BH494)</f>
        <v>0</v>
      </c>
      <c r="J493" s="15" t="str">
        <f>IF('13 - Config_Intake_View'!Q493&lt;&gt;"","PM Approved",IF('12 - Device_Configuration'!BH494&lt;&gt;"","Assumed",""))</f>
        <v/>
      </c>
      <c r="K493" s="23">
        <f>'12 - Device_Configuration'!BG494</f>
        <v>0</v>
      </c>
      <c r="L493" s="15">
        <f>'12 - Device_Configuration'!P494</f>
        <v>0</v>
      </c>
      <c r="M493" s="15">
        <f>'12 - Device_Configuration'!Q494</f>
        <v>0</v>
      </c>
      <c r="N493" s="15" t="str">
        <f>'12 - Device_Configuration'!BK494</f>
        <v/>
      </c>
      <c r="O493" s="23" t="str">
        <f>'12 - Device_Configuration'!BL494</f>
        <v/>
      </c>
      <c r="P493" s="2">
        <f>'12 - Device_Configuration'!BA494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'12 - Device_Configuration'!H495</f>
        <v>0</v>
      </c>
      <c r="B494" s="23">
        <f>'12 - Device_Configuration'!S495</f>
        <v>0</v>
      </c>
      <c r="C494" s="23">
        <f>'12 - Device_Configuration'!T495</f>
        <v>0</v>
      </c>
      <c r="D494" s="15">
        <f>'12 - Device_Configuration'!AJ495</f>
        <v>0</v>
      </c>
      <c r="E494" s="15">
        <f>'12 - Device_Configuration'!J495</f>
        <v>0</v>
      </c>
      <c r="F494" s="23">
        <f>'12 - Device_Configuration'!K495</f>
        <v>0</v>
      </c>
      <c r="G494" s="15">
        <f>'12 - Device_Configuration'!L495</f>
        <v>0</v>
      </c>
      <c r="H494" s="15">
        <f>'13 - Config_Intake_View'!M494</f>
        <v>0</v>
      </c>
      <c r="I494" s="23">
        <f>IF('13 - Config_Intake_View'!Q494&lt;&gt;"",'13 - Config_Intake_View'!Q494,'12 - Device_Configuration'!BH495)</f>
        <v>0</v>
      </c>
      <c r="J494" s="15" t="str">
        <f>IF('13 - Config_Intake_View'!Q494&lt;&gt;"","PM Approved",IF('12 - Device_Configuration'!BH495&lt;&gt;"","Assumed",""))</f>
        <v/>
      </c>
      <c r="K494" s="23">
        <f>'12 - Device_Configuration'!BG495</f>
        <v>0</v>
      </c>
      <c r="L494" s="15">
        <f>'12 - Device_Configuration'!P495</f>
        <v>0</v>
      </c>
      <c r="M494" s="15">
        <f>'12 - Device_Configuration'!Q495</f>
        <v>0</v>
      </c>
      <c r="N494" s="15" t="str">
        <f>'12 - Device_Configuration'!BK495</f>
        <v/>
      </c>
      <c r="O494" s="23" t="str">
        <f>'12 - Device_Configuration'!BL495</f>
        <v/>
      </c>
      <c r="P494" s="2">
        <f>'12 - Device_Configuration'!BA495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'12 - Device_Configuration'!H496</f>
        <v>0</v>
      </c>
      <c r="B495" s="23">
        <f>'12 - Device_Configuration'!S496</f>
        <v>0</v>
      </c>
      <c r="C495" s="23">
        <f>'12 - Device_Configuration'!T496</f>
        <v>0</v>
      </c>
      <c r="D495" s="15">
        <f>'12 - Device_Configuration'!AJ496</f>
        <v>0</v>
      </c>
      <c r="E495" s="15">
        <f>'12 - Device_Configuration'!J496</f>
        <v>0</v>
      </c>
      <c r="F495" s="23">
        <f>'12 - Device_Configuration'!K496</f>
        <v>0</v>
      </c>
      <c r="G495" s="15">
        <f>'12 - Device_Configuration'!L496</f>
        <v>0</v>
      </c>
      <c r="H495" s="15">
        <f>'13 - Config_Intake_View'!M495</f>
        <v>0</v>
      </c>
      <c r="I495" s="23">
        <f>IF('13 - Config_Intake_View'!Q495&lt;&gt;"",'13 - Config_Intake_View'!Q495,'12 - Device_Configuration'!BH496)</f>
        <v>0</v>
      </c>
      <c r="J495" s="15" t="str">
        <f>IF('13 - Config_Intake_View'!Q495&lt;&gt;"","PM Approved",IF('12 - Device_Configuration'!BH496&lt;&gt;"","Assumed",""))</f>
        <v/>
      </c>
      <c r="K495" s="23">
        <f>'12 - Device_Configuration'!BG496</f>
        <v>0</v>
      </c>
      <c r="L495" s="15">
        <f>'12 - Device_Configuration'!P496</f>
        <v>0</v>
      </c>
      <c r="M495" s="15">
        <f>'12 - Device_Configuration'!Q496</f>
        <v>0</v>
      </c>
      <c r="N495" s="15" t="str">
        <f>'12 - Device_Configuration'!BK496</f>
        <v/>
      </c>
      <c r="O495" s="23" t="str">
        <f>'12 - Device_Configuration'!BL496</f>
        <v/>
      </c>
      <c r="P495" s="2">
        <f>'12 - Device_Configuration'!BA496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'12 - Device_Configuration'!H497</f>
        <v>0</v>
      </c>
      <c r="B496" s="23">
        <f>'12 - Device_Configuration'!S497</f>
        <v>0</v>
      </c>
      <c r="C496" s="23">
        <f>'12 - Device_Configuration'!T497</f>
        <v>0</v>
      </c>
      <c r="D496" s="15">
        <f>'12 - Device_Configuration'!AJ497</f>
        <v>0</v>
      </c>
      <c r="E496" s="15">
        <f>'12 - Device_Configuration'!J497</f>
        <v>0</v>
      </c>
      <c r="F496" s="23">
        <f>'12 - Device_Configuration'!K497</f>
        <v>0</v>
      </c>
      <c r="G496" s="15">
        <f>'12 - Device_Configuration'!L497</f>
        <v>0</v>
      </c>
      <c r="H496" s="15">
        <f>'13 - Config_Intake_View'!M496</f>
        <v>0</v>
      </c>
      <c r="I496" s="23">
        <f>IF('13 - Config_Intake_View'!Q496&lt;&gt;"",'13 - Config_Intake_View'!Q496,'12 - Device_Configuration'!BH497)</f>
        <v>0</v>
      </c>
      <c r="J496" s="15" t="str">
        <f>IF('13 - Config_Intake_View'!Q496&lt;&gt;"","PM Approved",IF('12 - Device_Configuration'!BH497&lt;&gt;"","Assumed",""))</f>
        <v/>
      </c>
      <c r="K496" s="23">
        <f>'12 - Device_Configuration'!BG497</f>
        <v>0</v>
      </c>
      <c r="L496" s="15">
        <f>'12 - Device_Configuration'!P497</f>
        <v>0</v>
      </c>
      <c r="M496" s="15">
        <f>'12 - Device_Configuration'!Q497</f>
        <v>0</v>
      </c>
      <c r="N496" s="15" t="str">
        <f>'12 - Device_Configuration'!BK497</f>
        <v/>
      </c>
      <c r="O496" s="23" t="str">
        <f>'12 - Device_Configuration'!BL497</f>
        <v/>
      </c>
      <c r="P496" s="2">
        <f>'12 - Device_Configuration'!BA497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'12 - Device_Configuration'!H498</f>
        <v>0</v>
      </c>
      <c r="B497" s="23">
        <f>'12 - Device_Configuration'!S498</f>
        <v>0</v>
      </c>
      <c r="C497" s="23">
        <f>'12 - Device_Configuration'!T498</f>
        <v>0</v>
      </c>
      <c r="D497" s="15">
        <f>'12 - Device_Configuration'!AJ498</f>
        <v>0</v>
      </c>
      <c r="E497" s="15">
        <f>'12 - Device_Configuration'!J498</f>
        <v>0</v>
      </c>
      <c r="F497" s="23">
        <f>'12 - Device_Configuration'!K498</f>
        <v>0</v>
      </c>
      <c r="G497" s="15">
        <f>'12 - Device_Configuration'!L498</f>
        <v>0</v>
      </c>
      <c r="H497" s="15">
        <f>'13 - Config_Intake_View'!M497</f>
        <v>0</v>
      </c>
      <c r="I497" s="23">
        <f>IF('13 - Config_Intake_View'!Q497&lt;&gt;"",'13 - Config_Intake_View'!Q497,'12 - Device_Configuration'!BH498)</f>
        <v>0</v>
      </c>
      <c r="J497" s="15" t="str">
        <f>IF('13 - Config_Intake_View'!Q497&lt;&gt;"","PM Approved",IF('12 - Device_Configuration'!BH498&lt;&gt;"","Assumed",""))</f>
        <v/>
      </c>
      <c r="K497" s="23">
        <f>'12 - Device_Configuration'!BG498</f>
        <v>0</v>
      </c>
      <c r="L497" s="15">
        <f>'12 - Device_Configuration'!P498</f>
        <v>0</v>
      </c>
      <c r="M497" s="15">
        <f>'12 - Device_Configuration'!Q498</f>
        <v>0</v>
      </c>
      <c r="N497" s="15" t="str">
        <f>'12 - Device_Configuration'!BK498</f>
        <v/>
      </c>
      <c r="O497" s="23" t="str">
        <f>'12 - Device_Configuration'!BL498</f>
        <v/>
      </c>
      <c r="P497" s="2">
        <f>'12 - Device_Configuration'!BA498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'12 - Device_Configuration'!H499</f>
        <v>0</v>
      </c>
      <c r="B498" s="23">
        <f>'12 - Device_Configuration'!S499</f>
        <v>0</v>
      </c>
      <c r="C498" s="23">
        <f>'12 - Device_Configuration'!T499</f>
        <v>0</v>
      </c>
      <c r="D498" s="15">
        <f>'12 - Device_Configuration'!AJ499</f>
        <v>0</v>
      </c>
      <c r="E498" s="15">
        <f>'12 - Device_Configuration'!J499</f>
        <v>0</v>
      </c>
      <c r="F498" s="23">
        <f>'12 - Device_Configuration'!K499</f>
        <v>0</v>
      </c>
      <c r="G498" s="15">
        <f>'12 - Device_Configuration'!L499</f>
        <v>0</v>
      </c>
      <c r="H498" s="15">
        <f>'13 - Config_Intake_View'!M498</f>
        <v>0</v>
      </c>
      <c r="I498" s="23">
        <f>IF('13 - Config_Intake_View'!Q498&lt;&gt;"",'13 - Config_Intake_View'!Q498,'12 - Device_Configuration'!BH499)</f>
        <v>0</v>
      </c>
      <c r="J498" s="15" t="str">
        <f>IF('13 - Config_Intake_View'!Q498&lt;&gt;"","PM Approved",IF('12 - Device_Configuration'!BH499&lt;&gt;"","Assumed",""))</f>
        <v/>
      </c>
      <c r="K498" s="23">
        <f>'12 - Device_Configuration'!BG499</f>
        <v>0</v>
      </c>
      <c r="L498" s="15">
        <f>'12 - Device_Configuration'!P499</f>
        <v>0</v>
      </c>
      <c r="M498" s="15">
        <f>'12 - Device_Configuration'!Q499</f>
        <v>0</v>
      </c>
      <c r="N498" s="15" t="str">
        <f>'12 - Device_Configuration'!BK499</f>
        <v/>
      </c>
      <c r="O498" s="23" t="str">
        <f>'12 - Device_Configuration'!BL499</f>
        <v/>
      </c>
      <c r="P498" s="2">
        <f>'12 - Device_Configuration'!BA499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'12 - Device_Configuration'!H500</f>
        <v>0</v>
      </c>
      <c r="B499" s="23">
        <f>'12 - Device_Configuration'!S500</f>
        <v>0</v>
      </c>
      <c r="C499" s="23">
        <f>'12 - Device_Configuration'!T500</f>
        <v>0</v>
      </c>
      <c r="D499" s="15">
        <f>'12 - Device_Configuration'!AJ500</f>
        <v>0</v>
      </c>
      <c r="E499" s="15">
        <f>'12 - Device_Configuration'!J500</f>
        <v>0</v>
      </c>
      <c r="F499" s="23">
        <f>'12 - Device_Configuration'!K500</f>
        <v>0</v>
      </c>
      <c r="G499" s="15">
        <f>'12 - Device_Configuration'!L500</f>
        <v>0</v>
      </c>
      <c r="H499" s="15">
        <f>'13 - Config_Intake_View'!M499</f>
        <v>0</v>
      </c>
      <c r="I499" s="23">
        <f>IF('13 - Config_Intake_View'!Q499&lt;&gt;"",'13 - Config_Intake_View'!Q499,'12 - Device_Configuration'!BH500)</f>
        <v>0</v>
      </c>
      <c r="J499" s="15" t="str">
        <f>IF('13 - Config_Intake_View'!Q499&lt;&gt;"","PM Approved",IF('12 - Device_Configuration'!BH500&lt;&gt;"","Assumed",""))</f>
        <v/>
      </c>
      <c r="K499" s="23">
        <f>'12 - Device_Configuration'!BG500</f>
        <v>0</v>
      </c>
      <c r="L499" s="15">
        <f>'12 - Device_Configuration'!P500</f>
        <v>0</v>
      </c>
      <c r="M499" s="15">
        <f>'12 - Device_Configuration'!Q500</f>
        <v>0</v>
      </c>
      <c r="N499" s="15" t="str">
        <f>'12 - Device_Configuration'!BK500</f>
        <v/>
      </c>
      <c r="O499" s="23" t="str">
        <f>'12 - Device_Configuration'!BL500</f>
        <v/>
      </c>
      <c r="P499" s="2">
        <f>'12 - Device_Configuration'!BA500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'12 - Device_Configuration'!H501</f>
        <v>0</v>
      </c>
      <c r="B500" s="23">
        <f>'12 - Device_Configuration'!S501</f>
        <v>0</v>
      </c>
      <c r="C500" s="23">
        <f>'12 - Device_Configuration'!T501</f>
        <v>0</v>
      </c>
      <c r="D500" s="15">
        <f>'12 - Device_Configuration'!AJ501</f>
        <v>0</v>
      </c>
      <c r="E500" s="15">
        <f>'12 - Device_Configuration'!J501</f>
        <v>0</v>
      </c>
      <c r="F500" s="23">
        <f>'12 - Device_Configuration'!K501</f>
        <v>0</v>
      </c>
      <c r="G500" s="15">
        <f>'12 - Device_Configuration'!L501</f>
        <v>0</v>
      </c>
      <c r="H500" s="15">
        <f>'13 - Config_Intake_View'!M500</f>
        <v>0</v>
      </c>
      <c r="I500" s="23">
        <f>IF('13 - Config_Intake_View'!Q500&lt;&gt;"",'13 - Config_Intake_View'!Q500,'12 - Device_Configuration'!BH501)</f>
        <v>0</v>
      </c>
      <c r="J500" s="15" t="str">
        <f>IF('13 - Config_Intake_View'!Q500&lt;&gt;"","PM Approved",IF('12 - Device_Configuration'!BH501&lt;&gt;"","Assumed",""))</f>
        <v/>
      </c>
      <c r="K500" s="23">
        <f>'12 - Device_Configuration'!BG501</f>
        <v>0</v>
      </c>
      <c r="L500" s="15">
        <f>'12 - Device_Configuration'!P501</f>
        <v>0</v>
      </c>
      <c r="M500" s="15">
        <f>'12 - Device_Configuration'!Q501</f>
        <v>0</v>
      </c>
      <c r="N500" s="15" t="str">
        <f>'12 - Device_Configuration'!BK501</f>
        <v/>
      </c>
      <c r="O500" s="23" t="str">
        <f>'12 - Device_Configuration'!BL501</f>
        <v/>
      </c>
      <c r="P500" s="2">
        <f>'12 - Device_Configuration'!BA501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'12 - Device_Configuration'!H502</f>
        <v>0</v>
      </c>
      <c r="B501" s="23">
        <f>'12 - Device_Configuration'!S502</f>
        <v>0</v>
      </c>
      <c r="C501" s="23">
        <f>'12 - Device_Configuration'!T502</f>
        <v>0</v>
      </c>
      <c r="D501" s="15">
        <f>'12 - Device_Configuration'!AJ502</f>
        <v>0</v>
      </c>
      <c r="E501" s="15">
        <f>'12 - Device_Configuration'!J502</f>
        <v>0</v>
      </c>
      <c r="F501" s="23">
        <f>'12 - Device_Configuration'!K502</f>
        <v>0</v>
      </c>
      <c r="G501" s="15">
        <f>'12 - Device_Configuration'!L502</f>
        <v>0</v>
      </c>
      <c r="H501" s="15">
        <f>'13 - Config_Intake_View'!M501</f>
        <v>0</v>
      </c>
      <c r="I501" s="23">
        <f>IF('13 - Config_Intake_View'!Q501&lt;&gt;"",'13 - Config_Intake_View'!Q501,'12 - Device_Configuration'!BH502)</f>
        <v>0</v>
      </c>
      <c r="J501" s="15" t="str">
        <f>IF('13 - Config_Intake_View'!Q501&lt;&gt;"","PM Approved",IF('12 - Device_Configuration'!BH502&lt;&gt;"","Assumed",""))</f>
        <v/>
      </c>
      <c r="K501" s="23">
        <f>'12 - Device_Configuration'!BG502</f>
        <v>0</v>
      </c>
      <c r="L501" s="15">
        <f>'12 - Device_Configuration'!P502</f>
        <v>0</v>
      </c>
      <c r="M501" s="15">
        <f>'12 - Device_Configuration'!Q502</f>
        <v>0</v>
      </c>
      <c r="N501" s="15" t="str">
        <f>'12 - Device_Configuration'!BK502</f>
        <v/>
      </c>
      <c r="O501" s="23" t="str">
        <f>'12 - Device_Configuration'!BL502</f>
        <v/>
      </c>
      <c r="P501" s="2">
        <f>'12 - Device_Configuration'!BA502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'12 - Device_Configuration'!H503</f>
        <v>0</v>
      </c>
      <c r="B502" s="23">
        <f>'12 - Device_Configuration'!S503</f>
        <v>0</v>
      </c>
      <c r="C502" s="23">
        <f>'12 - Device_Configuration'!T503</f>
        <v>0</v>
      </c>
      <c r="D502" s="15">
        <f>'12 - Device_Configuration'!AJ503</f>
        <v>0</v>
      </c>
      <c r="E502" s="15">
        <f>'12 - Device_Configuration'!J503</f>
        <v>0</v>
      </c>
      <c r="F502" s="23">
        <f>'12 - Device_Configuration'!K503</f>
        <v>0</v>
      </c>
      <c r="G502" s="15">
        <f>'12 - Device_Configuration'!L503</f>
        <v>0</v>
      </c>
      <c r="H502" s="15">
        <f>'13 - Config_Intake_View'!M502</f>
        <v>0</v>
      </c>
      <c r="I502" s="23">
        <f>IF('13 - Config_Intake_View'!Q502&lt;&gt;"",'13 - Config_Intake_View'!Q502,'12 - Device_Configuration'!BH503)</f>
        <v>0</v>
      </c>
      <c r="J502" s="15" t="str">
        <f>IF('13 - Config_Intake_View'!Q502&lt;&gt;"","PM Approved",IF('12 - Device_Configuration'!BH503&lt;&gt;"","Assumed",""))</f>
        <v/>
      </c>
      <c r="K502" s="23">
        <f>'12 - Device_Configuration'!BG503</f>
        <v>0</v>
      </c>
      <c r="L502" s="15">
        <f>'12 - Device_Configuration'!P503</f>
        <v>0</v>
      </c>
      <c r="M502" s="15">
        <f>'12 - Device_Configuration'!Q503</f>
        <v>0</v>
      </c>
      <c r="N502" s="15" t="str">
        <f>'12 - Device_Configuration'!BK503</f>
        <v/>
      </c>
      <c r="O502" s="23" t="str">
        <f>'12 - Device_Configuration'!BL503</f>
        <v/>
      </c>
      <c r="P502" s="2">
        <f>'12 - Device_Configuration'!BA503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'12 - Device_Configuration'!H504</f>
        <v>0</v>
      </c>
      <c r="B503" s="23">
        <f>'12 - Device_Configuration'!S504</f>
        <v>0</v>
      </c>
      <c r="C503" s="23">
        <f>'12 - Device_Configuration'!T504</f>
        <v>0</v>
      </c>
      <c r="D503" s="15">
        <f>'12 - Device_Configuration'!AJ504</f>
        <v>0</v>
      </c>
      <c r="E503" s="15">
        <f>'12 - Device_Configuration'!J504</f>
        <v>0</v>
      </c>
      <c r="F503" s="23">
        <f>'12 - Device_Configuration'!K504</f>
        <v>0</v>
      </c>
      <c r="G503" s="15">
        <f>'12 - Device_Configuration'!L504</f>
        <v>0</v>
      </c>
      <c r="H503" s="15">
        <f>'13 - Config_Intake_View'!M503</f>
        <v>0</v>
      </c>
      <c r="I503" s="23">
        <f>IF('13 - Config_Intake_View'!Q503&lt;&gt;"",'13 - Config_Intake_View'!Q503,'12 - Device_Configuration'!BH504)</f>
        <v>0</v>
      </c>
      <c r="J503" s="15" t="str">
        <f>IF('13 - Config_Intake_View'!Q503&lt;&gt;"","PM Approved",IF('12 - Device_Configuration'!BH504&lt;&gt;"","Assumed",""))</f>
        <v/>
      </c>
      <c r="K503" s="23">
        <f>'12 - Device_Configuration'!BG504</f>
        <v>0</v>
      </c>
      <c r="L503" s="15">
        <f>'12 - Device_Configuration'!P504</f>
        <v>0</v>
      </c>
      <c r="M503" s="15">
        <f>'12 - Device_Configuration'!Q504</f>
        <v>0</v>
      </c>
      <c r="N503" s="15" t="str">
        <f>'12 - Device_Configuration'!BK504</f>
        <v/>
      </c>
      <c r="O503" s="23" t="str">
        <f>'12 - Device_Configuration'!BL504</f>
        <v/>
      </c>
      <c r="P503" s="2">
        <f>'12 - Device_Configuration'!BA504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1452</v>
      </c>
      <c r="B1" s="50" t="s">
        <v>1453</v>
      </c>
      <c r="C1" s="50" t="s">
        <v>1454</v>
      </c>
      <c r="D1" s="50" t="s">
        <v>1</v>
      </c>
      <c r="E1" s="50" t="s">
        <v>1455</v>
      </c>
      <c r="F1" s="50" t="s">
        <v>1456</v>
      </c>
      <c r="G1" s="50" t="s">
        <v>1457</v>
      </c>
      <c r="H1" s="50" t="s">
        <v>1426</v>
      </c>
      <c r="I1" s="50" t="s">
        <v>1458</v>
      </c>
      <c r="J1" s="50" t="s">
        <v>1459</v>
      </c>
      <c r="K1" s="50" t="s">
        <v>189</v>
      </c>
    </row>
    <row r="2" spans="1:11" ht="30">
      <c r="A2" s="3"/>
      <c r="B2" s="4" t="s">
        <v>1460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1461</v>
      </c>
      <c r="C3" s="4" t="s">
        <v>1462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1463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1464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1465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1466</v>
      </c>
      <c r="C7" s="4" t="s">
        <v>1467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1468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1469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1470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1471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1472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1473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1474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1475</v>
      </c>
      <c r="B15" s="4" t="s">
        <v>1476</v>
      </c>
      <c r="C15" s="4" t="s">
        <v>1477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1478</v>
      </c>
    </row>
    <row r="3" spans="1:6">
      <c r="A3" s="10" t="s">
        <v>1479</v>
      </c>
    </row>
    <row r="4" spans="1:6" ht="30" customHeight="1">
      <c r="A4" s="50" t="s">
        <v>1458</v>
      </c>
      <c r="B4" s="50" t="s">
        <v>1480</v>
      </c>
      <c r="C4" s="50" t="s">
        <v>1481</v>
      </c>
      <c r="D4" s="50" t="s">
        <v>1482</v>
      </c>
      <c r="E4" s="50" t="s">
        <v>1341</v>
      </c>
      <c r="F4" s="50" t="s">
        <v>1483</v>
      </c>
    </row>
    <row r="5" spans="1:6">
      <c r="A5" s="7" t="s">
        <v>1484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1485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1486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1487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1488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1489</v>
      </c>
    </row>
    <row r="14" spans="1:6">
      <c r="A14" s="50" t="s">
        <v>1490</v>
      </c>
      <c r="B14" s="50" t="s">
        <v>1292</v>
      </c>
    </row>
    <row r="15" spans="1:6">
      <c r="A15" s="7" t="s">
        <v>1491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1492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1493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1494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1495</v>
      </c>
      <c r="B19" s="8">
        <f t="array" ref="B19">SUMPRODUCT(('12 - Device_Configuration'!$T$2:$X$527&lt;&gt;"")*('12 - Device_Configuration'!$BI$2:$BM$527&lt;&gt;"Yes")*('12 - Device_Configuration'!$BI$2:$BM$527&lt;&gt;"N/A"))</f>
        <v>180</v>
      </c>
    </row>
    <row r="20" spans="1:2">
      <c r="A20" s="7" t="s">
        <v>1496</v>
      </c>
      <c r="B20" s="8">
        <f t="array" ref="B20">SUMPRODUCT(('12 - Device_Configuration'!$T$2:$X$527&lt;&gt;"")*('12 - Device_Configuration'!$BJ$2:$BN$527&lt;&gt;"Yes")*('12 - Device_Configuration'!$BJ$2:$BN$527&lt;&gt;"N/A"))</f>
        <v>214</v>
      </c>
    </row>
    <row r="21" spans="1:2">
      <c r="A21" s="7" t="s">
        <v>1497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1498</v>
      </c>
    </row>
    <row r="3" spans="1:7" ht="30" customHeight="1">
      <c r="A3" s="50" t="s">
        <v>1453</v>
      </c>
      <c r="B3" s="50" t="s">
        <v>1499</v>
      </c>
      <c r="C3" s="50" t="s">
        <v>1500</v>
      </c>
      <c r="D3" s="50" t="s">
        <v>1501</v>
      </c>
      <c r="E3" s="50" t="s">
        <v>1502</v>
      </c>
      <c r="F3" s="50" t="s">
        <v>1503</v>
      </c>
      <c r="G3" s="50" t="s">
        <v>189</v>
      </c>
    </row>
    <row r="4" spans="1:7" ht="150">
      <c r="A4" s="8" t="s">
        <v>1331</v>
      </c>
      <c r="B4" s="4" t="s">
        <v>1504</v>
      </c>
      <c r="C4" s="8" t="s">
        <v>1331</v>
      </c>
      <c r="D4" s="8" t="s">
        <v>1505</v>
      </c>
      <c r="E4" s="8"/>
      <c r="F4" s="12"/>
      <c r="G4" s="4"/>
    </row>
    <row r="5" spans="1:7" ht="30" customHeight="1">
      <c r="A5" s="8" t="s">
        <v>1331</v>
      </c>
      <c r="B5" s="4" t="s">
        <v>1506</v>
      </c>
      <c r="C5" s="8" t="s">
        <v>1331</v>
      </c>
      <c r="D5" s="8" t="s">
        <v>1505</v>
      </c>
      <c r="E5" s="8"/>
      <c r="F5" s="12"/>
      <c r="G5" s="4"/>
    </row>
    <row r="6" spans="1:7" ht="30" customHeight="1">
      <c r="A6" s="8" t="s">
        <v>1331</v>
      </c>
      <c r="B6" s="4" t="s">
        <v>1507</v>
      </c>
      <c r="C6" s="8" t="s">
        <v>1331</v>
      </c>
      <c r="D6" s="8" t="s">
        <v>1505</v>
      </c>
      <c r="E6" s="8"/>
      <c r="F6" s="12"/>
      <c r="G6" s="4"/>
    </row>
    <row r="7" spans="1:7" ht="30" customHeight="1">
      <c r="A7" s="8" t="s">
        <v>1331</v>
      </c>
      <c r="B7" s="4" t="s">
        <v>1508</v>
      </c>
      <c r="C7" s="8" t="s">
        <v>1331</v>
      </c>
      <c r="D7" s="8" t="s">
        <v>1505</v>
      </c>
      <c r="E7" s="8"/>
      <c r="F7" s="12"/>
      <c r="G7" s="4"/>
    </row>
    <row r="8" spans="1:7" ht="150">
      <c r="A8" s="8" t="s">
        <v>1331</v>
      </c>
      <c r="B8" s="4" t="s">
        <v>1509</v>
      </c>
      <c r="C8" s="8" t="s">
        <v>1331</v>
      </c>
      <c r="D8" s="8" t="s">
        <v>1505</v>
      </c>
      <c r="E8" s="8"/>
      <c r="F8" s="12"/>
      <c r="G8" s="4"/>
    </row>
    <row r="9" spans="1:7" ht="30" customHeight="1">
      <c r="A9" s="8" t="s">
        <v>1331</v>
      </c>
      <c r="B9" s="4" t="s">
        <v>1510</v>
      </c>
      <c r="C9" s="8" t="s">
        <v>1331</v>
      </c>
      <c r="D9" s="8" t="s">
        <v>1505</v>
      </c>
      <c r="E9" s="8"/>
      <c r="F9" s="12"/>
      <c r="G9" s="4"/>
    </row>
    <row r="10" spans="1:7" ht="45" customHeight="1">
      <c r="A10" s="8" t="s">
        <v>1511</v>
      </c>
      <c r="B10" s="4" t="s">
        <v>1512</v>
      </c>
      <c r="C10" s="8" t="s">
        <v>1331</v>
      </c>
      <c r="D10" s="8" t="s">
        <v>1505</v>
      </c>
      <c r="E10" s="8"/>
      <c r="F10" s="12"/>
      <c r="G10" s="4"/>
    </row>
    <row r="11" spans="1:7" ht="30" customHeight="1">
      <c r="A11" s="8" t="s">
        <v>1513</v>
      </c>
      <c r="B11" s="4" t="s">
        <v>1514</v>
      </c>
      <c r="C11" s="8" t="s">
        <v>1515</v>
      </c>
      <c r="D11" s="8" t="s">
        <v>1505</v>
      </c>
      <c r="E11" s="8"/>
      <c r="F11" s="12"/>
      <c r="G11" s="4"/>
    </row>
    <row r="12" spans="1:7" ht="30" customHeight="1">
      <c r="A12" s="8" t="s">
        <v>1516</v>
      </c>
      <c r="B12" s="4" t="s">
        <v>1517</v>
      </c>
      <c r="C12" s="8" t="s">
        <v>1331</v>
      </c>
      <c r="D12" s="8" t="s">
        <v>1505</v>
      </c>
      <c r="E12" s="8"/>
      <c r="F12" s="12"/>
      <c r="G12" s="4"/>
    </row>
    <row r="13" spans="1:7" ht="30" customHeight="1">
      <c r="A13" s="8" t="s">
        <v>1518</v>
      </c>
      <c r="B13" s="4" t="s">
        <v>1519</v>
      </c>
      <c r="C13" s="8" t="s">
        <v>1331</v>
      </c>
      <c r="D13" s="8" t="s">
        <v>1505</v>
      </c>
      <c r="E13" s="8"/>
      <c r="F13" s="12"/>
      <c r="G13" s="4"/>
    </row>
    <row r="14" spans="1:7" ht="30" customHeight="1">
      <c r="A14" s="8" t="s">
        <v>1520</v>
      </c>
      <c r="B14" s="4" t="s">
        <v>1521</v>
      </c>
      <c r="C14" s="8" t="s">
        <v>1522</v>
      </c>
      <c r="D14" s="8" t="s">
        <v>1505</v>
      </c>
      <c r="E14" s="8"/>
      <c r="F14" s="12"/>
      <c r="G14" s="4"/>
    </row>
    <row r="15" spans="1:7" ht="30" customHeight="1">
      <c r="A15" s="8" t="s">
        <v>1520</v>
      </c>
      <c r="B15" s="4" t="s">
        <v>1523</v>
      </c>
      <c r="C15" s="8" t="s">
        <v>1331</v>
      </c>
      <c r="D15" s="8" t="s">
        <v>1505</v>
      </c>
      <c r="E15" s="8"/>
      <c r="F15" s="12"/>
      <c r="G15" s="4"/>
    </row>
    <row r="16" spans="1:7" ht="30" customHeight="1">
      <c r="A16" s="8" t="s">
        <v>1520</v>
      </c>
      <c r="B16" s="4" t="s">
        <v>1524</v>
      </c>
      <c r="C16" s="8" t="s">
        <v>1415</v>
      </c>
      <c r="D16" s="8" t="s">
        <v>1505</v>
      </c>
      <c r="E16" s="8"/>
      <c r="F16" s="12"/>
      <c r="G16" s="4"/>
    </row>
    <row r="17" spans="1:7" ht="30" customHeight="1">
      <c r="A17" s="8" t="s">
        <v>1520</v>
      </c>
      <c r="B17" s="4" t="s">
        <v>1525</v>
      </c>
      <c r="C17" s="8" t="s">
        <v>1415</v>
      </c>
      <c r="D17" s="8" t="s">
        <v>1505</v>
      </c>
      <c r="E17" s="8"/>
      <c r="F17" s="12"/>
      <c r="G17" s="4"/>
    </row>
    <row r="18" spans="1:7" ht="150">
      <c r="A18" s="8" t="s">
        <v>1520</v>
      </c>
      <c r="B18" s="4" t="s">
        <v>1526</v>
      </c>
      <c r="C18" s="8" t="s">
        <v>1415</v>
      </c>
      <c r="D18" s="8" t="s">
        <v>1505</v>
      </c>
      <c r="E18" s="8"/>
      <c r="F18" s="12"/>
      <c r="G18" s="4"/>
    </row>
    <row r="19" spans="1:7" ht="30" customHeight="1">
      <c r="A19" s="8" t="s">
        <v>1527</v>
      </c>
      <c r="B19" s="4" t="s">
        <v>1528</v>
      </c>
      <c r="C19" s="8" t="s">
        <v>1415</v>
      </c>
      <c r="D19" s="8" t="s">
        <v>1505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1529</v>
      </c>
    </row>
    <row r="3" spans="1:8" ht="30" customHeight="1">
      <c r="A3" s="50" t="s">
        <v>1426</v>
      </c>
      <c r="B3" s="50" t="s">
        <v>1530</v>
      </c>
      <c r="C3" s="50" t="s">
        <v>1531</v>
      </c>
      <c r="D3" s="50" t="s">
        <v>1532</v>
      </c>
      <c r="E3" s="50" t="s">
        <v>1533</v>
      </c>
      <c r="F3" s="50" t="s">
        <v>1534</v>
      </c>
      <c r="G3" s="50" t="s">
        <v>34</v>
      </c>
      <c r="H3" s="50" t="s">
        <v>189</v>
      </c>
    </row>
    <row r="4" spans="1:8" ht="75">
      <c r="A4" s="8" t="s">
        <v>1434</v>
      </c>
      <c r="B4" s="8" t="s">
        <v>1535</v>
      </c>
      <c r="C4" s="8" t="s">
        <v>1535</v>
      </c>
      <c r="D4" s="8" t="s">
        <v>1535</v>
      </c>
      <c r="E4" s="8" t="s">
        <v>1535</v>
      </c>
      <c r="F4" s="8" t="s">
        <v>1535</v>
      </c>
      <c r="G4" s="8" t="s">
        <v>1535</v>
      </c>
      <c r="H4" s="4"/>
    </row>
    <row r="5" spans="1:8" ht="75">
      <c r="A5" s="8" t="s">
        <v>1435</v>
      </c>
      <c r="B5" s="8" t="s">
        <v>1535</v>
      </c>
      <c r="C5" s="8" t="s">
        <v>1535</v>
      </c>
      <c r="D5" s="8" t="s">
        <v>1535</v>
      </c>
      <c r="E5" s="8" t="s">
        <v>1535</v>
      </c>
      <c r="F5" s="8" t="s">
        <v>1535</v>
      </c>
      <c r="G5" s="8" t="s">
        <v>1535</v>
      </c>
      <c r="H5" s="4"/>
    </row>
    <row r="6" spans="1:8" ht="75">
      <c r="A6" s="8" t="s">
        <v>1436</v>
      </c>
      <c r="B6" s="8" t="s">
        <v>1535</v>
      </c>
      <c r="C6" s="8" t="s">
        <v>1535</v>
      </c>
      <c r="D6" s="8" t="s">
        <v>1535</v>
      </c>
      <c r="E6" s="8" t="s">
        <v>1535</v>
      </c>
      <c r="F6" s="8" t="s">
        <v>1535</v>
      </c>
      <c r="G6" s="8" t="s">
        <v>1535</v>
      </c>
      <c r="H6" s="4"/>
    </row>
    <row r="7" spans="1:8" ht="75">
      <c r="A7" s="8" t="s">
        <v>1437</v>
      </c>
      <c r="B7" s="8" t="s">
        <v>1535</v>
      </c>
      <c r="C7" s="8" t="s">
        <v>1535</v>
      </c>
      <c r="D7" s="8" t="s">
        <v>1535</v>
      </c>
      <c r="E7" s="8" t="s">
        <v>1535</v>
      </c>
      <c r="F7" s="8" t="s">
        <v>1535</v>
      </c>
      <c r="G7" s="8" t="s">
        <v>1535</v>
      </c>
      <c r="H7" s="4"/>
    </row>
    <row r="8" spans="1:8" ht="75">
      <c r="A8" s="8" t="s">
        <v>1438</v>
      </c>
      <c r="B8" s="8" t="s">
        <v>1535</v>
      </c>
      <c r="C8" s="8" t="s">
        <v>1535</v>
      </c>
      <c r="D8" s="8" t="s">
        <v>1535</v>
      </c>
      <c r="E8" s="8" t="s">
        <v>1535</v>
      </c>
      <c r="F8" s="8" t="s">
        <v>1535</v>
      </c>
      <c r="G8" s="8" t="s">
        <v>1535</v>
      </c>
      <c r="H8" s="4"/>
    </row>
    <row r="9" spans="1:8" ht="75">
      <c r="A9" s="8" t="s">
        <v>1439</v>
      </c>
      <c r="B9" s="8" t="s">
        <v>1535</v>
      </c>
      <c r="C9" s="8" t="s">
        <v>1535</v>
      </c>
      <c r="D9" s="8" t="s">
        <v>1535</v>
      </c>
      <c r="E9" s="8" t="s">
        <v>1535</v>
      </c>
      <c r="F9" s="8" t="s">
        <v>1535</v>
      </c>
      <c r="G9" s="8" t="s">
        <v>1535</v>
      </c>
      <c r="H9" s="4"/>
    </row>
    <row r="10" spans="1:8" ht="75">
      <c r="A10" s="8" t="s">
        <v>1440</v>
      </c>
      <c r="B10" s="8" t="s">
        <v>1535</v>
      </c>
      <c r="C10" s="8" t="s">
        <v>1535</v>
      </c>
      <c r="D10" s="8" t="s">
        <v>1535</v>
      </c>
      <c r="E10" s="8" t="s">
        <v>1535</v>
      </c>
      <c r="F10" s="8" t="s">
        <v>1535</v>
      </c>
      <c r="G10" s="8" t="s">
        <v>1535</v>
      </c>
      <c r="H10" s="4"/>
    </row>
    <row r="11" spans="1:8" ht="75">
      <c r="A11" s="8" t="s">
        <v>1441</v>
      </c>
      <c r="B11" s="8" t="s">
        <v>1535</v>
      </c>
      <c r="C11" s="8" t="s">
        <v>1535</v>
      </c>
      <c r="D11" s="8" t="s">
        <v>1535</v>
      </c>
      <c r="E11" s="8" t="s">
        <v>1535</v>
      </c>
      <c r="F11" s="8" t="s">
        <v>1535</v>
      </c>
      <c r="G11" s="8" t="s">
        <v>1535</v>
      </c>
      <c r="H11" s="4"/>
    </row>
    <row r="12" spans="1:8" ht="75">
      <c r="A12" s="8" t="s">
        <v>1442</v>
      </c>
      <c r="B12" s="8" t="s">
        <v>1535</v>
      </c>
      <c r="C12" s="8" t="s">
        <v>1535</v>
      </c>
      <c r="D12" s="8" t="s">
        <v>1535</v>
      </c>
      <c r="E12" s="8" t="s">
        <v>1535</v>
      </c>
      <c r="F12" s="8" t="s">
        <v>1535</v>
      </c>
      <c r="G12" s="8" t="s">
        <v>1535</v>
      </c>
      <c r="H12" s="4"/>
    </row>
    <row r="13" spans="1:8" ht="75">
      <c r="A13" s="8" t="s">
        <v>1443</v>
      </c>
      <c r="B13" s="8" t="s">
        <v>1535</v>
      </c>
      <c r="C13" s="8" t="s">
        <v>1535</v>
      </c>
      <c r="D13" s="8" t="s">
        <v>1535</v>
      </c>
      <c r="E13" s="8" t="s">
        <v>1535</v>
      </c>
      <c r="F13" s="8" t="s">
        <v>1535</v>
      </c>
      <c r="G13" s="8" t="s">
        <v>1535</v>
      </c>
      <c r="H13" s="4"/>
    </row>
    <row r="14" spans="1:8" ht="75">
      <c r="A14" s="8" t="s">
        <v>1444</v>
      </c>
      <c r="B14" s="8" t="s">
        <v>1535</v>
      </c>
      <c r="C14" s="8" t="s">
        <v>1535</v>
      </c>
      <c r="D14" s="8" t="s">
        <v>1535</v>
      </c>
      <c r="E14" s="8" t="s">
        <v>1535</v>
      </c>
      <c r="F14" s="8" t="s">
        <v>1535</v>
      </c>
      <c r="G14" s="8" t="s">
        <v>1535</v>
      </c>
      <c r="H14" s="4"/>
    </row>
    <row r="15" spans="1:8" ht="75">
      <c r="A15" s="8" t="s">
        <v>1445</v>
      </c>
      <c r="B15" s="8" t="s">
        <v>1535</v>
      </c>
      <c r="C15" s="8" t="s">
        <v>1535</v>
      </c>
      <c r="D15" s="8" t="s">
        <v>1535</v>
      </c>
      <c r="E15" s="8" t="s">
        <v>1535</v>
      </c>
      <c r="F15" s="8" t="s">
        <v>1535</v>
      </c>
      <c r="G15" s="8" t="s">
        <v>1535</v>
      </c>
      <c r="H15" s="4"/>
    </row>
    <row r="16" spans="1:8" ht="75">
      <c r="A16" s="8" t="s">
        <v>1446</v>
      </c>
      <c r="B16" s="8" t="s">
        <v>1535</v>
      </c>
      <c r="C16" s="8" t="s">
        <v>1535</v>
      </c>
      <c r="D16" s="8" t="s">
        <v>1535</v>
      </c>
      <c r="E16" s="8" t="s">
        <v>1535</v>
      </c>
      <c r="F16" s="8" t="s">
        <v>1535</v>
      </c>
      <c r="G16" s="8" t="s">
        <v>1535</v>
      </c>
      <c r="H16" s="4"/>
    </row>
    <row r="17" spans="1:8" ht="75">
      <c r="A17" s="8" t="s">
        <v>1447</v>
      </c>
      <c r="B17" s="8" t="s">
        <v>1535</v>
      </c>
      <c r="C17" s="8" t="s">
        <v>1535</v>
      </c>
      <c r="D17" s="8" t="s">
        <v>1535</v>
      </c>
      <c r="E17" s="8" t="s">
        <v>1535</v>
      </c>
      <c r="F17" s="8" t="s">
        <v>1535</v>
      </c>
      <c r="G17" s="8" t="s">
        <v>1535</v>
      </c>
      <c r="H17" s="4"/>
    </row>
    <row r="18" spans="1:8" ht="75">
      <c r="A18" s="8" t="s">
        <v>1448</v>
      </c>
      <c r="B18" s="8" t="s">
        <v>1535</v>
      </c>
      <c r="C18" s="8" t="s">
        <v>1535</v>
      </c>
      <c r="D18" s="8" t="s">
        <v>1535</v>
      </c>
      <c r="E18" s="8" t="s">
        <v>1535</v>
      </c>
      <c r="F18" s="8" t="s">
        <v>1535</v>
      </c>
      <c r="G18" s="8" t="s">
        <v>1535</v>
      </c>
      <c r="H18" s="4"/>
    </row>
    <row r="19" spans="1:8" ht="75">
      <c r="A19" s="8" t="s">
        <v>1449</v>
      </c>
      <c r="B19" s="8" t="s">
        <v>1535</v>
      </c>
      <c r="C19" s="8" t="s">
        <v>1535</v>
      </c>
      <c r="D19" s="8" t="s">
        <v>1535</v>
      </c>
      <c r="E19" s="8" t="s">
        <v>1535</v>
      </c>
      <c r="F19" s="8" t="s">
        <v>1535</v>
      </c>
      <c r="G19" s="8" t="s">
        <v>1535</v>
      </c>
      <c r="H19" s="4"/>
    </row>
    <row r="20" spans="1:8" ht="75">
      <c r="A20" s="8" t="s">
        <v>1450</v>
      </c>
      <c r="B20" s="8" t="s">
        <v>1535</v>
      </c>
      <c r="C20" s="8" t="s">
        <v>1535</v>
      </c>
      <c r="D20" s="8" t="s">
        <v>1535</v>
      </c>
      <c r="E20" s="8" t="s">
        <v>1535</v>
      </c>
      <c r="F20" s="8" t="s">
        <v>1535</v>
      </c>
      <c r="G20" s="8" t="s">
        <v>1535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1536</v>
      </c>
    </row>
    <row r="3" spans="1:5" ht="90">
      <c r="A3" s="50" t="s">
        <v>18</v>
      </c>
      <c r="B3" s="50" t="s">
        <v>1537</v>
      </c>
      <c r="C3" s="50" t="s">
        <v>1538</v>
      </c>
      <c r="D3" s="50" t="s">
        <v>1539</v>
      </c>
      <c r="E3" s="50" t="s">
        <v>1540</v>
      </c>
    </row>
    <row r="4" spans="1:5" ht="60" customHeight="1">
      <c r="A4" s="4">
        <f>374</f>
        <v>374</v>
      </c>
      <c r="B4" s="4" t="s">
        <v>1541</v>
      </c>
      <c r="C4" s="4"/>
      <c r="D4" s="4"/>
      <c r="E4" s="4"/>
    </row>
    <row r="5" spans="1:5" ht="60" customHeight="1">
      <c r="A5" s="4">
        <f>4/4</f>
        <v>1</v>
      </c>
      <c r="B5" s="4" t="s">
        <v>1542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1543</v>
      </c>
      <c r="C6" s="4"/>
      <c r="D6" s="4"/>
      <c r="E6" s="4"/>
    </row>
    <row r="7" spans="1:5" ht="30" customHeight="1">
      <c r="A7" s="4">
        <f>D22/38</f>
        <v>0</v>
      </c>
      <c r="B7" s="4" t="s">
        <v>1544</v>
      </c>
      <c r="C7" s="4"/>
      <c r="D7" s="4"/>
      <c r="E7" s="4"/>
    </row>
    <row r="8" spans="1:5" ht="30" customHeight="1">
      <c r="A8" s="4">
        <f>D23/38</f>
        <v>0</v>
      </c>
      <c r="B8" s="4" t="s">
        <v>1545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1546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1547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1548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1549</v>
      </c>
      <c r="C12" s="4"/>
      <c r="D12" s="4"/>
      <c r="E12" s="4"/>
    </row>
    <row r="13" spans="1:5" ht="30" customHeight="1">
      <c r="A13" s="4">
        <f>389/389</f>
        <v>1</v>
      </c>
      <c r="B13" s="4" t="s">
        <v>1550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1551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1552</v>
      </c>
      <c r="C15" s="4"/>
      <c r="D15" s="4"/>
      <c r="E15" s="4"/>
    </row>
    <row r="16" spans="1:5" ht="60" customHeight="1">
      <c r="A16" s="4">
        <f>COUNTA(#REF!)</f>
        <v>1</v>
      </c>
      <c r="B16" s="4" t="s">
        <v>1553</v>
      </c>
      <c r="C16" s="4"/>
      <c r="D16" s="4"/>
      <c r="E16" s="4"/>
    </row>
    <row r="17" spans="1:5" ht="30" customHeight="1">
      <c r="A17" s="4">
        <f>SUM(AY3:AY10)</f>
        <v>0</v>
      </c>
      <c r="B17" s="4" t="s">
        <v>1554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1555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1556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1557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1558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1559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1560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1561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1562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1563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1564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1565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1566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1567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1568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1569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1570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1571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1572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1573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1574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1575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1576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1577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1578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1579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1580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1581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1582</v>
      </c>
      <c r="C45" s="4"/>
      <c r="D45" s="4"/>
      <c r="E45" s="4"/>
    </row>
    <row r="46" spans="1:5" ht="30.75" customHeight="1">
      <c r="A46" s="4" t="e">
        <v>#VALUE!</v>
      </c>
      <c r="B46" s="4" t="s">
        <v>1583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1584</v>
      </c>
      <c r="C47" s="4"/>
      <c r="D47" s="4"/>
      <c r="E47" s="4"/>
    </row>
    <row r="48" spans="1:5" ht="30.75" customHeight="1">
      <c r="A48" s="4" t="e">
        <v>#VALUE!</v>
      </c>
      <c r="B48" s="4" t="s">
        <v>1585</v>
      </c>
      <c r="C48" s="4"/>
      <c r="D48" s="4"/>
      <c r="E48" s="4"/>
    </row>
    <row r="49" spans="1:5" ht="30.75" customHeight="1">
      <c r="A49" s="4" t="e">
        <v>#VALUE!</v>
      </c>
      <c r="B49" s="4" t="s">
        <v>1586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1587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1588</v>
      </c>
      <c r="C51" s="4"/>
      <c r="D51" s="4"/>
      <c r="E51" s="4"/>
    </row>
    <row r="52" spans="1:5" ht="30.75" customHeight="1">
      <c r="A52" s="4" t="e">
        <v>#VALUE!</v>
      </c>
      <c r="B52" s="4" t="s">
        <v>1589</v>
      </c>
      <c r="C52" s="4"/>
      <c r="D52" s="4"/>
      <c r="E52" s="4"/>
    </row>
    <row r="53" spans="1:5" ht="30.75" customHeight="1">
      <c r="A53" s="4" t="e">
        <v>#VALUE!</v>
      </c>
      <c r="B53" s="4" t="s">
        <v>1590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1591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1592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1593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1594</v>
      </c>
      <c r="C57" s="4"/>
      <c r="D57" s="4"/>
      <c r="E57" s="4"/>
    </row>
    <row r="58" spans="1:5" ht="30" customHeight="1">
      <c r="A58" s="4"/>
      <c r="B58" s="4" t="s">
        <v>1595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1596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1597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1598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1599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1600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1601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1602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1603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1604</v>
      </c>
    </row>
    <row r="3" spans="1:7">
      <c r="A3" t="s">
        <v>1605</v>
      </c>
      <c r="C3" t="s">
        <v>1606</v>
      </c>
      <c r="E3" t="s">
        <v>1607</v>
      </c>
      <c r="G3" t="s">
        <v>1608</v>
      </c>
    </row>
    <row r="4" spans="1:7" ht="195" customHeight="1">
      <c r="A4" s="2" t="s">
        <v>1609</v>
      </c>
      <c r="C4" s="2" t="s">
        <v>1610</v>
      </c>
      <c r="E4" s="2" t="s">
        <v>1611</v>
      </c>
      <c r="G4" s="2" t="s">
        <v>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i:0#.f|membership|rperez26@northwell.edu</cp:lastModifiedBy>
  <cp:revision/>
  <dcterms:created xsi:type="dcterms:W3CDTF">2025-12-30T18:30:35Z</dcterms:created>
  <dcterms:modified xsi:type="dcterms:W3CDTF">2026-02-26T22:22:53Z</dcterms:modified>
  <cp:category/>
  <cp:contentStatus/>
</cp:coreProperties>
</file>