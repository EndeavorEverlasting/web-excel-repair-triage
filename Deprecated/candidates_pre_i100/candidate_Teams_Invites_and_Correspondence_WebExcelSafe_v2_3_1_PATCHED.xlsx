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PM Showcase" sheetId="1" state="visible" r:id="rId1"/>
    <sheet xmlns:r="http://schemas.openxmlformats.org/officeDocument/2006/relationships" name="System Notes" sheetId="2" state="visible" r:id="rId2"/>
    <sheet xmlns:r="http://schemas.openxmlformats.org/officeDocument/2006/relationships" name="Invite Builder" sheetId="3" state="visible" r:id="rId3"/>
    <sheet xmlns:r="http://schemas.openxmlformats.org/officeDocument/2006/relationships" name="Correspondence Ledger" sheetId="4" state="visible" r:id="rId4"/>
    <sheet xmlns:r="http://schemas.openxmlformats.org/officeDocument/2006/relationships" name="unwired teams invite tab" sheetId="5" state="visible" r:id="rId5"/>
    <sheet xmlns:r="http://schemas.openxmlformats.org/officeDocument/2006/relationships" name="IP-2026-01-12" sheetId="6" state="visible" r:id="rId6"/>
    <sheet xmlns:r="http://schemas.openxmlformats.org/officeDocument/2006/relationships" name="Khadejah 1-8-2026" sheetId="7" state="visible" r:id="rId7"/>
    <sheet xmlns:r="http://schemas.openxmlformats.org/officeDocument/2006/relationships" name="Alejandro 1-8-2026" sheetId="8" state="visible" r:id="rId8"/>
    <sheet xmlns:r="http://schemas.openxmlformats.org/officeDocument/2006/relationships" name="Julio 1-8-2026" sheetId="9" state="visible" r:id="rId9"/>
    <sheet xmlns:r="http://schemas.openxmlformats.org/officeDocument/2006/relationships" name="Picklists" sheetId="10" state="visible" r:id="rId10"/>
    <sheet xmlns:r="http://schemas.openxmlformats.org/officeDocument/2006/relationships" name="Drop-ins" sheetId="11" state="visible" r:id="rId11"/>
  </sheets>
  <definedNames>
    <definedName name="ReminderMinutesList">Picklists!$C$2:$C$20</definedName>
    <definedName name="ShowAsList">Picklists!$A$2:$A$20</definedName>
    <definedName name="StatusList">Picklists!$B$2:$B$20</definedName>
    <definedName name="TimeZoneList">Picklists!$D$2:$D$20</definedName>
    <definedName name="_xlnm._FilterDatabase" localSheetId="0" hidden="1">'PM Showcase'!$A$4:$I$204</definedName>
  </definedNames>
  <calcPr calcId="191028" fullCalcOnLoad="1" refMode="R1C1" iterateCount="0" calcCompleted="0" calcOnSave="0" concurrentCalc="0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yyyy\-mm\-dd\ h:mm:ss"/>
    <numFmt numFmtId="166" formatCode="ddd\,\ mm/dd/yyyy"/>
    <numFmt numFmtId="167" formatCode="m/d/yyyy;@"/>
    <numFmt numFmtId="168" formatCode="[$-409]h:mm\ AM/PM;@"/>
    <numFmt numFmtId="169" formatCode="[$-F800]dddd\,\ mmmm\ dd\,\ yyyy"/>
  </numFmts>
  <fonts count="10">
    <font>
      <name val="Calibri"/>
      <color rgb="FF000000"/>
      <sz val="10"/>
      <scheme val="minor"/>
    </font>
    <font>
      <name val="Calibri"/>
      <color theme="1"/>
      <sz val="10"/>
      <scheme val="minor"/>
    </font>
    <font>
      <name val="Arial"/>
      <b val="1"/>
      <color rgb="FFFFFFFF"/>
      <sz val="10"/>
    </font>
    <font>
      <name val="Arial"/>
      <b val="1"/>
      <color rgb="FFFFFFFF"/>
      <sz val="14"/>
    </font>
    <font>
      <name val="Arial"/>
      <i val="1"/>
      <color rgb="FF374151"/>
      <sz val="10"/>
    </font>
    <font>
      <name val="Arial"/>
      <color rgb="FF111827"/>
      <sz val="10"/>
    </font>
    <font>
      <name val="Arial"/>
      <b val="1"/>
      <color rgb="FF111827"/>
      <sz val="11"/>
    </font>
    <font>
      <name val="Calibri"/>
      <color rgb="FF000000"/>
      <sz val="10"/>
      <scheme val="minor"/>
    </font>
    <font>
      <name val="Calibri"/>
      <b val="1"/>
      <color rgb="FF000000"/>
      <sz val="10"/>
      <scheme val="minor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0EA5E9"/>
      </patternFill>
    </fill>
    <fill>
      <patternFill patternType="solid">
        <fgColor rgb="FFF3F4F6"/>
      </patternFill>
    </fill>
  </fills>
  <borders count="1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7" fillId="0" borderId="2"/>
  </cellStyleXfs>
  <cellXfs count="84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164" fontId="5" fillId="0" borderId="1" applyAlignment="1" pivotButton="0" quotePrefix="0" xfId="0">
      <alignment vertical="top" wrapText="1"/>
    </xf>
    <xf numFmtId="0" fontId="0" fillId="0" borderId="2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center"/>
    </xf>
    <xf numFmtId="0" fontId="0" fillId="0" borderId="2" applyAlignment="1" pivotButton="0" quotePrefix="0" xfId="0">
      <alignment wrapText="1"/>
    </xf>
    <xf numFmtId="165" fontId="0" fillId="0" borderId="2" pivotButton="0" quotePrefix="0" xfId="0"/>
    <xf numFmtId="0" fontId="8" fillId="0" borderId="2" pivotButton="0" quotePrefix="0" xfId="0"/>
    <xf numFmtId="0" fontId="2" fillId="2" borderId="2" applyAlignment="1" pivotButton="0" quotePrefix="0" xfId="0">
      <alignment vertical="center"/>
    </xf>
    <xf numFmtId="0" fontId="1" fillId="0" borderId="2" applyAlignment="1" pivotButton="0" quotePrefix="0" xfId="0">
      <alignment vertical="top"/>
    </xf>
    <xf numFmtId="0" fontId="1" fillId="0" borderId="2" applyAlignment="1" pivotButton="0" quotePrefix="0" xfId="0">
      <alignment vertical="top" wrapText="1"/>
    </xf>
    <xf numFmtId="166" fontId="1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 wrapText="1"/>
    </xf>
    <xf numFmtId="0" fontId="9" fillId="0" borderId="2" pivotButton="0" quotePrefix="0" xfId="0"/>
    <xf numFmtId="0" fontId="0" fillId="0" borderId="2" applyAlignment="1" applyProtection="1" pivotButton="0" quotePrefix="0" xfId="0">
      <alignment vertical="top" wrapText="1"/>
      <protection locked="0" hidden="0"/>
    </xf>
    <xf numFmtId="0" fontId="0" fillId="0" borderId="2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7" fillId="0" borderId="2" applyAlignment="1" applyProtection="1" pivotButton="0" quotePrefix="0" xfId="0">
      <alignment wrapText="1"/>
      <protection locked="0" hidden="0"/>
    </xf>
    <xf numFmtId="0" fontId="8" fillId="0" borderId="2" applyProtection="1" pivotButton="0" quotePrefix="0" xfId="0">
      <protection locked="0" hidden="0"/>
    </xf>
    <xf numFmtId="165" fontId="5" fillId="0" borderId="1" applyAlignment="1" pivotButton="0" quotePrefix="0" xfId="0">
      <alignment vertical="top" wrapText="1"/>
    </xf>
    <xf numFmtId="0" fontId="9" fillId="0" borderId="2" applyAlignment="1" pivotButton="0" quotePrefix="0" xfId="0">
      <alignment horizontal="center" vertical="center"/>
    </xf>
    <xf numFmtId="167" fontId="0" fillId="0" borderId="2" applyAlignment="1" applyProtection="1" pivotButton="0" quotePrefix="0" xfId="0">
      <alignment vertical="top" wrapText="1"/>
      <protection locked="0" hidden="0"/>
    </xf>
    <xf numFmtId="167" fontId="0" fillId="0" borderId="2" applyAlignment="1" applyProtection="1" pivotButton="0" quotePrefix="0" xfId="0">
      <alignment vertical="top"/>
      <protection locked="0" hidden="0"/>
    </xf>
    <xf numFmtId="167" fontId="8" fillId="0" borderId="2" applyProtection="1" pivotButton="0" quotePrefix="0" xfId="0">
      <protection locked="0" hidden="0"/>
    </xf>
    <xf numFmtId="167" fontId="0" fillId="0" borderId="2" applyProtection="1" pivotButton="0" quotePrefix="0" xfId="0">
      <protection locked="0" hidden="0"/>
    </xf>
    <xf numFmtId="167" fontId="0" fillId="0" borderId="0" applyAlignment="1" pivotButton="0" quotePrefix="0" xfId="0">
      <alignment vertical="top"/>
    </xf>
    <xf numFmtId="168" fontId="0" fillId="0" borderId="2" applyAlignment="1" applyProtection="1" pivotButton="0" quotePrefix="0" xfId="0">
      <alignment vertical="top" wrapText="1"/>
      <protection locked="0" hidden="0"/>
    </xf>
    <xf numFmtId="168" fontId="0" fillId="0" borderId="2" applyAlignment="1" applyProtection="1" pivotButton="0" quotePrefix="0" xfId="0">
      <alignment vertical="center"/>
      <protection locked="0" hidden="0"/>
    </xf>
    <xf numFmtId="168" fontId="0" fillId="0" borderId="2" applyProtection="1" pivotButton="0" quotePrefix="0" xfId="0">
      <protection locked="0" hidden="0"/>
    </xf>
    <xf numFmtId="168" fontId="8" fillId="0" borderId="2" applyProtection="1" pivotButton="0" quotePrefix="0" xfId="0">
      <protection locked="0" hidden="0"/>
    </xf>
    <xf numFmtId="168" fontId="0" fillId="0" borderId="0" pivotButton="0" quotePrefix="0" xfId="0"/>
    <xf numFmtId="14" fontId="0" fillId="0" borderId="2" pivotButton="0" quotePrefix="0" xfId="0"/>
    <xf numFmtId="167" fontId="0" fillId="0" borderId="2" applyAlignment="1" pivotButton="0" quotePrefix="0" xfId="0">
      <alignment vertical="top"/>
    </xf>
    <xf numFmtId="168" fontId="0" fillId="0" borderId="2" pivotButton="0" quotePrefix="0" xfId="0"/>
    <xf numFmtId="0" fontId="3" fillId="2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9" fontId="5" fillId="0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9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168" fontId="0" fillId="0" borderId="0" pivotButton="0" quotePrefix="0" xfId="0"/>
    <xf numFmtId="167" fontId="0" fillId="0" borderId="2" applyAlignment="1" applyProtection="1" pivotButton="0" quotePrefix="0" xfId="0">
      <alignment vertical="top" wrapText="1"/>
      <protection locked="0" hidden="0"/>
    </xf>
    <xf numFmtId="168" fontId="0" fillId="0" borderId="2" applyAlignment="1" applyProtection="1" pivotButton="0" quotePrefix="0" xfId="0">
      <alignment vertical="top" wrapText="1"/>
      <protection locked="0" hidden="0"/>
    </xf>
    <xf numFmtId="165" fontId="0" fillId="0" borderId="2" applyAlignment="1" pivotButton="0" quotePrefix="0" xfId="0">
      <alignment vertical="top" wrapText="1"/>
    </xf>
    <xf numFmtId="167" fontId="0" fillId="0" borderId="2" applyAlignment="1" applyProtection="1" pivotButton="0" quotePrefix="0" xfId="0">
      <alignment vertical="top"/>
      <protection locked="0" hidden="0"/>
    </xf>
    <xf numFmtId="168" fontId="0" fillId="0" borderId="2" applyAlignment="1" applyProtection="1" pivotButton="0" quotePrefix="0" xfId="0">
      <alignment vertical="center"/>
      <protection locked="0" hidden="0"/>
    </xf>
    <xf numFmtId="165" fontId="0" fillId="0" borderId="2" applyAlignment="1" pivotButton="0" quotePrefix="0" xfId="0">
      <alignment vertical="center"/>
    </xf>
    <xf numFmtId="165" fontId="0" fillId="0" borderId="2" pivotButton="0" quotePrefix="0" xfId="0"/>
    <xf numFmtId="168" fontId="0" fillId="0" borderId="2" applyProtection="1" pivotButton="0" quotePrefix="0" xfId="0">
      <protection locked="0" hidden="0"/>
    </xf>
    <xf numFmtId="167" fontId="8" fillId="0" borderId="2" applyProtection="1" pivotButton="0" quotePrefix="0" xfId="0">
      <protection locked="0" hidden="0"/>
    </xf>
    <xf numFmtId="168" fontId="8" fillId="0" borderId="2" applyProtection="1" pivotButton="0" quotePrefix="0" xfId="0">
      <protection locked="0" hidden="0"/>
    </xf>
    <xf numFmtId="167" fontId="0" fillId="0" borderId="2" applyProtection="1" pivotButton="0" quotePrefix="0" xfId="0">
      <protection locked="0" hidden="0"/>
    </xf>
    <xf numFmtId="167" fontId="0" fillId="0" borderId="2" applyAlignment="1" pivotButton="0" quotePrefix="0" xfId="0">
      <alignment vertical="top"/>
    </xf>
    <xf numFmtId="168" fontId="0" fillId="0" borderId="2" pivotButton="0" quotePrefix="0" xfId="0"/>
    <xf numFmtId="166" fontId="1" fillId="0" borderId="2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5" tint="0.5999938962981048"/>
    <outlinePr summaryBelow="1" summaryRight="1"/>
    <pageSetUpPr/>
  </sheetPr>
  <dimension ref="A1:Q246"/>
  <sheetViews>
    <sheetView tabSelected="1" workbookViewId="0">
      <pane ySplit="4" topLeftCell="K5" activePane="bottomLeft" state="frozen"/>
      <selection pane="bottomLeft" activeCell="L7" sqref="L7:Q7"/>
    </sheetView>
  </sheetViews>
  <sheetFormatPr baseColWidth="8" defaultRowHeight="12.75"/>
  <cols>
    <col width="14" customWidth="1" min="1" max="2"/>
    <col width="34" customWidth="1" min="3" max="4"/>
    <col width="26" customWidth="1" min="5" max="5"/>
    <col width="22" customWidth="1" min="6" max="8"/>
    <col width="12" customWidth="1" min="9" max="9"/>
    <col width="2" customWidth="1" min="10" max="10"/>
    <col width="14" customWidth="1" min="11" max="11"/>
    <col width="16" customWidth="1" min="12" max="12"/>
    <col width="18" customWidth="1" min="13" max="17"/>
  </cols>
  <sheetData>
    <row r="1" ht="27.95" customHeight="1">
      <c r="A1" s="44" t="inlineStr">
        <is>
          <t>Teams Invites Tracker — Tech Quick View + PM Showcase</t>
        </is>
      </c>
    </row>
    <row r="2" ht="20.1" customHeight="1">
      <c r="A2" s="48" t="inlineStr">
        <is>
          <t>Use the left table to scan operations. Use the dropdown on the right to instantly generate a copy/paste Teams invite body.</t>
        </is>
      </c>
    </row>
    <row r="3" ht="20.1" customHeight="1">
      <c r="A3" s="47" t="inlineStr">
        <is>
          <t>Tech Quick View — Operations Index</t>
        </is>
      </c>
      <c r="J3" s="54" t="n"/>
      <c r="K3" s="47" t="inlineStr">
        <is>
          <t>Copy/Paste Generator — Teams Invite Body</t>
        </is>
      </c>
    </row>
    <row r="4" ht="27.95" customHeight="1">
      <c r="A4" s="2" t="inlineStr">
        <is>
          <t>Event ID</t>
        </is>
      </c>
      <c r="B4" s="2" t="inlineStr">
        <is>
          <t>Date</t>
        </is>
      </c>
      <c r="C4" s="2" t="inlineStr">
        <is>
          <t>Start</t>
        </is>
      </c>
      <c r="D4" s="2" t="inlineStr">
        <is>
          <t>End</t>
        </is>
      </c>
      <c r="E4" s="2" t="inlineStr">
        <is>
          <t>Title</t>
        </is>
      </c>
      <c r="F4" s="2" t="inlineStr">
        <is>
          <t>Location</t>
        </is>
      </c>
      <c r="G4" s="2" t="inlineStr">
        <is>
          <t>Required</t>
        </is>
      </c>
      <c r="H4" s="2" t="inlineStr">
        <is>
          <t>Optional</t>
        </is>
      </c>
      <c r="I4" s="2" t="inlineStr">
        <is>
          <t>Status</t>
        </is>
      </c>
      <c r="J4" s="54" t="n"/>
      <c r="K4" s="2" t="inlineStr">
        <is>
          <t>Event ID</t>
        </is>
      </c>
      <c r="L4" s="45" t="inlineStr">
        <is>
          <t>AP-2026-02-22</t>
        </is>
      </c>
      <c r="M4" s="57" t="n"/>
      <c r="N4" s="57" t="n"/>
      <c r="O4" s="57" t="n"/>
      <c r="P4" s="57" t="n"/>
      <c r="Q4" s="58" t="n"/>
    </row>
    <row r="5" ht="38.25" customHeight="1">
      <c r="A5" s="3">
        <f>IFERROR(INDEX('Invite Builder'!$A:$A,ROW()-3),"")</f>
        <v/>
      </c>
      <c r="B5" s="3">
        <f>IFERROR(INDEX('Invite Builder'!$C:$C,ROW()-3),"")</f>
        <v/>
      </c>
      <c r="C5" s="3">
        <f>IFERROR(INDEX('Invite Builder'!$D:$D,ROW()-3),"")</f>
        <v/>
      </c>
      <c r="D5" s="3">
        <f>IFERROR(INDEX('Invite Builder'!$E:$E,ROW()-3),"")</f>
        <v/>
      </c>
      <c r="E5" s="3">
        <f>IFERROR(INDEX('Invite Builder'!$B:$B,ROW()-3),"")</f>
        <v/>
      </c>
      <c r="F5" s="3">
        <f>IFERROR(INDEX('Invite Builder'!$I:$I,ROW()-3),"")</f>
        <v/>
      </c>
      <c r="G5" s="3">
        <f>IFERROR(INDEX('Invite Builder'!$G:$G,ROW()-3),"")</f>
        <v/>
      </c>
      <c r="H5" s="3">
        <f>IFERROR(INDEX('Invite Builder'!$H:$H,ROW()-3),"")</f>
        <v/>
      </c>
      <c r="I5" s="3">
        <f>IFERROR(INDEX('Invite Builder'!$T:$T,ROW()-3),"")</f>
        <v/>
      </c>
      <c r="J5" s="54" t="n"/>
      <c r="K5" s="2" t="inlineStr">
        <is>
          <t>Title</t>
        </is>
      </c>
      <c r="L5" s="53">
        <f>IFERROR(VLOOKUP($L$4,'Invite Builder'!$A:$U,2,FALSE),"")</f>
        <v/>
      </c>
      <c r="M5" s="57" t="n"/>
      <c r="N5" s="57" t="n"/>
      <c r="O5" s="57" t="n"/>
      <c r="P5" s="57" t="n"/>
      <c r="Q5" s="58" t="n"/>
    </row>
    <row r="6" ht="48" customHeight="1">
      <c r="A6" s="3">
        <f>IFERROR(INDEX('Invite Builder'!$A:$A,ROW()-3),"")</f>
        <v/>
      </c>
      <c r="B6" s="3">
        <f>IFERROR(INDEX('Invite Builder'!$C:$C,ROW()-3),"")</f>
        <v/>
      </c>
      <c r="C6" s="3">
        <f>IFERROR(INDEX('Invite Builder'!$D:$D,ROW()-3),"")</f>
        <v/>
      </c>
      <c r="D6" s="3">
        <f>IFERROR(INDEX('Invite Builder'!$E:$E,ROW()-3),"")</f>
        <v/>
      </c>
      <c r="E6" s="3">
        <f>IFERROR(INDEX('Invite Builder'!$B:$B,ROW()-3),"")</f>
        <v/>
      </c>
      <c r="F6" s="3">
        <f>IFERROR(INDEX('Invite Builder'!$I:$I,ROW()-3),"")</f>
        <v/>
      </c>
      <c r="G6" s="3">
        <f>IFERROR(INDEX('Invite Builder'!$G:$G,ROW()-3),"")</f>
        <v/>
      </c>
      <c r="H6" s="3">
        <f>IFERROR(INDEX('Invite Builder'!$H:$H,ROW()-3),"")</f>
        <v/>
      </c>
      <c r="I6" s="3">
        <f>IFERROR(INDEX('Invite Builder'!$T:$T,ROW()-3),"")</f>
        <v/>
      </c>
      <c r="J6" s="54" t="n"/>
      <c r="K6" s="2" t="inlineStr">
        <is>
          <t>Date</t>
        </is>
      </c>
      <c r="L6" s="66">
        <f>IFERROR(VLOOKUP($L$4,'Invite Builder'!$A:$U,3,FALSE),"")</f>
        <v/>
      </c>
      <c r="M6" s="57" t="n"/>
      <c r="N6" s="57" t="n"/>
      <c r="O6" s="57" t="n"/>
      <c r="P6" s="57" t="n"/>
      <c r="Q6" s="58" t="n"/>
    </row>
    <row r="7" ht="84" customHeight="1">
      <c r="A7" s="3">
        <f>IFERROR(INDEX('Invite Builder'!$A:$A,ROW()-3),"")</f>
        <v/>
      </c>
      <c r="B7" s="3">
        <f>IFERROR(INDEX('Invite Builder'!$C:$C,ROW()-3),"")</f>
        <v/>
      </c>
      <c r="C7" s="3">
        <f>IFERROR(INDEX('Invite Builder'!$D:$D,ROW()-3),"")</f>
        <v/>
      </c>
      <c r="D7" s="3">
        <f>IFERROR(INDEX('Invite Builder'!$E:$E,ROW()-3),"")</f>
        <v/>
      </c>
      <c r="E7" s="3">
        <f>IFERROR(INDEX('Invite Builder'!$B:$B,ROW()-3),"")</f>
        <v/>
      </c>
      <c r="F7" s="3">
        <f>IFERROR(INDEX('Invite Builder'!$I:$I,ROW()-3),"")</f>
        <v/>
      </c>
      <c r="G7" s="3">
        <f>IFERROR(INDEX('Invite Builder'!$G:$G,ROW()-3),"")</f>
        <v/>
      </c>
      <c r="H7" s="3">
        <f>IFERROR(INDEX('Invite Builder'!$H:$H,ROW()-3),"")</f>
        <v/>
      </c>
      <c r="I7" s="3">
        <f>IFERROR(INDEX('Invite Builder'!$T:$T,ROW()-3),"")</f>
        <v/>
      </c>
      <c r="J7" s="54" t="n"/>
      <c r="K7" s="2" t="inlineStr">
        <is>
          <t>Time</t>
        </is>
      </c>
      <c r="L7" s="53">
        <f>IFERROR(TEXT(VLOOKUP($L$4,'Invite Builder'!$A:$U,4,FALSE),"h:mm AM/PM"),"")&amp;" - "&amp;IFERROR(TEXT(VLOOKUP($L$4,'Invite Builder'!$A:$U,5,FALSE),"h:mm AM/PM"),"")&amp;" "&amp;IFERROR(VLOOKUP($L$4,'Invite Builder'!$A:$U,6,FALSE),"")</f>
        <v/>
      </c>
      <c r="M7" s="57" t="n"/>
      <c r="N7" s="57" t="n"/>
      <c r="O7" s="57" t="n"/>
      <c r="P7" s="57" t="n"/>
      <c r="Q7" s="58" t="n"/>
    </row>
    <row r="8" ht="38.25" customHeight="1">
      <c r="A8" s="3">
        <f>IFERROR(INDEX('Invite Builder'!$A:$A,ROW()-3),"")</f>
        <v/>
      </c>
      <c r="B8" s="3">
        <f>IFERROR(INDEX('Invite Builder'!$C:$C,ROW()-3),"")</f>
        <v/>
      </c>
      <c r="C8" s="3">
        <f>IFERROR(INDEX('Invite Builder'!$D:$D,ROW()-3),"")</f>
        <v/>
      </c>
      <c r="D8" s="3">
        <f>IFERROR(INDEX('Invite Builder'!$E:$E,ROW()-3),"")</f>
        <v/>
      </c>
      <c r="E8" s="3">
        <f>IFERROR(INDEX('Invite Builder'!$B:$B,ROW()-3),"")</f>
        <v/>
      </c>
      <c r="F8" s="3">
        <f>IFERROR(INDEX('Invite Builder'!$I:$I,ROW()-3),"")</f>
        <v/>
      </c>
      <c r="G8" s="3">
        <f>IFERROR(INDEX('Invite Builder'!$G:$G,ROW()-3),"")</f>
        <v/>
      </c>
      <c r="H8" s="3">
        <f>IFERROR(INDEX('Invite Builder'!$H:$H,ROW()-3),"")</f>
        <v/>
      </c>
      <c r="I8" s="3">
        <f>IFERROR(INDEX('Invite Builder'!$T:$T,ROW()-3),"")</f>
        <v/>
      </c>
      <c r="J8" s="54" t="n"/>
      <c r="K8" s="2" t="inlineStr">
        <is>
          <t>Location</t>
        </is>
      </c>
      <c r="L8" s="53">
        <f>IFERROR(VLOOKUP($L$4,'Invite Builder'!$A:$U,9,FALSE),"")</f>
        <v/>
      </c>
      <c r="M8" s="57" t="n"/>
      <c r="N8" s="57" t="n"/>
      <c r="O8" s="57" t="n"/>
      <c r="P8" s="57" t="n"/>
      <c r="Q8" s="58" t="n"/>
    </row>
    <row r="9" ht="38.25" customHeight="1">
      <c r="A9" s="3">
        <f>IFERROR(INDEX('Invite Builder'!$A:$A,ROW()-3),"")</f>
        <v/>
      </c>
      <c r="B9" s="3">
        <f>IFERROR(INDEX('Invite Builder'!$C:$C,ROW()-3),"")</f>
        <v/>
      </c>
      <c r="C9" s="3">
        <f>IFERROR(INDEX('Invite Builder'!$D:$D,ROW()-3),"")</f>
        <v/>
      </c>
      <c r="D9" s="3">
        <f>IFERROR(INDEX('Invite Builder'!$E:$E,ROW()-3),"")</f>
        <v/>
      </c>
      <c r="E9" s="3">
        <f>IFERROR(INDEX('Invite Builder'!$B:$B,ROW()-3),"")</f>
        <v/>
      </c>
      <c r="F9" s="3">
        <f>IFERROR(INDEX('Invite Builder'!$I:$I,ROW()-3),"")</f>
        <v/>
      </c>
      <c r="G9" s="3">
        <f>IFERROR(INDEX('Invite Builder'!$G:$G,ROW()-3),"")</f>
        <v/>
      </c>
      <c r="H9" s="3">
        <f>IFERROR(INDEX('Invite Builder'!$H:$H,ROW()-3),"")</f>
        <v/>
      </c>
      <c r="I9" s="3">
        <f>IFERROR(INDEX('Invite Builder'!$T:$T,ROW()-3),"")</f>
        <v/>
      </c>
      <c r="J9" s="54" t="n"/>
      <c r="K9" s="22" t="inlineStr">
        <is>
          <t>Invite QA</t>
        </is>
      </c>
      <c r="L9" s="54">
        <f>IFERROR(VLOOKUP($L$4,'Invite Builder'!$A:$V,22,FALSE),"")</f>
        <v/>
      </c>
      <c r="M9" s="54" t="n"/>
      <c r="N9" s="54" t="n"/>
      <c r="O9" s="54" t="n"/>
      <c r="P9" s="54" t="n"/>
      <c r="Q9" s="54" t="n"/>
    </row>
    <row r="10" ht="24" customHeight="1">
      <c r="A10" s="3">
        <f>IFERROR(INDEX('Invite Builder'!$A:$A,ROW()-3),"")</f>
        <v/>
      </c>
      <c r="B10" s="3">
        <f>IFERROR(INDEX('Invite Builder'!$C:$C,ROW()-3),"")</f>
        <v/>
      </c>
      <c r="C10" s="3">
        <f>IFERROR(INDEX('Invite Builder'!$D:$D,ROW()-3),"")</f>
        <v/>
      </c>
      <c r="D10" s="3">
        <f>IFERROR(INDEX('Invite Builder'!$E:$E,ROW()-3),"")</f>
        <v/>
      </c>
      <c r="E10" s="3">
        <f>IFERROR(INDEX('Invite Builder'!$B:$B,ROW()-3),"")</f>
        <v/>
      </c>
      <c r="F10" s="3">
        <f>IFERROR(INDEX('Invite Builder'!$I:$I,ROW()-3),"")</f>
        <v/>
      </c>
      <c r="G10" s="3">
        <f>IFERROR(INDEX('Invite Builder'!$G:$G,ROW()-3),"")</f>
        <v/>
      </c>
      <c r="H10" s="3">
        <f>IFERROR(INDEX('Invite Builder'!$H:$H,ROW()-3),"")</f>
        <v/>
      </c>
      <c r="I10" s="3">
        <f>IFERROR(INDEX('Invite Builder'!$T:$T,ROW()-3),"")</f>
        <v/>
      </c>
      <c r="J10" s="54" t="n"/>
      <c r="K10" s="2" t="inlineStr">
        <is>
          <t>Teams Body (copy/paste)</t>
        </is>
      </c>
      <c r="L10" s="52" t="inlineStr">
        <is>
          <t>(click cell below, Ctrl+A, Ctrl+C)</t>
        </is>
      </c>
      <c r="M10" s="57" t="n"/>
      <c r="N10" s="57" t="n"/>
      <c r="O10" s="57" t="n"/>
      <c r="P10" s="57" t="n"/>
      <c r="Q10" s="58" t="n"/>
    </row>
    <row r="11" ht="260.1" customHeight="1">
      <c r="A11" s="3">
        <f>IFERROR(INDEX('Invite Builder'!$A:$A,ROW()-3),"")</f>
        <v/>
      </c>
      <c r="B11" s="3">
        <f>IFERROR(INDEX('Invite Builder'!$C:$C,ROW()-3),"")</f>
        <v/>
      </c>
      <c r="C11" s="3">
        <f>IFERROR(INDEX('Invite Builder'!$D:$D,ROW()-3),"")</f>
        <v/>
      </c>
      <c r="D11" s="3">
        <f>IFERROR(INDEX('Invite Builder'!$E:$E,ROW()-3),"")</f>
        <v/>
      </c>
      <c r="E11" s="3">
        <f>IFERROR(INDEX('Invite Builder'!$B:$B,ROW()-3),"")</f>
        <v/>
      </c>
      <c r="F11" s="3">
        <f>IFERROR(INDEX('Invite Builder'!$I:$I,ROW()-3),"")</f>
        <v/>
      </c>
      <c r="G11" s="3">
        <f>IFERROR(INDEX('Invite Builder'!$G:$G,ROW()-3),"")</f>
        <v/>
      </c>
      <c r="H11" s="3">
        <f>IFERROR(INDEX('Invite Builder'!$H:$H,ROW()-3),"")</f>
        <v/>
      </c>
      <c r="I11" s="3">
        <f>IFERROR(INDEX('Invite Builder'!$T:$T,ROW()-3),"")</f>
        <v/>
      </c>
      <c r="J11" s="54" t="n"/>
      <c r="K11" s="50">
        <f>IFERROR(IF(OR(VLOOKUP($L$4,'Invite Builder'!$A:$U,18,FALSE)="",LEN(VLOOKUP($L$4,'Invite Builder'!$A:$U,18,FALSE))&lt;60,ISNUMBER(MATCH(TRIM(VLOOKUP($L$4,'Invite Builder'!$A:$U,18,FALSE)),StatusList,0))),"⚠️ Teams body looks overwritten/short. Check Invite Builder col R (Body) and restore the formula.",VLOOKUP($L$4,'Invite Builder'!$A:$U,18,FALSE)),"")</f>
        <v/>
      </c>
      <c r="L11" s="59" t="n"/>
      <c r="M11" s="59" t="n"/>
      <c r="N11" s="59" t="n"/>
      <c r="O11" s="59" t="n"/>
      <c r="P11" s="59" t="n"/>
      <c r="Q11" s="60" t="n"/>
    </row>
    <row r="12" ht="63.75" customHeight="1">
      <c r="A12" s="3">
        <f>IFERROR(INDEX('Invite Builder'!$A:$A,ROW()-3),"")</f>
        <v/>
      </c>
      <c r="B12" s="3">
        <f>IFERROR(INDEX('Invite Builder'!$C:$C,ROW()-3),"")</f>
        <v/>
      </c>
      <c r="C12" s="3">
        <f>IFERROR(INDEX('Invite Builder'!$D:$D,ROW()-3),"")</f>
        <v/>
      </c>
      <c r="D12" s="3">
        <f>IFERROR(INDEX('Invite Builder'!$E:$E,ROW()-3),"")</f>
        <v/>
      </c>
      <c r="E12" s="3">
        <f>IFERROR(INDEX('Invite Builder'!$B:$B,ROW()-3),"")</f>
        <v/>
      </c>
      <c r="F12" s="3">
        <f>IFERROR(INDEX('Invite Builder'!$I:$I,ROW()-3),"")</f>
        <v/>
      </c>
      <c r="G12" s="3">
        <f>IFERROR(INDEX('Invite Builder'!$G:$G,ROW()-3),"")</f>
        <v/>
      </c>
      <c r="H12" s="3">
        <f>IFERROR(INDEX('Invite Builder'!$H:$H,ROW()-3),"")</f>
        <v/>
      </c>
      <c r="I12" s="3">
        <f>IFERROR(INDEX('Invite Builder'!$T:$T,ROW()-3),"")</f>
        <v/>
      </c>
      <c r="J12" s="54" t="n"/>
      <c r="K12" s="61" t="n"/>
      <c r="Q12" s="62" t="n"/>
    </row>
    <row r="13" ht="38.25" customHeight="1">
      <c r="A13" s="3">
        <f>IFERROR(INDEX('Invite Builder'!$A:$A,ROW()-3),"")</f>
        <v/>
      </c>
      <c r="B13" s="3">
        <f>IFERROR(INDEX('Invite Builder'!$C:$C,ROW()-3),"")</f>
        <v/>
      </c>
      <c r="C13" s="3">
        <f>IFERROR(INDEX('Invite Builder'!$D:$D,ROW()-3),"")</f>
        <v/>
      </c>
      <c r="D13" s="3">
        <f>IFERROR(INDEX('Invite Builder'!$E:$E,ROW()-3),"")</f>
        <v/>
      </c>
      <c r="E13" s="3">
        <f>IFERROR(INDEX('Invite Builder'!$B:$B,ROW()-3),"")</f>
        <v/>
      </c>
      <c r="F13" s="3">
        <f>IFERROR(INDEX('Invite Builder'!$I:$I,ROW()-3),"")</f>
        <v/>
      </c>
      <c r="G13" s="3">
        <f>IFERROR(INDEX('Invite Builder'!$G:$G,ROW()-3),"")</f>
        <v/>
      </c>
      <c r="H13" s="3">
        <f>IFERROR(INDEX('Invite Builder'!$H:$H,ROW()-3),"")</f>
        <v/>
      </c>
      <c r="I13" s="3">
        <f>IFERROR(INDEX('Invite Builder'!$T:$T,ROW()-3),"")</f>
        <v/>
      </c>
      <c r="J13" s="54" t="n"/>
      <c r="K13" s="61" t="n"/>
      <c r="Q13" s="62" t="n"/>
    </row>
    <row r="14">
      <c r="A14" s="3">
        <f>IFERROR(INDEX('Invite Builder'!$A:$A,ROW()-3),"")</f>
        <v/>
      </c>
      <c r="B14" s="3">
        <f>IFERROR(INDEX('Invite Builder'!$C:$C,ROW()-3),"")</f>
        <v/>
      </c>
      <c r="C14" s="3">
        <f>IFERROR(INDEX('Invite Builder'!$D:$D,ROW()-3),"")</f>
        <v/>
      </c>
      <c r="D14" s="3">
        <f>IFERROR(INDEX('Invite Builder'!$E:$E,ROW()-3),"")</f>
        <v/>
      </c>
      <c r="E14" s="3">
        <f>IFERROR(INDEX('Invite Builder'!$B:$B,ROW()-3),"")</f>
        <v/>
      </c>
      <c r="F14" s="3">
        <f>IFERROR(INDEX('Invite Builder'!$I:$I,ROW()-3),"")</f>
        <v/>
      </c>
      <c r="G14" s="3">
        <f>IFERROR(INDEX('Invite Builder'!$G:$G,ROW()-3),"")</f>
        <v/>
      </c>
      <c r="H14" s="3">
        <f>IFERROR(INDEX('Invite Builder'!$H:$H,ROW()-3),"")</f>
        <v/>
      </c>
      <c r="I14" s="3">
        <f>IFERROR(INDEX('Invite Builder'!$T:$T,ROW()-3),"")</f>
        <v/>
      </c>
      <c r="J14" s="54" t="n"/>
      <c r="K14" s="61" t="n"/>
      <c r="Q14" s="62" t="n"/>
    </row>
    <row r="15">
      <c r="A15" s="3">
        <f>IFERROR(INDEX('Invite Builder'!$A:$A,ROW()-3),"")</f>
        <v/>
      </c>
      <c r="B15" s="3">
        <f>IFERROR(INDEX('Invite Builder'!$C:$C,ROW()-3),"")</f>
        <v/>
      </c>
      <c r="C15" s="3">
        <f>IFERROR(INDEX('Invite Builder'!$D:$D,ROW()-3),"")</f>
        <v/>
      </c>
      <c r="D15" s="3">
        <f>IFERROR(INDEX('Invite Builder'!$E:$E,ROW()-3),"")</f>
        <v/>
      </c>
      <c r="E15" s="3">
        <f>IFERROR(INDEX('Invite Builder'!$B:$B,ROW()-3),"")</f>
        <v/>
      </c>
      <c r="F15" s="3">
        <f>IFERROR(INDEX('Invite Builder'!$I:$I,ROW()-3),"")</f>
        <v/>
      </c>
      <c r="G15" s="3">
        <f>IFERROR(INDEX('Invite Builder'!$G:$G,ROW()-3),"")</f>
        <v/>
      </c>
      <c r="H15" s="3">
        <f>IFERROR(INDEX('Invite Builder'!$H:$H,ROW()-3),"")</f>
        <v/>
      </c>
      <c r="I15" s="3">
        <f>IFERROR(INDEX('Invite Builder'!$T:$T,ROW()-3),"")</f>
        <v/>
      </c>
      <c r="J15" s="54" t="n"/>
      <c r="K15" s="61" t="n"/>
      <c r="Q15" s="62" t="n"/>
    </row>
    <row r="16">
      <c r="A16" s="3">
        <f>IFERROR(INDEX('Invite Builder'!$A:$A,ROW()-3),"")</f>
        <v/>
      </c>
      <c r="B16" s="3">
        <f>IFERROR(INDEX('Invite Builder'!$C:$C,ROW()-3),"")</f>
        <v/>
      </c>
      <c r="C16" s="3">
        <f>IFERROR(INDEX('Invite Builder'!$D:$D,ROW()-3),"")</f>
        <v/>
      </c>
      <c r="D16" s="3">
        <f>IFERROR(INDEX('Invite Builder'!$E:$E,ROW()-3),"")</f>
        <v/>
      </c>
      <c r="E16" s="3">
        <f>IFERROR(INDEX('Invite Builder'!$B:$B,ROW()-3),"")</f>
        <v/>
      </c>
      <c r="F16" s="3">
        <f>IFERROR(INDEX('Invite Builder'!$I:$I,ROW()-3),"")</f>
        <v/>
      </c>
      <c r="G16" s="3">
        <f>IFERROR(INDEX('Invite Builder'!$G:$G,ROW()-3),"")</f>
        <v/>
      </c>
      <c r="H16" s="3">
        <f>IFERROR(INDEX('Invite Builder'!$H:$H,ROW()-3),"")</f>
        <v/>
      </c>
      <c r="I16" s="3">
        <f>IFERROR(INDEX('Invite Builder'!$T:$T,ROW()-3),"")</f>
        <v/>
      </c>
      <c r="J16" s="54" t="n"/>
      <c r="K16" s="61" t="n"/>
      <c r="Q16" s="62" t="n"/>
    </row>
    <row r="17">
      <c r="A17" s="3">
        <f>IFERROR(INDEX('Invite Builder'!$A:$A,ROW()-3),"")</f>
        <v/>
      </c>
      <c r="B17" s="3">
        <f>IFERROR(INDEX('Invite Builder'!$C:$C,ROW()-3),"")</f>
        <v/>
      </c>
      <c r="C17" s="3">
        <f>IFERROR(INDEX('Invite Builder'!$D:$D,ROW()-3),"")</f>
        <v/>
      </c>
      <c r="D17" s="3">
        <f>IFERROR(INDEX('Invite Builder'!$E:$E,ROW()-3),"")</f>
        <v/>
      </c>
      <c r="E17" s="3">
        <f>IFERROR(INDEX('Invite Builder'!$B:$B,ROW()-3),"")</f>
        <v/>
      </c>
      <c r="F17" s="3">
        <f>IFERROR(INDEX('Invite Builder'!$I:$I,ROW()-3),"")</f>
        <v/>
      </c>
      <c r="G17" s="3">
        <f>IFERROR(INDEX('Invite Builder'!$G:$G,ROW()-3),"")</f>
        <v/>
      </c>
      <c r="H17" s="3">
        <f>IFERROR(INDEX('Invite Builder'!$H:$H,ROW()-3),"")</f>
        <v/>
      </c>
      <c r="I17" s="3">
        <f>IFERROR(INDEX('Invite Builder'!$T:$T,ROW()-3),"")</f>
        <v/>
      </c>
      <c r="J17" s="54" t="n"/>
      <c r="K17" s="61" t="n"/>
      <c r="Q17" s="62" t="n"/>
    </row>
    <row r="18">
      <c r="A18" s="3">
        <f>IFERROR(INDEX('Invite Builder'!$A:$A,ROW()-3),"")</f>
        <v/>
      </c>
      <c r="B18" s="3">
        <f>IFERROR(INDEX('Invite Builder'!$C:$C,ROW()-3),"")</f>
        <v/>
      </c>
      <c r="C18" s="3">
        <f>IFERROR(INDEX('Invite Builder'!$D:$D,ROW()-3),"")</f>
        <v/>
      </c>
      <c r="D18" s="3">
        <f>IFERROR(INDEX('Invite Builder'!$E:$E,ROW()-3),"")</f>
        <v/>
      </c>
      <c r="E18" s="3">
        <f>IFERROR(INDEX('Invite Builder'!$B:$B,ROW()-3),"")</f>
        <v/>
      </c>
      <c r="F18" s="3">
        <f>IFERROR(INDEX('Invite Builder'!$I:$I,ROW()-3),"")</f>
        <v/>
      </c>
      <c r="G18" s="3">
        <f>IFERROR(INDEX('Invite Builder'!$G:$G,ROW()-3),"")</f>
        <v/>
      </c>
      <c r="H18" s="3">
        <f>IFERROR(INDEX('Invite Builder'!$H:$H,ROW()-3),"")</f>
        <v/>
      </c>
      <c r="I18" s="3">
        <f>IFERROR(INDEX('Invite Builder'!$T:$T,ROW()-3),"")</f>
        <v/>
      </c>
      <c r="J18" s="54" t="n"/>
      <c r="K18" s="61" t="n"/>
      <c r="Q18" s="62" t="n"/>
    </row>
    <row r="19">
      <c r="A19" s="3">
        <f>IFERROR(INDEX('Invite Builder'!$A:$A,ROW()-3),"")</f>
        <v/>
      </c>
      <c r="B19" s="3">
        <f>IFERROR(INDEX('Invite Builder'!$C:$C,ROW()-3),"")</f>
        <v/>
      </c>
      <c r="C19" s="3">
        <f>IFERROR(INDEX('Invite Builder'!$D:$D,ROW()-3),"")</f>
        <v/>
      </c>
      <c r="D19" s="3">
        <f>IFERROR(INDEX('Invite Builder'!$E:$E,ROW()-3),"")</f>
        <v/>
      </c>
      <c r="E19" s="3">
        <f>IFERROR(INDEX('Invite Builder'!$B:$B,ROW()-3),"")</f>
        <v/>
      </c>
      <c r="F19" s="3">
        <f>IFERROR(INDEX('Invite Builder'!$I:$I,ROW()-3),"")</f>
        <v/>
      </c>
      <c r="G19" s="3">
        <f>IFERROR(INDEX('Invite Builder'!$G:$G,ROW()-3),"")</f>
        <v/>
      </c>
      <c r="H19" s="3">
        <f>IFERROR(INDEX('Invite Builder'!$H:$H,ROW()-3),"")</f>
        <v/>
      </c>
      <c r="I19" s="3">
        <f>IFERROR(INDEX('Invite Builder'!$T:$T,ROW()-3),"")</f>
        <v/>
      </c>
      <c r="J19" s="54" t="n"/>
      <c r="K19" s="61" t="n"/>
      <c r="Q19" s="62" t="n"/>
    </row>
    <row r="20">
      <c r="A20" s="3">
        <f>IFERROR(INDEX('Invite Builder'!$A:$A,ROW()-3),"")</f>
        <v/>
      </c>
      <c r="B20" s="3">
        <f>IFERROR(INDEX('Invite Builder'!$C:$C,ROW()-3),"")</f>
        <v/>
      </c>
      <c r="C20" s="3">
        <f>IFERROR(INDEX('Invite Builder'!$D:$D,ROW()-3),"")</f>
        <v/>
      </c>
      <c r="D20" s="3">
        <f>IFERROR(INDEX('Invite Builder'!$E:$E,ROW()-3),"")</f>
        <v/>
      </c>
      <c r="E20" s="3">
        <f>IFERROR(INDEX('Invite Builder'!$B:$B,ROW()-3),"")</f>
        <v/>
      </c>
      <c r="F20" s="3">
        <f>IFERROR(INDEX('Invite Builder'!$I:$I,ROW()-3),"")</f>
        <v/>
      </c>
      <c r="G20" s="3">
        <f>IFERROR(INDEX('Invite Builder'!$G:$G,ROW()-3),"")</f>
        <v/>
      </c>
      <c r="H20" s="3">
        <f>IFERROR(INDEX('Invite Builder'!$H:$H,ROW()-3),"")</f>
        <v/>
      </c>
      <c r="I20" s="3">
        <f>IFERROR(INDEX('Invite Builder'!$T:$T,ROW()-3),"")</f>
        <v/>
      </c>
      <c r="J20" s="54" t="n"/>
      <c r="K20" s="61" t="n"/>
      <c r="Q20" s="62" t="n"/>
    </row>
    <row r="21">
      <c r="A21" s="3">
        <f>IFERROR(INDEX('Invite Builder'!$A:$A,ROW()-3),"")</f>
        <v/>
      </c>
      <c r="B21" s="3">
        <f>IFERROR(INDEX('Invite Builder'!$C:$C,ROW()-3),"")</f>
        <v/>
      </c>
      <c r="C21" s="3">
        <f>IFERROR(INDEX('Invite Builder'!$D:$D,ROW()-3),"")</f>
        <v/>
      </c>
      <c r="D21" s="3">
        <f>IFERROR(INDEX('Invite Builder'!$E:$E,ROW()-3),"")</f>
        <v/>
      </c>
      <c r="E21" s="3">
        <f>IFERROR(INDEX('Invite Builder'!$B:$B,ROW()-3),"")</f>
        <v/>
      </c>
      <c r="F21" s="3">
        <f>IFERROR(INDEX('Invite Builder'!$I:$I,ROW()-3),"")</f>
        <v/>
      </c>
      <c r="G21" s="3">
        <f>IFERROR(INDEX('Invite Builder'!$G:$G,ROW()-3),"")</f>
        <v/>
      </c>
      <c r="H21" s="3">
        <f>IFERROR(INDEX('Invite Builder'!$H:$H,ROW()-3),"")</f>
        <v/>
      </c>
      <c r="I21" s="3">
        <f>IFERROR(INDEX('Invite Builder'!$T:$T,ROW()-3),"")</f>
        <v/>
      </c>
      <c r="J21" s="54" t="n"/>
      <c r="K21" s="61" t="n"/>
      <c r="Q21" s="62" t="n"/>
    </row>
    <row r="22">
      <c r="A22" s="3">
        <f>IFERROR(INDEX('Invite Builder'!$A:$A,ROW()-3),"")</f>
        <v/>
      </c>
      <c r="B22" s="3">
        <f>IFERROR(INDEX('Invite Builder'!$C:$C,ROW()-3),"")</f>
        <v/>
      </c>
      <c r="C22" s="3">
        <f>IFERROR(INDEX('Invite Builder'!$D:$D,ROW()-3),"")</f>
        <v/>
      </c>
      <c r="D22" s="3">
        <f>IFERROR(INDEX('Invite Builder'!$E:$E,ROW()-3),"")</f>
        <v/>
      </c>
      <c r="E22" s="3">
        <f>IFERROR(INDEX('Invite Builder'!$B:$B,ROW()-3),"")</f>
        <v/>
      </c>
      <c r="F22" s="3">
        <f>IFERROR(INDEX('Invite Builder'!$I:$I,ROW()-3),"")</f>
        <v/>
      </c>
      <c r="G22" s="3">
        <f>IFERROR(INDEX('Invite Builder'!$G:$G,ROW()-3),"")</f>
        <v/>
      </c>
      <c r="H22" s="3">
        <f>IFERROR(INDEX('Invite Builder'!$H:$H,ROW()-3),"")</f>
        <v/>
      </c>
      <c r="I22" s="3">
        <f>IFERROR(INDEX('Invite Builder'!$T:$T,ROW()-3),"")</f>
        <v/>
      </c>
      <c r="J22" s="54" t="n"/>
      <c r="K22" s="61" t="n"/>
      <c r="Q22" s="62" t="n"/>
    </row>
    <row r="23">
      <c r="A23" s="3">
        <f>IFERROR(INDEX('Invite Builder'!$A:$A,ROW()-3),"")</f>
        <v/>
      </c>
      <c r="B23" s="3">
        <f>IFERROR(INDEX('Invite Builder'!$C:$C,ROW()-3),"")</f>
        <v/>
      </c>
      <c r="C23" s="3">
        <f>IFERROR(INDEX('Invite Builder'!$D:$D,ROW()-3),"")</f>
        <v/>
      </c>
      <c r="D23" s="3">
        <f>IFERROR(INDEX('Invite Builder'!$E:$E,ROW()-3),"")</f>
        <v/>
      </c>
      <c r="E23" s="3">
        <f>IFERROR(INDEX('Invite Builder'!$B:$B,ROW()-3),"")</f>
        <v/>
      </c>
      <c r="F23" s="3">
        <f>IFERROR(INDEX('Invite Builder'!$I:$I,ROW()-3),"")</f>
        <v/>
      </c>
      <c r="G23" s="3">
        <f>IFERROR(INDEX('Invite Builder'!$G:$G,ROW()-3),"")</f>
        <v/>
      </c>
      <c r="H23" s="3">
        <f>IFERROR(INDEX('Invite Builder'!$H:$H,ROW()-3),"")</f>
        <v/>
      </c>
      <c r="I23" s="3">
        <f>IFERROR(INDEX('Invite Builder'!$T:$T,ROW()-3),"")</f>
        <v/>
      </c>
      <c r="J23" s="54" t="n"/>
      <c r="K23" s="61" t="n"/>
      <c r="Q23" s="62" t="n"/>
    </row>
    <row r="24">
      <c r="A24" s="3">
        <f>IFERROR(INDEX('Invite Builder'!$A:$A,ROW()-3),"")</f>
        <v/>
      </c>
      <c r="B24" s="3">
        <f>IFERROR(INDEX('Invite Builder'!$C:$C,ROW()-3),"")</f>
        <v/>
      </c>
      <c r="C24" s="3">
        <f>IFERROR(INDEX('Invite Builder'!$D:$D,ROW()-3),"")</f>
        <v/>
      </c>
      <c r="D24" s="3">
        <f>IFERROR(INDEX('Invite Builder'!$E:$E,ROW()-3),"")</f>
        <v/>
      </c>
      <c r="E24" s="3">
        <f>IFERROR(INDEX('Invite Builder'!$B:$B,ROW()-3),"")</f>
        <v/>
      </c>
      <c r="F24" s="3">
        <f>IFERROR(INDEX('Invite Builder'!$I:$I,ROW()-3),"")</f>
        <v/>
      </c>
      <c r="G24" s="3">
        <f>IFERROR(INDEX('Invite Builder'!$G:$G,ROW()-3),"")</f>
        <v/>
      </c>
      <c r="H24" s="3">
        <f>IFERROR(INDEX('Invite Builder'!$H:$H,ROW()-3),"")</f>
        <v/>
      </c>
      <c r="I24" s="3">
        <f>IFERROR(INDEX('Invite Builder'!$T:$T,ROW()-3),"")</f>
        <v/>
      </c>
      <c r="J24" s="54" t="n"/>
      <c r="K24" s="61" t="n"/>
      <c r="Q24" s="62" t="n"/>
    </row>
    <row r="25">
      <c r="A25" s="3">
        <f>IFERROR(INDEX('Invite Builder'!$A:$A,ROW()-3),"")</f>
        <v/>
      </c>
      <c r="B25" s="3">
        <f>IFERROR(INDEX('Invite Builder'!$C:$C,ROW()-3),"")</f>
        <v/>
      </c>
      <c r="C25" s="3">
        <f>IFERROR(INDEX('Invite Builder'!$D:$D,ROW()-3),"")</f>
        <v/>
      </c>
      <c r="D25" s="3">
        <f>IFERROR(INDEX('Invite Builder'!$E:$E,ROW()-3),"")</f>
        <v/>
      </c>
      <c r="E25" s="3">
        <f>IFERROR(INDEX('Invite Builder'!$B:$B,ROW()-3),"")</f>
        <v/>
      </c>
      <c r="F25" s="3">
        <f>IFERROR(INDEX('Invite Builder'!$I:$I,ROW()-3),"")</f>
        <v/>
      </c>
      <c r="G25" s="3">
        <f>IFERROR(INDEX('Invite Builder'!$G:$G,ROW()-3),"")</f>
        <v/>
      </c>
      <c r="H25" s="3">
        <f>IFERROR(INDEX('Invite Builder'!$H:$H,ROW()-3),"")</f>
        <v/>
      </c>
      <c r="I25" s="3">
        <f>IFERROR(INDEX('Invite Builder'!$T:$T,ROW()-3),"")</f>
        <v/>
      </c>
      <c r="J25" s="54" t="n"/>
      <c r="K25" s="61" t="n"/>
      <c r="Q25" s="62" t="n"/>
    </row>
    <row r="26">
      <c r="A26" s="3">
        <f>IFERROR(INDEX('Invite Builder'!$A:$A,ROW()-3),"")</f>
        <v/>
      </c>
      <c r="B26" s="3">
        <f>IFERROR(INDEX('Invite Builder'!$C:$C,ROW()-3),"")</f>
        <v/>
      </c>
      <c r="C26" s="3">
        <f>IFERROR(INDEX('Invite Builder'!$D:$D,ROW()-3),"")</f>
        <v/>
      </c>
      <c r="D26" s="3">
        <f>IFERROR(INDEX('Invite Builder'!$E:$E,ROW()-3),"")</f>
        <v/>
      </c>
      <c r="E26" s="3">
        <f>IFERROR(INDEX('Invite Builder'!$B:$B,ROW()-3),"")</f>
        <v/>
      </c>
      <c r="F26" s="3">
        <f>IFERROR(INDEX('Invite Builder'!$I:$I,ROW()-3),"")</f>
        <v/>
      </c>
      <c r="G26" s="3">
        <f>IFERROR(INDEX('Invite Builder'!$G:$G,ROW()-3),"")</f>
        <v/>
      </c>
      <c r="H26" s="3">
        <f>IFERROR(INDEX('Invite Builder'!$H:$H,ROW()-3),"")</f>
        <v/>
      </c>
      <c r="I26" s="3">
        <f>IFERROR(INDEX('Invite Builder'!$T:$T,ROW()-3),"")</f>
        <v/>
      </c>
      <c r="J26" s="54" t="n"/>
      <c r="K26" s="61" t="n"/>
      <c r="Q26" s="62" t="n"/>
    </row>
    <row r="27">
      <c r="A27" s="3">
        <f>IFERROR(INDEX('Invite Builder'!$A:$A,ROW()-3),"")</f>
        <v/>
      </c>
      <c r="B27" s="3">
        <f>IFERROR(INDEX('Invite Builder'!$C:$C,ROW()-3),"")</f>
        <v/>
      </c>
      <c r="C27" s="3">
        <f>IFERROR(INDEX('Invite Builder'!$D:$D,ROW()-3),"")</f>
        <v/>
      </c>
      <c r="D27" s="3">
        <f>IFERROR(INDEX('Invite Builder'!$E:$E,ROW()-3),"")</f>
        <v/>
      </c>
      <c r="E27" s="3">
        <f>IFERROR(INDEX('Invite Builder'!$B:$B,ROW()-3),"")</f>
        <v/>
      </c>
      <c r="F27" s="3">
        <f>IFERROR(INDEX('Invite Builder'!$I:$I,ROW()-3),"")</f>
        <v/>
      </c>
      <c r="G27" s="3">
        <f>IFERROR(INDEX('Invite Builder'!$G:$G,ROW()-3),"")</f>
        <v/>
      </c>
      <c r="H27" s="3">
        <f>IFERROR(INDEX('Invite Builder'!$H:$H,ROW()-3),"")</f>
        <v/>
      </c>
      <c r="I27" s="3">
        <f>IFERROR(INDEX('Invite Builder'!$T:$T,ROW()-3),"")</f>
        <v/>
      </c>
      <c r="J27" s="54" t="n"/>
      <c r="K27" s="61" t="n"/>
      <c r="Q27" s="62" t="n"/>
    </row>
    <row r="28">
      <c r="A28" s="3">
        <f>IFERROR(INDEX('Invite Builder'!$A:$A,ROW()-3),"")</f>
        <v/>
      </c>
      <c r="B28" s="3">
        <f>IFERROR(INDEX('Invite Builder'!$C:$C,ROW()-3),"")</f>
        <v/>
      </c>
      <c r="C28" s="3">
        <f>IFERROR(INDEX('Invite Builder'!$D:$D,ROW()-3),"")</f>
        <v/>
      </c>
      <c r="D28" s="3">
        <f>IFERROR(INDEX('Invite Builder'!$E:$E,ROW()-3),"")</f>
        <v/>
      </c>
      <c r="E28" s="3">
        <f>IFERROR(INDEX('Invite Builder'!$B:$B,ROW()-3),"")</f>
        <v/>
      </c>
      <c r="F28" s="3">
        <f>IFERROR(INDEX('Invite Builder'!$I:$I,ROW()-3),"")</f>
        <v/>
      </c>
      <c r="G28" s="3">
        <f>IFERROR(INDEX('Invite Builder'!$G:$G,ROW()-3),"")</f>
        <v/>
      </c>
      <c r="H28" s="3">
        <f>IFERROR(INDEX('Invite Builder'!$H:$H,ROW()-3),"")</f>
        <v/>
      </c>
      <c r="I28" s="3">
        <f>IFERROR(INDEX('Invite Builder'!$T:$T,ROW()-3),"")</f>
        <v/>
      </c>
      <c r="J28" s="54" t="n"/>
      <c r="K28" s="63" t="n"/>
      <c r="L28" s="64" t="n"/>
      <c r="M28" s="64" t="n"/>
      <c r="N28" s="64" t="n"/>
      <c r="O28" s="64" t="n"/>
      <c r="P28" s="64" t="n"/>
      <c r="Q28" s="65" t="n"/>
    </row>
    <row r="29">
      <c r="A29" s="3">
        <f>IFERROR(INDEX('Invite Builder'!$A:$A,ROW()-3),"")</f>
        <v/>
      </c>
      <c r="B29" s="3">
        <f>IFERROR(INDEX('Invite Builder'!$C:$C,ROW()-3),"")</f>
        <v/>
      </c>
      <c r="C29" s="3">
        <f>IFERROR(INDEX('Invite Builder'!$D:$D,ROW()-3),"")</f>
        <v/>
      </c>
      <c r="D29" s="3">
        <f>IFERROR(INDEX('Invite Builder'!$E:$E,ROW()-3),"")</f>
        <v/>
      </c>
      <c r="E29" s="3">
        <f>IFERROR(INDEX('Invite Builder'!$B:$B,ROW()-3),"")</f>
        <v/>
      </c>
      <c r="F29" s="3">
        <f>IFERROR(INDEX('Invite Builder'!$I:$I,ROW()-3),"")</f>
        <v/>
      </c>
      <c r="G29" s="3">
        <f>IFERROR(INDEX('Invite Builder'!$G:$G,ROW()-3),"")</f>
        <v/>
      </c>
      <c r="H29" s="3">
        <f>IFERROR(INDEX('Invite Builder'!$H:$H,ROW()-3),"")</f>
        <v/>
      </c>
      <c r="I29" s="3">
        <f>IFERROR(INDEX('Invite Builder'!$T:$T,ROW()-3),"")</f>
        <v/>
      </c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>
      <c r="A30" s="3">
        <f>IFERROR(INDEX('Invite Builder'!$A:$A,ROW()-3),"")</f>
        <v/>
      </c>
      <c r="B30" s="3">
        <f>IFERROR(INDEX('Invite Builder'!$C:$C,ROW()-3),"")</f>
        <v/>
      </c>
      <c r="C30" s="3">
        <f>IFERROR(INDEX('Invite Builder'!$D:$D,ROW()-3),"")</f>
        <v/>
      </c>
      <c r="D30" s="3">
        <f>IFERROR(INDEX('Invite Builder'!$E:$E,ROW()-3),"")</f>
        <v/>
      </c>
      <c r="E30" s="3">
        <f>IFERROR(INDEX('Invite Builder'!$B:$B,ROW()-3),"")</f>
        <v/>
      </c>
      <c r="F30" s="3">
        <f>IFERROR(INDEX('Invite Builder'!$I:$I,ROW()-3),"")</f>
        <v/>
      </c>
      <c r="G30" s="3">
        <f>IFERROR(INDEX('Invite Builder'!$G:$G,ROW()-3),"")</f>
        <v/>
      </c>
      <c r="H30" s="3">
        <f>IFERROR(INDEX('Invite Builder'!$H:$H,ROW()-3),"")</f>
        <v/>
      </c>
      <c r="I30" s="3">
        <f>IFERROR(INDEX('Invite Builder'!$T:$T,ROW()-3),"")</f>
        <v/>
      </c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>
      <c r="A31" s="3">
        <f>IFERROR(INDEX('Invite Builder'!$A:$A,ROW()-3),"")</f>
        <v/>
      </c>
      <c r="B31" s="3">
        <f>IFERROR(INDEX('Invite Builder'!$C:$C,ROW()-3),"")</f>
        <v/>
      </c>
      <c r="C31" s="3">
        <f>IFERROR(INDEX('Invite Builder'!$D:$D,ROW()-3),"")</f>
        <v/>
      </c>
      <c r="D31" s="3">
        <f>IFERROR(INDEX('Invite Builder'!$E:$E,ROW()-3),"")</f>
        <v/>
      </c>
      <c r="E31" s="3">
        <f>IFERROR(INDEX('Invite Builder'!$B:$B,ROW()-3),"")</f>
        <v/>
      </c>
      <c r="F31" s="3">
        <f>IFERROR(INDEX('Invite Builder'!$I:$I,ROW()-3),"")</f>
        <v/>
      </c>
      <c r="G31" s="3">
        <f>IFERROR(INDEX('Invite Builder'!$G:$G,ROW()-3),"")</f>
        <v/>
      </c>
      <c r="H31" s="3">
        <f>IFERROR(INDEX('Invite Builder'!$H:$H,ROW()-3),"")</f>
        <v/>
      </c>
      <c r="I31" s="3">
        <f>IFERROR(INDEX('Invite Builder'!$T:$T,ROW()-3),"")</f>
        <v/>
      </c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>
      <c r="A32" s="3">
        <f>IFERROR(INDEX('Invite Builder'!$A:$A,ROW()-3),"")</f>
        <v/>
      </c>
      <c r="B32" s="3">
        <f>IFERROR(INDEX('Invite Builder'!$C:$C,ROW()-3),"")</f>
        <v/>
      </c>
      <c r="C32" s="3">
        <f>IFERROR(INDEX('Invite Builder'!$D:$D,ROW()-3),"")</f>
        <v/>
      </c>
      <c r="D32" s="3">
        <f>IFERROR(INDEX('Invite Builder'!$E:$E,ROW()-3),"")</f>
        <v/>
      </c>
      <c r="E32" s="3">
        <f>IFERROR(INDEX('Invite Builder'!$B:$B,ROW()-3),"")</f>
        <v/>
      </c>
      <c r="F32" s="3">
        <f>IFERROR(INDEX('Invite Builder'!$I:$I,ROW()-3),"")</f>
        <v/>
      </c>
      <c r="G32" s="3">
        <f>IFERROR(INDEX('Invite Builder'!$G:$G,ROW()-3),"")</f>
        <v/>
      </c>
      <c r="H32" s="3">
        <f>IFERROR(INDEX('Invite Builder'!$H:$H,ROW()-3),"")</f>
        <v/>
      </c>
      <c r="I32" s="3">
        <f>IFERROR(INDEX('Invite Builder'!$T:$T,ROW()-3),"")</f>
        <v/>
      </c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>
      <c r="A33" s="3">
        <f>IFERROR(INDEX('Invite Builder'!$A:$A,ROW()-3),"")</f>
        <v/>
      </c>
      <c r="B33" s="3">
        <f>IFERROR(INDEX('Invite Builder'!$C:$C,ROW()-3),"")</f>
        <v/>
      </c>
      <c r="C33" s="3">
        <f>IFERROR(INDEX('Invite Builder'!$D:$D,ROW()-3),"")</f>
        <v/>
      </c>
      <c r="D33" s="3">
        <f>IFERROR(INDEX('Invite Builder'!$E:$E,ROW()-3),"")</f>
        <v/>
      </c>
      <c r="E33" s="3">
        <f>IFERROR(INDEX('Invite Builder'!$B:$B,ROW()-3),"")</f>
        <v/>
      </c>
      <c r="F33" s="3">
        <f>IFERROR(INDEX('Invite Builder'!$I:$I,ROW()-3),"")</f>
        <v/>
      </c>
      <c r="G33" s="3">
        <f>IFERROR(INDEX('Invite Builder'!$G:$G,ROW()-3),"")</f>
        <v/>
      </c>
      <c r="H33" s="3">
        <f>IFERROR(INDEX('Invite Builder'!$H:$H,ROW()-3),"")</f>
        <v/>
      </c>
      <c r="I33" s="3">
        <f>IFERROR(INDEX('Invite Builder'!$T:$T,ROW()-3),"")</f>
        <v/>
      </c>
    </row>
    <row r="34">
      <c r="A34" s="3">
        <f>IFERROR(INDEX('Invite Builder'!$A:$A,ROW()-3),"")</f>
        <v/>
      </c>
      <c r="B34" s="3">
        <f>IFERROR(INDEX('Invite Builder'!$C:$C,ROW()-3),"")</f>
        <v/>
      </c>
      <c r="C34" s="3">
        <f>IFERROR(INDEX('Invite Builder'!$D:$D,ROW()-3),"")</f>
        <v/>
      </c>
      <c r="D34" s="3">
        <f>IFERROR(INDEX('Invite Builder'!$E:$E,ROW()-3),"")</f>
        <v/>
      </c>
      <c r="E34" s="3">
        <f>IFERROR(INDEX('Invite Builder'!$B:$B,ROW()-3),"")</f>
        <v/>
      </c>
      <c r="F34" s="3">
        <f>IFERROR(INDEX('Invite Builder'!$I:$I,ROW()-3),"")</f>
        <v/>
      </c>
      <c r="G34" s="3">
        <f>IFERROR(INDEX('Invite Builder'!$G:$G,ROW()-3),"")</f>
        <v/>
      </c>
      <c r="H34" s="3">
        <f>IFERROR(INDEX('Invite Builder'!$H:$H,ROW()-3),"")</f>
        <v/>
      </c>
      <c r="I34" s="3">
        <f>IFERROR(INDEX('Invite Builder'!$T:$T,ROW()-3),"")</f>
        <v/>
      </c>
    </row>
    <row r="35">
      <c r="A35" s="3">
        <f>IFERROR(INDEX('Invite Builder'!$A:$A,ROW()-3),"")</f>
        <v/>
      </c>
      <c r="B35" s="3">
        <f>IFERROR(INDEX('Invite Builder'!$C:$C,ROW()-3),"")</f>
        <v/>
      </c>
      <c r="C35" s="3">
        <f>IFERROR(INDEX('Invite Builder'!$D:$D,ROW()-3),"")</f>
        <v/>
      </c>
      <c r="D35" s="3">
        <f>IFERROR(INDEX('Invite Builder'!$E:$E,ROW()-3),"")</f>
        <v/>
      </c>
      <c r="E35" s="3">
        <f>IFERROR(INDEX('Invite Builder'!$B:$B,ROW()-3),"")</f>
        <v/>
      </c>
      <c r="F35" s="3">
        <f>IFERROR(INDEX('Invite Builder'!$I:$I,ROW()-3),"")</f>
        <v/>
      </c>
      <c r="G35" s="3">
        <f>IFERROR(INDEX('Invite Builder'!$G:$G,ROW()-3),"")</f>
        <v/>
      </c>
      <c r="H35" s="3">
        <f>IFERROR(INDEX('Invite Builder'!$H:$H,ROW()-3),"")</f>
        <v/>
      </c>
      <c r="I35" s="3">
        <f>IFERROR(INDEX('Invite Builder'!$T:$T,ROW()-3),"")</f>
        <v/>
      </c>
    </row>
    <row r="36">
      <c r="A36" s="3">
        <f>IFERROR(INDEX('Invite Builder'!$A:$A,ROW()-3),"")</f>
        <v/>
      </c>
      <c r="B36" s="3">
        <f>IFERROR(INDEX('Invite Builder'!$C:$C,ROW()-3),"")</f>
        <v/>
      </c>
      <c r="C36" s="3">
        <f>IFERROR(INDEX('Invite Builder'!$D:$D,ROW()-3),"")</f>
        <v/>
      </c>
      <c r="D36" s="3">
        <f>IFERROR(INDEX('Invite Builder'!$E:$E,ROW()-3),"")</f>
        <v/>
      </c>
      <c r="E36" s="3">
        <f>IFERROR(INDEX('Invite Builder'!$B:$B,ROW()-3),"")</f>
        <v/>
      </c>
      <c r="F36" s="3">
        <f>IFERROR(INDEX('Invite Builder'!$I:$I,ROW()-3),"")</f>
        <v/>
      </c>
      <c r="G36" s="3">
        <f>IFERROR(INDEX('Invite Builder'!$G:$G,ROW()-3),"")</f>
        <v/>
      </c>
      <c r="H36" s="3">
        <f>IFERROR(INDEX('Invite Builder'!$H:$H,ROW()-3),"")</f>
        <v/>
      </c>
      <c r="I36" s="3">
        <f>IFERROR(INDEX('Invite Builder'!$T:$T,ROW()-3),"")</f>
        <v/>
      </c>
    </row>
    <row r="37">
      <c r="A37" s="3">
        <f>IFERROR(INDEX('Invite Builder'!$A:$A,ROW()-3),"")</f>
        <v/>
      </c>
      <c r="B37" s="3">
        <f>IFERROR(INDEX('Invite Builder'!$C:$C,ROW()-3),"")</f>
        <v/>
      </c>
      <c r="C37" s="3">
        <f>IFERROR(INDEX('Invite Builder'!$D:$D,ROW()-3),"")</f>
        <v/>
      </c>
      <c r="D37" s="3">
        <f>IFERROR(INDEX('Invite Builder'!$E:$E,ROW()-3),"")</f>
        <v/>
      </c>
      <c r="E37" s="3">
        <f>IFERROR(INDEX('Invite Builder'!$B:$B,ROW()-3),"")</f>
        <v/>
      </c>
      <c r="F37" s="3">
        <f>IFERROR(INDEX('Invite Builder'!$I:$I,ROW()-3),"")</f>
        <v/>
      </c>
      <c r="G37" s="3">
        <f>IFERROR(INDEX('Invite Builder'!$G:$G,ROW()-3),"")</f>
        <v/>
      </c>
      <c r="H37" s="3">
        <f>IFERROR(INDEX('Invite Builder'!$H:$H,ROW()-3),"")</f>
        <v/>
      </c>
      <c r="I37" s="3">
        <f>IFERROR(INDEX('Invite Builder'!$T:$T,ROW()-3),"")</f>
        <v/>
      </c>
    </row>
    <row r="38">
      <c r="A38" s="3">
        <f>IFERROR(INDEX('Invite Builder'!$A:$A,ROW()-3),"")</f>
        <v/>
      </c>
      <c r="B38" s="3">
        <f>IFERROR(INDEX('Invite Builder'!$C:$C,ROW()-3),"")</f>
        <v/>
      </c>
      <c r="C38" s="3">
        <f>IFERROR(INDEX('Invite Builder'!$D:$D,ROW()-3),"")</f>
        <v/>
      </c>
      <c r="D38" s="3">
        <f>IFERROR(INDEX('Invite Builder'!$E:$E,ROW()-3),"")</f>
        <v/>
      </c>
      <c r="E38" s="3">
        <f>IFERROR(INDEX('Invite Builder'!$B:$B,ROW()-3),"")</f>
        <v/>
      </c>
      <c r="F38" s="3">
        <f>IFERROR(INDEX('Invite Builder'!$I:$I,ROW()-3),"")</f>
        <v/>
      </c>
      <c r="G38" s="3">
        <f>IFERROR(INDEX('Invite Builder'!$G:$G,ROW()-3),"")</f>
        <v/>
      </c>
      <c r="H38" s="3">
        <f>IFERROR(INDEX('Invite Builder'!$H:$H,ROW()-3),"")</f>
        <v/>
      </c>
      <c r="I38" s="3">
        <f>IFERROR(INDEX('Invite Builder'!$T:$T,ROW()-3),"")</f>
        <v/>
      </c>
    </row>
    <row r="39">
      <c r="A39" s="3">
        <f>IFERROR(INDEX('Invite Builder'!$A:$A,ROW()-3),"")</f>
        <v/>
      </c>
      <c r="B39" s="3">
        <f>IFERROR(INDEX('Invite Builder'!$C:$C,ROW()-3),"")</f>
        <v/>
      </c>
      <c r="C39" s="3">
        <f>IFERROR(INDEX('Invite Builder'!$D:$D,ROW()-3),"")</f>
        <v/>
      </c>
      <c r="D39" s="3">
        <f>IFERROR(INDEX('Invite Builder'!$E:$E,ROW()-3),"")</f>
        <v/>
      </c>
      <c r="E39" s="3">
        <f>IFERROR(INDEX('Invite Builder'!$B:$B,ROW()-3),"")</f>
        <v/>
      </c>
      <c r="F39" s="3">
        <f>IFERROR(INDEX('Invite Builder'!$I:$I,ROW()-3),"")</f>
        <v/>
      </c>
      <c r="G39" s="3">
        <f>IFERROR(INDEX('Invite Builder'!$G:$G,ROW()-3),"")</f>
        <v/>
      </c>
      <c r="H39" s="3">
        <f>IFERROR(INDEX('Invite Builder'!$H:$H,ROW()-3),"")</f>
        <v/>
      </c>
      <c r="I39" s="3">
        <f>IFERROR(INDEX('Invite Builder'!$T:$T,ROW()-3),"")</f>
        <v/>
      </c>
    </row>
    <row r="40">
      <c r="A40" s="3">
        <f>IFERROR(INDEX('Invite Builder'!$A:$A,ROW()-3),"")</f>
        <v/>
      </c>
      <c r="B40" s="3">
        <f>IFERROR(INDEX('Invite Builder'!$C:$C,ROW()-3),"")</f>
        <v/>
      </c>
      <c r="C40" s="3">
        <f>IFERROR(INDEX('Invite Builder'!$D:$D,ROW()-3),"")</f>
        <v/>
      </c>
      <c r="D40" s="3">
        <f>IFERROR(INDEX('Invite Builder'!$E:$E,ROW()-3),"")</f>
        <v/>
      </c>
      <c r="E40" s="3">
        <f>IFERROR(INDEX('Invite Builder'!$B:$B,ROW()-3),"")</f>
        <v/>
      </c>
      <c r="F40" s="3">
        <f>IFERROR(INDEX('Invite Builder'!$I:$I,ROW()-3),"")</f>
        <v/>
      </c>
      <c r="G40" s="3">
        <f>IFERROR(INDEX('Invite Builder'!$G:$G,ROW()-3),"")</f>
        <v/>
      </c>
      <c r="H40" s="3">
        <f>IFERROR(INDEX('Invite Builder'!$H:$H,ROW()-3),"")</f>
        <v/>
      </c>
      <c r="I40" s="3">
        <f>IFERROR(INDEX('Invite Builder'!$T:$T,ROW()-3),"")</f>
        <v/>
      </c>
    </row>
    <row r="41">
      <c r="A41" s="3">
        <f>IFERROR(INDEX('Invite Builder'!$A:$A,ROW()-3),"")</f>
        <v/>
      </c>
      <c r="B41" s="3">
        <f>IFERROR(INDEX('Invite Builder'!$C:$C,ROW()-3),"")</f>
        <v/>
      </c>
      <c r="C41" s="3">
        <f>IFERROR(INDEX('Invite Builder'!$D:$D,ROW()-3),"")</f>
        <v/>
      </c>
      <c r="D41" s="3">
        <f>IFERROR(INDEX('Invite Builder'!$E:$E,ROW()-3),"")</f>
        <v/>
      </c>
      <c r="E41" s="3">
        <f>IFERROR(INDEX('Invite Builder'!$B:$B,ROW()-3),"")</f>
        <v/>
      </c>
      <c r="F41" s="3">
        <f>IFERROR(INDEX('Invite Builder'!$I:$I,ROW()-3),"")</f>
        <v/>
      </c>
      <c r="G41" s="3">
        <f>IFERROR(INDEX('Invite Builder'!$G:$G,ROW()-3),"")</f>
        <v/>
      </c>
      <c r="H41" s="3">
        <f>IFERROR(INDEX('Invite Builder'!$H:$H,ROW()-3),"")</f>
        <v/>
      </c>
      <c r="I41" s="3">
        <f>IFERROR(INDEX('Invite Builder'!$T:$T,ROW()-3),"")</f>
        <v/>
      </c>
    </row>
    <row r="42">
      <c r="A42" s="3">
        <f>IFERROR(INDEX('Invite Builder'!$A:$A,ROW()-3),"")</f>
        <v/>
      </c>
      <c r="B42" s="3">
        <f>IFERROR(INDEX('Invite Builder'!$C:$C,ROW()-3),"")</f>
        <v/>
      </c>
      <c r="C42" s="3">
        <f>IFERROR(INDEX('Invite Builder'!$D:$D,ROW()-3),"")</f>
        <v/>
      </c>
      <c r="D42" s="3">
        <f>IFERROR(INDEX('Invite Builder'!$E:$E,ROW()-3),"")</f>
        <v/>
      </c>
      <c r="E42" s="3">
        <f>IFERROR(INDEX('Invite Builder'!$B:$B,ROW()-3),"")</f>
        <v/>
      </c>
      <c r="F42" s="3">
        <f>IFERROR(INDEX('Invite Builder'!$I:$I,ROW()-3),"")</f>
        <v/>
      </c>
      <c r="G42" s="3">
        <f>IFERROR(INDEX('Invite Builder'!$G:$G,ROW()-3),"")</f>
        <v/>
      </c>
      <c r="H42" s="3">
        <f>IFERROR(INDEX('Invite Builder'!$H:$H,ROW()-3),"")</f>
        <v/>
      </c>
      <c r="I42" s="3">
        <f>IFERROR(INDEX('Invite Builder'!$T:$T,ROW()-3),"")</f>
        <v/>
      </c>
    </row>
    <row r="43">
      <c r="A43" s="3">
        <f>IFERROR(INDEX('Invite Builder'!$A:$A,ROW()-3),"")</f>
        <v/>
      </c>
      <c r="B43" s="3">
        <f>IFERROR(INDEX('Invite Builder'!$C:$C,ROW()-3),"")</f>
        <v/>
      </c>
      <c r="C43" s="3">
        <f>IFERROR(INDEX('Invite Builder'!$D:$D,ROW()-3),"")</f>
        <v/>
      </c>
      <c r="D43" s="3">
        <f>IFERROR(INDEX('Invite Builder'!$E:$E,ROW()-3),"")</f>
        <v/>
      </c>
      <c r="E43" s="3">
        <f>IFERROR(INDEX('Invite Builder'!$B:$B,ROW()-3),"")</f>
        <v/>
      </c>
      <c r="F43" s="3">
        <f>IFERROR(INDEX('Invite Builder'!$I:$I,ROW()-3),"")</f>
        <v/>
      </c>
      <c r="G43" s="3">
        <f>IFERROR(INDEX('Invite Builder'!$G:$G,ROW()-3),"")</f>
        <v/>
      </c>
      <c r="H43" s="3">
        <f>IFERROR(INDEX('Invite Builder'!$H:$H,ROW()-3),"")</f>
        <v/>
      </c>
      <c r="I43" s="3">
        <f>IFERROR(INDEX('Invite Builder'!$T:$T,ROW()-3),"")</f>
        <v/>
      </c>
    </row>
    <row r="44">
      <c r="A44" s="3">
        <f>IFERROR(INDEX('Invite Builder'!$A:$A,ROW()-3),"")</f>
        <v/>
      </c>
      <c r="B44" s="3">
        <f>IFERROR(INDEX('Invite Builder'!$C:$C,ROW()-3),"")</f>
        <v/>
      </c>
      <c r="C44" s="3">
        <f>IFERROR(INDEX('Invite Builder'!$D:$D,ROW()-3),"")</f>
        <v/>
      </c>
      <c r="D44" s="3">
        <f>IFERROR(INDEX('Invite Builder'!$E:$E,ROW()-3),"")</f>
        <v/>
      </c>
      <c r="E44" s="3">
        <f>IFERROR(INDEX('Invite Builder'!$B:$B,ROW()-3),"")</f>
        <v/>
      </c>
      <c r="F44" s="3">
        <f>IFERROR(INDEX('Invite Builder'!$I:$I,ROW()-3),"")</f>
        <v/>
      </c>
      <c r="G44" s="3">
        <f>IFERROR(INDEX('Invite Builder'!$G:$G,ROW()-3),"")</f>
        <v/>
      </c>
      <c r="H44" s="3">
        <f>IFERROR(INDEX('Invite Builder'!$H:$H,ROW()-3),"")</f>
        <v/>
      </c>
      <c r="I44" s="3">
        <f>IFERROR(INDEX('Invite Builder'!$T:$T,ROW()-3),"")</f>
        <v/>
      </c>
    </row>
    <row r="45">
      <c r="A45" s="3">
        <f>IFERROR(INDEX('Invite Builder'!$A:$A,ROW()-3),"")</f>
        <v/>
      </c>
      <c r="B45" s="3">
        <f>IFERROR(INDEX('Invite Builder'!$C:$C,ROW()-3),"")</f>
        <v/>
      </c>
      <c r="C45" s="3">
        <f>IFERROR(INDEX('Invite Builder'!$D:$D,ROW()-3),"")</f>
        <v/>
      </c>
      <c r="D45" s="3">
        <f>IFERROR(INDEX('Invite Builder'!$E:$E,ROW()-3),"")</f>
        <v/>
      </c>
      <c r="E45" s="3">
        <f>IFERROR(INDEX('Invite Builder'!$B:$B,ROW()-3),"")</f>
        <v/>
      </c>
      <c r="F45" s="3">
        <f>IFERROR(INDEX('Invite Builder'!$I:$I,ROW()-3),"")</f>
        <v/>
      </c>
      <c r="G45" s="3">
        <f>IFERROR(INDEX('Invite Builder'!$G:$G,ROW()-3),"")</f>
        <v/>
      </c>
      <c r="H45" s="3">
        <f>IFERROR(INDEX('Invite Builder'!$H:$H,ROW()-3),"")</f>
        <v/>
      </c>
      <c r="I45" s="3">
        <f>IFERROR(INDEX('Invite Builder'!$T:$T,ROW()-3),"")</f>
        <v/>
      </c>
    </row>
    <row r="46">
      <c r="A46" s="3">
        <f>IFERROR(INDEX('Invite Builder'!$A:$A,ROW()-3),"")</f>
        <v/>
      </c>
      <c r="B46" s="3">
        <f>IFERROR(INDEX('Invite Builder'!$C:$C,ROW()-3),"")</f>
        <v/>
      </c>
      <c r="C46" s="3">
        <f>IFERROR(INDEX('Invite Builder'!$D:$D,ROW()-3),"")</f>
        <v/>
      </c>
      <c r="D46" s="3">
        <f>IFERROR(INDEX('Invite Builder'!$E:$E,ROW()-3),"")</f>
        <v/>
      </c>
      <c r="E46" s="3">
        <f>IFERROR(INDEX('Invite Builder'!$B:$B,ROW()-3),"")</f>
        <v/>
      </c>
      <c r="F46" s="3">
        <f>IFERROR(INDEX('Invite Builder'!$I:$I,ROW()-3),"")</f>
        <v/>
      </c>
      <c r="G46" s="3">
        <f>IFERROR(INDEX('Invite Builder'!$G:$G,ROW()-3),"")</f>
        <v/>
      </c>
      <c r="H46" s="3">
        <f>IFERROR(INDEX('Invite Builder'!$H:$H,ROW()-3),"")</f>
        <v/>
      </c>
      <c r="I46" s="3">
        <f>IFERROR(INDEX('Invite Builder'!$T:$T,ROW()-3),"")</f>
        <v/>
      </c>
    </row>
    <row r="47">
      <c r="A47" s="3">
        <f>IFERROR(INDEX('Invite Builder'!$A:$A,ROW()-3),"")</f>
        <v/>
      </c>
      <c r="B47" s="3">
        <f>IFERROR(INDEX('Invite Builder'!$C:$C,ROW()-3),"")</f>
        <v/>
      </c>
      <c r="C47" s="3">
        <f>IFERROR(INDEX('Invite Builder'!$D:$D,ROW()-3),"")</f>
        <v/>
      </c>
      <c r="D47" s="3">
        <f>IFERROR(INDEX('Invite Builder'!$E:$E,ROW()-3),"")</f>
        <v/>
      </c>
      <c r="E47" s="3">
        <f>IFERROR(INDEX('Invite Builder'!$B:$B,ROW()-3),"")</f>
        <v/>
      </c>
      <c r="F47" s="3">
        <f>IFERROR(INDEX('Invite Builder'!$I:$I,ROW()-3),"")</f>
        <v/>
      </c>
      <c r="G47" s="3">
        <f>IFERROR(INDEX('Invite Builder'!$G:$G,ROW()-3),"")</f>
        <v/>
      </c>
      <c r="H47" s="3">
        <f>IFERROR(INDEX('Invite Builder'!$H:$H,ROW()-3),"")</f>
        <v/>
      </c>
      <c r="I47" s="3">
        <f>IFERROR(INDEX('Invite Builder'!$T:$T,ROW()-3),"")</f>
        <v/>
      </c>
    </row>
    <row r="48">
      <c r="A48" s="3">
        <f>IFERROR(INDEX('Invite Builder'!$A:$A,ROW()-3),"")</f>
        <v/>
      </c>
      <c r="B48" s="3">
        <f>IFERROR(INDEX('Invite Builder'!$C:$C,ROW()-3),"")</f>
        <v/>
      </c>
      <c r="C48" s="3">
        <f>IFERROR(INDEX('Invite Builder'!$D:$D,ROW()-3),"")</f>
        <v/>
      </c>
      <c r="D48" s="3">
        <f>IFERROR(INDEX('Invite Builder'!$E:$E,ROW()-3),"")</f>
        <v/>
      </c>
      <c r="E48" s="3">
        <f>IFERROR(INDEX('Invite Builder'!$B:$B,ROW()-3),"")</f>
        <v/>
      </c>
      <c r="F48" s="3">
        <f>IFERROR(INDEX('Invite Builder'!$I:$I,ROW()-3),"")</f>
        <v/>
      </c>
      <c r="G48" s="3">
        <f>IFERROR(INDEX('Invite Builder'!$G:$G,ROW()-3),"")</f>
        <v/>
      </c>
      <c r="H48" s="3">
        <f>IFERROR(INDEX('Invite Builder'!$H:$H,ROW()-3),"")</f>
        <v/>
      </c>
      <c r="I48" s="3">
        <f>IFERROR(INDEX('Invite Builder'!$T:$T,ROW()-3),"")</f>
        <v/>
      </c>
    </row>
    <row r="49">
      <c r="A49" s="3">
        <f>IFERROR(INDEX('Invite Builder'!$A:$A,ROW()-3),"")</f>
        <v/>
      </c>
      <c r="B49" s="3">
        <f>IFERROR(INDEX('Invite Builder'!$C:$C,ROW()-3),"")</f>
        <v/>
      </c>
      <c r="C49" s="3">
        <f>IFERROR(INDEX('Invite Builder'!$D:$D,ROW()-3),"")</f>
        <v/>
      </c>
      <c r="D49" s="3">
        <f>IFERROR(INDEX('Invite Builder'!$E:$E,ROW()-3),"")</f>
        <v/>
      </c>
      <c r="E49" s="3">
        <f>IFERROR(INDEX('Invite Builder'!$B:$B,ROW()-3),"")</f>
        <v/>
      </c>
      <c r="F49" s="3">
        <f>IFERROR(INDEX('Invite Builder'!$I:$I,ROW()-3),"")</f>
        <v/>
      </c>
      <c r="G49" s="3">
        <f>IFERROR(INDEX('Invite Builder'!$G:$G,ROW()-3),"")</f>
        <v/>
      </c>
      <c r="H49" s="3">
        <f>IFERROR(INDEX('Invite Builder'!$H:$H,ROW()-3),"")</f>
        <v/>
      </c>
      <c r="I49" s="3">
        <f>IFERROR(INDEX('Invite Builder'!$T:$T,ROW()-3),"")</f>
        <v/>
      </c>
    </row>
    <row r="50">
      <c r="A50" s="3">
        <f>IFERROR(INDEX('Invite Builder'!$A:$A,ROW()-3),"")</f>
        <v/>
      </c>
      <c r="B50" s="3">
        <f>IFERROR(INDEX('Invite Builder'!$C:$C,ROW()-3),"")</f>
        <v/>
      </c>
      <c r="C50" s="3">
        <f>IFERROR(INDEX('Invite Builder'!$D:$D,ROW()-3),"")</f>
        <v/>
      </c>
      <c r="D50" s="3">
        <f>IFERROR(INDEX('Invite Builder'!$E:$E,ROW()-3),"")</f>
        <v/>
      </c>
      <c r="E50" s="3">
        <f>IFERROR(INDEX('Invite Builder'!$B:$B,ROW()-3),"")</f>
        <v/>
      </c>
      <c r="F50" s="3">
        <f>IFERROR(INDEX('Invite Builder'!$I:$I,ROW()-3),"")</f>
        <v/>
      </c>
      <c r="G50" s="3">
        <f>IFERROR(INDEX('Invite Builder'!$G:$G,ROW()-3),"")</f>
        <v/>
      </c>
      <c r="H50" s="3">
        <f>IFERROR(INDEX('Invite Builder'!$H:$H,ROW()-3),"")</f>
        <v/>
      </c>
      <c r="I50" s="3">
        <f>IFERROR(INDEX('Invite Builder'!$T:$T,ROW()-3),"")</f>
        <v/>
      </c>
    </row>
    <row r="51">
      <c r="A51" s="3">
        <f>IFERROR(INDEX('Invite Builder'!$A:$A,ROW()-3),"")</f>
        <v/>
      </c>
      <c r="B51" s="3">
        <f>IFERROR(INDEX('Invite Builder'!$C:$C,ROW()-3),"")</f>
        <v/>
      </c>
      <c r="C51" s="3">
        <f>IFERROR(INDEX('Invite Builder'!$D:$D,ROW()-3),"")</f>
        <v/>
      </c>
      <c r="D51" s="3">
        <f>IFERROR(INDEX('Invite Builder'!$E:$E,ROW()-3),"")</f>
        <v/>
      </c>
      <c r="E51" s="3">
        <f>IFERROR(INDEX('Invite Builder'!$B:$B,ROW()-3),"")</f>
        <v/>
      </c>
      <c r="F51" s="3">
        <f>IFERROR(INDEX('Invite Builder'!$I:$I,ROW()-3),"")</f>
        <v/>
      </c>
      <c r="G51" s="3">
        <f>IFERROR(INDEX('Invite Builder'!$G:$G,ROW()-3),"")</f>
        <v/>
      </c>
      <c r="H51" s="3">
        <f>IFERROR(INDEX('Invite Builder'!$H:$H,ROW()-3),"")</f>
        <v/>
      </c>
      <c r="I51" s="3">
        <f>IFERROR(INDEX('Invite Builder'!$T:$T,ROW()-3),"")</f>
        <v/>
      </c>
    </row>
    <row r="52">
      <c r="A52" s="3">
        <f>IFERROR(INDEX('Invite Builder'!$A:$A,ROW()-3),"")</f>
        <v/>
      </c>
      <c r="B52" s="3">
        <f>IFERROR(INDEX('Invite Builder'!$C:$C,ROW()-3),"")</f>
        <v/>
      </c>
      <c r="C52" s="3">
        <f>IFERROR(INDEX('Invite Builder'!$D:$D,ROW()-3),"")</f>
        <v/>
      </c>
      <c r="D52" s="3">
        <f>IFERROR(INDEX('Invite Builder'!$E:$E,ROW()-3),"")</f>
        <v/>
      </c>
      <c r="E52" s="3">
        <f>IFERROR(INDEX('Invite Builder'!$B:$B,ROW()-3),"")</f>
        <v/>
      </c>
      <c r="F52" s="3">
        <f>IFERROR(INDEX('Invite Builder'!$I:$I,ROW()-3),"")</f>
        <v/>
      </c>
      <c r="G52" s="3">
        <f>IFERROR(INDEX('Invite Builder'!$G:$G,ROW()-3),"")</f>
        <v/>
      </c>
      <c r="H52" s="3">
        <f>IFERROR(INDEX('Invite Builder'!$H:$H,ROW()-3),"")</f>
        <v/>
      </c>
      <c r="I52" s="3">
        <f>IFERROR(INDEX('Invite Builder'!$T:$T,ROW()-3),"")</f>
        <v/>
      </c>
    </row>
    <row r="53">
      <c r="A53" s="3">
        <f>IFERROR(INDEX('Invite Builder'!$A:$A,ROW()-3),"")</f>
        <v/>
      </c>
      <c r="B53" s="3">
        <f>IFERROR(INDEX('Invite Builder'!$C:$C,ROW()-3),"")</f>
        <v/>
      </c>
      <c r="C53" s="3">
        <f>IFERROR(INDEX('Invite Builder'!$D:$D,ROW()-3),"")</f>
        <v/>
      </c>
      <c r="D53" s="3">
        <f>IFERROR(INDEX('Invite Builder'!$E:$E,ROW()-3),"")</f>
        <v/>
      </c>
      <c r="E53" s="3">
        <f>IFERROR(INDEX('Invite Builder'!$B:$B,ROW()-3),"")</f>
        <v/>
      </c>
      <c r="F53" s="3">
        <f>IFERROR(INDEX('Invite Builder'!$I:$I,ROW()-3),"")</f>
        <v/>
      </c>
      <c r="G53" s="3">
        <f>IFERROR(INDEX('Invite Builder'!$G:$G,ROW()-3),"")</f>
        <v/>
      </c>
      <c r="H53" s="3">
        <f>IFERROR(INDEX('Invite Builder'!$H:$H,ROW()-3),"")</f>
        <v/>
      </c>
      <c r="I53" s="3">
        <f>IFERROR(INDEX('Invite Builder'!$T:$T,ROW()-3),"")</f>
        <v/>
      </c>
    </row>
    <row r="54">
      <c r="A54" s="3">
        <f>IFERROR(INDEX('Invite Builder'!$A:$A,ROW()-3),"")</f>
        <v/>
      </c>
      <c r="B54" s="3">
        <f>IFERROR(INDEX('Invite Builder'!$C:$C,ROW()-3),"")</f>
        <v/>
      </c>
      <c r="C54" s="3">
        <f>IFERROR(INDEX('Invite Builder'!$D:$D,ROW()-3),"")</f>
        <v/>
      </c>
      <c r="D54" s="3">
        <f>IFERROR(INDEX('Invite Builder'!$E:$E,ROW()-3),"")</f>
        <v/>
      </c>
      <c r="E54" s="3">
        <f>IFERROR(INDEX('Invite Builder'!$B:$B,ROW()-3),"")</f>
        <v/>
      </c>
      <c r="F54" s="3">
        <f>IFERROR(INDEX('Invite Builder'!$I:$I,ROW()-3),"")</f>
        <v/>
      </c>
      <c r="G54" s="3">
        <f>IFERROR(INDEX('Invite Builder'!$G:$G,ROW()-3),"")</f>
        <v/>
      </c>
      <c r="H54" s="3">
        <f>IFERROR(INDEX('Invite Builder'!$H:$H,ROW()-3),"")</f>
        <v/>
      </c>
      <c r="I54" s="3">
        <f>IFERROR(INDEX('Invite Builder'!$T:$T,ROW()-3),"")</f>
        <v/>
      </c>
    </row>
    <row r="55">
      <c r="A55" s="3">
        <f>IFERROR(INDEX('Invite Builder'!$A:$A,ROW()-3),"")</f>
        <v/>
      </c>
      <c r="B55" s="3">
        <f>IFERROR(INDEX('Invite Builder'!$C:$C,ROW()-3),"")</f>
        <v/>
      </c>
      <c r="C55" s="3">
        <f>IFERROR(INDEX('Invite Builder'!$D:$D,ROW()-3),"")</f>
        <v/>
      </c>
      <c r="D55" s="3">
        <f>IFERROR(INDEX('Invite Builder'!$E:$E,ROW()-3),"")</f>
        <v/>
      </c>
      <c r="E55" s="3">
        <f>IFERROR(INDEX('Invite Builder'!$B:$B,ROW()-3),"")</f>
        <v/>
      </c>
      <c r="F55" s="3">
        <f>IFERROR(INDEX('Invite Builder'!$I:$I,ROW()-3),"")</f>
        <v/>
      </c>
      <c r="G55" s="3">
        <f>IFERROR(INDEX('Invite Builder'!$G:$G,ROW()-3),"")</f>
        <v/>
      </c>
      <c r="H55" s="3">
        <f>IFERROR(INDEX('Invite Builder'!$H:$H,ROW()-3),"")</f>
        <v/>
      </c>
      <c r="I55" s="3">
        <f>IFERROR(INDEX('Invite Builder'!$T:$T,ROW()-3),"")</f>
        <v/>
      </c>
    </row>
    <row r="56">
      <c r="A56" s="3">
        <f>IFERROR(INDEX('Invite Builder'!$A:$A,ROW()-3),"")</f>
        <v/>
      </c>
      <c r="B56" s="3">
        <f>IFERROR(INDEX('Invite Builder'!$C:$C,ROW()-3),"")</f>
        <v/>
      </c>
      <c r="C56" s="3">
        <f>IFERROR(INDEX('Invite Builder'!$D:$D,ROW()-3),"")</f>
        <v/>
      </c>
      <c r="D56" s="3">
        <f>IFERROR(INDEX('Invite Builder'!$E:$E,ROW()-3),"")</f>
        <v/>
      </c>
      <c r="E56" s="3">
        <f>IFERROR(INDEX('Invite Builder'!$B:$B,ROW()-3),"")</f>
        <v/>
      </c>
      <c r="F56" s="3">
        <f>IFERROR(INDEX('Invite Builder'!$I:$I,ROW()-3),"")</f>
        <v/>
      </c>
      <c r="G56" s="3">
        <f>IFERROR(INDEX('Invite Builder'!$G:$G,ROW()-3),"")</f>
        <v/>
      </c>
      <c r="H56" s="3">
        <f>IFERROR(INDEX('Invite Builder'!$H:$H,ROW()-3),"")</f>
        <v/>
      </c>
      <c r="I56" s="3">
        <f>IFERROR(INDEX('Invite Builder'!$T:$T,ROW()-3),"")</f>
        <v/>
      </c>
    </row>
    <row r="57">
      <c r="A57" s="3">
        <f>IFERROR(INDEX('Invite Builder'!$A:$A,ROW()-3),"")</f>
        <v/>
      </c>
      <c r="B57" s="3">
        <f>IFERROR(INDEX('Invite Builder'!$C:$C,ROW()-3),"")</f>
        <v/>
      </c>
      <c r="C57" s="3">
        <f>IFERROR(INDEX('Invite Builder'!$D:$D,ROW()-3),"")</f>
        <v/>
      </c>
      <c r="D57" s="3">
        <f>IFERROR(INDEX('Invite Builder'!$E:$E,ROW()-3),"")</f>
        <v/>
      </c>
      <c r="E57" s="3">
        <f>IFERROR(INDEX('Invite Builder'!$B:$B,ROW()-3),"")</f>
        <v/>
      </c>
      <c r="F57" s="3">
        <f>IFERROR(INDEX('Invite Builder'!$I:$I,ROW()-3),"")</f>
        <v/>
      </c>
      <c r="G57" s="3">
        <f>IFERROR(INDEX('Invite Builder'!$G:$G,ROW()-3),"")</f>
        <v/>
      </c>
      <c r="H57" s="3">
        <f>IFERROR(INDEX('Invite Builder'!$H:$H,ROW()-3),"")</f>
        <v/>
      </c>
      <c r="I57" s="3">
        <f>IFERROR(INDEX('Invite Builder'!$T:$T,ROW()-3),"")</f>
        <v/>
      </c>
    </row>
    <row r="58">
      <c r="A58" s="3">
        <f>IFERROR(INDEX('Invite Builder'!$A:$A,ROW()-3),"")</f>
        <v/>
      </c>
      <c r="B58" s="3">
        <f>IFERROR(INDEX('Invite Builder'!$C:$C,ROW()-3),"")</f>
        <v/>
      </c>
      <c r="C58" s="3">
        <f>IFERROR(INDEX('Invite Builder'!$D:$D,ROW()-3),"")</f>
        <v/>
      </c>
      <c r="D58" s="3">
        <f>IFERROR(INDEX('Invite Builder'!$E:$E,ROW()-3),"")</f>
        <v/>
      </c>
      <c r="E58" s="3">
        <f>IFERROR(INDEX('Invite Builder'!$B:$B,ROW()-3),"")</f>
        <v/>
      </c>
      <c r="F58" s="3">
        <f>IFERROR(INDEX('Invite Builder'!$I:$I,ROW()-3),"")</f>
        <v/>
      </c>
      <c r="G58" s="3">
        <f>IFERROR(INDEX('Invite Builder'!$G:$G,ROW()-3),"")</f>
        <v/>
      </c>
      <c r="H58" s="3">
        <f>IFERROR(INDEX('Invite Builder'!$H:$H,ROW()-3),"")</f>
        <v/>
      </c>
      <c r="I58" s="3">
        <f>IFERROR(INDEX('Invite Builder'!$T:$T,ROW()-3),"")</f>
        <v/>
      </c>
    </row>
    <row r="59">
      <c r="A59" s="3">
        <f>IFERROR(INDEX('Invite Builder'!$A:$A,ROW()-3),"")</f>
        <v/>
      </c>
      <c r="B59" s="3">
        <f>IFERROR(INDEX('Invite Builder'!$C:$C,ROW()-3),"")</f>
        <v/>
      </c>
      <c r="C59" s="3">
        <f>IFERROR(INDEX('Invite Builder'!$D:$D,ROW()-3),"")</f>
        <v/>
      </c>
      <c r="D59" s="3">
        <f>IFERROR(INDEX('Invite Builder'!$E:$E,ROW()-3),"")</f>
        <v/>
      </c>
      <c r="E59" s="3">
        <f>IFERROR(INDEX('Invite Builder'!$B:$B,ROW()-3),"")</f>
        <v/>
      </c>
      <c r="F59" s="3">
        <f>IFERROR(INDEX('Invite Builder'!$I:$I,ROW()-3),"")</f>
        <v/>
      </c>
      <c r="G59" s="3">
        <f>IFERROR(INDEX('Invite Builder'!$G:$G,ROW()-3),"")</f>
        <v/>
      </c>
      <c r="H59" s="3">
        <f>IFERROR(INDEX('Invite Builder'!$H:$H,ROW()-3),"")</f>
        <v/>
      </c>
      <c r="I59" s="3">
        <f>IFERROR(INDEX('Invite Builder'!$T:$T,ROW()-3),"")</f>
        <v/>
      </c>
    </row>
    <row r="60">
      <c r="A60" s="3">
        <f>IFERROR(INDEX('Invite Builder'!$A:$A,ROW()-3),"")</f>
        <v/>
      </c>
      <c r="B60" s="3">
        <f>IFERROR(INDEX('Invite Builder'!$C:$C,ROW()-3),"")</f>
        <v/>
      </c>
      <c r="C60" s="3">
        <f>IFERROR(INDEX('Invite Builder'!$D:$D,ROW()-3),"")</f>
        <v/>
      </c>
      <c r="D60" s="3">
        <f>IFERROR(INDEX('Invite Builder'!$E:$E,ROW()-3),"")</f>
        <v/>
      </c>
      <c r="E60" s="3">
        <f>IFERROR(INDEX('Invite Builder'!$B:$B,ROW()-3),"")</f>
        <v/>
      </c>
      <c r="F60" s="3">
        <f>IFERROR(INDEX('Invite Builder'!$I:$I,ROW()-3),"")</f>
        <v/>
      </c>
      <c r="G60" s="3">
        <f>IFERROR(INDEX('Invite Builder'!$G:$G,ROW()-3),"")</f>
        <v/>
      </c>
      <c r="H60" s="3">
        <f>IFERROR(INDEX('Invite Builder'!$H:$H,ROW()-3),"")</f>
        <v/>
      </c>
      <c r="I60" s="3">
        <f>IFERROR(INDEX('Invite Builder'!$T:$T,ROW()-3),"")</f>
        <v/>
      </c>
    </row>
    <row r="61">
      <c r="A61" s="3">
        <f>IFERROR(INDEX('Invite Builder'!$A:$A,ROW()-3),"")</f>
        <v/>
      </c>
      <c r="B61" s="3">
        <f>IFERROR(INDEX('Invite Builder'!$C:$C,ROW()-3),"")</f>
        <v/>
      </c>
      <c r="C61" s="3">
        <f>IFERROR(INDEX('Invite Builder'!$D:$D,ROW()-3),"")</f>
        <v/>
      </c>
      <c r="D61" s="3">
        <f>IFERROR(INDEX('Invite Builder'!$E:$E,ROW()-3),"")</f>
        <v/>
      </c>
      <c r="E61" s="3">
        <f>IFERROR(INDEX('Invite Builder'!$B:$B,ROW()-3),"")</f>
        <v/>
      </c>
      <c r="F61" s="3">
        <f>IFERROR(INDEX('Invite Builder'!$I:$I,ROW()-3),"")</f>
        <v/>
      </c>
      <c r="G61" s="3">
        <f>IFERROR(INDEX('Invite Builder'!$G:$G,ROW()-3),"")</f>
        <v/>
      </c>
      <c r="H61" s="3">
        <f>IFERROR(INDEX('Invite Builder'!$H:$H,ROW()-3),"")</f>
        <v/>
      </c>
      <c r="I61" s="3">
        <f>IFERROR(INDEX('Invite Builder'!$T:$T,ROW()-3),"")</f>
        <v/>
      </c>
    </row>
    <row r="62">
      <c r="A62" s="3">
        <f>IFERROR(INDEX('Invite Builder'!$A:$A,ROW()-3),"")</f>
        <v/>
      </c>
      <c r="B62" s="3">
        <f>IFERROR(INDEX('Invite Builder'!$C:$C,ROW()-3),"")</f>
        <v/>
      </c>
      <c r="C62" s="3">
        <f>IFERROR(INDEX('Invite Builder'!$D:$D,ROW()-3),"")</f>
        <v/>
      </c>
      <c r="D62" s="3">
        <f>IFERROR(INDEX('Invite Builder'!$E:$E,ROW()-3),"")</f>
        <v/>
      </c>
      <c r="E62" s="3">
        <f>IFERROR(INDEX('Invite Builder'!$B:$B,ROW()-3),"")</f>
        <v/>
      </c>
      <c r="F62" s="3">
        <f>IFERROR(INDEX('Invite Builder'!$I:$I,ROW()-3),"")</f>
        <v/>
      </c>
      <c r="G62" s="3">
        <f>IFERROR(INDEX('Invite Builder'!$G:$G,ROW()-3),"")</f>
        <v/>
      </c>
      <c r="H62" s="3">
        <f>IFERROR(INDEX('Invite Builder'!$H:$H,ROW()-3),"")</f>
        <v/>
      </c>
      <c r="I62" s="3">
        <f>IFERROR(INDEX('Invite Builder'!$T:$T,ROW()-3),"")</f>
        <v/>
      </c>
    </row>
    <row r="63">
      <c r="A63" s="3">
        <f>IFERROR(INDEX('Invite Builder'!$A:$A,ROW()-3),"")</f>
        <v/>
      </c>
      <c r="B63" s="3">
        <f>IFERROR(INDEX('Invite Builder'!$C:$C,ROW()-3),"")</f>
        <v/>
      </c>
      <c r="C63" s="3">
        <f>IFERROR(INDEX('Invite Builder'!$D:$D,ROW()-3),"")</f>
        <v/>
      </c>
      <c r="D63" s="3">
        <f>IFERROR(INDEX('Invite Builder'!$E:$E,ROW()-3),"")</f>
        <v/>
      </c>
      <c r="E63" s="3">
        <f>IFERROR(INDEX('Invite Builder'!$B:$B,ROW()-3),"")</f>
        <v/>
      </c>
      <c r="F63" s="3">
        <f>IFERROR(INDEX('Invite Builder'!$I:$I,ROW()-3),"")</f>
        <v/>
      </c>
      <c r="G63" s="3">
        <f>IFERROR(INDEX('Invite Builder'!$G:$G,ROW()-3),"")</f>
        <v/>
      </c>
      <c r="H63" s="3">
        <f>IFERROR(INDEX('Invite Builder'!$H:$H,ROW()-3),"")</f>
        <v/>
      </c>
      <c r="I63" s="3">
        <f>IFERROR(INDEX('Invite Builder'!$T:$T,ROW()-3),"")</f>
        <v/>
      </c>
    </row>
    <row r="64">
      <c r="A64" s="3">
        <f>IFERROR(INDEX('Invite Builder'!$A:$A,ROW()-3),"")</f>
        <v/>
      </c>
      <c r="B64" s="3">
        <f>IFERROR(INDEX('Invite Builder'!$C:$C,ROW()-3),"")</f>
        <v/>
      </c>
      <c r="C64" s="3">
        <f>IFERROR(INDEX('Invite Builder'!$D:$D,ROW()-3),"")</f>
        <v/>
      </c>
      <c r="D64" s="3">
        <f>IFERROR(INDEX('Invite Builder'!$E:$E,ROW()-3),"")</f>
        <v/>
      </c>
      <c r="E64" s="3">
        <f>IFERROR(INDEX('Invite Builder'!$B:$B,ROW()-3),"")</f>
        <v/>
      </c>
      <c r="F64" s="3">
        <f>IFERROR(INDEX('Invite Builder'!$I:$I,ROW()-3),"")</f>
        <v/>
      </c>
      <c r="G64" s="3">
        <f>IFERROR(INDEX('Invite Builder'!$G:$G,ROW()-3),"")</f>
        <v/>
      </c>
      <c r="H64" s="3">
        <f>IFERROR(INDEX('Invite Builder'!$H:$H,ROW()-3),"")</f>
        <v/>
      </c>
      <c r="I64" s="3">
        <f>IFERROR(INDEX('Invite Builder'!$T:$T,ROW()-3),"")</f>
        <v/>
      </c>
    </row>
    <row r="65">
      <c r="A65" s="3">
        <f>IFERROR(INDEX('Invite Builder'!$A:$A,ROW()-3),"")</f>
        <v/>
      </c>
      <c r="B65" s="3">
        <f>IFERROR(INDEX('Invite Builder'!$C:$C,ROW()-3),"")</f>
        <v/>
      </c>
      <c r="C65" s="3">
        <f>IFERROR(INDEX('Invite Builder'!$D:$D,ROW()-3),"")</f>
        <v/>
      </c>
      <c r="D65" s="3">
        <f>IFERROR(INDEX('Invite Builder'!$E:$E,ROW()-3),"")</f>
        <v/>
      </c>
      <c r="E65" s="3">
        <f>IFERROR(INDEX('Invite Builder'!$B:$B,ROW()-3),"")</f>
        <v/>
      </c>
      <c r="F65" s="3">
        <f>IFERROR(INDEX('Invite Builder'!$I:$I,ROW()-3),"")</f>
        <v/>
      </c>
      <c r="G65" s="3">
        <f>IFERROR(INDEX('Invite Builder'!$G:$G,ROW()-3),"")</f>
        <v/>
      </c>
      <c r="H65" s="3">
        <f>IFERROR(INDEX('Invite Builder'!$H:$H,ROW()-3),"")</f>
        <v/>
      </c>
      <c r="I65" s="3">
        <f>IFERROR(INDEX('Invite Builder'!$T:$T,ROW()-3),"")</f>
        <v/>
      </c>
    </row>
    <row r="66">
      <c r="A66" s="3">
        <f>IFERROR(INDEX('Invite Builder'!$A:$A,ROW()-3),"")</f>
        <v/>
      </c>
      <c r="B66" s="3">
        <f>IFERROR(INDEX('Invite Builder'!$C:$C,ROW()-3),"")</f>
        <v/>
      </c>
      <c r="C66" s="3">
        <f>IFERROR(INDEX('Invite Builder'!$D:$D,ROW()-3),"")</f>
        <v/>
      </c>
      <c r="D66" s="3">
        <f>IFERROR(INDEX('Invite Builder'!$E:$E,ROW()-3),"")</f>
        <v/>
      </c>
      <c r="E66" s="3">
        <f>IFERROR(INDEX('Invite Builder'!$B:$B,ROW()-3),"")</f>
        <v/>
      </c>
      <c r="F66" s="3">
        <f>IFERROR(INDEX('Invite Builder'!$I:$I,ROW()-3),"")</f>
        <v/>
      </c>
      <c r="G66" s="3">
        <f>IFERROR(INDEX('Invite Builder'!$G:$G,ROW()-3),"")</f>
        <v/>
      </c>
      <c r="H66" s="3">
        <f>IFERROR(INDEX('Invite Builder'!$H:$H,ROW()-3),"")</f>
        <v/>
      </c>
      <c r="I66" s="3">
        <f>IFERROR(INDEX('Invite Builder'!$T:$T,ROW()-3),"")</f>
        <v/>
      </c>
    </row>
    <row r="67">
      <c r="A67" s="3">
        <f>IFERROR(INDEX('Invite Builder'!$A:$A,ROW()-3),"")</f>
        <v/>
      </c>
      <c r="B67" s="3">
        <f>IFERROR(INDEX('Invite Builder'!$C:$C,ROW()-3),"")</f>
        <v/>
      </c>
      <c r="C67" s="3">
        <f>IFERROR(INDEX('Invite Builder'!$D:$D,ROW()-3),"")</f>
        <v/>
      </c>
      <c r="D67" s="3">
        <f>IFERROR(INDEX('Invite Builder'!$E:$E,ROW()-3),"")</f>
        <v/>
      </c>
      <c r="E67" s="3">
        <f>IFERROR(INDEX('Invite Builder'!$B:$B,ROW()-3),"")</f>
        <v/>
      </c>
      <c r="F67" s="3">
        <f>IFERROR(INDEX('Invite Builder'!$I:$I,ROW()-3),"")</f>
        <v/>
      </c>
      <c r="G67" s="3">
        <f>IFERROR(INDEX('Invite Builder'!$G:$G,ROW()-3),"")</f>
        <v/>
      </c>
      <c r="H67" s="3">
        <f>IFERROR(INDEX('Invite Builder'!$H:$H,ROW()-3),"")</f>
        <v/>
      </c>
      <c r="I67" s="3">
        <f>IFERROR(INDEX('Invite Builder'!$T:$T,ROW()-3),"")</f>
        <v/>
      </c>
    </row>
    <row r="68">
      <c r="A68" s="3">
        <f>IFERROR(INDEX('Invite Builder'!$A:$A,ROW()-3),"")</f>
        <v/>
      </c>
      <c r="B68" s="3">
        <f>IFERROR(INDEX('Invite Builder'!$C:$C,ROW()-3),"")</f>
        <v/>
      </c>
      <c r="C68" s="3">
        <f>IFERROR(INDEX('Invite Builder'!$D:$D,ROW()-3),"")</f>
        <v/>
      </c>
      <c r="D68" s="3">
        <f>IFERROR(INDEX('Invite Builder'!$E:$E,ROW()-3),"")</f>
        <v/>
      </c>
      <c r="E68" s="3">
        <f>IFERROR(INDEX('Invite Builder'!$B:$B,ROW()-3),"")</f>
        <v/>
      </c>
      <c r="F68" s="3">
        <f>IFERROR(INDEX('Invite Builder'!$I:$I,ROW()-3),"")</f>
        <v/>
      </c>
      <c r="G68" s="3">
        <f>IFERROR(INDEX('Invite Builder'!$G:$G,ROW()-3),"")</f>
        <v/>
      </c>
      <c r="H68" s="3">
        <f>IFERROR(INDEX('Invite Builder'!$H:$H,ROW()-3),"")</f>
        <v/>
      </c>
      <c r="I68" s="3">
        <f>IFERROR(INDEX('Invite Builder'!$T:$T,ROW()-3),"")</f>
        <v/>
      </c>
    </row>
    <row r="69">
      <c r="A69" s="3">
        <f>IFERROR(INDEX('Invite Builder'!$A:$A,ROW()-3),"")</f>
        <v/>
      </c>
      <c r="B69" s="3">
        <f>IFERROR(INDEX('Invite Builder'!$C:$C,ROW()-3),"")</f>
        <v/>
      </c>
      <c r="C69" s="3">
        <f>IFERROR(INDEX('Invite Builder'!$D:$D,ROW()-3),"")</f>
        <v/>
      </c>
      <c r="D69" s="3">
        <f>IFERROR(INDEX('Invite Builder'!$E:$E,ROW()-3),"")</f>
        <v/>
      </c>
      <c r="E69" s="3">
        <f>IFERROR(INDEX('Invite Builder'!$B:$B,ROW()-3),"")</f>
        <v/>
      </c>
      <c r="F69" s="3">
        <f>IFERROR(INDEX('Invite Builder'!$I:$I,ROW()-3),"")</f>
        <v/>
      </c>
      <c r="G69" s="3">
        <f>IFERROR(INDEX('Invite Builder'!$G:$G,ROW()-3),"")</f>
        <v/>
      </c>
      <c r="H69" s="3">
        <f>IFERROR(INDEX('Invite Builder'!$H:$H,ROW()-3),"")</f>
        <v/>
      </c>
      <c r="I69" s="3">
        <f>IFERROR(INDEX('Invite Builder'!$T:$T,ROW()-3),"")</f>
        <v/>
      </c>
    </row>
    <row r="70">
      <c r="A70" s="3">
        <f>IFERROR(INDEX('Invite Builder'!$A:$A,ROW()-3),"")</f>
        <v/>
      </c>
      <c r="B70" s="3">
        <f>IFERROR(INDEX('Invite Builder'!$C:$C,ROW()-3),"")</f>
        <v/>
      </c>
      <c r="C70" s="3">
        <f>IFERROR(INDEX('Invite Builder'!$D:$D,ROW()-3),"")</f>
        <v/>
      </c>
      <c r="D70" s="3">
        <f>IFERROR(INDEX('Invite Builder'!$E:$E,ROW()-3),"")</f>
        <v/>
      </c>
      <c r="E70" s="3">
        <f>IFERROR(INDEX('Invite Builder'!$B:$B,ROW()-3),"")</f>
        <v/>
      </c>
      <c r="F70" s="3">
        <f>IFERROR(INDEX('Invite Builder'!$I:$I,ROW()-3),"")</f>
        <v/>
      </c>
      <c r="G70" s="3">
        <f>IFERROR(INDEX('Invite Builder'!$G:$G,ROW()-3),"")</f>
        <v/>
      </c>
      <c r="H70" s="3">
        <f>IFERROR(INDEX('Invite Builder'!$H:$H,ROW()-3),"")</f>
        <v/>
      </c>
      <c r="I70" s="3">
        <f>IFERROR(INDEX('Invite Builder'!$T:$T,ROW()-3),"")</f>
        <v/>
      </c>
    </row>
    <row r="71">
      <c r="A71" s="3">
        <f>IFERROR(INDEX('Invite Builder'!$A:$A,ROW()-3),"")</f>
        <v/>
      </c>
      <c r="B71" s="3">
        <f>IFERROR(INDEX('Invite Builder'!$C:$C,ROW()-3),"")</f>
        <v/>
      </c>
      <c r="C71" s="3">
        <f>IFERROR(INDEX('Invite Builder'!$D:$D,ROW()-3),"")</f>
        <v/>
      </c>
      <c r="D71" s="3">
        <f>IFERROR(INDEX('Invite Builder'!$E:$E,ROW()-3),"")</f>
        <v/>
      </c>
      <c r="E71" s="3">
        <f>IFERROR(INDEX('Invite Builder'!$B:$B,ROW()-3),"")</f>
        <v/>
      </c>
      <c r="F71" s="3">
        <f>IFERROR(INDEX('Invite Builder'!$I:$I,ROW()-3),"")</f>
        <v/>
      </c>
      <c r="G71" s="3">
        <f>IFERROR(INDEX('Invite Builder'!$G:$G,ROW()-3),"")</f>
        <v/>
      </c>
      <c r="H71" s="3">
        <f>IFERROR(INDEX('Invite Builder'!$H:$H,ROW()-3),"")</f>
        <v/>
      </c>
      <c r="I71" s="3">
        <f>IFERROR(INDEX('Invite Builder'!$T:$T,ROW()-3),"")</f>
        <v/>
      </c>
    </row>
    <row r="72">
      <c r="A72" s="3">
        <f>IFERROR(INDEX('Invite Builder'!$A:$A,ROW()-3),"")</f>
        <v/>
      </c>
      <c r="B72" s="3">
        <f>IFERROR(INDEX('Invite Builder'!$C:$C,ROW()-3),"")</f>
        <v/>
      </c>
      <c r="C72" s="3">
        <f>IFERROR(INDEX('Invite Builder'!$D:$D,ROW()-3),"")</f>
        <v/>
      </c>
      <c r="D72" s="3">
        <f>IFERROR(INDEX('Invite Builder'!$E:$E,ROW()-3),"")</f>
        <v/>
      </c>
      <c r="E72" s="3">
        <f>IFERROR(INDEX('Invite Builder'!$B:$B,ROW()-3),"")</f>
        <v/>
      </c>
      <c r="F72" s="3">
        <f>IFERROR(INDEX('Invite Builder'!$I:$I,ROW()-3),"")</f>
        <v/>
      </c>
      <c r="G72" s="3">
        <f>IFERROR(INDEX('Invite Builder'!$G:$G,ROW()-3),"")</f>
        <v/>
      </c>
      <c r="H72" s="3">
        <f>IFERROR(INDEX('Invite Builder'!$H:$H,ROW()-3),"")</f>
        <v/>
      </c>
      <c r="I72" s="3">
        <f>IFERROR(INDEX('Invite Builder'!$T:$T,ROW()-3),"")</f>
        <v/>
      </c>
    </row>
    <row r="73">
      <c r="A73" s="3">
        <f>IFERROR(INDEX('Invite Builder'!$A:$A,ROW()-3),"")</f>
        <v/>
      </c>
      <c r="B73" s="3">
        <f>IFERROR(INDEX('Invite Builder'!$C:$C,ROW()-3),"")</f>
        <v/>
      </c>
      <c r="C73" s="3">
        <f>IFERROR(INDEX('Invite Builder'!$D:$D,ROW()-3),"")</f>
        <v/>
      </c>
      <c r="D73" s="3">
        <f>IFERROR(INDEX('Invite Builder'!$E:$E,ROW()-3),"")</f>
        <v/>
      </c>
      <c r="E73" s="3">
        <f>IFERROR(INDEX('Invite Builder'!$B:$B,ROW()-3),"")</f>
        <v/>
      </c>
      <c r="F73" s="3">
        <f>IFERROR(INDEX('Invite Builder'!$I:$I,ROW()-3),"")</f>
        <v/>
      </c>
      <c r="G73" s="3">
        <f>IFERROR(INDEX('Invite Builder'!$G:$G,ROW()-3),"")</f>
        <v/>
      </c>
      <c r="H73" s="3">
        <f>IFERROR(INDEX('Invite Builder'!$H:$H,ROW()-3),"")</f>
        <v/>
      </c>
      <c r="I73" s="3">
        <f>IFERROR(INDEX('Invite Builder'!$T:$T,ROW()-3),"")</f>
        <v/>
      </c>
    </row>
    <row r="74">
      <c r="A74" s="3">
        <f>IFERROR(INDEX('Invite Builder'!$A:$A,ROW()-3),"")</f>
        <v/>
      </c>
      <c r="B74" s="3">
        <f>IFERROR(INDEX('Invite Builder'!$C:$C,ROW()-3),"")</f>
        <v/>
      </c>
      <c r="C74" s="3">
        <f>IFERROR(INDEX('Invite Builder'!$D:$D,ROW()-3),"")</f>
        <v/>
      </c>
      <c r="D74" s="3">
        <f>IFERROR(INDEX('Invite Builder'!$E:$E,ROW()-3),"")</f>
        <v/>
      </c>
      <c r="E74" s="3">
        <f>IFERROR(INDEX('Invite Builder'!$B:$B,ROW()-3),"")</f>
        <v/>
      </c>
      <c r="F74" s="3">
        <f>IFERROR(INDEX('Invite Builder'!$I:$I,ROW()-3),"")</f>
        <v/>
      </c>
      <c r="G74" s="3">
        <f>IFERROR(INDEX('Invite Builder'!$G:$G,ROW()-3),"")</f>
        <v/>
      </c>
      <c r="H74" s="3">
        <f>IFERROR(INDEX('Invite Builder'!$H:$H,ROW()-3),"")</f>
        <v/>
      </c>
      <c r="I74" s="3">
        <f>IFERROR(INDEX('Invite Builder'!$T:$T,ROW()-3),"")</f>
        <v/>
      </c>
    </row>
    <row r="75">
      <c r="A75" s="3">
        <f>IFERROR(INDEX('Invite Builder'!$A:$A,ROW()-3),"")</f>
        <v/>
      </c>
      <c r="B75" s="3">
        <f>IFERROR(INDEX('Invite Builder'!$C:$C,ROW()-3),"")</f>
        <v/>
      </c>
      <c r="C75" s="3">
        <f>IFERROR(INDEX('Invite Builder'!$D:$D,ROW()-3),"")</f>
        <v/>
      </c>
      <c r="D75" s="3">
        <f>IFERROR(INDEX('Invite Builder'!$E:$E,ROW()-3),"")</f>
        <v/>
      </c>
      <c r="E75" s="3">
        <f>IFERROR(INDEX('Invite Builder'!$B:$B,ROW()-3),"")</f>
        <v/>
      </c>
      <c r="F75" s="3">
        <f>IFERROR(INDEX('Invite Builder'!$I:$I,ROW()-3),"")</f>
        <v/>
      </c>
      <c r="G75" s="3">
        <f>IFERROR(INDEX('Invite Builder'!$G:$G,ROW()-3),"")</f>
        <v/>
      </c>
      <c r="H75" s="3">
        <f>IFERROR(INDEX('Invite Builder'!$H:$H,ROW()-3),"")</f>
        <v/>
      </c>
      <c r="I75" s="3">
        <f>IFERROR(INDEX('Invite Builder'!$T:$T,ROW()-3),"")</f>
        <v/>
      </c>
    </row>
    <row r="76">
      <c r="A76" s="3">
        <f>IFERROR(INDEX('Invite Builder'!$A:$A,ROW()-3),"")</f>
        <v/>
      </c>
      <c r="B76" s="3">
        <f>IFERROR(INDEX('Invite Builder'!$C:$C,ROW()-3),"")</f>
        <v/>
      </c>
      <c r="C76" s="3">
        <f>IFERROR(INDEX('Invite Builder'!$D:$D,ROW()-3),"")</f>
        <v/>
      </c>
      <c r="D76" s="3">
        <f>IFERROR(INDEX('Invite Builder'!$E:$E,ROW()-3),"")</f>
        <v/>
      </c>
      <c r="E76" s="3">
        <f>IFERROR(INDEX('Invite Builder'!$B:$B,ROW()-3),"")</f>
        <v/>
      </c>
      <c r="F76" s="3">
        <f>IFERROR(INDEX('Invite Builder'!$I:$I,ROW()-3),"")</f>
        <v/>
      </c>
      <c r="G76" s="3">
        <f>IFERROR(INDEX('Invite Builder'!$G:$G,ROW()-3),"")</f>
        <v/>
      </c>
      <c r="H76" s="3">
        <f>IFERROR(INDEX('Invite Builder'!$H:$H,ROW()-3),"")</f>
        <v/>
      </c>
      <c r="I76" s="3">
        <f>IFERROR(INDEX('Invite Builder'!$T:$T,ROW()-3),"")</f>
        <v/>
      </c>
    </row>
    <row r="77">
      <c r="A77" s="3">
        <f>IFERROR(INDEX('Invite Builder'!$A:$A,ROW()-3),"")</f>
        <v/>
      </c>
      <c r="B77" s="3">
        <f>IFERROR(INDEX('Invite Builder'!$C:$C,ROW()-3),"")</f>
        <v/>
      </c>
      <c r="C77" s="3">
        <f>IFERROR(INDEX('Invite Builder'!$D:$D,ROW()-3),"")</f>
        <v/>
      </c>
      <c r="D77" s="3">
        <f>IFERROR(INDEX('Invite Builder'!$E:$E,ROW()-3),"")</f>
        <v/>
      </c>
      <c r="E77" s="3">
        <f>IFERROR(INDEX('Invite Builder'!$B:$B,ROW()-3),"")</f>
        <v/>
      </c>
      <c r="F77" s="3">
        <f>IFERROR(INDEX('Invite Builder'!$I:$I,ROW()-3),"")</f>
        <v/>
      </c>
      <c r="G77" s="3">
        <f>IFERROR(INDEX('Invite Builder'!$G:$G,ROW()-3),"")</f>
        <v/>
      </c>
      <c r="H77" s="3">
        <f>IFERROR(INDEX('Invite Builder'!$H:$H,ROW()-3),"")</f>
        <v/>
      </c>
      <c r="I77" s="3">
        <f>IFERROR(INDEX('Invite Builder'!$T:$T,ROW()-3),"")</f>
        <v/>
      </c>
    </row>
    <row r="78">
      <c r="A78" s="3">
        <f>IFERROR(INDEX('Invite Builder'!$A:$A,ROW()-3),"")</f>
        <v/>
      </c>
      <c r="B78" s="3">
        <f>IFERROR(INDEX('Invite Builder'!$C:$C,ROW()-3),"")</f>
        <v/>
      </c>
      <c r="C78" s="3">
        <f>IFERROR(INDEX('Invite Builder'!$D:$D,ROW()-3),"")</f>
        <v/>
      </c>
      <c r="D78" s="3">
        <f>IFERROR(INDEX('Invite Builder'!$E:$E,ROW()-3),"")</f>
        <v/>
      </c>
      <c r="E78" s="3">
        <f>IFERROR(INDEX('Invite Builder'!$B:$B,ROW()-3),"")</f>
        <v/>
      </c>
      <c r="F78" s="3">
        <f>IFERROR(INDEX('Invite Builder'!$I:$I,ROW()-3),"")</f>
        <v/>
      </c>
      <c r="G78" s="3">
        <f>IFERROR(INDEX('Invite Builder'!$G:$G,ROW()-3),"")</f>
        <v/>
      </c>
      <c r="H78" s="3">
        <f>IFERROR(INDEX('Invite Builder'!$H:$H,ROW()-3),"")</f>
        <v/>
      </c>
      <c r="I78" s="3">
        <f>IFERROR(INDEX('Invite Builder'!$T:$T,ROW()-3),"")</f>
        <v/>
      </c>
    </row>
    <row r="79">
      <c r="A79" s="3">
        <f>IFERROR(INDEX('Invite Builder'!$A:$A,ROW()-3),"")</f>
        <v/>
      </c>
      <c r="B79" s="3">
        <f>IFERROR(INDEX('Invite Builder'!$C:$C,ROW()-3),"")</f>
        <v/>
      </c>
      <c r="C79" s="3">
        <f>IFERROR(INDEX('Invite Builder'!$D:$D,ROW()-3),"")</f>
        <v/>
      </c>
      <c r="D79" s="3">
        <f>IFERROR(INDEX('Invite Builder'!$E:$E,ROW()-3),"")</f>
        <v/>
      </c>
      <c r="E79" s="3">
        <f>IFERROR(INDEX('Invite Builder'!$B:$B,ROW()-3),"")</f>
        <v/>
      </c>
      <c r="F79" s="3">
        <f>IFERROR(INDEX('Invite Builder'!$I:$I,ROW()-3),"")</f>
        <v/>
      </c>
      <c r="G79" s="3">
        <f>IFERROR(INDEX('Invite Builder'!$G:$G,ROW()-3),"")</f>
        <v/>
      </c>
      <c r="H79" s="3">
        <f>IFERROR(INDEX('Invite Builder'!$H:$H,ROW()-3),"")</f>
        <v/>
      </c>
      <c r="I79" s="3">
        <f>IFERROR(INDEX('Invite Builder'!$T:$T,ROW()-3),"")</f>
        <v/>
      </c>
    </row>
    <row r="80">
      <c r="A80" s="3">
        <f>IFERROR(INDEX('Invite Builder'!$A:$A,ROW()-3),"")</f>
        <v/>
      </c>
      <c r="B80" s="3">
        <f>IFERROR(INDEX('Invite Builder'!$C:$C,ROW()-3),"")</f>
        <v/>
      </c>
      <c r="C80" s="3">
        <f>IFERROR(INDEX('Invite Builder'!$D:$D,ROW()-3),"")</f>
        <v/>
      </c>
      <c r="D80" s="3">
        <f>IFERROR(INDEX('Invite Builder'!$E:$E,ROW()-3),"")</f>
        <v/>
      </c>
      <c r="E80" s="3">
        <f>IFERROR(INDEX('Invite Builder'!$B:$B,ROW()-3),"")</f>
        <v/>
      </c>
      <c r="F80" s="3">
        <f>IFERROR(INDEX('Invite Builder'!$I:$I,ROW()-3),"")</f>
        <v/>
      </c>
      <c r="G80" s="3">
        <f>IFERROR(INDEX('Invite Builder'!$G:$G,ROW()-3),"")</f>
        <v/>
      </c>
      <c r="H80" s="3">
        <f>IFERROR(INDEX('Invite Builder'!$H:$H,ROW()-3),"")</f>
        <v/>
      </c>
      <c r="I80" s="3">
        <f>IFERROR(INDEX('Invite Builder'!$T:$T,ROW()-3),"")</f>
        <v/>
      </c>
    </row>
    <row r="81">
      <c r="A81" s="3">
        <f>IFERROR(INDEX('Invite Builder'!$A:$A,ROW()-3),"")</f>
        <v/>
      </c>
      <c r="B81" s="3">
        <f>IFERROR(INDEX('Invite Builder'!$C:$C,ROW()-3),"")</f>
        <v/>
      </c>
      <c r="C81" s="3">
        <f>IFERROR(INDEX('Invite Builder'!$D:$D,ROW()-3),"")</f>
        <v/>
      </c>
      <c r="D81" s="3">
        <f>IFERROR(INDEX('Invite Builder'!$E:$E,ROW()-3),"")</f>
        <v/>
      </c>
      <c r="E81" s="3">
        <f>IFERROR(INDEX('Invite Builder'!$B:$B,ROW()-3),"")</f>
        <v/>
      </c>
      <c r="F81" s="3">
        <f>IFERROR(INDEX('Invite Builder'!$I:$I,ROW()-3),"")</f>
        <v/>
      </c>
      <c r="G81" s="3">
        <f>IFERROR(INDEX('Invite Builder'!$G:$G,ROW()-3),"")</f>
        <v/>
      </c>
      <c r="H81" s="3">
        <f>IFERROR(INDEX('Invite Builder'!$H:$H,ROW()-3),"")</f>
        <v/>
      </c>
      <c r="I81" s="3">
        <f>IFERROR(INDEX('Invite Builder'!$T:$T,ROW()-3),"")</f>
        <v/>
      </c>
    </row>
    <row r="82">
      <c r="A82" s="3">
        <f>IFERROR(INDEX('Invite Builder'!$A:$A,ROW()-3),"")</f>
        <v/>
      </c>
      <c r="B82" s="3">
        <f>IFERROR(INDEX('Invite Builder'!$C:$C,ROW()-3),"")</f>
        <v/>
      </c>
      <c r="C82" s="3">
        <f>IFERROR(INDEX('Invite Builder'!$D:$D,ROW()-3),"")</f>
        <v/>
      </c>
      <c r="D82" s="3">
        <f>IFERROR(INDEX('Invite Builder'!$E:$E,ROW()-3),"")</f>
        <v/>
      </c>
      <c r="E82" s="3">
        <f>IFERROR(INDEX('Invite Builder'!$B:$B,ROW()-3),"")</f>
        <v/>
      </c>
      <c r="F82" s="3">
        <f>IFERROR(INDEX('Invite Builder'!$I:$I,ROW()-3),"")</f>
        <v/>
      </c>
      <c r="G82" s="3">
        <f>IFERROR(INDEX('Invite Builder'!$G:$G,ROW()-3),"")</f>
        <v/>
      </c>
      <c r="H82" s="3">
        <f>IFERROR(INDEX('Invite Builder'!$H:$H,ROW()-3),"")</f>
        <v/>
      </c>
      <c r="I82" s="3">
        <f>IFERROR(INDEX('Invite Builder'!$T:$T,ROW()-3),"")</f>
        <v/>
      </c>
    </row>
    <row r="83">
      <c r="A83" s="3">
        <f>IFERROR(INDEX('Invite Builder'!$A:$A,ROW()-3),"")</f>
        <v/>
      </c>
      <c r="B83" s="3">
        <f>IFERROR(INDEX('Invite Builder'!$C:$C,ROW()-3),"")</f>
        <v/>
      </c>
      <c r="C83" s="3">
        <f>IFERROR(INDEX('Invite Builder'!$D:$D,ROW()-3),"")</f>
        <v/>
      </c>
      <c r="D83" s="3">
        <f>IFERROR(INDEX('Invite Builder'!$E:$E,ROW()-3),"")</f>
        <v/>
      </c>
      <c r="E83" s="3">
        <f>IFERROR(INDEX('Invite Builder'!$B:$B,ROW()-3),"")</f>
        <v/>
      </c>
      <c r="F83" s="3">
        <f>IFERROR(INDEX('Invite Builder'!$I:$I,ROW()-3),"")</f>
        <v/>
      </c>
      <c r="G83" s="3">
        <f>IFERROR(INDEX('Invite Builder'!$G:$G,ROW()-3),"")</f>
        <v/>
      </c>
      <c r="H83" s="3">
        <f>IFERROR(INDEX('Invite Builder'!$H:$H,ROW()-3),"")</f>
        <v/>
      </c>
      <c r="I83" s="3">
        <f>IFERROR(INDEX('Invite Builder'!$T:$T,ROW()-3),"")</f>
        <v/>
      </c>
    </row>
    <row r="84">
      <c r="A84" s="3">
        <f>IFERROR(INDEX('Invite Builder'!$A:$A,ROW()-3),"")</f>
        <v/>
      </c>
      <c r="B84" s="3">
        <f>IFERROR(INDEX('Invite Builder'!$C:$C,ROW()-3),"")</f>
        <v/>
      </c>
      <c r="C84" s="3">
        <f>IFERROR(INDEX('Invite Builder'!$D:$D,ROW()-3),"")</f>
        <v/>
      </c>
      <c r="D84" s="3">
        <f>IFERROR(INDEX('Invite Builder'!$E:$E,ROW()-3),"")</f>
        <v/>
      </c>
      <c r="E84" s="3">
        <f>IFERROR(INDEX('Invite Builder'!$B:$B,ROW()-3),"")</f>
        <v/>
      </c>
      <c r="F84" s="3">
        <f>IFERROR(INDEX('Invite Builder'!$I:$I,ROW()-3),"")</f>
        <v/>
      </c>
      <c r="G84" s="3">
        <f>IFERROR(INDEX('Invite Builder'!$G:$G,ROW()-3),"")</f>
        <v/>
      </c>
      <c r="H84" s="3">
        <f>IFERROR(INDEX('Invite Builder'!$H:$H,ROW()-3),"")</f>
        <v/>
      </c>
      <c r="I84" s="3">
        <f>IFERROR(INDEX('Invite Builder'!$T:$T,ROW()-3),"")</f>
        <v/>
      </c>
    </row>
    <row r="85">
      <c r="A85" s="3">
        <f>IFERROR(INDEX('Invite Builder'!$A:$A,ROW()-3),"")</f>
        <v/>
      </c>
      <c r="B85" s="3">
        <f>IFERROR(INDEX('Invite Builder'!$C:$C,ROW()-3),"")</f>
        <v/>
      </c>
      <c r="C85" s="3">
        <f>IFERROR(INDEX('Invite Builder'!$D:$D,ROW()-3),"")</f>
        <v/>
      </c>
      <c r="D85" s="3">
        <f>IFERROR(INDEX('Invite Builder'!$E:$E,ROW()-3),"")</f>
        <v/>
      </c>
      <c r="E85" s="3">
        <f>IFERROR(INDEX('Invite Builder'!$B:$B,ROW()-3),"")</f>
        <v/>
      </c>
      <c r="F85" s="3">
        <f>IFERROR(INDEX('Invite Builder'!$I:$I,ROW()-3),"")</f>
        <v/>
      </c>
      <c r="G85" s="3">
        <f>IFERROR(INDEX('Invite Builder'!$G:$G,ROW()-3),"")</f>
        <v/>
      </c>
      <c r="H85" s="3">
        <f>IFERROR(INDEX('Invite Builder'!$H:$H,ROW()-3),"")</f>
        <v/>
      </c>
      <c r="I85" s="3">
        <f>IFERROR(INDEX('Invite Builder'!$T:$T,ROW()-3),"")</f>
        <v/>
      </c>
    </row>
    <row r="86">
      <c r="A86" s="3">
        <f>IFERROR(INDEX('Invite Builder'!$A:$A,ROW()-3),"")</f>
        <v/>
      </c>
      <c r="B86" s="3">
        <f>IFERROR(INDEX('Invite Builder'!$C:$C,ROW()-3),"")</f>
        <v/>
      </c>
      <c r="C86" s="3">
        <f>IFERROR(INDEX('Invite Builder'!$D:$D,ROW()-3),"")</f>
        <v/>
      </c>
      <c r="D86" s="3">
        <f>IFERROR(INDEX('Invite Builder'!$E:$E,ROW()-3),"")</f>
        <v/>
      </c>
      <c r="E86" s="3">
        <f>IFERROR(INDEX('Invite Builder'!$B:$B,ROW()-3),"")</f>
        <v/>
      </c>
      <c r="F86" s="3">
        <f>IFERROR(INDEX('Invite Builder'!$I:$I,ROW()-3),"")</f>
        <v/>
      </c>
      <c r="G86" s="3">
        <f>IFERROR(INDEX('Invite Builder'!$G:$G,ROW()-3),"")</f>
        <v/>
      </c>
      <c r="H86" s="3">
        <f>IFERROR(INDEX('Invite Builder'!$H:$H,ROW()-3),"")</f>
        <v/>
      </c>
      <c r="I86" s="3">
        <f>IFERROR(INDEX('Invite Builder'!$T:$T,ROW()-3),"")</f>
        <v/>
      </c>
    </row>
    <row r="87">
      <c r="A87" s="3">
        <f>IFERROR(INDEX('Invite Builder'!$A:$A,ROW()-3),"")</f>
        <v/>
      </c>
      <c r="B87" s="3">
        <f>IFERROR(INDEX('Invite Builder'!$C:$C,ROW()-3),"")</f>
        <v/>
      </c>
      <c r="C87" s="3">
        <f>IFERROR(INDEX('Invite Builder'!$D:$D,ROW()-3),"")</f>
        <v/>
      </c>
      <c r="D87" s="3">
        <f>IFERROR(INDEX('Invite Builder'!$E:$E,ROW()-3),"")</f>
        <v/>
      </c>
      <c r="E87" s="3">
        <f>IFERROR(INDEX('Invite Builder'!$B:$B,ROW()-3),"")</f>
        <v/>
      </c>
      <c r="F87" s="3">
        <f>IFERROR(INDEX('Invite Builder'!$I:$I,ROW()-3),"")</f>
        <v/>
      </c>
      <c r="G87" s="3">
        <f>IFERROR(INDEX('Invite Builder'!$G:$G,ROW()-3),"")</f>
        <v/>
      </c>
      <c r="H87" s="3">
        <f>IFERROR(INDEX('Invite Builder'!$H:$H,ROW()-3),"")</f>
        <v/>
      </c>
      <c r="I87" s="3">
        <f>IFERROR(INDEX('Invite Builder'!$T:$T,ROW()-3),"")</f>
        <v/>
      </c>
    </row>
    <row r="88">
      <c r="A88" s="3">
        <f>IFERROR(INDEX('Invite Builder'!$A:$A,ROW()-3),"")</f>
        <v/>
      </c>
      <c r="B88" s="3">
        <f>IFERROR(INDEX('Invite Builder'!$C:$C,ROW()-3),"")</f>
        <v/>
      </c>
      <c r="C88" s="3">
        <f>IFERROR(INDEX('Invite Builder'!$D:$D,ROW()-3),"")</f>
        <v/>
      </c>
      <c r="D88" s="3">
        <f>IFERROR(INDEX('Invite Builder'!$E:$E,ROW()-3),"")</f>
        <v/>
      </c>
      <c r="E88" s="3">
        <f>IFERROR(INDEX('Invite Builder'!$B:$B,ROW()-3),"")</f>
        <v/>
      </c>
      <c r="F88" s="3">
        <f>IFERROR(INDEX('Invite Builder'!$I:$I,ROW()-3),"")</f>
        <v/>
      </c>
      <c r="G88" s="3">
        <f>IFERROR(INDEX('Invite Builder'!$G:$G,ROW()-3),"")</f>
        <v/>
      </c>
      <c r="H88" s="3">
        <f>IFERROR(INDEX('Invite Builder'!$H:$H,ROW()-3),"")</f>
        <v/>
      </c>
      <c r="I88" s="3">
        <f>IFERROR(INDEX('Invite Builder'!$T:$T,ROW()-3),"")</f>
        <v/>
      </c>
    </row>
    <row r="89">
      <c r="A89" s="3">
        <f>IFERROR(INDEX('Invite Builder'!$A:$A,ROW()-3),"")</f>
        <v/>
      </c>
      <c r="B89" s="3">
        <f>IFERROR(INDEX('Invite Builder'!$C:$C,ROW()-3),"")</f>
        <v/>
      </c>
      <c r="C89" s="3">
        <f>IFERROR(INDEX('Invite Builder'!$D:$D,ROW()-3),"")</f>
        <v/>
      </c>
      <c r="D89" s="3">
        <f>IFERROR(INDEX('Invite Builder'!$E:$E,ROW()-3),"")</f>
        <v/>
      </c>
      <c r="E89" s="3">
        <f>IFERROR(INDEX('Invite Builder'!$B:$B,ROW()-3),"")</f>
        <v/>
      </c>
      <c r="F89" s="3">
        <f>IFERROR(INDEX('Invite Builder'!$I:$I,ROW()-3),"")</f>
        <v/>
      </c>
      <c r="G89" s="3">
        <f>IFERROR(INDEX('Invite Builder'!$G:$G,ROW()-3),"")</f>
        <v/>
      </c>
      <c r="H89" s="3">
        <f>IFERROR(INDEX('Invite Builder'!$H:$H,ROW()-3),"")</f>
        <v/>
      </c>
      <c r="I89" s="3">
        <f>IFERROR(INDEX('Invite Builder'!$T:$T,ROW()-3),"")</f>
        <v/>
      </c>
    </row>
    <row r="90">
      <c r="A90" s="3">
        <f>IFERROR(INDEX('Invite Builder'!$A:$A,ROW()-3),"")</f>
        <v/>
      </c>
      <c r="B90" s="3">
        <f>IFERROR(INDEX('Invite Builder'!$C:$C,ROW()-3),"")</f>
        <v/>
      </c>
      <c r="C90" s="3">
        <f>IFERROR(INDEX('Invite Builder'!$D:$D,ROW()-3),"")</f>
        <v/>
      </c>
      <c r="D90" s="3">
        <f>IFERROR(INDEX('Invite Builder'!$E:$E,ROW()-3),"")</f>
        <v/>
      </c>
      <c r="E90" s="3">
        <f>IFERROR(INDEX('Invite Builder'!$B:$B,ROW()-3),"")</f>
        <v/>
      </c>
      <c r="F90" s="3">
        <f>IFERROR(INDEX('Invite Builder'!$I:$I,ROW()-3),"")</f>
        <v/>
      </c>
      <c r="G90" s="3">
        <f>IFERROR(INDEX('Invite Builder'!$G:$G,ROW()-3),"")</f>
        <v/>
      </c>
      <c r="H90" s="3">
        <f>IFERROR(INDEX('Invite Builder'!$H:$H,ROW()-3),"")</f>
        <v/>
      </c>
      <c r="I90" s="3">
        <f>IFERROR(INDEX('Invite Builder'!$T:$T,ROW()-3),"")</f>
        <v/>
      </c>
    </row>
    <row r="91">
      <c r="A91" s="3">
        <f>IFERROR(INDEX('Invite Builder'!$A:$A,ROW()-3),"")</f>
        <v/>
      </c>
      <c r="B91" s="3">
        <f>IFERROR(INDEX('Invite Builder'!$C:$C,ROW()-3),"")</f>
        <v/>
      </c>
      <c r="C91" s="3">
        <f>IFERROR(INDEX('Invite Builder'!$D:$D,ROW()-3),"")</f>
        <v/>
      </c>
      <c r="D91" s="3">
        <f>IFERROR(INDEX('Invite Builder'!$E:$E,ROW()-3),"")</f>
        <v/>
      </c>
      <c r="E91" s="3">
        <f>IFERROR(INDEX('Invite Builder'!$B:$B,ROW()-3),"")</f>
        <v/>
      </c>
      <c r="F91" s="3">
        <f>IFERROR(INDEX('Invite Builder'!$I:$I,ROW()-3),"")</f>
        <v/>
      </c>
      <c r="G91" s="3">
        <f>IFERROR(INDEX('Invite Builder'!$G:$G,ROW()-3),"")</f>
        <v/>
      </c>
      <c r="H91" s="3">
        <f>IFERROR(INDEX('Invite Builder'!$H:$H,ROW()-3),"")</f>
        <v/>
      </c>
      <c r="I91" s="3">
        <f>IFERROR(INDEX('Invite Builder'!$T:$T,ROW()-3),"")</f>
        <v/>
      </c>
    </row>
    <row r="92">
      <c r="A92" s="3">
        <f>IFERROR(INDEX('Invite Builder'!$A:$A,ROW()-3),"")</f>
        <v/>
      </c>
      <c r="B92" s="3">
        <f>IFERROR(INDEX('Invite Builder'!$C:$C,ROW()-3),"")</f>
        <v/>
      </c>
      <c r="C92" s="3">
        <f>IFERROR(INDEX('Invite Builder'!$D:$D,ROW()-3),"")</f>
        <v/>
      </c>
      <c r="D92" s="3">
        <f>IFERROR(INDEX('Invite Builder'!$E:$E,ROW()-3),"")</f>
        <v/>
      </c>
      <c r="E92" s="3">
        <f>IFERROR(INDEX('Invite Builder'!$B:$B,ROW()-3),"")</f>
        <v/>
      </c>
      <c r="F92" s="3">
        <f>IFERROR(INDEX('Invite Builder'!$I:$I,ROW()-3),"")</f>
        <v/>
      </c>
      <c r="G92" s="3">
        <f>IFERROR(INDEX('Invite Builder'!$G:$G,ROW()-3),"")</f>
        <v/>
      </c>
      <c r="H92" s="3">
        <f>IFERROR(INDEX('Invite Builder'!$H:$H,ROW()-3),"")</f>
        <v/>
      </c>
      <c r="I92" s="3">
        <f>IFERROR(INDEX('Invite Builder'!$T:$T,ROW()-3),"")</f>
        <v/>
      </c>
    </row>
    <row r="93">
      <c r="A93" s="3">
        <f>IFERROR(INDEX('Invite Builder'!$A:$A,ROW()-3),"")</f>
        <v/>
      </c>
      <c r="B93" s="3">
        <f>IFERROR(INDEX('Invite Builder'!$C:$C,ROW()-3),"")</f>
        <v/>
      </c>
      <c r="C93" s="3">
        <f>IFERROR(INDEX('Invite Builder'!$D:$D,ROW()-3),"")</f>
        <v/>
      </c>
      <c r="D93" s="3">
        <f>IFERROR(INDEX('Invite Builder'!$E:$E,ROW()-3),"")</f>
        <v/>
      </c>
      <c r="E93" s="3">
        <f>IFERROR(INDEX('Invite Builder'!$B:$B,ROW()-3),"")</f>
        <v/>
      </c>
      <c r="F93" s="3">
        <f>IFERROR(INDEX('Invite Builder'!$I:$I,ROW()-3),"")</f>
        <v/>
      </c>
      <c r="G93" s="3">
        <f>IFERROR(INDEX('Invite Builder'!$G:$G,ROW()-3),"")</f>
        <v/>
      </c>
      <c r="H93" s="3">
        <f>IFERROR(INDEX('Invite Builder'!$H:$H,ROW()-3),"")</f>
        <v/>
      </c>
      <c r="I93" s="3">
        <f>IFERROR(INDEX('Invite Builder'!$T:$T,ROW()-3),"")</f>
        <v/>
      </c>
    </row>
    <row r="94">
      <c r="A94" s="3">
        <f>IFERROR(INDEX('Invite Builder'!$A:$A,ROW()-3),"")</f>
        <v/>
      </c>
      <c r="B94" s="3">
        <f>IFERROR(INDEX('Invite Builder'!$C:$C,ROW()-3),"")</f>
        <v/>
      </c>
      <c r="C94" s="3">
        <f>IFERROR(INDEX('Invite Builder'!$D:$D,ROW()-3),"")</f>
        <v/>
      </c>
      <c r="D94" s="3">
        <f>IFERROR(INDEX('Invite Builder'!$E:$E,ROW()-3),"")</f>
        <v/>
      </c>
      <c r="E94" s="3">
        <f>IFERROR(INDEX('Invite Builder'!$B:$B,ROW()-3),"")</f>
        <v/>
      </c>
      <c r="F94" s="3">
        <f>IFERROR(INDEX('Invite Builder'!$I:$I,ROW()-3),"")</f>
        <v/>
      </c>
      <c r="G94" s="3">
        <f>IFERROR(INDEX('Invite Builder'!$G:$G,ROW()-3),"")</f>
        <v/>
      </c>
      <c r="H94" s="3">
        <f>IFERROR(INDEX('Invite Builder'!$H:$H,ROW()-3),"")</f>
        <v/>
      </c>
      <c r="I94" s="3">
        <f>IFERROR(INDEX('Invite Builder'!$T:$T,ROW()-3),"")</f>
        <v/>
      </c>
    </row>
    <row r="95">
      <c r="A95" s="3">
        <f>IFERROR(INDEX('Invite Builder'!$A:$A,ROW()-3),"")</f>
        <v/>
      </c>
      <c r="B95" s="3">
        <f>IFERROR(INDEX('Invite Builder'!$C:$C,ROW()-3),"")</f>
        <v/>
      </c>
      <c r="C95" s="3">
        <f>IFERROR(INDEX('Invite Builder'!$D:$D,ROW()-3),"")</f>
        <v/>
      </c>
      <c r="D95" s="3">
        <f>IFERROR(INDEX('Invite Builder'!$E:$E,ROW()-3),"")</f>
        <v/>
      </c>
      <c r="E95" s="3">
        <f>IFERROR(INDEX('Invite Builder'!$B:$B,ROW()-3),"")</f>
        <v/>
      </c>
      <c r="F95" s="3">
        <f>IFERROR(INDEX('Invite Builder'!$I:$I,ROW()-3),"")</f>
        <v/>
      </c>
      <c r="G95" s="3">
        <f>IFERROR(INDEX('Invite Builder'!$G:$G,ROW()-3),"")</f>
        <v/>
      </c>
      <c r="H95" s="3">
        <f>IFERROR(INDEX('Invite Builder'!$H:$H,ROW()-3),"")</f>
        <v/>
      </c>
      <c r="I95" s="3">
        <f>IFERROR(INDEX('Invite Builder'!$T:$T,ROW()-3),"")</f>
        <v/>
      </c>
    </row>
    <row r="96">
      <c r="A96" s="3">
        <f>IFERROR(INDEX('Invite Builder'!$A:$A,ROW()-3),"")</f>
        <v/>
      </c>
      <c r="B96" s="3">
        <f>IFERROR(INDEX('Invite Builder'!$C:$C,ROW()-3),"")</f>
        <v/>
      </c>
      <c r="C96" s="3">
        <f>IFERROR(INDEX('Invite Builder'!$D:$D,ROW()-3),"")</f>
        <v/>
      </c>
      <c r="D96" s="3">
        <f>IFERROR(INDEX('Invite Builder'!$E:$E,ROW()-3),"")</f>
        <v/>
      </c>
      <c r="E96" s="3">
        <f>IFERROR(INDEX('Invite Builder'!$B:$B,ROW()-3),"")</f>
        <v/>
      </c>
      <c r="F96" s="3">
        <f>IFERROR(INDEX('Invite Builder'!$I:$I,ROW()-3),"")</f>
        <v/>
      </c>
      <c r="G96" s="3">
        <f>IFERROR(INDEX('Invite Builder'!$G:$G,ROW()-3),"")</f>
        <v/>
      </c>
      <c r="H96" s="3">
        <f>IFERROR(INDEX('Invite Builder'!$H:$H,ROW()-3),"")</f>
        <v/>
      </c>
      <c r="I96" s="3">
        <f>IFERROR(INDEX('Invite Builder'!$T:$T,ROW()-3),"")</f>
        <v/>
      </c>
    </row>
    <row r="97">
      <c r="A97" s="3">
        <f>IFERROR(INDEX('Invite Builder'!$A:$A,ROW()-3),"")</f>
        <v/>
      </c>
      <c r="B97" s="3">
        <f>IFERROR(INDEX('Invite Builder'!$C:$C,ROW()-3),"")</f>
        <v/>
      </c>
      <c r="C97" s="3">
        <f>IFERROR(INDEX('Invite Builder'!$D:$D,ROW()-3),"")</f>
        <v/>
      </c>
      <c r="D97" s="3">
        <f>IFERROR(INDEX('Invite Builder'!$E:$E,ROW()-3),"")</f>
        <v/>
      </c>
      <c r="E97" s="3">
        <f>IFERROR(INDEX('Invite Builder'!$B:$B,ROW()-3),"")</f>
        <v/>
      </c>
      <c r="F97" s="3">
        <f>IFERROR(INDEX('Invite Builder'!$I:$I,ROW()-3),"")</f>
        <v/>
      </c>
      <c r="G97" s="3">
        <f>IFERROR(INDEX('Invite Builder'!$G:$G,ROW()-3),"")</f>
        <v/>
      </c>
      <c r="H97" s="3">
        <f>IFERROR(INDEX('Invite Builder'!$H:$H,ROW()-3),"")</f>
        <v/>
      </c>
      <c r="I97" s="3">
        <f>IFERROR(INDEX('Invite Builder'!$T:$T,ROW()-3),"")</f>
        <v/>
      </c>
    </row>
    <row r="98">
      <c r="A98" s="3">
        <f>IFERROR(INDEX('Invite Builder'!$A:$A,ROW()-3),"")</f>
        <v/>
      </c>
      <c r="B98" s="3">
        <f>IFERROR(INDEX('Invite Builder'!$C:$C,ROW()-3),"")</f>
        <v/>
      </c>
      <c r="C98" s="3">
        <f>IFERROR(INDEX('Invite Builder'!$D:$D,ROW()-3),"")</f>
        <v/>
      </c>
      <c r="D98" s="3">
        <f>IFERROR(INDEX('Invite Builder'!$E:$E,ROW()-3),"")</f>
        <v/>
      </c>
      <c r="E98" s="3">
        <f>IFERROR(INDEX('Invite Builder'!$B:$B,ROW()-3),"")</f>
        <v/>
      </c>
      <c r="F98" s="3">
        <f>IFERROR(INDEX('Invite Builder'!$I:$I,ROW()-3),"")</f>
        <v/>
      </c>
      <c r="G98" s="3">
        <f>IFERROR(INDEX('Invite Builder'!$G:$G,ROW()-3),"")</f>
        <v/>
      </c>
      <c r="H98" s="3">
        <f>IFERROR(INDEX('Invite Builder'!$H:$H,ROW()-3),"")</f>
        <v/>
      </c>
      <c r="I98" s="3">
        <f>IFERROR(INDEX('Invite Builder'!$T:$T,ROW()-3),"")</f>
        <v/>
      </c>
    </row>
    <row r="99">
      <c r="A99" s="3">
        <f>IFERROR(INDEX('Invite Builder'!$A:$A,ROW()-3),"")</f>
        <v/>
      </c>
      <c r="B99" s="3">
        <f>IFERROR(INDEX('Invite Builder'!$C:$C,ROW()-3),"")</f>
        <v/>
      </c>
      <c r="C99" s="3">
        <f>IFERROR(INDEX('Invite Builder'!$D:$D,ROW()-3),"")</f>
        <v/>
      </c>
      <c r="D99" s="3">
        <f>IFERROR(INDEX('Invite Builder'!$E:$E,ROW()-3),"")</f>
        <v/>
      </c>
      <c r="E99" s="3">
        <f>IFERROR(INDEX('Invite Builder'!$B:$B,ROW()-3),"")</f>
        <v/>
      </c>
      <c r="F99" s="3">
        <f>IFERROR(INDEX('Invite Builder'!$I:$I,ROW()-3),"")</f>
        <v/>
      </c>
      <c r="G99" s="3">
        <f>IFERROR(INDEX('Invite Builder'!$G:$G,ROW()-3),"")</f>
        <v/>
      </c>
      <c r="H99" s="3">
        <f>IFERROR(INDEX('Invite Builder'!$H:$H,ROW()-3),"")</f>
        <v/>
      </c>
      <c r="I99" s="3">
        <f>IFERROR(INDEX('Invite Builder'!$T:$T,ROW()-3),"")</f>
        <v/>
      </c>
    </row>
    <row r="100">
      <c r="A100" s="3">
        <f>IFERROR(INDEX('Invite Builder'!$A:$A,ROW()-3),"")</f>
        <v/>
      </c>
      <c r="B100" s="3">
        <f>IFERROR(INDEX('Invite Builder'!$C:$C,ROW()-3),"")</f>
        <v/>
      </c>
      <c r="C100" s="3">
        <f>IFERROR(INDEX('Invite Builder'!$D:$D,ROW()-3),"")</f>
        <v/>
      </c>
      <c r="D100" s="3">
        <f>IFERROR(INDEX('Invite Builder'!$E:$E,ROW()-3),"")</f>
        <v/>
      </c>
      <c r="E100" s="3">
        <f>IFERROR(INDEX('Invite Builder'!$B:$B,ROW()-3),"")</f>
        <v/>
      </c>
      <c r="F100" s="3">
        <f>IFERROR(INDEX('Invite Builder'!$I:$I,ROW()-3),"")</f>
        <v/>
      </c>
      <c r="G100" s="3">
        <f>IFERROR(INDEX('Invite Builder'!$G:$G,ROW()-3),"")</f>
        <v/>
      </c>
      <c r="H100" s="3">
        <f>IFERROR(INDEX('Invite Builder'!$H:$H,ROW()-3),"")</f>
        <v/>
      </c>
      <c r="I100" s="3">
        <f>IFERROR(INDEX('Invite Builder'!$T:$T,ROW()-3),"")</f>
        <v/>
      </c>
    </row>
    <row r="101">
      <c r="A101" s="3">
        <f>IFERROR(INDEX('Invite Builder'!$A:$A,ROW()-3),"")</f>
        <v/>
      </c>
      <c r="B101" s="3">
        <f>IFERROR(INDEX('Invite Builder'!$C:$C,ROW()-3),"")</f>
        <v/>
      </c>
      <c r="C101" s="3">
        <f>IFERROR(INDEX('Invite Builder'!$D:$D,ROW()-3),"")</f>
        <v/>
      </c>
      <c r="D101" s="3">
        <f>IFERROR(INDEX('Invite Builder'!$E:$E,ROW()-3),"")</f>
        <v/>
      </c>
      <c r="E101" s="3">
        <f>IFERROR(INDEX('Invite Builder'!$B:$B,ROW()-3),"")</f>
        <v/>
      </c>
      <c r="F101" s="3">
        <f>IFERROR(INDEX('Invite Builder'!$I:$I,ROW()-3),"")</f>
        <v/>
      </c>
      <c r="G101" s="3">
        <f>IFERROR(INDEX('Invite Builder'!$G:$G,ROW()-3),"")</f>
        <v/>
      </c>
      <c r="H101" s="3">
        <f>IFERROR(INDEX('Invite Builder'!$H:$H,ROW()-3),"")</f>
        <v/>
      </c>
      <c r="I101" s="3">
        <f>IFERROR(INDEX('Invite Builder'!$T:$T,ROW()-3),"")</f>
        <v/>
      </c>
    </row>
    <row r="102">
      <c r="A102" s="3">
        <f>IFERROR(INDEX('Invite Builder'!$A:$A,ROW()-3),"")</f>
        <v/>
      </c>
      <c r="B102" s="3">
        <f>IFERROR(INDEX('Invite Builder'!$C:$C,ROW()-3),"")</f>
        <v/>
      </c>
      <c r="C102" s="3">
        <f>IFERROR(INDEX('Invite Builder'!$D:$D,ROW()-3),"")</f>
        <v/>
      </c>
      <c r="D102" s="3">
        <f>IFERROR(INDEX('Invite Builder'!$E:$E,ROW()-3),"")</f>
        <v/>
      </c>
      <c r="E102" s="3">
        <f>IFERROR(INDEX('Invite Builder'!$B:$B,ROW()-3),"")</f>
        <v/>
      </c>
      <c r="F102" s="3">
        <f>IFERROR(INDEX('Invite Builder'!$I:$I,ROW()-3),"")</f>
        <v/>
      </c>
      <c r="G102" s="3">
        <f>IFERROR(INDEX('Invite Builder'!$G:$G,ROW()-3),"")</f>
        <v/>
      </c>
      <c r="H102" s="3">
        <f>IFERROR(INDEX('Invite Builder'!$H:$H,ROW()-3),"")</f>
        <v/>
      </c>
      <c r="I102" s="3">
        <f>IFERROR(INDEX('Invite Builder'!$T:$T,ROW()-3),"")</f>
        <v/>
      </c>
    </row>
    <row r="103">
      <c r="A103" s="3">
        <f>IFERROR(INDEX('Invite Builder'!$A:$A,ROW()-3),"")</f>
        <v/>
      </c>
      <c r="B103" s="3">
        <f>IFERROR(INDEX('Invite Builder'!$C:$C,ROW()-3),"")</f>
        <v/>
      </c>
      <c r="C103" s="3">
        <f>IFERROR(INDEX('Invite Builder'!$D:$D,ROW()-3),"")</f>
        <v/>
      </c>
      <c r="D103" s="3">
        <f>IFERROR(INDEX('Invite Builder'!$E:$E,ROW()-3),"")</f>
        <v/>
      </c>
      <c r="E103" s="3">
        <f>IFERROR(INDEX('Invite Builder'!$B:$B,ROW()-3),"")</f>
        <v/>
      </c>
      <c r="F103" s="3">
        <f>IFERROR(INDEX('Invite Builder'!$I:$I,ROW()-3),"")</f>
        <v/>
      </c>
      <c r="G103" s="3">
        <f>IFERROR(INDEX('Invite Builder'!$G:$G,ROW()-3),"")</f>
        <v/>
      </c>
      <c r="H103" s="3">
        <f>IFERROR(INDEX('Invite Builder'!$H:$H,ROW()-3),"")</f>
        <v/>
      </c>
      <c r="I103" s="3">
        <f>IFERROR(INDEX('Invite Builder'!$T:$T,ROW()-3),"")</f>
        <v/>
      </c>
    </row>
    <row r="104">
      <c r="A104" s="3">
        <f>IFERROR(INDEX('Invite Builder'!$A:$A,ROW()-3),"")</f>
        <v/>
      </c>
      <c r="B104" s="3">
        <f>IFERROR(INDEX('Invite Builder'!$C:$C,ROW()-3),"")</f>
        <v/>
      </c>
      <c r="C104" s="3">
        <f>IFERROR(INDEX('Invite Builder'!$D:$D,ROW()-3),"")</f>
        <v/>
      </c>
      <c r="D104" s="3">
        <f>IFERROR(INDEX('Invite Builder'!$E:$E,ROW()-3),"")</f>
        <v/>
      </c>
      <c r="E104" s="3">
        <f>IFERROR(INDEX('Invite Builder'!$B:$B,ROW()-3),"")</f>
        <v/>
      </c>
      <c r="F104" s="3">
        <f>IFERROR(INDEX('Invite Builder'!$I:$I,ROW()-3),"")</f>
        <v/>
      </c>
      <c r="G104" s="3">
        <f>IFERROR(INDEX('Invite Builder'!$G:$G,ROW()-3),"")</f>
        <v/>
      </c>
      <c r="H104" s="3">
        <f>IFERROR(INDEX('Invite Builder'!$H:$H,ROW()-3),"")</f>
        <v/>
      </c>
      <c r="I104" s="3">
        <f>IFERROR(INDEX('Invite Builder'!$T:$T,ROW()-3),"")</f>
        <v/>
      </c>
    </row>
    <row r="105">
      <c r="A105" s="3">
        <f>IFERROR(INDEX('Invite Builder'!$A:$A,ROW()-3),"")</f>
        <v/>
      </c>
      <c r="B105" s="3">
        <f>IFERROR(INDEX('Invite Builder'!$C:$C,ROW()-3),"")</f>
        <v/>
      </c>
      <c r="C105" s="3">
        <f>IFERROR(INDEX('Invite Builder'!$D:$D,ROW()-3),"")</f>
        <v/>
      </c>
      <c r="D105" s="3">
        <f>IFERROR(INDEX('Invite Builder'!$E:$E,ROW()-3),"")</f>
        <v/>
      </c>
      <c r="E105" s="3">
        <f>IFERROR(INDEX('Invite Builder'!$B:$B,ROW()-3),"")</f>
        <v/>
      </c>
      <c r="F105" s="3">
        <f>IFERROR(INDEX('Invite Builder'!$I:$I,ROW()-3),"")</f>
        <v/>
      </c>
      <c r="G105" s="3">
        <f>IFERROR(INDEX('Invite Builder'!$G:$G,ROW()-3),"")</f>
        <v/>
      </c>
      <c r="H105" s="3">
        <f>IFERROR(INDEX('Invite Builder'!$H:$H,ROW()-3),"")</f>
        <v/>
      </c>
      <c r="I105" s="3">
        <f>IFERROR(INDEX('Invite Builder'!$T:$T,ROW()-3),"")</f>
        <v/>
      </c>
    </row>
    <row r="106">
      <c r="A106" s="3">
        <f>IFERROR(INDEX('Invite Builder'!$A:$A,ROW()-3),"")</f>
        <v/>
      </c>
      <c r="B106" s="3">
        <f>IFERROR(INDEX('Invite Builder'!$C:$C,ROW()-3),"")</f>
        <v/>
      </c>
      <c r="C106" s="3">
        <f>IFERROR(INDEX('Invite Builder'!$D:$D,ROW()-3),"")</f>
        <v/>
      </c>
      <c r="D106" s="3">
        <f>IFERROR(INDEX('Invite Builder'!$E:$E,ROW()-3),"")</f>
        <v/>
      </c>
      <c r="E106" s="3">
        <f>IFERROR(INDEX('Invite Builder'!$B:$B,ROW()-3),"")</f>
        <v/>
      </c>
      <c r="F106" s="3">
        <f>IFERROR(INDEX('Invite Builder'!$I:$I,ROW()-3),"")</f>
        <v/>
      </c>
      <c r="G106" s="3">
        <f>IFERROR(INDEX('Invite Builder'!$G:$G,ROW()-3),"")</f>
        <v/>
      </c>
      <c r="H106" s="3">
        <f>IFERROR(INDEX('Invite Builder'!$H:$H,ROW()-3),"")</f>
        <v/>
      </c>
      <c r="I106" s="3">
        <f>IFERROR(INDEX('Invite Builder'!$T:$T,ROW()-3),"")</f>
        <v/>
      </c>
    </row>
    <row r="107">
      <c r="A107" s="3">
        <f>IFERROR(INDEX('Invite Builder'!$A:$A,ROW()-3),"")</f>
        <v/>
      </c>
      <c r="B107" s="3">
        <f>IFERROR(INDEX('Invite Builder'!$C:$C,ROW()-3),"")</f>
        <v/>
      </c>
      <c r="C107" s="3">
        <f>IFERROR(INDEX('Invite Builder'!$D:$D,ROW()-3),"")</f>
        <v/>
      </c>
      <c r="D107" s="3">
        <f>IFERROR(INDEX('Invite Builder'!$E:$E,ROW()-3),"")</f>
        <v/>
      </c>
      <c r="E107" s="3">
        <f>IFERROR(INDEX('Invite Builder'!$B:$B,ROW()-3),"")</f>
        <v/>
      </c>
      <c r="F107" s="3">
        <f>IFERROR(INDEX('Invite Builder'!$I:$I,ROW()-3),"")</f>
        <v/>
      </c>
      <c r="G107" s="3">
        <f>IFERROR(INDEX('Invite Builder'!$G:$G,ROW()-3),"")</f>
        <v/>
      </c>
      <c r="H107" s="3">
        <f>IFERROR(INDEX('Invite Builder'!$H:$H,ROW()-3),"")</f>
        <v/>
      </c>
      <c r="I107" s="3">
        <f>IFERROR(INDEX('Invite Builder'!$T:$T,ROW()-3),"")</f>
        <v/>
      </c>
    </row>
    <row r="108">
      <c r="A108" s="3">
        <f>IFERROR(INDEX('Invite Builder'!$A:$A,ROW()-3),"")</f>
        <v/>
      </c>
      <c r="B108" s="3">
        <f>IFERROR(INDEX('Invite Builder'!$C:$C,ROW()-3),"")</f>
        <v/>
      </c>
      <c r="C108" s="3">
        <f>IFERROR(INDEX('Invite Builder'!$D:$D,ROW()-3),"")</f>
        <v/>
      </c>
      <c r="D108" s="3">
        <f>IFERROR(INDEX('Invite Builder'!$E:$E,ROW()-3),"")</f>
        <v/>
      </c>
      <c r="E108" s="3">
        <f>IFERROR(INDEX('Invite Builder'!$B:$B,ROW()-3),"")</f>
        <v/>
      </c>
      <c r="F108" s="3">
        <f>IFERROR(INDEX('Invite Builder'!$I:$I,ROW()-3),"")</f>
        <v/>
      </c>
      <c r="G108" s="3">
        <f>IFERROR(INDEX('Invite Builder'!$G:$G,ROW()-3),"")</f>
        <v/>
      </c>
      <c r="H108" s="3">
        <f>IFERROR(INDEX('Invite Builder'!$H:$H,ROW()-3),"")</f>
        <v/>
      </c>
      <c r="I108" s="3">
        <f>IFERROR(INDEX('Invite Builder'!$T:$T,ROW()-3),"")</f>
        <v/>
      </c>
    </row>
    <row r="109">
      <c r="A109" s="3">
        <f>IFERROR(INDEX('Invite Builder'!$A:$A,ROW()-3),"")</f>
        <v/>
      </c>
      <c r="B109" s="3">
        <f>IFERROR(INDEX('Invite Builder'!$C:$C,ROW()-3),"")</f>
        <v/>
      </c>
      <c r="C109" s="3">
        <f>IFERROR(INDEX('Invite Builder'!$D:$D,ROW()-3),"")</f>
        <v/>
      </c>
      <c r="D109" s="3">
        <f>IFERROR(INDEX('Invite Builder'!$E:$E,ROW()-3),"")</f>
        <v/>
      </c>
      <c r="E109" s="3">
        <f>IFERROR(INDEX('Invite Builder'!$B:$B,ROW()-3),"")</f>
        <v/>
      </c>
      <c r="F109" s="3">
        <f>IFERROR(INDEX('Invite Builder'!$I:$I,ROW()-3),"")</f>
        <v/>
      </c>
      <c r="G109" s="3">
        <f>IFERROR(INDEX('Invite Builder'!$G:$G,ROW()-3),"")</f>
        <v/>
      </c>
      <c r="H109" s="3">
        <f>IFERROR(INDEX('Invite Builder'!$H:$H,ROW()-3),"")</f>
        <v/>
      </c>
      <c r="I109" s="3">
        <f>IFERROR(INDEX('Invite Builder'!$T:$T,ROW()-3),"")</f>
        <v/>
      </c>
    </row>
    <row r="110">
      <c r="A110" s="3">
        <f>IFERROR(INDEX('Invite Builder'!$A:$A,ROW()-3),"")</f>
        <v/>
      </c>
      <c r="B110" s="3">
        <f>IFERROR(INDEX('Invite Builder'!$C:$C,ROW()-3),"")</f>
        <v/>
      </c>
      <c r="C110" s="3">
        <f>IFERROR(INDEX('Invite Builder'!$D:$D,ROW()-3),"")</f>
        <v/>
      </c>
      <c r="D110" s="3">
        <f>IFERROR(INDEX('Invite Builder'!$E:$E,ROW()-3),"")</f>
        <v/>
      </c>
      <c r="E110" s="3">
        <f>IFERROR(INDEX('Invite Builder'!$B:$B,ROW()-3),"")</f>
        <v/>
      </c>
      <c r="F110" s="3">
        <f>IFERROR(INDEX('Invite Builder'!$I:$I,ROW()-3),"")</f>
        <v/>
      </c>
      <c r="G110" s="3">
        <f>IFERROR(INDEX('Invite Builder'!$G:$G,ROW()-3),"")</f>
        <v/>
      </c>
      <c r="H110" s="3">
        <f>IFERROR(INDEX('Invite Builder'!$H:$H,ROW()-3),"")</f>
        <v/>
      </c>
      <c r="I110" s="3">
        <f>IFERROR(INDEX('Invite Builder'!$T:$T,ROW()-3),"")</f>
        <v/>
      </c>
    </row>
    <row r="111">
      <c r="A111" s="3">
        <f>IFERROR(INDEX('Invite Builder'!$A:$A,ROW()-3),"")</f>
        <v/>
      </c>
      <c r="B111" s="3">
        <f>IFERROR(INDEX('Invite Builder'!$C:$C,ROW()-3),"")</f>
        <v/>
      </c>
      <c r="C111" s="3">
        <f>IFERROR(INDEX('Invite Builder'!$D:$D,ROW()-3),"")</f>
        <v/>
      </c>
      <c r="D111" s="3">
        <f>IFERROR(INDEX('Invite Builder'!$E:$E,ROW()-3),"")</f>
        <v/>
      </c>
      <c r="E111" s="3">
        <f>IFERROR(INDEX('Invite Builder'!$B:$B,ROW()-3),"")</f>
        <v/>
      </c>
      <c r="F111" s="3">
        <f>IFERROR(INDEX('Invite Builder'!$I:$I,ROW()-3),"")</f>
        <v/>
      </c>
      <c r="G111" s="3">
        <f>IFERROR(INDEX('Invite Builder'!$G:$G,ROW()-3),"")</f>
        <v/>
      </c>
      <c r="H111" s="3">
        <f>IFERROR(INDEX('Invite Builder'!$H:$H,ROW()-3),"")</f>
        <v/>
      </c>
      <c r="I111" s="3">
        <f>IFERROR(INDEX('Invite Builder'!$T:$T,ROW()-3),"")</f>
        <v/>
      </c>
    </row>
    <row r="112">
      <c r="A112" s="3">
        <f>IFERROR(INDEX('Invite Builder'!$A:$A,ROW()-3),"")</f>
        <v/>
      </c>
      <c r="B112" s="3">
        <f>IFERROR(INDEX('Invite Builder'!$C:$C,ROW()-3),"")</f>
        <v/>
      </c>
      <c r="C112" s="3">
        <f>IFERROR(INDEX('Invite Builder'!$D:$D,ROW()-3),"")</f>
        <v/>
      </c>
      <c r="D112" s="3">
        <f>IFERROR(INDEX('Invite Builder'!$E:$E,ROW()-3),"")</f>
        <v/>
      </c>
      <c r="E112" s="3">
        <f>IFERROR(INDEX('Invite Builder'!$B:$B,ROW()-3),"")</f>
        <v/>
      </c>
      <c r="F112" s="3">
        <f>IFERROR(INDEX('Invite Builder'!$I:$I,ROW()-3),"")</f>
        <v/>
      </c>
      <c r="G112" s="3">
        <f>IFERROR(INDEX('Invite Builder'!$G:$G,ROW()-3),"")</f>
        <v/>
      </c>
      <c r="H112" s="3">
        <f>IFERROR(INDEX('Invite Builder'!$H:$H,ROW()-3),"")</f>
        <v/>
      </c>
      <c r="I112" s="3">
        <f>IFERROR(INDEX('Invite Builder'!$T:$T,ROW()-3),"")</f>
        <v/>
      </c>
    </row>
    <row r="113">
      <c r="A113" s="3">
        <f>IFERROR(INDEX('Invite Builder'!$A:$A,ROW()-3),"")</f>
        <v/>
      </c>
      <c r="B113" s="3">
        <f>IFERROR(INDEX('Invite Builder'!$C:$C,ROW()-3),"")</f>
        <v/>
      </c>
      <c r="C113" s="3">
        <f>IFERROR(INDEX('Invite Builder'!$D:$D,ROW()-3),"")</f>
        <v/>
      </c>
      <c r="D113" s="3">
        <f>IFERROR(INDEX('Invite Builder'!$E:$E,ROW()-3),"")</f>
        <v/>
      </c>
      <c r="E113" s="3">
        <f>IFERROR(INDEX('Invite Builder'!$B:$B,ROW()-3),"")</f>
        <v/>
      </c>
      <c r="F113" s="3">
        <f>IFERROR(INDEX('Invite Builder'!$I:$I,ROW()-3),"")</f>
        <v/>
      </c>
      <c r="G113" s="3">
        <f>IFERROR(INDEX('Invite Builder'!$G:$G,ROW()-3),"")</f>
        <v/>
      </c>
      <c r="H113" s="3">
        <f>IFERROR(INDEX('Invite Builder'!$H:$H,ROW()-3),"")</f>
        <v/>
      </c>
      <c r="I113" s="3">
        <f>IFERROR(INDEX('Invite Builder'!$T:$T,ROW()-3),"")</f>
        <v/>
      </c>
    </row>
    <row r="114">
      <c r="A114" s="3">
        <f>IFERROR(INDEX('Invite Builder'!$A:$A,ROW()-3),"")</f>
        <v/>
      </c>
      <c r="B114" s="3">
        <f>IFERROR(INDEX('Invite Builder'!$C:$C,ROW()-3),"")</f>
        <v/>
      </c>
      <c r="C114" s="3">
        <f>IFERROR(INDEX('Invite Builder'!$D:$D,ROW()-3),"")</f>
        <v/>
      </c>
      <c r="D114" s="3">
        <f>IFERROR(INDEX('Invite Builder'!$E:$E,ROW()-3),"")</f>
        <v/>
      </c>
      <c r="E114" s="3">
        <f>IFERROR(INDEX('Invite Builder'!$B:$B,ROW()-3),"")</f>
        <v/>
      </c>
      <c r="F114" s="3">
        <f>IFERROR(INDEX('Invite Builder'!$I:$I,ROW()-3),"")</f>
        <v/>
      </c>
      <c r="G114" s="3">
        <f>IFERROR(INDEX('Invite Builder'!$G:$G,ROW()-3),"")</f>
        <v/>
      </c>
      <c r="H114" s="3">
        <f>IFERROR(INDEX('Invite Builder'!$H:$H,ROW()-3),"")</f>
        <v/>
      </c>
      <c r="I114" s="3">
        <f>IFERROR(INDEX('Invite Builder'!$T:$T,ROW()-3),"")</f>
        <v/>
      </c>
    </row>
    <row r="115">
      <c r="A115" s="3">
        <f>IFERROR(INDEX('Invite Builder'!$A:$A,ROW()-3),"")</f>
        <v/>
      </c>
      <c r="B115" s="3">
        <f>IFERROR(INDEX('Invite Builder'!$C:$C,ROW()-3),"")</f>
        <v/>
      </c>
      <c r="C115" s="3">
        <f>IFERROR(INDEX('Invite Builder'!$D:$D,ROW()-3),"")</f>
        <v/>
      </c>
      <c r="D115" s="3">
        <f>IFERROR(INDEX('Invite Builder'!$E:$E,ROW()-3),"")</f>
        <v/>
      </c>
      <c r="E115" s="3">
        <f>IFERROR(INDEX('Invite Builder'!$B:$B,ROW()-3),"")</f>
        <v/>
      </c>
      <c r="F115" s="3">
        <f>IFERROR(INDEX('Invite Builder'!$I:$I,ROW()-3),"")</f>
        <v/>
      </c>
      <c r="G115" s="3">
        <f>IFERROR(INDEX('Invite Builder'!$G:$G,ROW()-3),"")</f>
        <v/>
      </c>
      <c r="H115" s="3">
        <f>IFERROR(INDEX('Invite Builder'!$H:$H,ROW()-3),"")</f>
        <v/>
      </c>
      <c r="I115" s="3">
        <f>IFERROR(INDEX('Invite Builder'!$T:$T,ROW()-3),"")</f>
        <v/>
      </c>
    </row>
    <row r="116">
      <c r="A116" s="3">
        <f>IFERROR(INDEX('Invite Builder'!$A:$A,ROW()-3),"")</f>
        <v/>
      </c>
      <c r="B116" s="3">
        <f>IFERROR(INDEX('Invite Builder'!$C:$C,ROW()-3),"")</f>
        <v/>
      </c>
      <c r="C116" s="3">
        <f>IFERROR(INDEX('Invite Builder'!$D:$D,ROW()-3),"")</f>
        <v/>
      </c>
      <c r="D116" s="3">
        <f>IFERROR(INDEX('Invite Builder'!$E:$E,ROW()-3),"")</f>
        <v/>
      </c>
      <c r="E116" s="3">
        <f>IFERROR(INDEX('Invite Builder'!$B:$B,ROW()-3),"")</f>
        <v/>
      </c>
      <c r="F116" s="3">
        <f>IFERROR(INDEX('Invite Builder'!$I:$I,ROW()-3),"")</f>
        <v/>
      </c>
      <c r="G116" s="3">
        <f>IFERROR(INDEX('Invite Builder'!$G:$G,ROW()-3),"")</f>
        <v/>
      </c>
      <c r="H116" s="3">
        <f>IFERROR(INDEX('Invite Builder'!$H:$H,ROW()-3),"")</f>
        <v/>
      </c>
      <c r="I116" s="3">
        <f>IFERROR(INDEX('Invite Builder'!$T:$T,ROW()-3),"")</f>
        <v/>
      </c>
    </row>
    <row r="117">
      <c r="A117" s="3">
        <f>IFERROR(INDEX('Invite Builder'!$A:$A,ROW()-3),"")</f>
        <v/>
      </c>
      <c r="B117" s="3">
        <f>IFERROR(INDEX('Invite Builder'!$C:$C,ROW()-3),"")</f>
        <v/>
      </c>
      <c r="C117" s="3">
        <f>IFERROR(INDEX('Invite Builder'!$D:$D,ROW()-3),"")</f>
        <v/>
      </c>
      <c r="D117" s="3">
        <f>IFERROR(INDEX('Invite Builder'!$E:$E,ROW()-3),"")</f>
        <v/>
      </c>
      <c r="E117" s="3">
        <f>IFERROR(INDEX('Invite Builder'!$B:$B,ROW()-3),"")</f>
        <v/>
      </c>
      <c r="F117" s="3">
        <f>IFERROR(INDEX('Invite Builder'!$I:$I,ROW()-3),"")</f>
        <v/>
      </c>
      <c r="G117" s="3">
        <f>IFERROR(INDEX('Invite Builder'!$G:$G,ROW()-3),"")</f>
        <v/>
      </c>
      <c r="H117" s="3">
        <f>IFERROR(INDEX('Invite Builder'!$H:$H,ROW()-3),"")</f>
        <v/>
      </c>
      <c r="I117" s="3">
        <f>IFERROR(INDEX('Invite Builder'!$T:$T,ROW()-3),"")</f>
        <v/>
      </c>
    </row>
    <row r="118">
      <c r="A118" s="3">
        <f>IFERROR(INDEX('Invite Builder'!$A:$A,ROW()-3),"")</f>
        <v/>
      </c>
      <c r="B118" s="3">
        <f>IFERROR(INDEX('Invite Builder'!$C:$C,ROW()-3),"")</f>
        <v/>
      </c>
      <c r="C118" s="3">
        <f>IFERROR(INDEX('Invite Builder'!$D:$D,ROW()-3),"")</f>
        <v/>
      </c>
      <c r="D118" s="3">
        <f>IFERROR(INDEX('Invite Builder'!$E:$E,ROW()-3),"")</f>
        <v/>
      </c>
      <c r="E118" s="3">
        <f>IFERROR(INDEX('Invite Builder'!$B:$B,ROW()-3),"")</f>
        <v/>
      </c>
      <c r="F118" s="3">
        <f>IFERROR(INDEX('Invite Builder'!$I:$I,ROW()-3),"")</f>
        <v/>
      </c>
      <c r="G118" s="3">
        <f>IFERROR(INDEX('Invite Builder'!$G:$G,ROW()-3),"")</f>
        <v/>
      </c>
      <c r="H118" s="3">
        <f>IFERROR(INDEX('Invite Builder'!$H:$H,ROW()-3),"")</f>
        <v/>
      </c>
      <c r="I118" s="3">
        <f>IFERROR(INDEX('Invite Builder'!$T:$T,ROW()-3),"")</f>
        <v/>
      </c>
    </row>
    <row r="119">
      <c r="A119" s="3">
        <f>IFERROR(INDEX('Invite Builder'!$A:$A,ROW()-3),"")</f>
        <v/>
      </c>
      <c r="B119" s="3">
        <f>IFERROR(INDEX('Invite Builder'!$C:$C,ROW()-3),"")</f>
        <v/>
      </c>
      <c r="C119" s="3">
        <f>IFERROR(INDEX('Invite Builder'!$D:$D,ROW()-3),"")</f>
        <v/>
      </c>
      <c r="D119" s="3">
        <f>IFERROR(INDEX('Invite Builder'!$E:$E,ROW()-3),"")</f>
        <v/>
      </c>
      <c r="E119" s="3">
        <f>IFERROR(INDEX('Invite Builder'!$B:$B,ROW()-3),"")</f>
        <v/>
      </c>
      <c r="F119" s="3">
        <f>IFERROR(INDEX('Invite Builder'!$I:$I,ROW()-3),"")</f>
        <v/>
      </c>
      <c r="G119" s="3">
        <f>IFERROR(INDEX('Invite Builder'!$G:$G,ROW()-3),"")</f>
        <v/>
      </c>
      <c r="H119" s="3">
        <f>IFERROR(INDEX('Invite Builder'!$H:$H,ROW()-3),"")</f>
        <v/>
      </c>
      <c r="I119" s="3">
        <f>IFERROR(INDEX('Invite Builder'!$T:$T,ROW()-3),"")</f>
        <v/>
      </c>
    </row>
    <row r="120">
      <c r="A120" s="3">
        <f>IFERROR(INDEX('Invite Builder'!$A:$A,ROW()-3),"")</f>
        <v/>
      </c>
      <c r="B120" s="3">
        <f>IFERROR(INDEX('Invite Builder'!$C:$C,ROW()-3),"")</f>
        <v/>
      </c>
      <c r="C120" s="3">
        <f>IFERROR(INDEX('Invite Builder'!$D:$D,ROW()-3),"")</f>
        <v/>
      </c>
      <c r="D120" s="3">
        <f>IFERROR(INDEX('Invite Builder'!$E:$E,ROW()-3),"")</f>
        <v/>
      </c>
      <c r="E120" s="3">
        <f>IFERROR(INDEX('Invite Builder'!$B:$B,ROW()-3),"")</f>
        <v/>
      </c>
      <c r="F120" s="3">
        <f>IFERROR(INDEX('Invite Builder'!$I:$I,ROW()-3),"")</f>
        <v/>
      </c>
      <c r="G120" s="3">
        <f>IFERROR(INDEX('Invite Builder'!$G:$G,ROW()-3),"")</f>
        <v/>
      </c>
      <c r="H120" s="3">
        <f>IFERROR(INDEX('Invite Builder'!$H:$H,ROW()-3),"")</f>
        <v/>
      </c>
      <c r="I120" s="3">
        <f>IFERROR(INDEX('Invite Builder'!$T:$T,ROW()-3),"")</f>
        <v/>
      </c>
    </row>
    <row r="121">
      <c r="A121" s="3">
        <f>IFERROR(INDEX('Invite Builder'!$A:$A,ROW()-3),"")</f>
        <v/>
      </c>
      <c r="B121" s="3">
        <f>IFERROR(INDEX('Invite Builder'!$C:$C,ROW()-3),"")</f>
        <v/>
      </c>
      <c r="C121" s="3">
        <f>IFERROR(INDEX('Invite Builder'!$D:$D,ROW()-3),"")</f>
        <v/>
      </c>
      <c r="D121" s="3">
        <f>IFERROR(INDEX('Invite Builder'!$E:$E,ROW()-3),"")</f>
        <v/>
      </c>
      <c r="E121" s="3">
        <f>IFERROR(INDEX('Invite Builder'!$B:$B,ROW()-3),"")</f>
        <v/>
      </c>
      <c r="F121" s="3">
        <f>IFERROR(INDEX('Invite Builder'!$I:$I,ROW()-3),"")</f>
        <v/>
      </c>
      <c r="G121" s="3">
        <f>IFERROR(INDEX('Invite Builder'!$G:$G,ROW()-3),"")</f>
        <v/>
      </c>
      <c r="H121" s="3">
        <f>IFERROR(INDEX('Invite Builder'!$H:$H,ROW()-3),"")</f>
        <v/>
      </c>
      <c r="I121" s="3">
        <f>IFERROR(INDEX('Invite Builder'!$T:$T,ROW()-3),"")</f>
        <v/>
      </c>
    </row>
    <row r="122">
      <c r="A122" s="3">
        <f>IFERROR(INDEX('Invite Builder'!$A:$A,ROW()-3),"")</f>
        <v/>
      </c>
      <c r="B122" s="3">
        <f>IFERROR(INDEX('Invite Builder'!$C:$C,ROW()-3),"")</f>
        <v/>
      </c>
      <c r="C122" s="3">
        <f>IFERROR(INDEX('Invite Builder'!$D:$D,ROW()-3),"")</f>
        <v/>
      </c>
      <c r="D122" s="3">
        <f>IFERROR(INDEX('Invite Builder'!$E:$E,ROW()-3),"")</f>
        <v/>
      </c>
      <c r="E122" s="3">
        <f>IFERROR(INDEX('Invite Builder'!$B:$B,ROW()-3),"")</f>
        <v/>
      </c>
      <c r="F122" s="3">
        <f>IFERROR(INDEX('Invite Builder'!$I:$I,ROW()-3),"")</f>
        <v/>
      </c>
      <c r="G122" s="3">
        <f>IFERROR(INDEX('Invite Builder'!$G:$G,ROW()-3),"")</f>
        <v/>
      </c>
      <c r="H122" s="3">
        <f>IFERROR(INDEX('Invite Builder'!$H:$H,ROW()-3),"")</f>
        <v/>
      </c>
      <c r="I122" s="3">
        <f>IFERROR(INDEX('Invite Builder'!$T:$T,ROW()-3),"")</f>
        <v/>
      </c>
    </row>
    <row r="123">
      <c r="A123" s="3">
        <f>IFERROR(INDEX('Invite Builder'!$A:$A,ROW()-3),"")</f>
        <v/>
      </c>
      <c r="B123" s="3">
        <f>IFERROR(INDEX('Invite Builder'!$C:$C,ROW()-3),"")</f>
        <v/>
      </c>
      <c r="C123" s="3">
        <f>IFERROR(INDEX('Invite Builder'!$D:$D,ROW()-3),"")</f>
        <v/>
      </c>
      <c r="D123" s="3">
        <f>IFERROR(INDEX('Invite Builder'!$E:$E,ROW()-3),"")</f>
        <v/>
      </c>
      <c r="E123" s="3">
        <f>IFERROR(INDEX('Invite Builder'!$B:$B,ROW()-3),"")</f>
        <v/>
      </c>
      <c r="F123" s="3">
        <f>IFERROR(INDEX('Invite Builder'!$I:$I,ROW()-3),"")</f>
        <v/>
      </c>
      <c r="G123" s="3">
        <f>IFERROR(INDEX('Invite Builder'!$G:$G,ROW()-3),"")</f>
        <v/>
      </c>
      <c r="H123" s="3">
        <f>IFERROR(INDEX('Invite Builder'!$H:$H,ROW()-3),"")</f>
        <v/>
      </c>
      <c r="I123" s="3">
        <f>IFERROR(INDEX('Invite Builder'!$T:$T,ROW()-3),"")</f>
        <v/>
      </c>
    </row>
    <row r="124">
      <c r="A124" s="3">
        <f>IFERROR(INDEX('Invite Builder'!$A:$A,ROW()-3),"")</f>
        <v/>
      </c>
      <c r="B124" s="3">
        <f>IFERROR(INDEX('Invite Builder'!$C:$C,ROW()-3),"")</f>
        <v/>
      </c>
      <c r="C124" s="3">
        <f>IFERROR(INDEX('Invite Builder'!$D:$D,ROW()-3),"")</f>
        <v/>
      </c>
      <c r="D124" s="3">
        <f>IFERROR(INDEX('Invite Builder'!$E:$E,ROW()-3),"")</f>
        <v/>
      </c>
      <c r="E124" s="3">
        <f>IFERROR(INDEX('Invite Builder'!$B:$B,ROW()-3),"")</f>
        <v/>
      </c>
      <c r="F124" s="3">
        <f>IFERROR(INDEX('Invite Builder'!$I:$I,ROW()-3),"")</f>
        <v/>
      </c>
      <c r="G124" s="3">
        <f>IFERROR(INDEX('Invite Builder'!$G:$G,ROW()-3),"")</f>
        <v/>
      </c>
      <c r="H124" s="3">
        <f>IFERROR(INDEX('Invite Builder'!$H:$H,ROW()-3),"")</f>
        <v/>
      </c>
      <c r="I124" s="3">
        <f>IFERROR(INDEX('Invite Builder'!$T:$T,ROW()-3),"")</f>
        <v/>
      </c>
    </row>
    <row r="125">
      <c r="A125" s="3">
        <f>IFERROR(INDEX('Invite Builder'!$A:$A,ROW()-3),"")</f>
        <v/>
      </c>
      <c r="B125" s="3">
        <f>IFERROR(INDEX('Invite Builder'!$C:$C,ROW()-3),"")</f>
        <v/>
      </c>
      <c r="C125" s="3">
        <f>IFERROR(INDEX('Invite Builder'!$D:$D,ROW()-3),"")</f>
        <v/>
      </c>
      <c r="D125" s="3">
        <f>IFERROR(INDEX('Invite Builder'!$E:$E,ROW()-3),"")</f>
        <v/>
      </c>
      <c r="E125" s="3">
        <f>IFERROR(INDEX('Invite Builder'!$B:$B,ROW()-3),"")</f>
        <v/>
      </c>
      <c r="F125" s="3">
        <f>IFERROR(INDEX('Invite Builder'!$I:$I,ROW()-3),"")</f>
        <v/>
      </c>
      <c r="G125" s="3">
        <f>IFERROR(INDEX('Invite Builder'!$G:$G,ROW()-3),"")</f>
        <v/>
      </c>
      <c r="H125" s="3">
        <f>IFERROR(INDEX('Invite Builder'!$H:$H,ROW()-3),"")</f>
        <v/>
      </c>
      <c r="I125" s="3">
        <f>IFERROR(INDEX('Invite Builder'!$T:$T,ROW()-3),"")</f>
        <v/>
      </c>
    </row>
    <row r="126">
      <c r="A126" s="3">
        <f>IFERROR(INDEX('Invite Builder'!$A:$A,ROW()-3),"")</f>
        <v/>
      </c>
      <c r="B126" s="3">
        <f>IFERROR(INDEX('Invite Builder'!$C:$C,ROW()-3),"")</f>
        <v/>
      </c>
      <c r="C126" s="3">
        <f>IFERROR(INDEX('Invite Builder'!$D:$D,ROW()-3),"")</f>
        <v/>
      </c>
      <c r="D126" s="3">
        <f>IFERROR(INDEX('Invite Builder'!$E:$E,ROW()-3),"")</f>
        <v/>
      </c>
      <c r="E126" s="3">
        <f>IFERROR(INDEX('Invite Builder'!$B:$B,ROW()-3),"")</f>
        <v/>
      </c>
      <c r="F126" s="3">
        <f>IFERROR(INDEX('Invite Builder'!$I:$I,ROW()-3),"")</f>
        <v/>
      </c>
      <c r="G126" s="3">
        <f>IFERROR(INDEX('Invite Builder'!$G:$G,ROW()-3),"")</f>
        <v/>
      </c>
      <c r="H126" s="3">
        <f>IFERROR(INDEX('Invite Builder'!$H:$H,ROW()-3),"")</f>
        <v/>
      </c>
      <c r="I126" s="3">
        <f>IFERROR(INDEX('Invite Builder'!$T:$T,ROW()-3),"")</f>
        <v/>
      </c>
    </row>
    <row r="127">
      <c r="A127" s="3">
        <f>IFERROR(INDEX('Invite Builder'!$A:$A,ROW()-3),"")</f>
        <v/>
      </c>
      <c r="B127" s="3">
        <f>IFERROR(INDEX('Invite Builder'!$C:$C,ROW()-3),"")</f>
        <v/>
      </c>
      <c r="C127" s="3">
        <f>IFERROR(INDEX('Invite Builder'!$D:$D,ROW()-3),"")</f>
        <v/>
      </c>
      <c r="D127" s="3">
        <f>IFERROR(INDEX('Invite Builder'!$E:$E,ROW()-3),"")</f>
        <v/>
      </c>
      <c r="E127" s="3">
        <f>IFERROR(INDEX('Invite Builder'!$B:$B,ROW()-3),"")</f>
        <v/>
      </c>
      <c r="F127" s="3">
        <f>IFERROR(INDEX('Invite Builder'!$I:$I,ROW()-3),"")</f>
        <v/>
      </c>
      <c r="G127" s="3">
        <f>IFERROR(INDEX('Invite Builder'!$G:$G,ROW()-3),"")</f>
        <v/>
      </c>
      <c r="H127" s="3">
        <f>IFERROR(INDEX('Invite Builder'!$H:$H,ROW()-3),"")</f>
        <v/>
      </c>
      <c r="I127" s="3">
        <f>IFERROR(INDEX('Invite Builder'!$T:$T,ROW()-3),"")</f>
        <v/>
      </c>
    </row>
    <row r="128">
      <c r="A128" s="3">
        <f>IFERROR(INDEX('Invite Builder'!$A:$A,ROW()-3),"")</f>
        <v/>
      </c>
      <c r="B128" s="3">
        <f>IFERROR(INDEX('Invite Builder'!$C:$C,ROW()-3),"")</f>
        <v/>
      </c>
      <c r="C128" s="3">
        <f>IFERROR(INDEX('Invite Builder'!$D:$D,ROW()-3),"")</f>
        <v/>
      </c>
      <c r="D128" s="3">
        <f>IFERROR(INDEX('Invite Builder'!$E:$E,ROW()-3),"")</f>
        <v/>
      </c>
      <c r="E128" s="3">
        <f>IFERROR(INDEX('Invite Builder'!$B:$B,ROW()-3),"")</f>
        <v/>
      </c>
      <c r="F128" s="3">
        <f>IFERROR(INDEX('Invite Builder'!$I:$I,ROW()-3),"")</f>
        <v/>
      </c>
      <c r="G128" s="3">
        <f>IFERROR(INDEX('Invite Builder'!$G:$G,ROW()-3),"")</f>
        <v/>
      </c>
      <c r="H128" s="3">
        <f>IFERROR(INDEX('Invite Builder'!$H:$H,ROW()-3),"")</f>
        <v/>
      </c>
      <c r="I128" s="3">
        <f>IFERROR(INDEX('Invite Builder'!$T:$T,ROW()-3),"")</f>
        <v/>
      </c>
    </row>
    <row r="129">
      <c r="A129" s="3">
        <f>IFERROR(INDEX('Invite Builder'!$A:$A,ROW()-3),"")</f>
        <v/>
      </c>
      <c r="B129" s="3">
        <f>IFERROR(INDEX('Invite Builder'!$C:$C,ROW()-3),"")</f>
        <v/>
      </c>
      <c r="C129" s="3">
        <f>IFERROR(INDEX('Invite Builder'!$D:$D,ROW()-3),"")</f>
        <v/>
      </c>
      <c r="D129" s="3">
        <f>IFERROR(INDEX('Invite Builder'!$E:$E,ROW()-3),"")</f>
        <v/>
      </c>
      <c r="E129" s="3">
        <f>IFERROR(INDEX('Invite Builder'!$B:$B,ROW()-3),"")</f>
        <v/>
      </c>
      <c r="F129" s="3">
        <f>IFERROR(INDEX('Invite Builder'!$I:$I,ROW()-3),"")</f>
        <v/>
      </c>
      <c r="G129" s="3">
        <f>IFERROR(INDEX('Invite Builder'!$G:$G,ROW()-3),"")</f>
        <v/>
      </c>
      <c r="H129" s="3">
        <f>IFERROR(INDEX('Invite Builder'!$H:$H,ROW()-3),"")</f>
        <v/>
      </c>
      <c r="I129" s="3">
        <f>IFERROR(INDEX('Invite Builder'!$T:$T,ROW()-3),"")</f>
        <v/>
      </c>
    </row>
    <row r="130">
      <c r="A130" s="3">
        <f>IFERROR(INDEX('Invite Builder'!$A:$A,ROW()-3),"")</f>
        <v/>
      </c>
      <c r="B130" s="3">
        <f>IFERROR(INDEX('Invite Builder'!$C:$C,ROW()-3),"")</f>
        <v/>
      </c>
      <c r="C130" s="3">
        <f>IFERROR(INDEX('Invite Builder'!$D:$D,ROW()-3),"")</f>
        <v/>
      </c>
      <c r="D130" s="3">
        <f>IFERROR(INDEX('Invite Builder'!$E:$E,ROW()-3),"")</f>
        <v/>
      </c>
      <c r="E130" s="3">
        <f>IFERROR(INDEX('Invite Builder'!$B:$B,ROW()-3),"")</f>
        <v/>
      </c>
      <c r="F130" s="3">
        <f>IFERROR(INDEX('Invite Builder'!$I:$I,ROW()-3),"")</f>
        <v/>
      </c>
      <c r="G130" s="3">
        <f>IFERROR(INDEX('Invite Builder'!$G:$G,ROW()-3),"")</f>
        <v/>
      </c>
      <c r="H130" s="3">
        <f>IFERROR(INDEX('Invite Builder'!$H:$H,ROW()-3),"")</f>
        <v/>
      </c>
      <c r="I130" s="3">
        <f>IFERROR(INDEX('Invite Builder'!$T:$T,ROW()-3),"")</f>
        <v/>
      </c>
    </row>
    <row r="131">
      <c r="A131" s="3">
        <f>IFERROR(INDEX('Invite Builder'!$A:$A,ROW()-3),"")</f>
        <v/>
      </c>
      <c r="B131" s="3">
        <f>IFERROR(INDEX('Invite Builder'!$C:$C,ROW()-3),"")</f>
        <v/>
      </c>
      <c r="C131" s="3">
        <f>IFERROR(INDEX('Invite Builder'!$D:$D,ROW()-3),"")</f>
        <v/>
      </c>
      <c r="D131" s="3">
        <f>IFERROR(INDEX('Invite Builder'!$E:$E,ROW()-3),"")</f>
        <v/>
      </c>
      <c r="E131" s="3">
        <f>IFERROR(INDEX('Invite Builder'!$B:$B,ROW()-3),"")</f>
        <v/>
      </c>
      <c r="F131" s="3">
        <f>IFERROR(INDEX('Invite Builder'!$I:$I,ROW()-3),"")</f>
        <v/>
      </c>
      <c r="G131" s="3">
        <f>IFERROR(INDEX('Invite Builder'!$G:$G,ROW()-3),"")</f>
        <v/>
      </c>
      <c r="H131" s="3">
        <f>IFERROR(INDEX('Invite Builder'!$H:$H,ROW()-3),"")</f>
        <v/>
      </c>
      <c r="I131" s="3">
        <f>IFERROR(INDEX('Invite Builder'!$T:$T,ROW()-3),"")</f>
        <v/>
      </c>
    </row>
    <row r="132">
      <c r="A132" s="3">
        <f>IFERROR(INDEX('Invite Builder'!$A:$A,ROW()-3),"")</f>
        <v/>
      </c>
      <c r="B132" s="3">
        <f>IFERROR(INDEX('Invite Builder'!$C:$C,ROW()-3),"")</f>
        <v/>
      </c>
      <c r="C132" s="3">
        <f>IFERROR(INDEX('Invite Builder'!$D:$D,ROW()-3),"")</f>
        <v/>
      </c>
      <c r="D132" s="3">
        <f>IFERROR(INDEX('Invite Builder'!$E:$E,ROW()-3),"")</f>
        <v/>
      </c>
      <c r="E132" s="3">
        <f>IFERROR(INDEX('Invite Builder'!$B:$B,ROW()-3),"")</f>
        <v/>
      </c>
      <c r="F132" s="3">
        <f>IFERROR(INDEX('Invite Builder'!$I:$I,ROW()-3),"")</f>
        <v/>
      </c>
      <c r="G132" s="3">
        <f>IFERROR(INDEX('Invite Builder'!$G:$G,ROW()-3),"")</f>
        <v/>
      </c>
      <c r="H132" s="3">
        <f>IFERROR(INDEX('Invite Builder'!$H:$H,ROW()-3),"")</f>
        <v/>
      </c>
      <c r="I132" s="3">
        <f>IFERROR(INDEX('Invite Builder'!$T:$T,ROW()-3),"")</f>
        <v/>
      </c>
    </row>
    <row r="133">
      <c r="A133" s="3">
        <f>IFERROR(INDEX('Invite Builder'!$A:$A,ROW()-3),"")</f>
        <v/>
      </c>
      <c r="B133" s="3">
        <f>IFERROR(INDEX('Invite Builder'!$C:$C,ROW()-3),"")</f>
        <v/>
      </c>
      <c r="C133" s="3">
        <f>IFERROR(INDEX('Invite Builder'!$D:$D,ROW()-3),"")</f>
        <v/>
      </c>
      <c r="D133" s="3">
        <f>IFERROR(INDEX('Invite Builder'!$E:$E,ROW()-3),"")</f>
        <v/>
      </c>
      <c r="E133" s="3">
        <f>IFERROR(INDEX('Invite Builder'!$B:$B,ROW()-3),"")</f>
        <v/>
      </c>
      <c r="F133" s="3">
        <f>IFERROR(INDEX('Invite Builder'!$I:$I,ROW()-3),"")</f>
        <v/>
      </c>
      <c r="G133" s="3">
        <f>IFERROR(INDEX('Invite Builder'!$G:$G,ROW()-3),"")</f>
        <v/>
      </c>
      <c r="H133" s="3">
        <f>IFERROR(INDEX('Invite Builder'!$H:$H,ROW()-3),"")</f>
        <v/>
      </c>
      <c r="I133" s="3">
        <f>IFERROR(INDEX('Invite Builder'!$T:$T,ROW()-3),"")</f>
        <v/>
      </c>
    </row>
    <row r="134">
      <c r="A134" s="3">
        <f>IFERROR(INDEX('Invite Builder'!$A:$A,ROW()-3),"")</f>
        <v/>
      </c>
      <c r="B134" s="3">
        <f>IFERROR(INDEX('Invite Builder'!$C:$C,ROW()-3),"")</f>
        <v/>
      </c>
      <c r="C134" s="3">
        <f>IFERROR(INDEX('Invite Builder'!$D:$D,ROW()-3),"")</f>
        <v/>
      </c>
      <c r="D134" s="3">
        <f>IFERROR(INDEX('Invite Builder'!$E:$E,ROW()-3),"")</f>
        <v/>
      </c>
      <c r="E134" s="3">
        <f>IFERROR(INDEX('Invite Builder'!$B:$B,ROW()-3),"")</f>
        <v/>
      </c>
      <c r="F134" s="3">
        <f>IFERROR(INDEX('Invite Builder'!$I:$I,ROW()-3),"")</f>
        <v/>
      </c>
      <c r="G134" s="3">
        <f>IFERROR(INDEX('Invite Builder'!$G:$G,ROW()-3),"")</f>
        <v/>
      </c>
      <c r="H134" s="3">
        <f>IFERROR(INDEX('Invite Builder'!$H:$H,ROW()-3),"")</f>
        <v/>
      </c>
      <c r="I134" s="3">
        <f>IFERROR(INDEX('Invite Builder'!$T:$T,ROW()-3),"")</f>
        <v/>
      </c>
    </row>
    <row r="135">
      <c r="A135" s="3">
        <f>IFERROR(INDEX('Invite Builder'!$A:$A,ROW()-3),"")</f>
        <v/>
      </c>
      <c r="B135" s="3">
        <f>IFERROR(INDEX('Invite Builder'!$C:$C,ROW()-3),"")</f>
        <v/>
      </c>
      <c r="C135" s="3">
        <f>IFERROR(INDEX('Invite Builder'!$D:$D,ROW()-3),"")</f>
        <v/>
      </c>
      <c r="D135" s="3">
        <f>IFERROR(INDEX('Invite Builder'!$E:$E,ROW()-3),"")</f>
        <v/>
      </c>
      <c r="E135" s="3">
        <f>IFERROR(INDEX('Invite Builder'!$B:$B,ROW()-3),"")</f>
        <v/>
      </c>
      <c r="F135" s="3">
        <f>IFERROR(INDEX('Invite Builder'!$I:$I,ROW()-3),"")</f>
        <v/>
      </c>
      <c r="G135" s="3">
        <f>IFERROR(INDEX('Invite Builder'!$G:$G,ROW()-3),"")</f>
        <v/>
      </c>
      <c r="H135" s="3">
        <f>IFERROR(INDEX('Invite Builder'!$H:$H,ROW()-3),"")</f>
        <v/>
      </c>
      <c r="I135" s="3">
        <f>IFERROR(INDEX('Invite Builder'!$T:$T,ROW()-3),"")</f>
        <v/>
      </c>
    </row>
    <row r="136">
      <c r="A136" s="3">
        <f>IFERROR(INDEX('Invite Builder'!$A:$A,ROW()-3),"")</f>
        <v/>
      </c>
      <c r="B136" s="3">
        <f>IFERROR(INDEX('Invite Builder'!$C:$C,ROW()-3),"")</f>
        <v/>
      </c>
      <c r="C136" s="3">
        <f>IFERROR(INDEX('Invite Builder'!$D:$D,ROW()-3),"")</f>
        <v/>
      </c>
      <c r="D136" s="3">
        <f>IFERROR(INDEX('Invite Builder'!$E:$E,ROW()-3),"")</f>
        <v/>
      </c>
      <c r="E136" s="3">
        <f>IFERROR(INDEX('Invite Builder'!$B:$B,ROW()-3),"")</f>
        <v/>
      </c>
      <c r="F136" s="3">
        <f>IFERROR(INDEX('Invite Builder'!$I:$I,ROW()-3),"")</f>
        <v/>
      </c>
      <c r="G136" s="3">
        <f>IFERROR(INDEX('Invite Builder'!$G:$G,ROW()-3),"")</f>
        <v/>
      </c>
      <c r="H136" s="3">
        <f>IFERROR(INDEX('Invite Builder'!$H:$H,ROW()-3),"")</f>
        <v/>
      </c>
      <c r="I136" s="3">
        <f>IFERROR(INDEX('Invite Builder'!$T:$T,ROW()-3),"")</f>
        <v/>
      </c>
    </row>
    <row r="137">
      <c r="A137" s="3">
        <f>IFERROR(INDEX('Invite Builder'!$A:$A,ROW()-3),"")</f>
        <v/>
      </c>
      <c r="B137" s="3">
        <f>IFERROR(INDEX('Invite Builder'!$C:$C,ROW()-3),"")</f>
        <v/>
      </c>
      <c r="C137" s="3">
        <f>IFERROR(INDEX('Invite Builder'!$D:$D,ROW()-3),"")</f>
        <v/>
      </c>
      <c r="D137" s="3">
        <f>IFERROR(INDEX('Invite Builder'!$E:$E,ROW()-3),"")</f>
        <v/>
      </c>
      <c r="E137" s="3">
        <f>IFERROR(INDEX('Invite Builder'!$B:$B,ROW()-3),"")</f>
        <v/>
      </c>
      <c r="F137" s="3">
        <f>IFERROR(INDEX('Invite Builder'!$I:$I,ROW()-3),"")</f>
        <v/>
      </c>
      <c r="G137" s="3">
        <f>IFERROR(INDEX('Invite Builder'!$G:$G,ROW()-3),"")</f>
        <v/>
      </c>
      <c r="H137" s="3">
        <f>IFERROR(INDEX('Invite Builder'!$H:$H,ROW()-3),"")</f>
        <v/>
      </c>
      <c r="I137" s="3">
        <f>IFERROR(INDEX('Invite Builder'!$T:$T,ROW()-3),"")</f>
        <v/>
      </c>
    </row>
    <row r="138">
      <c r="A138" s="3">
        <f>IFERROR(INDEX('Invite Builder'!$A:$A,ROW()-3),"")</f>
        <v/>
      </c>
      <c r="B138" s="3">
        <f>IFERROR(INDEX('Invite Builder'!$C:$C,ROW()-3),"")</f>
        <v/>
      </c>
      <c r="C138" s="3">
        <f>IFERROR(INDEX('Invite Builder'!$D:$D,ROW()-3),"")</f>
        <v/>
      </c>
      <c r="D138" s="3">
        <f>IFERROR(INDEX('Invite Builder'!$E:$E,ROW()-3),"")</f>
        <v/>
      </c>
      <c r="E138" s="3">
        <f>IFERROR(INDEX('Invite Builder'!$B:$B,ROW()-3),"")</f>
        <v/>
      </c>
      <c r="F138" s="3">
        <f>IFERROR(INDEX('Invite Builder'!$I:$I,ROW()-3),"")</f>
        <v/>
      </c>
      <c r="G138" s="3">
        <f>IFERROR(INDEX('Invite Builder'!$G:$G,ROW()-3),"")</f>
        <v/>
      </c>
      <c r="H138" s="3">
        <f>IFERROR(INDEX('Invite Builder'!$H:$H,ROW()-3),"")</f>
        <v/>
      </c>
      <c r="I138" s="3">
        <f>IFERROR(INDEX('Invite Builder'!$T:$T,ROW()-3),"")</f>
        <v/>
      </c>
    </row>
    <row r="139">
      <c r="A139" s="3">
        <f>IFERROR(INDEX('Invite Builder'!$A:$A,ROW()-3),"")</f>
        <v/>
      </c>
      <c r="B139" s="3">
        <f>IFERROR(INDEX('Invite Builder'!$C:$C,ROW()-3),"")</f>
        <v/>
      </c>
      <c r="C139" s="3">
        <f>IFERROR(INDEX('Invite Builder'!$D:$D,ROW()-3),"")</f>
        <v/>
      </c>
      <c r="D139" s="3">
        <f>IFERROR(INDEX('Invite Builder'!$E:$E,ROW()-3),"")</f>
        <v/>
      </c>
      <c r="E139" s="3">
        <f>IFERROR(INDEX('Invite Builder'!$B:$B,ROW()-3),"")</f>
        <v/>
      </c>
      <c r="F139" s="3">
        <f>IFERROR(INDEX('Invite Builder'!$I:$I,ROW()-3),"")</f>
        <v/>
      </c>
      <c r="G139" s="3">
        <f>IFERROR(INDEX('Invite Builder'!$G:$G,ROW()-3),"")</f>
        <v/>
      </c>
      <c r="H139" s="3">
        <f>IFERROR(INDEX('Invite Builder'!$H:$H,ROW()-3),"")</f>
        <v/>
      </c>
      <c r="I139" s="3">
        <f>IFERROR(INDEX('Invite Builder'!$T:$T,ROW()-3),"")</f>
        <v/>
      </c>
    </row>
    <row r="140">
      <c r="A140" s="3">
        <f>IFERROR(INDEX('Invite Builder'!$A:$A,ROW()-3),"")</f>
        <v/>
      </c>
      <c r="B140" s="3">
        <f>IFERROR(INDEX('Invite Builder'!$C:$C,ROW()-3),"")</f>
        <v/>
      </c>
      <c r="C140" s="3">
        <f>IFERROR(INDEX('Invite Builder'!$D:$D,ROW()-3),"")</f>
        <v/>
      </c>
      <c r="D140" s="3">
        <f>IFERROR(INDEX('Invite Builder'!$E:$E,ROW()-3),"")</f>
        <v/>
      </c>
      <c r="E140" s="3">
        <f>IFERROR(INDEX('Invite Builder'!$B:$B,ROW()-3),"")</f>
        <v/>
      </c>
      <c r="F140" s="3">
        <f>IFERROR(INDEX('Invite Builder'!$I:$I,ROW()-3),"")</f>
        <v/>
      </c>
      <c r="G140" s="3">
        <f>IFERROR(INDEX('Invite Builder'!$G:$G,ROW()-3),"")</f>
        <v/>
      </c>
      <c r="H140" s="3">
        <f>IFERROR(INDEX('Invite Builder'!$H:$H,ROW()-3),"")</f>
        <v/>
      </c>
      <c r="I140" s="3">
        <f>IFERROR(INDEX('Invite Builder'!$T:$T,ROW()-3),"")</f>
        <v/>
      </c>
    </row>
    <row r="141">
      <c r="A141" s="3">
        <f>IFERROR(INDEX('Invite Builder'!$A:$A,ROW()-3),"")</f>
        <v/>
      </c>
      <c r="B141" s="3">
        <f>IFERROR(INDEX('Invite Builder'!$C:$C,ROW()-3),"")</f>
        <v/>
      </c>
      <c r="C141" s="3">
        <f>IFERROR(INDEX('Invite Builder'!$D:$D,ROW()-3),"")</f>
        <v/>
      </c>
      <c r="D141" s="3">
        <f>IFERROR(INDEX('Invite Builder'!$E:$E,ROW()-3),"")</f>
        <v/>
      </c>
      <c r="E141" s="3">
        <f>IFERROR(INDEX('Invite Builder'!$B:$B,ROW()-3),"")</f>
        <v/>
      </c>
      <c r="F141" s="3">
        <f>IFERROR(INDEX('Invite Builder'!$I:$I,ROW()-3),"")</f>
        <v/>
      </c>
      <c r="G141" s="3">
        <f>IFERROR(INDEX('Invite Builder'!$G:$G,ROW()-3),"")</f>
        <v/>
      </c>
      <c r="H141" s="3">
        <f>IFERROR(INDEX('Invite Builder'!$H:$H,ROW()-3),"")</f>
        <v/>
      </c>
      <c r="I141" s="3">
        <f>IFERROR(INDEX('Invite Builder'!$T:$T,ROW()-3),"")</f>
        <v/>
      </c>
    </row>
    <row r="142">
      <c r="A142" s="3">
        <f>IFERROR(INDEX('Invite Builder'!$A:$A,ROW()-3),"")</f>
        <v/>
      </c>
      <c r="B142" s="3">
        <f>IFERROR(INDEX('Invite Builder'!$C:$C,ROW()-3),"")</f>
        <v/>
      </c>
      <c r="C142" s="3">
        <f>IFERROR(INDEX('Invite Builder'!$D:$D,ROW()-3),"")</f>
        <v/>
      </c>
      <c r="D142" s="3">
        <f>IFERROR(INDEX('Invite Builder'!$E:$E,ROW()-3),"")</f>
        <v/>
      </c>
      <c r="E142" s="3">
        <f>IFERROR(INDEX('Invite Builder'!$B:$B,ROW()-3),"")</f>
        <v/>
      </c>
      <c r="F142" s="3">
        <f>IFERROR(INDEX('Invite Builder'!$I:$I,ROW()-3),"")</f>
        <v/>
      </c>
      <c r="G142" s="3">
        <f>IFERROR(INDEX('Invite Builder'!$G:$G,ROW()-3),"")</f>
        <v/>
      </c>
      <c r="H142" s="3">
        <f>IFERROR(INDEX('Invite Builder'!$H:$H,ROW()-3),"")</f>
        <v/>
      </c>
      <c r="I142" s="3">
        <f>IFERROR(INDEX('Invite Builder'!$T:$T,ROW()-3),"")</f>
        <v/>
      </c>
    </row>
    <row r="143">
      <c r="A143" s="3">
        <f>IFERROR(INDEX('Invite Builder'!$A:$A,ROW()-3),"")</f>
        <v/>
      </c>
      <c r="B143" s="3">
        <f>IFERROR(INDEX('Invite Builder'!$C:$C,ROW()-3),"")</f>
        <v/>
      </c>
      <c r="C143" s="3">
        <f>IFERROR(INDEX('Invite Builder'!$D:$D,ROW()-3),"")</f>
        <v/>
      </c>
      <c r="D143" s="3">
        <f>IFERROR(INDEX('Invite Builder'!$E:$E,ROW()-3),"")</f>
        <v/>
      </c>
      <c r="E143" s="3">
        <f>IFERROR(INDEX('Invite Builder'!$B:$B,ROW()-3),"")</f>
        <v/>
      </c>
      <c r="F143" s="3">
        <f>IFERROR(INDEX('Invite Builder'!$I:$I,ROW()-3),"")</f>
        <v/>
      </c>
      <c r="G143" s="3">
        <f>IFERROR(INDEX('Invite Builder'!$G:$G,ROW()-3),"")</f>
        <v/>
      </c>
      <c r="H143" s="3">
        <f>IFERROR(INDEX('Invite Builder'!$H:$H,ROW()-3),"")</f>
        <v/>
      </c>
      <c r="I143" s="3">
        <f>IFERROR(INDEX('Invite Builder'!$T:$T,ROW()-3),"")</f>
        <v/>
      </c>
    </row>
    <row r="144">
      <c r="A144" s="3">
        <f>IFERROR(INDEX('Invite Builder'!$A:$A,ROW()-3),"")</f>
        <v/>
      </c>
      <c r="B144" s="3">
        <f>IFERROR(INDEX('Invite Builder'!$C:$C,ROW()-3),"")</f>
        <v/>
      </c>
      <c r="C144" s="3">
        <f>IFERROR(INDEX('Invite Builder'!$D:$D,ROW()-3),"")</f>
        <v/>
      </c>
      <c r="D144" s="3">
        <f>IFERROR(INDEX('Invite Builder'!$E:$E,ROW()-3),"")</f>
        <v/>
      </c>
      <c r="E144" s="3">
        <f>IFERROR(INDEX('Invite Builder'!$B:$B,ROW()-3),"")</f>
        <v/>
      </c>
      <c r="F144" s="3">
        <f>IFERROR(INDEX('Invite Builder'!$I:$I,ROW()-3),"")</f>
        <v/>
      </c>
      <c r="G144" s="3">
        <f>IFERROR(INDEX('Invite Builder'!$G:$G,ROW()-3),"")</f>
        <v/>
      </c>
      <c r="H144" s="3">
        <f>IFERROR(INDEX('Invite Builder'!$H:$H,ROW()-3),"")</f>
        <v/>
      </c>
      <c r="I144" s="3">
        <f>IFERROR(INDEX('Invite Builder'!$T:$T,ROW()-3),"")</f>
        <v/>
      </c>
    </row>
    <row r="145">
      <c r="A145" s="3">
        <f>IFERROR(INDEX('Invite Builder'!$A:$A,ROW()-3),"")</f>
        <v/>
      </c>
      <c r="B145" s="3">
        <f>IFERROR(INDEX('Invite Builder'!$C:$C,ROW()-3),"")</f>
        <v/>
      </c>
      <c r="C145" s="3">
        <f>IFERROR(INDEX('Invite Builder'!$D:$D,ROW()-3),"")</f>
        <v/>
      </c>
      <c r="D145" s="3">
        <f>IFERROR(INDEX('Invite Builder'!$E:$E,ROW()-3),"")</f>
        <v/>
      </c>
      <c r="E145" s="3">
        <f>IFERROR(INDEX('Invite Builder'!$B:$B,ROW()-3),"")</f>
        <v/>
      </c>
      <c r="F145" s="3">
        <f>IFERROR(INDEX('Invite Builder'!$I:$I,ROW()-3),"")</f>
        <v/>
      </c>
      <c r="G145" s="3">
        <f>IFERROR(INDEX('Invite Builder'!$G:$G,ROW()-3),"")</f>
        <v/>
      </c>
      <c r="H145" s="3">
        <f>IFERROR(INDEX('Invite Builder'!$H:$H,ROW()-3),"")</f>
        <v/>
      </c>
      <c r="I145" s="3">
        <f>IFERROR(INDEX('Invite Builder'!$T:$T,ROW()-3),"")</f>
        <v/>
      </c>
    </row>
    <row r="146">
      <c r="A146" s="3">
        <f>IFERROR(INDEX('Invite Builder'!$A:$A,ROW()-3),"")</f>
        <v/>
      </c>
      <c r="B146" s="3">
        <f>IFERROR(INDEX('Invite Builder'!$C:$C,ROW()-3),"")</f>
        <v/>
      </c>
      <c r="C146" s="3">
        <f>IFERROR(INDEX('Invite Builder'!$D:$D,ROW()-3),"")</f>
        <v/>
      </c>
      <c r="D146" s="3">
        <f>IFERROR(INDEX('Invite Builder'!$E:$E,ROW()-3),"")</f>
        <v/>
      </c>
      <c r="E146" s="3">
        <f>IFERROR(INDEX('Invite Builder'!$B:$B,ROW()-3),"")</f>
        <v/>
      </c>
      <c r="F146" s="3">
        <f>IFERROR(INDEX('Invite Builder'!$I:$I,ROW()-3),"")</f>
        <v/>
      </c>
      <c r="G146" s="3">
        <f>IFERROR(INDEX('Invite Builder'!$G:$G,ROW()-3),"")</f>
        <v/>
      </c>
      <c r="H146" s="3">
        <f>IFERROR(INDEX('Invite Builder'!$H:$H,ROW()-3),"")</f>
        <v/>
      </c>
      <c r="I146" s="3">
        <f>IFERROR(INDEX('Invite Builder'!$T:$T,ROW()-3),"")</f>
        <v/>
      </c>
    </row>
    <row r="147">
      <c r="A147" s="3">
        <f>IFERROR(INDEX('Invite Builder'!$A:$A,ROW()-3),"")</f>
        <v/>
      </c>
      <c r="B147" s="3">
        <f>IFERROR(INDEX('Invite Builder'!$C:$C,ROW()-3),"")</f>
        <v/>
      </c>
      <c r="C147" s="3">
        <f>IFERROR(INDEX('Invite Builder'!$D:$D,ROW()-3),"")</f>
        <v/>
      </c>
      <c r="D147" s="3">
        <f>IFERROR(INDEX('Invite Builder'!$E:$E,ROW()-3),"")</f>
        <v/>
      </c>
      <c r="E147" s="3">
        <f>IFERROR(INDEX('Invite Builder'!$B:$B,ROW()-3),"")</f>
        <v/>
      </c>
      <c r="F147" s="3">
        <f>IFERROR(INDEX('Invite Builder'!$I:$I,ROW()-3),"")</f>
        <v/>
      </c>
      <c r="G147" s="3">
        <f>IFERROR(INDEX('Invite Builder'!$G:$G,ROW()-3),"")</f>
        <v/>
      </c>
      <c r="H147" s="3">
        <f>IFERROR(INDEX('Invite Builder'!$H:$H,ROW()-3),"")</f>
        <v/>
      </c>
      <c r="I147" s="3">
        <f>IFERROR(INDEX('Invite Builder'!$T:$T,ROW()-3),"")</f>
        <v/>
      </c>
    </row>
    <row r="148">
      <c r="A148" s="3">
        <f>IFERROR(INDEX('Invite Builder'!$A:$A,ROW()-3),"")</f>
        <v/>
      </c>
      <c r="B148" s="3">
        <f>IFERROR(INDEX('Invite Builder'!$C:$C,ROW()-3),"")</f>
        <v/>
      </c>
      <c r="C148" s="3">
        <f>IFERROR(INDEX('Invite Builder'!$D:$D,ROW()-3),"")</f>
        <v/>
      </c>
      <c r="D148" s="3">
        <f>IFERROR(INDEX('Invite Builder'!$E:$E,ROW()-3),"")</f>
        <v/>
      </c>
      <c r="E148" s="3">
        <f>IFERROR(INDEX('Invite Builder'!$B:$B,ROW()-3),"")</f>
        <v/>
      </c>
      <c r="F148" s="3">
        <f>IFERROR(INDEX('Invite Builder'!$I:$I,ROW()-3),"")</f>
        <v/>
      </c>
      <c r="G148" s="3">
        <f>IFERROR(INDEX('Invite Builder'!$G:$G,ROW()-3),"")</f>
        <v/>
      </c>
      <c r="H148" s="3">
        <f>IFERROR(INDEX('Invite Builder'!$H:$H,ROW()-3),"")</f>
        <v/>
      </c>
      <c r="I148" s="3">
        <f>IFERROR(INDEX('Invite Builder'!$T:$T,ROW()-3),"")</f>
        <v/>
      </c>
    </row>
    <row r="149">
      <c r="A149" s="3">
        <f>IFERROR(INDEX('Invite Builder'!$A:$A,ROW()-3),"")</f>
        <v/>
      </c>
      <c r="B149" s="3">
        <f>IFERROR(INDEX('Invite Builder'!$C:$C,ROW()-3),"")</f>
        <v/>
      </c>
      <c r="C149" s="3">
        <f>IFERROR(INDEX('Invite Builder'!$D:$D,ROW()-3),"")</f>
        <v/>
      </c>
      <c r="D149" s="3">
        <f>IFERROR(INDEX('Invite Builder'!$E:$E,ROW()-3),"")</f>
        <v/>
      </c>
      <c r="E149" s="3">
        <f>IFERROR(INDEX('Invite Builder'!$B:$B,ROW()-3),"")</f>
        <v/>
      </c>
      <c r="F149" s="3">
        <f>IFERROR(INDEX('Invite Builder'!$I:$I,ROW()-3),"")</f>
        <v/>
      </c>
      <c r="G149" s="3">
        <f>IFERROR(INDEX('Invite Builder'!$G:$G,ROW()-3),"")</f>
        <v/>
      </c>
      <c r="H149" s="3">
        <f>IFERROR(INDEX('Invite Builder'!$H:$H,ROW()-3),"")</f>
        <v/>
      </c>
      <c r="I149" s="3">
        <f>IFERROR(INDEX('Invite Builder'!$T:$T,ROW()-3),"")</f>
        <v/>
      </c>
    </row>
    <row r="150">
      <c r="A150" s="3">
        <f>IFERROR(INDEX('Invite Builder'!$A:$A,ROW()-3),"")</f>
        <v/>
      </c>
      <c r="B150" s="3">
        <f>IFERROR(INDEX('Invite Builder'!$C:$C,ROW()-3),"")</f>
        <v/>
      </c>
      <c r="C150" s="3">
        <f>IFERROR(INDEX('Invite Builder'!$D:$D,ROW()-3),"")</f>
        <v/>
      </c>
      <c r="D150" s="3">
        <f>IFERROR(INDEX('Invite Builder'!$E:$E,ROW()-3),"")</f>
        <v/>
      </c>
      <c r="E150" s="3">
        <f>IFERROR(INDEX('Invite Builder'!$B:$B,ROW()-3),"")</f>
        <v/>
      </c>
      <c r="F150" s="3">
        <f>IFERROR(INDEX('Invite Builder'!$I:$I,ROW()-3),"")</f>
        <v/>
      </c>
      <c r="G150" s="3">
        <f>IFERROR(INDEX('Invite Builder'!$G:$G,ROW()-3),"")</f>
        <v/>
      </c>
      <c r="H150" s="3">
        <f>IFERROR(INDEX('Invite Builder'!$H:$H,ROW()-3),"")</f>
        <v/>
      </c>
      <c r="I150" s="3">
        <f>IFERROR(INDEX('Invite Builder'!$T:$T,ROW()-3),"")</f>
        <v/>
      </c>
    </row>
    <row r="151">
      <c r="A151" s="3">
        <f>IFERROR(INDEX('Invite Builder'!$A:$A,ROW()-3),"")</f>
        <v/>
      </c>
      <c r="B151" s="3">
        <f>IFERROR(INDEX('Invite Builder'!$C:$C,ROW()-3),"")</f>
        <v/>
      </c>
      <c r="C151" s="3">
        <f>IFERROR(INDEX('Invite Builder'!$D:$D,ROW()-3),"")</f>
        <v/>
      </c>
      <c r="D151" s="3">
        <f>IFERROR(INDEX('Invite Builder'!$E:$E,ROW()-3),"")</f>
        <v/>
      </c>
      <c r="E151" s="3">
        <f>IFERROR(INDEX('Invite Builder'!$B:$B,ROW()-3),"")</f>
        <v/>
      </c>
      <c r="F151" s="3">
        <f>IFERROR(INDEX('Invite Builder'!$I:$I,ROW()-3),"")</f>
        <v/>
      </c>
      <c r="G151" s="3">
        <f>IFERROR(INDEX('Invite Builder'!$G:$G,ROW()-3),"")</f>
        <v/>
      </c>
      <c r="H151" s="3">
        <f>IFERROR(INDEX('Invite Builder'!$H:$H,ROW()-3),"")</f>
        <v/>
      </c>
      <c r="I151" s="3">
        <f>IFERROR(INDEX('Invite Builder'!$T:$T,ROW()-3),"")</f>
        <v/>
      </c>
    </row>
    <row r="152">
      <c r="A152" s="3">
        <f>IFERROR(INDEX('Invite Builder'!$A:$A,ROW()-3),"")</f>
        <v/>
      </c>
      <c r="B152" s="3">
        <f>IFERROR(INDEX('Invite Builder'!$C:$C,ROW()-3),"")</f>
        <v/>
      </c>
      <c r="C152" s="3">
        <f>IFERROR(INDEX('Invite Builder'!$D:$D,ROW()-3),"")</f>
        <v/>
      </c>
      <c r="D152" s="3">
        <f>IFERROR(INDEX('Invite Builder'!$E:$E,ROW()-3),"")</f>
        <v/>
      </c>
      <c r="E152" s="3">
        <f>IFERROR(INDEX('Invite Builder'!$B:$B,ROW()-3),"")</f>
        <v/>
      </c>
      <c r="F152" s="3">
        <f>IFERROR(INDEX('Invite Builder'!$I:$I,ROW()-3),"")</f>
        <v/>
      </c>
      <c r="G152" s="3">
        <f>IFERROR(INDEX('Invite Builder'!$G:$G,ROW()-3),"")</f>
        <v/>
      </c>
      <c r="H152" s="3">
        <f>IFERROR(INDEX('Invite Builder'!$H:$H,ROW()-3),"")</f>
        <v/>
      </c>
      <c r="I152" s="3">
        <f>IFERROR(INDEX('Invite Builder'!$T:$T,ROW()-3),"")</f>
        <v/>
      </c>
    </row>
    <row r="153">
      <c r="A153" s="3">
        <f>IFERROR(INDEX('Invite Builder'!$A:$A,ROW()-3),"")</f>
        <v/>
      </c>
      <c r="B153" s="3">
        <f>IFERROR(INDEX('Invite Builder'!$C:$C,ROW()-3),"")</f>
        <v/>
      </c>
      <c r="C153" s="3">
        <f>IFERROR(INDEX('Invite Builder'!$D:$D,ROW()-3),"")</f>
        <v/>
      </c>
      <c r="D153" s="3">
        <f>IFERROR(INDEX('Invite Builder'!$E:$E,ROW()-3),"")</f>
        <v/>
      </c>
      <c r="E153" s="3">
        <f>IFERROR(INDEX('Invite Builder'!$B:$B,ROW()-3),"")</f>
        <v/>
      </c>
      <c r="F153" s="3">
        <f>IFERROR(INDEX('Invite Builder'!$I:$I,ROW()-3),"")</f>
        <v/>
      </c>
      <c r="G153" s="3">
        <f>IFERROR(INDEX('Invite Builder'!$G:$G,ROW()-3),"")</f>
        <v/>
      </c>
      <c r="H153" s="3">
        <f>IFERROR(INDEX('Invite Builder'!$H:$H,ROW()-3),"")</f>
        <v/>
      </c>
      <c r="I153" s="3">
        <f>IFERROR(INDEX('Invite Builder'!$T:$T,ROW()-3),"")</f>
        <v/>
      </c>
    </row>
    <row r="154">
      <c r="A154" s="3">
        <f>IFERROR(INDEX('Invite Builder'!$A:$A,ROW()-3),"")</f>
        <v/>
      </c>
      <c r="B154" s="3">
        <f>IFERROR(INDEX('Invite Builder'!$C:$C,ROW()-3),"")</f>
        <v/>
      </c>
      <c r="C154" s="3">
        <f>IFERROR(INDEX('Invite Builder'!$D:$D,ROW()-3),"")</f>
        <v/>
      </c>
      <c r="D154" s="3">
        <f>IFERROR(INDEX('Invite Builder'!$E:$E,ROW()-3),"")</f>
        <v/>
      </c>
      <c r="E154" s="3">
        <f>IFERROR(INDEX('Invite Builder'!$B:$B,ROW()-3),"")</f>
        <v/>
      </c>
      <c r="F154" s="3">
        <f>IFERROR(INDEX('Invite Builder'!$I:$I,ROW()-3),"")</f>
        <v/>
      </c>
      <c r="G154" s="3">
        <f>IFERROR(INDEX('Invite Builder'!$G:$G,ROW()-3),"")</f>
        <v/>
      </c>
      <c r="H154" s="3">
        <f>IFERROR(INDEX('Invite Builder'!$H:$H,ROW()-3),"")</f>
        <v/>
      </c>
      <c r="I154" s="3">
        <f>IFERROR(INDEX('Invite Builder'!$T:$T,ROW()-3),"")</f>
        <v/>
      </c>
    </row>
    <row r="155">
      <c r="A155" s="3">
        <f>IFERROR(INDEX('Invite Builder'!$A:$A,ROW()-3),"")</f>
        <v/>
      </c>
      <c r="B155" s="3">
        <f>IFERROR(INDEX('Invite Builder'!$C:$C,ROW()-3),"")</f>
        <v/>
      </c>
      <c r="C155" s="3">
        <f>IFERROR(INDEX('Invite Builder'!$D:$D,ROW()-3),"")</f>
        <v/>
      </c>
      <c r="D155" s="3">
        <f>IFERROR(INDEX('Invite Builder'!$E:$E,ROW()-3),"")</f>
        <v/>
      </c>
      <c r="E155" s="3">
        <f>IFERROR(INDEX('Invite Builder'!$B:$B,ROW()-3),"")</f>
        <v/>
      </c>
      <c r="F155" s="3">
        <f>IFERROR(INDEX('Invite Builder'!$I:$I,ROW()-3),"")</f>
        <v/>
      </c>
      <c r="G155" s="3">
        <f>IFERROR(INDEX('Invite Builder'!$G:$G,ROW()-3),"")</f>
        <v/>
      </c>
      <c r="H155" s="3">
        <f>IFERROR(INDEX('Invite Builder'!$H:$H,ROW()-3),"")</f>
        <v/>
      </c>
      <c r="I155" s="3">
        <f>IFERROR(INDEX('Invite Builder'!$T:$T,ROW()-3),"")</f>
        <v/>
      </c>
    </row>
    <row r="156">
      <c r="A156" s="3">
        <f>IFERROR(INDEX('Invite Builder'!$A:$A,ROW()-3),"")</f>
        <v/>
      </c>
      <c r="B156" s="3">
        <f>IFERROR(INDEX('Invite Builder'!$C:$C,ROW()-3),"")</f>
        <v/>
      </c>
      <c r="C156" s="3">
        <f>IFERROR(INDEX('Invite Builder'!$D:$D,ROW()-3),"")</f>
        <v/>
      </c>
      <c r="D156" s="3">
        <f>IFERROR(INDEX('Invite Builder'!$E:$E,ROW()-3),"")</f>
        <v/>
      </c>
      <c r="E156" s="3">
        <f>IFERROR(INDEX('Invite Builder'!$B:$B,ROW()-3),"")</f>
        <v/>
      </c>
      <c r="F156" s="3">
        <f>IFERROR(INDEX('Invite Builder'!$I:$I,ROW()-3),"")</f>
        <v/>
      </c>
      <c r="G156" s="3">
        <f>IFERROR(INDEX('Invite Builder'!$G:$G,ROW()-3),"")</f>
        <v/>
      </c>
      <c r="H156" s="3">
        <f>IFERROR(INDEX('Invite Builder'!$H:$H,ROW()-3),"")</f>
        <v/>
      </c>
      <c r="I156" s="3">
        <f>IFERROR(INDEX('Invite Builder'!$T:$T,ROW()-3),"")</f>
        <v/>
      </c>
    </row>
    <row r="157">
      <c r="A157" s="3">
        <f>IFERROR(INDEX('Invite Builder'!$A:$A,ROW()-3),"")</f>
        <v/>
      </c>
      <c r="B157" s="3">
        <f>IFERROR(INDEX('Invite Builder'!$C:$C,ROW()-3),"")</f>
        <v/>
      </c>
      <c r="C157" s="3">
        <f>IFERROR(INDEX('Invite Builder'!$D:$D,ROW()-3),"")</f>
        <v/>
      </c>
      <c r="D157" s="3">
        <f>IFERROR(INDEX('Invite Builder'!$E:$E,ROW()-3),"")</f>
        <v/>
      </c>
      <c r="E157" s="3">
        <f>IFERROR(INDEX('Invite Builder'!$B:$B,ROW()-3),"")</f>
        <v/>
      </c>
      <c r="F157" s="3">
        <f>IFERROR(INDEX('Invite Builder'!$I:$I,ROW()-3),"")</f>
        <v/>
      </c>
      <c r="G157" s="3">
        <f>IFERROR(INDEX('Invite Builder'!$G:$G,ROW()-3),"")</f>
        <v/>
      </c>
      <c r="H157" s="3">
        <f>IFERROR(INDEX('Invite Builder'!$H:$H,ROW()-3),"")</f>
        <v/>
      </c>
      <c r="I157" s="3">
        <f>IFERROR(INDEX('Invite Builder'!$T:$T,ROW()-3),"")</f>
        <v/>
      </c>
    </row>
    <row r="158">
      <c r="A158" s="3">
        <f>IFERROR(INDEX('Invite Builder'!$A:$A,ROW()-3),"")</f>
        <v/>
      </c>
      <c r="B158" s="3">
        <f>IFERROR(INDEX('Invite Builder'!$C:$C,ROW()-3),"")</f>
        <v/>
      </c>
      <c r="C158" s="3">
        <f>IFERROR(INDEX('Invite Builder'!$D:$D,ROW()-3),"")</f>
        <v/>
      </c>
      <c r="D158" s="3">
        <f>IFERROR(INDEX('Invite Builder'!$E:$E,ROW()-3),"")</f>
        <v/>
      </c>
      <c r="E158" s="3">
        <f>IFERROR(INDEX('Invite Builder'!$B:$B,ROW()-3),"")</f>
        <v/>
      </c>
      <c r="F158" s="3">
        <f>IFERROR(INDEX('Invite Builder'!$I:$I,ROW()-3),"")</f>
        <v/>
      </c>
      <c r="G158" s="3">
        <f>IFERROR(INDEX('Invite Builder'!$G:$G,ROW()-3),"")</f>
        <v/>
      </c>
      <c r="H158" s="3">
        <f>IFERROR(INDEX('Invite Builder'!$H:$H,ROW()-3),"")</f>
        <v/>
      </c>
      <c r="I158" s="3">
        <f>IFERROR(INDEX('Invite Builder'!$T:$T,ROW()-3),"")</f>
        <v/>
      </c>
    </row>
    <row r="159">
      <c r="A159" s="3">
        <f>IFERROR(INDEX('Invite Builder'!$A:$A,ROW()-3),"")</f>
        <v/>
      </c>
      <c r="B159" s="3">
        <f>IFERROR(INDEX('Invite Builder'!$C:$C,ROW()-3),"")</f>
        <v/>
      </c>
      <c r="C159" s="3">
        <f>IFERROR(INDEX('Invite Builder'!$D:$D,ROW()-3),"")</f>
        <v/>
      </c>
      <c r="D159" s="3">
        <f>IFERROR(INDEX('Invite Builder'!$E:$E,ROW()-3),"")</f>
        <v/>
      </c>
      <c r="E159" s="3">
        <f>IFERROR(INDEX('Invite Builder'!$B:$B,ROW()-3),"")</f>
        <v/>
      </c>
      <c r="F159" s="3">
        <f>IFERROR(INDEX('Invite Builder'!$I:$I,ROW()-3),"")</f>
        <v/>
      </c>
      <c r="G159" s="3">
        <f>IFERROR(INDEX('Invite Builder'!$G:$G,ROW()-3),"")</f>
        <v/>
      </c>
      <c r="H159" s="3">
        <f>IFERROR(INDEX('Invite Builder'!$H:$H,ROW()-3),"")</f>
        <v/>
      </c>
      <c r="I159" s="3">
        <f>IFERROR(INDEX('Invite Builder'!$T:$T,ROW()-3),"")</f>
        <v/>
      </c>
    </row>
    <row r="160">
      <c r="A160" s="3">
        <f>IFERROR(INDEX('Invite Builder'!$A:$A,ROW()-3),"")</f>
        <v/>
      </c>
      <c r="B160" s="3">
        <f>IFERROR(INDEX('Invite Builder'!$C:$C,ROW()-3),"")</f>
        <v/>
      </c>
      <c r="C160" s="3">
        <f>IFERROR(INDEX('Invite Builder'!$D:$D,ROW()-3),"")</f>
        <v/>
      </c>
      <c r="D160" s="3">
        <f>IFERROR(INDEX('Invite Builder'!$E:$E,ROW()-3),"")</f>
        <v/>
      </c>
      <c r="E160" s="3">
        <f>IFERROR(INDEX('Invite Builder'!$B:$B,ROW()-3),"")</f>
        <v/>
      </c>
      <c r="F160" s="3">
        <f>IFERROR(INDEX('Invite Builder'!$I:$I,ROW()-3),"")</f>
        <v/>
      </c>
      <c r="G160" s="3">
        <f>IFERROR(INDEX('Invite Builder'!$G:$G,ROW()-3),"")</f>
        <v/>
      </c>
      <c r="H160" s="3">
        <f>IFERROR(INDEX('Invite Builder'!$H:$H,ROW()-3),"")</f>
        <v/>
      </c>
      <c r="I160" s="3">
        <f>IFERROR(INDEX('Invite Builder'!$T:$T,ROW()-3),"")</f>
        <v/>
      </c>
    </row>
    <row r="161">
      <c r="A161" s="3">
        <f>IFERROR(INDEX('Invite Builder'!$A:$A,ROW()-3),"")</f>
        <v/>
      </c>
      <c r="B161" s="3">
        <f>IFERROR(INDEX('Invite Builder'!$C:$C,ROW()-3),"")</f>
        <v/>
      </c>
      <c r="C161" s="3">
        <f>IFERROR(INDEX('Invite Builder'!$D:$D,ROW()-3),"")</f>
        <v/>
      </c>
      <c r="D161" s="3">
        <f>IFERROR(INDEX('Invite Builder'!$E:$E,ROW()-3),"")</f>
        <v/>
      </c>
      <c r="E161" s="3">
        <f>IFERROR(INDEX('Invite Builder'!$B:$B,ROW()-3),"")</f>
        <v/>
      </c>
      <c r="F161" s="3">
        <f>IFERROR(INDEX('Invite Builder'!$I:$I,ROW()-3),"")</f>
        <v/>
      </c>
      <c r="G161" s="3">
        <f>IFERROR(INDEX('Invite Builder'!$G:$G,ROW()-3),"")</f>
        <v/>
      </c>
      <c r="H161" s="3">
        <f>IFERROR(INDEX('Invite Builder'!$H:$H,ROW()-3),"")</f>
        <v/>
      </c>
      <c r="I161" s="3">
        <f>IFERROR(INDEX('Invite Builder'!$T:$T,ROW()-3),"")</f>
        <v/>
      </c>
    </row>
    <row r="162">
      <c r="A162" s="3">
        <f>IFERROR(INDEX('Invite Builder'!$A:$A,ROW()-3),"")</f>
        <v/>
      </c>
      <c r="B162" s="3">
        <f>IFERROR(INDEX('Invite Builder'!$C:$C,ROW()-3),"")</f>
        <v/>
      </c>
      <c r="C162" s="3">
        <f>IFERROR(INDEX('Invite Builder'!$D:$D,ROW()-3),"")</f>
        <v/>
      </c>
      <c r="D162" s="3">
        <f>IFERROR(INDEX('Invite Builder'!$E:$E,ROW()-3),"")</f>
        <v/>
      </c>
      <c r="E162" s="3">
        <f>IFERROR(INDEX('Invite Builder'!$B:$B,ROW()-3),"")</f>
        <v/>
      </c>
      <c r="F162" s="3">
        <f>IFERROR(INDEX('Invite Builder'!$I:$I,ROW()-3),"")</f>
        <v/>
      </c>
      <c r="G162" s="3">
        <f>IFERROR(INDEX('Invite Builder'!$G:$G,ROW()-3),"")</f>
        <v/>
      </c>
      <c r="H162" s="3">
        <f>IFERROR(INDEX('Invite Builder'!$H:$H,ROW()-3),"")</f>
        <v/>
      </c>
      <c r="I162" s="3">
        <f>IFERROR(INDEX('Invite Builder'!$T:$T,ROW()-3),"")</f>
        <v/>
      </c>
    </row>
    <row r="163">
      <c r="A163" s="3">
        <f>IFERROR(INDEX('Invite Builder'!$A:$A,ROW()-3),"")</f>
        <v/>
      </c>
      <c r="B163" s="3">
        <f>IFERROR(INDEX('Invite Builder'!$C:$C,ROW()-3),"")</f>
        <v/>
      </c>
      <c r="C163" s="3">
        <f>IFERROR(INDEX('Invite Builder'!$D:$D,ROW()-3),"")</f>
        <v/>
      </c>
      <c r="D163" s="3">
        <f>IFERROR(INDEX('Invite Builder'!$E:$E,ROW()-3),"")</f>
        <v/>
      </c>
      <c r="E163" s="3">
        <f>IFERROR(INDEX('Invite Builder'!$B:$B,ROW()-3),"")</f>
        <v/>
      </c>
      <c r="F163" s="3">
        <f>IFERROR(INDEX('Invite Builder'!$I:$I,ROW()-3),"")</f>
        <v/>
      </c>
      <c r="G163" s="3">
        <f>IFERROR(INDEX('Invite Builder'!$G:$G,ROW()-3),"")</f>
        <v/>
      </c>
      <c r="H163" s="3">
        <f>IFERROR(INDEX('Invite Builder'!$H:$H,ROW()-3),"")</f>
        <v/>
      </c>
      <c r="I163" s="3">
        <f>IFERROR(INDEX('Invite Builder'!$T:$T,ROW()-3),"")</f>
        <v/>
      </c>
    </row>
    <row r="164">
      <c r="A164" s="3">
        <f>IFERROR(INDEX('Invite Builder'!$A:$A,ROW()-3),"")</f>
        <v/>
      </c>
      <c r="B164" s="3">
        <f>IFERROR(INDEX('Invite Builder'!$C:$C,ROW()-3),"")</f>
        <v/>
      </c>
      <c r="C164" s="3">
        <f>IFERROR(INDEX('Invite Builder'!$D:$D,ROW()-3),"")</f>
        <v/>
      </c>
      <c r="D164" s="3">
        <f>IFERROR(INDEX('Invite Builder'!$E:$E,ROW()-3),"")</f>
        <v/>
      </c>
      <c r="E164" s="3">
        <f>IFERROR(INDEX('Invite Builder'!$B:$B,ROW()-3),"")</f>
        <v/>
      </c>
      <c r="F164" s="3">
        <f>IFERROR(INDEX('Invite Builder'!$I:$I,ROW()-3),"")</f>
        <v/>
      </c>
      <c r="G164" s="3">
        <f>IFERROR(INDEX('Invite Builder'!$G:$G,ROW()-3),"")</f>
        <v/>
      </c>
      <c r="H164" s="3">
        <f>IFERROR(INDEX('Invite Builder'!$H:$H,ROW()-3),"")</f>
        <v/>
      </c>
      <c r="I164" s="3">
        <f>IFERROR(INDEX('Invite Builder'!$T:$T,ROW()-3),"")</f>
        <v/>
      </c>
    </row>
    <row r="165">
      <c r="A165" s="3">
        <f>IFERROR(INDEX('Invite Builder'!$A:$A,ROW()-3),"")</f>
        <v/>
      </c>
      <c r="B165" s="3">
        <f>IFERROR(INDEX('Invite Builder'!$C:$C,ROW()-3),"")</f>
        <v/>
      </c>
      <c r="C165" s="3">
        <f>IFERROR(INDEX('Invite Builder'!$D:$D,ROW()-3),"")</f>
        <v/>
      </c>
      <c r="D165" s="3">
        <f>IFERROR(INDEX('Invite Builder'!$E:$E,ROW()-3),"")</f>
        <v/>
      </c>
      <c r="E165" s="3">
        <f>IFERROR(INDEX('Invite Builder'!$B:$B,ROW()-3),"")</f>
        <v/>
      </c>
      <c r="F165" s="3">
        <f>IFERROR(INDEX('Invite Builder'!$I:$I,ROW()-3),"")</f>
        <v/>
      </c>
      <c r="G165" s="3">
        <f>IFERROR(INDEX('Invite Builder'!$G:$G,ROW()-3),"")</f>
        <v/>
      </c>
      <c r="H165" s="3">
        <f>IFERROR(INDEX('Invite Builder'!$H:$H,ROW()-3),"")</f>
        <v/>
      </c>
      <c r="I165" s="3">
        <f>IFERROR(INDEX('Invite Builder'!$T:$T,ROW()-3),"")</f>
        <v/>
      </c>
    </row>
    <row r="166">
      <c r="A166" s="3">
        <f>IFERROR(INDEX('Invite Builder'!$A:$A,ROW()-3),"")</f>
        <v/>
      </c>
      <c r="B166" s="3">
        <f>IFERROR(INDEX('Invite Builder'!$C:$C,ROW()-3),"")</f>
        <v/>
      </c>
      <c r="C166" s="3">
        <f>IFERROR(INDEX('Invite Builder'!$D:$D,ROW()-3),"")</f>
        <v/>
      </c>
      <c r="D166" s="3">
        <f>IFERROR(INDEX('Invite Builder'!$E:$E,ROW()-3),"")</f>
        <v/>
      </c>
      <c r="E166" s="3">
        <f>IFERROR(INDEX('Invite Builder'!$B:$B,ROW()-3),"")</f>
        <v/>
      </c>
      <c r="F166" s="3">
        <f>IFERROR(INDEX('Invite Builder'!$I:$I,ROW()-3),"")</f>
        <v/>
      </c>
      <c r="G166" s="3">
        <f>IFERROR(INDEX('Invite Builder'!$G:$G,ROW()-3),"")</f>
        <v/>
      </c>
      <c r="H166" s="3">
        <f>IFERROR(INDEX('Invite Builder'!$H:$H,ROW()-3),"")</f>
        <v/>
      </c>
      <c r="I166" s="3">
        <f>IFERROR(INDEX('Invite Builder'!$T:$T,ROW()-3),"")</f>
        <v/>
      </c>
    </row>
    <row r="167">
      <c r="A167" s="3">
        <f>IFERROR(INDEX('Invite Builder'!$A:$A,ROW()-3),"")</f>
        <v/>
      </c>
      <c r="B167" s="3">
        <f>IFERROR(INDEX('Invite Builder'!$C:$C,ROW()-3),"")</f>
        <v/>
      </c>
      <c r="C167" s="3">
        <f>IFERROR(INDEX('Invite Builder'!$D:$D,ROW()-3),"")</f>
        <v/>
      </c>
      <c r="D167" s="3">
        <f>IFERROR(INDEX('Invite Builder'!$E:$E,ROW()-3),"")</f>
        <v/>
      </c>
      <c r="E167" s="3">
        <f>IFERROR(INDEX('Invite Builder'!$B:$B,ROW()-3),"")</f>
        <v/>
      </c>
      <c r="F167" s="3">
        <f>IFERROR(INDEX('Invite Builder'!$I:$I,ROW()-3),"")</f>
        <v/>
      </c>
      <c r="G167" s="3">
        <f>IFERROR(INDEX('Invite Builder'!$G:$G,ROW()-3),"")</f>
        <v/>
      </c>
      <c r="H167" s="3">
        <f>IFERROR(INDEX('Invite Builder'!$H:$H,ROW()-3),"")</f>
        <v/>
      </c>
      <c r="I167" s="3">
        <f>IFERROR(INDEX('Invite Builder'!$T:$T,ROW()-3),"")</f>
        <v/>
      </c>
    </row>
    <row r="168">
      <c r="A168" s="3">
        <f>IFERROR(INDEX('Invite Builder'!$A:$A,ROW()-3),"")</f>
        <v/>
      </c>
      <c r="B168" s="3">
        <f>IFERROR(INDEX('Invite Builder'!$C:$C,ROW()-3),"")</f>
        <v/>
      </c>
      <c r="C168" s="3">
        <f>IFERROR(INDEX('Invite Builder'!$D:$D,ROW()-3),"")</f>
        <v/>
      </c>
      <c r="D168" s="3">
        <f>IFERROR(INDEX('Invite Builder'!$E:$E,ROW()-3),"")</f>
        <v/>
      </c>
      <c r="E168" s="3">
        <f>IFERROR(INDEX('Invite Builder'!$B:$B,ROW()-3),"")</f>
        <v/>
      </c>
      <c r="F168" s="3">
        <f>IFERROR(INDEX('Invite Builder'!$I:$I,ROW()-3),"")</f>
        <v/>
      </c>
      <c r="G168" s="3">
        <f>IFERROR(INDEX('Invite Builder'!$G:$G,ROW()-3),"")</f>
        <v/>
      </c>
      <c r="H168" s="3">
        <f>IFERROR(INDEX('Invite Builder'!$H:$H,ROW()-3),"")</f>
        <v/>
      </c>
      <c r="I168" s="3">
        <f>IFERROR(INDEX('Invite Builder'!$T:$T,ROW()-3),"")</f>
        <v/>
      </c>
    </row>
    <row r="169">
      <c r="A169" s="3">
        <f>IFERROR(INDEX('Invite Builder'!$A:$A,ROW()-3),"")</f>
        <v/>
      </c>
      <c r="B169" s="3">
        <f>IFERROR(INDEX('Invite Builder'!$C:$C,ROW()-3),"")</f>
        <v/>
      </c>
      <c r="C169" s="3">
        <f>IFERROR(INDEX('Invite Builder'!$D:$D,ROW()-3),"")</f>
        <v/>
      </c>
      <c r="D169" s="3">
        <f>IFERROR(INDEX('Invite Builder'!$E:$E,ROW()-3),"")</f>
        <v/>
      </c>
      <c r="E169" s="3">
        <f>IFERROR(INDEX('Invite Builder'!$B:$B,ROW()-3),"")</f>
        <v/>
      </c>
      <c r="F169" s="3">
        <f>IFERROR(INDEX('Invite Builder'!$I:$I,ROW()-3),"")</f>
        <v/>
      </c>
      <c r="G169" s="3">
        <f>IFERROR(INDEX('Invite Builder'!$G:$G,ROW()-3),"")</f>
        <v/>
      </c>
      <c r="H169" s="3">
        <f>IFERROR(INDEX('Invite Builder'!$H:$H,ROW()-3),"")</f>
        <v/>
      </c>
      <c r="I169" s="3">
        <f>IFERROR(INDEX('Invite Builder'!$T:$T,ROW()-3),"")</f>
        <v/>
      </c>
    </row>
    <row r="170">
      <c r="A170" s="3">
        <f>IFERROR(INDEX('Invite Builder'!$A:$A,ROW()-3),"")</f>
        <v/>
      </c>
      <c r="B170" s="3">
        <f>IFERROR(INDEX('Invite Builder'!$C:$C,ROW()-3),"")</f>
        <v/>
      </c>
      <c r="C170" s="3">
        <f>IFERROR(INDEX('Invite Builder'!$D:$D,ROW()-3),"")</f>
        <v/>
      </c>
      <c r="D170" s="3">
        <f>IFERROR(INDEX('Invite Builder'!$E:$E,ROW()-3),"")</f>
        <v/>
      </c>
      <c r="E170" s="3">
        <f>IFERROR(INDEX('Invite Builder'!$B:$B,ROW()-3),"")</f>
        <v/>
      </c>
      <c r="F170" s="3">
        <f>IFERROR(INDEX('Invite Builder'!$I:$I,ROW()-3),"")</f>
        <v/>
      </c>
      <c r="G170" s="3">
        <f>IFERROR(INDEX('Invite Builder'!$G:$G,ROW()-3),"")</f>
        <v/>
      </c>
      <c r="H170" s="3">
        <f>IFERROR(INDEX('Invite Builder'!$H:$H,ROW()-3),"")</f>
        <v/>
      </c>
      <c r="I170" s="3">
        <f>IFERROR(INDEX('Invite Builder'!$T:$T,ROW()-3),"")</f>
        <v/>
      </c>
    </row>
    <row r="171">
      <c r="A171" s="3">
        <f>IFERROR(INDEX('Invite Builder'!$A:$A,ROW()-3),"")</f>
        <v/>
      </c>
      <c r="B171" s="3">
        <f>IFERROR(INDEX('Invite Builder'!$C:$C,ROW()-3),"")</f>
        <v/>
      </c>
      <c r="C171" s="3">
        <f>IFERROR(INDEX('Invite Builder'!$D:$D,ROW()-3),"")</f>
        <v/>
      </c>
      <c r="D171" s="3">
        <f>IFERROR(INDEX('Invite Builder'!$E:$E,ROW()-3),"")</f>
        <v/>
      </c>
      <c r="E171" s="3">
        <f>IFERROR(INDEX('Invite Builder'!$B:$B,ROW()-3),"")</f>
        <v/>
      </c>
      <c r="F171" s="3">
        <f>IFERROR(INDEX('Invite Builder'!$I:$I,ROW()-3),"")</f>
        <v/>
      </c>
      <c r="G171" s="3">
        <f>IFERROR(INDEX('Invite Builder'!$G:$G,ROW()-3),"")</f>
        <v/>
      </c>
      <c r="H171" s="3">
        <f>IFERROR(INDEX('Invite Builder'!$H:$H,ROW()-3),"")</f>
        <v/>
      </c>
      <c r="I171" s="3">
        <f>IFERROR(INDEX('Invite Builder'!$T:$T,ROW()-3),"")</f>
        <v/>
      </c>
    </row>
    <row r="172">
      <c r="A172" s="3">
        <f>IFERROR(INDEX('Invite Builder'!$A:$A,ROW()-3),"")</f>
        <v/>
      </c>
      <c r="B172" s="3">
        <f>IFERROR(INDEX('Invite Builder'!$C:$C,ROW()-3),"")</f>
        <v/>
      </c>
      <c r="C172" s="3">
        <f>IFERROR(INDEX('Invite Builder'!$D:$D,ROW()-3),"")</f>
        <v/>
      </c>
      <c r="D172" s="3">
        <f>IFERROR(INDEX('Invite Builder'!$E:$E,ROW()-3),"")</f>
        <v/>
      </c>
      <c r="E172" s="3">
        <f>IFERROR(INDEX('Invite Builder'!$B:$B,ROW()-3),"")</f>
        <v/>
      </c>
      <c r="F172" s="3">
        <f>IFERROR(INDEX('Invite Builder'!$I:$I,ROW()-3),"")</f>
        <v/>
      </c>
      <c r="G172" s="3">
        <f>IFERROR(INDEX('Invite Builder'!$G:$G,ROW()-3),"")</f>
        <v/>
      </c>
      <c r="H172" s="3">
        <f>IFERROR(INDEX('Invite Builder'!$H:$H,ROW()-3),"")</f>
        <v/>
      </c>
      <c r="I172" s="3">
        <f>IFERROR(INDEX('Invite Builder'!$T:$T,ROW()-3),"")</f>
        <v/>
      </c>
    </row>
    <row r="173">
      <c r="A173" s="3">
        <f>IFERROR(INDEX('Invite Builder'!$A:$A,ROW()-3),"")</f>
        <v/>
      </c>
      <c r="B173" s="3">
        <f>IFERROR(INDEX('Invite Builder'!$C:$C,ROW()-3),"")</f>
        <v/>
      </c>
      <c r="C173" s="3">
        <f>IFERROR(INDEX('Invite Builder'!$D:$D,ROW()-3),"")</f>
        <v/>
      </c>
      <c r="D173" s="3">
        <f>IFERROR(INDEX('Invite Builder'!$E:$E,ROW()-3),"")</f>
        <v/>
      </c>
      <c r="E173" s="3">
        <f>IFERROR(INDEX('Invite Builder'!$B:$B,ROW()-3),"")</f>
        <v/>
      </c>
      <c r="F173" s="3">
        <f>IFERROR(INDEX('Invite Builder'!$I:$I,ROW()-3),"")</f>
        <v/>
      </c>
      <c r="G173" s="3">
        <f>IFERROR(INDEX('Invite Builder'!$G:$G,ROW()-3),"")</f>
        <v/>
      </c>
      <c r="H173" s="3">
        <f>IFERROR(INDEX('Invite Builder'!$H:$H,ROW()-3),"")</f>
        <v/>
      </c>
      <c r="I173" s="3">
        <f>IFERROR(INDEX('Invite Builder'!$T:$T,ROW()-3),"")</f>
        <v/>
      </c>
    </row>
    <row r="174">
      <c r="A174" s="3">
        <f>IFERROR(INDEX('Invite Builder'!$A:$A,ROW()-3),"")</f>
        <v/>
      </c>
      <c r="B174" s="3">
        <f>IFERROR(INDEX('Invite Builder'!$C:$C,ROW()-3),"")</f>
        <v/>
      </c>
      <c r="C174" s="3">
        <f>IFERROR(INDEX('Invite Builder'!$D:$D,ROW()-3),"")</f>
        <v/>
      </c>
      <c r="D174" s="3">
        <f>IFERROR(INDEX('Invite Builder'!$E:$E,ROW()-3),"")</f>
        <v/>
      </c>
      <c r="E174" s="3">
        <f>IFERROR(INDEX('Invite Builder'!$B:$B,ROW()-3),"")</f>
        <v/>
      </c>
      <c r="F174" s="3">
        <f>IFERROR(INDEX('Invite Builder'!$I:$I,ROW()-3),"")</f>
        <v/>
      </c>
      <c r="G174" s="3">
        <f>IFERROR(INDEX('Invite Builder'!$G:$G,ROW()-3),"")</f>
        <v/>
      </c>
      <c r="H174" s="3">
        <f>IFERROR(INDEX('Invite Builder'!$H:$H,ROW()-3),"")</f>
        <v/>
      </c>
      <c r="I174" s="3">
        <f>IFERROR(INDEX('Invite Builder'!$T:$T,ROW()-3),"")</f>
        <v/>
      </c>
    </row>
    <row r="175">
      <c r="A175" s="3">
        <f>IFERROR(INDEX('Invite Builder'!$A:$A,ROW()-3),"")</f>
        <v/>
      </c>
      <c r="B175" s="3">
        <f>IFERROR(INDEX('Invite Builder'!$C:$C,ROW()-3),"")</f>
        <v/>
      </c>
      <c r="C175" s="3">
        <f>IFERROR(INDEX('Invite Builder'!$D:$D,ROW()-3),"")</f>
        <v/>
      </c>
      <c r="D175" s="3">
        <f>IFERROR(INDEX('Invite Builder'!$E:$E,ROW()-3),"")</f>
        <v/>
      </c>
      <c r="E175" s="3">
        <f>IFERROR(INDEX('Invite Builder'!$B:$B,ROW()-3),"")</f>
        <v/>
      </c>
      <c r="F175" s="3">
        <f>IFERROR(INDEX('Invite Builder'!$I:$I,ROW()-3),"")</f>
        <v/>
      </c>
      <c r="G175" s="3">
        <f>IFERROR(INDEX('Invite Builder'!$G:$G,ROW()-3),"")</f>
        <v/>
      </c>
      <c r="H175" s="3">
        <f>IFERROR(INDEX('Invite Builder'!$H:$H,ROW()-3),"")</f>
        <v/>
      </c>
      <c r="I175" s="3">
        <f>IFERROR(INDEX('Invite Builder'!$T:$T,ROW()-3),"")</f>
        <v/>
      </c>
    </row>
    <row r="176">
      <c r="A176" s="3">
        <f>IFERROR(INDEX('Invite Builder'!$A:$A,ROW()-3),"")</f>
        <v/>
      </c>
      <c r="B176" s="3">
        <f>IFERROR(INDEX('Invite Builder'!$C:$C,ROW()-3),"")</f>
        <v/>
      </c>
      <c r="C176" s="3">
        <f>IFERROR(INDEX('Invite Builder'!$D:$D,ROW()-3),"")</f>
        <v/>
      </c>
      <c r="D176" s="3">
        <f>IFERROR(INDEX('Invite Builder'!$E:$E,ROW()-3),"")</f>
        <v/>
      </c>
      <c r="E176" s="3">
        <f>IFERROR(INDEX('Invite Builder'!$B:$B,ROW()-3),"")</f>
        <v/>
      </c>
      <c r="F176" s="3">
        <f>IFERROR(INDEX('Invite Builder'!$I:$I,ROW()-3),"")</f>
        <v/>
      </c>
      <c r="G176" s="3">
        <f>IFERROR(INDEX('Invite Builder'!$G:$G,ROW()-3),"")</f>
        <v/>
      </c>
      <c r="H176" s="3">
        <f>IFERROR(INDEX('Invite Builder'!$H:$H,ROW()-3),"")</f>
        <v/>
      </c>
      <c r="I176" s="3">
        <f>IFERROR(INDEX('Invite Builder'!$T:$T,ROW()-3),"")</f>
        <v/>
      </c>
    </row>
    <row r="177">
      <c r="A177" s="3">
        <f>IFERROR(INDEX('Invite Builder'!$A:$A,ROW()-3),"")</f>
        <v/>
      </c>
      <c r="B177" s="3">
        <f>IFERROR(INDEX('Invite Builder'!$C:$C,ROW()-3),"")</f>
        <v/>
      </c>
      <c r="C177" s="3">
        <f>IFERROR(INDEX('Invite Builder'!$D:$D,ROW()-3),"")</f>
        <v/>
      </c>
      <c r="D177" s="3">
        <f>IFERROR(INDEX('Invite Builder'!$E:$E,ROW()-3),"")</f>
        <v/>
      </c>
      <c r="E177" s="3">
        <f>IFERROR(INDEX('Invite Builder'!$B:$B,ROW()-3),"")</f>
        <v/>
      </c>
      <c r="F177" s="3">
        <f>IFERROR(INDEX('Invite Builder'!$I:$I,ROW()-3),"")</f>
        <v/>
      </c>
      <c r="G177" s="3">
        <f>IFERROR(INDEX('Invite Builder'!$G:$G,ROW()-3),"")</f>
        <v/>
      </c>
      <c r="H177" s="3">
        <f>IFERROR(INDEX('Invite Builder'!$H:$H,ROW()-3),"")</f>
        <v/>
      </c>
      <c r="I177" s="3">
        <f>IFERROR(INDEX('Invite Builder'!$T:$T,ROW()-3),"")</f>
        <v/>
      </c>
    </row>
    <row r="178">
      <c r="A178" s="3">
        <f>IFERROR(INDEX('Invite Builder'!$A:$A,ROW()-3),"")</f>
        <v/>
      </c>
      <c r="B178" s="3">
        <f>IFERROR(INDEX('Invite Builder'!$C:$C,ROW()-3),"")</f>
        <v/>
      </c>
      <c r="C178" s="3">
        <f>IFERROR(INDEX('Invite Builder'!$D:$D,ROW()-3),"")</f>
        <v/>
      </c>
      <c r="D178" s="3">
        <f>IFERROR(INDEX('Invite Builder'!$E:$E,ROW()-3),"")</f>
        <v/>
      </c>
      <c r="E178" s="3">
        <f>IFERROR(INDEX('Invite Builder'!$B:$B,ROW()-3),"")</f>
        <v/>
      </c>
      <c r="F178" s="3">
        <f>IFERROR(INDEX('Invite Builder'!$I:$I,ROW()-3),"")</f>
        <v/>
      </c>
      <c r="G178" s="3">
        <f>IFERROR(INDEX('Invite Builder'!$G:$G,ROW()-3),"")</f>
        <v/>
      </c>
      <c r="H178" s="3">
        <f>IFERROR(INDEX('Invite Builder'!$H:$H,ROW()-3),"")</f>
        <v/>
      </c>
      <c r="I178" s="3">
        <f>IFERROR(INDEX('Invite Builder'!$T:$T,ROW()-3),"")</f>
        <v/>
      </c>
    </row>
    <row r="179">
      <c r="A179" s="3">
        <f>IFERROR(INDEX('Invite Builder'!$A:$A,ROW()-3),"")</f>
        <v/>
      </c>
      <c r="B179" s="3">
        <f>IFERROR(INDEX('Invite Builder'!$C:$C,ROW()-3),"")</f>
        <v/>
      </c>
      <c r="C179" s="3">
        <f>IFERROR(INDEX('Invite Builder'!$D:$D,ROW()-3),"")</f>
        <v/>
      </c>
      <c r="D179" s="3">
        <f>IFERROR(INDEX('Invite Builder'!$E:$E,ROW()-3),"")</f>
        <v/>
      </c>
      <c r="E179" s="3">
        <f>IFERROR(INDEX('Invite Builder'!$B:$B,ROW()-3),"")</f>
        <v/>
      </c>
      <c r="F179" s="3">
        <f>IFERROR(INDEX('Invite Builder'!$I:$I,ROW()-3),"")</f>
        <v/>
      </c>
      <c r="G179" s="3">
        <f>IFERROR(INDEX('Invite Builder'!$G:$G,ROW()-3),"")</f>
        <v/>
      </c>
      <c r="H179" s="3">
        <f>IFERROR(INDEX('Invite Builder'!$H:$H,ROW()-3),"")</f>
        <v/>
      </c>
      <c r="I179" s="3">
        <f>IFERROR(INDEX('Invite Builder'!$T:$T,ROW()-3),"")</f>
        <v/>
      </c>
    </row>
    <row r="180">
      <c r="A180" s="3">
        <f>IFERROR(INDEX('Invite Builder'!$A:$A,ROW()-3),"")</f>
        <v/>
      </c>
      <c r="B180" s="3">
        <f>IFERROR(INDEX('Invite Builder'!$C:$C,ROW()-3),"")</f>
        <v/>
      </c>
      <c r="C180" s="3">
        <f>IFERROR(INDEX('Invite Builder'!$D:$D,ROW()-3),"")</f>
        <v/>
      </c>
      <c r="D180" s="3">
        <f>IFERROR(INDEX('Invite Builder'!$E:$E,ROW()-3),"")</f>
        <v/>
      </c>
      <c r="E180" s="3">
        <f>IFERROR(INDEX('Invite Builder'!$B:$B,ROW()-3),"")</f>
        <v/>
      </c>
      <c r="F180" s="3">
        <f>IFERROR(INDEX('Invite Builder'!$I:$I,ROW()-3),"")</f>
        <v/>
      </c>
      <c r="G180" s="3">
        <f>IFERROR(INDEX('Invite Builder'!$G:$G,ROW()-3),"")</f>
        <v/>
      </c>
      <c r="H180" s="3">
        <f>IFERROR(INDEX('Invite Builder'!$H:$H,ROW()-3),"")</f>
        <v/>
      </c>
      <c r="I180" s="3">
        <f>IFERROR(INDEX('Invite Builder'!$T:$T,ROW()-3),"")</f>
        <v/>
      </c>
    </row>
    <row r="181">
      <c r="A181" s="3">
        <f>IFERROR(INDEX('Invite Builder'!$A:$A,ROW()-3),"")</f>
        <v/>
      </c>
      <c r="B181" s="3">
        <f>IFERROR(INDEX('Invite Builder'!$C:$C,ROW()-3),"")</f>
        <v/>
      </c>
      <c r="C181" s="3">
        <f>IFERROR(INDEX('Invite Builder'!$D:$D,ROW()-3),"")</f>
        <v/>
      </c>
      <c r="D181" s="3">
        <f>IFERROR(INDEX('Invite Builder'!$E:$E,ROW()-3),"")</f>
        <v/>
      </c>
      <c r="E181" s="3">
        <f>IFERROR(INDEX('Invite Builder'!$B:$B,ROW()-3),"")</f>
        <v/>
      </c>
      <c r="F181" s="3">
        <f>IFERROR(INDEX('Invite Builder'!$I:$I,ROW()-3),"")</f>
        <v/>
      </c>
      <c r="G181" s="3">
        <f>IFERROR(INDEX('Invite Builder'!$G:$G,ROW()-3),"")</f>
        <v/>
      </c>
      <c r="H181" s="3">
        <f>IFERROR(INDEX('Invite Builder'!$H:$H,ROW()-3),"")</f>
        <v/>
      </c>
      <c r="I181" s="3">
        <f>IFERROR(INDEX('Invite Builder'!$T:$T,ROW()-3),"")</f>
        <v/>
      </c>
    </row>
    <row r="182">
      <c r="A182" s="3">
        <f>IFERROR(INDEX('Invite Builder'!$A:$A,ROW()-3),"")</f>
        <v/>
      </c>
      <c r="B182" s="3">
        <f>IFERROR(INDEX('Invite Builder'!$C:$C,ROW()-3),"")</f>
        <v/>
      </c>
      <c r="C182" s="3">
        <f>IFERROR(INDEX('Invite Builder'!$D:$D,ROW()-3),"")</f>
        <v/>
      </c>
      <c r="D182" s="3">
        <f>IFERROR(INDEX('Invite Builder'!$E:$E,ROW()-3),"")</f>
        <v/>
      </c>
      <c r="E182" s="3">
        <f>IFERROR(INDEX('Invite Builder'!$B:$B,ROW()-3),"")</f>
        <v/>
      </c>
      <c r="F182" s="3">
        <f>IFERROR(INDEX('Invite Builder'!$I:$I,ROW()-3),"")</f>
        <v/>
      </c>
      <c r="G182" s="3">
        <f>IFERROR(INDEX('Invite Builder'!$G:$G,ROW()-3),"")</f>
        <v/>
      </c>
      <c r="H182" s="3">
        <f>IFERROR(INDEX('Invite Builder'!$H:$H,ROW()-3),"")</f>
        <v/>
      </c>
      <c r="I182" s="3">
        <f>IFERROR(INDEX('Invite Builder'!$T:$T,ROW()-3),"")</f>
        <v/>
      </c>
    </row>
    <row r="183">
      <c r="A183" s="3">
        <f>IFERROR(INDEX('Invite Builder'!$A:$A,ROW()-3),"")</f>
        <v/>
      </c>
      <c r="B183" s="3">
        <f>IFERROR(INDEX('Invite Builder'!$C:$C,ROW()-3),"")</f>
        <v/>
      </c>
      <c r="C183" s="3">
        <f>IFERROR(INDEX('Invite Builder'!$D:$D,ROW()-3),"")</f>
        <v/>
      </c>
      <c r="D183" s="3">
        <f>IFERROR(INDEX('Invite Builder'!$E:$E,ROW()-3),"")</f>
        <v/>
      </c>
      <c r="E183" s="3">
        <f>IFERROR(INDEX('Invite Builder'!$B:$B,ROW()-3),"")</f>
        <v/>
      </c>
      <c r="F183" s="3">
        <f>IFERROR(INDEX('Invite Builder'!$I:$I,ROW()-3),"")</f>
        <v/>
      </c>
      <c r="G183" s="3">
        <f>IFERROR(INDEX('Invite Builder'!$G:$G,ROW()-3),"")</f>
        <v/>
      </c>
      <c r="H183" s="3">
        <f>IFERROR(INDEX('Invite Builder'!$H:$H,ROW()-3),"")</f>
        <v/>
      </c>
      <c r="I183" s="3">
        <f>IFERROR(INDEX('Invite Builder'!$T:$T,ROW()-3),"")</f>
        <v/>
      </c>
    </row>
    <row r="184">
      <c r="A184" s="3">
        <f>IFERROR(INDEX('Invite Builder'!$A:$A,ROW()-3),"")</f>
        <v/>
      </c>
      <c r="B184" s="3">
        <f>IFERROR(INDEX('Invite Builder'!$C:$C,ROW()-3),"")</f>
        <v/>
      </c>
      <c r="C184" s="3">
        <f>IFERROR(INDEX('Invite Builder'!$D:$D,ROW()-3),"")</f>
        <v/>
      </c>
      <c r="D184" s="3">
        <f>IFERROR(INDEX('Invite Builder'!$E:$E,ROW()-3),"")</f>
        <v/>
      </c>
      <c r="E184" s="3">
        <f>IFERROR(INDEX('Invite Builder'!$B:$B,ROW()-3),"")</f>
        <v/>
      </c>
      <c r="F184" s="3">
        <f>IFERROR(INDEX('Invite Builder'!$I:$I,ROW()-3),"")</f>
        <v/>
      </c>
      <c r="G184" s="3">
        <f>IFERROR(INDEX('Invite Builder'!$G:$G,ROW()-3),"")</f>
        <v/>
      </c>
      <c r="H184" s="3">
        <f>IFERROR(INDEX('Invite Builder'!$H:$H,ROW()-3),"")</f>
        <v/>
      </c>
      <c r="I184" s="3">
        <f>IFERROR(INDEX('Invite Builder'!$T:$T,ROW()-3),"")</f>
        <v/>
      </c>
    </row>
    <row r="185">
      <c r="A185" s="3">
        <f>IFERROR(INDEX('Invite Builder'!$A:$A,ROW()-3),"")</f>
        <v/>
      </c>
      <c r="B185" s="3">
        <f>IFERROR(INDEX('Invite Builder'!$C:$C,ROW()-3),"")</f>
        <v/>
      </c>
      <c r="C185" s="3">
        <f>IFERROR(INDEX('Invite Builder'!$D:$D,ROW()-3),"")</f>
        <v/>
      </c>
      <c r="D185" s="3">
        <f>IFERROR(INDEX('Invite Builder'!$E:$E,ROW()-3),"")</f>
        <v/>
      </c>
      <c r="E185" s="3">
        <f>IFERROR(INDEX('Invite Builder'!$B:$B,ROW()-3),"")</f>
        <v/>
      </c>
      <c r="F185" s="3">
        <f>IFERROR(INDEX('Invite Builder'!$I:$I,ROW()-3),"")</f>
        <v/>
      </c>
      <c r="G185" s="3">
        <f>IFERROR(INDEX('Invite Builder'!$G:$G,ROW()-3),"")</f>
        <v/>
      </c>
      <c r="H185" s="3">
        <f>IFERROR(INDEX('Invite Builder'!$H:$H,ROW()-3),"")</f>
        <v/>
      </c>
      <c r="I185" s="3">
        <f>IFERROR(INDEX('Invite Builder'!$T:$T,ROW()-3),"")</f>
        <v/>
      </c>
    </row>
    <row r="186">
      <c r="A186" s="3">
        <f>IFERROR(INDEX('Invite Builder'!$A:$A,ROW()-3),"")</f>
        <v/>
      </c>
      <c r="B186" s="3">
        <f>IFERROR(INDEX('Invite Builder'!$C:$C,ROW()-3),"")</f>
        <v/>
      </c>
      <c r="C186" s="3">
        <f>IFERROR(INDEX('Invite Builder'!$D:$D,ROW()-3),"")</f>
        <v/>
      </c>
      <c r="D186" s="3">
        <f>IFERROR(INDEX('Invite Builder'!$E:$E,ROW()-3),"")</f>
        <v/>
      </c>
      <c r="E186" s="3">
        <f>IFERROR(INDEX('Invite Builder'!$B:$B,ROW()-3),"")</f>
        <v/>
      </c>
      <c r="F186" s="3">
        <f>IFERROR(INDEX('Invite Builder'!$I:$I,ROW()-3),"")</f>
        <v/>
      </c>
      <c r="G186" s="3">
        <f>IFERROR(INDEX('Invite Builder'!$G:$G,ROW()-3),"")</f>
        <v/>
      </c>
      <c r="H186" s="3">
        <f>IFERROR(INDEX('Invite Builder'!$H:$H,ROW()-3),"")</f>
        <v/>
      </c>
      <c r="I186" s="3">
        <f>IFERROR(INDEX('Invite Builder'!$T:$T,ROW()-3),"")</f>
        <v/>
      </c>
    </row>
    <row r="187">
      <c r="A187" s="3">
        <f>IFERROR(INDEX('Invite Builder'!$A:$A,ROW()-3),"")</f>
        <v/>
      </c>
      <c r="B187" s="3">
        <f>IFERROR(INDEX('Invite Builder'!$C:$C,ROW()-3),"")</f>
        <v/>
      </c>
      <c r="C187" s="3">
        <f>IFERROR(INDEX('Invite Builder'!$D:$D,ROW()-3),"")</f>
        <v/>
      </c>
      <c r="D187" s="3">
        <f>IFERROR(INDEX('Invite Builder'!$E:$E,ROW()-3),"")</f>
        <v/>
      </c>
      <c r="E187" s="3">
        <f>IFERROR(INDEX('Invite Builder'!$B:$B,ROW()-3),"")</f>
        <v/>
      </c>
      <c r="F187" s="3">
        <f>IFERROR(INDEX('Invite Builder'!$I:$I,ROW()-3),"")</f>
        <v/>
      </c>
      <c r="G187" s="3">
        <f>IFERROR(INDEX('Invite Builder'!$G:$G,ROW()-3),"")</f>
        <v/>
      </c>
      <c r="H187" s="3">
        <f>IFERROR(INDEX('Invite Builder'!$H:$H,ROW()-3),"")</f>
        <v/>
      </c>
      <c r="I187" s="3">
        <f>IFERROR(INDEX('Invite Builder'!$T:$T,ROW()-3),"")</f>
        <v/>
      </c>
    </row>
    <row r="188">
      <c r="A188" s="3">
        <f>IFERROR(INDEX('Invite Builder'!$A:$A,ROW()-3),"")</f>
        <v/>
      </c>
      <c r="B188" s="3">
        <f>IFERROR(INDEX('Invite Builder'!$C:$C,ROW()-3),"")</f>
        <v/>
      </c>
      <c r="C188" s="3">
        <f>IFERROR(INDEX('Invite Builder'!$D:$D,ROW()-3),"")</f>
        <v/>
      </c>
      <c r="D188" s="3">
        <f>IFERROR(INDEX('Invite Builder'!$E:$E,ROW()-3),"")</f>
        <v/>
      </c>
      <c r="E188" s="3">
        <f>IFERROR(INDEX('Invite Builder'!$B:$B,ROW()-3),"")</f>
        <v/>
      </c>
      <c r="F188" s="3">
        <f>IFERROR(INDEX('Invite Builder'!$I:$I,ROW()-3),"")</f>
        <v/>
      </c>
      <c r="G188" s="3">
        <f>IFERROR(INDEX('Invite Builder'!$G:$G,ROW()-3),"")</f>
        <v/>
      </c>
      <c r="H188" s="3">
        <f>IFERROR(INDEX('Invite Builder'!$H:$H,ROW()-3),"")</f>
        <v/>
      </c>
      <c r="I188" s="3">
        <f>IFERROR(INDEX('Invite Builder'!$T:$T,ROW()-3),"")</f>
        <v/>
      </c>
    </row>
    <row r="189">
      <c r="A189" s="3">
        <f>IFERROR(INDEX('Invite Builder'!$A:$A,ROW()-3),"")</f>
        <v/>
      </c>
      <c r="B189" s="3">
        <f>IFERROR(INDEX('Invite Builder'!$C:$C,ROW()-3),"")</f>
        <v/>
      </c>
      <c r="C189" s="3">
        <f>IFERROR(INDEX('Invite Builder'!$D:$D,ROW()-3),"")</f>
        <v/>
      </c>
      <c r="D189" s="3">
        <f>IFERROR(INDEX('Invite Builder'!$E:$E,ROW()-3),"")</f>
        <v/>
      </c>
      <c r="E189" s="3">
        <f>IFERROR(INDEX('Invite Builder'!$B:$B,ROW()-3),"")</f>
        <v/>
      </c>
      <c r="F189" s="3">
        <f>IFERROR(INDEX('Invite Builder'!$I:$I,ROW()-3),"")</f>
        <v/>
      </c>
      <c r="G189" s="3">
        <f>IFERROR(INDEX('Invite Builder'!$G:$G,ROW()-3),"")</f>
        <v/>
      </c>
      <c r="H189" s="3">
        <f>IFERROR(INDEX('Invite Builder'!$H:$H,ROW()-3),"")</f>
        <v/>
      </c>
      <c r="I189" s="3">
        <f>IFERROR(INDEX('Invite Builder'!$T:$T,ROW()-3),"")</f>
        <v/>
      </c>
    </row>
    <row r="190">
      <c r="A190" s="3">
        <f>IFERROR(INDEX('Invite Builder'!$A:$A,ROW()-3),"")</f>
        <v/>
      </c>
      <c r="B190" s="3">
        <f>IFERROR(INDEX('Invite Builder'!$C:$C,ROW()-3),"")</f>
        <v/>
      </c>
      <c r="C190" s="3">
        <f>IFERROR(INDEX('Invite Builder'!$D:$D,ROW()-3),"")</f>
        <v/>
      </c>
      <c r="D190" s="3">
        <f>IFERROR(INDEX('Invite Builder'!$E:$E,ROW()-3),"")</f>
        <v/>
      </c>
      <c r="E190" s="3">
        <f>IFERROR(INDEX('Invite Builder'!$B:$B,ROW()-3),"")</f>
        <v/>
      </c>
      <c r="F190" s="3">
        <f>IFERROR(INDEX('Invite Builder'!$I:$I,ROW()-3),"")</f>
        <v/>
      </c>
      <c r="G190" s="3">
        <f>IFERROR(INDEX('Invite Builder'!$G:$G,ROW()-3),"")</f>
        <v/>
      </c>
      <c r="H190" s="3">
        <f>IFERROR(INDEX('Invite Builder'!$H:$H,ROW()-3),"")</f>
        <v/>
      </c>
      <c r="I190" s="3">
        <f>IFERROR(INDEX('Invite Builder'!$T:$T,ROW()-3),"")</f>
        <v/>
      </c>
    </row>
    <row r="191">
      <c r="A191" s="3">
        <f>IFERROR(INDEX('Invite Builder'!$A:$A,ROW()-3),"")</f>
        <v/>
      </c>
      <c r="B191" s="3">
        <f>IFERROR(INDEX('Invite Builder'!$C:$C,ROW()-3),"")</f>
        <v/>
      </c>
      <c r="C191" s="3">
        <f>IFERROR(INDEX('Invite Builder'!$D:$D,ROW()-3),"")</f>
        <v/>
      </c>
      <c r="D191" s="3">
        <f>IFERROR(INDEX('Invite Builder'!$E:$E,ROW()-3),"")</f>
        <v/>
      </c>
      <c r="E191" s="3">
        <f>IFERROR(INDEX('Invite Builder'!$B:$B,ROW()-3),"")</f>
        <v/>
      </c>
      <c r="F191" s="3">
        <f>IFERROR(INDEX('Invite Builder'!$I:$I,ROW()-3),"")</f>
        <v/>
      </c>
      <c r="G191" s="3">
        <f>IFERROR(INDEX('Invite Builder'!$G:$G,ROW()-3),"")</f>
        <v/>
      </c>
      <c r="H191" s="3">
        <f>IFERROR(INDEX('Invite Builder'!$H:$H,ROW()-3),"")</f>
        <v/>
      </c>
      <c r="I191" s="3">
        <f>IFERROR(INDEX('Invite Builder'!$T:$T,ROW()-3),"")</f>
        <v/>
      </c>
    </row>
    <row r="192">
      <c r="A192" s="3">
        <f>IFERROR(INDEX('Invite Builder'!$A:$A,ROW()-3),"")</f>
        <v/>
      </c>
      <c r="B192" s="3">
        <f>IFERROR(INDEX('Invite Builder'!$C:$C,ROW()-3),"")</f>
        <v/>
      </c>
      <c r="C192" s="3">
        <f>IFERROR(INDEX('Invite Builder'!$D:$D,ROW()-3),"")</f>
        <v/>
      </c>
      <c r="D192" s="3">
        <f>IFERROR(INDEX('Invite Builder'!$E:$E,ROW()-3),"")</f>
        <v/>
      </c>
      <c r="E192" s="3">
        <f>IFERROR(INDEX('Invite Builder'!$B:$B,ROW()-3),"")</f>
        <v/>
      </c>
      <c r="F192" s="3">
        <f>IFERROR(INDEX('Invite Builder'!$I:$I,ROW()-3),"")</f>
        <v/>
      </c>
      <c r="G192" s="3">
        <f>IFERROR(INDEX('Invite Builder'!$G:$G,ROW()-3),"")</f>
        <v/>
      </c>
      <c r="H192" s="3">
        <f>IFERROR(INDEX('Invite Builder'!$H:$H,ROW()-3),"")</f>
        <v/>
      </c>
      <c r="I192" s="3">
        <f>IFERROR(INDEX('Invite Builder'!$T:$T,ROW()-3),"")</f>
        <v/>
      </c>
    </row>
    <row r="193">
      <c r="A193" s="3">
        <f>IFERROR(INDEX('Invite Builder'!$A:$A,ROW()-3),"")</f>
        <v/>
      </c>
      <c r="B193" s="3">
        <f>IFERROR(INDEX('Invite Builder'!$C:$C,ROW()-3),"")</f>
        <v/>
      </c>
      <c r="C193" s="3">
        <f>IFERROR(INDEX('Invite Builder'!$D:$D,ROW()-3),"")</f>
        <v/>
      </c>
      <c r="D193" s="3">
        <f>IFERROR(INDEX('Invite Builder'!$E:$E,ROW()-3),"")</f>
        <v/>
      </c>
      <c r="E193" s="3">
        <f>IFERROR(INDEX('Invite Builder'!$B:$B,ROW()-3),"")</f>
        <v/>
      </c>
      <c r="F193" s="3">
        <f>IFERROR(INDEX('Invite Builder'!$I:$I,ROW()-3),"")</f>
        <v/>
      </c>
      <c r="G193" s="3">
        <f>IFERROR(INDEX('Invite Builder'!$G:$G,ROW()-3),"")</f>
        <v/>
      </c>
      <c r="H193" s="3">
        <f>IFERROR(INDEX('Invite Builder'!$H:$H,ROW()-3),"")</f>
        <v/>
      </c>
      <c r="I193" s="3">
        <f>IFERROR(INDEX('Invite Builder'!$T:$T,ROW()-3),"")</f>
        <v/>
      </c>
    </row>
    <row r="194">
      <c r="A194" s="3">
        <f>IFERROR(INDEX('Invite Builder'!$A:$A,ROW()-3),"")</f>
        <v/>
      </c>
      <c r="B194" s="3">
        <f>IFERROR(INDEX('Invite Builder'!$C:$C,ROW()-3),"")</f>
        <v/>
      </c>
      <c r="C194" s="3">
        <f>IFERROR(INDEX('Invite Builder'!$D:$D,ROW()-3),"")</f>
        <v/>
      </c>
      <c r="D194" s="3">
        <f>IFERROR(INDEX('Invite Builder'!$E:$E,ROW()-3),"")</f>
        <v/>
      </c>
      <c r="E194" s="3">
        <f>IFERROR(INDEX('Invite Builder'!$B:$B,ROW()-3),"")</f>
        <v/>
      </c>
      <c r="F194" s="3">
        <f>IFERROR(INDEX('Invite Builder'!$I:$I,ROW()-3),"")</f>
        <v/>
      </c>
      <c r="G194" s="3">
        <f>IFERROR(INDEX('Invite Builder'!$G:$G,ROW()-3),"")</f>
        <v/>
      </c>
      <c r="H194" s="3">
        <f>IFERROR(INDEX('Invite Builder'!$H:$H,ROW()-3),"")</f>
        <v/>
      </c>
      <c r="I194" s="3">
        <f>IFERROR(INDEX('Invite Builder'!$T:$T,ROW()-3),"")</f>
        <v/>
      </c>
    </row>
    <row r="195">
      <c r="A195" s="3">
        <f>IFERROR(INDEX('Invite Builder'!$A:$A,ROW()-3),"")</f>
        <v/>
      </c>
      <c r="B195" s="3">
        <f>IFERROR(INDEX('Invite Builder'!$C:$C,ROW()-3),"")</f>
        <v/>
      </c>
      <c r="C195" s="3">
        <f>IFERROR(INDEX('Invite Builder'!$D:$D,ROW()-3),"")</f>
        <v/>
      </c>
      <c r="D195" s="3">
        <f>IFERROR(INDEX('Invite Builder'!$E:$E,ROW()-3),"")</f>
        <v/>
      </c>
      <c r="E195" s="3">
        <f>IFERROR(INDEX('Invite Builder'!$B:$B,ROW()-3),"")</f>
        <v/>
      </c>
      <c r="F195" s="3">
        <f>IFERROR(INDEX('Invite Builder'!$I:$I,ROW()-3),"")</f>
        <v/>
      </c>
      <c r="G195" s="3">
        <f>IFERROR(INDEX('Invite Builder'!$G:$G,ROW()-3),"")</f>
        <v/>
      </c>
      <c r="H195" s="3">
        <f>IFERROR(INDEX('Invite Builder'!$H:$H,ROW()-3),"")</f>
        <v/>
      </c>
      <c r="I195" s="3">
        <f>IFERROR(INDEX('Invite Builder'!$T:$T,ROW()-3),"")</f>
        <v/>
      </c>
    </row>
    <row r="196">
      <c r="A196" s="3">
        <f>IFERROR(INDEX('Invite Builder'!$A:$A,ROW()-3),"")</f>
        <v/>
      </c>
      <c r="B196" s="3">
        <f>IFERROR(INDEX('Invite Builder'!$C:$C,ROW()-3),"")</f>
        <v/>
      </c>
      <c r="C196" s="3">
        <f>IFERROR(INDEX('Invite Builder'!$D:$D,ROW()-3),"")</f>
        <v/>
      </c>
      <c r="D196" s="3">
        <f>IFERROR(INDEX('Invite Builder'!$E:$E,ROW()-3),"")</f>
        <v/>
      </c>
      <c r="E196" s="3">
        <f>IFERROR(INDEX('Invite Builder'!$B:$B,ROW()-3),"")</f>
        <v/>
      </c>
      <c r="F196" s="3">
        <f>IFERROR(INDEX('Invite Builder'!$I:$I,ROW()-3),"")</f>
        <v/>
      </c>
      <c r="G196" s="3">
        <f>IFERROR(INDEX('Invite Builder'!$G:$G,ROW()-3),"")</f>
        <v/>
      </c>
      <c r="H196" s="3">
        <f>IFERROR(INDEX('Invite Builder'!$H:$H,ROW()-3),"")</f>
        <v/>
      </c>
      <c r="I196" s="3">
        <f>IFERROR(INDEX('Invite Builder'!$T:$T,ROW()-3),"")</f>
        <v/>
      </c>
    </row>
    <row r="197">
      <c r="A197" s="3">
        <f>IFERROR(INDEX('Invite Builder'!$A:$A,ROW()-3),"")</f>
        <v/>
      </c>
      <c r="B197" s="3">
        <f>IFERROR(INDEX('Invite Builder'!$C:$C,ROW()-3),"")</f>
        <v/>
      </c>
      <c r="C197" s="3">
        <f>IFERROR(INDEX('Invite Builder'!$D:$D,ROW()-3),"")</f>
        <v/>
      </c>
      <c r="D197" s="3">
        <f>IFERROR(INDEX('Invite Builder'!$E:$E,ROW()-3),"")</f>
        <v/>
      </c>
      <c r="E197" s="3">
        <f>IFERROR(INDEX('Invite Builder'!$B:$B,ROW()-3),"")</f>
        <v/>
      </c>
      <c r="F197" s="3">
        <f>IFERROR(INDEX('Invite Builder'!$I:$I,ROW()-3),"")</f>
        <v/>
      </c>
      <c r="G197" s="3">
        <f>IFERROR(INDEX('Invite Builder'!$G:$G,ROW()-3),"")</f>
        <v/>
      </c>
      <c r="H197" s="3">
        <f>IFERROR(INDEX('Invite Builder'!$H:$H,ROW()-3),"")</f>
        <v/>
      </c>
      <c r="I197" s="3">
        <f>IFERROR(INDEX('Invite Builder'!$T:$T,ROW()-3),"")</f>
        <v/>
      </c>
    </row>
    <row r="198">
      <c r="A198" s="3">
        <f>IFERROR(INDEX('Invite Builder'!$A:$A,ROW()-3),"")</f>
        <v/>
      </c>
      <c r="B198" s="3">
        <f>IFERROR(INDEX('Invite Builder'!$C:$C,ROW()-3),"")</f>
        <v/>
      </c>
      <c r="C198" s="3">
        <f>IFERROR(INDEX('Invite Builder'!$D:$D,ROW()-3),"")</f>
        <v/>
      </c>
      <c r="D198" s="3">
        <f>IFERROR(INDEX('Invite Builder'!$E:$E,ROW()-3),"")</f>
        <v/>
      </c>
      <c r="E198" s="3">
        <f>IFERROR(INDEX('Invite Builder'!$B:$B,ROW()-3),"")</f>
        <v/>
      </c>
      <c r="F198" s="3">
        <f>IFERROR(INDEX('Invite Builder'!$I:$I,ROW()-3),"")</f>
        <v/>
      </c>
      <c r="G198" s="3">
        <f>IFERROR(INDEX('Invite Builder'!$G:$G,ROW()-3),"")</f>
        <v/>
      </c>
      <c r="H198" s="3">
        <f>IFERROR(INDEX('Invite Builder'!$H:$H,ROW()-3),"")</f>
        <v/>
      </c>
      <c r="I198" s="3">
        <f>IFERROR(INDEX('Invite Builder'!$T:$T,ROW()-3),"")</f>
        <v/>
      </c>
    </row>
    <row r="199">
      <c r="A199" s="3">
        <f>IFERROR(INDEX('Invite Builder'!$A:$A,ROW()-3),"")</f>
        <v/>
      </c>
      <c r="B199" s="3">
        <f>IFERROR(INDEX('Invite Builder'!$C:$C,ROW()-3),"")</f>
        <v/>
      </c>
      <c r="C199" s="3">
        <f>IFERROR(INDEX('Invite Builder'!$D:$D,ROW()-3),"")</f>
        <v/>
      </c>
      <c r="D199" s="3">
        <f>IFERROR(INDEX('Invite Builder'!$E:$E,ROW()-3),"")</f>
        <v/>
      </c>
      <c r="E199" s="3">
        <f>IFERROR(INDEX('Invite Builder'!$B:$B,ROW()-3),"")</f>
        <v/>
      </c>
      <c r="F199" s="3">
        <f>IFERROR(INDEX('Invite Builder'!$I:$I,ROW()-3),"")</f>
        <v/>
      </c>
      <c r="G199" s="3">
        <f>IFERROR(INDEX('Invite Builder'!$G:$G,ROW()-3),"")</f>
        <v/>
      </c>
      <c r="H199" s="3">
        <f>IFERROR(INDEX('Invite Builder'!$H:$H,ROW()-3),"")</f>
        <v/>
      </c>
      <c r="I199" s="3">
        <f>IFERROR(INDEX('Invite Builder'!$T:$T,ROW()-3),"")</f>
        <v/>
      </c>
    </row>
    <row r="200">
      <c r="A200" s="3">
        <f>IFERROR(INDEX('Invite Builder'!$A:$A,ROW()-3),"")</f>
        <v/>
      </c>
      <c r="B200" s="3">
        <f>IFERROR(INDEX('Invite Builder'!$C:$C,ROW()-3),"")</f>
        <v/>
      </c>
      <c r="C200" s="3">
        <f>IFERROR(INDEX('Invite Builder'!$D:$D,ROW()-3),"")</f>
        <v/>
      </c>
      <c r="D200" s="3">
        <f>IFERROR(INDEX('Invite Builder'!$E:$E,ROW()-3),"")</f>
        <v/>
      </c>
      <c r="E200" s="3">
        <f>IFERROR(INDEX('Invite Builder'!$B:$B,ROW()-3),"")</f>
        <v/>
      </c>
      <c r="F200" s="3">
        <f>IFERROR(INDEX('Invite Builder'!$I:$I,ROW()-3),"")</f>
        <v/>
      </c>
      <c r="G200" s="3">
        <f>IFERROR(INDEX('Invite Builder'!$G:$G,ROW()-3),"")</f>
        <v/>
      </c>
      <c r="H200" s="3">
        <f>IFERROR(INDEX('Invite Builder'!$H:$H,ROW()-3),"")</f>
        <v/>
      </c>
      <c r="I200" s="3">
        <f>IFERROR(INDEX('Invite Builder'!$T:$T,ROW()-3),"")</f>
        <v/>
      </c>
    </row>
    <row r="201">
      <c r="A201" s="3">
        <f>IFERROR(INDEX('Invite Builder'!$A:$A,ROW()-3),"")</f>
        <v/>
      </c>
      <c r="B201" s="3">
        <f>IFERROR(INDEX('Invite Builder'!$C:$C,ROW()-3),"")</f>
        <v/>
      </c>
      <c r="C201" s="3">
        <f>IFERROR(INDEX('Invite Builder'!$D:$D,ROW()-3),"")</f>
        <v/>
      </c>
      <c r="D201" s="3">
        <f>IFERROR(INDEX('Invite Builder'!$E:$E,ROW()-3),"")</f>
        <v/>
      </c>
      <c r="E201" s="3">
        <f>IFERROR(INDEX('Invite Builder'!$B:$B,ROW()-3),"")</f>
        <v/>
      </c>
      <c r="F201" s="3">
        <f>IFERROR(INDEX('Invite Builder'!$I:$I,ROW()-3),"")</f>
        <v/>
      </c>
      <c r="G201" s="3">
        <f>IFERROR(INDEX('Invite Builder'!$G:$G,ROW()-3),"")</f>
        <v/>
      </c>
      <c r="H201" s="3">
        <f>IFERROR(INDEX('Invite Builder'!$H:$H,ROW()-3),"")</f>
        <v/>
      </c>
      <c r="I201" s="3">
        <f>IFERROR(INDEX('Invite Builder'!$T:$T,ROW()-3),"")</f>
        <v/>
      </c>
    </row>
    <row r="202">
      <c r="A202" s="3">
        <f>IFERROR(INDEX('Invite Builder'!$A:$A,ROW()-3),"")</f>
        <v/>
      </c>
      <c r="B202" s="3">
        <f>IFERROR(INDEX('Invite Builder'!$C:$C,ROW()-3),"")</f>
        <v/>
      </c>
      <c r="C202" s="3">
        <f>IFERROR(INDEX('Invite Builder'!$D:$D,ROW()-3),"")</f>
        <v/>
      </c>
      <c r="D202" s="3">
        <f>IFERROR(INDEX('Invite Builder'!$E:$E,ROW()-3),"")</f>
        <v/>
      </c>
      <c r="E202" s="3">
        <f>IFERROR(INDEX('Invite Builder'!$B:$B,ROW()-3),"")</f>
        <v/>
      </c>
      <c r="F202" s="3">
        <f>IFERROR(INDEX('Invite Builder'!$I:$I,ROW()-3),"")</f>
        <v/>
      </c>
      <c r="G202" s="3">
        <f>IFERROR(INDEX('Invite Builder'!$G:$G,ROW()-3),"")</f>
        <v/>
      </c>
      <c r="H202" s="3">
        <f>IFERROR(INDEX('Invite Builder'!$H:$H,ROW()-3),"")</f>
        <v/>
      </c>
      <c r="I202" s="3">
        <f>IFERROR(INDEX('Invite Builder'!$T:$T,ROW()-3),"")</f>
        <v/>
      </c>
    </row>
    <row r="203">
      <c r="A203" s="3">
        <f>IFERROR(INDEX('Invite Builder'!$A:$A,ROW()-3),"")</f>
        <v/>
      </c>
      <c r="B203" s="3">
        <f>IFERROR(INDEX('Invite Builder'!$C:$C,ROW()-3),"")</f>
        <v/>
      </c>
      <c r="C203" s="3">
        <f>IFERROR(INDEX('Invite Builder'!$D:$D,ROW()-3),"")</f>
        <v/>
      </c>
      <c r="D203" s="3">
        <f>IFERROR(INDEX('Invite Builder'!$E:$E,ROW()-3),"")</f>
        <v/>
      </c>
      <c r="E203" s="3">
        <f>IFERROR(INDEX('Invite Builder'!$B:$B,ROW()-3),"")</f>
        <v/>
      </c>
      <c r="F203" s="3">
        <f>IFERROR(INDEX('Invite Builder'!$I:$I,ROW()-3),"")</f>
        <v/>
      </c>
      <c r="G203" s="3">
        <f>IFERROR(INDEX('Invite Builder'!$G:$G,ROW()-3),"")</f>
        <v/>
      </c>
      <c r="H203" s="3">
        <f>IFERROR(INDEX('Invite Builder'!$H:$H,ROW()-3),"")</f>
        <v/>
      </c>
      <c r="I203" s="3">
        <f>IFERROR(INDEX('Invite Builder'!$T:$T,ROW()-3),"")</f>
        <v/>
      </c>
    </row>
    <row r="204">
      <c r="A204" s="3">
        <f>IFERROR(INDEX('Invite Builder'!$A:$A,ROW()-3),"")</f>
        <v/>
      </c>
      <c r="B204" s="3">
        <f>IFERROR(INDEX('Invite Builder'!$C:$C,ROW()-3),"")</f>
        <v/>
      </c>
      <c r="C204" s="3">
        <f>IFERROR(INDEX('Invite Builder'!$D:$D,ROW()-3),"")</f>
        <v/>
      </c>
      <c r="D204" s="3">
        <f>IFERROR(INDEX('Invite Builder'!$E:$E,ROW()-3),"")</f>
        <v/>
      </c>
      <c r="E204" s="3">
        <f>IFERROR(INDEX('Invite Builder'!$B:$B,ROW()-3),"")</f>
        <v/>
      </c>
      <c r="F204" s="3">
        <f>IFERROR(INDEX('Invite Builder'!$I:$I,ROW()-3),"")</f>
        <v/>
      </c>
      <c r="G204" s="3">
        <f>IFERROR(INDEX('Invite Builder'!$G:$G,ROW()-3),"")</f>
        <v/>
      </c>
      <c r="H204" s="3">
        <f>IFERROR(INDEX('Invite Builder'!$H:$H,ROW()-3),"")</f>
        <v/>
      </c>
      <c r="I204" s="3">
        <f>IFERROR(INDEX('Invite Builder'!$T:$T,ROW()-3),"")</f>
        <v/>
      </c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54" t="n"/>
      <c r="M209" s="54" t="n"/>
      <c r="N209" s="54" t="n"/>
      <c r="O209" s="54" t="n"/>
      <c r="P209" s="54" t="n"/>
      <c r="Q209" s="54" t="n"/>
    </row>
    <row r="210" ht="20.1" customHeight="1">
      <c r="A210" s="47" t="inlineStr">
        <is>
          <t>PM Showcase — Evidence Log (add wins as they happen)</t>
        </is>
      </c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  <c r="M211" s="54" t="n"/>
      <c r="N211" s="54" t="n"/>
      <c r="O211" s="54" t="n"/>
      <c r="P211" s="54" t="n"/>
      <c r="Q211" s="54" t="n"/>
    </row>
    <row r="212" ht="60" customHeight="1">
      <c r="A212" s="2" t="inlineStr">
        <is>
          <t>Quick Stats</t>
        </is>
      </c>
      <c r="B212" s="45">
        <f>SUMPRODUCT(--('Invite Builder'!$A$2:$A$500&lt;&gt;""))</f>
        <v/>
      </c>
      <c r="C212" s="57" t="n"/>
      <c r="D212" s="58" t="n"/>
      <c r="E212" s="4" t="inlineStr">
        <is>
          <t>Total Operations (count)</t>
        </is>
      </c>
      <c r="F212" s="54" t="n"/>
      <c r="G212" s="51" t="inlineStr">
        <is>
          <t>How to use this tab:
1) Techs: use the left index table to find your operation; on the right, pick the Event ID to get a ready-to-paste Teams body.
2) PM brag file: after each operation, add one row in the Evidence Log. Keep it factual: what changed, proof, impact.
Tip: If you add attachments/screenshots, paste the file name or SharePoint link in 'Evidence'.</t>
        </is>
      </c>
      <c r="H212" s="59" t="n"/>
      <c r="I212" s="59" t="n"/>
      <c r="J212" s="59" t="n"/>
      <c r="K212" s="59" t="n"/>
      <c r="L212" s="59" t="n"/>
      <c r="M212" s="59" t="n"/>
      <c r="N212" s="59" t="n"/>
      <c r="O212" s="59" t="n"/>
      <c r="P212" s="59" t="n"/>
      <c r="Q212" s="60" t="n"/>
    </row>
    <row r="213" ht="15" customHeight="1">
      <c r="A213" s="2" t="inlineStr">
        <is>
          <t>Done</t>
        </is>
      </c>
      <c r="B213" s="45">
        <f>COUNTIF('Invite Builder'!$T$2:$T$500,"Done")</f>
        <v/>
      </c>
      <c r="C213" s="57" t="n"/>
      <c r="D213" s="58" t="n"/>
      <c r="E213" s="4" t="inlineStr">
        <is>
          <t>Ops marked Done</t>
        </is>
      </c>
      <c r="F213" s="54" t="n"/>
      <c r="G213" s="61" t="n"/>
      <c r="Q213" s="62" t="n"/>
    </row>
    <row r="214" ht="15" customHeight="1">
      <c r="A214" s="2" t="inlineStr">
        <is>
          <t>Blocked</t>
        </is>
      </c>
      <c r="B214" s="45">
        <f>COUNTIF('Invite Builder'!$T$2:$T$500,"Blocked")</f>
        <v/>
      </c>
      <c r="C214" s="57" t="n"/>
      <c r="D214" s="58" t="n"/>
      <c r="E214" s="4" t="inlineStr">
        <is>
          <t>Ops blocked (needs help)</t>
        </is>
      </c>
      <c r="F214" s="54" t="n"/>
      <c r="G214" s="61" t="n"/>
      <c r="Q214" s="62" t="n"/>
    </row>
    <row r="215">
      <c r="A215" s="54" t="n"/>
      <c r="B215" s="54" t="n"/>
      <c r="C215" s="54" t="n"/>
      <c r="D215" s="54" t="n"/>
      <c r="E215" s="54" t="n"/>
      <c r="F215" s="54" t="n"/>
      <c r="G215" s="61" t="n"/>
      <c r="Q215" s="62" t="n"/>
    </row>
    <row r="216" ht="27.95" customHeight="1">
      <c r="A216" s="2" t="inlineStr">
        <is>
          <t>Date</t>
        </is>
      </c>
      <c r="B216" s="2" t="inlineStr">
        <is>
          <t>Event ID</t>
        </is>
      </c>
      <c r="C216" s="2" t="inlineStr">
        <is>
          <t>What I led / changed</t>
        </is>
      </c>
      <c r="D216" s="2" t="inlineStr">
        <is>
          <t>Evidence (link, note, screenshot ref)</t>
        </is>
      </c>
      <c r="E216" s="2" t="inlineStr">
        <is>
          <t>Impact (time, risk, quality)</t>
        </is>
      </c>
      <c r="F216" s="2" t="inlineStr">
        <is>
          <t>Next improvement</t>
        </is>
      </c>
      <c r="G216" s="61" t="n"/>
      <c r="Q216" s="62" t="n"/>
    </row>
    <row r="217" ht="39.95" customHeight="1">
      <c r="A217" s="7" t="n">
        <v>46051</v>
      </c>
      <c r="B217" s="3" t="inlineStr">
        <is>
          <t>GG-2026-01-30</t>
        </is>
      </c>
      <c r="C217" s="3" t="inlineStr">
        <is>
          <t>Bugfix: Teams Invite Body returned 'Planned' due to Invite Builder col R (Body) being overwritten/missing formula. Restored Body formula and documented guardrail.</t>
        </is>
      </c>
      <c r="D217" s="3" t="inlineStr">
        <is>
          <t>Screenshot: PM Showcase Teams Body cell displayed only 'Planned' despite populated Invite Builder fields.</t>
        </is>
      </c>
      <c r="E217" s="3" t="inlineStr">
        <is>
          <t>Prevents blank/incorrect invites; reduces rework and missed stock details before go-live days.</t>
        </is>
      </c>
      <c r="F217" s="3" t="inlineStr">
        <is>
          <t>Add guardrail: flag rows where Body is blank or equals a Status picklist value (Planned/In Progress/Blocked/Done). Consider protecting column R.</t>
        </is>
      </c>
      <c r="G217" s="61" t="n"/>
      <c r="Q217" s="62" t="n"/>
    </row>
    <row r="218" ht="39.95" customHeight="1">
      <c r="A218" s="67" t="n">
        <v>46051</v>
      </c>
      <c r="B218" s="3" t="inlineStr">
        <is>
          <t>SYSTEM</t>
        </is>
      </c>
      <c r="C218" s="3" t="inlineStr">
        <is>
          <t>Added web-safe guardrails: Row QA column, dropdown validations, conditional formatting, PM Showcase QA readout, and sheet protection to prevent formula overwrites.</t>
        </is>
      </c>
      <c r="D218" s="3" t="inlineStr">
        <is>
          <t>See 'System Notes' tab; Invite Builder col V (Row QA) + named ranges (ShowAsList/StatusList/ReminderMinutesList/TimeZoneList).</t>
        </is>
      </c>
      <c r="E218" s="3" t="inlineStr">
        <is>
          <t>Catches 'Body overwritten' before copy/paste, reduces rework, keeps invites reliable under Web Excel constraints.</t>
        </is>
      </c>
      <c r="F218" s="3" t="n"/>
      <c r="G218" s="63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5" t="n"/>
    </row>
    <row r="219" ht="39.95" customHeight="1">
      <c r="A219" s="3" t="n"/>
      <c r="B219" s="3" t="n"/>
      <c r="C219" s="3" t="n"/>
      <c r="D219" s="3" t="n"/>
      <c r="E219" s="3" t="n"/>
      <c r="F219" s="3" t="n"/>
      <c r="G219" s="54" t="n"/>
      <c r="H219" s="54" t="n"/>
      <c r="I219" s="54" t="n"/>
      <c r="J219" s="54" t="n"/>
      <c r="K219" s="54" t="n"/>
      <c r="L219" s="54" t="n"/>
      <c r="M219" s="54" t="n"/>
      <c r="N219" s="54" t="n"/>
      <c r="O219" s="54" t="n"/>
      <c r="P219" s="54" t="n"/>
      <c r="Q219" s="54" t="n"/>
    </row>
    <row r="220" ht="39.95" customHeight="1">
      <c r="A220" s="3" t="n"/>
      <c r="B220" s="3" t="n"/>
      <c r="C220" s="3" t="n"/>
      <c r="D220" s="3" t="n"/>
      <c r="E220" s="3" t="n"/>
      <c r="F220" s="3" t="n"/>
      <c r="G220" s="54" t="n"/>
      <c r="H220" s="54" t="n"/>
      <c r="I220" s="54" t="n"/>
      <c r="J220" s="54" t="n"/>
      <c r="K220" s="54" t="n"/>
      <c r="L220" s="54" t="n"/>
      <c r="M220" s="54" t="n"/>
      <c r="N220" s="54" t="n"/>
      <c r="O220" s="54" t="n"/>
      <c r="P220" s="54" t="n"/>
      <c r="Q220" s="54" t="n"/>
    </row>
    <row r="221" ht="39.95" customHeight="1">
      <c r="A221" s="3" t="n"/>
      <c r="B221" s="3" t="n"/>
      <c r="C221" s="3" t="n"/>
      <c r="D221" s="3" t="n"/>
      <c r="E221" s="3" t="n"/>
      <c r="F221" s="3" t="n"/>
      <c r="G221" s="54" t="n"/>
      <c r="H221" s="54" t="n"/>
      <c r="I221" s="54" t="n"/>
      <c r="J221" s="54" t="n"/>
      <c r="K221" s="54" t="n"/>
      <c r="L221" s="54" t="n"/>
      <c r="M221" s="54" t="n"/>
      <c r="N221" s="54" t="n"/>
      <c r="O221" s="54" t="n"/>
      <c r="P221" s="54" t="n"/>
      <c r="Q221" s="54" t="n"/>
    </row>
    <row r="222" ht="39.95" customHeight="1">
      <c r="A222" s="3" t="n"/>
      <c r="B222" s="3" t="n"/>
      <c r="C222" s="3" t="n"/>
      <c r="D222" s="3" t="n"/>
      <c r="E222" s="3" t="n"/>
      <c r="F222" s="3" t="n"/>
      <c r="G222" s="54" t="n"/>
      <c r="H222" s="54" t="n"/>
      <c r="I222" s="54" t="n"/>
      <c r="J222" s="54" t="n"/>
      <c r="K222" s="54" t="n"/>
      <c r="L222" s="54" t="n"/>
      <c r="M222" s="54" t="n"/>
      <c r="N222" s="54" t="n"/>
      <c r="O222" s="54" t="n"/>
      <c r="P222" s="54" t="n"/>
      <c r="Q222" s="54" t="n"/>
    </row>
    <row r="223" ht="39.95" customHeight="1">
      <c r="A223" s="3" t="n"/>
      <c r="B223" s="3" t="n"/>
      <c r="C223" s="3" t="n"/>
      <c r="D223" s="3" t="n"/>
      <c r="E223" s="3" t="n"/>
      <c r="F223" s="3" t="n"/>
      <c r="G223" s="54" t="n"/>
      <c r="H223" s="54" t="n"/>
      <c r="I223" s="54" t="n"/>
      <c r="J223" s="54" t="n"/>
      <c r="K223" s="54" t="n"/>
      <c r="L223" s="54" t="n"/>
      <c r="M223" s="54" t="n"/>
      <c r="N223" s="54" t="n"/>
      <c r="O223" s="54" t="n"/>
      <c r="P223" s="54" t="n"/>
      <c r="Q223" s="54" t="n"/>
    </row>
    <row r="224" ht="39.95" customHeight="1">
      <c r="A224" s="3" t="n"/>
      <c r="B224" s="3" t="n"/>
      <c r="C224" s="3" t="n"/>
      <c r="D224" s="3" t="n"/>
      <c r="E224" s="3" t="n"/>
      <c r="F224" s="3" t="n"/>
      <c r="G224" s="54" t="n"/>
      <c r="H224" s="54" t="n"/>
      <c r="I224" s="54" t="n"/>
      <c r="J224" s="54" t="n"/>
      <c r="K224" s="54" t="n"/>
      <c r="L224" s="54" t="n"/>
      <c r="M224" s="54" t="n"/>
      <c r="N224" s="54" t="n"/>
      <c r="O224" s="54" t="n"/>
      <c r="P224" s="54" t="n"/>
      <c r="Q224" s="54" t="n"/>
    </row>
    <row r="225" ht="39.95" customHeight="1">
      <c r="A225" s="3" t="n"/>
      <c r="B225" s="3" t="n"/>
      <c r="C225" s="3" t="n"/>
      <c r="D225" s="3" t="n"/>
      <c r="E225" s="3" t="n"/>
      <c r="F225" s="3" t="n"/>
    </row>
    <row r="226" ht="39.95" customHeight="1">
      <c r="A226" s="3" t="n"/>
      <c r="B226" s="3" t="n"/>
      <c r="C226" s="3" t="n"/>
      <c r="D226" s="3" t="n"/>
      <c r="E226" s="3" t="n"/>
      <c r="F226" s="3" t="n"/>
    </row>
    <row r="227" ht="39.95" customHeight="1">
      <c r="A227" s="3" t="n"/>
      <c r="B227" s="3" t="n"/>
      <c r="C227" s="3" t="n"/>
      <c r="D227" s="3" t="n"/>
      <c r="E227" s="3" t="n"/>
      <c r="F227" s="3" t="n"/>
    </row>
    <row r="228" ht="39.95" customHeight="1">
      <c r="A228" s="3" t="n"/>
      <c r="B228" s="3" t="n"/>
      <c r="C228" s="3" t="n"/>
      <c r="D228" s="3" t="n"/>
      <c r="E228" s="3" t="n"/>
      <c r="F228" s="3" t="n"/>
    </row>
    <row r="229" ht="39.95" customHeight="1">
      <c r="A229" s="3" t="n"/>
      <c r="B229" s="3" t="n"/>
      <c r="C229" s="3" t="n"/>
      <c r="D229" s="3" t="n"/>
      <c r="E229" s="3" t="n"/>
      <c r="F229" s="3" t="n"/>
    </row>
    <row r="230" ht="39.95" customHeight="1">
      <c r="A230" s="3" t="n"/>
      <c r="B230" s="3" t="n"/>
      <c r="C230" s="3" t="n"/>
      <c r="D230" s="3" t="n"/>
      <c r="E230" s="3" t="n"/>
      <c r="F230" s="3" t="n"/>
    </row>
    <row r="231" ht="39.95" customHeight="1">
      <c r="A231" s="3" t="n"/>
      <c r="B231" s="3" t="n"/>
      <c r="C231" s="3" t="n"/>
      <c r="D231" s="3" t="n"/>
      <c r="E231" s="3" t="n"/>
      <c r="F231" s="3" t="n"/>
    </row>
    <row r="232" ht="39.95" customHeight="1">
      <c r="A232" s="3" t="n"/>
      <c r="B232" s="3" t="n"/>
      <c r="C232" s="3" t="n"/>
      <c r="D232" s="3" t="n"/>
      <c r="E232" s="3" t="n"/>
      <c r="F232" s="3" t="n"/>
    </row>
    <row r="233" ht="39.95" customHeight="1">
      <c r="A233" s="3" t="n"/>
      <c r="B233" s="3" t="n"/>
      <c r="C233" s="3" t="n"/>
      <c r="D233" s="3" t="n"/>
      <c r="E233" s="3" t="n"/>
      <c r="F233" s="3" t="n"/>
    </row>
    <row r="234" ht="39.95" customHeight="1">
      <c r="A234" s="3" t="n"/>
      <c r="B234" s="3" t="n"/>
      <c r="C234" s="3" t="n"/>
      <c r="D234" s="3" t="n"/>
      <c r="E234" s="3" t="n"/>
      <c r="F234" s="3" t="n"/>
    </row>
    <row r="235" ht="39.95" customHeight="1">
      <c r="A235" s="3" t="n"/>
      <c r="B235" s="3" t="n"/>
      <c r="C235" s="3" t="n"/>
      <c r="D235" s="3" t="n"/>
      <c r="E235" s="3" t="n"/>
      <c r="F235" s="3" t="n"/>
    </row>
    <row r="236" ht="39.95" customHeight="1">
      <c r="A236" s="3" t="n"/>
      <c r="B236" s="3" t="n"/>
      <c r="C236" s="3" t="n"/>
      <c r="D236" s="3" t="n"/>
      <c r="E236" s="3" t="n"/>
      <c r="F236" s="3" t="n"/>
    </row>
    <row r="237" ht="39.95" customHeight="1">
      <c r="A237" s="3" t="n"/>
      <c r="B237" s="3" t="n"/>
      <c r="C237" s="3" t="n"/>
      <c r="D237" s="3" t="n"/>
      <c r="E237" s="3" t="n"/>
      <c r="F237" s="3" t="n"/>
    </row>
    <row r="238" ht="39.95" customHeight="1">
      <c r="A238" s="3" t="n"/>
      <c r="B238" s="3" t="n"/>
      <c r="C238" s="3" t="n"/>
      <c r="D238" s="3" t="n"/>
      <c r="E238" s="3" t="n"/>
      <c r="F238" s="3" t="n"/>
    </row>
    <row r="239" ht="39.95" customHeight="1">
      <c r="A239" s="3" t="n"/>
      <c r="B239" s="3" t="n"/>
      <c r="C239" s="3" t="n"/>
      <c r="D239" s="3" t="n"/>
      <c r="E239" s="3" t="n"/>
      <c r="F239" s="3" t="n"/>
    </row>
    <row r="240" ht="39.95" customHeight="1">
      <c r="A240" s="3" t="n"/>
      <c r="B240" s="3" t="n"/>
      <c r="C240" s="3" t="n"/>
      <c r="D240" s="3" t="n"/>
      <c r="E240" s="3" t="n"/>
      <c r="F240" s="3" t="n"/>
    </row>
    <row r="241" ht="39.95" customHeight="1">
      <c r="A241" s="3" t="n"/>
      <c r="B241" s="3" t="n"/>
      <c r="C241" s="3" t="n"/>
      <c r="D241" s="3" t="n"/>
      <c r="E241" s="3" t="n"/>
      <c r="F241" s="3" t="n"/>
    </row>
    <row r="242" ht="39.95" customHeight="1">
      <c r="A242" s="3" t="n"/>
      <c r="B242" s="3" t="n"/>
      <c r="C242" s="3" t="n"/>
      <c r="D242" s="3" t="n"/>
      <c r="E242" s="3" t="n"/>
      <c r="F242" s="3" t="n"/>
    </row>
    <row r="243" ht="39.95" customHeight="1">
      <c r="A243" s="3" t="n"/>
      <c r="B243" s="3" t="n"/>
      <c r="C243" s="3" t="n"/>
      <c r="D243" s="3" t="n"/>
      <c r="E243" s="3" t="n"/>
      <c r="F243" s="3" t="n"/>
    </row>
    <row r="244" ht="39.95" customHeight="1">
      <c r="A244" s="3" t="n"/>
      <c r="B244" s="3" t="n"/>
      <c r="C244" s="3" t="n"/>
      <c r="D244" s="3" t="n"/>
      <c r="E244" s="3" t="n"/>
      <c r="F244" s="3" t="n"/>
    </row>
    <row r="245" ht="39.95" customHeight="1">
      <c r="A245" s="3" t="n"/>
      <c r="B245" s="3" t="n"/>
      <c r="C245" s="3" t="n"/>
      <c r="D245" s="3" t="n"/>
      <c r="E245" s="3" t="n"/>
      <c r="F245" s="3" t="n"/>
    </row>
    <row r="246" ht="39.95" customHeight="1">
      <c r="A246" s="3" t="n"/>
      <c r="B246" s="3" t="n"/>
      <c r="C246" s="3" t="n"/>
      <c r="D246" s="3" t="n"/>
      <c r="E246" s="3" t="n"/>
      <c r="F246" s="3" t="n"/>
    </row>
  </sheetData>
  <autoFilter ref="A4:I204"/>
  <mergeCells count="16">
    <mergeCell ref="L7:Q7"/>
    <mergeCell ref="B213:D213"/>
    <mergeCell ref="G212:Q218"/>
    <mergeCell ref="L10:Q10"/>
    <mergeCell ref="L5:Q5"/>
    <mergeCell ref="B212:D212"/>
    <mergeCell ref="K3:Q3"/>
    <mergeCell ref="B214:D214"/>
    <mergeCell ref="A2:Q2"/>
    <mergeCell ref="A210:Q210"/>
    <mergeCell ref="L4:Q4"/>
    <mergeCell ref="A3:I3"/>
    <mergeCell ref="L8:Q8"/>
    <mergeCell ref="K11:Q28"/>
    <mergeCell ref="A1:Q1"/>
    <mergeCell ref="L6:Q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V501"/>
  <sheetViews>
    <sheetView zoomScaleNormal="100" zoomScaleSheetLayoutView="100" workbookViewId="0">
      <pane ySplit="1" topLeftCell="A17" activePane="bottomLeft" state="frozen"/>
      <selection pane="bottomLeft" activeCell="A19" sqref="A19"/>
    </sheetView>
  </sheetViews>
  <sheetFormatPr baseColWidth="8" defaultRowHeight="15" customHeight="1"/>
  <cols>
    <col width="12" customWidth="1" style="1" min="1" max="1"/>
    <col width="52" customWidth="1" min="2" max="2"/>
    <col width="18.28515625" customWidth="1" style="68" min="3" max="3"/>
    <col width="12" customWidth="1" style="69" min="4" max="5"/>
    <col width="14" customWidth="1" min="6" max="6"/>
    <col width="26" customWidth="1" min="7" max="7"/>
    <col width="28" customWidth="1" min="8" max="8"/>
    <col width="24" customWidth="1" min="9" max="9"/>
    <col width="12" customWidth="1" min="10" max="10"/>
    <col width="14" customWidth="1" min="11" max="11"/>
    <col width="22" customWidth="1" min="12" max="13"/>
    <col width="26" customWidth="1" min="14" max="15"/>
    <col width="20" customWidth="1" min="16" max="16"/>
    <col width="22" customWidth="1" min="17" max="17"/>
    <col width="50" customWidth="1" style="6" min="18" max="18"/>
    <col width="28" customWidth="1" min="19" max="19"/>
    <col width="14" customWidth="1" min="20" max="20"/>
    <col width="24" customWidth="1" min="21" max="21"/>
  </cols>
  <sheetData>
    <row r="1" ht="24" customHeight="1">
      <c r="A1" s="9" t="inlineStr">
        <is>
          <t>Event ID</t>
        </is>
      </c>
      <c r="B1" s="9" t="inlineStr">
        <is>
          <t>Title</t>
        </is>
      </c>
      <c r="C1" s="9" t="inlineStr">
        <is>
          <t>Date</t>
        </is>
      </c>
      <c r="D1" s="9" t="inlineStr">
        <is>
          <t>Start Time</t>
        </is>
      </c>
      <c r="E1" s="9" t="inlineStr">
        <is>
          <t>End Time</t>
        </is>
      </c>
      <c r="F1" s="9" t="inlineStr">
        <is>
          <t>Time Zone</t>
        </is>
      </c>
      <c r="G1" s="9" t="inlineStr">
        <is>
          <t>Required Attendees</t>
        </is>
      </c>
      <c r="H1" s="9" t="inlineStr">
        <is>
          <t>Optional Attendees</t>
        </is>
      </c>
      <c r="I1" s="9" t="inlineStr">
        <is>
          <t>Location</t>
        </is>
      </c>
      <c r="J1" s="9" t="inlineStr">
        <is>
          <t>Show As</t>
        </is>
      </c>
      <c r="K1" s="9" t="inlineStr">
        <is>
          <t>Reminder (min)</t>
        </is>
      </c>
      <c r="L1" s="9" t="inlineStr">
        <is>
          <t>Purpose</t>
        </is>
      </c>
      <c r="M1" s="9" t="inlineStr">
        <is>
          <t>Stops (in order)</t>
        </is>
      </c>
      <c r="N1" s="9" t="inlineStr">
        <is>
          <t>Hard Requirements</t>
        </is>
      </c>
      <c r="O1" s="9" t="inlineStr">
        <is>
          <t>Suggested Timeline</t>
        </is>
      </c>
      <c r="P1" s="9" t="inlineStr">
        <is>
          <t>Guardrails</t>
        </is>
      </c>
      <c r="Q1" s="9" t="inlineStr">
        <is>
          <t>Completion Signals</t>
        </is>
      </c>
      <c r="R1" s="9" t="inlineStr">
        <is>
          <t>Body (Teams paste)</t>
        </is>
      </c>
      <c r="S1" s="9" t="inlineStr">
        <is>
          <t>Checkpoint Log (actuals)</t>
        </is>
      </c>
      <c r="T1" s="9" t="inlineStr">
        <is>
          <t>Status</t>
        </is>
      </c>
      <c r="U1" s="9" t="inlineStr">
        <is>
          <t>Last Updated</t>
        </is>
      </c>
      <c r="V1" s="30" t="inlineStr">
        <is>
          <t>Row QA (auto)</t>
        </is>
      </c>
    </row>
    <row r="2" ht="15" customHeight="1">
      <c r="A2" s="10" t="inlineStr">
        <is>
          <t>AP-2026-01-08</t>
        </is>
      </c>
      <c r="B2" s="23" t="inlineStr">
        <is>
          <t>Alejandro - 3HQ Key Drop + HQ Plainview Config + PBMC Prep (1/8)</t>
        </is>
      </c>
      <c r="C2" s="70" t="n">
        <v>46030</v>
      </c>
      <c r="D2" s="71" t="n">
        <v>0.3333333333333333</v>
      </c>
      <c r="E2" s="71" t="n">
        <v>0.7083333333333334</v>
      </c>
      <c r="F2" s="23" t="inlineStr">
        <is>
          <t>Local</t>
        </is>
      </c>
      <c r="G2" s="23" t="inlineStr">
        <is>
          <t>Alejandro Perales</t>
        </is>
      </c>
      <c r="H2" s="23" t="inlineStr">
        <is>
          <t>Ralph (3HQ) ; Khadejah Harrison ; Akbar (if he's the config owner)</t>
        </is>
      </c>
      <c r="I2" s="23" t="inlineStr">
        <is>
          <t>HQ - Plainview (multi-stop details in agenda)</t>
        </is>
      </c>
      <c r="J2" s="23" t="inlineStr">
        <is>
          <t>Busy</t>
        </is>
      </c>
      <c r="K2" s="23" t="n">
        <v>30</v>
      </c>
      <c r="L2" s="23" t="inlineStr">
        <is>
          <t>Return universal key; configure and stage devices at HQ Plainview; prep for PBMC deployment; align counts with Khadejah.</t>
        </is>
      </c>
      <c r="M2" s="23" t="inlineStr">
        <is>
          <t>1) 3HQ - Key drop with Ralph
2) HQ - Plainview - Device configuration + staging
3) PBMC - Deployment prep / readiness</t>
        </is>
      </c>
      <c r="N2" s="23" t="inlineStr">
        <is>
          <t>- Contact Ralph first thing AM to coordinate key handoff.
- Drop off universal key to Ralph at 3HQ and confirm receipt.
- Head to HQ Plainview ASAP after key drop.
- Configure devices at HQ.
- Stage/pack for PBMC deployment.
- Sync with Khadejah on counts before deployment.</t>
        </is>
      </c>
      <c r="O2" s="23" t="inlineStr">
        <is>
          <t>- 8:00-8:15  Call/text Ralph; lock handoff details
- 8:15-9:00  3HQ key drop -&gt; confirm receipt
- 9:00-1:00  HQ Plainview: configure devices + verification checks
- 1:00-2:00  Staging/packout for PBMC
- 2:00-2:15  Sync w/ Khadejah: counts + plan
- 2:15+      Travel/prepare for PBMC window</t>
        </is>
      </c>
      <c r="P2" s="23" t="inlineStr">
        <is>
          <t>- Do not accept extra add-ons without approval; log and escalate.
- If Tim is involved, confirm requirements in advance.</t>
        </is>
      </c>
      <c r="Q2" s="23" t="inlineStr">
        <is>
          <t>- Key returned to Ralph + time
- HQ config complete + device count
- PBMC staging complete + blockers
- Counts aligned with Khadejah + final count</t>
        </is>
      </c>
      <c r="R2" s="10">
        <f>IF($L2&lt;&gt;"","Purpose"&amp;CHAR(10)&amp;$L2&amp;CHAR(10)&amp;CHAR(10),"" )&amp;"Stops (in order)"&amp;CHAR(10)&amp;$M2&amp;CHAR(10)&amp;CHAR(10)&amp;"To-Do (hard requirements)"&amp;CHAR(10)&amp;$N2&amp;CHAR(10)&amp;CHAR(10)&amp;"Suggested Timeline"&amp;CHAR(10)&amp;$O2&amp;CHAR(10)&amp;CHAR(10)&amp;"Guardrails"&amp;CHAR(10)&amp;$P2&amp;CHAR(10)&amp;CHAR(10)&amp;"Completion signals"&amp;CHAR(10)&amp;$Q2</f>
        <v/>
      </c>
      <c r="S2" s="23" t="n"/>
      <c r="T2" s="23" t="inlineStr">
        <is>
          <t>Planned</t>
        </is>
      </c>
      <c r="U2" s="72" t="n">
        <v>46030.3180650463</v>
      </c>
      <c r="V2" s="54">
        <f>IF($B2="","",IF(_xludf.TEXTJOIN(" | ",TRUE,IF($B2="","Missing Title",""),IF($C2="","Missing Date",""),IF($D2="","Missing Start",""),IF($E2="","Missing End",""),IF($G2="","Missing Required Attendees",""),IF($T2="","Missing Status",""),IF(AND($D2&lt;&gt;"",$E2&lt;&gt;"",$D2&gt;=$E2),"Start&gt;=End",""),IF(OR($R2="",LEN($R2)&lt;60,ISNUMBER(MATCH(TRIM($R2),StatusList,0))),"Body overwritten/short",""))="","OK",_xludf.TEXTJOIN(" | ",TRUE,IF($B2="","Missing Title",""),IF($C2="","Missing Date",""),IF($D2="","Missing Start",""),IF($E2="","Missing End",""),IF($G2="","Missing Required Attendees",""),IF($T2="","Missing Status",""),IF(AND($D2&lt;&gt;"",$E2&lt;&gt;"",$D2&gt;=$E2),"Start&gt;=End",""),IF(OR($R2="",LEN($R2)&lt;60,ISNUMBER(MATCH(TRIM($R2),StatusList,0))),"Body overwritten/short",""))))</f>
        <v/>
      </c>
    </row>
    <row r="3" ht="15" customHeight="1">
      <c r="A3" s="12" t="inlineStr">
        <is>
          <t>KH-2026-01-08</t>
        </is>
      </c>
      <c r="B3" s="23" t="inlineStr">
        <is>
          <t>Khadejah — Inventory Counts + Locations (1 Marcus + HQ) + Pallets + Arm Attach Doc (1/8)</t>
        </is>
      </c>
      <c r="C3" s="73" t="n">
        <v>46030</v>
      </c>
      <c r="D3" s="74" t="n">
        <v>0.3333333333333333</v>
      </c>
      <c r="E3" s="74" t="n">
        <v>0.7083333333333334</v>
      </c>
      <c r="F3" s="24" t="inlineStr">
        <is>
          <t>Local</t>
        </is>
      </c>
      <c r="G3" s="23" t="inlineStr">
        <is>
          <t>Khadejah Harrison</t>
        </is>
      </c>
      <c r="H3" s="23" t="inlineStr">
        <is>
          <t>Rich Perez ; Bonita Outlaw</t>
        </is>
      </c>
      <c r="I3" s="23" t="inlineStr">
        <is>
          <t>HQ + 1 Marcus (multi-stop counts + pallets; details in agenda)</t>
        </is>
      </c>
      <c r="J3" s="24" t="inlineStr">
        <is>
          <t>Busy</t>
        </is>
      </c>
      <c r="K3" s="24" t="n">
        <v>30</v>
      </c>
      <c r="L3" s="23" t="inlineStr">
        <is>
          <t>Establish reliable counts + exact locations for Neuron deployment stock across HQ and 1 Marcus (including pallets); consolidate into a single master counts interface; produce shortages/blockers + runway for upcoming sites; document the arm→Neuron attach process for reuse.</t>
        </is>
      </c>
      <c r="M3" s="23" t="inlineStr">
        <is>
          <t>1) HQ - Sweep all staging areas + pallets; log counts + exact locations
2) 1 Marcus - Sweep stock; log counts + exact locations
3) Update Inventory Master - consolidate counts; tag conflicts; timestamp
4) Arm→Neuron attach - capture steps (photos/video) + notes
5) Send EOD summary (totals, shortages, runway, next steps)</t>
        </is>
      </c>
      <c r="N3" s="23" t="inlineStr">
        <is>
          <t>- Record COUNT + EXACT LOCATION for each line item touched (no vague 'HQ').
- Use location format: [SITE] - [AREA] - [SUBAREA].
- Prioritize Neuron units + GCX arms first; then DIMs/adapters/KBM.
- Tag pallets with a PalletID (P-001, P-002...) and record their contents.
- No guessing: if a count conflicts, mark CONFLICT and note why.
- Keep everything in the master tracker (no side spreadsheets).</t>
        </is>
      </c>
      <c r="O3" s="23" t="inlineStr">
        <is>
          <t>- 8:00-10:30  HQ sweep (zones + pallets) + initial totals
- 10:30-12:30  1 Marcus sweep + totals
- 12:30-1:30   Update Inventory Master + reconcile conflicts
- 1:30-2:15    Arm→Neuron attach documentation (clean angles)
- 2:15-2:30    Send summary to Rich (HQ vs 1 Marcus totals + blockers + runway)</t>
        </is>
      </c>
      <c r="P3" s="23" t="inlineStr">
        <is>
          <t>- Don’t move stock without updating location in the master.
- If something is missing/damaged/unknown, log it immediately and flag it.
- Keep photos clear; avoid capturing screens/labels not needed.
- If time runs short, finish Neurons + arms + pallet manifest first.</t>
        </is>
      </c>
      <c r="Q3" s="23" t="inlineStr">
        <is>
          <t>- Master counts updated with HQ vs 1 Marcus totals + exact locations.
- Pallets tagged + recorded (at least Neurons + arms per pallet).
- Shortages/blockers list captured.
- Arm→Neuron attach steps recorded + shared.
- EOD summary sent.</t>
        </is>
      </c>
      <c r="R3" s="10">
        <f>IF($L3&lt;&gt;"","Purpose"&amp;CHAR(10)&amp;$L3&amp;CHAR(10)&amp;CHAR(10),"" )&amp;"Stops (in order)"&amp;CHAR(10)&amp;$M3&amp;CHAR(10)&amp;CHAR(10)&amp;"To-Do (hard requirements)"&amp;CHAR(10)&amp;$N3&amp;CHAR(10)&amp;CHAR(10)&amp;"Suggested Timeline"&amp;CHAR(10)&amp;$O3&amp;CHAR(10)&amp;CHAR(10)&amp;"Guardrails"&amp;CHAR(10)&amp;$P3&amp;CHAR(10)&amp;CHAR(10)&amp;"Completion signals"&amp;CHAR(10)&amp;$Q3</f>
        <v/>
      </c>
      <c r="S3" s="23" t="n"/>
      <c r="T3" s="24" t="inlineStr">
        <is>
          <t>Planned</t>
        </is>
      </c>
      <c r="U3" s="75" t="n">
        <v>46030.33035159722</v>
      </c>
      <c r="V3" s="54">
        <f>IF($B3="","",IF(_xludf.TEXTJOIN(" | ",TRUE,IF($B3="","Missing Title",""),IF($C3="","Missing Date",""),IF($D3="","Missing Start",""),IF($E3="","Missing End",""),IF($G3="","Missing Required Attendees",""),IF($T3="","Missing Status",""),IF(AND($D3&lt;&gt;"",$E3&lt;&gt;"",$D3&gt;=$E3),"Start&gt;=End",""),IF(OR($R3="",LEN($R3)&lt;60,ISNUMBER(MATCH(TRIM($R3),StatusList,0))),"Body overwritten/short",""))="","OK",_xludf.TEXTJOIN(" | ",TRUE,IF($B3="","Missing Title",""),IF($C3="","Missing Date",""),IF($D3="","Missing Start",""),IF($E3="","Missing End",""),IF($G3="","Missing Required Attendees",""),IF($T3="","Missing Status",""),IF(AND($D3&lt;&gt;"",$E3&lt;&gt;"",$D3&gt;=$E3),"Start&gt;=End",""),IF(OR($R3="",LEN($R3)&lt;60,ISNUMBER(MATCH(TRIM($R3),StatusList,0))),"Body overwritten/short",""))))</f>
        <v/>
      </c>
    </row>
    <row r="4" ht="15" customHeight="1">
      <c r="A4" s="12" t="inlineStr">
        <is>
          <t>IP-2026-01-12</t>
        </is>
      </c>
      <c r="B4" s="23" t="inlineStr">
        <is>
          <t>iPhone/Rover — Recurring Training Block (Starts Week of 1/12)</t>
        </is>
      </c>
      <c r="C4" s="73" t="n">
        <v>46034</v>
      </c>
      <c r="D4" s="74" t="n">
        <v>0.375</v>
      </c>
      <c r="E4" s="74" t="n">
        <v>0.75</v>
      </c>
      <c r="F4" s="24" t="inlineStr">
        <is>
          <t>Local</t>
        </is>
      </c>
      <c r="G4" s="23" t="inlineStr">
        <is>
          <t>Emmanuel Sanchez; Ezekiel; Erik Guzman; Julio Mojica; Asher Ali; Valentyn Nykoliuk; Tanjim Khan; Shazaib Idrees; Cyen Heyliger; Connor Hoffman</t>
        </is>
      </c>
      <c r="H4" s="23" t="inlineStr">
        <is>
          <t>Nayelin Monegro; Rich Perez</t>
        </is>
      </c>
      <c r="I4" s="23" t="inlineStr">
        <is>
          <t>Training window (no meeting link)</t>
        </is>
      </c>
      <c r="J4" s="24" t="inlineStr">
        <is>
          <t>Busy</t>
        </is>
      </c>
      <c r="K4" s="24" t="n">
        <v>30</v>
      </c>
      <c r="L4" s="23" t="inlineStr">
        <is>
          <t>Recurring iPhone/Rover shadow training window + Training Log updates; identify knowledge gaps and drive follow-up shadowing.</t>
        </is>
      </c>
      <c r="M4" s="23" t="inlineStr">
        <is>
          <t>1) Trainee sends mentor availability + site + constraints
2) Mentor confirms capacity + schedules shadow block(s)
3) Shadow block happens
4) Same-day Training Log update (coverage + gaps + next topic)
5) Repeat as needed until well-rounded</t>
        </is>
      </c>
      <c r="N4" s="23" t="inlineStr">
        <is>
          <t>- Training Log is the source of truth
- Same-day log updates after each shadow block
- Capture knowledge gaps + next recommended topic
- Escalate access/permissions blockers; don’t improvise</t>
        </is>
      </c>
      <c r="O4" s="23" t="inlineStr">
        <is>
          <t>Week of 1/12: schedule the first shadow blocks early in the week
Ongoing: repeat shadow blocks as needed; Training Log updated same day</t>
        </is>
      </c>
      <c r="P4" s="23" t="inlineStr">
        <is>
          <t>- No surprise reassignments without notifying the group
- No side chats as the “real plan”
- If blocked by access/permissions, escalate immediately</t>
        </is>
      </c>
      <c r="Q4" s="23" t="inlineStr">
        <is>
          <t>- First shadow block scheduled per trainee
- Training Log updated after each shadow block
- Knowledge gaps logged + follow-up topics assigned</t>
        </is>
      </c>
      <c r="R4" s="10" t="inlineStr">
        <is>
          <t>iPhone/Rover Shadow Training — Recurring Block (Starts Week of 1/12)
This is a training window, not a meeting. Use this block to schedule and complete shadow sessions. No one needs to join.
What this is:
A recurring training window for iPhone/Rover shadowing + skill-building. Each trainee completes at least 1–2 shadow blocks to start, then continues as needed. Knowledge gaps get logged and tracked.
Mentors:
• Emmanuel Sanchez (Lenox Hill)
• Erik Guzman (PBMC)
• Ezekiel (Staten Island N&amp;S)
Trainees:
• Julio Mojica
• Asher Ali
• Valentyn Nykoliuk
• Tanjim Khan
• Shazaib Idrees
• Cyen Heyliger
• Connor Hoffman
TRAINEES — DO THIS
Send your mentor:
• Two time windows next week you can shadow (and more as needed)
• Your main site
• Any constraints (access issues, hard stop time, etc.)
After each shadow block:
• Update the Training Log the same day (what was covered + knowledge gaps + next topic)
MENTORS — DO THIS
• Tell me how many trainees you can actively support at a time
• Coordinate shadow blocks with those trainees
• Update the Training Log with: Trainee / Mentor / Date-Time / Site / What was covered / Knowledge gaps &amp; blockers / Next recommended topic
RULE
Training Log is the source of truth. No side chats as the “real plan.”</t>
        </is>
      </c>
      <c r="S4" s="23" t="n"/>
      <c r="T4" s="24" t="inlineStr">
        <is>
          <t>Planned</t>
        </is>
      </c>
      <c r="U4" s="75" t="n">
        <v>46032.31527636574</v>
      </c>
      <c r="V4" s="54">
        <f>IF($B4="","",IF(_xludf.TEXTJOIN(" | ",TRUE,IF($B4="","Missing Title",""),IF($C4="","Missing Date",""),IF($D4="","Missing Start",""),IF($E4="","Missing End",""),IF($G4="","Missing Required Attendees",""),IF($T4="","Missing Status",""),IF(AND($D4&lt;&gt;"",$E4&lt;&gt;"",$D4&gt;=$E4),"Start&gt;=End",""),IF(OR($R4="",LEN($R4)&lt;60,ISNUMBER(MATCH(TRIM($R4),StatusList,0))),"Body overwritten/short",""))="","OK",_xludf.TEXTJOIN(" | ",TRUE,IF($B4="","Missing Title",""),IF($C4="","Missing Date",""),IF($D4="","Missing Start",""),IF($E4="","Missing End",""),IF($G4="","Missing Required Attendees",""),IF($T4="","Missing Status",""),IF(AND($D4&lt;&gt;"",$E4&lt;&gt;"",$D4&gt;=$E4),"Start&gt;=End",""),IF(OR($R4="",LEN($R4)&lt;60,ISNUMBER(MATCH(TRIM($R4),StatusList,0))),"Body overwritten/short",""))))</f>
        <v/>
      </c>
    </row>
    <row r="5" ht="15" customHeight="1">
      <c r="A5" s="10" t="inlineStr">
        <is>
          <t>MV-2026-01-11</t>
        </is>
      </c>
      <c r="B5" s="23" t="inlineStr">
        <is>
          <t>LIJ SDF Sunday — Transport + Pack-Out (Marvin Lead) — 28 all around</t>
        </is>
      </c>
      <c r="C5" s="70" t="n">
        <v>46033</v>
      </c>
      <c r="D5" s="71" t="n">
        <v>0.3333333333333333</v>
      </c>
      <c r="E5" s="71" t="n">
        <v>0.7083333333333334</v>
      </c>
      <c r="F5" s="23" t="inlineStr">
        <is>
          <t>Local</t>
        </is>
      </c>
      <c r="G5" s="23" t="inlineStr">
        <is>
          <t>Marvin Tate</t>
        </is>
      </c>
      <c r="H5" s="23" t="inlineStr">
        <is>
          <t>Rich Perez; Bonita Outlaw</t>
        </is>
      </c>
      <c r="I5" s="23" t="inlineStr">
        <is>
          <t>Stock staging room → LIJ SDF</t>
        </is>
      </c>
      <c r="J5" s="23" t="inlineStr">
        <is>
          <t>Busy</t>
        </is>
      </c>
      <c r="K5" s="23" t="n">
        <v>30</v>
      </c>
      <c r="L5" s="23" t="inlineStr">
        <is>
          <t>Move the correct stock to LIJ SDF for Sunday’s work; keep staging controlled; pack out everything we bring in so LIJ SDF returns to pre-arrival condition. Key rule: 28 all around (28 capsules + 28 of each required cable/cord type).</t>
        </is>
      </c>
      <c r="M5" s="23" t="inlineStr">
        <is>
          <t>1) Staging room (pull / count / organize)
2) Load vehicle
3) LIJ SDF (deliver staged stock)
4) End-of-day pack-out + close-out proof</t>
        </is>
      </c>
      <c r="N5" s="23" t="inlineStr">
        <is>
          <t>• Confirm exact item list for Sunday (capsules + cables/cords + accessories)
• Pull &amp; stage: 28 capsules (7 boxes × 4)
• Pull &amp; stage: 28 Ethernet cables
• Pull &amp; stage: 28 power cords
• Pull &amp; stage: 28 of any other required cable/cord type (default to 28 unless PM specifies otherwise)
• HQ path: if mounts/arms are delivered separately, pack out all packaging + unused materials
• Keep stock orderly: stack by category; labels facing out; pallet jack accessible
• Keep walking/loading path clear (no loose cables/garbage)
• Take quick photo of staged load before moving out
• Load securely (heavy bottom; protect fragile; prevent shifting)
• Pack-out rules: remove all packaging created + all unused stock; keep device/capsule shipping boxes
• Damaged/questionable items: bag/tag + bring back (no trashing devices/cables)
• Final walk-through: floors clear; carts/pallets out; nothing left behind</t>
        </is>
      </c>
      <c r="O5" s="23" t="inlineStr">
        <is>
          <t>Before move:
• Stage by category, count to 28, photo the staged load
• Load + secure
At site / end-of-day:
• Pack out all packaging + unused stock
• Take 2 close-out photos: (1) empty staging footprint at LIJ SDF, (2) load-out/packed carts ready to leave
• Note any exceptions + who approved</t>
        </is>
      </c>
      <c r="P5" s="23" t="inlineStr">
        <is>
          <t>“Disposal” = pack out everything we bring in so LIJ SDF is as it was before we arrived.
Trash/packaging only. Never devices/cables. Keep device/capsule shipping boxes.
Do not leave extra stock behind unless explicitly approved; document approvals.</t>
        </is>
      </c>
      <c r="Q5" s="23" t="inlineStr">
        <is>
          <t>• 28-count confirmed for capsules + each cable/cord type
• Staged-load photo captured
• Site packed out (no trash/packaging left) + 2 close-out photos taken
• Any exceptions documented with approver</t>
        </is>
      </c>
      <c r="R5" s="10">
        <f>IF($L5&lt;&gt;"","Purpose"&amp;CHAR(10)&amp;$L5&amp;CHAR(10)&amp;CHAR(10),"" )&amp;"Stops (in order)"&amp;CHAR(10)&amp;$M5&amp;CHAR(10)&amp;CHAR(10)&amp;"To-Do (hard requirements)"&amp;CHAR(10)&amp;$N5&amp;CHAR(10)&amp;CHAR(10)&amp;"Suggested Timeline"&amp;CHAR(10)&amp;$O5&amp;CHAR(10)&amp;CHAR(10)&amp;"Guardrails"&amp;CHAR(10)&amp;$P5&amp;CHAR(10)&amp;CHAR(10)&amp;"Completion signals"&amp;CHAR(10)&amp;$Q5</f>
        <v/>
      </c>
      <c r="S5" s="23" t="n"/>
      <c r="T5" s="23" t="inlineStr">
        <is>
          <t>Planned</t>
        </is>
      </c>
      <c r="U5" s="72" t="n">
        <v>46032.36783236111</v>
      </c>
      <c r="V5" s="54">
        <f>IF($B5="","",IF(_xludf.TEXTJOIN(" | ",TRUE,IF($B5="","Missing Title",""),IF($C5="","Missing Date",""),IF($D5="","Missing Start",""),IF($E5="","Missing End",""),IF($G5="","Missing Required Attendees",""),IF($T5="","Missing Status",""),IF(AND($D5&lt;&gt;"",$E5&lt;&gt;"",$D5&gt;=$E5),"Start&gt;=End",""),IF(OR($R5="",LEN($R5)&lt;60,ISNUMBER(MATCH(TRIM($R5),StatusList,0))),"Body overwritten/short",""))="","OK",_xludf.TEXTJOIN(" | ",TRUE,IF($B5="","Missing Title",""),IF($C5="","Missing Date",""),IF($D5="","Missing Start",""),IF($E5="","Missing End",""),IF($G5="","Missing Required Attendees",""),IF($T5="","Missing Status",""),IF(AND($D5&lt;&gt;"",$E5&lt;&gt;"",$D5&gt;=$E5),"Start&gt;=End",""),IF(OR($R5="",LEN($R5)&lt;60,ISNUMBER(MATCH(TRIM($R5),StatusList,0))),"Body overwritten/short",""))))</f>
        <v/>
      </c>
    </row>
    <row r="6" ht="15" customHeight="1">
      <c r="A6" s="12">
        <f>IF(AND($B6&lt;&gt;"",$C6&lt;&gt;"",$D6&lt;&gt;"",$E6&lt;&gt;"",$G6&lt;&gt;""),
UPPER(
LEFT(TRIM(LEFT($G6,IFERROR(FIND(";",$G6)-1,999))),1)&amp;
IFERROR(
MID(TRIM(LEFT($G6,IFERROR(FIND(";",$G6)-1,999))),
FIND(" ",TRIM(LEFT($G6,IFERROR(FIND(";",$G6)-1,999))))+1,1),
MID(TRIM(LEFT($G6,IFERROR(FIND(";",$G6)-1,999))),2,1)
)
)&amp;"-"&amp;TEXT($C6,"yyyy-mm-dd"),
"")</f>
        <v/>
      </c>
      <c r="B6" s="25" t="inlineStr">
        <is>
          <t>Patricia — iPhone/Rover — Recurring Training Block (Starts Week of 1/21)</t>
        </is>
      </c>
      <c r="C6" s="70" t="n">
        <v>46041</v>
      </c>
      <c r="D6" s="71" t="n">
        <v>0.375</v>
      </c>
      <c r="E6" s="71" t="n">
        <v>0.75</v>
      </c>
      <c r="F6" s="25" t="inlineStr">
        <is>
          <t>Local</t>
        </is>
      </c>
      <c r="G6" s="25" t="inlineStr">
        <is>
          <t>Patricia Marrero</t>
        </is>
      </c>
      <c r="H6" s="25" t="inlineStr">
        <is>
          <t>Rich Perez; Josh Vincent</t>
        </is>
      </c>
      <c r="I6" s="25" t="inlineStr">
        <is>
          <t>LHH and the Northern Westchester Area</t>
        </is>
      </c>
      <c r="J6" s="25" t="n"/>
      <c r="K6" s="25" t="n"/>
      <c r="L6" s="26" t="inlineStr">
        <is>
          <t xml:space="preserve">• Train on iPhones and Mobile Devices
• Avoid conflicts with other projects, particularly TOW
• Increase the Volume and Integrity of Coverage in the Westchester area </t>
        </is>
      </c>
      <c r="M6" s="26" t="inlineStr">
        <is>
          <t>• LHH and the Northern Westchester Area
• Clarify with Mentors</t>
        </is>
      </c>
      <c r="N6" s="26" t="inlineStr">
        <is>
          <t>• Correspond with Mentors
• Train under mentors
• Establish sites to cover with Eman, Connor, and Clifford</t>
        </is>
      </c>
      <c r="O6" s="25" t="inlineStr">
        <is>
          <t>Recurring until Friday, Feb 6</t>
        </is>
      </c>
      <c r="P6" s="27" t="inlineStr">
        <is>
          <t>• No conflicts with DSE and TOW
• Avoid TOW and DSE conflicts</t>
        </is>
      </c>
      <c r="Q6" s="26" t="inlineStr">
        <is>
          <t>• No conflicts with DSE and TOW
• Correspondence with Mentors in Effect
• Training log updated with updated knowledge gaps</t>
        </is>
      </c>
      <c r="R6" s="14">
        <f>IF($L6&lt;&gt;"","Purpose "&amp;CHAR(10)&amp;$L6&amp;CHAR(10)&amp;CHAR(10),"")&amp;
IF($M6&lt;&gt;"","Stops (in order) "&amp;CHAR(10)&amp;$M6&amp;CHAR(10)&amp;CHAR(10),"")&amp;
IF($N6&lt;&gt;"","To-Do (hard requirements) "&amp;CHAR(10)&amp;$N6&amp;CHAR(10)&amp;CHAR(10),"")&amp;
IF($O6&lt;&gt;"","Suggested Timeline "&amp;CHAR(10)&amp;$O6&amp;CHAR(10)&amp;CHAR(10),"")&amp;
IF($P6&lt;&gt;"","Guardrails "&amp;CHAR(10)&amp;$P6&amp;CHAR(10)&amp;CHAR(10),"")&amp;
IF($Q6&lt;&gt;"","Completion signals "&amp;CHAR(10)&amp;$Q6,"")</f>
        <v/>
      </c>
      <c r="S6" s="25" t="n"/>
      <c r="T6" s="25" t="n"/>
      <c r="U6" s="54" t="n"/>
      <c r="V6" s="54">
        <f>IF($B6="","",IF(_xludf.TEXTJOIN(" | ",TRUE,IF($B6="","Missing Title",""),IF($C6="","Missing Date",""),IF($D6="","Missing Start",""),IF($E6="","Missing End",""),IF($G6="","Missing Required Attendees",""),IF($T6="","Missing Status",""),IF(AND($D6&lt;&gt;"",$E6&lt;&gt;"",$D6&gt;=$E6),"Start&gt;=End",""),IF(OR($R6="",LEN($R6)&lt;60,ISNUMBER(MATCH(TRIM($R6),StatusList,0))),"Body overwritten/short",""))="","OK",_xludf.TEXTJOIN(" | ",TRUE,IF($B6="","Missing Title",""),IF($C6="","Missing Date",""),IF($D6="","Missing Start",""),IF($E6="","Missing End",""),IF($G6="","Missing Required Attendees",""),IF($T6="","Missing Status",""),IF(AND($D6&lt;&gt;"",$E6&lt;&gt;"",$D6&gt;=$E6),"Start&gt;=End",""),IF(OR($R6="",LEN($R6)&lt;60,ISNUMBER(MATCH(TRIM($R6),StatusList,0))),"Body overwritten/short",""))))</f>
        <v/>
      </c>
    </row>
    <row r="7" ht="15" customHeight="1">
      <c r="A7" s="12">
        <f>IF(AND($B7&lt;&gt;"",$C7&lt;&gt;"",$D7&lt;&gt;"",$E7&lt;&gt;"",$G7&lt;&gt;""),
UPPER(
LEFT(TRIM(LEFT($G7,IFERROR(FIND(";",$G7)-1,999))),1)&amp;
IFERROR(
MID(TRIM(LEFT($G7,IFERROR(FIND(";",$G7)-1,999))),
FIND(" ",TRIM(LEFT($G7,IFERROR(FIND(";",$G7)-1,999))))+1,1),
MID(TRIM(LEFT($G7,IFERROR(FIND(";",$G7)-1,999))),2,1)
)
)&amp;"-"&amp;TEXT($C7,"yyyy-mm-dd"),
"")</f>
        <v/>
      </c>
      <c r="B7" s="25" t="inlineStr">
        <is>
          <t>MEETH — Stock Delivery (Marvin Lead)</t>
        </is>
      </c>
      <c r="C7" s="70" t="n">
        <v>46043</v>
      </c>
      <c r="D7" s="71" t="n">
        <v>0.375</v>
      </c>
      <c r="E7" s="71" t="n">
        <v>0.4583333333333333</v>
      </c>
      <c r="F7" s="25" t="inlineStr">
        <is>
          <t>Local</t>
        </is>
      </c>
      <c r="G7" s="25" t="inlineStr">
        <is>
          <t>Marvin Tate</t>
        </is>
      </c>
      <c r="H7" s="25" t="inlineStr">
        <is>
          <t>Rich Perez; Bonita Outlaw</t>
        </is>
      </c>
      <c r="I7" s="25" t="inlineStr">
        <is>
          <t>MEETH</t>
        </is>
      </c>
      <c r="J7" s="25" t="inlineStr">
        <is>
          <t>Busy</t>
        </is>
      </c>
      <c r="K7" s="25" t="n">
        <v>30</v>
      </c>
      <c r="L7" s="26" t="inlineStr">
        <is>
          <t>Deliver critical MEETH stock (QTY 2 each) and confirm clean handoff so the site can proceed without delays.</t>
        </is>
      </c>
      <c r="M7" s="26" t="inlineStr">
        <is>
          <t>1) HQ stock room / staging (pull + verify)
2) Load vehicle (secure)
3) MEETH (deliver + handoff)
4) Return / close-out (update counts + note exceptions)</t>
        </is>
      </c>
      <c r="N7" s="26" t="inlineStr">
        <is>
          <t>☐ Pick up required items directly from Geoff Gerber
☐ Verify all five SKUs are present (2 each)
☐ Keep items grouped and labeled for MEETH
☐ Photo staged items before loading
☐ Coordinate onsite handoff; record recipient name/area
☐ Photo delivery/handoff confirmation
☐ If missing/damaged: bag/tag + escalate immediately
• Pull + verify the following stock (QTY 2 each):
  • B1-CPAT-DIM-14 — 2
  • DIM — 2
  • B1-CFU — 2
  • SPEC999015 — 2
  • GE-ADAPTOR — 2
• Keep items grouped + labeled for MEETH (no mixed piles)
• Take a quick photo of the staged items before loading (proof + reference)
• Coordinate onsite handoff (recipient name/area) and confirm delivery complete
• If anything is missing/damaged: bag/tag and escalate immediately (do not substitute silently)</t>
        </is>
      </c>
      <c r="O7" s="25" t="inlineStr">
        <is>
          <t>Before departure: pull + verify + photo.
At MEETH: handoff + confirm recipient.
After: update tracker / notes with any exceptions.</t>
        </is>
      </c>
      <c r="P7" s="27" t="inlineStr">
        <is>
          <t>This is a controlled delivery. No improvising part substitutions without approval. Keep packaging tidy; prevent damage in transit.</t>
        </is>
      </c>
      <c r="Q7" s="26" t="inlineStr">
        <is>
          <t>All five SKUs delivered (2 each), recipient confirmed, and staging/delivery photo captured. Exceptions logged if any.</t>
        </is>
      </c>
      <c r="R7" s="14">
        <f>IF($L7&lt;&gt;"","Purpose "&amp;CHAR(10)&amp;$L7&amp;CHAR(10)&amp;CHAR(10),"")&amp;
IF($M7&lt;&gt;"","Stops (in order) "&amp;CHAR(10)&amp;$M7&amp;CHAR(10)&amp;CHAR(10),"")&amp;
IF($N7&lt;&gt;"","To-Do (hard requirements) "&amp;CHAR(10)&amp;$N7&amp;CHAR(10)&amp;CHAR(10),"")&amp;
IF($O7&lt;&gt;"","Suggested Timeline "&amp;CHAR(10)&amp;$O7&amp;CHAR(10)&amp;CHAR(10),"")&amp;
IF($P7&lt;&gt;"","Guardrails "&amp;CHAR(10)&amp;$P7&amp;CHAR(10)&amp;CHAR(10),"")&amp;
IF($Q7&lt;&gt;"","Completion signals "&amp;CHAR(10)&amp;$Q7,"")</f>
        <v/>
      </c>
      <c r="S7" s="25" t="n"/>
      <c r="T7" s="25" t="inlineStr">
        <is>
          <t>Planned</t>
        </is>
      </c>
      <c r="U7" s="76" t="n">
        <v>46042.5</v>
      </c>
      <c r="V7" s="54">
        <f>IF($B7="","",IF(_xludf.TEXTJOIN(" | ",TRUE,IF($B7="","Missing Title",""),IF($C7="","Missing Date",""),IF($D7="","Missing Start",""),IF($E7="","Missing End",""),IF($G7="","Missing Required Attendees",""),IF($T7="","Missing Status",""),IF(AND($D7&lt;&gt;"",$E7&lt;&gt;"",$D7&gt;=$E7),"Start&gt;=End",""),IF(OR($R7="",LEN($R7)&lt;60,ISNUMBER(MATCH(TRIM($R7),StatusList,0))),"Body overwritten/short",""))="","OK",_xludf.TEXTJOIN(" | ",TRUE,IF($B7="","Missing Title",""),IF($C7="","Missing Date",""),IF($D7="","Missing Start",""),IF($E7="","Missing End",""),IF($G7="","Missing Required Attendees",""),IF($T7="","Missing Status",""),IF(AND($D7&lt;&gt;"",$E7&lt;&gt;"",$D7&gt;=$E7),"Start&gt;=End",""),IF(OR($R7="",LEN($R7)&lt;60,ISNUMBER(MATCH(TRIM($R7),StatusList,0))),"Body overwritten/short",""))))</f>
        <v/>
      </c>
    </row>
    <row r="8" ht="15" customHeight="1">
      <c r="A8" s="12">
        <f>IF(AND($B8&lt;&gt;"",$C8&lt;&gt;"",$D8&lt;&gt;"",$E8&lt;&gt;"",$G8&lt;&gt;""),
UPPER(
LEFT(TRIM(LEFT($G8,IFERROR(FIND(";",$G8)-1,999))),1)&amp;
IFERROR(
MID(TRIM(LEFT($G8,IFERROR(FIND(";",$G8)-1,999))),
FIND(" ",TRIM(LEFT($G8,IFERROR(FIND(";",$G8)-1,999))))+1,1),
MID(TRIM(LEFT($G8,IFERROR(FIND(";",$G8)-1,999))),2,1)
)
)&amp;"-"&amp;TEXT($C8,"yyyy-mm-dd"),
"")</f>
        <v/>
      </c>
      <c r="B8" s="25" t="inlineStr">
        <is>
          <t>Glen Cove — OR/Endo Cybernet Peripherals Install (9 KB+Mouse, 9 Badge Readers, 9 Barcode Scanners)</t>
        </is>
      </c>
      <c r="C8" s="73" t="n">
        <v>46049</v>
      </c>
      <c r="D8" s="77" t="n">
        <v>0.375</v>
      </c>
      <c r="E8" s="77" t="n">
        <v>0.625</v>
      </c>
      <c r="F8" s="25" t="inlineStr">
        <is>
          <t>Local</t>
        </is>
      </c>
      <c r="G8" s="25" t="inlineStr">
        <is>
          <t>Khadejah Harrison; CDW Resource (TBD)</t>
        </is>
      </c>
      <c r="H8" s="25" t="inlineStr">
        <is>
          <t>Timothy Seeberger</t>
        </is>
      </c>
      <c r="I8" s="25" t="inlineStr">
        <is>
          <t>Glen Cove Hospital — OR &amp; Endo (Cybernet)</t>
        </is>
      </c>
      <c r="J8" s="25" t="inlineStr">
        <is>
          <t>Busy</t>
        </is>
      </c>
      <c r="K8" s="25" t="n">
        <v>30</v>
      </c>
      <c r="L8" s="25" t="inlineStr">
        <is>
          <t>Install and validate 9 wired keyboard/mouse sets, 9 badge access readers, and 9 barcode scanners; connect all peripherals to the Cybernet in OR and Endo.</t>
        </is>
      </c>
      <c r="M8" s="25" t="inlineStr">
        <is>
          <t>1) 3HQ (as needed): confirm delivery/availability of 9 cables for Glen Cove | 2) Glen Cove — OR: install/connect/test peripherals on Cybernet | 3) Glen Cove — Endo: install/connect/test peripherals on Cybernet | 4) Close-out: photos (no PHI) + confirm counts + send completion note</t>
        </is>
      </c>
      <c r="N8" s="25" t="inlineStr">
        <is>
          <t>Verify inventory (9 KB+Mouse, 9 Badge Readers, 9 Barcode Scanners; plus 9 cables if applicable) | Install + connect to correct Cybernet(s) in OR &amp; Endo | Test: keyboard/mouse input, badge read, barcode scan | Escalate blockers immediately (ports/driver/access) | No silent substitutions</t>
        </is>
      </c>
      <c r="O8" s="25" t="inlineStr">
        <is>
          <t>Before: confirm stock/cables at 3HQ if needed | Onsite: OR first, then Endo | End: confirm with site POC + send completion update</t>
        </is>
      </c>
      <c r="P8" s="25" t="inlineStr">
        <is>
          <t>No PHI in photos | Keep cabling tidy/secured | Same-day escalation on blockers; coordinate access with site IT as needed</t>
        </is>
      </c>
      <c r="Q8" s="25" t="inlineStr">
        <is>
          <t>All 27 peripherals installed + tested in OR/Endo | Exceptions logged with owner/next step | Completion update sent</t>
        </is>
      </c>
      <c r="R8" s="14">
        <f>IF($L8&lt;&gt;"","Purpose "&amp;CHAR(10)&amp;$L8&amp;CHAR(10)&amp;CHAR(10),"")&amp;
IF($M8&lt;&gt;"","Stops (in order) "&amp;CHAR(10)&amp;$M8&amp;CHAR(10)&amp;CHAR(10),"")&amp;
IF($N8&lt;&gt;"","To-Do (hard requirements) "&amp;CHAR(10)&amp;$N8&amp;CHAR(10)&amp;CHAR(10),"")&amp;
IF($O8&lt;&gt;"","Suggested Timeline "&amp;CHAR(10)&amp;$O8&amp;CHAR(10)&amp;CHAR(10),"")&amp;
IF($P8&lt;&gt;"","Guardrails "&amp;CHAR(10)&amp;$P8&amp;CHAR(10)&amp;CHAR(10),"")&amp;
IF($Q8&lt;&gt;"","Completion signals "&amp;CHAR(10)&amp;$Q8,"")</f>
        <v/>
      </c>
      <c r="S8" s="25" t="n"/>
      <c r="T8" s="25" t="n"/>
      <c r="U8" s="54" t="n"/>
      <c r="V8" s="54">
        <f>IF($B8="","",IF(_xludf.TEXTJOIN(" | ",TRUE,IF($B8="","Missing Title",""),IF($C8="","Missing Date",""),IF($D8="","Missing Start",""),IF($E8="","Missing End",""),IF($G8="","Missing Required Attendees",""),IF($T8="","Missing Status",""),IF(AND($D8&lt;&gt;"",$E8&lt;&gt;"",$D8&gt;=$E8),"Start&gt;=End",""),IF(OR($R8="",LEN($R8)&lt;60,ISNUMBER(MATCH(TRIM($R8),StatusList,0))),"Body overwritten/short",""))="","OK",_xludf.TEXTJOIN(" | ",TRUE,IF($B8="","Missing Title",""),IF($C8="","Missing Date",""),IF($D8="","Missing Start",""),IF($E8="","Missing End",""),IF($G8="","Missing Required Attendees",""),IF($T8="","Missing Status",""),IF(AND($D8&lt;&gt;"",$E8&lt;&gt;"",$D8&gt;=$E8),"Start&gt;=End",""),IF(OR($R8="",LEN($R8)&lt;60,ISNUMBER(MATCH(TRIM($R8),StatusList,0))),"Body overwritten/short",""))))</f>
        <v/>
      </c>
    </row>
    <row r="9" ht="15" customHeight="1">
      <c r="A9" s="12">
        <f>IF(AND($B9&lt;&gt;"",$C9&lt;&gt;"",$D9&lt;&gt;"",$E9&lt;&gt;"",$G9&lt;&gt;""),
UPPER(
LEFT(TRIM(LEFT($G9,IFERROR(FIND(";",$G9)-1,999))),1)&amp;
IFERROR(
MID(TRIM(LEFT($G9,IFERROR(FIND(";",$G9)-1,999))),
FIND(" ",TRIM(LEFT($G9,IFERROR(FIND(";",$G9)-1,999))))+1,1),
MID(TRIM(LEFT($G9,IFERROR(FIND(";",$G9)-1,999))),2,1)
)
)&amp;"-"&amp;TEXT($C9,"yyyy-mm-dd"),
"")</f>
        <v/>
      </c>
      <c r="B9" s="25" t="inlineStr">
        <is>
          <t>Glen Cove — OR/Endo Cybernet Peripherals Install (9 KB+Mouse, 9 Badge Readers, 9 Barcode Scanners)</t>
        </is>
      </c>
      <c r="C9" s="73" t="n">
        <v>46049</v>
      </c>
      <c r="D9" s="77" t="n">
        <v>0.375</v>
      </c>
      <c r="E9" s="77" t="n">
        <v>0.625</v>
      </c>
      <c r="F9" s="25" t="inlineStr">
        <is>
          <t>Local</t>
        </is>
      </c>
      <c r="G9" s="25" t="inlineStr">
        <is>
          <t>Khadejah Harrison; CDW Resource (TBD)</t>
        </is>
      </c>
      <c r="H9" s="25" t="inlineStr">
        <is>
          <t>Timothy Seeberger</t>
        </is>
      </c>
      <c r="I9" s="25" t="inlineStr">
        <is>
          <t>Glen Cove Hospital — OR &amp; Endo (Cybernet)</t>
        </is>
      </c>
      <c r="J9" s="25" t="inlineStr">
        <is>
          <t>Busy</t>
        </is>
      </c>
      <c r="K9" s="25" t="n">
        <v>30</v>
      </c>
      <c r="L9" s="25" t="inlineStr">
        <is>
          <t>Install and validate 9 wired keyboard/mouse sets, 9 badge access readers, and 9 barcode scanners; connect all peripherals to the Cybernet in OR and Endo.</t>
        </is>
      </c>
      <c r="M9" s="25" t="inlineStr">
        <is>
          <t>1) 3HQ (as needed): confirm delivery/availability of 9 cables for Glen Cove | 2) Glen Cove — OR: install/connect/test peripherals on Cybernet | 3) Glen Cove — Endo: install/connect/test peripherals on Cybernet | 4) Close-out: photos (no PHI) + confirm counts + send completion note</t>
        </is>
      </c>
      <c r="N9" s="25" t="inlineStr">
        <is>
          <t>Verify inventory (9 KB+Mouse, 9 Badge Readers, 9 Barcode Scanners; plus 9 cables if applicable) | Install + connect to correct Cybernet(s) in OR &amp; Endo | Test: keyboard/mouse input, badge read, barcode scan | Escalate blockers immediately (ports/driver/access) | No silent substitutions</t>
        </is>
      </c>
      <c r="O9" s="25" t="inlineStr">
        <is>
          <t>Before: confirm stock/cables at 3HQ if needed | Onsite: OR first, then Endo | End: confirm with site POC + send completion update</t>
        </is>
      </c>
      <c r="P9" s="25" t="inlineStr">
        <is>
          <t>No PHI in photos | Keep cabling tidy/secured | Same-day escalation on blockers; coordinate access with site IT as needed</t>
        </is>
      </c>
      <c r="Q9" s="25" t="inlineStr">
        <is>
          <t>All 27 peripherals installed + tested in OR/Endo | Exceptions logged with owner/next step | Completion update sent</t>
        </is>
      </c>
      <c r="R9" s="54">
        <f>IF($L9&lt;&gt;"","Purpose "&amp;CHAR(10)&amp;$L9&amp;CHAR(10)&amp;CHAR(10),"")&amp;
IF($M9&lt;&gt;"","Stops (in order) "&amp;CHAR(10)&amp;$M9&amp;CHAR(10)&amp;CHAR(10),"")&amp;
IF($N9&lt;&gt;"","To-Do (hard requirements) "&amp;CHAR(10)&amp;$N9&amp;CHAR(10)&amp;CHAR(10),"")&amp;
IF($O9&lt;&gt;"","Suggested Timeline "&amp;CHAR(10)&amp;$O9&amp;CHAR(10)&amp;CHAR(10),"")&amp;
IF($P9&lt;&gt;"","Guardrails "&amp;CHAR(10)&amp;$P9&amp;CHAR(10)&amp;CHAR(10),"")&amp;
IF($Q9&lt;&gt;"","Completion signals "&amp;CHAR(10)&amp;$Q9,"")</f>
        <v/>
      </c>
      <c r="S9" s="25" t="inlineStr">
        <is>
          <t>Planned</t>
        </is>
      </c>
      <c r="T9" s="25" t="n"/>
      <c r="U9" s="76" t="n">
        <v>46047.5</v>
      </c>
      <c r="V9" s="54">
        <f>IF($B9="","",IF(_xludf.TEXTJOIN(" | ",TRUE,IF($B9="","Missing Title",""),IF($C9="","Missing Date",""),IF($D9="","Missing Start",""),IF($E9="","Missing End",""),IF($G9="","Missing Required Attendees",""),IF($T9="","Missing Status",""),IF(AND($D9&lt;&gt;"",$E9&lt;&gt;"",$D9&gt;=$E9),"Start&gt;=End",""),IF(OR($R9="",LEN($R9)&lt;60,ISNUMBER(MATCH(TRIM($R9),StatusList,0))),"Body overwritten/short",""))="","OK",_xludf.TEXTJOIN(" | ",TRUE,IF($B9="","Missing Title",""),IF($C9="","Missing Date",""),IF($D9="","Missing Start",""),IF($E9="","Missing End",""),IF($G9="","Missing Required Attendees",""),IF($T9="","Missing Status",""),IF(AND($D9&lt;&gt;"",$E9&lt;&gt;"",$D9&gt;=$E9),"Start&gt;=End",""),IF(OR($R9="",LEN($R9)&lt;60,ISNUMBER(MATCH(TRIM($R9),StatusList,0))),"Body overwritten/short",""))))</f>
        <v/>
      </c>
    </row>
    <row r="10" ht="15" customHeight="1">
      <c r="A10" s="12">
        <f>IF(AND($B10&lt;&gt;"",$C10&lt;&gt;"",$D10&lt;&gt;"",$E10&lt;&gt;"",$G10&lt;&gt;""),
UPPER(
LEFT(TRIM(LEFT($G10,IFERROR(FIND(";",$G10)-1,999))),1)&amp;
IFERROR(
MID(TRIM(LEFT($G10,IFERROR(FIND(";",$G10)-1,999))),
FIND(" ",TRIM(LEFT($G10,IFERROR(FIND(";",$G10)-1,999))))+1,1),
MID(TRIM(LEFT($G10,IFERROR(FIND(";",$G10)-1,999))),2,1)
)
)&amp;"-"&amp;TEXT($C10,"yyyy-mm-dd"),
"")</f>
        <v/>
      </c>
      <c r="B10" s="28" t="inlineStr">
        <is>
          <t>Cybernet Deployment + iPad Go-Live Support (Senior + Shadow)</t>
        </is>
      </c>
      <c r="C10" s="78" t="n">
        <v>46052</v>
      </c>
      <c r="D10" s="79" t="n">
        <v>0.375</v>
      </c>
      <c r="E10" s="79" t="n">
        <v>0.7083333333333334</v>
      </c>
      <c r="F10" s="28" t="inlineStr">
        <is>
          <t>Local</t>
        </is>
      </c>
      <c r="G10" s="28" t="inlineStr">
        <is>
          <t>Geoff Gerber; Chris Cummings</t>
        </is>
      </c>
      <c r="H10" s="28" t="inlineStr">
        <is>
          <t>Rich Perez</t>
        </is>
      </c>
      <c r="I10" s="28" t="inlineStr">
        <is>
          <t>Client Site — Cybernet Go-Live</t>
        </is>
      </c>
      <c r="J10" s="28" t="inlineStr">
        <is>
          <t>Busy</t>
        </is>
      </c>
      <c r="K10" s="28" t="n">
        <v>30</v>
      </c>
      <c r="L10" s="28" t="inlineStr">
        <is>
          <t>Deploy Cybernets and provide all-day go-live support. Client paid for 1 senior tech (Geoff) with 1 shadow tech (Chris Cummings). Stock: Geoff to have 2 Cybernets. iPad: already delivered last Friday.</t>
        </is>
      </c>
      <c r="M10" s="28" t="inlineStr">
        <is>
          <t>1) HQ/warehouse (if needed): pull/verify 2 Cybernets for Geoff (asset tags/serials recorded). 2) Client site: confirm iPad onsite, deploy Cybernets, provide go-live support all day. 3) End-of-day: document issues + send completion note.</t>
        </is>
      </c>
      <c r="N10" s="28" t="inlineStr">
        <is>
          <t>• Geoff must have 2 Cybernets ready for deployment • iPad is already onsite (verify on arrival) • Chris shadows Geoff the full day • Log go-live issues + escalate blockers immediately</t>
        </is>
      </c>
      <c r="O10" s="28" t="inlineStr">
        <is>
          <t>AM: arrival + verify iPad + deploy Cybernets. Midday: stabilize + support go-live flow. PM: mop-up issues + handoff + send summary.</t>
        </is>
      </c>
      <c r="P10" s="28" t="inlineStr">
        <is>
          <t>No PHI in notes/photos. No silent substitutions. Escalate blockers same-day and document owners/next steps.</t>
        </is>
      </c>
      <c r="Q10" s="28" t="inlineStr">
        <is>
          <t>2 Cybernets deployed/validated. Go-live support delivered all day. Issues/next steps logged. Completion update sent.</t>
        </is>
      </c>
      <c r="R10" s="16">
        <f>IF($L10&lt;&gt;"","Purpose "&amp;CHAR(10)&amp;$L10&amp;CHAR(10)&amp;CHAR(10),"")&amp;
IF($M10&lt;&gt;"","Stops (in order) "&amp;CHAR(10)&amp;$M10&amp;CHAR(10)&amp;CHAR(10),"")&amp;
IF($N10&lt;&gt;"","To-Do (hard requirements) "&amp;CHAR(10)&amp;$N10&amp;CHAR(10)&amp;CHAR(10),"")&amp;
IF($O10&lt;&gt;"","Suggested Timeline "&amp;CHAR(10)&amp;$O10&amp;CHAR(10)&amp;CHAR(10),"")&amp;
IF($P10&lt;&gt;"","Guardrails "&amp;CHAR(10)&amp;$P10&amp;CHAR(10)&amp;CHAR(10),"")&amp;
IF($Q10&lt;&gt;"","Completion signals "&amp;CHAR(10)&amp;$Q10,"")</f>
        <v/>
      </c>
      <c r="S10" s="25" t="n"/>
      <c r="T10" s="25" t="n"/>
      <c r="U10" s="76" t="n">
        <v>46051.5</v>
      </c>
      <c r="V10" s="54">
        <f>IF($B10="","",IF(_xludf.TEXTJOIN(" | ",TRUE,IF($B10="","Missing Title",""),IF($C10="","Missing Date",""),IF($D10="","Missing Start",""),IF($E10="","Missing End",""),IF($G10="","Missing Required Attendees",""),IF($T10="","Missing Status",""),IF(AND($D10&lt;&gt;"",$E10&lt;&gt;"",$D10&gt;=$E10),"Start&gt;=End",""),IF(OR($R10="",LEN($R10)&lt;60,ISNUMBER(MATCH(TRIM($R10),StatusList,0))),"Body overwritten/short",""))="","OK",_xludf.TEXTJOIN(" | ",TRUE,IF($B10="","Missing Title",""),IF($C10="","Missing Date",""),IF($D10="","Missing Start",""),IF($E10="","Missing End",""),IF($G10="","Missing Required Attendees",""),IF($T10="","Missing Status",""),IF(AND($D10&lt;&gt;"",$E10&lt;&gt;"",$D10&gt;=$E10),"Start&gt;=End",""),IF(OR($R10="",LEN($R10)&lt;60,ISNUMBER(MATCH(TRIM($R10),StatusList,0))),"Body overwritten/short",""))))</f>
        <v/>
      </c>
    </row>
    <row r="11" ht="15" customHeight="1">
      <c r="A11" s="12">
        <f>IF(AND($B11&lt;&gt;"",$C11&lt;&gt;"",$D11&lt;&gt;"",$E11&lt;&gt;"",$G11&lt;&gt;""),
UPPER(
LEFT(TRIM(LEFT($G11,IFERROR(FIND(";",$G11)-1,999))),1)&amp;
IFERROR(
MID(TRIM(LEFT($G11,IFERROR(FIND(";",$G11)-1,999))),
FIND(" ",TRIM(LEFT($G11,IFERROR(FIND(";",$G11)-1,999))))+1,1),
MID(TRIM(LEFT($G11,IFERROR(FIND(";",$G11)-1,999))),2,1)
)
)&amp;"-"&amp;TEXT($C11,"yyyy-mm-dd"),
"")</f>
        <v/>
      </c>
      <c r="B11" s="25" t="inlineStr">
        <is>
          <t>CFAM — Deployment Support (One-Day Push)</t>
        </is>
      </c>
      <c r="C11" s="80" t="n">
        <v>46060</v>
      </c>
      <c r="D11" s="77" t="n">
        <v>0.375</v>
      </c>
      <c r="E11" s="77" t="n">
        <v>0.7083333333333334</v>
      </c>
      <c r="F11" s="25" t="inlineStr">
        <is>
          <t>Local</t>
        </is>
      </c>
      <c r="G11" s="25" t="inlineStr">
        <is>
          <t>Asher Ali; Alejandro Pelales; Delroy Harris</t>
        </is>
      </c>
      <c r="H11" s="25" t="inlineStr">
        <is>
          <t>Patricia Marrero</t>
        </is>
      </c>
      <c r="I11" s="25" t="inlineStr">
        <is>
          <t>CFAM (Center for Advanced Medicine)</t>
        </is>
      </c>
      <c r="J11" s="25" t="inlineStr">
        <is>
          <t>Busy</t>
        </is>
      </c>
      <c r="K11" s="25" t="n">
        <v>30</v>
      </c>
      <c r="L11" s="25" t="inlineStr">
        <is>
          <t>Extra deployment coverage at CFAM to complete the work in one day (9–5). Focus: throughput, troubleshooting, and clean handoff.</t>
        </is>
      </c>
      <c r="M11" s="25" t="inlineStr">
        <is>
          <t>1) 09:00 kickoff + scope check; 2) Stage devices + verify ready state; 3) Deploy + validate as you go; 4) Triage issues + escalate blockers fast; 5) 16:30 final sweep + handoff notes; 6) 17:00 exit</t>
        </is>
      </c>
      <c r="N11" s="25" t="inlineStr">
        <is>
          <t>Full 9–5 coverage; keep tracker updates current; call out blockers early; document exceptions; leave the site clean.</t>
        </is>
      </c>
      <c r="O11" s="25" t="inlineStr">
        <is>
          <t>09:00 kickoff; 09:15 staging; 10:00 deployments rolling; 15:30 start final sweep; 16:30 handoff notes; 17:00 wrap</t>
        </is>
      </c>
      <c r="P11" s="25" t="inlineStr">
        <is>
          <t>No improvising scope changes; escalate access/permissions immediately; protect clinical areas; keep footprint minimal; avoid bottlenecks by working in parallel.</t>
        </is>
      </c>
      <c r="Q11" s="25" t="inlineStr">
        <is>
          <t>All assigned devices deployed + validated; exceptions logged with owner/next step; handoff notes sent same day.</t>
        </is>
      </c>
      <c r="R11" s="16">
        <f>IF($L11&lt;&gt;"","Purpose "&amp;CHAR(10)&amp;$L11&amp;CHAR(10)&amp;CHAR(10),"")&amp;
IF($M11&lt;&gt;"","Stops (in order) "&amp;CHAR(10)&amp;$M11&amp;CHAR(10)&amp;CHAR(10),"")&amp;
IF($N11&lt;&gt;"","To-Do (hard requirements) "&amp;CHAR(10)&amp;$N11&amp;CHAR(10)&amp;CHAR(10),"")&amp;
IF($O11&lt;&gt;"","Suggested Timeline "&amp;CHAR(10)&amp;$O11&amp;CHAR(10)&amp;CHAR(10),"")&amp;
IF($P11&lt;&gt;"","Guardrails "&amp;CHAR(10)&amp;$P11&amp;CHAR(10)&amp;CHAR(10),"")&amp;
IF($Q11&lt;&gt;"","Completion signals "&amp;CHAR(10)&amp;$Q11,"")</f>
        <v/>
      </c>
      <c r="S11" s="25" t="n"/>
      <c r="T11" s="25" t="inlineStr">
        <is>
          <t>Planned</t>
        </is>
      </c>
      <c r="U11" s="41" t="n">
        <v>46053</v>
      </c>
      <c r="V11" s="54">
        <f>IF($B11="","",IF(_xludf.TEXTJOIN(" | ",TRUE,IF($B11="","Missing Title",""),IF($C11="","Missing Date",""),IF($D11="","Missing Start",""),IF($E11="","Missing End",""),IF($G11="","Missing Required Attendees",""),IF($T11="","Missing Status",""),IF(AND($D11&lt;&gt;"",$E11&lt;&gt;"",$D11&gt;=$E11),"Start&gt;=End",""),IF(OR($R11="",LEN($R11)&lt;60,ISNUMBER(MATCH(TRIM($R11),StatusList,0))),"Body overwritten/short",""))="","OK",_xludf.TEXTJOIN(" | ",TRUE,IF($B11="","Missing Title",""),IF($C11="","Missing Date",""),IF($D11="","Missing Start",""),IF($E11="","Missing End",""),IF($G11="","Missing Required Attendees",""),IF($T11="","Missing Status",""),IF(AND($D11&lt;&gt;"",$E11&lt;&gt;"",$D11&gt;=$E11),"Start&gt;=End",""),IF(OR($R11="",LEN($R11)&lt;60,ISNUMBER(MATCH(TRIM($R11),StatusList,0))),"Body overwritten/short",""))))</f>
        <v/>
      </c>
    </row>
    <row r="12" ht="15" customHeight="1">
      <c r="A12" s="12">
        <f>IF(AND($B12&lt;&gt;"",$C12&lt;&gt;"",$D12&lt;&gt;"",$E12&lt;&gt;"",$G12&lt;&gt;""),
UPPER(
LEFT(TRIM(LEFT($G12,IFERROR(FIND(";",$G12)-1,999))),1)&amp;
IFERROR(
MID(TRIM(LEFT($G12,IFERROR(FIND(";",$G12)-1,999))),
FIND(" ",TRIM(LEFT($G12,IFERROR(FIND(";",$G12)-1,999))))+1,1),
MID(TRIM(LEFT($G12,IFERROR(FIND(";",$G12)-1,999))),2,1)
)
)&amp;"-"&amp;TEXT($C12,"yyyy-mm-dd"),
"")</f>
        <v/>
      </c>
      <c r="B12" s="25" t="inlineStr">
        <is>
          <t>LIJ SDF - Satellite Dialysis Facility - Testing Oversight (Noon-1) + Possible Cat6 Relay</t>
        </is>
      </c>
      <c r="C12" s="73" t="n">
        <v>46062</v>
      </c>
      <c r="D12" s="77" t="n">
        <v>0.4583333333333333</v>
      </c>
      <c r="E12" s="77" t="n">
        <v>0.5416666666666666</v>
      </c>
      <c r="F12" s="25" t="inlineStr">
        <is>
          <t>Local</t>
        </is>
      </c>
      <c r="G12" s="25" t="inlineStr">
        <is>
          <t>Khadejah Harrison</t>
        </is>
      </c>
      <c r="H12" s="25" t="n"/>
      <c r="I12" s="25" t="inlineStr">
        <is>
          <t>LIJ SDF - Satellite Dialysis Facility</t>
        </is>
      </c>
      <c r="J12" s="25" t="inlineStr">
        <is>
          <t>Busy</t>
        </is>
      </c>
      <c r="K12" s="25" t="n">
        <v>30</v>
      </c>
      <c r="L12" s="25" t="inlineStr">
        <is>
          <t>Oversee testing support at LIJ SDF (testing window 12:00-1:00) and capture outcomes; relay up to 25 x 25-ft Cat6 cables if requested.</t>
        </is>
      </c>
      <c r="M12" s="25" t="inlineStr">
        <is>
          <t>1) Check in with site POC + confirm testing station(s) | 2) Observe testing (12:00-1:00) + capture pass/fail/issues | 3) If requested: pull/relay 25 x 25-ft Cat6 to designated drop location | 4) Send completion note (testing results + any cable relay details)</t>
        </is>
      </c>
      <c r="N12" s="25" t="inlineStr">
        <is>
          <t>Arrive by 11:00 for setup/coordination | Document testing results (what passed/failed + owner/next step) | If Cat6 relay happens: verify count (25) and record destination | No PHI in notes/photos | Escalate blockers same-day</t>
        </is>
      </c>
      <c r="O12" s="25" t="inlineStr">
        <is>
          <t>11:00 arrive + scope check | 12:00 testing start | 12:45 pre-wrap + confirm any cable request | 13:00 wrap + send update</t>
        </is>
      </c>
      <c r="P12" s="25" t="inlineStr">
        <is>
          <t>Keep footprint minimal in clinical areas | No PHI in notes/photos | If asked to move cables, confirm receiver + drop location before transport | Escalate access/permissions immediately</t>
        </is>
      </c>
      <c r="Q12" s="25" t="inlineStr">
        <is>
          <t>Testing observed and results captured | Issues logged with owner/next step | If Cat6 relay requested: count + destination documented | Completion update sent</t>
        </is>
      </c>
      <c r="R12" s="16">
        <f>IF($L12&lt;&gt;"","Purpose "&amp;CHAR(10)&amp;$L12&amp;CHAR(10)&amp;CHAR(10),"")&amp;
IF($M12&lt;&gt;"","Stops (in order) "&amp;CHAR(10)&amp;$M12&amp;CHAR(10)&amp;CHAR(10),"")&amp;
IF($N12&lt;&gt;"","To-Do (hard requirements) "&amp;CHAR(10)&amp;$N12&amp;CHAR(10)&amp;CHAR(10),"")&amp;
IF($O12&lt;&gt;"","Suggested Timeline "&amp;CHAR(10)&amp;$O12&amp;CHAR(10)&amp;CHAR(10),"")&amp;
IF($P12&lt;&gt;"","Guardrails "&amp;CHAR(10)&amp;$P12&amp;CHAR(10)&amp;CHAR(10),"")&amp;
IF($Q12&lt;&gt;"","Completion signals "&amp;CHAR(10)&amp;$Q12,"")</f>
        <v/>
      </c>
      <c r="S12" s="25" t="n"/>
      <c r="T12" s="25" t="inlineStr">
        <is>
          <t>Planned</t>
        </is>
      </c>
      <c r="U12" s="41" t="n">
        <v>46062</v>
      </c>
      <c r="V12" s="54">
        <f>IF($B12="","",IF(_xludf.TEXTJOIN(" | ",TRUE,IF($B12="","Missing Title",""),IF($C12="","Missing Date",""),IF($D12="","Missing Start",""),IF($E12="","Missing End",""),IF($G12="","Missing Required Attendees",""),IF($T12="","Missing Status",""),IF(AND($D12&lt;&gt;"",$E12&lt;&gt;"",$D12&gt;=$E12),"Start&gt;=End",""),IF(OR($R12="",LEN($R12)&lt;60,ISNUMBER(MATCH(TRIM($R12),StatusList,0))),"Body overwritten/short",""))="","OK",_xludf.TEXTJOIN(" | ",TRUE,IF($B12="","Missing Title",""),IF($C12="","Missing Date",""),IF($D12="","Missing Start",""),IF($E12="","Missing End",""),IF($G12="","Missing Required Attendees",""),IF($T12="","Missing Status",""),IF(AND($D12&lt;&gt;"",$E12&lt;&gt;"",$D12&gt;=$E12),"Start&gt;=End",""),IF(OR($R12="",LEN($R12)&lt;60,ISNUMBER(MATCH(TRIM($R12),StatusList,0))),"Body overwritten/short",""))))</f>
        <v/>
      </c>
    </row>
    <row r="13" ht="15" customHeight="1">
      <c r="A13" s="12">
        <f>IF(AND($B13&lt;&gt;"",$C13&lt;&gt;"",$D13&lt;&gt;"",$E13&lt;&gt;"",$G13&lt;&gt;""),
UPPER(
LEFT(TRIM(LEFT($G13,IFERROR(FIND(";",$G13)-1,999))),1)&amp;
IFERROR(
MID(TRIM(LEFT($G13,IFERROR(FIND(";",$G13)-1,999))),
FIND(" ",TRIM(LEFT($G13,IFERROR(FIND(";",$G13)-1,999))))+1,1),
MID(TRIM(LEFT($G13,IFERROR(FIND(";",$G13)-1,999))),2,1)
)
)&amp;"-"&amp;TEXT($C13,"yyyy-mm-dd"),
"")</f>
        <v/>
      </c>
      <c r="B13" s="25" t="inlineStr">
        <is>
          <t>Franklin Hospital (Valley Stream) - Peripheral Deployment (10 units)</t>
        </is>
      </c>
      <c r="C13" s="73" t="n">
        <v>46062</v>
      </c>
      <c r="D13" s="77" t="n">
        <v>0.7083333333333334</v>
      </c>
      <c r="E13" s="77" t="n">
        <v>0.8333333333333334</v>
      </c>
      <c r="F13" s="25" t="inlineStr">
        <is>
          <t>Local</t>
        </is>
      </c>
      <c r="G13" s="25" t="inlineStr">
        <is>
          <t>Marvin Tate; Khadejah Harrison</t>
        </is>
      </c>
      <c r="H13" s="25" t="n"/>
      <c r="I13" s="25" t="inlineStr">
        <is>
          <t>Franklin Hospital - Valley Stream</t>
        </is>
      </c>
      <c r="J13" s="25" t="inlineStr">
        <is>
          <t>Busy</t>
        </is>
      </c>
      <c r="K13" s="25" t="n">
        <v>30</v>
      </c>
      <c r="L13" s="25" t="inlineStr">
        <is>
          <t>Deploy and validate 10 peripherals (barcode scanner(s), badge scanner(s), mouse, keyboard) at Franklin Hospital Valley Stream.</t>
        </is>
      </c>
      <c r="M13" s="25" t="inlineStr">
        <is>
          <t>1) Check in + confirm target stations/rooms | 2) Stage peripherals + verify total count (10) | 3) Install/connect + functional test each unit as you go | 4) Label/asset-tag as required | 5) Close-out: confirm counts + document placements/exceptions + send completion note</t>
        </is>
      </c>
      <c r="N13" s="25" t="inlineStr">
        <is>
          <t>Verify inventory count before leaving/onsite (10 total) | Test each peripheral immediately (badge read, barcode scan, keyboard/mouse input) | Keep cabling tidy | Log exceptions with owner/next step | No silent substitutions</t>
        </is>
      </c>
      <c r="O13" s="25" t="inlineStr">
        <is>
          <t>17:00 kickoff + station list | 17:15 staging | 17:30 installs rolling | 19:30 final sweep + issue triage | 20:00 wrap + send update (end time may flex if needed)</t>
        </is>
      </c>
      <c r="P13" s="25" t="inlineStr">
        <is>
          <t>No PHI in notes/photos | Escalate port/driver/access blockers immediately | Keep footprint minimal and area clean | Avoid half-finished stations; finish and validate before moving on</t>
        </is>
      </c>
      <c r="Q13" s="25" t="inlineStr">
        <is>
          <t>10 peripherals installed + tested | Exceptions logged with owner/next step | Completion update sent</t>
        </is>
      </c>
      <c r="R13" s="16">
        <f>IF($L13&lt;&gt;"","Purpose "&amp;CHAR(10)&amp;$L13&amp;CHAR(10)&amp;CHAR(10),"")&amp;
IF($M13&lt;&gt;"","Stops (in order) "&amp;CHAR(10)&amp;$M13&amp;CHAR(10)&amp;CHAR(10),"")&amp;
IF($N13&lt;&gt;"","To-Do (hard requirements) "&amp;CHAR(10)&amp;$N13&amp;CHAR(10)&amp;CHAR(10),"")&amp;
IF($O13&lt;&gt;"","Suggested Timeline "&amp;CHAR(10)&amp;$O13&amp;CHAR(10)&amp;CHAR(10),"")&amp;
IF($P13&lt;&gt;"","Guardrails "&amp;CHAR(10)&amp;$P13&amp;CHAR(10)&amp;CHAR(10),"")&amp;
IF($Q13&lt;&gt;"","Completion signals "&amp;CHAR(10)&amp;$Q13,"")</f>
        <v/>
      </c>
      <c r="S13" s="25" t="n"/>
      <c r="T13" s="25" t="n"/>
      <c r="U13" s="54" t="n"/>
      <c r="V13" s="54">
        <f>IF($B13="","",IF(_xludf.TEXTJOIN(" | ",TRUE,IF($B13="","Missing Title",""),IF($C13="","Missing Date",""),IF($D13="","Missing Start",""),IF($E13="","Missing End",""),IF($G13="","Missing Required Attendees",""),IF($T13="","Missing Status",""),IF(AND($D13&lt;&gt;"",$E13&lt;&gt;"",$D13&gt;=$E13),"Start&gt;=End",""),IF(OR($R13="",LEN($R13)&lt;60,ISNUMBER(MATCH(TRIM($R13),StatusList,0))),"Body overwritten/short",""))="","OK",_xludf.TEXTJOIN(" | ",TRUE,IF($B13="","Missing Title",""),IF($C13="","Missing Date",""),IF($D13="","Missing Start",""),IF($E13="","Missing End",""),IF($G13="","Missing Required Attendees",""),IF($T13="","Missing Status",""),IF(AND($D13&lt;&gt;"",$E13&lt;&gt;"",$D13&gt;=$E13),"Start&gt;=End",""),IF(OR($R13="",LEN($R13)&lt;60,ISNUMBER(MATCH(TRIM($R13),StatusList,0))),"Body overwritten/short",""))))</f>
        <v/>
      </c>
    </row>
    <row r="14" ht="15" customHeight="1">
      <c r="A14" s="12">
        <f>IF(AND($B14&lt;&gt;"",$C14&lt;&gt;"",$D14&lt;&gt;"",$E14&lt;&gt;"",$G14&lt;&gt;""),
UPPER(
LEFT(TRIM(LEFT($G14,IFERROR(FIND(";",$G14)-1,999))),1)&amp;
IFERROR(
MID(TRIM(LEFT($G14,IFERROR(FIND(";",$G14)-1,999))),
FIND(" ",TRIM(LEFT($G14,IFERROR(FIND(";",$G14)-1,999))))+1,1),
MID(TRIM(LEFT($G14,IFERROR(FIND(";",$G14)-1,999))),2,1)
)
)&amp;"-"&amp;TEXT($C14,"yyyy-mm-dd"),
"")</f>
        <v/>
      </c>
      <c r="B14" s="25" t="inlineStr">
        <is>
          <t>LIJVS — Device Integration Install/Testing (W2)</t>
        </is>
      </c>
      <c r="C14" s="73" t="n">
        <v>46062</v>
      </c>
      <c r="D14" s="77" t="n"/>
      <c r="E14" s="77" t="n"/>
      <c r="F14" s="25" t="inlineStr">
        <is>
          <t>Local</t>
        </is>
      </c>
      <c r="G14" s="25" t="inlineStr">
        <is>
          <t>Khadejah Harrison; Marvin Tate</t>
        </is>
      </c>
      <c r="H14" s="25" t="inlineStr">
        <is>
          <t>Richard Perez; Tim Seeberger</t>
        </is>
      </c>
      <c r="I14" s="25" t="inlineStr">
        <is>
          <t>LIJ Valley Stream</t>
        </is>
      </c>
      <c r="J14" s="25" t="inlineStr">
        <is>
          <t>Busy</t>
        </is>
      </c>
      <c r="K14" s="25" t="n">
        <v>15</v>
      </c>
      <c r="L14" s="25" t="inlineStr">
        <is>
          <t>Device Integration install/testing. Standard deployment kit applies. Endo MX550 requires MIB card (confirm qty).</t>
        </is>
      </c>
      <c r="M14" s="25" t="n"/>
      <c r="N14" s="25" t="n"/>
      <c r="O14" s="25" t="n"/>
      <c r="P14" s="25" t="n"/>
      <c r="Q14" s="25" t="n"/>
      <c r="R14" s="16">
        <f>IF($L14&lt;&gt;"","Purpose "&amp;CHAR(10)&amp;$L14&amp;CHAR(10)&amp;CHAR(10),"")&amp;
IF($M14&lt;&gt;"","Stops (in order) "&amp;CHAR(10)&amp;$M14&amp;CHAR(10)&amp;CHAR(10),"")&amp;
IF($N14&lt;&gt;"","To-Do (hard requirements) "&amp;CHAR(10)&amp;$N14&amp;CHAR(10)&amp;CHAR(10),"")&amp;
IF($O14&lt;&gt;"","Suggested Timeline "&amp;CHAR(10)&amp;$O14&amp;CHAR(10)&amp;CHAR(10),"")&amp;
IF($P14&lt;&gt;"","Guardrails "&amp;CHAR(10)&amp;$P14&amp;CHAR(10)&amp;CHAR(10),"")&amp;
IF($Q14&lt;&gt;"","Completion signals "&amp;CHAR(10)&amp;$Q14,"")</f>
        <v/>
      </c>
      <c r="S14" s="25" t="n"/>
      <c r="T14" s="25" t="n"/>
      <c r="U14" s="54" t="n"/>
      <c r="V14" s="54">
        <f>IF($B14="","",IF(_xludf.TEXTJOIN(" | ",TRUE,IF($B14="","Missing Title",""),IF($C14="","Missing Date",""),IF($D14="","Missing Start",""),IF($E14="","Missing End",""),IF($G14="","Missing Required Attendees",""),IF($T14="","Missing Status",""),IF(AND($D14&lt;&gt;"",$E14&lt;&gt;"",$D14&gt;=$E14),"Start&gt;=End",""),IF(OR($R14="",LEN($R14)&lt;60,ISNUMBER(MATCH(TRIM($R14),StatusList,0))),"Body overwritten/short",""))="","OK",_xludf.TEXTJOIN(" | ",TRUE,IF($B14="","Missing Title",""),IF($C14="","Missing Date",""),IF($D14="","Missing Start",""),IF($E14="","Missing End",""),IF($G14="","Missing Required Attendees",""),IF($T14="","Missing Status",""),IF(AND($D14&lt;&gt;"",$E14&lt;&gt;"",$D14&gt;=$E14),"Start&gt;=End",""),IF(OR($R14="",LEN($R14)&lt;60,ISNUMBER(MATCH(TRIM($R14),StatusList,0))),"Body overwritten/short",""))))</f>
        <v/>
      </c>
    </row>
    <row r="15" ht="15" customHeight="1">
      <c r="A15" s="12">
        <f>IF(AND($B15&lt;&gt;"",$C15&lt;&gt;"",$D15&lt;&gt;"",$E15&lt;&gt;"",$G15&lt;&gt;""),
UPPER(
LEFT(TRIM(LEFT($G15,IFERROR(FIND(";",$G15)-1,999))),1)&amp;
IFERROR(
MID(TRIM(LEFT($G15,IFERROR(FIND(";",$G15)-1,999))),
FIND(" ",TRIM(LEFT($G15,IFERROR(FIND(";",$G15)-1,999))))+1,1),
MID(TRIM(LEFT($G15,IFERROR(FIND(";",$G15)-1,999))),2,1)
)
)&amp;"-"&amp;TEXT($C15,"yyyy-mm-dd"),
"")</f>
        <v/>
      </c>
      <c r="B15" s="25" t="inlineStr">
        <is>
          <t>CCMC — Cybernet Deployment + iPro + OU Config (14 units) — ONE location</t>
        </is>
      </c>
      <c r="C15" s="73" t="n">
        <v>46067</v>
      </c>
      <c r="D15" s="77" t="n">
        <v>0.3333333333333333</v>
      </c>
      <c r="E15" s="77" t="n">
        <v>0.75</v>
      </c>
      <c r="F15" s="25" t="inlineStr">
        <is>
          <t>Local</t>
        </is>
      </c>
      <c r="G15" s="25" t="inlineStr">
        <is>
          <t>Alejandro Perales; Chris Cummings; Nicholas Valentin</t>
        </is>
      </c>
      <c r="H15" s="25" t="inlineStr">
        <is>
          <t>Rich Perez; Tim Seeberger</t>
        </is>
      </c>
      <c r="I15" s="25" t="inlineStr">
        <is>
          <t>CCMC</t>
        </is>
      </c>
      <c r="J15" s="25" t="inlineStr">
        <is>
          <t>Busy</t>
        </is>
      </c>
      <c r="K15" s="25" t="n">
        <v>15</v>
      </c>
      <c r="L15" s="25" t="inlineStr">
        <is>
          <t>Deploy 14 Cybernets at CCMC (ONE location) with GCX arms + peripherals; complete iPro installs and OU/group alignment.</t>
        </is>
      </c>
      <c r="M15" s="25" t="inlineStr">
        <is>
          <t>1) Stage 14 Cybernets + peripherals + GCX arms  2) Confirm ONE location with site POC  3) Remove/replace legacy PCs as needed  4) Install GCX arms + mount Cybernets  5) Install iPro  6) Apply OU/group alignment  7) Validate badge + barcode + connectivity  8) Label/cable-manage  9) Clean-up + prep disposal pile</t>
        </is>
      </c>
      <c r="N15" s="26" t="inlineStr">
        <is>
          <t>• 14 Anesthesia Machines Upgraded with New Cybernets &amp; Peripherals
• 14 Anesthesia Machine Deployments Documented in the tracker
• Clarify the disposal path with Tim (1 Marcus until they give us permission to discard or allocate somewhere)</t>
        </is>
      </c>
      <c r="O15" s="25" t="n"/>
      <c r="P15" s="25" t="inlineStr">
        <is>
          <t>• Activate PA Creds ahead of deployment</t>
        </is>
      </c>
      <c r="Q15" s="25" t="inlineStr">
        <is>
          <t>Devices Documented and Tested</t>
        </is>
      </c>
      <c r="R15" s="16">
        <f>IF($L15&lt;&gt;"","Purpose "&amp;CHAR(10)&amp;$L15&amp;CHAR(10)&amp;CHAR(10),"")&amp;
IF($M15&lt;&gt;"","Stops (in order) "&amp;CHAR(10)&amp;$M15&amp;CHAR(10)&amp;CHAR(10),"")&amp;
IF($N15&lt;&gt;"","To-Do (hard requirements) "&amp;CHAR(10)&amp;$N15&amp;CHAR(10)&amp;CHAR(10),"")&amp;
IF($O15&lt;&gt;"","Suggested Timeline "&amp;CHAR(10)&amp;$O15&amp;CHAR(10)&amp;CHAR(10),"")&amp;
IF($P15&lt;&gt;"","Guardrails "&amp;CHAR(10)&amp;$P15&amp;CHAR(10)&amp;CHAR(10),"")&amp;
IF($Q15&lt;&gt;"","Completion signals "&amp;CHAR(10)&amp;$Q15,"")</f>
        <v/>
      </c>
      <c r="S15" s="25" t="n"/>
      <c r="T15" s="25" t="n"/>
      <c r="U15" s="54" t="n"/>
      <c r="V15" s="54">
        <f>IF($B15="","",IF(_xludf.TEXTJOIN(" | ",TRUE,IF($B15="","Missing Title",""),IF($C15="","Missing Date",""),IF($D15="","Missing Start",""),IF($E15="","Missing End",""),IF($G15="","Missing Required Attendees",""),IF($T15="","Missing Status",""),IF(AND($D15&lt;&gt;"",$E15&lt;&gt;"",$D15&gt;=$E15),"Start&gt;=End",""),IF(OR($R15="",LEN($R15)&lt;60,ISNUMBER(MATCH(TRIM($R15),StatusList,0))),"Body overwritten/short",""))="","OK",_xludf.TEXTJOIN(" | ",TRUE,IF($B15="","Missing Title",""),IF($C15="","Missing Date",""),IF($D15="","Missing Start",""),IF($E15="","Missing End",""),IF($G15="","Missing Required Attendees",""),IF($T15="","Missing Status",""),IF(AND($D15&lt;&gt;"",$E15&lt;&gt;"",$D15&gt;=$E15),"Start&gt;=End",""),IF(OR($R15="",LEN($R15)&lt;60,ISNUMBER(MATCH(TRIM($R15),StatusList,0))),"Body overwritten/short",""))))</f>
        <v/>
      </c>
    </row>
    <row r="16" ht="15" customHeight="1">
      <c r="A16" s="12">
        <f>IF(AND($B16&lt;&gt;"",$C16&lt;&gt;"",$D16&lt;&gt;"",$E16&lt;&gt;"",$G16&lt;&gt;""),
UPPER(
LEFT(TRIM(LEFT($G16,IFERROR(FIND(";",$G16)-1,999))),1)&amp;
IFERROR(
MID(TRIM(LEFT($G16,IFERROR(FIND(";",$G16)-1,999))),
FIND(" ",TRIM(LEFT($G16,IFERROR(FIND(";",$G16)-1,999))))+1,1),
MID(TRIM(LEFT($G16,IFERROR(FIND(";",$G16)-1,999))),2,1)
)
)&amp;"-"&amp;TEXT($C16,"yyyy-mm-dd"),
"")</f>
        <v/>
      </c>
      <c r="B16" s="25" t="inlineStr">
        <is>
          <t>CCMC — HQ → Site Delivery (14 Cybernets + Peripherals) — Marvin</t>
        </is>
      </c>
      <c r="C16" s="73" t="n">
        <v>46066</v>
      </c>
      <c r="D16" s="77" t="n">
        <v>0.5</v>
      </c>
      <c r="E16" s="77" t="n">
        <v>0.6666666666666666</v>
      </c>
      <c r="F16" s="25" t="inlineStr">
        <is>
          <t>Local</t>
        </is>
      </c>
      <c r="G16" s="25" t="inlineStr">
        <is>
          <t>Marvin Tate</t>
        </is>
      </c>
      <c r="H16" s="25" t="inlineStr">
        <is>
          <t>Richard Perez</t>
        </is>
      </c>
      <c r="I16" s="25" t="inlineStr">
        <is>
          <t>HQ → CCMC</t>
        </is>
      </c>
      <c r="J16" s="25" t="inlineStr">
        <is>
          <t>Busy</t>
        </is>
      </c>
      <c r="K16" s="25" t="n">
        <v>15</v>
      </c>
      <c r="L16" s="25" t="inlineStr">
        <is>
          <t>Deliver 13 Cybernets + peripherals from HQ to CCMC. Confirm staging location and handoff POC on arrival.</t>
        </is>
      </c>
      <c r="M16" s="25" t="n"/>
      <c r="N16" s="25" t="inlineStr">
        <is>
          <t>Confirm vehicle/transport; confirm receiving contact; confirm inventory count (14).</t>
        </is>
      </c>
      <c r="O16" s="25" t="n"/>
      <c r="P16" s="25" t="n"/>
      <c r="Q16" s="25" t="n"/>
      <c r="R16" s="16">
        <f>IF($L16&lt;&gt;"","Purpose "&amp;CHAR(10)&amp;$L16&amp;CHAR(10)&amp;CHAR(10),"")&amp;
IF($M16&lt;&gt;"","Stops (in order) "&amp;CHAR(10)&amp;$M16&amp;CHAR(10)&amp;CHAR(10),"")&amp;
IF($N16&lt;&gt;"","To-Do (hard requirements) "&amp;CHAR(10)&amp;$N16&amp;CHAR(10)&amp;CHAR(10),"")&amp;
IF($O16&lt;&gt;"","Suggested Timeline "&amp;CHAR(10)&amp;$O16&amp;CHAR(10)&amp;CHAR(10),"")&amp;
IF($P16&lt;&gt;"","Guardrails "&amp;CHAR(10)&amp;$P16&amp;CHAR(10)&amp;CHAR(10),"")&amp;
IF($Q16&lt;&gt;"","Completion signals "&amp;CHAR(10)&amp;$Q16,"")</f>
        <v/>
      </c>
      <c r="S16" s="25" t="n"/>
      <c r="T16" s="25" t="n"/>
      <c r="U16" s="54" t="n"/>
      <c r="V16" s="54">
        <f>IF($B16="","",IF(_xludf.TEXTJOIN(" | ",TRUE,IF($B16="","Missing Title",""),IF($C16="","Missing Date",""),IF($D16="","Missing Start",""),IF($E16="","Missing End",""),IF($G16="","Missing Required Attendees",""),IF($T16="","Missing Status",""),IF(AND($D16&lt;&gt;"",$E16&lt;&gt;"",$D16&gt;=$E16),"Start&gt;=End",""),IF(OR($R16="",LEN($R16)&lt;60,ISNUMBER(MATCH(TRIM($R16),StatusList,0))),"Body overwritten/short",""))="","OK",_xludf.TEXTJOIN(" | ",TRUE,IF($B16="","Missing Title",""),IF($C16="","Missing Date",""),IF($D16="","Missing Start",""),IF($E16="","Missing End",""),IF($G16="","Missing Required Attendees",""),IF($T16="","Missing Status",""),IF(AND($D16&lt;&gt;"",$E16&lt;&gt;"",$D16&gt;=$E16),"Start&gt;=End",""),IF(OR($R16="",LEN($R16)&lt;60,ISNUMBER(MATCH(TRIM($R16),StatusList,0))),"Body overwritten/short",""))))</f>
        <v/>
      </c>
    </row>
    <row r="17" ht="15" customHeight="1">
      <c r="A17" s="12">
        <f>IF(AND($B17&lt;&gt;"",$C17&lt;&gt;"",$D17&lt;&gt;"",$E17&lt;&gt;"",$G17&lt;&gt;""),
UPPER(
LEFT(TRIM(LEFT($G17,IFERROR(FIND(";",$G17)-1,999))),1)&amp;
IFERROR(
MID(TRIM(LEFT($G17,IFERROR(FIND(";",$G17)-1,999))),
FIND(" ",TRIM(LEFT($G17,IFERROR(FIND(";",$G17)-1,999))))+1,1),
MID(TRIM(LEFT($G17,IFERROR(FIND(";",$G17)-1,999))),2,1)
)
)&amp;"-"&amp;TEXT($C17,"yyyy-mm-dd"),
"")</f>
        <v/>
      </c>
      <c r="B17" s="25" t="inlineStr">
        <is>
          <t>CCMC — Site Disposal (Post-Deployment) — Marvin Lead</t>
        </is>
      </c>
      <c r="C17" s="80" t="n">
        <v>46067</v>
      </c>
      <c r="D17" s="77" t="n">
        <v>0.5833333333333334</v>
      </c>
      <c r="E17" s="77" t="n">
        <v>0.75</v>
      </c>
      <c r="F17" s="25" t="inlineStr">
        <is>
          <t>Local</t>
        </is>
      </c>
      <c r="G17" s="25" t="inlineStr">
        <is>
          <t>Marvin Tate</t>
        </is>
      </c>
      <c r="H17" s="25" t="inlineStr">
        <is>
          <t>Rich Perez; Tim Seeberger</t>
        </is>
      </c>
      <c r="I17" s="25" t="inlineStr">
        <is>
          <t>CCMC</t>
        </is>
      </c>
      <c r="J17" s="25" t="inlineStr">
        <is>
          <t>Busy</t>
        </is>
      </c>
      <c r="K17" s="25" t="n">
        <v>15</v>
      </c>
      <c r="L17" s="25" t="inlineStr">
        <is>
          <t>Dispose of all deployment-related materials at CCMC: existing PCs, existing PC arms, and all boxes/trash from newly deployed equipment.</t>
        </is>
      </c>
      <c r="M17" s="25" t="inlineStr">
        <is>
          <t>1) Identify disposal area + confirm with site POC  2) Remove existing PCs  3) Remove existing arms  4) Consolidate all boxes/trash from new gear  5) Dispose per site process  6) Confirm area left clean + take quick photo evidence (optional)</t>
        </is>
      </c>
      <c r="N17" s="26" t="inlineStr">
        <is>
          <t>• All Extras and Scraps removed from CCMC
• Clarify where to move the stock with Tim (1 Marcus until they give us permission to discard or allocate somewhere)</t>
        </is>
      </c>
      <c r="O17" s="25" t="n"/>
      <c r="P17" s="25" t="inlineStr">
        <is>
          <t>• Activate PA Creds ahead of deployment</t>
        </is>
      </c>
      <c r="Q17" s="25" t="inlineStr">
        <is>
          <t>Photograph Clean Deployment Areas</t>
        </is>
      </c>
      <c r="R17" s="16">
        <f>IF($L17&lt;&gt;"","Purpose "&amp;CHAR(10)&amp;$L17&amp;CHAR(10)&amp;CHAR(10),"")&amp;
IF($M17&lt;&gt;"","Stops (in order) "&amp;CHAR(10)&amp;$M17&amp;CHAR(10)&amp;CHAR(10),"")&amp;
IF($N17&lt;&gt;"","To-Do (hard requirements) "&amp;CHAR(10)&amp;$N17&amp;CHAR(10)&amp;CHAR(10),"")&amp;
IF($O17&lt;&gt;"","Suggested Timeline "&amp;CHAR(10)&amp;$O17&amp;CHAR(10)&amp;CHAR(10),"")&amp;
IF($P17&lt;&gt;"","Guardrails "&amp;CHAR(10)&amp;$P17&amp;CHAR(10)&amp;CHAR(10),"")&amp;
IF($Q17&lt;&gt;"","Completion signals "&amp;CHAR(10)&amp;$Q17,"")</f>
        <v/>
      </c>
      <c r="S17" s="25" t="n"/>
      <c r="T17" s="25" t="n"/>
      <c r="U17" s="54" t="n"/>
      <c r="V17" s="54">
        <f>IF($B17="","",IF(_xludf.TEXTJOIN(" | ",TRUE,IF($B17="","Missing Title",""),IF($C17="","Missing Date",""),IF($D17="","Missing Start",""),IF($E17="","Missing End",""),IF($G17="","Missing Required Attendees",""),IF($T17="","Missing Status",""),IF(AND($D17&lt;&gt;"",$E17&lt;&gt;"",$D17&gt;=$E17),"Start&gt;=End",""),IF(OR($R17="",LEN($R17)&lt;60,ISNUMBER(MATCH(TRIM($R17),StatusList,0))),"Body overwritten/short",""))="","OK",_xludf.TEXTJOIN(" | ",TRUE,IF($B17="","Missing Title",""),IF($C17="","Missing Date",""),IF($D17="","Missing Start",""),IF($E17="","Missing End",""),IF($G17="","Missing Required Attendees",""),IF($T17="","Missing Status",""),IF(AND($D17&lt;&gt;"",$E17&lt;&gt;"",$D17&gt;=$E17),"Start&gt;=End",""),IF(OR($R17="",LEN($R17)&lt;60,ISNUMBER(MATCH(TRIM($R17),StatusList,0))),"Body overwritten/short",""))))</f>
        <v/>
      </c>
    </row>
    <row r="18" ht="15" customHeight="1">
      <c r="A18" s="12">
        <f>IF(AND($B18&lt;&gt;"",$C18&lt;&gt;"",$D18&lt;&gt;"",$E18&lt;&gt;"",$G18&lt;&gt;""),
UPPER(
LEFT(TRIM(LEFT($G18,IFERROR(FIND(";",$G18)-1,999))),1)&amp;
IFERROR(
MID(TRIM(LEFT($G18,IFERROR(FIND(";",$G18)-1,999))),
FIND(" ",TRIM(LEFT($G18,IFERROR(FIND(";",$G18)-1,999))))+1,1),
MID(TRIM(LEFT($G18,IFERROR(FIND(";",$G18)-1,999))),2,1)
)
)&amp;"-"&amp;TEXT($C18,"yyyy-mm-dd"),
"")</f>
        <v/>
      </c>
      <c r="B18" s="25" t="inlineStr">
        <is>
          <t>LIJ ORs - Cybernet + GCX Arm Deployment (Day 1 of 2)</t>
        </is>
      </c>
      <c r="C18" s="80" t="n">
        <v>46074</v>
      </c>
      <c r="D18" s="77" t="n">
        <v>0.3333333333333333</v>
      </c>
      <c r="E18" s="77" t="n">
        <v>0.75</v>
      </c>
      <c r="F18" s="25" t="inlineStr">
        <is>
          <t>Local</t>
        </is>
      </c>
      <c r="G18" s="25" t="inlineStr">
        <is>
          <t>Alejandro Perales; Patricia Marrero; Valentyn Nykoliuk; Marvin Tate</t>
        </is>
      </c>
      <c r="H18" s="25" t="inlineStr">
        <is>
          <t>Rich Perez; Tim Seeberger</t>
        </is>
      </c>
      <c r="I18" s="25" t="inlineStr">
        <is>
          <t>LIJ Main - OR Suite</t>
        </is>
      </c>
      <c r="J18" s="25" t="inlineStr">
        <is>
          <t>Busy</t>
        </is>
      </c>
      <c r="K18" s="25" t="n">
        <v>15</v>
      </c>
      <c r="L18" s="25" t="inlineStr">
        <is>
          <t>Deploy/validate LIJ ORs (weekend block; 29 devices total across 2 days). FIRST ACTION: activate PA creds for all techs before deployments. Install Cybernet + GCX arms + peripherals (mouse, keyboard, badge reader, barcode scanner). Update trackers live as we go; log exceptions in real time.</t>
        </is>
      </c>
      <c r="M18" s="25" t="inlineStr">
        <is>
          <t>1) 08:00 kickoff + scope confirmation 2) PA creds activation (everyone) + quick verification 3) Stage carts/devices + verify ready state 4) ORs first: deploy + mount + cable-manage 5) Validate badge/barcode/connectivity per device 6) Update trackers continuously + log exceptions + owners 7) 17:30 final sweep + handoff notes</t>
        </is>
      </c>
      <c r="N18" s="25" t="inlineStr">
        <is>
          <t>Bring standard baseline stock: disposal supplies, cabling/labeling, Cybernets, keyboard/mouse, badge reader test, barcode scanner test, 25-ft Cat6, breakaway adapter, GCX arm parts; PA creds must be activated/working before deployment starts; tracker access confirmed.</t>
        </is>
      </c>
      <c r="O18" s="25" t="inlineStr">
        <is>
          <t>08:00 kickoff; 08:10 PA creds activation; 08:20 staging; 09:00 deployments rolling; 16:30 start final sweep; 17:30 handoff notes; 18:00 wrap</t>
        </is>
      </c>
      <c r="P18" s="25" t="inlineStr">
        <is>
          <t>No scope creep; protect clinical areas; minimal footprint; escalate access/permissions blockers immediately; update trackers as work is performed (not later); document every exception with owner + next step.</t>
        </is>
      </c>
      <c r="Q18" s="25" t="inlineStr">
        <is>
          <t>PA creds active for all techs; assigned devices deployed + validated; tracker reflects reality throughout the day; exceptions logged with owner/next step; same-day handoff notes sent.</t>
        </is>
      </c>
      <c r="R18" s="16">
        <f>IF($L18&lt;&gt;"","Purpose "&amp;CHAR(10)&amp;$L18&amp;CHAR(10)&amp;CHAR(10),"")&amp;
IF($M18&lt;&gt;"","Stops (in order) "&amp;CHAR(10)&amp;$M18&amp;CHAR(10)&amp;CHAR(10),"")&amp;
IF($N18&lt;&gt;"","To-Do (hard requirements) "&amp;CHAR(10)&amp;$N18&amp;CHAR(10)&amp;CHAR(10),"")&amp;
IF($O18&lt;&gt;"","Suggested Timeline "&amp;CHAR(10)&amp;$O18&amp;CHAR(10)&amp;CHAR(10),"")&amp;
IF($P18&lt;&gt;"","Guardrails "&amp;CHAR(10)&amp;$P18&amp;CHAR(10)&amp;CHAR(10),"")&amp;
IF($Q18&lt;&gt;"","Completion signals "&amp;CHAR(10)&amp;$Q18,"")</f>
        <v/>
      </c>
      <c r="S18" s="25" t="n"/>
      <c r="T18" s="25" t="n"/>
      <c r="U18" s="54" t="n"/>
      <c r="V18" s="54">
        <f>IF($B18="","",IF(_xludf.TEXTJOIN(" | ",TRUE,IF($B18="","Missing Title",""),IF($C18="","Missing Date",""),IF($D18="","Missing Start",""),IF($E18="","Missing End",""),IF($G18="","Missing Required Attendees",""),IF($T18="","Missing Status",""),IF(AND($D18&lt;&gt;"",$E18&lt;&gt;"",$D18&gt;=$E18),"Start&gt;=End",""),IF(OR($R18="",LEN($R18)&lt;60,ISNUMBER(MATCH(TRIM($R18),StatusList,0))),"Body overwritten/short",""))="","OK",_xludf.TEXTJOIN(" | ",TRUE,IF($B18="","Missing Title",""),IF($C18="","Missing Date",""),IF($D18="","Missing Start",""),IF($E18="","Missing End",""),IF($G18="","Missing Required Attendees",""),IF($T18="","Missing Status",""),IF(AND($D18&lt;&gt;"",$E18&lt;&gt;"",$D18&gt;=$E18),"Start&gt;=End",""),IF(OR($R18="",LEN($R18)&lt;60,ISNUMBER(MATCH(TRIM($R18),StatusList,0))),"Body overwritten/short",""))))</f>
        <v/>
      </c>
    </row>
    <row r="19" ht="15" customHeight="1">
      <c r="A19" s="12">
        <f>IF(AND($B19&lt;&gt;"",$C19&lt;&gt;"",$D19&lt;&gt;"",$E19&lt;&gt;"",$G19&lt;&gt;""),
UPPER(
LEFT(TRIM(LEFT($G19,IFERROR(FIND(";",$G19)-1,999))),1)&amp;
IFERROR(
MID(TRIM(LEFT($G19,IFERROR(FIND(";",$G19)-1,999))),
FIND(" ",TRIM(LEFT($G19,IFERROR(FIND(";",$G19)-1,999))))+1,1),
MID(TRIM(LEFT($G19,IFERROR(FIND(";",$G19)-1,999))),2,1)
)
)&amp;"-"&amp;TEXT($C19,"yyyy-mm-dd"),
"")</f>
        <v/>
      </c>
      <c r="B19" s="25" t="inlineStr">
        <is>
          <t>LIJ ORs - Cybernet + GCX Arm Deployment (Day 2 of 2)</t>
        </is>
      </c>
      <c r="C19" s="80" t="n">
        <v>46075</v>
      </c>
      <c r="D19" s="77" t="n">
        <v>0.3333333333333333</v>
      </c>
      <c r="E19" s="77" t="n">
        <v>0.75</v>
      </c>
      <c r="F19" s="25" t="inlineStr">
        <is>
          <t>Local</t>
        </is>
      </c>
      <c r="G19" s="25" t="inlineStr">
        <is>
          <t>Alejandro Perales; Chris Cummings; Patricia Marrero; Delroy Harris; Valentyn Nykoliuk</t>
        </is>
      </c>
      <c r="H19" s="25" t="inlineStr">
        <is>
          <t>Rich Perez; Tim Seeberger</t>
        </is>
      </c>
      <c r="I19" s="25" t="inlineStr">
        <is>
          <t>LIJ Main - OR Suite</t>
        </is>
      </c>
      <c r="J19" s="25" t="inlineStr">
        <is>
          <t>Busy</t>
        </is>
      </c>
      <c r="K19" s="25" t="n">
        <v>15</v>
      </c>
      <c r="L19" s="25" t="inlineStr">
        <is>
          <t>Continue LIJ ORs deployment/testing. FIRST ACTION: confirm PA creds still working (or re-activate if needed). Same standards: GCX arms + peripherals installed; validate badge/barcode/connectivity; trackers stay live; close out open issues from Day 1.</t>
        </is>
      </c>
      <c r="M19" s="25" t="inlineStr">
        <is>
          <t>1) 08:00 kickoff + review Day 1 exceptions 2) Confirm PA creds active + quick verification 3) Stage remaining devices/parts 4) Complete remaining ORs first 5) Re-test any problem rooms 6) Update trackers continuously + resolve/escalate exceptions 7) Consolidate disposal pile + label clearly 8) 17:30 final sweep + handoff notes</t>
        </is>
      </c>
      <c r="N19" s="25" t="inlineStr">
        <is>
          <t>Zero “we’ll fix it later” devices left in service. PA creds verified before work begins. Any blocker gets an owner + next action logged before wrap. Tracker stays current throughout execution.</t>
        </is>
      </c>
      <c r="O19" s="25" t="inlineStr">
        <is>
          <t>08:00 kickoff; 08:10 PA creds verification; 08:20 staging; 09:00 deployments rolling; 15:30 begin closeout/retests; 17:30 handoff notes; 18:00 wrap</t>
        </is>
      </c>
      <c r="P19" s="25" t="inlineStr">
        <is>
          <t>No improvising changes; keep OR sequence disciplined; escalate access/port issues immediately; keep cabling clean and standardized; update trackers as we go so status is always current.</t>
        </is>
      </c>
      <c r="Q19" s="25" t="inlineStr">
        <is>
          <t>PA creds verified; all remaining assigned devices deployed + validated; Day 1 issues resolved or owned; tracker current; closeout notes sent.</t>
        </is>
      </c>
      <c r="R19" s="16">
        <f>IF($L19&lt;&gt;"","Purpose "&amp;CHAR(10)&amp;$L19&amp;CHAR(10)&amp;CHAR(10),"")&amp;
IF($M19&lt;&gt;"","Stops (in order) "&amp;CHAR(10)&amp;$M19&amp;CHAR(10)&amp;CHAR(10),"")&amp;
IF($N19&lt;&gt;"","To-Do (hard requirements) "&amp;CHAR(10)&amp;$N19&amp;CHAR(10)&amp;CHAR(10),"")&amp;
IF($O19&lt;&gt;"","Suggested Timeline "&amp;CHAR(10)&amp;$O19&amp;CHAR(10)&amp;CHAR(10),"")&amp;
IF($P19&lt;&gt;"","Guardrails "&amp;CHAR(10)&amp;$P19&amp;CHAR(10)&amp;CHAR(10),"")&amp;
IF($Q19&lt;&gt;"","Completion signals "&amp;CHAR(10)&amp;$Q19,"")</f>
        <v/>
      </c>
      <c r="S19" s="25" t="n"/>
      <c r="T19" s="25" t="n"/>
      <c r="U19" s="54" t="n"/>
      <c r="V19" s="54">
        <f>IF($B19="","",IF(_xludf.TEXTJOIN(" | ",TRUE,IF($B19="","Missing Title",""),IF($C19="","Missing Date",""),IF($D19="","Missing Start",""),IF($E19="","Missing End",""),IF($G19="","Missing Required Attendees",""),IF($T19="","Missing Status",""),IF(AND($D19&lt;&gt;"",$E19&lt;&gt;"",$D19&gt;=$E19),"Start&gt;=End",""),IF(OR($R19="",LEN($R19)&lt;60,ISNUMBER(MATCH(TRIM($R19),StatusList,0))),"Body overwritten/short",""))="","OK",_xludf.TEXTJOIN(" | ",TRUE,IF($B19="","Missing Title",""),IF($C19="","Missing Date",""),IF($D19="","Missing Start",""),IF($E19="","Missing End",""),IF($G19="","Missing Required Attendees",""),IF($T19="","Missing Status",""),IF(AND($D19&lt;&gt;"",$E19&lt;&gt;"",$D19&gt;=$E19),"Start&gt;=End",""),IF(OR($R19="",LEN($R19)&lt;60,ISNUMBER(MATCH(TRIM($R19),StatusList,0))),"Body overwritten/short",""))))</f>
        <v/>
      </c>
    </row>
    <row r="20" ht="15" customHeight="1">
      <c r="A20" s="12">
        <f>IF(AND($B20&lt;&gt;"",$C20&lt;&gt;"",$D20&lt;&gt;"",$E20&lt;&gt;"",$G20&lt;&gt;""),
UPPER(
LEFT(TRIM(LEFT($G20,IFERROR(FIND(";",$G20)-1,999))),1)&amp;
IFERROR(
MID(TRIM(LEFT($G20,IFERROR(FIND(";",$G20)-1,999))),
FIND(" ",TRIM(LEFT($G20,IFERROR(FIND(";",$G20)-1,999))))+1,1),
MID(TRIM(LEFT($G20,IFERROR(FIND(";",$G20)-1,999))),2,1)
)
)&amp;"-"&amp;TEXT($C20,"yyyy-mm-dd"),
"")</f>
        <v/>
      </c>
      <c r="B20" s="25" t="inlineStr">
        <is>
          <t>LIJ - Deployment Kit Delivery + Staging (Day 1 of 2)</t>
        </is>
      </c>
      <c r="C20" s="80" t="n">
        <v>46079</v>
      </c>
      <c r="D20" s="77" t="n">
        <v>0.375</v>
      </c>
      <c r="E20" s="77" t="n">
        <v>0.7083333333333334</v>
      </c>
      <c r="F20" s="25" t="inlineStr">
        <is>
          <t>Local</t>
        </is>
      </c>
      <c r="G20" s="25" t="inlineStr">
        <is>
          <t>Deployment Delivery; Marvin Tate; Alejandro Perales</t>
        </is>
      </c>
      <c r="H20" s="25" t="inlineStr">
        <is>
          <t>Rich Perez; Tim Seeberger</t>
        </is>
      </c>
      <c r="I20" s="25" t="inlineStr">
        <is>
          <t>LIJ Main - Procedural Areas + Annex</t>
        </is>
      </c>
      <c r="J20" s="25" t="inlineStr">
        <is>
          <t>Busy</t>
        </is>
      </c>
      <c r="K20" s="25" t="n">
        <v>15</v>
      </c>
      <c r="L20" s="25" t="inlineStr">
        <is>
          <t>Deliver and stage everything needed for the weekend deployment (13 procedural devices + 3 annex). Confirm counts, label/stage by area, and clear access blockers early.</t>
        </is>
      </c>
      <c r="M20" s="25" t="inlineStr">
        <is>
          <t>1) Pickup/pack check (kits, peripherals, labels) 2) Transport to LIJ 3) Stage procedural-area kits (13) 4) Stage annex kits (3) 5) Verify inventory against picklist 6) Identify + log blockers (missing parts, access, storage) 7) End-of-day handoff notes</t>
        </is>
      </c>
      <c r="N20" s="25" t="inlineStr">
        <is>
          <t>All deployment kits (devices, arms, cables/peripherals), printed picklists, labels/tape, carts, access/keys, storage/staging space confirmed, tracker updated in real time.</t>
        </is>
      </c>
      <c r="O20" s="25" t="inlineStr">
        <is>
          <t>09:00 kickoff + loadout; 10:30 arrive LIJ + staging begins; 12:30 inventory checkpoint; 15:30 re-check counts + label sweep; 16:45 handoff notes + blocker escalation; 17:00 wrap.</t>
        </is>
      </c>
      <c r="P20" s="25" t="inlineStr">
        <is>
          <t>No surprises on Saturday: if something is missing or access is blocked, escalate same day. Keep procedural vs annex kits separated and labeled. Update tracker as you go.</t>
        </is>
      </c>
      <c r="Q20" s="25" t="inlineStr">
        <is>
          <t>All items delivered + staged; kits labeled by area (13 procedural / 3 annex); discrepancies logged with owners + next actions; tracker reflects reality.</t>
        </is>
      </c>
      <c r="R20" s="16">
        <f>IF($L20&lt;&gt;"","Purpose "&amp;CHAR(10)&amp;$L20&amp;CHAR(10)&amp;CHAR(10),"")&amp;
IF($M20&lt;&gt;"","Stops (in order) "&amp;CHAR(10)&amp;$M20&amp;CHAR(10)&amp;CHAR(10),"")&amp;
IF($N20&lt;&gt;"","To-Do (hard requirements) "&amp;CHAR(10)&amp;$N20&amp;CHAR(10)&amp;CHAR(10),"")&amp;
IF($O20&lt;&gt;"","Suggested Timeline "&amp;CHAR(10)&amp;$O20&amp;CHAR(10)&amp;CHAR(10),"")&amp;
IF($P20&lt;&gt;"","Guardrails "&amp;CHAR(10)&amp;$P20&amp;CHAR(10)&amp;CHAR(10),"")&amp;
IF($Q20&lt;&gt;"","Completion signals "&amp;CHAR(10)&amp;$Q20,"")</f>
        <v/>
      </c>
      <c r="S20" s="25" t="n"/>
      <c r="T20" s="25" t="n"/>
      <c r="U20" s="54" t="n"/>
      <c r="V20" s="54">
        <f>IF($B20="","",IF(_xludf.TEXTJOIN(" | ",TRUE,IF($B20="","Missing Title",""),IF($C20="","Missing Date",""),IF($D20="","Missing Start",""),IF($E20="","Missing End",""),IF($G20="","Missing Required Attendees",""),IF($T20="","Missing Status",""),IF(AND($D20&lt;&gt;"",$E20&lt;&gt;"",$D20&gt;=$E20),"Start&gt;=End",""),IF(OR($R20="",LEN($R20)&lt;60,ISNUMBER(MATCH(TRIM($R20),StatusList,0))),"Body overwritten/short",""))="","OK",_xludf.TEXTJOIN(" | ",TRUE,IF($B20="","Missing Title",""),IF($C20="","Missing Date",""),IF($D20="","Missing Start",""),IF($E20="","Missing End",""),IF($G20="","Missing Required Attendees",""),IF($T20="","Missing Status",""),IF(AND($D20&lt;&gt;"",$E20&lt;&gt;"",$D20&gt;=$E20),"Start&gt;=End",""),IF(OR($R20="",LEN($R20)&lt;60,ISNUMBER(MATCH(TRIM($R20),StatusList,0))),"Body overwritten/short",""))))</f>
        <v/>
      </c>
    </row>
    <row r="21" ht="15" customHeight="1">
      <c r="A21" s="12">
        <f>IF(AND($B21&lt;&gt;"",$C21&lt;&gt;"",$D21&lt;&gt;"",$E21&lt;&gt;"",$G21&lt;&gt;""),
UPPER(
LEFT(TRIM(LEFT($G21,IFERROR(FIND(";",$G21)-1,999))),1)&amp;
IFERROR(
MID(TRIM(LEFT($G21,IFERROR(FIND(";",$G21)-1,999))),
FIND(" ",TRIM(LEFT($G21,IFERROR(FIND(";",$G21)-1,999))))+1,1),
MID(TRIM(LEFT($G21,IFERROR(FIND(";",$G21)-1,999))),2,1)
)
)&amp;"-"&amp;TEXT($C21,"yyyy-mm-dd"),
"")</f>
        <v/>
      </c>
      <c r="B21" s="25" t="inlineStr">
        <is>
          <t>LIJ - Deployment Kit Delivery + Staging (Day 2 of 2)</t>
        </is>
      </c>
      <c r="C21" s="80" t="n">
        <v>46080</v>
      </c>
      <c r="D21" s="77" t="n">
        <v>0.375</v>
      </c>
      <c r="E21" s="77" t="n">
        <v>0.7083333333333334</v>
      </c>
      <c r="F21" s="25" t="inlineStr">
        <is>
          <t>Local</t>
        </is>
      </c>
      <c r="G21" s="25" t="inlineStr">
        <is>
          <t>Deployment Delivery; Marvin Tate; Alejandro Perales</t>
        </is>
      </c>
      <c r="H21" s="25" t="inlineStr">
        <is>
          <t>Rich Perez; Tim Seeberger</t>
        </is>
      </c>
      <c r="I21" s="25" t="inlineStr">
        <is>
          <t>LIJ Main - Procedural Areas + Annex</t>
        </is>
      </c>
      <c r="J21" s="25" t="inlineStr">
        <is>
          <t>Busy</t>
        </is>
      </c>
      <c r="K21" s="25" t="n">
        <v>15</v>
      </c>
      <c r="L21" s="25" t="inlineStr">
        <is>
          <t>Finalize staging, resolve gaps from Day 1, and confirm Saturday go-live readiness (parts, access, storage, and area readiness).</t>
        </is>
      </c>
      <c r="M21" s="25" t="inlineStr">
        <is>
          <t>1) Review Day 1 discrepancies 2) Deliver remaining items 3) Re-verify staged kits (procedural + annex) 4) Confirm access + storage plan for weekend 5) Final label/organization sweep 6) Confirm kickoff logistics for Saturday 7) Handoff notes</t>
        </is>
      </c>
      <c r="N21" s="25" t="inlineStr">
        <is>
          <t>Open discrepancy list from Day 1, any missing parts, confirmed access badges/permissions, updated tracker, weekend contact list.</t>
        </is>
      </c>
      <c r="O21" s="25" t="inlineStr">
        <is>
          <t>09:00 kickoff + discrepancy triage; 10:30 deliver remaining items; 12:00 full recount checkpoint; 15:30 final staging sweep; 16:30 confirm Saturday kickoff + comms; 17:00 wrap.</t>
        </is>
      </c>
      <c r="P21" s="25" t="inlineStr">
        <is>
          <t>If a blocker survives Friday, it will bite on Saturday. Escalate early. Keep kits sealed/organized after verification.</t>
        </is>
      </c>
      <c r="Q21" s="25" t="inlineStr">
        <is>
          <t>All discrepancies resolved or owned; kits staged + verified; Saturday kickoff plan confirmed; tracker current.</t>
        </is>
      </c>
      <c r="R21" s="16">
        <f>IF($L21&lt;&gt;"","Purpose "&amp;CHAR(10)&amp;$L21&amp;CHAR(10)&amp;CHAR(10),"")&amp;
IF($M21&lt;&gt;"","Stops (in order) "&amp;CHAR(10)&amp;$M21&amp;CHAR(10)&amp;CHAR(10),"")&amp;
IF($N21&lt;&gt;"","To-Do (hard requirements) "&amp;CHAR(10)&amp;$N21&amp;CHAR(10)&amp;CHAR(10),"")&amp;
IF($O21&lt;&gt;"","Suggested Timeline "&amp;CHAR(10)&amp;$O21&amp;CHAR(10)&amp;CHAR(10),"")&amp;
IF($P21&lt;&gt;"","Guardrails "&amp;CHAR(10)&amp;$P21&amp;CHAR(10)&amp;CHAR(10),"")&amp;
IF($Q21&lt;&gt;"","Completion signals "&amp;CHAR(10)&amp;$Q21,"")</f>
        <v/>
      </c>
      <c r="S21" s="25" t="n"/>
      <c r="T21" s="25" t="n"/>
      <c r="U21" s="54" t="n"/>
      <c r="V21" s="54">
        <f>IF($B21="","",IF(_xludf.TEXTJOIN(" | ",TRUE,IF($B21="","Missing Title",""),IF($C21="","Missing Date",""),IF($D21="","Missing Start",""),IF($E21="","Missing End",""),IF($G21="","Missing Required Attendees",""),IF($T21="","Missing Status",""),IF(AND($D21&lt;&gt;"",$E21&lt;&gt;"",$D21&gt;=$E21),"Start&gt;=End",""),IF(OR($R21="",LEN($R21)&lt;60,ISNUMBER(MATCH(TRIM($R21),StatusList,0))),"Body overwritten/short",""))="","OK",_xludf.TEXTJOIN(" | ",TRUE,IF($B21="","Missing Title",""),IF($C21="","Missing Date",""),IF($D21="","Missing Start",""),IF($E21="","Missing End",""),IF($G21="","Missing Required Attendees",""),IF($T21="","Missing Status",""),IF(AND($D21&lt;&gt;"",$E21&lt;&gt;"",$D21&gt;=$E21),"Start&gt;=End",""),IF(OR($R21="",LEN($R21)&lt;60,ISNUMBER(MATCH(TRIM($R21),StatusList,0))),"Body overwritten/short",""))))</f>
        <v/>
      </c>
    </row>
    <row r="22" ht="15" customHeight="1">
      <c r="A22" s="12">
        <f>IF(AND($B22&lt;&gt;"",$C22&lt;&gt;"",$D22&lt;&gt;"",$E22&lt;&gt;"",$G22&lt;&gt;""),
UPPER(
LEFT(TRIM(LEFT($G22,IFERROR(FIND(";",$G22)-1,999))),1)&amp;
IFERROR(
MID(TRIM(LEFT($G22,IFERROR(FIND(";",$G22)-1,999))),
FIND(" ",TRIM(LEFT($G22,IFERROR(FIND(";",$G22)-1,999))))+1,1),
MID(TRIM(LEFT($G22,IFERROR(FIND(";",$G22)-1,999))),2,1)
)
)&amp;"-"&amp;TEXT($C22,"yyyy-mm-dd"),
"")</f>
        <v/>
      </c>
      <c r="B22" s="25" t="inlineStr">
        <is>
          <t>LIJ ORs - Cybernet + GCX Arm Deployment (Day 1 of 2)</t>
        </is>
      </c>
      <c r="C22" s="80" t="n">
        <v>46081</v>
      </c>
      <c r="D22" s="77" t="n">
        <v>0.3333333333333333</v>
      </c>
      <c r="E22" s="77" t="n">
        <v>0.75</v>
      </c>
      <c r="F22" s="25" t="inlineStr">
        <is>
          <t>Local</t>
        </is>
      </c>
      <c r="G22" s="25" t="inlineStr">
        <is>
          <t>Alejandro Perales; Patricia Marrero; Valentyn Nykoliuk; Marvin Tate</t>
        </is>
      </c>
      <c r="H22" s="25" t="inlineStr">
        <is>
          <t>Rich Perez; Tim Seeberger</t>
        </is>
      </c>
      <c r="I22" s="25" t="inlineStr">
        <is>
          <t>LIJ Main - Procedural Areas</t>
        </is>
      </c>
      <c r="J22" s="25" t="inlineStr">
        <is>
          <t>Busy</t>
        </is>
      </c>
      <c r="K22" s="25" t="n">
        <v>15</v>
      </c>
      <c r="L22" s="25" t="inlineStr">
        <is>
          <t>Deploy and validate devices in LIJ procedural areas (target: 13). First action: confirm PA creds/access for all techs before touching anything.</t>
        </is>
      </c>
      <c r="M22" s="25" t="inlineStr">
        <is>
          <t>1) 08:00 kickoff + scope confirm 2) Confirm PA creds active + quick verification 3) Stage devices/parts by room 4) Deploy in waves; validate peripherals + connectivity 5) Update tracker continuously 6) Resolve/escalate exceptions 7) End-of-day sweep + handoff notes</t>
        </is>
      </c>
      <c r="N22" s="25" t="inlineStr">
        <is>
          <t>PA creds verified, deployment kits staged, barcode/badge readers tested, network/connectivity validated, trackers ready, room access confirmed.</t>
        </is>
      </c>
      <c r="O22" s="25" t="inlineStr">
        <is>
          <t>08:00 kickoff; 08:15 PA cred verification; 08:30 staging; 09:00 deployments rolling; 12:30 checkpoint; 16:30 start sweep; 17:30 handoff notes; 18:00 wrap.</t>
        </is>
      </c>
      <c r="P22" s="25" t="inlineStr">
        <is>
          <t>No scope creep. Keep tracker honest. Escalate access/permissions blockers immediately. Separate ‘done’ vs ‘needs follow-up’.</t>
        </is>
      </c>
      <c r="Q22" s="25" t="inlineStr">
        <is>
          <t>Procedural-area deployments complete/validated (13 target); tracker accurate; exceptions logged with owners + next actions; clean handoff.</t>
        </is>
      </c>
      <c r="R22" s="16">
        <f>IF($L22&lt;&gt;"","Purpose "&amp;CHAR(10)&amp;$L22&amp;CHAR(10)&amp;CHAR(10),"")&amp;
IF($M22&lt;&gt;"","Stops (in order) "&amp;CHAR(10)&amp;$M22&amp;CHAR(10)&amp;CHAR(10),"")&amp;
IF($N22&lt;&gt;"","To-Do (hard requirements) "&amp;CHAR(10)&amp;$N22&amp;CHAR(10)&amp;CHAR(10),"")&amp;
IF($O22&lt;&gt;"","Suggested Timeline "&amp;CHAR(10)&amp;$O22&amp;CHAR(10)&amp;CHAR(10),"")&amp;
IF($P22&lt;&gt;"","Guardrails "&amp;CHAR(10)&amp;$P22&amp;CHAR(10)&amp;CHAR(10),"")&amp;
IF($Q22&lt;&gt;"","Completion signals "&amp;CHAR(10)&amp;$Q22,"")</f>
        <v/>
      </c>
      <c r="S22" s="25" t="n"/>
      <c r="T22" s="25" t="n"/>
      <c r="U22" s="54" t="n"/>
      <c r="V22" s="54">
        <f>IF($B22="","",IF(_xludf.TEXTJOIN(" | ",TRUE,IF($B22="","Missing Title",""),IF($C22="","Missing Date",""),IF($D22="","Missing Start",""),IF($E22="","Missing End",""),IF($G22="","Missing Required Attendees",""),IF($T22="","Missing Status",""),IF(AND($D22&lt;&gt;"",$E22&lt;&gt;"",$D22&gt;=$E22),"Start&gt;=End",""),IF(OR($R22="",LEN($R22)&lt;60,ISNUMBER(MATCH(TRIM($R22),StatusList,0))),"Body overwritten/short",""))="","OK",_xludf.TEXTJOIN(" | ",TRUE,IF($B22="","Missing Title",""),IF($C22="","Missing Date",""),IF($D22="","Missing Start",""),IF($E22="","Missing End",""),IF($G22="","Missing Required Attendees",""),IF($T22="","Missing Status",""),IF(AND($D22&lt;&gt;"",$E22&lt;&gt;"",$D22&gt;=$E22),"Start&gt;=End",""),IF(OR($R22="",LEN($R22)&lt;60,ISNUMBER(MATCH(TRIM($R22),StatusList,0))),"Body overwritten/short",""))))</f>
        <v/>
      </c>
    </row>
    <row r="23" ht="15" customHeight="1">
      <c r="A23" s="12">
        <f>IF(AND($B23&lt;&gt;"",$C23&lt;&gt;"",$D23&lt;&gt;"",$E23&lt;&gt;"",$G23&lt;&gt;""),
UPPER(
LEFT(TRIM(LEFT($G23,IFERROR(FIND(";",$G23)-1,999))),1)&amp;
IFERROR(
MID(TRIM(LEFT($G23,IFERROR(FIND(";",$G23)-1,999))),
FIND(" ",TRIM(LEFT($G23,IFERROR(FIND(";",$G23)-1,999))))+1,1),
MID(TRIM(LEFT($G23,IFERROR(FIND(";",$G23)-1,999))),2,1)
)
)&amp;"-"&amp;TEXT($C23,"yyyy-mm-dd"),
"")</f>
        <v/>
      </c>
      <c r="B23" s="25" t="inlineStr">
        <is>
          <t>LIJ ORs - Cybernet + GCX Arm Deployment (Day 2 of 2)</t>
        </is>
      </c>
      <c r="C23" s="80" t="n">
        <v>46082</v>
      </c>
      <c r="D23" s="77" t="n">
        <v>0.3333333333333333</v>
      </c>
      <c r="E23" s="77" t="n">
        <v>0.75</v>
      </c>
      <c r="F23" s="25" t="inlineStr">
        <is>
          <t>Local</t>
        </is>
      </c>
      <c r="G23" s="25" t="inlineStr">
        <is>
          <t>Alejandro Perales; Chris Cummings; Patricia Marrero; Delroy Harris; Valentyn Nykoliuk</t>
        </is>
      </c>
      <c r="H23" s="25" t="inlineStr">
        <is>
          <t>Rich Perez; Tim Seeberger</t>
        </is>
      </c>
      <c r="I23" s="25" t="inlineStr">
        <is>
          <t>LIJ Main - Annex Area</t>
        </is>
      </c>
      <c r="J23" s="25" t="inlineStr">
        <is>
          <t>Busy</t>
        </is>
      </c>
      <c r="K23" s="25" t="n">
        <v>15</v>
      </c>
      <c r="L23" s="25" t="inlineStr">
        <is>
          <t>Complete remaining deployments and validation, with focus on annex devices (target: 3) plus final hospital-wide sweep and closeout.</t>
        </is>
      </c>
      <c r="M23" s="25" t="inlineStr">
        <is>
          <t>1) 08:00 kickoff + review Day 1 exceptions 2) Confirm PA creds/access 3) Deploy/validate annex devices (3 target) 4) Re-validate any Day 1 follow-ups 5) Final sweep + reconcile tracker 6) Consolidate disposal/returns 7) Handoff notes + closeout</t>
        </is>
      </c>
      <c r="N23" s="25" t="inlineStr">
        <is>
          <t>Annex access confirmed, remaining kits staged, exception list from Day 1, tracker current, packing materials for returns/disposal.</t>
        </is>
      </c>
      <c r="O23" s="25" t="inlineStr">
        <is>
          <t>08:00 kickoff; 08:15 review exceptions; 09:00 annex deployments; 12:30 checkpoint; 15:30 reconcile + sweep; 17:30 handoff notes; 18:00 wrap.</t>
        </is>
      </c>
      <c r="P23" s="25" t="inlineStr">
        <is>
          <t>Close loops, don’t create new ones. Keep annex vs procedural records separate. Tracker stays current.</t>
        </is>
      </c>
      <c r="Q23" s="25" t="inlineStr">
        <is>
          <t>Annex deployments complete/validated (3 target); all exceptions owned; tracker reconciled; final closeout notes delivered.</t>
        </is>
      </c>
      <c r="R23" s="16">
        <f>IF($L23&lt;&gt;"","Purpose "&amp;CHAR(10)&amp;$L23&amp;CHAR(10)&amp;CHAR(10),"")&amp;
IF($M23&lt;&gt;"","Stops (in order) "&amp;CHAR(10)&amp;$M23&amp;CHAR(10)&amp;CHAR(10),"")&amp;
IF($N23&lt;&gt;"","To-Do (hard requirements) "&amp;CHAR(10)&amp;$N23&amp;CHAR(10)&amp;CHAR(10),"")&amp;
IF($O23&lt;&gt;"","Suggested Timeline "&amp;CHAR(10)&amp;$O23&amp;CHAR(10)&amp;CHAR(10),"")&amp;
IF($P23&lt;&gt;"","Guardrails "&amp;CHAR(10)&amp;$P23&amp;CHAR(10)&amp;CHAR(10),"")&amp;
IF($Q23&lt;&gt;"","Completion signals "&amp;CHAR(10)&amp;$Q23,"")</f>
        <v/>
      </c>
      <c r="S23" s="25" t="n"/>
      <c r="T23" s="25" t="n"/>
      <c r="U23" s="54" t="n"/>
      <c r="V23" s="54">
        <f>IF($B23="","",IF(_xludf.TEXTJOIN(" | ",TRUE,IF($B23="","Missing Title",""),IF($C23="","Missing Date",""),IF($D23="","Missing Start",""),IF($E23="","Missing End",""),IF($G23="","Missing Required Attendees",""),IF($T23="","Missing Status",""),IF(AND($D23&lt;&gt;"",$E23&lt;&gt;"",$D23&gt;=$E23),"Start&gt;=End",""),IF(OR($R23="",LEN($R23)&lt;60,ISNUMBER(MATCH(TRIM($R23),StatusList,0))),"Body overwritten/short",""))="","OK",_xludf.TEXTJOIN(" | ",TRUE,IF($B23="","Missing Title",""),IF($C23="","Missing Date",""),IF($D23="","Missing Start",""),IF($E23="","Missing End",""),IF($G23="","Missing Required Attendees",""),IF($T23="","Missing Status",""),IF(AND($D23&lt;&gt;"",$E23&lt;&gt;"",$D23&gt;=$E23),"Start&gt;=End",""),IF(OR($R23="",LEN($R23)&lt;60,ISNUMBER(MATCH(TRIM($R23),StatusList,0))),"Body overwritten/short",""))))</f>
        <v/>
      </c>
    </row>
    <row r="24" ht="15" customHeight="1">
      <c r="A24" s="12">
        <f>IF(AND($B24&lt;&gt;"",$C24&lt;&gt;"",$D24&lt;&gt;"",$E24&lt;&gt;"",$G24&lt;&gt;""),
UPPER(
LEFT(TRIM(LEFT($G24,IFERROR(FIND(";",$G24)-1,999))),1)&amp;
IFERROR(
MID(TRIM(LEFT($G24,IFERROR(FIND(";",$G24)-1,999))),
FIND(" ",TRIM(LEFT($G24,IFERROR(FIND(";",$G24)-1,999))))+1,1),
MID(TRIM(LEFT($G24,IFERROR(FIND(";",$G24)-1,999))),2,1)
)
)&amp;"-"&amp;TEXT($C24,"yyyy-mm-dd"),
"")</f>
        <v/>
      </c>
      <c r="B24" s="25" t="inlineStr">
        <is>
          <t>LIJ SDF - Neuron Capsule Variable Testing</t>
        </is>
      </c>
      <c r="C24" s="80" t="n">
        <v>46083</v>
      </c>
      <c r="D24" s="77" t="n">
        <v>0.4375</v>
      </c>
      <c r="E24" s="77" t="n">
        <v>0.625</v>
      </c>
      <c r="F24" s="25" t="inlineStr">
        <is>
          <t>Local</t>
        </is>
      </c>
      <c r="G24" s="25" t="inlineStr">
        <is>
          <t>Neuron Capsules; LIJ SDF Tech</t>
        </is>
      </c>
      <c r="H24" s="25" t="inlineStr">
        <is>
          <t>Jay Hernandez; Rich Perez</t>
        </is>
      </c>
      <c r="I24" s="25" t="inlineStr">
        <is>
          <t>LIJ SDF - Satellite Dialysis Facility</t>
        </is>
      </c>
      <c r="J24" s="25" t="inlineStr">
        <is>
          <t>Busy</t>
        </is>
      </c>
      <c r="K24" s="25" t="n">
        <v>15</v>
      </c>
      <c r="L24" s="25" t="inlineStr">
        <is>
          <t>Test variables on neuron capsules at LIJ SDF. Tech arrives early for setup; testing starts 11:00; capture results + next actions before wrap.</t>
        </is>
      </c>
      <c r="M24" s="25" t="inlineStr">
        <is>
          <t>1) 10:30 arrival + setup/check-in 2) 11:00 start testing per test plan 3) Log results/observations as you go 4) Midpoint checkpoint + adjust 5) Wrap-up: summarize findings + next steps 6) Clean handoff and secure equipment</t>
        </is>
      </c>
      <c r="N24" s="25" t="inlineStr">
        <is>
          <t>Capsules + peripherals, test plan, logging template, access confirmed, any required credentials, spare cables/batteries.</t>
        </is>
      </c>
      <c r="O24" s="25" t="inlineStr">
        <is>
          <t>10:30 setup; 11:00 testing start; 12:30 checkpoint; 14:30 consolidate notes; 15:00 wrap.</t>
        </is>
      </c>
      <c r="P24" s="25" t="inlineStr">
        <is>
          <t>No ad-hoc changes without logging. Keep a clear chain of custody for devices. Escalate any safety/clinical access issues immediately.</t>
        </is>
      </c>
      <c r="Q24" s="25" t="inlineStr">
        <is>
          <t>Tested planned variables; results logged; follow-ups assigned; equipment accounted for.</t>
        </is>
      </c>
      <c r="R24" s="16">
        <f>IF($L24&lt;&gt;"","Purpose "&amp;CHAR(10)&amp;$L24&amp;CHAR(10)&amp;CHAR(10),"")&amp;
IF($M24&lt;&gt;"","Stops (in order) "&amp;CHAR(10)&amp;$M24&amp;CHAR(10)&amp;CHAR(10),"")&amp;
IF($N24&lt;&gt;"","To-Do (hard requirements) "&amp;CHAR(10)&amp;$N24&amp;CHAR(10)&amp;CHAR(10),"")&amp;
IF($O24&lt;&gt;"","Suggested Timeline "&amp;CHAR(10)&amp;$O24&amp;CHAR(10)&amp;CHAR(10),"")&amp;
IF($P24&lt;&gt;"","Guardrails "&amp;CHAR(10)&amp;$P24&amp;CHAR(10)&amp;CHAR(10),"")&amp;
IF($Q24&lt;&gt;"","Completion signals "&amp;CHAR(10)&amp;$Q24,"")</f>
        <v/>
      </c>
      <c r="S24" s="25" t="n"/>
      <c r="T24" s="25" t="n"/>
      <c r="U24" s="54" t="n"/>
      <c r="V24" s="54">
        <f>IF($B24="","",IF(_xludf.TEXTJOIN(" | ",TRUE,IF($B24="","Missing Title",""),IF($C24="","Missing Date",""),IF($D24="","Missing Start",""),IF($E24="","Missing End",""),IF($G24="","Missing Required Attendees",""),IF($T24="","Missing Status",""),IF(AND($D24&lt;&gt;"",$E24&lt;&gt;"",$D24&gt;=$E24),"Start&gt;=End",""),IF(OR($R24="",LEN($R24)&lt;60,ISNUMBER(MATCH(TRIM($R24),StatusList,0))),"Body overwritten/short",""))="","OK",_xludf.TEXTJOIN(" | ",TRUE,IF($B24="","Missing Title",""),IF($C24="","Missing Date",""),IF($D24="","Missing Start",""),IF($E24="","Missing End",""),IF($G24="","Missing Required Attendees",""),IF($T24="","Missing Status",""),IF(AND($D24&lt;&gt;"",$E24&lt;&gt;"",$D24&gt;=$E24),"Start&gt;=End",""),IF(OR($R24="",LEN($R24)&lt;60,ISNUMBER(MATCH(TRIM($R24),StatusList,0))),"Body overwritten/short",""))))</f>
        <v/>
      </c>
    </row>
    <row r="25" ht="15" customHeight="1">
      <c r="A25" s="12">
        <f>IF(AND($B25&lt;&gt;"",$C25&lt;&gt;"",$D25&lt;&gt;"",$E25&lt;&gt;"",$G25&lt;&gt;""),
UPPER(
LEFT(TRIM(LEFT($G25,IFERROR(FIND(";",$G25)-1,999))),1)&amp;
IFERROR(
MID(TRIM(LEFT($G25,IFERROR(FIND(";",$G25)-1,999))),
FIND(" ",TRIM(LEFT($G25,IFERROR(FIND(";",$G25)-1,999))))+1,1),
MID(TRIM(LEFT($G25,IFERROR(FIND(";",$G25)-1,999))),2,1)
)
)&amp;"-"&amp;TEXT($C25,"yyyy-mm-dd"),
"")</f>
        <v/>
      </c>
      <c r="B25" s="25" t="inlineStr">
        <is>
          <t>LIJ - iPhones Team Coverage (Patricia Marrero onsite)</t>
        </is>
      </c>
      <c r="C25" s="80" t="n">
        <v>46077</v>
      </c>
      <c r="D25" s="77" t="n">
        <v>0.3333333333333333</v>
      </c>
      <c r="E25" s="77" t="n">
        <v>0.7083333333333334</v>
      </c>
      <c r="F25" s="25" t="inlineStr">
        <is>
          <t>Local</t>
        </is>
      </c>
      <c r="G25" s="25" t="inlineStr">
        <is>
          <t>Patricia Marrero</t>
        </is>
      </c>
      <c r="H25" s="25" t="inlineStr">
        <is>
          <t>Nicholas Valentin (remote); Jay Hernandez</t>
        </is>
      </c>
      <c r="I25" s="25" t="inlineStr">
        <is>
          <t>LIJ</t>
        </is>
      </c>
      <c r="J25" s="25" t="inlineStr">
        <is>
          <t>Busy</t>
        </is>
      </c>
      <c r="K25" s="25" t="n">
        <v>15</v>
      </c>
      <c r="L25" s="25" t="inlineStr">
        <is>
          <t>Coverage for Jay Hernandez at LIJ. Nicholas Valentin provides remote support today as needed.</t>
        </is>
      </c>
      <c r="M25" s="25" t="inlineStr">
        <is>
          <t>1) AM check-in with Jay/Hospital stakeholders 2) Cover tickets/issues 3) Document handoffs 4) EOD status update</t>
        </is>
      </c>
      <c r="N25" s="25" t="inlineStr">
        <is>
          <t>Access/credentials, ticket queue access, contact list, escalation path.</t>
        </is>
      </c>
      <c r="O25" s="25" t="inlineStr">
        <is>
          <t>08:00 check-in; 12:00 midpoint status; 16:30 handoff notes; 17:00 wrap.</t>
        </is>
      </c>
      <c r="P25" s="25" t="inlineStr">
        <is>
          <t>Escalate blockers early; keep notes crisp; ensure handoff continuity.</t>
        </is>
      </c>
      <c r="Q25" s="25" t="inlineStr">
        <is>
          <t>Coverage provided; issues progressed/resolved; handoff notes posted.</t>
        </is>
      </c>
      <c r="R25" s="16">
        <f>IF($L25&lt;&gt;"","Purpose "&amp;CHAR(10)&amp;$L25&amp;CHAR(10)&amp;CHAR(10),"")&amp;
IF($M25&lt;&gt;"","Stops (in order) "&amp;CHAR(10)&amp;$M25&amp;CHAR(10)&amp;CHAR(10),"")&amp;
IF($N25&lt;&gt;"","To-Do (hard requirements) "&amp;CHAR(10)&amp;$N25&amp;CHAR(10)&amp;CHAR(10),"")&amp;
IF($O25&lt;&gt;"","Suggested Timeline "&amp;CHAR(10)&amp;$O25&amp;CHAR(10)&amp;CHAR(10),"")&amp;
IF($P25&lt;&gt;"","Guardrails "&amp;CHAR(10)&amp;$P25&amp;CHAR(10)&amp;CHAR(10),"")&amp;
IF($Q25&lt;&gt;"","Completion signals "&amp;CHAR(10)&amp;$Q25,"")</f>
        <v/>
      </c>
      <c r="S25" s="25" t="n"/>
      <c r="T25" s="25" t="n"/>
      <c r="U25" s="54" t="n"/>
      <c r="V25" s="54">
        <f>IF($B25="","",IF(_xludf.TEXTJOIN(" | ",TRUE,IF($B25="","Missing Title",""),IF($C25="","Missing Date",""),IF($D25="","Missing Start",""),IF($E25="","Missing End",""),IF($G25="","Missing Required Attendees",""),IF($T25="","Missing Status",""),IF(AND($D25&lt;&gt;"",$E25&lt;&gt;"",$D25&gt;=$E25),"Start&gt;=End",""),IF(OR($R25="",LEN($R25)&lt;60,ISNUMBER(MATCH(TRIM($R25),StatusList,0))),"Body overwritten/short",""))="","OK",_xludf.TEXTJOIN(" | ",TRUE,IF($B25="","Missing Title",""),IF($C25="","Missing Date",""),IF($D25="","Missing Start",""),IF($E25="","Missing End",""),IF($G25="","Missing Required Attendees",""),IF($T25="","Missing Status",""),IF(AND($D25&lt;&gt;"",$E25&lt;&gt;"",$D25&gt;=$E25),"Start&gt;=End",""),IF(OR($R25="",LEN($R25)&lt;60,ISNUMBER(MATCH(TRIM($R25),StatusList,0))),"Body overwritten/short",""))))</f>
        <v/>
      </c>
    </row>
    <row r="26" ht="15" customHeight="1">
      <c r="A26" s="12">
        <f>IF(AND($B26&lt;&gt;"",$C26&lt;&gt;"",$D26&lt;&gt;"",$E26&lt;&gt;"",$G26&lt;&gt;""),
UPPER(
LEFT(TRIM(LEFT($G26,IFERROR(FIND(";",$G26)-1,999))),1)&amp;
IFERROR(
MID(TRIM(LEFT($G26,IFERROR(FIND(";",$G26)-1,999))),
FIND(" ",TRIM(LEFT($G26,IFERROR(FIND(";",$G26)-1,999))))+1,1),
MID(TRIM(LEFT($G26,IFERROR(FIND(";",$G26)-1,999))),2,1)
)
)&amp;"-"&amp;TEXT($C26,"yyyy-mm-dd"),
"")</f>
        <v/>
      </c>
      <c r="B26" s="25" t="inlineStr">
        <is>
          <t>LIJ - iPhones Team Coverage (Cyen Heyliger onsite)</t>
        </is>
      </c>
      <c r="C26" s="80" t="n">
        <v>46078</v>
      </c>
      <c r="D26" s="77" t="n">
        <v>0.3333333333333333</v>
      </c>
      <c r="E26" s="77" t="n">
        <v>0.7083333333333334</v>
      </c>
      <c r="F26" s="25" t="inlineStr">
        <is>
          <t>Local</t>
        </is>
      </c>
      <c r="G26" s="25" t="inlineStr">
        <is>
          <t>Cyen Heyliger</t>
        </is>
      </c>
      <c r="H26" s="25" t="inlineStr">
        <is>
          <t>Jay Hernandez</t>
        </is>
      </c>
      <c r="I26" s="25" t="inlineStr">
        <is>
          <t>LIJ</t>
        </is>
      </c>
      <c r="J26" s="25" t="inlineStr">
        <is>
          <t>Busy</t>
        </is>
      </c>
      <c r="K26" s="25" t="n">
        <v>15</v>
      </c>
      <c r="L26" s="25" t="inlineStr">
        <is>
          <t>Coverage for Jay Hernandez at LIJ.</t>
        </is>
      </c>
      <c r="M26" s="25" t="inlineStr">
        <is>
          <t>1) AM check-in 2) Cover tickets/issues 3) Document handoffs 4) EOD status update</t>
        </is>
      </c>
      <c r="N26" s="25" t="inlineStr">
        <is>
          <t>Access/credentials, ticket queue access, contact list.</t>
        </is>
      </c>
      <c r="O26" s="25" t="inlineStr">
        <is>
          <t>08:00 check-in; 12:00 midpoint status; 16:30 handoff notes; 17:00 wrap.</t>
        </is>
      </c>
      <c r="P26" s="25" t="inlineStr">
        <is>
          <t>Keep handoffs tight; escalate blockers early.</t>
        </is>
      </c>
      <c r="Q26" s="25" t="inlineStr">
        <is>
          <t>Coverage provided; handoff notes posted.</t>
        </is>
      </c>
      <c r="R26" s="16">
        <f>IF($L26&lt;&gt;"","Purpose "&amp;CHAR(10)&amp;$L26&amp;CHAR(10)&amp;CHAR(10),"")&amp;
IF($M26&lt;&gt;"","Stops (in order) "&amp;CHAR(10)&amp;$M26&amp;CHAR(10)&amp;CHAR(10),"")&amp;
IF($N26&lt;&gt;"","To-Do (hard requirements) "&amp;CHAR(10)&amp;$N26&amp;CHAR(10)&amp;CHAR(10),"")&amp;
IF($O26&lt;&gt;"","Suggested Timeline "&amp;CHAR(10)&amp;$O26&amp;CHAR(10)&amp;CHAR(10),"")&amp;
IF($P26&lt;&gt;"","Guardrails "&amp;CHAR(10)&amp;$P26&amp;CHAR(10)&amp;CHAR(10),"")&amp;
IF($Q26&lt;&gt;"","Completion signals "&amp;CHAR(10)&amp;$Q26,"")</f>
        <v/>
      </c>
      <c r="S26" s="25" t="n"/>
      <c r="T26" s="25" t="n"/>
      <c r="U26" s="54" t="n"/>
      <c r="V26" s="54">
        <f>IF($B26="","",IF(_xludf.TEXTJOIN(" | ",TRUE,IF($B26="","Missing Title",""),IF($C26="","Missing Date",""),IF($D26="","Missing Start",""),IF($E26="","Missing End",""),IF($G26="","Missing Required Attendees",""),IF($T26="","Missing Status",""),IF(AND($D26&lt;&gt;"",$E26&lt;&gt;"",$D26&gt;=$E26),"Start&gt;=End",""),IF(OR($R26="",LEN($R26)&lt;60,ISNUMBER(MATCH(TRIM($R26),StatusList,0))),"Body overwritten/short",""))="","OK",_xludf.TEXTJOIN(" | ",TRUE,IF($B26="","Missing Title",""),IF($C26="","Missing Date",""),IF($D26="","Missing Start",""),IF($E26="","Missing End",""),IF($G26="","Missing Required Attendees",""),IF($T26="","Missing Status",""),IF(AND($D26&lt;&gt;"",$E26&lt;&gt;"",$D26&gt;=$E26),"Start&gt;=End",""),IF(OR($R26="",LEN($R26)&lt;60,ISNUMBER(MATCH(TRIM($R26),StatusList,0))),"Body overwritten/short",""))))</f>
        <v/>
      </c>
    </row>
    <row r="27" ht="15" customHeight="1">
      <c r="A27" s="12">
        <f>IF(AND($B27&lt;&gt;"",$C27&lt;&gt;"",$D27&lt;&gt;"",$E27&lt;&gt;"",$G27&lt;&gt;""),
UPPER(
LEFT(TRIM(LEFT($G27,IFERROR(FIND(";",$G27)-1,999))),1)&amp;
IFERROR(
MID(TRIM(LEFT($G27,IFERROR(FIND(";",$G27)-1,999))),
FIND(" ",TRIM(LEFT($G27,IFERROR(FIND(";",$G27)-1,999))))+1,1),
MID(TRIM(LEFT($G27,IFERROR(FIND(";",$G27)-1,999))),2,1)
)
)&amp;"-"&amp;TEXT($C27,"yyyy-mm-dd"),
"")</f>
        <v/>
      </c>
      <c r="B27" s="25" t="inlineStr">
        <is>
          <t>LIJ - iPhones Team Coverage (Patricia Marrero onsite)</t>
        </is>
      </c>
      <c r="C27" s="80" t="n">
        <v>46079</v>
      </c>
      <c r="D27" s="77" t="n">
        <v>0.3333333333333333</v>
      </c>
      <c r="E27" s="77" t="n">
        <v>0.7083333333333334</v>
      </c>
      <c r="F27" s="25" t="inlineStr">
        <is>
          <t>Local</t>
        </is>
      </c>
      <c r="G27" s="25" t="inlineStr">
        <is>
          <t>Patricia Marrero</t>
        </is>
      </c>
      <c r="H27" s="25" t="inlineStr">
        <is>
          <t>Jay Hernandez</t>
        </is>
      </c>
      <c r="I27" s="25" t="inlineStr">
        <is>
          <t>LIJ</t>
        </is>
      </c>
      <c r="J27" s="25" t="inlineStr">
        <is>
          <t>Busy</t>
        </is>
      </c>
      <c r="K27" s="25" t="n">
        <v>15</v>
      </c>
      <c r="L27" s="25" t="inlineStr">
        <is>
          <t>Coverage for Jay Hernandez at LIJ.</t>
        </is>
      </c>
      <c r="M27" s="25" t="inlineStr">
        <is>
          <t>1) AM check-in 2) Cover tickets/issues 3) Document handoffs 4) EOD status update</t>
        </is>
      </c>
      <c r="N27" s="25" t="inlineStr">
        <is>
          <t>Access/credentials, ticket queue access, contact list.</t>
        </is>
      </c>
      <c r="O27" s="25" t="inlineStr">
        <is>
          <t>08:00 check-in; 12:00 midpoint status; 16:30 handoff notes; 17:00 wrap.</t>
        </is>
      </c>
      <c r="P27" s="25" t="inlineStr">
        <is>
          <t>Keep handoffs tight; escalate blockers early.</t>
        </is>
      </c>
      <c r="Q27" s="25" t="inlineStr">
        <is>
          <t>Coverage provided; handoff notes posted.</t>
        </is>
      </c>
      <c r="R27" s="16">
        <f>IF($L27&lt;&gt;"","Purpose "&amp;CHAR(10)&amp;$L27&amp;CHAR(10)&amp;CHAR(10),"")&amp;
IF($M27&lt;&gt;"","Stops (in order) "&amp;CHAR(10)&amp;$M27&amp;CHAR(10)&amp;CHAR(10),"")&amp;
IF($N27&lt;&gt;"","To-Do (hard requirements) "&amp;CHAR(10)&amp;$N27&amp;CHAR(10)&amp;CHAR(10),"")&amp;
IF($O27&lt;&gt;"","Suggested Timeline "&amp;CHAR(10)&amp;$O27&amp;CHAR(10)&amp;CHAR(10),"")&amp;
IF($P27&lt;&gt;"","Guardrails "&amp;CHAR(10)&amp;$P27&amp;CHAR(10)&amp;CHAR(10),"")&amp;
IF($Q27&lt;&gt;"","Completion signals "&amp;CHAR(10)&amp;$Q27,"")</f>
        <v/>
      </c>
      <c r="S27" s="25" t="n"/>
      <c r="T27" s="25" t="n"/>
      <c r="U27" s="54" t="n"/>
      <c r="V27" s="54">
        <f>IF($B27="","",IF(_xludf.TEXTJOIN(" | ",TRUE,IF($B27="","Missing Title",""),IF($C27="","Missing Date",""),IF($D27="","Missing Start",""),IF($E27="","Missing End",""),IF($G27="","Missing Required Attendees",""),IF($T27="","Missing Status",""),IF(AND($D27&lt;&gt;"",$E27&lt;&gt;"",$D27&gt;=$E27),"Start&gt;=End",""),IF(OR($R27="",LEN($R27)&lt;60,ISNUMBER(MATCH(TRIM($R27),StatusList,0))),"Body overwritten/short",""))="","OK",_xludf.TEXTJOIN(" | ",TRUE,IF($B27="","Missing Title",""),IF($C27="","Missing Date",""),IF($D27="","Missing Start",""),IF($E27="","Missing End",""),IF($G27="","Missing Required Attendees",""),IF($T27="","Missing Status",""),IF(AND($D27&lt;&gt;"",$E27&lt;&gt;"",$D27&gt;=$E27),"Start&gt;=End",""),IF(OR($R27="",LEN($R27)&lt;60,ISNUMBER(MATCH(TRIM($R27),StatusList,0))),"Body overwritten/short",""))))</f>
        <v/>
      </c>
    </row>
    <row r="28" ht="15" customHeight="1">
      <c r="A28" s="12">
        <f>IF(AND($B28&lt;&gt;"",$C28&lt;&gt;"",$D28&lt;&gt;"",$E28&lt;&gt;"",$G28&lt;&gt;""),
UPPER(
LEFT(TRIM(LEFT($G28,IFERROR(FIND(";",$G28)-1,999))),1)&amp;
IFERROR(
MID(TRIM(LEFT($G28,IFERROR(FIND(";",$G28)-1,999))),
FIND(" ",TRIM(LEFT($G28,IFERROR(FIND(";",$G28)-1,999))))+1,1),
MID(TRIM(LEFT($G28,IFERROR(FIND(";",$G28)-1,999))),2,1)
)
)&amp;"-"&amp;TEXT($C28,"yyyy-mm-dd"),
"")</f>
        <v/>
      </c>
      <c r="B28" s="25" t="inlineStr">
        <is>
          <t>LIJ - iPhones Team Coverage (Cyen Heyliger onsite)</t>
        </is>
      </c>
      <c r="C28" s="80" t="n">
        <v>46080</v>
      </c>
      <c r="D28" s="77" t="n">
        <v>0.3333333333333333</v>
      </c>
      <c r="E28" s="77" t="n">
        <v>0.7083333333333334</v>
      </c>
      <c r="F28" s="25" t="inlineStr">
        <is>
          <t>Local</t>
        </is>
      </c>
      <c r="G28" s="25" t="inlineStr">
        <is>
          <t>Cyen Heyliger</t>
        </is>
      </c>
      <c r="H28" s="25" t="inlineStr">
        <is>
          <t>Jay Hernandez</t>
        </is>
      </c>
      <c r="I28" s="25" t="inlineStr">
        <is>
          <t>LIJ</t>
        </is>
      </c>
      <c r="J28" s="25" t="inlineStr">
        <is>
          <t>Busy</t>
        </is>
      </c>
      <c r="K28" s="25" t="n">
        <v>15</v>
      </c>
      <c r="L28" s="25" t="inlineStr">
        <is>
          <t>Coverage for Jay Hernandez at LIJ.</t>
        </is>
      </c>
      <c r="M28" s="25" t="inlineStr">
        <is>
          <t>1) AM check-in 2) Cover tickets/issues 3) Document handoffs 4) EOD status update</t>
        </is>
      </c>
      <c r="N28" s="25" t="inlineStr">
        <is>
          <t>Access/credentials, ticket queue access, contact list.</t>
        </is>
      </c>
      <c r="O28" s="25" t="inlineStr">
        <is>
          <t>08:00 check-in; 12:00 midpoint status; 16:30 handoff notes; 17:00 wrap.</t>
        </is>
      </c>
      <c r="P28" s="25" t="inlineStr">
        <is>
          <t>Keep handoffs tight; escalate blockers early.</t>
        </is>
      </c>
      <c r="Q28" s="25" t="inlineStr">
        <is>
          <t>Coverage provided; handoff notes posted.</t>
        </is>
      </c>
      <c r="R28" s="16">
        <f>IF($L28&lt;&gt;"","Purpose "&amp;CHAR(10)&amp;$L28&amp;CHAR(10)&amp;CHAR(10),"")&amp;
IF($M28&lt;&gt;"","Stops (in order) "&amp;CHAR(10)&amp;$M28&amp;CHAR(10)&amp;CHAR(10),"")&amp;
IF($N28&lt;&gt;"","To-Do (hard requirements) "&amp;CHAR(10)&amp;$N28&amp;CHAR(10)&amp;CHAR(10),"")&amp;
IF($O28&lt;&gt;"","Suggested Timeline "&amp;CHAR(10)&amp;$O28&amp;CHAR(10)&amp;CHAR(10),"")&amp;
IF($P28&lt;&gt;"","Guardrails "&amp;CHAR(10)&amp;$P28&amp;CHAR(10)&amp;CHAR(10),"")&amp;
IF($Q28&lt;&gt;"","Completion signals "&amp;CHAR(10)&amp;$Q28,"")</f>
        <v/>
      </c>
      <c r="S28" s="25" t="n"/>
      <c r="T28" s="25" t="n"/>
      <c r="U28" s="54" t="n"/>
      <c r="V28" s="54">
        <f>IF($B28="","",IF(_xludf.TEXTJOIN(" | ",TRUE,IF($B28="","Missing Title",""),IF($C28="","Missing Date",""),IF($D28="","Missing Start",""),IF($E28="","Missing End",""),IF($G28="","Missing Required Attendees",""),IF($T28="","Missing Status",""),IF(AND($D28&lt;&gt;"",$E28&lt;&gt;"",$D28&gt;=$E28),"Start&gt;=End",""),IF(OR($R28="",LEN($R28)&lt;60,ISNUMBER(MATCH(TRIM($R28),StatusList,0))),"Body overwritten/short",""))="","OK",_xludf.TEXTJOIN(" | ",TRUE,IF($B28="","Missing Title",""),IF($C28="","Missing Date",""),IF($D28="","Missing Start",""),IF($E28="","Missing End",""),IF($G28="","Missing Required Attendees",""),IF($T28="","Missing Status",""),IF(AND($D28&lt;&gt;"",$E28&lt;&gt;"",$D28&gt;=$E28),"Start&gt;=End",""),IF(OR($R28="",LEN($R28)&lt;60,ISNUMBER(MATCH(TRIM($R28),StatusList,0))),"Body overwritten/short",""))))</f>
        <v/>
      </c>
    </row>
    <row r="29" ht="15" customHeight="1">
      <c r="A29" s="12">
        <f>IF(AND($B29&lt;&gt;"",$C29&lt;&gt;"",$D29&lt;&gt;"",$E29&lt;&gt;"",$G29&lt;&gt;""),
UPPER(
LEFT(TRIM(LEFT($G29,IFERROR(FIND(";",$G29)-1,999))),1)&amp;
IFERROR(
MID(TRIM(LEFT($G29,IFERROR(FIND(";",$G29)-1,999))),
FIND(" ",TRIM(LEFT($G29,IFERROR(FIND(";",$G29)-1,999))))+1,1),
MID(TRIM(LEFT($G29,IFERROR(FIND(";",$G29)-1,999))),2,1)
)
)&amp;"-"&amp;TEXT($C29,"yyyy-mm-dd"),
"")</f>
        <v/>
      </c>
      <c r="B29" s="25" t="n"/>
      <c r="C29" s="80" t="n"/>
      <c r="D29" s="77" t="n"/>
      <c r="E29" s="77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16">
        <f>IF($L29&lt;&gt;"","Purpose "&amp;CHAR(10)&amp;$L29&amp;CHAR(10)&amp;CHAR(10),"")&amp;
IF($M29&lt;&gt;"","Stops (in order) "&amp;CHAR(10)&amp;$M29&amp;CHAR(10)&amp;CHAR(10),"")&amp;
IF($N29&lt;&gt;"","To-Do (hard requirements) "&amp;CHAR(10)&amp;$N29&amp;CHAR(10)&amp;CHAR(10),"")&amp;
IF($O29&lt;&gt;"","Suggested Timeline "&amp;CHAR(10)&amp;$O29&amp;CHAR(10)&amp;CHAR(10),"")&amp;
IF($P29&lt;&gt;"","Guardrails "&amp;CHAR(10)&amp;$P29&amp;CHAR(10)&amp;CHAR(10),"")&amp;
IF($Q29&lt;&gt;"","Completion signals "&amp;CHAR(10)&amp;$Q29,"")</f>
        <v/>
      </c>
      <c r="S29" s="25" t="n"/>
      <c r="T29" s="25" t="n"/>
      <c r="U29" s="54" t="n"/>
      <c r="V29" s="54">
        <f>IF($B29="","",IF(_xludf.TEXTJOIN(" | ",TRUE,IF($B29="","Missing Title",""),IF($C29="","Missing Date",""),IF($D29="","Missing Start",""),IF($E29="","Missing End",""),IF($G29="","Missing Required Attendees",""),IF($T29="","Missing Status",""),IF(AND($D29&lt;&gt;"",$E29&lt;&gt;"",$D29&gt;=$E29),"Start&gt;=End",""),IF(OR($R29="",LEN($R29)&lt;60,ISNUMBER(MATCH(TRIM($R29),StatusList,0))),"Body overwritten/short",""))="","OK",_xludf.TEXTJOIN(" | ",TRUE,IF($B29="","Missing Title",""),IF($C29="","Missing Date",""),IF($D29="","Missing Start",""),IF($E29="","Missing End",""),IF($G29="","Missing Required Attendees",""),IF($T29="","Missing Status",""),IF(AND($D29&lt;&gt;"",$E29&lt;&gt;"",$D29&gt;=$E29),"Start&gt;=End",""),IF(OR($R29="",LEN($R29)&lt;60,ISNUMBER(MATCH(TRIM($R29),StatusList,0))),"Body overwritten/short",""))))</f>
        <v/>
      </c>
    </row>
    <row r="30" ht="15" customHeight="1">
      <c r="A30" s="12">
        <f>IF(AND($B30&lt;&gt;"",$C30&lt;&gt;"",$D30&lt;&gt;"",$E30&lt;&gt;"",$G30&lt;&gt;""),
UPPER(
LEFT(TRIM(LEFT($G30,IFERROR(FIND(";",$G30)-1,999))),1)&amp;
IFERROR(
MID(TRIM(LEFT($G30,IFERROR(FIND(";",$G30)-1,999))),
FIND(" ",TRIM(LEFT($G30,IFERROR(FIND(";",$G30)-1,999))))+1,1),
MID(TRIM(LEFT($G30,IFERROR(FIND(";",$G30)-1,999))),2,1)
)
)&amp;"-"&amp;TEXT($C30,"yyyy-mm-dd"),
"")</f>
        <v/>
      </c>
      <c r="B30" s="25" t="n"/>
      <c r="C30" s="80" t="n"/>
      <c r="D30" s="77" t="n"/>
      <c r="E30" s="77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16">
        <f>IF($L30&lt;&gt;"","Purpose "&amp;CHAR(10)&amp;$L30&amp;CHAR(10)&amp;CHAR(10),"")&amp;
IF($M30&lt;&gt;"","Stops (in order) "&amp;CHAR(10)&amp;$M30&amp;CHAR(10)&amp;CHAR(10),"")&amp;
IF($N30&lt;&gt;"","To-Do (hard requirements) "&amp;CHAR(10)&amp;$N30&amp;CHAR(10)&amp;CHAR(10),"")&amp;
IF($O30&lt;&gt;"","Suggested Timeline "&amp;CHAR(10)&amp;$O30&amp;CHAR(10)&amp;CHAR(10),"")&amp;
IF($P30&lt;&gt;"","Guardrails "&amp;CHAR(10)&amp;$P30&amp;CHAR(10)&amp;CHAR(10),"")&amp;
IF($Q30&lt;&gt;"","Completion signals "&amp;CHAR(10)&amp;$Q30,"")</f>
        <v/>
      </c>
      <c r="S30" s="25" t="n"/>
      <c r="T30" s="25" t="n"/>
      <c r="U30" s="54" t="n"/>
      <c r="V30" s="54">
        <f>IF($B30="","",IF(_xludf.TEXTJOIN(" | ",TRUE,IF($B30="","Missing Title",""),IF($C30="","Missing Date",""),IF($D30="","Missing Start",""),IF($E30="","Missing End",""),IF($G30="","Missing Required Attendees",""),IF($T30="","Missing Status",""),IF(AND($D30&lt;&gt;"",$E30&lt;&gt;"",$D30&gt;=$E30),"Start&gt;=End",""),IF(OR($R30="",LEN($R30)&lt;60,ISNUMBER(MATCH(TRIM($R30),StatusList,0))),"Body overwritten/short",""))="","OK",_xludf.TEXTJOIN(" | ",TRUE,IF($B30="","Missing Title",""),IF($C30="","Missing Date",""),IF($D30="","Missing Start",""),IF($E30="","Missing End",""),IF($G30="","Missing Required Attendees",""),IF($T30="","Missing Status",""),IF(AND($D30&lt;&gt;"",$E30&lt;&gt;"",$D30&gt;=$E30),"Start&gt;=End",""),IF(OR($R30="",LEN($R30)&lt;60,ISNUMBER(MATCH(TRIM($R30),StatusList,0))),"Body overwritten/short",""))))</f>
        <v/>
      </c>
    </row>
    <row r="31" ht="15" customHeight="1">
      <c r="A31" s="12">
        <f>IF(AND($B31&lt;&gt;"",$C31&lt;&gt;"",$D31&lt;&gt;"",$E31&lt;&gt;"",$G31&lt;&gt;""),
UPPER(
LEFT(TRIM(LEFT($G31,IFERROR(FIND(";",$G31)-1,999))),1)&amp;
IFERROR(
MID(TRIM(LEFT($G31,IFERROR(FIND(";",$G31)-1,999))),
FIND(" ",TRIM(LEFT($G31,IFERROR(FIND(";",$G31)-1,999))))+1,1),
MID(TRIM(LEFT($G31,IFERROR(FIND(";",$G31)-1,999))),2,1)
)
)&amp;"-"&amp;TEXT($C31,"yyyy-mm-dd"),
"")</f>
        <v/>
      </c>
      <c r="B31" s="25" t="n"/>
      <c r="C31" s="80" t="n"/>
      <c r="D31" s="77" t="n"/>
      <c r="E31" s="77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16">
        <f>IF($L31&lt;&gt;"","Purpose "&amp;CHAR(10)&amp;$L31&amp;CHAR(10)&amp;CHAR(10),"")&amp;
IF($M31&lt;&gt;"","Stops (in order) "&amp;CHAR(10)&amp;$M31&amp;CHAR(10)&amp;CHAR(10),"")&amp;
IF($N31&lt;&gt;"","To-Do (hard requirements) "&amp;CHAR(10)&amp;$N31&amp;CHAR(10)&amp;CHAR(10),"")&amp;
IF($O31&lt;&gt;"","Suggested Timeline "&amp;CHAR(10)&amp;$O31&amp;CHAR(10)&amp;CHAR(10),"")&amp;
IF($P31&lt;&gt;"","Guardrails "&amp;CHAR(10)&amp;$P31&amp;CHAR(10)&amp;CHAR(10),"")&amp;
IF($Q31&lt;&gt;"","Completion signals "&amp;CHAR(10)&amp;$Q31,"")</f>
        <v/>
      </c>
      <c r="S31" s="25" t="n"/>
      <c r="T31" s="25" t="n"/>
      <c r="U31" s="54" t="n"/>
      <c r="V31" s="54">
        <f>IF($B31="","",IF(_xludf.TEXTJOIN(" | ",TRUE,IF($B31="","Missing Title",""),IF($C31="","Missing Date",""),IF($D31="","Missing Start",""),IF($E31="","Missing End",""),IF($G31="","Missing Required Attendees",""),IF($T31="","Missing Status",""),IF(AND($D31&lt;&gt;"",$E31&lt;&gt;"",$D31&gt;=$E31),"Start&gt;=End",""),IF(OR($R31="",LEN($R31)&lt;60,ISNUMBER(MATCH(TRIM($R31),StatusList,0))),"Body overwritten/short",""))="","OK",_xludf.TEXTJOIN(" | ",TRUE,IF($B31="","Missing Title",""),IF($C31="","Missing Date",""),IF($D31="","Missing Start",""),IF($E31="","Missing End",""),IF($G31="","Missing Required Attendees",""),IF($T31="","Missing Status",""),IF(AND($D31&lt;&gt;"",$E31&lt;&gt;"",$D31&gt;=$E31),"Start&gt;=End",""),IF(OR($R31="",LEN($R31)&lt;60,ISNUMBER(MATCH(TRIM($R31),StatusList,0))),"Body overwritten/short",""))))</f>
        <v/>
      </c>
    </row>
    <row r="32" ht="15" customHeight="1">
      <c r="A32" s="12">
        <f>IF(AND($B32&lt;&gt;"",$C32&lt;&gt;"",$D32&lt;&gt;"",$E32&lt;&gt;"",$G32&lt;&gt;""),
UPPER(
LEFT(TRIM(LEFT($G32,IFERROR(FIND(";",$G32)-1,999))),1)&amp;
IFERROR(
MID(TRIM(LEFT($G32,IFERROR(FIND(";",$G32)-1,999))),
FIND(" ",TRIM(LEFT($G32,IFERROR(FIND(";",$G32)-1,999))))+1,1),
MID(TRIM(LEFT($G32,IFERROR(FIND(";",$G32)-1,999))),2,1)
)
)&amp;"-"&amp;TEXT($C32,"yyyy-mm-dd"),
"")</f>
        <v/>
      </c>
      <c r="B32" s="25" t="n"/>
      <c r="C32" s="80" t="n"/>
      <c r="D32" s="77" t="n"/>
      <c r="E32" s="77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16">
        <f>IF($L32&lt;&gt;"","Purpose "&amp;CHAR(10)&amp;$L32&amp;CHAR(10)&amp;CHAR(10),"")&amp;
IF($M32&lt;&gt;"","Stops (in order) "&amp;CHAR(10)&amp;$M32&amp;CHAR(10)&amp;CHAR(10),"")&amp;
IF($N32&lt;&gt;"","To-Do (hard requirements) "&amp;CHAR(10)&amp;$N32&amp;CHAR(10)&amp;CHAR(10),"")&amp;
IF($O32&lt;&gt;"","Suggested Timeline "&amp;CHAR(10)&amp;$O32&amp;CHAR(10)&amp;CHAR(10),"")&amp;
IF($P32&lt;&gt;"","Guardrails "&amp;CHAR(10)&amp;$P32&amp;CHAR(10)&amp;CHAR(10),"")&amp;
IF($Q32&lt;&gt;"","Completion signals "&amp;CHAR(10)&amp;$Q32,"")</f>
        <v/>
      </c>
      <c r="S32" s="25" t="n"/>
      <c r="T32" s="25" t="n"/>
      <c r="U32" s="54" t="n"/>
      <c r="V32" s="54">
        <f>IF($B32="","",IF(_xludf.TEXTJOIN(" | ",TRUE,IF($B32="","Missing Title",""),IF($C32="","Missing Date",""),IF($D32="","Missing Start",""),IF($E32="","Missing End",""),IF($G32="","Missing Required Attendees",""),IF($T32="","Missing Status",""),IF(AND($D32&lt;&gt;"",$E32&lt;&gt;"",$D32&gt;=$E32),"Start&gt;=End",""),IF(OR($R32="",LEN($R32)&lt;60,ISNUMBER(MATCH(TRIM($R32),StatusList,0))),"Body overwritten/short",""))="","OK",_xludf.TEXTJOIN(" | ",TRUE,IF($B32="","Missing Title",""),IF($C32="","Missing Date",""),IF($D32="","Missing Start",""),IF($E32="","Missing End",""),IF($G32="","Missing Required Attendees",""),IF($T32="","Missing Status",""),IF(AND($D32&lt;&gt;"",$E32&lt;&gt;"",$D32&gt;=$E32),"Start&gt;=End",""),IF(OR($R32="",LEN($R32)&lt;60,ISNUMBER(MATCH(TRIM($R32),StatusList,0))),"Body overwritten/short",""))))</f>
        <v/>
      </c>
    </row>
    <row r="33" ht="15" customHeight="1">
      <c r="A33" s="12">
        <f>IF(AND($B33&lt;&gt;"",$C33&lt;&gt;"",$D33&lt;&gt;"",$E33&lt;&gt;"",$G33&lt;&gt;""),
UPPER(
LEFT(TRIM(LEFT($G33,IFERROR(FIND(";",$G33)-1,999))),1)&amp;
IFERROR(
MID(TRIM(LEFT($G33,IFERROR(FIND(";",$G33)-1,999))),
FIND(" ",TRIM(LEFT($G33,IFERROR(FIND(";",$G33)-1,999))))+1,1),
MID(TRIM(LEFT($G33,IFERROR(FIND(";",$G33)-1,999))),2,1)
)
)&amp;"-"&amp;TEXT($C33,"yyyy-mm-dd"),
"")</f>
        <v/>
      </c>
      <c r="B33" s="25" t="n"/>
      <c r="C33" s="80" t="n"/>
      <c r="D33" s="77" t="n"/>
      <c r="E33" s="77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16">
        <f>IF($L33&lt;&gt;"","Purpose "&amp;CHAR(10)&amp;$L33&amp;CHAR(10)&amp;CHAR(10),"")&amp;
IF($M33&lt;&gt;"","Stops (in order) "&amp;CHAR(10)&amp;$M33&amp;CHAR(10)&amp;CHAR(10),"")&amp;
IF($N33&lt;&gt;"","To-Do (hard requirements) "&amp;CHAR(10)&amp;$N33&amp;CHAR(10)&amp;CHAR(10),"")&amp;
IF($O33&lt;&gt;"","Suggested Timeline "&amp;CHAR(10)&amp;$O33&amp;CHAR(10)&amp;CHAR(10),"")&amp;
IF($P33&lt;&gt;"","Guardrails "&amp;CHAR(10)&amp;$P33&amp;CHAR(10)&amp;CHAR(10),"")&amp;
IF($Q33&lt;&gt;"","Completion signals "&amp;CHAR(10)&amp;$Q33,"")</f>
        <v/>
      </c>
      <c r="S33" s="25" t="n"/>
      <c r="T33" s="25" t="n"/>
      <c r="U33" s="54" t="n"/>
      <c r="V33" s="54">
        <f>IF($B33="","",IF(_xludf.TEXTJOIN(" | ",TRUE,IF($B33="","Missing Title",""),IF($C33="","Missing Date",""),IF($D33="","Missing Start",""),IF($E33="","Missing End",""),IF($G33="","Missing Required Attendees",""),IF($T33="","Missing Status",""),IF(AND($D33&lt;&gt;"",$E33&lt;&gt;"",$D33&gt;=$E33),"Start&gt;=End",""),IF(OR($R33="",LEN($R33)&lt;60,ISNUMBER(MATCH(TRIM($R33),StatusList,0))),"Body overwritten/short",""))="","OK",_xludf.TEXTJOIN(" | ",TRUE,IF($B33="","Missing Title",""),IF($C33="","Missing Date",""),IF($D33="","Missing Start",""),IF($E33="","Missing End",""),IF($G33="","Missing Required Attendees",""),IF($T33="","Missing Status",""),IF(AND($D33&lt;&gt;"",$E33&lt;&gt;"",$D33&gt;=$E33),"Start&gt;=End",""),IF(OR($R33="",LEN($R33)&lt;60,ISNUMBER(MATCH(TRIM($R33),StatusList,0))),"Body overwritten/short",""))))</f>
        <v/>
      </c>
    </row>
    <row r="34" ht="15" customHeight="1">
      <c r="A34" s="12">
        <f>IF(AND($B34&lt;&gt;"",$C34&lt;&gt;"",$D34&lt;&gt;"",$E34&lt;&gt;"",$G34&lt;&gt;""),
UPPER(
LEFT(TRIM(LEFT($G34,IFERROR(FIND(";",$G34)-1,999))),1)&amp;
IFERROR(
MID(TRIM(LEFT($G34,IFERROR(FIND(";",$G34)-1,999))),
FIND(" ",TRIM(LEFT($G34,IFERROR(FIND(";",$G34)-1,999))))+1,1),
MID(TRIM(LEFT($G34,IFERROR(FIND(";",$G34)-1,999))),2,1)
)
)&amp;"-"&amp;TEXT($C34,"yyyy-mm-dd"),
"")</f>
        <v/>
      </c>
      <c r="B34" s="25" t="n"/>
      <c r="C34" s="80" t="n"/>
      <c r="D34" s="77" t="n"/>
      <c r="E34" s="77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16">
        <f>IF($L34&lt;&gt;"","Purpose "&amp;CHAR(10)&amp;$L34&amp;CHAR(10)&amp;CHAR(10),"")&amp;
IF($M34&lt;&gt;"","Stops (in order) "&amp;CHAR(10)&amp;$M34&amp;CHAR(10)&amp;CHAR(10),"")&amp;
IF($N34&lt;&gt;"","To-Do (hard requirements) "&amp;CHAR(10)&amp;$N34&amp;CHAR(10)&amp;CHAR(10),"")&amp;
IF($O34&lt;&gt;"","Suggested Timeline "&amp;CHAR(10)&amp;$O34&amp;CHAR(10)&amp;CHAR(10),"")&amp;
IF($P34&lt;&gt;"","Guardrails "&amp;CHAR(10)&amp;$P34&amp;CHAR(10)&amp;CHAR(10),"")&amp;
IF($Q34&lt;&gt;"","Completion signals "&amp;CHAR(10)&amp;$Q34,"")</f>
        <v/>
      </c>
      <c r="S34" s="25" t="n"/>
      <c r="T34" s="25" t="n"/>
      <c r="U34" s="54" t="n"/>
      <c r="V34" s="54">
        <f>IF($B34="","",IF(_xludf.TEXTJOIN(" | ",TRUE,IF($B34="","Missing Title",""),IF($C34="","Missing Date",""),IF($D34="","Missing Start",""),IF($E34="","Missing End",""),IF($G34="","Missing Required Attendees",""),IF($T34="","Missing Status",""),IF(AND($D34&lt;&gt;"",$E34&lt;&gt;"",$D34&gt;=$E34),"Start&gt;=End",""),IF(OR($R34="",LEN($R34)&lt;60,ISNUMBER(MATCH(TRIM($R34),StatusList,0))),"Body overwritten/short",""))="","OK",_xludf.TEXTJOIN(" | ",TRUE,IF($B34="","Missing Title",""),IF($C34="","Missing Date",""),IF($D34="","Missing Start",""),IF($E34="","Missing End",""),IF($G34="","Missing Required Attendees",""),IF($T34="","Missing Status",""),IF(AND($D34&lt;&gt;"",$E34&lt;&gt;"",$D34&gt;=$E34),"Start&gt;=End",""),IF(OR($R34="",LEN($R34)&lt;60,ISNUMBER(MATCH(TRIM($R34),StatusList,0))),"Body overwritten/short",""))))</f>
        <v/>
      </c>
    </row>
    <row r="35" ht="15" customHeight="1">
      <c r="A35" s="12">
        <f>IF(AND($B35&lt;&gt;"",$C35&lt;&gt;"",$D35&lt;&gt;"",$E35&lt;&gt;"",$G35&lt;&gt;""),
UPPER(
LEFT(TRIM(LEFT($G35,IFERROR(FIND(";",$G35)-1,999))),1)&amp;
IFERROR(
MID(TRIM(LEFT($G35,IFERROR(FIND(";",$G35)-1,999))),
FIND(" ",TRIM(LEFT($G35,IFERROR(FIND(";",$G35)-1,999))))+1,1),
MID(TRIM(LEFT($G35,IFERROR(FIND(";",$G35)-1,999))),2,1)
)
)&amp;"-"&amp;TEXT($C35,"yyyy-mm-dd"),
"")</f>
        <v/>
      </c>
      <c r="B35" s="25" t="n"/>
      <c r="C35" s="80" t="n"/>
      <c r="D35" s="77" t="n"/>
      <c r="E35" s="77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16">
        <f>IF($L35&lt;&gt;"","Purpose "&amp;CHAR(10)&amp;$L35&amp;CHAR(10)&amp;CHAR(10),"")&amp;
IF($M35&lt;&gt;"","Stops (in order) "&amp;CHAR(10)&amp;$M35&amp;CHAR(10)&amp;CHAR(10),"")&amp;
IF($N35&lt;&gt;"","To-Do (hard requirements) "&amp;CHAR(10)&amp;$N35&amp;CHAR(10)&amp;CHAR(10),"")&amp;
IF($O35&lt;&gt;"","Suggested Timeline "&amp;CHAR(10)&amp;$O35&amp;CHAR(10)&amp;CHAR(10),"")&amp;
IF($P35&lt;&gt;"","Guardrails "&amp;CHAR(10)&amp;$P35&amp;CHAR(10)&amp;CHAR(10),"")&amp;
IF($Q35&lt;&gt;"","Completion signals "&amp;CHAR(10)&amp;$Q35,"")</f>
        <v/>
      </c>
      <c r="S35" s="25" t="n"/>
      <c r="T35" s="25" t="n"/>
      <c r="U35" s="54" t="n"/>
      <c r="V35" s="54">
        <f>IF($B35="","",IF(_xludf.TEXTJOIN(" | ",TRUE,IF($B35="","Missing Title",""),IF($C35="","Missing Date",""),IF($D35="","Missing Start",""),IF($E35="","Missing End",""),IF($G35="","Missing Required Attendees",""),IF($T35="","Missing Status",""),IF(AND($D35&lt;&gt;"",$E35&lt;&gt;"",$D35&gt;=$E35),"Start&gt;=End",""),IF(OR($R35="",LEN($R35)&lt;60,ISNUMBER(MATCH(TRIM($R35),StatusList,0))),"Body overwritten/short",""))="","OK",_xludf.TEXTJOIN(" | ",TRUE,IF($B35="","Missing Title",""),IF($C35="","Missing Date",""),IF($D35="","Missing Start",""),IF($E35="","Missing End",""),IF($G35="","Missing Required Attendees",""),IF($T35="","Missing Status",""),IF(AND($D35&lt;&gt;"",$E35&lt;&gt;"",$D35&gt;=$E35),"Start&gt;=End",""),IF(OR($R35="",LEN($R35)&lt;60,ISNUMBER(MATCH(TRIM($R35),StatusList,0))),"Body overwritten/short",""))))</f>
        <v/>
      </c>
    </row>
    <row r="36" ht="15" customHeight="1">
      <c r="A36" s="12">
        <f>IF(AND($B36&lt;&gt;"",$C36&lt;&gt;"",$D36&lt;&gt;"",$E36&lt;&gt;"",$G36&lt;&gt;""),
UPPER(
LEFT(TRIM(LEFT($G36,IFERROR(FIND(";",$G36)-1,999))),1)&amp;
IFERROR(
MID(TRIM(LEFT($G36,IFERROR(FIND(";",$G36)-1,999))),
FIND(" ",TRIM(LEFT($G36,IFERROR(FIND(";",$G36)-1,999))))+1,1),
MID(TRIM(LEFT($G36,IFERROR(FIND(";",$G36)-1,999))),2,1)
)
)&amp;"-"&amp;TEXT($C36,"yyyy-mm-dd"),
"")</f>
        <v/>
      </c>
      <c r="B36" s="25" t="n"/>
      <c r="C36" s="80" t="n"/>
      <c r="D36" s="77" t="n"/>
      <c r="E36" s="77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16">
        <f>IF($L36&lt;&gt;"","Purpose "&amp;CHAR(10)&amp;$L36&amp;CHAR(10)&amp;CHAR(10),"")&amp;
IF($M36&lt;&gt;"","Stops (in order) "&amp;CHAR(10)&amp;$M36&amp;CHAR(10)&amp;CHAR(10),"")&amp;
IF($N36&lt;&gt;"","To-Do (hard requirements) "&amp;CHAR(10)&amp;$N36&amp;CHAR(10)&amp;CHAR(10),"")&amp;
IF($O36&lt;&gt;"","Suggested Timeline "&amp;CHAR(10)&amp;$O36&amp;CHAR(10)&amp;CHAR(10),"")&amp;
IF($P36&lt;&gt;"","Guardrails "&amp;CHAR(10)&amp;$P36&amp;CHAR(10)&amp;CHAR(10),"")&amp;
IF($Q36&lt;&gt;"","Completion signals "&amp;CHAR(10)&amp;$Q36,"")</f>
        <v/>
      </c>
      <c r="S36" s="25" t="n"/>
      <c r="T36" s="25" t="n"/>
      <c r="U36" s="54" t="n"/>
      <c r="V36" s="54">
        <f>IF($B36="","",IF(_xludf.TEXTJOIN(" | ",TRUE,IF($B36="","Missing Title",""),IF($C36="","Missing Date",""),IF($D36="","Missing Start",""),IF($E36="","Missing End",""),IF($G36="","Missing Required Attendees",""),IF($T36="","Missing Status",""),IF(AND($D36&lt;&gt;"",$E36&lt;&gt;"",$D36&gt;=$E36),"Start&gt;=End",""),IF(OR($R36="",LEN($R36)&lt;60,ISNUMBER(MATCH(TRIM($R36),StatusList,0))),"Body overwritten/short",""))="","OK",_xludf.TEXTJOIN(" | ",TRUE,IF($B36="","Missing Title",""),IF($C36="","Missing Date",""),IF($D36="","Missing Start",""),IF($E36="","Missing End",""),IF($G36="","Missing Required Attendees",""),IF($T36="","Missing Status",""),IF(AND($D36&lt;&gt;"",$E36&lt;&gt;"",$D36&gt;=$E36),"Start&gt;=End",""),IF(OR($R36="",LEN($R36)&lt;60,ISNUMBER(MATCH(TRIM($R36),StatusList,0))),"Body overwritten/short",""))))</f>
        <v/>
      </c>
    </row>
    <row r="37" ht="15" customHeight="1">
      <c r="A37" s="12">
        <f>IF(AND($B37&lt;&gt;"",$C37&lt;&gt;"",$D37&lt;&gt;"",$E37&lt;&gt;"",$G37&lt;&gt;""),
UPPER(
LEFT(TRIM(LEFT($G37,IFERROR(FIND(";",$G37)-1,999))),1)&amp;
IFERROR(
MID(TRIM(LEFT($G37,IFERROR(FIND(";",$G37)-1,999))),
FIND(" ",TRIM(LEFT($G37,IFERROR(FIND(";",$G37)-1,999))))+1,1),
MID(TRIM(LEFT($G37,IFERROR(FIND(";",$G37)-1,999))),2,1)
)
)&amp;"-"&amp;TEXT($C37,"yyyy-mm-dd"),
"")</f>
        <v/>
      </c>
      <c r="B37" s="25" t="n"/>
      <c r="C37" s="80" t="n"/>
      <c r="D37" s="77" t="n"/>
      <c r="E37" s="77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16">
        <f>IF($L37&lt;&gt;"","Purpose "&amp;CHAR(10)&amp;$L37&amp;CHAR(10)&amp;CHAR(10),"")&amp;
IF($M37&lt;&gt;"","Stops (in order) "&amp;CHAR(10)&amp;$M37&amp;CHAR(10)&amp;CHAR(10),"")&amp;
IF($N37&lt;&gt;"","To-Do (hard requirements) "&amp;CHAR(10)&amp;$N37&amp;CHAR(10)&amp;CHAR(10),"")&amp;
IF($O37&lt;&gt;"","Suggested Timeline "&amp;CHAR(10)&amp;$O37&amp;CHAR(10)&amp;CHAR(10),"")&amp;
IF($P37&lt;&gt;"","Guardrails "&amp;CHAR(10)&amp;$P37&amp;CHAR(10)&amp;CHAR(10),"")&amp;
IF($Q37&lt;&gt;"","Completion signals "&amp;CHAR(10)&amp;$Q37,"")</f>
        <v/>
      </c>
      <c r="S37" s="25" t="n"/>
      <c r="T37" s="25" t="n"/>
      <c r="U37" s="54" t="n"/>
      <c r="V37" s="54">
        <f>IF($B37="","",IF(_xludf.TEXTJOIN(" | ",TRUE,IF($B37="","Missing Title",""),IF($C37="","Missing Date",""),IF($D37="","Missing Start",""),IF($E37="","Missing End",""),IF($G37="","Missing Required Attendees",""),IF($T37="","Missing Status",""),IF(AND($D37&lt;&gt;"",$E37&lt;&gt;"",$D37&gt;=$E37),"Start&gt;=End",""),IF(OR($R37="",LEN($R37)&lt;60,ISNUMBER(MATCH(TRIM($R37),StatusList,0))),"Body overwritten/short",""))="","OK",_xludf.TEXTJOIN(" | ",TRUE,IF($B37="","Missing Title",""),IF($C37="","Missing Date",""),IF($D37="","Missing Start",""),IF($E37="","Missing End",""),IF($G37="","Missing Required Attendees",""),IF($T37="","Missing Status",""),IF(AND($D37&lt;&gt;"",$E37&lt;&gt;"",$D37&gt;=$E37),"Start&gt;=End",""),IF(OR($R37="",LEN($R37)&lt;60,ISNUMBER(MATCH(TRIM($R37),StatusList,0))),"Body overwritten/short",""))))</f>
        <v/>
      </c>
    </row>
    <row r="38" ht="15" customHeight="1">
      <c r="A38" s="12">
        <f>IF(AND($B38&lt;&gt;"",$C38&lt;&gt;"",$D38&lt;&gt;"",$E38&lt;&gt;"",$G38&lt;&gt;""),
UPPER(
LEFT(TRIM(LEFT($G38,IFERROR(FIND(";",$G38)-1,999))),1)&amp;
IFERROR(
MID(TRIM(LEFT($G38,IFERROR(FIND(";",$G38)-1,999))),
FIND(" ",TRIM(LEFT($G38,IFERROR(FIND(";",$G38)-1,999))))+1,1),
MID(TRIM(LEFT($G38,IFERROR(FIND(";",$G38)-1,999))),2,1)
)
)&amp;"-"&amp;TEXT($C38,"yyyy-mm-dd"),
"")</f>
        <v/>
      </c>
      <c r="B38" s="25" t="n"/>
      <c r="C38" s="80" t="n"/>
      <c r="D38" s="77" t="n"/>
      <c r="E38" s="77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16">
        <f>IF($L38&lt;&gt;"","Purpose "&amp;CHAR(10)&amp;$L38&amp;CHAR(10)&amp;CHAR(10),"")&amp;
IF($M38&lt;&gt;"","Stops (in order) "&amp;CHAR(10)&amp;$M38&amp;CHAR(10)&amp;CHAR(10),"")&amp;
IF($N38&lt;&gt;"","To-Do (hard requirements) "&amp;CHAR(10)&amp;$N38&amp;CHAR(10)&amp;CHAR(10),"")&amp;
IF($O38&lt;&gt;"","Suggested Timeline "&amp;CHAR(10)&amp;$O38&amp;CHAR(10)&amp;CHAR(10),"")&amp;
IF($P38&lt;&gt;"","Guardrails "&amp;CHAR(10)&amp;$P38&amp;CHAR(10)&amp;CHAR(10),"")&amp;
IF($Q38&lt;&gt;"","Completion signals "&amp;CHAR(10)&amp;$Q38,"")</f>
        <v/>
      </c>
      <c r="S38" s="25" t="n"/>
      <c r="T38" s="25" t="n"/>
      <c r="U38" s="54" t="n"/>
      <c r="V38" s="54">
        <f>IF($B38="","",IF(_xludf.TEXTJOIN(" | ",TRUE,IF($B38="","Missing Title",""),IF($C38="","Missing Date",""),IF($D38="","Missing Start",""),IF($E38="","Missing End",""),IF($G38="","Missing Required Attendees",""),IF($T38="","Missing Status",""),IF(AND($D38&lt;&gt;"",$E38&lt;&gt;"",$D38&gt;=$E38),"Start&gt;=End",""),IF(OR($R38="",LEN($R38)&lt;60,ISNUMBER(MATCH(TRIM($R38),StatusList,0))),"Body overwritten/short",""))="","OK",_xludf.TEXTJOIN(" | ",TRUE,IF($B38="","Missing Title",""),IF($C38="","Missing Date",""),IF($D38="","Missing Start",""),IF($E38="","Missing End",""),IF($G38="","Missing Required Attendees",""),IF($T38="","Missing Status",""),IF(AND($D38&lt;&gt;"",$E38&lt;&gt;"",$D38&gt;=$E38),"Start&gt;=End",""),IF(OR($R38="",LEN($R38)&lt;60,ISNUMBER(MATCH(TRIM($R38),StatusList,0))),"Body overwritten/short",""))))</f>
        <v/>
      </c>
    </row>
    <row r="39" ht="15" customHeight="1">
      <c r="A39" s="12">
        <f>IF(AND($B39&lt;&gt;"",$C39&lt;&gt;"",$D39&lt;&gt;"",$E39&lt;&gt;"",$G39&lt;&gt;""),
UPPER(
LEFT(TRIM(LEFT($G39,IFERROR(FIND(";",$G39)-1,999))),1)&amp;
IFERROR(
MID(TRIM(LEFT($G39,IFERROR(FIND(";",$G39)-1,999))),
FIND(" ",TRIM(LEFT($G39,IFERROR(FIND(";",$G39)-1,999))))+1,1),
MID(TRIM(LEFT($G39,IFERROR(FIND(";",$G39)-1,999))),2,1)
)
)&amp;"-"&amp;TEXT($C39,"yyyy-mm-dd"),
"")</f>
        <v/>
      </c>
      <c r="B39" s="25" t="n"/>
      <c r="C39" s="80" t="n"/>
      <c r="D39" s="77" t="n"/>
      <c r="E39" s="77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16">
        <f>IF($L39&lt;&gt;"","Purpose "&amp;CHAR(10)&amp;$L39&amp;CHAR(10)&amp;CHAR(10),"")&amp;
IF($M39&lt;&gt;"","Stops (in order) "&amp;CHAR(10)&amp;$M39&amp;CHAR(10)&amp;CHAR(10),"")&amp;
IF($N39&lt;&gt;"","To-Do (hard requirements) "&amp;CHAR(10)&amp;$N39&amp;CHAR(10)&amp;CHAR(10),"")&amp;
IF($O39&lt;&gt;"","Suggested Timeline "&amp;CHAR(10)&amp;$O39&amp;CHAR(10)&amp;CHAR(10),"")&amp;
IF($P39&lt;&gt;"","Guardrails "&amp;CHAR(10)&amp;$P39&amp;CHAR(10)&amp;CHAR(10),"")&amp;
IF($Q39&lt;&gt;"","Completion signals "&amp;CHAR(10)&amp;$Q39,"")</f>
        <v/>
      </c>
      <c r="S39" s="25" t="n"/>
      <c r="T39" s="25" t="n"/>
      <c r="U39" s="54" t="n"/>
      <c r="V39" s="54">
        <f>IF($B39="","",IF(_xludf.TEXTJOIN(" | ",TRUE,IF($B39="","Missing Title",""),IF($C39="","Missing Date",""),IF($D39="","Missing Start",""),IF($E39="","Missing End",""),IF($G39="","Missing Required Attendees",""),IF($T39="","Missing Status",""),IF(AND($D39&lt;&gt;"",$E39&lt;&gt;"",$D39&gt;=$E39),"Start&gt;=End",""),IF(OR($R39="",LEN($R39)&lt;60,ISNUMBER(MATCH(TRIM($R39),StatusList,0))),"Body overwritten/short",""))="","OK",_xludf.TEXTJOIN(" | ",TRUE,IF($B39="","Missing Title",""),IF($C39="","Missing Date",""),IF($D39="","Missing Start",""),IF($E39="","Missing End",""),IF($G39="","Missing Required Attendees",""),IF($T39="","Missing Status",""),IF(AND($D39&lt;&gt;"",$E39&lt;&gt;"",$D39&gt;=$E39),"Start&gt;=End",""),IF(OR($R39="",LEN($R39)&lt;60,ISNUMBER(MATCH(TRIM($R39),StatusList,0))),"Body overwritten/short",""))))</f>
        <v/>
      </c>
    </row>
    <row r="40" ht="15" customHeight="1">
      <c r="A40" s="12">
        <f>IF(AND($B40&lt;&gt;"",$C40&lt;&gt;"",$D40&lt;&gt;"",$E40&lt;&gt;"",$G40&lt;&gt;""),
UPPER(
LEFT(TRIM(LEFT($G40,IFERROR(FIND(";",$G40)-1,999))),1)&amp;
IFERROR(
MID(TRIM(LEFT($G40,IFERROR(FIND(";",$G40)-1,999))),
FIND(" ",TRIM(LEFT($G40,IFERROR(FIND(";",$G40)-1,999))))+1,1),
MID(TRIM(LEFT($G40,IFERROR(FIND(";",$G40)-1,999))),2,1)
)
)&amp;"-"&amp;TEXT($C40,"yyyy-mm-dd"),
"")</f>
        <v/>
      </c>
      <c r="B40" s="25" t="n"/>
      <c r="C40" s="80" t="n"/>
      <c r="D40" s="77" t="n"/>
      <c r="E40" s="77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16">
        <f>IF($L40&lt;&gt;"","Purpose "&amp;CHAR(10)&amp;$L40&amp;CHAR(10)&amp;CHAR(10),"")&amp;
IF($M40&lt;&gt;"","Stops (in order) "&amp;CHAR(10)&amp;$M40&amp;CHAR(10)&amp;CHAR(10),"")&amp;
IF($N40&lt;&gt;"","To-Do (hard requirements) "&amp;CHAR(10)&amp;$N40&amp;CHAR(10)&amp;CHAR(10),"")&amp;
IF($O40&lt;&gt;"","Suggested Timeline "&amp;CHAR(10)&amp;$O40&amp;CHAR(10)&amp;CHAR(10),"")&amp;
IF($P40&lt;&gt;"","Guardrails "&amp;CHAR(10)&amp;$P40&amp;CHAR(10)&amp;CHAR(10),"")&amp;
IF($Q40&lt;&gt;"","Completion signals "&amp;CHAR(10)&amp;$Q40,"")</f>
        <v/>
      </c>
      <c r="S40" s="25" t="n"/>
      <c r="T40" s="25" t="n"/>
      <c r="U40" s="54" t="n"/>
      <c r="V40" s="54">
        <f>IF($B40="","",IF(_xludf.TEXTJOIN(" | ",TRUE,IF($B40="","Missing Title",""),IF($C40="","Missing Date",""),IF($D40="","Missing Start",""),IF($E40="","Missing End",""),IF($G40="","Missing Required Attendees",""),IF($T40="","Missing Status",""),IF(AND($D40&lt;&gt;"",$E40&lt;&gt;"",$D40&gt;=$E40),"Start&gt;=End",""),IF(OR($R40="",LEN($R40)&lt;60,ISNUMBER(MATCH(TRIM($R40),StatusList,0))),"Body overwritten/short",""))="","OK",_xludf.TEXTJOIN(" | ",TRUE,IF($B40="","Missing Title",""),IF($C40="","Missing Date",""),IF($D40="","Missing Start",""),IF($E40="","Missing End",""),IF($G40="","Missing Required Attendees",""),IF($T40="","Missing Status",""),IF(AND($D40&lt;&gt;"",$E40&lt;&gt;"",$D40&gt;=$E40),"Start&gt;=End",""),IF(OR($R40="",LEN($R40)&lt;60,ISNUMBER(MATCH(TRIM($R40),StatusList,0))),"Body overwritten/short",""))))</f>
        <v/>
      </c>
    </row>
    <row r="41" ht="15" customHeight="1">
      <c r="A41" s="12">
        <f>IF(AND($B41&lt;&gt;"",$C41&lt;&gt;"",$D41&lt;&gt;"",$E41&lt;&gt;"",$G41&lt;&gt;""),
UPPER(
LEFT(TRIM(LEFT($G41,IFERROR(FIND(";",$G41)-1,999))),1)&amp;
IFERROR(
MID(TRIM(LEFT($G41,IFERROR(FIND(";",$G41)-1,999))),
FIND(" ",TRIM(LEFT($G41,IFERROR(FIND(";",$G41)-1,999))))+1,1),
MID(TRIM(LEFT($G41,IFERROR(FIND(";",$G41)-1,999))),2,1)
)
)&amp;"-"&amp;TEXT($C41,"yyyy-mm-dd"),
"")</f>
        <v/>
      </c>
      <c r="B41" s="25" t="n"/>
      <c r="C41" s="80" t="n"/>
      <c r="D41" s="77" t="n"/>
      <c r="E41" s="77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16">
        <f>IF($L41&lt;&gt;"","Purpose "&amp;CHAR(10)&amp;$L41&amp;CHAR(10)&amp;CHAR(10),"")&amp;
IF($M41&lt;&gt;"","Stops (in order) "&amp;CHAR(10)&amp;$M41&amp;CHAR(10)&amp;CHAR(10),"")&amp;
IF($N41&lt;&gt;"","To-Do (hard requirements) "&amp;CHAR(10)&amp;$N41&amp;CHAR(10)&amp;CHAR(10),"")&amp;
IF($O41&lt;&gt;"","Suggested Timeline "&amp;CHAR(10)&amp;$O41&amp;CHAR(10)&amp;CHAR(10),"")&amp;
IF($P41&lt;&gt;"","Guardrails "&amp;CHAR(10)&amp;$P41&amp;CHAR(10)&amp;CHAR(10),"")&amp;
IF($Q41&lt;&gt;"","Completion signals "&amp;CHAR(10)&amp;$Q41,"")</f>
        <v/>
      </c>
      <c r="S41" s="25" t="n"/>
      <c r="T41" s="25" t="n"/>
      <c r="U41" s="54" t="n"/>
      <c r="V41" s="54">
        <f>IF($B41="","",IF(_xludf.TEXTJOIN(" | ",TRUE,IF($B41="","Missing Title",""),IF($C41="","Missing Date",""),IF($D41="","Missing Start",""),IF($E41="","Missing End",""),IF($G41="","Missing Required Attendees",""),IF($T41="","Missing Status",""),IF(AND($D41&lt;&gt;"",$E41&lt;&gt;"",$D41&gt;=$E41),"Start&gt;=End",""),IF(OR($R41="",LEN($R41)&lt;60,ISNUMBER(MATCH(TRIM($R41),StatusList,0))),"Body overwritten/short",""))="","OK",_xludf.TEXTJOIN(" | ",TRUE,IF($B41="","Missing Title",""),IF($C41="","Missing Date",""),IF($D41="","Missing Start",""),IF($E41="","Missing End",""),IF($G41="","Missing Required Attendees",""),IF($T41="","Missing Status",""),IF(AND($D41&lt;&gt;"",$E41&lt;&gt;"",$D41&gt;=$E41),"Start&gt;=End",""),IF(OR($R41="",LEN($R41)&lt;60,ISNUMBER(MATCH(TRIM($R41),StatusList,0))),"Body overwritten/short",""))))</f>
        <v/>
      </c>
    </row>
    <row r="42" ht="15" customHeight="1">
      <c r="A42" s="12">
        <f>IF(AND($B42&lt;&gt;"",$C42&lt;&gt;"",$D42&lt;&gt;"",$E42&lt;&gt;"",$G42&lt;&gt;""),
UPPER(
LEFT(TRIM(LEFT($G42,IFERROR(FIND(";",$G42)-1,999))),1)&amp;
IFERROR(
MID(TRIM(LEFT($G42,IFERROR(FIND(";",$G42)-1,999))),
FIND(" ",TRIM(LEFT($G42,IFERROR(FIND(";",$G42)-1,999))))+1,1),
MID(TRIM(LEFT($G42,IFERROR(FIND(";",$G42)-1,999))),2,1)
)
)&amp;"-"&amp;TEXT($C42,"yyyy-mm-dd"),
"")</f>
        <v/>
      </c>
      <c r="B42" s="25" t="n"/>
      <c r="C42" s="80" t="n"/>
      <c r="D42" s="77" t="n"/>
      <c r="E42" s="77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16">
        <f>IF($L42&lt;&gt;"","Purpose "&amp;CHAR(10)&amp;$L42&amp;CHAR(10)&amp;CHAR(10),"")&amp;
IF($M42&lt;&gt;"","Stops (in order) "&amp;CHAR(10)&amp;$M42&amp;CHAR(10)&amp;CHAR(10),"")&amp;
IF($N42&lt;&gt;"","To-Do (hard requirements) "&amp;CHAR(10)&amp;$N42&amp;CHAR(10)&amp;CHAR(10),"")&amp;
IF($O42&lt;&gt;"","Suggested Timeline "&amp;CHAR(10)&amp;$O42&amp;CHAR(10)&amp;CHAR(10),"")&amp;
IF($P42&lt;&gt;"","Guardrails "&amp;CHAR(10)&amp;$P42&amp;CHAR(10)&amp;CHAR(10),"")&amp;
IF($Q42&lt;&gt;"","Completion signals "&amp;CHAR(10)&amp;$Q42,"")</f>
        <v/>
      </c>
      <c r="S42" s="25" t="n"/>
      <c r="T42" s="25" t="n"/>
      <c r="U42" s="54" t="n"/>
      <c r="V42" s="54">
        <f>IF($B42="","",IF(_xludf.TEXTJOIN(" | ",TRUE,IF($B42="","Missing Title",""),IF($C42="","Missing Date",""),IF($D42="","Missing Start",""),IF($E42="","Missing End",""),IF($G42="","Missing Required Attendees",""),IF($T42="","Missing Status",""),IF(AND($D42&lt;&gt;"",$E42&lt;&gt;"",$D42&gt;=$E42),"Start&gt;=End",""),IF(OR($R42="",LEN($R42)&lt;60,ISNUMBER(MATCH(TRIM($R42),StatusList,0))),"Body overwritten/short",""))="","OK",_xludf.TEXTJOIN(" | ",TRUE,IF($B42="","Missing Title",""),IF($C42="","Missing Date",""),IF($D42="","Missing Start",""),IF($E42="","Missing End",""),IF($G42="","Missing Required Attendees",""),IF($T42="","Missing Status",""),IF(AND($D42&lt;&gt;"",$E42&lt;&gt;"",$D42&gt;=$E42),"Start&gt;=End",""),IF(OR($R42="",LEN($R42)&lt;60,ISNUMBER(MATCH(TRIM($R42),StatusList,0))),"Body overwritten/short",""))))</f>
        <v/>
      </c>
    </row>
    <row r="43" ht="15" customHeight="1">
      <c r="A43" s="12">
        <f>IF(AND($B43&lt;&gt;"",$C43&lt;&gt;"",$D43&lt;&gt;"",$E43&lt;&gt;"",$G43&lt;&gt;""),
UPPER(
LEFT(TRIM(LEFT($G43,IFERROR(FIND(";",$G43)-1,999))),1)&amp;
IFERROR(
MID(TRIM(LEFT($G43,IFERROR(FIND(";",$G43)-1,999))),
FIND(" ",TRIM(LEFT($G43,IFERROR(FIND(";",$G43)-1,999))))+1,1),
MID(TRIM(LEFT($G43,IFERROR(FIND(";",$G43)-1,999))),2,1)
)
)&amp;"-"&amp;TEXT($C43,"yyyy-mm-dd"),
"")</f>
        <v/>
      </c>
      <c r="B43" s="25" t="n"/>
      <c r="C43" s="80" t="n"/>
      <c r="D43" s="77" t="n"/>
      <c r="E43" s="77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16">
        <f>IF($L43&lt;&gt;"","Purpose "&amp;CHAR(10)&amp;$L43&amp;CHAR(10)&amp;CHAR(10),"")&amp;
IF($M43&lt;&gt;"","Stops (in order) "&amp;CHAR(10)&amp;$M43&amp;CHAR(10)&amp;CHAR(10),"")&amp;
IF($N43&lt;&gt;"","To-Do (hard requirements) "&amp;CHAR(10)&amp;$N43&amp;CHAR(10)&amp;CHAR(10),"")&amp;
IF($O43&lt;&gt;"","Suggested Timeline "&amp;CHAR(10)&amp;$O43&amp;CHAR(10)&amp;CHAR(10),"")&amp;
IF($P43&lt;&gt;"","Guardrails "&amp;CHAR(10)&amp;$P43&amp;CHAR(10)&amp;CHAR(10),"")&amp;
IF($Q43&lt;&gt;"","Completion signals "&amp;CHAR(10)&amp;$Q43,"")</f>
        <v/>
      </c>
      <c r="S43" s="25" t="n"/>
      <c r="T43" s="25" t="n"/>
      <c r="U43" s="54" t="n"/>
      <c r="V43" s="54">
        <f>IF($B43="","",IF(_xludf.TEXTJOIN(" | ",TRUE,IF($B43="","Missing Title",""),IF($C43="","Missing Date",""),IF($D43="","Missing Start",""),IF($E43="","Missing End",""),IF($G43="","Missing Required Attendees",""),IF($T43="","Missing Status",""),IF(AND($D43&lt;&gt;"",$E43&lt;&gt;"",$D43&gt;=$E43),"Start&gt;=End",""),IF(OR($R43="",LEN($R43)&lt;60,ISNUMBER(MATCH(TRIM($R43),StatusList,0))),"Body overwritten/short",""))="","OK",_xludf.TEXTJOIN(" | ",TRUE,IF($B43="","Missing Title",""),IF($C43="","Missing Date",""),IF($D43="","Missing Start",""),IF($E43="","Missing End",""),IF($G43="","Missing Required Attendees",""),IF($T43="","Missing Status",""),IF(AND($D43&lt;&gt;"",$E43&lt;&gt;"",$D43&gt;=$E43),"Start&gt;=End",""),IF(OR($R43="",LEN($R43)&lt;60,ISNUMBER(MATCH(TRIM($R43),StatusList,0))),"Body overwritten/short",""))))</f>
        <v/>
      </c>
    </row>
    <row r="44" ht="15" customHeight="1">
      <c r="A44" s="12">
        <f>IF(AND($B44&lt;&gt;"",$C44&lt;&gt;"",$D44&lt;&gt;"",$E44&lt;&gt;"",$G44&lt;&gt;""),
UPPER(
LEFT(TRIM(LEFT($G44,IFERROR(FIND(";",$G44)-1,999))),1)&amp;
IFERROR(
MID(TRIM(LEFT($G44,IFERROR(FIND(";",$G44)-1,999))),
FIND(" ",TRIM(LEFT($G44,IFERROR(FIND(";",$G44)-1,999))))+1,1),
MID(TRIM(LEFT($G44,IFERROR(FIND(";",$G44)-1,999))),2,1)
)
)&amp;"-"&amp;TEXT($C44,"yyyy-mm-dd"),
"")</f>
        <v/>
      </c>
      <c r="B44" s="25" t="n"/>
      <c r="C44" s="80" t="n"/>
      <c r="D44" s="77" t="n"/>
      <c r="E44" s="77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16">
        <f>IF($L44&lt;&gt;"","Purpose "&amp;CHAR(10)&amp;$L44&amp;CHAR(10)&amp;CHAR(10),"")&amp;
IF($M44&lt;&gt;"","Stops (in order) "&amp;CHAR(10)&amp;$M44&amp;CHAR(10)&amp;CHAR(10),"")&amp;
IF($N44&lt;&gt;"","To-Do (hard requirements) "&amp;CHAR(10)&amp;$N44&amp;CHAR(10)&amp;CHAR(10),"")&amp;
IF($O44&lt;&gt;"","Suggested Timeline "&amp;CHAR(10)&amp;$O44&amp;CHAR(10)&amp;CHAR(10),"")&amp;
IF($P44&lt;&gt;"","Guardrails "&amp;CHAR(10)&amp;$P44&amp;CHAR(10)&amp;CHAR(10),"")&amp;
IF($Q44&lt;&gt;"","Completion signals "&amp;CHAR(10)&amp;$Q44,"")</f>
        <v/>
      </c>
      <c r="S44" s="25" t="n"/>
      <c r="T44" s="25" t="n"/>
      <c r="U44" s="54" t="n"/>
      <c r="V44" s="54">
        <f>IF($B44="","",IF(_xludf.TEXTJOIN(" | ",TRUE,IF($B44="","Missing Title",""),IF($C44="","Missing Date",""),IF($D44="","Missing Start",""),IF($E44="","Missing End",""),IF($G44="","Missing Required Attendees",""),IF($T44="","Missing Status",""),IF(AND($D44&lt;&gt;"",$E44&lt;&gt;"",$D44&gt;=$E44),"Start&gt;=End",""),IF(OR($R44="",LEN($R44)&lt;60,ISNUMBER(MATCH(TRIM($R44),StatusList,0))),"Body overwritten/short",""))="","OK",_xludf.TEXTJOIN(" | ",TRUE,IF($B44="","Missing Title",""),IF($C44="","Missing Date",""),IF($D44="","Missing Start",""),IF($E44="","Missing End",""),IF($G44="","Missing Required Attendees",""),IF($T44="","Missing Status",""),IF(AND($D44&lt;&gt;"",$E44&lt;&gt;"",$D44&gt;=$E44),"Start&gt;=End",""),IF(OR($R44="",LEN($R44)&lt;60,ISNUMBER(MATCH(TRIM($R44),StatusList,0))),"Body overwritten/short",""))))</f>
        <v/>
      </c>
    </row>
    <row r="45" ht="15" customHeight="1">
      <c r="A45" s="12">
        <f>IF(AND($B45&lt;&gt;"",$C45&lt;&gt;"",$D45&lt;&gt;"",$E45&lt;&gt;"",$G45&lt;&gt;""),
UPPER(
LEFT(TRIM(LEFT($G45,IFERROR(FIND(";",$G45)-1,999))),1)&amp;
IFERROR(
MID(TRIM(LEFT($G45,IFERROR(FIND(";",$G45)-1,999))),
FIND(" ",TRIM(LEFT($G45,IFERROR(FIND(";",$G45)-1,999))))+1,1),
MID(TRIM(LEFT($G45,IFERROR(FIND(";",$G45)-1,999))),2,1)
)
)&amp;"-"&amp;TEXT($C45,"yyyy-mm-dd"),
"")</f>
        <v/>
      </c>
      <c r="B45" s="25" t="n"/>
      <c r="C45" s="80" t="n"/>
      <c r="D45" s="77" t="n"/>
      <c r="E45" s="77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16">
        <f>IF($L45&lt;&gt;"","Purpose "&amp;CHAR(10)&amp;$L45&amp;CHAR(10)&amp;CHAR(10),"")&amp;
IF($M45&lt;&gt;"","Stops (in order) "&amp;CHAR(10)&amp;$M45&amp;CHAR(10)&amp;CHAR(10),"")&amp;
IF($N45&lt;&gt;"","To-Do (hard requirements) "&amp;CHAR(10)&amp;$N45&amp;CHAR(10)&amp;CHAR(10),"")&amp;
IF($O45&lt;&gt;"","Suggested Timeline "&amp;CHAR(10)&amp;$O45&amp;CHAR(10)&amp;CHAR(10),"")&amp;
IF($P45&lt;&gt;"","Guardrails "&amp;CHAR(10)&amp;$P45&amp;CHAR(10)&amp;CHAR(10),"")&amp;
IF($Q45&lt;&gt;"","Completion signals "&amp;CHAR(10)&amp;$Q45,"")</f>
        <v/>
      </c>
      <c r="S45" s="25" t="n"/>
      <c r="T45" s="25" t="n"/>
      <c r="U45" s="54" t="n"/>
      <c r="V45" s="54">
        <f>IF($B45="","",IF(_xludf.TEXTJOIN(" | ",TRUE,IF($B45="","Missing Title",""),IF($C45="","Missing Date",""),IF($D45="","Missing Start",""),IF($E45="","Missing End",""),IF($G45="","Missing Required Attendees",""),IF($T45="","Missing Status",""),IF(AND($D45&lt;&gt;"",$E45&lt;&gt;"",$D45&gt;=$E45),"Start&gt;=End",""),IF(OR($R45="",LEN($R45)&lt;60,ISNUMBER(MATCH(TRIM($R45),StatusList,0))),"Body overwritten/short",""))="","OK",_xludf.TEXTJOIN(" | ",TRUE,IF($B45="","Missing Title",""),IF($C45="","Missing Date",""),IF($D45="","Missing Start",""),IF($E45="","Missing End",""),IF($G45="","Missing Required Attendees",""),IF($T45="","Missing Status",""),IF(AND($D45&lt;&gt;"",$E45&lt;&gt;"",$D45&gt;=$E45),"Start&gt;=End",""),IF(OR($R45="",LEN($R45)&lt;60,ISNUMBER(MATCH(TRIM($R45),StatusList,0))),"Body overwritten/short",""))))</f>
        <v/>
      </c>
    </row>
    <row r="46" ht="15" customHeight="1">
      <c r="A46" s="12">
        <f>IF(AND($B46&lt;&gt;"",$C46&lt;&gt;"",$D46&lt;&gt;"",$E46&lt;&gt;"",$G46&lt;&gt;""),
UPPER(
LEFT(TRIM(LEFT($G46,IFERROR(FIND(";",$G46)-1,999))),1)&amp;
IFERROR(
MID(TRIM(LEFT($G46,IFERROR(FIND(";",$G46)-1,999))),
FIND(" ",TRIM(LEFT($G46,IFERROR(FIND(";",$G46)-1,999))))+1,1),
MID(TRIM(LEFT($G46,IFERROR(FIND(";",$G46)-1,999))),2,1)
)
)&amp;"-"&amp;TEXT($C46,"yyyy-mm-dd"),
"")</f>
        <v/>
      </c>
      <c r="B46" s="25" t="n"/>
      <c r="C46" s="80" t="n"/>
      <c r="D46" s="77" t="n"/>
      <c r="E46" s="77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16">
        <f>IF($L46&lt;&gt;"","Purpose "&amp;CHAR(10)&amp;$L46&amp;CHAR(10)&amp;CHAR(10),"")&amp;
IF($M46&lt;&gt;"","Stops (in order) "&amp;CHAR(10)&amp;$M46&amp;CHAR(10)&amp;CHAR(10),"")&amp;
IF($N46&lt;&gt;"","To-Do (hard requirements) "&amp;CHAR(10)&amp;$N46&amp;CHAR(10)&amp;CHAR(10),"")&amp;
IF($O46&lt;&gt;"","Suggested Timeline "&amp;CHAR(10)&amp;$O46&amp;CHAR(10)&amp;CHAR(10),"")&amp;
IF($P46&lt;&gt;"","Guardrails "&amp;CHAR(10)&amp;$P46&amp;CHAR(10)&amp;CHAR(10),"")&amp;
IF($Q46&lt;&gt;"","Completion signals "&amp;CHAR(10)&amp;$Q46,"")</f>
        <v/>
      </c>
      <c r="S46" s="25" t="n"/>
      <c r="T46" s="25" t="n"/>
      <c r="U46" s="54" t="n"/>
      <c r="V46" s="54">
        <f>IF($B46="","",IF(_xludf.TEXTJOIN(" | ",TRUE,IF($B46="","Missing Title",""),IF($C46="","Missing Date",""),IF($D46="","Missing Start",""),IF($E46="","Missing End",""),IF($G46="","Missing Required Attendees",""),IF($T46="","Missing Status",""),IF(AND($D46&lt;&gt;"",$E46&lt;&gt;"",$D46&gt;=$E46),"Start&gt;=End",""),IF(OR($R46="",LEN($R46)&lt;60,ISNUMBER(MATCH(TRIM($R46),StatusList,0))),"Body overwritten/short",""))="","OK",_xludf.TEXTJOIN(" | ",TRUE,IF($B46="","Missing Title",""),IF($C46="","Missing Date",""),IF($D46="","Missing Start",""),IF($E46="","Missing End",""),IF($G46="","Missing Required Attendees",""),IF($T46="","Missing Status",""),IF(AND($D46&lt;&gt;"",$E46&lt;&gt;"",$D46&gt;=$E46),"Start&gt;=End",""),IF(OR($R46="",LEN($R46)&lt;60,ISNUMBER(MATCH(TRIM($R46),StatusList,0))),"Body overwritten/short",""))))</f>
        <v/>
      </c>
    </row>
    <row r="47" ht="15" customHeight="1">
      <c r="A47" s="12">
        <f>IF(AND($B47&lt;&gt;"",$C47&lt;&gt;"",$D47&lt;&gt;"",$E47&lt;&gt;"",$G47&lt;&gt;""),
UPPER(
LEFT(TRIM(LEFT($G47,IFERROR(FIND(";",$G47)-1,999))),1)&amp;
IFERROR(
MID(TRIM(LEFT($G47,IFERROR(FIND(";",$G47)-1,999))),
FIND(" ",TRIM(LEFT($G47,IFERROR(FIND(";",$G47)-1,999))))+1,1),
MID(TRIM(LEFT($G47,IFERROR(FIND(";",$G47)-1,999))),2,1)
)
)&amp;"-"&amp;TEXT($C47,"yyyy-mm-dd"),
"")</f>
        <v/>
      </c>
      <c r="B47" s="25" t="n"/>
      <c r="C47" s="80" t="n"/>
      <c r="D47" s="77" t="n"/>
      <c r="E47" s="77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16">
        <f>IF($L47&lt;&gt;"","Purpose "&amp;CHAR(10)&amp;$L47&amp;CHAR(10)&amp;CHAR(10),"")&amp;
IF($M47&lt;&gt;"","Stops (in order) "&amp;CHAR(10)&amp;$M47&amp;CHAR(10)&amp;CHAR(10),"")&amp;
IF($N47&lt;&gt;"","To-Do (hard requirements) "&amp;CHAR(10)&amp;$N47&amp;CHAR(10)&amp;CHAR(10),"")&amp;
IF($O47&lt;&gt;"","Suggested Timeline "&amp;CHAR(10)&amp;$O47&amp;CHAR(10)&amp;CHAR(10),"")&amp;
IF($P47&lt;&gt;"","Guardrails "&amp;CHAR(10)&amp;$P47&amp;CHAR(10)&amp;CHAR(10),"")&amp;
IF($Q47&lt;&gt;"","Completion signals "&amp;CHAR(10)&amp;$Q47,"")</f>
        <v/>
      </c>
      <c r="S47" s="25" t="n"/>
      <c r="T47" s="25" t="n"/>
      <c r="U47" s="54" t="n"/>
      <c r="V47" s="54">
        <f>IF($B47="","",IF(_xludf.TEXTJOIN(" | ",TRUE,IF($B47="","Missing Title",""),IF($C47="","Missing Date",""),IF($D47="","Missing Start",""),IF($E47="","Missing End",""),IF($G47="","Missing Required Attendees",""),IF($T47="","Missing Status",""),IF(AND($D47&lt;&gt;"",$E47&lt;&gt;"",$D47&gt;=$E47),"Start&gt;=End",""),IF(OR($R47="",LEN($R47)&lt;60,ISNUMBER(MATCH(TRIM($R47),StatusList,0))),"Body overwritten/short",""))="","OK",_xludf.TEXTJOIN(" | ",TRUE,IF($B47="","Missing Title",""),IF($C47="","Missing Date",""),IF($D47="","Missing Start",""),IF($E47="","Missing End",""),IF($G47="","Missing Required Attendees",""),IF($T47="","Missing Status",""),IF(AND($D47&lt;&gt;"",$E47&lt;&gt;"",$D47&gt;=$E47),"Start&gt;=End",""),IF(OR($R47="",LEN($R47)&lt;60,ISNUMBER(MATCH(TRIM($R47),StatusList,0))),"Body overwritten/short",""))))</f>
        <v/>
      </c>
    </row>
    <row r="48" ht="15" customHeight="1">
      <c r="A48" s="12">
        <f>IF(AND($B48&lt;&gt;"",$C48&lt;&gt;"",$D48&lt;&gt;"",$E48&lt;&gt;"",$G48&lt;&gt;""),
UPPER(
LEFT(TRIM(LEFT($G48,IFERROR(FIND(";",$G48)-1,999))),1)&amp;
IFERROR(
MID(TRIM(LEFT($G48,IFERROR(FIND(";",$G48)-1,999))),
FIND(" ",TRIM(LEFT($G48,IFERROR(FIND(";",$G48)-1,999))))+1,1),
MID(TRIM(LEFT($G48,IFERROR(FIND(";",$G48)-1,999))),2,1)
)
)&amp;"-"&amp;TEXT($C48,"yyyy-mm-dd"),
"")</f>
        <v/>
      </c>
      <c r="B48" s="25" t="n"/>
      <c r="C48" s="80" t="n"/>
      <c r="D48" s="77" t="n"/>
      <c r="E48" s="77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16">
        <f>IF($L48&lt;&gt;"","Purpose "&amp;CHAR(10)&amp;$L48&amp;CHAR(10)&amp;CHAR(10),"")&amp;
IF($M48&lt;&gt;"","Stops (in order) "&amp;CHAR(10)&amp;$M48&amp;CHAR(10)&amp;CHAR(10),"")&amp;
IF($N48&lt;&gt;"","To-Do (hard requirements) "&amp;CHAR(10)&amp;$N48&amp;CHAR(10)&amp;CHAR(10),"")&amp;
IF($O48&lt;&gt;"","Suggested Timeline "&amp;CHAR(10)&amp;$O48&amp;CHAR(10)&amp;CHAR(10),"")&amp;
IF($P48&lt;&gt;"","Guardrails "&amp;CHAR(10)&amp;$P48&amp;CHAR(10)&amp;CHAR(10),"")&amp;
IF($Q48&lt;&gt;"","Completion signals "&amp;CHAR(10)&amp;$Q48,"")</f>
        <v/>
      </c>
      <c r="S48" s="25" t="n"/>
      <c r="T48" s="25" t="n"/>
      <c r="U48" s="54" t="n"/>
      <c r="V48" s="54">
        <f>IF($B48="","",IF(_xludf.TEXTJOIN(" | ",TRUE,IF($B48="","Missing Title",""),IF($C48="","Missing Date",""),IF($D48="","Missing Start",""),IF($E48="","Missing End",""),IF($G48="","Missing Required Attendees",""),IF($T48="","Missing Status",""),IF(AND($D48&lt;&gt;"",$E48&lt;&gt;"",$D48&gt;=$E48),"Start&gt;=End",""),IF(OR($R48="",LEN($R48)&lt;60,ISNUMBER(MATCH(TRIM($R48),StatusList,0))),"Body overwritten/short",""))="","OK",_xludf.TEXTJOIN(" | ",TRUE,IF($B48="","Missing Title",""),IF($C48="","Missing Date",""),IF($D48="","Missing Start",""),IF($E48="","Missing End",""),IF($G48="","Missing Required Attendees",""),IF($T48="","Missing Status",""),IF(AND($D48&lt;&gt;"",$E48&lt;&gt;"",$D48&gt;=$E48),"Start&gt;=End",""),IF(OR($R48="",LEN($R48)&lt;60,ISNUMBER(MATCH(TRIM($R48),StatusList,0))),"Body overwritten/short",""))))</f>
        <v/>
      </c>
    </row>
    <row r="49" ht="15" customHeight="1">
      <c r="A49" s="12">
        <f>IF(AND($B49&lt;&gt;"",$C49&lt;&gt;"",$D49&lt;&gt;"",$E49&lt;&gt;"",$G49&lt;&gt;""),
UPPER(
LEFT(TRIM(LEFT($G49,IFERROR(FIND(";",$G49)-1,999))),1)&amp;
IFERROR(
MID(TRIM(LEFT($G49,IFERROR(FIND(";",$G49)-1,999))),
FIND(" ",TRIM(LEFT($G49,IFERROR(FIND(";",$G49)-1,999))))+1,1),
MID(TRIM(LEFT($G49,IFERROR(FIND(";",$G49)-1,999))),2,1)
)
)&amp;"-"&amp;TEXT($C49,"yyyy-mm-dd"),
"")</f>
        <v/>
      </c>
      <c r="B49" s="25" t="n"/>
      <c r="C49" s="80" t="n"/>
      <c r="D49" s="77" t="n"/>
      <c r="E49" s="77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16">
        <f>IF($L49&lt;&gt;"","Purpose "&amp;CHAR(10)&amp;$L49&amp;CHAR(10)&amp;CHAR(10),"")&amp;
IF($M49&lt;&gt;"","Stops (in order) "&amp;CHAR(10)&amp;$M49&amp;CHAR(10)&amp;CHAR(10),"")&amp;
IF($N49&lt;&gt;"","To-Do (hard requirements) "&amp;CHAR(10)&amp;$N49&amp;CHAR(10)&amp;CHAR(10),"")&amp;
IF($O49&lt;&gt;"","Suggested Timeline "&amp;CHAR(10)&amp;$O49&amp;CHAR(10)&amp;CHAR(10),"")&amp;
IF($P49&lt;&gt;"","Guardrails "&amp;CHAR(10)&amp;$P49&amp;CHAR(10)&amp;CHAR(10),"")&amp;
IF($Q49&lt;&gt;"","Completion signals "&amp;CHAR(10)&amp;$Q49,"")</f>
        <v/>
      </c>
      <c r="S49" s="25" t="n"/>
      <c r="T49" s="25" t="n"/>
      <c r="U49" s="54" t="n"/>
      <c r="V49" s="54">
        <f>IF($B49="","",IF(_xludf.TEXTJOIN(" | ",TRUE,IF($B49="","Missing Title",""),IF($C49="","Missing Date",""),IF($D49="","Missing Start",""),IF($E49="","Missing End",""),IF($G49="","Missing Required Attendees",""),IF($T49="","Missing Status",""),IF(AND($D49&lt;&gt;"",$E49&lt;&gt;"",$D49&gt;=$E49),"Start&gt;=End",""),IF(OR($R49="",LEN($R49)&lt;60,ISNUMBER(MATCH(TRIM($R49),StatusList,0))),"Body overwritten/short",""))="","OK",_xludf.TEXTJOIN(" | ",TRUE,IF($B49="","Missing Title",""),IF($C49="","Missing Date",""),IF($D49="","Missing Start",""),IF($E49="","Missing End",""),IF($G49="","Missing Required Attendees",""),IF($T49="","Missing Status",""),IF(AND($D49&lt;&gt;"",$E49&lt;&gt;"",$D49&gt;=$E49),"Start&gt;=End",""),IF(OR($R49="",LEN($R49)&lt;60,ISNUMBER(MATCH(TRIM($R49),StatusList,0))),"Body overwritten/short",""))))</f>
        <v/>
      </c>
    </row>
    <row r="50" ht="15" customHeight="1">
      <c r="A50" s="12">
        <f>IF(AND($B50&lt;&gt;"",$C50&lt;&gt;"",$D50&lt;&gt;"",$E50&lt;&gt;"",$G50&lt;&gt;""),
UPPER(
LEFT(TRIM(LEFT($G50,IFERROR(FIND(";",$G50)-1,999))),1)&amp;
IFERROR(
MID(TRIM(LEFT($G50,IFERROR(FIND(";",$G50)-1,999))),
FIND(" ",TRIM(LEFT($G50,IFERROR(FIND(";",$G50)-1,999))))+1,1),
MID(TRIM(LEFT($G50,IFERROR(FIND(";",$G50)-1,999))),2,1)
)
)&amp;"-"&amp;TEXT($C50,"yyyy-mm-dd"),
"")</f>
        <v/>
      </c>
      <c r="B50" s="25" t="n"/>
      <c r="C50" s="80" t="n"/>
      <c r="D50" s="77" t="n"/>
      <c r="E50" s="77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16">
        <f>IF($L50&lt;&gt;"","Purpose "&amp;CHAR(10)&amp;$L50&amp;CHAR(10)&amp;CHAR(10),"")&amp;
IF($M50&lt;&gt;"","Stops (in order) "&amp;CHAR(10)&amp;$M50&amp;CHAR(10)&amp;CHAR(10),"")&amp;
IF($N50&lt;&gt;"","To-Do (hard requirements) "&amp;CHAR(10)&amp;$N50&amp;CHAR(10)&amp;CHAR(10),"")&amp;
IF($O50&lt;&gt;"","Suggested Timeline "&amp;CHAR(10)&amp;$O50&amp;CHAR(10)&amp;CHAR(10),"")&amp;
IF($P50&lt;&gt;"","Guardrails "&amp;CHAR(10)&amp;$P50&amp;CHAR(10)&amp;CHAR(10),"")&amp;
IF($Q50&lt;&gt;"","Completion signals "&amp;CHAR(10)&amp;$Q50,"")</f>
        <v/>
      </c>
      <c r="S50" s="25" t="n"/>
      <c r="T50" s="25" t="n"/>
      <c r="U50" s="54" t="n"/>
      <c r="V50" s="54">
        <f>IF($B50="","",IF(_xludf.TEXTJOIN(" | ",TRUE,IF($B50="","Missing Title",""),IF($C50="","Missing Date",""),IF($D50="","Missing Start",""),IF($E50="","Missing End",""),IF($G50="","Missing Required Attendees",""),IF($T50="","Missing Status",""),IF(AND($D50&lt;&gt;"",$E50&lt;&gt;"",$D50&gt;=$E50),"Start&gt;=End",""),IF(OR($R50="",LEN($R50)&lt;60,ISNUMBER(MATCH(TRIM($R50),StatusList,0))),"Body overwritten/short",""))="","OK",_xludf.TEXTJOIN(" | ",TRUE,IF($B50="","Missing Title",""),IF($C50="","Missing Date",""),IF($D50="","Missing Start",""),IF($E50="","Missing End",""),IF($G50="","Missing Required Attendees",""),IF($T50="","Missing Status",""),IF(AND($D50&lt;&gt;"",$E50&lt;&gt;"",$D50&gt;=$E50),"Start&gt;=End",""),IF(OR($R50="",LEN($R50)&lt;60,ISNUMBER(MATCH(TRIM($R50),StatusList,0))),"Body overwritten/short",""))))</f>
        <v/>
      </c>
    </row>
    <row r="51" ht="15" customHeight="1">
      <c r="A51" s="12">
        <f>IF(AND($B51&lt;&gt;"",$C51&lt;&gt;"",$D51&lt;&gt;"",$E51&lt;&gt;"",$G51&lt;&gt;""),
UPPER(
LEFT(TRIM(LEFT($G51,IFERROR(FIND(";",$G51)-1,999))),1)&amp;
IFERROR(
MID(TRIM(LEFT($G51,IFERROR(FIND(";",$G51)-1,999))),
FIND(" ",TRIM(LEFT($G51,IFERROR(FIND(";",$G51)-1,999))))+1,1),
MID(TRIM(LEFT($G51,IFERROR(FIND(";",$G51)-1,999))),2,1)
)
)&amp;"-"&amp;TEXT($C51,"yyyy-mm-dd"),
"")</f>
        <v/>
      </c>
      <c r="B51" s="25" t="n"/>
      <c r="C51" s="80" t="n"/>
      <c r="D51" s="77" t="n"/>
      <c r="E51" s="77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16">
        <f>IF($L51&lt;&gt;"","Purpose "&amp;CHAR(10)&amp;$L51&amp;CHAR(10)&amp;CHAR(10),"")&amp;
IF($M51&lt;&gt;"","Stops (in order) "&amp;CHAR(10)&amp;$M51&amp;CHAR(10)&amp;CHAR(10),"")&amp;
IF($N51&lt;&gt;"","To-Do (hard requirements) "&amp;CHAR(10)&amp;$N51&amp;CHAR(10)&amp;CHAR(10),"")&amp;
IF($O51&lt;&gt;"","Suggested Timeline "&amp;CHAR(10)&amp;$O51&amp;CHAR(10)&amp;CHAR(10),"")&amp;
IF($P51&lt;&gt;"","Guardrails "&amp;CHAR(10)&amp;$P51&amp;CHAR(10)&amp;CHAR(10),"")&amp;
IF($Q51&lt;&gt;"","Completion signals "&amp;CHAR(10)&amp;$Q51,"")</f>
        <v/>
      </c>
      <c r="S51" s="25" t="n"/>
      <c r="T51" s="25" t="n"/>
      <c r="U51" s="54" t="n"/>
      <c r="V51" s="54">
        <f>IF($B51="","",IF(_xludf.TEXTJOIN(" | ",TRUE,IF($B51="","Missing Title",""),IF($C51="","Missing Date",""),IF($D51="","Missing Start",""),IF($E51="","Missing End",""),IF($G51="","Missing Required Attendees",""),IF($T51="","Missing Status",""),IF(AND($D51&lt;&gt;"",$E51&lt;&gt;"",$D51&gt;=$E51),"Start&gt;=End",""),IF(OR($R51="",LEN($R51)&lt;60,ISNUMBER(MATCH(TRIM($R51),StatusList,0))),"Body overwritten/short",""))="","OK",_xludf.TEXTJOIN(" | ",TRUE,IF($B51="","Missing Title",""),IF($C51="","Missing Date",""),IF($D51="","Missing Start",""),IF($E51="","Missing End",""),IF($G51="","Missing Required Attendees",""),IF($T51="","Missing Status",""),IF(AND($D51&lt;&gt;"",$E51&lt;&gt;"",$D51&gt;=$E51),"Start&gt;=End",""),IF(OR($R51="",LEN($R51)&lt;60,ISNUMBER(MATCH(TRIM($R51),StatusList,0))),"Body overwritten/short",""))))</f>
        <v/>
      </c>
    </row>
    <row r="52" ht="15" customHeight="1">
      <c r="A52" s="12">
        <f>IF(AND($B52&lt;&gt;"",$C52&lt;&gt;"",$D52&lt;&gt;"",$E52&lt;&gt;"",$G52&lt;&gt;""),
UPPER(
LEFT(TRIM(LEFT($G52,IFERROR(FIND(";",$G52)-1,999))),1)&amp;
IFERROR(
MID(TRIM(LEFT($G52,IFERROR(FIND(";",$G52)-1,999))),
FIND(" ",TRIM(LEFT($G52,IFERROR(FIND(";",$G52)-1,999))))+1,1),
MID(TRIM(LEFT($G52,IFERROR(FIND(";",$G52)-1,999))),2,1)
)
)&amp;"-"&amp;TEXT($C52,"yyyy-mm-dd"),
"")</f>
        <v/>
      </c>
      <c r="B52" s="25" t="n"/>
      <c r="C52" s="80" t="n"/>
      <c r="D52" s="77" t="n"/>
      <c r="E52" s="77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16">
        <f>IF($L52&lt;&gt;"","Purpose "&amp;CHAR(10)&amp;$L52&amp;CHAR(10)&amp;CHAR(10),"")&amp;
IF($M52&lt;&gt;"","Stops (in order) "&amp;CHAR(10)&amp;$M52&amp;CHAR(10)&amp;CHAR(10),"")&amp;
IF($N52&lt;&gt;"","To-Do (hard requirements) "&amp;CHAR(10)&amp;$N52&amp;CHAR(10)&amp;CHAR(10),"")&amp;
IF($O52&lt;&gt;"","Suggested Timeline "&amp;CHAR(10)&amp;$O52&amp;CHAR(10)&amp;CHAR(10),"")&amp;
IF($P52&lt;&gt;"","Guardrails "&amp;CHAR(10)&amp;$P52&amp;CHAR(10)&amp;CHAR(10),"")&amp;
IF($Q52&lt;&gt;"","Completion signals "&amp;CHAR(10)&amp;$Q52,"")</f>
        <v/>
      </c>
      <c r="S52" s="25" t="n"/>
      <c r="T52" s="25" t="n"/>
      <c r="U52" s="54" t="n"/>
      <c r="V52" s="54">
        <f>IF($B52="","",IF(_xludf.TEXTJOIN(" | ",TRUE,IF($B52="","Missing Title",""),IF($C52="","Missing Date",""),IF($D52="","Missing Start",""),IF($E52="","Missing End",""),IF($G52="","Missing Required Attendees",""),IF($T52="","Missing Status",""),IF(AND($D52&lt;&gt;"",$E52&lt;&gt;"",$D52&gt;=$E52),"Start&gt;=End",""),IF(OR($R52="",LEN($R52)&lt;60,ISNUMBER(MATCH(TRIM($R52),StatusList,0))),"Body overwritten/short",""))="","OK",_xludf.TEXTJOIN(" | ",TRUE,IF($B52="","Missing Title",""),IF($C52="","Missing Date",""),IF($D52="","Missing Start",""),IF($E52="","Missing End",""),IF($G52="","Missing Required Attendees",""),IF($T52="","Missing Status",""),IF(AND($D52&lt;&gt;"",$E52&lt;&gt;"",$D52&gt;=$E52),"Start&gt;=End",""),IF(OR($R52="",LEN($R52)&lt;60,ISNUMBER(MATCH(TRIM($R52),StatusList,0))),"Body overwritten/short",""))))</f>
        <v/>
      </c>
    </row>
    <row r="53" ht="15" customHeight="1">
      <c r="A53" s="12">
        <f>IF(AND($B53&lt;&gt;"",$C53&lt;&gt;"",$D53&lt;&gt;"",$E53&lt;&gt;"",$G53&lt;&gt;""),
UPPER(
LEFT(TRIM(LEFT($G53,IFERROR(FIND(";",$G53)-1,999))),1)&amp;
IFERROR(
MID(TRIM(LEFT($G53,IFERROR(FIND(";",$G53)-1,999))),
FIND(" ",TRIM(LEFT($G53,IFERROR(FIND(";",$G53)-1,999))))+1,1),
MID(TRIM(LEFT($G53,IFERROR(FIND(";",$G53)-1,999))),2,1)
)
)&amp;"-"&amp;TEXT($C53,"yyyy-mm-dd"),
"")</f>
        <v/>
      </c>
      <c r="B53" s="25" t="n"/>
      <c r="C53" s="80" t="n"/>
      <c r="D53" s="77" t="n"/>
      <c r="E53" s="77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16">
        <f>IF($L53&lt;&gt;"","Purpose "&amp;CHAR(10)&amp;$L53&amp;CHAR(10)&amp;CHAR(10),"")&amp;
IF($M53&lt;&gt;"","Stops (in order) "&amp;CHAR(10)&amp;$M53&amp;CHAR(10)&amp;CHAR(10),"")&amp;
IF($N53&lt;&gt;"","To-Do (hard requirements) "&amp;CHAR(10)&amp;$N53&amp;CHAR(10)&amp;CHAR(10),"")&amp;
IF($O53&lt;&gt;"","Suggested Timeline "&amp;CHAR(10)&amp;$O53&amp;CHAR(10)&amp;CHAR(10),"")&amp;
IF($P53&lt;&gt;"","Guardrails "&amp;CHAR(10)&amp;$P53&amp;CHAR(10)&amp;CHAR(10),"")&amp;
IF($Q53&lt;&gt;"","Completion signals "&amp;CHAR(10)&amp;$Q53,"")</f>
        <v/>
      </c>
      <c r="S53" s="25" t="n"/>
      <c r="T53" s="25" t="n"/>
      <c r="U53" s="54" t="n"/>
      <c r="V53" s="54">
        <f>IF($B53="","",IF(_xludf.TEXTJOIN(" | ",TRUE,IF($B53="","Missing Title",""),IF($C53="","Missing Date",""),IF($D53="","Missing Start",""),IF($E53="","Missing End",""),IF($G53="","Missing Required Attendees",""),IF($T53="","Missing Status",""),IF(AND($D53&lt;&gt;"",$E53&lt;&gt;"",$D53&gt;=$E53),"Start&gt;=End",""),IF(OR($R53="",LEN($R53)&lt;60,ISNUMBER(MATCH(TRIM($R53),StatusList,0))),"Body overwritten/short",""))="","OK",_xludf.TEXTJOIN(" | ",TRUE,IF($B53="","Missing Title",""),IF($C53="","Missing Date",""),IF($D53="","Missing Start",""),IF($E53="","Missing End",""),IF($G53="","Missing Required Attendees",""),IF($T53="","Missing Status",""),IF(AND($D53&lt;&gt;"",$E53&lt;&gt;"",$D53&gt;=$E53),"Start&gt;=End",""),IF(OR($R53="",LEN($R53)&lt;60,ISNUMBER(MATCH(TRIM($R53),StatusList,0))),"Body overwritten/short",""))))</f>
        <v/>
      </c>
    </row>
    <row r="54" ht="15" customHeight="1">
      <c r="A54" s="12">
        <f>IF(AND($B54&lt;&gt;"",$C54&lt;&gt;"",$D54&lt;&gt;"",$E54&lt;&gt;"",$G54&lt;&gt;""),
UPPER(
LEFT(TRIM(LEFT($G54,IFERROR(FIND(";",$G54)-1,999))),1)&amp;
IFERROR(
MID(TRIM(LEFT($G54,IFERROR(FIND(";",$G54)-1,999))),
FIND(" ",TRIM(LEFT($G54,IFERROR(FIND(";",$G54)-1,999))))+1,1),
MID(TRIM(LEFT($G54,IFERROR(FIND(";",$G54)-1,999))),2,1)
)
)&amp;"-"&amp;TEXT($C54,"yyyy-mm-dd"),
"")</f>
        <v/>
      </c>
      <c r="B54" s="25" t="n"/>
      <c r="C54" s="80" t="n"/>
      <c r="D54" s="77" t="n"/>
      <c r="E54" s="77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16">
        <f>IF($L54&lt;&gt;"","Purpose "&amp;CHAR(10)&amp;$L54&amp;CHAR(10)&amp;CHAR(10),"")&amp;
IF($M54&lt;&gt;"","Stops (in order) "&amp;CHAR(10)&amp;$M54&amp;CHAR(10)&amp;CHAR(10),"")&amp;
IF($N54&lt;&gt;"","To-Do (hard requirements) "&amp;CHAR(10)&amp;$N54&amp;CHAR(10)&amp;CHAR(10),"")&amp;
IF($O54&lt;&gt;"","Suggested Timeline "&amp;CHAR(10)&amp;$O54&amp;CHAR(10)&amp;CHAR(10),"")&amp;
IF($P54&lt;&gt;"","Guardrails "&amp;CHAR(10)&amp;$P54&amp;CHAR(10)&amp;CHAR(10),"")&amp;
IF($Q54&lt;&gt;"","Completion signals "&amp;CHAR(10)&amp;$Q54,"")</f>
        <v/>
      </c>
      <c r="S54" s="25" t="n"/>
      <c r="T54" s="25" t="n"/>
      <c r="U54" s="54" t="n"/>
      <c r="V54" s="54">
        <f>IF($B54="","",IF(_xludf.TEXTJOIN(" | ",TRUE,IF($B54="","Missing Title",""),IF($C54="","Missing Date",""),IF($D54="","Missing Start",""),IF($E54="","Missing End",""),IF($G54="","Missing Required Attendees",""),IF($T54="","Missing Status",""),IF(AND($D54&lt;&gt;"",$E54&lt;&gt;"",$D54&gt;=$E54),"Start&gt;=End",""),IF(OR($R54="",LEN($R54)&lt;60,ISNUMBER(MATCH(TRIM($R54),StatusList,0))),"Body overwritten/short",""))="","OK",_xludf.TEXTJOIN(" | ",TRUE,IF($B54="","Missing Title",""),IF($C54="","Missing Date",""),IF($D54="","Missing Start",""),IF($E54="","Missing End",""),IF($G54="","Missing Required Attendees",""),IF($T54="","Missing Status",""),IF(AND($D54&lt;&gt;"",$E54&lt;&gt;"",$D54&gt;=$E54),"Start&gt;=End",""),IF(OR($R54="",LEN($R54)&lt;60,ISNUMBER(MATCH(TRIM($R54),StatusList,0))),"Body overwritten/short",""))))</f>
        <v/>
      </c>
    </row>
    <row r="55" ht="15" customHeight="1">
      <c r="A55" s="12">
        <f>IF(AND($B55&lt;&gt;"",$C55&lt;&gt;"",$D55&lt;&gt;"",$E55&lt;&gt;"",$G55&lt;&gt;""),
UPPER(
LEFT(TRIM(LEFT($G55,IFERROR(FIND(";",$G55)-1,999))),1)&amp;
IFERROR(
MID(TRIM(LEFT($G55,IFERROR(FIND(";",$G55)-1,999))),
FIND(" ",TRIM(LEFT($G55,IFERROR(FIND(";",$G55)-1,999))))+1,1),
MID(TRIM(LEFT($G55,IFERROR(FIND(";",$G55)-1,999))),2,1)
)
)&amp;"-"&amp;TEXT($C55,"yyyy-mm-dd"),
"")</f>
        <v/>
      </c>
      <c r="B55" s="25" t="n"/>
      <c r="C55" s="80" t="n"/>
      <c r="D55" s="77" t="n"/>
      <c r="E55" s="77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16">
        <f>IF($L55&lt;&gt;"","Purpose "&amp;CHAR(10)&amp;$L55&amp;CHAR(10)&amp;CHAR(10),"")&amp;
IF($M55&lt;&gt;"","Stops (in order) "&amp;CHAR(10)&amp;$M55&amp;CHAR(10)&amp;CHAR(10),"")&amp;
IF($N55&lt;&gt;"","To-Do (hard requirements) "&amp;CHAR(10)&amp;$N55&amp;CHAR(10)&amp;CHAR(10),"")&amp;
IF($O55&lt;&gt;"","Suggested Timeline "&amp;CHAR(10)&amp;$O55&amp;CHAR(10)&amp;CHAR(10),"")&amp;
IF($P55&lt;&gt;"","Guardrails "&amp;CHAR(10)&amp;$P55&amp;CHAR(10)&amp;CHAR(10),"")&amp;
IF($Q55&lt;&gt;"","Completion signals "&amp;CHAR(10)&amp;$Q55,"")</f>
        <v/>
      </c>
      <c r="S55" s="25" t="n"/>
      <c r="T55" s="25" t="n"/>
      <c r="U55" s="54" t="n"/>
      <c r="V55" s="54">
        <f>IF($B55="","",IF(_xludf.TEXTJOIN(" | ",TRUE,IF($B55="","Missing Title",""),IF($C55="","Missing Date",""),IF($D55="","Missing Start",""),IF($E55="","Missing End",""),IF($G55="","Missing Required Attendees",""),IF($T55="","Missing Status",""),IF(AND($D55&lt;&gt;"",$E55&lt;&gt;"",$D55&gt;=$E55),"Start&gt;=End",""),IF(OR($R55="",LEN($R55)&lt;60,ISNUMBER(MATCH(TRIM($R55),StatusList,0))),"Body overwritten/short",""))="","OK",_xludf.TEXTJOIN(" | ",TRUE,IF($B55="","Missing Title",""),IF($C55="","Missing Date",""),IF($D55="","Missing Start",""),IF($E55="","Missing End",""),IF($G55="","Missing Required Attendees",""),IF($T55="","Missing Status",""),IF(AND($D55&lt;&gt;"",$E55&lt;&gt;"",$D55&gt;=$E55),"Start&gt;=End",""),IF(OR($R55="",LEN($R55)&lt;60,ISNUMBER(MATCH(TRIM($R55),StatusList,0))),"Body overwritten/short",""))))</f>
        <v/>
      </c>
    </row>
    <row r="56" ht="15" customHeight="1">
      <c r="A56" s="12">
        <f>IF(AND($B56&lt;&gt;"",$C56&lt;&gt;"",$D56&lt;&gt;"",$E56&lt;&gt;"",$G56&lt;&gt;""),
UPPER(
LEFT(TRIM(LEFT($G56,IFERROR(FIND(";",$G56)-1,999))),1)&amp;
IFERROR(
MID(TRIM(LEFT($G56,IFERROR(FIND(";",$G56)-1,999))),
FIND(" ",TRIM(LEFT($G56,IFERROR(FIND(";",$G56)-1,999))))+1,1),
MID(TRIM(LEFT($G56,IFERROR(FIND(";",$G56)-1,999))),2,1)
)
)&amp;"-"&amp;TEXT($C56,"yyyy-mm-dd"),
"")</f>
        <v/>
      </c>
      <c r="B56" s="25" t="n"/>
      <c r="C56" s="80" t="n"/>
      <c r="D56" s="77" t="n"/>
      <c r="E56" s="77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16">
        <f>IF($L56&lt;&gt;"","Purpose "&amp;CHAR(10)&amp;$L56&amp;CHAR(10)&amp;CHAR(10),"")&amp;
IF($M56&lt;&gt;"","Stops (in order) "&amp;CHAR(10)&amp;$M56&amp;CHAR(10)&amp;CHAR(10),"")&amp;
IF($N56&lt;&gt;"","To-Do (hard requirements) "&amp;CHAR(10)&amp;$N56&amp;CHAR(10)&amp;CHAR(10),"")&amp;
IF($O56&lt;&gt;"","Suggested Timeline "&amp;CHAR(10)&amp;$O56&amp;CHAR(10)&amp;CHAR(10),"")&amp;
IF($P56&lt;&gt;"","Guardrails "&amp;CHAR(10)&amp;$P56&amp;CHAR(10)&amp;CHAR(10),"")&amp;
IF($Q56&lt;&gt;"","Completion signals "&amp;CHAR(10)&amp;$Q56,"")</f>
        <v/>
      </c>
      <c r="S56" s="25" t="n"/>
      <c r="T56" s="25" t="n"/>
      <c r="U56" s="54" t="n"/>
      <c r="V56" s="54">
        <f>IF($B56="","",IF(_xludf.TEXTJOIN(" | ",TRUE,IF($B56="","Missing Title",""),IF($C56="","Missing Date",""),IF($D56="","Missing Start",""),IF($E56="","Missing End",""),IF($G56="","Missing Required Attendees",""),IF($T56="","Missing Status",""),IF(AND($D56&lt;&gt;"",$E56&lt;&gt;"",$D56&gt;=$E56),"Start&gt;=End",""),IF(OR($R56="",LEN($R56)&lt;60,ISNUMBER(MATCH(TRIM($R56),StatusList,0))),"Body overwritten/short",""))="","OK",_xludf.TEXTJOIN(" | ",TRUE,IF($B56="","Missing Title",""),IF($C56="","Missing Date",""),IF($D56="","Missing Start",""),IF($E56="","Missing End",""),IF($G56="","Missing Required Attendees",""),IF($T56="","Missing Status",""),IF(AND($D56&lt;&gt;"",$E56&lt;&gt;"",$D56&gt;=$E56),"Start&gt;=End",""),IF(OR($R56="",LEN($R56)&lt;60,ISNUMBER(MATCH(TRIM($R56),StatusList,0))),"Body overwritten/short",""))))</f>
        <v/>
      </c>
    </row>
    <row r="57" ht="15" customHeight="1">
      <c r="A57" s="12">
        <f>IF(AND($B57&lt;&gt;"",$C57&lt;&gt;"",$D57&lt;&gt;"",$E57&lt;&gt;"",$G57&lt;&gt;""),
UPPER(
LEFT(TRIM(LEFT($G57,IFERROR(FIND(";",$G57)-1,999))),1)&amp;
IFERROR(
MID(TRIM(LEFT($G57,IFERROR(FIND(";",$G57)-1,999))),
FIND(" ",TRIM(LEFT($G57,IFERROR(FIND(";",$G57)-1,999))))+1,1),
MID(TRIM(LEFT($G57,IFERROR(FIND(";",$G57)-1,999))),2,1)
)
)&amp;"-"&amp;TEXT($C57,"yyyy-mm-dd"),
"")</f>
        <v/>
      </c>
      <c r="B57" s="25" t="n"/>
      <c r="C57" s="80" t="n"/>
      <c r="D57" s="77" t="n"/>
      <c r="E57" s="77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16">
        <f>IF($L57&lt;&gt;"","Purpose "&amp;CHAR(10)&amp;$L57&amp;CHAR(10)&amp;CHAR(10),"")&amp;
IF($M57&lt;&gt;"","Stops (in order) "&amp;CHAR(10)&amp;$M57&amp;CHAR(10)&amp;CHAR(10),"")&amp;
IF($N57&lt;&gt;"","To-Do (hard requirements) "&amp;CHAR(10)&amp;$N57&amp;CHAR(10)&amp;CHAR(10),"")&amp;
IF($O57&lt;&gt;"","Suggested Timeline "&amp;CHAR(10)&amp;$O57&amp;CHAR(10)&amp;CHAR(10),"")&amp;
IF($P57&lt;&gt;"","Guardrails "&amp;CHAR(10)&amp;$P57&amp;CHAR(10)&amp;CHAR(10),"")&amp;
IF($Q57&lt;&gt;"","Completion signals "&amp;CHAR(10)&amp;$Q57,"")</f>
        <v/>
      </c>
      <c r="S57" s="25" t="n"/>
      <c r="T57" s="25" t="n"/>
      <c r="U57" s="54" t="n"/>
      <c r="V57" s="54">
        <f>IF($B57="","",IF(_xludf.TEXTJOIN(" | ",TRUE,IF($B57="","Missing Title",""),IF($C57="","Missing Date",""),IF($D57="","Missing Start",""),IF($E57="","Missing End",""),IF($G57="","Missing Required Attendees",""),IF($T57="","Missing Status",""),IF(AND($D57&lt;&gt;"",$E57&lt;&gt;"",$D57&gt;=$E57),"Start&gt;=End",""),IF(OR($R57="",LEN($R57)&lt;60,ISNUMBER(MATCH(TRIM($R57),StatusList,0))),"Body overwritten/short",""))="","OK",_xludf.TEXTJOIN(" | ",TRUE,IF($B57="","Missing Title",""),IF($C57="","Missing Date",""),IF($D57="","Missing Start",""),IF($E57="","Missing End",""),IF($G57="","Missing Required Attendees",""),IF($T57="","Missing Status",""),IF(AND($D57&lt;&gt;"",$E57&lt;&gt;"",$D57&gt;=$E57),"Start&gt;=End",""),IF(OR($R57="",LEN($R57)&lt;60,ISNUMBER(MATCH(TRIM($R57),StatusList,0))),"Body overwritten/short",""))))</f>
        <v/>
      </c>
    </row>
    <row r="58" ht="15" customHeight="1">
      <c r="A58" s="12">
        <f>IF(AND($B58&lt;&gt;"",$C58&lt;&gt;"",$D58&lt;&gt;"",$E58&lt;&gt;"",$G58&lt;&gt;""),
UPPER(
LEFT(TRIM(LEFT($G58,IFERROR(FIND(";",$G58)-1,999))),1)&amp;
IFERROR(
MID(TRIM(LEFT($G58,IFERROR(FIND(";",$G58)-1,999))),
FIND(" ",TRIM(LEFT($G58,IFERROR(FIND(";",$G58)-1,999))))+1,1),
MID(TRIM(LEFT($G58,IFERROR(FIND(";",$G58)-1,999))),2,1)
)
)&amp;"-"&amp;TEXT($C58,"yyyy-mm-dd"),
"")</f>
        <v/>
      </c>
      <c r="B58" s="25" t="n"/>
      <c r="C58" s="80" t="n"/>
      <c r="D58" s="77" t="n"/>
      <c r="E58" s="77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16">
        <f>IF($L58&lt;&gt;"","Purpose "&amp;CHAR(10)&amp;$L58&amp;CHAR(10)&amp;CHAR(10),"")&amp;
IF($M58&lt;&gt;"","Stops (in order) "&amp;CHAR(10)&amp;$M58&amp;CHAR(10)&amp;CHAR(10),"")&amp;
IF($N58&lt;&gt;"","To-Do (hard requirements) "&amp;CHAR(10)&amp;$N58&amp;CHAR(10)&amp;CHAR(10),"")&amp;
IF($O58&lt;&gt;"","Suggested Timeline "&amp;CHAR(10)&amp;$O58&amp;CHAR(10)&amp;CHAR(10),"")&amp;
IF($P58&lt;&gt;"","Guardrails "&amp;CHAR(10)&amp;$P58&amp;CHAR(10)&amp;CHAR(10),"")&amp;
IF($Q58&lt;&gt;"","Completion signals "&amp;CHAR(10)&amp;$Q58,"")</f>
        <v/>
      </c>
      <c r="S58" s="25" t="n"/>
      <c r="T58" s="25" t="n"/>
      <c r="U58" s="54" t="n"/>
      <c r="V58" s="54">
        <f>IF($B58="","",IF(_xludf.TEXTJOIN(" | ",TRUE,IF($B58="","Missing Title",""),IF($C58="","Missing Date",""),IF($D58="","Missing Start",""),IF($E58="","Missing End",""),IF($G58="","Missing Required Attendees",""),IF($T58="","Missing Status",""),IF(AND($D58&lt;&gt;"",$E58&lt;&gt;"",$D58&gt;=$E58),"Start&gt;=End",""),IF(OR($R58="",LEN($R58)&lt;60,ISNUMBER(MATCH(TRIM($R58),StatusList,0))),"Body overwritten/short",""))="","OK",_xludf.TEXTJOIN(" | ",TRUE,IF($B58="","Missing Title",""),IF($C58="","Missing Date",""),IF($D58="","Missing Start",""),IF($E58="","Missing End",""),IF($G58="","Missing Required Attendees",""),IF($T58="","Missing Status",""),IF(AND($D58&lt;&gt;"",$E58&lt;&gt;"",$D58&gt;=$E58),"Start&gt;=End",""),IF(OR($R58="",LEN($R58)&lt;60,ISNUMBER(MATCH(TRIM($R58),StatusList,0))),"Body overwritten/short",""))))</f>
        <v/>
      </c>
    </row>
    <row r="59" ht="15" customHeight="1">
      <c r="A59" s="12">
        <f>IF(AND($B59&lt;&gt;"",$C59&lt;&gt;"",$D59&lt;&gt;"",$E59&lt;&gt;"",$G59&lt;&gt;""),
UPPER(
LEFT(TRIM(LEFT($G59,IFERROR(FIND(";",$G59)-1,999))),1)&amp;
IFERROR(
MID(TRIM(LEFT($G59,IFERROR(FIND(";",$G59)-1,999))),
FIND(" ",TRIM(LEFT($G59,IFERROR(FIND(";",$G59)-1,999))))+1,1),
MID(TRIM(LEFT($G59,IFERROR(FIND(";",$G59)-1,999))),2,1)
)
)&amp;"-"&amp;TEXT($C59,"yyyy-mm-dd"),
"")</f>
        <v/>
      </c>
      <c r="B59" s="25" t="n"/>
      <c r="C59" s="80" t="n"/>
      <c r="D59" s="77" t="n"/>
      <c r="E59" s="77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16">
        <f>IF($L59&lt;&gt;"","Purpose "&amp;CHAR(10)&amp;$L59&amp;CHAR(10)&amp;CHAR(10),"")&amp;
IF($M59&lt;&gt;"","Stops (in order) "&amp;CHAR(10)&amp;$M59&amp;CHAR(10)&amp;CHAR(10),"")&amp;
IF($N59&lt;&gt;"","To-Do (hard requirements) "&amp;CHAR(10)&amp;$N59&amp;CHAR(10)&amp;CHAR(10),"")&amp;
IF($O59&lt;&gt;"","Suggested Timeline "&amp;CHAR(10)&amp;$O59&amp;CHAR(10)&amp;CHAR(10),"")&amp;
IF($P59&lt;&gt;"","Guardrails "&amp;CHAR(10)&amp;$P59&amp;CHAR(10)&amp;CHAR(10),"")&amp;
IF($Q59&lt;&gt;"","Completion signals "&amp;CHAR(10)&amp;$Q59,"")</f>
        <v/>
      </c>
      <c r="S59" s="25" t="n"/>
      <c r="T59" s="25" t="n"/>
      <c r="U59" s="54" t="n"/>
      <c r="V59" s="54">
        <f>IF($B59="","",IF(_xludf.TEXTJOIN(" | ",TRUE,IF($B59="","Missing Title",""),IF($C59="","Missing Date",""),IF($D59="","Missing Start",""),IF($E59="","Missing End",""),IF($G59="","Missing Required Attendees",""),IF($T59="","Missing Status",""),IF(AND($D59&lt;&gt;"",$E59&lt;&gt;"",$D59&gt;=$E59),"Start&gt;=End",""),IF(OR($R59="",LEN($R59)&lt;60,ISNUMBER(MATCH(TRIM($R59),StatusList,0))),"Body overwritten/short",""))="","OK",_xludf.TEXTJOIN(" | ",TRUE,IF($B59="","Missing Title",""),IF($C59="","Missing Date",""),IF($D59="","Missing Start",""),IF($E59="","Missing End",""),IF($G59="","Missing Required Attendees",""),IF($T59="","Missing Status",""),IF(AND($D59&lt;&gt;"",$E59&lt;&gt;"",$D59&gt;=$E59),"Start&gt;=End",""),IF(OR($R59="",LEN($R59)&lt;60,ISNUMBER(MATCH(TRIM($R59),StatusList,0))),"Body overwritten/short",""))))</f>
        <v/>
      </c>
    </row>
    <row r="60" ht="15" customHeight="1">
      <c r="A60" s="12">
        <f>IF(AND($B60&lt;&gt;"",$C60&lt;&gt;"",$D60&lt;&gt;"",$E60&lt;&gt;"",$G60&lt;&gt;""),
UPPER(
LEFT(TRIM(LEFT($G60,IFERROR(FIND(";",$G60)-1,999))),1)&amp;
IFERROR(
MID(TRIM(LEFT($G60,IFERROR(FIND(";",$G60)-1,999))),
FIND(" ",TRIM(LEFT($G60,IFERROR(FIND(";",$G60)-1,999))))+1,1),
MID(TRIM(LEFT($G60,IFERROR(FIND(";",$G60)-1,999))),2,1)
)
)&amp;"-"&amp;TEXT($C60,"yyyy-mm-dd"),
"")</f>
        <v/>
      </c>
      <c r="B60" s="25" t="n"/>
      <c r="C60" s="80" t="n"/>
      <c r="D60" s="77" t="n"/>
      <c r="E60" s="77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16">
        <f>IF($L60&lt;&gt;"","Purpose "&amp;CHAR(10)&amp;$L60&amp;CHAR(10)&amp;CHAR(10),"")&amp;
IF($M60&lt;&gt;"","Stops (in order) "&amp;CHAR(10)&amp;$M60&amp;CHAR(10)&amp;CHAR(10),"")&amp;
IF($N60&lt;&gt;"","To-Do (hard requirements) "&amp;CHAR(10)&amp;$N60&amp;CHAR(10)&amp;CHAR(10),"")&amp;
IF($O60&lt;&gt;"","Suggested Timeline "&amp;CHAR(10)&amp;$O60&amp;CHAR(10)&amp;CHAR(10),"")&amp;
IF($P60&lt;&gt;"","Guardrails "&amp;CHAR(10)&amp;$P60&amp;CHAR(10)&amp;CHAR(10),"")&amp;
IF($Q60&lt;&gt;"","Completion signals "&amp;CHAR(10)&amp;$Q60,"")</f>
        <v/>
      </c>
      <c r="S60" s="25" t="n"/>
      <c r="T60" s="25" t="n"/>
      <c r="U60" s="54" t="n"/>
      <c r="V60" s="54">
        <f>IF($B60="","",IF(_xludf.TEXTJOIN(" | ",TRUE,IF($B60="","Missing Title",""),IF($C60="","Missing Date",""),IF($D60="","Missing Start",""),IF($E60="","Missing End",""),IF($G60="","Missing Required Attendees",""),IF($T60="","Missing Status",""),IF(AND($D60&lt;&gt;"",$E60&lt;&gt;"",$D60&gt;=$E60),"Start&gt;=End",""),IF(OR($R60="",LEN($R60)&lt;60,ISNUMBER(MATCH(TRIM($R60),StatusList,0))),"Body overwritten/short",""))="","OK",_xludf.TEXTJOIN(" | ",TRUE,IF($B60="","Missing Title",""),IF($C60="","Missing Date",""),IF($D60="","Missing Start",""),IF($E60="","Missing End",""),IF($G60="","Missing Required Attendees",""),IF($T60="","Missing Status",""),IF(AND($D60&lt;&gt;"",$E60&lt;&gt;"",$D60&gt;=$E60),"Start&gt;=End",""),IF(OR($R60="",LEN($R60)&lt;60,ISNUMBER(MATCH(TRIM($R60),StatusList,0))),"Body overwritten/short",""))))</f>
        <v/>
      </c>
    </row>
    <row r="61" ht="15" customHeight="1">
      <c r="A61" s="12">
        <f>IF(AND($B61&lt;&gt;"",$C61&lt;&gt;"",$D61&lt;&gt;"",$E61&lt;&gt;"",$G61&lt;&gt;""),
UPPER(
LEFT(TRIM(LEFT($G61,IFERROR(FIND(";",$G61)-1,999))),1)&amp;
IFERROR(
MID(TRIM(LEFT($G61,IFERROR(FIND(";",$G61)-1,999))),
FIND(" ",TRIM(LEFT($G61,IFERROR(FIND(";",$G61)-1,999))))+1,1),
MID(TRIM(LEFT($G61,IFERROR(FIND(";",$G61)-1,999))),2,1)
)
)&amp;"-"&amp;TEXT($C61,"yyyy-mm-dd"),
"")</f>
        <v/>
      </c>
      <c r="B61" s="25" t="n"/>
      <c r="C61" s="80" t="n"/>
      <c r="D61" s="77" t="n"/>
      <c r="E61" s="77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16">
        <f>IF($L61&lt;&gt;"","Purpose "&amp;CHAR(10)&amp;$L61&amp;CHAR(10)&amp;CHAR(10),"")&amp;
IF($M61&lt;&gt;"","Stops (in order) "&amp;CHAR(10)&amp;$M61&amp;CHAR(10)&amp;CHAR(10),"")&amp;
IF($N61&lt;&gt;"","To-Do (hard requirements) "&amp;CHAR(10)&amp;$N61&amp;CHAR(10)&amp;CHAR(10),"")&amp;
IF($O61&lt;&gt;"","Suggested Timeline "&amp;CHAR(10)&amp;$O61&amp;CHAR(10)&amp;CHAR(10),"")&amp;
IF($P61&lt;&gt;"","Guardrails "&amp;CHAR(10)&amp;$P61&amp;CHAR(10)&amp;CHAR(10),"")&amp;
IF($Q61&lt;&gt;"","Completion signals "&amp;CHAR(10)&amp;$Q61,"")</f>
        <v/>
      </c>
      <c r="S61" s="25" t="n"/>
      <c r="T61" s="25" t="n"/>
      <c r="U61" s="54" t="n"/>
      <c r="V61" s="54">
        <f>IF($B61="","",IF(_xludf.TEXTJOIN(" | ",TRUE,IF($B61="","Missing Title",""),IF($C61="","Missing Date",""),IF($D61="","Missing Start",""),IF($E61="","Missing End",""),IF($G61="","Missing Required Attendees",""),IF($T61="","Missing Status",""),IF(AND($D61&lt;&gt;"",$E61&lt;&gt;"",$D61&gt;=$E61),"Start&gt;=End",""),IF(OR($R61="",LEN($R61)&lt;60,ISNUMBER(MATCH(TRIM($R61),StatusList,0))),"Body overwritten/short",""))="","OK",_xludf.TEXTJOIN(" | ",TRUE,IF($B61="","Missing Title",""),IF($C61="","Missing Date",""),IF($D61="","Missing Start",""),IF($E61="","Missing End",""),IF($G61="","Missing Required Attendees",""),IF($T61="","Missing Status",""),IF(AND($D61&lt;&gt;"",$E61&lt;&gt;"",$D61&gt;=$E61),"Start&gt;=End",""),IF(OR($R61="",LEN($R61)&lt;60,ISNUMBER(MATCH(TRIM($R61),StatusList,0))),"Body overwritten/short",""))))</f>
        <v/>
      </c>
    </row>
    <row r="62" ht="15" customHeight="1">
      <c r="A62" s="12">
        <f>IF(AND($B62&lt;&gt;"",$C62&lt;&gt;"",$D62&lt;&gt;"",$E62&lt;&gt;"",$G62&lt;&gt;""),
UPPER(
LEFT(TRIM(LEFT($G62,IFERROR(FIND(";",$G62)-1,999))),1)&amp;
IFERROR(
MID(TRIM(LEFT($G62,IFERROR(FIND(";",$G62)-1,999))),
FIND(" ",TRIM(LEFT($G62,IFERROR(FIND(";",$G62)-1,999))))+1,1),
MID(TRIM(LEFT($G62,IFERROR(FIND(";",$G62)-1,999))),2,1)
)
)&amp;"-"&amp;TEXT($C62,"yyyy-mm-dd"),
"")</f>
        <v/>
      </c>
      <c r="B62" s="25" t="n"/>
      <c r="C62" s="80" t="n"/>
      <c r="D62" s="77" t="n"/>
      <c r="E62" s="77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16">
        <f>IF($L62&lt;&gt;"","Purpose "&amp;CHAR(10)&amp;$L62&amp;CHAR(10)&amp;CHAR(10),"")&amp;
IF($M62&lt;&gt;"","Stops (in order) "&amp;CHAR(10)&amp;$M62&amp;CHAR(10)&amp;CHAR(10),"")&amp;
IF($N62&lt;&gt;"","To-Do (hard requirements) "&amp;CHAR(10)&amp;$N62&amp;CHAR(10)&amp;CHAR(10),"")&amp;
IF($O62&lt;&gt;"","Suggested Timeline "&amp;CHAR(10)&amp;$O62&amp;CHAR(10)&amp;CHAR(10),"")&amp;
IF($P62&lt;&gt;"","Guardrails "&amp;CHAR(10)&amp;$P62&amp;CHAR(10)&amp;CHAR(10),"")&amp;
IF($Q62&lt;&gt;"","Completion signals "&amp;CHAR(10)&amp;$Q62,"")</f>
        <v/>
      </c>
      <c r="S62" s="25" t="n"/>
      <c r="T62" s="25" t="n"/>
      <c r="U62" s="54" t="n"/>
      <c r="V62" s="54">
        <f>IF($B62="","",IF(_xludf.TEXTJOIN(" | ",TRUE,IF($B62="","Missing Title",""),IF($C62="","Missing Date",""),IF($D62="","Missing Start",""),IF($E62="","Missing End",""),IF($G62="","Missing Required Attendees",""),IF($T62="","Missing Status",""),IF(AND($D62&lt;&gt;"",$E62&lt;&gt;"",$D62&gt;=$E62),"Start&gt;=End",""),IF(OR($R62="",LEN($R62)&lt;60,ISNUMBER(MATCH(TRIM($R62),StatusList,0))),"Body overwritten/short",""))="","OK",_xludf.TEXTJOIN(" | ",TRUE,IF($B62="","Missing Title",""),IF($C62="","Missing Date",""),IF($D62="","Missing Start",""),IF($E62="","Missing End",""),IF($G62="","Missing Required Attendees",""),IF($T62="","Missing Status",""),IF(AND($D62&lt;&gt;"",$E62&lt;&gt;"",$D62&gt;=$E62),"Start&gt;=End",""),IF(OR($R62="",LEN($R62)&lt;60,ISNUMBER(MATCH(TRIM($R62),StatusList,0))),"Body overwritten/short",""))))</f>
        <v/>
      </c>
    </row>
    <row r="63" ht="15" customHeight="1">
      <c r="A63" s="12">
        <f>IF(AND($B63&lt;&gt;"",$C63&lt;&gt;"",$D63&lt;&gt;"",$E63&lt;&gt;"",$G63&lt;&gt;""),
UPPER(
LEFT(TRIM(LEFT($G63,IFERROR(FIND(";",$G63)-1,999))),1)&amp;
IFERROR(
MID(TRIM(LEFT($G63,IFERROR(FIND(";",$G63)-1,999))),
FIND(" ",TRIM(LEFT($G63,IFERROR(FIND(";",$G63)-1,999))))+1,1),
MID(TRIM(LEFT($G63,IFERROR(FIND(";",$G63)-1,999))),2,1)
)
)&amp;"-"&amp;TEXT($C63,"yyyy-mm-dd"),
"")</f>
        <v/>
      </c>
      <c r="B63" s="25" t="n"/>
      <c r="C63" s="80" t="n"/>
      <c r="D63" s="77" t="n"/>
      <c r="E63" s="77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16">
        <f>IF($L63&lt;&gt;"","Purpose "&amp;CHAR(10)&amp;$L63&amp;CHAR(10)&amp;CHAR(10),"")&amp;
IF($M63&lt;&gt;"","Stops (in order) "&amp;CHAR(10)&amp;$M63&amp;CHAR(10)&amp;CHAR(10),"")&amp;
IF($N63&lt;&gt;"","To-Do (hard requirements) "&amp;CHAR(10)&amp;$N63&amp;CHAR(10)&amp;CHAR(10),"")&amp;
IF($O63&lt;&gt;"","Suggested Timeline "&amp;CHAR(10)&amp;$O63&amp;CHAR(10)&amp;CHAR(10),"")&amp;
IF($P63&lt;&gt;"","Guardrails "&amp;CHAR(10)&amp;$P63&amp;CHAR(10)&amp;CHAR(10),"")&amp;
IF($Q63&lt;&gt;"","Completion signals "&amp;CHAR(10)&amp;$Q63,"")</f>
        <v/>
      </c>
      <c r="S63" s="25" t="n"/>
      <c r="T63" s="25" t="n"/>
      <c r="U63" s="54" t="n"/>
      <c r="V63" s="54">
        <f>IF($B63="","",IF(_xludf.TEXTJOIN(" | ",TRUE,IF($B63="","Missing Title",""),IF($C63="","Missing Date",""),IF($D63="","Missing Start",""),IF($E63="","Missing End",""),IF($G63="","Missing Required Attendees",""),IF($T63="","Missing Status",""),IF(AND($D63&lt;&gt;"",$E63&lt;&gt;"",$D63&gt;=$E63),"Start&gt;=End",""),IF(OR($R63="",LEN($R63)&lt;60,ISNUMBER(MATCH(TRIM($R63),StatusList,0))),"Body overwritten/short",""))="","OK",_xludf.TEXTJOIN(" | ",TRUE,IF($B63="","Missing Title",""),IF($C63="","Missing Date",""),IF($D63="","Missing Start",""),IF($E63="","Missing End",""),IF($G63="","Missing Required Attendees",""),IF($T63="","Missing Status",""),IF(AND($D63&lt;&gt;"",$E63&lt;&gt;"",$D63&gt;=$E63),"Start&gt;=End",""),IF(OR($R63="",LEN($R63)&lt;60,ISNUMBER(MATCH(TRIM($R63),StatusList,0))),"Body overwritten/short",""))))</f>
        <v/>
      </c>
    </row>
    <row r="64" ht="15" customHeight="1">
      <c r="A64" s="12">
        <f>IF(AND($B64&lt;&gt;"",$C64&lt;&gt;"",$D64&lt;&gt;"",$E64&lt;&gt;"",$G64&lt;&gt;""),
UPPER(
LEFT(TRIM(LEFT($G64,IFERROR(FIND(";",$G64)-1,999))),1)&amp;
IFERROR(
MID(TRIM(LEFT($G64,IFERROR(FIND(";",$G64)-1,999))),
FIND(" ",TRIM(LEFT($G64,IFERROR(FIND(";",$G64)-1,999))))+1,1),
MID(TRIM(LEFT($G64,IFERROR(FIND(";",$G64)-1,999))),2,1)
)
)&amp;"-"&amp;TEXT($C64,"yyyy-mm-dd"),
"")</f>
        <v/>
      </c>
      <c r="B64" s="25" t="n"/>
      <c r="C64" s="80" t="n"/>
      <c r="D64" s="77" t="n"/>
      <c r="E64" s="77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16">
        <f>IF($L64&lt;&gt;"","Purpose "&amp;CHAR(10)&amp;$L64&amp;CHAR(10)&amp;CHAR(10),"")&amp;
IF($M64&lt;&gt;"","Stops (in order) "&amp;CHAR(10)&amp;$M64&amp;CHAR(10)&amp;CHAR(10),"")&amp;
IF($N64&lt;&gt;"","To-Do (hard requirements) "&amp;CHAR(10)&amp;$N64&amp;CHAR(10)&amp;CHAR(10),"")&amp;
IF($O64&lt;&gt;"","Suggested Timeline "&amp;CHAR(10)&amp;$O64&amp;CHAR(10)&amp;CHAR(10),"")&amp;
IF($P64&lt;&gt;"","Guardrails "&amp;CHAR(10)&amp;$P64&amp;CHAR(10)&amp;CHAR(10),"")&amp;
IF($Q64&lt;&gt;"","Completion signals "&amp;CHAR(10)&amp;$Q64,"")</f>
        <v/>
      </c>
      <c r="S64" s="25" t="n"/>
      <c r="T64" s="25" t="n"/>
      <c r="U64" s="54" t="n"/>
      <c r="V64" s="54">
        <f>IF($B64="","",IF(_xludf.TEXTJOIN(" | ",TRUE,IF($B64="","Missing Title",""),IF($C64="","Missing Date",""),IF($D64="","Missing Start",""),IF($E64="","Missing End",""),IF($G64="","Missing Required Attendees",""),IF($T64="","Missing Status",""),IF(AND($D64&lt;&gt;"",$E64&lt;&gt;"",$D64&gt;=$E64),"Start&gt;=End",""),IF(OR($R64="",LEN($R64)&lt;60,ISNUMBER(MATCH(TRIM($R64),StatusList,0))),"Body overwritten/short",""))="","OK",_xludf.TEXTJOIN(" | ",TRUE,IF($B64="","Missing Title",""),IF($C64="","Missing Date",""),IF($D64="","Missing Start",""),IF($E64="","Missing End",""),IF($G64="","Missing Required Attendees",""),IF($T64="","Missing Status",""),IF(AND($D64&lt;&gt;"",$E64&lt;&gt;"",$D64&gt;=$E64),"Start&gt;=End",""),IF(OR($R64="",LEN($R64)&lt;60,ISNUMBER(MATCH(TRIM($R64),StatusList,0))),"Body overwritten/short",""))))</f>
        <v/>
      </c>
    </row>
    <row r="65" ht="15" customHeight="1">
      <c r="A65" s="12">
        <f>IF(AND($B65&lt;&gt;"",$C65&lt;&gt;"",$D65&lt;&gt;"",$E65&lt;&gt;"",$G65&lt;&gt;""),
UPPER(
LEFT(TRIM(LEFT($G65,IFERROR(FIND(";",$G65)-1,999))),1)&amp;
IFERROR(
MID(TRIM(LEFT($G65,IFERROR(FIND(";",$G65)-1,999))),
FIND(" ",TRIM(LEFT($G65,IFERROR(FIND(";",$G65)-1,999))))+1,1),
MID(TRIM(LEFT($G65,IFERROR(FIND(";",$G65)-1,999))),2,1)
)
)&amp;"-"&amp;TEXT($C65,"yyyy-mm-dd"),
"")</f>
        <v/>
      </c>
      <c r="B65" s="25" t="n"/>
      <c r="C65" s="80" t="n"/>
      <c r="D65" s="77" t="n"/>
      <c r="E65" s="77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16">
        <f>IF($L65&lt;&gt;"","Purpose "&amp;CHAR(10)&amp;$L65&amp;CHAR(10)&amp;CHAR(10),"")&amp;
IF($M65&lt;&gt;"","Stops (in order) "&amp;CHAR(10)&amp;$M65&amp;CHAR(10)&amp;CHAR(10),"")&amp;
IF($N65&lt;&gt;"","To-Do (hard requirements) "&amp;CHAR(10)&amp;$N65&amp;CHAR(10)&amp;CHAR(10),"")&amp;
IF($O65&lt;&gt;"","Suggested Timeline "&amp;CHAR(10)&amp;$O65&amp;CHAR(10)&amp;CHAR(10),"")&amp;
IF($P65&lt;&gt;"","Guardrails "&amp;CHAR(10)&amp;$P65&amp;CHAR(10)&amp;CHAR(10),"")&amp;
IF($Q65&lt;&gt;"","Completion signals "&amp;CHAR(10)&amp;$Q65,"")</f>
        <v/>
      </c>
      <c r="S65" s="25" t="n"/>
      <c r="T65" s="25" t="n"/>
      <c r="U65" s="54" t="n"/>
      <c r="V65" s="54">
        <f>IF($B65="","",IF(_xludf.TEXTJOIN(" | ",TRUE,IF($B65="","Missing Title",""),IF($C65="","Missing Date",""),IF($D65="","Missing Start",""),IF($E65="","Missing End",""),IF($G65="","Missing Required Attendees",""),IF($T65="","Missing Status",""),IF(AND($D65&lt;&gt;"",$E65&lt;&gt;"",$D65&gt;=$E65),"Start&gt;=End",""),IF(OR($R65="",LEN($R65)&lt;60,ISNUMBER(MATCH(TRIM($R65),StatusList,0))),"Body overwritten/short",""))="","OK",_xludf.TEXTJOIN(" | ",TRUE,IF($B65="","Missing Title",""),IF($C65="","Missing Date",""),IF($D65="","Missing Start",""),IF($E65="","Missing End",""),IF($G65="","Missing Required Attendees",""),IF($T65="","Missing Status",""),IF(AND($D65&lt;&gt;"",$E65&lt;&gt;"",$D65&gt;=$E65),"Start&gt;=End",""),IF(OR($R65="",LEN($R65)&lt;60,ISNUMBER(MATCH(TRIM($R65),StatusList,0))),"Body overwritten/short",""))))</f>
        <v/>
      </c>
    </row>
    <row r="66" ht="15" customHeight="1">
      <c r="A66" s="12">
        <f>IF(AND($B66&lt;&gt;"",$C66&lt;&gt;"",$D66&lt;&gt;"",$E66&lt;&gt;"",$G66&lt;&gt;""),
UPPER(
LEFT(TRIM(LEFT($G66,IFERROR(FIND(";",$G66)-1,999))),1)&amp;
IFERROR(
MID(TRIM(LEFT($G66,IFERROR(FIND(";",$G66)-1,999))),
FIND(" ",TRIM(LEFT($G66,IFERROR(FIND(";",$G66)-1,999))))+1,1),
MID(TRIM(LEFT($G66,IFERROR(FIND(";",$G66)-1,999))),2,1)
)
)&amp;"-"&amp;TEXT($C66,"yyyy-mm-dd"),
"")</f>
        <v/>
      </c>
      <c r="B66" s="25" t="n"/>
      <c r="C66" s="80" t="n"/>
      <c r="D66" s="77" t="n"/>
      <c r="E66" s="77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16">
        <f>IF($L66&lt;&gt;"","Purpose "&amp;CHAR(10)&amp;$L66&amp;CHAR(10)&amp;CHAR(10),"")&amp;
IF($M66&lt;&gt;"","Stops (in order) "&amp;CHAR(10)&amp;$M66&amp;CHAR(10)&amp;CHAR(10),"")&amp;
IF($N66&lt;&gt;"","To-Do (hard requirements) "&amp;CHAR(10)&amp;$N66&amp;CHAR(10)&amp;CHAR(10),"")&amp;
IF($O66&lt;&gt;"","Suggested Timeline "&amp;CHAR(10)&amp;$O66&amp;CHAR(10)&amp;CHAR(10),"")&amp;
IF($P66&lt;&gt;"","Guardrails "&amp;CHAR(10)&amp;$P66&amp;CHAR(10)&amp;CHAR(10),"")&amp;
IF($Q66&lt;&gt;"","Completion signals "&amp;CHAR(10)&amp;$Q66,"")</f>
        <v/>
      </c>
      <c r="S66" s="25" t="n"/>
      <c r="T66" s="25" t="n"/>
      <c r="U66" s="54" t="n"/>
      <c r="V66" s="54">
        <f>IF($B66="","",IF(_xludf.TEXTJOIN(" | ",TRUE,IF($B66="","Missing Title",""),IF($C66="","Missing Date",""),IF($D66="","Missing Start",""),IF($E66="","Missing End",""),IF($G66="","Missing Required Attendees",""),IF($T66="","Missing Status",""),IF(AND($D66&lt;&gt;"",$E66&lt;&gt;"",$D66&gt;=$E66),"Start&gt;=End",""),IF(OR($R66="",LEN($R66)&lt;60,ISNUMBER(MATCH(TRIM($R66),StatusList,0))),"Body overwritten/short",""))="","OK",_xludf.TEXTJOIN(" | ",TRUE,IF($B66="","Missing Title",""),IF($C66="","Missing Date",""),IF($D66="","Missing Start",""),IF($E66="","Missing End",""),IF($G66="","Missing Required Attendees",""),IF($T66="","Missing Status",""),IF(AND($D66&lt;&gt;"",$E66&lt;&gt;"",$D66&gt;=$E66),"Start&gt;=End",""),IF(OR($R66="",LEN($R66)&lt;60,ISNUMBER(MATCH(TRIM($R66),StatusList,0))),"Body overwritten/short",""))))</f>
        <v/>
      </c>
    </row>
    <row r="67" ht="15" customHeight="1">
      <c r="A67" s="12">
        <f>IF(AND($B67&lt;&gt;"",$C67&lt;&gt;"",$D67&lt;&gt;"",$E67&lt;&gt;"",$G67&lt;&gt;""),
UPPER(
LEFT(TRIM(LEFT($G67,IFERROR(FIND(";",$G67)-1,999))),1)&amp;
IFERROR(
MID(TRIM(LEFT($G67,IFERROR(FIND(";",$G67)-1,999))),
FIND(" ",TRIM(LEFT($G67,IFERROR(FIND(";",$G67)-1,999))))+1,1),
MID(TRIM(LEFT($G67,IFERROR(FIND(";",$G67)-1,999))),2,1)
)
)&amp;"-"&amp;TEXT($C67,"yyyy-mm-dd"),
"")</f>
        <v/>
      </c>
      <c r="B67" s="25" t="n"/>
      <c r="C67" s="80" t="n"/>
      <c r="D67" s="77" t="n"/>
      <c r="E67" s="77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16">
        <f>IF($L67&lt;&gt;"","Purpose "&amp;CHAR(10)&amp;$L67&amp;CHAR(10)&amp;CHAR(10),"")&amp;
IF($M67&lt;&gt;"","Stops (in order) "&amp;CHAR(10)&amp;$M67&amp;CHAR(10)&amp;CHAR(10),"")&amp;
IF($N67&lt;&gt;"","To-Do (hard requirements) "&amp;CHAR(10)&amp;$N67&amp;CHAR(10)&amp;CHAR(10),"")&amp;
IF($O67&lt;&gt;"","Suggested Timeline "&amp;CHAR(10)&amp;$O67&amp;CHAR(10)&amp;CHAR(10),"")&amp;
IF($P67&lt;&gt;"","Guardrails "&amp;CHAR(10)&amp;$P67&amp;CHAR(10)&amp;CHAR(10),"")&amp;
IF($Q67&lt;&gt;"","Completion signals "&amp;CHAR(10)&amp;$Q67,"")</f>
        <v/>
      </c>
      <c r="S67" s="25" t="n"/>
      <c r="T67" s="25" t="n"/>
      <c r="U67" s="54" t="n"/>
      <c r="V67" s="54">
        <f>IF($B67="","",IF(_xludf.TEXTJOIN(" | ",TRUE,IF($B67="","Missing Title",""),IF($C67="","Missing Date",""),IF($D67="","Missing Start",""),IF($E67="","Missing End",""),IF($G67="","Missing Required Attendees",""),IF($T67="","Missing Status",""),IF(AND($D67&lt;&gt;"",$E67&lt;&gt;"",$D67&gt;=$E67),"Start&gt;=End",""),IF(OR($R67="",LEN($R67)&lt;60,ISNUMBER(MATCH(TRIM($R67),StatusList,0))),"Body overwritten/short",""))="","OK",_xludf.TEXTJOIN(" | ",TRUE,IF($B67="","Missing Title",""),IF($C67="","Missing Date",""),IF($D67="","Missing Start",""),IF($E67="","Missing End",""),IF($G67="","Missing Required Attendees",""),IF($T67="","Missing Status",""),IF(AND($D67&lt;&gt;"",$E67&lt;&gt;"",$D67&gt;=$E67),"Start&gt;=End",""),IF(OR($R67="",LEN($R67)&lt;60,ISNUMBER(MATCH(TRIM($R67),StatusList,0))),"Body overwritten/short",""))))</f>
        <v/>
      </c>
    </row>
    <row r="68" ht="15" customHeight="1">
      <c r="A68" s="12">
        <f>IF(AND($B68&lt;&gt;"",$C68&lt;&gt;"",$D68&lt;&gt;"",$E68&lt;&gt;"",$G68&lt;&gt;""),
UPPER(
LEFT(TRIM(LEFT($G68,IFERROR(FIND(";",$G68)-1,999))),1)&amp;
IFERROR(
MID(TRIM(LEFT($G68,IFERROR(FIND(";",$G68)-1,999))),
FIND(" ",TRIM(LEFT($G68,IFERROR(FIND(";",$G68)-1,999))))+1,1),
MID(TRIM(LEFT($G68,IFERROR(FIND(";",$G68)-1,999))),2,1)
)
)&amp;"-"&amp;TEXT($C68,"yyyy-mm-dd"),
"")</f>
        <v/>
      </c>
      <c r="B68" s="25" t="n"/>
      <c r="C68" s="80" t="n"/>
      <c r="D68" s="77" t="n"/>
      <c r="E68" s="77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16">
        <f>IF($L68&lt;&gt;"","Purpose "&amp;CHAR(10)&amp;$L68&amp;CHAR(10)&amp;CHAR(10),"")&amp;
IF($M68&lt;&gt;"","Stops (in order) "&amp;CHAR(10)&amp;$M68&amp;CHAR(10)&amp;CHAR(10),"")&amp;
IF($N68&lt;&gt;"","To-Do (hard requirements) "&amp;CHAR(10)&amp;$N68&amp;CHAR(10)&amp;CHAR(10),"")&amp;
IF($O68&lt;&gt;"","Suggested Timeline "&amp;CHAR(10)&amp;$O68&amp;CHAR(10)&amp;CHAR(10),"")&amp;
IF($P68&lt;&gt;"","Guardrails "&amp;CHAR(10)&amp;$P68&amp;CHAR(10)&amp;CHAR(10),"")&amp;
IF($Q68&lt;&gt;"","Completion signals "&amp;CHAR(10)&amp;$Q68,"")</f>
        <v/>
      </c>
      <c r="S68" s="25" t="n"/>
      <c r="T68" s="25" t="n"/>
      <c r="U68" s="54" t="n"/>
      <c r="V68" s="54">
        <f>IF($B68="","",IF(_xludf.TEXTJOIN(" | ",TRUE,IF($B68="","Missing Title",""),IF($C68="","Missing Date",""),IF($D68="","Missing Start",""),IF($E68="","Missing End",""),IF($G68="","Missing Required Attendees",""),IF($T68="","Missing Status",""),IF(AND($D68&lt;&gt;"",$E68&lt;&gt;"",$D68&gt;=$E68),"Start&gt;=End",""),IF(OR($R68="",LEN($R68)&lt;60,ISNUMBER(MATCH(TRIM($R68),StatusList,0))),"Body overwritten/short",""))="","OK",_xludf.TEXTJOIN(" | ",TRUE,IF($B68="","Missing Title",""),IF($C68="","Missing Date",""),IF($D68="","Missing Start",""),IF($E68="","Missing End",""),IF($G68="","Missing Required Attendees",""),IF($T68="","Missing Status",""),IF(AND($D68&lt;&gt;"",$E68&lt;&gt;"",$D68&gt;=$E68),"Start&gt;=End",""),IF(OR($R68="",LEN($R68)&lt;60,ISNUMBER(MATCH(TRIM($R68),StatusList,0))),"Body overwritten/short",""))))</f>
        <v/>
      </c>
    </row>
    <row r="69" ht="15" customHeight="1">
      <c r="A69" s="12">
        <f>IF(AND($B69&lt;&gt;"",$C69&lt;&gt;"",$D69&lt;&gt;"",$E69&lt;&gt;"",$G69&lt;&gt;""),
UPPER(
LEFT(TRIM(LEFT($G69,IFERROR(FIND(";",$G69)-1,999))),1)&amp;
IFERROR(
MID(TRIM(LEFT($G69,IFERROR(FIND(";",$G69)-1,999))),
FIND(" ",TRIM(LEFT($G69,IFERROR(FIND(";",$G69)-1,999))))+1,1),
MID(TRIM(LEFT($G69,IFERROR(FIND(";",$G69)-1,999))),2,1)
)
)&amp;"-"&amp;TEXT($C69,"yyyy-mm-dd"),
"")</f>
        <v/>
      </c>
      <c r="B69" s="25" t="n"/>
      <c r="C69" s="80" t="n"/>
      <c r="D69" s="77" t="n"/>
      <c r="E69" s="77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16">
        <f>IF($L69&lt;&gt;"","Purpose "&amp;CHAR(10)&amp;$L69&amp;CHAR(10)&amp;CHAR(10),"")&amp;
IF($M69&lt;&gt;"","Stops (in order) "&amp;CHAR(10)&amp;$M69&amp;CHAR(10)&amp;CHAR(10),"")&amp;
IF($N69&lt;&gt;"","To-Do (hard requirements) "&amp;CHAR(10)&amp;$N69&amp;CHAR(10)&amp;CHAR(10),"")&amp;
IF($O69&lt;&gt;"","Suggested Timeline "&amp;CHAR(10)&amp;$O69&amp;CHAR(10)&amp;CHAR(10),"")&amp;
IF($P69&lt;&gt;"","Guardrails "&amp;CHAR(10)&amp;$P69&amp;CHAR(10)&amp;CHAR(10),"")&amp;
IF($Q69&lt;&gt;"","Completion signals "&amp;CHAR(10)&amp;$Q69,"")</f>
        <v/>
      </c>
      <c r="S69" s="25" t="n"/>
      <c r="T69" s="25" t="n"/>
      <c r="U69" s="54" t="n"/>
      <c r="V69" s="54">
        <f>IF($B69="","",IF(_xludf.TEXTJOIN(" | ",TRUE,IF($B69="","Missing Title",""),IF($C69="","Missing Date",""),IF($D69="","Missing Start",""),IF($E69="","Missing End",""),IF($G69="","Missing Required Attendees",""),IF($T69="","Missing Status",""),IF(AND($D69&lt;&gt;"",$E69&lt;&gt;"",$D69&gt;=$E69),"Start&gt;=End",""),IF(OR($R69="",LEN($R69)&lt;60,ISNUMBER(MATCH(TRIM($R69),StatusList,0))),"Body overwritten/short",""))="","OK",_xludf.TEXTJOIN(" | ",TRUE,IF($B69="","Missing Title",""),IF($C69="","Missing Date",""),IF($D69="","Missing Start",""),IF($E69="","Missing End",""),IF($G69="","Missing Required Attendees",""),IF($T69="","Missing Status",""),IF(AND($D69&lt;&gt;"",$E69&lt;&gt;"",$D69&gt;=$E69),"Start&gt;=End",""),IF(OR($R69="",LEN($R69)&lt;60,ISNUMBER(MATCH(TRIM($R69),StatusList,0))),"Body overwritten/short",""))))</f>
        <v/>
      </c>
    </row>
    <row r="70" ht="15" customHeight="1">
      <c r="A70" s="12">
        <f>IF(AND($B70&lt;&gt;"",$C70&lt;&gt;"",$D70&lt;&gt;"",$E70&lt;&gt;"",$G70&lt;&gt;""),
UPPER(
LEFT(TRIM(LEFT($G70,IFERROR(FIND(";",$G70)-1,999))),1)&amp;
IFERROR(
MID(TRIM(LEFT($G70,IFERROR(FIND(";",$G70)-1,999))),
FIND(" ",TRIM(LEFT($G70,IFERROR(FIND(";",$G70)-1,999))))+1,1),
MID(TRIM(LEFT($G70,IFERROR(FIND(";",$G70)-1,999))),2,1)
)
)&amp;"-"&amp;TEXT($C70,"yyyy-mm-dd"),
"")</f>
        <v/>
      </c>
      <c r="B70" s="25" t="n"/>
      <c r="C70" s="80" t="n"/>
      <c r="D70" s="77" t="n"/>
      <c r="E70" s="77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16">
        <f>IF($L70&lt;&gt;"","Purpose "&amp;CHAR(10)&amp;$L70&amp;CHAR(10)&amp;CHAR(10),"")&amp;
IF($M70&lt;&gt;"","Stops (in order) "&amp;CHAR(10)&amp;$M70&amp;CHAR(10)&amp;CHAR(10),"")&amp;
IF($N70&lt;&gt;"","To-Do (hard requirements) "&amp;CHAR(10)&amp;$N70&amp;CHAR(10)&amp;CHAR(10),"")&amp;
IF($O70&lt;&gt;"","Suggested Timeline "&amp;CHAR(10)&amp;$O70&amp;CHAR(10)&amp;CHAR(10),"")&amp;
IF($P70&lt;&gt;"","Guardrails "&amp;CHAR(10)&amp;$P70&amp;CHAR(10)&amp;CHAR(10),"")&amp;
IF($Q70&lt;&gt;"","Completion signals "&amp;CHAR(10)&amp;$Q70,"")</f>
        <v/>
      </c>
      <c r="S70" s="25" t="n"/>
      <c r="T70" s="25" t="n"/>
      <c r="U70" s="54" t="n"/>
      <c r="V70" s="54">
        <f>IF($B70="","",IF(_xludf.TEXTJOIN(" | ",TRUE,IF($B70="","Missing Title",""),IF($C70="","Missing Date",""),IF($D70="","Missing Start",""),IF($E70="","Missing End",""),IF($G70="","Missing Required Attendees",""),IF($T70="","Missing Status",""),IF(AND($D70&lt;&gt;"",$E70&lt;&gt;"",$D70&gt;=$E70),"Start&gt;=End",""),IF(OR($R70="",LEN($R70)&lt;60,ISNUMBER(MATCH(TRIM($R70),StatusList,0))),"Body overwritten/short",""))="","OK",_xludf.TEXTJOIN(" | ",TRUE,IF($B70="","Missing Title",""),IF($C70="","Missing Date",""),IF($D70="","Missing Start",""),IF($E70="","Missing End",""),IF($G70="","Missing Required Attendees",""),IF($T70="","Missing Status",""),IF(AND($D70&lt;&gt;"",$E70&lt;&gt;"",$D70&gt;=$E70),"Start&gt;=End",""),IF(OR($R70="",LEN($R70)&lt;60,ISNUMBER(MATCH(TRIM($R70),StatusList,0))),"Body overwritten/short",""))))</f>
        <v/>
      </c>
    </row>
    <row r="71" ht="15" customHeight="1">
      <c r="A71" s="12">
        <f>IF(AND($B71&lt;&gt;"",$C71&lt;&gt;"",$D71&lt;&gt;"",$E71&lt;&gt;"",$G71&lt;&gt;""),
UPPER(
LEFT(TRIM(LEFT($G71,IFERROR(FIND(";",$G71)-1,999))),1)&amp;
IFERROR(
MID(TRIM(LEFT($G71,IFERROR(FIND(";",$G71)-1,999))),
FIND(" ",TRIM(LEFT($G71,IFERROR(FIND(";",$G71)-1,999))))+1,1),
MID(TRIM(LEFT($G71,IFERROR(FIND(";",$G71)-1,999))),2,1)
)
)&amp;"-"&amp;TEXT($C71,"yyyy-mm-dd"),
"")</f>
        <v/>
      </c>
      <c r="B71" s="25" t="n"/>
      <c r="C71" s="80" t="n"/>
      <c r="D71" s="77" t="n"/>
      <c r="E71" s="77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16">
        <f>IF($L71&lt;&gt;"","Purpose "&amp;CHAR(10)&amp;$L71&amp;CHAR(10)&amp;CHAR(10),"")&amp;
IF($M71&lt;&gt;"","Stops (in order) "&amp;CHAR(10)&amp;$M71&amp;CHAR(10)&amp;CHAR(10),"")&amp;
IF($N71&lt;&gt;"","To-Do (hard requirements) "&amp;CHAR(10)&amp;$N71&amp;CHAR(10)&amp;CHAR(10),"")&amp;
IF($O71&lt;&gt;"","Suggested Timeline "&amp;CHAR(10)&amp;$O71&amp;CHAR(10)&amp;CHAR(10),"")&amp;
IF($P71&lt;&gt;"","Guardrails "&amp;CHAR(10)&amp;$P71&amp;CHAR(10)&amp;CHAR(10),"")&amp;
IF($Q71&lt;&gt;"","Completion signals "&amp;CHAR(10)&amp;$Q71,"")</f>
        <v/>
      </c>
      <c r="S71" s="25" t="n"/>
      <c r="T71" s="25" t="n"/>
      <c r="U71" s="54" t="n"/>
      <c r="V71" s="54">
        <f>IF($B71="","",IF(_xludf.TEXTJOIN(" | ",TRUE,IF($B71="","Missing Title",""),IF($C71="","Missing Date",""),IF($D71="","Missing Start",""),IF($E71="","Missing End",""),IF($G71="","Missing Required Attendees",""),IF($T71="","Missing Status",""),IF(AND($D71&lt;&gt;"",$E71&lt;&gt;"",$D71&gt;=$E71),"Start&gt;=End",""),IF(OR($R71="",LEN($R71)&lt;60,ISNUMBER(MATCH(TRIM($R71),StatusList,0))),"Body overwritten/short",""))="","OK",_xludf.TEXTJOIN(" | ",TRUE,IF($B71="","Missing Title",""),IF($C71="","Missing Date",""),IF($D71="","Missing Start",""),IF($E71="","Missing End",""),IF($G71="","Missing Required Attendees",""),IF($T71="","Missing Status",""),IF(AND($D71&lt;&gt;"",$E71&lt;&gt;"",$D71&gt;=$E71),"Start&gt;=End",""),IF(OR($R71="",LEN($R71)&lt;60,ISNUMBER(MATCH(TRIM($R71),StatusList,0))),"Body overwritten/short",""))))</f>
        <v/>
      </c>
    </row>
    <row r="72" ht="15" customHeight="1">
      <c r="A72" s="12">
        <f>IF(AND($B72&lt;&gt;"",$C72&lt;&gt;"",$D72&lt;&gt;"",$E72&lt;&gt;"",$G72&lt;&gt;""),
UPPER(
LEFT(TRIM(LEFT($G72,IFERROR(FIND(";",$G72)-1,999))),1)&amp;
IFERROR(
MID(TRIM(LEFT($G72,IFERROR(FIND(";",$G72)-1,999))),
FIND(" ",TRIM(LEFT($G72,IFERROR(FIND(";",$G72)-1,999))))+1,1),
MID(TRIM(LEFT($G72,IFERROR(FIND(";",$G72)-1,999))),2,1)
)
)&amp;"-"&amp;TEXT($C72,"yyyy-mm-dd"),
"")</f>
        <v/>
      </c>
      <c r="B72" s="25" t="n"/>
      <c r="C72" s="80" t="n"/>
      <c r="D72" s="77" t="n"/>
      <c r="E72" s="77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16">
        <f>IF($L72&lt;&gt;"","Purpose "&amp;CHAR(10)&amp;$L72&amp;CHAR(10)&amp;CHAR(10),"")&amp;
IF($M72&lt;&gt;"","Stops (in order) "&amp;CHAR(10)&amp;$M72&amp;CHAR(10)&amp;CHAR(10),"")&amp;
IF($N72&lt;&gt;"","To-Do (hard requirements) "&amp;CHAR(10)&amp;$N72&amp;CHAR(10)&amp;CHAR(10),"")&amp;
IF($O72&lt;&gt;"","Suggested Timeline "&amp;CHAR(10)&amp;$O72&amp;CHAR(10)&amp;CHAR(10),"")&amp;
IF($P72&lt;&gt;"","Guardrails "&amp;CHAR(10)&amp;$P72&amp;CHAR(10)&amp;CHAR(10),"")&amp;
IF($Q72&lt;&gt;"","Completion signals "&amp;CHAR(10)&amp;$Q72,"")</f>
        <v/>
      </c>
      <c r="S72" s="25" t="n"/>
      <c r="T72" s="25" t="n"/>
      <c r="U72" s="54" t="n"/>
      <c r="V72" s="54">
        <f>IF($B72="","",IF(_xludf.TEXTJOIN(" | ",TRUE,IF($B72="","Missing Title",""),IF($C72="","Missing Date",""),IF($D72="","Missing Start",""),IF($E72="","Missing End",""),IF($G72="","Missing Required Attendees",""),IF($T72="","Missing Status",""),IF(AND($D72&lt;&gt;"",$E72&lt;&gt;"",$D72&gt;=$E72),"Start&gt;=End",""),IF(OR($R72="",LEN($R72)&lt;60,ISNUMBER(MATCH(TRIM($R72),StatusList,0))),"Body overwritten/short",""))="","OK",_xludf.TEXTJOIN(" | ",TRUE,IF($B72="","Missing Title",""),IF($C72="","Missing Date",""),IF($D72="","Missing Start",""),IF($E72="","Missing End",""),IF($G72="","Missing Required Attendees",""),IF($T72="","Missing Status",""),IF(AND($D72&lt;&gt;"",$E72&lt;&gt;"",$D72&gt;=$E72),"Start&gt;=End",""),IF(OR($R72="",LEN($R72)&lt;60,ISNUMBER(MATCH(TRIM($R72),StatusList,0))),"Body overwritten/short",""))))</f>
        <v/>
      </c>
    </row>
    <row r="73" ht="15" customHeight="1">
      <c r="A73" s="12">
        <f>IF(AND($B73&lt;&gt;"",$C73&lt;&gt;"",$D73&lt;&gt;"",$E73&lt;&gt;"",$G73&lt;&gt;""),
UPPER(
LEFT(TRIM(LEFT($G73,IFERROR(FIND(";",$G73)-1,999))),1)&amp;
IFERROR(
MID(TRIM(LEFT($G73,IFERROR(FIND(";",$G73)-1,999))),
FIND(" ",TRIM(LEFT($G73,IFERROR(FIND(";",$G73)-1,999))))+1,1),
MID(TRIM(LEFT($G73,IFERROR(FIND(";",$G73)-1,999))),2,1)
)
)&amp;"-"&amp;TEXT($C73,"yyyy-mm-dd"),
"")</f>
        <v/>
      </c>
      <c r="B73" s="25" t="n"/>
      <c r="C73" s="80" t="n"/>
      <c r="D73" s="77" t="n"/>
      <c r="E73" s="77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16">
        <f>IF($L73&lt;&gt;"","Purpose "&amp;CHAR(10)&amp;$L73&amp;CHAR(10)&amp;CHAR(10),"")&amp;
IF($M73&lt;&gt;"","Stops (in order) "&amp;CHAR(10)&amp;$M73&amp;CHAR(10)&amp;CHAR(10),"")&amp;
IF($N73&lt;&gt;"","To-Do (hard requirements) "&amp;CHAR(10)&amp;$N73&amp;CHAR(10)&amp;CHAR(10),"")&amp;
IF($O73&lt;&gt;"","Suggested Timeline "&amp;CHAR(10)&amp;$O73&amp;CHAR(10)&amp;CHAR(10),"")&amp;
IF($P73&lt;&gt;"","Guardrails "&amp;CHAR(10)&amp;$P73&amp;CHAR(10)&amp;CHAR(10),"")&amp;
IF($Q73&lt;&gt;"","Completion signals "&amp;CHAR(10)&amp;$Q73,"")</f>
        <v/>
      </c>
      <c r="S73" s="25" t="n"/>
      <c r="T73" s="25" t="n"/>
      <c r="U73" s="54" t="n"/>
      <c r="V73" s="54">
        <f>IF($B73="","",IF(_xludf.TEXTJOIN(" | ",TRUE,IF($B73="","Missing Title",""),IF($C73="","Missing Date",""),IF($D73="","Missing Start",""),IF($E73="","Missing End",""),IF($G73="","Missing Required Attendees",""),IF($T73="","Missing Status",""),IF(AND($D73&lt;&gt;"",$E73&lt;&gt;"",$D73&gt;=$E73),"Start&gt;=End",""),IF(OR($R73="",LEN($R73)&lt;60,ISNUMBER(MATCH(TRIM($R73),StatusList,0))),"Body overwritten/short",""))="","OK",_xludf.TEXTJOIN(" | ",TRUE,IF($B73="","Missing Title",""),IF($C73="","Missing Date",""),IF($D73="","Missing Start",""),IF($E73="","Missing End",""),IF($G73="","Missing Required Attendees",""),IF($T73="","Missing Status",""),IF(AND($D73&lt;&gt;"",$E73&lt;&gt;"",$D73&gt;=$E73),"Start&gt;=End",""),IF(OR($R73="",LEN($R73)&lt;60,ISNUMBER(MATCH(TRIM($R73),StatusList,0))),"Body overwritten/short",""))))</f>
        <v/>
      </c>
    </row>
    <row r="74" ht="15" customHeight="1">
      <c r="A74" s="12">
        <f>IF(AND($B74&lt;&gt;"",$C74&lt;&gt;"",$D74&lt;&gt;"",$E74&lt;&gt;"",$G74&lt;&gt;""),
UPPER(
LEFT(TRIM(LEFT($G74,IFERROR(FIND(";",$G74)-1,999))),1)&amp;
IFERROR(
MID(TRIM(LEFT($G74,IFERROR(FIND(";",$G74)-1,999))),
FIND(" ",TRIM(LEFT($G74,IFERROR(FIND(";",$G74)-1,999))))+1,1),
MID(TRIM(LEFT($G74,IFERROR(FIND(";",$G74)-1,999))),2,1)
)
)&amp;"-"&amp;TEXT($C74,"yyyy-mm-dd"),
"")</f>
        <v/>
      </c>
      <c r="B74" s="25" t="n"/>
      <c r="C74" s="80" t="n"/>
      <c r="D74" s="77" t="n"/>
      <c r="E74" s="77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16">
        <f>IF($L74&lt;&gt;"","Purpose "&amp;CHAR(10)&amp;$L74&amp;CHAR(10)&amp;CHAR(10),"")&amp;
IF($M74&lt;&gt;"","Stops (in order) "&amp;CHAR(10)&amp;$M74&amp;CHAR(10)&amp;CHAR(10),"")&amp;
IF($N74&lt;&gt;"","To-Do (hard requirements) "&amp;CHAR(10)&amp;$N74&amp;CHAR(10)&amp;CHAR(10),"")&amp;
IF($O74&lt;&gt;"","Suggested Timeline "&amp;CHAR(10)&amp;$O74&amp;CHAR(10)&amp;CHAR(10),"")&amp;
IF($P74&lt;&gt;"","Guardrails "&amp;CHAR(10)&amp;$P74&amp;CHAR(10)&amp;CHAR(10),"")&amp;
IF($Q74&lt;&gt;"","Completion signals "&amp;CHAR(10)&amp;$Q74,"")</f>
        <v/>
      </c>
      <c r="S74" s="25" t="n"/>
      <c r="T74" s="25" t="n"/>
      <c r="U74" s="54" t="n"/>
      <c r="V74" s="54">
        <f>IF($B74="","",IF(_xludf.TEXTJOIN(" | ",TRUE,IF($B74="","Missing Title",""),IF($C74="","Missing Date",""),IF($D74="","Missing Start",""),IF($E74="","Missing End",""),IF($G74="","Missing Required Attendees",""),IF($T74="","Missing Status",""),IF(AND($D74&lt;&gt;"",$E74&lt;&gt;"",$D74&gt;=$E74),"Start&gt;=End",""),IF(OR($R74="",LEN($R74)&lt;60,ISNUMBER(MATCH(TRIM($R74),StatusList,0))),"Body overwritten/short",""))="","OK",_xludf.TEXTJOIN(" | ",TRUE,IF($B74="","Missing Title",""),IF($C74="","Missing Date",""),IF($D74="","Missing Start",""),IF($E74="","Missing End",""),IF($G74="","Missing Required Attendees",""),IF($T74="","Missing Status",""),IF(AND($D74&lt;&gt;"",$E74&lt;&gt;"",$D74&gt;=$E74),"Start&gt;=End",""),IF(OR($R74="",LEN($R74)&lt;60,ISNUMBER(MATCH(TRIM($R74),StatusList,0))),"Body overwritten/short",""))))</f>
        <v/>
      </c>
    </row>
    <row r="75" ht="15" customHeight="1">
      <c r="A75" s="12">
        <f>IF(AND($B75&lt;&gt;"",$C75&lt;&gt;"",$D75&lt;&gt;"",$E75&lt;&gt;"",$G75&lt;&gt;""),
UPPER(
LEFT(TRIM(LEFT($G75,IFERROR(FIND(";",$G75)-1,999))),1)&amp;
IFERROR(
MID(TRIM(LEFT($G75,IFERROR(FIND(";",$G75)-1,999))),
FIND(" ",TRIM(LEFT($G75,IFERROR(FIND(";",$G75)-1,999))))+1,1),
MID(TRIM(LEFT($G75,IFERROR(FIND(";",$G75)-1,999))),2,1)
)
)&amp;"-"&amp;TEXT($C75,"yyyy-mm-dd"),
"")</f>
        <v/>
      </c>
      <c r="B75" s="25" t="n"/>
      <c r="C75" s="80" t="n"/>
      <c r="D75" s="77" t="n"/>
      <c r="E75" s="77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16">
        <f>IF($L75&lt;&gt;"","Purpose "&amp;CHAR(10)&amp;$L75&amp;CHAR(10)&amp;CHAR(10),"")&amp;
IF($M75&lt;&gt;"","Stops (in order) "&amp;CHAR(10)&amp;$M75&amp;CHAR(10)&amp;CHAR(10),"")&amp;
IF($N75&lt;&gt;"","To-Do (hard requirements) "&amp;CHAR(10)&amp;$N75&amp;CHAR(10)&amp;CHAR(10),"")&amp;
IF($O75&lt;&gt;"","Suggested Timeline "&amp;CHAR(10)&amp;$O75&amp;CHAR(10)&amp;CHAR(10),"")&amp;
IF($P75&lt;&gt;"","Guardrails "&amp;CHAR(10)&amp;$P75&amp;CHAR(10)&amp;CHAR(10),"")&amp;
IF($Q75&lt;&gt;"","Completion signals "&amp;CHAR(10)&amp;$Q75,"")</f>
        <v/>
      </c>
      <c r="S75" s="25" t="n"/>
      <c r="T75" s="25" t="n"/>
      <c r="U75" s="54" t="n"/>
      <c r="V75" s="54">
        <f>IF($B75="","",IF(_xludf.TEXTJOIN(" | ",TRUE,IF($B75="","Missing Title",""),IF($C75="","Missing Date",""),IF($D75="","Missing Start",""),IF($E75="","Missing End",""),IF($G75="","Missing Required Attendees",""),IF($T75="","Missing Status",""),IF(AND($D75&lt;&gt;"",$E75&lt;&gt;"",$D75&gt;=$E75),"Start&gt;=End",""),IF(OR($R75="",LEN($R75)&lt;60,ISNUMBER(MATCH(TRIM($R75),StatusList,0))),"Body overwritten/short",""))="","OK",_xludf.TEXTJOIN(" | ",TRUE,IF($B75="","Missing Title",""),IF($C75="","Missing Date",""),IF($D75="","Missing Start",""),IF($E75="","Missing End",""),IF($G75="","Missing Required Attendees",""),IF($T75="","Missing Status",""),IF(AND($D75&lt;&gt;"",$E75&lt;&gt;"",$D75&gt;=$E75),"Start&gt;=End",""),IF(OR($R75="",LEN($R75)&lt;60,ISNUMBER(MATCH(TRIM($R75),StatusList,0))),"Body overwritten/short",""))))</f>
        <v/>
      </c>
    </row>
    <row r="76" ht="15" customHeight="1">
      <c r="A76" s="12">
        <f>IF(AND($B76&lt;&gt;"",$C76&lt;&gt;"",$D76&lt;&gt;"",$E76&lt;&gt;"",$G76&lt;&gt;""),
UPPER(
LEFT(TRIM(LEFT($G76,IFERROR(FIND(";",$G76)-1,999))),1)&amp;
IFERROR(
MID(TRIM(LEFT($G76,IFERROR(FIND(";",$G76)-1,999))),
FIND(" ",TRIM(LEFT($G76,IFERROR(FIND(";",$G76)-1,999))))+1,1),
MID(TRIM(LEFT($G76,IFERROR(FIND(";",$G76)-1,999))),2,1)
)
)&amp;"-"&amp;TEXT($C76,"yyyy-mm-dd"),
"")</f>
        <v/>
      </c>
      <c r="B76" s="25" t="n"/>
      <c r="C76" s="80" t="n"/>
      <c r="D76" s="77" t="n"/>
      <c r="E76" s="77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16">
        <f>IF($L76&lt;&gt;"","Purpose "&amp;CHAR(10)&amp;$L76&amp;CHAR(10)&amp;CHAR(10),"")&amp;
IF($M76&lt;&gt;"","Stops (in order) "&amp;CHAR(10)&amp;$M76&amp;CHAR(10)&amp;CHAR(10),"")&amp;
IF($N76&lt;&gt;"","To-Do (hard requirements) "&amp;CHAR(10)&amp;$N76&amp;CHAR(10)&amp;CHAR(10),"")&amp;
IF($O76&lt;&gt;"","Suggested Timeline "&amp;CHAR(10)&amp;$O76&amp;CHAR(10)&amp;CHAR(10),"")&amp;
IF($P76&lt;&gt;"","Guardrails "&amp;CHAR(10)&amp;$P76&amp;CHAR(10)&amp;CHAR(10),"")&amp;
IF($Q76&lt;&gt;"","Completion signals "&amp;CHAR(10)&amp;$Q76,"")</f>
        <v/>
      </c>
      <c r="S76" s="25" t="n"/>
      <c r="T76" s="25" t="n"/>
      <c r="U76" s="54" t="n"/>
      <c r="V76" s="54">
        <f>IF($B76="","",IF(_xludf.TEXTJOIN(" | ",TRUE,IF($B76="","Missing Title",""),IF($C76="","Missing Date",""),IF($D76="","Missing Start",""),IF($E76="","Missing End",""),IF($G76="","Missing Required Attendees",""),IF($T76="","Missing Status",""),IF(AND($D76&lt;&gt;"",$E76&lt;&gt;"",$D76&gt;=$E76),"Start&gt;=End",""),IF(OR($R76="",LEN($R76)&lt;60,ISNUMBER(MATCH(TRIM($R76),StatusList,0))),"Body overwritten/short",""))="","OK",_xludf.TEXTJOIN(" | ",TRUE,IF($B76="","Missing Title",""),IF($C76="","Missing Date",""),IF($D76="","Missing Start",""),IF($E76="","Missing End",""),IF($G76="","Missing Required Attendees",""),IF($T76="","Missing Status",""),IF(AND($D76&lt;&gt;"",$E76&lt;&gt;"",$D76&gt;=$E76),"Start&gt;=End",""),IF(OR($R76="",LEN($R76)&lt;60,ISNUMBER(MATCH(TRIM($R76),StatusList,0))),"Body overwritten/short",""))))</f>
        <v/>
      </c>
    </row>
    <row r="77" ht="15" customHeight="1">
      <c r="A77" s="12">
        <f>IF(AND($B77&lt;&gt;"",$C77&lt;&gt;"",$D77&lt;&gt;"",$E77&lt;&gt;"",$G77&lt;&gt;""),
UPPER(
LEFT(TRIM(LEFT($G77,IFERROR(FIND(";",$G77)-1,999))),1)&amp;
IFERROR(
MID(TRIM(LEFT($G77,IFERROR(FIND(";",$G77)-1,999))),
FIND(" ",TRIM(LEFT($G77,IFERROR(FIND(";",$G77)-1,999))))+1,1),
MID(TRIM(LEFT($G77,IFERROR(FIND(";",$G77)-1,999))),2,1)
)
)&amp;"-"&amp;TEXT($C77,"yyyy-mm-dd"),
"")</f>
        <v/>
      </c>
      <c r="B77" s="25" t="n"/>
      <c r="C77" s="80" t="n"/>
      <c r="D77" s="77" t="n"/>
      <c r="E77" s="77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16">
        <f>IF($L77&lt;&gt;"","Purpose "&amp;CHAR(10)&amp;$L77&amp;CHAR(10)&amp;CHAR(10),"")&amp;
IF($M77&lt;&gt;"","Stops (in order) "&amp;CHAR(10)&amp;$M77&amp;CHAR(10)&amp;CHAR(10),"")&amp;
IF($N77&lt;&gt;"","To-Do (hard requirements) "&amp;CHAR(10)&amp;$N77&amp;CHAR(10)&amp;CHAR(10),"")&amp;
IF($O77&lt;&gt;"","Suggested Timeline "&amp;CHAR(10)&amp;$O77&amp;CHAR(10)&amp;CHAR(10),"")&amp;
IF($P77&lt;&gt;"","Guardrails "&amp;CHAR(10)&amp;$P77&amp;CHAR(10)&amp;CHAR(10),"")&amp;
IF($Q77&lt;&gt;"","Completion signals "&amp;CHAR(10)&amp;$Q77,"")</f>
        <v/>
      </c>
      <c r="S77" s="25" t="n"/>
      <c r="T77" s="25" t="n"/>
      <c r="U77" s="54" t="n"/>
      <c r="V77" s="54">
        <f>IF($B77="","",IF(_xludf.TEXTJOIN(" | ",TRUE,IF($B77="","Missing Title",""),IF($C77="","Missing Date",""),IF($D77="","Missing Start",""),IF($E77="","Missing End",""),IF($G77="","Missing Required Attendees",""),IF($T77="","Missing Status",""),IF(AND($D77&lt;&gt;"",$E77&lt;&gt;"",$D77&gt;=$E77),"Start&gt;=End",""),IF(OR($R77="",LEN($R77)&lt;60,ISNUMBER(MATCH(TRIM($R77),StatusList,0))),"Body overwritten/short",""))="","OK",_xludf.TEXTJOIN(" | ",TRUE,IF($B77="","Missing Title",""),IF($C77="","Missing Date",""),IF($D77="","Missing Start",""),IF($E77="","Missing End",""),IF($G77="","Missing Required Attendees",""),IF($T77="","Missing Status",""),IF(AND($D77&lt;&gt;"",$E77&lt;&gt;"",$D77&gt;=$E77),"Start&gt;=End",""),IF(OR($R77="",LEN($R77)&lt;60,ISNUMBER(MATCH(TRIM($R77),StatusList,0))),"Body overwritten/short",""))))</f>
        <v/>
      </c>
    </row>
    <row r="78" ht="15" customHeight="1">
      <c r="A78" s="12">
        <f>IF(AND($B78&lt;&gt;"",$C78&lt;&gt;"",$D78&lt;&gt;"",$E78&lt;&gt;"",$G78&lt;&gt;""),
UPPER(
LEFT(TRIM(LEFT($G78,IFERROR(FIND(";",$G78)-1,999))),1)&amp;
IFERROR(
MID(TRIM(LEFT($G78,IFERROR(FIND(";",$G78)-1,999))),
FIND(" ",TRIM(LEFT($G78,IFERROR(FIND(";",$G78)-1,999))))+1,1),
MID(TRIM(LEFT($G78,IFERROR(FIND(";",$G78)-1,999))),2,1)
)
)&amp;"-"&amp;TEXT($C78,"yyyy-mm-dd"),
"")</f>
        <v/>
      </c>
      <c r="B78" s="25" t="n"/>
      <c r="C78" s="80" t="n"/>
      <c r="D78" s="77" t="n"/>
      <c r="E78" s="77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16">
        <f>IF($L78&lt;&gt;"","Purpose "&amp;CHAR(10)&amp;$L78&amp;CHAR(10)&amp;CHAR(10),"")&amp;
IF($M78&lt;&gt;"","Stops (in order) "&amp;CHAR(10)&amp;$M78&amp;CHAR(10)&amp;CHAR(10),"")&amp;
IF($N78&lt;&gt;"","To-Do (hard requirements) "&amp;CHAR(10)&amp;$N78&amp;CHAR(10)&amp;CHAR(10),"")&amp;
IF($O78&lt;&gt;"","Suggested Timeline "&amp;CHAR(10)&amp;$O78&amp;CHAR(10)&amp;CHAR(10),"")&amp;
IF($P78&lt;&gt;"","Guardrails "&amp;CHAR(10)&amp;$P78&amp;CHAR(10)&amp;CHAR(10),"")&amp;
IF($Q78&lt;&gt;"","Completion signals "&amp;CHAR(10)&amp;$Q78,"")</f>
        <v/>
      </c>
      <c r="S78" s="25" t="n"/>
      <c r="T78" s="25" t="n"/>
      <c r="U78" s="54" t="n"/>
      <c r="V78" s="54">
        <f>IF($B78="","",IF(_xludf.TEXTJOIN(" | ",TRUE,IF($B78="","Missing Title",""),IF($C78="","Missing Date",""),IF($D78="","Missing Start",""),IF($E78="","Missing End",""),IF($G78="","Missing Required Attendees",""),IF($T78="","Missing Status",""),IF(AND($D78&lt;&gt;"",$E78&lt;&gt;"",$D78&gt;=$E78),"Start&gt;=End",""),IF(OR($R78="",LEN($R78)&lt;60,ISNUMBER(MATCH(TRIM($R78),StatusList,0))),"Body overwritten/short",""))="","OK",_xludf.TEXTJOIN(" | ",TRUE,IF($B78="","Missing Title",""),IF($C78="","Missing Date",""),IF($D78="","Missing Start",""),IF($E78="","Missing End",""),IF($G78="","Missing Required Attendees",""),IF($T78="","Missing Status",""),IF(AND($D78&lt;&gt;"",$E78&lt;&gt;"",$D78&gt;=$E78),"Start&gt;=End",""),IF(OR($R78="",LEN($R78)&lt;60,ISNUMBER(MATCH(TRIM($R78),StatusList,0))),"Body overwritten/short",""))))</f>
        <v/>
      </c>
    </row>
    <row r="79" ht="15" customHeight="1">
      <c r="A79" s="12">
        <f>IF(AND($B79&lt;&gt;"",$C79&lt;&gt;"",$D79&lt;&gt;"",$E79&lt;&gt;"",$G79&lt;&gt;""),
UPPER(
LEFT(TRIM(LEFT($G79,IFERROR(FIND(";",$G79)-1,999))),1)&amp;
IFERROR(
MID(TRIM(LEFT($G79,IFERROR(FIND(";",$G79)-1,999))),
FIND(" ",TRIM(LEFT($G79,IFERROR(FIND(";",$G79)-1,999))))+1,1),
MID(TRIM(LEFT($G79,IFERROR(FIND(";",$G79)-1,999))),2,1)
)
)&amp;"-"&amp;TEXT($C79,"yyyy-mm-dd"),
"")</f>
        <v/>
      </c>
      <c r="B79" s="25" t="n"/>
      <c r="C79" s="80" t="n"/>
      <c r="D79" s="77" t="n"/>
      <c r="E79" s="77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16">
        <f>IF($L79&lt;&gt;"","Purpose "&amp;CHAR(10)&amp;$L79&amp;CHAR(10)&amp;CHAR(10),"")&amp;
IF($M79&lt;&gt;"","Stops (in order) "&amp;CHAR(10)&amp;$M79&amp;CHAR(10)&amp;CHAR(10),"")&amp;
IF($N79&lt;&gt;"","To-Do (hard requirements) "&amp;CHAR(10)&amp;$N79&amp;CHAR(10)&amp;CHAR(10),"")&amp;
IF($O79&lt;&gt;"","Suggested Timeline "&amp;CHAR(10)&amp;$O79&amp;CHAR(10)&amp;CHAR(10),"")&amp;
IF($P79&lt;&gt;"","Guardrails "&amp;CHAR(10)&amp;$P79&amp;CHAR(10)&amp;CHAR(10),"")&amp;
IF($Q79&lt;&gt;"","Completion signals "&amp;CHAR(10)&amp;$Q79,"")</f>
        <v/>
      </c>
      <c r="S79" s="25" t="n"/>
      <c r="T79" s="25" t="n"/>
      <c r="U79" s="54" t="n"/>
      <c r="V79" s="54">
        <f>IF($B79="","",IF(_xludf.TEXTJOIN(" | ",TRUE,IF($B79="","Missing Title",""),IF($C79="","Missing Date",""),IF($D79="","Missing Start",""),IF($E79="","Missing End",""),IF($G79="","Missing Required Attendees",""),IF($T79="","Missing Status",""),IF(AND($D79&lt;&gt;"",$E79&lt;&gt;"",$D79&gt;=$E79),"Start&gt;=End",""),IF(OR($R79="",LEN($R79)&lt;60,ISNUMBER(MATCH(TRIM($R79),StatusList,0))),"Body overwritten/short",""))="","OK",_xludf.TEXTJOIN(" | ",TRUE,IF($B79="","Missing Title",""),IF($C79="","Missing Date",""),IF($D79="","Missing Start",""),IF($E79="","Missing End",""),IF($G79="","Missing Required Attendees",""),IF($T79="","Missing Status",""),IF(AND($D79&lt;&gt;"",$E79&lt;&gt;"",$D79&gt;=$E79),"Start&gt;=End",""),IF(OR($R79="",LEN($R79)&lt;60,ISNUMBER(MATCH(TRIM($R79),StatusList,0))),"Body overwritten/short",""))))</f>
        <v/>
      </c>
    </row>
    <row r="80" ht="15" customHeight="1">
      <c r="A80" s="12">
        <f>IF(AND($B80&lt;&gt;"",$C80&lt;&gt;"",$D80&lt;&gt;"",$E80&lt;&gt;"",$G80&lt;&gt;""),
UPPER(
LEFT(TRIM(LEFT($G80,IFERROR(FIND(";",$G80)-1,999))),1)&amp;
IFERROR(
MID(TRIM(LEFT($G80,IFERROR(FIND(";",$G80)-1,999))),
FIND(" ",TRIM(LEFT($G80,IFERROR(FIND(";",$G80)-1,999))))+1,1),
MID(TRIM(LEFT($G80,IFERROR(FIND(";",$G80)-1,999))),2,1)
)
)&amp;"-"&amp;TEXT($C80,"yyyy-mm-dd"),
"")</f>
        <v/>
      </c>
      <c r="B80" s="25" t="n"/>
      <c r="C80" s="80" t="n"/>
      <c r="D80" s="77" t="n"/>
      <c r="E80" s="77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16">
        <f>IF($L80&lt;&gt;"","Purpose "&amp;CHAR(10)&amp;$L80&amp;CHAR(10)&amp;CHAR(10),"")&amp;
IF($M80&lt;&gt;"","Stops (in order) "&amp;CHAR(10)&amp;$M80&amp;CHAR(10)&amp;CHAR(10),"")&amp;
IF($N80&lt;&gt;"","To-Do (hard requirements) "&amp;CHAR(10)&amp;$N80&amp;CHAR(10)&amp;CHAR(10),"")&amp;
IF($O80&lt;&gt;"","Suggested Timeline "&amp;CHAR(10)&amp;$O80&amp;CHAR(10)&amp;CHAR(10),"")&amp;
IF($P80&lt;&gt;"","Guardrails "&amp;CHAR(10)&amp;$P80&amp;CHAR(10)&amp;CHAR(10),"")&amp;
IF($Q80&lt;&gt;"","Completion signals "&amp;CHAR(10)&amp;$Q80,"")</f>
        <v/>
      </c>
      <c r="S80" s="25" t="n"/>
      <c r="T80" s="25" t="n"/>
      <c r="U80" s="54" t="n"/>
      <c r="V80" s="54">
        <f>IF($B80="","",IF(_xludf.TEXTJOIN(" | ",TRUE,IF($B80="","Missing Title",""),IF($C80="","Missing Date",""),IF($D80="","Missing Start",""),IF($E80="","Missing End",""),IF($G80="","Missing Required Attendees",""),IF($T80="","Missing Status",""),IF(AND($D80&lt;&gt;"",$E80&lt;&gt;"",$D80&gt;=$E80),"Start&gt;=End",""),IF(OR($R80="",LEN($R80)&lt;60,ISNUMBER(MATCH(TRIM($R80),StatusList,0))),"Body overwritten/short",""))="","OK",_xludf.TEXTJOIN(" | ",TRUE,IF($B80="","Missing Title",""),IF($C80="","Missing Date",""),IF($D80="","Missing Start",""),IF($E80="","Missing End",""),IF($G80="","Missing Required Attendees",""),IF($T80="","Missing Status",""),IF(AND($D80&lt;&gt;"",$E80&lt;&gt;"",$D80&gt;=$E80),"Start&gt;=End",""),IF(OR($R80="",LEN($R80)&lt;60,ISNUMBER(MATCH(TRIM($R80),StatusList,0))),"Body overwritten/short",""))))</f>
        <v/>
      </c>
    </row>
    <row r="81" ht="15" customHeight="1">
      <c r="A81" s="12">
        <f>IF(AND($B81&lt;&gt;"",$C81&lt;&gt;"",$D81&lt;&gt;"",$E81&lt;&gt;"",$G81&lt;&gt;""),
UPPER(
LEFT(TRIM(LEFT($G81,IFERROR(FIND(";",$G81)-1,999))),1)&amp;
IFERROR(
MID(TRIM(LEFT($G81,IFERROR(FIND(";",$G81)-1,999))),
FIND(" ",TRIM(LEFT($G81,IFERROR(FIND(";",$G81)-1,999))))+1,1),
MID(TRIM(LEFT($G81,IFERROR(FIND(";",$G81)-1,999))),2,1)
)
)&amp;"-"&amp;TEXT($C81,"yyyy-mm-dd"),
"")</f>
        <v/>
      </c>
      <c r="B81" s="25" t="n"/>
      <c r="C81" s="80" t="n"/>
      <c r="D81" s="77" t="n"/>
      <c r="E81" s="77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16">
        <f>IF($L81&lt;&gt;"","Purpose "&amp;CHAR(10)&amp;$L81&amp;CHAR(10)&amp;CHAR(10),"")&amp;
IF($M81&lt;&gt;"","Stops (in order) "&amp;CHAR(10)&amp;$M81&amp;CHAR(10)&amp;CHAR(10),"")&amp;
IF($N81&lt;&gt;"","To-Do (hard requirements) "&amp;CHAR(10)&amp;$N81&amp;CHAR(10)&amp;CHAR(10),"")&amp;
IF($O81&lt;&gt;"","Suggested Timeline "&amp;CHAR(10)&amp;$O81&amp;CHAR(10)&amp;CHAR(10),"")&amp;
IF($P81&lt;&gt;"","Guardrails "&amp;CHAR(10)&amp;$P81&amp;CHAR(10)&amp;CHAR(10),"")&amp;
IF($Q81&lt;&gt;"","Completion signals "&amp;CHAR(10)&amp;$Q81,"")</f>
        <v/>
      </c>
      <c r="S81" s="25" t="n"/>
      <c r="T81" s="25" t="n"/>
      <c r="U81" s="54" t="n"/>
      <c r="V81" s="54">
        <f>IF($B81="","",IF(_xludf.TEXTJOIN(" | ",TRUE,IF($B81="","Missing Title",""),IF($C81="","Missing Date",""),IF($D81="","Missing Start",""),IF($E81="","Missing End",""),IF($G81="","Missing Required Attendees",""),IF($T81="","Missing Status",""),IF(AND($D81&lt;&gt;"",$E81&lt;&gt;"",$D81&gt;=$E81),"Start&gt;=End",""),IF(OR($R81="",LEN($R81)&lt;60,ISNUMBER(MATCH(TRIM($R81),StatusList,0))),"Body overwritten/short",""))="","OK",_xludf.TEXTJOIN(" | ",TRUE,IF($B81="","Missing Title",""),IF($C81="","Missing Date",""),IF($D81="","Missing Start",""),IF($E81="","Missing End",""),IF($G81="","Missing Required Attendees",""),IF($T81="","Missing Status",""),IF(AND($D81&lt;&gt;"",$E81&lt;&gt;"",$D81&gt;=$E81),"Start&gt;=End",""),IF(OR($R81="",LEN($R81)&lt;60,ISNUMBER(MATCH(TRIM($R81),StatusList,0))),"Body overwritten/short",""))))</f>
        <v/>
      </c>
    </row>
    <row r="82" ht="15" customHeight="1">
      <c r="A82" s="12">
        <f>IF(AND($B82&lt;&gt;"",$C82&lt;&gt;"",$D82&lt;&gt;"",$E82&lt;&gt;"",$G82&lt;&gt;""),
UPPER(
LEFT(TRIM(LEFT($G82,IFERROR(FIND(";",$G82)-1,999))),1)&amp;
IFERROR(
MID(TRIM(LEFT($G82,IFERROR(FIND(";",$G82)-1,999))),
FIND(" ",TRIM(LEFT($G82,IFERROR(FIND(";",$G82)-1,999))))+1,1),
MID(TRIM(LEFT($G82,IFERROR(FIND(";",$G82)-1,999))),2,1)
)
)&amp;"-"&amp;TEXT($C82,"yyyy-mm-dd"),
"")</f>
        <v/>
      </c>
      <c r="B82" s="25" t="n"/>
      <c r="C82" s="80" t="n"/>
      <c r="D82" s="77" t="n"/>
      <c r="E82" s="77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16">
        <f>IF($L82&lt;&gt;"","Purpose "&amp;CHAR(10)&amp;$L82&amp;CHAR(10)&amp;CHAR(10),"")&amp;
IF($M82&lt;&gt;"","Stops (in order) "&amp;CHAR(10)&amp;$M82&amp;CHAR(10)&amp;CHAR(10),"")&amp;
IF($N82&lt;&gt;"","To-Do (hard requirements) "&amp;CHAR(10)&amp;$N82&amp;CHAR(10)&amp;CHAR(10),"")&amp;
IF($O82&lt;&gt;"","Suggested Timeline "&amp;CHAR(10)&amp;$O82&amp;CHAR(10)&amp;CHAR(10),"")&amp;
IF($P82&lt;&gt;"","Guardrails "&amp;CHAR(10)&amp;$P82&amp;CHAR(10)&amp;CHAR(10),"")&amp;
IF($Q82&lt;&gt;"","Completion signals "&amp;CHAR(10)&amp;$Q82,"")</f>
        <v/>
      </c>
      <c r="S82" s="25" t="n"/>
      <c r="T82" s="25" t="n"/>
      <c r="U82" s="54" t="n"/>
      <c r="V82" s="54">
        <f>IF($B82="","",IF(_xludf.TEXTJOIN(" | ",TRUE,IF($B82="","Missing Title",""),IF($C82="","Missing Date",""),IF($D82="","Missing Start",""),IF($E82="","Missing End",""),IF($G82="","Missing Required Attendees",""),IF($T82="","Missing Status",""),IF(AND($D82&lt;&gt;"",$E82&lt;&gt;"",$D82&gt;=$E82),"Start&gt;=End",""),IF(OR($R82="",LEN($R82)&lt;60,ISNUMBER(MATCH(TRIM($R82),StatusList,0))),"Body overwritten/short",""))="","OK",_xludf.TEXTJOIN(" | ",TRUE,IF($B82="","Missing Title",""),IF($C82="","Missing Date",""),IF($D82="","Missing Start",""),IF($E82="","Missing End",""),IF($G82="","Missing Required Attendees",""),IF($T82="","Missing Status",""),IF(AND($D82&lt;&gt;"",$E82&lt;&gt;"",$D82&gt;=$E82),"Start&gt;=End",""),IF(OR($R82="",LEN($R82)&lt;60,ISNUMBER(MATCH(TRIM($R82),StatusList,0))),"Body overwritten/short",""))))</f>
        <v/>
      </c>
    </row>
    <row r="83" ht="15" customHeight="1">
      <c r="A83" s="12">
        <f>IF(AND($B83&lt;&gt;"",$C83&lt;&gt;"",$D83&lt;&gt;"",$E83&lt;&gt;"",$G83&lt;&gt;""),
UPPER(
LEFT(TRIM(LEFT($G83,IFERROR(FIND(";",$G83)-1,999))),1)&amp;
IFERROR(
MID(TRIM(LEFT($G83,IFERROR(FIND(";",$G83)-1,999))),
FIND(" ",TRIM(LEFT($G83,IFERROR(FIND(";",$G83)-1,999))))+1,1),
MID(TRIM(LEFT($G83,IFERROR(FIND(";",$G83)-1,999))),2,1)
)
)&amp;"-"&amp;TEXT($C83,"yyyy-mm-dd"),
"")</f>
        <v/>
      </c>
      <c r="B83" s="25" t="n"/>
      <c r="C83" s="80" t="n"/>
      <c r="D83" s="77" t="n"/>
      <c r="E83" s="77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16">
        <f>IF($L83&lt;&gt;"","Purpose "&amp;CHAR(10)&amp;$L83&amp;CHAR(10)&amp;CHAR(10),"")&amp;
IF($M83&lt;&gt;"","Stops (in order) "&amp;CHAR(10)&amp;$M83&amp;CHAR(10)&amp;CHAR(10),"")&amp;
IF($N83&lt;&gt;"","To-Do (hard requirements) "&amp;CHAR(10)&amp;$N83&amp;CHAR(10)&amp;CHAR(10),"")&amp;
IF($O83&lt;&gt;"","Suggested Timeline "&amp;CHAR(10)&amp;$O83&amp;CHAR(10)&amp;CHAR(10),"")&amp;
IF($P83&lt;&gt;"","Guardrails "&amp;CHAR(10)&amp;$P83&amp;CHAR(10)&amp;CHAR(10),"")&amp;
IF($Q83&lt;&gt;"","Completion signals "&amp;CHAR(10)&amp;$Q83,"")</f>
        <v/>
      </c>
      <c r="S83" s="25" t="n"/>
      <c r="T83" s="25" t="n"/>
      <c r="U83" s="54" t="n"/>
      <c r="V83" s="54">
        <f>IF($B83="","",IF(_xludf.TEXTJOIN(" | ",TRUE,IF($B83="","Missing Title",""),IF($C83="","Missing Date",""),IF($D83="","Missing Start",""),IF($E83="","Missing End",""),IF($G83="","Missing Required Attendees",""),IF($T83="","Missing Status",""),IF(AND($D83&lt;&gt;"",$E83&lt;&gt;"",$D83&gt;=$E83),"Start&gt;=End",""),IF(OR($R83="",LEN($R83)&lt;60,ISNUMBER(MATCH(TRIM($R83),StatusList,0))),"Body overwritten/short",""))="","OK",_xludf.TEXTJOIN(" | ",TRUE,IF($B83="","Missing Title",""),IF($C83="","Missing Date",""),IF($D83="","Missing Start",""),IF($E83="","Missing End",""),IF($G83="","Missing Required Attendees",""),IF($T83="","Missing Status",""),IF(AND($D83&lt;&gt;"",$E83&lt;&gt;"",$D83&gt;=$E83),"Start&gt;=End",""),IF(OR($R83="",LEN($R83)&lt;60,ISNUMBER(MATCH(TRIM($R83),StatusList,0))),"Body overwritten/short",""))))</f>
        <v/>
      </c>
    </row>
    <row r="84" ht="15" customHeight="1">
      <c r="A84" s="12">
        <f>IF(AND($B84&lt;&gt;"",$C84&lt;&gt;"",$D84&lt;&gt;"",$E84&lt;&gt;"",$G84&lt;&gt;""),
UPPER(
LEFT(TRIM(LEFT($G84,IFERROR(FIND(";",$G84)-1,999))),1)&amp;
IFERROR(
MID(TRIM(LEFT($G84,IFERROR(FIND(";",$G84)-1,999))),
FIND(" ",TRIM(LEFT($G84,IFERROR(FIND(";",$G84)-1,999))))+1,1),
MID(TRIM(LEFT($G84,IFERROR(FIND(";",$G84)-1,999))),2,1)
)
)&amp;"-"&amp;TEXT($C84,"yyyy-mm-dd"),
"")</f>
        <v/>
      </c>
      <c r="B84" s="25" t="n"/>
      <c r="C84" s="80" t="n"/>
      <c r="D84" s="77" t="n"/>
      <c r="E84" s="77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16">
        <f>IF($L84&lt;&gt;"","Purpose "&amp;CHAR(10)&amp;$L84&amp;CHAR(10)&amp;CHAR(10),"")&amp;
IF($M84&lt;&gt;"","Stops (in order) "&amp;CHAR(10)&amp;$M84&amp;CHAR(10)&amp;CHAR(10),"")&amp;
IF($N84&lt;&gt;"","To-Do (hard requirements) "&amp;CHAR(10)&amp;$N84&amp;CHAR(10)&amp;CHAR(10),"")&amp;
IF($O84&lt;&gt;"","Suggested Timeline "&amp;CHAR(10)&amp;$O84&amp;CHAR(10)&amp;CHAR(10),"")&amp;
IF($P84&lt;&gt;"","Guardrails "&amp;CHAR(10)&amp;$P84&amp;CHAR(10)&amp;CHAR(10),"")&amp;
IF($Q84&lt;&gt;"","Completion signals "&amp;CHAR(10)&amp;$Q84,"")</f>
        <v/>
      </c>
      <c r="S84" s="25" t="n"/>
      <c r="T84" s="25" t="n"/>
      <c r="U84" s="54" t="n"/>
      <c r="V84" s="54">
        <f>IF($B84="","",IF(_xludf.TEXTJOIN(" | ",TRUE,IF($B84="","Missing Title",""),IF($C84="","Missing Date",""),IF($D84="","Missing Start",""),IF($E84="","Missing End",""),IF($G84="","Missing Required Attendees",""),IF($T84="","Missing Status",""),IF(AND($D84&lt;&gt;"",$E84&lt;&gt;"",$D84&gt;=$E84),"Start&gt;=End",""),IF(OR($R84="",LEN($R84)&lt;60,ISNUMBER(MATCH(TRIM($R84),StatusList,0))),"Body overwritten/short",""))="","OK",_xludf.TEXTJOIN(" | ",TRUE,IF($B84="","Missing Title",""),IF($C84="","Missing Date",""),IF($D84="","Missing Start",""),IF($E84="","Missing End",""),IF($G84="","Missing Required Attendees",""),IF($T84="","Missing Status",""),IF(AND($D84&lt;&gt;"",$E84&lt;&gt;"",$D84&gt;=$E84),"Start&gt;=End",""),IF(OR($R84="",LEN($R84)&lt;60,ISNUMBER(MATCH(TRIM($R84),StatusList,0))),"Body overwritten/short",""))))</f>
        <v/>
      </c>
    </row>
    <row r="85" ht="15" customHeight="1">
      <c r="A85" s="12">
        <f>IF(AND($B85&lt;&gt;"",$C85&lt;&gt;"",$D85&lt;&gt;"",$E85&lt;&gt;"",$G85&lt;&gt;""),
UPPER(
LEFT(TRIM(LEFT($G85,IFERROR(FIND(";",$G85)-1,999))),1)&amp;
IFERROR(
MID(TRIM(LEFT($G85,IFERROR(FIND(";",$G85)-1,999))),
FIND(" ",TRIM(LEFT($G85,IFERROR(FIND(";",$G85)-1,999))))+1,1),
MID(TRIM(LEFT($G85,IFERROR(FIND(";",$G85)-1,999))),2,1)
)
)&amp;"-"&amp;TEXT($C85,"yyyy-mm-dd"),
"")</f>
        <v/>
      </c>
      <c r="B85" s="25" t="n"/>
      <c r="C85" s="80" t="n"/>
      <c r="D85" s="77" t="n"/>
      <c r="E85" s="77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16">
        <f>IF($L85&lt;&gt;"","Purpose "&amp;CHAR(10)&amp;$L85&amp;CHAR(10)&amp;CHAR(10),"")&amp;
IF($M85&lt;&gt;"","Stops (in order) "&amp;CHAR(10)&amp;$M85&amp;CHAR(10)&amp;CHAR(10),"")&amp;
IF($N85&lt;&gt;"","To-Do (hard requirements) "&amp;CHAR(10)&amp;$N85&amp;CHAR(10)&amp;CHAR(10),"")&amp;
IF($O85&lt;&gt;"","Suggested Timeline "&amp;CHAR(10)&amp;$O85&amp;CHAR(10)&amp;CHAR(10),"")&amp;
IF($P85&lt;&gt;"","Guardrails "&amp;CHAR(10)&amp;$P85&amp;CHAR(10)&amp;CHAR(10),"")&amp;
IF($Q85&lt;&gt;"","Completion signals "&amp;CHAR(10)&amp;$Q85,"")</f>
        <v/>
      </c>
      <c r="S85" s="25" t="n"/>
      <c r="T85" s="25" t="n"/>
      <c r="U85" s="54" t="n"/>
      <c r="V85" s="54">
        <f>IF($B85="","",IF(_xludf.TEXTJOIN(" | ",TRUE,IF($B85="","Missing Title",""),IF($C85="","Missing Date",""),IF($D85="","Missing Start",""),IF($E85="","Missing End",""),IF($G85="","Missing Required Attendees",""),IF($T85="","Missing Status",""),IF(AND($D85&lt;&gt;"",$E85&lt;&gt;"",$D85&gt;=$E85),"Start&gt;=End",""),IF(OR($R85="",LEN($R85)&lt;60,ISNUMBER(MATCH(TRIM($R85),StatusList,0))),"Body overwritten/short",""))="","OK",_xludf.TEXTJOIN(" | ",TRUE,IF($B85="","Missing Title",""),IF($C85="","Missing Date",""),IF($D85="","Missing Start",""),IF($E85="","Missing End",""),IF($G85="","Missing Required Attendees",""),IF($T85="","Missing Status",""),IF(AND($D85&lt;&gt;"",$E85&lt;&gt;"",$D85&gt;=$E85),"Start&gt;=End",""),IF(OR($R85="",LEN($R85)&lt;60,ISNUMBER(MATCH(TRIM($R85),StatusList,0))),"Body overwritten/short",""))))</f>
        <v/>
      </c>
    </row>
    <row r="86" ht="15" customHeight="1">
      <c r="A86" s="12">
        <f>IF(AND($B86&lt;&gt;"",$C86&lt;&gt;"",$D86&lt;&gt;"",$E86&lt;&gt;"",$G86&lt;&gt;""),
UPPER(
LEFT(TRIM(LEFT($G86,IFERROR(FIND(";",$G86)-1,999))),1)&amp;
IFERROR(
MID(TRIM(LEFT($G86,IFERROR(FIND(";",$G86)-1,999))),
FIND(" ",TRIM(LEFT($G86,IFERROR(FIND(";",$G86)-1,999))))+1,1),
MID(TRIM(LEFT($G86,IFERROR(FIND(";",$G86)-1,999))),2,1)
)
)&amp;"-"&amp;TEXT($C86,"yyyy-mm-dd"),
"")</f>
        <v/>
      </c>
      <c r="B86" s="25" t="n"/>
      <c r="C86" s="80" t="n"/>
      <c r="D86" s="77" t="n"/>
      <c r="E86" s="77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16">
        <f>IF($L86&lt;&gt;"","Purpose "&amp;CHAR(10)&amp;$L86&amp;CHAR(10)&amp;CHAR(10),"")&amp;
IF($M86&lt;&gt;"","Stops (in order) "&amp;CHAR(10)&amp;$M86&amp;CHAR(10)&amp;CHAR(10),"")&amp;
IF($N86&lt;&gt;"","To-Do (hard requirements) "&amp;CHAR(10)&amp;$N86&amp;CHAR(10)&amp;CHAR(10),"")&amp;
IF($O86&lt;&gt;"","Suggested Timeline "&amp;CHAR(10)&amp;$O86&amp;CHAR(10)&amp;CHAR(10),"")&amp;
IF($P86&lt;&gt;"","Guardrails "&amp;CHAR(10)&amp;$P86&amp;CHAR(10)&amp;CHAR(10),"")&amp;
IF($Q86&lt;&gt;"","Completion signals "&amp;CHAR(10)&amp;$Q86,"")</f>
        <v/>
      </c>
      <c r="S86" s="25" t="n"/>
      <c r="T86" s="25" t="n"/>
      <c r="U86" s="54" t="n"/>
      <c r="V86" s="54">
        <f>IF($B86="","",IF(_xludf.TEXTJOIN(" | ",TRUE,IF($B86="","Missing Title",""),IF($C86="","Missing Date",""),IF($D86="","Missing Start",""),IF($E86="","Missing End",""),IF($G86="","Missing Required Attendees",""),IF($T86="","Missing Status",""),IF(AND($D86&lt;&gt;"",$E86&lt;&gt;"",$D86&gt;=$E86),"Start&gt;=End",""),IF(OR($R86="",LEN($R86)&lt;60,ISNUMBER(MATCH(TRIM($R86),StatusList,0))),"Body overwritten/short",""))="","OK",_xludf.TEXTJOIN(" | ",TRUE,IF($B86="","Missing Title",""),IF($C86="","Missing Date",""),IF($D86="","Missing Start",""),IF($E86="","Missing End",""),IF($G86="","Missing Required Attendees",""),IF($T86="","Missing Status",""),IF(AND($D86&lt;&gt;"",$E86&lt;&gt;"",$D86&gt;=$E86),"Start&gt;=End",""),IF(OR($R86="",LEN($R86)&lt;60,ISNUMBER(MATCH(TRIM($R86),StatusList,0))),"Body overwritten/short",""))))</f>
        <v/>
      </c>
    </row>
    <row r="87" ht="15" customHeight="1">
      <c r="A87" s="12">
        <f>IF(AND($B87&lt;&gt;"",$C87&lt;&gt;"",$D87&lt;&gt;"",$E87&lt;&gt;"",$G87&lt;&gt;""),
UPPER(
LEFT(TRIM(LEFT($G87,IFERROR(FIND(";",$G87)-1,999))),1)&amp;
IFERROR(
MID(TRIM(LEFT($G87,IFERROR(FIND(";",$G87)-1,999))),
FIND(" ",TRIM(LEFT($G87,IFERROR(FIND(";",$G87)-1,999))))+1,1),
MID(TRIM(LEFT($G87,IFERROR(FIND(";",$G87)-1,999))),2,1)
)
)&amp;"-"&amp;TEXT($C87,"yyyy-mm-dd"),
"")</f>
        <v/>
      </c>
      <c r="B87" s="25" t="n"/>
      <c r="C87" s="80" t="n"/>
      <c r="D87" s="77" t="n"/>
      <c r="E87" s="77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16">
        <f>IF($L87&lt;&gt;"","Purpose "&amp;CHAR(10)&amp;$L87&amp;CHAR(10)&amp;CHAR(10),"")&amp;
IF($M87&lt;&gt;"","Stops (in order) "&amp;CHAR(10)&amp;$M87&amp;CHAR(10)&amp;CHAR(10),"")&amp;
IF($N87&lt;&gt;"","To-Do (hard requirements) "&amp;CHAR(10)&amp;$N87&amp;CHAR(10)&amp;CHAR(10),"")&amp;
IF($O87&lt;&gt;"","Suggested Timeline "&amp;CHAR(10)&amp;$O87&amp;CHAR(10)&amp;CHAR(10),"")&amp;
IF($P87&lt;&gt;"","Guardrails "&amp;CHAR(10)&amp;$P87&amp;CHAR(10)&amp;CHAR(10),"")&amp;
IF($Q87&lt;&gt;"","Completion signals "&amp;CHAR(10)&amp;$Q87,"")</f>
        <v/>
      </c>
      <c r="S87" s="25" t="n"/>
      <c r="T87" s="25" t="n"/>
      <c r="U87" s="54" t="n"/>
      <c r="V87" s="54">
        <f>IF($B87="","",IF(_xludf.TEXTJOIN(" | ",TRUE,IF($B87="","Missing Title",""),IF($C87="","Missing Date",""),IF($D87="","Missing Start",""),IF($E87="","Missing End",""),IF($G87="","Missing Required Attendees",""),IF($T87="","Missing Status",""),IF(AND($D87&lt;&gt;"",$E87&lt;&gt;"",$D87&gt;=$E87),"Start&gt;=End",""),IF(OR($R87="",LEN($R87)&lt;60,ISNUMBER(MATCH(TRIM($R87),StatusList,0))),"Body overwritten/short",""))="","OK",_xludf.TEXTJOIN(" | ",TRUE,IF($B87="","Missing Title",""),IF($C87="","Missing Date",""),IF($D87="","Missing Start",""),IF($E87="","Missing End",""),IF($G87="","Missing Required Attendees",""),IF($T87="","Missing Status",""),IF(AND($D87&lt;&gt;"",$E87&lt;&gt;"",$D87&gt;=$E87),"Start&gt;=End",""),IF(OR($R87="",LEN($R87)&lt;60,ISNUMBER(MATCH(TRIM($R87),StatusList,0))),"Body overwritten/short",""))))</f>
        <v/>
      </c>
    </row>
    <row r="88" ht="15" customHeight="1">
      <c r="A88" s="12">
        <f>IF(AND($B88&lt;&gt;"",$C88&lt;&gt;"",$D88&lt;&gt;"",$E88&lt;&gt;"",$G88&lt;&gt;""),
UPPER(
LEFT(TRIM(LEFT($G88,IFERROR(FIND(";",$G88)-1,999))),1)&amp;
IFERROR(
MID(TRIM(LEFT($G88,IFERROR(FIND(";",$G88)-1,999))),
FIND(" ",TRIM(LEFT($G88,IFERROR(FIND(";",$G88)-1,999))))+1,1),
MID(TRIM(LEFT($G88,IFERROR(FIND(";",$G88)-1,999))),2,1)
)
)&amp;"-"&amp;TEXT($C88,"yyyy-mm-dd"),
"")</f>
        <v/>
      </c>
      <c r="B88" s="25" t="n"/>
      <c r="C88" s="80" t="n"/>
      <c r="D88" s="77" t="n"/>
      <c r="E88" s="77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16">
        <f>IF($L88&lt;&gt;"","Purpose "&amp;CHAR(10)&amp;$L88&amp;CHAR(10)&amp;CHAR(10),"")&amp;
IF($M88&lt;&gt;"","Stops (in order) "&amp;CHAR(10)&amp;$M88&amp;CHAR(10)&amp;CHAR(10),"")&amp;
IF($N88&lt;&gt;"","To-Do (hard requirements) "&amp;CHAR(10)&amp;$N88&amp;CHAR(10)&amp;CHAR(10),"")&amp;
IF($O88&lt;&gt;"","Suggested Timeline "&amp;CHAR(10)&amp;$O88&amp;CHAR(10)&amp;CHAR(10),"")&amp;
IF($P88&lt;&gt;"","Guardrails "&amp;CHAR(10)&amp;$P88&amp;CHAR(10)&amp;CHAR(10),"")&amp;
IF($Q88&lt;&gt;"","Completion signals "&amp;CHAR(10)&amp;$Q88,"")</f>
        <v/>
      </c>
      <c r="S88" s="25" t="n"/>
      <c r="T88" s="25" t="n"/>
      <c r="U88" s="54" t="n"/>
      <c r="V88" s="54">
        <f>IF($B88="","",IF(_xludf.TEXTJOIN(" | ",TRUE,IF($B88="","Missing Title",""),IF($C88="","Missing Date",""),IF($D88="","Missing Start",""),IF($E88="","Missing End",""),IF($G88="","Missing Required Attendees",""),IF($T88="","Missing Status",""),IF(AND($D88&lt;&gt;"",$E88&lt;&gt;"",$D88&gt;=$E88),"Start&gt;=End",""),IF(OR($R88="",LEN($R88)&lt;60,ISNUMBER(MATCH(TRIM($R88),StatusList,0))),"Body overwritten/short",""))="","OK",_xludf.TEXTJOIN(" | ",TRUE,IF($B88="","Missing Title",""),IF($C88="","Missing Date",""),IF($D88="","Missing Start",""),IF($E88="","Missing End",""),IF($G88="","Missing Required Attendees",""),IF($T88="","Missing Status",""),IF(AND($D88&lt;&gt;"",$E88&lt;&gt;"",$D88&gt;=$E88),"Start&gt;=End",""),IF(OR($R88="",LEN($R88)&lt;60,ISNUMBER(MATCH(TRIM($R88),StatusList,0))),"Body overwritten/short",""))))</f>
        <v/>
      </c>
    </row>
    <row r="89" ht="15" customHeight="1">
      <c r="A89" s="12">
        <f>IF(AND($B89&lt;&gt;"",$C89&lt;&gt;"",$D89&lt;&gt;"",$E89&lt;&gt;"",$G89&lt;&gt;""),
UPPER(
LEFT(TRIM(LEFT($G89,IFERROR(FIND(";",$G89)-1,999))),1)&amp;
IFERROR(
MID(TRIM(LEFT($G89,IFERROR(FIND(";",$G89)-1,999))),
FIND(" ",TRIM(LEFT($G89,IFERROR(FIND(";",$G89)-1,999))))+1,1),
MID(TRIM(LEFT($G89,IFERROR(FIND(";",$G89)-1,999))),2,1)
)
)&amp;"-"&amp;TEXT($C89,"yyyy-mm-dd"),
"")</f>
        <v/>
      </c>
      <c r="B89" s="25" t="n"/>
      <c r="C89" s="80" t="n"/>
      <c r="D89" s="77" t="n"/>
      <c r="E89" s="77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16">
        <f>IF($L89&lt;&gt;"","Purpose "&amp;CHAR(10)&amp;$L89&amp;CHAR(10)&amp;CHAR(10),"")&amp;
IF($M89&lt;&gt;"","Stops (in order) "&amp;CHAR(10)&amp;$M89&amp;CHAR(10)&amp;CHAR(10),"")&amp;
IF($N89&lt;&gt;"","To-Do (hard requirements) "&amp;CHAR(10)&amp;$N89&amp;CHAR(10)&amp;CHAR(10),"")&amp;
IF($O89&lt;&gt;"","Suggested Timeline "&amp;CHAR(10)&amp;$O89&amp;CHAR(10)&amp;CHAR(10),"")&amp;
IF($P89&lt;&gt;"","Guardrails "&amp;CHAR(10)&amp;$P89&amp;CHAR(10)&amp;CHAR(10),"")&amp;
IF($Q89&lt;&gt;"","Completion signals "&amp;CHAR(10)&amp;$Q89,"")</f>
        <v/>
      </c>
      <c r="S89" s="25" t="n"/>
      <c r="T89" s="25" t="n"/>
      <c r="U89" s="54" t="n"/>
      <c r="V89" s="54">
        <f>IF($B89="","",IF(_xludf.TEXTJOIN(" | ",TRUE,IF($B89="","Missing Title",""),IF($C89="","Missing Date",""),IF($D89="","Missing Start",""),IF($E89="","Missing End",""),IF($G89="","Missing Required Attendees",""),IF($T89="","Missing Status",""),IF(AND($D89&lt;&gt;"",$E89&lt;&gt;"",$D89&gt;=$E89),"Start&gt;=End",""),IF(OR($R89="",LEN($R89)&lt;60,ISNUMBER(MATCH(TRIM($R89),StatusList,0))),"Body overwritten/short",""))="","OK",_xludf.TEXTJOIN(" | ",TRUE,IF($B89="","Missing Title",""),IF($C89="","Missing Date",""),IF($D89="","Missing Start",""),IF($E89="","Missing End",""),IF($G89="","Missing Required Attendees",""),IF($T89="","Missing Status",""),IF(AND($D89&lt;&gt;"",$E89&lt;&gt;"",$D89&gt;=$E89),"Start&gt;=End",""),IF(OR($R89="",LEN($R89)&lt;60,ISNUMBER(MATCH(TRIM($R89),StatusList,0))),"Body overwritten/short",""))))</f>
        <v/>
      </c>
    </row>
    <row r="90" ht="15" customHeight="1">
      <c r="A90" s="12">
        <f>IF(AND($B90&lt;&gt;"",$C90&lt;&gt;"",$D90&lt;&gt;"",$E90&lt;&gt;"",$G90&lt;&gt;""),
UPPER(
LEFT(TRIM(LEFT($G90,IFERROR(FIND(";",$G90)-1,999))),1)&amp;
IFERROR(
MID(TRIM(LEFT($G90,IFERROR(FIND(";",$G90)-1,999))),
FIND(" ",TRIM(LEFT($G90,IFERROR(FIND(";",$G90)-1,999))))+1,1),
MID(TRIM(LEFT($G90,IFERROR(FIND(";",$G90)-1,999))),2,1)
)
)&amp;"-"&amp;TEXT($C90,"yyyy-mm-dd"),
"")</f>
        <v/>
      </c>
      <c r="B90" s="25" t="n"/>
      <c r="C90" s="80" t="n"/>
      <c r="D90" s="77" t="n"/>
      <c r="E90" s="77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16">
        <f>IF($L90&lt;&gt;"","Purpose "&amp;CHAR(10)&amp;$L90&amp;CHAR(10)&amp;CHAR(10),"")&amp;
IF($M90&lt;&gt;"","Stops (in order) "&amp;CHAR(10)&amp;$M90&amp;CHAR(10)&amp;CHAR(10),"")&amp;
IF($N90&lt;&gt;"","To-Do (hard requirements) "&amp;CHAR(10)&amp;$N90&amp;CHAR(10)&amp;CHAR(10),"")&amp;
IF($O90&lt;&gt;"","Suggested Timeline "&amp;CHAR(10)&amp;$O90&amp;CHAR(10)&amp;CHAR(10),"")&amp;
IF($P90&lt;&gt;"","Guardrails "&amp;CHAR(10)&amp;$P90&amp;CHAR(10)&amp;CHAR(10),"")&amp;
IF($Q90&lt;&gt;"","Completion signals "&amp;CHAR(10)&amp;$Q90,"")</f>
        <v/>
      </c>
      <c r="S90" s="25" t="n"/>
      <c r="T90" s="25" t="n"/>
      <c r="U90" s="54" t="n"/>
      <c r="V90" s="54">
        <f>IF($B90="","",IF(_xludf.TEXTJOIN(" | ",TRUE,IF($B90="","Missing Title",""),IF($C90="","Missing Date",""),IF($D90="","Missing Start",""),IF($E90="","Missing End",""),IF($G90="","Missing Required Attendees",""),IF($T90="","Missing Status",""),IF(AND($D90&lt;&gt;"",$E90&lt;&gt;"",$D90&gt;=$E90),"Start&gt;=End",""),IF(OR($R90="",LEN($R90)&lt;60,ISNUMBER(MATCH(TRIM($R90),StatusList,0))),"Body overwritten/short",""))="","OK",_xludf.TEXTJOIN(" | ",TRUE,IF($B90="","Missing Title",""),IF($C90="","Missing Date",""),IF($D90="","Missing Start",""),IF($E90="","Missing End",""),IF($G90="","Missing Required Attendees",""),IF($T90="","Missing Status",""),IF(AND($D90&lt;&gt;"",$E90&lt;&gt;"",$D90&gt;=$E90),"Start&gt;=End",""),IF(OR($R90="",LEN($R90)&lt;60,ISNUMBER(MATCH(TRIM($R90),StatusList,0))),"Body overwritten/short",""))))</f>
        <v/>
      </c>
    </row>
    <row r="91" ht="15" customHeight="1">
      <c r="A91" s="12">
        <f>IF(AND($B91&lt;&gt;"",$C91&lt;&gt;"",$D91&lt;&gt;"",$E91&lt;&gt;"",$G91&lt;&gt;""),
UPPER(
LEFT(TRIM(LEFT($G91,IFERROR(FIND(";",$G91)-1,999))),1)&amp;
IFERROR(
MID(TRIM(LEFT($G91,IFERROR(FIND(";",$G91)-1,999))),
FIND(" ",TRIM(LEFT($G91,IFERROR(FIND(";",$G91)-1,999))))+1,1),
MID(TRIM(LEFT($G91,IFERROR(FIND(";",$G91)-1,999))),2,1)
)
)&amp;"-"&amp;TEXT($C91,"yyyy-mm-dd"),
"")</f>
        <v/>
      </c>
      <c r="B91" s="25" t="n"/>
      <c r="C91" s="80" t="n"/>
      <c r="D91" s="77" t="n"/>
      <c r="E91" s="77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16">
        <f>IF($L91&lt;&gt;"","Purpose "&amp;CHAR(10)&amp;$L91&amp;CHAR(10)&amp;CHAR(10),"")&amp;
IF($M91&lt;&gt;"","Stops (in order) "&amp;CHAR(10)&amp;$M91&amp;CHAR(10)&amp;CHAR(10),"")&amp;
IF($N91&lt;&gt;"","To-Do (hard requirements) "&amp;CHAR(10)&amp;$N91&amp;CHAR(10)&amp;CHAR(10),"")&amp;
IF($O91&lt;&gt;"","Suggested Timeline "&amp;CHAR(10)&amp;$O91&amp;CHAR(10)&amp;CHAR(10),"")&amp;
IF($P91&lt;&gt;"","Guardrails "&amp;CHAR(10)&amp;$P91&amp;CHAR(10)&amp;CHAR(10),"")&amp;
IF($Q91&lt;&gt;"","Completion signals "&amp;CHAR(10)&amp;$Q91,"")</f>
        <v/>
      </c>
      <c r="S91" s="25" t="n"/>
      <c r="T91" s="25" t="n"/>
      <c r="U91" s="54" t="n"/>
      <c r="V91" s="54">
        <f>IF($B91="","",IF(_xludf.TEXTJOIN(" | ",TRUE,IF($B91="","Missing Title",""),IF($C91="","Missing Date",""),IF($D91="","Missing Start",""),IF($E91="","Missing End",""),IF($G91="","Missing Required Attendees",""),IF($T91="","Missing Status",""),IF(AND($D91&lt;&gt;"",$E91&lt;&gt;"",$D91&gt;=$E91),"Start&gt;=End",""),IF(OR($R91="",LEN($R91)&lt;60,ISNUMBER(MATCH(TRIM($R91),StatusList,0))),"Body overwritten/short",""))="","OK",_xludf.TEXTJOIN(" | ",TRUE,IF($B91="","Missing Title",""),IF($C91="","Missing Date",""),IF($D91="","Missing Start",""),IF($E91="","Missing End",""),IF($G91="","Missing Required Attendees",""),IF($T91="","Missing Status",""),IF(AND($D91&lt;&gt;"",$E91&lt;&gt;"",$D91&gt;=$E91),"Start&gt;=End",""),IF(OR($R91="",LEN($R91)&lt;60,ISNUMBER(MATCH(TRIM($R91),StatusList,0))),"Body overwritten/short",""))))</f>
        <v/>
      </c>
    </row>
    <row r="92" ht="15" customHeight="1">
      <c r="A92" s="12">
        <f>IF(AND($B92&lt;&gt;"",$C92&lt;&gt;"",$D92&lt;&gt;"",$E92&lt;&gt;"",$G92&lt;&gt;""),
UPPER(
LEFT(TRIM(LEFT($G92,IFERROR(FIND(";",$G92)-1,999))),1)&amp;
IFERROR(
MID(TRIM(LEFT($G92,IFERROR(FIND(";",$G92)-1,999))),
FIND(" ",TRIM(LEFT($G92,IFERROR(FIND(";",$G92)-1,999))))+1,1),
MID(TRIM(LEFT($G92,IFERROR(FIND(";",$G92)-1,999))),2,1)
)
)&amp;"-"&amp;TEXT($C92,"yyyy-mm-dd"),
"")</f>
        <v/>
      </c>
      <c r="B92" s="25" t="n"/>
      <c r="C92" s="80" t="n"/>
      <c r="D92" s="77" t="n"/>
      <c r="E92" s="77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16">
        <f>IF($L92&lt;&gt;"","Purpose "&amp;CHAR(10)&amp;$L92&amp;CHAR(10)&amp;CHAR(10),"")&amp;
IF($M92&lt;&gt;"","Stops (in order) "&amp;CHAR(10)&amp;$M92&amp;CHAR(10)&amp;CHAR(10),"")&amp;
IF($N92&lt;&gt;"","To-Do (hard requirements) "&amp;CHAR(10)&amp;$N92&amp;CHAR(10)&amp;CHAR(10),"")&amp;
IF($O92&lt;&gt;"","Suggested Timeline "&amp;CHAR(10)&amp;$O92&amp;CHAR(10)&amp;CHAR(10),"")&amp;
IF($P92&lt;&gt;"","Guardrails "&amp;CHAR(10)&amp;$P92&amp;CHAR(10)&amp;CHAR(10),"")&amp;
IF($Q92&lt;&gt;"","Completion signals "&amp;CHAR(10)&amp;$Q92,"")</f>
        <v/>
      </c>
      <c r="S92" s="25" t="n"/>
      <c r="T92" s="25" t="n"/>
      <c r="U92" s="54" t="n"/>
      <c r="V92" s="54">
        <f>IF($B92="","",IF(_xludf.TEXTJOIN(" | ",TRUE,IF($B92="","Missing Title",""),IF($C92="","Missing Date",""),IF($D92="","Missing Start",""),IF($E92="","Missing End",""),IF($G92="","Missing Required Attendees",""),IF($T92="","Missing Status",""),IF(AND($D92&lt;&gt;"",$E92&lt;&gt;"",$D92&gt;=$E92),"Start&gt;=End",""),IF(OR($R92="",LEN($R92)&lt;60,ISNUMBER(MATCH(TRIM($R92),StatusList,0))),"Body overwritten/short",""))="","OK",_xludf.TEXTJOIN(" | ",TRUE,IF($B92="","Missing Title",""),IF($C92="","Missing Date",""),IF($D92="","Missing Start",""),IF($E92="","Missing End",""),IF($G92="","Missing Required Attendees",""),IF($T92="","Missing Status",""),IF(AND($D92&lt;&gt;"",$E92&lt;&gt;"",$D92&gt;=$E92),"Start&gt;=End",""),IF(OR($R92="",LEN($R92)&lt;60,ISNUMBER(MATCH(TRIM($R92),StatusList,0))),"Body overwritten/short",""))))</f>
        <v/>
      </c>
    </row>
    <row r="93" ht="15" customHeight="1">
      <c r="A93" s="12">
        <f>IF(AND($B93&lt;&gt;"",$C93&lt;&gt;"",$D93&lt;&gt;"",$E93&lt;&gt;"",$G93&lt;&gt;""),
UPPER(
LEFT(TRIM(LEFT($G93,IFERROR(FIND(";",$G93)-1,999))),1)&amp;
IFERROR(
MID(TRIM(LEFT($G93,IFERROR(FIND(";",$G93)-1,999))),
FIND(" ",TRIM(LEFT($G93,IFERROR(FIND(";",$G93)-1,999))))+1,1),
MID(TRIM(LEFT($G93,IFERROR(FIND(";",$G93)-1,999))),2,1)
)
)&amp;"-"&amp;TEXT($C93,"yyyy-mm-dd"),
"")</f>
        <v/>
      </c>
      <c r="B93" s="25" t="n"/>
      <c r="C93" s="80" t="n"/>
      <c r="D93" s="77" t="n"/>
      <c r="E93" s="77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16">
        <f>IF($L93&lt;&gt;"","Purpose "&amp;CHAR(10)&amp;$L93&amp;CHAR(10)&amp;CHAR(10),"")&amp;
IF($M93&lt;&gt;"","Stops (in order) "&amp;CHAR(10)&amp;$M93&amp;CHAR(10)&amp;CHAR(10),"")&amp;
IF($N93&lt;&gt;"","To-Do (hard requirements) "&amp;CHAR(10)&amp;$N93&amp;CHAR(10)&amp;CHAR(10),"")&amp;
IF($O93&lt;&gt;"","Suggested Timeline "&amp;CHAR(10)&amp;$O93&amp;CHAR(10)&amp;CHAR(10),"")&amp;
IF($P93&lt;&gt;"","Guardrails "&amp;CHAR(10)&amp;$P93&amp;CHAR(10)&amp;CHAR(10),"")&amp;
IF($Q93&lt;&gt;"","Completion signals "&amp;CHAR(10)&amp;$Q93,"")</f>
        <v/>
      </c>
      <c r="S93" s="25" t="n"/>
      <c r="T93" s="25" t="n"/>
      <c r="U93" s="54" t="n"/>
      <c r="V93" s="54">
        <f>IF($B93="","",IF(_xludf.TEXTJOIN(" | ",TRUE,IF($B93="","Missing Title",""),IF($C93="","Missing Date",""),IF($D93="","Missing Start",""),IF($E93="","Missing End",""),IF($G93="","Missing Required Attendees",""),IF($T93="","Missing Status",""),IF(AND($D93&lt;&gt;"",$E93&lt;&gt;"",$D93&gt;=$E93),"Start&gt;=End",""),IF(OR($R93="",LEN($R93)&lt;60,ISNUMBER(MATCH(TRIM($R93),StatusList,0))),"Body overwritten/short",""))="","OK",_xludf.TEXTJOIN(" | ",TRUE,IF($B93="","Missing Title",""),IF($C93="","Missing Date",""),IF($D93="","Missing Start",""),IF($E93="","Missing End",""),IF($G93="","Missing Required Attendees",""),IF($T93="","Missing Status",""),IF(AND($D93&lt;&gt;"",$E93&lt;&gt;"",$D93&gt;=$E93),"Start&gt;=End",""),IF(OR($R93="",LEN($R93)&lt;60,ISNUMBER(MATCH(TRIM($R93),StatusList,0))),"Body overwritten/short",""))))</f>
        <v/>
      </c>
    </row>
    <row r="94" ht="15" customHeight="1">
      <c r="A94" s="12">
        <f>IF(AND($B94&lt;&gt;"",$C94&lt;&gt;"",$D94&lt;&gt;"",$E94&lt;&gt;"",$G94&lt;&gt;""),
UPPER(
LEFT(TRIM(LEFT($G94,IFERROR(FIND(";",$G94)-1,999))),1)&amp;
IFERROR(
MID(TRIM(LEFT($G94,IFERROR(FIND(";",$G94)-1,999))),
FIND(" ",TRIM(LEFT($G94,IFERROR(FIND(";",$G94)-1,999))))+1,1),
MID(TRIM(LEFT($G94,IFERROR(FIND(";",$G94)-1,999))),2,1)
)
)&amp;"-"&amp;TEXT($C94,"yyyy-mm-dd"),
"")</f>
        <v/>
      </c>
      <c r="B94" s="25" t="n"/>
      <c r="C94" s="80" t="n"/>
      <c r="D94" s="77" t="n"/>
      <c r="E94" s="77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16">
        <f>IF($L94&lt;&gt;"","Purpose "&amp;CHAR(10)&amp;$L94&amp;CHAR(10)&amp;CHAR(10),"")&amp;
IF($M94&lt;&gt;"","Stops (in order) "&amp;CHAR(10)&amp;$M94&amp;CHAR(10)&amp;CHAR(10),"")&amp;
IF($N94&lt;&gt;"","To-Do (hard requirements) "&amp;CHAR(10)&amp;$N94&amp;CHAR(10)&amp;CHAR(10),"")&amp;
IF($O94&lt;&gt;"","Suggested Timeline "&amp;CHAR(10)&amp;$O94&amp;CHAR(10)&amp;CHAR(10),"")&amp;
IF($P94&lt;&gt;"","Guardrails "&amp;CHAR(10)&amp;$P94&amp;CHAR(10)&amp;CHAR(10),"")&amp;
IF($Q94&lt;&gt;"","Completion signals "&amp;CHAR(10)&amp;$Q94,"")</f>
        <v/>
      </c>
      <c r="S94" s="25" t="n"/>
      <c r="T94" s="25" t="n"/>
      <c r="U94" s="54" t="n"/>
      <c r="V94" s="54">
        <f>IF($B94="","",IF(_xludf.TEXTJOIN(" | ",TRUE,IF($B94="","Missing Title",""),IF($C94="","Missing Date",""),IF($D94="","Missing Start",""),IF($E94="","Missing End",""),IF($G94="","Missing Required Attendees",""),IF($T94="","Missing Status",""),IF(AND($D94&lt;&gt;"",$E94&lt;&gt;"",$D94&gt;=$E94),"Start&gt;=End",""),IF(OR($R94="",LEN($R94)&lt;60,ISNUMBER(MATCH(TRIM($R94),StatusList,0))),"Body overwritten/short",""))="","OK",_xludf.TEXTJOIN(" | ",TRUE,IF($B94="","Missing Title",""),IF($C94="","Missing Date",""),IF($D94="","Missing Start",""),IF($E94="","Missing End",""),IF($G94="","Missing Required Attendees",""),IF($T94="","Missing Status",""),IF(AND($D94&lt;&gt;"",$E94&lt;&gt;"",$D94&gt;=$E94),"Start&gt;=End",""),IF(OR($R94="",LEN($R94)&lt;60,ISNUMBER(MATCH(TRIM($R94),StatusList,0))),"Body overwritten/short",""))))</f>
        <v/>
      </c>
    </row>
    <row r="95" ht="15" customHeight="1">
      <c r="A95" s="12">
        <f>IF(AND($B95&lt;&gt;"",$C95&lt;&gt;"",$D95&lt;&gt;"",$E95&lt;&gt;"",$G95&lt;&gt;""),
UPPER(
LEFT(TRIM(LEFT($G95,IFERROR(FIND(";",$G95)-1,999))),1)&amp;
IFERROR(
MID(TRIM(LEFT($G95,IFERROR(FIND(";",$G95)-1,999))),
FIND(" ",TRIM(LEFT($G95,IFERROR(FIND(";",$G95)-1,999))))+1,1),
MID(TRIM(LEFT($G95,IFERROR(FIND(";",$G95)-1,999))),2,1)
)
)&amp;"-"&amp;TEXT($C95,"yyyy-mm-dd"),
"")</f>
        <v/>
      </c>
      <c r="B95" s="25" t="n"/>
      <c r="C95" s="80" t="n"/>
      <c r="D95" s="77" t="n"/>
      <c r="E95" s="77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16">
        <f>IF($L95&lt;&gt;"","Purpose "&amp;CHAR(10)&amp;$L95&amp;CHAR(10)&amp;CHAR(10),"")&amp;
IF($M95&lt;&gt;"","Stops (in order) "&amp;CHAR(10)&amp;$M95&amp;CHAR(10)&amp;CHAR(10),"")&amp;
IF($N95&lt;&gt;"","To-Do (hard requirements) "&amp;CHAR(10)&amp;$N95&amp;CHAR(10)&amp;CHAR(10),"")&amp;
IF($O95&lt;&gt;"","Suggested Timeline "&amp;CHAR(10)&amp;$O95&amp;CHAR(10)&amp;CHAR(10),"")&amp;
IF($P95&lt;&gt;"","Guardrails "&amp;CHAR(10)&amp;$P95&amp;CHAR(10)&amp;CHAR(10),"")&amp;
IF($Q95&lt;&gt;"","Completion signals "&amp;CHAR(10)&amp;$Q95,"")</f>
        <v/>
      </c>
      <c r="S95" s="25" t="n"/>
      <c r="T95" s="25" t="n"/>
      <c r="U95" s="54" t="n"/>
      <c r="V95" s="54">
        <f>IF($B95="","",IF(_xludf.TEXTJOIN(" | ",TRUE,IF($B95="","Missing Title",""),IF($C95="","Missing Date",""),IF($D95="","Missing Start",""),IF($E95="","Missing End",""),IF($G95="","Missing Required Attendees",""),IF($T95="","Missing Status",""),IF(AND($D95&lt;&gt;"",$E95&lt;&gt;"",$D95&gt;=$E95),"Start&gt;=End",""),IF(OR($R95="",LEN($R95)&lt;60,ISNUMBER(MATCH(TRIM($R95),StatusList,0))),"Body overwritten/short",""))="","OK",_xludf.TEXTJOIN(" | ",TRUE,IF($B95="","Missing Title",""),IF($C95="","Missing Date",""),IF($D95="","Missing Start",""),IF($E95="","Missing End",""),IF($G95="","Missing Required Attendees",""),IF($T95="","Missing Status",""),IF(AND($D95&lt;&gt;"",$E95&lt;&gt;"",$D95&gt;=$E95),"Start&gt;=End",""),IF(OR($R95="",LEN($R95)&lt;60,ISNUMBER(MATCH(TRIM($R95),StatusList,0))),"Body overwritten/short",""))))</f>
        <v/>
      </c>
    </row>
    <row r="96" ht="15" customHeight="1">
      <c r="A96" s="12">
        <f>IF(AND($B96&lt;&gt;"",$C96&lt;&gt;"",$D96&lt;&gt;"",$E96&lt;&gt;"",$G96&lt;&gt;""),
UPPER(
LEFT(TRIM(LEFT($G96,IFERROR(FIND(";",$G96)-1,999))),1)&amp;
IFERROR(
MID(TRIM(LEFT($G96,IFERROR(FIND(";",$G96)-1,999))),
FIND(" ",TRIM(LEFT($G96,IFERROR(FIND(";",$G96)-1,999))))+1,1),
MID(TRIM(LEFT($G96,IFERROR(FIND(";",$G96)-1,999))),2,1)
)
)&amp;"-"&amp;TEXT($C96,"yyyy-mm-dd"),
"")</f>
        <v/>
      </c>
      <c r="B96" s="25" t="n"/>
      <c r="C96" s="80" t="n"/>
      <c r="D96" s="77" t="n"/>
      <c r="E96" s="77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16">
        <f>IF($L96&lt;&gt;"","Purpose "&amp;CHAR(10)&amp;$L96&amp;CHAR(10)&amp;CHAR(10),"")&amp;
IF($M96&lt;&gt;"","Stops (in order) "&amp;CHAR(10)&amp;$M96&amp;CHAR(10)&amp;CHAR(10),"")&amp;
IF($N96&lt;&gt;"","To-Do (hard requirements) "&amp;CHAR(10)&amp;$N96&amp;CHAR(10)&amp;CHAR(10),"")&amp;
IF($O96&lt;&gt;"","Suggested Timeline "&amp;CHAR(10)&amp;$O96&amp;CHAR(10)&amp;CHAR(10),"")&amp;
IF($P96&lt;&gt;"","Guardrails "&amp;CHAR(10)&amp;$P96&amp;CHAR(10)&amp;CHAR(10),"")&amp;
IF($Q96&lt;&gt;"","Completion signals "&amp;CHAR(10)&amp;$Q96,"")</f>
        <v/>
      </c>
      <c r="S96" s="25" t="n"/>
      <c r="T96" s="25" t="n"/>
      <c r="U96" s="54" t="n"/>
      <c r="V96" s="54">
        <f>IF($B96="","",IF(_xludf.TEXTJOIN(" | ",TRUE,IF($B96="","Missing Title",""),IF($C96="","Missing Date",""),IF($D96="","Missing Start",""),IF($E96="","Missing End",""),IF($G96="","Missing Required Attendees",""),IF($T96="","Missing Status",""),IF(AND($D96&lt;&gt;"",$E96&lt;&gt;"",$D96&gt;=$E96),"Start&gt;=End",""),IF(OR($R96="",LEN($R96)&lt;60,ISNUMBER(MATCH(TRIM($R96),StatusList,0))),"Body overwritten/short",""))="","OK",_xludf.TEXTJOIN(" | ",TRUE,IF($B96="","Missing Title",""),IF($C96="","Missing Date",""),IF($D96="","Missing Start",""),IF($E96="","Missing End",""),IF($G96="","Missing Required Attendees",""),IF($T96="","Missing Status",""),IF(AND($D96&lt;&gt;"",$E96&lt;&gt;"",$D96&gt;=$E96),"Start&gt;=End",""),IF(OR($R96="",LEN($R96)&lt;60,ISNUMBER(MATCH(TRIM($R96),StatusList,0))),"Body overwritten/short",""))))</f>
        <v/>
      </c>
    </row>
    <row r="97" ht="15" customHeight="1">
      <c r="A97" s="12">
        <f>IF(AND($B97&lt;&gt;"",$C97&lt;&gt;"",$D97&lt;&gt;"",$E97&lt;&gt;"",$G97&lt;&gt;""),
UPPER(
LEFT(TRIM(LEFT($G97,IFERROR(FIND(";",$G97)-1,999))),1)&amp;
IFERROR(
MID(TRIM(LEFT($G97,IFERROR(FIND(";",$G97)-1,999))),
FIND(" ",TRIM(LEFT($G97,IFERROR(FIND(";",$G97)-1,999))))+1,1),
MID(TRIM(LEFT($G97,IFERROR(FIND(";",$G97)-1,999))),2,1)
)
)&amp;"-"&amp;TEXT($C97,"yyyy-mm-dd"),
"")</f>
        <v/>
      </c>
      <c r="B97" s="25" t="n"/>
      <c r="C97" s="80" t="n"/>
      <c r="D97" s="77" t="n"/>
      <c r="E97" s="77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16">
        <f>IF($L97&lt;&gt;"","Purpose "&amp;CHAR(10)&amp;$L97&amp;CHAR(10)&amp;CHAR(10),"")&amp;
IF($M97&lt;&gt;"","Stops (in order) "&amp;CHAR(10)&amp;$M97&amp;CHAR(10)&amp;CHAR(10),"")&amp;
IF($N97&lt;&gt;"","To-Do (hard requirements) "&amp;CHAR(10)&amp;$N97&amp;CHAR(10)&amp;CHAR(10),"")&amp;
IF($O97&lt;&gt;"","Suggested Timeline "&amp;CHAR(10)&amp;$O97&amp;CHAR(10)&amp;CHAR(10),"")&amp;
IF($P97&lt;&gt;"","Guardrails "&amp;CHAR(10)&amp;$P97&amp;CHAR(10)&amp;CHAR(10),"")&amp;
IF($Q97&lt;&gt;"","Completion signals "&amp;CHAR(10)&amp;$Q97,"")</f>
        <v/>
      </c>
      <c r="S97" s="25" t="n"/>
      <c r="T97" s="25" t="n"/>
      <c r="U97" s="54" t="n"/>
      <c r="V97" s="54">
        <f>IF($B97="","",IF(_xludf.TEXTJOIN(" | ",TRUE,IF($B97="","Missing Title",""),IF($C97="","Missing Date",""),IF($D97="","Missing Start",""),IF($E97="","Missing End",""),IF($G97="","Missing Required Attendees",""),IF($T97="","Missing Status",""),IF(AND($D97&lt;&gt;"",$E97&lt;&gt;"",$D97&gt;=$E97),"Start&gt;=End",""),IF(OR($R97="",LEN($R97)&lt;60,ISNUMBER(MATCH(TRIM($R97),StatusList,0))),"Body overwritten/short",""))="","OK",_xludf.TEXTJOIN(" | ",TRUE,IF($B97="","Missing Title",""),IF($C97="","Missing Date",""),IF($D97="","Missing Start",""),IF($E97="","Missing End",""),IF($G97="","Missing Required Attendees",""),IF($T97="","Missing Status",""),IF(AND($D97&lt;&gt;"",$E97&lt;&gt;"",$D97&gt;=$E97),"Start&gt;=End",""),IF(OR($R97="",LEN($R97)&lt;60,ISNUMBER(MATCH(TRIM($R97),StatusList,0))),"Body overwritten/short",""))))</f>
        <v/>
      </c>
    </row>
    <row r="98" ht="15" customHeight="1">
      <c r="A98" s="12">
        <f>IF(AND($B98&lt;&gt;"",$C98&lt;&gt;"",$D98&lt;&gt;"",$E98&lt;&gt;"",$G98&lt;&gt;""),
UPPER(
LEFT(TRIM(LEFT($G98,IFERROR(FIND(";",$G98)-1,999))),1)&amp;
IFERROR(
MID(TRIM(LEFT($G98,IFERROR(FIND(";",$G98)-1,999))),
FIND(" ",TRIM(LEFT($G98,IFERROR(FIND(";",$G98)-1,999))))+1,1),
MID(TRIM(LEFT($G98,IFERROR(FIND(";",$G98)-1,999))),2,1)
)
)&amp;"-"&amp;TEXT($C98,"yyyy-mm-dd"),
"")</f>
        <v/>
      </c>
      <c r="B98" s="25" t="n"/>
      <c r="C98" s="80" t="n"/>
      <c r="D98" s="77" t="n"/>
      <c r="E98" s="77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16">
        <f>IF($L98&lt;&gt;"","Purpose "&amp;CHAR(10)&amp;$L98&amp;CHAR(10)&amp;CHAR(10),"")&amp;
IF($M98&lt;&gt;"","Stops (in order) "&amp;CHAR(10)&amp;$M98&amp;CHAR(10)&amp;CHAR(10),"")&amp;
IF($N98&lt;&gt;"","To-Do (hard requirements) "&amp;CHAR(10)&amp;$N98&amp;CHAR(10)&amp;CHAR(10),"")&amp;
IF($O98&lt;&gt;"","Suggested Timeline "&amp;CHAR(10)&amp;$O98&amp;CHAR(10)&amp;CHAR(10),"")&amp;
IF($P98&lt;&gt;"","Guardrails "&amp;CHAR(10)&amp;$P98&amp;CHAR(10)&amp;CHAR(10),"")&amp;
IF($Q98&lt;&gt;"","Completion signals "&amp;CHAR(10)&amp;$Q98,"")</f>
        <v/>
      </c>
      <c r="S98" s="25" t="n"/>
      <c r="T98" s="25" t="n"/>
      <c r="U98" s="54" t="n"/>
      <c r="V98" s="54">
        <f>IF($B98="","",IF(_xludf.TEXTJOIN(" | ",TRUE,IF($B98="","Missing Title",""),IF($C98="","Missing Date",""),IF($D98="","Missing Start",""),IF($E98="","Missing End",""),IF($G98="","Missing Required Attendees",""),IF($T98="","Missing Status",""),IF(AND($D98&lt;&gt;"",$E98&lt;&gt;"",$D98&gt;=$E98),"Start&gt;=End",""),IF(OR($R98="",LEN($R98)&lt;60,ISNUMBER(MATCH(TRIM($R98),StatusList,0))),"Body overwritten/short",""))="","OK",_xludf.TEXTJOIN(" | ",TRUE,IF($B98="","Missing Title",""),IF($C98="","Missing Date",""),IF($D98="","Missing Start",""),IF($E98="","Missing End",""),IF($G98="","Missing Required Attendees",""),IF($T98="","Missing Status",""),IF(AND($D98&lt;&gt;"",$E98&lt;&gt;"",$D98&gt;=$E98),"Start&gt;=End",""),IF(OR($R98="",LEN($R98)&lt;60,ISNUMBER(MATCH(TRIM($R98),StatusList,0))),"Body overwritten/short",""))))</f>
        <v/>
      </c>
    </row>
    <row r="99" ht="15" customHeight="1">
      <c r="A99" s="12">
        <f>IF(AND($B99&lt;&gt;"",$C99&lt;&gt;"",$D99&lt;&gt;"",$E99&lt;&gt;"",$G99&lt;&gt;""),
UPPER(
LEFT(TRIM(LEFT($G99,IFERROR(FIND(";",$G99)-1,999))),1)&amp;
IFERROR(
MID(TRIM(LEFT($G99,IFERROR(FIND(";",$G99)-1,999))),
FIND(" ",TRIM(LEFT($G99,IFERROR(FIND(";",$G99)-1,999))))+1,1),
MID(TRIM(LEFT($G99,IFERROR(FIND(";",$G99)-1,999))),2,1)
)
)&amp;"-"&amp;TEXT($C99,"yyyy-mm-dd"),
"")</f>
        <v/>
      </c>
      <c r="B99" s="25" t="n"/>
      <c r="C99" s="80" t="n"/>
      <c r="D99" s="77" t="n"/>
      <c r="E99" s="77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16">
        <f>IF($L99&lt;&gt;"","Purpose "&amp;CHAR(10)&amp;$L99&amp;CHAR(10)&amp;CHAR(10),"")&amp;
IF($M99&lt;&gt;"","Stops (in order) "&amp;CHAR(10)&amp;$M99&amp;CHAR(10)&amp;CHAR(10),"")&amp;
IF($N99&lt;&gt;"","To-Do (hard requirements) "&amp;CHAR(10)&amp;$N99&amp;CHAR(10)&amp;CHAR(10),"")&amp;
IF($O99&lt;&gt;"","Suggested Timeline "&amp;CHAR(10)&amp;$O99&amp;CHAR(10)&amp;CHAR(10),"")&amp;
IF($P99&lt;&gt;"","Guardrails "&amp;CHAR(10)&amp;$P99&amp;CHAR(10)&amp;CHAR(10),"")&amp;
IF($Q99&lt;&gt;"","Completion signals "&amp;CHAR(10)&amp;$Q99,"")</f>
        <v/>
      </c>
      <c r="S99" s="25" t="n"/>
      <c r="T99" s="25" t="n"/>
      <c r="U99" s="54" t="n"/>
      <c r="V99" s="54">
        <f>IF($B99="","",IF(_xludf.TEXTJOIN(" | ",TRUE,IF($B99="","Missing Title",""),IF($C99="","Missing Date",""),IF($D99="","Missing Start",""),IF($E99="","Missing End",""),IF($G99="","Missing Required Attendees",""),IF($T99="","Missing Status",""),IF(AND($D99&lt;&gt;"",$E99&lt;&gt;"",$D99&gt;=$E99),"Start&gt;=End",""),IF(OR($R99="",LEN($R99)&lt;60,ISNUMBER(MATCH(TRIM($R99),StatusList,0))),"Body overwritten/short",""))="","OK",_xludf.TEXTJOIN(" | ",TRUE,IF($B99="","Missing Title",""),IF($C99="","Missing Date",""),IF($D99="","Missing Start",""),IF($E99="","Missing End",""),IF($G99="","Missing Required Attendees",""),IF($T99="","Missing Status",""),IF(AND($D99&lt;&gt;"",$E99&lt;&gt;"",$D99&gt;=$E99),"Start&gt;=End",""),IF(OR($R99="",LEN($R99)&lt;60,ISNUMBER(MATCH(TRIM($R99),StatusList,0))),"Body overwritten/short",""))))</f>
        <v/>
      </c>
    </row>
    <row r="100" ht="15" customHeight="1">
      <c r="A100" s="12">
        <f>IF(AND($B100&lt;&gt;"",$C100&lt;&gt;"",$D100&lt;&gt;"",$E100&lt;&gt;"",$G100&lt;&gt;""),
UPPER(
LEFT(TRIM(LEFT($G100,IFERROR(FIND(";",$G100)-1,999))),1)&amp;
IFERROR(
MID(TRIM(LEFT($G100,IFERROR(FIND(";",$G100)-1,999))),
FIND(" ",TRIM(LEFT($G100,IFERROR(FIND(";",$G100)-1,999))))+1,1),
MID(TRIM(LEFT($G100,IFERROR(FIND(";",$G100)-1,999))),2,1)
)
)&amp;"-"&amp;TEXT($C100,"yyyy-mm-dd"),
"")</f>
        <v/>
      </c>
      <c r="B100" s="25" t="n"/>
      <c r="C100" s="80" t="n"/>
      <c r="D100" s="77" t="n"/>
      <c r="E100" s="77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16">
        <f>IF($L100&lt;&gt;"","Purpose "&amp;CHAR(10)&amp;$L100&amp;CHAR(10)&amp;CHAR(10),"")&amp;
IF($M100&lt;&gt;"","Stops (in order) "&amp;CHAR(10)&amp;$M100&amp;CHAR(10)&amp;CHAR(10),"")&amp;
IF($N100&lt;&gt;"","To-Do (hard requirements) "&amp;CHAR(10)&amp;$N100&amp;CHAR(10)&amp;CHAR(10),"")&amp;
IF($O100&lt;&gt;"","Suggested Timeline "&amp;CHAR(10)&amp;$O100&amp;CHAR(10)&amp;CHAR(10),"")&amp;
IF($P100&lt;&gt;"","Guardrails "&amp;CHAR(10)&amp;$P100&amp;CHAR(10)&amp;CHAR(10),"")&amp;
IF($Q100&lt;&gt;"","Completion signals "&amp;CHAR(10)&amp;$Q100,"")</f>
        <v/>
      </c>
      <c r="S100" s="25" t="n"/>
      <c r="T100" s="25" t="n"/>
      <c r="U100" s="54" t="n"/>
      <c r="V100" s="54">
        <f>IF($B100="","",IF(_xludf.TEXTJOIN(" | ",TRUE,IF($B100="","Missing Title",""),IF($C100="","Missing Date",""),IF($D100="","Missing Start",""),IF($E100="","Missing End",""),IF($G100="","Missing Required Attendees",""),IF($T100="","Missing Status",""),IF(AND($D100&lt;&gt;"",$E100&lt;&gt;"",$D100&gt;=$E100),"Start&gt;=End",""),IF(OR($R100="",LEN($R100)&lt;60,ISNUMBER(MATCH(TRIM($R100),StatusList,0))),"Body overwritten/short",""))="","OK",_xludf.TEXTJOIN(" | ",TRUE,IF($B100="","Missing Title",""),IF($C100="","Missing Date",""),IF($D100="","Missing Start",""),IF($E100="","Missing End",""),IF($G100="","Missing Required Attendees",""),IF($T100="","Missing Status",""),IF(AND($D100&lt;&gt;"",$E100&lt;&gt;"",$D100&gt;=$E100),"Start&gt;=End",""),IF(OR($R100="",LEN($R100)&lt;60,ISNUMBER(MATCH(TRIM($R100),StatusList,0))),"Body overwritten/short",""))))</f>
        <v/>
      </c>
    </row>
    <row r="101" ht="15" customHeight="1">
      <c r="A101" s="12">
        <f>IF(AND($B101&lt;&gt;"",$C101&lt;&gt;"",$D101&lt;&gt;"",$E101&lt;&gt;"",$G101&lt;&gt;""),
UPPER(
LEFT(TRIM(LEFT($G101,IFERROR(FIND(";",$G101)-1,999))),1)&amp;
IFERROR(
MID(TRIM(LEFT($G101,IFERROR(FIND(";",$G101)-1,999))),
FIND(" ",TRIM(LEFT($G101,IFERROR(FIND(";",$G101)-1,999))))+1,1),
MID(TRIM(LEFT($G101,IFERROR(FIND(";",$G101)-1,999))),2,1)
)
)&amp;"-"&amp;TEXT($C101,"yyyy-mm-dd"),
"")</f>
        <v/>
      </c>
      <c r="B101" s="25" t="n"/>
      <c r="C101" s="80" t="n"/>
      <c r="D101" s="77" t="n"/>
      <c r="E101" s="77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16">
        <f>IF($L101&lt;&gt;"","Purpose "&amp;CHAR(10)&amp;$L101&amp;CHAR(10)&amp;CHAR(10),"")&amp;
IF($M101&lt;&gt;"","Stops (in order) "&amp;CHAR(10)&amp;$M101&amp;CHAR(10)&amp;CHAR(10),"")&amp;
IF($N101&lt;&gt;"","To-Do (hard requirements) "&amp;CHAR(10)&amp;$N101&amp;CHAR(10)&amp;CHAR(10),"")&amp;
IF($O101&lt;&gt;"","Suggested Timeline "&amp;CHAR(10)&amp;$O101&amp;CHAR(10)&amp;CHAR(10),"")&amp;
IF($P101&lt;&gt;"","Guardrails "&amp;CHAR(10)&amp;$P101&amp;CHAR(10)&amp;CHAR(10),"")&amp;
IF($Q101&lt;&gt;"","Completion signals "&amp;CHAR(10)&amp;$Q101,"")</f>
        <v/>
      </c>
      <c r="S101" s="25" t="n"/>
      <c r="T101" s="25" t="n"/>
      <c r="U101" s="54" t="n"/>
      <c r="V101" s="54">
        <f>IF($B101="","",IF(_xludf.TEXTJOIN(" | ",TRUE,IF($B101="","Missing Title",""),IF($C101="","Missing Date",""),IF($D101="","Missing Start",""),IF($E101="","Missing End",""),IF($G101="","Missing Required Attendees",""),IF($T101="","Missing Status",""),IF(AND($D101&lt;&gt;"",$E101&lt;&gt;"",$D101&gt;=$E101),"Start&gt;=End",""),IF(OR($R101="",LEN($R101)&lt;60,ISNUMBER(MATCH(TRIM($R101),StatusList,0))),"Body overwritten/short",""))="","OK",_xludf.TEXTJOIN(" | ",TRUE,IF($B101="","Missing Title",""),IF($C101="","Missing Date",""),IF($D101="","Missing Start",""),IF($E101="","Missing End",""),IF($G101="","Missing Required Attendees",""),IF($T101="","Missing Status",""),IF(AND($D101&lt;&gt;"",$E101&lt;&gt;"",$D101&gt;=$E101),"Start&gt;=End",""),IF(OR($R101="",LEN($R101)&lt;60,ISNUMBER(MATCH(TRIM($R101),StatusList,0))),"Body overwritten/short",""))))</f>
        <v/>
      </c>
    </row>
    <row r="102" ht="15" customHeight="1">
      <c r="A102" s="12">
        <f>IF(AND($B102&lt;&gt;"",$C102&lt;&gt;"",$D102&lt;&gt;"",$E102&lt;&gt;"",$G102&lt;&gt;""),
UPPER(
LEFT(TRIM(LEFT($G102,IFERROR(FIND(";",$G102)-1,999))),1)&amp;
IFERROR(
MID(TRIM(LEFT($G102,IFERROR(FIND(";",$G102)-1,999))),
FIND(" ",TRIM(LEFT($G102,IFERROR(FIND(";",$G102)-1,999))))+1,1),
MID(TRIM(LEFT($G102,IFERROR(FIND(";",$G102)-1,999))),2,1)
)
)&amp;"-"&amp;TEXT($C102,"yyyy-mm-dd"),
"")</f>
        <v/>
      </c>
      <c r="B102" s="25" t="n"/>
      <c r="C102" s="80" t="n"/>
      <c r="D102" s="77" t="n"/>
      <c r="E102" s="77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16">
        <f>IF($L102&lt;&gt;"","Purpose "&amp;CHAR(10)&amp;$L102&amp;CHAR(10)&amp;CHAR(10),"")&amp;
IF($M102&lt;&gt;"","Stops (in order) "&amp;CHAR(10)&amp;$M102&amp;CHAR(10)&amp;CHAR(10),"")&amp;
IF($N102&lt;&gt;"","To-Do (hard requirements) "&amp;CHAR(10)&amp;$N102&amp;CHAR(10)&amp;CHAR(10),"")&amp;
IF($O102&lt;&gt;"","Suggested Timeline "&amp;CHAR(10)&amp;$O102&amp;CHAR(10)&amp;CHAR(10),"")&amp;
IF($P102&lt;&gt;"","Guardrails "&amp;CHAR(10)&amp;$P102&amp;CHAR(10)&amp;CHAR(10),"")&amp;
IF($Q102&lt;&gt;"","Completion signals "&amp;CHAR(10)&amp;$Q102,"")</f>
        <v/>
      </c>
      <c r="S102" s="25" t="n"/>
      <c r="T102" s="25" t="n"/>
      <c r="U102" s="54" t="n"/>
      <c r="V102" s="54">
        <f>IF($B102="","",IF(_xludf.TEXTJOIN(" | ",TRUE,IF($B102="","Missing Title",""),IF($C102="","Missing Date",""),IF($D102="","Missing Start",""),IF($E102="","Missing End",""),IF($G102="","Missing Required Attendees",""),IF($T102="","Missing Status",""),IF(AND($D102&lt;&gt;"",$E102&lt;&gt;"",$D102&gt;=$E102),"Start&gt;=End",""),IF(OR($R102="",LEN($R102)&lt;60,ISNUMBER(MATCH(TRIM($R102),StatusList,0))),"Body overwritten/short",""))="","OK",_xludf.TEXTJOIN(" | ",TRUE,IF($B102="","Missing Title",""),IF($C102="","Missing Date",""),IF($D102="","Missing Start",""),IF($E102="","Missing End",""),IF($G102="","Missing Required Attendees",""),IF($T102="","Missing Status",""),IF(AND($D102&lt;&gt;"",$E102&lt;&gt;"",$D102&gt;=$E102),"Start&gt;=End",""),IF(OR($R102="",LEN($R102)&lt;60,ISNUMBER(MATCH(TRIM($R102),StatusList,0))),"Body overwritten/short",""))))</f>
        <v/>
      </c>
    </row>
    <row r="103" ht="15" customHeight="1">
      <c r="A103" s="12">
        <f>IF(AND($B103&lt;&gt;"",$C103&lt;&gt;"",$D103&lt;&gt;"",$E103&lt;&gt;"",$G103&lt;&gt;""),
UPPER(
LEFT(TRIM(LEFT($G103,IFERROR(FIND(";",$G103)-1,999))),1)&amp;
IFERROR(
MID(TRIM(LEFT($G103,IFERROR(FIND(";",$G103)-1,999))),
FIND(" ",TRIM(LEFT($G103,IFERROR(FIND(";",$G103)-1,999))))+1,1),
MID(TRIM(LEFT($G103,IFERROR(FIND(";",$G103)-1,999))),2,1)
)
)&amp;"-"&amp;TEXT($C103,"yyyy-mm-dd"),
"")</f>
        <v/>
      </c>
      <c r="B103" s="25" t="n"/>
      <c r="C103" s="80" t="n"/>
      <c r="D103" s="77" t="n"/>
      <c r="E103" s="77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16">
        <f>IF($L103&lt;&gt;"","Purpose "&amp;CHAR(10)&amp;$L103&amp;CHAR(10)&amp;CHAR(10),"")&amp;
IF($M103&lt;&gt;"","Stops (in order) "&amp;CHAR(10)&amp;$M103&amp;CHAR(10)&amp;CHAR(10),"")&amp;
IF($N103&lt;&gt;"","To-Do (hard requirements) "&amp;CHAR(10)&amp;$N103&amp;CHAR(10)&amp;CHAR(10),"")&amp;
IF($O103&lt;&gt;"","Suggested Timeline "&amp;CHAR(10)&amp;$O103&amp;CHAR(10)&amp;CHAR(10),"")&amp;
IF($P103&lt;&gt;"","Guardrails "&amp;CHAR(10)&amp;$P103&amp;CHAR(10)&amp;CHAR(10),"")&amp;
IF($Q103&lt;&gt;"","Completion signals "&amp;CHAR(10)&amp;$Q103,"")</f>
        <v/>
      </c>
      <c r="S103" s="25" t="n"/>
      <c r="T103" s="25" t="n"/>
      <c r="U103" s="54" t="n"/>
      <c r="V103" s="54">
        <f>IF($B103="","",IF(_xludf.TEXTJOIN(" | ",TRUE,IF($B103="","Missing Title",""),IF($C103="","Missing Date",""),IF($D103="","Missing Start",""),IF($E103="","Missing End",""),IF($G103="","Missing Required Attendees",""),IF($T103="","Missing Status",""),IF(AND($D103&lt;&gt;"",$E103&lt;&gt;"",$D103&gt;=$E103),"Start&gt;=End",""),IF(OR($R103="",LEN($R103)&lt;60,ISNUMBER(MATCH(TRIM($R103),StatusList,0))),"Body overwritten/short",""))="","OK",_xludf.TEXTJOIN(" | ",TRUE,IF($B103="","Missing Title",""),IF($C103="","Missing Date",""),IF($D103="","Missing Start",""),IF($E103="","Missing End",""),IF($G103="","Missing Required Attendees",""),IF($T103="","Missing Status",""),IF(AND($D103&lt;&gt;"",$E103&lt;&gt;"",$D103&gt;=$E103),"Start&gt;=End",""),IF(OR($R103="",LEN($R103)&lt;60,ISNUMBER(MATCH(TRIM($R103),StatusList,0))),"Body overwritten/short",""))))</f>
        <v/>
      </c>
    </row>
    <row r="104" ht="15" customHeight="1">
      <c r="A104" s="12">
        <f>IF(AND($B104&lt;&gt;"",$C104&lt;&gt;"",$D104&lt;&gt;"",$E104&lt;&gt;"",$G104&lt;&gt;""),
UPPER(
LEFT(TRIM(LEFT($G104,IFERROR(FIND(";",$G104)-1,999))),1)&amp;
IFERROR(
MID(TRIM(LEFT($G104,IFERROR(FIND(";",$G104)-1,999))),
FIND(" ",TRIM(LEFT($G104,IFERROR(FIND(";",$G104)-1,999))))+1,1),
MID(TRIM(LEFT($G104,IFERROR(FIND(";",$G104)-1,999))),2,1)
)
)&amp;"-"&amp;TEXT($C104,"yyyy-mm-dd"),
"")</f>
        <v/>
      </c>
      <c r="B104" s="25" t="n"/>
      <c r="C104" s="80" t="n"/>
      <c r="D104" s="77" t="n"/>
      <c r="E104" s="77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16">
        <f>IF($L104&lt;&gt;"","Purpose "&amp;CHAR(10)&amp;$L104&amp;CHAR(10)&amp;CHAR(10),"")&amp;
IF($M104&lt;&gt;"","Stops (in order) "&amp;CHAR(10)&amp;$M104&amp;CHAR(10)&amp;CHAR(10),"")&amp;
IF($N104&lt;&gt;"","To-Do (hard requirements) "&amp;CHAR(10)&amp;$N104&amp;CHAR(10)&amp;CHAR(10),"")&amp;
IF($O104&lt;&gt;"","Suggested Timeline "&amp;CHAR(10)&amp;$O104&amp;CHAR(10)&amp;CHAR(10),"")&amp;
IF($P104&lt;&gt;"","Guardrails "&amp;CHAR(10)&amp;$P104&amp;CHAR(10)&amp;CHAR(10),"")&amp;
IF($Q104&lt;&gt;"","Completion signals "&amp;CHAR(10)&amp;$Q104,"")</f>
        <v/>
      </c>
      <c r="S104" s="25" t="n"/>
      <c r="T104" s="25" t="n"/>
      <c r="U104" s="54" t="n"/>
      <c r="V104" s="54">
        <f>IF($B104="","",IF(_xludf.TEXTJOIN(" | ",TRUE,IF($B104="","Missing Title",""),IF($C104="","Missing Date",""),IF($D104="","Missing Start",""),IF($E104="","Missing End",""),IF($G104="","Missing Required Attendees",""),IF($T104="","Missing Status",""),IF(AND($D104&lt;&gt;"",$E104&lt;&gt;"",$D104&gt;=$E104),"Start&gt;=End",""),IF(OR($R104="",LEN($R104)&lt;60,ISNUMBER(MATCH(TRIM($R104),StatusList,0))),"Body overwritten/short",""))="","OK",_xludf.TEXTJOIN(" | ",TRUE,IF($B104="","Missing Title",""),IF($C104="","Missing Date",""),IF($D104="","Missing Start",""),IF($E104="","Missing End",""),IF($G104="","Missing Required Attendees",""),IF($T104="","Missing Status",""),IF(AND($D104&lt;&gt;"",$E104&lt;&gt;"",$D104&gt;=$E104),"Start&gt;=End",""),IF(OR($R104="",LEN($R104)&lt;60,ISNUMBER(MATCH(TRIM($R104),StatusList,0))),"Body overwritten/short",""))))</f>
        <v/>
      </c>
    </row>
    <row r="105" ht="15" customHeight="1">
      <c r="A105" s="12">
        <f>IF(AND($B105&lt;&gt;"",$C105&lt;&gt;"",$D105&lt;&gt;"",$E105&lt;&gt;"",$G105&lt;&gt;""),
UPPER(
LEFT(TRIM(LEFT($G105,IFERROR(FIND(";",$G105)-1,999))),1)&amp;
IFERROR(
MID(TRIM(LEFT($G105,IFERROR(FIND(";",$G105)-1,999))),
FIND(" ",TRIM(LEFT($G105,IFERROR(FIND(";",$G105)-1,999))))+1,1),
MID(TRIM(LEFT($G105,IFERROR(FIND(";",$G105)-1,999))),2,1)
)
)&amp;"-"&amp;TEXT($C105,"yyyy-mm-dd"),
"")</f>
        <v/>
      </c>
      <c r="B105" s="25" t="n"/>
      <c r="C105" s="80" t="n"/>
      <c r="D105" s="77" t="n"/>
      <c r="E105" s="77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16">
        <f>IF($L105&lt;&gt;"","Purpose "&amp;CHAR(10)&amp;$L105&amp;CHAR(10)&amp;CHAR(10),"")&amp;
IF($M105&lt;&gt;"","Stops (in order) "&amp;CHAR(10)&amp;$M105&amp;CHAR(10)&amp;CHAR(10),"")&amp;
IF($N105&lt;&gt;"","To-Do (hard requirements) "&amp;CHAR(10)&amp;$N105&amp;CHAR(10)&amp;CHAR(10),"")&amp;
IF($O105&lt;&gt;"","Suggested Timeline "&amp;CHAR(10)&amp;$O105&amp;CHAR(10)&amp;CHAR(10),"")&amp;
IF($P105&lt;&gt;"","Guardrails "&amp;CHAR(10)&amp;$P105&amp;CHAR(10)&amp;CHAR(10),"")&amp;
IF($Q105&lt;&gt;"","Completion signals "&amp;CHAR(10)&amp;$Q105,"")</f>
        <v/>
      </c>
      <c r="S105" s="25" t="n"/>
      <c r="T105" s="25" t="n"/>
      <c r="U105" s="54" t="n"/>
      <c r="V105" s="54">
        <f>IF($B105="","",IF(_xludf.TEXTJOIN(" | ",TRUE,IF($B105="","Missing Title",""),IF($C105="","Missing Date",""),IF($D105="","Missing Start",""),IF($E105="","Missing End",""),IF($G105="","Missing Required Attendees",""),IF($T105="","Missing Status",""),IF(AND($D105&lt;&gt;"",$E105&lt;&gt;"",$D105&gt;=$E105),"Start&gt;=End",""),IF(OR($R105="",LEN($R105)&lt;60,ISNUMBER(MATCH(TRIM($R105),StatusList,0))),"Body overwritten/short",""))="","OK",_xludf.TEXTJOIN(" | ",TRUE,IF($B105="","Missing Title",""),IF($C105="","Missing Date",""),IF($D105="","Missing Start",""),IF($E105="","Missing End",""),IF($G105="","Missing Required Attendees",""),IF($T105="","Missing Status",""),IF(AND($D105&lt;&gt;"",$E105&lt;&gt;"",$D105&gt;=$E105),"Start&gt;=End",""),IF(OR($R105="",LEN($R105)&lt;60,ISNUMBER(MATCH(TRIM($R105),StatusList,0))),"Body overwritten/short",""))))</f>
        <v/>
      </c>
    </row>
    <row r="106" ht="15" customHeight="1">
      <c r="A106" s="12">
        <f>IF(AND($B106&lt;&gt;"",$C106&lt;&gt;"",$D106&lt;&gt;"",$E106&lt;&gt;"",$G106&lt;&gt;""),
UPPER(
LEFT(TRIM(LEFT($G106,IFERROR(FIND(";",$G106)-1,999))),1)&amp;
IFERROR(
MID(TRIM(LEFT($G106,IFERROR(FIND(";",$G106)-1,999))),
FIND(" ",TRIM(LEFT($G106,IFERROR(FIND(";",$G106)-1,999))))+1,1),
MID(TRIM(LEFT($G106,IFERROR(FIND(";",$G106)-1,999))),2,1)
)
)&amp;"-"&amp;TEXT($C106,"yyyy-mm-dd"),
"")</f>
        <v/>
      </c>
      <c r="B106" s="25" t="n"/>
      <c r="C106" s="80" t="n"/>
      <c r="D106" s="77" t="n"/>
      <c r="E106" s="77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16">
        <f>IF($L106&lt;&gt;"","Purpose "&amp;CHAR(10)&amp;$L106&amp;CHAR(10)&amp;CHAR(10),"")&amp;
IF($M106&lt;&gt;"","Stops (in order) "&amp;CHAR(10)&amp;$M106&amp;CHAR(10)&amp;CHAR(10),"")&amp;
IF($N106&lt;&gt;"","To-Do (hard requirements) "&amp;CHAR(10)&amp;$N106&amp;CHAR(10)&amp;CHAR(10),"")&amp;
IF($O106&lt;&gt;"","Suggested Timeline "&amp;CHAR(10)&amp;$O106&amp;CHAR(10)&amp;CHAR(10),"")&amp;
IF($P106&lt;&gt;"","Guardrails "&amp;CHAR(10)&amp;$P106&amp;CHAR(10)&amp;CHAR(10),"")&amp;
IF($Q106&lt;&gt;"","Completion signals "&amp;CHAR(10)&amp;$Q106,"")</f>
        <v/>
      </c>
      <c r="S106" s="25" t="n"/>
      <c r="T106" s="25" t="n"/>
      <c r="U106" s="54" t="n"/>
      <c r="V106" s="54">
        <f>IF($B106="","",IF(_xludf.TEXTJOIN(" | ",TRUE,IF($B106="","Missing Title",""),IF($C106="","Missing Date",""),IF($D106="","Missing Start",""),IF($E106="","Missing End",""),IF($G106="","Missing Required Attendees",""),IF($T106="","Missing Status",""),IF(AND($D106&lt;&gt;"",$E106&lt;&gt;"",$D106&gt;=$E106),"Start&gt;=End",""),IF(OR($R106="",LEN($R106)&lt;60,ISNUMBER(MATCH(TRIM($R106),StatusList,0))),"Body overwritten/short",""))="","OK",_xludf.TEXTJOIN(" | ",TRUE,IF($B106="","Missing Title",""),IF($C106="","Missing Date",""),IF($D106="","Missing Start",""),IF($E106="","Missing End",""),IF($G106="","Missing Required Attendees",""),IF($T106="","Missing Status",""),IF(AND($D106&lt;&gt;"",$E106&lt;&gt;"",$D106&gt;=$E106),"Start&gt;=End",""),IF(OR($R106="",LEN($R106)&lt;60,ISNUMBER(MATCH(TRIM($R106),StatusList,0))),"Body overwritten/short",""))))</f>
        <v/>
      </c>
    </row>
    <row r="107" ht="15" customHeight="1">
      <c r="A107" s="12">
        <f>IF(AND($B107&lt;&gt;"",$C107&lt;&gt;"",$D107&lt;&gt;"",$E107&lt;&gt;"",$G107&lt;&gt;""),
UPPER(
LEFT(TRIM(LEFT($G107,IFERROR(FIND(";",$G107)-1,999))),1)&amp;
IFERROR(
MID(TRIM(LEFT($G107,IFERROR(FIND(";",$G107)-1,999))),
FIND(" ",TRIM(LEFT($G107,IFERROR(FIND(";",$G107)-1,999))))+1,1),
MID(TRIM(LEFT($G107,IFERROR(FIND(";",$G107)-1,999))),2,1)
)
)&amp;"-"&amp;TEXT($C107,"yyyy-mm-dd"),
"")</f>
        <v/>
      </c>
      <c r="B107" s="25" t="n"/>
      <c r="C107" s="80" t="n"/>
      <c r="D107" s="77" t="n"/>
      <c r="E107" s="77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16">
        <f>IF($L107&lt;&gt;"","Purpose "&amp;CHAR(10)&amp;$L107&amp;CHAR(10)&amp;CHAR(10),"")&amp;
IF($M107&lt;&gt;"","Stops (in order) "&amp;CHAR(10)&amp;$M107&amp;CHAR(10)&amp;CHAR(10),"")&amp;
IF($N107&lt;&gt;"","To-Do (hard requirements) "&amp;CHAR(10)&amp;$N107&amp;CHAR(10)&amp;CHAR(10),"")&amp;
IF($O107&lt;&gt;"","Suggested Timeline "&amp;CHAR(10)&amp;$O107&amp;CHAR(10)&amp;CHAR(10),"")&amp;
IF($P107&lt;&gt;"","Guardrails "&amp;CHAR(10)&amp;$P107&amp;CHAR(10)&amp;CHAR(10),"")&amp;
IF($Q107&lt;&gt;"","Completion signals "&amp;CHAR(10)&amp;$Q107,"")</f>
        <v/>
      </c>
      <c r="S107" s="25" t="n"/>
      <c r="T107" s="25" t="n"/>
      <c r="U107" s="54" t="n"/>
      <c r="V107" s="54">
        <f>IF($B107="","",IF(_xludf.TEXTJOIN(" | ",TRUE,IF($B107="","Missing Title",""),IF($C107="","Missing Date",""),IF($D107="","Missing Start",""),IF($E107="","Missing End",""),IF($G107="","Missing Required Attendees",""),IF($T107="","Missing Status",""),IF(AND($D107&lt;&gt;"",$E107&lt;&gt;"",$D107&gt;=$E107),"Start&gt;=End",""),IF(OR($R107="",LEN($R107)&lt;60,ISNUMBER(MATCH(TRIM($R107),StatusList,0))),"Body overwritten/short",""))="","OK",_xludf.TEXTJOIN(" | ",TRUE,IF($B107="","Missing Title",""),IF($C107="","Missing Date",""),IF($D107="","Missing Start",""),IF($E107="","Missing End",""),IF($G107="","Missing Required Attendees",""),IF($T107="","Missing Status",""),IF(AND($D107&lt;&gt;"",$E107&lt;&gt;"",$D107&gt;=$E107),"Start&gt;=End",""),IF(OR($R107="",LEN($R107)&lt;60,ISNUMBER(MATCH(TRIM($R107),StatusList,0))),"Body overwritten/short",""))))</f>
        <v/>
      </c>
    </row>
    <row r="108" ht="15" customHeight="1">
      <c r="A108" s="12">
        <f>IF(AND($B108&lt;&gt;"",$C108&lt;&gt;"",$D108&lt;&gt;"",$E108&lt;&gt;"",$G108&lt;&gt;""),
UPPER(
LEFT(TRIM(LEFT($G108,IFERROR(FIND(";",$G108)-1,999))),1)&amp;
IFERROR(
MID(TRIM(LEFT($G108,IFERROR(FIND(";",$G108)-1,999))),
FIND(" ",TRIM(LEFT($G108,IFERROR(FIND(";",$G108)-1,999))))+1,1),
MID(TRIM(LEFT($G108,IFERROR(FIND(";",$G108)-1,999))),2,1)
)
)&amp;"-"&amp;TEXT($C108,"yyyy-mm-dd"),
"")</f>
        <v/>
      </c>
      <c r="B108" s="25" t="n"/>
      <c r="C108" s="80" t="n"/>
      <c r="D108" s="77" t="n"/>
      <c r="E108" s="77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16">
        <f>IF($L108&lt;&gt;"","Purpose "&amp;CHAR(10)&amp;$L108&amp;CHAR(10)&amp;CHAR(10),"")&amp;
IF($M108&lt;&gt;"","Stops (in order) "&amp;CHAR(10)&amp;$M108&amp;CHAR(10)&amp;CHAR(10),"")&amp;
IF($N108&lt;&gt;"","To-Do (hard requirements) "&amp;CHAR(10)&amp;$N108&amp;CHAR(10)&amp;CHAR(10),"")&amp;
IF($O108&lt;&gt;"","Suggested Timeline "&amp;CHAR(10)&amp;$O108&amp;CHAR(10)&amp;CHAR(10),"")&amp;
IF($P108&lt;&gt;"","Guardrails "&amp;CHAR(10)&amp;$P108&amp;CHAR(10)&amp;CHAR(10),"")&amp;
IF($Q108&lt;&gt;"","Completion signals "&amp;CHAR(10)&amp;$Q108,"")</f>
        <v/>
      </c>
      <c r="S108" s="25" t="n"/>
      <c r="T108" s="25" t="n"/>
      <c r="U108" s="54" t="n"/>
      <c r="V108" s="54">
        <f>IF($B108="","",IF(_xludf.TEXTJOIN(" | ",TRUE,IF($B108="","Missing Title",""),IF($C108="","Missing Date",""),IF($D108="","Missing Start",""),IF($E108="","Missing End",""),IF($G108="","Missing Required Attendees",""),IF($T108="","Missing Status",""),IF(AND($D108&lt;&gt;"",$E108&lt;&gt;"",$D108&gt;=$E108),"Start&gt;=End",""),IF(OR($R108="",LEN($R108)&lt;60,ISNUMBER(MATCH(TRIM($R108),StatusList,0))),"Body overwritten/short",""))="","OK",_xludf.TEXTJOIN(" | ",TRUE,IF($B108="","Missing Title",""),IF($C108="","Missing Date",""),IF($D108="","Missing Start",""),IF($E108="","Missing End",""),IF($G108="","Missing Required Attendees",""),IF($T108="","Missing Status",""),IF(AND($D108&lt;&gt;"",$E108&lt;&gt;"",$D108&gt;=$E108),"Start&gt;=End",""),IF(OR($R108="",LEN($R108)&lt;60,ISNUMBER(MATCH(TRIM($R108),StatusList,0))),"Body overwritten/short",""))))</f>
        <v/>
      </c>
    </row>
    <row r="109" ht="15" customHeight="1">
      <c r="A109" s="12">
        <f>IF(AND($B109&lt;&gt;"",$C109&lt;&gt;"",$D109&lt;&gt;"",$E109&lt;&gt;"",$G109&lt;&gt;""),
UPPER(
LEFT(TRIM(LEFT($G109,IFERROR(FIND(";",$G109)-1,999))),1)&amp;
IFERROR(
MID(TRIM(LEFT($G109,IFERROR(FIND(";",$G109)-1,999))),
FIND(" ",TRIM(LEFT($G109,IFERROR(FIND(";",$G109)-1,999))))+1,1),
MID(TRIM(LEFT($G109,IFERROR(FIND(";",$G109)-1,999))),2,1)
)
)&amp;"-"&amp;TEXT($C109,"yyyy-mm-dd"),
"")</f>
        <v/>
      </c>
      <c r="B109" s="25" t="n"/>
      <c r="C109" s="80" t="n"/>
      <c r="D109" s="77" t="n"/>
      <c r="E109" s="77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16">
        <f>IF($L109&lt;&gt;"","Purpose "&amp;CHAR(10)&amp;$L109&amp;CHAR(10)&amp;CHAR(10),"")&amp;
IF($M109&lt;&gt;"","Stops (in order) "&amp;CHAR(10)&amp;$M109&amp;CHAR(10)&amp;CHAR(10),"")&amp;
IF($N109&lt;&gt;"","To-Do (hard requirements) "&amp;CHAR(10)&amp;$N109&amp;CHAR(10)&amp;CHAR(10),"")&amp;
IF($O109&lt;&gt;"","Suggested Timeline "&amp;CHAR(10)&amp;$O109&amp;CHAR(10)&amp;CHAR(10),"")&amp;
IF($P109&lt;&gt;"","Guardrails "&amp;CHAR(10)&amp;$P109&amp;CHAR(10)&amp;CHAR(10),"")&amp;
IF($Q109&lt;&gt;"","Completion signals "&amp;CHAR(10)&amp;$Q109,"")</f>
        <v/>
      </c>
      <c r="S109" s="25" t="n"/>
      <c r="T109" s="25" t="n"/>
      <c r="U109" s="54" t="n"/>
      <c r="V109" s="54">
        <f>IF($B109="","",IF(_xludf.TEXTJOIN(" | ",TRUE,IF($B109="","Missing Title",""),IF($C109="","Missing Date",""),IF($D109="","Missing Start",""),IF($E109="","Missing End",""),IF($G109="","Missing Required Attendees",""),IF($T109="","Missing Status",""),IF(AND($D109&lt;&gt;"",$E109&lt;&gt;"",$D109&gt;=$E109),"Start&gt;=End",""),IF(OR($R109="",LEN($R109)&lt;60,ISNUMBER(MATCH(TRIM($R109),StatusList,0))),"Body overwritten/short",""))="","OK",_xludf.TEXTJOIN(" | ",TRUE,IF($B109="","Missing Title",""),IF($C109="","Missing Date",""),IF($D109="","Missing Start",""),IF($E109="","Missing End",""),IF($G109="","Missing Required Attendees",""),IF($T109="","Missing Status",""),IF(AND($D109&lt;&gt;"",$E109&lt;&gt;"",$D109&gt;=$E109),"Start&gt;=End",""),IF(OR($R109="",LEN($R109)&lt;60,ISNUMBER(MATCH(TRIM($R109),StatusList,0))),"Body overwritten/short",""))))</f>
        <v/>
      </c>
    </row>
    <row r="110" ht="15" customHeight="1">
      <c r="A110" s="12">
        <f>IF(AND($B110&lt;&gt;"",$C110&lt;&gt;"",$D110&lt;&gt;"",$E110&lt;&gt;"",$G110&lt;&gt;""),
UPPER(
LEFT(TRIM(LEFT($G110,IFERROR(FIND(";",$G110)-1,999))),1)&amp;
IFERROR(
MID(TRIM(LEFT($G110,IFERROR(FIND(";",$G110)-1,999))),
FIND(" ",TRIM(LEFT($G110,IFERROR(FIND(";",$G110)-1,999))))+1,1),
MID(TRIM(LEFT($G110,IFERROR(FIND(";",$G110)-1,999))),2,1)
)
)&amp;"-"&amp;TEXT($C110,"yyyy-mm-dd"),
"")</f>
        <v/>
      </c>
      <c r="B110" s="25" t="n"/>
      <c r="C110" s="80" t="n"/>
      <c r="D110" s="77" t="n"/>
      <c r="E110" s="77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16">
        <f>IF($L110&lt;&gt;"","Purpose "&amp;CHAR(10)&amp;$L110&amp;CHAR(10)&amp;CHAR(10),"")&amp;
IF($M110&lt;&gt;"","Stops (in order) "&amp;CHAR(10)&amp;$M110&amp;CHAR(10)&amp;CHAR(10),"")&amp;
IF($N110&lt;&gt;"","To-Do (hard requirements) "&amp;CHAR(10)&amp;$N110&amp;CHAR(10)&amp;CHAR(10),"")&amp;
IF($O110&lt;&gt;"","Suggested Timeline "&amp;CHAR(10)&amp;$O110&amp;CHAR(10)&amp;CHAR(10),"")&amp;
IF($P110&lt;&gt;"","Guardrails "&amp;CHAR(10)&amp;$P110&amp;CHAR(10)&amp;CHAR(10),"")&amp;
IF($Q110&lt;&gt;"","Completion signals "&amp;CHAR(10)&amp;$Q110,"")</f>
        <v/>
      </c>
      <c r="S110" s="25" t="n"/>
      <c r="T110" s="25" t="n"/>
      <c r="U110" s="54" t="n"/>
      <c r="V110" s="54">
        <f>IF($B110="","",IF(_xludf.TEXTJOIN(" | ",TRUE,IF($B110="","Missing Title",""),IF($C110="","Missing Date",""),IF($D110="","Missing Start",""),IF($E110="","Missing End",""),IF($G110="","Missing Required Attendees",""),IF($T110="","Missing Status",""),IF(AND($D110&lt;&gt;"",$E110&lt;&gt;"",$D110&gt;=$E110),"Start&gt;=End",""),IF(OR($R110="",LEN($R110)&lt;60,ISNUMBER(MATCH(TRIM($R110),StatusList,0))),"Body overwritten/short",""))="","OK",_xludf.TEXTJOIN(" | ",TRUE,IF($B110="","Missing Title",""),IF($C110="","Missing Date",""),IF($D110="","Missing Start",""),IF($E110="","Missing End",""),IF($G110="","Missing Required Attendees",""),IF($T110="","Missing Status",""),IF(AND($D110&lt;&gt;"",$E110&lt;&gt;"",$D110&gt;=$E110),"Start&gt;=End",""),IF(OR($R110="",LEN($R110)&lt;60,ISNUMBER(MATCH(TRIM($R110),StatusList,0))),"Body overwritten/short",""))))</f>
        <v/>
      </c>
    </row>
    <row r="111" ht="15" customHeight="1">
      <c r="A111" s="12">
        <f>IF(AND($B111&lt;&gt;"",$C111&lt;&gt;"",$D111&lt;&gt;"",$E111&lt;&gt;"",$G111&lt;&gt;""),
UPPER(
LEFT(TRIM(LEFT($G111,IFERROR(FIND(";",$G111)-1,999))),1)&amp;
IFERROR(
MID(TRIM(LEFT($G111,IFERROR(FIND(";",$G111)-1,999))),
FIND(" ",TRIM(LEFT($G111,IFERROR(FIND(";",$G111)-1,999))))+1,1),
MID(TRIM(LEFT($G111,IFERROR(FIND(";",$G111)-1,999))),2,1)
)
)&amp;"-"&amp;TEXT($C111,"yyyy-mm-dd"),
"")</f>
        <v/>
      </c>
      <c r="B111" s="25" t="n"/>
      <c r="C111" s="80" t="n"/>
      <c r="D111" s="77" t="n"/>
      <c r="E111" s="77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16">
        <f>IF($L111&lt;&gt;"","Purpose "&amp;CHAR(10)&amp;$L111&amp;CHAR(10)&amp;CHAR(10),"")&amp;
IF($M111&lt;&gt;"","Stops (in order) "&amp;CHAR(10)&amp;$M111&amp;CHAR(10)&amp;CHAR(10),"")&amp;
IF($N111&lt;&gt;"","To-Do (hard requirements) "&amp;CHAR(10)&amp;$N111&amp;CHAR(10)&amp;CHAR(10),"")&amp;
IF($O111&lt;&gt;"","Suggested Timeline "&amp;CHAR(10)&amp;$O111&amp;CHAR(10)&amp;CHAR(10),"")&amp;
IF($P111&lt;&gt;"","Guardrails "&amp;CHAR(10)&amp;$P111&amp;CHAR(10)&amp;CHAR(10),"")&amp;
IF($Q111&lt;&gt;"","Completion signals "&amp;CHAR(10)&amp;$Q111,"")</f>
        <v/>
      </c>
      <c r="S111" s="25" t="n"/>
      <c r="T111" s="25" t="n"/>
      <c r="U111" s="54" t="n"/>
      <c r="V111" s="54">
        <f>IF($B111="","",IF(_xludf.TEXTJOIN(" | ",TRUE,IF($B111="","Missing Title",""),IF($C111="","Missing Date",""),IF($D111="","Missing Start",""),IF($E111="","Missing End",""),IF($G111="","Missing Required Attendees",""),IF($T111="","Missing Status",""),IF(AND($D111&lt;&gt;"",$E111&lt;&gt;"",$D111&gt;=$E111),"Start&gt;=End",""),IF(OR($R111="",LEN($R111)&lt;60,ISNUMBER(MATCH(TRIM($R111),StatusList,0))),"Body overwritten/short",""))="","OK",_xludf.TEXTJOIN(" | ",TRUE,IF($B111="","Missing Title",""),IF($C111="","Missing Date",""),IF($D111="","Missing Start",""),IF($E111="","Missing End",""),IF($G111="","Missing Required Attendees",""),IF($T111="","Missing Status",""),IF(AND($D111&lt;&gt;"",$E111&lt;&gt;"",$D111&gt;=$E111),"Start&gt;=End",""),IF(OR($R111="",LEN($R111)&lt;60,ISNUMBER(MATCH(TRIM($R111),StatusList,0))),"Body overwritten/short",""))))</f>
        <v/>
      </c>
    </row>
    <row r="112" ht="15" customHeight="1">
      <c r="A112" s="12">
        <f>IF(AND($B112&lt;&gt;"",$C112&lt;&gt;"",$D112&lt;&gt;"",$E112&lt;&gt;"",$G112&lt;&gt;""),
UPPER(
LEFT(TRIM(LEFT($G112,IFERROR(FIND(";",$G112)-1,999))),1)&amp;
IFERROR(
MID(TRIM(LEFT($G112,IFERROR(FIND(";",$G112)-1,999))),
FIND(" ",TRIM(LEFT($G112,IFERROR(FIND(";",$G112)-1,999))))+1,1),
MID(TRIM(LEFT($G112,IFERROR(FIND(";",$G112)-1,999))),2,1)
)
)&amp;"-"&amp;TEXT($C112,"yyyy-mm-dd"),
"")</f>
        <v/>
      </c>
      <c r="B112" s="25" t="n"/>
      <c r="C112" s="80" t="n"/>
      <c r="D112" s="77" t="n"/>
      <c r="E112" s="77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16">
        <f>IF($L112&lt;&gt;"","Purpose "&amp;CHAR(10)&amp;$L112&amp;CHAR(10)&amp;CHAR(10),"")&amp;
IF($M112&lt;&gt;"","Stops (in order) "&amp;CHAR(10)&amp;$M112&amp;CHAR(10)&amp;CHAR(10),"")&amp;
IF($N112&lt;&gt;"","To-Do (hard requirements) "&amp;CHAR(10)&amp;$N112&amp;CHAR(10)&amp;CHAR(10),"")&amp;
IF($O112&lt;&gt;"","Suggested Timeline "&amp;CHAR(10)&amp;$O112&amp;CHAR(10)&amp;CHAR(10),"")&amp;
IF($P112&lt;&gt;"","Guardrails "&amp;CHAR(10)&amp;$P112&amp;CHAR(10)&amp;CHAR(10),"")&amp;
IF($Q112&lt;&gt;"","Completion signals "&amp;CHAR(10)&amp;$Q112,"")</f>
        <v/>
      </c>
      <c r="S112" s="25" t="n"/>
      <c r="T112" s="25" t="n"/>
      <c r="U112" s="54" t="n"/>
      <c r="V112" s="54">
        <f>IF($B112="","",IF(_xludf.TEXTJOIN(" | ",TRUE,IF($B112="","Missing Title",""),IF($C112="","Missing Date",""),IF($D112="","Missing Start",""),IF($E112="","Missing End",""),IF($G112="","Missing Required Attendees",""),IF($T112="","Missing Status",""),IF(AND($D112&lt;&gt;"",$E112&lt;&gt;"",$D112&gt;=$E112),"Start&gt;=End",""),IF(OR($R112="",LEN($R112)&lt;60,ISNUMBER(MATCH(TRIM($R112),StatusList,0))),"Body overwritten/short",""))="","OK",_xludf.TEXTJOIN(" | ",TRUE,IF($B112="","Missing Title",""),IF($C112="","Missing Date",""),IF($D112="","Missing Start",""),IF($E112="","Missing End",""),IF($G112="","Missing Required Attendees",""),IF($T112="","Missing Status",""),IF(AND($D112&lt;&gt;"",$E112&lt;&gt;"",$D112&gt;=$E112),"Start&gt;=End",""),IF(OR($R112="",LEN($R112)&lt;60,ISNUMBER(MATCH(TRIM($R112),StatusList,0))),"Body overwritten/short",""))))</f>
        <v/>
      </c>
    </row>
    <row r="113" ht="15" customHeight="1">
      <c r="A113" s="12">
        <f>IF(AND($B113&lt;&gt;"",$C113&lt;&gt;"",$D113&lt;&gt;"",$E113&lt;&gt;"",$G113&lt;&gt;""),
UPPER(
LEFT(TRIM(LEFT($G113,IFERROR(FIND(";",$G113)-1,999))),1)&amp;
IFERROR(
MID(TRIM(LEFT($G113,IFERROR(FIND(";",$G113)-1,999))),
FIND(" ",TRIM(LEFT($G113,IFERROR(FIND(";",$G113)-1,999))))+1,1),
MID(TRIM(LEFT($G113,IFERROR(FIND(";",$G113)-1,999))),2,1)
)
)&amp;"-"&amp;TEXT($C113,"yyyy-mm-dd"),
"")</f>
        <v/>
      </c>
      <c r="B113" s="25" t="n"/>
      <c r="C113" s="80" t="n"/>
      <c r="D113" s="77" t="n"/>
      <c r="E113" s="77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16">
        <f>IF($L113&lt;&gt;"","Purpose "&amp;CHAR(10)&amp;$L113&amp;CHAR(10)&amp;CHAR(10),"")&amp;
IF($M113&lt;&gt;"","Stops (in order) "&amp;CHAR(10)&amp;$M113&amp;CHAR(10)&amp;CHAR(10),"")&amp;
IF($N113&lt;&gt;"","To-Do (hard requirements) "&amp;CHAR(10)&amp;$N113&amp;CHAR(10)&amp;CHAR(10),"")&amp;
IF($O113&lt;&gt;"","Suggested Timeline "&amp;CHAR(10)&amp;$O113&amp;CHAR(10)&amp;CHAR(10),"")&amp;
IF($P113&lt;&gt;"","Guardrails "&amp;CHAR(10)&amp;$P113&amp;CHAR(10)&amp;CHAR(10),"")&amp;
IF($Q113&lt;&gt;"","Completion signals "&amp;CHAR(10)&amp;$Q113,"")</f>
        <v/>
      </c>
      <c r="S113" s="25" t="n"/>
      <c r="T113" s="25" t="n"/>
      <c r="U113" s="54" t="n"/>
      <c r="V113" s="54">
        <f>IF($B113="","",IF(_xludf.TEXTJOIN(" | ",TRUE,IF($B113="","Missing Title",""),IF($C113="","Missing Date",""),IF($D113="","Missing Start",""),IF($E113="","Missing End",""),IF($G113="","Missing Required Attendees",""),IF($T113="","Missing Status",""),IF(AND($D113&lt;&gt;"",$E113&lt;&gt;"",$D113&gt;=$E113),"Start&gt;=End",""),IF(OR($R113="",LEN($R113)&lt;60,ISNUMBER(MATCH(TRIM($R113),StatusList,0))),"Body overwritten/short",""))="","OK",_xludf.TEXTJOIN(" | ",TRUE,IF($B113="","Missing Title",""),IF($C113="","Missing Date",""),IF($D113="","Missing Start",""),IF($E113="","Missing End",""),IF($G113="","Missing Required Attendees",""),IF($T113="","Missing Status",""),IF(AND($D113&lt;&gt;"",$E113&lt;&gt;"",$D113&gt;=$E113),"Start&gt;=End",""),IF(OR($R113="",LEN($R113)&lt;60,ISNUMBER(MATCH(TRIM($R113),StatusList,0))),"Body overwritten/short",""))))</f>
        <v/>
      </c>
    </row>
    <row r="114" ht="15" customHeight="1">
      <c r="A114" s="12">
        <f>IF(AND($B114&lt;&gt;"",$C114&lt;&gt;"",$D114&lt;&gt;"",$E114&lt;&gt;"",$G114&lt;&gt;""),
UPPER(
LEFT(TRIM(LEFT($G114,IFERROR(FIND(";",$G114)-1,999))),1)&amp;
IFERROR(
MID(TRIM(LEFT($G114,IFERROR(FIND(";",$G114)-1,999))),
FIND(" ",TRIM(LEFT($G114,IFERROR(FIND(";",$G114)-1,999))))+1,1),
MID(TRIM(LEFT($G114,IFERROR(FIND(";",$G114)-1,999))),2,1)
)
)&amp;"-"&amp;TEXT($C114,"yyyy-mm-dd"),
"")</f>
        <v/>
      </c>
      <c r="B114" s="25" t="n"/>
      <c r="C114" s="80" t="n"/>
      <c r="D114" s="77" t="n"/>
      <c r="E114" s="77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16">
        <f>IF($L114&lt;&gt;"","Purpose "&amp;CHAR(10)&amp;$L114&amp;CHAR(10)&amp;CHAR(10),"")&amp;
IF($M114&lt;&gt;"","Stops (in order) "&amp;CHAR(10)&amp;$M114&amp;CHAR(10)&amp;CHAR(10),"")&amp;
IF($N114&lt;&gt;"","To-Do (hard requirements) "&amp;CHAR(10)&amp;$N114&amp;CHAR(10)&amp;CHAR(10),"")&amp;
IF($O114&lt;&gt;"","Suggested Timeline "&amp;CHAR(10)&amp;$O114&amp;CHAR(10)&amp;CHAR(10),"")&amp;
IF($P114&lt;&gt;"","Guardrails "&amp;CHAR(10)&amp;$P114&amp;CHAR(10)&amp;CHAR(10),"")&amp;
IF($Q114&lt;&gt;"","Completion signals "&amp;CHAR(10)&amp;$Q114,"")</f>
        <v/>
      </c>
      <c r="S114" s="25" t="n"/>
      <c r="T114" s="25" t="n"/>
      <c r="U114" s="54" t="n"/>
      <c r="V114" s="54">
        <f>IF($B114="","",IF(_xludf.TEXTJOIN(" | ",TRUE,IF($B114="","Missing Title",""),IF($C114="","Missing Date",""),IF($D114="","Missing Start",""),IF($E114="","Missing End",""),IF($G114="","Missing Required Attendees",""),IF($T114="","Missing Status",""),IF(AND($D114&lt;&gt;"",$E114&lt;&gt;"",$D114&gt;=$E114),"Start&gt;=End",""),IF(OR($R114="",LEN($R114)&lt;60,ISNUMBER(MATCH(TRIM($R114),StatusList,0))),"Body overwritten/short",""))="","OK",_xludf.TEXTJOIN(" | ",TRUE,IF($B114="","Missing Title",""),IF($C114="","Missing Date",""),IF($D114="","Missing Start",""),IF($E114="","Missing End",""),IF($G114="","Missing Required Attendees",""),IF($T114="","Missing Status",""),IF(AND($D114&lt;&gt;"",$E114&lt;&gt;"",$D114&gt;=$E114),"Start&gt;=End",""),IF(OR($R114="",LEN($R114)&lt;60,ISNUMBER(MATCH(TRIM($R114),StatusList,0))),"Body overwritten/short",""))))</f>
        <v/>
      </c>
    </row>
    <row r="115" ht="15" customHeight="1">
      <c r="A115" s="12">
        <f>IF(AND($B115&lt;&gt;"",$C115&lt;&gt;"",$D115&lt;&gt;"",$E115&lt;&gt;"",$G115&lt;&gt;""),
UPPER(
LEFT(TRIM(LEFT($G115,IFERROR(FIND(";",$G115)-1,999))),1)&amp;
IFERROR(
MID(TRIM(LEFT($G115,IFERROR(FIND(";",$G115)-1,999))),
FIND(" ",TRIM(LEFT($G115,IFERROR(FIND(";",$G115)-1,999))))+1,1),
MID(TRIM(LEFT($G115,IFERROR(FIND(";",$G115)-1,999))),2,1)
)
)&amp;"-"&amp;TEXT($C115,"yyyy-mm-dd"),
"")</f>
        <v/>
      </c>
      <c r="B115" s="25" t="n"/>
      <c r="C115" s="80" t="n"/>
      <c r="D115" s="77" t="n"/>
      <c r="E115" s="77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16">
        <f>IF($L115&lt;&gt;"","Purpose "&amp;CHAR(10)&amp;$L115&amp;CHAR(10)&amp;CHAR(10),"")&amp;
IF($M115&lt;&gt;"","Stops (in order) "&amp;CHAR(10)&amp;$M115&amp;CHAR(10)&amp;CHAR(10),"")&amp;
IF($N115&lt;&gt;"","To-Do (hard requirements) "&amp;CHAR(10)&amp;$N115&amp;CHAR(10)&amp;CHAR(10),"")&amp;
IF($O115&lt;&gt;"","Suggested Timeline "&amp;CHAR(10)&amp;$O115&amp;CHAR(10)&amp;CHAR(10),"")&amp;
IF($P115&lt;&gt;"","Guardrails "&amp;CHAR(10)&amp;$P115&amp;CHAR(10)&amp;CHAR(10),"")&amp;
IF($Q115&lt;&gt;"","Completion signals "&amp;CHAR(10)&amp;$Q115,"")</f>
        <v/>
      </c>
      <c r="S115" s="25" t="n"/>
      <c r="T115" s="25" t="n"/>
      <c r="U115" s="54" t="n"/>
      <c r="V115" s="54">
        <f>IF($B115="","",IF(_xludf.TEXTJOIN(" | ",TRUE,IF($B115="","Missing Title",""),IF($C115="","Missing Date",""),IF($D115="","Missing Start",""),IF($E115="","Missing End",""),IF($G115="","Missing Required Attendees",""),IF($T115="","Missing Status",""),IF(AND($D115&lt;&gt;"",$E115&lt;&gt;"",$D115&gt;=$E115),"Start&gt;=End",""),IF(OR($R115="",LEN($R115)&lt;60,ISNUMBER(MATCH(TRIM($R115),StatusList,0))),"Body overwritten/short",""))="","OK",_xludf.TEXTJOIN(" | ",TRUE,IF($B115="","Missing Title",""),IF($C115="","Missing Date",""),IF($D115="","Missing Start",""),IF($E115="","Missing End",""),IF($G115="","Missing Required Attendees",""),IF($T115="","Missing Status",""),IF(AND($D115&lt;&gt;"",$E115&lt;&gt;"",$D115&gt;=$E115),"Start&gt;=End",""),IF(OR($R115="",LEN($R115)&lt;60,ISNUMBER(MATCH(TRIM($R115),StatusList,0))),"Body overwritten/short",""))))</f>
        <v/>
      </c>
    </row>
    <row r="116" ht="15" customHeight="1">
      <c r="A116" s="12">
        <f>IF(AND($B116&lt;&gt;"",$C116&lt;&gt;"",$D116&lt;&gt;"",$E116&lt;&gt;"",$G116&lt;&gt;""),
UPPER(
LEFT(TRIM(LEFT($G116,IFERROR(FIND(";",$G116)-1,999))),1)&amp;
IFERROR(
MID(TRIM(LEFT($G116,IFERROR(FIND(";",$G116)-1,999))),
FIND(" ",TRIM(LEFT($G116,IFERROR(FIND(";",$G116)-1,999))))+1,1),
MID(TRIM(LEFT($G116,IFERROR(FIND(";",$G116)-1,999))),2,1)
)
)&amp;"-"&amp;TEXT($C116,"yyyy-mm-dd"),
"")</f>
        <v/>
      </c>
      <c r="B116" s="25" t="n"/>
      <c r="C116" s="80" t="n"/>
      <c r="D116" s="77" t="n"/>
      <c r="E116" s="77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16">
        <f>IF($L116&lt;&gt;"","Purpose "&amp;CHAR(10)&amp;$L116&amp;CHAR(10)&amp;CHAR(10),"")&amp;
IF($M116&lt;&gt;"","Stops (in order) "&amp;CHAR(10)&amp;$M116&amp;CHAR(10)&amp;CHAR(10),"")&amp;
IF($N116&lt;&gt;"","To-Do (hard requirements) "&amp;CHAR(10)&amp;$N116&amp;CHAR(10)&amp;CHAR(10),"")&amp;
IF($O116&lt;&gt;"","Suggested Timeline "&amp;CHAR(10)&amp;$O116&amp;CHAR(10)&amp;CHAR(10),"")&amp;
IF($P116&lt;&gt;"","Guardrails "&amp;CHAR(10)&amp;$P116&amp;CHAR(10)&amp;CHAR(10),"")&amp;
IF($Q116&lt;&gt;"","Completion signals "&amp;CHAR(10)&amp;$Q116,"")</f>
        <v/>
      </c>
      <c r="S116" s="25" t="n"/>
      <c r="T116" s="25" t="n"/>
      <c r="U116" s="54" t="n"/>
      <c r="V116" s="54">
        <f>IF($B116="","",IF(_xludf.TEXTJOIN(" | ",TRUE,IF($B116="","Missing Title",""),IF($C116="","Missing Date",""),IF($D116="","Missing Start",""),IF($E116="","Missing End",""),IF($G116="","Missing Required Attendees",""),IF($T116="","Missing Status",""),IF(AND($D116&lt;&gt;"",$E116&lt;&gt;"",$D116&gt;=$E116),"Start&gt;=End",""),IF(OR($R116="",LEN($R116)&lt;60,ISNUMBER(MATCH(TRIM($R116),StatusList,0))),"Body overwritten/short",""))="","OK",_xludf.TEXTJOIN(" | ",TRUE,IF($B116="","Missing Title",""),IF($C116="","Missing Date",""),IF($D116="","Missing Start",""),IF($E116="","Missing End",""),IF($G116="","Missing Required Attendees",""),IF($T116="","Missing Status",""),IF(AND($D116&lt;&gt;"",$E116&lt;&gt;"",$D116&gt;=$E116),"Start&gt;=End",""),IF(OR($R116="",LEN($R116)&lt;60,ISNUMBER(MATCH(TRIM($R116),StatusList,0))),"Body overwritten/short",""))))</f>
        <v/>
      </c>
    </row>
    <row r="117" ht="15" customHeight="1">
      <c r="A117" s="12">
        <f>IF(AND($B117&lt;&gt;"",$C117&lt;&gt;"",$D117&lt;&gt;"",$E117&lt;&gt;"",$G117&lt;&gt;""),
UPPER(
LEFT(TRIM(LEFT($G117,IFERROR(FIND(";",$G117)-1,999))),1)&amp;
IFERROR(
MID(TRIM(LEFT($G117,IFERROR(FIND(";",$G117)-1,999))),
FIND(" ",TRIM(LEFT($G117,IFERROR(FIND(";",$G117)-1,999))))+1,1),
MID(TRIM(LEFT($G117,IFERROR(FIND(";",$G117)-1,999))),2,1)
)
)&amp;"-"&amp;TEXT($C117,"yyyy-mm-dd"),
"")</f>
        <v/>
      </c>
      <c r="B117" s="25" t="n"/>
      <c r="C117" s="80" t="n"/>
      <c r="D117" s="77" t="n"/>
      <c r="E117" s="77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16">
        <f>IF($L117&lt;&gt;"","Purpose "&amp;CHAR(10)&amp;$L117&amp;CHAR(10)&amp;CHAR(10),"")&amp;
IF($M117&lt;&gt;"","Stops (in order) "&amp;CHAR(10)&amp;$M117&amp;CHAR(10)&amp;CHAR(10),"")&amp;
IF($N117&lt;&gt;"","To-Do (hard requirements) "&amp;CHAR(10)&amp;$N117&amp;CHAR(10)&amp;CHAR(10),"")&amp;
IF($O117&lt;&gt;"","Suggested Timeline "&amp;CHAR(10)&amp;$O117&amp;CHAR(10)&amp;CHAR(10),"")&amp;
IF($P117&lt;&gt;"","Guardrails "&amp;CHAR(10)&amp;$P117&amp;CHAR(10)&amp;CHAR(10),"")&amp;
IF($Q117&lt;&gt;"","Completion signals "&amp;CHAR(10)&amp;$Q117,"")</f>
        <v/>
      </c>
      <c r="S117" s="25" t="n"/>
      <c r="T117" s="25" t="n"/>
      <c r="U117" s="54" t="n"/>
      <c r="V117" s="54">
        <f>IF($B117="","",IF(_xludf.TEXTJOIN(" | ",TRUE,IF($B117="","Missing Title",""),IF($C117="","Missing Date",""),IF($D117="","Missing Start",""),IF($E117="","Missing End",""),IF($G117="","Missing Required Attendees",""),IF($T117="","Missing Status",""),IF(AND($D117&lt;&gt;"",$E117&lt;&gt;"",$D117&gt;=$E117),"Start&gt;=End",""),IF(OR($R117="",LEN($R117)&lt;60,ISNUMBER(MATCH(TRIM($R117),StatusList,0))),"Body overwritten/short",""))="","OK",_xludf.TEXTJOIN(" | ",TRUE,IF($B117="","Missing Title",""),IF($C117="","Missing Date",""),IF($D117="","Missing Start",""),IF($E117="","Missing End",""),IF($G117="","Missing Required Attendees",""),IF($T117="","Missing Status",""),IF(AND($D117&lt;&gt;"",$E117&lt;&gt;"",$D117&gt;=$E117),"Start&gt;=End",""),IF(OR($R117="",LEN($R117)&lt;60,ISNUMBER(MATCH(TRIM($R117),StatusList,0))),"Body overwritten/short",""))))</f>
        <v/>
      </c>
    </row>
    <row r="118" ht="15" customHeight="1">
      <c r="A118" s="12">
        <f>IF(AND($B118&lt;&gt;"",$C118&lt;&gt;"",$D118&lt;&gt;"",$E118&lt;&gt;"",$G118&lt;&gt;""),
UPPER(
LEFT(TRIM(LEFT($G118,IFERROR(FIND(";",$G118)-1,999))),1)&amp;
IFERROR(
MID(TRIM(LEFT($G118,IFERROR(FIND(";",$G118)-1,999))),
FIND(" ",TRIM(LEFT($G118,IFERROR(FIND(";",$G118)-1,999))))+1,1),
MID(TRIM(LEFT($G118,IFERROR(FIND(";",$G118)-1,999))),2,1)
)
)&amp;"-"&amp;TEXT($C118,"yyyy-mm-dd"),
"")</f>
        <v/>
      </c>
      <c r="B118" s="25" t="n"/>
      <c r="C118" s="80" t="n"/>
      <c r="D118" s="77" t="n"/>
      <c r="E118" s="77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16">
        <f>IF($L118&lt;&gt;"","Purpose "&amp;CHAR(10)&amp;$L118&amp;CHAR(10)&amp;CHAR(10),"")&amp;
IF($M118&lt;&gt;"","Stops (in order) "&amp;CHAR(10)&amp;$M118&amp;CHAR(10)&amp;CHAR(10),"")&amp;
IF($N118&lt;&gt;"","To-Do (hard requirements) "&amp;CHAR(10)&amp;$N118&amp;CHAR(10)&amp;CHAR(10),"")&amp;
IF($O118&lt;&gt;"","Suggested Timeline "&amp;CHAR(10)&amp;$O118&amp;CHAR(10)&amp;CHAR(10),"")&amp;
IF($P118&lt;&gt;"","Guardrails "&amp;CHAR(10)&amp;$P118&amp;CHAR(10)&amp;CHAR(10),"")&amp;
IF($Q118&lt;&gt;"","Completion signals "&amp;CHAR(10)&amp;$Q118,"")</f>
        <v/>
      </c>
      <c r="S118" s="25" t="n"/>
      <c r="T118" s="25" t="n"/>
      <c r="U118" s="54" t="n"/>
      <c r="V118" s="54">
        <f>IF($B118="","",IF(_xludf.TEXTJOIN(" | ",TRUE,IF($B118="","Missing Title",""),IF($C118="","Missing Date",""),IF($D118="","Missing Start",""),IF($E118="","Missing End",""),IF($G118="","Missing Required Attendees",""),IF($T118="","Missing Status",""),IF(AND($D118&lt;&gt;"",$E118&lt;&gt;"",$D118&gt;=$E118),"Start&gt;=End",""),IF(OR($R118="",LEN($R118)&lt;60,ISNUMBER(MATCH(TRIM($R118),StatusList,0))),"Body overwritten/short",""))="","OK",_xludf.TEXTJOIN(" | ",TRUE,IF($B118="","Missing Title",""),IF($C118="","Missing Date",""),IF($D118="","Missing Start",""),IF($E118="","Missing End",""),IF($G118="","Missing Required Attendees",""),IF($T118="","Missing Status",""),IF(AND($D118&lt;&gt;"",$E118&lt;&gt;"",$D118&gt;=$E118),"Start&gt;=End",""),IF(OR($R118="",LEN($R118)&lt;60,ISNUMBER(MATCH(TRIM($R118),StatusList,0))),"Body overwritten/short",""))))</f>
        <v/>
      </c>
    </row>
    <row r="119" ht="15" customHeight="1">
      <c r="A119" s="12">
        <f>IF(AND($B119&lt;&gt;"",$C119&lt;&gt;"",$D119&lt;&gt;"",$E119&lt;&gt;"",$G119&lt;&gt;""),
UPPER(
LEFT(TRIM(LEFT($G119,IFERROR(FIND(";",$G119)-1,999))),1)&amp;
IFERROR(
MID(TRIM(LEFT($G119,IFERROR(FIND(";",$G119)-1,999))),
FIND(" ",TRIM(LEFT($G119,IFERROR(FIND(";",$G119)-1,999))))+1,1),
MID(TRIM(LEFT($G119,IFERROR(FIND(";",$G119)-1,999))),2,1)
)
)&amp;"-"&amp;TEXT($C119,"yyyy-mm-dd"),
"")</f>
        <v/>
      </c>
      <c r="B119" s="25" t="n"/>
      <c r="C119" s="80" t="n"/>
      <c r="D119" s="77" t="n"/>
      <c r="E119" s="77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16">
        <f>IF($L119&lt;&gt;"","Purpose "&amp;CHAR(10)&amp;$L119&amp;CHAR(10)&amp;CHAR(10),"")&amp;
IF($M119&lt;&gt;"","Stops (in order) "&amp;CHAR(10)&amp;$M119&amp;CHAR(10)&amp;CHAR(10),"")&amp;
IF($N119&lt;&gt;"","To-Do (hard requirements) "&amp;CHAR(10)&amp;$N119&amp;CHAR(10)&amp;CHAR(10),"")&amp;
IF($O119&lt;&gt;"","Suggested Timeline "&amp;CHAR(10)&amp;$O119&amp;CHAR(10)&amp;CHAR(10),"")&amp;
IF($P119&lt;&gt;"","Guardrails "&amp;CHAR(10)&amp;$P119&amp;CHAR(10)&amp;CHAR(10),"")&amp;
IF($Q119&lt;&gt;"","Completion signals "&amp;CHAR(10)&amp;$Q119,"")</f>
        <v/>
      </c>
      <c r="S119" s="25" t="n"/>
      <c r="T119" s="25" t="n"/>
      <c r="U119" s="54" t="n"/>
      <c r="V119" s="54">
        <f>IF($B119="","",IF(_xludf.TEXTJOIN(" | ",TRUE,IF($B119="","Missing Title",""),IF($C119="","Missing Date",""),IF($D119="","Missing Start",""),IF($E119="","Missing End",""),IF($G119="","Missing Required Attendees",""),IF($T119="","Missing Status",""),IF(AND($D119&lt;&gt;"",$E119&lt;&gt;"",$D119&gt;=$E119),"Start&gt;=End",""),IF(OR($R119="",LEN($R119)&lt;60,ISNUMBER(MATCH(TRIM($R119),StatusList,0))),"Body overwritten/short",""))="","OK",_xludf.TEXTJOIN(" | ",TRUE,IF($B119="","Missing Title",""),IF($C119="","Missing Date",""),IF($D119="","Missing Start",""),IF($E119="","Missing End",""),IF($G119="","Missing Required Attendees",""),IF($T119="","Missing Status",""),IF(AND($D119&lt;&gt;"",$E119&lt;&gt;"",$D119&gt;=$E119),"Start&gt;=End",""),IF(OR($R119="",LEN($R119)&lt;60,ISNUMBER(MATCH(TRIM($R119),StatusList,0))),"Body overwritten/short",""))))</f>
        <v/>
      </c>
    </row>
    <row r="120" ht="15" customHeight="1">
      <c r="A120" s="12">
        <f>IF(AND($B120&lt;&gt;"",$C120&lt;&gt;"",$D120&lt;&gt;"",$E120&lt;&gt;"",$G120&lt;&gt;""),
UPPER(
LEFT(TRIM(LEFT($G120,IFERROR(FIND(";",$G120)-1,999))),1)&amp;
IFERROR(
MID(TRIM(LEFT($G120,IFERROR(FIND(";",$G120)-1,999))),
FIND(" ",TRIM(LEFT($G120,IFERROR(FIND(";",$G120)-1,999))))+1,1),
MID(TRIM(LEFT($G120,IFERROR(FIND(";",$G120)-1,999))),2,1)
)
)&amp;"-"&amp;TEXT($C120,"yyyy-mm-dd"),
"")</f>
        <v/>
      </c>
      <c r="B120" s="25" t="n"/>
      <c r="C120" s="80" t="n"/>
      <c r="D120" s="77" t="n"/>
      <c r="E120" s="77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16">
        <f>IF($L120&lt;&gt;"","Purpose "&amp;CHAR(10)&amp;$L120&amp;CHAR(10)&amp;CHAR(10),"")&amp;
IF($M120&lt;&gt;"","Stops (in order) "&amp;CHAR(10)&amp;$M120&amp;CHAR(10)&amp;CHAR(10),"")&amp;
IF($N120&lt;&gt;"","To-Do (hard requirements) "&amp;CHAR(10)&amp;$N120&amp;CHAR(10)&amp;CHAR(10),"")&amp;
IF($O120&lt;&gt;"","Suggested Timeline "&amp;CHAR(10)&amp;$O120&amp;CHAR(10)&amp;CHAR(10),"")&amp;
IF($P120&lt;&gt;"","Guardrails "&amp;CHAR(10)&amp;$P120&amp;CHAR(10)&amp;CHAR(10),"")&amp;
IF($Q120&lt;&gt;"","Completion signals "&amp;CHAR(10)&amp;$Q120,"")</f>
        <v/>
      </c>
      <c r="S120" s="25" t="n"/>
      <c r="T120" s="25" t="n"/>
      <c r="U120" s="54" t="n"/>
      <c r="V120" s="54">
        <f>IF($B120="","",IF(_xludf.TEXTJOIN(" | ",TRUE,IF($B120="","Missing Title",""),IF($C120="","Missing Date",""),IF($D120="","Missing Start",""),IF($E120="","Missing End",""),IF($G120="","Missing Required Attendees",""),IF($T120="","Missing Status",""),IF(AND($D120&lt;&gt;"",$E120&lt;&gt;"",$D120&gt;=$E120),"Start&gt;=End",""),IF(OR($R120="",LEN($R120)&lt;60,ISNUMBER(MATCH(TRIM($R120),StatusList,0))),"Body overwritten/short",""))="","OK",_xludf.TEXTJOIN(" | ",TRUE,IF($B120="","Missing Title",""),IF($C120="","Missing Date",""),IF($D120="","Missing Start",""),IF($E120="","Missing End",""),IF($G120="","Missing Required Attendees",""),IF($T120="","Missing Status",""),IF(AND($D120&lt;&gt;"",$E120&lt;&gt;"",$D120&gt;=$E120),"Start&gt;=End",""),IF(OR($R120="",LEN($R120)&lt;60,ISNUMBER(MATCH(TRIM($R120),StatusList,0))),"Body overwritten/short",""))))</f>
        <v/>
      </c>
    </row>
    <row r="121" ht="15" customHeight="1">
      <c r="A121" s="12">
        <f>IF(AND($B121&lt;&gt;"",$C121&lt;&gt;"",$D121&lt;&gt;"",$E121&lt;&gt;"",$G121&lt;&gt;""),
UPPER(
LEFT(TRIM(LEFT($G121,IFERROR(FIND(";",$G121)-1,999))),1)&amp;
IFERROR(
MID(TRIM(LEFT($G121,IFERROR(FIND(";",$G121)-1,999))),
FIND(" ",TRIM(LEFT($G121,IFERROR(FIND(";",$G121)-1,999))))+1,1),
MID(TRIM(LEFT($G121,IFERROR(FIND(";",$G121)-1,999))),2,1)
)
)&amp;"-"&amp;TEXT($C121,"yyyy-mm-dd"),
"")</f>
        <v/>
      </c>
      <c r="B121" s="25" t="n"/>
      <c r="C121" s="80" t="n"/>
      <c r="D121" s="77" t="n"/>
      <c r="E121" s="77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16">
        <f>IF($L121&lt;&gt;"","Purpose "&amp;CHAR(10)&amp;$L121&amp;CHAR(10)&amp;CHAR(10),"")&amp;
IF($M121&lt;&gt;"","Stops (in order) "&amp;CHAR(10)&amp;$M121&amp;CHAR(10)&amp;CHAR(10),"")&amp;
IF($N121&lt;&gt;"","To-Do (hard requirements) "&amp;CHAR(10)&amp;$N121&amp;CHAR(10)&amp;CHAR(10),"")&amp;
IF($O121&lt;&gt;"","Suggested Timeline "&amp;CHAR(10)&amp;$O121&amp;CHAR(10)&amp;CHAR(10),"")&amp;
IF($P121&lt;&gt;"","Guardrails "&amp;CHAR(10)&amp;$P121&amp;CHAR(10)&amp;CHAR(10),"")&amp;
IF($Q121&lt;&gt;"","Completion signals "&amp;CHAR(10)&amp;$Q121,"")</f>
        <v/>
      </c>
      <c r="S121" s="25" t="n"/>
      <c r="T121" s="25" t="n"/>
      <c r="U121" s="54" t="n"/>
      <c r="V121" s="54">
        <f>IF($B121="","",IF(_xludf.TEXTJOIN(" | ",TRUE,IF($B121="","Missing Title",""),IF($C121="","Missing Date",""),IF($D121="","Missing Start",""),IF($E121="","Missing End",""),IF($G121="","Missing Required Attendees",""),IF($T121="","Missing Status",""),IF(AND($D121&lt;&gt;"",$E121&lt;&gt;"",$D121&gt;=$E121),"Start&gt;=End",""),IF(OR($R121="",LEN($R121)&lt;60,ISNUMBER(MATCH(TRIM($R121),StatusList,0))),"Body overwritten/short",""))="","OK",_xludf.TEXTJOIN(" | ",TRUE,IF($B121="","Missing Title",""),IF($C121="","Missing Date",""),IF($D121="","Missing Start",""),IF($E121="","Missing End",""),IF($G121="","Missing Required Attendees",""),IF($T121="","Missing Status",""),IF(AND($D121&lt;&gt;"",$E121&lt;&gt;"",$D121&gt;=$E121),"Start&gt;=End",""),IF(OR($R121="",LEN($R121)&lt;60,ISNUMBER(MATCH(TRIM($R121),StatusList,0))),"Body overwritten/short",""))))</f>
        <v/>
      </c>
    </row>
    <row r="122" ht="15" customHeight="1">
      <c r="A122" s="12">
        <f>IF(AND($B122&lt;&gt;"",$C122&lt;&gt;"",$D122&lt;&gt;"",$E122&lt;&gt;"",$G122&lt;&gt;""),
UPPER(
LEFT(TRIM(LEFT($G122,IFERROR(FIND(";",$G122)-1,999))),1)&amp;
IFERROR(
MID(TRIM(LEFT($G122,IFERROR(FIND(";",$G122)-1,999))),
FIND(" ",TRIM(LEFT($G122,IFERROR(FIND(";",$G122)-1,999))))+1,1),
MID(TRIM(LEFT($G122,IFERROR(FIND(";",$G122)-1,999))),2,1)
)
)&amp;"-"&amp;TEXT($C122,"yyyy-mm-dd"),
"")</f>
        <v/>
      </c>
      <c r="B122" s="25" t="n"/>
      <c r="C122" s="80" t="n"/>
      <c r="D122" s="77" t="n"/>
      <c r="E122" s="77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16">
        <f>IF($L122&lt;&gt;"","Purpose "&amp;CHAR(10)&amp;$L122&amp;CHAR(10)&amp;CHAR(10),"")&amp;
IF($M122&lt;&gt;"","Stops (in order) "&amp;CHAR(10)&amp;$M122&amp;CHAR(10)&amp;CHAR(10),"")&amp;
IF($N122&lt;&gt;"","To-Do (hard requirements) "&amp;CHAR(10)&amp;$N122&amp;CHAR(10)&amp;CHAR(10),"")&amp;
IF($O122&lt;&gt;"","Suggested Timeline "&amp;CHAR(10)&amp;$O122&amp;CHAR(10)&amp;CHAR(10),"")&amp;
IF($P122&lt;&gt;"","Guardrails "&amp;CHAR(10)&amp;$P122&amp;CHAR(10)&amp;CHAR(10),"")&amp;
IF($Q122&lt;&gt;"","Completion signals "&amp;CHAR(10)&amp;$Q122,"")</f>
        <v/>
      </c>
      <c r="S122" s="25" t="n"/>
      <c r="T122" s="25" t="n"/>
      <c r="U122" s="54" t="n"/>
      <c r="V122" s="54">
        <f>IF($B122="","",IF(_xludf.TEXTJOIN(" | ",TRUE,IF($B122="","Missing Title",""),IF($C122="","Missing Date",""),IF($D122="","Missing Start",""),IF($E122="","Missing End",""),IF($G122="","Missing Required Attendees",""),IF($T122="","Missing Status",""),IF(AND($D122&lt;&gt;"",$E122&lt;&gt;"",$D122&gt;=$E122),"Start&gt;=End",""),IF(OR($R122="",LEN($R122)&lt;60,ISNUMBER(MATCH(TRIM($R122),StatusList,0))),"Body overwritten/short",""))="","OK",_xludf.TEXTJOIN(" | ",TRUE,IF($B122="","Missing Title",""),IF($C122="","Missing Date",""),IF($D122="","Missing Start",""),IF($E122="","Missing End",""),IF($G122="","Missing Required Attendees",""),IF($T122="","Missing Status",""),IF(AND($D122&lt;&gt;"",$E122&lt;&gt;"",$D122&gt;=$E122),"Start&gt;=End",""),IF(OR($R122="",LEN($R122)&lt;60,ISNUMBER(MATCH(TRIM($R122),StatusList,0))),"Body overwritten/short",""))))</f>
        <v/>
      </c>
    </row>
    <row r="123" ht="15" customHeight="1">
      <c r="A123" s="12">
        <f>IF(AND($B123&lt;&gt;"",$C123&lt;&gt;"",$D123&lt;&gt;"",$E123&lt;&gt;"",$G123&lt;&gt;""),
UPPER(
LEFT(TRIM(LEFT($G123,IFERROR(FIND(";",$G123)-1,999))),1)&amp;
IFERROR(
MID(TRIM(LEFT($G123,IFERROR(FIND(";",$G123)-1,999))),
FIND(" ",TRIM(LEFT($G123,IFERROR(FIND(";",$G123)-1,999))))+1,1),
MID(TRIM(LEFT($G123,IFERROR(FIND(";",$G123)-1,999))),2,1)
)
)&amp;"-"&amp;TEXT($C123,"yyyy-mm-dd"),
"")</f>
        <v/>
      </c>
      <c r="B123" s="25" t="n"/>
      <c r="C123" s="80" t="n"/>
      <c r="D123" s="77" t="n"/>
      <c r="E123" s="77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16">
        <f>IF($L123&lt;&gt;"","Purpose "&amp;CHAR(10)&amp;$L123&amp;CHAR(10)&amp;CHAR(10),"")&amp;
IF($M123&lt;&gt;"","Stops (in order) "&amp;CHAR(10)&amp;$M123&amp;CHAR(10)&amp;CHAR(10),"")&amp;
IF($N123&lt;&gt;"","To-Do (hard requirements) "&amp;CHAR(10)&amp;$N123&amp;CHAR(10)&amp;CHAR(10),"")&amp;
IF($O123&lt;&gt;"","Suggested Timeline "&amp;CHAR(10)&amp;$O123&amp;CHAR(10)&amp;CHAR(10),"")&amp;
IF($P123&lt;&gt;"","Guardrails "&amp;CHAR(10)&amp;$P123&amp;CHAR(10)&amp;CHAR(10),"")&amp;
IF($Q123&lt;&gt;"","Completion signals "&amp;CHAR(10)&amp;$Q123,"")</f>
        <v/>
      </c>
      <c r="S123" s="25" t="n"/>
      <c r="T123" s="25" t="n"/>
      <c r="U123" s="54" t="n"/>
      <c r="V123" s="54">
        <f>IF($B123="","",IF(_xludf.TEXTJOIN(" | ",TRUE,IF($B123="","Missing Title",""),IF($C123="","Missing Date",""),IF($D123="","Missing Start",""),IF($E123="","Missing End",""),IF($G123="","Missing Required Attendees",""),IF($T123="","Missing Status",""),IF(AND($D123&lt;&gt;"",$E123&lt;&gt;"",$D123&gt;=$E123),"Start&gt;=End",""),IF(OR($R123="",LEN($R123)&lt;60,ISNUMBER(MATCH(TRIM($R123),StatusList,0))),"Body overwritten/short",""))="","OK",_xludf.TEXTJOIN(" | ",TRUE,IF($B123="","Missing Title",""),IF($C123="","Missing Date",""),IF($D123="","Missing Start",""),IF($E123="","Missing End",""),IF($G123="","Missing Required Attendees",""),IF($T123="","Missing Status",""),IF(AND($D123&lt;&gt;"",$E123&lt;&gt;"",$D123&gt;=$E123),"Start&gt;=End",""),IF(OR($R123="",LEN($R123)&lt;60,ISNUMBER(MATCH(TRIM($R123),StatusList,0))),"Body overwritten/short",""))))</f>
        <v/>
      </c>
    </row>
    <row r="124" ht="15" customHeight="1">
      <c r="A124" s="12">
        <f>IF(AND($B124&lt;&gt;"",$C124&lt;&gt;"",$D124&lt;&gt;"",$E124&lt;&gt;"",$G124&lt;&gt;""),
UPPER(
LEFT(TRIM(LEFT($G124,IFERROR(FIND(";",$G124)-1,999))),1)&amp;
IFERROR(
MID(TRIM(LEFT($G124,IFERROR(FIND(";",$G124)-1,999))),
FIND(" ",TRIM(LEFT($G124,IFERROR(FIND(";",$G124)-1,999))))+1,1),
MID(TRIM(LEFT($G124,IFERROR(FIND(";",$G124)-1,999))),2,1)
)
)&amp;"-"&amp;TEXT($C124,"yyyy-mm-dd"),
"")</f>
        <v/>
      </c>
      <c r="B124" s="25" t="n"/>
      <c r="C124" s="80" t="n"/>
      <c r="D124" s="77" t="n"/>
      <c r="E124" s="77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16">
        <f>IF($L124&lt;&gt;"","Purpose "&amp;CHAR(10)&amp;$L124&amp;CHAR(10)&amp;CHAR(10),"")&amp;
IF($M124&lt;&gt;"","Stops (in order) "&amp;CHAR(10)&amp;$M124&amp;CHAR(10)&amp;CHAR(10),"")&amp;
IF($N124&lt;&gt;"","To-Do (hard requirements) "&amp;CHAR(10)&amp;$N124&amp;CHAR(10)&amp;CHAR(10),"")&amp;
IF($O124&lt;&gt;"","Suggested Timeline "&amp;CHAR(10)&amp;$O124&amp;CHAR(10)&amp;CHAR(10),"")&amp;
IF($P124&lt;&gt;"","Guardrails "&amp;CHAR(10)&amp;$P124&amp;CHAR(10)&amp;CHAR(10),"")&amp;
IF($Q124&lt;&gt;"","Completion signals "&amp;CHAR(10)&amp;$Q124,"")</f>
        <v/>
      </c>
      <c r="S124" s="25" t="n"/>
      <c r="T124" s="25" t="n"/>
      <c r="U124" s="54" t="n"/>
      <c r="V124" s="54">
        <f>IF($B124="","",IF(_xludf.TEXTJOIN(" | ",TRUE,IF($B124="","Missing Title",""),IF($C124="","Missing Date",""),IF($D124="","Missing Start",""),IF($E124="","Missing End",""),IF($G124="","Missing Required Attendees",""),IF($T124="","Missing Status",""),IF(AND($D124&lt;&gt;"",$E124&lt;&gt;"",$D124&gt;=$E124),"Start&gt;=End",""),IF(OR($R124="",LEN($R124)&lt;60,ISNUMBER(MATCH(TRIM($R124),StatusList,0))),"Body overwritten/short",""))="","OK",_xludf.TEXTJOIN(" | ",TRUE,IF($B124="","Missing Title",""),IF($C124="","Missing Date",""),IF($D124="","Missing Start",""),IF($E124="","Missing End",""),IF($G124="","Missing Required Attendees",""),IF($T124="","Missing Status",""),IF(AND($D124&lt;&gt;"",$E124&lt;&gt;"",$D124&gt;=$E124),"Start&gt;=End",""),IF(OR($R124="",LEN($R124)&lt;60,ISNUMBER(MATCH(TRIM($R124),StatusList,0))),"Body overwritten/short",""))))</f>
        <v/>
      </c>
    </row>
    <row r="125" ht="15" customHeight="1">
      <c r="A125" s="12">
        <f>IF(AND($B125&lt;&gt;"",$C125&lt;&gt;"",$D125&lt;&gt;"",$E125&lt;&gt;"",$G125&lt;&gt;""),
UPPER(
LEFT(TRIM(LEFT($G125,IFERROR(FIND(";",$G125)-1,999))),1)&amp;
IFERROR(
MID(TRIM(LEFT($G125,IFERROR(FIND(";",$G125)-1,999))),
FIND(" ",TRIM(LEFT($G125,IFERROR(FIND(";",$G125)-1,999))))+1,1),
MID(TRIM(LEFT($G125,IFERROR(FIND(";",$G125)-1,999))),2,1)
)
)&amp;"-"&amp;TEXT($C125,"yyyy-mm-dd"),
"")</f>
        <v/>
      </c>
      <c r="B125" s="25" t="n"/>
      <c r="C125" s="80" t="n"/>
      <c r="D125" s="77" t="n"/>
      <c r="E125" s="77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16">
        <f>IF($L125&lt;&gt;"","Purpose "&amp;CHAR(10)&amp;$L125&amp;CHAR(10)&amp;CHAR(10),"")&amp;
IF($M125&lt;&gt;"","Stops (in order) "&amp;CHAR(10)&amp;$M125&amp;CHAR(10)&amp;CHAR(10),"")&amp;
IF($N125&lt;&gt;"","To-Do (hard requirements) "&amp;CHAR(10)&amp;$N125&amp;CHAR(10)&amp;CHAR(10),"")&amp;
IF($O125&lt;&gt;"","Suggested Timeline "&amp;CHAR(10)&amp;$O125&amp;CHAR(10)&amp;CHAR(10),"")&amp;
IF($P125&lt;&gt;"","Guardrails "&amp;CHAR(10)&amp;$P125&amp;CHAR(10)&amp;CHAR(10),"")&amp;
IF($Q125&lt;&gt;"","Completion signals "&amp;CHAR(10)&amp;$Q125,"")</f>
        <v/>
      </c>
      <c r="S125" s="25" t="n"/>
      <c r="T125" s="25" t="n"/>
      <c r="U125" s="54" t="n"/>
      <c r="V125" s="54">
        <f>IF($B125="","",IF(_xludf.TEXTJOIN(" | ",TRUE,IF($B125="","Missing Title",""),IF($C125="","Missing Date",""),IF($D125="","Missing Start",""),IF($E125="","Missing End",""),IF($G125="","Missing Required Attendees",""),IF($T125="","Missing Status",""),IF(AND($D125&lt;&gt;"",$E125&lt;&gt;"",$D125&gt;=$E125),"Start&gt;=End",""),IF(OR($R125="",LEN($R125)&lt;60,ISNUMBER(MATCH(TRIM($R125),StatusList,0))),"Body overwritten/short",""))="","OK",_xludf.TEXTJOIN(" | ",TRUE,IF($B125="","Missing Title",""),IF($C125="","Missing Date",""),IF($D125="","Missing Start",""),IF($E125="","Missing End",""),IF($G125="","Missing Required Attendees",""),IF($T125="","Missing Status",""),IF(AND($D125&lt;&gt;"",$E125&lt;&gt;"",$D125&gt;=$E125),"Start&gt;=End",""),IF(OR($R125="",LEN($R125)&lt;60,ISNUMBER(MATCH(TRIM($R125),StatusList,0))),"Body overwritten/short",""))))</f>
        <v/>
      </c>
    </row>
    <row r="126" ht="15" customHeight="1">
      <c r="A126" s="12">
        <f>IF(AND($B126&lt;&gt;"",$C126&lt;&gt;"",$D126&lt;&gt;"",$E126&lt;&gt;"",$G126&lt;&gt;""),
UPPER(
LEFT(TRIM(LEFT($G126,IFERROR(FIND(";",$G126)-1,999))),1)&amp;
IFERROR(
MID(TRIM(LEFT($G126,IFERROR(FIND(";",$G126)-1,999))),
FIND(" ",TRIM(LEFT($G126,IFERROR(FIND(";",$G126)-1,999))))+1,1),
MID(TRIM(LEFT($G126,IFERROR(FIND(";",$G126)-1,999))),2,1)
)
)&amp;"-"&amp;TEXT($C126,"yyyy-mm-dd"),
"")</f>
        <v/>
      </c>
      <c r="B126" s="25" t="n"/>
      <c r="C126" s="80" t="n"/>
      <c r="D126" s="77" t="n"/>
      <c r="E126" s="77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16">
        <f>IF($L126&lt;&gt;"","Purpose "&amp;CHAR(10)&amp;$L126&amp;CHAR(10)&amp;CHAR(10),"")&amp;
IF($M126&lt;&gt;"","Stops (in order) "&amp;CHAR(10)&amp;$M126&amp;CHAR(10)&amp;CHAR(10),"")&amp;
IF($N126&lt;&gt;"","To-Do (hard requirements) "&amp;CHAR(10)&amp;$N126&amp;CHAR(10)&amp;CHAR(10),"")&amp;
IF($O126&lt;&gt;"","Suggested Timeline "&amp;CHAR(10)&amp;$O126&amp;CHAR(10)&amp;CHAR(10),"")&amp;
IF($P126&lt;&gt;"","Guardrails "&amp;CHAR(10)&amp;$P126&amp;CHAR(10)&amp;CHAR(10),"")&amp;
IF($Q126&lt;&gt;"","Completion signals "&amp;CHAR(10)&amp;$Q126,"")</f>
        <v/>
      </c>
      <c r="S126" s="25" t="n"/>
      <c r="T126" s="25" t="n"/>
      <c r="U126" s="54" t="n"/>
      <c r="V126" s="54">
        <f>IF($B126="","",IF(_xludf.TEXTJOIN(" | ",TRUE,IF($B126="","Missing Title",""),IF($C126="","Missing Date",""),IF($D126="","Missing Start",""),IF($E126="","Missing End",""),IF($G126="","Missing Required Attendees",""),IF($T126="","Missing Status",""),IF(AND($D126&lt;&gt;"",$E126&lt;&gt;"",$D126&gt;=$E126),"Start&gt;=End",""),IF(OR($R126="",LEN($R126)&lt;60,ISNUMBER(MATCH(TRIM($R126),StatusList,0))),"Body overwritten/short",""))="","OK",_xludf.TEXTJOIN(" | ",TRUE,IF($B126="","Missing Title",""),IF($C126="","Missing Date",""),IF($D126="","Missing Start",""),IF($E126="","Missing End",""),IF($G126="","Missing Required Attendees",""),IF($T126="","Missing Status",""),IF(AND($D126&lt;&gt;"",$E126&lt;&gt;"",$D126&gt;=$E126),"Start&gt;=End",""),IF(OR($R126="",LEN($R126)&lt;60,ISNUMBER(MATCH(TRIM($R126),StatusList,0))),"Body overwritten/short",""))))</f>
        <v/>
      </c>
    </row>
    <row r="127" ht="15" customHeight="1">
      <c r="A127" s="12">
        <f>IF(AND($B127&lt;&gt;"",$C127&lt;&gt;"",$D127&lt;&gt;"",$E127&lt;&gt;"",$G127&lt;&gt;""),
UPPER(
LEFT(TRIM(LEFT($G127,IFERROR(FIND(";",$G127)-1,999))),1)&amp;
IFERROR(
MID(TRIM(LEFT($G127,IFERROR(FIND(";",$G127)-1,999))),
FIND(" ",TRIM(LEFT($G127,IFERROR(FIND(";",$G127)-1,999))))+1,1),
MID(TRIM(LEFT($G127,IFERROR(FIND(";",$G127)-1,999))),2,1)
)
)&amp;"-"&amp;TEXT($C127,"yyyy-mm-dd"),
"")</f>
        <v/>
      </c>
      <c r="B127" s="25" t="n"/>
      <c r="C127" s="80" t="n"/>
      <c r="D127" s="77" t="n"/>
      <c r="E127" s="77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16">
        <f>IF($L127&lt;&gt;"","Purpose "&amp;CHAR(10)&amp;$L127&amp;CHAR(10)&amp;CHAR(10),"")&amp;
IF($M127&lt;&gt;"","Stops (in order) "&amp;CHAR(10)&amp;$M127&amp;CHAR(10)&amp;CHAR(10),"")&amp;
IF($N127&lt;&gt;"","To-Do (hard requirements) "&amp;CHAR(10)&amp;$N127&amp;CHAR(10)&amp;CHAR(10),"")&amp;
IF($O127&lt;&gt;"","Suggested Timeline "&amp;CHAR(10)&amp;$O127&amp;CHAR(10)&amp;CHAR(10),"")&amp;
IF($P127&lt;&gt;"","Guardrails "&amp;CHAR(10)&amp;$P127&amp;CHAR(10)&amp;CHAR(10),"")&amp;
IF($Q127&lt;&gt;"","Completion signals "&amp;CHAR(10)&amp;$Q127,"")</f>
        <v/>
      </c>
      <c r="S127" s="25" t="n"/>
      <c r="T127" s="25" t="n"/>
      <c r="U127" s="54" t="n"/>
      <c r="V127" s="54">
        <f>IF($B127="","",IF(_xludf.TEXTJOIN(" | ",TRUE,IF($B127="","Missing Title",""),IF($C127="","Missing Date",""),IF($D127="","Missing Start",""),IF($E127="","Missing End",""),IF($G127="","Missing Required Attendees",""),IF($T127="","Missing Status",""),IF(AND($D127&lt;&gt;"",$E127&lt;&gt;"",$D127&gt;=$E127),"Start&gt;=End",""),IF(OR($R127="",LEN($R127)&lt;60,ISNUMBER(MATCH(TRIM($R127),StatusList,0))),"Body overwritten/short",""))="","OK",_xludf.TEXTJOIN(" | ",TRUE,IF($B127="","Missing Title",""),IF($C127="","Missing Date",""),IF($D127="","Missing Start",""),IF($E127="","Missing End",""),IF($G127="","Missing Required Attendees",""),IF($T127="","Missing Status",""),IF(AND($D127&lt;&gt;"",$E127&lt;&gt;"",$D127&gt;=$E127),"Start&gt;=End",""),IF(OR($R127="",LEN($R127)&lt;60,ISNUMBER(MATCH(TRIM($R127),StatusList,0))),"Body overwritten/short",""))))</f>
        <v/>
      </c>
    </row>
    <row r="128" ht="15" customHeight="1">
      <c r="A128" s="12">
        <f>IF(AND($B128&lt;&gt;"",$C128&lt;&gt;"",$D128&lt;&gt;"",$E128&lt;&gt;"",$G128&lt;&gt;""),
UPPER(
LEFT(TRIM(LEFT($G128,IFERROR(FIND(";",$G128)-1,999))),1)&amp;
IFERROR(
MID(TRIM(LEFT($G128,IFERROR(FIND(";",$G128)-1,999))),
FIND(" ",TRIM(LEFT($G128,IFERROR(FIND(";",$G128)-1,999))))+1,1),
MID(TRIM(LEFT($G128,IFERROR(FIND(";",$G128)-1,999))),2,1)
)
)&amp;"-"&amp;TEXT($C128,"yyyy-mm-dd"),
"")</f>
        <v/>
      </c>
      <c r="B128" s="25" t="n"/>
      <c r="C128" s="80" t="n"/>
      <c r="D128" s="77" t="n"/>
      <c r="E128" s="77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16">
        <f>IF($L128&lt;&gt;"","Purpose "&amp;CHAR(10)&amp;$L128&amp;CHAR(10)&amp;CHAR(10),"")&amp;
IF($M128&lt;&gt;"","Stops (in order) "&amp;CHAR(10)&amp;$M128&amp;CHAR(10)&amp;CHAR(10),"")&amp;
IF($N128&lt;&gt;"","To-Do (hard requirements) "&amp;CHAR(10)&amp;$N128&amp;CHAR(10)&amp;CHAR(10),"")&amp;
IF($O128&lt;&gt;"","Suggested Timeline "&amp;CHAR(10)&amp;$O128&amp;CHAR(10)&amp;CHAR(10),"")&amp;
IF($P128&lt;&gt;"","Guardrails "&amp;CHAR(10)&amp;$P128&amp;CHAR(10)&amp;CHAR(10),"")&amp;
IF($Q128&lt;&gt;"","Completion signals "&amp;CHAR(10)&amp;$Q128,"")</f>
        <v/>
      </c>
      <c r="S128" s="25" t="n"/>
      <c r="T128" s="25" t="n"/>
      <c r="U128" s="54" t="n"/>
      <c r="V128" s="54">
        <f>IF($B128="","",IF(_xludf.TEXTJOIN(" | ",TRUE,IF($B128="","Missing Title",""),IF($C128="","Missing Date",""),IF($D128="","Missing Start",""),IF($E128="","Missing End",""),IF($G128="","Missing Required Attendees",""),IF($T128="","Missing Status",""),IF(AND($D128&lt;&gt;"",$E128&lt;&gt;"",$D128&gt;=$E128),"Start&gt;=End",""),IF(OR($R128="",LEN($R128)&lt;60,ISNUMBER(MATCH(TRIM($R128),StatusList,0))),"Body overwritten/short",""))="","OK",_xludf.TEXTJOIN(" | ",TRUE,IF($B128="","Missing Title",""),IF($C128="","Missing Date",""),IF($D128="","Missing Start",""),IF($E128="","Missing End",""),IF($G128="","Missing Required Attendees",""),IF($T128="","Missing Status",""),IF(AND($D128&lt;&gt;"",$E128&lt;&gt;"",$D128&gt;=$E128),"Start&gt;=End",""),IF(OR($R128="",LEN($R128)&lt;60,ISNUMBER(MATCH(TRIM($R128),StatusList,0))),"Body overwritten/short",""))))</f>
        <v/>
      </c>
    </row>
    <row r="129" ht="15" customHeight="1">
      <c r="A129" s="12">
        <f>IF(AND($B129&lt;&gt;"",$C129&lt;&gt;"",$D129&lt;&gt;"",$E129&lt;&gt;"",$G129&lt;&gt;""),
UPPER(
LEFT(TRIM(LEFT($G129,IFERROR(FIND(";",$G129)-1,999))),1)&amp;
IFERROR(
MID(TRIM(LEFT($G129,IFERROR(FIND(";",$G129)-1,999))),
FIND(" ",TRIM(LEFT($G129,IFERROR(FIND(";",$G129)-1,999))))+1,1),
MID(TRIM(LEFT($G129,IFERROR(FIND(";",$G129)-1,999))),2,1)
)
)&amp;"-"&amp;TEXT($C129,"yyyy-mm-dd"),
"")</f>
        <v/>
      </c>
      <c r="B129" s="25" t="n"/>
      <c r="C129" s="80" t="n"/>
      <c r="D129" s="77" t="n"/>
      <c r="E129" s="77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16">
        <f>IF($L129&lt;&gt;"","Purpose "&amp;CHAR(10)&amp;$L129&amp;CHAR(10)&amp;CHAR(10),"")&amp;
IF($M129&lt;&gt;"","Stops (in order) "&amp;CHAR(10)&amp;$M129&amp;CHAR(10)&amp;CHAR(10),"")&amp;
IF($N129&lt;&gt;"","To-Do (hard requirements) "&amp;CHAR(10)&amp;$N129&amp;CHAR(10)&amp;CHAR(10),"")&amp;
IF($O129&lt;&gt;"","Suggested Timeline "&amp;CHAR(10)&amp;$O129&amp;CHAR(10)&amp;CHAR(10),"")&amp;
IF($P129&lt;&gt;"","Guardrails "&amp;CHAR(10)&amp;$P129&amp;CHAR(10)&amp;CHAR(10),"")&amp;
IF($Q129&lt;&gt;"","Completion signals "&amp;CHAR(10)&amp;$Q129,"")</f>
        <v/>
      </c>
      <c r="S129" s="25" t="n"/>
      <c r="T129" s="25" t="n"/>
      <c r="U129" s="54" t="n"/>
      <c r="V129" s="54">
        <f>IF($B129="","",IF(_xludf.TEXTJOIN(" | ",TRUE,IF($B129="","Missing Title",""),IF($C129="","Missing Date",""),IF($D129="","Missing Start",""),IF($E129="","Missing End",""),IF($G129="","Missing Required Attendees",""),IF($T129="","Missing Status",""),IF(AND($D129&lt;&gt;"",$E129&lt;&gt;"",$D129&gt;=$E129),"Start&gt;=End",""),IF(OR($R129="",LEN($R129)&lt;60,ISNUMBER(MATCH(TRIM($R129),StatusList,0))),"Body overwritten/short",""))="","OK",_xludf.TEXTJOIN(" | ",TRUE,IF($B129="","Missing Title",""),IF($C129="","Missing Date",""),IF($D129="","Missing Start",""),IF($E129="","Missing End",""),IF($G129="","Missing Required Attendees",""),IF($T129="","Missing Status",""),IF(AND($D129&lt;&gt;"",$E129&lt;&gt;"",$D129&gt;=$E129),"Start&gt;=End",""),IF(OR($R129="",LEN($R129)&lt;60,ISNUMBER(MATCH(TRIM($R129),StatusList,0))),"Body overwritten/short",""))))</f>
        <v/>
      </c>
    </row>
    <row r="130" ht="15" customHeight="1">
      <c r="A130" s="12">
        <f>IF(AND($B130&lt;&gt;"",$C130&lt;&gt;"",$D130&lt;&gt;"",$E130&lt;&gt;"",$G130&lt;&gt;""),
UPPER(
LEFT(TRIM(LEFT($G130,IFERROR(FIND(";",$G130)-1,999))),1)&amp;
IFERROR(
MID(TRIM(LEFT($G130,IFERROR(FIND(";",$G130)-1,999))),
FIND(" ",TRIM(LEFT($G130,IFERROR(FIND(";",$G130)-1,999))))+1,1),
MID(TRIM(LEFT($G130,IFERROR(FIND(";",$G130)-1,999))),2,1)
)
)&amp;"-"&amp;TEXT($C130,"yyyy-mm-dd"),
"")</f>
        <v/>
      </c>
      <c r="B130" s="25" t="n"/>
      <c r="C130" s="80" t="n"/>
      <c r="D130" s="77" t="n"/>
      <c r="E130" s="77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16">
        <f>IF($L130&lt;&gt;"","Purpose "&amp;CHAR(10)&amp;$L130&amp;CHAR(10)&amp;CHAR(10),"")&amp;
IF($M130&lt;&gt;"","Stops (in order) "&amp;CHAR(10)&amp;$M130&amp;CHAR(10)&amp;CHAR(10),"")&amp;
IF($N130&lt;&gt;"","To-Do (hard requirements) "&amp;CHAR(10)&amp;$N130&amp;CHAR(10)&amp;CHAR(10),"")&amp;
IF($O130&lt;&gt;"","Suggested Timeline "&amp;CHAR(10)&amp;$O130&amp;CHAR(10)&amp;CHAR(10),"")&amp;
IF($P130&lt;&gt;"","Guardrails "&amp;CHAR(10)&amp;$P130&amp;CHAR(10)&amp;CHAR(10),"")&amp;
IF($Q130&lt;&gt;"","Completion signals "&amp;CHAR(10)&amp;$Q130,"")</f>
        <v/>
      </c>
      <c r="S130" s="25" t="n"/>
      <c r="T130" s="25" t="n"/>
      <c r="U130" s="54" t="n"/>
      <c r="V130" s="54">
        <f>IF($B130="","",IF(_xludf.TEXTJOIN(" | ",TRUE,IF($B130="","Missing Title",""),IF($C130="","Missing Date",""),IF($D130="","Missing Start",""),IF($E130="","Missing End",""),IF($G130="","Missing Required Attendees",""),IF($T130="","Missing Status",""),IF(AND($D130&lt;&gt;"",$E130&lt;&gt;"",$D130&gt;=$E130),"Start&gt;=End",""),IF(OR($R130="",LEN($R130)&lt;60,ISNUMBER(MATCH(TRIM($R130),StatusList,0))),"Body overwritten/short",""))="","OK",_xludf.TEXTJOIN(" | ",TRUE,IF($B130="","Missing Title",""),IF($C130="","Missing Date",""),IF($D130="","Missing Start",""),IF($E130="","Missing End",""),IF($G130="","Missing Required Attendees",""),IF($T130="","Missing Status",""),IF(AND($D130&lt;&gt;"",$E130&lt;&gt;"",$D130&gt;=$E130),"Start&gt;=End",""),IF(OR($R130="",LEN($R130)&lt;60,ISNUMBER(MATCH(TRIM($R130),StatusList,0))),"Body overwritten/short",""))))</f>
        <v/>
      </c>
    </row>
    <row r="131" ht="15" customHeight="1">
      <c r="A131" s="12">
        <f>IF(AND($B131&lt;&gt;"",$C131&lt;&gt;"",$D131&lt;&gt;"",$E131&lt;&gt;"",$G131&lt;&gt;""),
UPPER(
LEFT(TRIM(LEFT($G131,IFERROR(FIND(";",$G131)-1,999))),1)&amp;
IFERROR(
MID(TRIM(LEFT($G131,IFERROR(FIND(";",$G131)-1,999))),
FIND(" ",TRIM(LEFT($G131,IFERROR(FIND(";",$G131)-1,999))))+1,1),
MID(TRIM(LEFT($G131,IFERROR(FIND(";",$G131)-1,999))),2,1)
)
)&amp;"-"&amp;TEXT($C131,"yyyy-mm-dd"),
"")</f>
        <v/>
      </c>
      <c r="B131" s="25" t="n"/>
      <c r="C131" s="80" t="n"/>
      <c r="D131" s="77" t="n"/>
      <c r="E131" s="77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16">
        <f>IF($L131&lt;&gt;"","Purpose "&amp;CHAR(10)&amp;$L131&amp;CHAR(10)&amp;CHAR(10),"")&amp;
IF($M131&lt;&gt;"","Stops (in order) "&amp;CHAR(10)&amp;$M131&amp;CHAR(10)&amp;CHAR(10),"")&amp;
IF($N131&lt;&gt;"","To-Do (hard requirements) "&amp;CHAR(10)&amp;$N131&amp;CHAR(10)&amp;CHAR(10),"")&amp;
IF($O131&lt;&gt;"","Suggested Timeline "&amp;CHAR(10)&amp;$O131&amp;CHAR(10)&amp;CHAR(10),"")&amp;
IF($P131&lt;&gt;"","Guardrails "&amp;CHAR(10)&amp;$P131&amp;CHAR(10)&amp;CHAR(10),"")&amp;
IF($Q131&lt;&gt;"","Completion signals "&amp;CHAR(10)&amp;$Q131,"")</f>
        <v/>
      </c>
      <c r="S131" s="25" t="n"/>
      <c r="T131" s="25" t="n"/>
      <c r="U131" s="54" t="n"/>
      <c r="V131" s="54">
        <f>IF($B131="","",IF(_xludf.TEXTJOIN(" | ",TRUE,IF($B131="","Missing Title",""),IF($C131="","Missing Date",""),IF($D131="","Missing Start",""),IF($E131="","Missing End",""),IF($G131="","Missing Required Attendees",""),IF($T131="","Missing Status",""),IF(AND($D131&lt;&gt;"",$E131&lt;&gt;"",$D131&gt;=$E131),"Start&gt;=End",""),IF(OR($R131="",LEN($R131)&lt;60,ISNUMBER(MATCH(TRIM($R131),StatusList,0))),"Body overwritten/short",""))="","OK",_xludf.TEXTJOIN(" | ",TRUE,IF($B131="","Missing Title",""),IF($C131="","Missing Date",""),IF($D131="","Missing Start",""),IF($E131="","Missing End",""),IF($G131="","Missing Required Attendees",""),IF($T131="","Missing Status",""),IF(AND($D131&lt;&gt;"",$E131&lt;&gt;"",$D131&gt;=$E131),"Start&gt;=End",""),IF(OR($R131="",LEN($R131)&lt;60,ISNUMBER(MATCH(TRIM($R131),StatusList,0))),"Body overwritten/short",""))))</f>
        <v/>
      </c>
    </row>
    <row r="132" ht="15" customHeight="1">
      <c r="A132" s="12">
        <f>IF(AND($B132&lt;&gt;"",$C132&lt;&gt;"",$D132&lt;&gt;"",$E132&lt;&gt;"",$G132&lt;&gt;""),
UPPER(
LEFT(TRIM(LEFT($G132,IFERROR(FIND(";",$G132)-1,999))),1)&amp;
IFERROR(
MID(TRIM(LEFT($G132,IFERROR(FIND(";",$G132)-1,999))),
FIND(" ",TRIM(LEFT($G132,IFERROR(FIND(";",$G132)-1,999))))+1,1),
MID(TRIM(LEFT($G132,IFERROR(FIND(";",$G132)-1,999))),2,1)
)
)&amp;"-"&amp;TEXT($C132,"yyyy-mm-dd"),
"")</f>
        <v/>
      </c>
      <c r="B132" s="25" t="n"/>
      <c r="C132" s="80" t="n"/>
      <c r="D132" s="77" t="n"/>
      <c r="E132" s="77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16">
        <f>IF($L132&lt;&gt;"","Purpose "&amp;CHAR(10)&amp;$L132&amp;CHAR(10)&amp;CHAR(10),"")&amp;
IF($M132&lt;&gt;"","Stops (in order) "&amp;CHAR(10)&amp;$M132&amp;CHAR(10)&amp;CHAR(10),"")&amp;
IF($N132&lt;&gt;"","To-Do (hard requirements) "&amp;CHAR(10)&amp;$N132&amp;CHAR(10)&amp;CHAR(10),"")&amp;
IF($O132&lt;&gt;"","Suggested Timeline "&amp;CHAR(10)&amp;$O132&amp;CHAR(10)&amp;CHAR(10),"")&amp;
IF($P132&lt;&gt;"","Guardrails "&amp;CHAR(10)&amp;$P132&amp;CHAR(10)&amp;CHAR(10),"")&amp;
IF($Q132&lt;&gt;"","Completion signals "&amp;CHAR(10)&amp;$Q132,"")</f>
        <v/>
      </c>
      <c r="S132" s="25" t="n"/>
      <c r="T132" s="25" t="n"/>
      <c r="U132" s="54" t="n"/>
      <c r="V132" s="54">
        <f>IF($B132="","",IF(_xludf.TEXTJOIN(" | ",TRUE,IF($B132="","Missing Title",""),IF($C132="","Missing Date",""),IF($D132="","Missing Start",""),IF($E132="","Missing End",""),IF($G132="","Missing Required Attendees",""),IF($T132="","Missing Status",""),IF(AND($D132&lt;&gt;"",$E132&lt;&gt;"",$D132&gt;=$E132),"Start&gt;=End",""),IF(OR($R132="",LEN($R132)&lt;60,ISNUMBER(MATCH(TRIM($R132),StatusList,0))),"Body overwritten/short",""))="","OK",_xludf.TEXTJOIN(" | ",TRUE,IF($B132="","Missing Title",""),IF($C132="","Missing Date",""),IF($D132="","Missing Start",""),IF($E132="","Missing End",""),IF($G132="","Missing Required Attendees",""),IF($T132="","Missing Status",""),IF(AND($D132&lt;&gt;"",$E132&lt;&gt;"",$D132&gt;=$E132),"Start&gt;=End",""),IF(OR($R132="",LEN($R132)&lt;60,ISNUMBER(MATCH(TRIM($R132),StatusList,0))),"Body overwritten/short",""))))</f>
        <v/>
      </c>
    </row>
    <row r="133" ht="15" customHeight="1">
      <c r="A133" s="12">
        <f>IF(AND($B133&lt;&gt;"",$C133&lt;&gt;"",$D133&lt;&gt;"",$E133&lt;&gt;"",$G133&lt;&gt;""),
UPPER(
LEFT(TRIM(LEFT($G133,IFERROR(FIND(";",$G133)-1,999))),1)&amp;
IFERROR(
MID(TRIM(LEFT($G133,IFERROR(FIND(";",$G133)-1,999))),
FIND(" ",TRIM(LEFT($G133,IFERROR(FIND(";",$G133)-1,999))))+1,1),
MID(TRIM(LEFT($G133,IFERROR(FIND(";",$G133)-1,999))),2,1)
)
)&amp;"-"&amp;TEXT($C133,"yyyy-mm-dd"),
"")</f>
        <v/>
      </c>
      <c r="B133" s="25" t="n"/>
      <c r="C133" s="80" t="n"/>
      <c r="D133" s="77" t="n"/>
      <c r="E133" s="77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16">
        <f>IF($L133&lt;&gt;"","Purpose "&amp;CHAR(10)&amp;$L133&amp;CHAR(10)&amp;CHAR(10),"")&amp;
IF($M133&lt;&gt;"","Stops (in order) "&amp;CHAR(10)&amp;$M133&amp;CHAR(10)&amp;CHAR(10),"")&amp;
IF($N133&lt;&gt;"","To-Do (hard requirements) "&amp;CHAR(10)&amp;$N133&amp;CHAR(10)&amp;CHAR(10),"")&amp;
IF($O133&lt;&gt;"","Suggested Timeline "&amp;CHAR(10)&amp;$O133&amp;CHAR(10)&amp;CHAR(10),"")&amp;
IF($P133&lt;&gt;"","Guardrails "&amp;CHAR(10)&amp;$P133&amp;CHAR(10)&amp;CHAR(10),"")&amp;
IF($Q133&lt;&gt;"","Completion signals "&amp;CHAR(10)&amp;$Q133,"")</f>
        <v/>
      </c>
      <c r="S133" s="25" t="n"/>
      <c r="T133" s="25" t="n"/>
      <c r="U133" s="54" t="n"/>
      <c r="V133" s="54">
        <f>IF($B133="","",IF(_xludf.TEXTJOIN(" | ",TRUE,IF($B133="","Missing Title",""),IF($C133="","Missing Date",""),IF($D133="","Missing Start",""),IF($E133="","Missing End",""),IF($G133="","Missing Required Attendees",""),IF($T133="","Missing Status",""),IF(AND($D133&lt;&gt;"",$E133&lt;&gt;"",$D133&gt;=$E133),"Start&gt;=End",""),IF(OR($R133="",LEN($R133)&lt;60,ISNUMBER(MATCH(TRIM($R133),StatusList,0))),"Body overwritten/short",""))="","OK",_xludf.TEXTJOIN(" | ",TRUE,IF($B133="","Missing Title",""),IF($C133="","Missing Date",""),IF($D133="","Missing Start",""),IF($E133="","Missing End",""),IF($G133="","Missing Required Attendees",""),IF($T133="","Missing Status",""),IF(AND($D133&lt;&gt;"",$E133&lt;&gt;"",$D133&gt;=$E133),"Start&gt;=End",""),IF(OR($R133="",LEN($R133)&lt;60,ISNUMBER(MATCH(TRIM($R133),StatusList,0))),"Body overwritten/short",""))))</f>
        <v/>
      </c>
    </row>
    <row r="134" ht="15" customHeight="1">
      <c r="A134" s="12">
        <f>IF(AND($B134&lt;&gt;"",$C134&lt;&gt;"",$D134&lt;&gt;"",$E134&lt;&gt;"",$G134&lt;&gt;""),
UPPER(
LEFT(TRIM(LEFT($G134,IFERROR(FIND(";",$G134)-1,999))),1)&amp;
IFERROR(
MID(TRIM(LEFT($G134,IFERROR(FIND(";",$G134)-1,999))),
FIND(" ",TRIM(LEFT($G134,IFERROR(FIND(";",$G134)-1,999))))+1,1),
MID(TRIM(LEFT($G134,IFERROR(FIND(";",$G134)-1,999))),2,1)
)
)&amp;"-"&amp;TEXT($C134,"yyyy-mm-dd"),
"")</f>
        <v/>
      </c>
      <c r="B134" s="25" t="n"/>
      <c r="C134" s="80" t="n"/>
      <c r="D134" s="77" t="n"/>
      <c r="E134" s="77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16">
        <f>IF($L134&lt;&gt;"","Purpose "&amp;CHAR(10)&amp;$L134&amp;CHAR(10)&amp;CHAR(10),"")&amp;
IF($M134&lt;&gt;"","Stops (in order) "&amp;CHAR(10)&amp;$M134&amp;CHAR(10)&amp;CHAR(10),"")&amp;
IF($N134&lt;&gt;"","To-Do (hard requirements) "&amp;CHAR(10)&amp;$N134&amp;CHAR(10)&amp;CHAR(10),"")&amp;
IF($O134&lt;&gt;"","Suggested Timeline "&amp;CHAR(10)&amp;$O134&amp;CHAR(10)&amp;CHAR(10),"")&amp;
IF($P134&lt;&gt;"","Guardrails "&amp;CHAR(10)&amp;$P134&amp;CHAR(10)&amp;CHAR(10),"")&amp;
IF($Q134&lt;&gt;"","Completion signals "&amp;CHAR(10)&amp;$Q134,"")</f>
        <v/>
      </c>
      <c r="S134" s="25" t="n"/>
      <c r="T134" s="25" t="n"/>
      <c r="U134" s="54" t="n"/>
      <c r="V134" s="54">
        <f>IF($B134="","",IF(_xludf.TEXTJOIN(" | ",TRUE,IF($B134="","Missing Title",""),IF($C134="","Missing Date",""),IF($D134="","Missing Start",""),IF($E134="","Missing End",""),IF($G134="","Missing Required Attendees",""),IF($T134="","Missing Status",""),IF(AND($D134&lt;&gt;"",$E134&lt;&gt;"",$D134&gt;=$E134),"Start&gt;=End",""),IF(OR($R134="",LEN($R134)&lt;60,ISNUMBER(MATCH(TRIM($R134),StatusList,0))),"Body overwritten/short",""))="","OK",_xludf.TEXTJOIN(" | ",TRUE,IF($B134="","Missing Title",""),IF($C134="","Missing Date",""),IF($D134="","Missing Start",""),IF($E134="","Missing End",""),IF($G134="","Missing Required Attendees",""),IF($T134="","Missing Status",""),IF(AND($D134&lt;&gt;"",$E134&lt;&gt;"",$D134&gt;=$E134),"Start&gt;=End",""),IF(OR($R134="",LEN($R134)&lt;60,ISNUMBER(MATCH(TRIM($R134),StatusList,0))),"Body overwritten/short",""))))</f>
        <v/>
      </c>
    </row>
    <row r="135" ht="15" customHeight="1">
      <c r="A135" s="12">
        <f>IF(AND($B135&lt;&gt;"",$C135&lt;&gt;"",$D135&lt;&gt;"",$E135&lt;&gt;"",$G135&lt;&gt;""),
UPPER(
LEFT(TRIM(LEFT($G135,IFERROR(FIND(";",$G135)-1,999))),1)&amp;
IFERROR(
MID(TRIM(LEFT($G135,IFERROR(FIND(";",$G135)-1,999))),
FIND(" ",TRIM(LEFT($G135,IFERROR(FIND(";",$G135)-1,999))))+1,1),
MID(TRIM(LEFT($G135,IFERROR(FIND(";",$G135)-1,999))),2,1)
)
)&amp;"-"&amp;TEXT($C135,"yyyy-mm-dd"),
"")</f>
        <v/>
      </c>
      <c r="B135" s="25" t="n"/>
      <c r="C135" s="80" t="n"/>
      <c r="D135" s="77" t="n"/>
      <c r="E135" s="77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16">
        <f>IF($L135&lt;&gt;"","Purpose "&amp;CHAR(10)&amp;$L135&amp;CHAR(10)&amp;CHAR(10),"")&amp;
IF($M135&lt;&gt;"","Stops (in order) "&amp;CHAR(10)&amp;$M135&amp;CHAR(10)&amp;CHAR(10),"")&amp;
IF($N135&lt;&gt;"","To-Do (hard requirements) "&amp;CHAR(10)&amp;$N135&amp;CHAR(10)&amp;CHAR(10),"")&amp;
IF($O135&lt;&gt;"","Suggested Timeline "&amp;CHAR(10)&amp;$O135&amp;CHAR(10)&amp;CHAR(10),"")&amp;
IF($P135&lt;&gt;"","Guardrails "&amp;CHAR(10)&amp;$P135&amp;CHAR(10)&amp;CHAR(10),"")&amp;
IF($Q135&lt;&gt;"","Completion signals "&amp;CHAR(10)&amp;$Q135,"")</f>
        <v/>
      </c>
      <c r="S135" s="25" t="n"/>
      <c r="T135" s="25" t="n"/>
      <c r="U135" s="54" t="n"/>
      <c r="V135" s="54">
        <f>IF($B135="","",IF(_xludf.TEXTJOIN(" | ",TRUE,IF($B135="","Missing Title",""),IF($C135="","Missing Date",""),IF($D135="","Missing Start",""),IF($E135="","Missing End",""),IF($G135="","Missing Required Attendees",""),IF($T135="","Missing Status",""),IF(AND($D135&lt;&gt;"",$E135&lt;&gt;"",$D135&gt;=$E135),"Start&gt;=End",""),IF(OR($R135="",LEN($R135)&lt;60,ISNUMBER(MATCH(TRIM($R135),StatusList,0))),"Body overwritten/short",""))="","OK",_xludf.TEXTJOIN(" | ",TRUE,IF($B135="","Missing Title",""),IF($C135="","Missing Date",""),IF($D135="","Missing Start",""),IF($E135="","Missing End",""),IF($G135="","Missing Required Attendees",""),IF($T135="","Missing Status",""),IF(AND($D135&lt;&gt;"",$E135&lt;&gt;"",$D135&gt;=$E135),"Start&gt;=End",""),IF(OR($R135="",LEN($R135)&lt;60,ISNUMBER(MATCH(TRIM($R135),StatusList,0))),"Body overwritten/short",""))))</f>
        <v/>
      </c>
    </row>
    <row r="136" ht="15" customHeight="1">
      <c r="A136" s="12">
        <f>IF(AND($B136&lt;&gt;"",$C136&lt;&gt;"",$D136&lt;&gt;"",$E136&lt;&gt;"",$G136&lt;&gt;""),
UPPER(
LEFT(TRIM(LEFT($G136,IFERROR(FIND(";",$G136)-1,999))),1)&amp;
IFERROR(
MID(TRIM(LEFT($G136,IFERROR(FIND(";",$G136)-1,999))),
FIND(" ",TRIM(LEFT($G136,IFERROR(FIND(";",$G136)-1,999))))+1,1),
MID(TRIM(LEFT($G136,IFERROR(FIND(";",$G136)-1,999))),2,1)
)
)&amp;"-"&amp;TEXT($C136,"yyyy-mm-dd"),
"")</f>
        <v/>
      </c>
      <c r="B136" s="25" t="n"/>
      <c r="C136" s="80" t="n"/>
      <c r="D136" s="77" t="n"/>
      <c r="E136" s="77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16">
        <f>IF($L136&lt;&gt;"","Purpose "&amp;CHAR(10)&amp;$L136&amp;CHAR(10)&amp;CHAR(10),"")&amp;
IF($M136&lt;&gt;"","Stops (in order) "&amp;CHAR(10)&amp;$M136&amp;CHAR(10)&amp;CHAR(10),"")&amp;
IF($N136&lt;&gt;"","To-Do (hard requirements) "&amp;CHAR(10)&amp;$N136&amp;CHAR(10)&amp;CHAR(10),"")&amp;
IF($O136&lt;&gt;"","Suggested Timeline "&amp;CHAR(10)&amp;$O136&amp;CHAR(10)&amp;CHAR(10),"")&amp;
IF($P136&lt;&gt;"","Guardrails "&amp;CHAR(10)&amp;$P136&amp;CHAR(10)&amp;CHAR(10),"")&amp;
IF($Q136&lt;&gt;"","Completion signals "&amp;CHAR(10)&amp;$Q136,"")</f>
        <v/>
      </c>
      <c r="S136" s="25" t="n"/>
      <c r="T136" s="25" t="n"/>
      <c r="U136" s="54" t="n"/>
      <c r="V136" s="54">
        <f>IF($B136="","",IF(_xludf.TEXTJOIN(" | ",TRUE,IF($B136="","Missing Title",""),IF($C136="","Missing Date",""),IF($D136="","Missing Start",""),IF($E136="","Missing End",""),IF($G136="","Missing Required Attendees",""),IF($T136="","Missing Status",""),IF(AND($D136&lt;&gt;"",$E136&lt;&gt;"",$D136&gt;=$E136),"Start&gt;=End",""),IF(OR($R136="",LEN($R136)&lt;60,ISNUMBER(MATCH(TRIM($R136),StatusList,0))),"Body overwritten/short",""))="","OK",_xludf.TEXTJOIN(" | ",TRUE,IF($B136="","Missing Title",""),IF($C136="","Missing Date",""),IF($D136="","Missing Start",""),IF($E136="","Missing End",""),IF($G136="","Missing Required Attendees",""),IF($T136="","Missing Status",""),IF(AND($D136&lt;&gt;"",$E136&lt;&gt;"",$D136&gt;=$E136),"Start&gt;=End",""),IF(OR($R136="",LEN($R136)&lt;60,ISNUMBER(MATCH(TRIM($R136),StatusList,0))),"Body overwritten/short",""))))</f>
        <v/>
      </c>
    </row>
    <row r="137" ht="15" customHeight="1">
      <c r="A137" s="12">
        <f>IF(AND($B137&lt;&gt;"",$C137&lt;&gt;"",$D137&lt;&gt;"",$E137&lt;&gt;"",$G137&lt;&gt;""),
UPPER(
LEFT(TRIM(LEFT($G137,IFERROR(FIND(";",$G137)-1,999))),1)&amp;
IFERROR(
MID(TRIM(LEFT($G137,IFERROR(FIND(";",$G137)-1,999))),
FIND(" ",TRIM(LEFT($G137,IFERROR(FIND(";",$G137)-1,999))))+1,1),
MID(TRIM(LEFT($G137,IFERROR(FIND(";",$G137)-1,999))),2,1)
)
)&amp;"-"&amp;TEXT($C137,"yyyy-mm-dd"),
"")</f>
        <v/>
      </c>
      <c r="B137" s="25" t="n"/>
      <c r="C137" s="80" t="n"/>
      <c r="D137" s="77" t="n"/>
      <c r="E137" s="77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16">
        <f>IF($L137&lt;&gt;"","Purpose "&amp;CHAR(10)&amp;$L137&amp;CHAR(10)&amp;CHAR(10),"")&amp;
IF($M137&lt;&gt;"","Stops (in order) "&amp;CHAR(10)&amp;$M137&amp;CHAR(10)&amp;CHAR(10),"")&amp;
IF($N137&lt;&gt;"","To-Do (hard requirements) "&amp;CHAR(10)&amp;$N137&amp;CHAR(10)&amp;CHAR(10),"")&amp;
IF($O137&lt;&gt;"","Suggested Timeline "&amp;CHAR(10)&amp;$O137&amp;CHAR(10)&amp;CHAR(10),"")&amp;
IF($P137&lt;&gt;"","Guardrails "&amp;CHAR(10)&amp;$P137&amp;CHAR(10)&amp;CHAR(10),"")&amp;
IF($Q137&lt;&gt;"","Completion signals "&amp;CHAR(10)&amp;$Q137,"")</f>
        <v/>
      </c>
      <c r="S137" s="25" t="n"/>
      <c r="T137" s="25" t="n"/>
      <c r="U137" s="54" t="n"/>
      <c r="V137" s="54">
        <f>IF($B137="","",IF(_xludf.TEXTJOIN(" | ",TRUE,IF($B137="","Missing Title",""),IF($C137="","Missing Date",""),IF($D137="","Missing Start",""),IF($E137="","Missing End",""),IF($G137="","Missing Required Attendees",""),IF($T137="","Missing Status",""),IF(AND($D137&lt;&gt;"",$E137&lt;&gt;"",$D137&gt;=$E137),"Start&gt;=End",""),IF(OR($R137="",LEN($R137)&lt;60,ISNUMBER(MATCH(TRIM($R137),StatusList,0))),"Body overwritten/short",""))="","OK",_xludf.TEXTJOIN(" | ",TRUE,IF($B137="","Missing Title",""),IF($C137="","Missing Date",""),IF($D137="","Missing Start",""),IF($E137="","Missing End",""),IF($G137="","Missing Required Attendees",""),IF($T137="","Missing Status",""),IF(AND($D137&lt;&gt;"",$E137&lt;&gt;"",$D137&gt;=$E137),"Start&gt;=End",""),IF(OR($R137="",LEN($R137)&lt;60,ISNUMBER(MATCH(TRIM($R137),StatusList,0))),"Body overwritten/short",""))))</f>
        <v/>
      </c>
    </row>
    <row r="138" ht="15" customHeight="1">
      <c r="A138" s="12">
        <f>IF(AND($B138&lt;&gt;"",$C138&lt;&gt;"",$D138&lt;&gt;"",$E138&lt;&gt;"",$G138&lt;&gt;""),
UPPER(
LEFT(TRIM(LEFT($G138,IFERROR(FIND(";",$G138)-1,999))),1)&amp;
IFERROR(
MID(TRIM(LEFT($G138,IFERROR(FIND(";",$G138)-1,999))),
FIND(" ",TRIM(LEFT($G138,IFERROR(FIND(";",$G138)-1,999))))+1,1),
MID(TRIM(LEFT($G138,IFERROR(FIND(";",$G138)-1,999))),2,1)
)
)&amp;"-"&amp;TEXT($C138,"yyyy-mm-dd"),
"")</f>
        <v/>
      </c>
      <c r="B138" s="25" t="n"/>
      <c r="C138" s="80" t="n"/>
      <c r="D138" s="77" t="n"/>
      <c r="E138" s="77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16">
        <f>IF($L138&lt;&gt;"","Purpose "&amp;CHAR(10)&amp;$L138&amp;CHAR(10)&amp;CHAR(10),"")&amp;
IF($M138&lt;&gt;"","Stops (in order) "&amp;CHAR(10)&amp;$M138&amp;CHAR(10)&amp;CHAR(10),"")&amp;
IF($N138&lt;&gt;"","To-Do (hard requirements) "&amp;CHAR(10)&amp;$N138&amp;CHAR(10)&amp;CHAR(10),"")&amp;
IF($O138&lt;&gt;"","Suggested Timeline "&amp;CHAR(10)&amp;$O138&amp;CHAR(10)&amp;CHAR(10),"")&amp;
IF($P138&lt;&gt;"","Guardrails "&amp;CHAR(10)&amp;$P138&amp;CHAR(10)&amp;CHAR(10),"")&amp;
IF($Q138&lt;&gt;"","Completion signals "&amp;CHAR(10)&amp;$Q138,"")</f>
        <v/>
      </c>
      <c r="S138" s="25" t="n"/>
      <c r="T138" s="25" t="n"/>
      <c r="U138" s="54" t="n"/>
      <c r="V138" s="54">
        <f>IF($B138="","",IF(_xludf.TEXTJOIN(" | ",TRUE,IF($B138="","Missing Title",""),IF($C138="","Missing Date",""),IF($D138="","Missing Start",""),IF($E138="","Missing End",""),IF($G138="","Missing Required Attendees",""),IF($T138="","Missing Status",""),IF(AND($D138&lt;&gt;"",$E138&lt;&gt;"",$D138&gt;=$E138),"Start&gt;=End",""),IF(OR($R138="",LEN($R138)&lt;60,ISNUMBER(MATCH(TRIM($R138),StatusList,0))),"Body overwritten/short",""))="","OK",_xludf.TEXTJOIN(" | ",TRUE,IF($B138="","Missing Title",""),IF($C138="","Missing Date",""),IF($D138="","Missing Start",""),IF($E138="","Missing End",""),IF($G138="","Missing Required Attendees",""),IF($T138="","Missing Status",""),IF(AND($D138&lt;&gt;"",$E138&lt;&gt;"",$D138&gt;=$E138),"Start&gt;=End",""),IF(OR($R138="",LEN($R138)&lt;60,ISNUMBER(MATCH(TRIM($R138),StatusList,0))),"Body overwritten/short",""))))</f>
        <v/>
      </c>
    </row>
    <row r="139" ht="15" customHeight="1">
      <c r="A139" s="12">
        <f>IF(AND($B139&lt;&gt;"",$C139&lt;&gt;"",$D139&lt;&gt;"",$E139&lt;&gt;"",$G139&lt;&gt;""),
UPPER(
LEFT(TRIM(LEFT($G139,IFERROR(FIND(";",$G139)-1,999))),1)&amp;
IFERROR(
MID(TRIM(LEFT($G139,IFERROR(FIND(";",$G139)-1,999))),
FIND(" ",TRIM(LEFT($G139,IFERROR(FIND(";",$G139)-1,999))))+1,1),
MID(TRIM(LEFT($G139,IFERROR(FIND(";",$G139)-1,999))),2,1)
)
)&amp;"-"&amp;TEXT($C139,"yyyy-mm-dd"),
"")</f>
        <v/>
      </c>
      <c r="B139" s="25" t="n"/>
      <c r="C139" s="80" t="n"/>
      <c r="D139" s="77" t="n"/>
      <c r="E139" s="77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16">
        <f>IF($L139&lt;&gt;"","Purpose "&amp;CHAR(10)&amp;$L139&amp;CHAR(10)&amp;CHAR(10),"")&amp;
IF($M139&lt;&gt;"","Stops (in order) "&amp;CHAR(10)&amp;$M139&amp;CHAR(10)&amp;CHAR(10),"")&amp;
IF($N139&lt;&gt;"","To-Do (hard requirements) "&amp;CHAR(10)&amp;$N139&amp;CHAR(10)&amp;CHAR(10),"")&amp;
IF($O139&lt;&gt;"","Suggested Timeline "&amp;CHAR(10)&amp;$O139&amp;CHAR(10)&amp;CHAR(10),"")&amp;
IF($P139&lt;&gt;"","Guardrails "&amp;CHAR(10)&amp;$P139&amp;CHAR(10)&amp;CHAR(10),"")&amp;
IF($Q139&lt;&gt;"","Completion signals "&amp;CHAR(10)&amp;$Q139,"")</f>
        <v/>
      </c>
      <c r="S139" s="25" t="n"/>
      <c r="T139" s="25" t="n"/>
      <c r="U139" s="54" t="n"/>
      <c r="V139" s="54">
        <f>IF($B139="","",IF(_xludf.TEXTJOIN(" | ",TRUE,IF($B139="","Missing Title",""),IF($C139="","Missing Date",""),IF($D139="","Missing Start",""),IF($E139="","Missing End",""),IF($G139="","Missing Required Attendees",""),IF($T139="","Missing Status",""),IF(AND($D139&lt;&gt;"",$E139&lt;&gt;"",$D139&gt;=$E139),"Start&gt;=End",""),IF(OR($R139="",LEN($R139)&lt;60,ISNUMBER(MATCH(TRIM($R139),StatusList,0))),"Body overwritten/short",""))="","OK",_xludf.TEXTJOIN(" | ",TRUE,IF($B139="","Missing Title",""),IF($C139="","Missing Date",""),IF($D139="","Missing Start",""),IF($E139="","Missing End",""),IF($G139="","Missing Required Attendees",""),IF($T139="","Missing Status",""),IF(AND($D139&lt;&gt;"",$E139&lt;&gt;"",$D139&gt;=$E139),"Start&gt;=End",""),IF(OR($R139="",LEN($R139)&lt;60,ISNUMBER(MATCH(TRIM($R139),StatusList,0))),"Body overwritten/short",""))))</f>
        <v/>
      </c>
    </row>
    <row r="140" ht="15" customHeight="1">
      <c r="A140" s="12">
        <f>IF(AND($B140&lt;&gt;"",$C140&lt;&gt;"",$D140&lt;&gt;"",$E140&lt;&gt;"",$G140&lt;&gt;""),
UPPER(
LEFT(TRIM(LEFT($G140,IFERROR(FIND(";",$G140)-1,999))),1)&amp;
IFERROR(
MID(TRIM(LEFT($G140,IFERROR(FIND(";",$G140)-1,999))),
FIND(" ",TRIM(LEFT($G140,IFERROR(FIND(";",$G140)-1,999))))+1,1),
MID(TRIM(LEFT($G140,IFERROR(FIND(";",$G140)-1,999))),2,1)
)
)&amp;"-"&amp;TEXT($C140,"yyyy-mm-dd"),
"")</f>
        <v/>
      </c>
      <c r="B140" s="25" t="n"/>
      <c r="C140" s="80" t="n"/>
      <c r="D140" s="77" t="n"/>
      <c r="E140" s="77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16">
        <f>IF($L140&lt;&gt;"","Purpose "&amp;CHAR(10)&amp;$L140&amp;CHAR(10)&amp;CHAR(10),"")&amp;
IF($M140&lt;&gt;"","Stops (in order) "&amp;CHAR(10)&amp;$M140&amp;CHAR(10)&amp;CHAR(10),"")&amp;
IF($N140&lt;&gt;"","To-Do (hard requirements) "&amp;CHAR(10)&amp;$N140&amp;CHAR(10)&amp;CHAR(10),"")&amp;
IF($O140&lt;&gt;"","Suggested Timeline "&amp;CHAR(10)&amp;$O140&amp;CHAR(10)&amp;CHAR(10),"")&amp;
IF($P140&lt;&gt;"","Guardrails "&amp;CHAR(10)&amp;$P140&amp;CHAR(10)&amp;CHAR(10),"")&amp;
IF($Q140&lt;&gt;"","Completion signals "&amp;CHAR(10)&amp;$Q140,"")</f>
        <v/>
      </c>
      <c r="S140" s="25" t="n"/>
      <c r="T140" s="25" t="n"/>
      <c r="U140" s="54" t="n"/>
      <c r="V140" s="54">
        <f>IF($B140="","",IF(_xludf.TEXTJOIN(" | ",TRUE,IF($B140="","Missing Title",""),IF($C140="","Missing Date",""),IF($D140="","Missing Start",""),IF($E140="","Missing End",""),IF($G140="","Missing Required Attendees",""),IF($T140="","Missing Status",""),IF(AND($D140&lt;&gt;"",$E140&lt;&gt;"",$D140&gt;=$E140),"Start&gt;=End",""),IF(OR($R140="",LEN($R140)&lt;60,ISNUMBER(MATCH(TRIM($R140),StatusList,0))),"Body overwritten/short",""))="","OK",_xludf.TEXTJOIN(" | ",TRUE,IF($B140="","Missing Title",""),IF($C140="","Missing Date",""),IF($D140="","Missing Start",""),IF($E140="","Missing End",""),IF($G140="","Missing Required Attendees",""),IF($T140="","Missing Status",""),IF(AND($D140&lt;&gt;"",$E140&lt;&gt;"",$D140&gt;=$E140),"Start&gt;=End",""),IF(OR($R140="",LEN($R140)&lt;60,ISNUMBER(MATCH(TRIM($R140),StatusList,0))),"Body overwritten/short",""))))</f>
        <v/>
      </c>
    </row>
    <row r="141" ht="15" customHeight="1">
      <c r="A141" s="12">
        <f>IF(AND($B141&lt;&gt;"",$C141&lt;&gt;"",$D141&lt;&gt;"",$E141&lt;&gt;"",$G141&lt;&gt;""),
UPPER(
LEFT(TRIM(LEFT($G141,IFERROR(FIND(";",$G141)-1,999))),1)&amp;
IFERROR(
MID(TRIM(LEFT($G141,IFERROR(FIND(";",$G141)-1,999))),
FIND(" ",TRIM(LEFT($G141,IFERROR(FIND(";",$G141)-1,999))))+1,1),
MID(TRIM(LEFT($G141,IFERROR(FIND(";",$G141)-1,999))),2,1)
)
)&amp;"-"&amp;TEXT($C141,"yyyy-mm-dd"),
"")</f>
        <v/>
      </c>
      <c r="B141" s="25" t="n"/>
      <c r="C141" s="80" t="n"/>
      <c r="D141" s="77" t="n"/>
      <c r="E141" s="77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16">
        <f>IF($L141&lt;&gt;"","Purpose "&amp;CHAR(10)&amp;$L141&amp;CHAR(10)&amp;CHAR(10),"")&amp;
IF($M141&lt;&gt;"","Stops (in order) "&amp;CHAR(10)&amp;$M141&amp;CHAR(10)&amp;CHAR(10),"")&amp;
IF($N141&lt;&gt;"","To-Do (hard requirements) "&amp;CHAR(10)&amp;$N141&amp;CHAR(10)&amp;CHAR(10),"")&amp;
IF($O141&lt;&gt;"","Suggested Timeline "&amp;CHAR(10)&amp;$O141&amp;CHAR(10)&amp;CHAR(10),"")&amp;
IF($P141&lt;&gt;"","Guardrails "&amp;CHAR(10)&amp;$P141&amp;CHAR(10)&amp;CHAR(10),"")&amp;
IF($Q141&lt;&gt;"","Completion signals "&amp;CHAR(10)&amp;$Q141,"")</f>
        <v/>
      </c>
      <c r="S141" s="25" t="n"/>
      <c r="T141" s="25" t="n"/>
      <c r="U141" s="54" t="n"/>
      <c r="V141" s="54">
        <f>IF($B141="","",IF(_xludf.TEXTJOIN(" | ",TRUE,IF($B141="","Missing Title",""),IF($C141="","Missing Date",""),IF($D141="","Missing Start",""),IF($E141="","Missing End",""),IF($G141="","Missing Required Attendees",""),IF($T141="","Missing Status",""),IF(AND($D141&lt;&gt;"",$E141&lt;&gt;"",$D141&gt;=$E141),"Start&gt;=End",""),IF(OR($R141="",LEN($R141)&lt;60,ISNUMBER(MATCH(TRIM($R141),StatusList,0))),"Body overwritten/short",""))="","OK",_xludf.TEXTJOIN(" | ",TRUE,IF($B141="","Missing Title",""),IF($C141="","Missing Date",""),IF($D141="","Missing Start",""),IF($E141="","Missing End",""),IF($G141="","Missing Required Attendees",""),IF($T141="","Missing Status",""),IF(AND($D141&lt;&gt;"",$E141&lt;&gt;"",$D141&gt;=$E141),"Start&gt;=End",""),IF(OR($R141="",LEN($R141)&lt;60,ISNUMBER(MATCH(TRIM($R141),StatusList,0))),"Body overwritten/short",""))))</f>
        <v/>
      </c>
    </row>
    <row r="142" ht="15" customHeight="1">
      <c r="A142" s="12">
        <f>IF(AND($B142&lt;&gt;"",$C142&lt;&gt;"",$D142&lt;&gt;"",$E142&lt;&gt;"",$G142&lt;&gt;""),
UPPER(
LEFT(TRIM(LEFT($G142,IFERROR(FIND(";",$G142)-1,999))),1)&amp;
IFERROR(
MID(TRIM(LEFT($G142,IFERROR(FIND(";",$G142)-1,999))),
FIND(" ",TRIM(LEFT($G142,IFERROR(FIND(";",$G142)-1,999))))+1,1),
MID(TRIM(LEFT($G142,IFERROR(FIND(";",$G142)-1,999))),2,1)
)
)&amp;"-"&amp;TEXT($C142,"yyyy-mm-dd"),
"")</f>
        <v/>
      </c>
      <c r="B142" s="25" t="n"/>
      <c r="C142" s="80" t="n"/>
      <c r="D142" s="77" t="n"/>
      <c r="E142" s="77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16">
        <f>IF($L142&lt;&gt;"","Purpose "&amp;CHAR(10)&amp;$L142&amp;CHAR(10)&amp;CHAR(10),"")&amp;
IF($M142&lt;&gt;"","Stops (in order) "&amp;CHAR(10)&amp;$M142&amp;CHAR(10)&amp;CHAR(10),"")&amp;
IF($N142&lt;&gt;"","To-Do (hard requirements) "&amp;CHAR(10)&amp;$N142&amp;CHAR(10)&amp;CHAR(10),"")&amp;
IF($O142&lt;&gt;"","Suggested Timeline "&amp;CHAR(10)&amp;$O142&amp;CHAR(10)&amp;CHAR(10),"")&amp;
IF($P142&lt;&gt;"","Guardrails "&amp;CHAR(10)&amp;$P142&amp;CHAR(10)&amp;CHAR(10),"")&amp;
IF($Q142&lt;&gt;"","Completion signals "&amp;CHAR(10)&amp;$Q142,"")</f>
        <v/>
      </c>
      <c r="S142" s="25" t="n"/>
      <c r="T142" s="25" t="n"/>
      <c r="U142" s="54" t="n"/>
      <c r="V142" s="54">
        <f>IF($B142="","",IF(_xludf.TEXTJOIN(" | ",TRUE,IF($B142="","Missing Title",""),IF($C142="","Missing Date",""),IF($D142="","Missing Start",""),IF($E142="","Missing End",""),IF($G142="","Missing Required Attendees",""),IF($T142="","Missing Status",""),IF(AND($D142&lt;&gt;"",$E142&lt;&gt;"",$D142&gt;=$E142),"Start&gt;=End",""),IF(OR($R142="",LEN($R142)&lt;60,ISNUMBER(MATCH(TRIM($R142),StatusList,0))),"Body overwritten/short",""))="","OK",_xludf.TEXTJOIN(" | ",TRUE,IF($B142="","Missing Title",""),IF($C142="","Missing Date",""),IF($D142="","Missing Start",""),IF($E142="","Missing End",""),IF($G142="","Missing Required Attendees",""),IF($T142="","Missing Status",""),IF(AND($D142&lt;&gt;"",$E142&lt;&gt;"",$D142&gt;=$E142),"Start&gt;=End",""),IF(OR($R142="",LEN($R142)&lt;60,ISNUMBER(MATCH(TRIM($R142),StatusList,0))),"Body overwritten/short",""))))</f>
        <v/>
      </c>
    </row>
    <row r="143" ht="15" customHeight="1">
      <c r="A143" s="12">
        <f>IF(AND($B143&lt;&gt;"",$C143&lt;&gt;"",$D143&lt;&gt;"",$E143&lt;&gt;"",$G143&lt;&gt;""),
UPPER(
LEFT(TRIM(LEFT($G143,IFERROR(FIND(";",$G143)-1,999))),1)&amp;
IFERROR(
MID(TRIM(LEFT($G143,IFERROR(FIND(";",$G143)-1,999))),
FIND(" ",TRIM(LEFT($G143,IFERROR(FIND(";",$G143)-1,999))))+1,1),
MID(TRIM(LEFT($G143,IFERROR(FIND(";",$G143)-1,999))),2,1)
)
)&amp;"-"&amp;TEXT($C143,"yyyy-mm-dd"),
"")</f>
        <v/>
      </c>
      <c r="B143" s="25" t="n"/>
      <c r="C143" s="80" t="n"/>
      <c r="D143" s="77" t="n"/>
      <c r="E143" s="77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16">
        <f>IF($L143&lt;&gt;"","Purpose "&amp;CHAR(10)&amp;$L143&amp;CHAR(10)&amp;CHAR(10),"")&amp;
IF($M143&lt;&gt;"","Stops (in order) "&amp;CHAR(10)&amp;$M143&amp;CHAR(10)&amp;CHAR(10),"")&amp;
IF($N143&lt;&gt;"","To-Do (hard requirements) "&amp;CHAR(10)&amp;$N143&amp;CHAR(10)&amp;CHAR(10),"")&amp;
IF($O143&lt;&gt;"","Suggested Timeline "&amp;CHAR(10)&amp;$O143&amp;CHAR(10)&amp;CHAR(10),"")&amp;
IF($P143&lt;&gt;"","Guardrails "&amp;CHAR(10)&amp;$P143&amp;CHAR(10)&amp;CHAR(10),"")&amp;
IF($Q143&lt;&gt;"","Completion signals "&amp;CHAR(10)&amp;$Q143,"")</f>
        <v/>
      </c>
      <c r="S143" s="25" t="n"/>
      <c r="T143" s="25" t="n"/>
      <c r="U143" s="54" t="n"/>
      <c r="V143" s="54">
        <f>IF($B143="","",IF(_xludf.TEXTJOIN(" | ",TRUE,IF($B143="","Missing Title",""),IF($C143="","Missing Date",""),IF($D143="","Missing Start",""),IF($E143="","Missing End",""),IF($G143="","Missing Required Attendees",""),IF($T143="","Missing Status",""),IF(AND($D143&lt;&gt;"",$E143&lt;&gt;"",$D143&gt;=$E143),"Start&gt;=End",""),IF(OR($R143="",LEN($R143)&lt;60,ISNUMBER(MATCH(TRIM($R143),StatusList,0))),"Body overwritten/short",""))="","OK",_xludf.TEXTJOIN(" | ",TRUE,IF($B143="","Missing Title",""),IF($C143="","Missing Date",""),IF($D143="","Missing Start",""),IF($E143="","Missing End",""),IF($G143="","Missing Required Attendees",""),IF($T143="","Missing Status",""),IF(AND($D143&lt;&gt;"",$E143&lt;&gt;"",$D143&gt;=$E143),"Start&gt;=End",""),IF(OR($R143="",LEN($R143)&lt;60,ISNUMBER(MATCH(TRIM($R143),StatusList,0))),"Body overwritten/short",""))))</f>
        <v/>
      </c>
    </row>
    <row r="144" ht="15" customHeight="1">
      <c r="A144" s="12">
        <f>IF(AND($B144&lt;&gt;"",$C144&lt;&gt;"",$D144&lt;&gt;"",$E144&lt;&gt;"",$G144&lt;&gt;""),
UPPER(
LEFT(TRIM(LEFT($G144,IFERROR(FIND(";",$G144)-1,999))),1)&amp;
IFERROR(
MID(TRIM(LEFT($G144,IFERROR(FIND(";",$G144)-1,999))),
FIND(" ",TRIM(LEFT($G144,IFERROR(FIND(";",$G144)-1,999))))+1,1),
MID(TRIM(LEFT($G144,IFERROR(FIND(";",$G144)-1,999))),2,1)
)
)&amp;"-"&amp;TEXT($C144,"yyyy-mm-dd"),
"")</f>
        <v/>
      </c>
      <c r="B144" s="25" t="n"/>
      <c r="C144" s="80" t="n"/>
      <c r="D144" s="77" t="n"/>
      <c r="E144" s="77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16">
        <f>IF($L144&lt;&gt;"","Purpose "&amp;CHAR(10)&amp;$L144&amp;CHAR(10)&amp;CHAR(10),"")&amp;
IF($M144&lt;&gt;"","Stops (in order) "&amp;CHAR(10)&amp;$M144&amp;CHAR(10)&amp;CHAR(10),"")&amp;
IF($N144&lt;&gt;"","To-Do (hard requirements) "&amp;CHAR(10)&amp;$N144&amp;CHAR(10)&amp;CHAR(10),"")&amp;
IF($O144&lt;&gt;"","Suggested Timeline "&amp;CHAR(10)&amp;$O144&amp;CHAR(10)&amp;CHAR(10),"")&amp;
IF($P144&lt;&gt;"","Guardrails "&amp;CHAR(10)&amp;$P144&amp;CHAR(10)&amp;CHAR(10),"")&amp;
IF($Q144&lt;&gt;"","Completion signals "&amp;CHAR(10)&amp;$Q144,"")</f>
        <v/>
      </c>
      <c r="S144" s="25" t="n"/>
      <c r="T144" s="25" t="n"/>
      <c r="U144" s="54" t="n"/>
      <c r="V144" s="54">
        <f>IF($B144="","",IF(_xludf.TEXTJOIN(" | ",TRUE,IF($B144="","Missing Title",""),IF($C144="","Missing Date",""),IF($D144="","Missing Start",""),IF($E144="","Missing End",""),IF($G144="","Missing Required Attendees",""),IF($T144="","Missing Status",""),IF(AND($D144&lt;&gt;"",$E144&lt;&gt;"",$D144&gt;=$E144),"Start&gt;=End",""),IF(OR($R144="",LEN($R144)&lt;60,ISNUMBER(MATCH(TRIM($R144),StatusList,0))),"Body overwritten/short",""))="","OK",_xludf.TEXTJOIN(" | ",TRUE,IF($B144="","Missing Title",""),IF($C144="","Missing Date",""),IF($D144="","Missing Start",""),IF($E144="","Missing End",""),IF($G144="","Missing Required Attendees",""),IF($T144="","Missing Status",""),IF(AND($D144&lt;&gt;"",$E144&lt;&gt;"",$D144&gt;=$E144),"Start&gt;=End",""),IF(OR($R144="",LEN($R144)&lt;60,ISNUMBER(MATCH(TRIM($R144),StatusList,0))),"Body overwritten/short",""))))</f>
        <v/>
      </c>
    </row>
    <row r="145" ht="15" customHeight="1">
      <c r="A145" s="12">
        <f>IF(AND($B145&lt;&gt;"",$C145&lt;&gt;"",$D145&lt;&gt;"",$E145&lt;&gt;"",$G145&lt;&gt;""),
UPPER(
LEFT(TRIM(LEFT($G145,IFERROR(FIND(";",$G145)-1,999))),1)&amp;
IFERROR(
MID(TRIM(LEFT($G145,IFERROR(FIND(";",$G145)-1,999))),
FIND(" ",TRIM(LEFT($G145,IFERROR(FIND(";",$G145)-1,999))))+1,1),
MID(TRIM(LEFT($G145,IFERROR(FIND(";",$G145)-1,999))),2,1)
)
)&amp;"-"&amp;TEXT($C145,"yyyy-mm-dd"),
"")</f>
        <v/>
      </c>
      <c r="B145" s="25" t="n"/>
      <c r="C145" s="80" t="n"/>
      <c r="D145" s="77" t="n"/>
      <c r="E145" s="77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16">
        <f>IF($L145&lt;&gt;"","Purpose "&amp;CHAR(10)&amp;$L145&amp;CHAR(10)&amp;CHAR(10),"")&amp;
IF($M145&lt;&gt;"","Stops (in order) "&amp;CHAR(10)&amp;$M145&amp;CHAR(10)&amp;CHAR(10),"")&amp;
IF($N145&lt;&gt;"","To-Do (hard requirements) "&amp;CHAR(10)&amp;$N145&amp;CHAR(10)&amp;CHAR(10),"")&amp;
IF($O145&lt;&gt;"","Suggested Timeline "&amp;CHAR(10)&amp;$O145&amp;CHAR(10)&amp;CHAR(10),"")&amp;
IF($P145&lt;&gt;"","Guardrails "&amp;CHAR(10)&amp;$P145&amp;CHAR(10)&amp;CHAR(10),"")&amp;
IF($Q145&lt;&gt;"","Completion signals "&amp;CHAR(10)&amp;$Q145,"")</f>
        <v/>
      </c>
      <c r="S145" s="25" t="n"/>
      <c r="T145" s="25" t="n"/>
      <c r="U145" s="54" t="n"/>
      <c r="V145" s="54">
        <f>IF($B145="","",IF(_xludf.TEXTJOIN(" | ",TRUE,IF($B145="","Missing Title",""),IF($C145="","Missing Date",""),IF($D145="","Missing Start",""),IF($E145="","Missing End",""),IF($G145="","Missing Required Attendees",""),IF($T145="","Missing Status",""),IF(AND($D145&lt;&gt;"",$E145&lt;&gt;"",$D145&gt;=$E145),"Start&gt;=End",""),IF(OR($R145="",LEN($R145)&lt;60,ISNUMBER(MATCH(TRIM($R145),StatusList,0))),"Body overwritten/short",""))="","OK",_xludf.TEXTJOIN(" | ",TRUE,IF($B145="","Missing Title",""),IF($C145="","Missing Date",""),IF($D145="","Missing Start",""),IF($E145="","Missing End",""),IF($G145="","Missing Required Attendees",""),IF($T145="","Missing Status",""),IF(AND($D145&lt;&gt;"",$E145&lt;&gt;"",$D145&gt;=$E145),"Start&gt;=End",""),IF(OR($R145="",LEN($R145)&lt;60,ISNUMBER(MATCH(TRIM($R145),StatusList,0))),"Body overwritten/short",""))))</f>
        <v/>
      </c>
    </row>
    <row r="146" ht="15" customHeight="1">
      <c r="A146" s="12">
        <f>IF(AND($B146&lt;&gt;"",$C146&lt;&gt;"",$D146&lt;&gt;"",$E146&lt;&gt;"",$G146&lt;&gt;""),
UPPER(
LEFT(TRIM(LEFT($G146,IFERROR(FIND(";",$G146)-1,999))),1)&amp;
IFERROR(
MID(TRIM(LEFT($G146,IFERROR(FIND(";",$G146)-1,999))),
FIND(" ",TRIM(LEFT($G146,IFERROR(FIND(";",$G146)-1,999))))+1,1),
MID(TRIM(LEFT($G146,IFERROR(FIND(";",$G146)-1,999))),2,1)
)
)&amp;"-"&amp;TEXT($C146,"yyyy-mm-dd"),
"")</f>
        <v/>
      </c>
      <c r="B146" s="25" t="n"/>
      <c r="C146" s="80" t="n"/>
      <c r="D146" s="77" t="n"/>
      <c r="E146" s="77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16">
        <f>IF($L146&lt;&gt;"","Purpose "&amp;CHAR(10)&amp;$L146&amp;CHAR(10)&amp;CHAR(10),"")&amp;
IF($M146&lt;&gt;"","Stops (in order) "&amp;CHAR(10)&amp;$M146&amp;CHAR(10)&amp;CHAR(10),"")&amp;
IF($N146&lt;&gt;"","To-Do (hard requirements) "&amp;CHAR(10)&amp;$N146&amp;CHAR(10)&amp;CHAR(10),"")&amp;
IF($O146&lt;&gt;"","Suggested Timeline "&amp;CHAR(10)&amp;$O146&amp;CHAR(10)&amp;CHAR(10),"")&amp;
IF($P146&lt;&gt;"","Guardrails "&amp;CHAR(10)&amp;$P146&amp;CHAR(10)&amp;CHAR(10),"")&amp;
IF($Q146&lt;&gt;"","Completion signals "&amp;CHAR(10)&amp;$Q146,"")</f>
        <v/>
      </c>
      <c r="S146" s="25" t="n"/>
      <c r="T146" s="25" t="n"/>
      <c r="U146" s="54" t="n"/>
      <c r="V146" s="54">
        <f>IF($B146="","",IF(_xludf.TEXTJOIN(" | ",TRUE,IF($B146="","Missing Title",""),IF($C146="","Missing Date",""),IF($D146="","Missing Start",""),IF($E146="","Missing End",""),IF($G146="","Missing Required Attendees",""),IF($T146="","Missing Status",""),IF(AND($D146&lt;&gt;"",$E146&lt;&gt;"",$D146&gt;=$E146),"Start&gt;=End",""),IF(OR($R146="",LEN($R146)&lt;60,ISNUMBER(MATCH(TRIM($R146),StatusList,0))),"Body overwritten/short",""))="","OK",_xludf.TEXTJOIN(" | ",TRUE,IF($B146="","Missing Title",""),IF($C146="","Missing Date",""),IF($D146="","Missing Start",""),IF($E146="","Missing End",""),IF($G146="","Missing Required Attendees",""),IF($T146="","Missing Status",""),IF(AND($D146&lt;&gt;"",$E146&lt;&gt;"",$D146&gt;=$E146),"Start&gt;=End",""),IF(OR($R146="",LEN($R146)&lt;60,ISNUMBER(MATCH(TRIM($R146),StatusList,0))),"Body overwritten/short",""))))</f>
        <v/>
      </c>
    </row>
    <row r="147" ht="15" customHeight="1">
      <c r="A147" s="12">
        <f>IF(AND($B147&lt;&gt;"",$C147&lt;&gt;"",$D147&lt;&gt;"",$E147&lt;&gt;"",$G147&lt;&gt;""),
UPPER(
LEFT(TRIM(LEFT($G147,IFERROR(FIND(";",$G147)-1,999))),1)&amp;
IFERROR(
MID(TRIM(LEFT($G147,IFERROR(FIND(";",$G147)-1,999))),
FIND(" ",TRIM(LEFT($G147,IFERROR(FIND(";",$G147)-1,999))))+1,1),
MID(TRIM(LEFT($G147,IFERROR(FIND(";",$G147)-1,999))),2,1)
)
)&amp;"-"&amp;TEXT($C147,"yyyy-mm-dd"),
"")</f>
        <v/>
      </c>
      <c r="B147" s="25" t="n"/>
      <c r="C147" s="80" t="n"/>
      <c r="D147" s="77" t="n"/>
      <c r="E147" s="77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16">
        <f>IF($L147&lt;&gt;"","Purpose "&amp;CHAR(10)&amp;$L147&amp;CHAR(10)&amp;CHAR(10),"")&amp;
IF($M147&lt;&gt;"","Stops (in order) "&amp;CHAR(10)&amp;$M147&amp;CHAR(10)&amp;CHAR(10),"")&amp;
IF($N147&lt;&gt;"","To-Do (hard requirements) "&amp;CHAR(10)&amp;$N147&amp;CHAR(10)&amp;CHAR(10),"")&amp;
IF($O147&lt;&gt;"","Suggested Timeline "&amp;CHAR(10)&amp;$O147&amp;CHAR(10)&amp;CHAR(10),"")&amp;
IF($P147&lt;&gt;"","Guardrails "&amp;CHAR(10)&amp;$P147&amp;CHAR(10)&amp;CHAR(10),"")&amp;
IF($Q147&lt;&gt;"","Completion signals "&amp;CHAR(10)&amp;$Q147,"")</f>
        <v/>
      </c>
      <c r="S147" s="25" t="n"/>
      <c r="T147" s="25" t="n"/>
      <c r="U147" s="54" t="n"/>
      <c r="V147" s="54">
        <f>IF($B147="","",IF(_xludf.TEXTJOIN(" | ",TRUE,IF($B147="","Missing Title",""),IF($C147="","Missing Date",""),IF($D147="","Missing Start",""),IF($E147="","Missing End",""),IF($G147="","Missing Required Attendees",""),IF($T147="","Missing Status",""),IF(AND($D147&lt;&gt;"",$E147&lt;&gt;"",$D147&gt;=$E147),"Start&gt;=End",""),IF(OR($R147="",LEN($R147)&lt;60,ISNUMBER(MATCH(TRIM($R147),StatusList,0))),"Body overwritten/short",""))="","OK",_xludf.TEXTJOIN(" | ",TRUE,IF($B147="","Missing Title",""),IF($C147="","Missing Date",""),IF($D147="","Missing Start",""),IF($E147="","Missing End",""),IF($G147="","Missing Required Attendees",""),IF($T147="","Missing Status",""),IF(AND($D147&lt;&gt;"",$E147&lt;&gt;"",$D147&gt;=$E147),"Start&gt;=End",""),IF(OR($R147="",LEN($R147)&lt;60,ISNUMBER(MATCH(TRIM($R147),StatusList,0))),"Body overwritten/short",""))))</f>
        <v/>
      </c>
    </row>
    <row r="148" ht="15" customHeight="1">
      <c r="A148" s="12">
        <f>IF(AND($B148&lt;&gt;"",$C148&lt;&gt;"",$D148&lt;&gt;"",$E148&lt;&gt;"",$G148&lt;&gt;""),
UPPER(
LEFT(TRIM(LEFT($G148,IFERROR(FIND(";",$G148)-1,999))),1)&amp;
IFERROR(
MID(TRIM(LEFT($G148,IFERROR(FIND(";",$G148)-1,999))),
FIND(" ",TRIM(LEFT($G148,IFERROR(FIND(";",$G148)-1,999))))+1,1),
MID(TRIM(LEFT($G148,IFERROR(FIND(";",$G148)-1,999))),2,1)
)
)&amp;"-"&amp;TEXT($C148,"yyyy-mm-dd"),
"")</f>
        <v/>
      </c>
      <c r="B148" s="25" t="n"/>
      <c r="C148" s="80" t="n"/>
      <c r="D148" s="77" t="n"/>
      <c r="E148" s="77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16">
        <f>IF($L148&lt;&gt;"","Purpose "&amp;CHAR(10)&amp;$L148&amp;CHAR(10)&amp;CHAR(10),"")&amp;
IF($M148&lt;&gt;"","Stops (in order) "&amp;CHAR(10)&amp;$M148&amp;CHAR(10)&amp;CHAR(10),"")&amp;
IF($N148&lt;&gt;"","To-Do (hard requirements) "&amp;CHAR(10)&amp;$N148&amp;CHAR(10)&amp;CHAR(10),"")&amp;
IF($O148&lt;&gt;"","Suggested Timeline "&amp;CHAR(10)&amp;$O148&amp;CHAR(10)&amp;CHAR(10),"")&amp;
IF($P148&lt;&gt;"","Guardrails "&amp;CHAR(10)&amp;$P148&amp;CHAR(10)&amp;CHAR(10),"")&amp;
IF($Q148&lt;&gt;"","Completion signals "&amp;CHAR(10)&amp;$Q148,"")</f>
        <v/>
      </c>
      <c r="S148" s="25" t="n"/>
      <c r="T148" s="25" t="n"/>
      <c r="U148" s="54" t="n"/>
      <c r="V148" s="54">
        <f>IF($B148="","",IF(_xludf.TEXTJOIN(" | ",TRUE,IF($B148="","Missing Title",""),IF($C148="","Missing Date",""),IF($D148="","Missing Start",""),IF($E148="","Missing End",""),IF($G148="","Missing Required Attendees",""),IF($T148="","Missing Status",""),IF(AND($D148&lt;&gt;"",$E148&lt;&gt;"",$D148&gt;=$E148),"Start&gt;=End",""),IF(OR($R148="",LEN($R148)&lt;60,ISNUMBER(MATCH(TRIM($R148),StatusList,0))),"Body overwritten/short",""))="","OK",_xludf.TEXTJOIN(" | ",TRUE,IF($B148="","Missing Title",""),IF($C148="","Missing Date",""),IF($D148="","Missing Start",""),IF($E148="","Missing End",""),IF($G148="","Missing Required Attendees",""),IF($T148="","Missing Status",""),IF(AND($D148&lt;&gt;"",$E148&lt;&gt;"",$D148&gt;=$E148),"Start&gt;=End",""),IF(OR($R148="",LEN($R148)&lt;60,ISNUMBER(MATCH(TRIM($R148),StatusList,0))),"Body overwritten/short",""))))</f>
        <v/>
      </c>
    </row>
    <row r="149" ht="15" customHeight="1">
      <c r="A149" s="12">
        <f>IF(AND($B149&lt;&gt;"",$C149&lt;&gt;"",$D149&lt;&gt;"",$E149&lt;&gt;"",$G149&lt;&gt;""),
UPPER(
LEFT(TRIM(LEFT($G149,IFERROR(FIND(";",$G149)-1,999))),1)&amp;
IFERROR(
MID(TRIM(LEFT($G149,IFERROR(FIND(";",$G149)-1,999))),
FIND(" ",TRIM(LEFT($G149,IFERROR(FIND(";",$G149)-1,999))))+1,1),
MID(TRIM(LEFT($G149,IFERROR(FIND(";",$G149)-1,999))),2,1)
)
)&amp;"-"&amp;TEXT($C149,"yyyy-mm-dd"),
"")</f>
        <v/>
      </c>
      <c r="B149" s="25" t="n"/>
      <c r="C149" s="80" t="n"/>
      <c r="D149" s="77" t="n"/>
      <c r="E149" s="77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16">
        <f>IF($L149&lt;&gt;"","Purpose "&amp;CHAR(10)&amp;$L149&amp;CHAR(10)&amp;CHAR(10),"")&amp;
IF($M149&lt;&gt;"","Stops (in order) "&amp;CHAR(10)&amp;$M149&amp;CHAR(10)&amp;CHAR(10),"")&amp;
IF($N149&lt;&gt;"","To-Do (hard requirements) "&amp;CHAR(10)&amp;$N149&amp;CHAR(10)&amp;CHAR(10),"")&amp;
IF($O149&lt;&gt;"","Suggested Timeline "&amp;CHAR(10)&amp;$O149&amp;CHAR(10)&amp;CHAR(10),"")&amp;
IF($P149&lt;&gt;"","Guardrails "&amp;CHAR(10)&amp;$P149&amp;CHAR(10)&amp;CHAR(10),"")&amp;
IF($Q149&lt;&gt;"","Completion signals "&amp;CHAR(10)&amp;$Q149,"")</f>
        <v/>
      </c>
      <c r="S149" s="25" t="n"/>
      <c r="T149" s="25" t="n"/>
      <c r="U149" s="54" t="n"/>
      <c r="V149" s="54">
        <f>IF($B149="","",IF(_xludf.TEXTJOIN(" | ",TRUE,IF($B149="","Missing Title",""),IF($C149="","Missing Date",""),IF($D149="","Missing Start",""),IF($E149="","Missing End",""),IF($G149="","Missing Required Attendees",""),IF($T149="","Missing Status",""),IF(AND($D149&lt;&gt;"",$E149&lt;&gt;"",$D149&gt;=$E149),"Start&gt;=End",""),IF(OR($R149="",LEN($R149)&lt;60,ISNUMBER(MATCH(TRIM($R149),StatusList,0))),"Body overwritten/short",""))="","OK",_xludf.TEXTJOIN(" | ",TRUE,IF($B149="","Missing Title",""),IF($C149="","Missing Date",""),IF($D149="","Missing Start",""),IF($E149="","Missing End",""),IF($G149="","Missing Required Attendees",""),IF($T149="","Missing Status",""),IF(AND($D149&lt;&gt;"",$E149&lt;&gt;"",$D149&gt;=$E149),"Start&gt;=End",""),IF(OR($R149="",LEN($R149)&lt;60,ISNUMBER(MATCH(TRIM($R149),StatusList,0))),"Body overwritten/short",""))))</f>
        <v/>
      </c>
    </row>
    <row r="150" ht="15" customHeight="1">
      <c r="A150" s="12">
        <f>IF(AND($B150&lt;&gt;"",$C150&lt;&gt;"",$D150&lt;&gt;"",$E150&lt;&gt;"",$G150&lt;&gt;""),
UPPER(
LEFT(TRIM(LEFT($G150,IFERROR(FIND(";",$G150)-1,999))),1)&amp;
IFERROR(
MID(TRIM(LEFT($G150,IFERROR(FIND(";",$G150)-1,999))),
FIND(" ",TRIM(LEFT($G150,IFERROR(FIND(";",$G150)-1,999))))+1,1),
MID(TRIM(LEFT($G150,IFERROR(FIND(";",$G150)-1,999))),2,1)
)
)&amp;"-"&amp;TEXT($C150,"yyyy-mm-dd"),
"")</f>
        <v/>
      </c>
      <c r="B150" s="25" t="n"/>
      <c r="C150" s="80" t="n"/>
      <c r="D150" s="77" t="n"/>
      <c r="E150" s="77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16">
        <f>IF($L150&lt;&gt;"","Purpose "&amp;CHAR(10)&amp;$L150&amp;CHAR(10)&amp;CHAR(10),"")&amp;
IF($M150&lt;&gt;"","Stops (in order) "&amp;CHAR(10)&amp;$M150&amp;CHAR(10)&amp;CHAR(10),"")&amp;
IF($N150&lt;&gt;"","To-Do (hard requirements) "&amp;CHAR(10)&amp;$N150&amp;CHAR(10)&amp;CHAR(10),"")&amp;
IF($O150&lt;&gt;"","Suggested Timeline "&amp;CHAR(10)&amp;$O150&amp;CHAR(10)&amp;CHAR(10),"")&amp;
IF($P150&lt;&gt;"","Guardrails "&amp;CHAR(10)&amp;$P150&amp;CHAR(10)&amp;CHAR(10),"")&amp;
IF($Q150&lt;&gt;"","Completion signals "&amp;CHAR(10)&amp;$Q150,"")</f>
        <v/>
      </c>
      <c r="S150" s="25" t="n"/>
      <c r="T150" s="25" t="n"/>
      <c r="U150" s="54" t="n"/>
      <c r="V150" s="54">
        <f>IF($B150="","",IF(_xludf.TEXTJOIN(" | ",TRUE,IF($B150="","Missing Title",""),IF($C150="","Missing Date",""),IF($D150="","Missing Start",""),IF($E150="","Missing End",""),IF($G150="","Missing Required Attendees",""),IF($T150="","Missing Status",""),IF(AND($D150&lt;&gt;"",$E150&lt;&gt;"",$D150&gt;=$E150),"Start&gt;=End",""),IF(OR($R150="",LEN($R150)&lt;60,ISNUMBER(MATCH(TRIM($R150),StatusList,0))),"Body overwritten/short",""))="","OK",_xludf.TEXTJOIN(" | ",TRUE,IF($B150="","Missing Title",""),IF($C150="","Missing Date",""),IF($D150="","Missing Start",""),IF($E150="","Missing End",""),IF($G150="","Missing Required Attendees",""),IF($T150="","Missing Status",""),IF(AND($D150&lt;&gt;"",$E150&lt;&gt;"",$D150&gt;=$E150),"Start&gt;=End",""),IF(OR($R150="",LEN($R150)&lt;60,ISNUMBER(MATCH(TRIM($R150),StatusList,0))),"Body overwritten/short",""))))</f>
        <v/>
      </c>
    </row>
    <row r="151" ht="12.75" customHeight="1">
      <c r="A151" s="12" t="n"/>
      <c r="B151" s="25" t="n"/>
      <c r="C151" s="80" t="n"/>
      <c r="D151" s="77" t="n"/>
      <c r="E151" s="77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16">
        <f>IF($L151&lt;&gt;"","Purpose "&amp;CHAR(10)&amp;$L151&amp;CHAR(10)&amp;CHAR(10),"")&amp;
IF($M151&lt;&gt;"","Stops (in order) "&amp;CHAR(10)&amp;$M151&amp;CHAR(10)&amp;CHAR(10),"")&amp;
IF($N151&lt;&gt;"","To-Do (hard requirements) "&amp;CHAR(10)&amp;$N151&amp;CHAR(10)&amp;CHAR(10),"")&amp;
IF($O151&lt;&gt;"","Suggested Timeline "&amp;CHAR(10)&amp;$O151&amp;CHAR(10)&amp;CHAR(10),"")&amp;
IF($P151&lt;&gt;"","Guardrails "&amp;CHAR(10)&amp;$P151&amp;CHAR(10)&amp;CHAR(10),"")&amp;
IF($Q151&lt;&gt;"","Completion signals "&amp;CHAR(10)&amp;$Q151,"")</f>
        <v/>
      </c>
      <c r="S151" s="25" t="n"/>
      <c r="T151" s="25" t="n"/>
      <c r="U151" s="54" t="n"/>
      <c r="V151" s="54">
        <f>IF($B151="","",IF(_xludf.TEXTJOIN(" | ",TRUE,IF($B151="","Missing Title",""),IF($C151="","Missing Date",""),IF($D151="","Missing Start",""),IF($E151="","Missing End",""),IF($G151="","Missing Required Attendees",""),IF($T151="","Missing Status",""),IF(AND($D151&lt;&gt;"",$E151&lt;&gt;"",$D151&gt;=$E151),"Start&gt;=End",""),IF(OR($R151="",LEN($R151)&lt;60,ISNUMBER(MATCH(TRIM($R151),StatusList,0))),"Body overwritten/short",""))="","OK",_xludf.TEXTJOIN(" | ",TRUE,IF($B151="","Missing Title",""),IF($C151="","Missing Date",""),IF($D151="","Missing Start",""),IF($E151="","Missing End",""),IF($G151="","Missing Required Attendees",""),IF($T151="","Missing Status",""),IF(AND($D151&lt;&gt;"",$E151&lt;&gt;"",$D151&gt;=$E151),"Start&gt;=End",""),IF(OR($R151="",LEN($R151)&lt;60,ISNUMBER(MATCH(TRIM($R151),StatusList,0))),"Body overwritten/short",""))))</f>
        <v/>
      </c>
    </row>
    <row r="152" ht="12.75" customHeight="1">
      <c r="A152" s="12" t="n"/>
      <c r="B152" s="25" t="n"/>
      <c r="C152" s="80" t="n"/>
      <c r="D152" s="77" t="n"/>
      <c r="E152" s="77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16">
        <f>IF($L152&lt;&gt;"","Purpose "&amp;CHAR(10)&amp;$L152&amp;CHAR(10)&amp;CHAR(10),"")&amp;
IF($M152&lt;&gt;"","Stops (in order) "&amp;CHAR(10)&amp;$M152&amp;CHAR(10)&amp;CHAR(10),"")&amp;
IF($N152&lt;&gt;"","To-Do (hard requirements) "&amp;CHAR(10)&amp;$N152&amp;CHAR(10)&amp;CHAR(10),"")&amp;
IF($O152&lt;&gt;"","Suggested Timeline "&amp;CHAR(10)&amp;$O152&amp;CHAR(10)&amp;CHAR(10),"")&amp;
IF($P152&lt;&gt;"","Guardrails "&amp;CHAR(10)&amp;$P152&amp;CHAR(10)&amp;CHAR(10),"")&amp;
IF($Q152&lt;&gt;"","Completion signals "&amp;CHAR(10)&amp;$Q152,"")</f>
        <v/>
      </c>
      <c r="S152" s="25" t="n"/>
      <c r="T152" s="25" t="n"/>
      <c r="U152" s="54" t="n"/>
      <c r="V152" s="54">
        <f>IF($B152="","",IF(_xludf.TEXTJOIN(" | ",TRUE,IF($B152="","Missing Title",""),IF($C152="","Missing Date",""),IF($D152="","Missing Start",""),IF($E152="","Missing End",""),IF($G152="","Missing Required Attendees",""),IF($T152="","Missing Status",""),IF(AND($D152&lt;&gt;"",$E152&lt;&gt;"",$D152&gt;=$E152),"Start&gt;=End",""),IF(OR($R152="",LEN($R152)&lt;60,ISNUMBER(MATCH(TRIM($R152),StatusList,0))),"Body overwritten/short",""))="","OK",_xludf.TEXTJOIN(" | ",TRUE,IF($B152="","Missing Title",""),IF($C152="","Missing Date",""),IF($D152="","Missing Start",""),IF($E152="","Missing End",""),IF($G152="","Missing Required Attendees",""),IF($T152="","Missing Status",""),IF(AND($D152&lt;&gt;"",$E152&lt;&gt;"",$D152&gt;=$E152),"Start&gt;=End",""),IF(OR($R152="",LEN($R152)&lt;60,ISNUMBER(MATCH(TRIM($R152),StatusList,0))),"Body overwritten/short",""))))</f>
        <v/>
      </c>
    </row>
    <row r="153" ht="12.75" customHeight="1">
      <c r="A153" s="12" t="n"/>
      <c r="B153" s="25" t="n"/>
      <c r="C153" s="80" t="n"/>
      <c r="D153" s="77" t="n"/>
      <c r="E153" s="77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16">
        <f>IF($L153&lt;&gt;"","Purpose "&amp;CHAR(10)&amp;$L153&amp;CHAR(10)&amp;CHAR(10),"")&amp;
IF($M153&lt;&gt;"","Stops (in order) "&amp;CHAR(10)&amp;$M153&amp;CHAR(10)&amp;CHAR(10),"")&amp;
IF($N153&lt;&gt;"","To-Do (hard requirements) "&amp;CHAR(10)&amp;$N153&amp;CHAR(10)&amp;CHAR(10),"")&amp;
IF($O153&lt;&gt;"","Suggested Timeline "&amp;CHAR(10)&amp;$O153&amp;CHAR(10)&amp;CHAR(10),"")&amp;
IF($P153&lt;&gt;"","Guardrails "&amp;CHAR(10)&amp;$P153&amp;CHAR(10)&amp;CHAR(10),"")&amp;
IF($Q153&lt;&gt;"","Completion signals "&amp;CHAR(10)&amp;$Q153,"")</f>
        <v/>
      </c>
      <c r="S153" s="25" t="n"/>
      <c r="T153" s="25" t="n"/>
      <c r="U153" s="54" t="n"/>
      <c r="V153" s="54">
        <f>IF($B153="","",IF(_xludf.TEXTJOIN(" | ",TRUE,IF($B153="","Missing Title",""),IF($C153="","Missing Date",""),IF($D153="","Missing Start",""),IF($E153="","Missing End",""),IF($G153="","Missing Required Attendees",""),IF($T153="","Missing Status",""),IF(AND($D153&lt;&gt;"",$E153&lt;&gt;"",$D153&gt;=$E153),"Start&gt;=End",""),IF(OR($R153="",LEN($R153)&lt;60,ISNUMBER(MATCH(TRIM($R153),StatusList,0))),"Body overwritten/short",""))="","OK",_xludf.TEXTJOIN(" | ",TRUE,IF($B153="","Missing Title",""),IF($C153="","Missing Date",""),IF($D153="","Missing Start",""),IF($E153="","Missing End",""),IF($G153="","Missing Required Attendees",""),IF($T153="","Missing Status",""),IF(AND($D153&lt;&gt;"",$E153&lt;&gt;"",$D153&gt;=$E153),"Start&gt;=End",""),IF(OR($R153="",LEN($R153)&lt;60,ISNUMBER(MATCH(TRIM($R153),StatusList,0))),"Body overwritten/short",""))))</f>
        <v/>
      </c>
    </row>
    <row r="154" ht="12.75" customHeight="1">
      <c r="A154" s="12" t="n"/>
      <c r="B154" s="25" t="n"/>
      <c r="C154" s="80" t="n"/>
      <c r="D154" s="77" t="n"/>
      <c r="E154" s="77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16">
        <f>IF($L154&lt;&gt;"","Purpose "&amp;CHAR(10)&amp;$L154&amp;CHAR(10)&amp;CHAR(10),"")&amp;
IF($M154&lt;&gt;"","Stops (in order) "&amp;CHAR(10)&amp;$M154&amp;CHAR(10)&amp;CHAR(10),"")&amp;
IF($N154&lt;&gt;"","To-Do (hard requirements) "&amp;CHAR(10)&amp;$N154&amp;CHAR(10)&amp;CHAR(10),"")&amp;
IF($O154&lt;&gt;"","Suggested Timeline "&amp;CHAR(10)&amp;$O154&amp;CHAR(10)&amp;CHAR(10),"")&amp;
IF($P154&lt;&gt;"","Guardrails "&amp;CHAR(10)&amp;$P154&amp;CHAR(10)&amp;CHAR(10),"")&amp;
IF($Q154&lt;&gt;"","Completion signals "&amp;CHAR(10)&amp;$Q154,"")</f>
        <v/>
      </c>
      <c r="S154" s="25" t="n"/>
      <c r="T154" s="25" t="n"/>
      <c r="U154" s="54" t="n"/>
      <c r="V154" s="54">
        <f>IF($B154="","",IF(_xludf.TEXTJOIN(" | ",TRUE,IF($B154="","Missing Title",""),IF($C154="","Missing Date",""),IF($D154="","Missing Start",""),IF($E154="","Missing End",""),IF($G154="","Missing Required Attendees",""),IF($T154="","Missing Status",""),IF(AND($D154&lt;&gt;"",$E154&lt;&gt;"",$D154&gt;=$E154),"Start&gt;=End",""),IF(OR($R154="",LEN($R154)&lt;60,ISNUMBER(MATCH(TRIM($R154),StatusList,0))),"Body overwritten/short",""))="","OK",_xludf.TEXTJOIN(" | ",TRUE,IF($B154="","Missing Title",""),IF($C154="","Missing Date",""),IF($D154="","Missing Start",""),IF($E154="","Missing End",""),IF($G154="","Missing Required Attendees",""),IF($T154="","Missing Status",""),IF(AND($D154&lt;&gt;"",$E154&lt;&gt;"",$D154&gt;=$E154),"Start&gt;=End",""),IF(OR($R154="",LEN($R154)&lt;60,ISNUMBER(MATCH(TRIM($R154),StatusList,0))),"Body overwritten/short",""))))</f>
        <v/>
      </c>
    </row>
    <row r="155" ht="12.75" customHeight="1">
      <c r="A155" s="12" t="n"/>
      <c r="B155" s="25" t="n"/>
      <c r="C155" s="80" t="n"/>
      <c r="D155" s="77" t="n"/>
      <c r="E155" s="77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16">
        <f>IF($L155&lt;&gt;"","Purpose "&amp;CHAR(10)&amp;$L155&amp;CHAR(10)&amp;CHAR(10),"")&amp;
IF($M155&lt;&gt;"","Stops (in order) "&amp;CHAR(10)&amp;$M155&amp;CHAR(10)&amp;CHAR(10),"")&amp;
IF($N155&lt;&gt;"","To-Do (hard requirements) "&amp;CHAR(10)&amp;$N155&amp;CHAR(10)&amp;CHAR(10),"")&amp;
IF($O155&lt;&gt;"","Suggested Timeline "&amp;CHAR(10)&amp;$O155&amp;CHAR(10)&amp;CHAR(10),"")&amp;
IF($P155&lt;&gt;"","Guardrails "&amp;CHAR(10)&amp;$P155&amp;CHAR(10)&amp;CHAR(10),"")&amp;
IF($Q155&lt;&gt;"","Completion signals "&amp;CHAR(10)&amp;$Q155,"")</f>
        <v/>
      </c>
      <c r="S155" s="25" t="n"/>
      <c r="T155" s="25" t="n"/>
      <c r="U155" s="54" t="n"/>
      <c r="V155" s="54">
        <f>IF($B155="","",IF(_xludf.TEXTJOIN(" | ",TRUE,IF($B155="","Missing Title",""),IF($C155="","Missing Date",""),IF($D155="","Missing Start",""),IF($E155="","Missing End",""),IF($G155="","Missing Required Attendees",""),IF($T155="","Missing Status",""),IF(AND($D155&lt;&gt;"",$E155&lt;&gt;"",$D155&gt;=$E155),"Start&gt;=End",""),IF(OR($R155="",LEN($R155)&lt;60,ISNUMBER(MATCH(TRIM($R155),StatusList,0))),"Body overwritten/short",""))="","OK",_xludf.TEXTJOIN(" | ",TRUE,IF($B155="","Missing Title",""),IF($C155="","Missing Date",""),IF($D155="","Missing Start",""),IF($E155="","Missing End",""),IF($G155="","Missing Required Attendees",""),IF($T155="","Missing Status",""),IF(AND($D155&lt;&gt;"",$E155&lt;&gt;"",$D155&gt;=$E155),"Start&gt;=End",""),IF(OR($R155="",LEN($R155)&lt;60,ISNUMBER(MATCH(TRIM($R155),StatusList,0))),"Body overwritten/short",""))))</f>
        <v/>
      </c>
    </row>
    <row r="156" ht="12.75" customHeight="1">
      <c r="A156" s="12" t="n"/>
      <c r="B156" s="25" t="n"/>
      <c r="C156" s="80" t="n"/>
      <c r="D156" s="77" t="n"/>
      <c r="E156" s="77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16">
        <f>IF($L156&lt;&gt;"","Purpose "&amp;CHAR(10)&amp;$L156&amp;CHAR(10)&amp;CHAR(10),"")&amp;
IF($M156&lt;&gt;"","Stops (in order) "&amp;CHAR(10)&amp;$M156&amp;CHAR(10)&amp;CHAR(10),"")&amp;
IF($N156&lt;&gt;"","To-Do (hard requirements) "&amp;CHAR(10)&amp;$N156&amp;CHAR(10)&amp;CHAR(10),"")&amp;
IF($O156&lt;&gt;"","Suggested Timeline "&amp;CHAR(10)&amp;$O156&amp;CHAR(10)&amp;CHAR(10),"")&amp;
IF($P156&lt;&gt;"","Guardrails "&amp;CHAR(10)&amp;$P156&amp;CHAR(10)&amp;CHAR(10),"")&amp;
IF($Q156&lt;&gt;"","Completion signals "&amp;CHAR(10)&amp;$Q156,"")</f>
        <v/>
      </c>
      <c r="S156" s="25" t="n"/>
      <c r="T156" s="25" t="n"/>
      <c r="U156" s="54" t="n"/>
      <c r="V156" s="54">
        <f>IF($B156="","",IF(_xludf.TEXTJOIN(" | ",TRUE,IF($B156="","Missing Title",""),IF($C156="","Missing Date",""),IF($D156="","Missing Start",""),IF($E156="","Missing End",""),IF($G156="","Missing Required Attendees",""),IF($T156="","Missing Status",""),IF(AND($D156&lt;&gt;"",$E156&lt;&gt;"",$D156&gt;=$E156),"Start&gt;=End",""),IF(OR($R156="",LEN($R156)&lt;60,ISNUMBER(MATCH(TRIM($R156),StatusList,0))),"Body overwritten/short",""))="","OK",_xludf.TEXTJOIN(" | ",TRUE,IF($B156="","Missing Title",""),IF($C156="","Missing Date",""),IF($D156="","Missing Start",""),IF($E156="","Missing End",""),IF($G156="","Missing Required Attendees",""),IF($T156="","Missing Status",""),IF(AND($D156&lt;&gt;"",$E156&lt;&gt;"",$D156&gt;=$E156),"Start&gt;=End",""),IF(OR($R156="",LEN($R156)&lt;60,ISNUMBER(MATCH(TRIM($R156),StatusList,0))),"Body overwritten/short",""))))</f>
        <v/>
      </c>
    </row>
    <row r="157" ht="12.75" customHeight="1">
      <c r="A157" s="12" t="n"/>
      <c r="B157" s="25" t="n"/>
      <c r="C157" s="80" t="n"/>
      <c r="D157" s="77" t="n"/>
      <c r="E157" s="77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16">
        <f>IF($L157&lt;&gt;"","Purpose "&amp;CHAR(10)&amp;$L157&amp;CHAR(10)&amp;CHAR(10),"")&amp;
IF($M157&lt;&gt;"","Stops (in order) "&amp;CHAR(10)&amp;$M157&amp;CHAR(10)&amp;CHAR(10),"")&amp;
IF($N157&lt;&gt;"","To-Do (hard requirements) "&amp;CHAR(10)&amp;$N157&amp;CHAR(10)&amp;CHAR(10),"")&amp;
IF($O157&lt;&gt;"","Suggested Timeline "&amp;CHAR(10)&amp;$O157&amp;CHAR(10)&amp;CHAR(10),"")&amp;
IF($P157&lt;&gt;"","Guardrails "&amp;CHAR(10)&amp;$P157&amp;CHAR(10)&amp;CHAR(10),"")&amp;
IF($Q157&lt;&gt;"","Completion signals "&amp;CHAR(10)&amp;$Q157,"")</f>
        <v/>
      </c>
      <c r="S157" s="25" t="n"/>
      <c r="T157" s="25" t="n"/>
      <c r="U157" s="54" t="n"/>
      <c r="V157" s="54">
        <f>IF($B157="","",IF(_xludf.TEXTJOIN(" | ",TRUE,IF($B157="","Missing Title",""),IF($C157="","Missing Date",""),IF($D157="","Missing Start",""),IF($E157="","Missing End",""),IF($G157="","Missing Required Attendees",""),IF($T157="","Missing Status",""),IF(AND($D157&lt;&gt;"",$E157&lt;&gt;"",$D157&gt;=$E157),"Start&gt;=End",""),IF(OR($R157="",LEN($R157)&lt;60,ISNUMBER(MATCH(TRIM($R157),StatusList,0))),"Body overwritten/short",""))="","OK",_xludf.TEXTJOIN(" | ",TRUE,IF($B157="","Missing Title",""),IF($C157="","Missing Date",""),IF($D157="","Missing Start",""),IF($E157="","Missing End",""),IF($G157="","Missing Required Attendees",""),IF($T157="","Missing Status",""),IF(AND($D157&lt;&gt;"",$E157&lt;&gt;"",$D157&gt;=$E157),"Start&gt;=End",""),IF(OR($R157="",LEN($R157)&lt;60,ISNUMBER(MATCH(TRIM($R157),StatusList,0))),"Body overwritten/short",""))))</f>
        <v/>
      </c>
    </row>
    <row r="158" ht="12.75" customHeight="1">
      <c r="A158" s="12" t="n"/>
      <c r="B158" s="25" t="n"/>
      <c r="C158" s="80" t="n"/>
      <c r="D158" s="77" t="n"/>
      <c r="E158" s="77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16">
        <f>IF($L158&lt;&gt;"","Purpose "&amp;CHAR(10)&amp;$L158&amp;CHAR(10)&amp;CHAR(10),"")&amp;
IF($M158&lt;&gt;"","Stops (in order) "&amp;CHAR(10)&amp;$M158&amp;CHAR(10)&amp;CHAR(10),"")&amp;
IF($N158&lt;&gt;"","To-Do (hard requirements) "&amp;CHAR(10)&amp;$N158&amp;CHAR(10)&amp;CHAR(10),"")&amp;
IF($O158&lt;&gt;"","Suggested Timeline "&amp;CHAR(10)&amp;$O158&amp;CHAR(10)&amp;CHAR(10),"")&amp;
IF($P158&lt;&gt;"","Guardrails "&amp;CHAR(10)&amp;$P158&amp;CHAR(10)&amp;CHAR(10),"")&amp;
IF($Q158&lt;&gt;"","Completion signals "&amp;CHAR(10)&amp;$Q158,"")</f>
        <v/>
      </c>
      <c r="S158" s="25" t="n"/>
      <c r="T158" s="25" t="n"/>
      <c r="U158" s="54" t="n"/>
      <c r="V158" s="54">
        <f>IF($B158="","",IF(_xludf.TEXTJOIN(" | ",TRUE,IF($B158="","Missing Title",""),IF($C158="","Missing Date",""),IF($D158="","Missing Start",""),IF($E158="","Missing End",""),IF($G158="","Missing Required Attendees",""),IF($T158="","Missing Status",""),IF(AND($D158&lt;&gt;"",$E158&lt;&gt;"",$D158&gt;=$E158),"Start&gt;=End",""),IF(OR($R158="",LEN($R158)&lt;60,ISNUMBER(MATCH(TRIM($R158),StatusList,0))),"Body overwritten/short",""))="","OK",_xludf.TEXTJOIN(" | ",TRUE,IF($B158="","Missing Title",""),IF($C158="","Missing Date",""),IF($D158="","Missing Start",""),IF($E158="","Missing End",""),IF($G158="","Missing Required Attendees",""),IF($T158="","Missing Status",""),IF(AND($D158&lt;&gt;"",$E158&lt;&gt;"",$D158&gt;=$E158),"Start&gt;=End",""),IF(OR($R158="",LEN($R158)&lt;60,ISNUMBER(MATCH(TRIM($R158),StatusList,0))),"Body overwritten/short",""))))</f>
        <v/>
      </c>
    </row>
    <row r="159" ht="12.75" customHeight="1">
      <c r="A159" s="12" t="n"/>
      <c r="B159" s="25" t="n"/>
      <c r="C159" s="80" t="n"/>
      <c r="D159" s="77" t="n"/>
      <c r="E159" s="77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16">
        <f>IF($L159&lt;&gt;"","Purpose "&amp;CHAR(10)&amp;$L159&amp;CHAR(10)&amp;CHAR(10),"")&amp;
IF($M159&lt;&gt;"","Stops (in order) "&amp;CHAR(10)&amp;$M159&amp;CHAR(10)&amp;CHAR(10),"")&amp;
IF($N159&lt;&gt;"","To-Do (hard requirements) "&amp;CHAR(10)&amp;$N159&amp;CHAR(10)&amp;CHAR(10),"")&amp;
IF($O159&lt;&gt;"","Suggested Timeline "&amp;CHAR(10)&amp;$O159&amp;CHAR(10)&amp;CHAR(10),"")&amp;
IF($P159&lt;&gt;"","Guardrails "&amp;CHAR(10)&amp;$P159&amp;CHAR(10)&amp;CHAR(10),"")&amp;
IF($Q159&lt;&gt;"","Completion signals "&amp;CHAR(10)&amp;$Q159,"")</f>
        <v/>
      </c>
      <c r="S159" s="25" t="n"/>
      <c r="T159" s="25" t="n"/>
      <c r="U159" s="54" t="n"/>
      <c r="V159" s="54">
        <f>IF($B159="","",IF(_xludf.TEXTJOIN(" | ",TRUE,IF($B159="","Missing Title",""),IF($C159="","Missing Date",""),IF($D159="","Missing Start",""),IF($E159="","Missing End",""),IF($G159="","Missing Required Attendees",""),IF($T159="","Missing Status",""),IF(AND($D159&lt;&gt;"",$E159&lt;&gt;"",$D159&gt;=$E159),"Start&gt;=End",""),IF(OR($R159="",LEN($R159)&lt;60,ISNUMBER(MATCH(TRIM($R159),StatusList,0))),"Body overwritten/short",""))="","OK",_xludf.TEXTJOIN(" | ",TRUE,IF($B159="","Missing Title",""),IF($C159="","Missing Date",""),IF($D159="","Missing Start",""),IF($E159="","Missing End",""),IF($G159="","Missing Required Attendees",""),IF($T159="","Missing Status",""),IF(AND($D159&lt;&gt;"",$E159&lt;&gt;"",$D159&gt;=$E159),"Start&gt;=End",""),IF(OR($R159="",LEN($R159)&lt;60,ISNUMBER(MATCH(TRIM($R159),StatusList,0))),"Body overwritten/short",""))))</f>
        <v/>
      </c>
    </row>
    <row r="160" ht="12.75" customHeight="1">
      <c r="A160" s="12" t="n"/>
      <c r="B160" s="25" t="n"/>
      <c r="C160" s="80" t="n"/>
      <c r="D160" s="77" t="n"/>
      <c r="E160" s="77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16">
        <f>IF($L160&lt;&gt;"","Purpose "&amp;CHAR(10)&amp;$L160&amp;CHAR(10)&amp;CHAR(10),"")&amp;
IF($M160&lt;&gt;"","Stops (in order) "&amp;CHAR(10)&amp;$M160&amp;CHAR(10)&amp;CHAR(10),"")&amp;
IF($N160&lt;&gt;"","To-Do (hard requirements) "&amp;CHAR(10)&amp;$N160&amp;CHAR(10)&amp;CHAR(10),"")&amp;
IF($O160&lt;&gt;"","Suggested Timeline "&amp;CHAR(10)&amp;$O160&amp;CHAR(10)&amp;CHAR(10),"")&amp;
IF($P160&lt;&gt;"","Guardrails "&amp;CHAR(10)&amp;$P160&amp;CHAR(10)&amp;CHAR(10),"")&amp;
IF($Q160&lt;&gt;"","Completion signals "&amp;CHAR(10)&amp;$Q160,"")</f>
        <v/>
      </c>
      <c r="S160" s="25" t="n"/>
      <c r="T160" s="25" t="n"/>
      <c r="U160" s="54" t="n"/>
      <c r="V160" s="54">
        <f>IF($B160="","",IF(_xludf.TEXTJOIN(" | ",TRUE,IF($B160="","Missing Title",""),IF($C160="","Missing Date",""),IF($D160="","Missing Start",""),IF($E160="","Missing End",""),IF($G160="","Missing Required Attendees",""),IF($T160="","Missing Status",""),IF(AND($D160&lt;&gt;"",$E160&lt;&gt;"",$D160&gt;=$E160),"Start&gt;=End",""),IF(OR($R160="",LEN($R160)&lt;60,ISNUMBER(MATCH(TRIM($R160),StatusList,0))),"Body overwritten/short",""))="","OK",_xludf.TEXTJOIN(" | ",TRUE,IF($B160="","Missing Title",""),IF($C160="","Missing Date",""),IF($D160="","Missing Start",""),IF($E160="","Missing End",""),IF($G160="","Missing Required Attendees",""),IF($T160="","Missing Status",""),IF(AND($D160&lt;&gt;"",$E160&lt;&gt;"",$D160&gt;=$E160),"Start&gt;=End",""),IF(OR($R160="",LEN($R160)&lt;60,ISNUMBER(MATCH(TRIM($R160),StatusList,0))),"Body overwritten/short",""))))</f>
        <v/>
      </c>
    </row>
    <row r="161" ht="12.75" customHeight="1">
      <c r="B161" s="25" t="n"/>
      <c r="C161" s="80" t="n"/>
      <c r="D161" s="77" t="n"/>
      <c r="E161" s="77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16">
        <f>IF($L161&lt;&gt;"","Purpose "&amp;CHAR(10)&amp;$L161&amp;CHAR(10)&amp;CHAR(10),"")&amp;
IF($M161&lt;&gt;"","Stops (in order) "&amp;CHAR(10)&amp;$M161&amp;CHAR(10)&amp;CHAR(10),"")&amp;
IF($N161&lt;&gt;"","To-Do (hard requirements) "&amp;CHAR(10)&amp;$N161&amp;CHAR(10)&amp;CHAR(10),"")&amp;
IF($O161&lt;&gt;"","Suggested Timeline "&amp;CHAR(10)&amp;$O161&amp;CHAR(10)&amp;CHAR(10),"")&amp;
IF($P161&lt;&gt;"","Guardrails "&amp;CHAR(10)&amp;$P161&amp;CHAR(10)&amp;CHAR(10),"")&amp;
IF($Q161&lt;&gt;"","Completion signals "&amp;CHAR(10)&amp;$Q161,"")</f>
        <v/>
      </c>
      <c r="S161" s="25" t="n"/>
      <c r="T161" s="25" t="n"/>
      <c r="U161" s="54" t="n"/>
      <c r="V161" s="54">
        <f>IF($B161="","",IF(_xludf.TEXTJOIN(" | ",TRUE,IF($B161="","Missing Title",""),IF($C161="","Missing Date",""),IF($D161="","Missing Start",""),IF($E161="","Missing End",""),IF($G161="","Missing Required Attendees",""),IF($T161="","Missing Status",""),IF(AND($D161&lt;&gt;"",$E161&lt;&gt;"",$D161&gt;=$E161),"Start&gt;=End",""),IF(OR($R161="",LEN($R161)&lt;60,ISNUMBER(MATCH(TRIM($R161),StatusList,0))),"Body overwritten/short",""))="","OK",_xludf.TEXTJOIN(" | ",TRUE,IF($B161="","Missing Title",""),IF($C161="","Missing Date",""),IF($D161="","Missing Start",""),IF($E161="","Missing End",""),IF($G161="","Missing Required Attendees",""),IF($T161="","Missing Status",""),IF(AND($D161&lt;&gt;"",$E161&lt;&gt;"",$D161&gt;=$E161),"Start&gt;=End",""),IF(OR($R161="",LEN($R161)&lt;60,ISNUMBER(MATCH(TRIM($R161),StatusList,0))),"Body overwritten/short",""))))</f>
        <v/>
      </c>
    </row>
    <row r="162" ht="12.75" customHeight="1">
      <c r="B162" s="25" t="n"/>
      <c r="C162" s="80" t="n"/>
      <c r="D162" s="77" t="n"/>
      <c r="E162" s="77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16">
        <f>IF($L162&lt;&gt;"","Purpose "&amp;CHAR(10)&amp;$L162&amp;CHAR(10)&amp;CHAR(10),"")&amp;
IF($M162&lt;&gt;"","Stops (in order) "&amp;CHAR(10)&amp;$M162&amp;CHAR(10)&amp;CHAR(10),"")&amp;
IF($N162&lt;&gt;"","To-Do (hard requirements) "&amp;CHAR(10)&amp;$N162&amp;CHAR(10)&amp;CHAR(10),"")&amp;
IF($O162&lt;&gt;"","Suggested Timeline "&amp;CHAR(10)&amp;$O162&amp;CHAR(10)&amp;CHAR(10),"")&amp;
IF($P162&lt;&gt;"","Guardrails "&amp;CHAR(10)&amp;$P162&amp;CHAR(10)&amp;CHAR(10),"")&amp;
IF($Q162&lt;&gt;"","Completion signals "&amp;CHAR(10)&amp;$Q162,"")</f>
        <v/>
      </c>
      <c r="S162" s="25" t="n"/>
      <c r="T162" s="25" t="n"/>
      <c r="U162" s="54" t="n"/>
      <c r="V162" s="54">
        <f>IF($B162="","",IF(_xludf.TEXTJOIN(" | ",TRUE,IF($B162="","Missing Title",""),IF($C162="","Missing Date",""),IF($D162="","Missing Start",""),IF($E162="","Missing End",""),IF($G162="","Missing Required Attendees",""),IF($T162="","Missing Status",""),IF(AND($D162&lt;&gt;"",$E162&lt;&gt;"",$D162&gt;=$E162),"Start&gt;=End",""),IF(OR($R162="",LEN($R162)&lt;60,ISNUMBER(MATCH(TRIM($R162),StatusList,0))),"Body overwritten/short",""))="","OK",_xludf.TEXTJOIN(" | ",TRUE,IF($B162="","Missing Title",""),IF($C162="","Missing Date",""),IF($D162="","Missing Start",""),IF($E162="","Missing End",""),IF($G162="","Missing Required Attendees",""),IF($T162="","Missing Status",""),IF(AND($D162&lt;&gt;"",$E162&lt;&gt;"",$D162&gt;=$E162),"Start&gt;=End",""),IF(OR($R162="",LEN($R162)&lt;60,ISNUMBER(MATCH(TRIM($R162),StatusList,0))),"Body overwritten/short",""))))</f>
        <v/>
      </c>
    </row>
    <row r="163" ht="12.75" customHeight="1">
      <c r="B163" s="25" t="n"/>
      <c r="C163" s="80" t="n"/>
      <c r="D163" s="77" t="n"/>
      <c r="E163" s="77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16">
        <f>IF($L163&lt;&gt;"","Purpose "&amp;CHAR(10)&amp;$L163&amp;CHAR(10)&amp;CHAR(10),"")&amp;
IF($M163&lt;&gt;"","Stops (in order) "&amp;CHAR(10)&amp;$M163&amp;CHAR(10)&amp;CHAR(10),"")&amp;
IF($N163&lt;&gt;"","To-Do (hard requirements) "&amp;CHAR(10)&amp;$N163&amp;CHAR(10)&amp;CHAR(10),"")&amp;
IF($O163&lt;&gt;"","Suggested Timeline "&amp;CHAR(10)&amp;$O163&amp;CHAR(10)&amp;CHAR(10),"")&amp;
IF($P163&lt;&gt;"","Guardrails "&amp;CHAR(10)&amp;$P163&amp;CHAR(10)&amp;CHAR(10),"")&amp;
IF($Q163&lt;&gt;"","Completion signals "&amp;CHAR(10)&amp;$Q163,"")</f>
        <v/>
      </c>
      <c r="S163" s="25" t="n"/>
      <c r="T163" s="25" t="n"/>
      <c r="U163" s="54" t="n"/>
      <c r="V163" s="54">
        <f>IF($B163="","",IF(_xludf.TEXTJOIN(" | ",TRUE,IF($B163="","Missing Title",""),IF($C163="","Missing Date",""),IF($D163="","Missing Start",""),IF($E163="","Missing End",""),IF($G163="","Missing Required Attendees",""),IF($T163="","Missing Status",""),IF(AND($D163&lt;&gt;"",$E163&lt;&gt;"",$D163&gt;=$E163),"Start&gt;=End",""),IF(OR($R163="",LEN($R163)&lt;60,ISNUMBER(MATCH(TRIM($R163),StatusList,0))),"Body overwritten/short",""))="","OK",_xludf.TEXTJOIN(" | ",TRUE,IF($B163="","Missing Title",""),IF($C163="","Missing Date",""),IF($D163="","Missing Start",""),IF($E163="","Missing End",""),IF($G163="","Missing Required Attendees",""),IF($T163="","Missing Status",""),IF(AND($D163&lt;&gt;"",$E163&lt;&gt;"",$D163&gt;=$E163),"Start&gt;=End",""),IF(OR($R163="",LEN($R163)&lt;60,ISNUMBER(MATCH(TRIM($R163),StatusList,0))),"Body overwritten/short",""))))</f>
        <v/>
      </c>
    </row>
    <row r="164" ht="12.75" customHeight="1">
      <c r="B164" s="25" t="n"/>
      <c r="C164" s="80" t="n"/>
      <c r="D164" s="77" t="n"/>
      <c r="E164" s="77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16">
        <f>IF($L164&lt;&gt;"","Purpose "&amp;CHAR(10)&amp;$L164&amp;CHAR(10)&amp;CHAR(10),"")&amp;
IF($M164&lt;&gt;"","Stops (in order) "&amp;CHAR(10)&amp;$M164&amp;CHAR(10)&amp;CHAR(10),"")&amp;
IF($N164&lt;&gt;"","To-Do (hard requirements) "&amp;CHAR(10)&amp;$N164&amp;CHAR(10)&amp;CHAR(10),"")&amp;
IF($O164&lt;&gt;"","Suggested Timeline "&amp;CHAR(10)&amp;$O164&amp;CHAR(10)&amp;CHAR(10),"")&amp;
IF($P164&lt;&gt;"","Guardrails "&amp;CHAR(10)&amp;$P164&amp;CHAR(10)&amp;CHAR(10),"")&amp;
IF($Q164&lt;&gt;"","Completion signals "&amp;CHAR(10)&amp;$Q164,"")</f>
        <v/>
      </c>
      <c r="S164" s="25" t="n"/>
      <c r="T164" s="25" t="n"/>
      <c r="U164" s="54" t="n"/>
      <c r="V164" s="54">
        <f>IF($B164="","",IF(_xludf.TEXTJOIN(" | ",TRUE,IF($B164="","Missing Title",""),IF($C164="","Missing Date",""),IF($D164="","Missing Start",""),IF($E164="","Missing End",""),IF($G164="","Missing Required Attendees",""),IF($T164="","Missing Status",""),IF(AND($D164&lt;&gt;"",$E164&lt;&gt;"",$D164&gt;=$E164),"Start&gt;=End",""),IF(OR($R164="",LEN($R164)&lt;60,ISNUMBER(MATCH(TRIM($R164),StatusList,0))),"Body overwritten/short",""))="","OK",_xludf.TEXTJOIN(" | ",TRUE,IF($B164="","Missing Title",""),IF($C164="","Missing Date",""),IF($D164="","Missing Start",""),IF($E164="","Missing End",""),IF($G164="","Missing Required Attendees",""),IF($T164="","Missing Status",""),IF(AND($D164&lt;&gt;"",$E164&lt;&gt;"",$D164&gt;=$E164),"Start&gt;=End",""),IF(OR($R164="",LEN($R164)&lt;60,ISNUMBER(MATCH(TRIM($R164),StatusList,0))),"Body overwritten/short",""))))</f>
        <v/>
      </c>
    </row>
    <row r="165" ht="12.75" customHeight="1">
      <c r="B165" s="25" t="n"/>
      <c r="C165" s="80" t="n"/>
      <c r="D165" s="77" t="n"/>
      <c r="E165" s="77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16">
        <f>IF($L165&lt;&gt;"","Purpose "&amp;CHAR(10)&amp;$L165&amp;CHAR(10)&amp;CHAR(10),"")&amp;
IF($M165&lt;&gt;"","Stops (in order) "&amp;CHAR(10)&amp;$M165&amp;CHAR(10)&amp;CHAR(10),"")&amp;
IF($N165&lt;&gt;"","To-Do (hard requirements) "&amp;CHAR(10)&amp;$N165&amp;CHAR(10)&amp;CHAR(10),"")&amp;
IF($O165&lt;&gt;"","Suggested Timeline "&amp;CHAR(10)&amp;$O165&amp;CHAR(10)&amp;CHAR(10),"")&amp;
IF($P165&lt;&gt;"","Guardrails "&amp;CHAR(10)&amp;$P165&amp;CHAR(10)&amp;CHAR(10),"")&amp;
IF($Q165&lt;&gt;"","Completion signals "&amp;CHAR(10)&amp;$Q165,"")</f>
        <v/>
      </c>
      <c r="S165" s="25" t="n"/>
      <c r="T165" s="25" t="n"/>
      <c r="U165" s="54" t="n"/>
      <c r="V165" s="54">
        <f>IF($B165="","",IF(_xludf.TEXTJOIN(" | ",TRUE,IF($B165="","Missing Title",""),IF($C165="","Missing Date",""),IF($D165="","Missing Start",""),IF($E165="","Missing End",""),IF($G165="","Missing Required Attendees",""),IF($T165="","Missing Status",""),IF(AND($D165&lt;&gt;"",$E165&lt;&gt;"",$D165&gt;=$E165),"Start&gt;=End",""),IF(OR($R165="",LEN($R165)&lt;60,ISNUMBER(MATCH(TRIM($R165),StatusList,0))),"Body overwritten/short",""))="","OK",_xludf.TEXTJOIN(" | ",TRUE,IF($B165="","Missing Title",""),IF($C165="","Missing Date",""),IF($D165="","Missing Start",""),IF($E165="","Missing End",""),IF($G165="","Missing Required Attendees",""),IF($T165="","Missing Status",""),IF(AND($D165&lt;&gt;"",$E165&lt;&gt;"",$D165&gt;=$E165),"Start&gt;=End",""),IF(OR($R165="",LEN($R165)&lt;60,ISNUMBER(MATCH(TRIM($R165),StatusList,0))),"Body overwritten/short",""))))</f>
        <v/>
      </c>
    </row>
    <row r="166" ht="12.75" customHeight="1">
      <c r="B166" s="25" t="n"/>
      <c r="C166" s="80" t="n"/>
      <c r="D166" s="77" t="n"/>
      <c r="E166" s="77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16">
        <f>IF($L166&lt;&gt;"","Purpose "&amp;CHAR(10)&amp;$L166&amp;CHAR(10)&amp;CHAR(10),"")&amp;
IF($M166&lt;&gt;"","Stops (in order) "&amp;CHAR(10)&amp;$M166&amp;CHAR(10)&amp;CHAR(10),"")&amp;
IF($N166&lt;&gt;"","To-Do (hard requirements) "&amp;CHAR(10)&amp;$N166&amp;CHAR(10)&amp;CHAR(10),"")&amp;
IF($O166&lt;&gt;"","Suggested Timeline "&amp;CHAR(10)&amp;$O166&amp;CHAR(10)&amp;CHAR(10),"")&amp;
IF($P166&lt;&gt;"","Guardrails "&amp;CHAR(10)&amp;$P166&amp;CHAR(10)&amp;CHAR(10),"")&amp;
IF($Q166&lt;&gt;"","Completion signals "&amp;CHAR(10)&amp;$Q166,"")</f>
        <v/>
      </c>
      <c r="S166" s="25" t="n"/>
      <c r="T166" s="25" t="n"/>
      <c r="U166" s="54" t="n"/>
      <c r="V166" s="54">
        <f>IF($B166="","",IF(_xludf.TEXTJOIN(" | ",TRUE,IF($B166="","Missing Title",""),IF($C166="","Missing Date",""),IF($D166="","Missing Start",""),IF($E166="","Missing End",""),IF($G166="","Missing Required Attendees",""),IF($T166="","Missing Status",""),IF(AND($D166&lt;&gt;"",$E166&lt;&gt;"",$D166&gt;=$E166),"Start&gt;=End",""),IF(OR($R166="",LEN($R166)&lt;60,ISNUMBER(MATCH(TRIM($R166),StatusList,0))),"Body overwritten/short",""))="","OK",_xludf.TEXTJOIN(" | ",TRUE,IF($B166="","Missing Title",""),IF($C166="","Missing Date",""),IF($D166="","Missing Start",""),IF($E166="","Missing End",""),IF($G166="","Missing Required Attendees",""),IF($T166="","Missing Status",""),IF(AND($D166&lt;&gt;"",$E166&lt;&gt;"",$D166&gt;=$E166),"Start&gt;=End",""),IF(OR($R166="",LEN($R166)&lt;60,ISNUMBER(MATCH(TRIM($R166),StatusList,0))),"Body overwritten/short",""))))</f>
        <v/>
      </c>
    </row>
    <row r="167" ht="12.75" customHeight="1">
      <c r="B167" s="25" t="n"/>
      <c r="C167" s="80" t="n"/>
      <c r="D167" s="77" t="n"/>
      <c r="E167" s="77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16">
        <f>IF($L167&lt;&gt;"","Purpose "&amp;CHAR(10)&amp;$L167&amp;CHAR(10)&amp;CHAR(10),"")&amp;
IF($M167&lt;&gt;"","Stops (in order) "&amp;CHAR(10)&amp;$M167&amp;CHAR(10)&amp;CHAR(10),"")&amp;
IF($N167&lt;&gt;"","To-Do (hard requirements) "&amp;CHAR(10)&amp;$N167&amp;CHAR(10)&amp;CHAR(10),"")&amp;
IF($O167&lt;&gt;"","Suggested Timeline "&amp;CHAR(10)&amp;$O167&amp;CHAR(10)&amp;CHAR(10),"")&amp;
IF($P167&lt;&gt;"","Guardrails "&amp;CHAR(10)&amp;$P167&amp;CHAR(10)&amp;CHAR(10),"")&amp;
IF($Q167&lt;&gt;"","Completion signals "&amp;CHAR(10)&amp;$Q167,"")</f>
        <v/>
      </c>
      <c r="S167" s="25" t="n"/>
      <c r="T167" s="25" t="n"/>
      <c r="U167" s="54" t="n"/>
      <c r="V167" s="54">
        <f>IF($B167="","",IF(_xludf.TEXTJOIN(" | ",TRUE,IF($B167="","Missing Title",""),IF($C167="","Missing Date",""),IF($D167="","Missing Start",""),IF($E167="","Missing End",""),IF($G167="","Missing Required Attendees",""),IF($T167="","Missing Status",""),IF(AND($D167&lt;&gt;"",$E167&lt;&gt;"",$D167&gt;=$E167),"Start&gt;=End",""),IF(OR($R167="",LEN($R167)&lt;60,ISNUMBER(MATCH(TRIM($R167),StatusList,0))),"Body overwritten/short",""))="","OK",_xludf.TEXTJOIN(" | ",TRUE,IF($B167="","Missing Title",""),IF($C167="","Missing Date",""),IF($D167="","Missing Start",""),IF($E167="","Missing End",""),IF($G167="","Missing Required Attendees",""),IF($T167="","Missing Status",""),IF(AND($D167&lt;&gt;"",$E167&lt;&gt;"",$D167&gt;=$E167),"Start&gt;=End",""),IF(OR($R167="",LEN($R167)&lt;60,ISNUMBER(MATCH(TRIM($R167),StatusList,0))),"Body overwritten/short",""))))</f>
        <v/>
      </c>
    </row>
    <row r="168" ht="12.75" customHeight="1">
      <c r="B168" s="25" t="n"/>
      <c r="C168" s="80" t="n"/>
      <c r="D168" s="77" t="n"/>
      <c r="E168" s="77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16">
        <f>IF($L168&lt;&gt;"","Purpose "&amp;CHAR(10)&amp;$L168&amp;CHAR(10)&amp;CHAR(10),"")&amp;
IF($M168&lt;&gt;"","Stops (in order) "&amp;CHAR(10)&amp;$M168&amp;CHAR(10)&amp;CHAR(10),"")&amp;
IF($N168&lt;&gt;"","To-Do (hard requirements) "&amp;CHAR(10)&amp;$N168&amp;CHAR(10)&amp;CHAR(10),"")&amp;
IF($O168&lt;&gt;"","Suggested Timeline "&amp;CHAR(10)&amp;$O168&amp;CHAR(10)&amp;CHAR(10),"")&amp;
IF($P168&lt;&gt;"","Guardrails "&amp;CHAR(10)&amp;$P168&amp;CHAR(10)&amp;CHAR(10),"")&amp;
IF($Q168&lt;&gt;"","Completion signals "&amp;CHAR(10)&amp;$Q168,"")</f>
        <v/>
      </c>
      <c r="S168" s="25" t="n"/>
      <c r="T168" s="25" t="n"/>
      <c r="U168" s="54" t="n"/>
      <c r="V168" s="54">
        <f>IF($B168="","",IF(_xludf.TEXTJOIN(" | ",TRUE,IF($B168="","Missing Title",""),IF($C168="","Missing Date",""),IF($D168="","Missing Start",""),IF($E168="","Missing End",""),IF($G168="","Missing Required Attendees",""),IF($T168="","Missing Status",""),IF(AND($D168&lt;&gt;"",$E168&lt;&gt;"",$D168&gt;=$E168),"Start&gt;=End",""),IF(OR($R168="",LEN($R168)&lt;60,ISNUMBER(MATCH(TRIM($R168),StatusList,0))),"Body overwritten/short",""))="","OK",_xludf.TEXTJOIN(" | ",TRUE,IF($B168="","Missing Title",""),IF($C168="","Missing Date",""),IF($D168="","Missing Start",""),IF($E168="","Missing End",""),IF($G168="","Missing Required Attendees",""),IF($T168="","Missing Status",""),IF(AND($D168&lt;&gt;"",$E168&lt;&gt;"",$D168&gt;=$E168),"Start&gt;=End",""),IF(OR($R168="",LEN($R168)&lt;60,ISNUMBER(MATCH(TRIM($R168),StatusList,0))),"Body overwritten/short",""))))</f>
        <v/>
      </c>
    </row>
    <row r="169" ht="12.75" customHeight="1">
      <c r="B169" s="25" t="n"/>
      <c r="C169" s="80" t="n"/>
      <c r="D169" s="77" t="n"/>
      <c r="E169" s="77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16">
        <f>IF($L169&lt;&gt;"","Purpose "&amp;CHAR(10)&amp;$L169&amp;CHAR(10)&amp;CHAR(10),"")&amp;
IF($M169&lt;&gt;"","Stops (in order) "&amp;CHAR(10)&amp;$M169&amp;CHAR(10)&amp;CHAR(10),"")&amp;
IF($N169&lt;&gt;"","To-Do (hard requirements) "&amp;CHAR(10)&amp;$N169&amp;CHAR(10)&amp;CHAR(10),"")&amp;
IF($O169&lt;&gt;"","Suggested Timeline "&amp;CHAR(10)&amp;$O169&amp;CHAR(10)&amp;CHAR(10),"")&amp;
IF($P169&lt;&gt;"","Guardrails "&amp;CHAR(10)&amp;$P169&amp;CHAR(10)&amp;CHAR(10),"")&amp;
IF($Q169&lt;&gt;"","Completion signals "&amp;CHAR(10)&amp;$Q169,"")</f>
        <v/>
      </c>
      <c r="S169" s="25" t="n"/>
      <c r="T169" s="25" t="n"/>
      <c r="U169" s="54" t="n"/>
      <c r="V169" s="54">
        <f>IF($B169="","",IF(_xludf.TEXTJOIN(" | ",TRUE,IF($B169="","Missing Title",""),IF($C169="","Missing Date",""),IF($D169="","Missing Start",""),IF($E169="","Missing End",""),IF($G169="","Missing Required Attendees",""),IF($T169="","Missing Status",""),IF(AND($D169&lt;&gt;"",$E169&lt;&gt;"",$D169&gt;=$E169),"Start&gt;=End",""),IF(OR($R169="",LEN($R169)&lt;60,ISNUMBER(MATCH(TRIM($R169),StatusList,0))),"Body overwritten/short",""))="","OK",_xludf.TEXTJOIN(" | ",TRUE,IF($B169="","Missing Title",""),IF($C169="","Missing Date",""),IF($D169="","Missing Start",""),IF($E169="","Missing End",""),IF($G169="","Missing Required Attendees",""),IF($T169="","Missing Status",""),IF(AND($D169&lt;&gt;"",$E169&lt;&gt;"",$D169&gt;=$E169),"Start&gt;=End",""),IF(OR($R169="",LEN($R169)&lt;60,ISNUMBER(MATCH(TRIM($R169),StatusList,0))),"Body overwritten/short",""))))</f>
        <v/>
      </c>
    </row>
    <row r="170" ht="12.75" customHeight="1">
      <c r="B170" s="25" t="n"/>
      <c r="C170" s="80" t="n"/>
      <c r="D170" s="77" t="n"/>
      <c r="E170" s="77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16">
        <f>IF($L170&lt;&gt;"","Purpose "&amp;CHAR(10)&amp;$L170&amp;CHAR(10)&amp;CHAR(10),"")&amp;
IF($M170&lt;&gt;"","Stops (in order) "&amp;CHAR(10)&amp;$M170&amp;CHAR(10)&amp;CHAR(10),"")&amp;
IF($N170&lt;&gt;"","To-Do (hard requirements) "&amp;CHAR(10)&amp;$N170&amp;CHAR(10)&amp;CHAR(10),"")&amp;
IF($O170&lt;&gt;"","Suggested Timeline "&amp;CHAR(10)&amp;$O170&amp;CHAR(10)&amp;CHAR(10),"")&amp;
IF($P170&lt;&gt;"","Guardrails "&amp;CHAR(10)&amp;$P170&amp;CHAR(10)&amp;CHAR(10),"")&amp;
IF($Q170&lt;&gt;"","Completion signals "&amp;CHAR(10)&amp;$Q170,"")</f>
        <v/>
      </c>
      <c r="S170" s="25" t="n"/>
      <c r="T170" s="25" t="n"/>
      <c r="U170" s="54" t="n"/>
      <c r="V170" s="54">
        <f>IF($B170="","",IF(_xludf.TEXTJOIN(" | ",TRUE,IF($B170="","Missing Title",""),IF($C170="","Missing Date",""),IF($D170="","Missing Start",""),IF($E170="","Missing End",""),IF($G170="","Missing Required Attendees",""),IF($T170="","Missing Status",""),IF(AND($D170&lt;&gt;"",$E170&lt;&gt;"",$D170&gt;=$E170),"Start&gt;=End",""),IF(OR($R170="",LEN($R170)&lt;60,ISNUMBER(MATCH(TRIM($R170),StatusList,0))),"Body overwritten/short",""))="","OK",_xludf.TEXTJOIN(" | ",TRUE,IF($B170="","Missing Title",""),IF($C170="","Missing Date",""),IF($D170="","Missing Start",""),IF($E170="","Missing End",""),IF($G170="","Missing Required Attendees",""),IF($T170="","Missing Status",""),IF(AND($D170&lt;&gt;"",$E170&lt;&gt;"",$D170&gt;=$E170),"Start&gt;=End",""),IF(OR($R170="",LEN($R170)&lt;60,ISNUMBER(MATCH(TRIM($R170),StatusList,0))),"Body overwritten/short",""))))</f>
        <v/>
      </c>
    </row>
    <row r="171" ht="12.75" customHeight="1">
      <c r="B171" s="25" t="n"/>
      <c r="C171" s="80" t="n"/>
      <c r="D171" s="77" t="n"/>
      <c r="E171" s="77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16">
        <f>IF($L171&lt;&gt;"","Purpose "&amp;CHAR(10)&amp;$L171&amp;CHAR(10)&amp;CHAR(10),"")&amp;
IF($M171&lt;&gt;"","Stops (in order) "&amp;CHAR(10)&amp;$M171&amp;CHAR(10)&amp;CHAR(10),"")&amp;
IF($N171&lt;&gt;"","To-Do (hard requirements) "&amp;CHAR(10)&amp;$N171&amp;CHAR(10)&amp;CHAR(10),"")&amp;
IF($O171&lt;&gt;"","Suggested Timeline "&amp;CHAR(10)&amp;$O171&amp;CHAR(10)&amp;CHAR(10),"")&amp;
IF($P171&lt;&gt;"","Guardrails "&amp;CHAR(10)&amp;$P171&amp;CHAR(10)&amp;CHAR(10),"")&amp;
IF($Q171&lt;&gt;"","Completion signals "&amp;CHAR(10)&amp;$Q171,"")</f>
        <v/>
      </c>
      <c r="S171" s="25" t="n"/>
      <c r="T171" s="25" t="n"/>
      <c r="U171" s="54" t="n"/>
      <c r="V171" s="54">
        <f>IF($B171="","",IF(_xludf.TEXTJOIN(" | ",TRUE,IF($B171="","Missing Title",""),IF($C171="","Missing Date",""),IF($D171="","Missing Start",""),IF($E171="","Missing End",""),IF($G171="","Missing Required Attendees",""),IF($T171="","Missing Status",""),IF(AND($D171&lt;&gt;"",$E171&lt;&gt;"",$D171&gt;=$E171),"Start&gt;=End",""),IF(OR($R171="",LEN($R171)&lt;60,ISNUMBER(MATCH(TRIM($R171),StatusList,0))),"Body overwritten/short",""))="","OK",_xludf.TEXTJOIN(" | ",TRUE,IF($B171="","Missing Title",""),IF($C171="","Missing Date",""),IF($D171="","Missing Start",""),IF($E171="","Missing End",""),IF($G171="","Missing Required Attendees",""),IF($T171="","Missing Status",""),IF(AND($D171&lt;&gt;"",$E171&lt;&gt;"",$D171&gt;=$E171),"Start&gt;=End",""),IF(OR($R171="",LEN($R171)&lt;60,ISNUMBER(MATCH(TRIM($R171),StatusList,0))),"Body overwritten/short",""))))</f>
        <v/>
      </c>
    </row>
    <row r="172" ht="12.75" customHeight="1">
      <c r="B172" s="25" t="n"/>
      <c r="C172" s="80" t="n"/>
      <c r="D172" s="77" t="n"/>
      <c r="E172" s="77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16">
        <f>IF($L172&lt;&gt;"","Purpose "&amp;CHAR(10)&amp;$L172&amp;CHAR(10)&amp;CHAR(10),"")&amp;
IF($M172&lt;&gt;"","Stops (in order) "&amp;CHAR(10)&amp;$M172&amp;CHAR(10)&amp;CHAR(10),"")&amp;
IF($N172&lt;&gt;"","To-Do (hard requirements) "&amp;CHAR(10)&amp;$N172&amp;CHAR(10)&amp;CHAR(10),"")&amp;
IF($O172&lt;&gt;"","Suggested Timeline "&amp;CHAR(10)&amp;$O172&amp;CHAR(10)&amp;CHAR(10),"")&amp;
IF($P172&lt;&gt;"","Guardrails "&amp;CHAR(10)&amp;$P172&amp;CHAR(10)&amp;CHAR(10),"")&amp;
IF($Q172&lt;&gt;"","Completion signals "&amp;CHAR(10)&amp;$Q172,"")</f>
        <v/>
      </c>
      <c r="S172" s="25" t="n"/>
      <c r="T172" s="25" t="n"/>
      <c r="U172" s="54" t="n"/>
      <c r="V172" s="54">
        <f>IF($B172="","",IF(_xludf.TEXTJOIN(" | ",TRUE,IF($B172="","Missing Title",""),IF($C172="","Missing Date",""),IF($D172="","Missing Start",""),IF($E172="","Missing End",""),IF($G172="","Missing Required Attendees",""),IF($T172="","Missing Status",""),IF(AND($D172&lt;&gt;"",$E172&lt;&gt;"",$D172&gt;=$E172),"Start&gt;=End",""),IF(OR($R172="",LEN($R172)&lt;60,ISNUMBER(MATCH(TRIM($R172),StatusList,0))),"Body overwritten/short",""))="","OK",_xludf.TEXTJOIN(" | ",TRUE,IF($B172="","Missing Title",""),IF($C172="","Missing Date",""),IF($D172="","Missing Start",""),IF($E172="","Missing End",""),IF($G172="","Missing Required Attendees",""),IF($T172="","Missing Status",""),IF(AND($D172&lt;&gt;"",$E172&lt;&gt;"",$D172&gt;=$E172),"Start&gt;=End",""),IF(OR($R172="",LEN($R172)&lt;60,ISNUMBER(MATCH(TRIM($R172),StatusList,0))),"Body overwritten/short",""))))</f>
        <v/>
      </c>
    </row>
    <row r="173" ht="12.75" customHeight="1">
      <c r="B173" s="25" t="n"/>
      <c r="C173" s="80" t="n"/>
      <c r="D173" s="77" t="n"/>
      <c r="E173" s="77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16">
        <f>IF($L173&lt;&gt;"","Purpose "&amp;CHAR(10)&amp;$L173&amp;CHAR(10)&amp;CHAR(10),"")&amp;
IF($M173&lt;&gt;"","Stops (in order) "&amp;CHAR(10)&amp;$M173&amp;CHAR(10)&amp;CHAR(10),"")&amp;
IF($N173&lt;&gt;"","To-Do (hard requirements) "&amp;CHAR(10)&amp;$N173&amp;CHAR(10)&amp;CHAR(10),"")&amp;
IF($O173&lt;&gt;"","Suggested Timeline "&amp;CHAR(10)&amp;$O173&amp;CHAR(10)&amp;CHAR(10),"")&amp;
IF($P173&lt;&gt;"","Guardrails "&amp;CHAR(10)&amp;$P173&amp;CHAR(10)&amp;CHAR(10),"")&amp;
IF($Q173&lt;&gt;"","Completion signals "&amp;CHAR(10)&amp;$Q173,"")</f>
        <v/>
      </c>
      <c r="S173" s="25" t="n"/>
      <c r="T173" s="25" t="n"/>
      <c r="U173" s="54" t="n"/>
      <c r="V173" s="54">
        <f>IF($B173="","",IF(_xludf.TEXTJOIN(" | ",TRUE,IF($B173="","Missing Title",""),IF($C173="","Missing Date",""),IF($D173="","Missing Start",""),IF($E173="","Missing End",""),IF($G173="","Missing Required Attendees",""),IF($T173="","Missing Status",""),IF(AND($D173&lt;&gt;"",$E173&lt;&gt;"",$D173&gt;=$E173),"Start&gt;=End",""),IF(OR($R173="",LEN($R173)&lt;60,ISNUMBER(MATCH(TRIM($R173),StatusList,0))),"Body overwritten/short",""))="","OK",_xludf.TEXTJOIN(" | ",TRUE,IF($B173="","Missing Title",""),IF($C173="","Missing Date",""),IF($D173="","Missing Start",""),IF($E173="","Missing End",""),IF($G173="","Missing Required Attendees",""),IF($T173="","Missing Status",""),IF(AND($D173&lt;&gt;"",$E173&lt;&gt;"",$D173&gt;=$E173),"Start&gt;=End",""),IF(OR($R173="",LEN($R173)&lt;60,ISNUMBER(MATCH(TRIM($R173),StatusList,0))),"Body overwritten/short",""))))</f>
        <v/>
      </c>
    </row>
    <row r="174" ht="12.75" customHeight="1">
      <c r="B174" s="25" t="n"/>
      <c r="C174" s="80" t="n"/>
      <c r="D174" s="77" t="n"/>
      <c r="E174" s="77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16">
        <f>IF($L174&lt;&gt;"","Purpose "&amp;CHAR(10)&amp;$L174&amp;CHAR(10)&amp;CHAR(10),"")&amp;
IF($M174&lt;&gt;"","Stops (in order) "&amp;CHAR(10)&amp;$M174&amp;CHAR(10)&amp;CHAR(10),"")&amp;
IF($N174&lt;&gt;"","To-Do (hard requirements) "&amp;CHAR(10)&amp;$N174&amp;CHAR(10)&amp;CHAR(10),"")&amp;
IF($O174&lt;&gt;"","Suggested Timeline "&amp;CHAR(10)&amp;$O174&amp;CHAR(10)&amp;CHAR(10),"")&amp;
IF($P174&lt;&gt;"","Guardrails "&amp;CHAR(10)&amp;$P174&amp;CHAR(10)&amp;CHAR(10),"")&amp;
IF($Q174&lt;&gt;"","Completion signals "&amp;CHAR(10)&amp;$Q174,"")</f>
        <v/>
      </c>
      <c r="S174" s="25" t="n"/>
      <c r="T174" s="25" t="n"/>
      <c r="U174" s="54" t="n"/>
      <c r="V174" s="54">
        <f>IF($B174="","",IF(_xludf.TEXTJOIN(" | ",TRUE,IF($B174="","Missing Title",""),IF($C174="","Missing Date",""),IF($D174="","Missing Start",""),IF($E174="","Missing End",""),IF($G174="","Missing Required Attendees",""),IF($T174="","Missing Status",""),IF(AND($D174&lt;&gt;"",$E174&lt;&gt;"",$D174&gt;=$E174),"Start&gt;=End",""),IF(OR($R174="",LEN($R174)&lt;60,ISNUMBER(MATCH(TRIM($R174),StatusList,0))),"Body overwritten/short",""))="","OK",_xludf.TEXTJOIN(" | ",TRUE,IF($B174="","Missing Title",""),IF($C174="","Missing Date",""),IF($D174="","Missing Start",""),IF($E174="","Missing End",""),IF($G174="","Missing Required Attendees",""),IF($T174="","Missing Status",""),IF(AND($D174&lt;&gt;"",$E174&lt;&gt;"",$D174&gt;=$E174),"Start&gt;=End",""),IF(OR($R174="",LEN($R174)&lt;60,ISNUMBER(MATCH(TRIM($R174),StatusList,0))),"Body overwritten/short",""))))</f>
        <v/>
      </c>
    </row>
    <row r="175" ht="12.75" customHeight="1">
      <c r="B175" s="25" t="n"/>
      <c r="C175" s="80" t="n"/>
      <c r="D175" s="77" t="n"/>
      <c r="E175" s="77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16">
        <f>IF($L175&lt;&gt;"","Purpose "&amp;CHAR(10)&amp;$L175&amp;CHAR(10)&amp;CHAR(10),"")&amp;
IF($M175&lt;&gt;"","Stops (in order) "&amp;CHAR(10)&amp;$M175&amp;CHAR(10)&amp;CHAR(10),"")&amp;
IF($N175&lt;&gt;"","To-Do (hard requirements) "&amp;CHAR(10)&amp;$N175&amp;CHAR(10)&amp;CHAR(10),"")&amp;
IF($O175&lt;&gt;"","Suggested Timeline "&amp;CHAR(10)&amp;$O175&amp;CHAR(10)&amp;CHAR(10),"")&amp;
IF($P175&lt;&gt;"","Guardrails "&amp;CHAR(10)&amp;$P175&amp;CHAR(10)&amp;CHAR(10),"")&amp;
IF($Q175&lt;&gt;"","Completion signals "&amp;CHAR(10)&amp;$Q175,"")</f>
        <v/>
      </c>
      <c r="S175" s="25" t="n"/>
      <c r="T175" s="25" t="n"/>
      <c r="U175" s="54" t="n"/>
      <c r="V175" s="54">
        <f>IF($B175="","",IF(_xludf.TEXTJOIN(" | ",TRUE,IF($B175="","Missing Title",""),IF($C175="","Missing Date",""),IF($D175="","Missing Start",""),IF($E175="","Missing End",""),IF($G175="","Missing Required Attendees",""),IF($T175="","Missing Status",""),IF(AND($D175&lt;&gt;"",$E175&lt;&gt;"",$D175&gt;=$E175),"Start&gt;=End",""),IF(OR($R175="",LEN($R175)&lt;60,ISNUMBER(MATCH(TRIM($R175),StatusList,0))),"Body overwritten/short",""))="","OK",_xludf.TEXTJOIN(" | ",TRUE,IF($B175="","Missing Title",""),IF($C175="","Missing Date",""),IF($D175="","Missing Start",""),IF($E175="","Missing End",""),IF($G175="","Missing Required Attendees",""),IF($T175="","Missing Status",""),IF(AND($D175&lt;&gt;"",$E175&lt;&gt;"",$D175&gt;=$E175),"Start&gt;=End",""),IF(OR($R175="",LEN($R175)&lt;60,ISNUMBER(MATCH(TRIM($R175),StatusList,0))),"Body overwritten/short",""))))</f>
        <v/>
      </c>
    </row>
    <row r="176" ht="12.75" customHeight="1">
      <c r="B176" s="25" t="n"/>
      <c r="C176" s="80" t="n"/>
      <c r="D176" s="77" t="n"/>
      <c r="E176" s="77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16">
        <f>IF($L176&lt;&gt;"","Purpose "&amp;CHAR(10)&amp;$L176&amp;CHAR(10)&amp;CHAR(10),"")&amp;
IF($M176&lt;&gt;"","Stops (in order) "&amp;CHAR(10)&amp;$M176&amp;CHAR(10)&amp;CHAR(10),"")&amp;
IF($N176&lt;&gt;"","To-Do (hard requirements) "&amp;CHAR(10)&amp;$N176&amp;CHAR(10)&amp;CHAR(10),"")&amp;
IF($O176&lt;&gt;"","Suggested Timeline "&amp;CHAR(10)&amp;$O176&amp;CHAR(10)&amp;CHAR(10),"")&amp;
IF($P176&lt;&gt;"","Guardrails "&amp;CHAR(10)&amp;$P176&amp;CHAR(10)&amp;CHAR(10),"")&amp;
IF($Q176&lt;&gt;"","Completion signals "&amp;CHAR(10)&amp;$Q176,"")</f>
        <v/>
      </c>
      <c r="S176" s="25" t="n"/>
      <c r="T176" s="25" t="n"/>
      <c r="U176" s="54" t="n"/>
      <c r="V176" s="54">
        <f>IF($B176="","",IF(_xludf.TEXTJOIN(" | ",TRUE,IF($B176="","Missing Title",""),IF($C176="","Missing Date",""),IF($D176="","Missing Start",""),IF($E176="","Missing End",""),IF($G176="","Missing Required Attendees",""),IF($T176="","Missing Status",""),IF(AND($D176&lt;&gt;"",$E176&lt;&gt;"",$D176&gt;=$E176),"Start&gt;=End",""),IF(OR($R176="",LEN($R176)&lt;60,ISNUMBER(MATCH(TRIM($R176),StatusList,0))),"Body overwritten/short",""))="","OK",_xludf.TEXTJOIN(" | ",TRUE,IF($B176="","Missing Title",""),IF($C176="","Missing Date",""),IF($D176="","Missing Start",""),IF($E176="","Missing End",""),IF($G176="","Missing Required Attendees",""),IF($T176="","Missing Status",""),IF(AND($D176&lt;&gt;"",$E176&lt;&gt;"",$D176&gt;=$E176),"Start&gt;=End",""),IF(OR($R176="",LEN($R176)&lt;60,ISNUMBER(MATCH(TRIM($R176),StatusList,0))),"Body overwritten/short",""))))</f>
        <v/>
      </c>
    </row>
    <row r="177" ht="12.75" customHeight="1">
      <c r="B177" s="25" t="n"/>
      <c r="C177" s="80" t="n"/>
      <c r="D177" s="77" t="n"/>
      <c r="E177" s="77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16">
        <f>IF($L177&lt;&gt;"","Purpose "&amp;CHAR(10)&amp;$L177&amp;CHAR(10)&amp;CHAR(10),"")&amp;
IF($M177&lt;&gt;"","Stops (in order) "&amp;CHAR(10)&amp;$M177&amp;CHAR(10)&amp;CHAR(10),"")&amp;
IF($N177&lt;&gt;"","To-Do (hard requirements) "&amp;CHAR(10)&amp;$N177&amp;CHAR(10)&amp;CHAR(10),"")&amp;
IF($O177&lt;&gt;"","Suggested Timeline "&amp;CHAR(10)&amp;$O177&amp;CHAR(10)&amp;CHAR(10),"")&amp;
IF($P177&lt;&gt;"","Guardrails "&amp;CHAR(10)&amp;$P177&amp;CHAR(10)&amp;CHAR(10),"")&amp;
IF($Q177&lt;&gt;"","Completion signals "&amp;CHAR(10)&amp;$Q177,"")</f>
        <v/>
      </c>
      <c r="S177" s="25" t="n"/>
      <c r="T177" s="25" t="n"/>
      <c r="U177" s="54" t="n"/>
      <c r="V177" s="54">
        <f>IF($B177="","",IF(_xludf.TEXTJOIN(" | ",TRUE,IF($B177="","Missing Title",""),IF($C177="","Missing Date",""),IF($D177="","Missing Start",""),IF($E177="","Missing End",""),IF($G177="","Missing Required Attendees",""),IF($T177="","Missing Status",""),IF(AND($D177&lt;&gt;"",$E177&lt;&gt;"",$D177&gt;=$E177),"Start&gt;=End",""),IF(OR($R177="",LEN($R177)&lt;60,ISNUMBER(MATCH(TRIM($R177),StatusList,0))),"Body overwritten/short",""))="","OK",_xludf.TEXTJOIN(" | ",TRUE,IF($B177="","Missing Title",""),IF($C177="","Missing Date",""),IF($D177="","Missing Start",""),IF($E177="","Missing End",""),IF($G177="","Missing Required Attendees",""),IF($T177="","Missing Status",""),IF(AND($D177&lt;&gt;"",$E177&lt;&gt;"",$D177&gt;=$E177),"Start&gt;=End",""),IF(OR($R177="",LEN($R177)&lt;60,ISNUMBER(MATCH(TRIM($R177),StatusList,0))),"Body overwritten/short",""))))</f>
        <v/>
      </c>
    </row>
    <row r="178" ht="12.75" customHeight="1">
      <c r="B178" s="25" t="n"/>
      <c r="C178" s="80" t="n"/>
      <c r="D178" s="77" t="n"/>
      <c r="E178" s="77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16">
        <f>IF($L178&lt;&gt;"","Purpose "&amp;CHAR(10)&amp;$L178&amp;CHAR(10)&amp;CHAR(10),"")&amp;
IF($M178&lt;&gt;"","Stops (in order) "&amp;CHAR(10)&amp;$M178&amp;CHAR(10)&amp;CHAR(10),"")&amp;
IF($N178&lt;&gt;"","To-Do (hard requirements) "&amp;CHAR(10)&amp;$N178&amp;CHAR(10)&amp;CHAR(10),"")&amp;
IF($O178&lt;&gt;"","Suggested Timeline "&amp;CHAR(10)&amp;$O178&amp;CHAR(10)&amp;CHAR(10),"")&amp;
IF($P178&lt;&gt;"","Guardrails "&amp;CHAR(10)&amp;$P178&amp;CHAR(10)&amp;CHAR(10),"")&amp;
IF($Q178&lt;&gt;"","Completion signals "&amp;CHAR(10)&amp;$Q178,"")</f>
        <v/>
      </c>
      <c r="S178" s="25" t="n"/>
      <c r="T178" s="25" t="n"/>
      <c r="U178" s="54" t="n"/>
      <c r="V178" s="54">
        <f>IF($B178="","",IF(_xludf.TEXTJOIN(" | ",TRUE,IF($B178="","Missing Title",""),IF($C178="","Missing Date",""),IF($D178="","Missing Start",""),IF($E178="","Missing End",""),IF($G178="","Missing Required Attendees",""),IF($T178="","Missing Status",""),IF(AND($D178&lt;&gt;"",$E178&lt;&gt;"",$D178&gt;=$E178),"Start&gt;=End",""),IF(OR($R178="",LEN($R178)&lt;60,ISNUMBER(MATCH(TRIM($R178),StatusList,0))),"Body overwritten/short",""))="","OK",_xludf.TEXTJOIN(" | ",TRUE,IF($B178="","Missing Title",""),IF($C178="","Missing Date",""),IF($D178="","Missing Start",""),IF($E178="","Missing End",""),IF($G178="","Missing Required Attendees",""),IF($T178="","Missing Status",""),IF(AND($D178&lt;&gt;"",$E178&lt;&gt;"",$D178&gt;=$E178),"Start&gt;=End",""),IF(OR($R178="",LEN($R178)&lt;60,ISNUMBER(MATCH(TRIM($R178),StatusList,0))),"Body overwritten/short",""))))</f>
        <v/>
      </c>
    </row>
    <row r="179" ht="12.75" customHeight="1">
      <c r="B179" s="25" t="n"/>
      <c r="C179" s="80" t="n"/>
      <c r="D179" s="77" t="n"/>
      <c r="E179" s="77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16">
        <f>IF($L179&lt;&gt;"","Purpose "&amp;CHAR(10)&amp;$L179&amp;CHAR(10)&amp;CHAR(10),"")&amp;
IF($M179&lt;&gt;"","Stops (in order) "&amp;CHAR(10)&amp;$M179&amp;CHAR(10)&amp;CHAR(10),"")&amp;
IF($N179&lt;&gt;"","To-Do (hard requirements) "&amp;CHAR(10)&amp;$N179&amp;CHAR(10)&amp;CHAR(10),"")&amp;
IF($O179&lt;&gt;"","Suggested Timeline "&amp;CHAR(10)&amp;$O179&amp;CHAR(10)&amp;CHAR(10),"")&amp;
IF($P179&lt;&gt;"","Guardrails "&amp;CHAR(10)&amp;$P179&amp;CHAR(10)&amp;CHAR(10),"")&amp;
IF($Q179&lt;&gt;"","Completion signals "&amp;CHAR(10)&amp;$Q179,"")</f>
        <v/>
      </c>
      <c r="S179" s="25" t="n"/>
      <c r="T179" s="25" t="n"/>
      <c r="U179" s="54" t="n"/>
      <c r="V179" s="54">
        <f>IF($B179="","",IF(_xludf.TEXTJOIN(" | ",TRUE,IF($B179="","Missing Title",""),IF($C179="","Missing Date",""),IF($D179="","Missing Start",""),IF($E179="","Missing End",""),IF($G179="","Missing Required Attendees",""),IF($T179="","Missing Status",""),IF(AND($D179&lt;&gt;"",$E179&lt;&gt;"",$D179&gt;=$E179),"Start&gt;=End",""),IF(OR($R179="",LEN($R179)&lt;60,ISNUMBER(MATCH(TRIM($R179),StatusList,0))),"Body overwritten/short",""))="","OK",_xludf.TEXTJOIN(" | ",TRUE,IF($B179="","Missing Title",""),IF($C179="","Missing Date",""),IF($D179="","Missing Start",""),IF($E179="","Missing End",""),IF($G179="","Missing Required Attendees",""),IF($T179="","Missing Status",""),IF(AND($D179&lt;&gt;"",$E179&lt;&gt;"",$D179&gt;=$E179),"Start&gt;=End",""),IF(OR($R179="",LEN($R179)&lt;60,ISNUMBER(MATCH(TRIM($R179),StatusList,0))),"Body overwritten/short",""))))</f>
        <v/>
      </c>
    </row>
    <row r="180" ht="12.75" customHeight="1">
      <c r="B180" s="25" t="n"/>
      <c r="C180" s="80" t="n"/>
      <c r="D180" s="77" t="n"/>
      <c r="E180" s="77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16">
        <f>IF($L180&lt;&gt;"","Purpose "&amp;CHAR(10)&amp;$L180&amp;CHAR(10)&amp;CHAR(10),"")&amp;
IF($M180&lt;&gt;"","Stops (in order) "&amp;CHAR(10)&amp;$M180&amp;CHAR(10)&amp;CHAR(10),"")&amp;
IF($N180&lt;&gt;"","To-Do (hard requirements) "&amp;CHAR(10)&amp;$N180&amp;CHAR(10)&amp;CHAR(10),"")&amp;
IF($O180&lt;&gt;"","Suggested Timeline "&amp;CHAR(10)&amp;$O180&amp;CHAR(10)&amp;CHAR(10),"")&amp;
IF($P180&lt;&gt;"","Guardrails "&amp;CHAR(10)&amp;$P180&amp;CHAR(10)&amp;CHAR(10),"")&amp;
IF($Q180&lt;&gt;"","Completion signals "&amp;CHAR(10)&amp;$Q180,"")</f>
        <v/>
      </c>
      <c r="S180" s="25" t="n"/>
      <c r="T180" s="25" t="n"/>
      <c r="U180" s="54" t="n"/>
      <c r="V180" s="54">
        <f>IF($B180="","",IF(_xludf.TEXTJOIN(" | ",TRUE,IF($B180="","Missing Title",""),IF($C180="","Missing Date",""),IF($D180="","Missing Start",""),IF($E180="","Missing End",""),IF($G180="","Missing Required Attendees",""),IF($T180="","Missing Status",""),IF(AND($D180&lt;&gt;"",$E180&lt;&gt;"",$D180&gt;=$E180),"Start&gt;=End",""),IF(OR($R180="",LEN($R180)&lt;60,ISNUMBER(MATCH(TRIM($R180),StatusList,0))),"Body overwritten/short",""))="","OK",_xludf.TEXTJOIN(" | ",TRUE,IF($B180="","Missing Title",""),IF($C180="","Missing Date",""),IF($D180="","Missing Start",""),IF($E180="","Missing End",""),IF($G180="","Missing Required Attendees",""),IF($T180="","Missing Status",""),IF(AND($D180&lt;&gt;"",$E180&lt;&gt;"",$D180&gt;=$E180),"Start&gt;=End",""),IF(OR($R180="",LEN($R180)&lt;60,ISNUMBER(MATCH(TRIM($R180),StatusList,0))),"Body overwritten/short",""))))</f>
        <v/>
      </c>
    </row>
    <row r="181" ht="12.75" customHeight="1">
      <c r="B181" s="25" t="n"/>
      <c r="C181" s="80" t="n"/>
      <c r="D181" s="77" t="n"/>
      <c r="E181" s="77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16">
        <f>IF($L181&lt;&gt;"","Purpose "&amp;CHAR(10)&amp;$L181&amp;CHAR(10)&amp;CHAR(10),"")&amp;
IF($M181&lt;&gt;"","Stops (in order) "&amp;CHAR(10)&amp;$M181&amp;CHAR(10)&amp;CHAR(10),"")&amp;
IF($N181&lt;&gt;"","To-Do (hard requirements) "&amp;CHAR(10)&amp;$N181&amp;CHAR(10)&amp;CHAR(10),"")&amp;
IF($O181&lt;&gt;"","Suggested Timeline "&amp;CHAR(10)&amp;$O181&amp;CHAR(10)&amp;CHAR(10),"")&amp;
IF($P181&lt;&gt;"","Guardrails "&amp;CHAR(10)&amp;$P181&amp;CHAR(10)&amp;CHAR(10),"")&amp;
IF($Q181&lt;&gt;"","Completion signals "&amp;CHAR(10)&amp;$Q181,"")</f>
        <v/>
      </c>
      <c r="S181" s="25" t="n"/>
      <c r="T181" s="25" t="n"/>
      <c r="U181" s="54" t="n"/>
      <c r="V181" s="54">
        <f>IF($B181="","",IF(_xludf.TEXTJOIN(" | ",TRUE,IF($B181="","Missing Title",""),IF($C181="","Missing Date",""),IF($D181="","Missing Start",""),IF($E181="","Missing End",""),IF($G181="","Missing Required Attendees",""),IF($T181="","Missing Status",""),IF(AND($D181&lt;&gt;"",$E181&lt;&gt;"",$D181&gt;=$E181),"Start&gt;=End",""),IF(OR($R181="",LEN($R181)&lt;60,ISNUMBER(MATCH(TRIM($R181),StatusList,0))),"Body overwritten/short",""))="","OK",_xludf.TEXTJOIN(" | ",TRUE,IF($B181="","Missing Title",""),IF($C181="","Missing Date",""),IF($D181="","Missing Start",""),IF($E181="","Missing End",""),IF($G181="","Missing Required Attendees",""),IF($T181="","Missing Status",""),IF(AND($D181&lt;&gt;"",$E181&lt;&gt;"",$D181&gt;=$E181),"Start&gt;=End",""),IF(OR($R181="",LEN($R181)&lt;60,ISNUMBER(MATCH(TRIM($R181),StatusList,0))),"Body overwritten/short",""))))</f>
        <v/>
      </c>
    </row>
    <row r="182" ht="12.75" customHeight="1">
      <c r="B182" s="25" t="n"/>
      <c r="C182" s="80" t="n"/>
      <c r="D182" s="77" t="n"/>
      <c r="E182" s="77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16">
        <f>IF($L182&lt;&gt;"","Purpose "&amp;CHAR(10)&amp;$L182&amp;CHAR(10)&amp;CHAR(10),"")&amp;
IF($M182&lt;&gt;"","Stops (in order) "&amp;CHAR(10)&amp;$M182&amp;CHAR(10)&amp;CHAR(10),"")&amp;
IF($N182&lt;&gt;"","To-Do (hard requirements) "&amp;CHAR(10)&amp;$N182&amp;CHAR(10)&amp;CHAR(10),"")&amp;
IF($O182&lt;&gt;"","Suggested Timeline "&amp;CHAR(10)&amp;$O182&amp;CHAR(10)&amp;CHAR(10),"")&amp;
IF($P182&lt;&gt;"","Guardrails "&amp;CHAR(10)&amp;$P182&amp;CHAR(10)&amp;CHAR(10),"")&amp;
IF($Q182&lt;&gt;"","Completion signals "&amp;CHAR(10)&amp;$Q182,"")</f>
        <v/>
      </c>
      <c r="S182" s="25" t="n"/>
      <c r="T182" s="25" t="n"/>
      <c r="U182" s="54" t="n"/>
      <c r="V182" s="54">
        <f>IF($B182="","",IF(_xludf.TEXTJOIN(" | ",TRUE,IF($B182="","Missing Title",""),IF($C182="","Missing Date",""),IF($D182="","Missing Start",""),IF($E182="","Missing End",""),IF($G182="","Missing Required Attendees",""),IF($T182="","Missing Status",""),IF(AND($D182&lt;&gt;"",$E182&lt;&gt;"",$D182&gt;=$E182),"Start&gt;=End",""),IF(OR($R182="",LEN($R182)&lt;60,ISNUMBER(MATCH(TRIM($R182),StatusList,0))),"Body overwritten/short",""))="","OK",_xludf.TEXTJOIN(" | ",TRUE,IF($B182="","Missing Title",""),IF($C182="","Missing Date",""),IF($D182="","Missing Start",""),IF($E182="","Missing End",""),IF($G182="","Missing Required Attendees",""),IF($T182="","Missing Status",""),IF(AND($D182&lt;&gt;"",$E182&lt;&gt;"",$D182&gt;=$E182),"Start&gt;=End",""),IF(OR($R182="",LEN($R182)&lt;60,ISNUMBER(MATCH(TRIM($R182),StatusList,0))),"Body overwritten/short",""))))</f>
        <v/>
      </c>
    </row>
    <row r="183" ht="12.75" customHeight="1">
      <c r="B183" s="25" t="n"/>
      <c r="C183" s="80" t="n"/>
      <c r="D183" s="77" t="n"/>
      <c r="E183" s="77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16">
        <f>IF($L183&lt;&gt;"","Purpose "&amp;CHAR(10)&amp;$L183&amp;CHAR(10)&amp;CHAR(10),"")&amp;
IF($M183&lt;&gt;"","Stops (in order) "&amp;CHAR(10)&amp;$M183&amp;CHAR(10)&amp;CHAR(10),"")&amp;
IF($N183&lt;&gt;"","To-Do (hard requirements) "&amp;CHAR(10)&amp;$N183&amp;CHAR(10)&amp;CHAR(10),"")&amp;
IF($O183&lt;&gt;"","Suggested Timeline "&amp;CHAR(10)&amp;$O183&amp;CHAR(10)&amp;CHAR(10),"")&amp;
IF($P183&lt;&gt;"","Guardrails "&amp;CHAR(10)&amp;$P183&amp;CHAR(10)&amp;CHAR(10),"")&amp;
IF($Q183&lt;&gt;"","Completion signals "&amp;CHAR(10)&amp;$Q183,"")</f>
        <v/>
      </c>
      <c r="S183" s="25" t="n"/>
      <c r="T183" s="25" t="n"/>
      <c r="U183" s="54" t="n"/>
      <c r="V183" s="54">
        <f>IF($B183="","",IF(_xludf.TEXTJOIN(" | ",TRUE,IF($B183="","Missing Title",""),IF($C183="","Missing Date",""),IF($D183="","Missing Start",""),IF($E183="","Missing End",""),IF($G183="","Missing Required Attendees",""),IF($T183="","Missing Status",""),IF(AND($D183&lt;&gt;"",$E183&lt;&gt;"",$D183&gt;=$E183),"Start&gt;=End",""),IF(OR($R183="",LEN($R183)&lt;60,ISNUMBER(MATCH(TRIM($R183),StatusList,0))),"Body overwritten/short",""))="","OK",_xludf.TEXTJOIN(" | ",TRUE,IF($B183="","Missing Title",""),IF($C183="","Missing Date",""),IF($D183="","Missing Start",""),IF($E183="","Missing End",""),IF($G183="","Missing Required Attendees",""),IF($T183="","Missing Status",""),IF(AND($D183&lt;&gt;"",$E183&lt;&gt;"",$D183&gt;=$E183),"Start&gt;=End",""),IF(OR($R183="",LEN($R183)&lt;60,ISNUMBER(MATCH(TRIM($R183),StatusList,0))),"Body overwritten/short",""))))</f>
        <v/>
      </c>
    </row>
    <row r="184" ht="12.75" customHeight="1">
      <c r="B184" s="25" t="n"/>
      <c r="C184" s="80" t="n"/>
      <c r="D184" s="77" t="n"/>
      <c r="E184" s="77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16">
        <f>IF($L184&lt;&gt;"","Purpose "&amp;CHAR(10)&amp;$L184&amp;CHAR(10)&amp;CHAR(10),"")&amp;
IF($M184&lt;&gt;"","Stops (in order) "&amp;CHAR(10)&amp;$M184&amp;CHAR(10)&amp;CHAR(10),"")&amp;
IF($N184&lt;&gt;"","To-Do (hard requirements) "&amp;CHAR(10)&amp;$N184&amp;CHAR(10)&amp;CHAR(10),"")&amp;
IF($O184&lt;&gt;"","Suggested Timeline "&amp;CHAR(10)&amp;$O184&amp;CHAR(10)&amp;CHAR(10),"")&amp;
IF($P184&lt;&gt;"","Guardrails "&amp;CHAR(10)&amp;$P184&amp;CHAR(10)&amp;CHAR(10),"")&amp;
IF($Q184&lt;&gt;"","Completion signals "&amp;CHAR(10)&amp;$Q184,"")</f>
        <v/>
      </c>
      <c r="S184" s="25" t="n"/>
      <c r="T184" s="25" t="n"/>
      <c r="U184" s="54" t="n"/>
      <c r="V184" s="54">
        <f>IF($B184="","",IF(_xludf.TEXTJOIN(" | ",TRUE,IF($B184="","Missing Title",""),IF($C184="","Missing Date",""),IF($D184="","Missing Start",""),IF($E184="","Missing End",""),IF($G184="","Missing Required Attendees",""),IF($T184="","Missing Status",""),IF(AND($D184&lt;&gt;"",$E184&lt;&gt;"",$D184&gt;=$E184),"Start&gt;=End",""),IF(OR($R184="",LEN($R184)&lt;60,ISNUMBER(MATCH(TRIM($R184),StatusList,0))),"Body overwritten/short",""))="","OK",_xludf.TEXTJOIN(" | ",TRUE,IF($B184="","Missing Title",""),IF($C184="","Missing Date",""),IF($D184="","Missing Start",""),IF($E184="","Missing End",""),IF($G184="","Missing Required Attendees",""),IF($T184="","Missing Status",""),IF(AND($D184&lt;&gt;"",$E184&lt;&gt;"",$D184&gt;=$E184),"Start&gt;=End",""),IF(OR($R184="",LEN($R184)&lt;60,ISNUMBER(MATCH(TRIM($R184),StatusList,0))),"Body overwritten/short",""))))</f>
        <v/>
      </c>
    </row>
    <row r="185" ht="12.75" customHeight="1">
      <c r="B185" s="25" t="n"/>
      <c r="C185" s="80" t="n"/>
      <c r="D185" s="77" t="n"/>
      <c r="E185" s="77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16">
        <f>IF($L185&lt;&gt;"","Purpose "&amp;CHAR(10)&amp;$L185&amp;CHAR(10)&amp;CHAR(10),"")&amp;
IF($M185&lt;&gt;"","Stops (in order) "&amp;CHAR(10)&amp;$M185&amp;CHAR(10)&amp;CHAR(10),"")&amp;
IF($N185&lt;&gt;"","To-Do (hard requirements) "&amp;CHAR(10)&amp;$N185&amp;CHAR(10)&amp;CHAR(10),"")&amp;
IF($O185&lt;&gt;"","Suggested Timeline "&amp;CHAR(10)&amp;$O185&amp;CHAR(10)&amp;CHAR(10),"")&amp;
IF($P185&lt;&gt;"","Guardrails "&amp;CHAR(10)&amp;$P185&amp;CHAR(10)&amp;CHAR(10),"")&amp;
IF($Q185&lt;&gt;"","Completion signals "&amp;CHAR(10)&amp;$Q185,"")</f>
        <v/>
      </c>
      <c r="S185" s="25" t="n"/>
      <c r="T185" s="25" t="n"/>
      <c r="U185" s="54" t="n"/>
      <c r="V185" s="54">
        <f>IF($B185="","",IF(_xludf.TEXTJOIN(" | ",TRUE,IF($B185="","Missing Title",""),IF($C185="","Missing Date",""),IF($D185="","Missing Start",""),IF($E185="","Missing End",""),IF($G185="","Missing Required Attendees",""),IF($T185="","Missing Status",""),IF(AND($D185&lt;&gt;"",$E185&lt;&gt;"",$D185&gt;=$E185),"Start&gt;=End",""),IF(OR($R185="",LEN($R185)&lt;60,ISNUMBER(MATCH(TRIM($R185),StatusList,0))),"Body overwritten/short",""))="","OK",_xludf.TEXTJOIN(" | ",TRUE,IF($B185="","Missing Title",""),IF($C185="","Missing Date",""),IF($D185="","Missing Start",""),IF($E185="","Missing End",""),IF($G185="","Missing Required Attendees",""),IF($T185="","Missing Status",""),IF(AND($D185&lt;&gt;"",$E185&lt;&gt;"",$D185&gt;=$E185),"Start&gt;=End",""),IF(OR($R185="",LEN($R185)&lt;60,ISNUMBER(MATCH(TRIM($R185),StatusList,0))),"Body overwritten/short",""))))</f>
        <v/>
      </c>
    </row>
    <row r="186" ht="12.75" customHeight="1">
      <c r="B186" s="25" t="n"/>
      <c r="C186" s="80" t="n"/>
      <c r="D186" s="77" t="n"/>
      <c r="E186" s="77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16">
        <f>IF($L186&lt;&gt;"","Purpose "&amp;CHAR(10)&amp;$L186&amp;CHAR(10)&amp;CHAR(10),"")&amp;
IF($M186&lt;&gt;"","Stops (in order) "&amp;CHAR(10)&amp;$M186&amp;CHAR(10)&amp;CHAR(10),"")&amp;
IF($N186&lt;&gt;"","To-Do (hard requirements) "&amp;CHAR(10)&amp;$N186&amp;CHAR(10)&amp;CHAR(10),"")&amp;
IF($O186&lt;&gt;"","Suggested Timeline "&amp;CHAR(10)&amp;$O186&amp;CHAR(10)&amp;CHAR(10),"")&amp;
IF($P186&lt;&gt;"","Guardrails "&amp;CHAR(10)&amp;$P186&amp;CHAR(10)&amp;CHAR(10),"")&amp;
IF($Q186&lt;&gt;"","Completion signals "&amp;CHAR(10)&amp;$Q186,"")</f>
        <v/>
      </c>
      <c r="S186" s="25" t="n"/>
      <c r="T186" s="25" t="n"/>
      <c r="U186" s="54" t="n"/>
      <c r="V186" s="54">
        <f>IF($B186="","",IF(_xludf.TEXTJOIN(" | ",TRUE,IF($B186="","Missing Title",""),IF($C186="","Missing Date",""),IF($D186="","Missing Start",""),IF($E186="","Missing End",""),IF($G186="","Missing Required Attendees",""),IF($T186="","Missing Status",""),IF(AND($D186&lt;&gt;"",$E186&lt;&gt;"",$D186&gt;=$E186),"Start&gt;=End",""),IF(OR($R186="",LEN($R186)&lt;60,ISNUMBER(MATCH(TRIM($R186),StatusList,0))),"Body overwritten/short",""))="","OK",_xludf.TEXTJOIN(" | ",TRUE,IF($B186="","Missing Title",""),IF($C186="","Missing Date",""),IF($D186="","Missing Start",""),IF($E186="","Missing End",""),IF($G186="","Missing Required Attendees",""),IF($T186="","Missing Status",""),IF(AND($D186&lt;&gt;"",$E186&lt;&gt;"",$D186&gt;=$E186),"Start&gt;=End",""),IF(OR($R186="",LEN($R186)&lt;60,ISNUMBER(MATCH(TRIM($R186),StatusList,0))),"Body overwritten/short",""))))</f>
        <v/>
      </c>
    </row>
    <row r="187" ht="12.75" customHeight="1">
      <c r="B187" s="25" t="n"/>
      <c r="C187" s="80" t="n"/>
      <c r="D187" s="77" t="n"/>
      <c r="E187" s="77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16">
        <f>IF($L187&lt;&gt;"","Purpose "&amp;CHAR(10)&amp;$L187&amp;CHAR(10)&amp;CHAR(10),"")&amp;
IF($M187&lt;&gt;"","Stops (in order) "&amp;CHAR(10)&amp;$M187&amp;CHAR(10)&amp;CHAR(10),"")&amp;
IF($N187&lt;&gt;"","To-Do (hard requirements) "&amp;CHAR(10)&amp;$N187&amp;CHAR(10)&amp;CHAR(10),"")&amp;
IF($O187&lt;&gt;"","Suggested Timeline "&amp;CHAR(10)&amp;$O187&amp;CHAR(10)&amp;CHAR(10),"")&amp;
IF($P187&lt;&gt;"","Guardrails "&amp;CHAR(10)&amp;$P187&amp;CHAR(10)&amp;CHAR(10),"")&amp;
IF($Q187&lt;&gt;"","Completion signals "&amp;CHAR(10)&amp;$Q187,"")</f>
        <v/>
      </c>
      <c r="S187" s="25" t="n"/>
      <c r="T187" s="25" t="n"/>
      <c r="U187" s="54" t="n"/>
      <c r="V187" s="54">
        <f>IF($B187="","",IF(_xludf.TEXTJOIN(" | ",TRUE,IF($B187="","Missing Title",""),IF($C187="","Missing Date",""),IF($D187="","Missing Start",""),IF($E187="","Missing End",""),IF($G187="","Missing Required Attendees",""),IF($T187="","Missing Status",""),IF(AND($D187&lt;&gt;"",$E187&lt;&gt;"",$D187&gt;=$E187),"Start&gt;=End",""),IF(OR($R187="",LEN($R187)&lt;60,ISNUMBER(MATCH(TRIM($R187),StatusList,0))),"Body overwritten/short",""))="","OK",_xludf.TEXTJOIN(" | ",TRUE,IF($B187="","Missing Title",""),IF($C187="","Missing Date",""),IF($D187="","Missing Start",""),IF($E187="","Missing End",""),IF($G187="","Missing Required Attendees",""),IF($T187="","Missing Status",""),IF(AND($D187&lt;&gt;"",$E187&lt;&gt;"",$D187&gt;=$E187),"Start&gt;=End",""),IF(OR($R187="",LEN($R187)&lt;60,ISNUMBER(MATCH(TRIM($R187),StatusList,0))),"Body overwritten/short",""))))</f>
        <v/>
      </c>
    </row>
    <row r="188" ht="12.75" customHeight="1">
      <c r="B188" s="25" t="n"/>
      <c r="C188" s="80" t="n"/>
      <c r="D188" s="77" t="n"/>
      <c r="E188" s="77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16">
        <f>IF($L188&lt;&gt;"","Purpose "&amp;CHAR(10)&amp;$L188&amp;CHAR(10)&amp;CHAR(10),"")&amp;
IF($M188&lt;&gt;"","Stops (in order) "&amp;CHAR(10)&amp;$M188&amp;CHAR(10)&amp;CHAR(10),"")&amp;
IF($N188&lt;&gt;"","To-Do (hard requirements) "&amp;CHAR(10)&amp;$N188&amp;CHAR(10)&amp;CHAR(10),"")&amp;
IF($O188&lt;&gt;"","Suggested Timeline "&amp;CHAR(10)&amp;$O188&amp;CHAR(10)&amp;CHAR(10),"")&amp;
IF($P188&lt;&gt;"","Guardrails "&amp;CHAR(10)&amp;$P188&amp;CHAR(10)&amp;CHAR(10),"")&amp;
IF($Q188&lt;&gt;"","Completion signals "&amp;CHAR(10)&amp;$Q188,"")</f>
        <v/>
      </c>
      <c r="S188" s="25" t="n"/>
      <c r="T188" s="25" t="n"/>
      <c r="U188" s="54" t="n"/>
      <c r="V188" s="54">
        <f>IF($B188="","",IF(_xludf.TEXTJOIN(" | ",TRUE,IF($B188="","Missing Title",""),IF($C188="","Missing Date",""),IF($D188="","Missing Start",""),IF($E188="","Missing End",""),IF($G188="","Missing Required Attendees",""),IF($T188="","Missing Status",""),IF(AND($D188&lt;&gt;"",$E188&lt;&gt;"",$D188&gt;=$E188),"Start&gt;=End",""),IF(OR($R188="",LEN($R188)&lt;60,ISNUMBER(MATCH(TRIM($R188),StatusList,0))),"Body overwritten/short",""))="","OK",_xludf.TEXTJOIN(" | ",TRUE,IF($B188="","Missing Title",""),IF($C188="","Missing Date",""),IF($D188="","Missing Start",""),IF($E188="","Missing End",""),IF($G188="","Missing Required Attendees",""),IF($T188="","Missing Status",""),IF(AND($D188&lt;&gt;"",$E188&lt;&gt;"",$D188&gt;=$E188),"Start&gt;=End",""),IF(OR($R188="",LEN($R188)&lt;60,ISNUMBER(MATCH(TRIM($R188),StatusList,0))),"Body overwritten/short",""))))</f>
        <v/>
      </c>
    </row>
    <row r="189" ht="12.75" customHeight="1">
      <c r="B189" s="25" t="n"/>
      <c r="C189" s="80" t="n"/>
      <c r="D189" s="77" t="n"/>
      <c r="E189" s="77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16">
        <f>IF($L189&lt;&gt;"","Purpose "&amp;CHAR(10)&amp;$L189&amp;CHAR(10)&amp;CHAR(10),"")&amp;
IF($M189&lt;&gt;"","Stops (in order) "&amp;CHAR(10)&amp;$M189&amp;CHAR(10)&amp;CHAR(10),"")&amp;
IF($N189&lt;&gt;"","To-Do (hard requirements) "&amp;CHAR(10)&amp;$N189&amp;CHAR(10)&amp;CHAR(10),"")&amp;
IF($O189&lt;&gt;"","Suggested Timeline "&amp;CHAR(10)&amp;$O189&amp;CHAR(10)&amp;CHAR(10),"")&amp;
IF($P189&lt;&gt;"","Guardrails "&amp;CHAR(10)&amp;$P189&amp;CHAR(10)&amp;CHAR(10),"")&amp;
IF($Q189&lt;&gt;"","Completion signals "&amp;CHAR(10)&amp;$Q189,"")</f>
        <v/>
      </c>
      <c r="S189" s="25" t="n"/>
      <c r="T189" s="25" t="n"/>
      <c r="U189" s="54" t="n"/>
      <c r="V189" s="54">
        <f>IF($B189="","",IF(_xludf.TEXTJOIN(" | ",TRUE,IF($B189="","Missing Title",""),IF($C189="","Missing Date",""),IF($D189="","Missing Start",""),IF($E189="","Missing End",""),IF($G189="","Missing Required Attendees",""),IF($T189="","Missing Status",""),IF(AND($D189&lt;&gt;"",$E189&lt;&gt;"",$D189&gt;=$E189),"Start&gt;=End",""),IF(OR($R189="",LEN($R189)&lt;60,ISNUMBER(MATCH(TRIM($R189),StatusList,0))),"Body overwritten/short",""))="","OK",_xludf.TEXTJOIN(" | ",TRUE,IF($B189="","Missing Title",""),IF($C189="","Missing Date",""),IF($D189="","Missing Start",""),IF($E189="","Missing End",""),IF($G189="","Missing Required Attendees",""),IF($T189="","Missing Status",""),IF(AND($D189&lt;&gt;"",$E189&lt;&gt;"",$D189&gt;=$E189),"Start&gt;=End",""),IF(OR($R189="",LEN($R189)&lt;60,ISNUMBER(MATCH(TRIM($R189),StatusList,0))),"Body overwritten/short",""))))</f>
        <v/>
      </c>
    </row>
    <row r="190" ht="12.75" customHeight="1">
      <c r="B190" s="25" t="n"/>
      <c r="C190" s="80" t="n"/>
      <c r="D190" s="77" t="n"/>
      <c r="E190" s="77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16">
        <f>IF($L190&lt;&gt;"","Purpose "&amp;CHAR(10)&amp;$L190&amp;CHAR(10)&amp;CHAR(10),"")&amp;
IF($M190&lt;&gt;"","Stops (in order) "&amp;CHAR(10)&amp;$M190&amp;CHAR(10)&amp;CHAR(10),"")&amp;
IF($N190&lt;&gt;"","To-Do (hard requirements) "&amp;CHAR(10)&amp;$N190&amp;CHAR(10)&amp;CHAR(10),"")&amp;
IF($O190&lt;&gt;"","Suggested Timeline "&amp;CHAR(10)&amp;$O190&amp;CHAR(10)&amp;CHAR(10),"")&amp;
IF($P190&lt;&gt;"","Guardrails "&amp;CHAR(10)&amp;$P190&amp;CHAR(10)&amp;CHAR(10),"")&amp;
IF($Q190&lt;&gt;"","Completion signals "&amp;CHAR(10)&amp;$Q190,"")</f>
        <v/>
      </c>
      <c r="S190" s="25" t="n"/>
      <c r="T190" s="25" t="n"/>
      <c r="U190" s="54" t="n"/>
      <c r="V190" s="54">
        <f>IF($B190="","",IF(_xludf.TEXTJOIN(" | ",TRUE,IF($B190="","Missing Title",""),IF($C190="","Missing Date",""),IF($D190="","Missing Start",""),IF($E190="","Missing End",""),IF($G190="","Missing Required Attendees",""),IF($T190="","Missing Status",""),IF(AND($D190&lt;&gt;"",$E190&lt;&gt;"",$D190&gt;=$E190),"Start&gt;=End",""),IF(OR($R190="",LEN($R190)&lt;60,ISNUMBER(MATCH(TRIM($R190),StatusList,0))),"Body overwritten/short",""))="","OK",_xludf.TEXTJOIN(" | ",TRUE,IF($B190="","Missing Title",""),IF($C190="","Missing Date",""),IF($D190="","Missing Start",""),IF($E190="","Missing End",""),IF($G190="","Missing Required Attendees",""),IF($T190="","Missing Status",""),IF(AND($D190&lt;&gt;"",$E190&lt;&gt;"",$D190&gt;=$E190),"Start&gt;=End",""),IF(OR($R190="",LEN($R190)&lt;60,ISNUMBER(MATCH(TRIM($R190),StatusList,0))),"Body overwritten/short",""))))</f>
        <v/>
      </c>
    </row>
    <row r="191" ht="12.75" customHeight="1">
      <c r="B191" s="25" t="n"/>
      <c r="C191" s="80" t="n"/>
      <c r="D191" s="77" t="n"/>
      <c r="E191" s="77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16">
        <f>IF($L191&lt;&gt;"","Purpose "&amp;CHAR(10)&amp;$L191&amp;CHAR(10)&amp;CHAR(10),"")&amp;
IF($M191&lt;&gt;"","Stops (in order) "&amp;CHAR(10)&amp;$M191&amp;CHAR(10)&amp;CHAR(10),"")&amp;
IF($N191&lt;&gt;"","To-Do (hard requirements) "&amp;CHAR(10)&amp;$N191&amp;CHAR(10)&amp;CHAR(10),"")&amp;
IF($O191&lt;&gt;"","Suggested Timeline "&amp;CHAR(10)&amp;$O191&amp;CHAR(10)&amp;CHAR(10),"")&amp;
IF($P191&lt;&gt;"","Guardrails "&amp;CHAR(10)&amp;$P191&amp;CHAR(10)&amp;CHAR(10),"")&amp;
IF($Q191&lt;&gt;"","Completion signals "&amp;CHAR(10)&amp;$Q191,"")</f>
        <v/>
      </c>
      <c r="S191" s="25" t="n"/>
      <c r="T191" s="25" t="n"/>
      <c r="U191" s="54" t="n"/>
      <c r="V191" s="54">
        <f>IF($B191="","",IF(_xludf.TEXTJOIN(" | ",TRUE,IF($B191="","Missing Title",""),IF($C191="","Missing Date",""),IF($D191="","Missing Start",""),IF($E191="","Missing End",""),IF($G191="","Missing Required Attendees",""),IF($T191="","Missing Status",""),IF(AND($D191&lt;&gt;"",$E191&lt;&gt;"",$D191&gt;=$E191),"Start&gt;=End",""),IF(OR($R191="",LEN($R191)&lt;60,ISNUMBER(MATCH(TRIM($R191),StatusList,0))),"Body overwritten/short",""))="","OK",_xludf.TEXTJOIN(" | ",TRUE,IF($B191="","Missing Title",""),IF($C191="","Missing Date",""),IF($D191="","Missing Start",""),IF($E191="","Missing End",""),IF($G191="","Missing Required Attendees",""),IF($T191="","Missing Status",""),IF(AND($D191&lt;&gt;"",$E191&lt;&gt;"",$D191&gt;=$E191),"Start&gt;=End",""),IF(OR($R191="",LEN($R191)&lt;60,ISNUMBER(MATCH(TRIM($R191),StatusList,0))),"Body overwritten/short",""))))</f>
        <v/>
      </c>
    </row>
    <row r="192" ht="12.75" customHeight="1">
      <c r="B192" s="25" t="n"/>
      <c r="C192" s="80" t="n"/>
      <c r="D192" s="77" t="n"/>
      <c r="E192" s="77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16">
        <f>IF($L192&lt;&gt;"","Purpose "&amp;CHAR(10)&amp;$L192&amp;CHAR(10)&amp;CHAR(10),"")&amp;
IF($M192&lt;&gt;"","Stops (in order) "&amp;CHAR(10)&amp;$M192&amp;CHAR(10)&amp;CHAR(10),"")&amp;
IF($N192&lt;&gt;"","To-Do (hard requirements) "&amp;CHAR(10)&amp;$N192&amp;CHAR(10)&amp;CHAR(10),"")&amp;
IF($O192&lt;&gt;"","Suggested Timeline "&amp;CHAR(10)&amp;$O192&amp;CHAR(10)&amp;CHAR(10),"")&amp;
IF($P192&lt;&gt;"","Guardrails "&amp;CHAR(10)&amp;$P192&amp;CHAR(10)&amp;CHAR(10),"")&amp;
IF($Q192&lt;&gt;"","Completion signals "&amp;CHAR(10)&amp;$Q192,"")</f>
        <v/>
      </c>
      <c r="S192" s="25" t="n"/>
      <c r="T192" s="25" t="n"/>
      <c r="U192" s="54" t="n"/>
      <c r="V192" s="54">
        <f>IF($B192="","",IF(_xludf.TEXTJOIN(" | ",TRUE,IF($B192="","Missing Title",""),IF($C192="","Missing Date",""),IF($D192="","Missing Start",""),IF($E192="","Missing End",""),IF($G192="","Missing Required Attendees",""),IF($T192="","Missing Status",""),IF(AND($D192&lt;&gt;"",$E192&lt;&gt;"",$D192&gt;=$E192),"Start&gt;=End",""),IF(OR($R192="",LEN($R192)&lt;60,ISNUMBER(MATCH(TRIM($R192),StatusList,0))),"Body overwritten/short",""))="","OK",_xludf.TEXTJOIN(" | ",TRUE,IF($B192="","Missing Title",""),IF($C192="","Missing Date",""),IF($D192="","Missing Start",""),IF($E192="","Missing End",""),IF($G192="","Missing Required Attendees",""),IF($T192="","Missing Status",""),IF(AND($D192&lt;&gt;"",$E192&lt;&gt;"",$D192&gt;=$E192),"Start&gt;=End",""),IF(OR($R192="",LEN($R192)&lt;60,ISNUMBER(MATCH(TRIM($R192),StatusList,0))),"Body overwritten/short",""))))</f>
        <v/>
      </c>
    </row>
    <row r="193" ht="12.75" customHeight="1">
      <c r="B193" s="25" t="n"/>
      <c r="C193" s="80" t="n"/>
      <c r="D193" s="77" t="n"/>
      <c r="E193" s="77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16">
        <f>IF($L193&lt;&gt;"","Purpose "&amp;CHAR(10)&amp;$L193&amp;CHAR(10)&amp;CHAR(10),"")&amp;
IF($M193&lt;&gt;"","Stops (in order) "&amp;CHAR(10)&amp;$M193&amp;CHAR(10)&amp;CHAR(10),"")&amp;
IF($N193&lt;&gt;"","To-Do (hard requirements) "&amp;CHAR(10)&amp;$N193&amp;CHAR(10)&amp;CHAR(10),"")&amp;
IF($O193&lt;&gt;"","Suggested Timeline "&amp;CHAR(10)&amp;$O193&amp;CHAR(10)&amp;CHAR(10),"")&amp;
IF($P193&lt;&gt;"","Guardrails "&amp;CHAR(10)&amp;$P193&amp;CHAR(10)&amp;CHAR(10),"")&amp;
IF($Q193&lt;&gt;"","Completion signals "&amp;CHAR(10)&amp;$Q193,"")</f>
        <v/>
      </c>
      <c r="S193" s="25" t="n"/>
      <c r="T193" s="25" t="n"/>
      <c r="U193" s="54" t="n"/>
      <c r="V193" s="54">
        <f>IF($B193="","",IF(_xludf.TEXTJOIN(" | ",TRUE,IF($B193="","Missing Title",""),IF($C193="","Missing Date",""),IF($D193="","Missing Start",""),IF($E193="","Missing End",""),IF($G193="","Missing Required Attendees",""),IF($T193="","Missing Status",""),IF(AND($D193&lt;&gt;"",$E193&lt;&gt;"",$D193&gt;=$E193),"Start&gt;=End",""),IF(OR($R193="",LEN($R193)&lt;60,ISNUMBER(MATCH(TRIM($R193),StatusList,0))),"Body overwritten/short",""))="","OK",_xludf.TEXTJOIN(" | ",TRUE,IF($B193="","Missing Title",""),IF($C193="","Missing Date",""),IF($D193="","Missing Start",""),IF($E193="","Missing End",""),IF($G193="","Missing Required Attendees",""),IF($T193="","Missing Status",""),IF(AND($D193&lt;&gt;"",$E193&lt;&gt;"",$D193&gt;=$E193),"Start&gt;=End",""),IF(OR($R193="",LEN($R193)&lt;60,ISNUMBER(MATCH(TRIM($R193),StatusList,0))),"Body overwritten/short",""))))</f>
        <v/>
      </c>
    </row>
    <row r="194" ht="12.75" customHeight="1">
      <c r="B194" s="25" t="n"/>
      <c r="C194" s="80" t="n"/>
      <c r="D194" s="77" t="n"/>
      <c r="E194" s="77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16">
        <f>IF($L194&lt;&gt;"","Purpose "&amp;CHAR(10)&amp;$L194&amp;CHAR(10)&amp;CHAR(10),"")&amp;
IF($M194&lt;&gt;"","Stops (in order) "&amp;CHAR(10)&amp;$M194&amp;CHAR(10)&amp;CHAR(10),"")&amp;
IF($N194&lt;&gt;"","To-Do (hard requirements) "&amp;CHAR(10)&amp;$N194&amp;CHAR(10)&amp;CHAR(10),"")&amp;
IF($O194&lt;&gt;"","Suggested Timeline "&amp;CHAR(10)&amp;$O194&amp;CHAR(10)&amp;CHAR(10),"")&amp;
IF($P194&lt;&gt;"","Guardrails "&amp;CHAR(10)&amp;$P194&amp;CHAR(10)&amp;CHAR(10),"")&amp;
IF($Q194&lt;&gt;"","Completion signals "&amp;CHAR(10)&amp;$Q194,"")</f>
        <v/>
      </c>
      <c r="S194" s="25" t="n"/>
      <c r="T194" s="25" t="n"/>
      <c r="U194" s="54" t="n"/>
      <c r="V194" s="54">
        <f>IF($B194="","",IF(_xludf.TEXTJOIN(" | ",TRUE,IF($B194="","Missing Title",""),IF($C194="","Missing Date",""),IF($D194="","Missing Start",""),IF($E194="","Missing End",""),IF($G194="","Missing Required Attendees",""),IF($T194="","Missing Status",""),IF(AND($D194&lt;&gt;"",$E194&lt;&gt;"",$D194&gt;=$E194),"Start&gt;=End",""),IF(OR($R194="",LEN($R194)&lt;60,ISNUMBER(MATCH(TRIM($R194),StatusList,0))),"Body overwritten/short",""))="","OK",_xludf.TEXTJOIN(" | ",TRUE,IF($B194="","Missing Title",""),IF($C194="","Missing Date",""),IF($D194="","Missing Start",""),IF($E194="","Missing End",""),IF($G194="","Missing Required Attendees",""),IF($T194="","Missing Status",""),IF(AND($D194&lt;&gt;"",$E194&lt;&gt;"",$D194&gt;=$E194),"Start&gt;=End",""),IF(OR($R194="",LEN($R194)&lt;60,ISNUMBER(MATCH(TRIM($R194),StatusList,0))),"Body overwritten/short",""))))</f>
        <v/>
      </c>
    </row>
    <row r="195" ht="12.75" customHeight="1">
      <c r="B195" s="25" t="n"/>
      <c r="C195" s="80" t="n"/>
      <c r="D195" s="77" t="n"/>
      <c r="E195" s="77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16">
        <f>IF($L195&lt;&gt;"","Purpose "&amp;CHAR(10)&amp;$L195&amp;CHAR(10)&amp;CHAR(10),"")&amp;
IF($M195&lt;&gt;"","Stops (in order) "&amp;CHAR(10)&amp;$M195&amp;CHAR(10)&amp;CHAR(10),"")&amp;
IF($N195&lt;&gt;"","To-Do (hard requirements) "&amp;CHAR(10)&amp;$N195&amp;CHAR(10)&amp;CHAR(10),"")&amp;
IF($O195&lt;&gt;"","Suggested Timeline "&amp;CHAR(10)&amp;$O195&amp;CHAR(10)&amp;CHAR(10),"")&amp;
IF($P195&lt;&gt;"","Guardrails "&amp;CHAR(10)&amp;$P195&amp;CHAR(10)&amp;CHAR(10),"")&amp;
IF($Q195&lt;&gt;"","Completion signals "&amp;CHAR(10)&amp;$Q195,"")</f>
        <v/>
      </c>
      <c r="S195" s="25" t="n"/>
      <c r="T195" s="25" t="n"/>
      <c r="U195" s="54" t="n"/>
      <c r="V195" s="54">
        <f>IF($B195="","",IF(_xludf.TEXTJOIN(" | ",TRUE,IF($B195="","Missing Title",""),IF($C195="","Missing Date",""),IF($D195="","Missing Start",""),IF($E195="","Missing End",""),IF($G195="","Missing Required Attendees",""),IF($T195="","Missing Status",""),IF(AND($D195&lt;&gt;"",$E195&lt;&gt;"",$D195&gt;=$E195),"Start&gt;=End",""),IF(OR($R195="",LEN($R195)&lt;60,ISNUMBER(MATCH(TRIM($R195),StatusList,0))),"Body overwritten/short",""))="","OK",_xludf.TEXTJOIN(" | ",TRUE,IF($B195="","Missing Title",""),IF($C195="","Missing Date",""),IF($D195="","Missing Start",""),IF($E195="","Missing End",""),IF($G195="","Missing Required Attendees",""),IF($T195="","Missing Status",""),IF(AND($D195&lt;&gt;"",$E195&lt;&gt;"",$D195&gt;=$E195),"Start&gt;=End",""),IF(OR($R195="",LEN($R195)&lt;60,ISNUMBER(MATCH(TRIM($R195),StatusList,0))),"Body overwritten/short",""))))</f>
        <v/>
      </c>
    </row>
    <row r="196" ht="12.75" customHeight="1">
      <c r="B196" s="25" t="n"/>
      <c r="C196" s="80" t="n"/>
      <c r="D196" s="77" t="n"/>
      <c r="E196" s="77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16">
        <f>IF($L196&lt;&gt;"","Purpose "&amp;CHAR(10)&amp;$L196&amp;CHAR(10)&amp;CHAR(10),"")&amp;
IF($M196&lt;&gt;"","Stops (in order) "&amp;CHAR(10)&amp;$M196&amp;CHAR(10)&amp;CHAR(10),"")&amp;
IF($N196&lt;&gt;"","To-Do (hard requirements) "&amp;CHAR(10)&amp;$N196&amp;CHAR(10)&amp;CHAR(10),"")&amp;
IF($O196&lt;&gt;"","Suggested Timeline "&amp;CHAR(10)&amp;$O196&amp;CHAR(10)&amp;CHAR(10),"")&amp;
IF($P196&lt;&gt;"","Guardrails "&amp;CHAR(10)&amp;$P196&amp;CHAR(10)&amp;CHAR(10),"")&amp;
IF($Q196&lt;&gt;"","Completion signals "&amp;CHAR(10)&amp;$Q196,"")</f>
        <v/>
      </c>
      <c r="S196" s="25" t="n"/>
      <c r="T196" s="25" t="n"/>
      <c r="U196" s="54" t="n"/>
      <c r="V196" s="54">
        <f>IF($B196="","",IF(_xludf.TEXTJOIN(" | ",TRUE,IF($B196="","Missing Title",""),IF($C196="","Missing Date",""),IF($D196="","Missing Start",""),IF($E196="","Missing End",""),IF($G196="","Missing Required Attendees",""),IF($T196="","Missing Status",""),IF(AND($D196&lt;&gt;"",$E196&lt;&gt;"",$D196&gt;=$E196),"Start&gt;=End",""),IF(OR($R196="",LEN($R196)&lt;60,ISNUMBER(MATCH(TRIM($R196),StatusList,0))),"Body overwritten/short",""))="","OK",_xludf.TEXTJOIN(" | ",TRUE,IF($B196="","Missing Title",""),IF($C196="","Missing Date",""),IF($D196="","Missing Start",""),IF($E196="","Missing End",""),IF($G196="","Missing Required Attendees",""),IF($T196="","Missing Status",""),IF(AND($D196&lt;&gt;"",$E196&lt;&gt;"",$D196&gt;=$E196),"Start&gt;=End",""),IF(OR($R196="",LEN($R196)&lt;60,ISNUMBER(MATCH(TRIM($R196),StatusList,0))),"Body overwritten/short",""))))</f>
        <v/>
      </c>
    </row>
    <row r="197" ht="12.75" customHeight="1">
      <c r="B197" s="25" t="n"/>
      <c r="C197" s="80" t="n"/>
      <c r="D197" s="77" t="n"/>
      <c r="E197" s="77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16">
        <f>IF($L197&lt;&gt;"","Purpose "&amp;CHAR(10)&amp;$L197&amp;CHAR(10)&amp;CHAR(10),"")&amp;
IF($M197&lt;&gt;"","Stops (in order) "&amp;CHAR(10)&amp;$M197&amp;CHAR(10)&amp;CHAR(10),"")&amp;
IF($N197&lt;&gt;"","To-Do (hard requirements) "&amp;CHAR(10)&amp;$N197&amp;CHAR(10)&amp;CHAR(10),"")&amp;
IF($O197&lt;&gt;"","Suggested Timeline "&amp;CHAR(10)&amp;$O197&amp;CHAR(10)&amp;CHAR(10),"")&amp;
IF($P197&lt;&gt;"","Guardrails "&amp;CHAR(10)&amp;$P197&amp;CHAR(10)&amp;CHAR(10),"")&amp;
IF($Q197&lt;&gt;"","Completion signals "&amp;CHAR(10)&amp;$Q197,"")</f>
        <v/>
      </c>
      <c r="S197" s="25" t="n"/>
      <c r="T197" s="25" t="n"/>
      <c r="U197" s="54" t="n"/>
      <c r="V197" s="54">
        <f>IF($B197="","",IF(_xludf.TEXTJOIN(" | ",TRUE,IF($B197="","Missing Title",""),IF($C197="","Missing Date",""),IF($D197="","Missing Start",""),IF($E197="","Missing End",""),IF($G197="","Missing Required Attendees",""),IF($T197="","Missing Status",""),IF(AND($D197&lt;&gt;"",$E197&lt;&gt;"",$D197&gt;=$E197),"Start&gt;=End",""),IF(OR($R197="",LEN($R197)&lt;60,ISNUMBER(MATCH(TRIM($R197),StatusList,0))),"Body overwritten/short",""))="","OK",_xludf.TEXTJOIN(" | ",TRUE,IF($B197="","Missing Title",""),IF($C197="","Missing Date",""),IF($D197="","Missing Start",""),IF($E197="","Missing End",""),IF($G197="","Missing Required Attendees",""),IF($T197="","Missing Status",""),IF(AND($D197&lt;&gt;"",$E197&lt;&gt;"",$D197&gt;=$E197),"Start&gt;=End",""),IF(OR($R197="",LEN($R197)&lt;60,ISNUMBER(MATCH(TRIM($R197),StatusList,0))),"Body overwritten/short",""))))</f>
        <v/>
      </c>
    </row>
    <row r="198" ht="12.75" customHeight="1">
      <c r="B198" s="25" t="n"/>
      <c r="C198" s="80" t="n"/>
      <c r="D198" s="77" t="n"/>
      <c r="E198" s="77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16">
        <f>IF($L198&lt;&gt;"","Purpose "&amp;CHAR(10)&amp;$L198&amp;CHAR(10)&amp;CHAR(10),"")&amp;
IF($M198&lt;&gt;"","Stops (in order) "&amp;CHAR(10)&amp;$M198&amp;CHAR(10)&amp;CHAR(10),"")&amp;
IF($N198&lt;&gt;"","To-Do (hard requirements) "&amp;CHAR(10)&amp;$N198&amp;CHAR(10)&amp;CHAR(10),"")&amp;
IF($O198&lt;&gt;"","Suggested Timeline "&amp;CHAR(10)&amp;$O198&amp;CHAR(10)&amp;CHAR(10),"")&amp;
IF($P198&lt;&gt;"","Guardrails "&amp;CHAR(10)&amp;$P198&amp;CHAR(10)&amp;CHAR(10),"")&amp;
IF($Q198&lt;&gt;"","Completion signals "&amp;CHAR(10)&amp;$Q198,"")</f>
        <v/>
      </c>
      <c r="S198" s="25" t="n"/>
      <c r="T198" s="25" t="n"/>
      <c r="U198" s="54" t="n"/>
      <c r="V198" s="54">
        <f>IF($B198="","",IF(_xludf.TEXTJOIN(" | ",TRUE,IF($B198="","Missing Title",""),IF($C198="","Missing Date",""),IF($D198="","Missing Start",""),IF($E198="","Missing End",""),IF($G198="","Missing Required Attendees",""),IF($T198="","Missing Status",""),IF(AND($D198&lt;&gt;"",$E198&lt;&gt;"",$D198&gt;=$E198),"Start&gt;=End",""),IF(OR($R198="",LEN($R198)&lt;60,ISNUMBER(MATCH(TRIM($R198),StatusList,0))),"Body overwritten/short",""))="","OK",_xludf.TEXTJOIN(" | ",TRUE,IF($B198="","Missing Title",""),IF($C198="","Missing Date",""),IF($D198="","Missing Start",""),IF($E198="","Missing End",""),IF($G198="","Missing Required Attendees",""),IF($T198="","Missing Status",""),IF(AND($D198&lt;&gt;"",$E198&lt;&gt;"",$D198&gt;=$E198),"Start&gt;=End",""),IF(OR($R198="",LEN($R198)&lt;60,ISNUMBER(MATCH(TRIM($R198),StatusList,0))),"Body overwritten/short",""))))</f>
        <v/>
      </c>
    </row>
    <row r="199" ht="12.75" customHeight="1">
      <c r="B199" s="25" t="n"/>
      <c r="C199" s="80" t="n"/>
      <c r="D199" s="77" t="n"/>
      <c r="E199" s="77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16">
        <f>IF($L199&lt;&gt;"","Purpose "&amp;CHAR(10)&amp;$L199&amp;CHAR(10)&amp;CHAR(10),"")&amp;
IF($M199&lt;&gt;"","Stops (in order) "&amp;CHAR(10)&amp;$M199&amp;CHAR(10)&amp;CHAR(10),"")&amp;
IF($N199&lt;&gt;"","To-Do (hard requirements) "&amp;CHAR(10)&amp;$N199&amp;CHAR(10)&amp;CHAR(10),"")&amp;
IF($O199&lt;&gt;"","Suggested Timeline "&amp;CHAR(10)&amp;$O199&amp;CHAR(10)&amp;CHAR(10),"")&amp;
IF($P199&lt;&gt;"","Guardrails "&amp;CHAR(10)&amp;$P199&amp;CHAR(10)&amp;CHAR(10),"")&amp;
IF($Q199&lt;&gt;"","Completion signals "&amp;CHAR(10)&amp;$Q199,"")</f>
        <v/>
      </c>
      <c r="S199" s="25" t="n"/>
      <c r="T199" s="25" t="n"/>
      <c r="U199" s="54" t="n"/>
      <c r="V199" s="54">
        <f>IF($B199="","",IF(_xludf.TEXTJOIN(" | ",TRUE,IF($B199="","Missing Title",""),IF($C199="","Missing Date",""),IF($D199="","Missing Start",""),IF($E199="","Missing End",""),IF($G199="","Missing Required Attendees",""),IF($T199="","Missing Status",""),IF(AND($D199&lt;&gt;"",$E199&lt;&gt;"",$D199&gt;=$E199),"Start&gt;=End",""),IF(OR($R199="",LEN($R199)&lt;60,ISNUMBER(MATCH(TRIM($R199),StatusList,0))),"Body overwritten/short",""))="","OK",_xludf.TEXTJOIN(" | ",TRUE,IF($B199="","Missing Title",""),IF($C199="","Missing Date",""),IF($D199="","Missing Start",""),IF($E199="","Missing End",""),IF($G199="","Missing Required Attendees",""),IF($T199="","Missing Status",""),IF(AND($D199&lt;&gt;"",$E199&lt;&gt;"",$D199&gt;=$E199),"Start&gt;=End",""),IF(OR($R199="",LEN($R199)&lt;60,ISNUMBER(MATCH(TRIM($R199),StatusList,0))),"Body overwritten/short",""))))</f>
        <v/>
      </c>
    </row>
    <row r="200" ht="12.75" customHeight="1">
      <c r="B200" s="25" t="n"/>
      <c r="C200" s="80" t="n"/>
      <c r="D200" s="77" t="n"/>
      <c r="E200" s="77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16">
        <f>IF($L200&lt;&gt;"","Purpose "&amp;CHAR(10)&amp;$L200&amp;CHAR(10)&amp;CHAR(10),"")&amp;
IF($M200&lt;&gt;"","Stops (in order) "&amp;CHAR(10)&amp;$M200&amp;CHAR(10)&amp;CHAR(10),"")&amp;
IF($N200&lt;&gt;"","To-Do (hard requirements) "&amp;CHAR(10)&amp;$N200&amp;CHAR(10)&amp;CHAR(10),"")&amp;
IF($O200&lt;&gt;"","Suggested Timeline "&amp;CHAR(10)&amp;$O200&amp;CHAR(10)&amp;CHAR(10),"")&amp;
IF($P200&lt;&gt;"","Guardrails "&amp;CHAR(10)&amp;$P200&amp;CHAR(10)&amp;CHAR(10),"")&amp;
IF($Q200&lt;&gt;"","Completion signals "&amp;CHAR(10)&amp;$Q200,"")</f>
        <v/>
      </c>
      <c r="S200" s="25" t="n"/>
      <c r="T200" s="25" t="n"/>
      <c r="U200" s="54" t="n"/>
      <c r="V200" s="54">
        <f>IF($B200="","",IF(_xludf.TEXTJOIN(" | ",TRUE,IF($B200="","Missing Title",""),IF($C200="","Missing Date",""),IF($D200="","Missing Start",""),IF($E200="","Missing End",""),IF($G200="","Missing Required Attendees",""),IF($T200="","Missing Status",""),IF(AND($D200&lt;&gt;"",$E200&lt;&gt;"",$D200&gt;=$E200),"Start&gt;=End",""),IF(OR($R200="",LEN($R200)&lt;60,ISNUMBER(MATCH(TRIM($R200),StatusList,0))),"Body overwritten/short",""))="","OK",_xludf.TEXTJOIN(" | ",TRUE,IF($B200="","Missing Title",""),IF($C200="","Missing Date",""),IF($D200="","Missing Start",""),IF($E200="","Missing End",""),IF($G200="","Missing Required Attendees",""),IF($T200="","Missing Status",""),IF(AND($D200&lt;&gt;"",$E200&lt;&gt;"",$D200&gt;=$E200),"Start&gt;=End",""),IF(OR($R200="",LEN($R200)&lt;60,ISNUMBER(MATCH(TRIM($R200),StatusList,0))),"Body overwritten/short",""))))</f>
        <v/>
      </c>
    </row>
    <row r="201" ht="12.75" customHeight="1">
      <c r="B201" s="25" t="n"/>
      <c r="C201" s="80" t="n"/>
      <c r="D201" s="77" t="n"/>
      <c r="E201" s="77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16">
        <f>IF($L201&lt;&gt;"","Purpose "&amp;CHAR(10)&amp;$L201&amp;CHAR(10)&amp;CHAR(10),"")&amp;
IF($M201&lt;&gt;"","Stops (in order) "&amp;CHAR(10)&amp;$M201&amp;CHAR(10)&amp;CHAR(10),"")&amp;
IF($N201&lt;&gt;"","To-Do (hard requirements) "&amp;CHAR(10)&amp;$N201&amp;CHAR(10)&amp;CHAR(10),"")&amp;
IF($O201&lt;&gt;"","Suggested Timeline "&amp;CHAR(10)&amp;$O201&amp;CHAR(10)&amp;CHAR(10),"")&amp;
IF($P201&lt;&gt;"","Guardrails "&amp;CHAR(10)&amp;$P201&amp;CHAR(10)&amp;CHAR(10),"")&amp;
IF($Q201&lt;&gt;"","Completion signals "&amp;CHAR(10)&amp;$Q201,"")</f>
        <v/>
      </c>
      <c r="S201" s="25" t="n"/>
      <c r="T201" s="25" t="n"/>
      <c r="U201" s="54" t="n"/>
      <c r="V201" s="54">
        <f>IF($B201="","",IF(_xludf.TEXTJOIN(" | ",TRUE,IF($B201="","Missing Title",""),IF($C201="","Missing Date",""),IF($D201="","Missing Start",""),IF($E201="","Missing End",""),IF($G201="","Missing Required Attendees",""),IF($T201="","Missing Status",""),IF(AND($D201&lt;&gt;"",$E201&lt;&gt;"",$D201&gt;=$E201),"Start&gt;=End",""),IF(OR($R201="",LEN($R201)&lt;60,ISNUMBER(MATCH(TRIM($R201),StatusList,0))),"Body overwritten/short",""))="","OK",_xludf.TEXTJOIN(" | ",TRUE,IF($B201="","Missing Title",""),IF($C201="","Missing Date",""),IF($D201="","Missing Start",""),IF($E201="","Missing End",""),IF($G201="","Missing Required Attendees",""),IF($T201="","Missing Status",""),IF(AND($D201&lt;&gt;"",$E201&lt;&gt;"",$D201&gt;=$E201),"Start&gt;=End",""),IF(OR($R201="",LEN($R201)&lt;60,ISNUMBER(MATCH(TRIM($R201),StatusList,0))),"Body overwritten/short",""))))</f>
        <v/>
      </c>
    </row>
    <row r="202" ht="12.75" customHeight="1">
      <c r="B202" s="25" t="n"/>
      <c r="C202" s="80" t="n"/>
      <c r="D202" s="77" t="n"/>
      <c r="E202" s="77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16">
        <f>IF($L202&lt;&gt;"","Purpose "&amp;CHAR(10)&amp;$L202&amp;CHAR(10)&amp;CHAR(10),"")&amp;
IF($M202&lt;&gt;"","Stops (in order) "&amp;CHAR(10)&amp;$M202&amp;CHAR(10)&amp;CHAR(10),"")&amp;
IF($N202&lt;&gt;"","To-Do (hard requirements) "&amp;CHAR(10)&amp;$N202&amp;CHAR(10)&amp;CHAR(10),"")&amp;
IF($O202&lt;&gt;"","Suggested Timeline "&amp;CHAR(10)&amp;$O202&amp;CHAR(10)&amp;CHAR(10),"")&amp;
IF($P202&lt;&gt;"","Guardrails "&amp;CHAR(10)&amp;$P202&amp;CHAR(10)&amp;CHAR(10),"")&amp;
IF($Q202&lt;&gt;"","Completion signals "&amp;CHAR(10)&amp;$Q202,"")</f>
        <v/>
      </c>
      <c r="S202" s="25" t="n"/>
      <c r="T202" s="25" t="n"/>
      <c r="U202" s="54" t="n"/>
      <c r="V202" s="54">
        <f>IF($B202="","",IF(_xludf.TEXTJOIN(" | ",TRUE,IF($B202="","Missing Title",""),IF($C202="","Missing Date",""),IF($D202="","Missing Start",""),IF($E202="","Missing End",""),IF($G202="","Missing Required Attendees",""),IF($T202="","Missing Status",""),IF(AND($D202&lt;&gt;"",$E202&lt;&gt;"",$D202&gt;=$E202),"Start&gt;=End",""),IF(OR($R202="",LEN($R202)&lt;60,ISNUMBER(MATCH(TRIM($R202),StatusList,0))),"Body overwritten/short",""))="","OK",_xludf.TEXTJOIN(" | ",TRUE,IF($B202="","Missing Title",""),IF($C202="","Missing Date",""),IF($D202="","Missing Start",""),IF($E202="","Missing End",""),IF($G202="","Missing Required Attendees",""),IF($T202="","Missing Status",""),IF(AND($D202&lt;&gt;"",$E202&lt;&gt;"",$D202&gt;=$E202),"Start&gt;=End",""),IF(OR($R202="",LEN($R202)&lt;60,ISNUMBER(MATCH(TRIM($R202),StatusList,0))),"Body overwritten/short",""))))</f>
        <v/>
      </c>
    </row>
    <row r="203" ht="12.75" customHeight="1">
      <c r="B203" s="25" t="n"/>
      <c r="C203" s="80" t="n"/>
      <c r="D203" s="77" t="n"/>
      <c r="E203" s="77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16">
        <f>IF($L203&lt;&gt;"","Purpose "&amp;CHAR(10)&amp;$L203&amp;CHAR(10)&amp;CHAR(10),"")&amp;
IF($M203&lt;&gt;"","Stops (in order) "&amp;CHAR(10)&amp;$M203&amp;CHAR(10)&amp;CHAR(10),"")&amp;
IF($N203&lt;&gt;"","To-Do (hard requirements) "&amp;CHAR(10)&amp;$N203&amp;CHAR(10)&amp;CHAR(10),"")&amp;
IF($O203&lt;&gt;"","Suggested Timeline "&amp;CHAR(10)&amp;$O203&amp;CHAR(10)&amp;CHAR(10),"")&amp;
IF($P203&lt;&gt;"","Guardrails "&amp;CHAR(10)&amp;$P203&amp;CHAR(10)&amp;CHAR(10),"")&amp;
IF($Q203&lt;&gt;"","Completion signals "&amp;CHAR(10)&amp;$Q203,"")</f>
        <v/>
      </c>
      <c r="S203" s="25" t="n"/>
      <c r="T203" s="25" t="n"/>
      <c r="U203" s="54" t="n"/>
      <c r="V203" s="54">
        <f>IF($B203="","",IF(_xludf.TEXTJOIN(" | ",TRUE,IF($B203="","Missing Title",""),IF($C203="","Missing Date",""),IF($D203="","Missing Start",""),IF($E203="","Missing End",""),IF($G203="","Missing Required Attendees",""),IF($T203="","Missing Status",""),IF(AND($D203&lt;&gt;"",$E203&lt;&gt;"",$D203&gt;=$E203),"Start&gt;=End",""),IF(OR($R203="",LEN($R203)&lt;60,ISNUMBER(MATCH(TRIM($R203),StatusList,0))),"Body overwritten/short",""))="","OK",_xludf.TEXTJOIN(" | ",TRUE,IF($B203="","Missing Title",""),IF($C203="","Missing Date",""),IF($D203="","Missing Start",""),IF($E203="","Missing End",""),IF($G203="","Missing Required Attendees",""),IF($T203="","Missing Status",""),IF(AND($D203&lt;&gt;"",$E203&lt;&gt;"",$D203&gt;=$E203),"Start&gt;=End",""),IF(OR($R203="",LEN($R203)&lt;60,ISNUMBER(MATCH(TRIM($R203),StatusList,0))),"Body overwritten/short",""))))</f>
        <v/>
      </c>
    </row>
    <row r="204" ht="12.75" customHeight="1">
      <c r="B204" s="25" t="n"/>
      <c r="C204" s="80" t="n"/>
      <c r="D204" s="77" t="n"/>
      <c r="E204" s="77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16">
        <f>IF($L204&lt;&gt;"","Purpose "&amp;CHAR(10)&amp;$L204&amp;CHAR(10)&amp;CHAR(10),"")&amp;
IF($M204&lt;&gt;"","Stops (in order) "&amp;CHAR(10)&amp;$M204&amp;CHAR(10)&amp;CHAR(10),"")&amp;
IF($N204&lt;&gt;"","To-Do (hard requirements) "&amp;CHAR(10)&amp;$N204&amp;CHAR(10)&amp;CHAR(10),"")&amp;
IF($O204&lt;&gt;"","Suggested Timeline "&amp;CHAR(10)&amp;$O204&amp;CHAR(10)&amp;CHAR(10),"")&amp;
IF($P204&lt;&gt;"","Guardrails "&amp;CHAR(10)&amp;$P204&amp;CHAR(10)&amp;CHAR(10),"")&amp;
IF($Q204&lt;&gt;"","Completion signals "&amp;CHAR(10)&amp;$Q204,"")</f>
        <v/>
      </c>
      <c r="S204" s="25" t="n"/>
      <c r="T204" s="25" t="n"/>
      <c r="U204" s="54" t="n"/>
      <c r="V204" s="54">
        <f>IF($B204="","",IF(_xludf.TEXTJOIN(" | ",TRUE,IF($B204="","Missing Title",""),IF($C204="","Missing Date",""),IF($D204="","Missing Start",""),IF($E204="","Missing End",""),IF($G204="","Missing Required Attendees",""),IF($T204="","Missing Status",""),IF(AND($D204&lt;&gt;"",$E204&lt;&gt;"",$D204&gt;=$E204),"Start&gt;=End",""),IF(OR($R204="",LEN($R204)&lt;60,ISNUMBER(MATCH(TRIM($R204),StatusList,0))),"Body overwritten/short",""))="","OK",_xludf.TEXTJOIN(" | ",TRUE,IF($B204="","Missing Title",""),IF($C204="","Missing Date",""),IF($D204="","Missing Start",""),IF($E204="","Missing End",""),IF($G204="","Missing Required Attendees",""),IF($T204="","Missing Status",""),IF(AND($D204&lt;&gt;"",$E204&lt;&gt;"",$D204&gt;=$E204),"Start&gt;=End",""),IF(OR($R204="",LEN($R204)&lt;60,ISNUMBER(MATCH(TRIM($R204),StatusList,0))),"Body overwritten/short",""))))</f>
        <v/>
      </c>
    </row>
    <row r="205" ht="12.75" customHeight="1">
      <c r="B205" s="25" t="n"/>
      <c r="C205" s="80" t="n"/>
      <c r="D205" s="77" t="n"/>
      <c r="E205" s="77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16">
        <f>IF($L205&lt;&gt;"","Purpose "&amp;CHAR(10)&amp;$L205&amp;CHAR(10)&amp;CHAR(10),"")&amp;
IF($M205&lt;&gt;"","Stops (in order) "&amp;CHAR(10)&amp;$M205&amp;CHAR(10)&amp;CHAR(10),"")&amp;
IF($N205&lt;&gt;"","To-Do (hard requirements) "&amp;CHAR(10)&amp;$N205&amp;CHAR(10)&amp;CHAR(10),"")&amp;
IF($O205&lt;&gt;"","Suggested Timeline "&amp;CHAR(10)&amp;$O205&amp;CHAR(10)&amp;CHAR(10),"")&amp;
IF($P205&lt;&gt;"","Guardrails "&amp;CHAR(10)&amp;$P205&amp;CHAR(10)&amp;CHAR(10),"")&amp;
IF($Q205&lt;&gt;"","Completion signals "&amp;CHAR(10)&amp;$Q205,"")</f>
        <v/>
      </c>
      <c r="S205" s="25" t="n"/>
      <c r="T205" s="25" t="n"/>
      <c r="U205" s="54" t="n"/>
      <c r="V205" s="54">
        <f>IF($B205="","",IF(_xludf.TEXTJOIN(" | ",TRUE,IF($B205="","Missing Title",""),IF($C205="","Missing Date",""),IF($D205="","Missing Start",""),IF($E205="","Missing End",""),IF($G205="","Missing Required Attendees",""),IF($T205="","Missing Status",""),IF(AND($D205&lt;&gt;"",$E205&lt;&gt;"",$D205&gt;=$E205),"Start&gt;=End",""),IF(OR($R205="",LEN($R205)&lt;60,ISNUMBER(MATCH(TRIM($R205),StatusList,0))),"Body overwritten/short",""))="","OK",_xludf.TEXTJOIN(" | ",TRUE,IF($B205="","Missing Title",""),IF($C205="","Missing Date",""),IF($D205="","Missing Start",""),IF($E205="","Missing End",""),IF($G205="","Missing Required Attendees",""),IF($T205="","Missing Status",""),IF(AND($D205&lt;&gt;"",$E205&lt;&gt;"",$D205&gt;=$E205),"Start&gt;=End",""),IF(OR($R205="",LEN($R205)&lt;60,ISNUMBER(MATCH(TRIM($R205),StatusList,0))),"Body overwritten/short",""))))</f>
        <v/>
      </c>
    </row>
    <row r="206" ht="12.75" customHeight="1">
      <c r="B206" s="25" t="n"/>
      <c r="C206" s="80" t="n"/>
      <c r="D206" s="77" t="n"/>
      <c r="E206" s="77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16">
        <f>IF($L206&lt;&gt;"","Purpose "&amp;CHAR(10)&amp;$L206&amp;CHAR(10)&amp;CHAR(10),"")&amp;
IF($M206&lt;&gt;"","Stops (in order) "&amp;CHAR(10)&amp;$M206&amp;CHAR(10)&amp;CHAR(10),"")&amp;
IF($N206&lt;&gt;"","To-Do (hard requirements) "&amp;CHAR(10)&amp;$N206&amp;CHAR(10)&amp;CHAR(10),"")&amp;
IF($O206&lt;&gt;"","Suggested Timeline "&amp;CHAR(10)&amp;$O206&amp;CHAR(10)&amp;CHAR(10),"")&amp;
IF($P206&lt;&gt;"","Guardrails "&amp;CHAR(10)&amp;$P206&amp;CHAR(10)&amp;CHAR(10),"")&amp;
IF($Q206&lt;&gt;"","Completion signals "&amp;CHAR(10)&amp;$Q206,"")</f>
        <v/>
      </c>
      <c r="S206" s="25" t="n"/>
      <c r="T206" s="25" t="n"/>
      <c r="U206" s="54" t="n"/>
      <c r="V206" s="54">
        <f>IF($B206="","",IF(_xludf.TEXTJOIN(" | ",TRUE,IF($B206="","Missing Title",""),IF($C206="","Missing Date",""),IF($D206="","Missing Start",""),IF($E206="","Missing End",""),IF($G206="","Missing Required Attendees",""),IF($T206="","Missing Status",""),IF(AND($D206&lt;&gt;"",$E206&lt;&gt;"",$D206&gt;=$E206),"Start&gt;=End",""),IF(OR($R206="",LEN($R206)&lt;60,ISNUMBER(MATCH(TRIM($R206),StatusList,0))),"Body overwritten/short",""))="","OK",_xludf.TEXTJOIN(" | ",TRUE,IF($B206="","Missing Title",""),IF($C206="","Missing Date",""),IF($D206="","Missing Start",""),IF($E206="","Missing End",""),IF($G206="","Missing Required Attendees",""),IF($T206="","Missing Status",""),IF(AND($D206&lt;&gt;"",$E206&lt;&gt;"",$D206&gt;=$E206),"Start&gt;=End",""),IF(OR($R206="",LEN($R206)&lt;60,ISNUMBER(MATCH(TRIM($R206),StatusList,0))),"Body overwritten/short",""))))</f>
        <v/>
      </c>
    </row>
    <row r="207" ht="12.75" customHeight="1">
      <c r="B207" s="25" t="n"/>
      <c r="C207" s="80" t="n"/>
      <c r="D207" s="77" t="n"/>
      <c r="E207" s="77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16">
        <f>IF($L207&lt;&gt;"","Purpose "&amp;CHAR(10)&amp;$L207&amp;CHAR(10)&amp;CHAR(10),"")&amp;
IF($M207&lt;&gt;"","Stops (in order) "&amp;CHAR(10)&amp;$M207&amp;CHAR(10)&amp;CHAR(10),"")&amp;
IF($N207&lt;&gt;"","To-Do (hard requirements) "&amp;CHAR(10)&amp;$N207&amp;CHAR(10)&amp;CHAR(10),"")&amp;
IF($O207&lt;&gt;"","Suggested Timeline "&amp;CHAR(10)&amp;$O207&amp;CHAR(10)&amp;CHAR(10),"")&amp;
IF($P207&lt;&gt;"","Guardrails "&amp;CHAR(10)&amp;$P207&amp;CHAR(10)&amp;CHAR(10),"")&amp;
IF($Q207&lt;&gt;"","Completion signals "&amp;CHAR(10)&amp;$Q207,"")</f>
        <v/>
      </c>
      <c r="S207" s="25" t="n"/>
      <c r="T207" s="25" t="n"/>
      <c r="U207" s="54" t="n"/>
      <c r="V207" s="54">
        <f>IF($B207="","",IF(_xludf.TEXTJOIN(" | ",TRUE,IF($B207="","Missing Title",""),IF($C207="","Missing Date",""),IF($D207="","Missing Start",""),IF($E207="","Missing End",""),IF($G207="","Missing Required Attendees",""),IF($T207="","Missing Status",""),IF(AND($D207&lt;&gt;"",$E207&lt;&gt;"",$D207&gt;=$E207),"Start&gt;=End",""),IF(OR($R207="",LEN($R207)&lt;60,ISNUMBER(MATCH(TRIM($R207),StatusList,0))),"Body overwritten/short",""))="","OK",_xludf.TEXTJOIN(" | ",TRUE,IF($B207="","Missing Title",""),IF($C207="","Missing Date",""),IF($D207="","Missing Start",""),IF($E207="","Missing End",""),IF($G207="","Missing Required Attendees",""),IF($T207="","Missing Status",""),IF(AND($D207&lt;&gt;"",$E207&lt;&gt;"",$D207&gt;=$E207),"Start&gt;=End",""),IF(OR($R207="",LEN($R207)&lt;60,ISNUMBER(MATCH(TRIM($R207),StatusList,0))),"Body overwritten/short",""))))</f>
        <v/>
      </c>
    </row>
    <row r="208" ht="12.75" customHeight="1">
      <c r="B208" s="25" t="n"/>
      <c r="C208" s="80" t="n"/>
      <c r="D208" s="77" t="n"/>
      <c r="E208" s="77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16">
        <f>IF($L208&lt;&gt;"","Purpose "&amp;CHAR(10)&amp;$L208&amp;CHAR(10)&amp;CHAR(10),"")&amp;
IF($M208&lt;&gt;"","Stops (in order) "&amp;CHAR(10)&amp;$M208&amp;CHAR(10)&amp;CHAR(10),"")&amp;
IF($N208&lt;&gt;"","To-Do (hard requirements) "&amp;CHAR(10)&amp;$N208&amp;CHAR(10)&amp;CHAR(10),"")&amp;
IF($O208&lt;&gt;"","Suggested Timeline "&amp;CHAR(10)&amp;$O208&amp;CHAR(10)&amp;CHAR(10),"")&amp;
IF($P208&lt;&gt;"","Guardrails "&amp;CHAR(10)&amp;$P208&amp;CHAR(10)&amp;CHAR(10),"")&amp;
IF($Q208&lt;&gt;"","Completion signals "&amp;CHAR(10)&amp;$Q208,"")</f>
        <v/>
      </c>
      <c r="S208" s="25" t="n"/>
      <c r="T208" s="25" t="n"/>
      <c r="U208" s="54" t="n"/>
      <c r="V208" s="54">
        <f>IF($B208="","",IF(_xludf.TEXTJOIN(" | ",TRUE,IF($B208="","Missing Title",""),IF($C208="","Missing Date",""),IF($D208="","Missing Start",""),IF($E208="","Missing End",""),IF($G208="","Missing Required Attendees",""),IF($T208="","Missing Status",""),IF(AND($D208&lt;&gt;"",$E208&lt;&gt;"",$D208&gt;=$E208),"Start&gt;=End",""),IF(OR($R208="",LEN($R208)&lt;60,ISNUMBER(MATCH(TRIM($R208),StatusList,0))),"Body overwritten/short",""))="","OK",_xludf.TEXTJOIN(" | ",TRUE,IF($B208="","Missing Title",""),IF($C208="","Missing Date",""),IF($D208="","Missing Start",""),IF($E208="","Missing End",""),IF($G208="","Missing Required Attendees",""),IF($T208="","Missing Status",""),IF(AND($D208&lt;&gt;"",$E208&lt;&gt;"",$D208&gt;=$E208),"Start&gt;=End",""),IF(OR($R208="",LEN($R208)&lt;60,ISNUMBER(MATCH(TRIM($R208),StatusList,0))),"Body overwritten/short",""))))</f>
        <v/>
      </c>
    </row>
    <row r="209" ht="12.75" customHeight="1">
      <c r="B209" s="25" t="n"/>
      <c r="C209" s="80" t="n"/>
      <c r="D209" s="77" t="n"/>
      <c r="E209" s="77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16">
        <f>IF($L209&lt;&gt;"","Purpose "&amp;CHAR(10)&amp;$L209&amp;CHAR(10)&amp;CHAR(10),"")&amp;
IF($M209&lt;&gt;"","Stops (in order) "&amp;CHAR(10)&amp;$M209&amp;CHAR(10)&amp;CHAR(10),"")&amp;
IF($N209&lt;&gt;"","To-Do (hard requirements) "&amp;CHAR(10)&amp;$N209&amp;CHAR(10)&amp;CHAR(10),"")&amp;
IF($O209&lt;&gt;"","Suggested Timeline "&amp;CHAR(10)&amp;$O209&amp;CHAR(10)&amp;CHAR(10),"")&amp;
IF($P209&lt;&gt;"","Guardrails "&amp;CHAR(10)&amp;$P209&amp;CHAR(10)&amp;CHAR(10),"")&amp;
IF($Q209&lt;&gt;"","Completion signals "&amp;CHAR(10)&amp;$Q209,"")</f>
        <v/>
      </c>
      <c r="S209" s="25" t="n"/>
      <c r="T209" s="25" t="n"/>
      <c r="U209" s="54" t="n"/>
      <c r="V209" s="54">
        <f>IF($B209="","",IF(_xludf.TEXTJOIN(" | ",TRUE,IF($B209="","Missing Title",""),IF($C209="","Missing Date",""),IF($D209="","Missing Start",""),IF($E209="","Missing End",""),IF($G209="","Missing Required Attendees",""),IF($T209="","Missing Status",""),IF(AND($D209&lt;&gt;"",$E209&lt;&gt;"",$D209&gt;=$E209),"Start&gt;=End",""),IF(OR($R209="",LEN($R209)&lt;60,ISNUMBER(MATCH(TRIM($R209),StatusList,0))),"Body overwritten/short",""))="","OK",_xludf.TEXTJOIN(" | ",TRUE,IF($B209="","Missing Title",""),IF($C209="","Missing Date",""),IF($D209="","Missing Start",""),IF($E209="","Missing End",""),IF($G209="","Missing Required Attendees",""),IF($T209="","Missing Status",""),IF(AND($D209&lt;&gt;"",$E209&lt;&gt;"",$D209&gt;=$E209),"Start&gt;=End",""),IF(OR($R209="",LEN($R209)&lt;60,ISNUMBER(MATCH(TRIM($R209),StatusList,0))),"Body overwritten/short",""))))</f>
        <v/>
      </c>
    </row>
    <row r="210" ht="12.75" customHeight="1">
      <c r="B210" s="25" t="n"/>
      <c r="C210" s="80" t="n"/>
      <c r="D210" s="77" t="n"/>
      <c r="E210" s="77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16">
        <f>IF($L210&lt;&gt;"","Purpose "&amp;CHAR(10)&amp;$L210&amp;CHAR(10)&amp;CHAR(10),"")&amp;
IF($M210&lt;&gt;"","Stops (in order) "&amp;CHAR(10)&amp;$M210&amp;CHAR(10)&amp;CHAR(10),"")&amp;
IF($N210&lt;&gt;"","To-Do (hard requirements) "&amp;CHAR(10)&amp;$N210&amp;CHAR(10)&amp;CHAR(10),"")&amp;
IF($O210&lt;&gt;"","Suggested Timeline "&amp;CHAR(10)&amp;$O210&amp;CHAR(10)&amp;CHAR(10),"")&amp;
IF($P210&lt;&gt;"","Guardrails "&amp;CHAR(10)&amp;$P210&amp;CHAR(10)&amp;CHAR(10),"")&amp;
IF($Q210&lt;&gt;"","Completion signals "&amp;CHAR(10)&amp;$Q210,"")</f>
        <v/>
      </c>
      <c r="S210" s="25" t="n"/>
      <c r="T210" s="25" t="n"/>
      <c r="U210" s="54" t="n"/>
      <c r="V210" s="54">
        <f>IF($B210="","",IF(_xludf.TEXTJOIN(" | ",TRUE,IF($B210="","Missing Title",""),IF($C210="","Missing Date",""),IF($D210="","Missing Start",""),IF($E210="","Missing End",""),IF($G210="","Missing Required Attendees",""),IF($T210="","Missing Status",""),IF(AND($D210&lt;&gt;"",$E210&lt;&gt;"",$D210&gt;=$E210),"Start&gt;=End",""),IF(OR($R210="",LEN($R210)&lt;60,ISNUMBER(MATCH(TRIM($R210),StatusList,0))),"Body overwritten/short",""))="","OK",_xludf.TEXTJOIN(" | ",TRUE,IF($B210="","Missing Title",""),IF($C210="","Missing Date",""),IF($D210="","Missing Start",""),IF($E210="","Missing End",""),IF($G210="","Missing Required Attendees",""),IF($T210="","Missing Status",""),IF(AND($D210&lt;&gt;"",$E210&lt;&gt;"",$D210&gt;=$E210),"Start&gt;=End",""),IF(OR($R210="",LEN($R210)&lt;60,ISNUMBER(MATCH(TRIM($R210),StatusList,0))),"Body overwritten/short",""))))</f>
        <v/>
      </c>
    </row>
    <row r="211" ht="12.75" customHeight="1">
      <c r="B211" s="25" t="n"/>
      <c r="C211" s="80" t="n"/>
      <c r="D211" s="77" t="n"/>
      <c r="E211" s="77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16">
        <f>IF($L211&lt;&gt;"","Purpose "&amp;CHAR(10)&amp;$L211&amp;CHAR(10)&amp;CHAR(10),"")&amp;
IF($M211&lt;&gt;"","Stops (in order) "&amp;CHAR(10)&amp;$M211&amp;CHAR(10)&amp;CHAR(10),"")&amp;
IF($N211&lt;&gt;"","To-Do (hard requirements) "&amp;CHAR(10)&amp;$N211&amp;CHAR(10)&amp;CHAR(10),"")&amp;
IF($O211&lt;&gt;"","Suggested Timeline "&amp;CHAR(10)&amp;$O211&amp;CHAR(10)&amp;CHAR(10),"")&amp;
IF($P211&lt;&gt;"","Guardrails "&amp;CHAR(10)&amp;$P211&amp;CHAR(10)&amp;CHAR(10),"")&amp;
IF($Q211&lt;&gt;"","Completion signals "&amp;CHAR(10)&amp;$Q211,"")</f>
        <v/>
      </c>
      <c r="S211" s="25" t="n"/>
      <c r="T211" s="25" t="n"/>
      <c r="U211" s="54" t="n"/>
      <c r="V211" s="54">
        <f>IF($B211="","",IF(_xludf.TEXTJOIN(" | ",TRUE,IF($B211="","Missing Title",""),IF($C211="","Missing Date",""),IF($D211="","Missing Start",""),IF($E211="","Missing End",""),IF($G211="","Missing Required Attendees",""),IF($T211="","Missing Status",""),IF(AND($D211&lt;&gt;"",$E211&lt;&gt;"",$D211&gt;=$E211),"Start&gt;=End",""),IF(OR($R211="",LEN($R211)&lt;60,ISNUMBER(MATCH(TRIM($R211),StatusList,0))),"Body overwritten/short",""))="","OK",_xludf.TEXTJOIN(" | ",TRUE,IF($B211="","Missing Title",""),IF($C211="","Missing Date",""),IF($D211="","Missing Start",""),IF($E211="","Missing End",""),IF($G211="","Missing Required Attendees",""),IF($T211="","Missing Status",""),IF(AND($D211&lt;&gt;"",$E211&lt;&gt;"",$D211&gt;=$E211),"Start&gt;=End",""),IF(OR($R211="",LEN($R211)&lt;60,ISNUMBER(MATCH(TRIM($R211),StatusList,0))),"Body overwritten/short",""))))</f>
        <v/>
      </c>
    </row>
    <row r="212" ht="12.75" customHeight="1">
      <c r="B212" s="25" t="n"/>
      <c r="C212" s="80" t="n"/>
      <c r="D212" s="77" t="n"/>
      <c r="E212" s="77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16">
        <f>IF($L212&lt;&gt;"","Purpose "&amp;CHAR(10)&amp;$L212&amp;CHAR(10)&amp;CHAR(10),"")&amp;
IF($M212&lt;&gt;"","Stops (in order) "&amp;CHAR(10)&amp;$M212&amp;CHAR(10)&amp;CHAR(10),"")&amp;
IF($N212&lt;&gt;"","To-Do (hard requirements) "&amp;CHAR(10)&amp;$N212&amp;CHAR(10)&amp;CHAR(10),"")&amp;
IF($O212&lt;&gt;"","Suggested Timeline "&amp;CHAR(10)&amp;$O212&amp;CHAR(10)&amp;CHAR(10),"")&amp;
IF($P212&lt;&gt;"","Guardrails "&amp;CHAR(10)&amp;$P212&amp;CHAR(10)&amp;CHAR(10),"")&amp;
IF($Q212&lt;&gt;"","Completion signals "&amp;CHAR(10)&amp;$Q212,"")</f>
        <v/>
      </c>
      <c r="S212" s="25" t="n"/>
      <c r="T212" s="25" t="n"/>
      <c r="U212" s="54" t="n"/>
      <c r="V212" s="54">
        <f>IF($B212="","",IF(_xludf.TEXTJOIN(" | ",TRUE,IF($B212="","Missing Title",""),IF($C212="","Missing Date",""),IF($D212="","Missing Start",""),IF($E212="","Missing End",""),IF($G212="","Missing Required Attendees",""),IF($T212="","Missing Status",""),IF(AND($D212&lt;&gt;"",$E212&lt;&gt;"",$D212&gt;=$E212),"Start&gt;=End",""),IF(OR($R212="",LEN($R212)&lt;60,ISNUMBER(MATCH(TRIM($R212),StatusList,0))),"Body overwritten/short",""))="","OK",_xludf.TEXTJOIN(" | ",TRUE,IF($B212="","Missing Title",""),IF($C212="","Missing Date",""),IF($D212="","Missing Start",""),IF($E212="","Missing End",""),IF($G212="","Missing Required Attendees",""),IF($T212="","Missing Status",""),IF(AND($D212&lt;&gt;"",$E212&lt;&gt;"",$D212&gt;=$E212),"Start&gt;=End",""),IF(OR($R212="",LEN($R212)&lt;60,ISNUMBER(MATCH(TRIM($R212),StatusList,0))),"Body overwritten/short",""))))</f>
        <v/>
      </c>
    </row>
    <row r="213" ht="12.75" customHeight="1">
      <c r="B213" s="25" t="n"/>
      <c r="C213" s="80" t="n"/>
      <c r="D213" s="77" t="n"/>
      <c r="E213" s="77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16">
        <f>IF($L213&lt;&gt;"","Purpose "&amp;CHAR(10)&amp;$L213&amp;CHAR(10)&amp;CHAR(10),"")&amp;
IF($M213&lt;&gt;"","Stops (in order) "&amp;CHAR(10)&amp;$M213&amp;CHAR(10)&amp;CHAR(10),"")&amp;
IF($N213&lt;&gt;"","To-Do (hard requirements) "&amp;CHAR(10)&amp;$N213&amp;CHAR(10)&amp;CHAR(10),"")&amp;
IF($O213&lt;&gt;"","Suggested Timeline "&amp;CHAR(10)&amp;$O213&amp;CHAR(10)&amp;CHAR(10),"")&amp;
IF($P213&lt;&gt;"","Guardrails "&amp;CHAR(10)&amp;$P213&amp;CHAR(10)&amp;CHAR(10),"")&amp;
IF($Q213&lt;&gt;"","Completion signals "&amp;CHAR(10)&amp;$Q213,"")</f>
        <v/>
      </c>
      <c r="S213" s="25" t="n"/>
      <c r="T213" s="25" t="n"/>
      <c r="U213" s="54" t="n"/>
      <c r="V213" s="54">
        <f>IF($B213="","",IF(_xludf.TEXTJOIN(" | ",TRUE,IF($B213="","Missing Title",""),IF($C213="","Missing Date",""),IF($D213="","Missing Start",""),IF($E213="","Missing End",""),IF($G213="","Missing Required Attendees",""),IF($T213="","Missing Status",""),IF(AND($D213&lt;&gt;"",$E213&lt;&gt;"",$D213&gt;=$E213),"Start&gt;=End",""),IF(OR($R213="",LEN($R213)&lt;60,ISNUMBER(MATCH(TRIM($R213),StatusList,0))),"Body overwritten/short",""))="","OK",_xludf.TEXTJOIN(" | ",TRUE,IF($B213="","Missing Title",""),IF($C213="","Missing Date",""),IF($D213="","Missing Start",""),IF($E213="","Missing End",""),IF($G213="","Missing Required Attendees",""),IF($T213="","Missing Status",""),IF(AND($D213&lt;&gt;"",$E213&lt;&gt;"",$D213&gt;=$E213),"Start&gt;=End",""),IF(OR($R213="",LEN($R213)&lt;60,ISNUMBER(MATCH(TRIM($R213),StatusList,0))),"Body overwritten/short",""))))</f>
        <v/>
      </c>
    </row>
    <row r="214" ht="12.75" customHeight="1">
      <c r="B214" s="25" t="n"/>
      <c r="C214" s="80" t="n"/>
      <c r="D214" s="77" t="n"/>
      <c r="E214" s="77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16">
        <f>IF($L214&lt;&gt;"","Purpose "&amp;CHAR(10)&amp;$L214&amp;CHAR(10)&amp;CHAR(10),"")&amp;
IF($M214&lt;&gt;"","Stops (in order) "&amp;CHAR(10)&amp;$M214&amp;CHAR(10)&amp;CHAR(10),"")&amp;
IF($N214&lt;&gt;"","To-Do (hard requirements) "&amp;CHAR(10)&amp;$N214&amp;CHAR(10)&amp;CHAR(10),"")&amp;
IF($O214&lt;&gt;"","Suggested Timeline "&amp;CHAR(10)&amp;$O214&amp;CHAR(10)&amp;CHAR(10),"")&amp;
IF($P214&lt;&gt;"","Guardrails "&amp;CHAR(10)&amp;$P214&amp;CHAR(10)&amp;CHAR(10),"")&amp;
IF($Q214&lt;&gt;"","Completion signals "&amp;CHAR(10)&amp;$Q214,"")</f>
        <v/>
      </c>
      <c r="S214" s="25" t="n"/>
      <c r="T214" s="25" t="n"/>
      <c r="U214" s="54" t="n"/>
      <c r="V214" s="54">
        <f>IF($B214="","",IF(_xludf.TEXTJOIN(" | ",TRUE,IF($B214="","Missing Title",""),IF($C214="","Missing Date",""),IF($D214="","Missing Start",""),IF($E214="","Missing End",""),IF($G214="","Missing Required Attendees",""),IF($T214="","Missing Status",""),IF(AND($D214&lt;&gt;"",$E214&lt;&gt;"",$D214&gt;=$E214),"Start&gt;=End",""),IF(OR($R214="",LEN($R214)&lt;60,ISNUMBER(MATCH(TRIM($R214),StatusList,0))),"Body overwritten/short",""))="","OK",_xludf.TEXTJOIN(" | ",TRUE,IF($B214="","Missing Title",""),IF($C214="","Missing Date",""),IF($D214="","Missing Start",""),IF($E214="","Missing End",""),IF($G214="","Missing Required Attendees",""),IF($T214="","Missing Status",""),IF(AND($D214&lt;&gt;"",$E214&lt;&gt;"",$D214&gt;=$E214),"Start&gt;=End",""),IF(OR($R214="",LEN($R214)&lt;60,ISNUMBER(MATCH(TRIM($R214),StatusList,0))),"Body overwritten/short",""))))</f>
        <v/>
      </c>
    </row>
    <row r="215" ht="12.75" customHeight="1">
      <c r="B215" s="25" t="n"/>
      <c r="C215" s="80" t="n"/>
      <c r="D215" s="77" t="n"/>
      <c r="E215" s="77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16">
        <f>IF($L215&lt;&gt;"","Purpose "&amp;CHAR(10)&amp;$L215&amp;CHAR(10)&amp;CHAR(10),"")&amp;
IF($M215&lt;&gt;"","Stops (in order) "&amp;CHAR(10)&amp;$M215&amp;CHAR(10)&amp;CHAR(10),"")&amp;
IF($N215&lt;&gt;"","To-Do (hard requirements) "&amp;CHAR(10)&amp;$N215&amp;CHAR(10)&amp;CHAR(10),"")&amp;
IF($O215&lt;&gt;"","Suggested Timeline "&amp;CHAR(10)&amp;$O215&amp;CHAR(10)&amp;CHAR(10),"")&amp;
IF($P215&lt;&gt;"","Guardrails "&amp;CHAR(10)&amp;$P215&amp;CHAR(10)&amp;CHAR(10),"")&amp;
IF($Q215&lt;&gt;"","Completion signals "&amp;CHAR(10)&amp;$Q215,"")</f>
        <v/>
      </c>
      <c r="S215" s="25" t="n"/>
      <c r="T215" s="25" t="n"/>
      <c r="U215" s="54" t="n"/>
      <c r="V215" s="54">
        <f>IF($B215="","",IF(_xludf.TEXTJOIN(" | ",TRUE,IF($B215="","Missing Title",""),IF($C215="","Missing Date",""),IF($D215="","Missing Start",""),IF($E215="","Missing End",""),IF($G215="","Missing Required Attendees",""),IF($T215="","Missing Status",""),IF(AND($D215&lt;&gt;"",$E215&lt;&gt;"",$D215&gt;=$E215),"Start&gt;=End",""),IF(OR($R215="",LEN($R215)&lt;60,ISNUMBER(MATCH(TRIM($R215),StatusList,0))),"Body overwritten/short",""))="","OK",_xludf.TEXTJOIN(" | ",TRUE,IF($B215="","Missing Title",""),IF($C215="","Missing Date",""),IF($D215="","Missing Start",""),IF($E215="","Missing End",""),IF($G215="","Missing Required Attendees",""),IF($T215="","Missing Status",""),IF(AND($D215&lt;&gt;"",$E215&lt;&gt;"",$D215&gt;=$E215),"Start&gt;=End",""),IF(OR($R215="",LEN($R215)&lt;60,ISNUMBER(MATCH(TRIM($R215),StatusList,0))),"Body overwritten/short",""))))</f>
        <v/>
      </c>
    </row>
    <row r="216" ht="12.75" customHeight="1">
      <c r="B216" s="25" t="n"/>
      <c r="C216" s="80" t="n"/>
      <c r="D216" s="77" t="n"/>
      <c r="E216" s="77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16">
        <f>IF($L216&lt;&gt;"","Purpose "&amp;CHAR(10)&amp;$L216&amp;CHAR(10)&amp;CHAR(10),"")&amp;
IF($M216&lt;&gt;"","Stops (in order) "&amp;CHAR(10)&amp;$M216&amp;CHAR(10)&amp;CHAR(10),"")&amp;
IF($N216&lt;&gt;"","To-Do (hard requirements) "&amp;CHAR(10)&amp;$N216&amp;CHAR(10)&amp;CHAR(10),"")&amp;
IF($O216&lt;&gt;"","Suggested Timeline "&amp;CHAR(10)&amp;$O216&amp;CHAR(10)&amp;CHAR(10),"")&amp;
IF($P216&lt;&gt;"","Guardrails "&amp;CHAR(10)&amp;$P216&amp;CHAR(10)&amp;CHAR(10),"")&amp;
IF($Q216&lt;&gt;"","Completion signals "&amp;CHAR(10)&amp;$Q216,"")</f>
        <v/>
      </c>
      <c r="S216" s="25" t="n"/>
      <c r="T216" s="25" t="n"/>
      <c r="U216" s="54" t="n"/>
      <c r="V216" s="54">
        <f>IF($B216="","",IF(_xludf.TEXTJOIN(" | ",TRUE,IF($B216="","Missing Title",""),IF($C216="","Missing Date",""),IF($D216="","Missing Start",""),IF($E216="","Missing End",""),IF($G216="","Missing Required Attendees",""),IF($T216="","Missing Status",""),IF(AND($D216&lt;&gt;"",$E216&lt;&gt;"",$D216&gt;=$E216),"Start&gt;=End",""),IF(OR($R216="",LEN($R216)&lt;60,ISNUMBER(MATCH(TRIM($R216),StatusList,0))),"Body overwritten/short",""))="","OK",_xludf.TEXTJOIN(" | ",TRUE,IF($B216="","Missing Title",""),IF($C216="","Missing Date",""),IF($D216="","Missing Start",""),IF($E216="","Missing End",""),IF($G216="","Missing Required Attendees",""),IF($T216="","Missing Status",""),IF(AND($D216&lt;&gt;"",$E216&lt;&gt;"",$D216&gt;=$E216),"Start&gt;=End",""),IF(OR($R216="",LEN($R216)&lt;60,ISNUMBER(MATCH(TRIM($R216),StatusList,0))),"Body overwritten/short",""))))</f>
        <v/>
      </c>
    </row>
    <row r="217" ht="12.75" customHeight="1">
      <c r="B217" s="25" t="n"/>
      <c r="C217" s="80" t="n"/>
      <c r="D217" s="77" t="n"/>
      <c r="E217" s="77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16">
        <f>IF($L217&lt;&gt;"","Purpose "&amp;CHAR(10)&amp;$L217&amp;CHAR(10)&amp;CHAR(10),"")&amp;
IF($M217&lt;&gt;"","Stops (in order) "&amp;CHAR(10)&amp;$M217&amp;CHAR(10)&amp;CHAR(10),"")&amp;
IF($N217&lt;&gt;"","To-Do (hard requirements) "&amp;CHAR(10)&amp;$N217&amp;CHAR(10)&amp;CHAR(10),"")&amp;
IF($O217&lt;&gt;"","Suggested Timeline "&amp;CHAR(10)&amp;$O217&amp;CHAR(10)&amp;CHAR(10),"")&amp;
IF($P217&lt;&gt;"","Guardrails "&amp;CHAR(10)&amp;$P217&amp;CHAR(10)&amp;CHAR(10),"")&amp;
IF($Q217&lt;&gt;"","Completion signals "&amp;CHAR(10)&amp;$Q217,"")</f>
        <v/>
      </c>
      <c r="S217" s="25" t="n"/>
      <c r="T217" s="25" t="n"/>
      <c r="U217" s="54" t="n"/>
      <c r="V217" s="54">
        <f>IF($B217="","",IF(_xludf.TEXTJOIN(" | ",TRUE,IF($B217="","Missing Title",""),IF($C217="","Missing Date",""),IF($D217="","Missing Start",""),IF($E217="","Missing End",""),IF($G217="","Missing Required Attendees",""),IF($T217="","Missing Status",""),IF(AND($D217&lt;&gt;"",$E217&lt;&gt;"",$D217&gt;=$E217),"Start&gt;=End",""),IF(OR($R217="",LEN($R217)&lt;60,ISNUMBER(MATCH(TRIM($R217),StatusList,0))),"Body overwritten/short",""))="","OK",_xludf.TEXTJOIN(" | ",TRUE,IF($B217="","Missing Title",""),IF($C217="","Missing Date",""),IF($D217="","Missing Start",""),IF($E217="","Missing End",""),IF($G217="","Missing Required Attendees",""),IF($T217="","Missing Status",""),IF(AND($D217&lt;&gt;"",$E217&lt;&gt;"",$D217&gt;=$E217),"Start&gt;=End",""),IF(OR($R217="",LEN($R217)&lt;60,ISNUMBER(MATCH(TRIM($R217),StatusList,0))),"Body overwritten/short",""))))</f>
        <v/>
      </c>
    </row>
    <row r="218" ht="12.75" customHeight="1">
      <c r="B218" s="25" t="n"/>
      <c r="C218" s="80" t="n"/>
      <c r="D218" s="77" t="n"/>
      <c r="E218" s="77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16">
        <f>IF($L218&lt;&gt;"","Purpose "&amp;CHAR(10)&amp;$L218&amp;CHAR(10)&amp;CHAR(10),"")&amp;
IF($M218&lt;&gt;"","Stops (in order) "&amp;CHAR(10)&amp;$M218&amp;CHAR(10)&amp;CHAR(10),"")&amp;
IF($N218&lt;&gt;"","To-Do (hard requirements) "&amp;CHAR(10)&amp;$N218&amp;CHAR(10)&amp;CHAR(10),"")&amp;
IF($O218&lt;&gt;"","Suggested Timeline "&amp;CHAR(10)&amp;$O218&amp;CHAR(10)&amp;CHAR(10),"")&amp;
IF($P218&lt;&gt;"","Guardrails "&amp;CHAR(10)&amp;$P218&amp;CHAR(10)&amp;CHAR(10),"")&amp;
IF($Q218&lt;&gt;"","Completion signals "&amp;CHAR(10)&amp;$Q218,"")</f>
        <v/>
      </c>
      <c r="S218" s="25" t="n"/>
      <c r="T218" s="25" t="n"/>
      <c r="U218" s="54" t="n"/>
      <c r="V218" s="54">
        <f>IF($B218="","",IF(_xludf.TEXTJOIN(" | ",TRUE,IF($B218="","Missing Title",""),IF($C218="","Missing Date",""),IF($D218="","Missing Start",""),IF($E218="","Missing End",""),IF($G218="","Missing Required Attendees",""),IF($T218="","Missing Status",""),IF(AND($D218&lt;&gt;"",$E218&lt;&gt;"",$D218&gt;=$E218),"Start&gt;=End",""),IF(OR($R218="",LEN($R218)&lt;60,ISNUMBER(MATCH(TRIM($R218),StatusList,0))),"Body overwritten/short",""))="","OK",_xludf.TEXTJOIN(" | ",TRUE,IF($B218="","Missing Title",""),IF($C218="","Missing Date",""),IF($D218="","Missing Start",""),IF($E218="","Missing End",""),IF($G218="","Missing Required Attendees",""),IF($T218="","Missing Status",""),IF(AND($D218&lt;&gt;"",$E218&lt;&gt;"",$D218&gt;=$E218),"Start&gt;=End",""),IF(OR($R218="",LEN($R218)&lt;60,ISNUMBER(MATCH(TRIM($R218),StatusList,0))),"Body overwritten/short",""))))</f>
        <v/>
      </c>
    </row>
    <row r="219" ht="12.75" customHeight="1">
      <c r="B219" s="25" t="n"/>
      <c r="C219" s="80" t="n"/>
      <c r="D219" s="77" t="n"/>
      <c r="E219" s="77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16">
        <f>IF($L219&lt;&gt;"","Purpose "&amp;CHAR(10)&amp;$L219&amp;CHAR(10)&amp;CHAR(10),"")&amp;
IF($M219&lt;&gt;"","Stops (in order) "&amp;CHAR(10)&amp;$M219&amp;CHAR(10)&amp;CHAR(10),"")&amp;
IF($N219&lt;&gt;"","To-Do (hard requirements) "&amp;CHAR(10)&amp;$N219&amp;CHAR(10)&amp;CHAR(10),"")&amp;
IF($O219&lt;&gt;"","Suggested Timeline "&amp;CHAR(10)&amp;$O219&amp;CHAR(10)&amp;CHAR(10),"")&amp;
IF($P219&lt;&gt;"","Guardrails "&amp;CHAR(10)&amp;$P219&amp;CHAR(10)&amp;CHAR(10),"")&amp;
IF($Q219&lt;&gt;"","Completion signals "&amp;CHAR(10)&amp;$Q219,"")</f>
        <v/>
      </c>
      <c r="S219" s="25" t="n"/>
      <c r="T219" s="25" t="n"/>
      <c r="U219" s="54" t="n"/>
      <c r="V219" s="54">
        <f>IF($B219="","",IF(_xludf.TEXTJOIN(" | ",TRUE,IF($B219="","Missing Title",""),IF($C219="","Missing Date",""),IF($D219="","Missing Start",""),IF($E219="","Missing End",""),IF($G219="","Missing Required Attendees",""),IF($T219="","Missing Status",""),IF(AND($D219&lt;&gt;"",$E219&lt;&gt;"",$D219&gt;=$E219),"Start&gt;=End",""),IF(OR($R219="",LEN($R219)&lt;60,ISNUMBER(MATCH(TRIM($R219),StatusList,0))),"Body overwritten/short",""))="","OK",_xludf.TEXTJOIN(" | ",TRUE,IF($B219="","Missing Title",""),IF($C219="","Missing Date",""),IF($D219="","Missing Start",""),IF($E219="","Missing End",""),IF($G219="","Missing Required Attendees",""),IF($T219="","Missing Status",""),IF(AND($D219&lt;&gt;"",$E219&lt;&gt;"",$D219&gt;=$E219),"Start&gt;=End",""),IF(OR($R219="",LEN($R219)&lt;60,ISNUMBER(MATCH(TRIM($R219),StatusList,0))),"Body overwritten/short",""))))</f>
        <v/>
      </c>
    </row>
    <row r="220" ht="12.75" customHeight="1">
      <c r="B220" s="25" t="n"/>
      <c r="C220" s="80" t="n"/>
      <c r="D220" s="77" t="n"/>
      <c r="E220" s="77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16">
        <f>IF($L220&lt;&gt;"","Purpose "&amp;CHAR(10)&amp;$L220&amp;CHAR(10)&amp;CHAR(10),"")&amp;
IF($M220&lt;&gt;"","Stops (in order) "&amp;CHAR(10)&amp;$M220&amp;CHAR(10)&amp;CHAR(10),"")&amp;
IF($N220&lt;&gt;"","To-Do (hard requirements) "&amp;CHAR(10)&amp;$N220&amp;CHAR(10)&amp;CHAR(10),"")&amp;
IF($O220&lt;&gt;"","Suggested Timeline "&amp;CHAR(10)&amp;$O220&amp;CHAR(10)&amp;CHAR(10),"")&amp;
IF($P220&lt;&gt;"","Guardrails "&amp;CHAR(10)&amp;$P220&amp;CHAR(10)&amp;CHAR(10),"")&amp;
IF($Q220&lt;&gt;"","Completion signals "&amp;CHAR(10)&amp;$Q220,"")</f>
        <v/>
      </c>
      <c r="S220" s="25" t="n"/>
      <c r="T220" s="25" t="n"/>
      <c r="U220" s="54" t="n"/>
      <c r="V220" s="54">
        <f>IF($B220="","",IF(_xludf.TEXTJOIN(" | ",TRUE,IF($B220="","Missing Title",""),IF($C220="","Missing Date",""),IF($D220="","Missing Start",""),IF($E220="","Missing End",""),IF($G220="","Missing Required Attendees",""),IF($T220="","Missing Status",""),IF(AND($D220&lt;&gt;"",$E220&lt;&gt;"",$D220&gt;=$E220),"Start&gt;=End",""),IF(OR($R220="",LEN($R220)&lt;60,ISNUMBER(MATCH(TRIM($R220),StatusList,0))),"Body overwritten/short",""))="","OK",_xludf.TEXTJOIN(" | ",TRUE,IF($B220="","Missing Title",""),IF($C220="","Missing Date",""),IF($D220="","Missing Start",""),IF($E220="","Missing End",""),IF($G220="","Missing Required Attendees",""),IF($T220="","Missing Status",""),IF(AND($D220&lt;&gt;"",$E220&lt;&gt;"",$D220&gt;=$E220),"Start&gt;=End",""),IF(OR($R220="",LEN($R220)&lt;60,ISNUMBER(MATCH(TRIM($R220),StatusList,0))),"Body overwritten/short",""))))</f>
        <v/>
      </c>
    </row>
    <row r="221" ht="12.75" customHeight="1">
      <c r="B221" s="25" t="n"/>
      <c r="C221" s="80" t="n"/>
      <c r="D221" s="77" t="n"/>
      <c r="E221" s="77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16">
        <f>IF($L221&lt;&gt;"","Purpose "&amp;CHAR(10)&amp;$L221&amp;CHAR(10)&amp;CHAR(10),"")&amp;
IF($M221&lt;&gt;"","Stops (in order) "&amp;CHAR(10)&amp;$M221&amp;CHAR(10)&amp;CHAR(10),"")&amp;
IF($N221&lt;&gt;"","To-Do (hard requirements) "&amp;CHAR(10)&amp;$N221&amp;CHAR(10)&amp;CHAR(10),"")&amp;
IF($O221&lt;&gt;"","Suggested Timeline "&amp;CHAR(10)&amp;$O221&amp;CHAR(10)&amp;CHAR(10),"")&amp;
IF($P221&lt;&gt;"","Guardrails "&amp;CHAR(10)&amp;$P221&amp;CHAR(10)&amp;CHAR(10),"")&amp;
IF($Q221&lt;&gt;"","Completion signals "&amp;CHAR(10)&amp;$Q221,"")</f>
        <v/>
      </c>
      <c r="S221" s="25" t="n"/>
      <c r="T221" s="25" t="n"/>
      <c r="U221" s="54" t="n"/>
      <c r="V221" s="54">
        <f>IF($B221="","",IF(_xludf.TEXTJOIN(" | ",TRUE,IF($B221="","Missing Title",""),IF($C221="","Missing Date",""),IF($D221="","Missing Start",""),IF($E221="","Missing End",""),IF($G221="","Missing Required Attendees",""),IF($T221="","Missing Status",""),IF(AND($D221&lt;&gt;"",$E221&lt;&gt;"",$D221&gt;=$E221),"Start&gt;=End",""),IF(OR($R221="",LEN($R221)&lt;60,ISNUMBER(MATCH(TRIM($R221),StatusList,0))),"Body overwritten/short",""))="","OK",_xludf.TEXTJOIN(" | ",TRUE,IF($B221="","Missing Title",""),IF($C221="","Missing Date",""),IF($D221="","Missing Start",""),IF($E221="","Missing End",""),IF($G221="","Missing Required Attendees",""),IF($T221="","Missing Status",""),IF(AND($D221&lt;&gt;"",$E221&lt;&gt;"",$D221&gt;=$E221),"Start&gt;=End",""),IF(OR($R221="",LEN($R221)&lt;60,ISNUMBER(MATCH(TRIM($R221),StatusList,0))),"Body overwritten/short",""))))</f>
        <v/>
      </c>
    </row>
    <row r="222" ht="12.75" customHeight="1">
      <c r="B222" s="25" t="n"/>
      <c r="C222" s="80" t="n"/>
      <c r="D222" s="77" t="n"/>
      <c r="E222" s="77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16">
        <f>IF($L222&lt;&gt;"","Purpose "&amp;CHAR(10)&amp;$L222&amp;CHAR(10)&amp;CHAR(10),"")&amp;
IF($M222&lt;&gt;"","Stops (in order) "&amp;CHAR(10)&amp;$M222&amp;CHAR(10)&amp;CHAR(10),"")&amp;
IF($N222&lt;&gt;"","To-Do (hard requirements) "&amp;CHAR(10)&amp;$N222&amp;CHAR(10)&amp;CHAR(10),"")&amp;
IF($O222&lt;&gt;"","Suggested Timeline "&amp;CHAR(10)&amp;$O222&amp;CHAR(10)&amp;CHAR(10),"")&amp;
IF($P222&lt;&gt;"","Guardrails "&amp;CHAR(10)&amp;$P222&amp;CHAR(10)&amp;CHAR(10),"")&amp;
IF($Q222&lt;&gt;"","Completion signals "&amp;CHAR(10)&amp;$Q222,"")</f>
        <v/>
      </c>
      <c r="S222" s="25" t="n"/>
      <c r="T222" s="25" t="n"/>
      <c r="U222" s="54" t="n"/>
      <c r="V222" s="54">
        <f>IF($B222="","",IF(_xludf.TEXTJOIN(" | ",TRUE,IF($B222="","Missing Title",""),IF($C222="","Missing Date",""),IF($D222="","Missing Start",""),IF($E222="","Missing End",""),IF($G222="","Missing Required Attendees",""),IF($T222="","Missing Status",""),IF(AND($D222&lt;&gt;"",$E222&lt;&gt;"",$D222&gt;=$E222),"Start&gt;=End",""),IF(OR($R222="",LEN($R222)&lt;60,ISNUMBER(MATCH(TRIM($R222),StatusList,0))),"Body overwritten/short",""))="","OK",_xludf.TEXTJOIN(" | ",TRUE,IF($B222="","Missing Title",""),IF($C222="","Missing Date",""),IF($D222="","Missing Start",""),IF($E222="","Missing End",""),IF($G222="","Missing Required Attendees",""),IF($T222="","Missing Status",""),IF(AND($D222&lt;&gt;"",$E222&lt;&gt;"",$D222&gt;=$E222),"Start&gt;=End",""),IF(OR($R222="",LEN($R222)&lt;60,ISNUMBER(MATCH(TRIM($R222),StatusList,0))),"Body overwritten/short",""))))</f>
        <v/>
      </c>
    </row>
    <row r="223" ht="12.75" customHeight="1">
      <c r="B223" s="25" t="n"/>
      <c r="C223" s="80" t="n"/>
      <c r="D223" s="77" t="n"/>
      <c r="E223" s="77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16">
        <f>IF($L223&lt;&gt;"","Purpose "&amp;CHAR(10)&amp;$L223&amp;CHAR(10)&amp;CHAR(10),"")&amp;
IF($M223&lt;&gt;"","Stops (in order) "&amp;CHAR(10)&amp;$M223&amp;CHAR(10)&amp;CHAR(10),"")&amp;
IF($N223&lt;&gt;"","To-Do (hard requirements) "&amp;CHAR(10)&amp;$N223&amp;CHAR(10)&amp;CHAR(10),"")&amp;
IF($O223&lt;&gt;"","Suggested Timeline "&amp;CHAR(10)&amp;$O223&amp;CHAR(10)&amp;CHAR(10),"")&amp;
IF($P223&lt;&gt;"","Guardrails "&amp;CHAR(10)&amp;$P223&amp;CHAR(10)&amp;CHAR(10),"")&amp;
IF($Q223&lt;&gt;"","Completion signals "&amp;CHAR(10)&amp;$Q223,"")</f>
        <v/>
      </c>
      <c r="S223" s="25" t="n"/>
      <c r="T223" s="25" t="n"/>
      <c r="U223" s="54" t="n"/>
      <c r="V223" s="54">
        <f>IF($B223="","",IF(_xludf.TEXTJOIN(" | ",TRUE,IF($B223="","Missing Title",""),IF($C223="","Missing Date",""),IF($D223="","Missing Start",""),IF($E223="","Missing End",""),IF($G223="","Missing Required Attendees",""),IF($T223="","Missing Status",""),IF(AND($D223&lt;&gt;"",$E223&lt;&gt;"",$D223&gt;=$E223),"Start&gt;=End",""),IF(OR($R223="",LEN($R223)&lt;60,ISNUMBER(MATCH(TRIM($R223),StatusList,0))),"Body overwritten/short",""))="","OK",_xludf.TEXTJOIN(" | ",TRUE,IF($B223="","Missing Title",""),IF($C223="","Missing Date",""),IF($D223="","Missing Start",""),IF($E223="","Missing End",""),IF($G223="","Missing Required Attendees",""),IF($T223="","Missing Status",""),IF(AND($D223&lt;&gt;"",$E223&lt;&gt;"",$D223&gt;=$E223),"Start&gt;=End",""),IF(OR($R223="",LEN($R223)&lt;60,ISNUMBER(MATCH(TRIM($R223),StatusList,0))),"Body overwritten/short",""))))</f>
        <v/>
      </c>
    </row>
    <row r="224" ht="12.75" customHeight="1">
      <c r="B224" s="25" t="n"/>
      <c r="C224" s="80" t="n"/>
      <c r="D224" s="77" t="n"/>
      <c r="E224" s="77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16">
        <f>IF($L224&lt;&gt;"","Purpose "&amp;CHAR(10)&amp;$L224&amp;CHAR(10)&amp;CHAR(10),"")&amp;
IF($M224&lt;&gt;"","Stops (in order) "&amp;CHAR(10)&amp;$M224&amp;CHAR(10)&amp;CHAR(10),"")&amp;
IF($N224&lt;&gt;"","To-Do (hard requirements) "&amp;CHAR(10)&amp;$N224&amp;CHAR(10)&amp;CHAR(10),"")&amp;
IF($O224&lt;&gt;"","Suggested Timeline "&amp;CHAR(10)&amp;$O224&amp;CHAR(10)&amp;CHAR(10),"")&amp;
IF($P224&lt;&gt;"","Guardrails "&amp;CHAR(10)&amp;$P224&amp;CHAR(10)&amp;CHAR(10),"")&amp;
IF($Q224&lt;&gt;"","Completion signals "&amp;CHAR(10)&amp;$Q224,"")</f>
        <v/>
      </c>
      <c r="S224" s="25" t="n"/>
      <c r="T224" s="25" t="n"/>
      <c r="U224" s="54" t="n"/>
      <c r="V224" s="54">
        <f>IF($B224="","",IF(_xludf.TEXTJOIN(" | ",TRUE,IF($B224="","Missing Title",""),IF($C224="","Missing Date",""),IF($D224="","Missing Start",""),IF($E224="","Missing End",""),IF($G224="","Missing Required Attendees",""),IF($T224="","Missing Status",""),IF(AND($D224&lt;&gt;"",$E224&lt;&gt;"",$D224&gt;=$E224),"Start&gt;=End",""),IF(OR($R224="",LEN($R224)&lt;60,ISNUMBER(MATCH(TRIM($R224),StatusList,0))),"Body overwritten/short",""))="","OK",_xludf.TEXTJOIN(" | ",TRUE,IF($B224="","Missing Title",""),IF($C224="","Missing Date",""),IF($D224="","Missing Start",""),IF($E224="","Missing End",""),IF($G224="","Missing Required Attendees",""),IF($T224="","Missing Status",""),IF(AND($D224&lt;&gt;"",$E224&lt;&gt;"",$D224&gt;=$E224),"Start&gt;=End",""),IF(OR($R224="",LEN($R224)&lt;60,ISNUMBER(MATCH(TRIM($R224),StatusList,0))),"Body overwritten/short",""))))</f>
        <v/>
      </c>
    </row>
    <row r="225" ht="12.75" customHeight="1">
      <c r="B225" s="25" t="n"/>
      <c r="C225" s="80" t="n"/>
      <c r="D225" s="77" t="n"/>
      <c r="E225" s="77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16">
        <f>IF($L225&lt;&gt;"","Purpose "&amp;CHAR(10)&amp;$L225&amp;CHAR(10)&amp;CHAR(10),"")&amp;
IF($M225&lt;&gt;"","Stops (in order) "&amp;CHAR(10)&amp;$M225&amp;CHAR(10)&amp;CHAR(10),"")&amp;
IF($N225&lt;&gt;"","To-Do (hard requirements) "&amp;CHAR(10)&amp;$N225&amp;CHAR(10)&amp;CHAR(10),"")&amp;
IF($O225&lt;&gt;"","Suggested Timeline "&amp;CHAR(10)&amp;$O225&amp;CHAR(10)&amp;CHAR(10),"")&amp;
IF($P225&lt;&gt;"","Guardrails "&amp;CHAR(10)&amp;$P225&amp;CHAR(10)&amp;CHAR(10),"")&amp;
IF($Q225&lt;&gt;"","Completion signals "&amp;CHAR(10)&amp;$Q225,"")</f>
        <v/>
      </c>
      <c r="S225" s="25" t="n"/>
      <c r="T225" s="25" t="n"/>
      <c r="U225" s="54" t="n"/>
      <c r="V225" s="54">
        <f>IF($B225="","",IF(_xludf.TEXTJOIN(" | ",TRUE,IF($B225="","Missing Title",""),IF($C225="","Missing Date",""),IF($D225="","Missing Start",""),IF($E225="","Missing End",""),IF($G225="","Missing Required Attendees",""),IF($T225="","Missing Status",""),IF(AND($D225&lt;&gt;"",$E225&lt;&gt;"",$D225&gt;=$E225),"Start&gt;=End",""),IF(OR($R225="",LEN($R225)&lt;60,ISNUMBER(MATCH(TRIM($R225),StatusList,0))),"Body overwritten/short",""))="","OK",_xludf.TEXTJOIN(" | ",TRUE,IF($B225="","Missing Title",""),IF($C225="","Missing Date",""),IF($D225="","Missing Start",""),IF($E225="","Missing End",""),IF($G225="","Missing Required Attendees",""),IF($T225="","Missing Status",""),IF(AND($D225&lt;&gt;"",$E225&lt;&gt;"",$D225&gt;=$E225),"Start&gt;=End",""),IF(OR($R225="",LEN($R225)&lt;60,ISNUMBER(MATCH(TRIM($R225),StatusList,0))),"Body overwritten/short",""))))</f>
        <v/>
      </c>
    </row>
    <row r="226" ht="12.75" customHeight="1">
      <c r="B226" s="25" t="n"/>
      <c r="C226" s="80" t="n"/>
      <c r="D226" s="77" t="n"/>
      <c r="E226" s="77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16">
        <f>IF($L226&lt;&gt;"","Purpose "&amp;CHAR(10)&amp;$L226&amp;CHAR(10)&amp;CHAR(10),"")&amp;
IF($M226&lt;&gt;"","Stops (in order) "&amp;CHAR(10)&amp;$M226&amp;CHAR(10)&amp;CHAR(10),"")&amp;
IF($N226&lt;&gt;"","To-Do (hard requirements) "&amp;CHAR(10)&amp;$N226&amp;CHAR(10)&amp;CHAR(10),"")&amp;
IF($O226&lt;&gt;"","Suggested Timeline "&amp;CHAR(10)&amp;$O226&amp;CHAR(10)&amp;CHAR(10),"")&amp;
IF($P226&lt;&gt;"","Guardrails "&amp;CHAR(10)&amp;$P226&amp;CHAR(10)&amp;CHAR(10),"")&amp;
IF($Q226&lt;&gt;"","Completion signals "&amp;CHAR(10)&amp;$Q226,"")</f>
        <v/>
      </c>
      <c r="S226" s="25" t="n"/>
      <c r="T226" s="25" t="n"/>
      <c r="U226" s="54" t="n"/>
      <c r="V226" s="54">
        <f>IF($B226="","",IF(_xludf.TEXTJOIN(" | ",TRUE,IF($B226="","Missing Title",""),IF($C226="","Missing Date",""),IF($D226="","Missing Start",""),IF($E226="","Missing End",""),IF($G226="","Missing Required Attendees",""),IF($T226="","Missing Status",""),IF(AND($D226&lt;&gt;"",$E226&lt;&gt;"",$D226&gt;=$E226),"Start&gt;=End",""),IF(OR($R226="",LEN($R226)&lt;60,ISNUMBER(MATCH(TRIM($R226),StatusList,0))),"Body overwritten/short",""))="","OK",_xludf.TEXTJOIN(" | ",TRUE,IF($B226="","Missing Title",""),IF($C226="","Missing Date",""),IF($D226="","Missing Start",""),IF($E226="","Missing End",""),IF($G226="","Missing Required Attendees",""),IF($T226="","Missing Status",""),IF(AND($D226&lt;&gt;"",$E226&lt;&gt;"",$D226&gt;=$E226),"Start&gt;=End",""),IF(OR($R226="",LEN($R226)&lt;60,ISNUMBER(MATCH(TRIM($R226),StatusList,0))),"Body overwritten/short",""))))</f>
        <v/>
      </c>
    </row>
    <row r="227" ht="12.75" customHeight="1">
      <c r="B227" s="25" t="n"/>
      <c r="C227" s="80" t="n"/>
      <c r="D227" s="77" t="n"/>
      <c r="E227" s="77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16">
        <f>IF($L227&lt;&gt;"","Purpose "&amp;CHAR(10)&amp;$L227&amp;CHAR(10)&amp;CHAR(10),"")&amp;
IF($M227&lt;&gt;"","Stops (in order) "&amp;CHAR(10)&amp;$M227&amp;CHAR(10)&amp;CHAR(10),"")&amp;
IF($N227&lt;&gt;"","To-Do (hard requirements) "&amp;CHAR(10)&amp;$N227&amp;CHAR(10)&amp;CHAR(10),"")&amp;
IF($O227&lt;&gt;"","Suggested Timeline "&amp;CHAR(10)&amp;$O227&amp;CHAR(10)&amp;CHAR(10),"")&amp;
IF($P227&lt;&gt;"","Guardrails "&amp;CHAR(10)&amp;$P227&amp;CHAR(10)&amp;CHAR(10),"")&amp;
IF($Q227&lt;&gt;"","Completion signals "&amp;CHAR(10)&amp;$Q227,"")</f>
        <v/>
      </c>
      <c r="S227" s="25" t="n"/>
      <c r="T227" s="25" t="n"/>
      <c r="U227" s="54" t="n"/>
      <c r="V227" s="54">
        <f>IF($B227="","",IF(_xludf.TEXTJOIN(" | ",TRUE,IF($B227="","Missing Title",""),IF($C227="","Missing Date",""),IF($D227="","Missing Start",""),IF($E227="","Missing End",""),IF($G227="","Missing Required Attendees",""),IF($T227="","Missing Status",""),IF(AND($D227&lt;&gt;"",$E227&lt;&gt;"",$D227&gt;=$E227),"Start&gt;=End",""),IF(OR($R227="",LEN($R227)&lt;60,ISNUMBER(MATCH(TRIM($R227),StatusList,0))),"Body overwritten/short",""))="","OK",_xludf.TEXTJOIN(" | ",TRUE,IF($B227="","Missing Title",""),IF($C227="","Missing Date",""),IF($D227="","Missing Start",""),IF($E227="","Missing End",""),IF($G227="","Missing Required Attendees",""),IF($T227="","Missing Status",""),IF(AND($D227&lt;&gt;"",$E227&lt;&gt;"",$D227&gt;=$E227),"Start&gt;=End",""),IF(OR($R227="",LEN($R227)&lt;60,ISNUMBER(MATCH(TRIM($R227),StatusList,0))),"Body overwritten/short",""))))</f>
        <v/>
      </c>
    </row>
    <row r="228" ht="12.75" customHeight="1">
      <c r="B228" s="25" t="n"/>
      <c r="C228" s="80" t="n"/>
      <c r="D228" s="77" t="n"/>
      <c r="E228" s="77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16">
        <f>IF($L228&lt;&gt;"","Purpose "&amp;CHAR(10)&amp;$L228&amp;CHAR(10)&amp;CHAR(10),"")&amp;
IF($M228&lt;&gt;"","Stops (in order) "&amp;CHAR(10)&amp;$M228&amp;CHAR(10)&amp;CHAR(10),"")&amp;
IF($N228&lt;&gt;"","To-Do (hard requirements) "&amp;CHAR(10)&amp;$N228&amp;CHAR(10)&amp;CHAR(10),"")&amp;
IF($O228&lt;&gt;"","Suggested Timeline "&amp;CHAR(10)&amp;$O228&amp;CHAR(10)&amp;CHAR(10),"")&amp;
IF($P228&lt;&gt;"","Guardrails "&amp;CHAR(10)&amp;$P228&amp;CHAR(10)&amp;CHAR(10),"")&amp;
IF($Q228&lt;&gt;"","Completion signals "&amp;CHAR(10)&amp;$Q228,"")</f>
        <v/>
      </c>
      <c r="S228" s="25" t="n"/>
      <c r="T228" s="25" t="n"/>
      <c r="U228" s="54" t="n"/>
      <c r="V228" s="54">
        <f>IF($B228="","",IF(_xludf.TEXTJOIN(" | ",TRUE,IF($B228="","Missing Title",""),IF($C228="","Missing Date",""),IF($D228="","Missing Start",""),IF($E228="","Missing End",""),IF($G228="","Missing Required Attendees",""),IF($T228="","Missing Status",""),IF(AND($D228&lt;&gt;"",$E228&lt;&gt;"",$D228&gt;=$E228),"Start&gt;=End",""),IF(OR($R228="",LEN($R228)&lt;60,ISNUMBER(MATCH(TRIM($R228),StatusList,0))),"Body overwritten/short",""))="","OK",_xludf.TEXTJOIN(" | ",TRUE,IF($B228="","Missing Title",""),IF($C228="","Missing Date",""),IF($D228="","Missing Start",""),IF($E228="","Missing End",""),IF($G228="","Missing Required Attendees",""),IF($T228="","Missing Status",""),IF(AND($D228&lt;&gt;"",$E228&lt;&gt;"",$D228&gt;=$E228),"Start&gt;=End",""),IF(OR($R228="",LEN($R228)&lt;60,ISNUMBER(MATCH(TRIM($R228),StatusList,0))),"Body overwritten/short",""))))</f>
        <v/>
      </c>
    </row>
    <row r="229" ht="12.75" customHeight="1">
      <c r="B229" s="25" t="n"/>
      <c r="C229" s="80" t="n"/>
      <c r="D229" s="77" t="n"/>
      <c r="E229" s="77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16">
        <f>IF($L229&lt;&gt;"","Purpose "&amp;CHAR(10)&amp;$L229&amp;CHAR(10)&amp;CHAR(10),"")&amp;
IF($M229&lt;&gt;"","Stops (in order) "&amp;CHAR(10)&amp;$M229&amp;CHAR(10)&amp;CHAR(10),"")&amp;
IF($N229&lt;&gt;"","To-Do (hard requirements) "&amp;CHAR(10)&amp;$N229&amp;CHAR(10)&amp;CHAR(10),"")&amp;
IF($O229&lt;&gt;"","Suggested Timeline "&amp;CHAR(10)&amp;$O229&amp;CHAR(10)&amp;CHAR(10),"")&amp;
IF($P229&lt;&gt;"","Guardrails "&amp;CHAR(10)&amp;$P229&amp;CHAR(10)&amp;CHAR(10),"")&amp;
IF($Q229&lt;&gt;"","Completion signals "&amp;CHAR(10)&amp;$Q229,"")</f>
        <v/>
      </c>
      <c r="S229" s="25" t="n"/>
      <c r="T229" s="25" t="n"/>
      <c r="U229" s="54" t="n"/>
      <c r="V229" s="54">
        <f>IF($B229="","",IF(_xludf.TEXTJOIN(" | ",TRUE,IF($B229="","Missing Title",""),IF($C229="","Missing Date",""),IF($D229="","Missing Start",""),IF($E229="","Missing End",""),IF($G229="","Missing Required Attendees",""),IF($T229="","Missing Status",""),IF(AND($D229&lt;&gt;"",$E229&lt;&gt;"",$D229&gt;=$E229),"Start&gt;=End",""),IF(OR($R229="",LEN($R229)&lt;60,ISNUMBER(MATCH(TRIM($R229),StatusList,0))),"Body overwritten/short",""))="","OK",_xludf.TEXTJOIN(" | ",TRUE,IF($B229="","Missing Title",""),IF($C229="","Missing Date",""),IF($D229="","Missing Start",""),IF($E229="","Missing End",""),IF($G229="","Missing Required Attendees",""),IF($T229="","Missing Status",""),IF(AND($D229&lt;&gt;"",$E229&lt;&gt;"",$D229&gt;=$E229),"Start&gt;=End",""),IF(OR($R229="",LEN($R229)&lt;60,ISNUMBER(MATCH(TRIM($R229),StatusList,0))),"Body overwritten/short",""))))</f>
        <v/>
      </c>
    </row>
    <row r="230" ht="12.75" customHeight="1">
      <c r="B230" s="25" t="n"/>
      <c r="C230" s="80" t="n"/>
      <c r="D230" s="77" t="n"/>
      <c r="E230" s="77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16">
        <f>IF($L230&lt;&gt;"","Purpose "&amp;CHAR(10)&amp;$L230&amp;CHAR(10)&amp;CHAR(10),"")&amp;
IF($M230&lt;&gt;"","Stops (in order) "&amp;CHAR(10)&amp;$M230&amp;CHAR(10)&amp;CHAR(10),"")&amp;
IF($N230&lt;&gt;"","To-Do (hard requirements) "&amp;CHAR(10)&amp;$N230&amp;CHAR(10)&amp;CHAR(10),"")&amp;
IF($O230&lt;&gt;"","Suggested Timeline "&amp;CHAR(10)&amp;$O230&amp;CHAR(10)&amp;CHAR(10),"")&amp;
IF($P230&lt;&gt;"","Guardrails "&amp;CHAR(10)&amp;$P230&amp;CHAR(10)&amp;CHAR(10),"")&amp;
IF($Q230&lt;&gt;"","Completion signals "&amp;CHAR(10)&amp;$Q230,"")</f>
        <v/>
      </c>
      <c r="S230" s="25" t="n"/>
      <c r="T230" s="25" t="n"/>
      <c r="U230" s="54" t="n"/>
      <c r="V230" s="54">
        <f>IF($B230="","",IF(_xludf.TEXTJOIN(" | ",TRUE,IF($B230="","Missing Title",""),IF($C230="","Missing Date",""),IF($D230="","Missing Start",""),IF($E230="","Missing End",""),IF($G230="","Missing Required Attendees",""),IF($T230="","Missing Status",""),IF(AND($D230&lt;&gt;"",$E230&lt;&gt;"",$D230&gt;=$E230),"Start&gt;=End",""),IF(OR($R230="",LEN($R230)&lt;60,ISNUMBER(MATCH(TRIM($R230),StatusList,0))),"Body overwritten/short",""))="","OK",_xludf.TEXTJOIN(" | ",TRUE,IF($B230="","Missing Title",""),IF($C230="","Missing Date",""),IF($D230="","Missing Start",""),IF($E230="","Missing End",""),IF($G230="","Missing Required Attendees",""),IF($T230="","Missing Status",""),IF(AND($D230&lt;&gt;"",$E230&lt;&gt;"",$D230&gt;=$E230),"Start&gt;=End",""),IF(OR($R230="",LEN($R230)&lt;60,ISNUMBER(MATCH(TRIM($R230),StatusList,0))),"Body overwritten/short",""))))</f>
        <v/>
      </c>
    </row>
    <row r="231" ht="12.75" customHeight="1">
      <c r="B231" s="25" t="n"/>
      <c r="C231" s="80" t="n"/>
      <c r="D231" s="77" t="n"/>
      <c r="E231" s="77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16">
        <f>IF($L231&lt;&gt;"","Purpose "&amp;CHAR(10)&amp;$L231&amp;CHAR(10)&amp;CHAR(10),"")&amp;
IF($M231&lt;&gt;"","Stops (in order) "&amp;CHAR(10)&amp;$M231&amp;CHAR(10)&amp;CHAR(10),"")&amp;
IF($N231&lt;&gt;"","To-Do (hard requirements) "&amp;CHAR(10)&amp;$N231&amp;CHAR(10)&amp;CHAR(10),"")&amp;
IF($O231&lt;&gt;"","Suggested Timeline "&amp;CHAR(10)&amp;$O231&amp;CHAR(10)&amp;CHAR(10),"")&amp;
IF($P231&lt;&gt;"","Guardrails "&amp;CHAR(10)&amp;$P231&amp;CHAR(10)&amp;CHAR(10),"")&amp;
IF($Q231&lt;&gt;"","Completion signals "&amp;CHAR(10)&amp;$Q231,"")</f>
        <v/>
      </c>
      <c r="S231" s="25" t="n"/>
      <c r="T231" s="25" t="n"/>
      <c r="U231" s="54" t="n"/>
      <c r="V231" s="54">
        <f>IF($B231="","",IF(_xludf.TEXTJOIN(" | ",TRUE,IF($B231="","Missing Title",""),IF($C231="","Missing Date",""),IF($D231="","Missing Start",""),IF($E231="","Missing End",""),IF($G231="","Missing Required Attendees",""),IF($T231="","Missing Status",""),IF(AND($D231&lt;&gt;"",$E231&lt;&gt;"",$D231&gt;=$E231),"Start&gt;=End",""),IF(OR($R231="",LEN($R231)&lt;60,ISNUMBER(MATCH(TRIM($R231),StatusList,0))),"Body overwritten/short",""))="","OK",_xludf.TEXTJOIN(" | ",TRUE,IF($B231="","Missing Title",""),IF($C231="","Missing Date",""),IF($D231="","Missing Start",""),IF($E231="","Missing End",""),IF($G231="","Missing Required Attendees",""),IF($T231="","Missing Status",""),IF(AND($D231&lt;&gt;"",$E231&lt;&gt;"",$D231&gt;=$E231),"Start&gt;=End",""),IF(OR($R231="",LEN($R231)&lt;60,ISNUMBER(MATCH(TRIM($R231),StatusList,0))),"Body overwritten/short",""))))</f>
        <v/>
      </c>
    </row>
    <row r="232" ht="12.75" customHeight="1">
      <c r="B232" s="25" t="n"/>
      <c r="C232" s="80" t="n"/>
      <c r="D232" s="77" t="n"/>
      <c r="E232" s="77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16">
        <f>IF($L232&lt;&gt;"","Purpose "&amp;CHAR(10)&amp;$L232&amp;CHAR(10)&amp;CHAR(10),"")&amp;
IF($M232&lt;&gt;"","Stops (in order) "&amp;CHAR(10)&amp;$M232&amp;CHAR(10)&amp;CHAR(10),"")&amp;
IF($N232&lt;&gt;"","To-Do (hard requirements) "&amp;CHAR(10)&amp;$N232&amp;CHAR(10)&amp;CHAR(10),"")&amp;
IF($O232&lt;&gt;"","Suggested Timeline "&amp;CHAR(10)&amp;$O232&amp;CHAR(10)&amp;CHAR(10),"")&amp;
IF($P232&lt;&gt;"","Guardrails "&amp;CHAR(10)&amp;$P232&amp;CHAR(10)&amp;CHAR(10),"")&amp;
IF($Q232&lt;&gt;"","Completion signals "&amp;CHAR(10)&amp;$Q232,"")</f>
        <v/>
      </c>
      <c r="S232" s="25" t="n"/>
      <c r="T232" s="25" t="n"/>
      <c r="U232" s="54" t="n"/>
      <c r="V232" s="54">
        <f>IF($B232="","",IF(_xludf.TEXTJOIN(" | ",TRUE,IF($B232="","Missing Title",""),IF($C232="","Missing Date",""),IF($D232="","Missing Start",""),IF($E232="","Missing End",""),IF($G232="","Missing Required Attendees",""),IF($T232="","Missing Status",""),IF(AND($D232&lt;&gt;"",$E232&lt;&gt;"",$D232&gt;=$E232),"Start&gt;=End",""),IF(OR($R232="",LEN($R232)&lt;60,ISNUMBER(MATCH(TRIM($R232),StatusList,0))),"Body overwritten/short",""))="","OK",_xludf.TEXTJOIN(" | ",TRUE,IF($B232="","Missing Title",""),IF($C232="","Missing Date",""),IF($D232="","Missing Start",""),IF($E232="","Missing End",""),IF($G232="","Missing Required Attendees",""),IF($T232="","Missing Status",""),IF(AND($D232&lt;&gt;"",$E232&lt;&gt;"",$D232&gt;=$E232),"Start&gt;=End",""),IF(OR($R232="",LEN($R232)&lt;60,ISNUMBER(MATCH(TRIM($R232),StatusList,0))),"Body overwritten/short",""))))</f>
        <v/>
      </c>
    </row>
    <row r="233" ht="12.75" customHeight="1">
      <c r="B233" s="25" t="n"/>
      <c r="C233" s="80" t="n"/>
      <c r="D233" s="77" t="n"/>
      <c r="E233" s="77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16">
        <f>IF($L233&lt;&gt;"","Purpose "&amp;CHAR(10)&amp;$L233&amp;CHAR(10)&amp;CHAR(10),"")&amp;
IF($M233&lt;&gt;"","Stops (in order) "&amp;CHAR(10)&amp;$M233&amp;CHAR(10)&amp;CHAR(10),"")&amp;
IF($N233&lt;&gt;"","To-Do (hard requirements) "&amp;CHAR(10)&amp;$N233&amp;CHAR(10)&amp;CHAR(10),"")&amp;
IF($O233&lt;&gt;"","Suggested Timeline "&amp;CHAR(10)&amp;$O233&amp;CHAR(10)&amp;CHAR(10),"")&amp;
IF($P233&lt;&gt;"","Guardrails "&amp;CHAR(10)&amp;$P233&amp;CHAR(10)&amp;CHAR(10),"")&amp;
IF($Q233&lt;&gt;"","Completion signals "&amp;CHAR(10)&amp;$Q233,"")</f>
        <v/>
      </c>
      <c r="S233" s="25" t="n"/>
      <c r="T233" s="25" t="n"/>
      <c r="U233" s="54" t="n"/>
      <c r="V233" s="54">
        <f>IF($B233="","",IF(_xludf.TEXTJOIN(" | ",TRUE,IF($B233="","Missing Title",""),IF($C233="","Missing Date",""),IF($D233="","Missing Start",""),IF($E233="","Missing End",""),IF($G233="","Missing Required Attendees",""),IF($T233="","Missing Status",""),IF(AND($D233&lt;&gt;"",$E233&lt;&gt;"",$D233&gt;=$E233),"Start&gt;=End",""),IF(OR($R233="",LEN($R233)&lt;60,ISNUMBER(MATCH(TRIM($R233),StatusList,0))),"Body overwritten/short",""))="","OK",_xludf.TEXTJOIN(" | ",TRUE,IF($B233="","Missing Title",""),IF($C233="","Missing Date",""),IF($D233="","Missing Start",""),IF($E233="","Missing End",""),IF($G233="","Missing Required Attendees",""),IF($T233="","Missing Status",""),IF(AND($D233&lt;&gt;"",$E233&lt;&gt;"",$D233&gt;=$E233),"Start&gt;=End",""),IF(OR($R233="",LEN($R233)&lt;60,ISNUMBER(MATCH(TRIM($R233),StatusList,0))),"Body overwritten/short",""))))</f>
        <v/>
      </c>
    </row>
    <row r="234" ht="12.75" customHeight="1">
      <c r="B234" s="25" t="n"/>
      <c r="C234" s="80" t="n"/>
      <c r="D234" s="77" t="n"/>
      <c r="E234" s="77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16">
        <f>IF($L234&lt;&gt;"","Purpose "&amp;CHAR(10)&amp;$L234&amp;CHAR(10)&amp;CHAR(10),"")&amp;
IF($M234&lt;&gt;"","Stops (in order) "&amp;CHAR(10)&amp;$M234&amp;CHAR(10)&amp;CHAR(10),"")&amp;
IF($N234&lt;&gt;"","To-Do (hard requirements) "&amp;CHAR(10)&amp;$N234&amp;CHAR(10)&amp;CHAR(10),"")&amp;
IF($O234&lt;&gt;"","Suggested Timeline "&amp;CHAR(10)&amp;$O234&amp;CHAR(10)&amp;CHAR(10),"")&amp;
IF($P234&lt;&gt;"","Guardrails "&amp;CHAR(10)&amp;$P234&amp;CHAR(10)&amp;CHAR(10),"")&amp;
IF($Q234&lt;&gt;"","Completion signals "&amp;CHAR(10)&amp;$Q234,"")</f>
        <v/>
      </c>
      <c r="S234" s="25" t="n"/>
      <c r="T234" s="25" t="n"/>
      <c r="U234" s="54" t="n"/>
      <c r="V234" s="54">
        <f>IF($B234="","",IF(_xludf.TEXTJOIN(" | ",TRUE,IF($B234="","Missing Title",""),IF($C234="","Missing Date",""),IF($D234="","Missing Start",""),IF($E234="","Missing End",""),IF($G234="","Missing Required Attendees",""),IF($T234="","Missing Status",""),IF(AND($D234&lt;&gt;"",$E234&lt;&gt;"",$D234&gt;=$E234),"Start&gt;=End",""),IF(OR($R234="",LEN($R234)&lt;60,ISNUMBER(MATCH(TRIM($R234),StatusList,0))),"Body overwritten/short",""))="","OK",_xludf.TEXTJOIN(" | ",TRUE,IF($B234="","Missing Title",""),IF($C234="","Missing Date",""),IF($D234="","Missing Start",""),IF($E234="","Missing End",""),IF($G234="","Missing Required Attendees",""),IF($T234="","Missing Status",""),IF(AND($D234&lt;&gt;"",$E234&lt;&gt;"",$D234&gt;=$E234),"Start&gt;=End",""),IF(OR($R234="",LEN($R234)&lt;60,ISNUMBER(MATCH(TRIM($R234),StatusList,0))),"Body overwritten/short",""))))</f>
        <v/>
      </c>
    </row>
    <row r="235" ht="12.75" customHeight="1">
      <c r="B235" s="25" t="n"/>
      <c r="C235" s="80" t="n"/>
      <c r="D235" s="77" t="n"/>
      <c r="E235" s="77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16">
        <f>IF($L235&lt;&gt;"","Purpose "&amp;CHAR(10)&amp;$L235&amp;CHAR(10)&amp;CHAR(10),"")&amp;
IF($M235&lt;&gt;"","Stops (in order) "&amp;CHAR(10)&amp;$M235&amp;CHAR(10)&amp;CHAR(10),"")&amp;
IF($N235&lt;&gt;"","To-Do (hard requirements) "&amp;CHAR(10)&amp;$N235&amp;CHAR(10)&amp;CHAR(10),"")&amp;
IF($O235&lt;&gt;"","Suggested Timeline "&amp;CHAR(10)&amp;$O235&amp;CHAR(10)&amp;CHAR(10),"")&amp;
IF($P235&lt;&gt;"","Guardrails "&amp;CHAR(10)&amp;$P235&amp;CHAR(10)&amp;CHAR(10),"")&amp;
IF($Q235&lt;&gt;"","Completion signals "&amp;CHAR(10)&amp;$Q235,"")</f>
        <v/>
      </c>
      <c r="S235" s="25" t="n"/>
      <c r="T235" s="25" t="n"/>
      <c r="U235" s="54" t="n"/>
      <c r="V235" s="54">
        <f>IF($B235="","",IF(_xludf.TEXTJOIN(" | ",TRUE,IF($B235="","Missing Title",""),IF($C235="","Missing Date",""),IF($D235="","Missing Start",""),IF($E235="","Missing End",""),IF($G235="","Missing Required Attendees",""),IF($T235="","Missing Status",""),IF(AND($D235&lt;&gt;"",$E235&lt;&gt;"",$D235&gt;=$E235),"Start&gt;=End",""),IF(OR($R235="",LEN($R235)&lt;60,ISNUMBER(MATCH(TRIM($R235),StatusList,0))),"Body overwritten/short",""))="","OK",_xludf.TEXTJOIN(" | ",TRUE,IF($B235="","Missing Title",""),IF($C235="","Missing Date",""),IF($D235="","Missing Start",""),IF($E235="","Missing End",""),IF($G235="","Missing Required Attendees",""),IF($T235="","Missing Status",""),IF(AND($D235&lt;&gt;"",$E235&lt;&gt;"",$D235&gt;=$E235),"Start&gt;=End",""),IF(OR($R235="",LEN($R235)&lt;60,ISNUMBER(MATCH(TRIM($R235),StatusList,0))),"Body overwritten/short",""))))</f>
        <v/>
      </c>
    </row>
    <row r="236" ht="12.75" customHeight="1">
      <c r="B236" s="25" t="n"/>
      <c r="C236" s="80" t="n"/>
      <c r="D236" s="77" t="n"/>
      <c r="E236" s="77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16">
        <f>IF($L236&lt;&gt;"","Purpose "&amp;CHAR(10)&amp;$L236&amp;CHAR(10)&amp;CHAR(10),"")&amp;
IF($M236&lt;&gt;"","Stops (in order) "&amp;CHAR(10)&amp;$M236&amp;CHAR(10)&amp;CHAR(10),"")&amp;
IF($N236&lt;&gt;"","To-Do (hard requirements) "&amp;CHAR(10)&amp;$N236&amp;CHAR(10)&amp;CHAR(10),"")&amp;
IF($O236&lt;&gt;"","Suggested Timeline "&amp;CHAR(10)&amp;$O236&amp;CHAR(10)&amp;CHAR(10),"")&amp;
IF($P236&lt;&gt;"","Guardrails "&amp;CHAR(10)&amp;$P236&amp;CHAR(10)&amp;CHAR(10),"")&amp;
IF($Q236&lt;&gt;"","Completion signals "&amp;CHAR(10)&amp;$Q236,"")</f>
        <v/>
      </c>
      <c r="S236" s="25" t="n"/>
      <c r="T236" s="25" t="n"/>
      <c r="U236" s="54" t="n"/>
      <c r="V236" s="54">
        <f>IF($B236="","",IF(_xludf.TEXTJOIN(" | ",TRUE,IF($B236="","Missing Title",""),IF($C236="","Missing Date",""),IF($D236="","Missing Start",""),IF($E236="","Missing End",""),IF($G236="","Missing Required Attendees",""),IF($T236="","Missing Status",""),IF(AND($D236&lt;&gt;"",$E236&lt;&gt;"",$D236&gt;=$E236),"Start&gt;=End",""),IF(OR($R236="",LEN($R236)&lt;60,ISNUMBER(MATCH(TRIM($R236),StatusList,0))),"Body overwritten/short",""))="","OK",_xludf.TEXTJOIN(" | ",TRUE,IF($B236="","Missing Title",""),IF($C236="","Missing Date",""),IF($D236="","Missing Start",""),IF($E236="","Missing End",""),IF($G236="","Missing Required Attendees",""),IF($T236="","Missing Status",""),IF(AND($D236&lt;&gt;"",$E236&lt;&gt;"",$D236&gt;=$E236),"Start&gt;=End",""),IF(OR($R236="",LEN($R236)&lt;60,ISNUMBER(MATCH(TRIM($R236),StatusList,0))),"Body overwritten/short",""))))</f>
        <v/>
      </c>
    </row>
    <row r="237" ht="12.75" customHeight="1">
      <c r="B237" s="25" t="n"/>
      <c r="C237" s="80" t="n"/>
      <c r="D237" s="77" t="n"/>
      <c r="E237" s="77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16">
        <f>IF($L237&lt;&gt;"","Purpose "&amp;CHAR(10)&amp;$L237&amp;CHAR(10)&amp;CHAR(10),"")&amp;
IF($M237&lt;&gt;"","Stops (in order) "&amp;CHAR(10)&amp;$M237&amp;CHAR(10)&amp;CHAR(10),"")&amp;
IF($N237&lt;&gt;"","To-Do (hard requirements) "&amp;CHAR(10)&amp;$N237&amp;CHAR(10)&amp;CHAR(10),"")&amp;
IF($O237&lt;&gt;"","Suggested Timeline "&amp;CHAR(10)&amp;$O237&amp;CHAR(10)&amp;CHAR(10),"")&amp;
IF($P237&lt;&gt;"","Guardrails "&amp;CHAR(10)&amp;$P237&amp;CHAR(10)&amp;CHAR(10),"")&amp;
IF($Q237&lt;&gt;"","Completion signals "&amp;CHAR(10)&amp;$Q237,"")</f>
        <v/>
      </c>
      <c r="S237" s="25" t="n"/>
      <c r="T237" s="25" t="n"/>
      <c r="U237" s="54" t="n"/>
      <c r="V237" s="54">
        <f>IF($B237="","",IF(_xludf.TEXTJOIN(" | ",TRUE,IF($B237="","Missing Title",""),IF($C237="","Missing Date",""),IF($D237="","Missing Start",""),IF($E237="","Missing End",""),IF($G237="","Missing Required Attendees",""),IF($T237="","Missing Status",""),IF(AND($D237&lt;&gt;"",$E237&lt;&gt;"",$D237&gt;=$E237),"Start&gt;=End",""),IF(OR($R237="",LEN($R237)&lt;60,ISNUMBER(MATCH(TRIM($R237),StatusList,0))),"Body overwritten/short",""))="","OK",_xludf.TEXTJOIN(" | ",TRUE,IF($B237="","Missing Title",""),IF($C237="","Missing Date",""),IF($D237="","Missing Start",""),IF($E237="","Missing End",""),IF($G237="","Missing Required Attendees",""),IF($T237="","Missing Status",""),IF(AND($D237&lt;&gt;"",$E237&lt;&gt;"",$D237&gt;=$E237),"Start&gt;=End",""),IF(OR($R237="",LEN($R237)&lt;60,ISNUMBER(MATCH(TRIM($R237),StatusList,0))),"Body overwritten/short",""))))</f>
        <v/>
      </c>
    </row>
    <row r="238" ht="12.75" customHeight="1">
      <c r="B238" s="25" t="n"/>
      <c r="C238" s="80" t="n"/>
      <c r="D238" s="77" t="n"/>
      <c r="E238" s="77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16">
        <f>IF($L238&lt;&gt;"","Purpose "&amp;CHAR(10)&amp;$L238&amp;CHAR(10)&amp;CHAR(10),"")&amp;
IF($M238&lt;&gt;"","Stops (in order) "&amp;CHAR(10)&amp;$M238&amp;CHAR(10)&amp;CHAR(10),"")&amp;
IF($N238&lt;&gt;"","To-Do (hard requirements) "&amp;CHAR(10)&amp;$N238&amp;CHAR(10)&amp;CHAR(10),"")&amp;
IF($O238&lt;&gt;"","Suggested Timeline "&amp;CHAR(10)&amp;$O238&amp;CHAR(10)&amp;CHAR(10),"")&amp;
IF($P238&lt;&gt;"","Guardrails "&amp;CHAR(10)&amp;$P238&amp;CHAR(10)&amp;CHAR(10),"")&amp;
IF($Q238&lt;&gt;"","Completion signals "&amp;CHAR(10)&amp;$Q238,"")</f>
        <v/>
      </c>
      <c r="S238" s="25" t="n"/>
      <c r="T238" s="25" t="n"/>
      <c r="U238" s="54" t="n"/>
      <c r="V238" s="54">
        <f>IF($B238="","",IF(_xludf.TEXTJOIN(" | ",TRUE,IF($B238="","Missing Title",""),IF($C238="","Missing Date",""),IF($D238="","Missing Start",""),IF($E238="","Missing End",""),IF($G238="","Missing Required Attendees",""),IF($T238="","Missing Status",""),IF(AND($D238&lt;&gt;"",$E238&lt;&gt;"",$D238&gt;=$E238),"Start&gt;=End",""),IF(OR($R238="",LEN($R238)&lt;60,ISNUMBER(MATCH(TRIM($R238),StatusList,0))),"Body overwritten/short",""))="","OK",_xludf.TEXTJOIN(" | ",TRUE,IF($B238="","Missing Title",""),IF($C238="","Missing Date",""),IF($D238="","Missing Start",""),IF($E238="","Missing End",""),IF($G238="","Missing Required Attendees",""),IF($T238="","Missing Status",""),IF(AND($D238&lt;&gt;"",$E238&lt;&gt;"",$D238&gt;=$E238),"Start&gt;=End",""),IF(OR($R238="",LEN($R238)&lt;60,ISNUMBER(MATCH(TRIM($R238),StatusList,0))),"Body overwritten/short",""))))</f>
        <v/>
      </c>
    </row>
    <row r="239" ht="12.75" customHeight="1">
      <c r="B239" s="25" t="n"/>
      <c r="C239" s="80" t="n"/>
      <c r="D239" s="77" t="n"/>
      <c r="E239" s="77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16">
        <f>IF($L239&lt;&gt;"","Purpose "&amp;CHAR(10)&amp;$L239&amp;CHAR(10)&amp;CHAR(10),"")&amp;
IF($M239&lt;&gt;"","Stops (in order) "&amp;CHAR(10)&amp;$M239&amp;CHAR(10)&amp;CHAR(10),"")&amp;
IF($N239&lt;&gt;"","To-Do (hard requirements) "&amp;CHAR(10)&amp;$N239&amp;CHAR(10)&amp;CHAR(10),"")&amp;
IF($O239&lt;&gt;"","Suggested Timeline "&amp;CHAR(10)&amp;$O239&amp;CHAR(10)&amp;CHAR(10),"")&amp;
IF($P239&lt;&gt;"","Guardrails "&amp;CHAR(10)&amp;$P239&amp;CHAR(10)&amp;CHAR(10),"")&amp;
IF($Q239&lt;&gt;"","Completion signals "&amp;CHAR(10)&amp;$Q239,"")</f>
        <v/>
      </c>
      <c r="S239" s="25" t="n"/>
      <c r="T239" s="25" t="n"/>
      <c r="U239" s="54" t="n"/>
      <c r="V239" s="54">
        <f>IF($B239="","",IF(_xludf.TEXTJOIN(" | ",TRUE,IF($B239="","Missing Title",""),IF($C239="","Missing Date",""),IF($D239="","Missing Start",""),IF($E239="","Missing End",""),IF($G239="","Missing Required Attendees",""),IF($T239="","Missing Status",""),IF(AND($D239&lt;&gt;"",$E239&lt;&gt;"",$D239&gt;=$E239),"Start&gt;=End",""),IF(OR($R239="",LEN($R239)&lt;60,ISNUMBER(MATCH(TRIM($R239),StatusList,0))),"Body overwritten/short",""))="","OK",_xludf.TEXTJOIN(" | ",TRUE,IF($B239="","Missing Title",""),IF($C239="","Missing Date",""),IF($D239="","Missing Start",""),IF($E239="","Missing End",""),IF($G239="","Missing Required Attendees",""),IF($T239="","Missing Status",""),IF(AND($D239&lt;&gt;"",$E239&lt;&gt;"",$D239&gt;=$E239),"Start&gt;=End",""),IF(OR($R239="",LEN($R239)&lt;60,ISNUMBER(MATCH(TRIM($R239),StatusList,0))),"Body overwritten/short",""))))</f>
        <v/>
      </c>
    </row>
    <row r="240" ht="12.75" customHeight="1">
      <c r="B240" s="25" t="n"/>
      <c r="C240" s="80" t="n"/>
      <c r="D240" s="77" t="n"/>
      <c r="E240" s="77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16">
        <f>IF($L240&lt;&gt;"","Purpose "&amp;CHAR(10)&amp;$L240&amp;CHAR(10)&amp;CHAR(10),"")&amp;
IF($M240&lt;&gt;"","Stops (in order) "&amp;CHAR(10)&amp;$M240&amp;CHAR(10)&amp;CHAR(10),"")&amp;
IF($N240&lt;&gt;"","To-Do (hard requirements) "&amp;CHAR(10)&amp;$N240&amp;CHAR(10)&amp;CHAR(10),"")&amp;
IF($O240&lt;&gt;"","Suggested Timeline "&amp;CHAR(10)&amp;$O240&amp;CHAR(10)&amp;CHAR(10),"")&amp;
IF($P240&lt;&gt;"","Guardrails "&amp;CHAR(10)&amp;$P240&amp;CHAR(10)&amp;CHAR(10),"")&amp;
IF($Q240&lt;&gt;"","Completion signals "&amp;CHAR(10)&amp;$Q240,"")</f>
        <v/>
      </c>
      <c r="S240" s="25" t="n"/>
      <c r="T240" s="25" t="n"/>
      <c r="U240" s="54" t="n"/>
      <c r="V240" s="54">
        <f>IF($B240="","",IF(_xludf.TEXTJOIN(" | ",TRUE,IF($B240="","Missing Title",""),IF($C240="","Missing Date",""),IF($D240="","Missing Start",""),IF($E240="","Missing End",""),IF($G240="","Missing Required Attendees",""),IF($T240="","Missing Status",""),IF(AND($D240&lt;&gt;"",$E240&lt;&gt;"",$D240&gt;=$E240),"Start&gt;=End",""),IF(OR($R240="",LEN($R240)&lt;60,ISNUMBER(MATCH(TRIM($R240),StatusList,0))),"Body overwritten/short",""))="","OK",_xludf.TEXTJOIN(" | ",TRUE,IF($B240="","Missing Title",""),IF($C240="","Missing Date",""),IF($D240="","Missing Start",""),IF($E240="","Missing End",""),IF($G240="","Missing Required Attendees",""),IF($T240="","Missing Status",""),IF(AND($D240&lt;&gt;"",$E240&lt;&gt;"",$D240&gt;=$E240),"Start&gt;=End",""),IF(OR($R240="",LEN($R240)&lt;60,ISNUMBER(MATCH(TRIM($R240),StatusList,0))),"Body overwritten/short",""))))</f>
        <v/>
      </c>
    </row>
    <row r="241" ht="12.75" customHeight="1">
      <c r="B241" s="25" t="n"/>
      <c r="C241" s="80" t="n"/>
      <c r="D241" s="77" t="n"/>
      <c r="E241" s="77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16">
        <f>IF($L241&lt;&gt;"","Purpose "&amp;CHAR(10)&amp;$L241&amp;CHAR(10)&amp;CHAR(10),"")&amp;
IF($M241&lt;&gt;"","Stops (in order) "&amp;CHAR(10)&amp;$M241&amp;CHAR(10)&amp;CHAR(10),"")&amp;
IF($N241&lt;&gt;"","To-Do (hard requirements) "&amp;CHAR(10)&amp;$N241&amp;CHAR(10)&amp;CHAR(10),"")&amp;
IF($O241&lt;&gt;"","Suggested Timeline "&amp;CHAR(10)&amp;$O241&amp;CHAR(10)&amp;CHAR(10),"")&amp;
IF($P241&lt;&gt;"","Guardrails "&amp;CHAR(10)&amp;$P241&amp;CHAR(10)&amp;CHAR(10),"")&amp;
IF($Q241&lt;&gt;"","Completion signals "&amp;CHAR(10)&amp;$Q241,"")</f>
        <v/>
      </c>
      <c r="S241" s="25" t="n"/>
      <c r="T241" s="25" t="n"/>
      <c r="U241" s="54" t="n"/>
      <c r="V241" s="54">
        <f>IF($B241="","",IF(_xludf.TEXTJOIN(" | ",TRUE,IF($B241="","Missing Title",""),IF($C241="","Missing Date",""),IF($D241="","Missing Start",""),IF($E241="","Missing End",""),IF($G241="","Missing Required Attendees",""),IF($T241="","Missing Status",""),IF(AND($D241&lt;&gt;"",$E241&lt;&gt;"",$D241&gt;=$E241),"Start&gt;=End",""),IF(OR($R241="",LEN($R241)&lt;60,ISNUMBER(MATCH(TRIM($R241),StatusList,0))),"Body overwritten/short",""))="","OK",_xludf.TEXTJOIN(" | ",TRUE,IF($B241="","Missing Title",""),IF($C241="","Missing Date",""),IF($D241="","Missing Start",""),IF($E241="","Missing End",""),IF($G241="","Missing Required Attendees",""),IF($T241="","Missing Status",""),IF(AND($D241&lt;&gt;"",$E241&lt;&gt;"",$D241&gt;=$E241),"Start&gt;=End",""),IF(OR($R241="",LEN($R241)&lt;60,ISNUMBER(MATCH(TRIM($R241),StatusList,0))),"Body overwritten/short",""))))</f>
        <v/>
      </c>
    </row>
    <row r="242" ht="12.75" customHeight="1">
      <c r="B242" s="25" t="n"/>
      <c r="C242" s="80" t="n"/>
      <c r="D242" s="77" t="n"/>
      <c r="E242" s="77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16">
        <f>IF($L242&lt;&gt;"","Purpose "&amp;CHAR(10)&amp;$L242&amp;CHAR(10)&amp;CHAR(10),"")&amp;
IF($M242&lt;&gt;"","Stops (in order) "&amp;CHAR(10)&amp;$M242&amp;CHAR(10)&amp;CHAR(10),"")&amp;
IF($N242&lt;&gt;"","To-Do (hard requirements) "&amp;CHAR(10)&amp;$N242&amp;CHAR(10)&amp;CHAR(10),"")&amp;
IF($O242&lt;&gt;"","Suggested Timeline "&amp;CHAR(10)&amp;$O242&amp;CHAR(10)&amp;CHAR(10),"")&amp;
IF($P242&lt;&gt;"","Guardrails "&amp;CHAR(10)&amp;$P242&amp;CHAR(10)&amp;CHAR(10),"")&amp;
IF($Q242&lt;&gt;"","Completion signals "&amp;CHAR(10)&amp;$Q242,"")</f>
        <v/>
      </c>
      <c r="S242" s="25" t="n"/>
      <c r="T242" s="25" t="n"/>
      <c r="U242" s="54" t="n"/>
      <c r="V242" s="54">
        <f>IF($B242="","",IF(_xludf.TEXTJOIN(" | ",TRUE,IF($B242="","Missing Title",""),IF($C242="","Missing Date",""),IF($D242="","Missing Start",""),IF($E242="","Missing End",""),IF($G242="","Missing Required Attendees",""),IF($T242="","Missing Status",""),IF(AND($D242&lt;&gt;"",$E242&lt;&gt;"",$D242&gt;=$E242),"Start&gt;=End",""),IF(OR($R242="",LEN($R242)&lt;60,ISNUMBER(MATCH(TRIM($R242),StatusList,0))),"Body overwritten/short",""))="","OK",_xludf.TEXTJOIN(" | ",TRUE,IF($B242="","Missing Title",""),IF($C242="","Missing Date",""),IF($D242="","Missing Start",""),IF($E242="","Missing End",""),IF($G242="","Missing Required Attendees",""),IF($T242="","Missing Status",""),IF(AND($D242&lt;&gt;"",$E242&lt;&gt;"",$D242&gt;=$E242),"Start&gt;=End",""),IF(OR($R242="",LEN($R242)&lt;60,ISNUMBER(MATCH(TRIM($R242),StatusList,0))),"Body overwritten/short",""))))</f>
        <v/>
      </c>
    </row>
    <row r="243" ht="12.75" customHeight="1">
      <c r="B243" s="25" t="n"/>
      <c r="C243" s="80" t="n"/>
      <c r="D243" s="77" t="n"/>
      <c r="E243" s="77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16">
        <f>IF($L243&lt;&gt;"","Purpose "&amp;CHAR(10)&amp;$L243&amp;CHAR(10)&amp;CHAR(10),"")&amp;
IF($M243&lt;&gt;"","Stops (in order) "&amp;CHAR(10)&amp;$M243&amp;CHAR(10)&amp;CHAR(10),"")&amp;
IF($N243&lt;&gt;"","To-Do (hard requirements) "&amp;CHAR(10)&amp;$N243&amp;CHAR(10)&amp;CHAR(10),"")&amp;
IF($O243&lt;&gt;"","Suggested Timeline "&amp;CHAR(10)&amp;$O243&amp;CHAR(10)&amp;CHAR(10),"")&amp;
IF($P243&lt;&gt;"","Guardrails "&amp;CHAR(10)&amp;$P243&amp;CHAR(10)&amp;CHAR(10),"")&amp;
IF($Q243&lt;&gt;"","Completion signals "&amp;CHAR(10)&amp;$Q243,"")</f>
        <v/>
      </c>
      <c r="S243" s="25" t="n"/>
      <c r="T243" s="25" t="n"/>
      <c r="U243" s="54" t="n"/>
      <c r="V243" s="54">
        <f>IF($B243="","",IF(_xludf.TEXTJOIN(" | ",TRUE,IF($B243="","Missing Title",""),IF($C243="","Missing Date",""),IF($D243="","Missing Start",""),IF($E243="","Missing End",""),IF($G243="","Missing Required Attendees",""),IF($T243="","Missing Status",""),IF(AND($D243&lt;&gt;"",$E243&lt;&gt;"",$D243&gt;=$E243),"Start&gt;=End",""),IF(OR($R243="",LEN($R243)&lt;60,ISNUMBER(MATCH(TRIM($R243),StatusList,0))),"Body overwritten/short",""))="","OK",_xludf.TEXTJOIN(" | ",TRUE,IF($B243="","Missing Title",""),IF($C243="","Missing Date",""),IF($D243="","Missing Start",""),IF($E243="","Missing End",""),IF($G243="","Missing Required Attendees",""),IF($T243="","Missing Status",""),IF(AND($D243&lt;&gt;"",$E243&lt;&gt;"",$D243&gt;=$E243),"Start&gt;=End",""),IF(OR($R243="",LEN($R243)&lt;60,ISNUMBER(MATCH(TRIM($R243),StatusList,0))),"Body overwritten/short",""))))</f>
        <v/>
      </c>
    </row>
    <row r="244" ht="12.75" customHeight="1">
      <c r="B244" s="25" t="n"/>
      <c r="C244" s="80" t="n"/>
      <c r="D244" s="77" t="n"/>
      <c r="E244" s="77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16">
        <f>IF($L244&lt;&gt;"","Purpose "&amp;CHAR(10)&amp;$L244&amp;CHAR(10)&amp;CHAR(10),"")&amp;
IF($M244&lt;&gt;"","Stops (in order) "&amp;CHAR(10)&amp;$M244&amp;CHAR(10)&amp;CHAR(10),"")&amp;
IF($N244&lt;&gt;"","To-Do (hard requirements) "&amp;CHAR(10)&amp;$N244&amp;CHAR(10)&amp;CHAR(10),"")&amp;
IF($O244&lt;&gt;"","Suggested Timeline "&amp;CHAR(10)&amp;$O244&amp;CHAR(10)&amp;CHAR(10),"")&amp;
IF($P244&lt;&gt;"","Guardrails "&amp;CHAR(10)&amp;$P244&amp;CHAR(10)&amp;CHAR(10),"")&amp;
IF($Q244&lt;&gt;"","Completion signals "&amp;CHAR(10)&amp;$Q244,"")</f>
        <v/>
      </c>
      <c r="S244" s="25" t="n"/>
      <c r="T244" s="25" t="n"/>
      <c r="U244" s="54" t="n"/>
      <c r="V244" s="54">
        <f>IF($B244="","",IF(_xludf.TEXTJOIN(" | ",TRUE,IF($B244="","Missing Title",""),IF($C244="","Missing Date",""),IF($D244="","Missing Start",""),IF($E244="","Missing End",""),IF($G244="","Missing Required Attendees",""),IF($T244="","Missing Status",""),IF(AND($D244&lt;&gt;"",$E244&lt;&gt;"",$D244&gt;=$E244),"Start&gt;=End",""),IF(OR($R244="",LEN($R244)&lt;60,ISNUMBER(MATCH(TRIM($R244),StatusList,0))),"Body overwritten/short",""))="","OK",_xludf.TEXTJOIN(" | ",TRUE,IF($B244="","Missing Title",""),IF($C244="","Missing Date",""),IF($D244="","Missing Start",""),IF($E244="","Missing End",""),IF($G244="","Missing Required Attendees",""),IF($T244="","Missing Status",""),IF(AND($D244&lt;&gt;"",$E244&lt;&gt;"",$D244&gt;=$E244),"Start&gt;=End",""),IF(OR($R244="",LEN($R244)&lt;60,ISNUMBER(MATCH(TRIM($R244),StatusList,0))),"Body overwritten/short",""))))</f>
        <v/>
      </c>
    </row>
    <row r="245" ht="12.75" customHeight="1">
      <c r="B245" s="25" t="n"/>
      <c r="C245" s="80" t="n"/>
      <c r="D245" s="77" t="n"/>
      <c r="E245" s="77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16">
        <f>IF($L245&lt;&gt;"","Purpose "&amp;CHAR(10)&amp;$L245&amp;CHAR(10)&amp;CHAR(10),"")&amp;
IF($M245&lt;&gt;"","Stops (in order) "&amp;CHAR(10)&amp;$M245&amp;CHAR(10)&amp;CHAR(10),"")&amp;
IF($N245&lt;&gt;"","To-Do (hard requirements) "&amp;CHAR(10)&amp;$N245&amp;CHAR(10)&amp;CHAR(10),"")&amp;
IF($O245&lt;&gt;"","Suggested Timeline "&amp;CHAR(10)&amp;$O245&amp;CHAR(10)&amp;CHAR(10),"")&amp;
IF($P245&lt;&gt;"","Guardrails "&amp;CHAR(10)&amp;$P245&amp;CHAR(10)&amp;CHAR(10),"")&amp;
IF($Q245&lt;&gt;"","Completion signals "&amp;CHAR(10)&amp;$Q245,"")</f>
        <v/>
      </c>
      <c r="S245" s="25" t="n"/>
      <c r="T245" s="25" t="n"/>
      <c r="U245" s="54" t="n"/>
      <c r="V245" s="54">
        <f>IF($B245="","",IF(_xludf.TEXTJOIN(" | ",TRUE,IF($B245="","Missing Title",""),IF($C245="","Missing Date",""),IF($D245="","Missing Start",""),IF($E245="","Missing End",""),IF($G245="","Missing Required Attendees",""),IF($T245="","Missing Status",""),IF(AND($D245&lt;&gt;"",$E245&lt;&gt;"",$D245&gt;=$E245),"Start&gt;=End",""),IF(OR($R245="",LEN($R245)&lt;60,ISNUMBER(MATCH(TRIM($R245),StatusList,0))),"Body overwritten/short",""))="","OK",_xludf.TEXTJOIN(" | ",TRUE,IF($B245="","Missing Title",""),IF($C245="","Missing Date",""),IF($D245="","Missing Start",""),IF($E245="","Missing End",""),IF($G245="","Missing Required Attendees",""),IF($T245="","Missing Status",""),IF(AND($D245&lt;&gt;"",$E245&lt;&gt;"",$D245&gt;=$E245),"Start&gt;=End",""),IF(OR($R245="",LEN($R245)&lt;60,ISNUMBER(MATCH(TRIM($R245),StatusList,0))),"Body overwritten/short",""))))</f>
        <v/>
      </c>
    </row>
    <row r="246" ht="12.75" customHeight="1">
      <c r="B246" s="25" t="n"/>
      <c r="C246" s="80" t="n"/>
      <c r="D246" s="77" t="n"/>
      <c r="E246" s="77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16">
        <f>IF($L246&lt;&gt;"","Purpose "&amp;CHAR(10)&amp;$L246&amp;CHAR(10)&amp;CHAR(10),"")&amp;
IF($M246&lt;&gt;"","Stops (in order) "&amp;CHAR(10)&amp;$M246&amp;CHAR(10)&amp;CHAR(10),"")&amp;
IF($N246&lt;&gt;"","To-Do (hard requirements) "&amp;CHAR(10)&amp;$N246&amp;CHAR(10)&amp;CHAR(10),"")&amp;
IF($O246&lt;&gt;"","Suggested Timeline "&amp;CHAR(10)&amp;$O246&amp;CHAR(10)&amp;CHAR(10),"")&amp;
IF($P246&lt;&gt;"","Guardrails "&amp;CHAR(10)&amp;$P246&amp;CHAR(10)&amp;CHAR(10),"")&amp;
IF($Q246&lt;&gt;"","Completion signals "&amp;CHAR(10)&amp;$Q246,"")</f>
        <v/>
      </c>
      <c r="S246" s="25" t="n"/>
      <c r="T246" s="25" t="n"/>
      <c r="U246" s="54" t="n"/>
      <c r="V246" s="54">
        <f>IF($B246="","",IF(_xludf.TEXTJOIN(" | ",TRUE,IF($B246="","Missing Title",""),IF($C246="","Missing Date",""),IF($D246="","Missing Start",""),IF($E246="","Missing End",""),IF($G246="","Missing Required Attendees",""),IF($T246="","Missing Status",""),IF(AND($D246&lt;&gt;"",$E246&lt;&gt;"",$D246&gt;=$E246),"Start&gt;=End",""),IF(OR($R246="",LEN($R246)&lt;60,ISNUMBER(MATCH(TRIM($R246),StatusList,0))),"Body overwritten/short",""))="","OK",_xludf.TEXTJOIN(" | ",TRUE,IF($B246="","Missing Title",""),IF($C246="","Missing Date",""),IF($D246="","Missing Start",""),IF($E246="","Missing End",""),IF($G246="","Missing Required Attendees",""),IF($T246="","Missing Status",""),IF(AND($D246&lt;&gt;"",$E246&lt;&gt;"",$D246&gt;=$E246),"Start&gt;=End",""),IF(OR($R246="",LEN($R246)&lt;60,ISNUMBER(MATCH(TRIM($R246),StatusList,0))),"Body overwritten/short",""))))</f>
        <v/>
      </c>
    </row>
    <row r="247" ht="12.75" customHeight="1">
      <c r="B247" s="25" t="n"/>
      <c r="C247" s="80" t="n"/>
      <c r="D247" s="77" t="n"/>
      <c r="E247" s="77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16">
        <f>IF($L247&lt;&gt;"","Purpose "&amp;CHAR(10)&amp;$L247&amp;CHAR(10)&amp;CHAR(10),"")&amp;
IF($M247&lt;&gt;"","Stops (in order) "&amp;CHAR(10)&amp;$M247&amp;CHAR(10)&amp;CHAR(10),"")&amp;
IF($N247&lt;&gt;"","To-Do (hard requirements) "&amp;CHAR(10)&amp;$N247&amp;CHAR(10)&amp;CHAR(10),"")&amp;
IF($O247&lt;&gt;"","Suggested Timeline "&amp;CHAR(10)&amp;$O247&amp;CHAR(10)&amp;CHAR(10),"")&amp;
IF($P247&lt;&gt;"","Guardrails "&amp;CHAR(10)&amp;$P247&amp;CHAR(10)&amp;CHAR(10),"")&amp;
IF($Q247&lt;&gt;"","Completion signals "&amp;CHAR(10)&amp;$Q247,"")</f>
        <v/>
      </c>
      <c r="S247" s="25" t="n"/>
      <c r="T247" s="25" t="n"/>
      <c r="U247" s="54" t="n"/>
      <c r="V247" s="54">
        <f>IF($B247="","",IF(_xludf.TEXTJOIN(" | ",TRUE,IF($B247="","Missing Title",""),IF($C247="","Missing Date",""),IF($D247="","Missing Start",""),IF($E247="","Missing End",""),IF($G247="","Missing Required Attendees",""),IF($T247="","Missing Status",""),IF(AND($D247&lt;&gt;"",$E247&lt;&gt;"",$D247&gt;=$E247),"Start&gt;=End",""),IF(OR($R247="",LEN($R247)&lt;60,ISNUMBER(MATCH(TRIM($R247),StatusList,0))),"Body overwritten/short",""))="","OK",_xludf.TEXTJOIN(" | ",TRUE,IF($B247="","Missing Title",""),IF($C247="","Missing Date",""),IF($D247="","Missing Start",""),IF($E247="","Missing End",""),IF($G247="","Missing Required Attendees",""),IF($T247="","Missing Status",""),IF(AND($D247&lt;&gt;"",$E247&lt;&gt;"",$D247&gt;=$E247),"Start&gt;=End",""),IF(OR($R247="",LEN($R247)&lt;60,ISNUMBER(MATCH(TRIM($R247),StatusList,0))),"Body overwritten/short",""))))</f>
        <v/>
      </c>
    </row>
    <row r="248" ht="12.75" customHeight="1">
      <c r="B248" s="25" t="n"/>
      <c r="C248" s="80" t="n"/>
      <c r="D248" s="77" t="n"/>
      <c r="E248" s="77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16">
        <f>IF($L248&lt;&gt;"","Purpose "&amp;CHAR(10)&amp;$L248&amp;CHAR(10)&amp;CHAR(10),"")&amp;
IF($M248&lt;&gt;"","Stops (in order) "&amp;CHAR(10)&amp;$M248&amp;CHAR(10)&amp;CHAR(10),"")&amp;
IF($N248&lt;&gt;"","To-Do (hard requirements) "&amp;CHAR(10)&amp;$N248&amp;CHAR(10)&amp;CHAR(10),"")&amp;
IF($O248&lt;&gt;"","Suggested Timeline "&amp;CHAR(10)&amp;$O248&amp;CHAR(10)&amp;CHAR(10),"")&amp;
IF($P248&lt;&gt;"","Guardrails "&amp;CHAR(10)&amp;$P248&amp;CHAR(10)&amp;CHAR(10),"")&amp;
IF($Q248&lt;&gt;"","Completion signals "&amp;CHAR(10)&amp;$Q248,"")</f>
        <v/>
      </c>
      <c r="S248" s="25" t="n"/>
      <c r="T248" s="25" t="n"/>
      <c r="U248" s="54" t="n"/>
      <c r="V248" s="54">
        <f>IF($B248="","",IF(_xludf.TEXTJOIN(" | ",TRUE,IF($B248="","Missing Title",""),IF($C248="","Missing Date",""),IF($D248="","Missing Start",""),IF($E248="","Missing End",""),IF($G248="","Missing Required Attendees",""),IF($T248="","Missing Status",""),IF(AND($D248&lt;&gt;"",$E248&lt;&gt;"",$D248&gt;=$E248),"Start&gt;=End",""),IF(OR($R248="",LEN($R248)&lt;60,ISNUMBER(MATCH(TRIM($R248),StatusList,0))),"Body overwritten/short",""))="","OK",_xludf.TEXTJOIN(" | ",TRUE,IF($B248="","Missing Title",""),IF($C248="","Missing Date",""),IF($D248="","Missing Start",""),IF($E248="","Missing End",""),IF($G248="","Missing Required Attendees",""),IF($T248="","Missing Status",""),IF(AND($D248&lt;&gt;"",$E248&lt;&gt;"",$D248&gt;=$E248),"Start&gt;=End",""),IF(OR($R248="",LEN($R248)&lt;60,ISNUMBER(MATCH(TRIM($R248),StatusList,0))),"Body overwritten/short",""))))</f>
        <v/>
      </c>
    </row>
    <row r="249" ht="12.75" customHeight="1">
      <c r="B249" s="25" t="n"/>
      <c r="C249" s="80" t="n"/>
      <c r="D249" s="77" t="n"/>
      <c r="E249" s="77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16">
        <f>IF($L249&lt;&gt;"","Purpose "&amp;CHAR(10)&amp;$L249&amp;CHAR(10)&amp;CHAR(10),"")&amp;
IF($M249&lt;&gt;"","Stops (in order) "&amp;CHAR(10)&amp;$M249&amp;CHAR(10)&amp;CHAR(10),"")&amp;
IF($N249&lt;&gt;"","To-Do (hard requirements) "&amp;CHAR(10)&amp;$N249&amp;CHAR(10)&amp;CHAR(10),"")&amp;
IF($O249&lt;&gt;"","Suggested Timeline "&amp;CHAR(10)&amp;$O249&amp;CHAR(10)&amp;CHAR(10),"")&amp;
IF($P249&lt;&gt;"","Guardrails "&amp;CHAR(10)&amp;$P249&amp;CHAR(10)&amp;CHAR(10),"")&amp;
IF($Q249&lt;&gt;"","Completion signals "&amp;CHAR(10)&amp;$Q249,"")</f>
        <v/>
      </c>
      <c r="S249" s="25" t="n"/>
      <c r="T249" s="25" t="n"/>
      <c r="U249" s="54" t="n"/>
      <c r="V249" s="54">
        <f>IF($B249="","",IF(_xludf.TEXTJOIN(" | ",TRUE,IF($B249="","Missing Title",""),IF($C249="","Missing Date",""),IF($D249="","Missing Start",""),IF($E249="","Missing End",""),IF($G249="","Missing Required Attendees",""),IF($T249="","Missing Status",""),IF(AND($D249&lt;&gt;"",$E249&lt;&gt;"",$D249&gt;=$E249),"Start&gt;=End",""),IF(OR($R249="",LEN($R249)&lt;60,ISNUMBER(MATCH(TRIM($R249),StatusList,0))),"Body overwritten/short",""))="","OK",_xludf.TEXTJOIN(" | ",TRUE,IF($B249="","Missing Title",""),IF($C249="","Missing Date",""),IF($D249="","Missing Start",""),IF($E249="","Missing End",""),IF($G249="","Missing Required Attendees",""),IF($T249="","Missing Status",""),IF(AND($D249&lt;&gt;"",$E249&lt;&gt;"",$D249&gt;=$E249),"Start&gt;=End",""),IF(OR($R249="",LEN($R249)&lt;60,ISNUMBER(MATCH(TRIM($R249),StatusList,0))),"Body overwritten/short",""))))</f>
        <v/>
      </c>
    </row>
    <row r="250" ht="12.75" customHeight="1">
      <c r="B250" s="25" t="n"/>
      <c r="C250" s="80" t="n"/>
      <c r="D250" s="77" t="n"/>
      <c r="E250" s="77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16">
        <f>IF($L250&lt;&gt;"","Purpose "&amp;CHAR(10)&amp;$L250&amp;CHAR(10)&amp;CHAR(10),"")&amp;
IF($M250&lt;&gt;"","Stops (in order) "&amp;CHAR(10)&amp;$M250&amp;CHAR(10)&amp;CHAR(10),"")&amp;
IF($N250&lt;&gt;"","To-Do (hard requirements) "&amp;CHAR(10)&amp;$N250&amp;CHAR(10)&amp;CHAR(10),"")&amp;
IF($O250&lt;&gt;"","Suggested Timeline "&amp;CHAR(10)&amp;$O250&amp;CHAR(10)&amp;CHAR(10),"")&amp;
IF($P250&lt;&gt;"","Guardrails "&amp;CHAR(10)&amp;$P250&amp;CHAR(10)&amp;CHAR(10),"")&amp;
IF($Q250&lt;&gt;"","Completion signals "&amp;CHAR(10)&amp;$Q250,"")</f>
        <v/>
      </c>
      <c r="S250" s="25" t="n"/>
      <c r="T250" s="25" t="n"/>
      <c r="U250" s="54" t="n"/>
      <c r="V250" s="54">
        <f>IF($B250="","",IF(_xludf.TEXTJOIN(" | ",TRUE,IF($B250="","Missing Title",""),IF($C250="","Missing Date",""),IF($D250="","Missing Start",""),IF($E250="","Missing End",""),IF($G250="","Missing Required Attendees",""),IF($T250="","Missing Status",""),IF(AND($D250&lt;&gt;"",$E250&lt;&gt;"",$D250&gt;=$E250),"Start&gt;=End",""),IF(OR($R250="",LEN($R250)&lt;60,ISNUMBER(MATCH(TRIM($R250),StatusList,0))),"Body overwritten/short",""))="","OK",_xludf.TEXTJOIN(" | ",TRUE,IF($B250="","Missing Title",""),IF($C250="","Missing Date",""),IF($D250="","Missing Start",""),IF($E250="","Missing End",""),IF($G250="","Missing Required Attendees",""),IF($T250="","Missing Status",""),IF(AND($D250&lt;&gt;"",$E250&lt;&gt;"",$D250&gt;=$E250),"Start&gt;=End",""),IF(OR($R250="",LEN($R250)&lt;60,ISNUMBER(MATCH(TRIM($R250),StatusList,0))),"Body overwritten/short",""))))</f>
        <v/>
      </c>
    </row>
    <row r="251" ht="12.75" customHeight="1">
      <c r="B251" s="25" t="n"/>
      <c r="C251" s="80" t="n"/>
      <c r="D251" s="77" t="n"/>
      <c r="E251" s="77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16">
        <f>IF($L251&lt;&gt;"","Purpose "&amp;CHAR(10)&amp;$L251&amp;CHAR(10)&amp;CHAR(10),"")&amp;
IF($M251&lt;&gt;"","Stops (in order) "&amp;CHAR(10)&amp;$M251&amp;CHAR(10)&amp;CHAR(10),"")&amp;
IF($N251&lt;&gt;"","To-Do (hard requirements) "&amp;CHAR(10)&amp;$N251&amp;CHAR(10)&amp;CHAR(10),"")&amp;
IF($O251&lt;&gt;"","Suggested Timeline "&amp;CHAR(10)&amp;$O251&amp;CHAR(10)&amp;CHAR(10),"")&amp;
IF($P251&lt;&gt;"","Guardrails "&amp;CHAR(10)&amp;$P251&amp;CHAR(10)&amp;CHAR(10),"")&amp;
IF($Q251&lt;&gt;"","Completion signals "&amp;CHAR(10)&amp;$Q251,"")</f>
        <v/>
      </c>
      <c r="S251" s="25" t="n"/>
      <c r="T251" s="25" t="n"/>
      <c r="U251" s="54" t="n"/>
      <c r="V251" s="54">
        <f>IF($B251="","",IF(_xludf.TEXTJOIN(" | ",TRUE,IF($B251="","Missing Title",""),IF($C251="","Missing Date",""),IF($D251="","Missing Start",""),IF($E251="","Missing End",""),IF($G251="","Missing Required Attendees",""),IF($T251="","Missing Status",""),IF(AND($D251&lt;&gt;"",$E251&lt;&gt;"",$D251&gt;=$E251),"Start&gt;=End",""),IF(OR($R251="",LEN($R251)&lt;60,ISNUMBER(MATCH(TRIM($R251),StatusList,0))),"Body overwritten/short",""))="","OK",_xludf.TEXTJOIN(" | ",TRUE,IF($B251="","Missing Title",""),IF($C251="","Missing Date",""),IF($D251="","Missing Start",""),IF($E251="","Missing End",""),IF($G251="","Missing Required Attendees",""),IF($T251="","Missing Status",""),IF(AND($D251&lt;&gt;"",$E251&lt;&gt;"",$D251&gt;=$E251),"Start&gt;=End",""),IF(OR($R251="",LEN($R251)&lt;60,ISNUMBER(MATCH(TRIM($R251),StatusList,0))),"Body overwritten/short",""))))</f>
        <v/>
      </c>
    </row>
    <row r="252" ht="12.75" customHeight="1">
      <c r="B252" s="25" t="n"/>
      <c r="C252" s="80" t="n"/>
      <c r="D252" s="77" t="n"/>
      <c r="E252" s="77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16">
        <f>IF($L252&lt;&gt;"","Purpose "&amp;CHAR(10)&amp;$L252&amp;CHAR(10)&amp;CHAR(10),"")&amp;
IF($M252&lt;&gt;"","Stops (in order) "&amp;CHAR(10)&amp;$M252&amp;CHAR(10)&amp;CHAR(10),"")&amp;
IF($N252&lt;&gt;"","To-Do (hard requirements) "&amp;CHAR(10)&amp;$N252&amp;CHAR(10)&amp;CHAR(10),"")&amp;
IF($O252&lt;&gt;"","Suggested Timeline "&amp;CHAR(10)&amp;$O252&amp;CHAR(10)&amp;CHAR(10),"")&amp;
IF($P252&lt;&gt;"","Guardrails "&amp;CHAR(10)&amp;$P252&amp;CHAR(10)&amp;CHAR(10),"")&amp;
IF($Q252&lt;&gt;"","Completion signals "&amp;CHAR(10)&amp;$Q252,"")</f>
        <v/>
      </c>
      <c r="S252" s="25" t="n"/>
      <c r="T252" s="25" t="n"/>
      <c r="U252" s="54" t="n"/>
      <c r="V252" s="54">
        <f>IF($B252="","",IF(_xludf.TEXTJOIN(" | ",TRUE,IF($B252="","Missing Title",""),IF($C252="","Missing Date",""),IF($D252="","Missing Start",""),IF($E252="","Missing End",""),IF($G252="","Missing Required Attendees",""),IF($T252="","Missing Status",""),IF(AND($D252&lt;&gt;"",$E252&lt;&gt;"",$D252&gt;=$E252),"Start&gt;=End",""),IF(OR($R252="",LEN($R252)&lt;60,ISNUMBER(MATCH(TRIM($R252),StatusList,0))),"Body overwritten/short",""))="","OK",_xludf.TEXTJOIN(" | ",TRUE,IF($B252="","Missing Title",""),IF($C252="","Missing Date",""),IF($D252="","Missing Start",""),IF($E252="","Missing End",""),IF($G252="","Missing Required Attendees",""),IF($T252="","Missing Status",""),IF(AND($D252&lt;&gt;"",$E252&lt;&gt;"",$D252&gt;=$E252),"Start&gt;=End",""),IF(OR($R252="",LEN($R252)&lt;60,ISNUMBER(MATCH(TRIM($R252),StatusList,0))),"Body overwritten/short",""))))</f>
        <v/>
      </c>
    </row>
    <row r="253" ht="12.75" customHeight="1">
      <c r="B253" s="25" t="n"/>
      <c r="C253" s="80" t="n"/>
      <c r="D253" s="77" t="n"/>
      <c r="E253" s="77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16">
        <f>IF($L253&lt;&gt;"","Purpose "&amp;CHAR(10)&amp;$L253&amp;CHAR(10)&amp;CHAR(10),"")&amp;
IF($M253&lt;&gt;"","Stops (in order) "&amp;CHAR(10)&amp;$M253&amp;CHAR(10)&amp;CHAR(10),"")&amp;
IF($N253&lt;&gt;"","To-Do (hard requirements) "&amp;CHAR(10)&amp;$N253&amp;CHAR(10)&amp;CHAR(10),"")&amp;
IF($O253&lt;&gt;"","Suggested Timeline "&amp;CHAR(10)&amp;$O253&amp;CHAR(10)&amp;CHAR(10),"")&amp;
IF($P253&lt;&gt;"","Guardrails "&amp;CHAR(10)&amp;$P253&amp;CHAR(10)&amp;CHAR(10),"")&amp;
IF($Q253&lt;&gt;"","Completion signals "&amp;CHAR(10)&amp;$Q253,"")</f>
        <v/>
      </c>
      <c r="S253" s="25" t="n"/>
      <c r="T253" s="25" t="n"/>
      <c r="U253" s="54" t="n"/>
      <c r="V253" s="54">
        <f>IF($B253="","",IF(_xludf.TEXTJOIN(" | ",TRUE,IF($B253="","Missing Title",""),IF($C253="","Missing Date",""),IF($D253="","Missing Start",""),IF($E253="","Missing End",""),IF($G253="","Missing Required Attendees",""),IF($T253="","Missing Status",""),IF(AND($D253&lt;&gt;"",$E253&lt;&gt;"",$D253&gt;=$E253),"Start&gt;=End",""),IF(OR($R253="",LEN($R253)&lt;60,ISNUMBER(MATCH(TRIM($R253),StatusList,0))),"Body overwritten/short",""))="","OK",_xludf.TEXTJOIN(" | ",TRUE,IF($B253="","Missing Title",""),IF($C253="","Missing Date",""),IF($D253="","Missing Start",""),IF($E253="","Missing End",""),IF($G253="","Missing Required Attendees",""),IF($T253="","Missing Status",""),IF(AND($D253&lt;&gt;"",$E253&lt;&gt;"",$D253&gt;=$E253),"Start&gt;=End",""),IF(OR($R253="",LEN($R253)&lt;60,ISNUMBER(MATCH(TRIM($R253),StatusList,0))),"Body overwritten/short",""))))</f>
        <v/>
      </c>
    </row>
    <row r="254" ht="12.75" customHeight="1">
      <c r="B254" s="25" t="n"/>
      <c r="C254" s="80" t="n"/>
      <c r="D254" s="77" t="n"/>
      <c r="E254" s="77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16">
        <f>IF($L254&lt;&gt;"","Purpose "&amp;CHAR(10)&amp;$L254&amp;CHAR(10)&amp;CHAR(10),"")&amp;
IF($M254&lt;&gt;"","Stops (in order) "&amp;CHAR(10)&amp;$M254&amp;CHAR(10)&amp;CHAR(10),"")&amp;
IF($N254&lt;&gt;"","To-Do (hard requirements) "&amp;CHAR(10)&amp;$N254&amp;CHAR(10)&amp;CHAR(10),"")&amp;
IF($O254&lt;&gt;"","Suggested Timeline "&amp;CHAR(10)&amp;$O254&amp;CHAR(10)&amp;CHAR(10),"")&amp;
IF($P254&lt;&gt;"","Guardrails "&amp;CHAR(10)&amp;$P254&amp;CHAR(10)&amp;CHAR(10),"")&amp;
IF($Q254&lt;&gt;"","Completion signals "&amp;CHAR(10)&amp;$Q254,"")</f>
        <v/>
      </c>
      <c r="S254" s="25" t="n"/>
      <c r="T254" s="25" t="n"/>
      <c r="U254" s="54" t="n"/>
      <c r="V254" s="54">
        <f>IF($B254="","",IF(_xludf.TEXTJOIN(" | ",TRUE,IF($B254="","Missing Title",""),IF($C254="","Missing Date",""),IF($D254="","Missing Start",""),IF($E254="","Missing End",""),IF($G254="","Missing Required Attendees",""),IF($T254="","Missing Status",""),IF(AND($D254&lt;&gt;"",$E254&lt;&gt;"",$D254&gt;=$E254),"Start&gt;=End",""),IF(OR($R254="",LEN($R254)&lt;60,ISNUMBER(MATCH(TRIM($R254),StatusList,0))),"Body overwritten/short",""))="","OK",_xludf.TEXTJOIN(" | ",TRUE,IF($B254="","Missing Title",""),IF($C254="","Missing Date",""),IF($D254="","Missing Start",""),IF($E254="","Missing End",""),IF($G254="","Missing Required Attendees",""),IF($T254="","Missing Status",""),IF(AND($D254&lt;&gt;"",$E254&lt;&gt;"",$D254&gt;=$E254),"Start&gt;=End",""),IF(OR($R254="",LEN($R254)&lt;60,ISNUMBER(MATCH(TRIM($R254),StatusList,0))),"Body overwritten/short",""))))</f>
        <v/>
      </c>
    </row>
    <row r="255" ht="12.75" customHeight="1">
      <c r="B255" s="25" t="n"/>
      <c r="C255" s="80" t="n"/>
      <c r="D255" s="77" t="n"/>
      <c r="E255" s="77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16">
        <f>IF($L255&lt;&gt;"","Purpose "&amp;CHAR(10)&amp;$L255&amp;CHAR(10)&amp;CHAR(10),"")&amp;
IF($M255&lt;&gt;"","Stops (in order) "&amp;CHAR(10)&amp;$M255&amp;CHAR(10)&amp;CHAR(10),"")&amp;
IF($N255&lt;&gt;"","To-Do (hard requirements) "&amp;CHAR(10)&amp;$N255&amp;CHAR(10)&amp;CHAR(10),"")&amp;
IF($O255&lt;&gt;"","Suggested Timeline "&amp;CHAR(10)&amp;$O255&amp;CHAR(10)&amp;CHAR(10),"")&amp;
IF($P255&lt;&gt;"","Guardrails "&amp;CHAR(10)&amp;$P255&amp;CHAR(10)&amp;CHAR(10),"")&amp;
IF($Q255&lt;&gt;"","Completion signals "&amp;CHAR(10)&amp;$Q255,"")</f>
        <v/>
      </c>
      <c r="S255" s="25" t="n"/>
      <c r="T255" s="25" t="n"/>
      <c r="U255" s="54" t="n"/>
      <c r="V255" s="54">
        <f>IF($B255="","",IF(_xludf.TEXTJOIN(" | ",TRUE,IF($B255="","Missing Title",""),IF($C255="","Missing Date",""),IF($D255="","Missing Start",""),IF($E255="","Missing End",""),IF($G255="","Missing Required Attendees",""),IF($T255="","Missing Status",""),IF(AND($D255&lt;&gt;"",$E255&lt;&gt;"",$D255&gt;=$E255),"Start&gt;=End",""),IF(OR($R255="",LEN($R255)&lt;60,ISNUMBER(MATCH(TRIM($R255),StatusList,0))),"Body overwritten/short",""))="","OK",_xludf.TEXTJOIN(" | ",TRUE,IF($B255="","Missing Title",""),IF($C255="","Missing Date",""),IF($D255="","Missing Start",""),IF($E255="","Missing End",""),IF($G255="","Missing Required Attendees",""),IF($T255="","Missing Status",""),IF(AND($D255&lt;&gt;"",$E255&lt;&gt;"",$D255&gt;=$E255),"Start&gt;=End",""),IF(OR($R255="",LEN($R255)&lt;60,ISNUMBER(MATCH(TRIM($R255),StatusList,0))),"Body overwritten/short",""))))</f>
        <v/>
      </c>
    </row>
    <row r="256" ht="12.75" customHeight="1">
      <c r="B256" s="25" t="n"/>
      <c r="C256" s="80" t="n"/>
      <c r="D256" s="77" t="n"/>
      <c r="E256" s="77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16">
        <f>IF($L256&lt;&gt;"","Purpose "&amp;CHAR(10)&amp;$L256&amp;CHAR(10)&amp;CHAR(10),"")&amp;
IF($M256&lt;&gt;"","Stops (in order) "&amp;CHAR(10)&amp;$M256&amp;CHAR(10)&amp;CHAR(10),"")&amp;
IF($N256&lt;&gt;"","To-Do (hard requirements) "&amp;CHAR(10)&amp;$N256&amp;CHAR(10)&amp;CHAR(10),"")&amp;
IF($O256&lt;&gt;"","Suggested Timeline "&amp;CHAR(10)&amp;$O256&amp;CHAR(10)&amp;CHAR(10),"")&amp;
IF($P256&lt;&gt;"","Guardrails "&amp;CHAR(10)&amp;$P256&amp;CHAR(10)&amp;CHAR(10),"")&amp;
IF($Q256&lt;&gt;"","Completion signals "&amp;CHAR(10)&amp;$Q256,"")</f>
        <v/>
      </c>
      <c r="S256" s="25" t="n"/>
      <c r="T256" s="25" t="n"/>
      <c r="U256" s="54" t="n"/>
      <c r="V256" s="54">
        <f>IF($B256="","",IF(_xludf.TEXTJOIN(" | ",TRUE,IF($B256="","Missing Title",""),IF($C256="","Missing Date",""),IF($D256="","Missing Start",""),IF($E256="","Missing End",""),IF($G256="","Missing Required Attendees",""),IF($T256="","Missing Status",""),IF(AND($D256&lt;&gt;"",$E256&lt;&gt;"",$D256&gt;=$E256),"Start&gt;=End",""),IF(OR($R256="",LEN($R256)&lt;60,ISNUMBER(MATCH(TRIM($R256),StatusList,0))),"Body overwritten/short",""))="","OK",_xludf.TEXTJOIN(" | ",TRUE,IF($B256="","Missing Title",""),IF($C256="","Missing Date",""),IF($D256="","Missing Start",""),IF($E256="","Missing End",""),IF($G256="","Missing Required Attendees",""),IF($T256="","Missing Status",""),IF(AND($D256&lt;&gt;"",$E256&lt;&gt;"",$D256&gt;=$E256),"Start&gt;=End",""),IF(OR($R256="",LEN($R256)&lt;60,ISNUMBER(MATCH(TRIM($R256),StatusList,0))),"Body overwritten/short",""))))</f>
        <v/>
      </c>
    </row>
    <row r="257" ht="12.75" customHeight="1">
      <c r="B257" s="25" t="n"/>
      <c r="C257" s="80" t="n"/>
      <c r="D257" s="77" t="n"/>
      <c r="E257" s="77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16">
        <f>IF($L257&lt;&gt;"","Purpose "&amp;CHAR(10)&amp;$L257&amp;CHAR(10)&amp;CHAR(10),"")&amp;
IF($M257&lt;&gt;"","Stops (in order) "&amp;CHAR(10)&amp;$M257&amp;CHAR(10)&amp;CHAR(10),"")&amp;
IF($N257&lt;&gt;"","To-Do (hard requirements) "&amp;CHAR(10)&amp;$N257&amp;CHAR(10)&amp;CHAR(10),"")&amp;
IF($O257&lt;&gt;"","Suggested Timeline "&amp;CHAR(10)&amp;$O257&amp;CHAR(10)&amp;CHAR(10),"")&amp;
IF($P257&lt;&gt;"","Guardrails "&amp;CHAR(10)&amp;$P257&amp;CHAR(10)&amp;CHAR(10),"")&amp;
IF($Q257&lt;&gt;"","Completion signals "&amp;CHAR(10)&amp;$Q257,"")</f>
        <v/>
      </c>
      <c r="S257" s="25" t="n"/>
      <c r="T257" s="25" t="n"/>
      <c r="U257" s="54" t="n"/>
      <c r="V257" s="54">
        <f>IF($B257="","",IF(_xludf.TEXTJOIN(" | ",TRUE,IF($B257="","Missing Title",""),IF($C257="","Missing Date",""),IF($D257="","Missing Start",""),IF($E257="","Missing End",""),IF($G257="","Missing Required Attendees",""),IF($T257="","Missing Status",""),IF(AND($D257&lt;&gt;"",$E257&lt;&gt;"",$D257&gt;=$E257),"Start&gt;=End",""),IF(OR($R257="",LEN($R257)&lt;60,ISNUMBER(MATCH(TRIM($R257),StatusList,0))),"Body overwritten/short",""))="","OK",_xludf.TEXTJOIN(" | ",TRUE,IF($B257="","Missing Title",""),IF($C257="","Missing Date",""),IF($D257="","Missing Start",""),IF($E257="","Missing End",""),IF($G257="","Missing Required Attendees",""),IF($T257="","Missing Status",""),IF(AND($D257&lt;&gt;"",$E257&lt;&gt;"",$D257&gt;=$E257),"Start&gt;=End",""),IF(OR($R257="",LEN($R257)&lt;60,ISNUMBER(MATCH(TRIM($R257),StatusList,0))),"Body overwritten/short",""))))</f>
        <v/>
      </c>
    </row>
    <row r="258" ht="12.75" customHeight="1">
      <c r="B258" s="25" t="n"/>
      <c r="C258" s="80" t="n"/>
      <c r="D258" s="77" t="n"/>
      <c r="E258" s="77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16">
        <f>IF($L258&lt;&gt;"","Purpose "&amp;CHAR(10)&amp;$L258&amp;CHAR(10)&amp;CHAR(10),"")&amp;
IF($M258&lt;&gt;"","Stops (in order) "&amp;CHAR(10)&amp;$M258&amp;CHAR(10)&amp;CHAR(10),"")&amp;
IF($N258&lt;&gt;"","To-Do (hard requirements) "&amp;CHAR(10)&amp;$N258&amp;CHAR(10)&amp;CHAR(10),"")&amp;
IF($O258&lt;&gt;"","Suggested Timeline "&amp;CHAR(10)&amp;$O258&amp;CHAR(10)&amp;CHAR(10),"")&amp;
IF($P258&lt;&gt;"","Guardrails "&amp;CHAR(10)&amp;$P258&amp;CHAR(10)&amp;CHAR(10),"")&amp;
IF($Q258&lt;&gt;"","Completion signals "&amp;CHAR(10)&amp;$Q258,"")</f>
        <v/>
      </c>
      <c r="S258" s="25" t="n"/>
      <c r="T258" s="25" t="n"/>
      <c r="U258" s="54" t="n"/>
      <c r="V258" s="54">
        <f>IF($B258="","",IF(_xludf.TEXTJOIN(" | ",TRUE,IF($B258="","Missing Title",""),IF($C258="","Missing Date",""),IF($D258="","Missing Start",""),IF($E258="","Missing End",""),IF($G258="","Missing Required Attendees",""),IF($T258="","Missing Status",""),IF(AND($D258&lt;&gt;"",$E258&lt;&gt;"",$D258&gt;=$E258),"Start&gt;=End",""),IF(OR($R258="",LEN($R258)&lt;60,ISNUMBER(MATCH(TRIM($R258),StatusList,0))),"Body overwritten/short",""))="","OK",_xludf.TEXTJOIN(" | ",TRUE,IF($B258="","Missing Title",""),IF($C258="","Missing Date",""),IF($D258="","Missing Start",""),IF($E258="","Missing End",""),IF($G258="","Missing Required Attendees",""),IF($T258="","Missing Status",""),IF(AND($D258&lt;&gt;"",$E258&lt;&gt;"",$D258&gt;=$E258),"Start&gt;=End",""),IF(OR($R258="",LEN($R258)&lt;60,ISNUMBER(MATCH(TRIM($R258),StatusList,0))),"Body overwritten/short",""))))</f>
        <v/>
      </c>
    </row>
    <row r="259" ht="12.75" customHeight="1">
      <c r="B259" s="25" t="n"/>
      <c r="C259" s="80" t="n"/>
      <c r="D259" s="77" t="n"/>
      <c r="E259" s="77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16">
        <f>IF($L259&lt;&gt;"","Purpose "&amp;CHAR(10)&amp;$L259&amp;CHAR(10)&amp;CHAR(10),"")&amp;
IF($M259&lt;&gt;"","Stops (in order) "&amp;CHAR(10)&amp;$M259&amp;CHAR(10)&amp;CHAR(10),"")&amp;
IF($N259&lt;&gt;"","To-Do (hard requirements) "&amp;CHAR(10)&amp;$N259&amp;CHAR(10)&amp;CHAR(10),"")&amp;
IF($O259&lt;&gt;"","Suggested Timeline "&amp;CHAR(10)&amp;$O259&amp;CHAR(10)&amp;CHAR(10),"")&amp;
IF($P259&lt;&gt;"","Guardrails "&amp;CHAR(10)&amp;$P259&amp;CHAR(10)&amp;CHAR(10),"")&amp;
IF($Q259&lt;&gt;"","Completion signals "&amp;CHAR(10)&amp;$Q259,"")</f>
        <v/>
      </c>
      <c r="S259" s="25" t="n"/>
      <c r="T259" s="25" t="n"/>
      <c r="U259" s="54" t="n"/>
      <c r="V259" s="54">
        <f>IF($B259="","",IF(_xludf.TEXTJOIN(" | ",TRUE,IF($B259="","Missing Title",""),IF($C259="","Missing Date",""),IF($D259="","Missing Start",""),IF($E259="","Missing End",""),IF($G259="","Missing Required Attendees",""),IF($T259="","Missing Status",""),IF(AND($D259&lt;&gt;"",$E259&lt;&gt;"",$D259&gt;=$E259),"Start&gt;=End",""),IF(OR($R259="",LEN($R259)&lt;60,ISNUMBER(MATCH(TRIM($R259),StatusList,0))),"Body overwritten/short",""))="","OK",_xludf.TEXTJOIN(" | ",TRUE,IF($B259="","Missing Title",""),IF($C259="","Missing Date",""),IF($D259="","Missing Start",""),IF($E259="","Missing End",""),IF($G259="","Missing Required Attendees",""),IF($T259="","Missing Status",""),IF(AND($D259&lt;&gt;"",$E259&lt;&gt;"",$D259&gt;=$E259),"Start&gt;=End",""),IF(OR($R259="",LEN($R259)&lt;60,ISNUMBER(MATCH(TRIM($R259),StatusList,0))),"Body overwritten/short",""))))</f>
        <v/>
      </c>
    </row>
    <row r="260" ht="12.75" customHeight="1">
      <c r="B260" s="25" t="n"/>
      <c r="C260" s="80" t="n"/>
      <c r="D260" s="77" t="n"/>
      <c r="E260" s="77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16">
        <f>IF($L260&lt;&gt;"","Purpose "&amp;CHAR(10)&amp;$L260&amp;CHAR(10)&amp;CHAR(10),"")&amp;
IF($M260&lt;&gt;"","Stops (in order) "&amp;CHAR(10)&amp;$M260&amp;CHAR(10)&amp;CHAR(10),"")&amp;
IF($N260&lt;&gt;"","To-Do (hard requirements) "&amp;CHAR(10)&amp;$N260&amp;CHAR(10)&amp;CHAR(10),"")&amp;
IF($O260&lt;&gt;"","Suggested Timeline "&amp;CHAR(10)&amp;$O260&amp;CHAR(10)&amp;CHAR(10),"")&amp;
IF($P260&lt;&gt;"","Guardrails "&amp;CHAR(10)&amp;$P260&amp;CHAR(10)&amp;CHAR(10),"")&amp;
IF($Q260&lt;&gt;"","Completion signals "&amp;CHAR(10)&amp;$Q260,"")</f>
        <v/>
      </c>
      <c r="S260" s="25" t="n"/>
      <c r="T260" s="25" t="n"/>
      <c r="U260" s="54" t="n"/>
      <c r="V260" s="54">
        <f>IF($B260="","",IF(_xludf.TEXTJOIN(" | ",TRUE,IF($B260="","Missing Title",""),IF($C260="","Missing Date",""),IF($D260="","Missing Start",""),IF($E260="","Missing End",""),IF($G260="","Missing Required Attendees",""),IF($T260="","Missing Status",""),IF(AND($D260&lt;&gt;"",$E260&lt;&gt;"",$D260&gt;=$E260),"Start&gt;=End",""),IF(OR($R260="",LEN($R260)&lt;60,ISNUMBER(MATCH(TRIM($R260),StatusList,0))),"Body overwritten/short",""))="","OK",_xludf.TEXTJOIN(" | ",TRUE,IF($B260="","Missing Title",""),IF($C260="","Missing Date",""),IF($D260="","Missing Start",""),IF($E260="","Missing End",""),IF($G260="","Missing Required Attendees",""),IF($T260="","Missing Status",""),IF(AND($D260&lt;&gt;"",$E260&lt;&gt;"",$D260&gt;=$E260),"Start&gt;=End",""),IF(OR($R260="",LEN($R260)&lt;60,ISNUMBER(MATCH(TRIM($R260),StatusList,0))),"Body overwritten/short",""))))</f>
        <v/>
      </c>
    </row>
    <row r="261" ht="12.75" customHeight="1">
      <c r="B261" s="25" t="n"/>
      <c r="C261" s="80" t="n"/>
      <c r="D261" s="77" t="n"/>
      <c r="E261" s="77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16">
        <f>IF($L261&lt;&gt;"","Purpose "&amp;CHAR(10)&amp;$L261&amp;CHAR(10)&amp;CHAR(10),"")&amp;
IF($M261&lt;&gt;"","Stops (in order) "&amp;CHAR(10)&amp;$M261&amp;CHAR(10)&amp;CHAR(10),"")&amp;
IF($N261&lt;&gt;"","To-Do (hard requirements) "&amp;CHAR(10)&amp;$N261&amp;CHAR(10)&amp;CHAR(10),"")&amp;
IF($O261&lt;&gt;"","Suggested Timeline "&amp;CHAR(10)&amp;$O261&amp;CHAR(10)&amp;CHAR(10),"")&amp;
IF($P261&lt;&gt;"","Guardrails "&amp;CHAR(10)&amp;$P261&amp;CHAR(10)&amp;CHAR(10),"")&amp;
IF($Q261&lt;&gt;"","Completion signals "&amp;CHAR(10)&amp;$Q261,"")</f>
        <v/>
      </c>
      <c r="S261" s="25" t="n"/>
      <c r="T261" s="25" t="n"/>
      <c r="U261" s="54" t="n"/>
      <c r="V261" s="54">
        <f>IF($B261="","",IF(_xludf.TEXTJOIN(" | ",TRUE,IF($B261="","Missing Title",""),IF($C261="","Missing Date",""),IF($D261="","Missing Start",""),IF($E261="","Missing End",""),IF($G261="","Missing Required Attendees",""),IF($T261="","Missing Status",""),IF(AND($D261&lt;&gt;"",$E261&lt;&gt;"",$D261&gt;=$E261),"Start&gt;=End",""),IF(OR($R261="",LEN($R261)&lt;60,ISNUMBER(MATCH(TRIM($R261),StatusList,0))),"Body overwritten/short",""))="","OK",_xludf.TEXTJOIN(" | ",TRUE,IF($B261="","Missing Title",""),IF($C261="","Missing Date",""),IF($D261="","Missing Start",""),IF($E261="","Missing End",""),IF($G261="","Missing Required Attendees",""),IF($T261="","Missing Status",""),IF(AND($D261&lt;&gt;"",$E261&lt;&gt;"",$D261&gt;=$E261),"Start&gt;=End",""),IF(OR($R261="",LEN($R261)&lt;60,ISNUMBER(MATCH(TRIM($R261),StatusList,0))),"Body overwritten/short",""))))</f>
        <v/>
      </c>
    </row>
    <row r="262" ht="12.75" customHeight="1">
      <c r="B262" s="25" t="n"/>
      <c r="C262" s="80" t="n"/>
      <c r="D262" s="77" t="n"/>
      <c r="E262" s="77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16">
        <f>IF($L262&lt;&gt;"","Purpose "&amp;CHAR(10)&amp;$L262&amp;CHAR(10)&amp;CHAR(10),"")&amp;
IF($M262&lt;&gt;"","Stops (in order) "&amp;CHAR(10)&amp;$M262&amp;CHAR(10)&amp;CHAR(10),"")&amp;
IF($N262&lt;&gt;"","To-Do (hard requirements) "&amp;CHAR(10)&amp;$N262&amp;CHAR(10)&amp;CHAR(10),"")&amp;
IF($O262&lt;&gt;"","Suggested Timeline "&amp;CHAR(10)&amp;$O262&amp;CHAR(10)&amp;CHAR(10),"")&amp;
IF($P262&lt;&gt;"","Guardrails "&amp;CHAR(10)&amp;$P262&amp;CHAR(10)&amp;CHAR(10),"")&amp;
IF($Q262&lt;&gt;"","Completion signals "&amp;CHAR(10)&amp;$Q262,"")</f>
        <v/>
      </c>
      <c r="S262" s="25" t="n"/>
      <c r="T262" s="25" t="n"/>
      <c r="U262" s="54" t="n"/>
      <c r="V262" s="54">
        <f>IF($B262="","",IF(_xludf.TEXTJOIN(" | ",TRUE,IF($B262="","Missing Title",""),IF($C262="","Missing Date",""),IF($D262="","Missing Start",""),IF($E262="","Missing End",""),IF($G262="","Missing Required Attendees",""),IF($T262="","Missing Status",""),IF(AND($D262&lt;&gt;"",$E262&lt;&gt;"",$D262&gt;=$E262),"Start&gt;=End",""),IF(OR($R262="",LEN($R262)&lt;60,ISNUMBER(MATCH(TRIM($R262),StatusList,0))),"Body overwritten/short",""))="","OK",_xludf.TEXTJOIN(" | ",TRUE,IF($B262="","Missing Title",""),IF($C262="","Missing Date",""),IF($D262="","Missing Start",""),IF($E262="","Missing End",""),IF($G262="","Missing Required Attendees",""),IF($T262="","Missing Status",""),IF(AND($D262&lt;&gt;"",$E262&lt;&gt;"",$D262&gt;=$E262),"Start&gt;=End",""),IF(OR($R262="",LEN($R262)&lt;60,ISNUMBER(MATCH(TRIM($R262),StatusList,0))),"Body overwritten/short",""))))</f>
        <v/>
      </c>
    </row>
    <row r="263" ht="12.75" customHeight="1">
      <c r="B263" s="25" t="n"/>
      <c r="C263" s="80" t="n"/>
      <c r="D263" s="77" t="n"/>
      <c r="E263" s="77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16">
        <f>IF($L263&lt;&gt;"","Purpose "&amp;CHAR(10)&amp;$L263&amp;CHAR(10)&amp;CHAR(10),"")&amp;
IF($M263&lt;&gt;"","Stops (in order) "&amp;CHAR(10)&amp;$M263&amp;CHAR(10)&amp;CHAR(10),"")&amp;
IF($N263&lt;&gt;"","To-Do (hard requirements) "&amp;CHAR(10)&amp;$N263&amp;CHAR(10)&amp;CHAR(10),"")&amp;
IF($O263&lt;&gt;"","Suggested Timeline "&amp;CHAR(10)&amp;$O263&amp;CHAR(10)&amp;CHAR(10),"")&amp;
IF($P263&lt;&gt;"","Guardrails "&amp;CHAR(10)&amp;$P263&amp;CHAR(10)&amp;CHAR(10),"")&amp;
IF($Q263&lt;&gt;"","Completion signals "&amp;CHAR(10)&amp;$Q263,"")</f>
        <v/>
      </c>
      <c r="S263" s="25" t="n"/>
      <c r="T263" s="25" t="n"/>
      <c r="U263" s="54" t="n"/>
      <c r="V263" s="54">
        <f>IF($B263="","",IF(_xludf.TEXTJOIN(" | ",TRUE,IF($B263="","Missing Title",""),IF($C263="","Missing Date",""),IF($D263="","Missing Start",""),IF($E263="","Missing End",""),IF($G263="","Missing Required Attendees",""),IF($T263="","Missing Status",""),IF(AND($D263&lt;&gt;"",$E263&lt;&gt;"",$D263&gt;=$E263),"Start&gt;=End",""),IF(OR($R263="",LEN($R263)&lt;60,ISNUMBER(MATCH(TRIM($R263),StatusList,0))),"Body overwritten/short",""))="","OK",_xludf.TEXTJOIN(" | ",TRUE,IF($B263="","Missing Title",""),IF($C263="","Missing Date",""),IF($D263="","Missing Start",""),IF($E263="","Missing End",""),IF($G263="","Missing Required Attendees",""),IF($T263="","Missing Status",""),IF(AND($D263&lt;&gt;"",$E263&lt;&gt;"",$D263&gt;=$E263),"Start&gt;=End",""),IF(OR($R263="",LEN($R263)&lt;60,ISNUMBER(MATCH(TRIM($R263),StatusList,0))),"Body overwritten/short",""))))</f>
        <v/>
      </c>
    </row>
    <row r="264" ht="12.75" customHeight="1">
      <c r="B264" s="25" t="n"/>
      <c r="C264" s="80" t="n"/>
      <c r="D264" s="77" t="n"/>
      <c r="E264" s="77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16">
        <f>IF($L264&lt;&gt;"","Purpose "&amp;CHAR(10)&amp;$L264&amp;CHAR(10)&amp;CHAR(10),"")&amp;
IF($M264&lt;&gt;"","Stops (in order) "&amp;CHAR(10)&amp;$M264&amp;CHAR(10)&amp;CHAR(10),"")&amp;
IF($N264&lt;&gt;"","To-Do (hard requirements) "&amp;CHAR(10)&amp;$N264&amp;CHAR(10)&amp;CHAR(10),"")&amp;
IF($O264&lt;&gt;"","Suggested Timeline "&amp;CHAR(10)&amp;$O264&amp;CHAR(10)&amp;CHAR(10),"")&amp;
IF($P264&lt;&gt;"","Guardrails "&amp;CHAR(10)&amp;$P264&amp;CHAR(10)&amp;CHAR(10),"")&amp;
IF($Q264&lt;&gt;"","Completion signals "&amp;CHAR(10)&amp;$Q264,"")</f>
        <v/>
      </c>
      <c r="S264" s="25" t="n"/>
      <c r="T264" s="25" t="n"/>
      <c r="U264" s="54" t="n"/>
      <c r="V264" s="54">
        <f>IF($B264="","",IF(_xludf.TEXTJOIN(" | ",TRUE,IF($B264="","Missing Title",""),IF($C264="","Missing Date",""),IF($D264="","Missing Start",""),IF($E264="","Missing End",""),IF($G264="","Missing Required Attendees",""),IF($T264="","Missing Status",""),IF(AND($D264&lt;&gt;"",$E264&lt;&gt;"",$D264&gt;=$E264),"Start&gt;=End",""),IF(OR($R264="",LEN($R264)&lt;60,ISNUMBER(MATCH(TRIM($R264),StatusList,0))),"Body overwritten/short",""))="","OK",_xludf.TEXTJOIN(" | ",TRUE,IF($B264="","Missing Title",""),IF($C264="","Missing Date",""),IF($D264="","Missing Start",""),IF($E264="","Missing End",""),IF($G264="","Missing Required Attendees",""),IF($T264="","Missing Status",""),IF(AND($D264&lt;&gt;"",$E264&lt;&gt;"",$D264&gt;=$E264),"Start&gt;=End",""),IF(OR($R264="",LEN($R264)&lt;60,ISNUMBER(MATCH(TRIM($R264),StatusList,0))),"Body overwritten/short",""))))</f>
        <v/>
      </c>
    </row>
    <row r="265" ht="12.75" customHeight="1">
      <c r="B265" s="25" t="n"/>
      <c r="C265" s="80" t="n"/>
      <c r="D265" s="77" t="n"/>
      <c r="E265" s="77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16">
        <f>IF($L265&lt;&gt;"","Purpose "&amp;CHAR(10)&amp;$L265&amp;CHAR(10)&amp;CHAR(10),"")&amp;
IF($M265&lt;&gt;"","Stops (in order) "&amp;CHAR(10)&amp;$M265&amp;CHAR(10)&amp;CHAR(10),"")&amp;
IF($N265&lt;&gt;"","To-Do (hard requirements) "&amp;CHAR(10)&amp;$N265&amp;CHAR(10)&amp;CHAR(10),"")&amp;
IF($O265&lt;&gt;"","Suggested Timeline "&amp;CHAR(10)&amp;$O265&amp;CHAR(10)&amp;CHAR(10),"")&amp;
IF($P265&lt;&gt;"","Guardrails "&amp;CHAR(10)&amp;$P265&amp;CHAR(10)&amp;CHAR(10),"")&amp;
IF($Q265&lt;&gt;"","Completion signals "&amp;CHAR(10)&amp;$Q265,"")</f>
        <v/>
      </c>
      <c r="S265" s="25" t="n"/>
      <c r="T265" s="25" t="n"/>
      <c r="U265" s="54" t="n"/>
      <c r="V265" s="54">
        <f>IF($B265="","",IF(_xludf.TEXTJOIN(" | ",TRUE,IF($B265="","Missing Title",""),IF($C265="","Missing Date",""),IF($D265="","Missing Start",""),IF($E265="","Missing End",""),IF($G265="","Missing Required Attendees",""),IF($T265="","Missing Status",""),IF(AND($D265&lt;&gt;"",$E265&lt;&gt;"",$D265&gt;=$E265),"Start&gt;=End",""),IF(OR($R265="",LEN($R265)&lt;60,ISNUMBER(MATCH(TRIM($R265),StatusList,0))),"Body overwritten/short",""))="","OK",_xludf.TEXTJOIN(" | ",TRUE,IF($B265="","Missing Title",""),IF($C265="","Missing Date",""),IF($D265="","Missing Start",""),IF($E265="","Missing End",""),IF($G265="","Missing Required Attendees",""),IF($T265="","Missing Status",""),IF(AND($D265&lt;&gt;"",$E265&lt;&gt;"",$D265&gt;=$E265),"Start&gt;=End",""),IF(OR($R265="",LEN($R265)&lt;60,ISNUMBER(MATCH(TRIM($R265),StatusList,0))),"Body overwritten/short",""))))</f>
        <v/>
      </c>
    </row>
    <row r="266" ht="12.75" customHeight="1">
      <c r="B266" s="25" t="n"/>
      <c r="C266" s="80" t="n"/>
      <c r="D266" s="77" t="n"/>
      <c r="E266" s="77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16">
        <f>IF($L266&lt;&gt;"","Purpose "&amp;CHAR(10)&amp;$L266&amp;CHAR(10)&amp;CHAR(10),"")&amp;
IF($M266&lt;&gt;"","Stops (in order) "&amp;CHAR(10)&amp;$M266&amp;CHAR(10)&amp;CHAR(10),"")&amp;
IF($N266&lt;&gt;"","To-Do (hard requirements) "&amp;CHAR(10)&amp;$N266&amp;CHAR(10)&amp;CHAR(10),"")&amp;
IF($O266&lt;&gt;"","Suggested Timeline "&amp;CHAR(10)&amp;$O266&amp;CHAR(10)&amp;CHAR(10),"")&amp;
IF($P266&lt;&gt;"","Guardrails "&amp;CHAR(10)&amp;$P266&amp;CHAR(10)&amp;CHAR(10),"")&amp;
IF($Q266&lt;&gt;"","Completion signals "&amp;CHAR(10)&amp;$Q266,"")</f>
        <v/>
      </c>
      <c r="S266" s="25" t="n"/>
      <c r="T266" s="25" t="n"/>
      <c r="U266" s="54" t="n"/>
      <c r="V266" s="54">
        <f>IF($B266="","",IF(_xludf.TEXTJOIN(" | ",TRUE,IF($B266="","Missing Title",""),IF($C266="","Missing Date",""),IF($D266="","Missing Start",""),IF($E266="","Missing End",""),IF($G266="","Missing Required Attendees",""),IF($T266="","Missing Status",""),IF(AND($D266&lt;&gt;"",$E266&lt;&gt;"",$D266&gt;=$E266),"Start&gt;=End",""),IF(OR($R266="",LEN($R266)&lt;60,ISNUMBER(MATCH(TRIM($R266),StatusList,0))),"Body overwritten/short",""))="","OK",_xludf.TEXTJOIN(" | ",TRUE,IF($B266="","Missing Title",""),IF($C266="","Missing Date",""),IF($D266="","Missing Start",""),IF($E266="","Missing End",""),IF($G266="","Missing Required Attendees",""),IF($T266="","Missing Status",""),IF(AND($D266&lt;&gt;"",$E266&lt;&gt;"",$D266&gt;=$E266),"Start&gt;=End",""),IF(OR($R266="",LEN($R266)&lt;60,ISNUMBER(MATCH(TRIM($R266),StatusList,0))),"Body overwritten/short",""))))</f>
        <v/>
      </c>
    </row>
    <row r="267" ht="12.75" customHeight="1">
      <c r="B267" s="25" t="n"/>
      <c r="C267" s="80" t="n"/>
      <c r="D267" s="77" t="n"/>
      <c r="E267" s="77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16">
        <f>IF($L267&lt;&gt;"","Purpose "&amp;CHAR(10)&amp;$L267&amp;CHAR(10)&amp;CHAR(10),"")&amp;
IF($M267&lt;&gt;"","Stops (in order) "&amp;CHAR(10)&amp;$M267&amp;CHAR(10)&amp;CHAR(10),"")&amp;
IF($N267&lt;&gt;"","To-Do (hard requirements) "&amp;CHAR(10)&amp;$N267&amp;CHAR(10)&amp;CHAR(10),"")&amp;
IF($O267&lt;&gt;"","Suggested Timeline "&amp;CHAR(10)&amp;$O267&amp;CHAR(10)&amp;CHAR(10),"")&amp;
IF($P267&lt;&gt;"","Guardrails "&amp;CHAR(10)&amp;$P267&amp;CHAR(10)&amp;CHAR(10),"")&amp;
IF($Q267&lt;&gt;"","Completion signals "&amp;CHAR(10)&amp;$Q267,"")</f>
        <v/>
      </c>
      <c r="S267" s="25" t="n"/>
      <c r="T267" s="25" t="n"/>
      <c r="U267" s="54" t="n"/>
      <c r="V267" s="54">
        <f>IF($B267="","",IF(_xludf.TEXTJOIN(" | ",TRUE,IF($B267="","Missing Title",""),IF($C267="","Missing Date",""),IF($D267="","Missing Start",""),IF($E267="","Missing End",""),IF($G267="","Missing Required Attendees",""),IF($T267="","Missing Status",""),IF(AND($D267&lt;&gt;"",$E267&lt;&gt;"",$D267&gt;=$E267),"Start&gt;=End",""),IF(OR($R267="",LEN($R267)&lt;60,ISNUMBER(MATCH(TRIM($R267),StatusList,0))),"Body overwritten/short",""))="","OK",_xludf.TEXTJOIN(" | ",TRUE,IF($B267="","Missing Title",""),IF($C267="","Missing Date",""),IF($D267="","Missing Start",""),IF($E267="","Missing End",""),IF($G267="","Missing Required Attendees",""),IF($T267="","Missing Status",""),IF(AND($D267&lt;&gt;"",$E267&lt;&gt;"",$D267&gt;=$E267),"Start&gt;=End",""),IF(OR($R267="",LEN($R267)&lt;60,ISNUMBER(MATCH(TRIM($R267),StatusList,0))),"Body overwritten/short",""))))</f>
        <v/>
      </c>
    </row>
    <row r="268" ht="12.75" customHeight="1">
      <c r="B268" s="25" t="n"/>
      <c r="C268" s="80" t="n"/>
      <c r="D268" s="77" t="n"/>
      <c r="E268" s="77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16">
        <f>IF($L268&lt;&gt;"","Purpose "&amp;CHAR(10)&amp;$L268&amp;CHAR(10)&amp;CHAR(10),"")&amp;
IF($M268&lt;&gt;"","Stops (in order) "&amp;CHAR(10)&amp;$M268&amp;CHAR(10)&amp;CHAR(10),"")&amp;
IF($N268&lt;&gt;"","To-Do (hard requirements) "&amp;CHAR(10)&amp;$N268&amp;CHAR(10)&amp;CHAR(10),"")&amp;
IF($O268&lt;&gt;"","Suggested Timeline "&amp;CHAR(10)&amp;$O268&amp;CHAR(10)&amp;CHAR(10),"")&amp;
IF($P268&lt;&gt;"","Guardrails "&amp;CHAR(10)&amp;$P268&amp;CHAR(10)&amp;CHAR(10),"")&amp;
IF($Q268&lt;&gt;"","Completion signals "&amp;CHAR(10)&amp;$Q268,"")</f>
        <v/>
      </c>
      <c r="S268" s="25" t="n"/>
      <c r="T268" s="25" t="n"/>
      <c r="U268" s="54" t="n"/>
      <c r="V268" s="54">
        <f>IF($B268="","",IF(_xludf.TEXTJOIN(" | ",TRUE,IF($B268="","Missing Title",""),IF($C268="","Missing Date",""),IF($D268="","Missing Start",""),IF($E268="","Missing End",""),IF($G268="","Missing Required Attendees",""),IF($T268="","Missing Status",""),IF(AND($D268&lt;&gt;"",$E268&lt;&gt;"",$D268&gt;=$E268),"Start&gt;=End",""),IF(OR($R268="",LEN($R268)&lt;60,ISNUMBER(MATCH(TRIM($R268),StatusList,0))),"Body overwritten/short",""))="","OK",_xludf.TEXTJOIN(" | ",TRUE,IF($B268="","Missing Title",""),IF($C268="","Missing Date",""),IF($D268="","Missing Start",""),IF($E268="","Missing End",""),IF($G268="","Missing Required Attendees",""),IF($T268="","Missing Status",""),IF(AND($D268&lt;&gt;"",$E268&lt;&gt;"",$D268&gt;=$E268),"Start&gt;=End",""),IF(OR($R268="",LEN($R268)&lt;60,ISNUMBER(MATCH(TRIM($R268),StatusList,0))),"Body overwritten/short",""))))</f>
        <v/>
      </c>
    </row>
    <row r="269" ht="12.75" customHeight="1">
      <c r="B269" s="25" t="n"/>
      <c r="C269" s="80" t="n"/>
      <c r="D269" s="77" t="n"/>
      <c r="E269" s="77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16">
        <f>IF($L269&lt;&gt;"","Purpose "&amp;CHAR(10)&amp;$L269&amp;CHAR(10)&amp;CHAR(10),"")&amp;
IF($M269&lt;&gt;"","Stops (in order) "&amp;CHAR(10)&amp;$M269&amp;CHAR(10)&amp;CHAR(10),"")&amp;
IF($N269&lt;&gt;"","To-Do (hard requirements) "&amp;CHAR(10)&amp;$N269&amp;CHAR(10)&amp;CHAR(10),"")&amp;
IF($O269&lt;&gt;"","Suggested Timeline "&amp;CHAR(10)&amp;$O269&amp;CHAR(10)&amp;CHAR(10),"")&amp;
IF($P269&lt;&gt;"","Guardrails "&amp;CHAR(10)&amp;$P269&amp;CHAR(10)&amp;CHAR(10),"")&amp;
IF($Q269&lt;&gt;"","Completion signals "&amp;CHAR(10)&amp;$Q269,"")</f>
        <v/>
      </c>
      <c r="S269" s="25" t="n"/>
      <c r="T269" s="25" t="n"/>
      <c r="U269" s="54" t="n"/>
      <c r="V269" s="54">
        <f>IF($B269="","",IF(_xludf.TEXTJOIN(" | ",TRUE,IF($B269="","Missing Title",""),IF($C269="","Missing Date",""),IF($D269="","Missing Start",""),IF($E269="","Missing End",""),IF($G269="","Missing Required Attendees",""),IF($T269="","Missing Status",""),IF(AND($D269&lt;&gt;"",$E269&lt;&gt;"",$D269&gt;=$E269),"Start&gt;=End",""),IF(OR($R269="",LEN($R269)&lt;60,ISNUMBER(MATCH(TRIM($R269),StatusList,0))),"Body overwritten/short",""))="","OK",_xludf.TEXTJOIN(" | ",TRUE,IF($B269="","Missing Title",""),IF($C269="","Missing Date",""),IF($D269="","Missing Start",""),IF($E269="","Missing End",""),IF($G269="","Missing Required Attendees",""),IF($T269="","Missing Status",""),IF(AND($D269&lt;&gt;"",$E269&lt;&gt;"",$D269&gt;=$E269),"Start&gt;=End",""),IF(OR($R269="",LEN($R269)&lt;60,ISNUMBER(MATCH(TRIM($R269),StatusList,0))),"Body overwritten/short",""))))</f>
        <v/>
      </c>
    </row>
    <row r="270" ht="12.75" customHeight="1">
      <c r="B270" s="25" t="n"/>
      <c r="C270" s="80" t="n"/>
      <c r="D270" s="77" t="n"/>
      <c r="E270" s="77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16">
        <f>IF($L270&lt;&gt;"","Purpose "&amp;CHAR(10)&amp;$L270&amp;CHAR(10)&amp;CHAR(10),"")&amp;
IF($M270&lt;&gt;"","Stops (in order) "&amp;CHAR(10)&amp;$M270&amp;CHAR(10)&amp;CHAR(10),"")&amp;
IF($N270&lt;&gt;"","To-Do (hard requirements) "&amp;CHAR(10)&amp;$N270&amp;CHAR(10)&amp;CHAR(10),"")&amp;
IF($O270&lt;&gt;"","Suggested Timeline "&amp;CHAR(10)&amp;$O270&amp;CHAR(10)&amp;CHAR(10),"")&amp;
IF($P270&lt;&gt;"","Guardrails "&amp;CHAR(10)&amp;$P270&amp;CHAR(10)&amp;CHAR(10),"")&amp;
IF($Q270&lt;&gt;"","Completion signals "&amp;CHAR(10)&amp;$Q270,"")</f>
        <v/>
      </c>
      <c r="S270" s="25" t="n"/>
      <c r="T270" s="25" t="n"/>
      <c r="U270" s="54" t="n"/>
      <c r="V270" s="54">
        <f>IF($B270="","",IF(_xludf.TEXTJOIN(" | ",TRUE,IF($B270="","Missing Title",""),IF($C270="","Missing Date",""),IF($D270="","Missing Start",""),IF($E270="","Missing End",""),IF($G270="","Missing Required Attendees",""),IF($T270="","Missing Status",""),IF(AND($D270&lt;&gt;"",$E270&lt;&gt;"",$D270&gt;=$E270),"Start&gt;=End",""),IF(OR($R270="",LEN($R270)&lt;60,ISNUMBER(MATCH(TRIM($R270),StatusList,0))),"Body overwritten/short",""))="","OK",_xludf.TEXTJOIN(" | ",TRUE,IF($B270="","Missing Title",""),IF($C270="","Missing Date",""),IF($D270="","Missing Start",""),IF($E270="","Missing End",""),IF($G270="","Missing Required Attendees",""),IF($T270="","Missing Status",""),IF(AND($D270&lt;&gt;"",$E270&lt;&gt;"",$D270&gt;=$E270),"Start&gt;=End",""),IF(OR($R270="",LEN($R270)&lt;60,ISNUMBER(MATCH(TRIM($R270),StatusList,0))),"Body overwritten/short",""))))</f>
        <v/>
      </c>
    </row>
    <row r="271" ht="12.75" customHeight="1">
      <c r="B271" s="25" t="n"/>
      <c r="C271" s="80" t="n"/>
      <c r="D271" s="77" t="n"/>
      <c r="E271" s="77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16">
        <f>IF($L271&lt;&gt;"","Purpose "&amp;CHAR(10)&amp;$L271&amp;CHAR(10)&amp;CHAR(10),"")&amp;
IF($M271&lt;&gt;"","Stops (in order) "&amp;CHAR(10)&amp;$M271&amp;CHAR(10)&amp;CHAR(10),"")&amp;
IF($N271&lt;&gt;"","To-Do (hard requirements) "&amp;CHAR(10)&amp;$N271&amp;CHAR(10)&amp;CHAR(10),"")&amp;
IF($O271&lt;&gt;"","Suggested Timeline "&amp;CHAR(10)&amp;$O271&amp;CHAR(10)&amp;CHAR(10),"")&amp;
IF($P271&lt;&gt;"","Guardrails "&amp;CHAR(10)&amp;$P271&amp;CHAR(10)&amp;CHAR(10),"")&amp;
IF($Q271&lt;&gt;"","Completion signals "&amp;CHAR(10)&amp;$Q271,"")</f>
        <v/>
      </c>
      <c r="S271" s="25" t="n"/>
      <c r="T271" s="25" t="n"/>
      <c r="U271" s="54" t="n"/>
      <c r="V271" s="54">
        <f>IF($B271="","",IF(_xludf.TEXTJOIN(" | ",TRUE,IF($B271="","Missing Title",""),IF($C271="","Missing Date",""),IF($D271="","Missing Start",""),IF($E271="","Missing End",""),IF($G271="","Missing Required Attendees",""),IF($T271="","Missing Status",""),IF(AND($D271&lt;&gt;"",$E271&lt;&gt;"",$D271&gt;=$E271),"Start&gt;=End",""),IF(OR($R271="",LEN($R271)&lt;60,ISNUMBER(MATCH(TRIM($R271),StatusList,0))),"Body overwritten/short",""))="","OK",_xludf.TEXTJOIN(" | ",TRUE,IF($B271="","Missing Title",""),IF($C271="","Missing Date",""),IF($D271="","Missing Start",""),IF($E271="","Missing End",""),IF($G271="","Missing Required Attendees",""),IF($T271="","Missing Status",""),IF(AND($D271&lt;&gt;"",$E271&lt;&gt;"",$D271&gt;=$E271),"Start&gt;=End",""),IF(OR($R271="",LEN($R271)&lt;60,ISNUMBER(MATCH(TRIM($R271),StatusList,0))),"Body overwritten/short",""))))</f>
        <v/>
      </c>
    </row>
    <row r="272" ht="12.75" customHeight="1">
      <c r="B272" s="25" t="n"/>
      <c r="C272" s="80" t="n"/>
      <c r="D272" s="77" t="n"/>
      <c r="E272" s="77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16">
        <f>IF($L272&lt;&gt;"","Purpose "&amp;CHAR(10)&amp;$L272&amp;CHAR(10)&amp;CHAR(10),"")&amp;
IF($M272&lt;&gt;"","Stops (in order) "&amp;CHAR(10)&amp;$M272&amp;CHAR(10)&amp;CHAR(10),"")&amp;
IF($N272&lt;&gt;"","To-Do (hard requirements) "&amp;CHAR(10)&amp;$N272&amp;CHAR(10)&amp;CHAR(10),"")&amp;
IF($O272&lt;&gt;"","Suggested Timeline "&amp;CHAR(10)&amp;$O272&amp;CHAR(10)&amp;CHAR(10),"")&amp;
IF($P272&lt;&gt;"","Guardrails "&amp;CHAR(10)&amp;$P272&amp;CHAR(10)&amp;CHAR(10),"")&amp;
IF($Q272&lt;&gt;"","Completion signals "&amp;CHAR(10)&amp;$Q272,"")</f>
        <v/>
      </c>
      <c r="S272" s="25" t="n"/>
      <c r="T272" s="25" t="n"/>
      <c r="U272" s="54" t="n"/>
      <c r="V272" s="54">
        <f>IF($B272="","",IF(_xludf.TEXTJOIN(" | ",TRUE,IF($B272="","Missing Title",""),IF($C272="","Missing Date",""),IF($D272="","Missing Start",""),IF($E272="","Missing End",""),IF($G272="","Missing Required Attendees",""),IF($T272="","Missing Status",""),IF(AND($D272&lt;&gt;"",$E272&lt;&gt;"",$D272&gt;=$E272),"Start&gt;=End",""),IF(OR($R272="",LEN($R272)&lt;60,ISNUMBER(MATCH(TRIM($R272),StatusList,0))),"Body overwritten/short",""))="","OK",_xludf.TEXTJOIN(" | ",TRUE,IF($B272="","Missing Title",""),IF($C272="","Missing Date",""),IF($D272="","Missing Start",""),IF($E272="","Missing End",""),IF($G272="","Missing Required Attendees",""),IF($T272="","Missing Status",""),IF(AND($D272&lt;&gt;"",$E272&lt;&gt;"",$D272&gt;=$E272),"Start&gt;=End",""),IF(OR($R272="",LEN($R272)&lt;60,ISNUMBER(MATCH(TRIM($R272),StatusList,0))),"Body overwritten/short",""))))</f>
        <v/>
      </c>
    </row>
    <row r="273" ht="12.75" customHeight="1">
      <c r="B273" s="25" t="n"/>
      <c r="C273" s="80" t="n"/>
      <c r="D273" s="77" t="n"/>
      <c r="E273" s="77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16">
        <f>IF($L273&lt;&gt;"","Purpose "&amp;CHAR(10)&amp;$L273&amp;CHAR(10)&amp;CHAR(10),"")&amp;
IF($M273&lt;&gt;"","Stops (in order) "&amp;CHAR(10)&amp;$M273&amp;CHAR(10)&amp;CHAR(10),"")&amp;
IF($N273&lt;&gt;"","To-Do (hard requirements) "&amp;CHAR(10)&amp;$N273&amp;CHAR(10)&amp;CHAR(10),"")&amp;
IF($O273&lt;&gt;"","Suggested Timeline "&amp;CHAR(10)&amp;$O273&amp;CHAR(10)&amp;CHAR(10),"")&amp;
IF($P273&lt;&gt;"","Guardrails "&amp;CHAR(10)&amp;$P273&amp;CHAR(10)&amp;CHAR(10),"")&amp;
IF($Q273&lt;&gt;"","Completion signals "&amp;CHAR(10)&amp;$Q273,"")</f>
        <v/>
      </c>
      <c r="S273" s="25" t="n"/>
      <c r="T273" s="25" t="n"/>
      <c r="U273" s="54" t="n"/>
      <c r="V273" s="54">
        <f>IF($B273="","",IF(_xludf.TEXTJOIN(" | ",TRUE,IF($B273="","Missing Title",""),IF($C273="","Missing Date",""),IF($D273="","Missing Start",""),IF($E273="","Missing End",""),IF($G273="","Missing Required Attendees",""),IF($T273="","Missing Status",""),IF(AND($D273&lt;&gt;"",$E273&lt;&gt;"",$D273&gt;=$E273),"Start&gt;=End",""),IF(OR($R273="",LEN($R273)&lt;60,ISNUMBER(MATCH(TRIM($R273),StatusList,0))),"Body overwritten/short",""))="","OK",_xludf.TEXTJOIN(" | ",TRUE,IF($B273="","Missing Title",""),IF($C273="","Missing Date",""),IF($D273="","Missing Start",""),IF($E273="","Missing End",""),IF($G273="","Missing Required Attendees",""),IF($T273="","Missing Status",""),IF(AND($D273&lt;&gt;"",$E273&lt;&gt;"",$D273&gt;=$E273),"Start&gt;=End",""),IF(OR($R273="",LEN($R273)&lt;60,ISNUMBER(MATCH(TRIM($R273),StatusList,0))),"Body overwritten/short",""))))</f>
        <v/>
      </c>
    </row>
    <row r="274" ht="12.75" customHeight="1">
      <c r="B274" s="25" t="n"/>
      <c r="C274" s="80" t="n"/>
      <c r="D274" s="77" t="n"/>
      <c r="E274" s="77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16">
        <f>IF($L274&lt;&gt;"","Purpose "&amp;CHAR(10)&amp;$L274&amp;CHAR(10)&amp;CHAR(10),"")&amp;
IF($M274&lt;&gt;"","Stops (in order) "&amp;CHAR(10)&amp;$M274&amp;CHAR(10)&amp;CHAR(10),"")&amp;
IF($N274&lt;&gt;"","To-Do (hard requirements) "&amp;CHAR(10)&amp;$N274&amp;CHAR(10)&amp;CHAR(10),"")&amp;
IF($O274&lt;&gt;"","Suggested Timeline "&amp;CHAR(10)&amp;$O274&amp;CHAR(10)&amp;CHAR(10),"")&amp;
IF($P274&lt;&gt;"","Guardrails "&amp;CHAR(10)&amp;$P274&amp;CHAR(10)&amp;CHAR(10),"")&amp;
IF($Q274&lt;&gt;"","Completion signals "&amp;CHAR(10)&amp;$Q274,"")</f>
        <v/>
      </c>
      <c r="S274" s="25" t="n"/>
      <c r="T274" s="25" t="n"/>
      <c r="U274" s="54" t="n"/>
      <c r="V274" s="54">
        <f>IF($B274="","",IF(_xludf.TEXTJOIN(" | ",TRUE,IF($B274="","Missing Title",""),IF($C274="","Missing Date",""),IF($D274="","Missing Start",""),IF($E274="","Missing End",""),IF($G274="","Missing Required Attendees",""),IF($T274="","Missing Status",""),IF(AND($D274&lt;&gt;"",$E274&lt;&gt;"",$D274&gt;=$E274),"Start&gt;=End",""),IF(OR($R274="",LEN($R274)&lt;60,ISNUMBER(MATCH(TRIM($R274),StatusList,0))),"Body overwritten/short",""))="","OK",_xludf.TEXTJOIN(" | ",TRUE,IF($B274="","Missing Title",""),IF($C274="","Missing Date",""),IF($D274="","Missing Start",""),IF($E274="","Missing End",""),IF($G274="","Missing Required Attendees",""),IF($T274="","Missing Status",""),IF(AND($D274&lt;&gt;"",$E274&lt;&gt;"",$D274&gt;=$E274),"Start&gt;=End",""),IF(OR($R274="",LEN($R274)&lt;60,ISNUMBER(MATCH(TRIM($R274),StatusList,0))),"Body overwritten/short",""))))</f>
        <v/>
      </c>
    </row>
    <row r="275" ht="12.75" customHeight="1">
      <c r="B275" s="25" t="n"/>
      <c r="C275" s="80" t="n"/>
      <c r="D275" s="77" t="n"/>
      <c r="E275" s="77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16">
        <f>IF($L275&lt;&gt;"","Purpose "&amp;CHAR(10)&amp;$L275&amp;CHAR(10)&amp;CHAR(10),"")&amp;
IF($M275&lt;&gt;"","Stops (in order) "&amp;CHAR(10)&amp;$M275&amp;CHAR(10)&amp;CHAR(10),"")&amp;
IF($N275&lt;&gt;"","To-Do (hard requirements) "&amp;CHAR(10)&amp;$N275&amp;CHAR(10)&amp;CHAR(10),"")&amp;
IF($O275&lt;&gt;"","Suggested Timeline "&amp;CHAR(10)&amp;$O275&amp;CHAR(10)&amp;CHAR(10),"")&amp;
IF($P275&lt;&gt;"","Guardrails "&amp;CHAR(10)&amp;$P275&amp;CHAR(10)&amp;CHAR(10),"")&amp;
IF($Q275&lt;&gt;"","Completion signals "&amp;CHAR(10)&amp;$Q275,"")</f>
        <v/>
      </c>
      <c r="S275" s="25" t="n"/>
      <c r="T275" s="25" t="n"/>
      <c r="U275" s="54" t="n"/>
      <c r="V275" s="54">
        <f>IF($B275="","",IF(_xludf.TEXTJOIN(" | ",TRUE,IF($B275="","Missing Title",""),IF($C275="","Missing Date",""),IF($D275="","Missing Start",""),IF($E275="","Missing End",""),IF($G275="","Missing Required Attendees",""),IF($T275="","Missing Status",""),IF(AND($D275&lt;&gt;"",$E275&lt;&gt;"",$D275&gt;=$E275),"Start&gt;=End",""),IF(OR($R275="",LEN($R275)&lt;60,ISNUMBER(MATCH(TRIM($R275),StatusList,0))),"Body overwritten/short",""))="","OK",_xludf.TEXTJOIN(" | ",TRUE,IF($B275="","Missing Title",""),IF($C275="","Missing Date",""),IF($D275="","Missing Start",""),IF($E275="","Missing End",""),IF($G275="","Missing Required Attendees",""),IF($T275="","Missing Status",""),IF(AND($D275&lt;&gt;"",$E275&lt;&gt;"",$D275&gt;=$E275),"Start&gt;=End",""),IF(OR($R275="",LEN($R275)&lt;60,ISNUMBER(MATCH(TRIM($R275),StatusList,0))),"Body overwritten/short",""))))</f>
        <v/>
      </c>
    </row>
    <row r="276" ht="12.75" customHeight="1">
      <c r="B276" s="25" t="n"/>
      <c r="C276" s="80" t="n"/>
      <c r="D276" s="77" t="n"/>
      <c r="E276" s="77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16">
        <f>IF($L276&lt;&gt;"","Purpose "&amp;CHAR(10)&amp;$L276&amp;CHAR(10)&amp;CHAR(10),"")&amp;
IF($M276&lt;&gt;"","Stops (in order) "&amp;CHAR(10)&amp;$M276&amp;CHAR(10)&amp;CHAR(10),"")&amp;
IF($N276&lt;&gt;"","To-Do (hard requirements) "&amp;CHAR(10)&amp;$N276&amp;CHAR(10)&amp;CHAR(10),"")&amp;
IF($O276&lt;&gt;"","Suggested Timeline "&amp;CHAR(10)&amp;$O276&amp;CHAR(10)&amp;CHAR(10),"")&amp;
IF($P276&lt;&gt;"","Guardrails "&amp;CHAR(10)&amp;$P276&amp;CHAR(10)&amp;CHAR(10),"")&amp;
IF($Q276&lt;&gt;"","Completion signals "&amp;CHAR(10)&amp;$Q276,"")</f>
        <v/>
      </c>
      <c r="S276" s="25" t="n"/>
      <c r="T276" s="25" t="n"/>
      <c r="U276" s="54" t="n"/>
      <c r="V276" s="54">
        <f>IF($B276="","",IF(_xludf.TEXTJOIN(" | ",TRUE,IF($B276="","Missing Title",""),IF($C276="","Missing Date",""),IF($D276="","Missing Start",""),IF($E276="","Missing End",""),IF($G276="","Missing Required Attendees",""),IF($T276="","Missing Status",""),IF(AND($D276&lt;&gt;"",$E276&lt;&gt;"",$D276&gt;=$E276),"Start&gt;=End",""),IF(OR($R276="",LEN($R276)&lt;60,ISNUMBER(MATCH(TRIM($R276),StatusList,0))),"Body overwritten/short",""))="","OK",_xludf.TEXTJOIN(" | ",TRUE,IF($B276="","Missing Title",""),IF($C276="","Missing Date",""),IF($D276="","Missing Start",""),IF($E276="","Missing End",""),IF($G276="","Missing Required Attendees",""),IF($T276="","Missing Status",""),IF(AND($D276&lt;&gt;"",$E276&lt;&gt;"",$D276&gt;=$E276),"Start&gt;=End",""),IF(OR($R276="",LEN($R276)&lt;60,ISNUMBER(MATCH(TRIM($R276),StatusList,0))),"Body overwritten/short",""))))</f>
        <v/>
      </c>
    </row>
    <row r="277" ht="12.75" customHeight="1">
      <c r="B277" s="25" t="n"/>
      <c r="C277" s="80" t="n"/>
      <c r="D277" s="77" t="n"/>
      <c r="E277" s="77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16">
        <f>IF($L277&lt;&gt;"","Purpose "&amp;CHAR(10)&amp;$L277&amp;CHAR(10)&amp;CHAR(10),"")&amp;
IF($M277&lt;&gt;"","Stops (in order) "&amp;CHAR(10)&amp;$M277&amp;CHAR(10)&amp;CHAR(10),"")&amp;
IF($N277&lt;&gt;"","To-Do (hard requirements) "&amp;CHAR(10)&amp;$N277&amp;CHAR(10)&amp;CHAR(10),"")&amp;
IF($O277&lt;&gt;"","Suggested Timeline "&amp;CHAR(10)&amp;$O277&amp;CHAR(10)&amp;CHAR(10),"")&amp;
IF($P277&lt;&gt;"","Guardrails "&amp;CHAR(10)&amp;$P277&amp;CHAR(10)&amp;CHAR(10),"")&amp;
IF($Q277&lt;&gt;"","Completion signals "&amp;CHAR(10)&amp;$Q277,"")</f>
        <v/>
      </c>
      <c r="S277" s="25" t="n"/>
      <c r="T277" s="25" t="n"/>
      <c r="U277" s="54" t="n"/>
      <c r="V277" s="54">
        <f>IF($B277="","",IF(_xludf.TEXTJOIN(" | ",TRUE,IF($B277="","Missing Title",""),IF($C277="","Missing Date",""),IF($D277="","Missing Start",""),IF($E277="","Missing End",""),IF($G277="","Missing Required Attendees",""),IF($T277="","Missing Status",""),IF(AND($D277&lt;&gt;"",$E277&lt;&gt;"",$D277&gt;=$E277),"Start&gt;=End",""),IF(OR($R277="",LEN($R277)&lt;60,ISNUMBER(MATCH(TRIM($R277),StatusList,0))),"Body overwritten/short",""))="","OK",_xludf.TEXTJOIN(" | ",TRUE,IF($B277="","Missing Title",""),IF($C277="","Missing Date",""),IF($D277="","Missing Start",""),IF($E277="","Missing End",""),IF($G277="","Missing Required Attendees",""),IF($T277="","Missing Status",""),IF(AND($D277&lt;&gt;"",$E277&lt;&gt;"",$D277&gt;=$E277),"Start&gt;=End",""),IF(OR($R277="",LEN($R277)&lt;60,ISNUMBER(MATCH(TRIM($R277),StatusList,0))),"Body overwritten/short",""))))</f>
        <v/>
      </c>
    </row>
    <row r="278" ht="12.75" customHeight="1">
      <c r="B278" s="25" t="n"/>
      <c r="C278" s="80" t="n"/>
      <c r="D278" s="77" t="n"/>
      <c r="E278" s="77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16">
        <f>IF($L278&lt;&gt;"","Purpose "&amp;CHAR(10)&amp;$L278&amp;CHAR(10)&amp;CHAR(10),"")&amp;
IF($M278&lt;&gt;"","Stops (in order) "&amp;CHAR(10)&amp;$M278&amp;CHAR(10)&amp;CHAR(10),"")&amp;
IF($N278&lt;&gt;"","To-Do (hard requirements) "&amp;CHAR(10)&amp;$N278&amp;CHAR(10)&amp;CHAR(10),"")&amp;
IF($O278&lt;&gt;"","Suggested Timeline "&amp;CHAR(10)&amp;$O278&amp;CHAR(10)&amp;CHAR(10),"")&amp;
IF($P278&lt;&gt;"","Guardrails "&amp;CHAR(10)&amp;$P278&amp;CHAR(10)&amp;CHAR(10),"")&amp;
IF($Q278&lt;&gt;"","Completion signals "&amp;CHAR(10)&amp;$Q278,"")</f>
        <v/>
      </c>
      <c r="S278" s="25" t="n"/>
      <c r="T278" s="25" t="n"/>
      <c r="U278" s="54" t="n"/>
      <c r="V278" s="54">
        <f>IF($B278="","",IF(_xludf.TEXTJOIN(" | ",TRUE,IF($B278="","Missing Title",""),IF($C278="","Missing Date",""),IF($D278="","Missing Start",""),IF($E278="","Missing End",""),IF($G278="","Missing Required Attendees",""),IF($T278="","Missing Status",""),IF(AND($D278&lt;&gt;"",$E278&lt;&gt;"",$D278&gt;=$E278),"Start&gt;=End",""),IF(OR($R278="",LEN($R278)&lt;60,ISNUMBER(MATCH(TRIM($R278),StatusList,0))),"Body overwritten/short",""))="","OK",_xludf.TEXTJOIN(" | ",TRUE,IF($B278="","Missing Title",""),IF($C278="","Missing Date",""),IF($D278="","Missing Start",""),IF($E278="","Missing End",""),IF($G278="","Missing Required Attendees",""),IF($T278="","Missing Status",""),IF(AND($D278&lt;&gt;"",$E278&lt;&gt;"",$D278&gt;=$E278),"Start&gt;=End",""),IF(OR($R278="",LEN($R278)&lt;60,ISNUMBER(MATCH(TRIM($R278),StatusList,0))),"Body overwritten/short",""))))</f>
        <v/>
      </c>
    </row>
    <row r="279" ht="12.75" customHeight="1">
      <c r="B279" s="25" t="n"/>
      <c r="C279" s="80" t="n"/>
      <c r="D279" s="77" t="n"/>
      <c r="E279" s="77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16">
        <f>IF($L279&lt;&gt;"","Purpose "&amp;CHAR(10)&amp;$L279&amp;CHAR(10)&amp;CHAR(10),"")&amp;
IF($M279&lt;&gt;"","Stops (in order) "&amp;CHAR(10)&amp;$M279&amp;CHAR(10)&amp;CHAR(10),"")&amp;
IF($N279&lt;&gt;"","To-Do (hard requirements) "&amp;CHAR(10)&amp;$N279&amp;CHAR(10)&amp;CHAR(10),"")&amp;
IF($O279&lt;&gt;"","Suggested Timeline "&amp;CHAR(10)&amp;$O279&amp;CHAR(10)&amp;CHAR(10),"")&amp;
IF($P279&lt;&gt;"","Guardrails "&amp;CHAR(10)&amp;$P279&amp;CHAR(10)&amp;CHAR(10),"")&amp;
IF($Q279&lt;&gt;"","Completion signals "&amp;CHAR(10)&amp;$Q279,"")</f>
        <v/>
      </c>
      <c r="S279" s="25" t="n"/>
      <c r="T279" s="25" t="n"/>
      <c r="U279" s="54" t="n"/>
      <c r="V279" s="54">
        <f>IF($B279="","",IF(_xludf.TEXTJOIN(" | ",TRUE,IF($B279="","Missing Title",""),IF($C279="","Missing Date",""),IF($D279="","Missing Start",""),IF($E279="","Missing End",""),IF($G279="","Missing Required Attendees",""),IF($T279="","Missing Status",""),IF(AND($D279&lt;&gt;"",$E279&lt;&gt;"",$D279&gt;=$E279),"Start&gt;=End",""),IF(OR($R279="",LEN($R279)&lt;60,ISNUMBER(MATCH(TRIM($R279),StatusList,0))),"Body overwritten/short",""))="","OK",_xludf.TEXTJOIN(" | ",TRUE,IF($B279="","Missing Title",""),IF($C279="","Missing Date",""),IF($D279="","Missing Start",""),IF($E279="","Missing End",""),IF($G279="","Missing Required Attendees",""),IF($T279="","Missing Status",""),IF(AND($D279&lt;&gt;"",$E279&lt;&gt;"",$D279&gt;=$E279),"Start&gt;=End",""),IF(OR($R279="",LEN($R279)&lt;60,ISNUMBER(MATCH(TRIM($R279),StatusList,0))),"Body overwritten/short",""))))</f>
        <v/>
      </c>
    </row>
    <row r="280" ht="12.75" customHeight="1">
      <c r="B280" s="25" t="n"/>
      <c r="C280" s="80" t="n"/>
      <c r="D280" s="77" t="n"/>
      <c r="E280" s="77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16">
        <f>IF($L280&lt;&gt;"","Purpose "&amp;CHAR(10)&amp;$L280&amp;CHAR(10)&amp;CHAR(10),"")&amp;
IF($M280&lt;&gt;"","Stops (in order) "&amp;CHAR(10)&amp;$M280&amp;CHAR(10)&amp;CHAR(10),"")&amp;
IF($N280&lt;&gt;"","To-Do (hard requirements) "&amp;CHAR(10)&amp;$N280&amp;CHAR(10)&amp;CHAR(10),"")&amp;
IF($O280&lt;&gt;"","Suggested Timeline "&amp;CHAR(10)&amp;$O280&amp;CHAR(10)&amp;CHAR(10),"")&amp;
IF($P280&lt;&gt;"","Guardrails "&amp;CHAR(10)&amp;$P280&amp;CHAR(10)&amp;CHAR(10),"")&amp;
IF($Q280&lt;&gt;"","Completion signals "&amp;CHAR(10)&amp;$Q280,"")</f>
        <v/>
      </c>
      <c r="S280" s="25" t="n"/>
      <c r="T280" s="25" t="n"/>
      <c r="U280" s="54" t="n"/>
      <c r="V280" s="54">
        <f>IF($B280="","",IF(_xludf.TEXTJOIN(" | ",TRUE,IF($B280="","Missing Title",""),IF($C280="","Missing Date",""),IF($D280="","Missing Start",""),IF($E280="","Missing End",""),IF($G280="","Missing Required Attendees",""),IF($T280="","Missing Status",""),IF(AND($D280&lt;&gt;"",$E280&lt;&gt;"",$D280&gt;=$E280),"Start&gt;=End",""),IF(OR($R280="",LEN($R280)&lt;60,ISNUMBER(MATCH(TRIM($R280),StatusList,0))),"Body overwritten/short",""))="","OK",_xludf.TEXTJOIN(" | ",TRUE,IF($B280="","Missing Title",""),IF($C280="","Missing Date",""),IF($D280="","Missing Start",""),IF($E280="","Missing End",""),IF($G280="","Missing Required Attendees",""),IF($T280="","Missing Status",""),IF(AND($D280&lt;&gt;"",$E280&lt;&gt;"",$D280&gt;=$E280),"Start&gt;=End",""),IF(OR($R280="",LEN($R280)&lt;60,ISNUMBER(MATCH(TRIM($R280),StatusList,0))),"Body overwritten/short",""))))</f>
        <v/>
      </c>
    </row>
    <row r="281" ht="12.75" customHeight="1">
      <c r="B281" s="25" t="n"/>
      <c r="C281" s="80" t="n"/>
      <c r="D281" s="77" t="n"/>
      <c r="E281" s="77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16">
        <f>IF($L281&lt;&gt;"","Purpose "&amp;CHAR(10)&amp;$L281&amp;CHAR(10)&amp;CHAR(10),"")&amp;
IF($M281&lt;&gt;"","Stops (in order) "&amp;CHAR(10)&amp;$M281&amp;CHAR(10)&amp;CHAR(10),"")&amp;
IF($N281&lt;&gt;"","To-Do (hard requirements) "&amp;CHAR(10)&amp;$N281&amp;CHAR(10)&amp;CHAR(10),"")&amp;
IF($O281&lt;&gt;"","Suggested Timeline "&amp;CHAR(10)&amp;$O281&amp;CHAR(10)&amp;CHAR(10),"")&amp;
IF($P281&lt;&gt;"","Guardrails "&amp;CHAR(10)&amp;$P281&amp;CHAR(10)&amp;CHAR(10),"")&amp;
IF($Q281&lt;&gt;"","Completion signals "&amp;CHAR(10)&amp;$Q281,"")</f>
        <v/>
      </c>
      <c r="S281" s="25" t="n"/>
      <c r="T281" s="25" t="n"/>
      <c r="U281" s="54" t="n"/>
      <c r="V281" s="54">
        <f>IF($B281="","",IF(_xludf.TEXTJOIN(" | ",TRUE,IF($B281="","Missing Title",""),IF($C281="","Missing Date",""),IF($D281="","Missing Start",""),IF($E281="","Missing End",""),IF($G281="","Missing Required Attendees",""),IF($T281="","Missing Status",""),IF(AND($D281&lt;&gt;"",$E281&lt;&gt;"",$D281&gt;=$E281),"Start&gt;=End",""),IF(OR($R281="",LEN($R281)&lt;60,ISNUMBER(MATCH(TRIM($R281),StatusList,0))),"Body overwritten/short",""))="","OK",_xludf.TEXTJOIN(" | ",TRUE,IF($B281="","Missing Title",""),IF($C281="","Missing Date",""),IF($D281="","Missing Start",""),IF($E281="","Missing End",""),IF($G281="","Missing Required Attendees",""),IF($T281="","Missing Status",""),IF(AND($D281&lt;&gt;"",$E281&lt;&gt;"",$D281&gt;=$E281),"Start&gt;=End",""),IF(OR($R281="",LEN($R281)&lt;60,ISNUMBER(MATCH(TRIM($R281),StatusList,0))),"Body overwritten/short",""))))</f>
        <v/>
      </c>
    </row>
    <row r="282" ht="12.75" customHeight="1">
      <c r="B282" s="25" t="n"/>
      <c r="C282" s="80" t="n"/>
      <c r="D282" s="77" t="n"/>
      <c r="E282" s="77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16">
        <f>IF($L282&lt;&gt;"","Purpose "&amp;CHAR(10)&amp;$L282&amp;CHAR(10)&amp;CHAR(10),"")&amp;
IF($M282&lt;&gt;"","Stops (in order) "&amp;CHAR(10)&amp;$M282&amp;CHAR(10)&amp;CHAR(10),"")&amp;
IF($N282&lt;&gt;"","To-Do (hard requirements) "&amp;CHAR(10)&amp;$N282&amp;CHAR(10)&amp;CHAR(10),"")&amp;
IF($O282&lt;&gt;"","Suggested Timeline "&amp;CHAR(10)&amp;$O282&amp;CHAR(10)&amp;CHAR(10),"")&amp;
IF($P282&lt;&gt;"","Guardrails "&amp;CHAR(10)&amp;$P282&amp;CHAR(10)&amp;CHAR(10),"")&amp;
IF($Q282&lt;&gt;"","Completion signals "&amp;CHAR(10)&amp;$Q282,"")</f>
        <v/>
      </c>
      <c r="S282" s="25" t="n"/>
      <c r="T282" s="25" t="n"/>
      <c r="U282" s="54" t="n"/>
      <c r="V282" s="54">
        <f>IF($B282="","",IF(_xludf.TEXTJOIN(" | ",TRUE,IF($B282="","Missing Title",""),IF($C282="","Missing Date",""),IF($D282="","Missing Start",""),IF($E282="","Missing End",""),IF($G282="","Missing Required Attendees",""),IF($T282="","Missing Status",""),IF(AND($D282&lt;&gt;"",$E282&lt;&gt;"",$D282&gt;=$E282),"Start&gt;=End",""),IF(OR($R282="",LEN($R282)&lt;60,ISNUMBER(MATCH(TRIM($R282),StatusList,0))),"Body overwritten/short",""))="","OK",_xludf.TEXTJOIN(" | ",TRUE,IF($B282="","Missing Title",""),IF($C282="","Missing Date",""),IF($D282="","Missing Start",""),IF($E282="","Missing End",""),IF($G282="","Missing Required Attendees",""),IF($T282="","Missing Status",""),IF(AND($D282&lt;&gt;"",$E282&lt;&gt;"",$D282&gt;=$E282),"Start&gt;=End",""),IF(OR($R282="",LEN($R282)&lt;60,ISNUMBER(MATCH(TRIM($R282),StatusList,0))),"Body overwritten/short",""))))</f>
        <v/>
      </c>
    </row>
    <row r="283" ht="12.75" customHeight="1">
      <c r="B283" s="25" t="n"/>
      <c r="C283" s="80" t="n"/>
      <c r="D283" s="77" t="n"/>
      <c r="E283" s="77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16">
        <f>IF($L283&lt;&gt;"","Purpose "&amp;CHAR(10)&amp;$L283&amp;CHAR(10)&amp;CHAR(10),"")&amp;
IF($M283&lt;&gt;"","Stops (in order) "&amp;CHAR(10)&amp;$M283&amp;CHAR(10)&amp;CHAR(10),"")&amp;
IF($N283&lt;&gt;"","To-Do (hard requirements) "&amp;CHAR(10)&amp;$N283&amp;CHAR(10)&amp;CHAR(10),"")&amp;
IF($O283&lt;&gt;"","Suggested Timeline "&amp;CHAR(10)&amp;$O283&amp;CHAR(10)&amp;CHAR(10),"")&amp;
IF($P283&lt;&gt;"","Guardrails "&amp;CHAR(10)&amp;$P283&amp;CHAR(10)&amp;CHAR(10),"")&amp;
IF($Q283&lt;&gt;"","Completion signals "&amp;CHAR(10)&amp;$Q283,"")</f>
        <v/>
      </c>
      <c r="S283" s="25" t="n"/>
      <c r="T283" s="25" t="n"/>
      <c r="U283" s="54" t="n"/>
      <c r="V283" s="54">
        <f>IF($B283="","",IF(_xludf.TEXTJOIN(" | ",TRUE,IF($B283="","Missing Title",""),IF($C283="","Missing Date",""),IF($D283="","Missing Start",""),IF($E283="","Missing End",""),IF($G283="","Missing Required Attendees",""),IF($T283="","Missing Status",""),IF(AND($D283&lt;&gt;"",$E283&lt;&gt;"",$D283&gt;=$E283),"Start&gt;=End",""),IF(OR($R283="",LEN($R283)&lt;60,ISNUMBER(MATCH(TRIM($R283),StatusList,0))),"Body overwritten/short",""))="","OK",_xludf.TEXTJOIN(" | ",TRUE,IF($B283="","Missing Title",""),IF($C283="","Missing Date",""),IF($D283="","Missing Start",""),IF($E283="","Missing End",""),IF($G283="","Missing Required Attendees",""),IF($T283="","Missing Status",""),IF(AND($D283&lt;&gt;"",$E283&lt;&gt;"",$D283&gt;=$E283),"Start&gt;=End",""),IF(OR($R283="",LEN($R283)&lt;60,ISNUMBER(MATCH(TRIM($R283),StatusList,0))),"Body overwritten/short",""))))</f>
        <v/>
      </c>
    </row>
    <row r="284" ht="12.75" customHeight="1">
      <c r="B284" s="25" t="n"/>
      <c r="C284" s="80" t="n"/>
      <c r="D284" s="77" t="n"/>
      <c r="E284" s="77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16">
        <f>IF($L284&lt;&gt;"","Purpose "&amp;CHAR(10)&amp;$L284&amp;CHAR(10)&amp;CHAR(10),"")&amp;
IF($M284&lt;&gt;"","Stops (in order) "&amp;CHAR(10)&amp;$M284&amp;CHAR(10)&amp;CHAR(10),"")&amp;
IF($N284&lt;&gt;"","To-Do (hard requirements) "&amp;CHAR(10)&amp;$N284&amp;CHAR(10)&amp;CHAR(10),"")&amp;
IF($O284&lt;&gt;"","Suggested Timeline "&amp;CHAR(10)&amp;$O284&amp;CHAR(10)&amp;CHAR(10),"")&amp;
IF($P284&lt;&gt;"","Guardrails "&amp;CHAR(10)&amp;$P284&amp;CHAR(10)&amp;CHAR(10),"")&amp;
IF($Q284&lt;&gt;"","Completion signals "&amp;CHAR(10)&amp;$Q284,"")</f>
        <v/>
      </c>
      <c r="S284" s="25" t="n"/>
      <c r="T284" s="25" t="n"/>
      <c r="U284" s="54" t="n"/>
      <c r="V284" s="54">
        <f>IF($B284="","",IF(_xludf.TEXTJOIN(" | ",TRUE,IF($B284="","Missing Title",""),IF($C284="","Missing Date",""),IF($D284="","Missing Start",""),IF($E284="","Missing End",""),IF($G284="","Missing Required Attendees",""),IF($T284="","Missing Status",""),IF(AND($D284&lt;&gt;"",$E284&lt;&gt;"",$D284&gt;=$E284),"Start&gt;=End",""),IF(OR($R284="",LEN($R284)&lt;60,ISNUMBER(MATCH(TRIM($R284),StatusList,0))),"Body overwritten/short",""))="","OK",_xludf.TEXTJOIN(" | ",TRUE,IF($B284="","Missing Title",""),IF($C284="","Missing Date",""),IF($D284="","Missing Start",""),IF($E284="","Missing End",""),IF($G284="","Missing Required Attendees",""),IF($T284="","Missing Status",""),IF(AND($D284&lt;&gt;"",$E284&lt;&gt;"",$D284&gt;=$E284),"Start&gt;=End",""),IF(OR($R284="",LEN($R284)&lt;60,ISNUMBER(MATCH(TRIM($R284),StatusList,0))),"Body overwritten/short",""))))</f>
        <v/>
      </c>
    </row>
    <row r="285" ht="12.75" customHeight="1">
      <c r="B285" s="25" t="n"/>
      <c r="C285" s="80" t="n"/>
      <c r="D285" s="77" t="n"/>
      <c r="E285" s="77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16">
        <f>IF($L285&lt;&gt;"","Purpose "&amp;CHAR(10)&amp;$L285&amp;CHAR(10)&amp;CHAR(10),"")&amp;
IF($M285&lt;&gt;"","Stops (in order) "&amp;CHAR(10)&amp;$M285&amp;CHAR(10)&amp;CHAR(10),"")&amp;
IF($N285&lt;&gt;"","To-Do (hard requirements) "&amp;CHAR(10)&amp;$N285&amp;CHAR(10)&amp;CHAR(10),"")&amp;
IF($O285&lt;&gt;"","Suggested Timeline "&amp;CHAR(10)&amp;$O285&amp;CHAR(10)&amp;CHAR(10),"")&amp;
IF($P285&lt;&gt;"","Guardrails "&amp;CHAR(10)&amp;$P285&amp;CHAR(10)&amp;CHAR(10),"")&amp;
IF($Q285&lt;&gt;"","Completion signals "&amp;CHAR(10)&amp;$Q285,"")</f>
        <v/>
      </c>
      <c r="S285" s="25" t="n"/>
      <c r="T285" s="25" t="n"/>
      <c r="U285" s="54" t="n"/>
      <c r="V285" s="54">
        <f>IF($B285="","",IF(_xludf.TEXTJOIN(" | ",TRUE,IF($B285="","Missing Title",""),IF($C285="","Missing Date",""),IF($D285="","Missing Start",""),IF($E285="","Missing End",""),IF($G285="","Missing Required Attendees",""),IF($T285="","Missing Status",""),IF(AND($D285&lt;&gt;"",$E285&lt;&gt;"",$D285&gt;=$E285),"Start&gt;=End",""),IF(OR($R285="",LEN($R285)&lt;60,ISNUMBER(MATCH(TRIM($R285),StatusList,0))),"Body overwritten/short",""))="","OK",_xludf.TEXTJOIN(" | ",TRUE,IF($B285="","Missing Title",""),IF($C285="","Missing Date",""),IF($D285="","Missing Start",""),IF($E285="","Missing End",""),IF($G285="","Missing Required Attendees",""),IF($T285="","Missing Status",""),IF(AND($D285&lt;&gt;"",$E285&lt;&gt;"",$D285&gt;=$E285),"Start&gt;=End",""),IF(OR($R285="",LEN($R285)&lt;60,ISNUMBER(MATCH(TRIM($R285),StatusList,0))),"Body overwritten/short",""))))</f>
        <v/>
      </c>
    </row>
    <row r="286" ht="12.75" customHeight="1">
      <c r="B286" s="25" t="n"/>
      <c r="C286" s="80" t="n"/>
      <c r="D286" s="77" t="n"/>
      <c r="E286" s="77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16">
        <f>IF($L286&lt;&gt;"","Purpose "&amp;CHAR(10)&amp;$L286&amp;CHAR(10)&amp;CHAR(10),"")&amp;
IF($M286&lt;&gt;"","Stops (in order) "&amp;CHAR(10)&amp;$M286&amp;CHAR(10)&amp;CHAR(10),"")&amp;
IF($N286&lt;&gt;"","To-Do (hard requirements) "&amp;CHAR(10)&amp;$N286&amp;CHAR(10)&amp;CHAR(10),"")&amp;
IF($O286&lt;&gt;"","Suggested Timeline "&amp;CHAR(10)&amp;$O286&amp;CHAR(10)&amp;CHAR(10),"")&amp;
IF($P286&lt;&gt;"","Guardrails "&amp;CHAR(10)&amp;$P286&amp;CHAR(10)&amp;CHAR(10),"")&amp;
IF($Q286&lt;&gt;"","Completion signals "&amp;CHAR(10)&amp;$Q286,"")</f>
        <v/>
      </c>
      <c r="S286" s="25" t="n"/>
      <c r="T286" s="25" t="n"/>
      <c r="U286" s="54" t="n"/>
      <c r="V286" s="54">
        <f>IF($B286="","",IF(_xludf.TEXTJOIN(" | ",TRUE,IF($B286="","Missing Title",""),IF($C286="","Missing Date",""),IF($D286="","Missing Start",""),IF($E286="","Missing End",""),IF($G286="","Missing Required Attendees",""),IF($T286="","Missing Status",""),IF(AND($D286&lt;&gt;"",$E286&lt;&gt;"",$D286&gt;=$E286),"Start&gt;=End",""),IF(OR($R286="",LEN($R286)&lt;60,ISNUMBER(MATCH(TRIM($R286),StatusList,0))),"Body overwritten/short",""))="","OK",_xludf.TEXTJOIN(" | ",TRUE,IF($B286="","Missing Title",""),IF($C286="","Missing Date",""),IF($D286="","Missing Start",""),IF($E286="","Missing End",""),IF($G286="","Missing Required Attendees",""),IF($T286="","Missing Status",""),IF(AND($D286&lt;&gt;"",$E286&lt;&gt;"",$D286&gt;=$E286),"Start&gt;=End",""),IF(OR($R286="",LEN($R286)&lt;60,ISNUMBER(MATCH(TRIM($R286),StatusList,0))),"Body overwritten/short",""))))</f>
        <v/>
      </c>
    </row>
    <row r="287" ht="12.75" customHeight="1">
      <c r="B287" s="25" t="n"/>
      <c r="C287" s="80" t="n"/>
      <c r="D287" s="77" t="n"/>
      <c r="E287" s="77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16">
        <f>IF($L287&lt;&gt;"","Purpose "&amp;CHAR(10)&amp;$L287&amp;CHAR(10)&amp;CHAR(10),"")&amp;
IF($M287&lt;&gt;"","Stops (in order) "&amp;CHAR(10)&amp;$M287&amp;CHAR(10)&amp;CHAR(10),"")&amp;
IF($N287&lt;&gt;"","To-Do (hard requirements) "&amp;CHAR(10)&amp;$N287&amp;CHAR(10)&amp;CHAR(10),"")&amp;
IF($O287&lt;&gt;"","Suggested Timeline "&amp;CHAR(10)&amp;$O287&amp;CHAR(10)&amp;CHAR(10),"")&amp;
IF($P287&lt;&gt;"","Guardrails "&amp;CHAR(10)&amp;$P287&amp;CHAR(10)&amp;CHAR(10),"")&amp;
IF($Q287&lt;&gt;"","Completion signals "&amp;CHAR(10)&amp;$Q287,"")</f>
        <v/>
      </c>
      <c r="S287" s="25" t="n"/>
      <c r="T287" s="25" t="n"/>
      <c r="U287" s="54" t="n"/>
      <c r="V287" s="54">
        <f>IF($B287="","",IF(_xludf.TEXTJOIN(" | ",TRUE,IF($B287="","Missing Title",""),IF($C287="","Missing Date",""),IF($D287="","Missing Start",""),IF($E287="","Missing End",""),IF($G287="","Missing Required Attendees",""),IF($T287="","Missing Status",""),IF(AND($D287&lt;&gt;"",$E287&lt;&gt;"",$D287&gt;=$E287),"Start&gt;=End",""),IF(OR($R287="",LEN($R287)&lt;60,ISNUMBER(MATCH(TRIM($R287),StatusList,0))),"Body overwritten/short",""))="","OK",_xludf.TEXTJOIN(" | ",TRUE,IF($B287="","Missing Title",""),IF($C287="","Missing Date",""),IF($D287="","Missing Start",""),IF($E287="","Missing End",""),IF($G287="","Missing Required Attendees",""),IF($T287="","Missing Status",""),IF(AND($D287&lt;&gt;"",$E287&lt;&gt;"",$D287&gt;=$E287),"Start&gt;=End",""),IF(OR($R287="",LEN($R287)&lt;60,ISNUMBER(MATCH(TRIM($R287),StatusList,0))),"Body overwritten/short",""))))</f>
        <v/>
      </c>
    </row>
    <row r="288" ht="12.75" customHeight="1">
      <c r="B288" s="25" t="n"/>
      <c r="C288" s="80" t="n"/>
      <c r="D288" s="77" t="n"/>
      <c r="E288" s="77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16">
        <f>IF($L288&lt;&gt;"","Purpose "&amp;CHAR(10)&amp;$L288&amp;CHAR(10)&amp;CHAR(10),"")&amp;
IF($M288&lt;&gt;"","Stops (in order) "&amp;CHAR(10)&amp;$M288&amp;CHAR(10)&amp;CHAR(10),"")&amp;
IF($N288&lt;&gt;"","To-Do (hard requirements) "&amp;CHAR(10)&amp;$N288&amp;CHAR(10)&amp;CHAR(10),"")&amp;
IF($O288&lt;&gt;"","Suggested Timeline "&amp;CHAR(10)&amp;$O288&amp;CHAR(10)&amp;CHAR(10),"")&amp;
IF($P288&lt;&gt;"","Guardrails "&amp;CHAR(10)&amp;$P288&amp;CHAR(10)&amp;CHAR(10),"")&amp;
IF($Q288&lt;&gt;"","Completion signals "&amp;CHAR(10)&amp;$Q288,"")</f>
        <v/>
      </c>
      <c r="S288" s="25" t="n"/>
      <c r="T288" s="25" t="n"/>
      <c r="U288" s="54" t="n"/>
      <c r="V288" s="54">
        <f>IF($B288="","",IF(_xludf.TEXTJOIN(" | ",TRUE,IF($B288="","Missing Title",""),IF($C288="","Missing Date",""),IF($D288="","Missing Start",""),IF($E288="","Missing End",""),IF($G288="","Missing Required Attendees",""),IF($T288="","Missing Status",""),IF(AND($D288&lt;&gt;"",$E288&lt;&gt;"",$D288&gt;=$E288),"Start&gt;=End",""),IF(OR($R288="",LEN($R288)&lt;60,ISNUMBER(MATCH(TRIM($R288),StatusList,0))),"Body overwritten/short",""))="","OK",_xludf.TEXTJOIN(" | ",TRUE,IF($B288="","Missing Title",""),IF($C288="","Missing Date",""),IF($D288="","Missing Start",""),IF($E288="","Missing End",""),IF($G288="","Missing Required Attendees",""),IF($T288="","Missing Status",""),IF(AND($D288&lt;&gt;"",$E288&lt;&gt;"",$D288&gt;=$E288),"Start&gt;=End",""),IF(OR($R288="",LEN($R288)&lt;60,ISNUMBER(MATCH(TRIM($R288),StatusList,0))),"Body overwritten/short",""))))</f>
        <v/>
      </c>
    </row>
    <row r="289" ht="12.75" customHeight="1">
      <c r="B289" s="25" t="n"/>
      <c r="C289" s="80" t="n"/>
      <c r="D289" s="77" t="n"/>
      <c r="E289" s="77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16">
        <f>IF($L289&lt;&gt;"","Purpose "&amp;CHAR(10)&amp;$L289&amp;CHAR(10)&amp;CHAR(10),"")&amp;
IF($M289&lt;&gt;"","Stops (in order) "&amp;CHAR(10)&amp;$M289&amp;CHAR(10)&amp;CHAR(10),"")&amp;
IF($N289&lt;&gt;"","To-Do (hard requirements) "&amp;CHAR(10)&amp;$N289&amp;CHAR(10)&amp;CHAR(10),"")&amp;
IF($O289&lt;&gt;"","Suggested Timeline "&amp;CHAR(10)&amp;$O289&amp;CHAR(10)&amp;CHAR(10),"")&amp;
IF($P289&lt;&gt;"","Guardrails "&amp;CHAR(10)&amp;$P289&amp;CHAR(10)&amp;CHAR(10),"")&amp;
IF($Q289&lt;&gt;"","Completion signals "&amp;CHAR(10)&amp;$Q289,"")</f>
        <v/>
      </c>
      <c r="S289" s="25" t="n"/>
      <c r="T289" s="25" t="n"/>
      <c r="U289" s="54" t="n"/>
      <c r="V289" s="54">
        <f>IF($B289="","",IF(_xludf.TEXTJOIN(" | ",TRUE,IF($B289="","Missing Title",""),IF($C289="","Missing Date",""),IF($D289="","Missing Start",""),IF($E289="","Missing End",""),IF($G289="","Missing Required Attendees",""),IF($T289="","Missing Status",""),IF(AND($D289&lt;&gt;"",$E289&lt;&gt;"",$D289&gt;=$E289),"Start&gt;=End",""),IF(OR($R289="",LEN($R289)&lt;60,ISNUMBER(MATCH(TRIM($R289),StatusList,0))),"Body overwritten/short",""))="","OK",_xludf.TEXTJOIN(" | ",TRUE,IF($B289="","Missing Title",""),IF($C289="","Missing Date",""),IF($D289="","Missing Start",""),IF($E289="","Missing End",""),IF($G289="","Missing Required Attendees",""),IF($T289="","Missing Status",""),IF(AND($D289&lt;&gt;"",$E289&lt;&gt;"",$D289&gt;=$E289),"Start&gt;=End",""),IF(OR($R289="",LEN($R289)&lt;60,ISNUMBER(MATCH(TRIM($R289),StatusList,0))),"Body overwritten/short",""))))</f>
        <v/>
      </c>
    </row>
    <row r="290" ht="12.75" customHeight="1">
      <c r="B290" s="25" t="n"/>
      <c r="C290" s="80" t="n"/>
      <c r="D290" s="77" t="n"/>
      <c r="E290" s="77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16">
        <f>IF($L290&lt;&gt;"","Purpose "&amp;CHAR(10)&amp;$L290&amp;CHAR(10)&amp;CHAR(10),"")&amp;
IF($M290&lt;&gt;"","Stops (in order) "&amp;CHAR(10)&amp;$M290&amp;CHAR(10)&amp;CHAR(10),"")&amp;
IF($N290&lt;&gt;"","To-Do (hard requirements) "&amp;CHAR(10)&amp;$N290&amp;CHAR(10)&amp;CHAR(10),"")&amp;
IF($O290&lt;&gt;"","Suggested Timeline "&amp;CHAR(10)&amp;$O290&amp;CHAR(10)&amp;CHAR(10),"")&amp;
IF($P290&lt;&gt;"","Guardrails "&amp;CHAR(10)&amp;$P290&amp;CHAR(10)&amp;CHAR(10),"")&amp;
IF($Q290&lt;&gt;"","Completion signals "&amp;CHAR(10)&amp;$Q290,"")</f>
        <v/>
      </c>
      <c r="S290" s="25" t="n"/>
      <c r="T290" s="25" t="n"/>
      <c r="U290" s="54" t="n"/>
      <c r="V290" s="54">
        <f>IF($B290="","",IF(_xludf.TEXTJOIN(" | ",TRUE,IF($B290="","Missing Title",""),IF($C290="","Missing Date",""),IF($D290="","Missing Start",""),IF($E290="","Missing End",""),IF($G290="","Missing Required Attendees",""),IF($T290="","Missing Status",""),IF(AND($D290&lt;&gt;"",$E290&lt;&gt;"",$D290&gt;=$E290),"Start&gt;=End",""),IF(OR($R290="",LEN($R290)&lt;60,ISNUMBER(MATCH(TRIM($R290),StatusList,0))),"Body overwritten/short",""))="","OK",_xludf.TEXTJOIN(" | ",TRUE,IF($B290="","Missing Title",""),IF($C290="","Missing Date",""),IF($D290="","Missing Start",""),IF($E290="","Missing End",""),IF($G290="","Missing Required Attendees",""),IF($T290="","Missing Status",""),IF(AND($D290&lt;&gt;"",$E290&lt;&gt;"",$D290&gt;=$E290),"Start&gt;=End",""),IF(OR($R290="",LEN($R290)&lt;60,ISNUMBER(MATCH(TRIM($R290),StatusList,0))),"Body overwritten/short",""))))</f>
        <v/>
      </c>
    </row>
    <row r="291" ht="12.75" customHeight="1">
      <c r="B291" s="25" t="n"/>
      <c r="C291" s="80" t="n"/>
      <c r="D291" s="77" t="n"/>
      <c r="E291" s="77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16">
        <f>IF($L291&lt;&gt;"","Purpose "&amp;CHAR(10)&amp;$L291&amp;CHAR(10)&amp;CHAR(10),"")&amp;
IF($M291&lt;&gt;"","Stops (in order) "&amp;CHAR(10)&amp;$M291&amp;CHAR(10)&amp;CHAR(10),"")&amp;
IF($N291&lt;&gt;"","To-Do (hard requirements) "&amp;CHAR(10)&amp;$N291&amp;CHAR(10)&amp;CHAR(10),"")&amp;
IF($O291&lt;&gt;"","Suggested Timeline "&amp;CHAR(10)&amp;$O291&amp;CHAR(10)&amp;CHAR(10),"")&amp;
IF($P291&lt;&gt;"","Guardrails "&amp;CHAR(10)&amp;$P291&amp;CHAR(10)&amp;CHAR(10),"")&amp;
IF($Q291&lt;&gt;"","Completion signals "&amp;CHAR(10)&amp;$Q291,"")</f>
        <v/>
      </c>
      <c r="S291" s="25" t="n"/>
      <c r="T291" s="25" t="n"/>
      <c r="U291" s="54" t="n"/>
      <c r="V291" s="54">
        <f>IF($B291="","",IF(_xludf.TEXTJOIN(" | ",TRUE,IF($B291="","Missing Title",""),IF($C291="","Missing Date",""),IF($D291="","Missing Start",""),IF($E291="","Missing End",""),IF($G291="","Missing Required Attendees",""),IF($T291="","Missing Status",""),IF(AND($D291&lt;&gt;"",$E291&lt;&gt;"",$D291&gt;=$E291),"Start&gt;=End",""),IF(OR($R291="",LEN($R291)&lt;60,ISNUMBER(MATCH(TRIM($R291),StatusList,0))),"Body overwritten/short",""))="","OK",_xludf.TEXTJOIN(" | ",TRUE,IF($B291="","Missing Title",""),IF($C291="","Missing Date",""),IF($D291="","Missing Start",""),IF($E291="","Missing End",""),IF($G291="","Missing Required Attendees",""),IF($T291="","Missing Status",""),IF(AND($D291&lt;&gt;"",$E291&lt;&gt;"",$D291&gt;=$E291),"Start&gt;=End",""),IF(OR($R291="",LEN($R291)&lt;60,ISNUMBER(MATCH(TRIM($R291),StatusList,0))),"Body overwritten/short",""))))</f>
        <v/>
      </c>
    </row>
    <row r="292" ht="12.75" customHeight="1">
      <c r="B292" s="25" t="n"/>
      <c r="C292" s="80" t="n"/>
      <c r="D292" s="77" t="n"/>
      <c r="E292" s="77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16">
        <f>IF($L292&lt;&gt;"","Purpose "&amp;CHAR(10)&amp;$L292&amp;CHAR(10)&amp;CHAR(10),"")&amp;
IF($M292&lt;&gt;"","Stops (in order) "&amp;CHAR(10)&amp;$M292&amp;CHAR(10)&amp;CHAR(10),"")&amp;
IF($N292&lt;&gt;"","To-Do (hard requirements) "&amp;CHAR(10)&amp;$N292&amp;CHAR(10)&amp;CHAR(10),"")&amp;
IF($O292&lt;&gt;"","Suggested Timeline "&amp;CHAR(10)&amp;$O292&amp;CHAR(10)&amp;CHAR(10),"")&amp;
IF($P292&lt;&gt;"","Guardrails "&amp;CHAR(10)&amp;$P292&amp;CHAR(10)&amp;CHAR(10),"")&amp;
IF($Q292&lt;&gt;"","Completion signals "&amp;CHAR(10)&amp;$Q292,"")</f>
        <v/>
      </c>
      <c r="S292" s="25" t="n"/>
      <c r="T292" s="25" t="n"/>
      <c r="U292" s="54" t="n"/>
      <c r="V292" s="54">
        <f>IF($B292="","",IF(_xludf.TEXTJOIN(" | ",TRUE,IF($B292="","Missing Title",""),IF($C292="","Missing Date",""),IF($D292="","Missing Start",""),IF($E292="","Missing End",""),IF($G292="","Missing Required Attendees",""),IF($T292="","Missing Status",""),IF(AND($D292&lt;&gt;"",$E292&lt;&gt;"",$D292&gt;=$E292),"Start&gt;=End",""),IF(OR($R292="",LEN($R292)&lt;60,ISNUMBER(MATCH(TRIM($R292),StatusList,0))),"Body overwritten/short",""))="","OK",_xludf.TEXTJOIN(" | ",TRUE,IF($B292="","Missing Title",""),IF($C292="","Missing Date",""),IF($D292="","Missing Start",""),IF($E292="","Missing End",""),IF($G292="","Missing Required Attendees",""),IF($T292="","Missing Status",""),IF(AND($D292&lt;&gt;"",$E292&lt;&gt;"",$D292&gt;=$E292),"Start&gt;=End",""),IF(OR($R292="",LEN($R292)&lt;60,ISNUMBER(MATCH(TRIM($R292),StatusList,0))),"Body overwritten/short",""))))</f>
        <v/>
      </c>
    </row>
    <row r="293" ht="12.75" customHeight="1">
      <c r="B293" s="25" t="n"/>
      <c r="C293" s="80" t="n"/>
      <c r="D293" s="77" t="n"/>
      <c r="E293" s="77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16">
        <f>IF($L293&lt;&gt;"","Purpose "&amp;CHAR(10)&amp;$L293&amp;CHAR(10)&amp;CHAR(10),"")&amp;
IF($M293&lt;&gt;"","Stops (in order) "&amp;CHAR(10)&amp;$M293&amp;CHAR(10)&amp;CHAR(10),"")&amp;
IF($N293&lt;&gt;"","To-Do (hard requirements) "&amp;CHAR(10)&amp;$N293&amp;CHAR(10)&amp;CHAR(10),"")&amp;
IF($O293&lt;&gt;"","Suggested Timeline "&amp;CHAR(10)&amp;$O293&amp;CHAR(10)&amp;CHAR(10),"")&amp;
IF($P293&lt;&gt;"","Guardrails "&amp;CHAR(10)&amp;$P293&amp;CHAR(10)&amp;CHAR(10),"")&amp;
IF($Q293&lt;&gt;"","Completion signals "&amp;CHAR(10)&amp;$Q293,"")</f>
        <v/>
      </c>
      <c r="S293" s="25" t="n"/>
      <c r="T293" s="25" t="n"/>
      <c r="U293" s="54" t="n"/>
      <c r="V293" s="54">
        <f>IF($B293="","",IF(_xludf.TEXTJOIN(" | ",TRUE,IF($B293="","Missing Title",""),IF($C293="","Missing Date",""),IF($D293="","Missing Start",""),IF($E293="","Missing End",""),IF($G293="","Missing Required Attendees",""),IF($T293="","Missing Status",""),IF(AND($D293&lt;&gt;"",$E293&lt;&gt;"",$D293&gt;=$E293),"Start&gt;=End",""),IF(OR($R293="",LEN($R293)&lt;60,ISNUMBER(MATCH(TRIM($R293),StatusList,0))),"Body overwritten/short",""))="","OK",_xludf.TEXTJOIN(" | ",TRUE,IF($B293="","Missing Title",""),IF($C293="","Missing Date",""),IF($D293="","Missing Start",""),IF($E293="","Missing End",""),IF($G293="","Missing Required Attendees",""),IF($T293="","Missing Status",""),IF(AND($D293&lt;&gt;"",$E293&lt;&gt;"",$D293&gt;=$E293),"Start&gt;=End",""),IF(OR($R293="",LEN($R293)&lt;60,ISNUMBER(MATCH(TRIM($R293),StatusList,0))),"Body overwritten/short",""))))</f>
        <v/>
      </c>
    </row>
    <row r="294" ht="12.75" customHeight="1">
      <c r="B294" s="25" t="n"/>
      <c r="C294" s="80" t="n"/>
      <c r="D294" s="77" t="n"/>
      <c r="E294" s="77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16">
        <f>IF($L294&lt;&gt;"","Purpose "&amp;CHAR(10)&amp;$L294&amp;CHAR(10)&amp;CHAR(10),"")&amp;
IF($M294&lt;&gt;"","Stops (in order) "&amp;CHAR(10)&amp;$M294&amp;CHAR(10)&amp;CHAR(10),"")&amp;
IF($N294&lt;&gt;"","To-Do (hard requirements) "&amp;CHAR(10)&amp;$N294&amp;CHAR(10)&amp;CHAR(10),"")&amp;
IF($O294&lt;&gt;"","Suggested Timeline "&amp;CHAR(10)&amp;$O294&amp;CHAR(10)&amp;CHAR(10),"")&amp;
IF($P294&lt;&gt;"","Guardrails "&amp;CHAR(10)&amp;$P294&amp;CHAR(10)&amp;CHAR(10),"")&amp;
IF($Q294&lt;&gt;"","Completion signals "&amp;CHAR(10)&amp;$Q294,"")</f>
        <v/>
      </c>
      <c r="S294" s="25" t="n"/>
      <c r="T294" s="25" t="n"/>
      <c r="U294" s="54" t="n"/>
      <c r="V294" s="54">
        <f>IF($B294="","",IF(_xludf.TEXTJOIN(" | ",TRUE,IF($B294="","Missing Title",""),IF($C294="","Missing Date",""),IF($D294="","Missing Start",""),IF($E294="","Missing End",""),IF($G294="","Missing Required Attendees",""),IF($T294="","Missing Status",""),IF(AND($D294&lt;&gt;"",$E294&lt;&gt;"",$D294&gt;=$E294),"Start&gt;=End",""),IF(OR($R294="",LEN($R294)&lt;60,ISNUMBER(MATCH(TRIM($R294),StatusList,0))),"Body overwritten/short",""))="","OK",_xludf.TEXTJOIN(" | ",TRUE,IF($B294="","Missing Title",""),IF($C294="","Missing Date",""),IF($D294="","Missing Start",""),IF($E294="","Missing End",""),IF($G294="","Missing Required Attendees",""),IF($T294="","Missing Status",""),IF(AND($D294&lt;&gt;"",$E294&lt;&gt;"",$D294&gt;=$E294),"Start&gt;=End",""),IF(OR($R294="",LEN($R294)&lt;60,ISNUMBER(MATCH(TRIM($R294),StatusList,0))),"Body overwritten/short",""))))</f>
        <v/>
      </c>
    </row>
    <row r="295" ht="12.75" customHeight="1">
      <c r="B295" s="25" t="n"/>
      <c r="C295" s="80" t="n"/>
      <c r="D295" s="77" t="n"/>
      <c r="E295" s="77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16">
        <f>IF($L295&lt;&gt;"","Purpose "&amp;CHAR(10)&amp;$L295&amp;CHAR(10)&amp;CHAR(10),"")&amp;
IF($M295&lt;&gt;"","Stops (in order) "&amp;CHAR(10)&amp;$M295&amp;CHAR(10)&amp;CHAR(10),"")&amp;
IF($N295&lt;&gt;"","To-Do (hard requirements) "&amp;CHAR(10)&amp;$N295&amp;CHAR(10)&amp;CHAR(10),"")&amp;
IF($O295&lt;&gt;"","Suggested Timeline "&amp;CHAR(10)&amp;$O295&amp;CHAR(10)&amp;CHAR(10),"")&amp;
IF($P295&lt;&gt;"","Guardrails "&amp;CHAR(10)&amp;$P295&amp;CHAR(10)&amp;CHAR(10),"")&amp;
IF($Q295&lt;&gt;"","Completion signals "&amp;CHAR(10)&amp;$Q295,"")</f>
        <v/>
      </c>
      <c r="S295" s="25" t="n"/>
      <c r="T295" s="25" t="n"/>
      <c r="U295" s="54" t="n"/>
      <c r="V295" s="54">
        <f>IF($B295="","",IF(_xludf.TEXTJOIN(" | ",TRUE,IF($B295="","Missing Title",""),IF($C295="","Missing Date",""),IF($D295="","Missing Start",""),IF($E295="","Missing End",""),IF($G295="","Missing Required Attendees",""),IF($T295="","Missing Status",""),IF(AND($D295&lt;&gt;"",$E295&lt;&gt;"",$D295&gt;=$E295),"Start&gt;=End",""),IF(OR($R295="",LEN($R295)&lt;60,ISNUMBER(MATCH(TRIM($R295),StatusList,0))),"Body overwritten/short",""))="","OK",_xludf.TEXTJOIN(" | ",TRUE,IF($B295="","Missing Title",""),IF($C295="","Missing Date",""),IF($D295="","Missing Start",""),IF($E295="","Missing End",""),IF($G295="","Missing Required Attendees",""),IF($T295="","Missing Status",""),IF(AND($D295&lt;&gt;"",$E295&lt;&gt;"",$D295&gt;=$E295),"Start&gt;=End",""),IF(OR($R295="",LEN($R295)&lt;60,ISNUMBER(MATCH(TRIM($R295),StatusList,0))),"Body overwritten/short",""))))</f>
        <v/>
      </c>
    </row>
    <row r="296" ht="12.75" customHeight="1">
      <c r="B296" s="25" t="n"/>
      <c r="C296" s="80" t="n"/>
      <c r="D296" s="77" t="n"/>
      <c r="E296" s="77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16">
        <f>IF($L296&lt;&gt;"","Purpose "&amp;CHAR(10)&amp;$L296&amp;CHAR(10)&amp;CHAR(10),"")&amp;
IF($M296&lt;&gt;"","Stops (in order) "&amp;CHAR(10)&amp;$M296&amp;CHAR(10)&amp;CHAR(10),"")&amp;
IF($N296&lt;&gt;"","To-Do (hard requirements) "&amp;CHAR(10)&amp;$N296&amp;CHAR(10)&amp;CHAR(10),"")&amp;
IF($O296&lt;&gt;"","Suggested Timeline "&amp;CHAR(10)&amp;$O296&amp;CHAR(10)&amp;CHAR(10),"")&amp;
IF($P296&lt;&gt;"","Guardrails "&amp;CHAR(10)&amp;$P296&amp;CHAR(10)&amp;CHAR(10),"")&amp;
IF($Q296&lt;&gt;"","Completion signals "&amp;CHAR(10)&amp;$Q296,"")</f>
        <v/>
      </c>
      <c r="S296" s="25" t="n"/>
      <c r="T296" s="25" t="n"/>
      <c r="U296" s="54" t="n"/>
      <c r="V296" s="54">
        <f>IF($B296="","",IF(_xludf.TEXTJOIN(" | ",TRUE,IF($B296="","Missing Title",""),IF($C296="","Missing Date",""),IF($D296="","Missing Start",""),IF($E296="","Missing End",""),IF($G296="","Missing Required Attendees",""),IF($T296="","Missing Status",""),IF(AND($D296&lt;&gt;"",$E296&lt;&gt;"",$D296&gt;=$E296),"Start&gt;=End",""),IF(OR($R296="",LEN($R296)&lt;60,ISNUMBER(MATCH(TRIM($R296),StatusList,0))),"Body overwritten/short",""))="","OK",_xludf.TEXTJOIN(" | ",TRUE,IF($B296="","Missing Title",""),IF($C296="","Missing Date",""),IF($D296="","Missing Start",""),IF($E296="","Missing End",""),IF($G296="","Missing Required Attendees",""),IF($T296="","Missing Status",""),IF(AND($D296&lt;&gt;"",$E296&lt;&gt;"",$D296&gt;=$E296),"Start&gt;=End",""),IF(OR($R296="",LEN($R296)&lt;60,ISNUMBER(MATCH(TRIM($R296),StatusList,0))),"Body overwritten/short",""))))</f>
        <v/>
      </c>
    </row>
    <row r="297" ht="12.75" customHeight="1">
      <c r="B297" s="25" t="n"/>
      <c r="C297" s="80" t="n"/>
      <c r="D297" s="77" t="n"/>
      <c r="E297" s="77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16">
        <f>IF($L297&lt;&gt;"","Purpose "&amp;CHAR(10)&amp;$L297&amp;CHAR(10)&amp;CHAR(10),"")&amp;
IF($M297&lt;&gt;"","Stops (in order) "&amp;CHAR(10)&amp;$M297&amp;CHAR(10)&amp;CHAR(10),"")&amp;
IF($N297&lt;&gt;"","To-Do (hard requirements) "&amp;CHAR(10)&amp;$N297&amp;CHAR(10)&amp;CHAR(10),"")&amp;
IF($O297&lt;&gt;"","Suggested Timeline "&amp;CHAR(10)&amp;$O297&amp;CHAR(10)&amp;CHAR(10),"")&amp;
IF($P297&lt;&gt;"","Guardrails "&amp;CHAR(10)&amp;$P297&amp;CHAR(10)&amp;CHAR(10),"")&amp;
IF($Q297&lt;&gt;"","Completion signals "&amp;CHAR(10)&amp;$Q297,"")</f>
        <v/>
      </c>
      <c r="S297" s="25" t="n"/>
      <c r="T297" s="25" t="n"/>
      <c r="U297" s="54" t="n"/>
      <c r="V297" s="54">
        <f>IF($B297="","",IF(_xludf.TEXTJOIN(" | ",TRUE,IF($B297="","Missing Title",""),IF($C297="","Missing Date",""),IF($D297="","Missing Start",""),IF($E297="","Missing End",""),IF($G297="","Missing Required Attendees",""),IF($T297="","Missing Status",""),IF(AND($D297&lt;&gt;"",$E297&lt;&gt;"",$D297&gt;=$E297),"Start&gt;=End",""),IF(OR($R297="",LEN($R297)&lt;60,ISNUMBER(MATCH(TRIM($R297),StatusList,0))),"Body overwritten/short",""))="","OK",_xludf.TEXTJOIN(" | ",TRUE,IF($B297="","Missing Title",""),IF($C297="","Missing Date",""),IF($D297="","Missing Start",""),IF($E297="","Missing End",""),IF($G297="","Missing Required Attendees",""),IF($T297="","Missing Status",""),IF(AND($D297&lt;&gt;"",$E297&lt;&gt;"",$D297&gt;=$E297),"Start&gt;=End",""),IF(OR($R297="",LEN($R297)&lt;60,ISNUMBER(MATCH(TRIM($R297),StatusList,0))),"Body overwritten/short",""))))</f>
        <v/>
      </c>
    </row>
    <row r="298" ht="12.75" customHeight="1">
      <c r="B298" s="25" t="n"/>
      <c r="C298" s="80" t="n"/>
      <c r="D298" s="77" t="n"/>
      <c r="E298" s="77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16">
        <f>IF($L298&lt;&gt;"","Purpose "&amp;CHAR(10)&amp;$L298&amp;CHAR(10)&amp;CHAR(10),"")&amp;
IF($M298&lt;&gt;"","Stops (in order) "&amp;CHAR(10)&amp;$M298&amp;CHAR(10)&amp;CHAR(10),"")&amp;
IF($N298&lt;&gt;"","To-Do (hard requirements) "&amp;CHAR(10)&amp;$N298&amp;CHAR(10)&amp;CHAR(10),"")&amp;
IF($O298&lt;&gt;"","Suggested Timeline "&amp;CHAR(10)&amp;$O298&amp;CHAR(10)&amp;CHAR(10),"")&amp;
IF($P298&lt;&gt;"","Guardrails "&amp;CHAR(10)&amp;$P298&amp;CHAR(10)&amp;CHAR(10),"")&amp;
IF($Q298&lt;&gt;"","Completion signals "&amp;CHAR(10)&amp;$Q298,"")</f>
        <v/>
      </c>
      <c r="S298" s="25" t="n"/>
      <c r="T298" s="25" t="n"/>
      <c r="U298" s="54" t="n"/>
      <c r="V298" s="54">
        <f>IF($B298="","",IF(_xludf.TEXTJOIN(" | ",TRUE,IF($B298="","Missing Title",""),IF($C298="","Missing Date",""),IF($D298="","Missing Start",""),IF($E298="","Missing End",""),IF($G298="","Missing Required Attendees",""),IF($T298="","Missing Status",""),IF(AND($D298&lt;&gt;"",$E298&lt;&gt;"",$D298&gt;=$E298),"Start&gt;=End",""),IF(OR($R298="",LEN($R298)&lt;60,ISNUMBER(MATCH(TRIM($R298),StatusList,0))),"Body overwritten/short",""))="","OK",_xludf.TEXTJOIN(" | ",TRUE,IF($B298="","Missing Title",""),IF($C298="","Missing Date",""),IF($D298="","Missing Start",""),IF($E298="","Missing End",""),IF($G298="","Missing Required Attendees",""),IF($T298="","Missing Status",""),IF(AND($D298&lt;&gt;"",$E298&lt;&gt;"",$D298&gt;=$E298),"Start&gt;=End",""),IF(OR($R298="",LEN($R298)&lt;60,ISNUMBER(MATCH(TRIM($R298),StatusList,0))),"Body overwritten/short",""))))</f>
        <v/>
      </c>
    </row>
    <row r="299" ht="12.75" customHeight="1">
      <c r="B299" s="25" t="n"/>
      <c r="C299" s="80" t="n"/>
      <c r="D299" s="77" t="n"/>
      <c r="E299" s="77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16">
        <f>IF($L299&lt;&gt;"","Purpose "&amp;CHAR(10)&amp;$L299&amp;CHAR(10)&amp;CHAR(10),"")&amp;
IF($M299&lt;&gt;"","Stops (in order) "&amp;CHAR(10)&amp;$M299&amp;CHAR(10)&amp;CHAR(10),"")&amp;
IF($N299&lt;&gt;"","To-Do (hard requirements) "&amp;CHAR(10)&amp;$N299&amp;CHAR(10)&amp;CHAR(10),"")&amp;
IF($O299&lt;&gt;"","Suggested Timeline "&amp;CHAR(10)&amp;$O299&amp;CHAR(10)&amp;CHAR(10),"")&amp;
IF($P299&lt;&gt;"","Guardrails "&amp;CHAR(10)&amp;$P299&amp;CHAR(10)&amp;CHAR(10),"")&amp;
IF($Q299&lt;&gt;"","Completion signals "&amp;CHAR(10)&amp;$Q299,"")</f>
        <v/>
      </c>
      <c r="S299" s="25" t="n"/>
      <c r="T299" s="25" t="n"/>
      <c r="U299" s="54" t="n"/>
      <c r="V299" s="54">
        <f>IF($B299="","",IF(_xludf.TEXTJOIN(" | ",TRUE,IF($B299="","Missing Title",""),IF($C299="","Missing Date",""),IF($D299="","Missing Start",""),IF($E299="","Missing End",""),IF($G299="","Missing Required Attendees",""),IF($T299="","Missing Status",""),IF(AND($D299&lt;&gt;"",$E299&lt;&gt;"",$D299&gt;=$E299),"Start&gt;=End",""),IF(OR($R299="",LEN($R299)&lt;60,ISNUMBER(MATCH(TRIM($R299),StatusList,0))),"Body overwritten/short",""))="","OK",_xludf.TEXTJOIN(" | ",TRUE,IF($B299="","Missing Title",""),IF($C299="","Missing Date",""),IF($D299="","Missing Start",""),IF($E299="","Missing End",""),IF($G299="","Missing Required Attendees",""),IF($T299="","Missing Status",""),IF(AND($D299&lt;&gt;"",$E299&lt;&gt;"",$D299&gt;=$E299),"Start&gt;=End",""),IF(OR($R299="",LEN($R299)&lt;60,ISNUMBER(MATCH(TRIM($R299),StatusList,0))),"Body overwritten/short",""))))</f>
        <v/>
      </c>
    </row>
    <row r="300" ht="12.75" customHeight="1">
      <c r="B300" s="25" t="n"/>
      <c r="C300" s="80" t="n"/>
      <c r="D300" s="77" t="n"/>
      <c r="E300" s="77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16">
        <f>IF($L300&lt;&gt;"","Purpose "&amp;CHAR(10)&amp;$L300&amp;CHAR(10)&amp;CHAR(10),"")&amp;
IF($M300&lt;&gt;"","Stops (in order) "&amp;CHAR(10)&amp;$M300&amp;CHAR(10)&amp;CHAR(10),"")&amp;
IF($N300&lt;&gt;"","To-Do (hard requirements) "&amp;CHAR(10)&amp;$N300&amp;CHAR(10)&amp;CHAR(10),"")&amp;
IF($O300&lt;&gt;"","Suggested Timeline "&amp;CHAR(10)&amp;$O300&amp;CHAR(10)&amp;CHAR(10),"")&amp;
IF($P300&lt;&gt;"","Guardrails "&amp;CHAR(10)&amp;$P300&amp;CHAR(10)&amp;CHAR(10),"")&amp;
IF($Q300&lt;&gt;"","Completion signals "&amp;CHAR(10)&amp;$Q300,"")</f>
        <v/>
      </c>
      <c r="S300" s="25" t="n"/>
      <c r="T300" s="25" t="n"/>
      <c r="U300" s="54" t="n"/>
      <c r="V300" s="54">
        <f>IF($B300="","",IF(_xludf.TEXTJOIN(" | ",TRUE,IF($B300="","Missing Title",""),IF($C300="","Missing Date",""),IF($D300="","Missing Start",""),IF($E300="","Missing End",""),IF($G300="","Missing Required Attendees",""),IF($T300="","Missing Status",""),IF(AND($D300&lt;&gt;"",$E300&lt;&gt;"",$D300&gt;=$E300),"Start&gt;=End",""),IF(OR($R300="",LEN($R300)&lt;60,ISNUMBER(MATCH(TRIM($R300),StatusList,0))),"Body overwritten/short",""))="","OK",_xludf.TEXTJOIN(" | ",TRUE,IF($B300="","Missing Title",""),IF($C300="","Missing Date",""),IF($D300="","Missing Start",""),IF($E300="","Missing End",""),IF($G300="","Missing Required Attendees",""),IF($T300="","Missing Status",""),IF(AND($D300&lt;&gt;"",$E300&lt;&gt;"",$D300&gt;=$E300),"Start&gt;=End",""),IF(OR($R300="",LEN($R300)&lt;60,ISNUMBER(MATCH(TRIM($R300),StatusList,0))),"Body overwritten/short",""))))</f>
        <v/>
      </c>
    </row>
    <row r="301" ht="12.75" customHeight="1">
      <c r="B301" s="25" t="n"/>
      <c r="C301" s="80" t="n"/>
      <c r="D301" s="77" t="n"/>
      <c r="E301" s="77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16">
        <f>IF($L301&lt;&gt;"","Purpose "&amp;CHAR(10)&amp;$L301&amp;CHAR(10)&amp;CHAR(10),"")&amp;
IF($M301&lt;&gt;"","Stops (in order) "&amp;CHAR(10)&amp;$M301&amp;CHAR(10)&amp;CHAR(10),"")&amp;
IF($N301&lt;&gt;"","To-Do (hard requirements) "&amp;CHAR(10)&amp;$N301&amp;CHAR(10)&amp;CHAR(10),"")&amp;
IF($O301&lt;&gt;"","Suggested Timeline "&amp;CHAR(10)&amp;$O301&amp;CHAR(10)&amp;CHAR(10),"")&amp;
IF($P301&lt;&gt;"","Guardrails "&amp;CHAR(10)&amp;$P301&amp;CHAR(10)&amp;CHAR(10),"")&amp;
IF($Q301&lt;&gt;"","Completion signals "&amp;CHAR(10)&amp;$Q301,"")</f>
        <v/>
      </c>
      <c r="S301" s="25" t="n"/>
      <c r="T301" s="25" t="n"/>
      <c r="U301" s="54" t="n"/>
      <c r="V301" s="54">
        <f>IF($B301="","",IF(_xludf.TEXTJOIN(" | ",TRUE,IF($B301="","Missing Title",""),IF($C301="","Missing Date",""),IF($D301="","Missing Start",""),IF($E301="","Missing End",""),IF($G301="","Missing Required Attendees",""),IF($T301="","Missing Status",""),IF(AND($D301&lt;&gt;"",$E301&lt;&gt;"",$D301&gt;=$E301),"Start&gt;=End",""),IF(OR($R301="",LEN($R301)&lt;60,ISNUMBER(MATCH(TRIM($R301),StatusList,0))),"Body overwritten/short",""))="","OK",_xludf.TEXTJOIN(" | ",TRUE,IF($B301="","Missing Title",""),IF($C301="","Missing Date",""),IF($D301="","Missing Start",""),IF($E301="","Missing End",""),IF($G301="","Missing Required Attendees",""),IF($T301="","Missing Status",""),IF(AND($D301&lt;&gt;"",$E301&lt;&gt;"",$D301&gt;=$E301),"Start&gt;=End",""),IF(OR($R301="",LEN($R301)&lt;60,ISNUMBER(MATCH(TRIM($R301),StatusList,0))),"Body overwritten/short",""))))</f>
        <v/>
      </c>
    </row>
    <row r="302" ht="12.75" customHeight="1">
      <c r="B302" s="25" t="n"/>
      <c r="C302" s="80" t="n"/>
      <c r="D302" s="77" t="n"/>
      <c r="E302" s="77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16">
        <f>IF($L302&lt;&gt;"","Purpose "&amp;CHAR(10)&amp;$L302&amp;CHAR(10)&amp;CHAR(10),"")&amp;
IF($M302&lt;&gt;"","Stops (in order) "&amp;CHAR(10)&amp;$M302&amp;CHAR(10)&amp;CHAR(10),"")&amp;
IF($N302&lt;&gt;"","To-Do (hard requirements) "&amp;CHAR(10)&amp;$N302&amp;CHAR(10)&amp;CHAR(10),"")&amp;
IF($O302&lt;&gt;"","Suggested Timeline "&amp;CHAR(10)&amp;$O302&amp;CHAR(10)&amp;CHAR(10),"")&amp;
IF($P302&lt;&gt;"","Guardrails "&amp;CHAR(10)&amp;$P302&amp;CHAR(10)&amp;CHAR(10),"")&amp;
IF($Q302&lt;&gt;"","Completion signals "&amp;CHAR(10)&amp;$Q302,"")</f>
        <v/>
      </c>
      <c r="S302" s="25" t="n"/>
      <c r="T302" s="25" t="n"/>
      <c r="U302" s="54" t="n"/>
      <c r="V302" s="54">
        <f>IF($B302="","",IF(_xludf.TEXTJOIN(" | ",TRUE,IF($B302="","Missing Title",""),IF($C302="","Missing Date",""),IF($D302="","Missing Start",""),IF($E302="","Missing End",""),IF($G302="","Missing Required Attendees",""),IF($T302="","Missing Status",""),IF(AND($D302&lt;&gt;"",$E302&lt;&gt;"",$D302&gt;=$E302),"Start&gt;=End",""),IF(OR($R302="",LEN($R302)&lt;60,ISNUMBER(MATCH(TRIM($R302),StatusList,0))),"Body overwritten/short",""))="","OK",_xludf.TEXTJOIN(" | ",TRUE,IF($B302="","Missing Title",""),IF($C302="","Missing Date",""),IF($D302="","Missing Start",""),IF($E302="","Missing End",""),IF($G302="","Missing Required Attendees",""),IF($T302="","Missing Status",""),IF(AND($D302&lt;&gt;"",$E302&lt;&gt;"",$D302&gt;=$E302),"Start&gt;=End",""),IF(OR($R302="",LEN($R302)&lt;60,ISNUMBER(MATCH(TRIM($R302),StatusList,0))),"Body overwritten/short",""))))</f>
        <v/>
      </c>
    </row>
    <row r="303" ht="12.75" customHeight="1">
      <c r="B303" s="25" t="n"/>
      <c r="C303" s="80" t="n"/>
      <c r="D303" s="77" t="n"/>
      <c r="E303" s="77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16">
        <f>IF($L303&lt;&gt;"","Purpose "&amp;CHAR(10)&amp;$L303&amp;CHAR(10)&amp;CHAR(10),"")&amp;
IF($M303&lt;&gt;"","Stops (in order) "&amp;CHAR(10)&amp;$M303&amp;CHAR(10)&amp;CHAR(10),"")&amp;
IF($N303&lt;&gt;"","To-Do (hard requirements) "&amp;CHAR(10)&amp;$N303&amp;CHAR(10)&amp;CHAR(10),"")&amp;
IF($O303&lt;&gt;"","Suggested Timeline "&amp;CHAR(10)&amp;$O303&amp;CHAR(10)&amp;CHAR(10),"")&amp;
IF($P303&lt;&gt;"","Guardrails "&amp;CHAR(10)&amp;$P303&amp;CHAR(10)&amp;CHAR(10),"")&amp;
IF($Q303&lt;&gt;"","Completion signals "&amp;CHAR(10)&amp;$Q303,"")</f>
        <v/>
      </c>
      <c r="S303" s="25" t="n"/>
      <c r="T303" s="25" t="n"/>
      <c r="U303" s="54" t="n"/>
      <c r="V303" s="54">
        <f>IF($B303="","",IF(_xludf.TEXTJOIN(" | ",TRUE,IF($B303="","Missing Title",""),IF($C303="","Missing Date",""),IF($D303="","Missing Start",""),IF($E303="","Missing End",""),IF($G303="","Missing Required Attendees",""),IF($T303="","Missing Status",""),IF(AND($D303&lt;&gt;"",$E303&lt;&gt;"",$D303&gt;=$E303),"Start&gt;=End",""),IF(OR($R303="",LEN($R303)&lt;60,ISNUMBER(MATCH(TRIM($R303),StatusList,0))),"Body overwritten/short",""))="","OK",_xludf.TEXTJOIN(" | ",TRUE,IF($B303="","Missing Title",""),IF($C303="","Missing Date",""),IF($D303="","Missing Start",""),IF($E303="","Missing End",""),IF($G303="","Missing Required Attendees",""),IF($T303="","Missing Status",""),IF(AND($D303&lt;&gt;"",$E303&lt;&gt;"",$D303&gt;=$E303),"Start&gt;=End",""),IF(OR($R303="",LEN($R303)&lt;60,ISNUMBER(MATCH(TRIM($R303),StatusList,0))),"Body overwritten/short",""))))</f>
        <v/>
      </c>
    </row>
    <row r="304" ht="12.75" customHeight="1">
      <c r="B304" s="25" t="n"/>
      <c r="C304" s="80" t="n"/>
      <c r="D304" s="77" t="n"/>
      <c r="E304" s="77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16">
        <f>IF($L304&lt;&gt;"","Purpose "&amp;CHAR(10)&amp;$L304&amp;CHAR(10)&amp;CHAR(10),"")&amp;
IF($M304&lt;&gt;"","Stops (in order) "&amp;CHAR(10)&amp;$M304&amp;CHAR(10)&amp;CHAR(10),"")&amp;
IF($N304&lt;&gt;"","To-Do (hard requirements) "&amp;CHAR(10)&amp;$N304&amp;CHAR(10)&amp;CHAR(10),"")&amp;
IF($O304&lt;&gt;"","Suggested Timeline "&amp;CHAR(10)&amp;$O304&amp;CHAR(10)&amp;CHAR(10),"")&amp;
IF($P304&lt;&gt;"","Guardrails "&amp;CHAR(10)&amp;$P304&amp;CHAR(10)&amp;CHAR(10),"")&amp;
IF($Q304&lt;&gt;"","Completion signals "&amp;CHAR(10)&amp;$Q304,"")</f>
        <v/>
      </c>
      <c r="S304" s="25" t="n"/>
      <c r="T304" s="25" t="n"/>
      <c r="U304" s="54" t="n"/>
      <c r="V304" s="54">
        <f>IF($B304="","",IF(_xludf.TEXTJOIN(" | ",TRUE,IF($B304="","Missing Title",""),IF($C304="","Missing Date",""),IF($D304="","Missing Start",""),IF($E304="","Missing End",""),IF($G304="","Missing Required Attendees",""),IF($T304="","Missing Status",""),IF(AND($D304&lt;&gt;"",$E304&lt;&gt;"",$D304&gt;=$E304),"Start&gt;=End",""),IF(OR($R304="",LEN($R304)&lt;60,ISNUMBER(MATCH(TRIM($R304),StatusList,0))),"Body overwritten/short",""))="","OK",_xludf.TEXTJOIN(" | ",TRUE,IF($B304="","Missing Title",""),IF($C304="","Missing Date",""),IF($D304="","Missing Start",""),IF($E304="","Missing End",""),IF($G304="","Missing Required Attendees",""),IF($T304="","Missing Status",""),IF(AND($D304&lt;&gt;"",$E304&lt;&gt;"",$D304&gt;=$E304),"Start&gt;=End",""),IF(OR($R304="",LEN($R304)&lt;60,ISNUMBER(MATCH(TRIM($R304),StatusList,0))),"Body overwritten/short",""))))</f>
        <v/>
      </c>
    </row>
    <row r="305" ht="12.75" customHeight="1">
      <c r="B305" s="25" t="n"/>
      <c r="C305" s="80" t="n"/>
      <c r="D305" s="77" t="n"/>
      <c r="E305" s="77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16">
        <f>IF($L305&lt;&gt;"","Purpose "&amp;CHAR(10)&amp;$L305&amp;CHAR(10)&amp;CHAR(10),"")&amp;
IF($M305&lt;&gt;"","Stops (in order) "&amp;CHAR(10)&amp;$M305&amp;CHAR(10)&amp;CHAR(10),"")&amp;
IF($N305&lt;&gt;"","To-Do (hard requirements) "&amp;CHAR(10)&amp;$N305&amp;CHAR(10)&amp;CHAR(10),"")&amp;
IF($O305&lt;&gt;"","Suggested Timeline "&amp;CHAR(10)&amp;$O305&amp;CHAR(10)&amp;CHAR(10),"")&amp;
IF($P305&lt;&gt;"","Guardrails "&amp;CHAR(10)&amp;$P305&amp;CHAR(10)&amp;CHAR(10),"")&amp;
IF($Q305&lt;&gt;"","Completion signals "&amp;CHAR(10)&amp;$Q305,"")</f>
        <v/>
      </c>
      <c r="S305" s="25" t="n"/>
      <c r="T305" s="25" t="n"/>
      <c r="U305" s="54" t="n"/>
      <c r="V305" s="54">
        <f>IF($B305="","",IF(_xludf.TEXTJOIN(" | ",TRUE,IF($B305="","Missing Title",""),IF($C305="","Missing Date",""),IF($D305="","Missing Start",""),IF($E305="","Missing End",""),IF($G305="","Missing Required Attendees",""),IF($T305="","Missing Status",""),IF(AND($D305&lt;&gt;"",$E305&lt;&gt;"",$D305&gt;=$E305),"Start&gt;=End",""),IF(OR($R305="",LEN($R305)&lt;60,ISNUMBER(MATCH(TRIM($R305),StatusList,0))),"Body overwritten/short",""))="","OK",_xludf.TEXTJOIN(" | ",TRUE,IF($B305="","Missing Title",""),IF($C305="","Missing Date",""),IF($D305="","Missing Start",""),IF($E305="","Missing End",""),IF($G305="","Missing Required Attendees",""),IF($T305="","Missing Status",""),IF(AND($D305&lt;&gt;"",$E305&lt;&gt;"",$D305&gt;=$E305),"Start&gt;=End",""),IF(OR($R305="",LEN($R305)&lt;60,ISNUMBER(MATCH(TRIM($R305),StatusList,0))),"Body overwritten/short",""))))</f>
        <v/>
      </c>
    </row>
    <row r="306" ht="12.75" customHeight="1">
      <c r="B306" s="25" t="n"/>
      <c r="C306" s="80" t="n"/>
      <c r="D306" s="77" t="n"/>
      <c r="E306" s="77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16">
        <f>IF($L306&lt;&gt;"","Purpose "&amp;CHAR(10)&amp;$L306&amp;CHAR(10)&amp;CHAR(10),"")&amp;
IF($M306&lt;&gt;"","Stops (in order) "&amp;CHAR(10)&amp;$M306&amp;CHAR(10)&amp;CHAR(10),"")&amp;
IF($N306&lt;&gt;"","To-Do (hard requirements) "&amp;CHAR(10)&amp;$N306&amp;CHAR(10)&amp;CHAR(10),"")&amp;
IF($O306&lt;&gt;"","Suggested Timeline "&amp;CHAR(10)&amp;$O306&amp;CHAR(10)&amp;CHAR(10),"")&amp;
IF($P306&lt;&gt;"","Guardrails "&amp;CHAR(10)&amp;$P306&amp;CHAR(10)&amp;CHAR(10),"")&amp;
IF($Q306&lt;&gt;"","Completion signals "&amp;CHAR(10)&amp;$Q306,"")</f>
        <v/>
      </c>
      <c r="S306" s="25" t="n"/>
      <c r="T306" s="25" t="n"/>
      <c r="U306" s="54" t="n"/>
      <c r="V306" s="54">
        <f>IF($B306="","",IF(_xludf.TEXTJOIN(" | ",TRUE,IF($B306="","Missing Title",""),IF($C306="","Missing Date",""),IF($D306="","Missing Start",""),IF($E306="","Missing End",""),IF($G306="","Missing Required Attendees",""),IF($T306="","Missing Status",""),IF(AND($D306&lt;&gt;"",$E306&lt;&gt;"",$D306&gt;=$E306),"Start&gt;=End",""),IF(OR($R306="",LEN($R306)&lt;60,ISNUMBER(MATCH(TRIM($R306),StatusList,0))),"Body overwritten/short",""))="","OK",_xludf.TEXTJOIN(" | ",TRUE,IF($B306="","Missing Title",""),IF($C306="","Missing Date",""),IF($D306="","Missing Start",""),IF($E306="","Missing End",""),IF($G306="","Missing Required Attendees",""),IF($T306="","Missing Status",""),IF(AND($D306&lt;&gt;"",$E306&lt;&gt;"",$D306&gt;=$E306),"Start&gt;=End",""),IF(OR($R306="",LEN($R306)&lt;60,ISNUMBER(MATCH(TRIM($R306),StatusList,0))),"Body overwritten/short",""))))</f>
        <v/>
      </c>
    </row>
    <row r="307" ht="12.75" customHeight="1">
      <c r="B307" s="25" t="n"/>
      <c r="C307" s="80" t="n"/>
      <c r="D307" s="77" t="n"/>
      <c r="E307" s="77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16">
        <f>IF($L307&lt;&gt;"","Purpose "&amp;CHAR(10)&amp;$L307&amp;CHAR(10)&amp;CHAR(10),"")&amp;
IF($M307&lt;&gt;"","Stops (in order) "&amp;CHAR(10)&amp;$M307&amp;CHAR(10)&amp;CHAR(10),"")&amp;
IF($N307&lt;&gt;"","To-Do (hard requirements) "&amp;CHAR(10)&amp;$N307&amp;CHAR(10)&amp;CHAR(10),"")&amp;
IF($O307&lt;&gt;"","Suggested Timeline "&amp;CHAR(10)&amp;$O307&amp;CHAR(10)&amp;CHAR(10),"")&amp;
IF($P307&lt;&gt;"","Guardrails "&amp;CHAR(10)&amp;$P307&amp;CHAR(10)&amp;CHAR(10),"")&amp;
IF($Q307&lt;&gt;"","Completion signals "&amp;CHAR(10)&amp;$Q307,"")</f>
        <v/>
      </c>
      <c r="S307" s="25" t="n"/>
      <c r="T307" s="25" t="n"/>
      <c r="U307" s="54" t="n"/>
      <c r="V307" s="54">
        <f>IF($B307="","",IF(_xludf.TEXTJOIN(" | ",TRUE,IF($B307="","Missing Title",""),IF($C307="","Missing Date",""),IF($D307="","Missing Start",""),IF($E307="","Missing End",""),IF($G307="","Missing Required Attendees",""),IF($T307="","Missing Status",""),IF(AND($D307&lt;&gt;"",$E307&lt;&gt;"",$D307&gt;=$E307),"Start&gt;=End",""),IF(OR($R307="",LEN($R307)&lt;60,ISNUMBER(MATCH(TRIM($R307),StatusList,0))),"Body overwritten/short",""))="","OK",_xludf.TEXTJOIN(" | ",TRUE,IF($B307="","Missing Title",""),IF($C307="","Missing Date",""),IF($D307="","Missing Start",""),IF($E307="","Missing End",""),IF($G307="","Missing Required Attendees",""),IF($T307="","Missing Status",""),IF(AND($D307&lt;&gt;"",$E307&lt;&gt;"",$D307&gt;=$E307),"Start&gt;=End",""),IF(OR($R307="",LEN($R307)&lt;60,ISNUMBER(MATCH(TRIM($R307),StatusList,0))),"Body overwritten/short",""))))</f>
        <v/>
      </c>
    </row>
    <row r="308" ht="12.75" customHeight="1">
      <c r="B308" s="25" t="n"/>
      <c r="C308" s="80" t="n"/>
      <c r="D308" s="77" t="n"/>
      <c r="E308" s="77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16">
        <f>IF($L308&lt;&gt;"","Purpose "&amp;CHAR(10)&amp;$L308&amp;CHAR(10)&amp;CHAR(10),"")&amp;
IF($M308&lt;&gt;"","Stops (in order) "&amp;CHAR(10)&amp;$M308&amp;CHAR(10)&amp;CHAR(10),"")&amp;
IF($N308&lt;&gt;"","To-Do (hard requirements) "&amp;CHAR(10)&amp;$N308&amp;CHAR(10)&amp;CHAR(10),"")&amp;
IF($O308&lt;&gt;"","Suggested Timeline "&amp;CHAR(10)&amp;$O308&amp;CHAR(10)&amp;CHAR(10),"")&amp;
IF($P308&lt;&gt;"","Guardrails "&amp;CHAR(10)&amp;$P308&amp;CHAR(10)&amp;CHAR(10),"")&amp;
IF($Q308&lt;&gt;"","Completion signals "&amp;CHAR(10)&amp;$Q308,"")</f>
        <v/>
      </c>
      <c r="S308" s="25" t="n"/>
      <c r="T308" s="25" t="n"/>
      <c r="U308" s="54" t="n"/>
      <c r="V308" s="54">
        <f>IF($B308="","",IF(_xludf.TEXTJOIN(" | ",TRUE,IF($B308="","Missing Title",""),IF($C308="","Missing Date",""),IF($D308="","Missing Start",""),IF($E308="","Missing End",""),IF($G308="","Missing Required Attendees",""),IF($T308="","Missing Status",""),IF(AND($D308&lt;&gt;"",$E308&lt;&gt;"",$D308&gt;=$E308),"Start&gt;=End",""),IF(OR($R308="",LEN($R308)&lt;60,ISNUMBER(MATCH(TRIM($R308),StatusList,0))),"Body overwritten/short",""))="","OK",_xludf.TEXTJOIN(" | ",TRUE,IF($B308="","Missing Title",""),IF($C308="","Missing Date",""),IF($D308="","Missing Start",""),IF($E308="","Missing End",""),IF($G308="","Missing Required Attendees",""),IF($T308="","Missing Status",""),IF(AND($D308&lt;&gt;"",$E308&lt;&gt;"",$D308&gt;=$E308),"Start&gt;=End",""),IF(OR($R308="",LEN($R308)&lt;60,ISNUMBER(MATCH(TRIM($R308),StatusList,0))),"Body overwritten/short",""))))</f>
        <v/>
      </c>
    </row>
    <row r="309" ht="12.75" customHeight="1">
      <c r="B309" s="25" t="n"/>
      <c r="C309" s="80" t="n"/>
      <c r="D309" s="77" t="n"/>
      <c r="E309" s="77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16">
        <f>IF($L309&lt;&gt;"","Purpose "&amp;CHAR(10)&amp;$L309&amp;CHAR(10)&amp;CHAR(10),"")&amp;
IF($M309&lt;&gt;"","Stops (in order) "&amp;CHAR(10)&amp;$M309&amp;CHAR(10)&amp;CHAR(10),"")&amp;
IF($N309&lt;&gt;"","To-Do (hard requirements) "&amp;CHAR(10)&amp;$N309&amp;CHAR(10)&amp;CHAR(10),"")&amp;
IF($O309&lt;&gt;"","Suggested Timeline "&amp;CHAR(10)&amp;$O309&amp;CHAR(10)&amp;CHAR(10),"")&amp;
IF($P309&lt;&gt;"","Guardrails "&amp;CHAR(10)&amp;$P309&amp;CHAR(10)&amp;CHAR(10),"")&amp;
IF($Q309&lt;&gt;"","Completion signals "&amp;CHAR(10)&amp;$Q309,"")</f>
        <v/>
      </c>
      <c r="S309" s="25" t="n"/>
      <c r="T309" s="25" t="n"/>
      <c r="U309" s="54" t="n"/>
      <c r="V309" s="54">
        <f>IF($B309="","",IF(_xludf.TEXTJOIN(" | ",TRUE,IF($B309="","Missing Title",""),IF($C309="","Missing Date",""),IF($D309="","Missing Start",""),IF($E309="","Missing End",""),IF($G309="","Missing Required Attendees",""),IF($T309="","Missing Status",""),IF(AND($D309&lt;&gt;"",$E309&lt;&gt;"",$D309&gt;=$E309),"Start&gt;=End",""),IF(OR($R309="",LEN($R309)&lt;60,ISNUMBER(MATCH(TRIM($R309),StatusList,0))),"Body overwritten/short",""))="","OK",_xludf.TEXTJOIN(" | ",TRUE,IF($B309="","Missing Title",""),IF($C309="","Missing Date",""),IF($D309="","Missing Start",""),IF($E309="","Missing End",""),IF($G309="","Missing Required Attendees",""),IF($T309="","Missing Status",""),IF(AND($D309&lt;&gt;"",$E309&lt;&gt;"",$D309&gt;=$E309),"Start&gt;=End",""),IF(OR($R309="",LEN($R309)&lt;60,ISNUMBER(MATCH(TRIM($R309),StatusList,0))),"Body overwritten/short",""))))</f>
        <v/>
      </c>
    </row>
    <row r="310" ht="12.75" customHeight="1">
      <c r="B310" s="25" t="n"/>
      <c r="C310" s="80" t="n"/>
      <c r="D310" s="77" t="n"/>
      <c r="E310" s="77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16">
        <f>IF($L310&lt;&gt;"","Purpose "&amp;CHAR(10)&amp;$L310&amp;CHAR(10)&amp;CHAR(10),"")&amp;
IF($M310&lt;&gt;"","Stops (in order) "&amp;CHAR(10)&amp;$M310&amp;CHAR(10)&amp;CHAR(10),"")&amp;
IF($N310&lt;&gt;"","To-Do (hard requirements) "&amp;CHAR(10)&amp;$N310&amp;CHAR(10)&amp;CHAR(10),"")&amp;
IF($O310&lt;&gt;"","Suggested Timeline "&amp;CHAR(10)&amp;$O310&amp;CHAR(10)&amp;CHAR(10),"")&amp;
IF($P310&lt;&gt;"","Guardrails "&amp;CHAR(10)&amp;$P310&amp;CHAR(10)&amp;CHAR(10),"")&amp;
IF($Q310&lt;&gt;"","Completion signals "&amp;CHAR(10)&amp;$Q310,"")</f>
        <v/>
      </c>
      <c r="S310" s="25" t="n"/>
      <c r="T310" s="25" t="n"/>
      <c r="U310" s="54" t="n"/>
      <c r="V310" s="54">
        <f>IF($B310="","",IF(_xludf.TEXTJOIN(" | ",TRUE,IF($B310="","Missing Title",""),IF($C310="","Missing Date",""),IF($D310="","Missing Start",""),IF($E310="","Missing End",""),IF($G310="","Missing Required Attendees",""),IF($T310="","Missing Status",""),IF(AND($D310&lt;&gt;"",$E310&lt;&gt;"",$D310&gt;=$E310),"Start&gt;=End",""),IF(OR($R310="",LEN($R310)&lt;60,ISNUMBER(MATCH(TRIM($R310),StatusList,0))),"Body overwritten/short",""))="","OK",_xludf.TEXTJOIN(" | ",TRUE,IF($B310="","Missing Title",""),IF($C310="","Missing Date",""),IF($D310="","Missing Start",""),IF($E310="","Missing End",""),IF($G310="","Missing Required Attendees",""),IF($T310="","Missing Status",""),IF(AND($D310&lt;&gt;"",$E310&lt;&gt;"",$D310&gt;=$E310),"Start&gt;=End",""),IF(OR($R310="",LEN($R310)&lt;60,ISNUMBER(MATCH(TRIM($R310),StatusList,0))),"Body overwritten/short",""))))</f>
        <v/>
      </c>
    </row>
    <row r="311" ht="12.75" customHeight="1">
      <c r="B311" s="25" t="n"/>
      <c r="C311" s="80" t="n"/>
      <c r="D311" s="77" t="n"/>
      <c r="E311" s="77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16">
        <f>IF($L311&lt;&gt;"","Purpose "&amp;CHAR(10)&amp;$L311&amp;CHAR(10)&amp;CHAR(10),"")&amp;
IF($M311&lt;&gt;"","Stops (in order) "&amp;CHAR(10)&amp;$M311&amp;CHAR(10)&amp;CHAR(10),"")&amp;
IF($N311&lt;&gt;"","To-Do (hard requirements) "&amp;CHAR(10)&amp;$N311&amp;CHAR(10)&amp;CHAR(10),"")&amp;
IF($O311&lt;&gt;"","Suggested Timeline "&amp;CHAR(10)&amp;$O311&amp;CHAR(10)&amp;CHAR(10),"")&amp;
IF($P311&lt;&gt;"","Guardrails "&amp;CHAR(10)&amp;$P311&amp;CHAR(10)&amp;CHAR(10),"")&amp;
IF($Q311&lt;&gt;"","Completion signals "&amp;CHAR(10)&amp;$Q311,"")</f>
        <v/>
      </c>
      <c r="S311" s="25" t="n"/>
      <c r="T311" s="25" t="n"/>
      <c r="U311" s="54" t="n"/>
      <c r="V311" s="54">
        <f>IF($B311="","",IF(_xludf.TEXTJOIN(" | ",TRUE,IF($B311="","Missing Title",""),IF($C311="","Missing Date",""),IF($D311="","Missing Start",""),IF($E311="","Missing End",""),IF($G311="","Missing Required Attendees",""),IF($T311="","Missing Status",""),IF(AND($D311&lt;&gt;"",$E311&lt;&gt;"",$D311&gt;=$E311),"Start&gt;=End",""),IF(OR($R311="",LEN($R311)&lt;60,ISNUMBER(MATCH(TRIM($R311),StatusList,0))),"Body overwritten/short",""))="","OK",_xludf.TEXTJOIN(" | ",TRUE,IF($B311="","Missing Title",""),IF($C311="","Missing Date",""),IF($D311="","Missing Start",""),IF($E311="","Missing End",""),IF($G311="","Missing Required Attendees",""),IF($T311="","Missing Status",""),IF(AND($D311&lt;&gt;"",$E311&lt;&gt;"",$D311&gt;=$E311),"Start&gt;=End",""),IF(OR($R311="",LEN($R311)&lt;60,ISNUMBER(MATCH(TRIM($R311),StatusList,0))),"Body overwritten/short",""))))</f>
        <v/>
      </c>
    </row>
    <row r="312" ht="12.75" customHeight="1">
      <c r="B312" s="25" t="n"/>
      <c r="C312" s="80" t="n"/>
      <c r="D312" s="77" t="n"/>
      <c r="E312" s="77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16">
        <f>IF($L312&lt;&gt;"","Purpose "&amp;CHAR(10)&amp;$L312&amp;CHAR(10)&amp;CHAR(10),"")&amp;
IF($M312&lt;&gt;"","Stops (in order) "&amp;CHAR(10)&amp;$M312&amp;CHAR(10)&amp;CHAR(10),"")&amp;
IF($N312&lt;&gt;"","To-Do (hard requirements) "&amp;CHAR(10)&amp;$N312&amp;CHAR(10)&amp;CHAR(10),"")&amp;
IF($O312&lt;&gt;"","Suggested Timeline "&amp;CHAR(10)&amp;$O312&amp;CHAR(10)&amp;CHAR(10),"")&amp;
IF($P312&lt;&gt;"","Guardrails "&amp;CHAR(10)&amp;$P312&amp;CHAR(10)&amp;CHAR(10),"")&amp;
IF($Q312&lt;&gt;"","Completion signals "&amp;CHAR(10)&amp;$Q312,"")</f>
        <v/>
      </c>
      <c r="S312" s="25" t="n"/>
      <c r="T312" s="25" t="n"/>
      <c r="U312" s="54" t="n"/>
      <c r="V312" s="54">
        <f>IF($B312="","",IF(_xludf.TEXTJOIN(" | ",TRUE,IF($B312="","Missing Title",""),IF($C312="","Missing Date",""),IF($D312="","Missing Start",""),IF($E312="","Missing End",""),IF($G312="","Missing Required Attendees",""),IF($T312="","Missing Status",""),IF(AND($D312&lt;&gt;"",$E312&lt;&gt;"",$D312&gt;=$E312),"Start&gt;=End",""),IF(OR($R312="",LEN($R312)&lt;60,ISNUMBER(MATCH(TRIM($R312),StatusList,0))),"Body overwritten/short",""))="","OK",_xludf.TEXTJOIN(" | ",TRUE,IF($B312="","Missing Title",""),IF($C312="","Missing Date",""),IF($D312="","Missing Start",""),IF($E312="","Missing End",""),IF($G312="","Missing Required Attendees",""),IF($T312="","Missing Status",""),IF(AND($D312&lt;&gt;"",$E312&lt;&gt;"",$D312&gt;=$E312),"Start&gt;=End",""),IF(OR($R312="",LEN($R312)&lt;60,ISNUMBER(MATCH(TRIM($R312),StatusList,0))),"Body overwritten/short",""))))</f>
        <v/>
      </c>
    </row>
    <row r="313" ht="12.75" customHeight="1">
      <c r="B313" s="25" t="n"/>
      <c r="C313" s="80" t="n"/>
      <c r="D313" s="77" t="n"/>
      <c r="E313" s="77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16">
        <f>IF($L313&lt;&gt;"","Purpose "&amp;CHAR(10)&amp;$L313&amp;CHAR(10)&amp;CHAR(10),"")&amp;
IF($M313&lt;&gt;"","Stops (in order) "&amp;CHAR(10)&amp;$M313&amp;CHAR(10)&amp;CHAR(10),"")&amp;
IF($N313&lt;&gt;"","To-Do (hard requirements) "&amp;CHAR(10)&amp;$N313&amp;CHAR(10)&amp;CHAR(10),"")&amp;
IF($O313&lt;&gt;"","Suggested Timeline "&amp;CHAR(10)&amp;$O313&amp;CHAR(10)&amp;CHAR(10),"")&amp;
IF($P313&lt;&gt;"","Guardrails "&amp;CHAR(10)&amp;$P313&amp;CHAR(10)&amp;CHAR(10),"")&amp;
IF($Q313&lt;&gt;"","Completion signals "&amp;CHAR(10)&amp;$Q313,"")</f>
        <v/>
      </c>
      <c r="S313" s="25" t="n"/>
      <c r="T313" s="25" t="n"/>
      <c r="U313" s="54" t="n"/>
      <c r="V313" s="54">
        <f>IF($B313="","",IF(_xludf.TEXTJOIN(" | ",TRUE,IF($B313="","Missing Title",""),IF($C313="","Missing Date",""),IF($D313="","Missing Start",""),IF($E313="","Missing End",""),IF($G313="","Missing Required Attendees",""),IF($T313="","Missing Status",""),IF(AND($D313&lt;&gt;"",$E313&lt;&gt;"",$D313&gt;=$E313),"Start&gt;=End",""),IF(OR($R313="",LEN($R313)&lt;60,ISNUMBER(MATCH(TRIM($R313),StatusList,0))),"Body overwritten/short",""))="","OK",_xludf.TEXTJOIN(" | ",TRUE,IF($B313="","Missing Title",""),IF($C313="","Missing Date",""),IF($D313="","Missing Start",""),IF($E313="","Missing End",""),IF($G313="","Missing Required Attendees",""),IF($T313="","Missing Status",""),IF(AND($D313&lt;&gt;"",$E313&lt;&gt;"",$D313&gt;=$E313),"Start&gt;=End",""),IF(OR($R313="",LEN($R313)&lt;60,ISNUMBER(MATCH(TRIM($R313),StatusList,0))),"Body overwritten/short",""))))</f>
        <v/>
      </c>
    </row>
    <row r="314" ht="12.75" customHeight="1">
      <c r="B314" s="25" t="n"/>
      <c r="C314" s="80" t="n"/>
      <c r="D314" s="77" t="n"/>
      <c r="E314" s="77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16">
        <f>IF($L314&lt;&gt;"","Purpose "&amp;CHAR(10)&amp;$L314&amp;CHAR(10)&amp;CHAR(10),"")&amp;
IF($M314&lt;&gt;"","Stops (in order) "&amp;CHAR(10)&amp;$M314&amp;CHAR(10)&amp;CHAR(10),"")&amp;
IF($N314&lt;&gt;"","To-Do (hard requirements) "&amp;CHAR(10)&amp;$N314&amp;CHAR(10)&amp;CHAR(10),"")&amp;
IF($O314&lt;&gt;"","Suggested Timeline "&amp;CHAR(10)&amp;$O314&amp;CHAR(10)&amp;CHAR(10),"")&amp;
IF($P314&lt;&gt;"","Guardrails "&amp;CHAR(10)&amp;$P314&amp;CHAR(10)&amp;CHAR(10),"")&amp;
IF($Q314&lt;&gt;"","Completion signals "&amp;CHAR(10)&amp;$Q314,"")</f>
        <v/>
      </c>
      <c r="S314" s="25" t="n"/>
      <c r="T314" s="25" t="n"/>
      <c r="U314" s="54" t="n"/>
      <c r="V314" s="54">
        <f>IF($B314="","",IF(_xludf.TEXTJOIN(" | ",TRUE,IF($B314="","Missing Title",""),IF($C314="","Missing Date",""),IF($D314="","Missing Start",""),IF($E314="","Missing End",""),IF($G314="","Missing Required Attendees",""),IF($T314="","Missing Status",""),IF(AND($D314&lt;&gt;"",$E314&lt;&gt;"",$D314&gt;=$E314),"Start&gt;=End",""),IF(OR($R314="",LEN($R314)&lt;60,ISNUMBER(MATCH(TRIM($R314),StatusList,0))),"Body overwritten/short",""))="","OK",_xludf.TEXTJOIN(" | ",TRUE,IF($B314="","Missing Title",""),IF($C314="","Missing Date",""),IF($D314="","Missing Start",""),IF($E314="","Missing End",""),IF($G314="","Missing Required Attendees",""),IF($T314="","Missing Status",""),IF(AND($D314&lt;&gt;"",$E314&lt;&gt;"",$D314&gt;=$E314),"Start&gt;=End",""),IF(OR($R314="",LEN($R314)&lt;60,ISNUMBER(MATCH(TRIM($R314),StatusList,0))),"Body overwritten/short",""))))</f>
        <v/>
      </c>
    </row>
    <row r="315" ht="12.75" customHeight="1">
      <c r="B315" s="25" t="n"/>
      <c r="C315" s="80" t="n"/>
      <c r="D315" s="77" t="n"/>
      <c r="E315" s="77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16">
        <f>IF($L315&lt;&gt;"","Purpose "&amp;CHAR(10)&amp;$L315&amp;CHAR(10)&amp;CHAR(10),"")&amp;
IF($M315&lt;&gt;"","Stops (in order) "&amp;CHAR(10)&amp;$M315&amp;CHAR(10)&amp;CHAR(10),"")&amp;
IF($N315&lt;&gt;"","To-Do (hard requirements) "&amp;CHAR(10)&amp;$N315&amp;CHAR(10)&amp;CHAR(10),"")&amp;
IF($O315&lt;&gt;"","Suggested Timeline "&amp;CHAR(10)&amp;$O315&amp;CHAR(10)&amp;CHAR(10),"")&amp;
IF($P315&lt;&gt;"","Guardrails "&amp;CHAR(10)&amp;$P315&amp;CHAR(10)&amp;CHAR(10),"")&amp;
IF($Q315&lt;&gt;"","Completion signals "&amp;CHAR(10)&amp;$Q315,"")</f>
        <v/>
      </c>
      <c r="S315" s="25" t="n"/>
      <c r="T315" s="25" t="n"/>
      <c r="U315" s="54" t="n"/>
      <c r="V315" s="54">
        <f>IF($B315="","",IF(_xludf.TEXTJOIN(" | ",TRUE,IF($B315="","Missing Title",""),IF($C315="","Missing Date",""),IF($D315="","Missing Start",""),IF($E315="","Missing End",""),IF($G315="","Missing Required Attendees",""),IF($T315="","Missing Status",""),IF(AND($D315&lt;&gt;"",$E315&lt;&gt;"",$D315&gt;=$E315),"Start&gt;=End",""),IF(OR($R315="",LEN($R315)&lt;60,ISNUMBER(MATCH(TRIM($R315),StatusList,0))),"Body overwritten/short",""))="","OK",_xludf.TEXTJOIN(" | ",TRUE,IF($B315="","Missing Title",""),IF($C315="","Missing Date",""),IF($D315="","Missing Start",""),IF($E315="","Missing End",""),IF($G315="","Missing Required Attendees",""),IF($T315="","Missing Status",""),IF(AND($D315&lt;&gt;"",$E315&lt;&gt;"",$D315&gt;=$E315),"Start&gt;=End",""),IF(OR($R315="",LEN($R315)&lt;60,ISNUMBER(MATCH(TRIM($R315),StatusList,0))),"Body overwritten/short",""))))</f>
        <v/>
      </c>
    </row>
    <row r="316" ht="12.75" customHeight="1">
      <c r="B316" s="25" t="n"/>
      <c r="C316" s="80" t="n"/>
      <c r="D316" s="77" t="n"/>
      <c r="E316" s="77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16">
        <f>IF($L316&lt;&gt;"","Purpose "&amp;CHAR(10)&amp;$L316&amp;CHAR(10)&amp;CHAR(10),"")&amp;
IF($M316&lt;&gt;"","Stops (in order) "&amp;CHAR(10)&amp;$M316&amp;CHAR(10)&amp;CHAR(10),"")&amp;
IF($N316&lt;&gt;"","To-Do (hard requirements) "&amp;CHAR(10)&amp;$N316&amp;CHAR(10)&amp;CHAR(10),"")&amp;
IF($O316&lt;&gt;"","Suggested Timeline "&amp;CHAR(10)&amp;$O316&amp;CHAR(10)&amp;CHAR(10),"")&amp;
IF($P316&lt;&gt;"","Guardrails "&amp;CHAR(10)&amp;$P316&amp;CHAR(10)&amp;CHAR(10),"")&amp;
IF($Q316&lt;&gt;"","Completion signals "&amp;CHAR(10)&amp;$Q316,"")</f>
        <v/>
      </c>
      <c r="S316" s="25" t="n"/>
      <c r="T316" s="25" t="n"/>
      <c r="U316" s="54" t="n"/>
      <c r="V316" s="54">
        <f>IF($B316="","",IF(_xludf.TEXTJOIN(" | ",TRUE,IF($B316="","Missing Title",""),IF($C316="","Missing Date",""),IF($D316="","Missing Start",""),IF($E316="","Missing End",""),IF($G316="","Missing Required Attendees",""),IF($T316="","Missing Status",""),IF(AND($D316&lt;&gt;"",$E316&lt;&gt;"",$D316&gt;=$E316),"Start&gt;=End",""),IF(OR($R316="",LEN($R316)&lt;60,ISNUMBER(MATCH(TRIM($R316),StatusList,0))),"Body overwritten/short",""))="","OK",_xludf.TEXTJOIN(" | ",TRUE,IF($B316="","Missing Title",""),IF($C316="","Missing Date",""),IF($D316="","Missing Start",""),IF($E316="","Missing End",""),IF($G316="","Missing Required Attendees",""),IF($T316="","Missing Status",""),IF(AND($D316&lt;&gt;"",$E316&lt;&gt;"",$D316&gt;=$E316),"Start&gt;=End",""),IF(OR($R316="",LEN($R316)&lt;60,ISNUMBER(MATCH(TRIM($R316),StatusList,0))),"Body overwritten/short",""))))</f>
        <v/>
      </c>
    </row>
    <row r="317" ht="12.75" customHeight="1">
      <c r="B317" s="25" t="n"/>
      <c r="C317" s="80" t="n"/>
      <c r="D317" s="77" t="n"/>
      <c r="E317" s="77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16">
        <f>IF($L317&lt;&gt;"","Purpose "&amp;CHAR(10)&amp;$L317&amp;CHAR(10)&amp;CHAR(10),"")&amp;
IF($M317&lt;&gt;"","Stops (in order) "&amp;CHAR(10)&amp;$M317&amp;CHAR(10)&amp;CHAR(10),"")&amp;
IF($N317&lt;&gt;"","To-Do (hard requirements) "&amp;CHAR(10)&amp;$N317&amp;CHAR(10)&amp;CHAR(10),"")&amp;
IF($O317&lt;&gt;"","Suggested Timeline "&amp;CHAR(10)&amp;$O317&amp;CHAR(10)&amp;CHAR(10),"")&amp;
IF($P317&lt;&gt;"","Guardrails "&amp;CHAR(10)&amp;$P317&amp;CHAR(10)&amp;CHAR(10),"")&amp;
IF($Q317&lt;&gt;"","Completion signals "&amp;CHAR(10)&amp;$Q317,"")</f>
        <v/>
      </c>
      <c r="S317" s="25" t="n"/>
      <c r="T317" s="25" t="n"/>
      <c r="U317" s="54" t="n"/>
      <c r="V317" s="54">
        <f>IF($B317="","",IF(_xludf.TEXTJOIN(" | ",TRUE,IF($B317="","Missing Title",""),IF($C317="","Missing Date",""),IF($D317="","Missing Start",""),IF($E317="","Missing End",""),IF($G317="","Missing Required Attendees",""),IF($T317="","Missing Status",""),IF(AND($D317&lt;&gt;"",$E317&lt;&gt;"",$D317&gt;=$E317),"Start&gt;=End",""),IF(OR($R317="",LEN($R317)&lt;60,ISNUMBER(MATCH(TRIM($R317),StatusList,0))),"Body overwritten/short",""))="","OK",_xludf.TEXTJOIN(" | ",TRUE,IF($B317="","Missing Title",""),IF($C317="","Missing Date",""),IF($D317="","Missing Start",""),IF($E317="","Missing End",""),IF($G317="","Missing Required Attendees",""),IF($T317="","Missing Status",""),IF(AND($D317&lt;&gt;"",$E317&lt;&gt;"",$D317&gt;=$E317),"Start&gt;=End",""),IF(OR($R317="",LEN($R317)&lt;60,ISNUMBER(MATCH(TRIM($R317),StatusList,0))),"Body overwritten/short",""))))</f>
        <v/>
      </c>
    </row>
    <row r="318" ht="12.75" customHeight="1">
      <c r="B318" s="25" t="n"/>
      <c r="C318" s="80" t="n"/>
      <c r="D318" s="77" t="n"/>
      <c r="E318" s="77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16">
        <f>IF($L318&lt;&gt;"","Purpose "&amp;CHAR(10)&amp;$L318&amp;CHAR(10)&amp;CHAR(10),"")&amp;
IF($M318&lt;&gt;"","Stops (in order) "&amp;CHAR(10)&amp;$M318&amp;CHAR(10)&amp;CHAR(10),"")&amp;
IF($N318&lt;&gt;"","To-Do (hard requirements) "&amp;CHAR(10)&amp;$N318&amp;CHAR(10)&amp;CHAR(10),"")&amp;
IF($O318&lt;&gt;"","Suggested Timeline "&amp;CHAR(10)&amp;$O318&amp;CHAR(10)&amp;CHAR(10),"")&amp;
IF($P318&lt;&gt;"","Guardrails "&amp;CHAR(10)&amp;$P318&amp;CHAR(10)&amp;CHAR(10),"")&amp;
IF($Q318&lt;&gt;"","Completion signals "&amp;CHAR(10)&amp;$Q318,"")</f>
        <v/>
      </c>
      <c r="S318" s="25" t="n"/>
      <c r="T318" s="25" t="n"/>
      <c r="U318" s="54" t="n"/>
      <c r="V318" s="54">
        <f>IF($B318="","",IF(_xludf.TEXTJOIN(" | ",TRUE,IF($B318="","Missing Title",""),IF($C318="","Missing Date",""),IF($D318="","Missing Start",""),IF($E318="","Missing End",""),IF($G318="","Missing Required Attendees",""),IF($T318="","Missing Status",""),IF(AND($D318&lt;&gt;"",$E318&lt;&gt;"",$D318&gt;=$E318),"Start&gt;=End",""),IF(OR($R318="",LEN($R318)&lt;60,ISNUMBER(MATCH(TRIM($R318),StatusList,0))),"Body overwritten/short",""))="","OK",_xludf.TEXTJOIN(" | ",TRUE,IF($B318="","Missing Title",""),IF($C318="","Missing Date",""),IF($D318="","Missing Start",""),IF($E318="","Missing End",""),IF($G318="","Missing Required Attendees",""),IF($T318="","Missing Status",""),IF(AND($D318&lt;&gt;"",$E318&lt;&gt;"",$D318&gt;=$E318),"Start&gt;=End",""),IF(OR($R318="",LEN($R318)&lt;60,ISNUMBER(MATCH(TRIM($R318),StatusList,0))),"Body overwritten/short",""))))</f>
        <v/>
      </c>
    </row>
    <row r="319" ht="12.75" customHeight="1">
      <c r="B319" s="25" t="n"/>
      <c r="C319" s="80" t="n"/>
      <c r="D319" s="77" t="n"/>
      <c r="E319" s="77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16">
        <f>IF($L319&lt;&gt;"","Purpose "&amp;CHAR(10)&amp;$L319&amp;CHAR(10)&amp;CHAR(10),"")&amp;
IF($M319&lt;&gt;"","Stops (in order) "&amp;CHAR(10)&amp;$M319&amp;CHAR(10)&amp;CHAR(10),"")&amp;
IF($N319&lt;&gt;"","To-Do (hard requirements) "&amp;CHAR(10)&amp;$N319&amp;CHAR(10)&amp;CHAR(10),"")&amp;
IF($O319&lt;&gt;"","Suggested Timeline "&amp;CHAR(10)&amp;$O319&amp;CHAR(10)&amp;CHAR(10),"")&amp;
IF($P319&lt;&gt;"","Guardrails "&amp;CHAR(10)&amp;$P319&amp;CHAR(10)&amp;CHAR(10),"")&amp;
IF($Q319&lt;&gt;"","Completion signals "&amp;CHAR(10)&amp;$Q319,"")</f>
        <v/>
      </c>
      <c r="S319" s="25" t="n"/>
      <c r="T319" s="25" t="n"/>
      <c r="U319" s="54" t="n"/>
      <c r="V319" s="54">
        <f>IF($B319="","",IF(_xludf.TEXTJOIN(" | ",TRUE,IF($B319="","Missing Title",""),IF($C319="","Missing Date",""),IF($D319="","Missing Start",""),IF($E319="","Missing End",""),IF($G319="","Missing Required Attendees",""),IF($T319="","Missing Status",""),IF(AND($D319&lt;&gt;"",$E319&lt;&gt;"",$D319&gt;=$E319),"Start&gt;=End",""),IF(OR($R319="",LEN($R319)&lt;60,ISNUMBER(MATCH(TRIM($R319),StatusList,0))),"Body overwritten/short",""))="","OK",_xludf.TEXTJOIN(" | ",TRUE,IF($B319="","Missing Title",""),IF($C319="","Missing Date",""),IF($D319="","Missing Start",""),IF($E319="","Missing End",""),IF($G319="","Missing Required Attendees",""),IF($T319="","Missing Status",""),IF(AND($D319&lt;&gt;"",$E319&lt;&gt;"",$D319&gt;=$E319),"Start&gt;=End",""),IF(OR($R319="",LEN($R319)&lt;60,ISNUMBER(MATCH(TRIM($R319),StatusList,0))),"Body overwritten/short",""))))</f>
        <v/>
      </c>
    </row>
    <row r="320" ht="12.75" customHeight="1">
      <c r="B320" s="25" t="n"/>
      <c r="C320" s="80" t="n"/>
      <c r="D320" s="77" t="n"/>
      <c r="E320" s="77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16">
        <f>IF($L320&lt;&gt;"","Purpose "&amp;CHAR(10)&amp;$L320&amp;CHAR(10)&amp;CHAR(10),"")&amp;
IF($M320&lt;&gt;"","Stops (in order) "&amp;CHAR(10)&amp;$M320&amp;CHAR(10)&amp;CHAR(10),"")&amp;
IF($N320&lt;&gt;"","To-Do (hard requirements) "&amp;CHAR(10)&amp;$N320&amp;CHAR(10)&amp;CHAR(10),"")&amp;
IF($O320&lt;&gt;"","Suggested Timeline "&amp;CHAR(10)&amp;$O320&amp;CHAR(10)&amp;CHAR(10),"")&amp;
IF($P320&lt;&gt;"","Guardrails "&amp;CHAR(10)&amp;$P320&amp;CHAR(10)&amp;CHAR(10),"")&amp;
IF($Q320&lt;&gt;"","Completion signals "&amp;CHAR(10)&amp;$Q320,"")</f>
        <v/>
      </c>
      <c r="S320" s="25" t="n"/>
      <c r="T320" s="25" t="n"/>
      <c r="U320" s="54" t="n"/>
      <c r="V320" s="54">
        <f>IF($B320="","",IF(_xludf.TEXTJOIN(" | ",TRUE,IF($B320="","Missing Title",""),IF($C320="","Missing Date",""),IF($D320="","Missing Start",""),IF($E320="","Missing End",""),IF($G320="","Missing Required Attendees",""),IF($T320="","Missing Status",""),IF(AND($D320&lt;&gt;"",$E320&lt;&gt;"",$D320&gt;=$E320),"Start&gt;=End",""),IF(OR($R320="",LEN($R320)&lt;60,ISNUMBER(MATCH(TRIM($R320),StatusList,0))),"Body overwritten/short",""))="","OK",_xludf.TEXTJOIN(" | ",TRUE,IF($B320="","Missing Title",""),IF($C320="","Missing Date",""),IF($D320="","Missing Start",""),IF($E320="","Missing End",""),IF($G320="","Missing Required Attendees",""),IF($T320="","Missing Status",""),IF(AND($D320&lt;&gt;"",$E320&lt;&gt;"",$D320&gt;=$E320),"Start&gt;=End",""),IF(OR($R320="",LEN($R320)&lt;60,ISNUMBER(MATCH(TRIM($R320),StatusList,0))),"Body overwritten/short",""))))</f>
        <v/>
      </c>
    </row>
    <row r="321" ht="12.75" customHeight="1">
      <c r="B321" s="25" t="n"/>
      <c r="C321" s="80" t="n"/>
      <c r="D321" s="77" t="n"/>
      <c r="E321" s="77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16">
        <f>IF($L321&lt;&gt;"","Purpose "&amp;CHAR(10)&amp;$L321&amp;CHAR(10)&amp;CHAR(10),"")&amp;
IF($M321&lt;&gt;"","Stops (in order) "&amp;CHAR(10)&amp;$M321&amp;CHAR(10)&amp;CHAR(10),"")&amp;
IF($N321&lt;&gt;"","To-Do (hard requirements) "&amp;CHAR(10)&amp;$N321&amp;CHAR(10)&amp;CHAR(10),"")&amp;
IF($O321&lt;&gt;"","Suggested Timeline "&amp;CHAR(10)&amp;$O321&amp;CHAR(10)&amp;CHAR(10),"")&amp;
IF($P321&lt;&gt;"","Guardrails "&amp;CHAR(10)&amp;$P321&amp;CHAR(10)&amp;CHAR(10),"")&amp;
IF($Q321&lt;&gt;"","Completion signals "&amp;CHAR(10)&amp;$Q321,"")</f>
        <v/>
      </c>
      <c r="S321" s="25" t="n"/>
      <c r="T321" s="25" t="n"/>
      <c r="U321" s="54" t="n"/>
      <c r="V321" s="54">
        <f>IF($B321="","",IF(_xludf.TEXTJOIN(" | ",TRUE,IF($B321="","Missing Title",""),IF($C321="","Missing Date",""),IF($D321="","Missing Start",""),IF($E321="","Missing End",""),IF($G321="","Missing Required Attendees",""),IF($T321="","Missing Status",""),IF(AND($D321&lt;&gt;"",$E321&lt;&gt;"",$D321&gt;=$E321),"Start&gt;=End",""),IF(OR($R321="",LEN($R321)&lt;60,ISNUMBER(MATCH(TRIM($R321),StatusList,0))),"Body overwritten/short",""))="","OK",_xludf.TEXTJOIN(" | ",TRUE,IF($B321="","Missing Title",""),IF($C321="","Missing Date",""),IF($D321="","Missing Start",""),IF($E321="","Missing End",""),IF($G321="","Missing Required Attendees",""),IF($T321="","Missing Status",""),IF(AND($D321&lt;&gt;"",$E321&lt;&gt;"",$D321&gt;=$E321),"Start&gt;=End",""),IF(OR($R321="",LEN($R321)&lt;60,ISNUMBER(MATCH(TRIM($R321),StatusList,0))),"Body overwritten/short",""))))</f>
        <v/>
      </c>
    </row>
    <row r="322" ht="12.75" customHeight="1">
      <c r="B322" s="25" t="n"/>
      <c r="C322" s="80" t="n"/>
      <c r="D322" s="77" t="n"/>
      <c r="E322" s="77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16">
        <f>IF($L322&lt;&gt;"","Purpose "&amp;CHAR(10)&amp;$L322&amp;CHAR(10)&amp;CHAR(10),"")&amp;
IF($M322&lt;&gt;"","Stops (in order) "&amp;CHAR(10)&amp;$M322&amp;CHAR(10)&amp;CHAR(10),"")&amp;
IF($N322&lt;&gt;"","To-Do (hard requirements) "&amp;CHAR(10)&amp;$N322&amp;CHAR(10)&amp;CHAR(10),"")&amp;
IF($O322&lt;&gt;"","Suggested Timeline "&amp;CHAR(10)&amp;$O322&amp;CHAR(10)&amp;CHAR(10),"")&amp;
IF($P322&lt;&gt;"","Guardrails "&amp;CHAR(10)&amp;$P322&amp;CHAR(10)&amp;CHAR(10),"")&amp;
IF($Q322&lt;&gt;"","Completion signals "&amp;CHAR(10)&amp;$Q322,"")</f>
        <v/>
      </c>
      <c r="S322" s="25" t="n"/>
      <c r="T322" s="25" t="n"/>
      <c r="U322" s="54" t="n"/>
      <c r="V322" s="54">
        <f>IF($B322="","",IF(_xludf.TEXTJOIN(" | ",TRUE,IF($B322="","Missing Title",""),IF($C322="","Missing Date",""),IF($D322="","Missing Start",""),IF($E322="","Missing End",""),IF($G322="","Missing Required Attendees",""),IF($T322="","Missing Status",""),IF(AND($D322&lt;&gt;"",$E322&lt;&gt;"",$D322&gt;=$E322),"Start&gt;=End",""),IF(OR($R322="",LEN($R322)&lt;60,ISNUMBER(MATCH(TRIM($R322),StatusList,0))),"Body overwritten/short",""))="","OK",_xludf.TEXTJOIN(" | ",TRUE,IF($B322="","Missing Title",""),IF($C322="","Missing Date",""),IF($D322="","Missing Start",""),IF($E322="","Missing End",""),IF($G322="","Missing Required Attendees",""),IF($T322="","Missing Status",""),IF(AND($D322&lt;&gt;"",$E322&lt;&gt;"",$D322&gt;=$E322),"Start&gt;=End",""),IF(OR($R322="",LEN($R322)&lt;60,ISNUMBER(MATCH(TRIM($R322),StatusList,0))),"Body overwritten/short",""))))</f>
        <v/>
      </c>
    </row>
    <row r="323" ht="12.75" customHeight="1">
      <c r="B323" s="25" t="n"/>
      <c r="C323" s="80" t="n"/>
      <c r="D323" s="77" t="n"/>
      <c r="E323" s="77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16">
        <f>IF($L323&lt;&gt;"","Purpose "&amp;CHAR(10)&amp;$L323&amp;CHAR(10)&amp;CHAR(10),"")&amp;
IF($M323&lt;&gt;"","Stops (in order) "&amp;CHAR(10)&amp;$M323&amp;CHAR(10)&amp;CHAR(10),"")&amp;
IF($N323&lt;&gt;"","To-Do (hard requirements) "&amp;CHAR(10)&amp;$N323&amp;CHAR(10)&amp;CHAR(10),"")&amp;
IF($O323&lt;&gt;"","Suggested Timeline "&amp;CHAR(10)&amp;$O323&amp;CHAR(10)&amp;CHAR(10),"")&amp;
IF($P323&lt;&gt;"","Guardrails "&amp;CHAR(10)&amp;$P323&amp;CHAR(10)&amp;CHAR(10),"")&amp;
IF($Q323&lt;&gt;"","Completion signals "&amp;CHAR(10)&amp;$Q323,"")</f>
        <v/>
      </c>
      <c r="S323" s="25" t="n"/>
      <c r="T323" s="25" t="n"/>
      <c r="U323" s="54" t="n"/>
      <c r="V323" s="54">
        <f>IF($B323="","",IF(_xludf.TEXTJOIN(" | ",TRUE,IF($B323="","Missing Title",""),IF($C323="","Missing Date",""),IF($D323="","Missing Start",""),IF($E323="","Missing End",""),IF($G323="","Missing Required Attendees",""),IF($T323="","Missing Status",""),IF(AND($D323&lt;&gt;"",$E323&lt;&gt;"",$D323&gt;=$E323),"Start&gt;=End",""),IF(OR($R323="",LEN($R323)&lt;60,ISNUMBER(MATCH(TRIM($R323),StatusList,0))),"Body overwritten/short",""))="","OK",_xludf.TEXTJOIN(" | ",TRUE,IF($B323="","Missing Title",""),IF($C323="","Missing Date",""),IF($D323="","Missing Start",""),IF($E323="","Missing End",""),IF($G323="","Missing Required Attendees",""),IF($T323="","Missing Status",""),IF(AND($D323&lt;&gt;"",$E323&lt;&gt;"",$D323&gt;=$E323),"Start&gt;=End",""),IF(OR($R323="",LEN($R323)&lt;60,ISNUMBER(MATCH(TRIM($R323),StatusList,0))),"Body overwritten/short",""))))</f>
        <v/>
      </c>
    </row>
    <row r="324" ht="12.75" customHeight="1">
      <c r="B324" s="25" t="n"/>
      <c r="C324" s="80" t="n"/>
      <c r="D324" s="77" t="n"/>
      <c r="E324" s="77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16">
        <f>IF($L324&lt;&gt;"","Purpose "&amp;CHAR(10)&amp;$L324&amp;CHAR(10)&amp;CHAR(10),"")&amp;
IF($M324&lt;&gt;"","Stops (in order) "&amp;CHAR(10)&amp;$M324&amp;CHAR(10)&amp;CHAR(10),"")&amp;
IF($N324&lt;&gt;"","To-Do (hard requirements) "&amp;CHAR(10)&amp;$N324&amp;CHAR(10)&amp;CHAR(10),"")&amp;
IF($O324&lt;&gt;"","Suggested Timeline "&amp;CHAR(10)&amp;$O324&amp;CHAR(10)&amp;CHAR(10),"")&amp;
IF($P324&lt;&gt;"","Guardrails "&amp;CHAR(10)&amp;$P324&amp;CHAR(10)&amp;CHAR(10),"")&amp;
IF($Q324&lt;&gt;"","Completion signals "&amp;CHAR(10)&amp;$Q324,"")</f>
        <v/>
      </c>
      <c r="S324" s="25" t="n"/>
      <c r="T324" s="25" t="n"/>
      <c r="U324" s="54" t="n"/>
      <c r="V324" s="54">
        <f>IF($B324="","",IF(_xludf.TEXTJOIN(" | ",TRUE,IF($B324="","Missing Title",""),IF($C324="","Missing Date",""),IF($D324="","Missing Start",""),IF($E324="","Missing End",""),IF($G324="","Missing Required Attendees",""),IF($T324="","Missing Status",""),IF(AND($D324&lt;&gt;"",$E324&lt;&gt;"",$D324&gt;=$E324),"Start&gt;=End",""),IF(OR($R324="",LEN($R324)&lt;60,ISNUMBER(MATCH(TRIM($R324),StatusList,0))),"Body overwritten/short",""))="","OK",_xludf.TEXTJOIN(" | ",TRUE,IF($B324="","Missing Title",""),IF($C324="","Missing Date",""),IF($D324="","Missing Start",""),IF($E324="","Missing End",""),IF($G324="","Missing Required Attendees",""),IF($T324="","Missing Status",""),IF(AND($D324&lt;&gt;"",$E324&lt;&gt;"",$D324&gt;=$E324),"Start&gt;=End",""),IF(OR($R324="",LEN($R324)&lt;60,ISNUMBER(MATCH(TRIM($R324),StatusList,0))),"Body overwritten/short",""))))</f>
        <v/>
      </c>
    </row>
    <row r="325" ht="12.75" customHeight="1">
      <c r="B325" s="25" t="n"/>
      <c r="C325" s="80" t="n"/>
      <c r="D325" s="77" t="n"/>
      <c r="E325" s="77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16">
        <f>IF($L325&lt;&gt;"","Purpose "&amp;CHAR(10)&amp;$L325&amp;CHAR(10)&amp;CHAR(10),"")&amp;
IF($M325&lt;&gt;"","Stops (in order) "&amp;CHAR(10)&amp;$M325&amp;CHAR(10)&amp;CHAR(10),"")&amp;
IF($N325&lt;&gt;"","To-Do (hard requirements) "&amp;CHAR(10)&amp;$N325&amp;CHAR(10)&amp;CHAR(10),"")&amp;
IF($O325&lt;&gt;"","Suggested Timeline "&amp;CHAR(10)&amp;$O325&amp;CHAR(10)&amp;CHAR(10),"")&amp;
IF($P325&lt;&gt;"","Guardrails "&amp;CHAR(10)&amp;$P325&amp;CHAR(10)&amp;CHAR(10),"")&amp;
IF($Q325&lt;&gt;"","Completion signals "&amp;CHAR(10)&amp;$Q325,"")</f>
        <v/>
      </c>
      <c r="S325" s="25" t="n"/>
      <c r="T325" s="25" t="n"/>
      <c r="U325" s="54" t="n"/>
      <c r="V325" s="54">
        <f>IF($B325="","",IF(_xludf.TEXTJOIN(" | ",TRUE,IF($B325="","Missing Title",""),IF($C325="","Missing Date",""),IF($D325="","Missing Start",""),IF($E325="","Missing End",""),IF($G325="","Missing Required Attendees",""),IF($T325="","Missing Status",""),IF(AND($D325&lt;&gt;"",$E325&lt;&gt;"",$D325&gt;=$E325),"Start&gt;=End",""),IF(OR($R325="",LEN($R325)&lt;60,ISNUMBER(MATCH(TRIM($R325),StatusList,0))),"Body overwritten/short",""))="","OK",_xludf.TEXTJOIN(" | ",TRUE,IF($B325="","Missing Title",""),IF($C325="","Missing Date",""),IF($D325="","Missing Start",""),IF($E325="","Missing End",""),IF($G325="","Missing Required Attendees",""),IF($T325="","Missing Status",""),IF(AND($D325&lt;&gt;"",$E325&lt;&gt;"",$D325&gt;=$E325),"Start&gt;=End",""),IF(OR($R325="",LEN($R325)&lt;60,ISNUMBER(MATCH(TRIM($R325),StatusList,0))),"Body overwritten/short",""))))</f>
        <v/>
      </c>
    </row>
    <row r="326" ht="12.75" customHeight="1">
      <c r="B326" s="25" t="n"/>
      <c r="C326" s="80" t="n"/>
      <c r="D326" s="77" t="n"/>
      <c r="E326" s="77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16">
        <f>IF($L326&lt;&gt;"","Purpose "&amp;CHAR(10)&amp;$L326&amp;CHAR(10)&amp;CHAR(10),"")&amp;
IF($M326&lt;&gt;"","Stops (in order) "&amp;CHAR(10)&amp;$M326&amp;CHAR(10)&amp;CHAR(10),"")&amp;
IF($N326&lt;&gt;"","To-Do (hard requirements) "&amp;CHAR(10)&amp;$N326&amp;CHAR(10)&amp;CHAR(10),"")&amp;
IF($O326&lt;&gt;"","Suggested Timeline "&amp;CHAR(10)&amp;$O326&amp;CHAR(10)&amp;CHAR(10),"")&amp;
IF($P326&lt;&gt;"","Guardrails "&amp;CHAR(10)&amp;$P326&amp;CHAR(10)&amp;CHAR(10),"")&amp;
IF($Q326&lt;&gt;"","Completion signals "&amp;CHAR(10)&amp;$Q326,"")</f>
        <v/>
      </c>
      <c r="S326" s="25" t="n"/>
      <c r="T326" s="25" t="n"/>
      <c r="U326" s="54" t="n"/>
      <c r="V326" s="54">
        <f>IF($B326="","",IF(_xludf.TEXTJOIN(" | ",TRUE,IF($B326="","Missing Title",""),IF($C326="","Missing Date",""),IF($D326="","Missing Start",""),IF($E326="","Missing End",""),IF($G326="","Missing Required Attendees",""),IF($T326="","Missing Status",""),IF(AND($D326&lt;&gt;"",$E326&lt;&gt;"",$D326&gt;=$E326),"Start&gt;=End",""),IF(OR($R326="",LEN($R326)&lt;60,ISNUMBER(MATCH(TRIM($R326),StatusList,0))),"Body overwritten/short",""))="","OK",_xludf.TEXTJOIN(" | ",TRUE,IF($B326="","Missing Title",""),IF($C326="","Missing Date",""),IF($D326="","Missing Start",""),IF($E326="","Missing End",""),IF($G326="","Missing Required Attendees",""),IF($T326="","Missing Status",""),IF(AND($D326&lt;&gt;"",$E326&lt;&gt;"",$D326&gt;=$E326),"Start&gt;=End",""),IF(OR($R326="",LEN($R326)&lt;60,ISNUMBER(MATCH(TRIM($R326),StatusList,0))),"Body overwritten/short",""))))</f>
        <v/>
      </c>
    </row>
    <row r="327" ht="12.75" customHeight="1">
      <c r="B327" s="25" t="n"/>
      <c r="C327" s="80" t="n"/>
      <c r="D327" s="77" t="n"/>
      <c r="E327" s="77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16">
        <f>IF($L327&lt;&gt;"","Purpose "&amp;CHAR(10)&amp;$L327&amp;CHAR(10)&amp;CHAR(10),"")&amp;
IF($M327&lt;&gt;"","Stops (in order) "&amp;CHAR(10)&amp;$M327&amp;CHAR(10)&amp;CHAR(10),"")&amp;
IF($N327&lt;&gt;"","To-Do (hard requirements) "&amp;CHAR(10)&amp;$N327&amp;CHAR(10)&amp;CHAR(10),"")&amp;
IF($O327&lt;&gt;"","Suggested Timeline "&amp;CHAR(10)&amp;$O327&amp;CHAR(10)&amp;CHAR(10),"")&amp;
IF($P327&lt;&gt;"","Guardrails "&amp;CHAR(10)&amp;$P327&amp;CHAR(10)&amp;CHAR(10),"")&amp;
IF($Q327&lt;&gt;"","Completion signals "&amp;CHAR(10)&amp;$Q327,"")</f>
        <v/>
      </c>
      <c r="S327" s="25" t="n"/>
      <c r="T327" s="25" t="n"/>
      <c r="U327" s="54" t="n"/>
      <c r="V327" s="54">
        <f>IF($B327="","",IF(_xludf.TEXTJOIN(" | ",TRUE,IF($B327="","Missing Title",""),IF($C327="","Missing Date",""),IF($D327="","Missing Start",""),IF($E327="","Missing End",""),IF($G327="","Missing Required Attendees",""),IF($T327="","Missing Status",""),IF(AND($D327&lt;&gt;"",$E327&lt;&gt;"",$D327&gt;=$E327),"Start&gt;=End",""),IF(OR($R327="",LEN($R327)&lt;60,ISNUMBER(MATCH(TRIM($R327),StatusList,0))),"Body overwritten/short",""))="","OK",_xludf.TEXTJOIN(" | ",TRUE,IF($B327="","Missing Title",""),IF($C327="","Missing Date",""),IF($D327="","Missing Start",""),IF($E327="","Missing End",""),IF($G327="","Missing Required Attendees",""),IF($T327="","Missing Status",""),IF(AND($D327&lt;&gt;"",$E327&lt;&gt;"",$D327&gt;=$E327),"Start&gt;=End",""),IF(OR($R327="",LEN($R327)&lt;60,ISNUMBER(MATCH(TRIM($R327),StatusList,0))),"Body overwritten/short",""))))</f>
        <v/>
      </c>
    </row>
    <row r="328" ht="12.75" customHeight="1">
      <c r="B328" s="25" t="n"/>
      <c r="C328" s="80" t="n"/>
      <c r="D328" s="77" t="n"/>
      <c r="E328" s="77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16">
        <f>IF($L328&lt;&gt;"","Purpose "&amp;CHAR(10)&amp;$L328&amp;CHAR(10)&amp;CHAR(10),"")&amp;
IF($M328&lt;&gt;"","Stops (in order) "&amp;CHAR(10)&amp;$M328&amp;CHAR(10)&amp;CHAR(10),"")&amp;
IF($N328&lt;&gt;"","To-Do (hard requirements) "&amp;CHAR(10)&amp;$N328&amp;CHAR(10)&amp;CHAR(10),"")&amp;
IF($O328&lt;&gt;"","Suggested Timeline "&amp;CHAR(10)&amp;$O328&amp;CHAR(10)&amp;CHAR(10),"")&amp;
IF($P328&lt;&gt;"","Guardrails "&amp;CHAR(10)&amp;$P328&amp;CHAR(10)&amp;CHAR(10),"")&amp;
IF($Q328&lt;&gt;"","Completion signals "&amp;CHAR(10)&amp;$Q328,"")</f>
        <v/>
      </c>
      <c r="S328" s="25" t="n"/>
      <c r="T328" s="25" t="n"/>
      <c r="U328" s="54" t="n"/>
      <c r="V328" s="54">
        <f>IF($B328="","",IF(_xludf.TEXTJOIN(" | ",TRUE,IF($B328="","Missing Title",""),IF($C328="","Missing Date",""),IF($D328="","Missing Start",""),IF($E328="","Missing End",""),IF($G328="","Missing Required Attendees",""),IF($T328="","Missing Status",""),IF(AND($D328&lt;&gt;"",$E328&lt;&gt;"",$D328&gt;=$E328),"Start&gt;=End",""),IF(OR($R328="",LEN($R328)&lt;60,ISNUMBER(MATCH(TRIM($R328),StatusList,0))),"Body overwritten/short",""))="","OK",_xludf.TEXTJOIN(" | ",TRUE,IF($B328="","Missing Title",""),IF($C328="","Missing Date",""),IF($D328="","Missing Start",""),IF($E328="","Missing End",""),IF($G328="","Missing Required Attendees",""),IF($T328="","Missing Status",""),IF(AND($D328&lt;&gt;"",$E328&lt;&gt;"",$D328&gt;=$E328),"Start&gt;=End",""),IF(OR($R328="",LEN($R328)&lt;60,ISNUMBER(MATCH(TRIM($R328),StatusList,0))),"Body overwritten/short",""))))</f>
        <v/>
      </c>
    </row>
    <row r="329" ht="12.75" customHeight="1">
      <c r="B329" s="25" t="n"/>
      <c r="C329" s="80" t="n"/>
      <c r="D329" s="77" t="n"/>
      <c r="E329" s="77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16">
        <f>IF($L329&lt;&gt;"","Purpose "&amp;CHAR(10)&amp;$L329&amp;CHAR(10)&amp;CHAR(10),"")&amp;
IF($M329&lt;&gt;"","Stops (in order) "&amp;CHAR(10)&amp;$M329&amp;CHAR(10)&amp;CHAR(10),"")&amp;
IF($N329&lt;&gt;"","To-Do (hard requirements) "&amp;CHAR(10)&amp;$N329&amp;CHAR(10)&amp;CHAR(10),"")&amp;
IF($O329&lt;&gt;"","Suggested Timeline "&amp;CHAR(10)&amp;$O329&amp;CHAR(10)&amp;CHAR(10),"")&amp;
IF($P329&lt;&gt;"","Guardrails "&amp;CHAR(10)&amp;$P329&amp;CHAR(10)&amp;CHAR(10),"")&amp;
IF($Q329&lt;&gt;"","Completion signals "&amp;CHAR(10)&amp;$Q329,"")</f>
        <v/>
      </c>
      <c r="S329" s="25" t="n"/>
      <c r="T329" s="25" t="n"/>
      <c r="U329" s="54" t="n"/>
      <c r="V329" s="54">
        <f>IF($B329="","",IF(_xludf.TEXTJOIN(" | ",TRUE,IF($B329="","Missing Title",""),IF($C329="","Missing Date",""),IF($D329="","Missing Start",""),IF($E329="","Missing End",""),IF($G329="","Missing Required Attendees",""),IF($T329="","Missing Status",""),IF(AND($D329&lt;&gt;"",$E329&lt;&gt;"",$D329&gt;=$E329),"Start&gt;=End",""),IF(OR($R329="",LEN($R329)&lt;60,ISNUMBER(MATCH(TRIM($R329),StatusList,0))),"Body overwritten/short",""))="","OK",_xludf.TEXTJOIN(" | ",TRUE,IF($B329="","Missing Title",""),IF($C329="","Missing Date",""),IF($D329="","Missing Start",""),IF($E329="","Missing End",""),IF($G329="","Missing Required Attendees",""),IF($T329="","Missing Status",""),IF(AND($D329&lt;&gt;"",$E329&lt;&gt;"",$D329&gt;=$E329),"Start&gt;=End",""),IF(OR($R329="",LEN($R329)&lt;60,ISNUMBER(MATCH(TRIM($R329),StatusList,0))),"Body overwritten/short",""))))</f>
        <v/>
      </c>
    </row>
    <row r="330" ht="12.75" customHeight="1">
      <c r="B330" s="25" t="n"/>
      <c r="C330" s="80" t="n"/>
      <c r="D330" s="77" t="n"/>
      <c r="E330" s="77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16">
        <f>IF($L330&lt;&gt;"","Purpose "&amp;CHAR(10)&amp;$L330&amp;CHAR(10)&amp;CHAR(10),"")&amp;
IF($M330&lt;&gt;"","Stops (in order) "&amp;CHAR(10)&amp;$M330&amp;CHAR(10)&amp;CHAR(10),"")&amp;
IF($N330&lt;&gt;"","To-Do (hard requirements) "&amp;CHAR(10)&amp;$N330&amp;CHAR(10)&amp;CHAR(10),"")&amp;
IF($O330&lt;&gt;"","Suggested Timeline "&amp;CHAR(10)&amp;$O330&amp;CHAR(10)&amp;CHAR(10),"")&amp;
IF($P330&lt;&gt;"","Guardrails "&amp;CHAR(10)&amp;$P330&amp;CHAR(10)&amp;CHAR(10),"")&amp;
IF($Q330&lt;&gt;"","Completion signals "&amp;CHAR(10)&amp;$Q330,"")</f>
        <v/>
      </c>
      <c r="S330" s="25" t="n"/>
      <c r="T330" s="25" t="n"/>
      <c r="U330" s="54" t="n"/>
      <c r="V330" s="54">
        <f>IF($B330="","",IF(_xludf.TEXTJOIN(" | ",TRUE,IF($B330="","Missing Title",""),IF($C330="","Missing Date",""),IF($D330="","Missing Start",""),IF($E330="","Missing End",""),IF($G330="","Missing Required Attendees",""),IF($T330="","Missing Status",""),IF(AND($D330&lt;&gt;"",$E330&lt;&gt;"",$D330&gt;=$E330),"Start&gt;=End",""),IF(OR($R330="",LEN($R330)&lt;60,ISNUMBER(MATCH(TRIM($R330),StatusList,0))),"Body overwritten/short",""))="","OK",_xludf.TEXTJOIN(" | ",TRUE,IF($B330="","Missing Title",""),IF($C330="","Missing Date",""),IF($D330="","Missing Start",""),IF($E330="","Missing End",""),IF($G330="","Missing Required Attendees",""),IF($T330="","Missing Status",""),IF(AND($D330&lt;&gt;"",$E330&lt;&gt;"",$D330&gt;=$E330),"Start&gt;=End",""),IF(OR($R330="",LEN($R330)&lt;60,ISNUMBER(MATCH(TRIM($R330),StatusList,0))),"Body overwritten/short",""))))</f>
        <v/>
      </c>
    </row>
    <row r="331" ht="12.75" customHeight="1">
      <c r="B331" s="25" t="n"/>
      <c r="C331" s="80" t="n"/>
      <c r="D331" s="77" t="n"/>
      <c r="E331" s="77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16">
        <f>IF($L331&lt;&gt;"","Purpose "&amp;CHAR(10)&amp;$L331&amp;CHAR(10)&amp;CHAR(10),"")&amp;
IF($M331&lt;&gt;"","Stops (in order) "&amp;CHAR(10)&amp;$M331&amp;CHAR(10)&amp;CHAR(10),"")&amp;
IF($N331&lt;&gt;"","To-Do (hard requirements) "&amp;CHAR(10)&amp;$N331&amp;CHAR(10)&amp;CHAR(10),"")&amp;
IF($O331&lt;&gt;"","Suggested Timeline "&amp;CHAR(10)&amp;$O331&amp;CHAR(10)&amp;CHAR(10),"")&amp;
IF($P331&lt;&gt;"","Guardrails "&amp;CHAR(10)&amp;$P331&amp;CHAR(10)&amp;CHAR(10),"")&amp;
IF($Q331&lt;&gt;"","Completion signals "&amp;CHAR(10)&amp;$Q331,"")</f>
        <v/>
      </c>
      <c r="S331" s="25" t="n"/>
      <c r="T331" s="25" t="n"/>
      <c r="U331" s="54" t="n"/>
      <c r="V331" s="54">
        <f>IF($B331="","",IF(_xludf.TEXTJOIN(" | ",TRUE,IF($B331="","Missing Title",""),IF($C331="","Missing Date",""),IF($D331="","Missing Start",""),IF($E331="","Missing End",""),IF($G331="","Missing Required Attendees",""),IF($T331="","Missing Status",""),IF(AND($D331&lt;&gt;"",$E331&lt;&gt;"",$D331&gt;=$E331),"Start&gt;=End",""),IF(OR($R331="",LEN($R331)&lt;60,ISNUMBER(MATCH(TRIM($R331),StatusList,0))),"Body overwritten/short",""))="","OK",_xludf.TEXTJOIN(" | ",TRUE,IF($B331="","Missing Title",""),IF($C331="","Missing Date",""),IF($D331="","Missing Start",""),IF($E331="","Missing End",""),IF($G331="","Missing Required Attendees",""),IF($T331="","Missing Status",""),IF(AND($D331&lt;&gt;"",$E331&lt;&gt;"",$D331&gt;=$E331),"Start&gt;=End",""),IF(OR($R331="",LEN($R331)&lt;60,ISNUMBER(MATCH(TRIM($R331),StatusList,0))),"Body overwritten/short",""))))</f>
        <v/>
      </c>
    </row>
    <row r="332" ht="12.75" customHeight="1">
      <c r="B332" s="25" t="n"/>
      <c r="C332" s="80" t="n"/>
      <c r="D332" s="77" t="n"/>
      <c r="E332" s="77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16">
        <f>IF($L332&lt;&gt;"","Purpose "&amp;CHAR(10)&amp;$L332&amp;CHAR(10)&amp;CHAR(10),"")&amp;
IF($M332&lt;&gt;"","Stops (in order) "&amp;CHAR(10)&amp;$M332&amp;CHAR(10)&amp;CHAR(10),"")&amp;
IF($N332&lt;&gt;"","To-Do (hard requirements) "&amp;CHAR(10)&amp;$N332&amp;CHAR(10)&amp;CHAR(10),"")&amp;
IF($O332&lt;&gt;"","Suggested Timeline "&amp;CHAR(10)&amp;$O332&amp;CHAR(10)&amp;CHAR(10),"")&amp;
IF($P332&lt;&gt;"","Guardrails "&amp;CHAR(10)&amp;$P332&amp;CHAR(10)&amp;CHAR(10),"")&amp;
IF($Q332&lt;&gt;"","Completion signals "&amp;CHAR(10)&amp;$Q332,"")</f>
        <v/>
      </c>
      <c r="S332" s="25" t="n"/>
      <c r="T332" s="25" t="n"/>
      <c r="U332" s="54" t="n"/>
      <c r="V332" s="54">
        <f>IF($B332="","",IF(_xludf.TEXTJOIN(" | ",TRUE,IF($B332="","Missing Title",""),IF($C332="","Missing Date",""),IF($D332="","Missing Start",""),IF($E332="","Missing End",""),IF($G332="","Missing Required Attendees",""),IF($T332="","Missing Status",""),IF(AND($D332&lt;&gt;"",$E332&lt;&gt;"",$D332&gt;=$E332),"Start&gt;=End",""),IF(OR($R332="",LEN($R332)&lt;60,ISNUMBER(MATCH(TRIM($R332),StatusList,0))),"Body overwritten/short",""))="","OK",_xludf.TEXTJOIN(" | ",TRUE,IF($B332="","Missing Title",""),IF($C332="","Missing Date",""),IF($D332="","Missing Start",""),IF($E332="","Missing End",""),IF($G332="","Missing Required Attendees",""),IF($T332="","Missing Status",""),IF(AND($D332&lt;&gt;"",$E332&lt;&gt;"",$D332&gt;=$E332),"Start&gt;=End",""),IF(OR($R332="",LEN($R332)&lt;60,ISNUMBER(MATCH(TRIM($R332),StatusList,0))),"Body overwritten/short",""))))</f>
        <v/>
      </c>
    </row>
    <row r="333" ht="12.75" customHeight="1">
      <c r="B333" s="25" t="n"/>
      <c r="C333" s="80" t="n"/>
      <c r="D333" s="77" t="n"/>
      <c r="E333" s="77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16">
        <f>IF($L333&lt;&gt;"","Purpose "&amp;CHAR(10)&amp;$L333&amp;CHAR(10)&amp;CHAR(10),"")&amp;
IF($M333&lt;&gt;"","Stops (in order) "&amp;CHAR(10)&amp;$M333&amp;CHAR(10)&amp;CHAR(10),"")&amp;
IF($N333&lt;&gt;"","To-Do (hard requirements) "&amp;CHAR(10)&amp;$N333&amp;CHAR(10)&amp;CHAR(10),"")&amp;
IF($O333&lt;&gt;"","Suggested Timeline "&amp;CHAR(10)&amp;$O333&amp;CHAR(10)&amp;CHAR(10),"")&amp;
IF($P333&lt;&gt;"","Guardrails "&amp;CHAR(10)&amp;$P333&amp;CHAR(10)&amp;CHAR(10),"")&amp;
IF($Q333&lt;&gt;"","Completion signals "&amp;CHAR(10)&amp;$Q333,"")</f>
        <v/>
      </c>
      <c r="S333" s="25" t="n"/>
      <c r="T333" s="25" t="n"/>
      <c r="U333" s="54" t="n"/>
      <c r="V333" s="54">
        <f>IF($B333="","",IF(_xludf.TEXTJOIN(" | ",TRUE,IF($B333="","Missing Title",""),IF($C333="","Missing Date",""),IF($D333="","Missing Start",""),IF($E333="","Missing End",""),IF($G333="","Missing Required Attendees",""),IF($T333="","Missing Status",""),IF(AND($D333&lt;&gt;"",$E333&lt;&gt;"",$D333&gt;=$E333),"Start&gt;=End",""),IF(OR($R333="",LEN($R333)&lt;60,ISNUMBER(MATCH(TRIM($R333),StatusList,0))),"Body overwritten/short",""))="","OK",_xludf.TEXTJOIN(" | ",TRUE,IF($B333="","Missing Title",""),IF($C333="","Missing Date",""),IF($D333="","Missing Start",""),IF($E333="","Missing End",""),IF($G333="","Missing Required Attendees",""),IF($T333="","Missing Status",""),IF(AND($D333&lt;&gt;"",$E333&lt;&gt;"",$D333&gt;=$E333),"Start&gt;=End",""),IF(OR($R333="",LEN($R333)&lt;60,ISNUMBER(MATCH(TRIM($R333),StatusList,0))),"Body overwritten/short",""))))</f>
        <v/>
      </c>
    </row>
    <row r="334" ht="12.75" customHeight="1">
      <c r="B334" s="25" t="n"/>
      <c r="C334" s="80" t="n"/>
      <c r="D334" s="77" t="n"/>
      <c r="E334" s="77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16">
        <f>IF($L334&lt;&gt;"","Purpose "&amp;CHAR(10)&amp;$L334&amp;CHAR(10)&amp;CHAR(10),"")&amp;
IF($M334&lt;&gt;"","Stops (in order) "&amp;CHAR(10)&amp;$M334&amp;CHAR(10)&amp;CHAR(10),"")&amp;
IF($N334&lt;&gt;"","To-Do (hard requirements) "&amp;CHAR(10)&amp;$N334&amp;CHAR(10)&amp;CHAR(10),"")&amp;
IF($O334&lt;&gt;"","Suggested Timeline "&amp;CHAR(10)&amp;$O334&amp;CHAR(10)&amp;CHAR(10),"")&amp;
IF($P334&lt;&gt;"","Guardrails "&amp;CHAR(10)&amp;$P334&amp;CHAR(10)&amp;CHAR(10),"")&amp;
IF($Q334&lt;&gt;"","Completion signals "&amp;CHAR(10)&amp;$Q334,"")</f>
        <v/>
      </c>
      <c r="S334" s="25" t="n"/>
      <c r="T334" s="25" t="n"/>
      <c r="U334" s="54" t="n"/>
      <c r="V334" s="54">
        <f>IF($B334="","",IF(_xludf.TEXTJOIN(" | ",TRUE,IF($B334="","Missing Title",""),IF($C334="","Missing Date",""),IF($D334="","Missing Start",""),IF($E334="","Missing End",""),IF($G334="","Missing Required Attendees",""),IF($T334="","Missing Status",""),IF(AND($D334&lt;&gt;"",$E334&lt;&gt;"",$D334&gt;=$E334),"Start&gt;=End",""),IF(OR($R334="",LEN($R334)&lt;60,ISNUMBER(MATCH(TRIM($R334),StatusList,0))),"Body overwritten/short",""))="","OK",_xludf.TEXTJOIN(" | ",TRUE,IF($B334="","Missing Title",""),IF($C334="","Missing Date",""),IF($D334="","Missing Start",""),IF($E334="","Missing End",""),IF($G334="","Missing Required Attendees",""),IF($T334="","Missing Status",""),IF(AND($D334&lt;&gt;"",$E334&lt;&gt;"",$D334&gt;=$E334),"Start&gt;=End",""),IF(OR($R334="",LEN($R334)&lt;60,ISNUMBER(MATCH(TRIM($R334),StatusList,0))),"Body overwritten/short",""))))</f>
        <v/>
      </c>
    </row>
    <row r="335" ht="12.75" customHeight="1">
      <c r="B335" s="25" t="n"/>
      <c r="C335" s="80" t="n"/>
      <c r="D335" s="77" t="n"/>
      <c r="E335" s="77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16">
        <f>IF($L335&lt;&gt;"","Purpose "&amp;CHAR(10)&amp;$L335&amp;CHAR(10)&amp;CHAR(10),"")&amp;
IF($M335&lt;&gt;"","Stops (in order) "&amp;CHAR(10)&amp;$M335&amp;CHAR(10)&amp;CHAR(10),"")&amp;
IF($N335&lt;&gt;"","To-Do (hard requirements) "&amp;CHAR(10)&amp;$N335&amp;CHAR(10)&amp;CHAR(10),"")&amp;
IF($O335&lt;&gt;"","Suggested Timeline "&amp;CHAR(10)&amp;$O335&amp;CHAR(10)&amp;CHAR(10),"")&amp;
IF($P335&lt;&gt;"","Guardrails "&amp;CHAR(10)&amp;$P335&amp;CHAR(10)&amp;CHAR(10),"")&amp;
IF($Q335&lt;&gt;"","Completion signals "&amp;CHAR(10)&amp;$Q335,"")</f>
        <v/>
      </c>
      <c r="S335" s="25" t="n"/>
      <c r="T335" s="25" t="n"/>
      <c r="U335" s="54" t="n"/>
      <c r="V335" s="54">
        <f>IF($B335="","",IF(_xludf.TEXTJOIN(" | ",TRUE,IF($B335="","Missing Title",""),IF($C335="","Missing Date",""),IF($D335="","Missing Start",""),IF($E335="","Missing End",""),IF($G335="","Missing Required Attendees",""),IF($T335="","Missing Status",""),IF(AND($D335&lt;&gt;"",$E335&lt;&gt;"",$D335&gt;=$E335),"Start&gt;=End",""),IF(OR($R335="",LEN($R335)&lt;60,ISNUMBER(MATCH(TRIM($R335),StatusList,0))),"Body overwritten/short",""))="","OK",_xludf.TEXTJOIN(" | ",TRUE,IF($B335="","Missing Title",""),IF($C335="","Missing Date",""),IF($D335="","Missing Start",""),IF($E335="","Missing End",""),IF($G335="","Missing Required Attendees",""),IF($T335="","Missing Status",""),IF(AND($D335&lt;&gt;"",$E335&lt;&gt;"",$D335&gt;=$E335),"Start&gt;=End",""),IF(OR($R335="",LEN($R335)&lt;60,ISNUMBER(MATCH(TRIM($R335),StatusList,0))),"Body overwritten/short",""))))</f>
        <v/>
      </c>
    </row>
    <row r="336" ht="12.75" customHeight="1">
      <c r="B336" s="25" t="n"/>
      <c r="C336" s="80" t="n"/>
      <c r="D336" s="77" t="n"/>
      <c r="E336" s="77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16">
        <f>IF($L336&lt;&gt;"","Purpose "&amp;CHAR(10)&amp;$L336&amp;CHAR(10)&amp;CHAR(10),"")&amp;
IF($M336&lt;&gt;"","Stops (in order) "&amp;CHAR(10)&amp;$M336&amp;CHAR(10)&amp;CHAR(10),"")&amp;
IF($N336&lt;&gt;"","To-Do (hard requirements) "&amp;CHAR(10)&amp;$N336&amp;CHAR(10)&amp;CHAR(10),"")&amp;
IF($O336&lt;&gt;"","Suggested Timeline "&amp;CHAR(10)&amp;$O336&amp;CHAR(10)&amp;CHAR(10),"")&amp;
IF($P336&lt;&gt;"","Guardrails "&amp;CHAR(10)&amp;$P336&amp;CHAR(10)&amp;CHAR(10),"")&amp;
IF($Q336&lt;&gt;"","Completion signals "&amp;CHAR(10)&amp;$Q336,"")</f>
        <v/>
      </c>
      <c r="S336" s="25" t="n"/>
      <c r="T336" s="25" t="n"/>
      <c r="U336" s="54" t="n"/>
      <c r="V336" s="54">
        <f>IF($B336="","",IF(_xludf.TEXTJOIN(" | ",TRUE,IF($B336="","Missing Title",""),IF($C336="","Missing Date",""),IF($D336="","Missing Start",""),IF($E336="","Missing End",""),IF($G336="","Missing Required Attendees",""),IF($T336="","Missing Status",""),IF(AND($D336&lt;&gt;"",$E336&lt;&gt;"",$D336&gt;=$E336),"Start&gt;=End",""),IF(OR($R336="",LEN($R336)&lt;60,ISNUMBER(MATCH(TRIM($R336),StatusList,0))),"Body overwritten/short",""))="","OK",_xludf.TEXTJOIN(" | ",TRUE,IF($B336="","Missing Title",""),IF($C336="","Missing Date",""),IF($D336="","Missing Start",""),IF($E336="","Missing End",""),IF($G336="","Missing Required Attendees",""),IF($T336="","Missing Status",""),IF(AND($D336&lt;&gt;"",$E336&lt;&gt;"",$D336&gt;=$E336),"Start&gt;=End",""),IF(OR($R336="",LEN($R336)&lt;60,ISNUMBER(MATCH(TRIM($R336),StatusList,0))),"Body overwritten/short",""))))</f>
        <v/>
      </c>
    </row>
    <row r="337" ht="12.75" customHeight="1">
      <c r="B337" s="25" t="n"/>
      <c r="C337" s="80" t="n"/>
      <c r="D337" s="77" t="n"/>
      <c r="E337" s="77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16">
        <f>IF($L337&lt;&gt;"","Purpose "&amp;CHAR(10)&amp;$L337&amp;CHAR(10)&amp;CHAR(10),"")&amp;
IF($M337&lt;&gt;"","Stops (in order) "&amp;CHAR(10)&amp;$M337&amp;CHAR(10)&amp;CHAR(10),"")&amp;
IF($N337&lt;&gt;"","To-Do (hard requirements) "&amp;CHAR(10)&amp;$N337&amp;CHAR(10)&amp;CHAR(10),"")&amp;
IF($O337&lt;&gt;"","Suggested Timeline "&amp;CHAR(10)&amp;$O337&amp;CHAR(10)&amp;CHAR(10),"")&amp;
IF($P337&lt;&gt;"","Guardrails "&amp;CHAR(10)&amp;$P337&amp;CHAR(10)&amp;CHAR(10),"")&amp;
IF($Q337&lt;&gt;"","Completion signals "&amp;CHAR(10)&amp;$Q337,"")</f>
        <v/>
      </c>
      <c r="S337" s="25" t="n"/>
      <c r="T337" s="25" t="n"/>
      <c r="U337" s="54" t="n"/>
      <c r="V337" s="54">
        <f>IF($B337="","",IF(_xludf.TEXTJOIN(" | ",TRUE,IF($B337="","Missing Title",""),IF($C337="","Missing Date",""),IF($D337="","Missing Start",""),IF($E337="","Missing End",""),IF($G337="","Missing Required Attendees",""),IF($T337="","Missing Status",""),IF(AND($D337&lt;&gt;"",$E337&lt;&gt;"",$D337&gt;=$E337),"Start&gt;=End",""),IF(OR($R337="",LEN($R337)&lt;60,ISNUMBER(MATCH(TRIM($R337),StatusList,0))),"Body overwritten/short",""))="","OK",_xludf.TEXTJOIN(" | ",TRUE,IF($B337="","Missing Title",""),IF($C337="","Missing Date",""),IF($D337="","Missing Start",""),IF($E337="","Missing End",""),IF($G337="","Missing Required Attendees",""),IF($T337="","Missing Status",""),IF(AND($D337&lt;&gt;"",$E337&lt;&gt;"",$D337&gt;=$E337),"Start&gt;=End",""),IF(OR($R337="",LEN($R337)&lt;60,ISNUMBER(MATCH(TRIM($R337),StatusList,0))),"Body overwritten/short",""))))</f>
        <v/>
      </c>
    </row>
    <row r="338" ht="12.75" customHeight="1">
      <c r="B338" s="25" t="n"/>
      <c r="C338" s="80" t="n"/>
      <c r="D338" s="77" t="n"/>
      <c r="E338" s="77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16">
        <f>IF($L338&lt;&gt;"","Purpose "&amp;CHAR(10)&amp;$L338&amp;CHAR(10)&amp;CHAR(10),"")&amp;
IF($M338&lt;&gt;"","Stops (in order) "&amp;CHAR(10)&amp;$M338&amp;CHAR(10)&amp;CHAR(10),"")&amp;
IF($N338&lt;&gt;"","To-Do (hard requirements) "&amp;CHAR(10)&amp;$N338&amp;CHAR(10)&amp;CHAR(10),"")&amp;
IF($O338&lt;&gt;"","Suggested Timeline "&amp;CHAR(10)&amp;$O338&amp;CHAR(10)&amp;CHAR(10),"")&amp;
IF($P338&lt;&gt;"","Guardrails "&amp;CHAR(10)&amp;$P338&amp;CHAR(10)&amp;CHAR(10),"")&amp;
IF($Q338&lt;&gt;"","Completion signals "&amp;CHAR(10)&amp;$Q338,"")</f>
        <v/>
      </c>
      <c r="S338" s="25" t="n"/>
      <c r="T338" s="25" t="n"/>
      <c r="U338" s="54" t="n"/>
      <c r="V338" s="54">
        <f>IF($B338="","",IF(_xludf.TEXTJOIN(" | ",TRUE,IF($B338="","Missing Title",""),IF($C338="","Missing Date",""),IF($D338="","Missing Start",""),IF($E338="","Missing End",""),IF($G338="","Missing Required Attendees",""),IF($T338="","Missing Status",""),IF(AND($D338&lt;&gt;"",$E338&lt;&gt;"",$D338&gt;=$E338),"Start&gt;=End",""),IF(OR($R338="",LEN($R338)&lt;60,ISNUMBER(MATCH(TRIM($R338),StatusList,0))),"Body overwritten/short",""))="","OK",_xludf.TEXTJOIN(" | ",TRUE,IF($B338="","Missing Title",""),IF($C338="","Missing Date",""),IF($D338="","Missing Start",""),IF($E338="","Missing End",""),IF($G338="","Missing Required Attendees",""),IF($T338="","Missing Status",""),IF(AND($D338&lt;&gt;"",$E338&lt;&gt;"",$D338&gt;=$E338),"Start&gt;=End",""),IF(OR($R338="",LEN($R338)&lt;60,ISNUMBER(MATCH(TRIM($R338),StatusList,0))),"Body overwritten/short",""))))</f>
        <v/>
      </c>
    </row>
    <row r="339" ht="12.75" customHeight="1">
      <c r="B339" s="25" t="n"/>
      <c r="C339" s="80" t="n"/>
      <c r="D339" s="77" t="n"/>
      <c r="E339" s="77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16">
        <f>IF($L339&lt;&gt;"","Purpose "&amp;CHAR(10)&amp;$L339&amp;CHAR(10)&amp;CHAR(10),"")&amp;
IF($M339&lt;&gt;"","Stops (in order) "&amp;CHAR(10)&amp;$M339&amp;CHAR(10)&amp;CHAR(10),"")&amp;
IF($N339&lt;&gt;"","To-Do (hard requirements) "&amp;CHAR(10)&amp;$N339&amp;CHAR(10)&amp;CHAR(10),"")&amp;
IF($O339&lt;&gt;"","Suggested Timeline "&amp;CHAR(10)&amp;$O339&amp;CHAR(10)&amp;CHAR(10),"")&amp;
IF($P339&lt;&gt;"","Guardrails "&amp;CHAR(10)&amp;$P339&amp;CHAR(10)&amp;CHAR(10),"")&amp;
IF($Q339&lt;&gt;"","Completion signals "&amp;CHAR(10)&amp;$Q339,"")</f>
        <v/>
      </c>
      <c r="S339" s="25" t="n"/>
      <c r="T339" s="25" t="n"/>
      <c r="U339" s="54" t="n"/>
      <c r="V339" s="54">
        <f>IF($B339="","",IF(_xludf.TEXTJOIN(" | ",TRUE,IF($B339="","Missing Title",""),IF($C339="","Missing Date",""),IF($D339="","Missing Start",""),IF($E339="","Missing End",""),IF($G339="","Missing Required Attendees",""),IF($T339="","Missing Status",""),IF(AND($D339&lt;&gt;"",$E339&lt;&gt;"",$D339&gt;=$E339),"Start&gt;=End",""),IF(OR($R339="",LEN($R339)&lt;60,ISNUMBER(MATCH(TRIM($R339),StatusList,0))),"Body overwritten/short",""))="","OK",_xludf.TEXTJOIN(" | ",TRUE,IF($B339="","Missing Title",""),IF($C339="","Missing Date",""),IF($D339="","Missing Start",""),IF($E339="","Missing End",""),IF($G339="","Missing Required Attendees",""),IF($T339="","Missing Status",""),IF(AND($D339&lt;&gt;"",$E339&lt;&gt;"",$D339&gt;=$E339),"Start&gt;=End",""),IF(OR($R339="",LEN($R339)&lt;60,ISNUMBER(MATCH(TRIM($R339),StatusList,0))),"Body overwritten/short",""))))</f>
        <v/>
      </c>
    </row>
    <row r="340" ht="12.75" customHeight="1">
      <c r="B340" s="25" t="n"/>
      <c r="C340" s="80" t="n"/>
      <c r="D340" s="77" t="n"/>
      <c r="E340" s="77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16">
        <f>IF($L340&lt;&gt;"","Purpose "&amp;CHAR(10)&amp;$L340&amp;CHAR(10)&amp;CHAR(10),"")&amp;
IF($M340&lt;&gt;"","Stops (in order) "&amp;CHAR(10)&amp;$M340&amp;CHAR(10)&amp;CHAR(10),"")&amp;
IF($N340&lt;&gt;"","To-Do (hard requirements) "&amp;CHAR(10)&amp;$N340&amp;CHAR(10)&amp;CHAR(10),"")&amp;
IF($O340&lt;&gt;"","Suggested Timeline "&amp;CHAR(10)&amp;$O340&amp;CHAR(10)&amp;CHAR(10),"")&amp;
IF($P340&lt;&gt;"","Guardrails "&amp;CHAR(10)&amp;$P340&amp;CHAR(10)&amp;CHAR(10),"")&amp;
IF($Q340&lt;&gt;"","Completion signals "&amp;CHAR(10)&amp;$Q340,"")</f>
        <v/>
      </c>
      <c r="S340" s="25" t="n"/>
      <c r="T340" s="25" t="n"/>
      <c r="U340" s="54" t="n"/>
      <c r="V340" s="54">
        <f>IF($B340="","",IF(_xludf.TEXTJOIN(" | ",TRUE,IF($B340="","Missing Title",""),IF($C340="","Missing Date",""),IF($D340="","Missing Start",""),IF($E340="","Missing End",""),IF($G340="","Missing Required Attendees",""),IF($T340="","Missing Status",""),IF(AND($D340&lt;&gt;"",$E340&lt;&gt;"",$D340&gt;=$E340),"Start&gt;=End",""),IF(OR($R340="",LEN($R340)&lt;60,ISNUMBER(MATCH(TRIM($R340),StatusList,0))),"Body overwritten/short",""))="","OK",_xludf.TEXTJOIN(" | ",TRUE,IF($B340="","Missing Title",""),IF($C340="","Missing Date",""),IF($D340="","Missing Start",""),IF($E340="","Missing End",""),IF($G340="","Missing Required Attendees",""),IF($T340="","Missing Status",""),IF(AND($D340&lt;&gt;"",$E340&lt;&gt;"",$D340&gt;=$E340),"Start&gt;=End",""),IF(OR($R340="",LEN($R340)&lt;60,ISNUMBER(MATCH(TRIM($R340),StatusList,0))),"Body overwritten/short",""))))</f>
        <v/>
      </c>
    </row>
    <row r="341" ht="12.75" customHeight="1">
      <c r="B341" s="25" t="n"/>
      <c r="C341" s="80" t="n"/>
      <c r="D341" s="77" t="n"/>
      <c r="E341" s="77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16">
        <f>IF($L341&lt;&gt;"","Purpose "&amp;CHAR(10)&amp;$L341&amp;CHAR(10)&amp;CHAR(10),"")&amp;
IF($M341&lt;&gt;"","Stops (in order) "&amp;CHAR(10)&amp;$M341&amp;CHAR(10)&amp;CHAR(10),"")&amp;
IF($N341&lt;&gt;"","To-Do (hard requirements) "&amp;CHAR(10)&amp;$N341&amp;CHAR(10)&amp;CHAR(10),"")&amp;
IF($O341&lt;&gt;"","Suggested Timeline "&amp;CHAR(10)&amp;$O341&amp;CHAR(10)&amp;CHAR(10),"")&amp;
IF($P341&lt;&gt;"","Guardrails "&amp;CHAR(10)&amp;$P341&amp;CHAR(10)&amp;CHAR(10),"")&amp;
IF($Q341&lt;&gt;"","Completion signals "&amp;CHAR(10)&amp;$Q341,"")</f>
        <v/>
      </c>
      <c r="S341" s="25" t="n"/>
      <c r="T341" s="25" t="n"/>
      <c r="U341" s="54" t="n"/>
      <c r="V341" s="54">
        <f>IF($B341="","",IF(_xludf.TEXTJOIN(" | ",TRUE,IF($B341="","Missing Title",""),IF($C341="","Missing Date",""),IF($D341="","Missing Start",""),IF($E341="","Missing End",""),IF($G341="","Missing Required Attendees",""),IF($T341="","Missing Status",""),IF(AND($D341&lt;&gt;"",$E341&lt;&gt;"",$D341&gt;=$E341),"Start&gt;=End",""),IF(OR($R341="",LEN($R341)&lt;60,ISNUMBER(MATCH(TRIM($R341),StatusList,0))),"Body overwritten/short",""))="","OK",_xludf.TEXTJOIN(" | ",TRUE,IF($B341="","Missing Title",""),IF($C341="","Missing Date",""),IF($D341="","Missing Start",""),IF($E341="","Missing End",""),IF($G341="","Missing Required Attendees",""),IF($T341="","Missing Status",""),IF(AND($D341&lt;&gt;"",$E341&lt;&gt;"",$D341&gt;=$E341),"Start&gt;=End",""),IF(OR($R341="",LEN($R341)&lt;60,ISNUMBER(MATCH(TRIM($R341),StatusList,0))),"Body overwritten/short",""))))</f>
        <v/>
      </c>
    </row>
    <row r="342" ht="12.75" customHeight="1">
      <c r="B342" s="25" t="n"/>
      <c r="C342" s="80" t="n"/>
      <c r="D342" s="77" t="n"/>
      <c r="E342" s="77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16">
        <f>IF($L342&lt;&gt;"","Purpose "&amp;CHAR(10)&amp;$L342&amp;CHAR(10)&amp;CHAR(10),"")&amp;
IF($M342&lt;&gt;"","Stops (in order) "&amp;CHAR(10)&amp;$M342&amp;CHAR(10)&amp;CHAR(10),"")&amp;
IF($N342&lt;&gt;"","To-Do (hard requirements) "&amp;CHAR(10)&amp;$N342&amp;CHAR(10)&amp;CHAR(10),"")&amp;
IF($O342&lt;&gt;"","Suggested Timeline "&amp;CHAR(10)&amp;$O342&amp;CHAR(10)&amp;CHAR(10),"")&amp;
IF($P342&lt;&gt;"","Guardrails "&amp;CHAR(10)&amp;$P342&amp;CHAR(10)&amp;CHAR(10),"")&amp;
IF($Q342&lt;&gt;"","Completion signals "&amp;CHAR(10)&amp;$Q342,"")</f>
        <v/>
      </c>
      <c r="S342" s="25" t="n"/>
      <c r="T342" s="25" t="n"/>
      <c r="U342" s="54" t="n"/>
      <c r="V342" s="54">
        <f>IF($B342="","",IF(_xludf.TEXTJOIN(" | ",TRUE,IF($B342="","Missing Title",""),IF($C342="","Missing Date",""),IF($D342="","Missing Start",""),IF($E342="","Missing End",""),IF($G342="","Missing Required Attendees",""),IF($T342="","Missing Status",""),IF(AND($D342&lt;&gt;"",$E342&lt;&gt;"",$D342&gt;=$E342),"Start&gt;=End",""),IF(OR($R342="",LEN($R342)&lt;60,ISNUMBER(MATCH(TRIM($R342),StatusList,0))),"Body overwritten/short",""))="","OK",_xludf.TEXTJOIN(" | ",TRUE,IF($B342="","Missing Title",""),IF($C342="","Missing Date",""),IF($D342="","Missing Start",""),IF($E342="","Missing End",""),IF($G342="","Missing Required Attendees",""),IF($T342="","Missing Status",""),IF(AND($D342&lt;&gt;"",$E342&lt;&gt;"",$D342&gt;=$E342),"Start&gt;=End",""),IF(OR($R342="",LEN($R342)&lt;60,ISNUMBER(MATCH(TRIM($R342),StatusList,0))),"Body overwritten/short",""))))</f>
        <v/>
      </c>
    </row>
    <row r="343" ht="12.75" customHeight="1">
      <c r="B343" s="25" t="n"/>
      <c r="C343" s="80" t="n"/>
      <c r="D343" s="77" t="n"/>
      <c r="E343" s="77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16">
        <f>IF($L343&lt;&gt;"","Purpose "&amp;CHAR(10)&amp;$L343&amp;CHAR(10)&amp;CHAR(10),"")&amp;
IF($M343&lt;&gt;"","Stops (in order) "&amp;CHAR(10)&amp;$M343&amp;CHAR(10)&amp;CHAR(10),"")&amp;
IF($N343&lt;&gt;"","To-Do (hard requirements) "&amp;CHAR(10)&amp;$N343&amp;CHAR(10)&amp;CHAR(10),"")&amp;
IF($O343&lt;&gt;"","Suggested Timeline "&amp;CHAR(10)&amp;$O343&amp;CHAR(10)&amp;CHAR(10),"")&amp;
IF($P343&lt;&gt;"","Guardrails "&amp;CHAR(10)&amp;$P343&amp;CHAR(10)&amp;CHAR(10),"")&amp;
IF($Q343&lt;&gt;"","Completion signals "&amp;CHAR(10)&amp;$Q343,"")</f>
        <v/>
      </c>
      <c r="S343" s="25" t="n"/>
      <c r="T343" s="25" t="n"/>
      <c r="U343" s="54" t="n"/>
      <c r="V343" s="54">
        <f>IF($B343="","",IF(_xludf.TEXTJOIN(" | ",TRUE,IF($B343="","Missing Title",""),IF($C343="","Missing Date",""),IF($D343="","Missing Start",""),IF($E343="","Missing End",""),IF($G343="","Missing Required Attendees",""),IF($T343="","Missing Status",""),IF(AND($D343&lt;&gt;"",$E343&lt;&gt;"",$D343&gt;=$E343),"Start&gt;=End",""),IF(OR($R343="",LEN($R343)&lt;60,ISNUMBER(MATCH(TRIM($R343),StatusList,0))),"Body overwritten/short",""))="","OK",_xludf.TEXTJOIN(" | ",TRUE,IF($B343="","Missing Title",""),IF($C343="","Missing Date",""),IF($D343="","Missing Start",""),IF($E343="","Missing End",""),IF($G343="","Missing Required Attendees",""),IF($T343="","Missing Status",""),IF(AND($D343&lt;&gt;"",$E343&lt;&gt;"",$D343&gt;=$E343),"Start&gt;=End",""),IF(OR($R343="",LEN($R343)&lt;60,ISNUMBER(MATCH(TRIM($R343),StatusList,0))),"Body overwritten/short",""))))</f>
        <v/>
      </c>
    </row>
    <row r="344" ht="12.75" customHeight="1">
      <c r="B344" s="25" t="n"/>
      <c r="C344" s="80" t="n"/>
      <c r="D344" s="77" t="n"/>
      <c r="E344" s="77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16">
        <f>IF($L344&lt;&gt;"","Purpose "&amp;CHAR(10)&amp;$L344&amp;CHAR(10)&amp;CHAR(10),"")&amp;
IF($M344&lt;&gt;"","Stops (in order) "&amp;CHAR(10)&amp;$M344&amp;CHAR(10)&amp;CHAR(10),"")&amp;
IF($N344&lt;&gt;"","To-Do (hard requirements) "&amp;CHAR(10)&amp;$N344&amp;CHAR(10)&amp;CHAR(10),"")&amp;
IF($O344&lt;&gt;"","Suggested Timeline "&amp;CHAR(10)&amp;$O344&amp;CHAR(10)&amp;CHAR(10),"")&amp;
IF($P344&lt;&gt;"","Guardrails "&amp;CHAR(10)&amp;$P344&amp;CHAR(10)&amp;CHAR(10),"")&amp;
IF($Q344&lt;&gt;"","Completion signals "&amp;CHAR(10)&amp;$Q344,"")</f>
        <v/>
      </c>
      <c r="S344" s="25" t="n"/>
      <c r="T344" s="25" t="n"/>
      <c r="U344" s="54" t="n"/>
      <c r="V344" s="54">
        <f>IF($B344="","",IF(_xludf.TEXTJOIN(" | ",TRUE,IF($B344="","Missing Title",""),IF($C344="","Missing Date",""),IF($D344="","Missing Start",""),IF($E344="","Missing End",""),IF($G344="","Missing Required Attendees",""),IF($T344="","Missing Status",""),IF(AND($D344&lt;&gt;"",$E344&lt;&gt;"",$D344&gt;=$E344),"Start&gt;=End",""),IF(OR($R344="",LEN($R344)&lt;60,ISNUMBER(MATCH(TRIM($R344),StatusList,0))),"Body overwritten/short",""))="","OK",_xludf.TEXTJOIN(" | ",TRUE,IF($B344="","Missing Title",""),IF($C344="","Missing Date",""),IF($D344="","Missing Start",""),IF($E344="","Missing End",""),IF($G344="","Missing Required Attendees",""),IF($T344="","Missing Status",""),IF(AND($D344&lt;&gt;"",$E344&lt;&gt;"",$D344&gt;=$E344),"Start&gt;=End",""),IF(OR($R344="",LEN($R344)&lt;60,ISNUMBER(MATCH(TRIM($R344),StatusList,0))),"Body overwritten/short",""))))</f>
        <v/>
      </c>
    </row>
    <row r="345" ht="12.75" customHeight="1">
      <c r="B345" s="25" t="n"/>
      <c r="C345" s="80" t="n"/>
      <c r="D345" s="77" t="n"/>
      <c r="E345" s="77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16">
        <f>IF($L345&lt;&gt;"","Purpose "&amp;CHAR(10)&amp;$L345&amp;CHAR(10)&amp;CHAR(10),"")&amp;
IF($M345&lt;&gt;"","Stops (in order) "&amp;CHAR(10)&amp;$M345&amp;CHAR(10)&amp;CHAR(10),"")&amp;
IF($N345&lt;&gt;"","To-Do (hard requirements) "&amp;CHAR(10)&amp;$N345&amp;CHAR(10)&amp;CHAR(10),"")&amp;
IF($O345&lt;&gt;"","Suggested Timeline "&amp;CHAR(10)&amp;$O345&amp;CHAR(10)&amp;CHAR(10),"")&amp;
IF($P345&lt;&gt;"","Guardrails "&amp;CHAR(10)&amp;$P345&amp;CHAR(10)&amp;CHAR(10),"")&amp;
IF($Q345&lt;&gt;"","Completion signals "&amp;CHAR(10)&amp;$Q345,"")</f>
        <v/>
      </c>
      <c r="S345" s="25" t="n"/>
      <c r="T345" s="25" t="n"/>
      <c r="U345" s="54" t="n"/>
      <c r="V345" s="54">
        <f>IF($B345="","",IF(_xludf.TEXTJOIN(" | ",TRUE,IF($B345="","Missing Title",""),IF($C345="","Missing Date",""),IF($D345="","Missing Start",""),IF($E345="","Missing End",""),IF($G345="","Missing Required Attendees",""),IF($T345="","Missing Status",""),IF(AND($D345&lt;&gt;"",$E345&lt;&gt;"",$D345&gt;=$E345),"Start&gt;=End",""),IF(OR($R345="",LEN($R345)&lt;60,ISNUMBER(MATCH(TRIM($R345),StatusList,0))),"Body overwritten/short",""))="","OK",_xludf.TEXTJOIN(" | ",TRUE,IF($B345="","Missing Title",""),IF($C345="","Missing Date",""),IF($D345="","Missing Start",""),IF($E345="","Missing End",""),IF($G345="","Missing Required Attendees",""),IF($T345="","Missing Status",""),IF(AND($D345&lt;&gt;"",$E345&lt;&gt;"",$D345&gt;=$E345),"Start&gt;=End",""),IF(OR($R345="",LEN($R345)&lt;60,ISNUMBER(MATCH(TRIM($R345),StatusList,0))),"Body overwritten/short",""))))</f>
        <v/>
      </c>
    </row>
    <row r="346" ht="12.75" customHeight="1">
      <c r="B346" s="25" t="n"/>
      <c r="C346" s="80" t="n"/>
      <c r="D346" s="77" t="n"/>
      <c r="E346" s="77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16">
        <f>IF($L346&lt;&gt;"","Purpose "&amp;CHAR(10)&amp;$L346&amp;CHAR(10)&amp;CHAR(10),"")&amp;
IF($M346&lt;&gt;"","Stops (in order) "&amp;CHAR(10)&amp;$M346&amp;CHAR(10)&amp;CHAR(10),"")&amp;
IF($N346&lt;&gt;"","To-Do (hard requirements) "&amp;CHAR(10)&amp;$N346&amp;CHAR(10)&amp;CHAR(10),"")&amp;
IF($O346&lt;&gt;"","Suggested Timeline "&amp;CHAR(10)&amp;$O346&amp;CHAR(10)&amp;CHAR(10),"")&amp;
IF($P346&lt;&gt;"","Guardrails "&amp;CHAR(10)&amp;$P346&amp;CHAR(10)&amp;CHAR(10),"")&amp;
IF($Q346&lt;&gt;"","Completion signals "&amp;CHAR(10)&amp;$Q346,"")</f>
        <v/>
      </c>
      <c r="S346" s="25" t="n"/>
      <c r="T346" s="25" t="n"/>
      <c r="U346" s="54" t="n"/>
      <c r="V346" s="54">
        <f>IF($B346="","",IF(_xludf.TEXTJOIN(" | ",TRUE,IF($B346="","Missing Title",""),IF($C346="","Missing Date",""),IF($D346="","Missing Start",""),IF($E346="","Missing End",""),IF($G346="","Missing Required Attendees",""),IF($T346="","Missing Status",""),IF(AND($D346&lt;&gt;"",$E346&lt;&gt;"",$D346&gt;=$E346),"Start&gt;=End",""),IF(OR($R346="",LEN($R346)&lt;60,ISNUMBER(MATCH(TRIM($R346),StatusList,0))),"Body overwritten/short",""))="","OK",_xludf.TEXTJOIN(" | ",TRUE,IF($B346="","Missing Title",""),IF($C346="","Missing Date",""),IF($D346="","Missing Start",""),IF($E346="","Missing End",""),IF($G346="","Missing Required Attendees",""),IF($T346="","Missing Status",""),IF(AND($D346&lt;&gt;"",$E346&lt;&gt;"",$D346&gt;=$E346),"Start&gt;=End",""),IF(OR($R346="",LEN($R346)&lt;60,ISNUMBER(MATCH(TRIM($R346),StatusList,0))),"Body overwritten/short",""))))</f>
        <v/>
      </c>
    </row>
    <row r="347" ht="12.75" customHeight="1">
      <c r="B347" s="25" t="n"/>
      <c r="C347" s="80" t="n"/>
      <c r="D347" s="77" t="n"/>
      <c r="E347" s="77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16">
        <f>IF($L347&lt;&gt;"","Purpose "&amp;CHAR(10)&amp;$L347&amp;CHAR(10)&amp;CHAR(10),"")&amp;
IF($M347&lt;&gt;"","Stops (in order) "&amp;CHAR(10)&amp;$M347&amp;CHAR(10)&amp;CHAR(10),"")&amp;
IF($N347&lt;&gt;"","To-Do (hard requirements) "&amp;CHAR(10)&amp;$N347&amp;CHAR(10)&amp;CHAR(10),"")&amp;
IF($O347&lt;&gt;"","Suggested Timeline "&amp;CHAR(10)&amp;$O347&amp;CHAR(10)&amp;CHAR(10),"")&amp;
IF($P347&lt;&gt;"","Guardrails "&amp;CHAR(10)&amp;$P347&amp;CHAR(10)&amp;CHAR(10),"")&amp;
IF($Q347&lt;&gt;"","Completion signals "&amp;CHAR(10)&amp;$Q347,"")</f>
        <v/>
      </c>
      <c r="S347" s="25" t="n"/>
      <c r="T347" s="25" t="n"/>
      <c r="U347" s="54" t="n"/>
      <c r="V347" s="54">
        <f>IF($B347="","",IF(_xludf.TEXTJOIN(" | ",TRUE,IF($B347="","Missing Title",""),IF($C347="","Missing Date",""),IF($D347="","Missing Start",""),IF($E347="","Missing End",""),IF($G347="","Missing Required Attendees",""),IF($T347="","Missing Status",""),IF(AND($D347&lt;&gt;"",$E347&lt;&gt;"",$D347&gt;=$E347),"Start&gt;=End",""),IF(OR($R347="",LEN($R347)&lt;60,ISNUMBER(MATCH(TRIM($R347),StatusList,0))),"Body overwritten/short",""))="","OK",_xludf.TEXTJOIN(" | ",TRUE,IF($B347="","Missing Title",""),IF($C347="","Missing Date",""),IF($D347="","Missing Start",""),IF($E347="","Missing End",""),IF($G347="","Missing Required Attendees",""),IF($T347="","Missing Status",""),IF(AND($D347&lt;&gt;"",$E347&lt;&gt;"",$D347&gt;=$E347),"Start&gt;=End",""),IF(OR($R347="",LEN($R347)&lt;60,ISNUMBER(MATCH(TRIM($R347),StatusList,0))),"Body overwritten/short",""))))</f>
        <v/>
      </c>
    </row>
    <row r="348" ht="12.75" customHeight="1">
      <c r="B348" s="25" t="n"/>
      <c r="C348" s="80" t="n"/>
      <c r="D348" s="77" t="n"/>
      <c r="E348" s="77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16">
        <f>IF($L348&lt;&gt;"","Purpose "&amp;CHAR(10)&amp;$L348&amp;CHAR(10)&amp;CHAR(10),"")&amp;
IF($M348&lt;&gt;"","Stops (in order) "&amp;CHAR(10)&amp;$M348&amp;CHAR(10)&amp;CHAR(10),"")&amp;
IF($N348&lt;&gt;"","To-Do (hard requirements) "&amp;CHAR(10)&amp;$N348&amp;CHAR(10)&amp;CHAR(10),"")&amp;
IF($O348&lt;&gt;"","Suggested Timeline "&amp;CHAR(10)&amp;$O348&amp;CHAR(10)&amp;CHAR(10),"")&amp;
IF($P348&lt;&gt;"","Guardrails "&amp;CHAR(10)&amp;$P348&amp;CHAR(10)&amp;CHAR(10),"")&amp;
IF($Q348&lt;&gt;"","Completion signals "&amp;CHAR(10)&amp;$Q348,"")</f>
        <v/>
      </c>
      <c r="S348" s="25" t="n"/>
      <c r="T348" s="25" t="n"/>
      <c r="U348" s="54" t="n"/>
      <c r="V348" s="54">
        <f>IF($B348="","",IF(_xludf.TEXTJOIN(" | ",TRUE,IF($B348="","Missing Title",""),IF($C348="","Missing Date",""),IF($D348="","Missing Start",""),IF($E348="","Missing End",""),IF($G348="","Missing Required Attendees",""),IF($T348="","Missing Status",""),IF(AND($D348&lt;&gt;"",$E348&lt;&gt;"",$D348&gt;=$E348),"Start&gt;=End",""),IF(OR($R348="",LEN($R348)&lt;60,ISNUMBER(MATCH(TRIM($R348),StatusList,0))),"Body overwritten/short",""))="","OK",_xludf.TEXTJOIN(" | ",TRUE,IF($B348="","Missing Title",""),IF($C348="","Missing Date",""),IF($D348="","Missing Start",""),IF($E348="","Missing End",""),IF($G348="","Missing Required Attendees",""),IF($T348="","Missing Status",""),IF(AND($D348&lt;&gt;"",$E348&lt;&gt;"",$D348&gt;=$E348),"Start&gt;=End",""),IF(OR($R348="",LEN($R348)&lt;60,ISNUMBER(MATCH(TRIM($R348),StatusList,0))),"Body overwritten/short",""))))</f>
        <v/>
      </c>
    </row>
    <row r="349" ht="12.75" customHeight="1">
      <c r="B349" s="25" t="n"/>
      <c r="C349" s="80" t="n"/>
      <c r="D349" s="77" t="n"/>
      <c r="E349" s="77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16">
        <f>IF($L349&lt;&gt;"","Purpose "&amp;CHAR(10)&amp;$L349&amp;CHAR(10)&amp;CHAR(10),"")&amp;
IF($M349&lt;&gt;"","Stops (in order) "&amp;CHAR(10)&amp;$M349&amp;CHAR(10)&amp;CHAR(10),"")&amp;
IF($N349&lt;&gt;"","To-Do (hard requirements) "&amp;CHAR(10)&amp;$N349&amp;CHAR(10)&amp;CHAR(10),"")&amp;
IF($O349&lt;&gt;"","Suggested Timeline "&amp;CHAR(10)&amp;$O349&amp;CHAR(10)&amp;CHAR(10),"")&amp;
IF($P349&lt;&gt;"","Guardrails "&amp;CHAR(10)&amp;$P349&amp;CHAR(10)&amp;CHAR(10),"")&amp;
IF($Q349&lt;&gt;"","Completion signals "&amp;CHAR(10)&amp;$Q349,"")</f>
        <v/>
      </c>
      <c r="S349" s="25" t="n"/>
      <c r="T349" s="25" t="n"/>
      <c r="U349" s="54" t="n"/>
      <c r="V349" s="54">
        <f>IF($B349="","",IF(_xludf.TEXTJOIN(" | ",TRUE,IF($B349="","Missing Title",""),IF($C349="","Missing Date",""),IF($D349="","Missing Start",""),IF($E349="","Missing End",""),IF($G349="","Missing Required Attendees",""),IF($T349="","Missing Status",""),IF(AND($D349&lt;&gt;"",$E349&lt;&gt;"",$D349&gt;=$E349),"Start&gt;=End",""),IF(OR($R349="",LEN($R349)&lt;60,ISNUMBER(MATCH(TRIM($R349),StatusList,0))),"Body overwritten/short",""))="","OK",_xludf.TEXTJOIN(" | ",TRUE,IF($B349="","Missing Title",""),IF($C349="","Missing Date",""),IF($D349="","Missing Start",""),IF($E349="","Missing End",""),IF($G349="","Missing Required Attendees",""),IF($T349="","Missing Status",""),IF(AND($D349&lt;&gt;"",$E349&lt;&gt;"",$D349&gt;=$E349),"Start&gt;=End",""),IF(OR($R349="",LEN($R349)&lt;60,ISNUMBER(MATCH(TRIM($R349),StatusList,0))),"Body overwritten/short",""))))</f>
        <v/>
      </c>
    </row>
    <row r="350" ht="12.75" customHeight="1">
      <c r="B350" s="25" t="n"/>
      <c r="C350" s="80" t="n"/>
      <c r="D350" s="77" t="n"/>
      <c r="E350" s="77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16">
        <f>IF($L350&lt;&gt;"","Purpose "&amp;CHAR(10)&amp;$L350&amp;CHAR(10)&amp;CHAR(10),"")&amp;
IF($M350&lt;&gt;"","Stops (in order) "&amp;CHAR(10)&amp;$M350&amp;CHAR(10)&amp;CHAR(10),"")&amp;
IF($N350&lt;&gt;"","To-Do (hard requirements) "&amp;CHAR(10)&amp;$N350&amp;CHAR(10)&amp;CHAR(10),"")&amp;
IF($O350&lt;&gt;"","Suggested Timeline "&amp;CHAR(10)&amp;$O350&amp;CHAR(10)&amp;CHAR(10),"")&amp;
IF($P350&lt;&gt;"","Guardrails "&amp;CHAR(10)&amp;$P350&amp;CHAR(10)&amp;CHAR(10),"")&amp;
IF($Q350&lt;&gt;"","Completion signals "&amp;CHAR(10)&amp;$Q350,"")</f>
        <v/>
      </c>
      <c r="S350" s="25" t="n"/>
      <c r="T350" s="25" t="n"/>
      <c r="U350" s="54" t="n"/>
      <c r="V350" s="54">
        <f>IF($B350="","",IF(_xludf.TEXTJOIN(" | ",TRUE,IF($B350="","Missing Title",""),IF($C350="","Missing Date",""),IF($D350="","Missing Start",""),IF($E350="","Missing End",""),IF($G350="","Missing Required Attendees",""),IF($T350="","Missing Status",""),IF(AND($D350&lt;&gt;"",$E350&lt;&gt;"",$D350&gt;=$E350),"Start&gt;=End",""),IF(OR($R350="",LEN($R350)&lt;60,ISNUMBER(MATCH(TRIM($R350),StatusList,0))),"Body overwritten/short",""))="","OK",_xludf.TEXTJOIN(" | ",TRUE,IF($B350="","Missing Title",""),IF($C350="","Missing Date",""),IF($D350="","Missing Start",""),IF($E350="","Missing End",""),IF($G350="","Missing Required Attendees",""),IF($T350="","Missing Status",""),IF(AND($D350&lt;&gt;"",$E350&lt;&gt;"",$D350&gt;=$E350),"Start&gt;=End",""),IF(OR($R350="",LEN($R350)&lt;60,ISNUMBER(MATCH(TRIM($R350),StatusList,0))),"Body overwritten/short",""))))</f>
        <v/>
      </c>
    </row>
    <row r="351" ht="12.75" customHeight="1">
      <c r="B351" s="25" t="n"/>
      <c r="C351" s="80" t="n"/>
      <c r="D351" s="77" t="n"/>
      <c r="E351" s="77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16">
        <f>IF($L351&lt;&gt;"","Purpose "&amp;CHAR(10)&amp;$L351&amp;CHAR(10)&amp;CHAR(10),"")&amp;
IF($M351&lt;&gt;"","Stops (in order) "&amp;CHAR(10)&amp;$M351&amp;CHAR(10)&amp;CHAR(10),"")&amp;
IF($N351&lt;&gt;"","To-Do (hard requirements) "&amp;CHAR(10)&amp;$N351&amp;CHAR(10)&amp;CHAR(10),"")&amp;
IF($O351&lt;&gt;"","Suggested Timeline "&amp;CHAR(10)&amp;$O351&amp;CHAR(10)&amp;CHAR(10),"")&amp;
IF($P351&lt;&gt;"","Guardrails "&amp;CHAR(10)&amp;$P351&amp;CHAR(10)&amp;CHAR(10),"")&amp;
IF($Q351&lt;&gt;"","Completion signals "&amp;CHAR(10)&amp;$Q351,"")</f>
        <v/>
      </c>
      <c r="S351" s="25" t="n"/>
      <c r="T351" s="25" t="n"/>
      <c r="U351" s="54" t="n"/>
      <c r="V351" s="54">
        <f>IF($B351="","",IF(_xludf.TEXTJOIN(" | ",TRUE,IF($B351="","Missing Title",""),IF($C351="","Missing Date",""),IF($D351="","Missing Start",""),IF($E351="","Missing End",""),IF($G351="","Missing Required Attendees",""),IF($T351="","Missing Status",""),IF(AND($D351&lt;&gt;"",$E351&lt;&gt;"",$D351&gt;=$E351),"Start&gt;=End",""),IF(OR($R351="",LEN($R351)&lt;60,ISNUMBER(MATCH(TRIM($R351),StatusList,0))),"Body overwritten/short",""))="","OK",_xludf.TEXTJOIN(" | ",TRUE,IF($B351="","Missing Title",""),IF($C351="","Missing Date",""),IF($D351="","Missing Start",""),IF($E351="","Missing End",""),IF($G351="","Missing Required Attendees",""),IF($T351="","Missing Status",""),IF(AND($D351&lt;&gt;"",$E351&lt;&gt;"",$D351&gt;=$E351),"Start&gt;=End",""),IF(OR($R351="",LEN($R351)&lt;60,ISNUMBER(MATCH(TRIM($R351),StatusList,0))),"Body overwritten/short",""))))</f>
        <v/>
      </c>
    </row>
    <row r="352" ht="12.75" customHeight="1">
      <c r="B352" s="25" t="n"/>
      <c r="C352" s="80" t="n"/>
      <c r="D352" s="77" t="n"/>
      <c r="E352" s="77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16">
        <f>IF($L352&lt;&gt;"","Purpose "&amp;CHAR(10)&amp;$L352&amp;CHAR(10)&amp;CHAR(10),"")&amp;
IF($M352&lt;&gt;"","Stops (in order) "&amp;CHAR(10)&amp;$M352&amp;CHAR(10)&amp;CHAR(10),"")&amp;
IF($N352&lt;&gt;"","To-Do (hard requirements) "&amp;CHAR(10)&amp;$N352&amp;CHAR(10)&amp;CHAR(10),"")&amp;
IF($O352&lt;&gt;"","Suggested Timeline "&amp;CHAR(10)&amp;$O352&amp;CHAR(10)&amp;CHAR(10),"")&amp;
IF($P352&lt;&gt;"","Guardrails "&amp;CHAR(10)&amp;$P352&amp;CHAR(10)&amp;CHAR(10),"")&amp;
IF($Q352&lt;&gt;"","Completion signals "&amp;CHAR(10)&amp;$Q352,"")</f>
        <v/>
      </c>
      <c r="S352" s="25" t="n"/>
      <c r="T352" s="25" t="n"/>
      <c r="U352" s="54" t="n"/>
      <c r="V352" s="54">
        <f>IF($B352="","",IF(_xludf.TEXTJOIN(" | ",TRUE,IF($B352="","Missing Title",""),IF($C352="","Missing Date",""),IF($D352="","Missing Start",""),IF($E352="","Missing End",""),IF($G352="","Missing Required Attendees",""),IF($T352="","Missing Status",""),IF(AND($D352&lt;&gt;"",$E352&lt;&gt;"",$D352&gt;=$E352),"Start&gt;=End",""),IF(OR($R352="",LEN($R352)&lt;60,ISNUMBER(MATCH(TRIM($R352),StatusList,0))),"Body overwritten/short",""))="","OK",_xludf.TEXTJOIN(" | ",TRUE,IF($B352="","Missing Title",""),IF($C352="","Missing Date",""),IF($D352="","Missing Start",""),IF($E352="","Missing End",""),IF($G352="","Missing Required Attendees",""),IF($T352="","Missing Status",""),IF(AND($D352&lt;&gt;"",$E352&lt;&gt;"",$D352&gt;=$E352),"Start&gt;=End",""),IF(OR($R352="",LEN($R352)&lt;60,ISNUMBER(MATCH(TRIM($R352),StatusList,0))),"Body overwritten/short",""))))</f>
        <v/>
      </c>
    </row>
    <row r="353" ht="12.75" customHeight="1">
      <c r="B353" s="25" t="n"/>
      <c r="C353" s="80" t="n"/>
      <c r="D353" s="77" t="n"/>
      <c r="E353" s="77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16">
        <f>IF($L353&lt;&gt;"","Purpose "&amp;CHAR(10)&amp;$L353&amp;CHAR(10)&amp;CHAR(10),"")&amp;
IF($M353&lt;&gt;"","Stops (in order) "&amp;CHAR(10)&amp;$M353&amp;CHAR(10)&amp;CHAR(10),"")&amp;
IF($N353&lt;&gt;"","To-Do (hard requirements) "&amp;CHAR(10)&amp;$N353&amp;CHAR(10)&amp;CHAR(10),"")&amp;
IF($O353&lt;&gt;"","Suggested Timeline "&amp;CHAR(10)&amp;$O353&amp;CHAR(10)&amp;CHAR(10),"")&amp;
IF($P353&lt;&gt;"","Guardrails "&amp;CHAR(10)&amp;$P353&amp;CHAR(10)&amp;CHAR(10),"")&amp;
IF($Q353&lt;&gt;"","Completion signals "&amp;CHAR(10)&amp;$Q353,"")</f>
        <v/>
      </c>
      <c r="S353" s="25" t="n"/>
      <c r="T353" s="25" t="n"/>
      <c r="U353" s="54" t="n"/>
      <c r="V353" s="54">
        <f>IF($B353="","",IF(_xludf.TEXTJOIN(" | ",TRUE,IF($B353="","Missing Title",""),IF($C353="","Missing Date",""),IF($D353="","Missing Start",""),IF($E353="","Missing End",""),IF($G353="","Missing Required Attendees",""),IF($T353="","Missing Status",""),IF(AND($D353&lt;&gt;"",$E353&lt;&gt;"",$D353&gt;=$E353),"Start&gt;=End",""),IF(OR($R353="",LEN($R353)&lt;60,ISNUMBER(MATCH(TRIM($R353),StatusList,0))),"Body overwritten/short",""))="","OK",_xludf.TEXTJOIN(" | ",TRUE,IF($B353="","Missing Title",""),IF($C353="","Missing Date",""),IF($D353="","Missing Start",""),IF($E353="","Missing End",""),IF($G353="","Missing Required Attendees",""),IF($T353="","Missing Status",""),IF(AND($D353&lt;&gt;"",$E353&lt;&gt;"",$D353&gt;=$E353),"Start&gt;=End",""),IF(OR($R353="",LEN($R353)&lt;60,ISNUMBER(MATCH(TRIM($R353),StatusList,0))),"Body overwritten/short",""))))</f>
        <v/>
      </c>
    </row>
    <row r="354" ht="12.75" customHeight="1">
      <c r="B354" s="25" t="n"/>
      <c r="C354" s="80" t="n"/>
      <c r="D354" s="77" t="n"/>
      <c r="E354" s="77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16">
        <f>IF($L354&lt;&gt;"","Purpose "&amp;CHAR(10)&amp;$L354&amp;CHAR(10)&amp;CHAR(10),"")&amp;
IF($M354&lt;&gt;"","Stops (in order) "&amp;CHAR(10)&amp;$M354&amp;CHAR(10)&amp;CHAR(10),"")&amp;
IF($N354&lt;&gt;"","To-Do (hard requirements) "&amp;CHAR(10)&amp;$N354&amp;CHAR(10)&amp;CHAR(10),"")&amp;
IF($O354&lt;&gt;"","Suggested Timeline "&amp;CHAR(10)&amp;$O354&amp;CHAR(10)&amp;CHAR(10),"")&amp;
IF($P354&lt;&gt;"","Guardrails "&amp;CHAR(10)&amp;$P354&amp;CHAR(10)&amp;CHAR(10),"")&amp;
IF($Q354&lt;&gt;"","Completion signals "&amp;CHAR(10)&amp;$Q354,"")</f>
        <v/>
      </c>
      <c r="S354" s="25" t="n"/>
      <c r="T354" s="25" t="n"/>
      <c r="U354" s="54" t="n"/>
      <c r="V354" s="54">
        <f>IF($B354="","",IF(_xludf.TEXTJOIN(" | ",TRUE,IF($B354="","Missing Title",""),IF($C354="","Missing Date",""),IF($D354="","Missing Start",""),IF($E354="","Missing End",""),IF($G354="","Missing Required Attendees",""),IF($T354="","Missing Status",""),IF(AND($D354&lt;&gt;"",$E354&lt;&gt;"",$D354&gt;=$E354),"Start&gt;=End",""),IF(OR($R354="",LEN($R354)&lt;60,ISNUMBER(MATCH(TRIM($R354),StatusList,0))),"Body overwritten/short",""))="","OK",_xludf.TEXTJOIN(" | ",TRUE,IF($B354="","Missing Title",""),IF($C354="","Missing Date",""),IF($D354="","Missing Start",""),IF($E354="","Missing End",""),IF($G354="","Missing Required Attendees",""),IF($T354="","Missing Status",""),IF(AND($D354&lt;&gt;"",$E354&lt;&gt;"",$D354&gt;=$E354),"Start&gt;=End",""),IF(OR($R354="",LEN($R354)&lt;60,ISNUMBER(MATCH(TRIM($R354),StatusList,0))),"Body overwritten/short",""))))</f>
        <v/>
      </c>
    </row>
    <row r="355" ht="12.75" customHeight="1">
      <c r="B355" s="25" t="n"/>
      <c r="C355" s="80" t="n"/>
      <c r="D355" s="77" t="n"/>
      <c r="E355" s="77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16">
        <f>IF($L355&lt;&gt;"","Purpose "&amp;CHAR(10)&amp;$L355&amp;CHAR(10)&amp;CHAR(10),"")&amp;
IF($M355&lt;&gt;"","Stops (in order) "&amp;CHAR(10)&amp;$M355&amp;CHAR(10)&amp;CHAR(10),"")&amp;
IF($N355&lt;&gt;"","To-Do (hard requirements) "&amp;CHAR(10)&amp;$N355&amp;CHAR(10)&amp;CHAR(10),"")&amp;
IF($O355&lt;&gt;"","Suggested Timeline "&amp;CHAR(10)&amp;$O355&amp;CHAR(10)&amp;CHAR(10),"")&amp;
IF($P355&lt;&gt;"","Guardrails "&amp;CHAR(10)&amp;$P355&amp;CHAR(10)&amp;CHAR(10),"")&amp;
IF($Q355&lt;&gt;"","Completion signals "&amp;CHAR(10)&amp;$Q355,"")</f>
        <v/>
      </c>
      <c r="S355" s="25" t="n"/>
      <c r="T355" s="25" t="n"/>
      <c r="U355" s="54" t="n"/>
      <c r="V355" s="54">
        <f>IF($B355="","",IF(_xludf.TEXTJOIN(" | ",TRUE,IF($B355="","Missing Title",""),IF($C355="","Missing Date",""),IF($D355="","Missing Start",""),IF($E355="","Missing End",""),IF($G355="","Missing Required Attendees",""),IF($T355="","Missing Status",""),IF(AND($D355&lt;&gt;"",$E355&lt;&gt;"",$D355&gt;=$E355),"Start&gt;=End",""),IF(OR($R355="",LEN($R355)&lt;60,ISNUMBER(MATCH(TRIM($R355),StatusList,0))),"Body overwritten/short",""))="","OK",_xludf.TEXTJOIN(" | ",TRUE,IF($B355="","Missing Title",""),IF($C355="","Missing Date",""),IF($D355="","Missing Start",""),IF($E355="","Missing End",""),IF($G355="","Missing Required Attendees",""),IF($T355="","Missing Status",""),IF(AND($D355&lt;&gt;"",$E355&lt;&gt;"",$D355&gt;=$E355),"Start&gt;=End",""),IF(OR($R355="",LEN($R355)&lt;60,ISNUMBER(MATCH(TRIM($R355),StatusList,0))),"Body overwritten/short",""))))</f>
        <v/>
      </c>
    </row>
    <row r="356" ht="12.75" customHeight="1">
      <c r="B356" s="25" t="n"/>
      <c r="C356" s="80" t="n"/>
      <c r="D356" s="77" t="n"/>
      <c r="E356" s="77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16">
        <f>IF($L356&lt;&gt;"","Purpose "&amp;CHAR(10)&amp;$L356&amp;CHAR(10)&amp;CHAR(10),"")&amp;
IF($M356&lt;&gt;"","Stops (in order) "&amp;CHAR(10)&amp;$M356&amp;CHAR(10)&amp;CHAR(10),"")&amp;
IF($N356&lt;&gt;"","To-Do (hard requirements) "&amp;CHAR(10)&amp;$N356&amp;CHAR(10)&amp;CHAR(10),"")&amp;
IF($O356&lt;&gt;"","Suggested Timeline "&amp;CHAR(10)&amp;$O356&amp;CHAR(10)&amp;CHAR(10),"")&amp;
IF($P356&lt;&gt;"","Guardrails "&amp;CHAR(10)&amp;$P356&amp;CHAR(10)&amp;CHAR(10),"")&amp;
IF($Q356&lt;&gt;"","Completion signals "&amp;CHAR(10)&amp;$Q356,"")</f>
        <v/>
      </c>
      <c r="S356" s="25" t="n"/>
      <c r="T356" s="25" t="n"/>
      <c r="U356" s="54" t="n"/>
      <c r="V356" s="54">
        <f>IF($B356="","",IF(_xludf.TEXTJOIN(" | ",TRUE,IF($B356="","Missing Title",""),IF($C356="","Missing Date",""),IF($D356="","Missing Start",""),IF($E356="","Missing End",""),IF($G356="","Missing Required Attendees",""),IF($T356="","Missing Status",""),IF(AND($D356&lt;&gt;"",$E356&lt;&gt;"",$D356&gt;=$E356),"Start&gt;=End",""),IF(OR($R356="",LEN($R356)&lt;60,ISNUMBER(MATCH(TRIM($R356),StatusList,0))),"Body overwritten/short",""))="","OK",_xludf.TEXTJOIN(" | ",TRUE,IF($B356="","Missing Title",""),IF($C356="","Missing Date",""),IF($D356="","Missing Start",""),IF($E356="","Missing End",""),IF($G356="","Missing Required Attendees",""),IF($T356="","Missing Status",""),IF(AND($D356&lt;&gt;"",$E356&lt;&gt;"",$D356&gt;=$E356),"Start&gt;=End",""),IF(OR($R356="",LEN($R356)&lt;60,ISNUMBER(MATCH(TRIM($R356),StatusList,0))),"Body overwritten/short",""))))</f>
        <v/>
      </c>
    </row>
    <row r="357" ht="12.75" customHeight="1">
      <c r="B357" s="25" t="n"/>
      <c r="C357" s="80" t="n"/>
      <c r="D357" s="77" t="n"/>
      <c r="E357" s="77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16">
        <f>IF($L357&lt;&gt;"","Purpose "&amp;CHAR(10)&amp;$L357&amp;CHAR(10)&amp;CHAR(10),"")&amp;
IF($M357&lt;&gt;"","Stops (in order) "&amp;CHAR(10)&amp;$M357&amp;CHAR(10)&amp;CHAR(10),"")&amp;
IF($N357&lt;&gt;"","To-Do (hard requirements) "&amp;CHAR(10)&amp;$N357&amp;CHAR(10)&amp;CHAR(10),"")&amp;
IF($O357&lt;&gt;"","Suggested Timeline "&amp;CHAR(10)&amp;$O357&amp;CHAR(10)&amp;CHAR(10),"")&amp;
IF($P357&lt;&gt;"","Guardrails "&amp;CHAR(10)&amp;$P357&amp;CHAR(10)&amp;CHAR(10),"")&amp;
IF($Q357&lt;&gt;"","Completion signals "&amp;CHAR(10)&amp;$Q357,"")</f>
        <v/>
      </c>
      <c r="S357" s="25" t="n"/>
      <c r="T357" s="25" t="n"/>
      <c r="U357" s="54" t="n"/>
      <c r="V357" s="54">
        <f>IF($B357="","",IF(_xludf.TEXTJOIN(" | ",TRUE,IF($B357="","Missing Title",""),IF($C357="","Missing Date",""),IF($D357="","Missing Start",""),IF($E357="","Missing End",""),IF($G357="","Missing Required Attendees",""),IF($T357="","Missing Status",""),IF(AND($D357&lt;&gt;"",$E357&lt;&gt;"",$D357&gt;=$E357),"Start&gt;=End",""),IF(OR($R357="",LEN($R357)&lt;60,ISNUMBER(MATCH(TRIM($R357),StatusList,0))),"Body overwritten/short",""))="","OK",_xludf.TEXTJOIN(" | ",TRUE,IF($B357="","Missing Title",""),IF($C357="","Missing Date",""),IF($D357="","Missing Start",""),IF($E357="","Missing End",""),IF($G357="","Missing Required Attendees",""),IF($T357="","Missing Status",""),IF(AND($D357&lt;&gt;"",$E357&lt;&gt;"",$D357&gt;=$E357),"Start&gt;=End",""),IF(OR($R357="",LEN($R357)&lt;60,ISNUMBER(MATCH(TRIM($R357),StatusList,0))),"Body overwritten/short",""))))</f>
        <v/>
      </c>
    </row>
    <row r="358" ht="12.75" customHeight="1">
      <c r="B358" s="25" t="n"/>
      <c r="C358" s="80" t="n"/>
      <c r="D358" s="77" t="n"/>
      <c r="E358" s="77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16">
        <f>IF($L358&lt;&gt;"","Purpose "&amp;CHAR(10)&amp;$L358&amp;CHAR(10)&amp;CHAR(10),"")&amp;
IF($M358&lt;&gt;"","Stops (in order) "&amp;CHAR(10)&amp;$M358&amp;CHAR(10)&amp;CHAR(10),"")&amp;
IF($N358&lt;&gt;"","To-Do (hard requirements) "&amp;CHAR(10)&amp;$N358&amp;CHAR(10)&amp;CHAR(10),"")&amp;
IF($O358&lt;&gt;"","Suggested Timeline "&amp;CHAR(10)&amp;$O358&amp;CHAR(10)&amp;CHAR(10),"")&amp;
IF($P358&lt;&gt;"","Guardrails "&amp;CHAR(10)&amp;$P358&amp;CHAR(10)&amp;CHAR(10),"")&amp;
IF($Q358&lt;&gt;"","Completion signals "&amp;CHAR(10)&amp;$Q358,"")</f>
        <v/>
      </c>
      <c r="S358" s="25" t="n"/>
      <c r="T358" s="25" t="n"/>
      <c r="U358" s="54" t="n"/>
      <c r="V358" s="54">
        <f>IF($B358="","",IF(_xludf.TEXTJOIN(" | ",TRUE,IF($B358="","Missing Title",""),IF($C358="","Missing Date",""),IF($D358="","Missing Start",""),IF($E358="","Missing End",""),IF($G358="","Missing Required Attendees",""),IF($T358="","Missing Status",""),IF(AND($D358&lt;&gt;"",$E358&lt;&gt;"",$D358&gt;=$E358),"Start&gt;=End",""),IF(OR($R358="",LEN($R358)&lt;60,ISNUMBER(MATCH(TRIM($R358),StatusList,0))),"Body overwritten/short",""))="","OK",_xludf.TEXTJOIN(" | ",TRUE,IF($B358="","Missing Title",""),IF($C358="","Missing Date",""),IF($D358="","Missing Start",""),IF($E358="","Missing End",""),IF($G358="","Missing Required Attendees",""),IF($T358="","Missing Status",""),IF(AND($D358&lt;&gt;"",$E358&lt;&gt;"",$D358&gt;=$E358),"Start&gt;=End",""),IF(OR($R358="",LEN($R358)&lt;60,ISNUMBER(MATCH(TRIM($R358),StatusList,0))),"Body overwritten/short",""))))</f>
        <v/>
      </c>
    </row>
    <row r="359" ht="12.75" customHeight="1">
      <c r="B359" s="25" t="n"/>
      <c r="C359" s="80" t="n"/>
      <c r="D359" s="77" t="n"/>
      <c r="E359" s="77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16">
        <f>IF($L359&lt;&gt;"","Purpose "&amp;CHAR(10)&amp;$L359&amp;CHAR(10)&amp;CHAR(10),"")&amp;
IF($M359&lt;&gt;"","Stops (in order) "&amp;CHAR(10)&amp;$M359&amp;CHAR(10)&amp;CHAR(10),"")&amp;
IF($N359&lt;&gt;"","To-Do (hard requirements) "&amp;CHAR(10)&amp;$N359&amp;CHAR(10)&amp;CHAR(10),"")&amp;
IF($O359&lt;&gt;"","Suggested Timeline "&amp;CHAR(10)&amp;$O359&amp;CHAR(10)&amp;CHAR(10),"")&amp;
IF($P359&lt;&gt;"","Guardrails "&amp;CHAR(10)&amp;$P359&amp;CHAR(10)&amp;CHAR(10),"")&amp;
IF($Q359&lt;&gt;"","Completion signals "&amp;CHAR(10)&amp;$Q359,"")</f>
        <v/>
      </c>
      <c r="S359" s="25" t="n"/>
      <c r="T359" s="25" t="n"/>
      <c r="U359" s="54" t="n"/>
      <c r="V359" s="54">
        <f>IF($B359="","",IF(_xludf.TEXTJOIN(" | ",TRUE,IF($B359="","Missing Title",""),IF($C359="","Missing Date",""),IF($D359="","Missing Start",""),IF($E359="","Missing End",""),IF($G359="","Missing Required Attendees",""),IF($T359="","Missing Status",""),IF(AND($D359&lt;&gt;"",$E359&lt;&gt;"",$D359&gt;=$E359),"Start&gt;=End",""),IF(OR($R359="",LEN($R359)&lt;60,ISNUMBER(MATCH(TRIM($R359),StatusList,0))),"Body overwritten/short",""))="","OK",_xludf.TEXTJOIN(" | ",TRUE,IF($B359="","Missing Title",""),IF($C359="","Missing Date",""),IF($D359="","Missing Start",""),IF($E359="","Missing End",""),IF($G359="","Missing Required Attendees",""),IF($T359="","Missing Status",""),IF(AND($D359&lt;&gt;"",$E359&lt;&gt;"",$D359&gt;=$E359),"Start&gt;=End",""),IF(OR($R359="",LEN($R359)&lt;60,ISNUMBER(MATCH(TRIM($R359),StatusList,0))),"Body overwritten/short",""))))</f>
        <v/>
      </c>
    </row>
    <row r="360" ht="12.75" customHeight="1">
      <c r="B360" s="25" t="n"/>
      <c r="C360" s="80" t="n"/>
      <c r="D360" s="77" t="n"/>
      <c r="E360" s="77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16">
        <f>IF($L360&lt;&gt;"","Purpose "&amp;CHAR(10)&amp;$L360&amp;CHAR(10)&amp;CHAR(10),"")&amp;
IF($M360&lt;&gt;"","Stops (in order) "&amp;CHAR(10)&amp;$M360&amp;CHAR(10)&amp;CHAR(10),"")&amp;
IF($N360&lt;&gt;"","To-Do (hard requirements) "&amp;CHAR(10)&amp;$N360&amp;CHAR(10)&amp;CHAR(10),"")&amp;
IF($O360&lt;&gt;"","Suggested Timeline "&amp;CHAR(10)&amp;$O360&amp;CHAR(10)&amp;CHAR(10),"")&amp;
IF($P360&lt;&gt;"","Guardrails "&amp;CHAR(10)&amp;$P360&amp;CHAR(10)&amp;CHAR(10),"")&amp;
IF($Q360&lt;&gt;"","Completion signals "&amp;CHAR(10)&amp;$Q360,"")</f>
        <v/>
      </c>
      <c r="S360" s="25" t="n"/>
      <c r="T360" s="25" t="n"/>
      <c r="U360" s="54" t="n"/>
      <c r="V360" s="54">
        <f>IF($B360="","",IF(_xludf.TEXTJOIN(" | ",TRUE,IF($B360="","Missing Title",""),IF($C360="","Missing Date",""),IF($D360="","Missing Start",""),IF($E360="","Missing End",""),IF($G360="","Missing Required Attendees",""),IF($T360="","Missing Status",""),IF(AND($D360&lt;&gt;"",$E360&lt;&gt;"",$D360&gt;=$E360),"Start&gt;=End",""),IF(OR($R360="",LEN($R360)&lt;60,ISNUMBER(MATCH(TRIM($R360),StatusList,0))),"Body overwritten/short",""))="","OK",_xludf.TEXTJOIN(" | ",TRUE,IF($B360="","Missing Title",""),IF($C360="","Missing Date",""),IF($D360="","Missing Start",""),IF($E360="","Missing End",""),IF($G360="","Missing Required Attendees",""),IF($T360="","Missing Status",""),IF(AND($D360&lt;&gt;"",$E360&lt;&gt;"",$D360&gt;=$E360),"Start&gt;=End",""),IF(OR($R360="",LEN($R360)&lt;60,ISNUMBER(MATCH(TRIM($R360),StatusList,0))),"Body overwritten/short",""))))</f>
        <v/>
      </c>
    </row>
    <row r="361" ht="12.75" customHeight="1">
      <c r="B361" s="25" t="n"/>
      <c r="C361" s="80" t="n"/>
      <c r="D361" s="77" t="n"/>
      <c r="E361" s="77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16">
        <f>IF($L361&lt;&gt;"","Purpose "&amp;CHAR(10)&amp;$L361&amp;CHAR(10)&amp;CHAR(10),"")&amp;
IF($M361&lt;&gt;"","Stops (in order) "&amp;CHAR(10)&amp;$M361&amp;CHAR(10)&amp;CHAR(10),"")&amp;
IF($N361&lt;&gt;"","To-Do (hard requirements) "&amp;CHAR(10)&amp;$N361&amp;CHAR(10)&amp;CHAR(10),"")&amp;
IF($O361&lt;&gt;"","Suggested Timeline "&amp;CHAR(10)&amp;$O361&amp;CHAR(10)&amp;CHAR(10),"")&amp;
IF($P361&lt;&gt;"","Guardrails "&amp;CHAR(10)&amp;$P361&amp;CHAR(10)&amp;CHAR(10),"")&amp;
IF($Q361&lt;&gt;"","Completion signals "&amp;CHAR(10)&amp;$Q361,"")</f>
        <v/>
      </c>
      <c r="S361" s="25" t="n"/>
      <c r="T361" s="25" t="n"/>
      <c r="U361" s="54" t="n"/>
      <c r="V361" s="54">
        <f>IF($B361="","",IF(_xludf.TEXTJOIN(" | ",TRUE,IF($B361="","Missing Title",""),IF($C361="","Missing Date",""),IF($D361="","Missing Start",""),IF($E361="","Missing End",""),IF($G361="","Missing Required Attendees",""),IF($T361="","Missing Status",""),IF(AND($D361&lt;&gt;"",$E361&lt;&gt;"",$D361&gt;=$E361),"Start&gt;=End",""),IF(OR($R361="",LEN($R361)&lt;60,ISNUMBER(MATCH(TRIM($R361),StatusList,0))),"Body overwritten/short",""))="","OK",_xludf.TEXTJOIN(" | ",TRUE,IF($B361="","Missing Title",""),IF($C361="","Missing Date",""),IF($D361="","Missing Start",""),IF($E361="","Missing End",""),IF($G361="","Missing Required Attendees",""),IF($T361="","Missing Status",""),IF(AND($D361&lt;&gt;"",$E361&lt;&gt;"",$D361&gt;=$E361),"Start&gt;=End",""),IF(OR($R361="",LEN($R361)&lt;60,ISNUMBER(MATCH(TRIM($R361),StatusList,0))),"Body overwritten/short",""))))</f>
        <v/>
      </c>
    </row>
    <row r="362" ht="12.75" customHeight="1">
      <c r="B362" s="25" t="n"/>
      <c r="C362" s="80" t="n"/>
      <c r="D362" s="77" t="n"/>
      <c r="E362" s="77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16">
        <f>IF($L362&lt;&gt;"","Purpose "&amp;CHAR(10)&amp;$L362&amp;CHAR(10)&amp;CHAR(10),"")&amp;
IF($M362&lt;&gt;"","Stops (in order) "&amp;CHAR(10)&amp;$M362&amp;CHAR(10)&amp;CHAR(10),"")&amp;
IF($N362&lt;&gt;"","To-Do (hard requirements) "&amp;CHAR(10)&amp;$N362&amp;CHAR(10)&amp;CHAR(10),"")&amp;
IF($O362&lt;&gt;"","Suggested Timeline "&amp;CHAR(10)&amp;$O362&amp;CHAR(10)&amp;CHAR(10),"")&amp;
IF($P362&lt;&gt;"","Guardrails "&amp;CHAR(10)&amp;$P362&amp;CHAR(10)&amp;CHAR(10),"")&amp;
IF($Q362&lt;&gt;"","Completion signals "&amp;CHAR(10)&amp;$Q362,"")</f>
        <v/>
      </c>
      <c r="S362" s="25" t="n"/>
      <c r="T362" s="25" t="n"/>
      <c r="U362" s="54" t="n"/>
      <c r="V362" s="54">
        <f>IF($B362="","",IF(_xludf.TEXTJOIN(" | ",TRUE,IF($B362="","Missing Title",""),IF($C362="","Missing Date",""),IF($D362="","Missing Start",""),IF($E362="","Missing End",""),IF($G362="","Missing Required Attendees",""),IF($T362="","Missing Status",""),IF(AND($D362&lt;&gt;"",$E362&lt;&gt;"",$D362&gt;=$E362),"Start&gt;=End",""),IF(OR($R362="",LEN($R362)&lt;60,ISNUMBER(MATCH(TRIM($R362),StatusList,0))),"Body overwritten/short",""))="","OK",_xludf.TEXTJOIN(" | ",TRUE,IF($B362="","Missing Title",""),IF($C362="","Missing Date",""),IF($D362="","Missing Start",""),IF($E362="","Missing End",""),IF($G362="","Missing Required Attendees",""),IF($T362="","Missing Status",""),IF(AND($D362&lt;&gt;"",$E362&lt;&gt;"",$D362&gt;=$E362),"Start&gt;=End",""),IF(OR($R362="",LEN($R362)&lt;60,ISNUMBER(MATCH(TRIM($R362),StatusList,0))),"Body overwritten/short",""))))</f>
        <v/>
      </c>
    </row>
    <row r="363" ht="12.75" customHeight="1">
      <c r="B363" s="25" t="n"/>
      <c r="C363" s="80" t="n"/>
      <c r="D363" s="77" t="n"/>
      <c r="E363" s="77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16">
        <f>IF($L363&lt;&gt;"","Purpose "&amp;CHAR(10)&amp;$L363&amp;CHAR(10)&amp;CHAR(10),"")&amp;
IF($M363&lt;&gt;"","Stops (in order) "&amp;CHAR(10)&amp;$M363&amp;CHAR(10)&amp;CHAR(10),"")&amp;
IF($N363&lt;&gt;"","To-Do (hard requirements) "&amp;CHAR(10)&amp;$N363&amp;CHAR(10)&amp;CHAR(10),"")&amp;
IF($O363&lt;&gt;"","Suggested Timeline "&amp;CHAR(10)&amp;$O363&amp;CHAR(10)&amp;CHAR(10),"")&amp;
IF($P363&lt;&gt;"","Guardrails "&amp;CHAR(10)&amp;$P363&amp;CHAR(10)&amp;CHAR(10),"")&amp;
IF($Q363&lt;&gt;"","Completion signals "&amp;CHAR(10)&amp;$Q363,"")</f>
        <v/>
      </c>
      <c r="S363" s="25" t="n"/>
      <c r="T363" s="25" t="n"/>
      <c r="U363" s="54" t="n"/>
      <c r="V363" s="54">
        <f>IF($B363="","",IF(_xludf.TEXTJOIN(" | ",TRUE,IF($B363="","Missing Title",""),IF($C363="","Missing Date",""),IF($D363="","Missing Start",""),IF($E363="","Missing End",""),IF($G363="","Missing Required Attendees",""),IF($T363="","Missing Status",""),IF(AND($D363&lt;&gt;"",$E363&lt;&gt;"",$D363&gt;=$E363),"Start&gt;=End",""),IF(OR($R363="",LEN($R363)&lt;60,ISNUMBER(MATCH(TRIM($R363),StatusList,0))),"Body overwritten/short",""))="","OK",_xludf.TEXTJOIN(" | ",TRUE,IF($B363="","Missing Title",""),IF($C363="","Missing Date",""),IF($D363="","Missing Start",""),IF($E363="","Missing End",""),IF($G363="","Missing Required Attendees",""),IF($T363="","Missing Status",""),IF(AND($D363&lt;&gt;"",$E363&lt;&gt;"",$D363&gt;=$E363),"Start&gt;=End",""),IF(OR($R363="",LEN($R363)&lt;60,ISNUMBER(MATCH(TRIM($R363),StatusList,0))),"Body overwritten/short",""))))</f>
        <v/>
      </c>
    </row>
    <row r="364" ht="12.75" customHeight="1">
      <c r="B364" s="25" t="n"/>
      <c r="C364" s="80" t="n"/>
      <c r="D364" s="77" t="n"/>
      <c r="E364" s="77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16">
        <f>IF($L364&lt;&gt;"","Purpose "&amp;CHAR(10)&amp;$L364&amp;CHAR(10)&amp;CHAR(10),"")&amp;
IF($M364&lt;&gt;"","Stops (in order) "&amp;CHAR(10)&amp;$M364&amp;CHAR(10)&amp;CHAR(10),"")&amp;
IF($N364&lt;&gt;"","To-Do (hard requirements) "&amp;CHAR(10)&amp;$N364&amp;CHAR(10)&amp;CHAR(10),"")&amp;
IF($O364&lt;&gt;"","Suggested Timeline "&amp;CHAR(10)&amp;$O364&amp;CHAR(10)&amp;CHAR(10),"")&amp;
IF($P364&lt;&gt;"","Guardrails "&amp;CHAR(10)&amp;$P364&amp;CHAR(10)&amp;CHAR(10),"")&amp;
IF($Q364&lt;&gt;"","Completion signals "&amp;CHAR(10)&amp;$Q364,"")</f>
        <v/>
      </c>
      <c r="S364" s="25" t="n"/>
      <c r="T364" s="25" t="n"/>
      <c r="U364" s="54" t="n"/>
      <c r="V364" s="54">
        <f>IF($B364="","",IF(_xludf.TEXTJOIN(" | ",TRUE,IF($B364="","Missing Title",""),IF($C364="","Missing Date",""),IF($D364="","Missing Start",""),IF($E364="","Missing End",""),IF($G364="","Missing Required Attendees",""),IF($T364="","Missing Status",""),IF(AND($D364&lt;&gt;"",$E364&lt;&gt;"",$D364&gt;=$E364),"Start&gt;=End",""),IF(OR($R364="",LEN($R364)&lt;60,ISNUMBER(MATCH(TRIM($R364),StatusList,0))),"Body overwritten/short",""))="","OK",_xludf.TEXTJOIN(" | ",TRUE,IF($B364="","Missing Title",""),IF($C364="","Missing Date",""),IF($D364="","Missing Start",""),IF($E364="","Missing End",""),IF($G364="","Missing Required Attendees",""),IF($T364="","Missing Status",""),IF(AND($D364&lt;&gt;"",$E364&lt;&gt;"",$D364&gt;=$E364),"Start&gt;=End",""),IF(OR($R364="",LEN($R364)&lt;60,ISNUMBER(MATCH(TRIM($R364),StatusList,0))),"Body overwritten/short",""))))</f>
        <v/>
      </c>
    </row>
    <row r="365" ht="12.75" customHeight="1">
      <c r="B365" s="25" t="n"/>
      <c r="C365" s="80" t="n"/>
      <c r="D365" s="77" t="n"/>
      <c r="E365" s="77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16">
        <f>IF($L365&lt;&gt;"","Purpose "&amp;CHAR(10)&amp;$L365&amp;CHAR(10)&amp;CHAR(10),"")&amp;
IF($M365&lt;&gt;"","Stops (in order) "&amp;CHAR(10)&amp;$M365&amp;CHAR(10)&amp;CHAR(10),"")&amp;
IF($N365&lt;&gt;"","To-Do (hard requirements) "&amp;CHAR(10)&amp;$N365&amp;CHAR(10)&amp;CHAR(10),"")&amp;
IF($O365&lt;&gt;"","Suggested Timeline "&amp;CHAR(10)&amp;$O365&amp;CHAR(10)&amp;CHAR(10),"")&amp;
IF($P365&lt;&gt;"","Guardrails "&amp;CHAR(10)&amp;$P365&amp;CHAR(10)&amp;CHAR(10),"")&amp;
IF($Q365&lt;&gt;"","Completion signals "&amp;CHAR(10)&amp;$Q365,"")</f>
        <v/>
      </c>
      <c r="S365" s="25" t="n"/>
      <c r="T365" s="25" t="n"/>
      <c r="U365" s="54" t="n"/>
      <c r="V365" s="54">
        <f>IF($B365="","",IF(_xludf.TEXTJOIN(" | ",TRUE,IF($B365="","Missing Title",""),IF($C365="","Missing Date",""),IF($D365="","Missing Start",""),IF($E365="","Missing End",""),IF($G365="","Missing Required Attendees",""),IF($T365="","Missing Status",""),IF(AND($D365&lt;&gt;"",$E365&lt;&gt;"",$D365&gt;=$E365),"Start&gt;=End",""),IF(OR($R365="",LEN($R365)&lt;60,ISNUMBER(MATCH(TRIM($R365),StatusList,0))),"Body overwritten/short",""))="","OK",_xludf.TEXTJOIN(" | ",TRUE,IF($B365="","Missing Title",""),IF($C365="","Missing Date",""),IF($D365="","Missing Start",""),IF($E365="","Missing End",""),IF($G365="","Missing Required Attendees",""),IF($T365="","Missing Status",""),IF(AND($D365&lt;&gt;"",$E365&lt;&gt;"",$D365&gt;=$E365),"Start&gt;=End",""),IF(OR($R365="",LEN($R365)&lt;60,ISNUMBER(MATCH(TRIM($R365),StatusList,0))),"Body overwritten/short",""))))</f>
        <v/>
      </c>
    </row>
    <row r="366" ht="12.75" customHeight="1">
      <c r="B366" s="25" t="n"/>
      <c r="C366" s="80" t="n"/>
      <c r="D366" s="77" t="n"/>
      <c r="E366" s="77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16">
        <f>IF($L366&lt;&gt;"","Purpose "&amp;CHAR(10)&amp;$L366&amp;CHAR(10)&amp;CHAR(10),"")&amp;
IF($M366&lt;&gt;"","Stops (in order) "&amp;CHAR(10)&amp;$M366&amp;CHAR(10)&amp;CHAR(10),"")&amp;
IF($N366&lt;&gt;"","To-Do (hard requirements) "&amp;CHAR(10)&amp;$N366&amp;CHAR(10)&amp;CHAR(10),"")&amp;
IF($O366&lt;&gt;"","Suggested Timeline "&amp;CHAR(10)&amp;$O366&amp;CHAR(10)&amp;CHAR(10),"")&amp;
IF($P366&lt;&gt;"","Guardrails "&amp;CHAR(10)&amp;$P366&amp;CHAR(10)&amp;CHAR(10),"")&amp;
IF($Q366&lt;&gt;"","Completion signals "&amp;CHAR(10)&amp;$Q366,"")</f>
        <v/>
      </c>
      <c r="S366" s="25" t="n"/>
      <c r="T366" s="25" t="n"/>
      <c r="U366" s="54" t="n"/>
      <c r="V366" s="54">
        <f>IF($B366="","",IF(_xludf.TEXTJOIN(" | ",TRUE,IF($B366="","Missing Title",""),IF($C366="","Missing Date",""),IF($D366="","Missing Start",""),IF($E366="","Missing End",""),IF($G366="","Missing Required Attendees",""),IF($T366="","Missing Status",""),IF(AND($D366&lt;&gt;"",$E366&lt;&gt;"",$D366&gt;=$E366),"Start&gt;=End",""),IF(OR($R366="",LEN($R366)&lt;60,ISNUMBER(MATCH(TRIM($R366),StatusList,0))),"Body overwritten/short",""))="","OK",_xludf.TEXTJOIN(" | ",TRUE,IF($B366="","Missing Title",""),IF($C366="","Missing Date",""),IF($D366="","Missing Start",""),IF($E366="","Missing End",""),IF($G366="","Missing Required Attendees",""),IF($T366="","Missing Status",""),IF(AND($D366&lt;&gt;"",$E366&lt;&gt;"",$D366&gt;=$E366),"Start&gt;=End",""),IF(OR($R366="",LEN($R366)&lt;60,ISNUMBER(MATCH(TRIM($R366),StatusList,0))),"Body overwritten/short",""))))</f>
        <v/>
      </c>
    </row>
    <row r="367" ht="12.75" customHeight="1">
      <c r="B367" s="25" t="n"/>
      <c r="C367" s="80" t="n"/>
      <c r="D367" s="77" t="n"/>
      <c r="E367" s="77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16">
        <f>IF($L367&lt;&gt;"","Purpose "&amp;CHAR(10)&amp;$L367&amp;CHAR(10)&amp;CHAR(10),"")&amp;
IF($M367&lt;&gt;"","Stops (in order) "&amp;CHAR(10)&amp;$M367&amp;CHAR(10)&amp;CHAR(10),"")&amp;
IF($N367&lt;&gt;"","To-Do (hard requirements) "&amp;CHAR(10)&amp;$N367&amp;CHAR(10)&amp;CHAR(10),"")&amp;
IF($O367&lt;&gt;"","Suggested Timeline "&amp;CHAR(10)&amp;$O367&amp;CHAR(10)&amp;CHAR(10),"")&amp;
IF($P367&lt;&gt;"","Guardrails "&amp;CHAR(10)&amp;$P367&amp;CHAR(10)&amp;CHAR(10),"")&amp;
IF($Q367&lt;&gt;"","Completion signals "&amp;CHAR(10)&amp;$Q367,"")</f>
        <v/>
      </c>
      <c r="S367" s="25" t="n"/>
      <c r="T367" s="25" t="n"/>
      <c r="U367" s="54" t="n"/>
      <c r="V367" s="54">
        <f>IF($B367="","",IF(_xludf.TEXTJOIN(" | ",TRUE,IF($B367="","Missing Title",""),IF($C367="","Missing Date",""),IF($D367="","Missing Start",""),IF($E367="","Missing End",""),IF($G367="","Missing Required Attendees",""),IF($T367="","Missing Status",""),IF(AND($D367&lt;&gt;"",$E367&lt;&gt;"",$D367&gt;=$E367),"Start&gt;=End",""),IF(OR($R367="",LEN($R367)&lt;60,ISNUMBER(MATCH(TRIM($R367),StatusList,0))),"Body overwritten/short",""))="","OK",_xludf.TEXTJOIN(" | ",TRUE,IF($B367="","Missing Title",""),IF($C367="","Missing Date",""),IF($D367="","Missing Start",""),IF($E367="","Missing End",""),IF($G367="","Missing Required Attendees",""),IF($T367="","Missing Status",""),IF(AND($D367&lt;&gt;"",$E367&lt;&gt;"",$D367&gt;=$E367),"Start&gt;=End",""),IF(OR($R367="",LEN($R367)&lt;60,ISNUMBER(MATCH(TRIM($R367),StatusList,0))),"Body overwritten/short",""))))</f>
        <v/>
      </c>
    </row>
    <row r="368" ht="12.75" customHeight="1">
      <c r="B368" s="25" t="n"/>
      <c r="C368" s="80" t="n"/>
      <c r="D368" s="77" t="n"/>
      <c r="E368" s="77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16">
        <f>IF($L368&lt;&gt;"","Purpose "&amp;CHAR(10)&amp;$L368&amp;CHAR(10)&amp;CHAR(10),"")&amp;
IF($M368&lt;&gt;"","Stops (in order) "&amp;CHAR(10)&amp;$M368&amp;CHAR(10)&amp;CHAR(10),"")&amp;
IF($N368&lt;&gt;"","To-Do (hard requirements) "&amp;CHAR(10)&amp;$N368&amp;CHAR(10)&amp;CHAR(10),"")&amp;
IF($O368&lt;&gt;"","Suggested Timeline "&amp;CHAR(10)&amp;$O368&amp;CHAR(10)&amp;CHAR(10),"")&amp;
IF($P368&lt;&gt;"","Guardrails "&amp;CHAR(10)&amp;$P368&amp;CHAR(10)&amp;CHAR(10),"")&amp;
IF($Q368&lt;&gt;"","Completion signals "&amp;CHAR(10)&amp;$Q368,"")</f>
        <v/>
      </c>
      <c r="S368" s="25" t="n"/>
      <c r="T368" s="25" t="n"/>
      <c r="U368" s="54" t="n"/>
      <c r="V368" s="54">
        <f>IF($B368="","",IF(_xludf.TEXTJOIN(" | ",TRUE,IF($B368="","Missing Title",""),IF($C368="","Missing Date",""),IF($D368="","Missing Start",""),IF($E368="","Missing End",""),IF($G368="","Missing Required Attendees",""),IF($T368="","Missing Status",""),IF(AND($D368&lt;&gt;"",$E368&lt;&gt;"",$D368&gt;=$E368),"Start&gt;=End",""),IF(OR($R368="",LEN($R368)&lt;60,ISNUMBER(MATCH(TRIM($R368),StatusList,0))),"Body overwritten/short",""))="","OK",_xludf.TEXTJOIN(" | ",TRUE,IF($B368="","Missing Title",""),IF($C368="","Missing Date",""),IF($D368="","Missing Start",""),IF($E368="","Missing End",""),IF($G368="","Missing Required Attendees",""),IF($T368="","Missing Status",""),IF(AND($D368&lt;&gt;"",$E368&lt;&gt;"",$D368&gt;=$E368),"Start&gt;=End",""),IF(OR($R368="",LEN($R368)&lt;60,ISNUMBER(MATCH(TRIM($R368),StatusList,0))),"Body overwritten/short",""))))</f>
        <v/>
      </c>
    </row>
    <row r="369" ht="12.75" customHeight="1">
      <c r="B369" s="25" t="n"/>
      <c r="C369" s="80" t="n"/>
      <c r="D369" s="77" t="n"/>
      <c r="E369" s="77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16">
        <f>IF($L369&lt;&gt;"","Purpose "&amp;CHAR(10)&amp;$L369&amp;CHAR(10)&amp;CHAR(10),"")&amp;
IF($M369&lt;&gt;"","Stops (in order) "&amp;CHAR(10)&amp;$M369&amp;CHAR(10)&amp;CHAR(10),"")&amp;
IF($N369&lt;&gt;"","To-Do (hard requirements) "&amp;CHAR(10)&amp;$N369&amp;CHAR(10)&amp;CHAR(10),"")&amp;
IF($O369&lt;&gt;"","Suggested Timeline "&amp;CHAR(10)&amp;$O369&amp;CHAR(10)&amp;CHAR(10),"")&amp;
IF($P369&lt;&gt;"","Guardrails "&amp;CHAR(10)&amp;$P369&amp;CHAR(10)&amp;CHAR(10),"")&amp;
IF($Q369&lt;&gt;"","Completion signals "&amp;CHAR(10)&amp;$Q369,"")</f>
        <v/>
      </c>
      <c r="S369" s="25" t="n"/>
      <c r="T369" s="25" t="n"/>
      <c r="U369" s="54" t="n"/>
      <c r="V369" s="54">
        <f>IF($B369="","",IF(_xludf.TEXTJOIN(" | ",TRUE,IF($B369="","Missing Title",""),IF($C369="","Missing Date",""),IF($D369="","Missing Start",""),IF($E369="","Missing End",""),IF($G369="","Missing Required Attendees",""),IF($T369="","Missing Status",""),IF(AND($D369&lt;&gt;"",$E369&lt;&gt;"",$D369&gt;=$E369),"Start&gt;=End",""),IF(OR($R369="",LEN($R369)&lt;60,ISNUMBER(MATCH(TRIM($R369),StatusList,0))),"Body overwritten/short",""))="","OK",_xludf.TEXTJOIN(" | ",TRUE,IF($B369="","Missing Title",""),IF($C369="","Missing Date",""),IF($D369="","Missing Start",""),IF($E369="","Missing End",""),IF($G369="","Missing Required Attendees",""),IF($T369="","Missing Status",""),IF(AND($D369&lt;&gt;"",$E369&lt;&gt;"",$D369&gt;=$E369),"Start&gt;=End",""),IF(OR($R369="",LEN($R369)&lt;60,ISNUMBER(MATCH(TRIM($R369),StatusList,0))),"Body overwritten/short",""))))</f>
        <v/>
      </c>
    </row>
    <row r="370" ht="12.75" customHeight="1">
      <c r="B370" s="25" t="n"/>
      <c r="C370" s="80" t="n"/>
      <c r="D370" s="77" t="n"/>
      <c r="E370" s="77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16">
        <f>IF($L370&lt;&gt;"","Purpose "&amp;CHAR(10)&amp;$L370&amp;CHAR(10)&amp;CHAR(10),"")&amp;
IF($M370&lt;&gt;"","Stops (in order) "&amp;CHAR(10)&amp;$M370&amp;CHAR(10)&amp;CHAR(10),"")&amp;
IF($N370&lt;&gt;"","To-Do (hard requirements) "&amp;CHAR(10)&amp;$N370&amp;CHAR(10)&amp;CHAR(10),"")&amp;
IF($O370&lt;&gt;"","Suggested Timeline "&amp;CHAR(10)&amp;$O370&amp;CHAR(10)&amp;CHAR(10),"")&amp;
IF($P370&lt;&gt;"","Guardrails "&amp;CHAR(10)&amp;$P370&amp;CHAR(10)&amp;CHAR(10),"")&amp;
IF($Q370&lt;&gt;"","Completion signals "&amp;CHAR(10)&amp;$Q370,"")</f>
        <v/>
      </c>
      <c r="S370" s="25" t="n"/>
      <c r="T370" s="25" t="n"/>
      <c r="U370" s="54" t="n"/>
      <c r="V370" s="54">
        <f>IF($B370="","",IF(_xludf.TEXTJOIN(" | ",TRUE,IF($B370="","Missing Title",""),IF($C370="","Missing Date",""),IF($D370="","Missing Start",""),IF($E370="","Missing End",""),IF($G370="","Missing Required Attendees",""),IF($T370="","Missing Status",""),IF(AND($D370&lt;&gt;"",$E370&lt;&gt;"",$D370&gt;=$E370),"Start&gt;=End",""),IF(OR($R370="",LEN($R370)&lt;60,ISNUMBER(MATCH(TRIM($R370),StatusList,0))),"Body overwritten/short",""))="","OK",_xludf.TEXTJOIN(" | ",TRUE,IF($B370="","Missing Title",""),IF($C370="","Missing Date",""),IF($D370="","Missing Start",""),IF($E370="","Missing End",""),IF($G370="","Missing Required Attendees",""),IF($T370="","Missing Status",""),IF(AND($D370&lt;&gt;"",$E370&lt;&gt;"",$D370&gt;=$E370),"Start&gt;=End",""),IF(OR($R370="",LEN($R370)&lt;60,ISNUMBER(MATCH(TRIM($R370),StatusList,0))),"Body overwritten/short",""))))</f>
        <v/>
      </c>
    </row>
    <row r="371" ht="12.75" customHeight="1">
      <c r="B371" s="25" t="n"/>
      <c r="C371" s="80" t="n"/>
      <c r="D371" s="77" t="n"/>
      <c r="E371" s="77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16">
        <f>IF($L371&lt;&gt;"","Purpose "&amp;CHAR(10)&amp;$L371&amp;CHAR(10)&amp;CHAR(10),"")&amp;
IF($M371&lt;&gt;"","Stops (in order) "&amp;CHAR(10)&amp;$M371&amp;CHAR(10)&amp;CHAR(10),"")&amp;
IF($N371&lt;&gt;"","To-Do (hard requirements) "&amp;CHAR(10)&amp;$N371&amp;CHAR(10)&amp;CHAR(10),"")&amp;
IF($O371&lt;&gt;"","Suggested Timeline "&amp;CHAR(10)&amp;$O371&amp;CHAR(10)&amp;CHAR(10),"")&amp;
IF($P371&lt;&gt;"","Guardrails "&amp;CHAR(10)&amp;$P371&amp;CHAR(10)&amp;CHAR(10),"")&amp;
IF($Q371&lt;&gt;"","Completion signals "&amp;CHAR(10)&amp;$Q371,"")</f>
        <v/>
      </c>
      <c r="S371" s="25" t="n"/>
      <c r="T371" s="25" t="n"/>
      <c r="U371" s="54" t="n"/>
      <c r="V371" s="54">
        <f>IF($B371="","",IF(_xludf.TEXTJOIN(" | ",TRUE,IF($B371="","Missing Title",""),IF($C371="","Missing Date",""),IF($D371="","Missing Start",""),IF($E371="","Missing End",""),IF($G371="","Missing Required Attendees",""),IF($T371="","Missing Status",""),IF(AND($D371&lt;&gt;"",$E371&lt;&gt;"",$D371&gt;=$E371),"Start&gt;=End",""),IF(OR($R371="",LEN($R371)&lt;60,ISNUMBER(MATCH(TRIM($R371),StatusList,0))),"Body overwritten/short",""))="","OK",_xludf.TEXTJOIN(" | ",TRUE,IF($B371="","Missing Title",""),IF($C371="","Missing Date",""),IF($D371="","Missing Start",""),IF($E371="","Missing End",""),IF($G371="","Missing Required Attendees",""),IF($T371="","Missing Status",""),IF(AND($D371&lt;&gt;"",$E371&lt;&gt;"",$D371&gt;=$E371),"Start&gt;=End",""),IF(OR($R371="",LEN($R371)&lt;60,ISNUMBER(MATCH(TRIM($R371),StatusList,0))),"Body overwritten/short",""))))</f>
        <v/>
      </c>
    </row>
    <row r="372" ht="12.75" customHeight="1">
      <c r="B372" s="25" t="n"/>
      <c r="C372" s="80" t="n"/>
      <c r="D372" s="77" t="n"/>
      <c r="E372" s="77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16">
        <f>IF($L372&lt;&gt;"","Purpose "&amp;CHAR(10)&amp;$L372&amp;CHAR(10)&amp;CHAR(10),"")&amp;
IF($M372&lt;&gt;"","Stops (in order) "&amp;CHAR(10)&amp;$M372&amp;CHAR(10)&amp;CHAR(10),"")&amp;
IF($N372&lt;&gt;"","To-Do (hard requirements) "&amp;CHAR(10)&amp;$N372&amp;CHAR(10)&amp;CHAR(10),"")&amp;
IF($O372&lt;&gt;"","Suggested Timeline "&amp;CHAR(10)&amp;$O372&amp;CHAR(10)&amp;CHAR(10),"")&amp;
IF($P372&lt;&gt;"","Guardrails "&amp;CHAR(10)&amp;$P372&amp;CHAR(10)&amp;CHAR(10),"")&amp;
IF($Q372&lt;&gt;"","Completion signals "&amp;CHAR(10)&amp;$Q372,"")</f>
        <v/>
      </c>
      <c r="S372" s="25" t="n"/>
      <c r="T372" s="25" t="n"/>
      <c r="U372" s="54" t="n"/>
      <c r="V372" s="54">
        <f>IF($B372="","",IF(_xludf.TEXTJOIN(" | ",TRUE,IF($B372="","Missing Title",""),IF($C372="","Missing Date",""),IF($D372="","Missing Start",""),IF($E372="","Missing End",""),IF($G372="","Missing Required Attendees",""),IF($T372="","Missing Status",""),IF(AND($D372&lt;&gt;"",$E372&lt;&gt;"",$D372&gt;=$E372),"Start&gt;=End",""),IF(OR($R372="",LEN($R372)&lt;60,ISNUMBER(MATCH(TRIM($R372),StatusList,0))),"Body overwritten/short",""))="","OK",_xludf.TEXTJOIN(" | ",TRUE,IF($B372="","Missing Title",""),IF($C372="","Missing Date",""),IF($D372="","Missing Start",""),IF($E372="","Missing End",""),IF($G372="","Missing Required Attendees",""),IF($T372="","Missing Status",""),IF(AND($D372&lt;&gt;"",$E372&lt;&gt;"",$D372&gt;=$E372),"Start&gt;=End",""),IF(OR($R372="",LEN($R372)&lt;60,ISNUMBER(MATCH(TRIM($R372),StatusList,0))),"Body overwritten/short",""))))</f>
        <v/>
      </c>
    </row>
    <row r="373" ht="12.75" customHeight="1">
      <c r="B373" s="25" t="n"/>
      <c r="C373" s="80" t="n"/>
      <c r="D373" s="77" t="n"/>
      <c r="E373" s="77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16">
        <f>IF($L373&lt;&gt;"","Purpose "&amp;CHAR(10)&amp;$L373&amp;CHAR(10)&amp;CHAR(10),"")&amp;
IF($M373&lt;&gt;"","Stops (in order) "&amp;CHAR(10)&amp;$M373&amp;CHAR(10)&amp;CHAR(10),"")&amp;
IF($N373&lt;&gt;"","To-Do (hard requirements) "&amp;CHAR(10)&amp;$N373&amp;CHAR(10)&amp;CHAR(10),"")&amp;
IF($O373&lt;&gt;"","Suggested Timeline "&amp;CHAR(10)&amp;$O373&amp;CHAR(10)&amp;CHAR(10),"")&amp;
IF($P373&lt;&gt;"","Guardrails "&amp;CHAR(10)&amp;$P373&amp;CHAR(10)&amp;CHAR(10),"")&amp;
IF($Q373&lt;&gt;"","Completion signals "&amp;CHAR(10)&amp;$Q373,"")</f>
        <v/>
      </c>
      <c r="S373" s="25" t="n"/>
      <c r="T373" s="25" t="n"/>
      <c r="U373" s="54" t="n"/>
      <c r="V373" s="54">
        <f>IF($B373="","",IF(_xludf.TEXTJOIN(" | ",TRUE,IF($B373="","Missing Title",""),IF($C373="","Missing Date",""),IF($D373="","Missing Start",""),IF($E373="","Missing End",""),IF($G373="","Missing Required Attendees",""),IF($T373="","Missing Status",""),IF(AND($D373&lt;&gt;"",$E373&lt;&gt;"",$D373&gt;=$E373),"Start&gt;=End",""),IF(OR($R373="",LEN($R373)&lt;60,ISNUMBER(MATCH(TRIM($R373),StatusList,0))),"Body overwritten/short",""))="","OK",_xludf.TEXTJOIN(" | ",TRUE,IF($B373="","Missing Title",""),IF($C373="","Missing Date",""),IF($D373="","Missing Start",""),IF($E373="","Missing End",""),IF($G373="","Missing Required Attendees",""),IF($T373="","Missing Status",""),IF(AND($D373&lt;&gt;"",$E373&lt;&gt;"",$D373&gt;=$E373),"Start&gt;=End",""),IF(OR($R373="",LEN($R373)&lt;60,ISNUMBER(MATCH(TRIM($R373),StatusList,0))),"Body overwritten/short",""))))</f>
        <v/>
      </c>
    </row>
    <row r="374" ht="12.75" customHeight="1">
      <c r="B374" s="25" t="n"/>
      <c r="C374" s="80" t="n"/>
      <c r="D374" s="77" t="n"/>
      <c r="E374" s="77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16">
        <f>IF($L374&lt;&gt;"","Purpose "&amp;CHAR(10)&amp;$L374&amp;CHAR(10)&amp;CHAR(10),"")&amp;
IF($M374&lt;&gt;"","Stops (in order) "&amp;CHAR(10)&amp;$M374&amp;CHAR(10)&amp;CHAR(10),"")&amp;
IF($N374&lt;&gt;"","To-Do (hard requirements) "&amp;CHAR(10)&amp;$N374&amp;CHAR(10)&amp;CHAR(10),"")&amp;
IF($O374&lt;&gt;"","Suggested Timeline "&amp;CHAR(10)&amp;$O374&amp;CHAR(10)&amp;CHAR(10),"")&amp;
IF($P374&lt;&gt;"","Guardrails "&amp;CHAR(10)&amp;$P374&amp;CHAR(10)&amp;CHAR(10),"")&amp;
IF($Q374&lt;&gt;"","Completion signals "&amp;CHAR(10)&amp;$Q374,"")</f>
        <v/>
      </c>
      <c r="S374" s="25" t="n"/>
      <c r="T374" s="25" t="n"/>
      <c r="U374" s="54" t="n"/>
      <c r="V374" s="54">
        <f>IF($B374="","",IF(_xludf.TEXTJOIN(" | ",TRUE,IF($B374="","Missing Title",""),IF($C374="","Missing Date",""),IF($D374="","Missing Start",""),IF($E374="","Missing End",""),IF($G374="","Missing Required Attendees",""),IF($T374="","Missing Status",""),IF(AND($D374&lt;&gt;"",$E374&lt;&gt;"",$D374&gt;=$E374),"Start&gt;=End",""),IF(OR($R374="",LEN($R374)&lt;60,ISNUMBER(MATCH(TRIM($R374),StatusList,0))),"Body overwritten/short",""))="","OK",_xludf.TEXTJOIN(" | ",TRUE,IF($B374="","Missing Title",""),IF($C374="","Missing Date",""),IF($D374="","Missing Start",""),IF($E374="","Missing End",""),IF($G374="","Missing Required Attendees",""),IF($T374="","Missing Status",""),IF(AND($D374&lt;&gt;"",$E374&lt;&gt;"",$D374&gt;=$E374),"Start&gt;=End",""),IF(OR($R374="",LEN($R374)&lt;60,ISNUMBER(MATCH(TRIM($R374),StatusList,0))),"Body overwritten/short",""))))</f>
        <v/>
      </c>
    </row>
    <row r="375" ht="12.75" customHeight="1">
      <c r="B375" s="25" t="n"/>
      <c r="C375" s="80" t="n"/>
      <c r="D375" s="77" t="n"/>
      <c r="E375" s="77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16">
        <f>IF($L375&lt;&gt;"","Purpose "&amp;CHAR(10)&amp;$L375&amp;CHAR(10)&amp;CHAR(10),"")&amp;
IF($M375&lt;&gt;"","Stops (in order) "&amp;CHAR(10)&amp;$M375&amp;CHAR(10)&amp;CHAR(10),"")&amp;
IF($N375&lt;&gt;"","To-Do (hard requirements) "&amp;CHAR(10)&amp;$N375&amp;CHAR(10)&amp;CHAR(10),"")&amp;
IF($O375&lt;&gt;"","Suggested Timeline "&amp;CHAR(10)&amp;$O375&amp;CHAR(10)&amp;CHAR(10),"")&amp;
IF($P375&lt;&gt;"","Guardrails "&amp;CHAR(10)&amp;$P375&amp;CHAR(10)&amp;CHAR(10),"")&amp;
IF($Q375&lt;&gt;"","Completion signals "&amp;CHAR(10)&amp;$Q375,"")</f>
        <v/>
      </c>
      <c r="S375" s="25" t="n"/>
      <c r="T375" s="25" t="n"/>
      <c r="U375" s="54" t="n"/>
      <c r="V375" s="54">
        <f>IF($B375="","",IF(_xludf.TEXTJOIN(" | ",TRUE,IF($B375="","Missing Title",""),IF($C375="","Missing Date",""),IF($D375="","Missing Start",""),IF($E375="","Missing End",""),IF($G375="","Missing Required Attendees",""),IF($T375="","Missing Status",""),IF(AND($D375&lt;&gt;"",$E375&lt;&gt;"",$D375&gt;=$E375),"Start&gt;=End",""),IF(OR($R375="",LEN($R375)&lt;60,ISNUMBER(MATCH(TRIM($R375),StatusList,0))),"Body overwritten/short",""))="","OK",_xludf.TEXTJOIN(" | ",TRUE,IF($B375="","Missing Title",""),IF($C375="","Missing Date",""),IF($D375="","Missing Start",""),IF($E375="","Missing End",""),IF($G375="","Missing Required Attendees",""),IF($T375="","Missing Status",""),IF(AND($D375&lt;&gt;"",$E375&lt;&gt;"",$D375&gt;=$E375),"Start&gt;=End",""),IF(OR($R375="",LEN($R375)&lt;60,ISNUMBER(MATCH(TRIM($R375),StatusList,0))),"Body overwritten/short",""))))</f>
        <v/>
      </c>
    </row>
    <row r="376" ht="12.75" customHeight="1">
      <c r="B376" s="25" t="n"/>
      <c r="C376" s="80" t="n"/>
      <c r="D376" s="77" t="n"/>
      <c r="E376" s="77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16">
        <f>IF($L376&lt;&gt;"","Purpose "&amp;CHAR(10)&amp;$L376&amp;CHAR(10)&amp;CHAR(10),"")&amp;
IF($M376&lt;&gt;"","Stops (in order) "&amp;CHAR(10)&amp;$M376&amp;CHAR(10)&amp;CHAR(10),"")&amp;
IF($N376&lt;&gt;"","To-Do (hard requirements) "&amp;CHAR(10)&amp;$N376&amp;CHAR(10)&amp;CHAR(10),"")&amp;
IF($O376&lt;&gt;"","Suggested Timeline "&amp;CHAR(10)&amp;$O376&amp;CHAR(10)&amp;CHAR(10),"")&amp;
IF($P376&lt;&gt;"","Guardrails "&amp;CHAR(10)&amp;$P376&amp;CHAR(10)&amp;CHAR(10),"")&amp;
IF($Q376&lt;&gt;"","Completion signals "&amp;CHAR(10)&amp;$Q376,"")</f>
        <v/>
      </c>
      <c r="S376" s="25" t="n"/>
      <c r="T376" s="25" t="n"/>
      <c r="U376" s="54" t="n"/>
      <c r="V376" s="54">
        <f>IF($B376="","",IF(_xludf.TEXTJOIN(" | ",TRUE,IF($B376="","Missing Title",""),IF($C376="","Missing Date",""),IF($D376="","Missing Start",""),IF($E376="","Missing End",""),IF($G376="","Missing Required Attendees",""),IF($T376="","Missing Status",""),IF(AND($D376&lt;&gt;"",$E376&lt;&gt;"",$D376&gt;=$E376),"Start&gt;=End",""),IF(OR($R376="",LEN($R376)&lt;60,ISNUMBER(MATCH(TRIM($R376),StatusList,0))),"Body overwritten/short",""))="","OK",_xludf.TEXTJOIN(" | ",TRUE,IF($B376="","Missing Title",""),IF($C376="","Missing Date",""),IF($D376="","Missing Start",""),IF($E376="","Missing End",""),IF($G376="","Missing Required Attendees",""),IF($T376="","Missing Status",""),IF(AND($D376&lt;&gt;"",$E376&lt;&gt;"",$D376&gt;=$E376),"Start&gt;=End",""),IF(OR($R376="",LEN($R376)&lt;60,ISNUMBER(MATCH(TRIM($R376),StatusList,0))),"Body overwritten/short",""))))</f>
        <v/>
      </c>
    </row>
    <row r="377" ht="12.75" customHeight="1">
      <c r="B377" s="25" t="n"/>
      <c r="C377" s="80" t="n"/>
      <c r="D377" s="77" t="n"/>
      <c r="E377" s="77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16">
        <f>IF($L377&lt;&gt;"","Purpose "&amp;CHAR(10)&amp;$L377&amp;CHAR(10)&amp;CHAR(10),"")&amp;
IF($M377&lt;&gt;"","Stops (in order) "&amp;CHAR(10)&amp;$M377&amp;CHAR(10)&amp;CHAR(10),"")&amp;
IF($N377&lt;&gt;"","To-Do (hard requirements) "&amp;CHAR(10)&amp;$N377&amp;CHAR(10)&amp;CHAR(10),"")&amp;
IF($O377&lt;&gt;"","Suggested Timeline "&amp;CHAR(10)&amp;$O377&amp;CHAR(10)&amp;CHAR(10),"")&amp;
IF($P377&lt;&gt;"","Guardrails "&amp;CHAR(10)&amp;$P377&amp;CHAR(10)&amp;CHAR(10),"")&amp;
IF($Q377&lt;&gt;"","Completion signals "&amp;CHAR(10)&amp;$Q377,"")</f>
        <v/>
      </c>
      <c r="S377" s="25" t="n"/>
      <c r="T377" s="25" t="n"/>
      <c r="U377" s="54" t="n"/>
      <c r="V377" s="54">
        <f>IF($B377="","",IF(_xludf.TEXTJOIN(" | ",TRUE,IF($B377="","Missing Title",""),IF($C377="","Missing Date",""),IF($D377="","Missing Start",""),IF($E377="","Missing End",""),IF($G377="","Missing Required Attendees",""),IF($T377="","Missing Status",""),IF(AND($D377&lt;&gt;"",$E377&lt;&gt;"",$D377&gt;=$E377),"Start&gt;=End",""),IF(OR($R377="",LEN($R377)&lt;60,ISNUMBER(MATCH(TRIM($R377),StatusList,0))),"Body overwritten/short",""))="","OK",_xludf.TEXTJOIN(" | ",TRUE,IF($B377="","Missing Title",""),IF($C377="","Missing Date",""),IF($D377="","Missing Start",""),IF($E377="","Missing End",""),IF($G377="","Missing Required Attendees",""),IF($T377="","Missing Status",""),IF(AND($D377&lt;&gt;"",$E377&lt;&gt;"",$D377&gt;=$E377),"Start&gt;=End",""),IF(OR($R377="",LEN($R377)&lt;60,ISNUMBER(MATCH(TRIM($R377),StatusList,0))),"Body overwritten/short",""))))</f>
        <v/>
      </c>
    </row>
    <row r="378" ht="12.75" customHeight="1">
      <c r="B378" s="25" t="n"/>
      <c r="C378" s="80" t="n"/>
      <c r="D378" s="77" t="n"/>
      <c r="E378" s="77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16">
        <f>IF($L378&lt;&gt;"","Purpose "&amp;CHAR(10)&amp;$L378&amp;CHAR(10)&amp;CHAR(10),"")&amp;
IF($M378&lt;&gt;"","Stops (in order) "&amp;CHAR(10)&amp;$M378&amp;CHAR(10)&amp;CHAR(10),"")&amp;
IF($N378&lt;&gt;"","To-Do (hard requirements) "&amp;CHAR(10)&amp;$N378&amp;CHAR(10)&amp;CHAR(10),"")&amp;
IF($O378&lt;&gt;"","Suggested Timeline "&amp;CHAR(10)&amp;$O378&amp;CHAR(10)&amp;CHAR(10),"")&amp;
IF($P378&lt;&gt;"","Guardrails "&amp;CHAR(10)&amp;$P378&amp;CHAR(10)&amp;CHAR(10),"")&amp;
IF($Q378&lt;&gt;"","Completion signals "&amp;CHAR(10)&amp;$Q378,"")</f>
        <v/>
      </c>
      <c r="S378" s="25" t="n"/>
      <c r="T378" s="25" t="n"/>
      <c r="U378" s="54" t="n"/>
      <c r="V378" s="54">
        <f>IF($B378="","",IF(_xludf.TEXTJOIN(" | ",TRUE,IF($B378="","Missing Title",""),IF($C378="","Missing Date",""),IF($D378="","Missing Start",""),IF($E378="","Missing End",""),IF($G378="","Missing Required Attendees",""),IF($T378="","Missing Status",""),IF(AND($D378&lt;&gt;"",$E378&lt;&gt;"",$D378&gt;=$E378),"Start&gt;=End",""),IF(OR($R378="",LEN($R378)&lt;60,ISNUMBER(MATCH(TRIM($R378),StatusList,0))),"Body overwritten/short",""))="","OK",_xludf.TEXTJOIN(" | ",TRUE,IF($B378="","Missing Title",""),IF($C378="","Missing Date",""),IF($D378="","Missing Start",""),IF($E378="","Missing End",""),IF($G378="","Missing Required Attendees",""),IF($T378="","Missing Status",""),IF(AND($D378&lt;&gt;"",$E378&lt;&gt;"",$D378&gt;=$E378),"Start&gt;=End",""),IF(OR($R378="",LEN($R378)&lt;60,ISNUMBER(MATCH(TRIM($R378),StatusList,0))),"Body overwritten/short",""))))</f>
        <v/>
      </c>
    </row>
    <row r="379" ht="12.75" customHeight="1">
      <c r="B379" s="25" t="n"/>
      <c r="C379" s="80" t="n"/>
      <c r="D379" s="77" t="n"/>
      <c r="E379" s="77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16">
        <f>IF($L379&lt;&gt;"","Purpose "&amp;CHAR(10)&amp;$L379&amp;CHAR(10)&amp;CHAR(10),"")&amp;
IF($M379&lt;&gt;"","Stops (in order) "&amp;CHAR(10)&amp;$M379&amp;CHAR(10)&amp;CHAR(10),"")&amp;
IF($N379&lt;&gt;"","To-Do (hard requirements) "&amp;CHAR(10)&amp;$N379&amp;CHAR(10)&amp;CHAR(10),"")&amp;
IF($O379&lt;&gt;"","Suggested Timeline "&amp;CHAR(10)&amp;$O379&amp;CHAR(10)&amp;CHAR(10),"")&amp;
IF($P379&lt;&gt;"","Guardrails "&amp;CHAR(10)&amp;$P379&amp;CHAR(10)&amp;CHAR(10),"")&amp;
IF($Q379&lt;&gt;"","Completion signals "&amp;CHAR(10)&amp;$Q379,"")</f>
        <v/>
      </c>
      <c r="S379" s="25" t="n"/>
      <c r="T379" s="25" t="n"/>
      <c r="U379" s="54" t="n"/>
      <c r="V379" s="54">
        <f>IF($B379="","",IF(_xludf.TEXTJOIN(" | ",TRUE,IF($B379="","Missing Title",""),IF($C379="","Missing Date",""),IF($D379="","Missing Start",""),IF($E379="","Missing End",""),IF($G379="","Missing Required Attendees",""),IF($T379="","Missing Status",""),IF(AND($D379&lt;&gt;"",$E379&lt;&gt;"",$D379&gt;=$E379),"Start&gt;=End",""),IF(OR($R379="",LEN($R379)&lt;60,ISNUMBER(MATCH(TRIM($R379),StatusList,0))),"Body overwritten/short",""))="","OK",_xludf.TEXTJOIN(" | ",TRUE,IF($B379="","Missing Title",""),IF($C379="","Missing Date",""),IF($D379="","Missing Start",""),IF($E379="","Missing End",""),IF($G379="","Missing Required Attendees",""),IF($T379="","Missing Status",""),IF(AND($D379&lt;&gt;"",$E379&lt;&gt;"",$D379&gt;=$E379),"Start&gt;=End",""),IF(OR($R379="",LEN($R379)&lt;60,ISNUMBER(MATCH(TRIM($R379),StatusList,0))),"Body overwritten/short",""))))</f>
        <v/>
      </c>
    </row>
    <row r="380" ht="12.75" customHeight="1">
      <c r="B380" s="25" t="n"/>
      <c r="C380" s="80" t="n"/>
      <c r="D380" s="77" t="n"/>
      <c r="E380" s="77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16">
        <f>IF($L380&lt;&gt;"","Purpose "&amp;CHAR(10)&amp;$L380&amp;CHAR(10)&amp;CHAR(10),"")&amp;
IF($M380&lt;&gt;"","Stops (in order) "&amp;CHAR(10)&amp;$M380&amp;CHAR(10)&amp;CHAR(10),"")&amp;
IF($N380&lt;&gt;"","To-Do (hard requirements) "&amp;CHAR(10)&amp;$N380&amp;CHAR(10)&amp;CHAR(10),"")&amp;
IF($O380&lt;&gt;"","Suggested Timeline "&amp;CHAR(10)&amp;$O380&amp;CHAR(10)&amp;CHAR(10),"")&amp;
IF($P380&lt;&gt;"","Guardrails "&amp;CHAR(10)&amp;$P380&amp;CHAR(10)&amp;CHAR(10),"")&amp;
IF($Q380&lt;&gt;"","Completion signals "&amp;CHAR(10)&amp;$Q380,"")</f>
        <v/>
      </c>
      <c r="S380" s="25" t="n"/>
      <c r="T380" s="25" t="n"/>
      <c r="U380" s="54" t="n"/>
      <c r="V380" s="54">
        <f>IF($B380="","",IF(_xludf.TEXTJOIN(" | ",TRUE,IF($B380="","Missing Title",""),IF($C380="","Missing Date",""),IF($D380="","Missing Start",""),IF($E380="","Missing End",""),IF($G380="","Missing Required Attendees",""),IF($T380="","Missing Status",""),IF(AND($D380&lt;&gt;"",$E380&lt;&gt;"",$D380&gt;=$E380),"Start&gt;=End",""),IF(OR($R380="",LEN($R380)&lt;60,ISNUMBER(MATCH(TRIM($R380),StatusList,0))),"Body overwritten/short",""))="","OK",_xludf.TEXTJOIN(" | ",TRUE,IF($B380="","Missing Title",""),IF($C380="","Missing Date",""),IF($D380="","Missing Start",""),IF($E380="","Missing End",""),IF($G380="","Missing Required Attendees",""),IF($T380="","Missing Status",""),IF(AND($D380&lt;&gt;"",$E380&lt;&gt;"",$D380&gt;=$E380),"Start&gt;=End",""),IF(OR($R380="",LEN($R380)&lt;60,ISNUMBER(MATCH(TRIM($R380),StatusList,0))),"Body overwritten/short",""))))</f>
        <v/>
      </c>
    </row>
    <row r="381" ht="12.75" customHeight="1">
      <c r="B381" s="25" t="n"/>
      <c r="C381" s="80" t="n"/>
      <c r="D381" s="77" t="n"/>
      <c r="E381" s="77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16">
        <f>IF($L381&lt;&gt;"","Purpose "&amp;CHAR(10)&amp;$L381&amp;CHAR(10)&amp;CHAR(10),"")&amp;
IF($M381&lt;&gt;"","Stops (in order) "&amp;CHAR(10)&amp;$M381&amp;CHAR(10)&amp;CHAR(10),"")&amp;
IF($N381&lt;&gt;"","To-Do (hard requirements) "&amp;CHAR(10)&amp;$N381&amp;CHAR(10)&amp;CHAR(10),"")&amp;
IF($O381&lt;&gt;"","Suggested Timeline "&amp;CHAR(10)&amp;$O381&amp;CHAR(10)&amp;CHAR(10),"")&amp;
IF($P381&lt;&gt;"","Guardrails "&amp;CHAR(10)&amp;$P381&amp;CHAR(10)&amp;CHAR(10),"")&amp;
IF($Q381&lt;&gt;"","Completion signals "&amp;CHAR(10)&amp;$Q381,"")</f>
        <v/>
      </c>
      <c r="S381" s="25" t="n"/>
      <c r="T381" s="25" t="n"/>
      <c r="U381" s="54" t="n"/>
      <c r="V381" s="54">
        <f>IF($B381="","",IF(_xludf.TEXTJOIN(" | ",TRUE,IF($B381="","Missing Title",""),IF($C381="","Missing Date",""),IF($D381="","Missing Start",""),IF($E381="","Missing End",""),IF($G381="","Missing Required Attendees",""),IF($T381="","Missing Status",""),IF(AND($D381&lt;&gt;"",$E381&lt;&gt;"",$D381&gt;=$E381),"Start&gt;=End",""),IF(OR($R381="",LEN($R381)&lt;60,ISNUMBER(MATCH(TRIM($R381),StatusList,0))),"Body overwritten/short",""))="","OK",_xludf.TEXTJOIN(" | ",TRUE,IF($B381="","Missing Title",""),IF($C381="","Missing Date",""),IF($D381="","Missing Start",""),IF($E381="","Missing End",""),IF($G381="","Missing Required Attendees",""),IF($T381="","Missing Status",""),IF(AND($D381&lt;&gt;"",$E381&lt;&gt;"",$D381&gt;=$E381),"Start&gt;=End",""),IF(OR($R381="",LEN($R381)&lt;60,ISNUMBER(MATCH(TRIM($R381),StatusList,0))),"Body overwritten/short",""))))</f>
        <v/>
      </c>
    </row>
    <row r="382" ht="12.75" customHeight="1">
      <c r="B382" s="25" t="n"/>
      <c r="C382" s="80" t="n"/>
      <c r="D382" s="77" t="n"/>
      <c r="E382" s="77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16">
        <f>IF($L382&lt;&gt;"","Purpose "&amp;CHAR(10)&amp;$L382&amp;CHAR(10)&amp;CHAR(10),"")&amp;
IF($M382&lt;&gt;"","Stops (in order) "&amp;CHAR(10)&amp;$M382&amp;CHAR(10)&amp;CHAR(10),"")&amp;
IF($N382&lt;&gt;"","To-Do (hard requirements) "&amp;CHAR(10)&amp;$N382&amp;CHAR(10)&amp;CHAR(10),"")&amp;
IF($O382&lt;&gt;"","Suggested Timeline "&amp;CHAR(10)&amp;$O382&amp;CHAR(10)&amp;CHAR(10),"")&amp;
IF($P382&lt;&gt;"","Guardrails "&amp;CHAR(10)&amp;$P382&amp;CHAR(10)&amp;CHAR(10),"")&amp;
IF($Q382&lt;&gt;"","Completion signals "&amp;CHAR(10)&amp;$Q382,"")</f>
        <v/>
      </c>
      <c r="S382" s="25" t="n"/>
      <c r="T382" s="25" t="n"/>
      <c r="U382" s="54" t="n"/>
      <c r="V382" s="54">
        <f>IF($B382="","",IF(_xludf.TEXTJOIN(" | ",TRUE,IF($B382="","Missing Title",""),IF($C382="","Missing Date",""),IF($D382="","Missing Start",""),IF($E382="","Missing End",""),IF($G382="","Missing Required Attendees",""),IF($T382="","Missing Status",""),IF(AND($D382&lt;&gt;"",$E382&lt;&gt;"",$D382&gt;=$E382),"Start&gt;=End",""),IF(OR($R382="",LEN($R382)&lt;60,ISNUMBER(MATCH(TRIM($R382),StatusList,0))),"Body overwritten/short",""))="","OK",_xludf.TEXTJOIN(" | ",TRUE,IF($B382="","Missing Title",""),IF($C382="","Missing Date",""),IF($D382="","Missing Start",""),IF($E382="","Missing End",""),IF($G382="","Missing Required Attendees",""),IF($T382="","Missing Status",""),IF(AND($D382&lt;&gt;"",$E382&lt;&gt;"",$D382&gt;=$E382),"Start&gt;=End",""),IF(OR($R382="",LEN($R382)&lt;60,ISNUMBER(MATCH(TRIM($R382),StatusList,0))),"Body overwritten/short",""))))</f>
        <v/>
      </c>
    </row>
    <row r="383" ht="12.75" customHeight="1">
      <c r="B383" s="25" t="n"/>
      <c r="C383" s="80" t="n"/>
      <c r="D383" s="77" t="n"/>
      <c r="E383" s="77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16">
        <f>IF($L383&lt;&gt;"","Purpose "&amp;CHAR(10)&amp;$L383&amp;CHAR(10)&amp;CHAR(10),"")&amp;
IF($M383&lt;&gt;"","Stops (in order) "&amp;CHAR(10)&amp;$M383&amp;CHAR(10)&amp;CHAR(10),"")&amp;
IF($N383&lt;&gt;"","To-Do (hard requirements) "&amp;CHAR(10)&amp;$N383&amp;CHAR(10)&amp;CHAR(10),"")&amp;
IF($O383&lt;&gt;"","Suggested Timeline "&amp;CHAR(10)&amp;$O383&amp;CHAR(10)&amp;CHAR(10),"")&amp;
IF($P383&lt;&gt;"","Guardrails "&amp;CHAR(10)&amp;$P383&amp;CHAR(10)&amp;CHAR(10),"")&amp;
IF($Q383&lt;&gt;"","Completion signals "&amp;CHAR(10)&amp;$Q383,"")</f>
        <v/>
      </c>
      <c r="S383" s="25" t="n"/>
      <c r="T383" s="25" t="n"/>
      <c r="U383" s="54" t="n"/>
      <c r="V383" s="54">
        <f>IF($B383="","",IF(_xludf.TEXTJOIN(" | ",TRUE,IF($B383="","Missing Title",""),IF($C383="","Missing Date",""),IF($D383="","Missing Start",""),IF($E383="","Missing End",""),IF($G383="","Missing Required Attendees",""),IF($T383="","Missing Status",""),IF(AND($D383&lt;&gt;"",$E383&lt;&gt;"",$D383&gt;=$E383),"Start&gt;=End",""),IF(OR($R383="",LEN($R383)&lt;60,ISNUMBER(MATCH(TRIM($R383),StatusList,0))),"Body overwritten/short",""))="","OK",_xludf.TEXTJOIN(" | ",TRUE,IF($B383="","Missing Title",""),IF($C383="","Missing Date",""),IF($D383="","Missing Start",""),IF($E383="","Missing End",""),IF($G383="","Missing Required Attendees",""),IF($T383="","Missing Status",""),IF(AND($D383&lt;&gt;"",$E383&lt;&gt;"",$D383&gt;=$E383),"Start&gt;=End",""),IF(OR($R383="",LEN($R383)&lt;60,ISNUMBER(MATCH(TRIM($R383),StatusList,0))),"Body overwritten/short",""))))</f>
        <v/>
      </c>
    </row>
    <row r="384" ht="12.75" customHeight="1">
      <c r="B384" s="25" t="n"/>
      <c r="C384" s="80" t="n"/>
      <c r="D384" s="77" t="n"/>
      <c r="E384" s="77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16">
        <f>IF($L384&lt;&gt;"","Purpose "&amp;CHAR(10)&amp;$L384&amp;CHAR(10)&amp;CHAR(10),"")&amp;
IF($M384&lt;&gt;"","Stops (in order) "&amp;CHAR(10)&amp;$M384&amp;CHAR(10)&amp;CHAR(10),"")&amp;
IF($N384&lt;&gt;"","To-Do (hard requirements) "&amp;CHAR(10)&amp;$N384&amp;CHAR(10)&amp;CHAR(10),"")&amp;
IF($O384&lt;&gt;"","Suggested Timeline "&amp;CHAR(10)&amp;$O384&amp;CHAR(10)&amp;CHAR(10),"")&amp;
IF($P384&lt;&gt;"","Guardrails "&amp;CHAR(10)&amp;$P384&amp;CHAR(10)&amp;CHAR(10),"")&amp;
IF($Q384&lt;&gt;"","Completion signals "&amp;CHAR(10)&amp;$Q384,"")</f>
        <v/>
      </c>
      <c r="S384" s="25" t="n"/>
      <c r="T384" s="25" t="n"/>
      <c r="U384" s="54" t="n"/>
      <c r="V384" s="54">
        <f>IF($B384="","",IF(_xludf.TEXTJOIN(" | ",TRUE,IF($B384="","Missing Title",""),IF($C384="","Missing Date",""),IF($D384="","Missing Start",""),IF($E384="","Missing End",""),IF($G384="","Missing Required Attendees",""),IF($T384="","Missing Status",""),IF(AND($D384&lt;&gt;"",$E384&lt;&gt;"",$D384&gt;=$E384),"Start&gt;=End",""),IF(OR($R384="",LEN($R384)&lt;60,ISNUMBER(MATCH(TRIM($R384),StatusList,0))),"Body overwritten/short",""))="","OK",_xludf.TEXTJOIN(" | ",TRUE,IF($B384="","Missing Title",""),IF($C384="","Missing Date",""),IF($D384="","Missing Start",""),IF($E384="","Missing End",""),IF($G384="","Missing Required Attendees",""),IF($T384="","Missing Status",""),IF(AND($D384&lt;&gt;"",$E384&lt;&gt;"",$D384&gt;=$E384),"Start&gt;=End",""),IF(OR($R384="",LEN($R384)&lt;60,ISNUMBER(MATCH(TRIM($R384),StatusList,0))),"Body overwritten/short",""))))</f>
        <v/>
      </c>
    </row>
    <row r="385" ht="12.75" customHeight="1">
      <c r="B385" s="25" t="n"/>
      <c r="C385" s="80" t="n"/>
      <c r="D385" s="77" t="n"/>
      <c r="E385" s="77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16">
        <f>IF($L385&lt;&gt;"","Purpose "&amp;CHAR(10)&amp;$L385&amp;CHAR(10)&amp;CHAR(10),"")&amp;
IF($M385&lt;&gt;"","Stops (in order) "&amp;CHAR(10)&amp;$M385&amp;CHAR(10)&amp;CHAR(10),"")&amp;
IF($N385&lt;&gt;"","To-Do (hard requirements) "&amp;CHAR(10)&amp;$N385&amp;CHAR(10)&amp;CHAR(10),"")&amp;
IF($O385&lt;&gt;"","Suggested Timeline "&amp;CHAR(10)&amp;$O385&amp;CHAR(10)&amp;CHAR(10),"")&amp;
IF($P385&lt;&gt;"","Guardrails "&amp;CHAR(10)&amp;$P385&amp;CHAR(10)&amp;CHAR(10),"")&amp;
IF($Q385&lt;&gt;"","Completion signals "&amp;CHAR(10)&amp;$Q385,"")</f>
        <v/>
      </c>
      <c r="S385" s="25" t="n"/>
      <c r="T385" s="25" t="n"/>
      <c r="U385" s="54" t="n"/>
      <c r="V385" s="54">
        <f>IF($B385="","",IF(_xludf.TEXTJOIN(" | ",TRUE,IF($B385="","Missing Title",""),IF($C385="","Missing Date",""),IF($D385="","Missing Start",""),IF($E385="","Missing End",""),IF($G385="","Missing Required Attendees",""),IF($T385="","Missing Status",""),IF(AND($D385&lt;&gt;"",$E385&lt;&gt;"",$D385&gt;=$E385),"Start&gt;=End",""),IF(OR($R385="",LEN($R385)&lt;60,ISNUMBER(MATCH(TRIM($R385),StatusList,0))),"Body overwritten/short",""))="","OK",_xludf.TEXTJOIN(" | ",TRUE,IF($B385="","Missing Title",""),IF($C385="","Missing Date",""),IF($D385="","Missing Start",""),IF($E385="","Missing End",""),IF($G385="","Missing Required Attendees",""),IF($T385="","Missing Status",""),IF(AND($D385&lt;&gt;"",$E385&lt;&gt;"",$D385&gt;=$E385),"Start&gt;=End",""),IF(OR($R385="",LEN($R385)&lt;60,ISNUMBER(MATCH(TRIM($R385),StatusList,0))),"Body overwritten/short",""))))</f>
        <v/>
      </c>
    </row>
    <row r="386" ht="12.75" customHeight="1">
      <c r="B386" s="25" t="n"/>
      <c r="C386" s="80" t="n"/>
      <c r="D386" s="77" t="n"/>
      <c r="E386" s="77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16">
        <f>IF($L386&lt;&gt;"","Purpose "&amp;CHAR(10)&amp;$L386&amp;CHAR(10)&amp;CHAR(10),"")&amp;
IF($M386&lt;&gt;"","Stops (in order) "&amp;CHAR(10)&amp;$M386&amp;CHAR(10)&amp;CHAR(10),"")&amp;
IF($N386&lt;&gt;"","To-Do (hard requirements) "&amp;CHAR(10)&amp;$N386&amp;CHAR(10)&amp;CHAR(10),"")&amp;
IF($O386&lt;&gt;"","Suggested Timeline "&amp;CHAR(10)&amp;$O386&amp;CHAR(10)&amp;CHAR(10),"")&amp;
IF($P386&lt;&gt;"","Guardrails "&amp;CHAR(10)&amp;$P386&amp;CHAR(10)&amp;CHAR(10),"")&amp;
IF($Q386&lt;&gt;"","Completion signals "&amp;CHAR(10)&amp;$Q386,"")</f>
        <v/>
      </c>
      <c r="S386" s="25" t="n"/>
      <c r="T386" s="25" t="n"/>
      <c r="U386" s="54" t="n"/>
      <c r="V386" s="54">
        <f>IF($B386="","",IF(_xludf.TEXTJOIN(" | ",TRUE,IF($B386="","Missing Title",""),IF($C386="","Missing Date",""),IF($D386="","Missing Start",""),IF($E386="","Missing End",""),IF($G386="","Missing Required Attendees",""),IF($T386="","Missing Status",""),IF(AND($D386&lt;&gt;"",$E386&lt;&gt;"",$D386&gt;=$E386),"Start&gt;=End",""),IF(OR($R386="",LEN($R386)&lt;60,ISNUMBER(MATCH(TRIM($R386),StatusList,0))),"Body overwritten/short",""))="","OK",_xludf.TEXTJOIN(" | ",TRUE,IF($B386="","Missing Title",""),IF($C386="","Missing Date",""),IF($D386="","Missing Start",""),IF($E386="","Missing End",""),IF($G386="","Missing Required Attendees",""),IF($T386="","Missing Status",""),IF(AND($D386&lt;&gt;"",$E386&lt;&gt;"",$D386&gt;=$E386),"Start&gt;=End",""),IF(OR($R386="",LEN($R386)&lt;60,ISNUMBER(MATCH(TRIM($R386),StatusList,0))),"Body overwritten/short",""))))</f>
        <v/>
      </c>
    </row>
    <row r="387" ht="12.75" customHeight="1">
      <c r="B387" s="25" t="n"/>
      <c r="C387" s="80" t="n"/>
      <c r="D387" s="77" t="n"/>
      <c r="E387" s="77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16">
        <f>IF($L387&lt;&gt;"","Purpose "&amp;CHAR(10)&amp;$L387&amp;CHAR(10)&amp;CHAR(10),"")&amp;
IF($M387&lt;&gt;"","Stops (in order) "&amp;CHAR(10)&amp;$M387&amp;CHAR(10)&amp;CHAR(10),"")&amp;
IF($N387&lt;&gt;"","To-Do (hard requirements) "&amp;CHAR(10)&amp;$N387&amp;CHAR(10)&amp;CHAR(10),"")&amp;
IF($O387&lt;&gt;"","Suggested Timeline "&amp;CHAR(10)&amp;$O387&amp;CHAR(10)&amp;CHAR(10),"")&amp;
IF($P387&lt;&gt;"","Guardrails "&amp;CHAR(10)&amp;$P387&amp;CHAR(10)&amp;CHAR(10),"")&amp;
IF($Q387&lt;&gt;"","Completion signals "&amp;CHAR(10)&amp;$Q387,"")</f>
        <v/>
      </c>
      <c r="S387" s="25" t="n"/>
      <c r="T387" s="25" t="n"/>
      <c r="U387" s="54" t="n"/>
      <c r="V387" s="54">
        <f>IF($B387="","",IF(_xludf.TEXTJOIN(" | ",TRUE,IF($B387="","Missing Title",""),IF($C387="","Missing Date",""),IF($D387="","Missing Start",""),IF($E387="","Missing End",""),IF($G387="","Missing Required Attendees",""),IF($T387="","Missing Status",""),IF(AND($D387&lt;&gt;"",$E387&lt;&gt;"",$D387&gt;=$E387),"Start&gt;=End",""),IF(OR($R387="",LEN($R387)&lt;60,ISNUMBER(MATCH(TRIM($R387),StatusList,0))),"Body overwritten/short",""))="","OK",_xludf.TEXTJOIN(" | ",TRUE,IF($B387="","Missing Title",""),IF($C387="","Missing Date",""),IF($D387="","Missing Start",""),IF($E387="","Missing End",""),IF($G387="","Missing Required Attendees",""),IF($T387="","Missing Status",""),IF(AND($D387&lt;&gt;"",$E387&lt;&gt;"",$D387&gt;=$E387),"Start&gt;=End",""),IF(OR($R387="",LEN($R387)&lt;60,ISNUMBER(MATCH(TRIM($R387),StatusList,0))),"Body overwritten/short",""))))</f>
        <v/>
      </c>
    </row>
    <row r="388" ht="12.75" customHeight="1">
      <c r="B388" s="25" t="n"/>
      <c r="C388" s="80" t="n"/>
      <c r="D388" s="77" t="n"/>
      <c r="E388" s="77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16">
        <f>IF($L388&lt;&gt;"","Purpose "&amp;CHAR(10)&amp;$L388&amp;CHAR(10)&amp;CHAR(10),"")&amp;
IF($M388&lt;&gt;"","Stops (in order) "&amp;CHAR(10)&amp;$M388&amp;CHAR(10)&amp;CHAR(10),"")&amp;
IF($N388&lt;&gt;"","To-Do (hard requirements) "&amp;CHAR(10)&amp;$N388&amp;CHAR(10)&amp;CHAR(10),"")&amp;
IF($O388&lt;&gt;"","Suggested Timeline "&amp;CHAR(10)&amp;$O388&amp;CHAR(10)&amp;CHAR(10),"")&amp;
IF($P388&lt;&gt;"","Guardrails "&amp;CHAR(10)&amp;$P388&amp;CHAR(10)&amp;CHAR(10),"")&amp;
IF($Q388&lt;&gt;"","Completion signals "&amp;CHAR(10)&amp;$Q388,"")</f>
        <v/>
      </c>
      <c r="S388" s="25" t="n"/>
      <c r="T388" s="25" t="n"/>
      <c r="U388" s="54" t="n"/>
      <c r="V388" s="54">
        <f>IF($B388="","",IF(_xludf.TEXTJOIN(" | ",TRUE,IF($B388="","Missing Title",""),IF($C388="","Missing Date",""),IF($D388="","Missing Start",""),IF($E388="","Missing End",""),IF($G388="","Missing Required Attendees",""),IF($T388="","Missing Status",""),IF(AND($D388&lt;&gt;"",$E388&lt;&gt;"",$D388&gt;=$E388),"Start&gt;=End",""),IF(OR($R388="",LEN($R388)&lt;60,ISNUMBER(MATCH(TRIM($R388),StatusList,0))),"Body overwritten/short",""))="","OK",_xludf.TEXTJOIN(" | ",TRUE,IF($B388="","Missing Title",""),IF($C388="","Missing Date",""),IF($D388="","Missing Start",""),IF($E388="","Missing End",""),IF($G388="","Missing Required Attendees",""),IF($T388="","Missing Status",""),IF(AND($D388&lt;&gt;"",$E388&lt;&gt;"",$D388&gt;=$E388),"Start&gt;=End",""),IF(OR($R388="",LEN($R388)&lt;60,ISNUMBER(MATCH(TRIM($R388),StatusList,0))),"Body overwritten/short",""))))</f>
        <v/>
      </c>
    </row>
    <row r="389" ht="12.75" customHeight="1">
      <c r="B389" s="25" t="n"/>
      <c r="C389" s="80" t="n"/>
      <c r="D389" s="77" t="n"/>
      <c r="E389" s="77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16">
        <f>IF($L389&lt;&gt;"","Purpose "&amp;CHAR(10)&amp;$L389&amp;CHAR(10)&amp;CHAR(10),"")&amp;
IF($M389&lt;&gt;"","Stops (in order) "&amp;CHAR(10)&amp;$M389&amp;CHAR(10)&amp;CHAR(10),"")&amp;
IF($N389&lt;&gt;"","To-Do (hard requirements) "&amp;CHAR(10)&amp;$N389&amp;CHAR(10)&amp;CHAR(10),"")&amp;
IF($O389&lt;&gt;"","Suggested Timeline "&amp;CHAR(10)&amp;$O389&amp;CHAR(10)&amp;CHAR(10),"")&amp;
IF($P389&lt;&gt;"","Guardrails "&amp;CHAR(10)&amp;$P389&amp;CHAR(10)&amp;CHAR(10),"")&amp;
IF($Q389&lt;&gt;"","Completion signals "&amp;CHAR(10)&amp;$Q389,"")</f>
        <v/>
      </c>
      <c r="S389" s="25" t="n"/>
      <c r="T389" s="25" t="n"/>
      <c r="U389" s="54" t="n"/>
      <c r="V389" s="54">
        <f>IF($B389="","",IF(_xludf.TEXTJOIN(" | ",TRUE,IF($B389="","Missing Title",""),IF($C389="","Missing Date",""),IF($D389="","Missing Start",""),IF($E389="","Missing End",""),IF($G389="","Missing Required Attendees",""),IF($T389="","Missing Status",""),IF(AND($D389&lt;&gt;"",$E389&lt;&gt;"",$D389&gt;=$E389),"Start&gt;=End",""),IF(OR($R389="",LEN($R389)&lt;60,ISNUMBER(MATCH(TRIM($R389),StatusList,0))),"Body overwritten/short",""))="","OK",_xludf.TEXTJOIN(" | ",TRUE,IF($B389="","Missing Title",""),IF($C389="","Missing Date",""),IF($D389="","Missing Start",""),IF($E389="","Missing End",""),IF($G389="","Missing Required Attendees",""),IF($T389="","Missing Status",""),IF(AND($D389&lt;&gt;"",$E389&lt;&gt;"",$D389&gt;=$E389),"Start&gt;=End",""),IF(OR($R389="",LEN($R389)&lt;60,ISNUMBER(MATCH(TRIM($R389),StatusList,0))),"Body overwritten/short",""))))</f>
        <v/>
      </c>
    </row>
    <row r="390" ht="12.75" customHeight="1">
      <c r="B390" s="25" t="n"/>
      <c r="C390" s="80" t="n"/>
      <c r="D390" s="77" t="n"/>
      <c r="E390" s="77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16">
        <f>IF($L390&lt;&gt;"","Purpose "&amp;CHAR(10)&amp;$L390&amp;CHAR(10)&amp;CHAR(10),"")&amp;
IF($M390&lt;&gt;"","Stops (in order) "&amp;CHAR(10)&amp;$M390&amp;CHAR(10)&amp;CHAR(10),"")&amp;
IF($N390&lt;&gt;"","To-Do (hard requirements) "&amp;CHAR(10)&amp;$N390&amp;CHAR(10)&amp;CHAR(10),"")&amp;
IF($O390&lt;&gt;"","Suggested Timeline "&amp;CHAR(10)&amp;$O390&amp;CHAR(10)&amp;CHAR(10),"")&amp;
IF($P390&lt;&gt;"","Guardrails "&amp;CHAR(10)&amp;$P390&amp;CHAR(10)&amp;CHAR(10),"")&amp;
IF($Q390&lt;&gt;"","Completion signals "&amp;CHAR(10)&amp;$Q390,"")</f>
        <v/>
      </c>
      <c r="S390" s="25" t="n"/>
      <c r="T390" s="25" t="n"/>
      <c r="U390" s="54" t="n"/>
      <c r="V390" s="54">
        <f>IF($B390="","",IF(_xludf.TEXTJOIN(" | ",TRUE,IF($B390="","Missing Title",""),IF($C390="","Missing Date",""),IF($D390="","Missing Start",""),IF($E390="","Missing End",""),IF($G390="","Missing Required Attendees",""),IF($T390="","Missing Status",""),IF(AND($D390&lt;&gt;"",$E390&lt;&gt;"",$D390&gt;=$E390),"Start&gt;=End",""),IF(OR($R390="",LEN($R390)&lt;60,ISNUMBER(MATCH(TRIM($R390),StatusList,0))),"Body overwritten/short",""))="","OK",_xludf.TEXTJOIN(" | ",TRUE,IF($B390="","Missing Title",""),IF($C390="","Missing Date",""),IF($D390="","Missing Start",""),IF($E390="","Missing End",""),IF($G390="","Missing Required Attendees",""),IF($T390="","Missing Status",""),IF(AND($D390&lt;&gt;"",$E390&lt;&gt;"",$D390&gt;=$E390),"Start&gt;=End",""),IF(OR($R390="",LEN($R390)&lt;60,ISNUMBER(MATCH(TRIM($R390),StatusList,0))),"Body overwritten/short",""))))</f>
        <v/>
      </c>
    </row>
    <row r="391" ht="12.75" customHeight="1">
      <c r="B391" s="25" t="n"/>
      <c r="C391" s="80" t="n"/>
      <c r="D391" s="77" t="n"/>
      <c r="E391" s="77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16">
        <f>IF($L391&lt;&gt;"","Purpose "&amp;CHAR(10)&amp;$L391&amp;CHAR(10)&amp;CHAR(10),"")&amp;
IF($M391&lt;&gt;"","Stops (in order) "&amp;CHAR(10)&amp;$M391&amp;CHAR(10)&amp;CHAR(10),"")&amp;
IF($N391&lt;&gt;"","To-Do (hard requirements) "&amp;CHAR(10)&amp;$N391&amp;CHAR(10)&amp;CHAR(10),"")&amp;
IF($O391&lt;&gt;"","Suggested Timeline "&amp;CHAR(10)&amp;$O391&amp;CHAR(10)&amp;CHAR(10),"")&amp;
IF($P391&lt;&gt;"","Guardrails "&amp;CHAR(10)&amp;$P391&amp;CHAR(10)&amp;CHAR(10),"")&amp;
IF($Q391&lt;&gt;"","Completion signals "&amp;CHAR(10)&amp;$Q391,"")</f>
        <v/>
      </c>
      <c r="S391" s="25" t="n"/>
      <c r="T391" s="25" t="n"/>
      <c r="U391" s="54" t="n"/>
      <c r="V391" s="54">
        <f>IF($B391="","",IF(_xludf.TEXTJOIN(" | ",TRUE,IF($B391="","Missing Title",""),IF($C391="","Missing Date",""),IF($D391="","Missing Start",""),IF($E391="","Missing End",""),IF($G391="","Missing Required Attendees",""),IF($T391="","Missing Status",""),IF(AND($D391&lt;&gt;"",$E391&lt;&gt;"",$D391&gt;=$E391),"Start&gt;=End",""),IF(OR($R391="",LEN($R391)&lt;60,ISNUMBER(MATCH(TRIM($R391),StatusList,0))),"Body overwritten/short",""))="","OK",_xludf.TEXTJOIN(" | ",TRUE,IF($B391="","Missing Title",""),IF($C391="","Missing Date",""),IF($D391="","Missing Start",""),IF($E391="","Missing End",""),IF($G391="","Missing Required Attendees",""),IF($T391="","Missing Status",""),IF(AND($D391&lt;&gt;"",$E391&lt;&gt;"",$D391&gt;=$E391),"Start&gt;=End",""),IF(OR($R391="",LEN($R391)&lt;60,ISNUMBER(MATCH(TRIM($R391),StatusList,0))),"Body overwritten/short",""))))</f>
        <v/>
      </c>
    </row>
    <row r="392" ht="12.75" customHeight="1">
      <c r="B392" s="25" t="n"/>
      <c r="C392" s="80" t="n"/>
      <c r="D392" s="77" t="n"/>
      <c r="E392" s="77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16">
        <f>IF($L392&lt;&gt;"","Purpose "&amp;CHAR(10)&amp;$L392&amp;CHAR(10)&amp;CHAR(10),"")&amp;
IF($M392&lt;&gt;"","Stops (in order) "&amp;CHAR(10)&amp;$M392&amp;CHAR(10)&amp;CHAR(10),"")&amp;
IF($N392&lt;&gt;"","To-Do (hard requirements) "&amp;CHAR(10)&amp;$N392&amp;CHAR(10)&amp;CHAR(10),"")&amp;
IF($O392&lt;&gt;"","Suggested Timeline "&amp;CHAR(10)&amp;$O392&amp;CHAR(10)&amp;CHAR(10),"")&amp;
IF($P392&lt;&gt;"","Guardrails "&amp;CHAR(10)&amp;$P392&amp;CHAR(10)&amp;CHAR(10),"")&amp;
IF($Q392&lt;&gt;"","Completion signals "&amp;CHAR(10)&amp;$Q392,"")</f>
        <v/>
      </c>
      <c r="S392" s="25" t="n"/>
      <c r="T392" s="25" t="n"/>
      <c r="U392" s="54" t="n"/>
      <c r="V392" s="54">
        <f>IF($B392="","",IF(_xludf.TEXTJOIN(" | ",TRUE,IF($B392="","Missing Title",""),IF($C392="","Missing Date",""),IF($D392="","Missing Start",""),IF($E392="","Missing End",""),IF($G392="","Missing Required Attendees",""),IF($T392="","Missing Status",""),IF(AND($D392&lt;&gt;"",$E392&lt;&gt;"",$D392&gt;=$E392),"Start&gt;=End",""),IF(OR($R392="",LEN($R392)&lt;60,ISNUMBER(MATCH(TRIM($R392),StatusList,0))),"Body overwritten/short",""))="","OK",_xludf.TEXTJOIN(" | ",TRUE,IF($B392="","Missing Title",""),IF($C392="","Missing Date",""),IF($D392="","Missing Start",""),IF($E392="","Missing End",""),IF($G392="","Missing Required Attendees",""),IF($T392="","Missing Status",""),IF(AND($D392&lt;&gt;"",$E392&lt;&gt;"",$D392&gt;=$E392),"Start&gt;=End",""),IF(OR($R392="",LEN($R392)&lt;60,ISNUMBER(MATCH(TRIM($R392),StatusList,0))),"Body overwritten/short",""))))</f>
        <v/>
      </c>
    </row>
    <row r="393" ht="12.75" customHeight="1">
      <c r="B393" s="25" t="n"/>
      <c r="C393" s="80" t="n"/>
      <c r="D393" s="77" t="n"/>
      <c r="E393" s="77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16">
        <f>IF($L393&lt;&gt;"","Purpose "&amp;CHAR(10)&amp;$L393&amp;CHAR(10)&amp;CHAR(10),"")&amp;
IF($M393&lt;&gt;"","Stops (in order) "&amp;CHAR(10)&amp;$M393&amp;CHAR(10)&amp;CHAR(10),"")&amp;
IF($N393&lt;&gt;"","To-Do (hard requirements) "&amp;CHAR(10)&amp;$N393&amp;CHAR(10)&amp;CHAR(10),"")&amp;
IF($O393&lt;&gt;"","Suggested Timeline "&amp;CHAR(10)&amp;$O393&amp;CHAR(10)&amp;CHAR(10),"")&amp;
IF($P393&lt;&gt;"","Guardrails "&amp;CHAR(10)&amp;$P393&amp;CHAR(10)&amp;CHAR(10),"")&amp;
IF($Q393&lt;&gt;"","Completion signals "&amp;CHAR(10)&amp;$Q393,"")</f>
        <v/>
      </c>
      <c r="S393" s="25" t="n"/>
      <c r="T393" s="25" t="n"/>
      <c r="U393" s="54" t="n"/>
      <c r="V393" s="54">
        <f>IF($B393="","",IF(_xludf.TEXTJOIN(" | ",TRUE,IF($B393="","Missing Title",""),IF($C393="","Missing Date",""),IF($D393="","Missing Start",""),IF($E393="","Missing End",""),IF($G393="","Missing Required Attendees",""),IF($T393="","Missing Status",""),IF(AND($D393&lt;&gt;"",$E393&lt;&gt;"",$D393&gt;=$E393),"Start&gt;=End",""),IF(OR($R393="",LEN($R393)&lt;60,ISNUMBER(MATCH(TRIM($R393),StatusList,0))),"Body overwritten/short",""))="","OK",_xludf.TEXTJOIN(" | ",TRUE,IF($B393="","Missing Title",""),IF($C393="","Missing Date",""),IF($D393="","Missing Start",""),IF($E393="","Missing End",""),IF($G393="","Missing Required Attendees",""),IF($T393="","Missing Status",""),IF(AND($D393&lt;&gt;"",$E393&lt;&gt;"",$D393&gt;=$E393),"Start&gt;=End",""),IF(OR($R393="",LEN($R393)&lt;60,ISNUMBER(MATCH(TRIM($R393),StatusList,0))),"Body overwritten/short",""))))</f>
        <v/>
      </c>
    </row>
    <row r="394" ht="12.75" customHeight="1">
      <c r="B394" s="25" t="n"/>
      <c r="C394" s="80" t="n"/>
      <c r="D394" s="77" t="n"/>
      <c r="E394" s="77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16">
        <f>IF($L394&lt;&gt;"","Purpose "&amp;CHAR(10)&amp;$L394&amp;CHAR(10)&amp;CHAR(10),"")&amp;
IF($M394&lt;&gt;"","Stops (in order) "&amp;CHAR(10)&amp;$M394&amp;CHAR(10)&amp;CHAR(10),"")&amp;
IF($N394&lt;&gt;"","To-Do (hard requirements) "&amp;CHAR(10)&amp;$N394&amp;CHAR(10)&amp;CHAR(10),"")&amp;
IF($O394&lt;&gt;"","Suggested Timeline "&amp;CHAR(10)&amp;$O394&amp;CHAR(10)&amp;CHAR(10),"")&amp;
IF($P394&lt;&gt;"","Guardrails "&amp;CHAR(10)&amp;$P394&amp;CHAR(10)&amp;CHAR(10),"")&amp;
IF($Q394&lt;&gt;"","Completion signals "&amp;CHAR(10)&amp;$Q394,"")</f>
        <v/>
      </c>
      <c r="S394" s="25" t="n"/>
      <c r="T394" s="25" t="n"/>
      <c r="U394" s="54" t="n"/>
      <c r="V394" s="54">
        <f>IF($B394="","",IF(_xludf.TEXTJOIN(" | ",TRUE,IF($B394="","Missing Title",""),IF($C394="","Missing Date",""),IF($D394="","Missing Start",""),IF($E394="","Missing End",""),IF($G394="","Missing Required Attendees",""),IF($T394="","Missing Status",""),IF(AND($D394&lt;&gt;"",$E394&lt;&gt;"",$D394&gt;=$E394),"Start&gt;=End",""),IF(OR($R394="",LEN($R394)&lt;60,ISNUMBER(MATCH(TRIM($R394),StatusList,0))),"Body overwritten/short",""))="","OK",_xludf.TEXTJOIN(" | ",TRUE,IF($B394="","Missing Title",""),IF($C394="","Missing Date",""),IF($D394="","Missing Start",""),IF($E394="","Missing End",""),IF($G394="","Missing Required Attendees",""),IF($T394="","Missing Status",""),IF(AND($D394&lt;&gt;"",$E394&lt;&gt;"",$D394&gt;=$E394),"Start&gt;=End",""),IF(OR($R394="",LEN($R394)&lt;60,ISNUMBER(MATCH(TRIM($R394),StatusList,0))),"Body overwritten/short",""))))</f>
        <v/>
      </c>
    </row>
    <row r="395" ht="12.75" customHeight="1">
      <c r="B395" s="25" t="n"/>
      <c r="C395" s="80" t="n"/>
      <c r="D395" s="77" t="n"/>
      <c r="E395" s="77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16">
        <f>IF($L395&lt;&gt;"","Purpose "&amp;CHAR(10)&amp;$L395&amp;CHAR(10)&amp;CHAR(10),"")&amp;
IF($M395&lt;&gt;"","Stops (in order) "&amp;CHAR(10)&amp;$M395&amp;CHAR(10)&amp;CHAR(10),"")&amp;
IF($N395&lt;&gt;"","To-Do (hard requirements) "&amp;CHAR(10)&amp;$N395&amp;CHAR(10)&amp;CHAR(10),"")&amp;
IF($O395&lt;&gt;"","Suggested Timeline "&amp;CHAR(10)&amp;$O395&amp;CHAR(10)&amp;CHAR(10),"")&amp;
IF($P395&lt;&gt;"","Guardrails "&amp;CHAR(10)&amp;$P395&amp;CHAR(10)&amp;CHAR(10),"")&amp;
IF($Q395&lt;&gt;"","Completion signals "&amp;CHAR(10)&amp;$Q395,"")</f>
        <v/>
      </c>
      <c r="S395" s="25" t="n"/>
      <c r="T395" s="25" t="n"/>
      <c r="U395" s="54" t="n"/>
      <c r="V395" s="54">
        <f>IF($B395="","",IF(_xludf.TEXTJOIN(" | ",TRUE,IF($B395="","Missing Title",""),IF($C395="","Missing Date",""),IF($D395="","Missing Start",""),IF($E395="","Missing End",""),IF($G395="","Missing Required Attendees",""),IF($T395="","Missing Status",""),IF(AND($D395&lt;&gt;"",$E395&lt;&gt;"",$D395&gt;=$E395),"Start&gt;=End",""),IF(OR($R395="",LEN($R395)&lt;60,ISNUMBER(MATCH(TRIM($R395),StatusList,0))),"Body overwritten/short",""))="","OK",_xludf.TEXTJOIN(" | ",TRUE,IF($B395="","Missing Title",""),IF($C395="","Missing Date",""),IF($D395="","Missing Start",""),IF($E395="","Missing End",""),IF($G395="","Missing Required Attendees",""),IF($T395="","Missing Status",""),IF(AND($D395&lt;&gt;"",$E395&lt;&gt;"",$D395&gt;=$E395),"Start&gt;=End",""),IF(OR($R395="",LEN($R395)&lt;60,ISNUMBER(MATCH(TRIM($R395),StatusList,0))),"Body overwritten/short",""))))</f>
        <v/>
      </c>
    </row>
    <row r="396" ht="12.75" customHeight="1">
      <c r="B396" s="25" t="n"/>
      <c r="C396" s="80" t="n"/>
      <c r="D396" s="77" t="n"/>
      <c r="E396" s="77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16">
        <f>IF($L396&lt;&gt;"","Purpose "&amp;CHAR(10)&amp;$L396&amp;CHAR(10)&amp;CHAR(10),"")&amp;
IF($M396&lt;&gt;"","Stops (in order) "&amp;CHAR(10)&amp;$M396&amp;CHAR(10)&amp;CHAR(10),"")&amp;
IF($N396&lt;&gt;"","To-Do (hard requirements) "&amp;CHAR(10)&amp;$N396&amp;CHAR(10)&amp;CHAR(10),"")&amp;
IF($O396&lt;&gt;"","Suggested Timeline "&amp;CHAR(10)&amp;$O396&amp;CHAR(10)&amp;CHAR(10),"")&amp;
IF($P396&lt;&gt;"","Guardrails "&amp;CHAR(10)&amp;$P396&amp;CHAR(10)&amp;CHAR(10),"")&amp;
IF($Q396&lt;&gt;"","Completion signals "&amp;CHAR(10)&amp;$Q396,"")</f>
        <v/>
      </c>
      <c r="S396" s="25" t="n"/>
      <c r="T396" s="25" t="n"/>
      <c r="U396" s="54" t="n"/>
      <c r="V396" s="54">
        <f>IF($B396="","",IF(_xludf.TEXTJOIN(" | ",TRUE,IF($B396="","Missing Title",""),IF($C396="","Missing Date",""),IF($D396="","Missing Start",""),IF($E396="","Missing End",""),IF($G396="","Missing Required Attendees",""),IF($T396="","Missing Status",""),IF(AND($D396&lt;&gt;"",$E396&lt;&gt;"",$D396&gt;=$E396),"Start&gt;=End",""),IF(OR($R396="",LEN($R396)&lt;60,ISNUMBER(MATCH(TRIM($R396),StatusList,0))),"Body overwritten/short",""))="","OK",_xludf.TEXTJOIN(" | ",TRUE,IF($B396="","Missing Title",""),IF($C396="","Missing Date",""),IF($D396="","Missing Start",""),IF($E396="","Missing End",""),IF($G396="","Missing Required Attendees",""),IF($T396="","Missing Status",""),IF(AND($D396&lt;&gt;"",$E396&lt;&gt;"",$D396&gt;=$E396),"Start&gt;=End",""),IF(OR($R396="",LEN($R396)&lt;60,ISNUMBER(MATCH(TRIM($R396),StatusList,0))),"Body overwritten/short",""))))</f>
        <v/>
      </c>
    </row>
    <row r="397" ht="12.75" customHeight="1">
      <c r="B397" s="25" t="n"/>
      <c r="C397" s="80" t="n"/>
      <c r="D397" s="77" t="n"/>
      <c r="E397" s="77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16">
        <f>IF($L397&lt;&gt;"","Purpose "&amp;CHAR(10)&amp;$L397&amp;CHAR(10)&amp;CHAR(10),"")&amp;
IF($M397&lt;&gt;"","Stops (in order) "&amp;CHAR(10)&amp;$M397&amp;CHAR(10)&amp;CHAR(10),"")&amp;
IF($N397&lt;&gt;"","To-Do (hard requirements) "&amp;CHAR(10)&amp;$N397&amp;CHAR(10)&amp;CHAR(10),"")&amp;
IF($O397&lt;&gt;"","Suggested Timeline "&amp;CHAR(10)&amp;$O397&amp;CHAR(10)&amp;CHAR(10),"")&amp;
IF($P397&lt;&gt;"","Guardrails "&amp;CHAR(10)&amp;$P397&amp;CHAR(10)&amp;CHAR(10),"")&amp;
IF($Q397&lt;&gt;"","Completion signals "&amp;CHAR(10)&amp;$Q397,"")</f>
        <v/>
      </c>
      <c r="S397" s="25" t="n"/>
      <c r="T397" s="25" t="n"/>
      <c r="U397" s="54" t="n"/>
      <c r="V397" s="54">
        <f>IF($B397="","",IF(_xludf.TEXTJOIN(" | ",TRUE,IF($B397="","Missing Title",""),IF($C397="","Missing Date",""),IF($D397="","Missing Start",""),IF($E397="","Missing End",""),IF($G397="","Missing Required Attendees",""),IF($T397="","Missing Status",""),IF(AND($D397&lt;&gt;"",$E397&lt;&gt;"",$D397&gt;=$E397),"Start&gt;=End",""),IF(OR($R397="",LEN($R397)&lt;60,ISNUMBER(MATCH(TRIM($R397),StatusList,0))),"Body overwritten/short",""))="","OK",_xludf.TEXTJOIN(" | ",TRUE,IF($B397="","Missing Title",""),IF($C397="","Missing Date",""),IF($D397="","Missing Start",""),IF($E397="","Missing End",""),IF($G397="","Missing Required Attendees",""),IF($T397="","Missing Status",""),IF(AND($D397&lt;&gt;"",$E397&lt;&gt;"",$D397&gt;=$E397),"Start&gt;=End",""),IF(OR($R397="",LEN($R397)&lt;60,ISNUMBER(MATCH(TRIM($R397),StatusList,0))),"Body overwritten/short",""))))</f>
        <v/>
      </c>
    </row>
    <row r="398" ht="12.75" customHeight="1">
      <c r="B398" s="25" t="n"/>
      <c r="C398" s="80" t="n"/>
      <c r="D398" s="77" t="n"/>
      <c r="E398" s="77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16">
        <f>IF($L398&lt;&gt;"","Purpose "&amp;CHAR(10)&amp;$L398&amp;CHAR(10)&amp;CHAR(10),"")&amp;
IF($M398&lt;&gt;"","Stops (in order) "&amp;CHAR(10)&amp;$M398&amp;CHAR(10)&amp;CHAR(10),"")&amp;
IF($N398&lt;&gt;"","To-Do (hard requirements) "&amp;CHAR(10)&amp;$N398&amp;CHAR(10)&amp;CHAR(10),"")&amp;
IF($O398&lt;&gt;"","Suggested Timeline "&amp;CHAR(10)&amp;$O398&amp;CHAR(10)&amp;CHAR(10),"")&amp;
IF($P398&lt;&gt;"","Guardrails "&amp;CHAR(10)&amp;$P398&amp;CHAR(10)&amp;CHAR(10),"")&amp;
IF($Q398&lt;&gt;"","Completion signals "&amp;CHAR(10)&amp;$Q398,"")</f>
        <v/>
      </c>
      <c r="S398" s="25" t="n"/>
      <c r="T398" s="25" t="n"/>
      <c r="U398" s="54" t="n"/>
      <c r="V398" s="54">
        <f>IF($B398="","",IF(_xludf.TEXTJOIN(" | ",TRUE,IF($B398="","Missing Title",""),IF($C398="","Missing Date",""),IF($D398="","Missing Start",""),IF($E398="","Missing End",""),IF($G398="","Missing Required Attendees",""),IF($T398="","Missing Status",""),IF(AND($D398&lt;&gt;"",$E398&lt;&gt;"",$D398&gt;=$E398),"Start&gt;=End",""),IF(OR($R398="",LEN($R398)&lt;60,ISNUMBER(MATCH(TRIM($R398),StatusList,0))),"Body overwritten/short",""))="","OK",_xludf.TEXTJOIN(" | ",TRUE,IF($B398="","Missing Title",""),IF($C398="","Missing Date",""),IF($D398="","Missing Start",""),IF($E398="","Missing End",""),IF($G398="","Missing Required Attendees",""),IF($T398="","Missing Status",""),IF(AND($D398&lt;&gt;"",$E398&lt;&gt;"",$D398&gt;=$E398),"Start&gt;=End",""),IF(OR($R398="",LEN($R398)&lt;60,ISNUMBER(MATCH(TRIM($R398),StatusList,0))),"Body overwritten/short",""))))</f>
        <v/>
      </c>
    </row>
    <row r="399" ht="12.75" customHeight="1">
      <c r="B399" s="25" t="n"/>
      <c r="C399" s="80" t="n"/>
      <c r="D399" s="77" t="n"/>
      <c r="E399" s="77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16">
        <f>IF($L399&lt;&gt;"","Purpose "&amp;CHAR(10)&amp;$L399&amp;CHAR(10)&amp;CHAR(10),"")&amp;
IF($M399&lt;&gt;"","Stops (in order) "&amp;CHAR(10)&amp;$M399&amp;CHAR(10)&amp;CHAR(10),"")&amp;
IF($N399&lt;&gt;"","To-Do (hard requirements) "&amp;CHAR(10)&amp;$N399&amp;CHAR(10)&amp;CHAR(10),"")&amp;
IF($O399&lt;&gt;"","Suggested Timeline "&amp;CHAR(10)&amp;$O399&amp;CHAR(10)&amp;CHAR(10),"")&amp;
IF($P399&lt;&gt;"","Guardrails "&amp;CHAR(10)&amp;$P399&amp;CHAR(10)&amp;CHAR(10),"")&amp;
IF($Q399&lt;&gt;"","Completion signals "&amp;CHAR(10)&amp;$Q399,"")</f>
        <v/>
      </c>
      <c r="S399" s="25" t="n"/>
      <c r="T399" s="25" t="n"/>
      <c r="U399" s="54" t="n"/>
      <c r="V399" s="54">
        <f>IF($B399="","",IF(_xludf.TEXTJOIN(" | ",TRUE,IF($B399="","Missing Title",""),IF($C399="","Missing Date",""),IF($D399="","Missing Start",""),IF($E399="","Missing End",""),IF($G399="","Missing Required Attendees",""),IF($T399="","Missing Status",""),IF(AND($D399&lt;&gt;"",$E399&lt;&gt;"",$D399&gt;=$E399),"Start&gt;=End",""),IF(OR($R399="",LEN($R399)&lt;60,ISNUMBER(MATCH(TRIM($R399),StatusList,0))),"Body overwritten/short",""))="","OK",_xludf.TEXTJOIN(" | ",TRUE,IF($B399="","Missing Title",""),IF($C399="","Missing Date",""),IF($D399="","Missing Start",""),IF($E399="","Missing End",""),IF($G399="","Missing Required Attendees",""),IF($T399="","Missing Status",""),IF(AND($D399&lt;&gt;"",$E399&lt;&gt;"",$D399&gt;=$E399),"Start&gt;=End",""),IF(OR($R399="",LEN($R399)&lt;60,ISNUMBER(MATCH(TRIM($R399),StatusList,0))),"Body overwritten/short",""))))</f>
        <v/>
      </c>
    </row>
    <row r="400" ht="12.75" customHeight="1">
      <c r="B400" s="25" t="n"/>
      <c r="C400" s="80" t="n"/>
      <c r="D400" s="77" t="n"/>
      <c r="E400" s="77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16">
        <f>IF($L400&lt;&gt;"","Purpose "&amp;CHAR(10)&amp;$L400&amp;CHAR(10)&amp;CHAR(10),"")&amp;
IF($M400&lt;&gt;"","Stops (in order) "&amp;CHAR(10)&amp;$M400&amp;CHAR(10)&amp;CHAR(10),"")&amp;
IF($N400&lt;&gt;"","To-Do (hard requirements) "&amp;CHAR(10)&amp;$N400&amp;CHAR(10)&amp;CHAR(10),"")&amp;
IF($O400&lt;&gt;"","Suggested Timeline "&amp;CHAR(10)&amp;$O400&amp;CHAR(10)&amp;CHAR(10),"")&amp;
IF($P400&lt;&gt;"","Guardrails "&amp;CHAR(10)&amp;$P400&amp;CHAR(10)&amp;CHAR(10),"")&amp;
IF($Q400&lt;&gt;"","Completion signals "&amp;CHAR(10)&amp;$Q400,"")</f>
        <v/>
      </c>
      <c r="S400" s="25" t="n"/>
      <c r="T400" s="25" t="n"/>
      <c r="U400" s="54" t="n"/>
      <c r="V400" s="54">
        <f>IF($B400="","",IF(_xludf.TEXTJOIN(" | ",TRUE,IF($B400="","Missing Title",""),IF($C400="","Missing Date",""),IF($D400="","Missing Start",""),IF($E400="","Missing End",""),IF($G400="","Missing Required Attendees",""),IF($T400="","Missing Status",""),IF(AND($D400&lt;&gt;"",$E400&lt;&gt;"",$D400&gt;=$E400),"Start&gt;=End",""),IF(OR($R400="",LEN($R400)&lt;60,ISNUMBER(MATCH(TRIM($R400),StatusList,0))),"Body overwritten/short",""))="","OK",_xludf.TEXTJOIN(" | ",TRUE,IF($B400="","Missing Title",""),IF($C400="","Missing Date",""),IF($D400="","Missing Start",""),IF($E400="","Missing End",""),IF($G400="","Missing Required Attendees",""),IF($T400="","Missing Status",""),IF(AND($D400&lt;&gt;"",$E400&lt;&gt;"",$D400&gt;=$E400),"Start&gt;=End",""),IF(OR($R400="",LEN($R400)&lt;60,ISNUMBER(MATCH(TRIM($R400),StatusList,0))),"Body overwritten/short",""))))</f>
        <v/>
      </c>
    </row>
    <row r="401" ht="12.75" customHeight="1">
      <c r="B401" s="25" t="n"/>
      <c r="C401" s="80" t="n"/>
      <c r="D401" s="77" t="n"/>
      <c r="E401" s="77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16">
        <f>IF($L401&lt;&gt;"","Purpose "&amp;CHAR(10)&amp;$L401&amp;CHAR(10)&amp;CHAR(10),"")&amp;
IF($M401&lt;&gt;"","Stops (in order) "&amp;CHAR(10)&amp;$M401&amp;CHAR(10)&amp;CHAR(10),"")&amp;
IF($N401&lt;&gt;"","To-Do (hard requirements) "&amp;CHAR(10)&amp;$N401&amp;CHAR(10)&amp;CHAR(10),"")&amp;
IF($O401&lt;&gt;"","Suggested Timeline "&amp;CHAR(10)&amp;$O401&amp;CHAR(10)&amp;CHAR(10),"")&amp;
IF($P401&lt;&gt;"","Guardrails "&amp;CHAR(10)&amp;$P401&amp;CHAR(10)&amp;CHAR(10),"")&amp;
IF($Q401&lt;&gt;"","Completion signals "&amp;CHAR(10)&amp;$Q401,"")</f>
        <v/>
      </c>
      <c r="S401" s="25" t="n"/>
      <c r="T401" s="25" t="n"/>
      <c r="U401" s="54" t="n"/>
      <c r="V401" s="54">
        <f>IF($B401="","",IF(_xludf.TEXTJOIN(" | ",TRUE,IF($B401="","Missing Title",""),IF($C401="","Missing Date",""),IF($D401="","Missing Start",""),IF($E401="","Missing End",""),IF($G401="","Missing Required Attendees",""),IF($T401="","Missing Status",""),IF(AND($D401&lt;&gt;"",$E401&lt;&gt;"",$D401&gt;=$E401),"Start&gt;=End",""),IF(OR($R401="",LEN($R401)&lt;60,ISNUMBER(MATCH(TRIM($R401),StatusList,0))),"Body overwritten/short",""))="","OK",_xludf.TEXTJOIN(" | ",TRUE,IF($B401="","Missing Title",""),IF($C401="","Missing Date",""),IF($D401="","Missing Start",""),IF($E401="","Missing End",""),IF($G401="","Missing Required Attendees",""),IF($T401="","Missing Status",""),IF(AND($D401&lt;&gt;"",$E401&lt;&gt;"",$D401&gt;=$E401),"Start&gt;=End",""),IF(OR($R401="",LEN($R401)&lt;60,ISNUMBER(MATCH(TRIM($R401),StatusList,0))),"Body overwritten/short",""))))</f>
        <v/>
      </c>
    </row>
    <row r="402" ht="12.75" customHeight="1">
      <c r="B402" s="25" t="n"/>
      <c r="C402" s="80" t="n"/>
      <c r="D402" s="77" t="n"/>
      <c r="E402" s="77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16">
        <f>IF($L402&lt;&gt;"","Purpose "&amp;CHAR(10)&amp;$L402&amp;CHAR(10)&amp;CHAR(10),"")&amp;
IF($M402&lt;&gt;"","Stops (in order) "&amp;CHAR(10)&amp;$M402&amp;CHAR(10)&amp;CHAR(10),"")&amp;
IF($N402&lt;&gt;"","To-Do (hard requirements) "&amp;CHAR(10)&amp;$N402&amp;CHAR(10)&amp;CHAR(10),"")&amp;
IF($O402&lt;&gt;"","Suggested Timeline "&amp;CHAR(10)&amp;$O402&amp;CHAR(10)&amp;CHAR(10),"")&amp;
IF($P402&lt;&gt;"","Guardrails "&amp;CHAR(10)&amp;$P402&amp;CHAR(10)&amp;CHAR(10),"")&amp;
IF($Q402&lt;&gt;"","Completion signals "&amp;CHAR(10)&amp;$Q402,"")</f>
        <v/>
      </c>
      <c r="S402" s="25" t="n"/>
      <c r="T402" s="25" t="n"/>
      <c r="U402" s="54" t="n"/>
      <c r="V402" s="54">
        <f>IF($B402="","",IF(_xludf.TEXTJOIN(" | ",TRUE,IF($B402="","Missing Title",""),IF($C402="","Missing Date",""),IF($D402="","Missing Start",""),IF($E402="","Missing End",""),IF($G402="","Missing Required Attendees",""),IF($T402="","Missing Status",""),IF(AND($D402&lt;&gt;"",$E402&lt;&gt;"",$D402&gt;=$E402),"Start&gt;=End",""),IF(OR($R402="",LEN($R402)&lt;60,ISNUMBER(MATCH(TRIM($R402),StatusList,0))),"Body overwritten/short",""))="","OK",_xludf.TEXTJOIN(" | ",TRUE,IF($B402="","Missing Title",""),IF($C402="","Missing Date",""),IF($D402="","Missing Start",""),IF($E402="","Missing End",""),IF($G402="","Missing Required Attendees",""),IF($T402="","Missing Status",""),IF(AND($D402&lt;&gt;"",$E402&lt;&gt;"",$D402&gt;=$E402),"Start&gt;=End",""),IF(OR($R402="",LEN($R402)&lt;60,ISNUMBER(MATCH(TRIM($R402),StatusList,0))),"Body overwritten/short",""))))</f>
        <v/>
      </c>
    </row>
    <row r="403" ht="12.75" customHeight="1">
      <c r="B403" s="25" t="n"/>
      <c r="C403" s="80" t="n"/>
      <c r="D403" s="77" t="n"/>
      <c r="E403" s="77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16">
        <f>IF($L403&lt;&gt;"","Purpose "&amp;CHAR(10)&amp;$L403&amp;CHAR(10)&amp;CHAR(10),"")&amp;
IF($M403&lt;&gt;"","Stops (in order) "&amp;CHAR(10)&amp;$M403&amp;CHAR(10)&amp;CHAR(10),"")&amp;
IF($N403&lt;&gt;"","To-Do (hard requirements) "&amp;CHAR(10)&amp;$N403&amp;CHAR(10)&amp;CHAR(10),"")&amp;
IF($O403&lt;&gt;"","Suggested Timeline "&amp;CHAR(10)&amp;$O403&amp;CHAR(10)&amp;CHAR(10),"")&amp;
IF($P403&lt;&gt;"","Guardrails "&amp;CHAR(10)&amp;$P403&amp;CHAR(10)&amp;CHAR(10),"")&amp;
IF($Q403&lt;&gt;"","Completion signals "&amp;CHAR(10)&amp;$Q403,"")</f>
        <v/>
      </c>
      <c r="S403" s="25" t="n"/>
      <c r="T403" s="25" t="n"/>
      <c r="U403" s="54" t="n"/>
      <c r="V403" s="54">
        <f>IF($B403="","",IF(_xludf.TEXTJOIN(" | ",TRUE,IF($B403="","Missing Title",""),IF($C403="","Missing Date",""),IF($D403="","Missing Start",""),IF($E403="","Missing End",""),IF($G403="","Missing Required Attendees",""),IF($T403="","Missing Status",""),IF(AND($D403&lt;&gt;"",$E403&lt;&gt;"",$D403&gt;=$E403),"Start&gt;=End",""),IF(OR($R403="",LEN($R403)&lt;60,ISNUMBER(MATCH(TRIM($R403),StatusList,0))),"Body overwritten/short",""))="","OK",_xludf.TEXTJOIN(" | ",TRUE,IF($B403="","Missing Title",""),IF($C403="","Missing Date",""),IF($D403="","Missing Start",""),IF($E403="","Missing End",""),IF($G403="","Missing Required Attendees",""),IF($T403="","Missing Status",""),IF(AND($D403&lt;&gt;"",$E403&lt;&gt;"",$D403&gt;=$E403),"Start&gt;=End",""),IF(OR($R403="",LEN($R403)&lt;60,ISNUMBER(MATCH(TRIM($R403),StatusList,0))),"Body overwritten/short",""))))</f>
        <v/>
      </c>
    </row>
    <row r="404" ht="12.75" customHeight="1">
      <c r="B404" s="25" t="n"/>
      <c r="C404" s="80" t="n"/>
      <c r="D404" s="77" t="n"/>
      <c r="E404" s="77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16">
        <f>IF($L404&lt;&gt;"","Purpose "&amp;CHAR(10)&amp;$L404&amp;CHAR(10)&amp;CHAR(10),"")&amp;
IF($M404&lt;&gt;"","Stops (in order) "&amp;CHAR(10)&amp;$M404&amp;CHAR(10)&amp;CHAR(10),"")&amp;
IF($N404&lt;&gt;"","To-Do (hard requirements) "&amp;CHAR(10)&amp;$N404&amp;CHAR(10)&amp;CHAR(10),"")&amp;
IF($O404&lt;&gt;"","Suggested Timeline "&amp;CHAR(10)&amp;$O404&amp;CHAR(10)&amp;CHAR(10),"")&amp;
IF($P404&lt;&gt;"","Guardrails "&amp;CHAR(10)&amp;$P404&amp;CHAR(10)&amp;CHAR(10),"")&amp;
IF($Q404&lt;&gt;"","Completion signals "&amp;CHAR(10)&amp;$Q404,"")</f>
        <v/>
      </c>
      <c r="S404" s="25" t="n"/>
      <c r="T404" s="25" t="n"/>
      <c r="U404" s="54" t="n"/>
      <c r="V404" s="54">
        <f>IF($B404="","",IF(_xludf.TEXTJOIN(" | ",TRUE,IF($B404="","Missing Title",""),IF($C404="","Missing Date",""),IF($D404="","Missing Start",""),IF($E404="","Missing End",""),IF($G404="","Missing Required Attendees",""),IF($T404="","Missing Status",""),IF(AND($D404&lt;&gt;"",$E404&lt;&gt;"",$D404&gt;=$E404),"Start&gt;=End",""),IF(OR($R404="",LEN($R404)&lt;60,ISNUMBER(MATCH(TRIM($R404),StatusList,0))),"Body overwritten/short",""))="","OK",_xludf.TEXTJOIN(" | ",TRUE,IF($B404="","Missing Title",""),IF($C404="","Missing Date",""),IF($D404="","Missing Start",""),IF($E404="","Missing End",""),IF($G404="","Missing Required Attendees",""),IF($T404="","Missing Status",""),IF(AND($D404&lt;&gt;"",$E404&lt;&gt;"",$D404&gt;=$E404),"Start&gt;=End",""),IF(OR($R404="",LEN($R404)&lt;60,ISNUMBER(MATCH(TRIM($R404),StatusList,0))),"Body overwritten/short",""))))</f>
        <v/>
      </c>
    </row>
    <row r="405" ht="12.75" customHeight="1">
      <c r="B405" s="25" t="n"/>
      <c r="C405" s="80" t="n"/>
      <c r="D405" s="77" t="n"/>
      <c r="E405" s="77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16">
        <f>IF($L405&lt;&gt;"","Purpose "&amp;CHAR(10)&amp;$L405&amp;CHAR(10)&amp;CHAR(10),"")&amp;
IF($M405&lt;&gt;"","Stops (in order) "&amp;CHAR(10)&amp;$M405&amp;CHAR(10)&amp;CHAR(10),"")&amp;
IF($N405&lt;&gt;"","To-Do (hard requirements) "&amp;CHAR(10)&amp;$N405&amp;CHAR(10)&amp;CHAR(10),"")&amp;
IF($O405&lt;&gt;"","Suggested Timeline "&amp;CHAR(10)&amp;$O405&amp;CHAR(10)&amp;CHAR(10),"")&amp;
IF($P405&lt;&gt;"","Guardrails "&amp;CHAR(10)&amp;$P405&amp;CHAR(10)&amp;CHAR(10),"")&amp;
IF($Q405&lt;&gt;"","Completion signals "&amp;CHAR(10)&amp;$Q405,"")</f>
        <v/>
      </c>
      <c r="S405" s="25" t="n"/>
      <c r="T405" s="25" t="n"/>
      <c r="U405" s="54" t="n"/>
      <c r="V405" s="54">
        <f>IF($B405="","",IF(_xludf.TEXTJOIN(" | ",TRUE,IF($B405="","Missing Title",""),IF($C405="","Missing Date",""),IF($D405="","Missing Start",""),IF($E405="","Missing End",""),IF($G405="","Missing Required Attendees",""),IF($T405="","Missing Status",""),IF(AND($D405&lt;&gt;"",$E405&lt;&gt;"",$D405&gt;=$E405),"Start&gt;=End",""),IF(OR($R405="",LEN($R405)&lt;60,ISNUMBER(MATCH(TRIM($R405),StatusList,0))),"Body overwritten/short",""))="","OK",_xludf.TEXTJOIN(" | ",TRUE,IF($B405="","Missing Title",""),IF($C405="","Missing Date",""),IF($D405="","Missing Start",""),IF($E405="","Missing End",""),IF($G405="","Missing Required Attendees",""),IF($T405="","Missing Status",""),IF(AND($D405&lt;&gt;"",$E405&lt;&gt;"",$D405&gt;=$E405),"Start&gt;=End",""),IF(OR($R405="",LEN($R405)&lt;60,ISNUMBER(MATCH(TRIM($R405),StatusList,0))),"Body overwritten/short",""))))</f>
        <v/>
      </c>
    </row>
    <row r="406" ht="12.75" customHeight="1">
      <c r="B406" s="25" t="n"/>
      <c r="C406" s="80" t="n"/>
      <c r="D406" s="77" t="n"/>
      <c r="E406" s="77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16">
        <f>IF($L406&lt;&gt;"","Purpose "&amp;CHAR(10)&amp;$L406&amp;CHAR(10)&amp;CHAR(10),"")&amp;
IF($M406&lt;&gt;"","Stops (in order) "&amp;CHAR(10)&amp;$M406&amp;CHAR(10)&amp;CHAR(10),"")&amp;
IF($N406&lt;&gt;"","To-Do (hard requirements) "&amp;CHAR(10)&amp;$N406&amp;CHAR(10)&amp;CHAR(10),"")&amp;
IF($O406&lt;&gt;"","Suggested Timeline "&amp;CHAR(10)&amp;$O406&amp;CHAR(10)&amp;CHAR(10),"")&amp;
IF($P406&lt;&gt;"","Guardrails "&amp;CHAR(10)&amp;$P406&amp;CHAR(10)&amp;CHAR(10),"")&amp;
IF($Q406&lt;&gt;"","Completion signals "&amp;CHAR(10)&amp;$Q406,"")</f>
        <v/>
      </c>
      <c r="S406" s="25" t="n"/>
      <c r="T406" s="25" t="n"/>
      <c r="U406" s="54" t="n"/>
      <c r="V406" s="54">
        <f>IF($B406="","",IF(_xludf.TEXTJOIN(" | ",TRUE,IF($B406="","Missing Title",""),IF($C406="","Missing Date",""),IF($D406="","Missing Start",""),IF($E406="","Missing End",""),IF($G406="","Missing Required Attendees",""),IF($T406="","Missing Status",""),IF(AND($D406&lt;&gt;"",$E406&lt;&gt;"",$D406&gt;=$E406),"Start&gt;=End",""),IF(OR($R406="",LEN($R406)&lt;60,ISNUMBER(MATCH(TRIM($R406),StatusList,0))),"Body overwritten/short",""))="","OK",_xludf.TEXTJOIN(" | ",TRUE,IF($B406="","Missing Title",""),IF($C406="","Missing Date",""),IF($D406="","Missing Start",""),IF($E406="","Missing End",""),IF($G406="","Missing Required Attendees",""),IF($T406="","Missing Status",""),IF(AND($D406&lt;&gt;"",$E406&lt;&gt;"",$D406&gt;=$E406),"Start&gt;=End",""),IF(OR($R406="",LEN($R406)&lt;60,ISNUMBER(MATCH(TRIM($R406),StatusList,0))),"Body overwritten/short",""))))</f>
        <v/>
      </c>
    </row>
    <row r="407" ht="12.75" customHeight="1">
      <c r="B407" s="25" t="n"/>
      <c r="C407" s="80" t="n"/>
      <c r="D407" s="77" t="n"/>
      <c r="E407" s="77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16">
        <f>IF($L407&lt;&gt;"","Purpose "&amp;CHAR(10)&amp;$L407&amp;CHAR(10)&amp;CHAR(10),"")&amp;
IF($M407&lt;&gt;"","Stops (in order) "&amp;CHAR(10)&amp;$M407&amp;CHAR(10)&amp;CHAR(10),"")&amp;
IF($N407&lt;&gt;"","To-Do (hard requirements) "&amp;CHAR(10)&amp;$N407&amp;CHAR(10)&amp;CHAR(10),"")&amp;
IF($O407&lt;&gt;"","Suggested Timeline "&amp;CHAR(10)&amp;$O407&amp;CHAR(10)&amp;CHAR(10),"")&amp;
IF($P407&lt;&gt;"","Guardrails "&amp;CHAR(10)&amp;$P407&amp;CHAR(10)&amp;CHAR(10),"")&amp;
IF($Q407&lt;&gt;"","Completion signals "&amp;CHAR(10)&amp;$Q407,"")</f>
        <v/>
      </c>
      <c r="S407" s="25" t="n"/>
      <c r="T407" s="25" t="n"/>
      <c r="U407" s="54" t="n"/>
      <c r="V407" s="54">
        <f>IF($B407="","",IF(_xludf.TEXTJOIN(" | ",TRUE,IF($B407="","Missing Title",""),IF($C407="","Missing Date",""),IF($D407="","Missing Start",""),IF($E407="","Missing End",""),IF($G407="","Missing Required Attendees",""),IF($T407="","Missing Status",""),IF(AND($D407&lt;&gt;"",$E407&lt;&gt;"",$D407&gt;=$E407),"Start&gt;=End",""),IF(OR($R407="",LEN($R407)&lt;60,ISNUMBER(MATCH(TRIM($R407),StatusList,0))),"Body overwritten/short",""))="","OK",_xludf.TEXTJOIN(" | ",TRUE,IF($B407="","Missing Title",""),IF($C407="","Missing Date",""),IF($D407="","Missing Start",""),IF($E407="","Missing End",""),IF($G407="","Missing Required Attendees",""),IF($T407="","Missing Status",""),IF(AND($D407&lt;&gt;"",$E407&lt;&gt;"",$D407&gt;=$E407),"Start&gt;=End",""),IF(OR($R407="",LEN($R407)&lt;60,ISNUMBER(MATCH(TRIM($R407),StatusList,0))),"Body overwritten/short",""))))</f>
        <v/>
      </c>
    </row>
    <row r="408" ht="12.75" customHeight="1">
      <c r="B408" s="25" t="n"/>
      <c r="C408" s="80" t="n"/>
      <c r="D408" s="77" t="n"/>
      <c r="E408" s="77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16">
        <f>IF($L408&lt;&gt;"","Purpose "&amp;CHAR(10)&amp;$L408&amp;CHAR(10)&amp;CHAR(10),"")&amp;
IF($M408&lt;&gt;"","Stops (in order) "&amp;CHAR(10)&amp;$M408&amp;CHAR(10)&amp;CHAR(10),"")&amp;
IF($N408&lt;&gt;"","To-Do (hard requirements) "&amp;CHAR(10)&amp;$N408&amp;CHAR(10)&amp;CHAR(10),"")&amp;
IF($O408&lt;&gt;"","Suggested Timeline "&amp;CHAR(10)&amp;$O408&amp;CHAR(10)&amp;CHAR(10),"")&amp;
IF($P408&lt;&gt;"","Guardrails "&amp;CHAR(10)&amp;$P408&amp;CHAR(10)&amp;CHAR(10),"")&amp;
IF($Q408&lt;&gt;"","Completion signals "&amp;CHAR(10)&amp;$Q408,"")</f>
        <v/>
      </c>
      <c r="S408" s="25" t="n"/>
      <c r="T408" s="25" t="n"/>
      <c r="U408" s="54" t="n"/>
      <c r="V408" s="54">
        <f>IF($B408="","",IF(_xludf.TEXTJOIN(" | ",TRUE,IF($B408="","Missing Title",""),IF($C408="","Missing Date",""),IF($D408="","Missing Start",""),IF($E408="","Missing End",""),IF($G408="","Missing Required Attendees",""),IF($T408="","Missing Status",""),IF(AND($D408&lt;&gt;"",$E408&lt;&gt;"",$D408&gt;=$E408),"Start&gt;=End",""),IF(OR($R408="",LEN($R408)&lt;60,ISNUMBER(MATCH(TRIM($R408),StatusList,0))),"Body overwritten/short",""))="","OK",_xludf.TEXTJOIN(" | ",TRUE,IF($B408="","Missing Title",""),IF($C408="","Missing Date",""),IF($D408="","Missing Start",""),IF($E408="","Missing End",""),IF($G408="","Missing Required Attendees",""),IF($T408="","Missing Status",""),IF(AND($D408&lt;&gt;"",$E408&lt;&gt;"",$D408&gt;=$E408),"Start&gt;=End",""),IF(OR($R408="",LEN($R408)&lt;60,ISNUMBER(MATCH(TRIM($R408),StatusList,0))),"Body overwritten/short",""))))</f>
        <v/>
      </c>
    </row>
    <row r="409" ht="12.75" customHeight="1">
      <c r="B409" s="25" t="n"/>
      <c r="C409" s="80" t="n"/>
      <c r="D409" s="77" t="n"/>
      <c r="E409" s="77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16">
        <f>IF($L409&lt;&gt;"","Purpose "&amp;CHAR(10)&amp;$L409&amp;CHAR(10)&amp;CHAR(10),"")&amp;
IF($M409&lt;&gt;"","Stops (in order) "&amp;CHAR(10)&amp;$M409&amp;CHAR(10)&amp;CHAR(10),"")&amp;
IF($N409&lt;&gt;"","To-Do (hard requirements) "&amp;CHAR(10)&amp;$N409&amp;CHAR(10)&amp;CHAR(10),"")&amp;
IF($O409&lt;&gt;"","Suggested Timeline "&amp;CHAR(10)&amp;$O409&amp;CHAR(10)&amp;CHAR(10),"")&amp;
IF($P409&lt;&gt;"","Guardrails "&amp;CHAR(10)&amp;$P409&amp;CHAR(10)&amp;CHAR(10),"")&amp;
IF($Q409&lt;&gt;"","Completion signals "&amp;CHAR(10)&amp;$Q409,"")</f>
        <v/>
      </c>
      <c r="S409" s="25" t="n"/>
      <c r="T409" s="25" t="n"/>
      <c r="U409" s="54" t="n"/>
      <c r="V409" s="54">
        <f>IF($B409="","",IF(_xludf.TEXTJOIN(" | ",TRUE,IF($B409="","Missing Title",""),IF($C409="","Missing Date",""),IF($D409="","Missing Start",""),IF($E409="","Missing End",""),IF($G409="","Missing Required Attendees",""),IF($T409="","Missing Status",""),IF(AND($D409&lt;&gt;"",$E409&lt;&gt;"",$D409&gt;=$E409),"Start&gt;=End",""),IF(OR($R409="",LEN($R409)&lt;60,ISNUMBER(MATCH(TRIM($R409),StatusList,0))),"Body overwritten/short",""))="","OK",_xludf.TEXTJOIN(" | ",TRUE,IF($B409="","Missing Title",""),IF($C409="","Missing Date",""),IF($D409="","Missing Start",""),IF($E409="","Missing End",""),IF($G409="","Missing Required Attendees",""),IF($T409="","Missing Status",""),IF(AND($D409&lt;&gt;"",$E409&lt;&gt;"",$D409&gt;=$E409),"Start&gt;=End",""),IF(OR($R409="",LEN($R409)&lt;60,ISNUMBER(MATCH(TRIM($R409),StatusList,0))),"Body overwritten/short",""))))</f>
        <v/>
      </c>
    </row>
    <row r="410" ht="12.75" customHeight="1">
      <c r="B410" s="25" t="n"/>
      <c r="C410" s="80" t="n"/>
      <c r="D410" s="77" t="n"/>
      <c r="E410" s="77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16">
        <f>IF($L410&lt;&gt;"","Purpose "&amp;CHAR(10)&amp;$L410&amp;CHAR(10)&amp;CHAR(10),"")&amp;
IF($M410&lt;&gt;"","Stops (in order) "&amp;CHAR(10)&amp;$M410&amp;CHAR(10)&amp;CHAR(10),"")&amp;
IF($N410&lt;&gt;"","To-Do (hard requirements) "&amp;CHAR(10)&amp;$N410&amp;CHAR(10)&amp;CHAR(10),"")&amp;
IF($O410&lt;&gt;"","Suggested Timeline "&amp;CHAR(10)&amp;$O410&amp;CHAR(10)&amp;CHAR(10),"")&amp;
IF($P410&lt;&gt;"","Guardrails "&amp;CHAR(10)&amp;$P410&amp;CHAR(10)&amp;CHAR(10),"")&amp;
IF($Q410&lt;&gt;"","Completion signals "&amp;CHAR(10)&amp;$Q410,"")</f>
        <v/>
      </c>
      <c r="S410" s="25" t="n"/>
      <c r="T410" s="25" t="n"/>
      <c r="U410" s="54" t="n"/>
      <c r="V410" s="54">
        <f>IF($B410="","",IF(_xludf.TEXTJOIN(" | ",TRUE,IF($B410="","Missing Title",""),IF($C410="","Missing Date",""),IF($D410="","Missing Start",""),IF($E410="","Missing End",""),IF($G410="","Missing Required Attendees",""),IF($T410="","Missing Status",""),IF(AND($D410&lt;&gt;"",$E410&lt;&gt;"",$D410&gt;=$E410),"Start&gt;=End",""),IF(OR($R410="",LEN($R410)&lt;60,ISNUMBER(MATCH(TRIM($R410),StatusList,0))),"Body overwritten/short",""))="","OK",_xludf.TEXTJOIN(" | ",TRUE,IF($B410="","Missing Title",""),IF($C410="","Missing Date",""),IF($D410="","Missing Start",""),IF($E410="","Missing End",""),IF($G410="","Missing Required Attendees",""),IF($T410="","Missing Status",""),IF(AND($D410&lt;&gt;"",$E410&lt;&gt;"",$D410&gt;=$E410),"Start&gt;=End",""),IF(OR($R410="",LEN($R410)&lt;60,ISNUMBER(MATCH(TRIM($R410),StatusList,0))),"Body overwritten/short",""))))</f>
        <v/>
      </c>
    </row>
    <row r="411" ht="12.75" customHeight="1">
      <c r="B411" s="25" t="n"/>
      <c r="C411" s="80" t="n"/>
      <c r="D411" s="77" t="n"/>
      <c r="E411" s="77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16">
        <f>IF($L411&lt;&gt;"","Purpose "&amp;CHAR(10)&amp;$L411&amp;CHAR(10)&amp;CHAR(10),"")&amp;
IF($M411&lt;&gt;"","Stops (in order) "&amp;CHAR(10)&amp;$M411&amp;CHAR(10)&amp;CHAR(10),"")&amp;
IF($N411&lt;&gt;"","To-Do (hard requirements) "&amp;CHAR(10)&amp;$N411&amp;CHAR(10)&amp;CHAR(10),"")&amp;
IF($O411&lt;&gt;"","Suggested Timeline "&amp;CHAR(10)&amp;$O411&amp;CHAR(10)&amp;CHAR(10),"")&amp;
IF($P411&lt;&gt;"","Guardrails "&amp;CHAR(10)&amp;$P411&amp;CHAR(10)&amp;CHAR(10),"")&amp;
IF($Q411&lt;&gt;"","Completion signals "&amp;CHAR(10)&amp;$Q411,"")</f>
        <v/>
      </c>
      <c r="S411" s="25" t="n"/>
      <c r="T411" s="25" t="n"/>
      <c r="U411" s="54" t="n"/>
      <c r="V411" s="54">
        <f>IF($B411="","",IF(_xludf.TEXTJOIN(" | ",TRUE,IF($B411="","Missing Title",""),IF($C411="","Missing Date",""),IF($D411="","Missing Start",""),IF($E411="","Missing End",""),IF($G411="","Missing Required Attendees",""),IF($T411="","Missing Status",""),IF(AND($D411&lt;&gt;"",$E411&lt;&gt;"",$D411&gt;=$E411),"Start&gt;=End",""),IF(OR($R411="",LEN($R411)&lt;60,ISNUMBER(MATCH(TRIM($R411),StatusList,0))),"Body overwritten/short",""))="","OK",_xludf.TEXTJOIN(" | ",TRUE,IF($B411="","Missing Title",""),IF($C411="","Missing Date",""),IF($D411="","Missing Start",""),IF($E411="","Missing End",""),IF($G411="","Missing Required Attendees",""),IF($T411="","Missing Status",""),IF(AND($D411&lt;&gt;"",$E411&lt;&gt;"",$D411&gt;=$E411),"Start&gt;=End",""),IF(OR($R411="",LEN($R411)&lt;60,ISNUMBER(MATCH(TRIM($R411),StatusList,0))),"Body overwritten/short",""))))</f>
        <v/>
      </c>
    </row>
    <row r="412" ht="12.75" customHeight="1">
      <c r="B412" s="25" t="n"/>
      <c r="C412" s="80" t="n"/>
      <c r="D412" s="77" t="n"/>
      <c r="E412" s="77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16">
        <f>IF($L412&lt;&gt;"","Purpose "&amp;CHAR(10)&amp;$L412&amp;CHAR(10)&amp;CHAR(10),"")&amp;
IF($M412&lt;&gt;"","Stops (in order) "&amp;CHAR(10)&amp;$M412&amp;CHAR(10)&amp;CHAR(10),"")&amp;
IF($N412&lt;&gt;"","To-Do (hard requirements) "&amp;CHAR(10)&amp;$N412&amp;CHAR(10)&amp;CHAR(10),"")&amp;
IF($O412&lt;&gt;"","Suggested Timeline "&amp;CHAR(10)&amp;$O412&amp;CHAR(10)&amp;CHAR(10),"")&amp;
IF($P412&lt;&gt;"","Guardrails "&amp;CHAR(10)&amp;$P412&amp;CHAR(10)&amp;CHAR(10),"")&amp;
IF($Q412&lt;&gt;"","Completion signals "&amp;CHAR(10)&amp;$Q412,"")</f>
        <v/>
      </c>
      <c r="S412" s="25" t="n"/>
      <c r="T412" s="25" t="n"/>
      <c r="U412" s="54" t="n"/>
      <c r="V412" s="54">
        <f>IF($B412="","",IF(_xludf.TEXTJOIN(" | ",TRUE,IF($B412="","Missing Title",""),IF($C412="","Missing Date",""),IF($D412="","Missing Start",""),IF($E412="","Missing End",""),IF($G412="","Missing Required Attendees",""),IF($T412="","Missing Status",""),IF(AND($D412&lt;&gt;"",$E412&lt;&gt;"",$D412&gt;=$E412),"Start&gt;=End",""),IF(OR($R412="",LEN($R412)&lt;60,ISNUMBER(MATCH(TRIM($R412),StatusList,0))),"Body overwritten/short",""))="","OK",_xludf.TEXTJOIN(" | ",TRUE,IF($B412="","Missing Title",""),IF($C412="","Missing Date",""),IF($D412="","Missing Start",""),IF($E412="","Missing End",""),IF($G412="","Missing Required Attendees",""),IF($T412="","Missing Status",""),IF(AND($D412&lt;&gt;"",$E412&lt;&gt;"",$D412&gt;=$E412),"Start&gt;=End",""),IF(OR($R412="",LEN($R412)&lt;60,ISNUMBER(MATCH(TRIM($R412),StatusList,0))),"Body overwritten/short",""))))</f>
        <v/>
      </c>
    </row>
    <row r="413" ht="12.75" customHeight="1">
      <c r="B413" s="25" t="n"/>
      <c r="C413" s="80" t="n"/>
      <c r="D413" s="77" t="n"/>
      <c r="E413" s="77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16">
        <f>IF($L413&lt;&gt;"","Purpose "&amp;CHAR(10)&amp;$L413&amp;CHAR(10)&amp;CHAR(10),"")&amp;
IF($M413&lt;&gt;"","Stops (in order) "&amp;CHAR(10)&amp;$M413&amp;CHAR(10)&amp;CHAR(10),"")&amp;
IF($N413&lt;&gt;"","To-Do (hard requirements) "&amp;CHAR(10)&amp;$N413&amp;CHAR(10)&amp;CHAR(10),"")&amp;
IF($O413&lt;&gt;"","Suggested Timeline "&amp;CHAR(10)&amp;$O413&amp;CHAR(10)&amp;CHAR(10),"")&amp;
IF($P413&lt;&gt;"","Guardrails "&amp;CHAR(10)&amp;$P413&amp;CHAR(10)&amp;CHAR(10),"")&amp;
IF($Q413&lt;&gt;"","Completion signals "&amp;CHAR(10)&amp;$Q413,"")</f>
        <v/>
      </c>
      <c r="S413" s="25" t="n"/>
      <c r="T413" s="25" t="n"/>
      <c r="U413" s="54" t="n"/>
      <c r="V413" s="54">
        <f>IF($B413="","",IF(_xludf.TEXTJOIN(" | ",TRUE,IF($B413="","Missing Title",""),IF($C413="","Missing Date",""),IF($D413="","Missing Start",""),IF($E413="","Missing End",""),IF($G413="","Missing Required Attendees",""),IF($T413="","Missing Status",""),IF(AND($D413&lt;&gt;"",$E413&lt;&gt;"",$D413&gt;=$E413),"Start&gt;=End",""),IF(OR($R413="",LEN($R413)&lt;60,ISNUMBER(MATCH(TRIM($R413),StatusList,0))),"Body overwritten/short",""))="","OK",_xludf.TEXTJOIN(" | ",TRUE,IF($B413="","Missing Title",""),IF($C413="","Missing Date",""),IF($D413="","Missing Start",""),IF($E413="","Missing End",""),IF($G413="","Missing Required Attendees",""),IF($T413="","Missing Status",""),IF(AND($D413&lt;&gt;"",$E413&lt;&gt;"",$D413&gt;=$E413),"Start&gt;=End",""),IF(OR($R413="",LEN($R413)&lt;60,ISNUMBER(MATCH(TRIM($R413),StatusList,0))),"Body overwritten/short",""))))</f>
        <v/>
      </c>
    </row>
    <row r="414" ht="12.75" customHeight="1">
      <c r="B414" s="25" t="n"/>
      <c r="C414" s="80" t="n"/>
      <c r="D414" s="77" t="n"/>
      <c r="E414" s="77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16">
        <f>IF($L414&lt;&gt;"","Purpose "&amp;CHAR(10)&amp;$L414&amp;CHAR(10)&amp;CHAR(10),"")&amp;
IF($M414&lt;&gt;"","Stops (in order) "&amp;CHAR(10)&amp;$M414&amp;CHAR(10)&amp;CHAR(10),"")&amp;
IF($N414&lt;&gt;"","To-Do (hard requirements) "&amp;CHAR(10)&amp;$N414&amp;CHAR(10)&amp;CHAR(10),"")&amp;
IF($O414&lt;&gt;"","Suggested Timeline "&amp;CHAR(10)&amp;$O414&amp;CHAR(10)&amp;CHAR(10),"")&amp;
IF($P414&lt;&gt;"","Guardrails "&amp;CHAR(10)&amp;$P414&amp;CHAR(10)&amp;CHAR(10),"")&amp;
IF($Q414&lt;&gt;"","Completion signals "&amp;CHAR(10)&amp;$Q414,"")</f>
        <v/>
      </c>
      <c r="S414" s="25" t="n"/>
      <c r="T414" s="25" t="n"/>
      <c r="U414" s="54" t="n"/>
      <c r="V414" s="54">
        <f>IF($B414="","",IF(_xludf.TEXTJOIN(" | ",TRUE,IF($B414="","Missing Title",""),IF($C414="","Missing Date",""),IF($D414="","Missing Start",""),IF($E414="","Missing End",""),IF($G414="","Missing Required Attendees",""),IF($T414="","Missing Status",""),IF(AND($D414&lt;&gt;"",$E414&lt;&gt;"",$D414&gt;=$E414),"Start&gt;=End",""),IF(OR($R414="",LEN($R414)&lt;60,ISNUMBER(MATCH(TRIM($R414),StatusList,0))),"Body overwritten/short",""))="","OK",_xludf.TEXTJOIN(" | ",TRUE,IF($B414="","Missing Title",""),IF($C414="","Missing Date",""),IF($D414="","Missing Start",""),IF($E414="","Missing End",""),IF($G414="","Missing Required Attendees",""),IF($T414="","Missing Status",""),IF(AND($D414&lt;&gt;"",$E414&lt;&gt;"",$D414&gt;=$E414),"Start&gt;=End",""),IF(OR($R414="",LEN($R414)&lt;60,ISNUMBER(MATCH(TRIM($R414),StatusList,0))),"Body overwritten/short",""))))</f>
        <v/>
      </c>
    </row>
    <row r="415" ht="12.75" customHeight="1">
      <c r="B415" s="25" t="n"/>
      <c r="C415" s="80" t="n"/>
      <c r="D415" s="77" t="n"/>
      <c r="E415" s="77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16">
        <f>IF($L415&lt;&gt;"","Purpose "&amp;CHAR(10)&amp;$L415&amp;CHAR(10)&amp;CHAR(10),"")&amp;
IF($M415&lt;&gt;"","Stops (in order) "&amp;CHAR(10)&amp;$M415&amp;CHAR(10)&amp;CHAR(10),"")&amp;
IF($N415&lt;&gt;"","To-Do (hard requirements) "&amp;CHAR(10)&amp;$N415&amp;CHAR(10)&amp;CHAR(10),"")&amp;
IF($O415&lt;&gt;"","Suggested Timeline "&amp;CHAR(10)&amp;$O415&amp;CHAR(10)&amp;CHAR(10),"")&amp;
IF($P415&lt;&gt;"","Guardrails "&amp;CHAR(10)&amp;$P415&amp;CHAR(10)&amp;CHAR(10),"")&amp;
IF($Q415&lt;&gt;"","Completion signals "&amp;CHAR(10)&amp;$Q415,"")</f>
        <v/>
      </c>
      <c r="S415" s="25" t="n"/>
      <c r="T415" s="25" t="n"/>
      <c r="U415" s="54" t="n"/>
      <c r="V415" s="54">
        <f>IF($B415="","",IF(_xludf.TEXTJOIN(" | ",TRUE,IF($B415="","Missing Title",""),IF($C415="","Missing Date",""),IF($D415="","Missing Start",""),IF($E415="","Missing End",""),IF($G415="","Missing Required Attendees",""),IF($T415="","Missing Status",""),IF(AND($D415&lt;&gt;"",$E415&lt;&gt;"",$D415&gt;=$E415),"Start&gt;=End",""),IF(OR($R415="",LEN($R415)&lt;60,ISNUMBER(MATCH(TRIM($R415),StatusList,0))),"Body overwritten/short",""))="","OK",_xludf.TEXTJOIN(" | ",TRUE,IF($B415="","Missing Title",""),IF($C415="","Missing Date",""),IF($D415="","Missing Start",""),IF($E415="","Missing End",""),IF($G415="","Missing Required Attendees",""),IF($T415="","Missing Status",""),IF(AND($D415&lt;&gt;"",$E415&lt;&gt;"",$D415&gt;=$E415),"Start&gt;=End",""),IF(OR($R415="",LEN($R415)&lt;60,ISNUMBER(MATCH(TRIM($R415),StatusList,0))),"Body overwritten/short",""))))</f>
        <v/>
      </c>
    </row>
    <row r="416" ht="12.75" customHeight="1">
      <c r="B416" s="25" t="n"/>
      <c r="C416" s="80" t="n"/>
      <c r="D416" s="77" t="n"/>
      <c r="E416" s="77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16">
        <f>IF($L416&lt;&gt;"","Purpose "&amp;CHAR(10)&amp;$L416&amp;CHAR(10)&amp;CHAR(10),"")&amp;
IF($M416&lt;&gt;"","Stops (in order) "&amp;CHAR(10)&amp;$M416&amp;CHAR(10)&amp;CHAR(10),"")&amp;
IF($N416&lt;&gt;"","To-Do (hard requirements) "&amp;CHAR(10)&amp;$N416&amp;CHAR(10)&amp;CHAR(10),"")&amp;
IF($O416&lt;&gt;"","Suggested Timeline "&amp;CHAR(10)&amp;$O416&amp;CHAR(10)&amp;CHAR(10),"")&amp;
IF($P416&lt;&gt;"","Guardrails "&amp;CHAR(10)&amp;$P416&amp;CHAR(10)&amp;CHAR(10),"")&amp;
IF($Q416&lt;&gt;"","Completion signals "&amp;CHAR(10)&amp;$Q416,"")</f>
        <v/>
      </c>
      <c r="S416" s="25" t="n"/>
      <c r="T416" s="25" t="n"/>
      <c r="U416" s="54" t="n"/>
      <c r="V416" s="54">
        <f>IF($B416="","",IF(_xludf.TEXTJOIN(" | ",TRUE,IF($B416="","Missing Title",""),IF($C416="","Missing Date",""),IF($D416="","Missing Start",""),IF($E416="","Missing End",""),IF($G416="","Missing Required Attendees",""),IF($T416="","Missing Status",""),IF(AND($D416&lt;&gt;"",$E416&lt;&gt;"",$D416&gt;=$E416),"Start&gt;=End",""),IF(OR($R416="",LEN($R416)&lt;60,ISNUMBER(MATCH(TRIM($R416),StatusList,0))),"Body overwritten/short",""))="","OK",_xludf.TEXTJOIN(" | ",TRUE,IF($B416="","Missing Title",""),IF($C416="","Missing Date",""),IF($D416="","Missing Start",""),IF($E416="","Missing End",""),IF($G416="","Missing Required Attendees",""),IF($T416="","Missing Status",""),IF(AND($D416&lt;&gt;"",$E416&lt;&gt;"",$D416&gt;=$E416),"Start&gt;=End",""),IF(OR($R416="",LEN($R416)&lt;60,ISNUMBER(MATCH(TRIM($R416),StatusList,0))),"Body overwritten/short",""))))</f>
        <v/>
      </c>
    </row>
    <row r="417" ht="12.75" customHeight="1">
      <c r="B417" s="25" t="n"/>
      <c r="C417" s="80" t="n"/>
      <c r="D417" s="77" t="n"/>
      <c r="E417" s="77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16">
        <f>IF($L417&lt;&gt;"","Purpose "&amp;CHAR(10)&amp;$L417&amp;CHAR(10)&amp;CHAR(10),"")&amp;
IF($M417&lt;&gt;"","Stops (in order) "&amp;CHAR(10)&amp;$M417&amp;CHAR(10)&amp;CHAR(10),"")&amp;
IF($N417&lt;&gt;"","To-Do (hard requirements) "&amp;CHAR(10)&amp;$N417&amp;CHAR(10)&amp;CHAR(10),"")&amp;
IF($O417&lt;&gt;"","Suggested Timeline "&amp;CHAR(10)&amp;$O417&amp;CHAR(10)&amp;CHAR(10),"")&amp;
IF($P417&lt;&gt;"","Guardrails "&amp;CHAR(10)&amp;$P417&amp;CHAR(10)&amp;CHAR(10),"")&amp;
IF($Q417&lt;&gt;"","Completion signals "&amp;CHAR(10)&amp;$Q417,"")</f>
        <v/>
      </c>
      <c r="S417" s="25" t="n"/>
      <c r="T417" s="25" t="n"/>
      <c r="U417" s="54" t="n"/>
      <c r="V417" s="54">
        <f>IF($B417="","",IF(_xludf.TEXTJOIN(" | ",TRUE,IF($B417="","Missing Title",""),IF($C417="","Missing Date",""),IF($D417="","Missing Start",""),IF($E417="","Missing End",""),IF($G417="","Missing Required Attendees",""),IF($T417="","Missing Status",""),IF(AND($D417&lt;&gt;"",$E417&lt;&gt;"",$D417&gt;=$E417),"Start&gt;=End",""),IF(OR($R417="",LEN($R417)&lt;60,ISNUMBER(MATCH(TRIM($R417),StatusList,0))),"Body overwritten/short",""))="","OK",_xludf.TEXTJOIN(" | ",TRUE,IF($B417="","Missing Title",""),IF($C417="","Missing Date",""),IF($D417="","Missing Start",""),IF($E417="","Missing End",""),IF($G417="","Missing Required Attendees",""),IF($T417="","Missing Status",""),IF(AND($D417&lt;&gt;"",$E417&lt;&gt;"",$D417&gt;=$E417),"Start&gt;=End",""),IF(OR($R417="",LEN($R417)&lt;60,ISNUMBER(MATCH(TRIM($R417),StatusList,0))),"Body overwritten/short",""))))</f>
        <v/>
      </c>
    </row>
    <row r="418" ht="12.75" customHeight="1">
      <c r="B418" s="25" t="n"/>
      <c r="C418" s="80" t="n"/>
      <c r="D418" s="77" t="n"/>
      <c r="E418" s="77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16">
        <f>IF($L418&lt;&gt;"","Purpose "&amp;CHAR(10)&amp;$L418&amp;CHAR(10)&amp;CHAR(10),"")&amp;
IF($M418&lt;&gt;"","Stops (in order) "&amp;CHAR(10)&amp;$M418&amp;CHAR(10)&amp;CHAR(10),"")&amp;
IF($N418&lt;&gt;"","To-Do (hard requirements) "&amp;CHAR(10)&amp;$N418&amp;CHAR(10)&amp;CHAR(10),"")&amp;
IF($O418&lt;&gt;"","Suggested Timeline "&amp;CHAR(10)&amp;$O418&amp;CHAR(10)&amp;CHAR(10),"")&amp;
IF($P418&lt;&gt;"","Guardrails "&amp;CHAR(10)&amp;$P418&amp;CHAR(10)&amp;CHAR(10),"")&amp;
IF($Q418&lt;&gt;"","Completion signals "&amp;CHAR(10)&amp;$Q418,"")</f>
        <v/>
      </c>
      <c r="S418" s="25" t="n"/>
      <c r="T418" s="25" t="n"/>
      <c r="U418" s="54" t="n"/>
      <c r="V418" s="54">
        <f>IF($B418="","",IF(_xludf.TEXTJOIN(" | ",TRUE,IF($B418="","Missing Title",""),IF($C418="","Missing Date",""),IF($D418="","Missing Start",""),IF($E418="","Missing End",""),IF($G418="","Missing Required Attendees",""),IF($T418="","Missing Status",""),IF(AND($D418&lt;&gt;"",$E418&lt;&gt;"",$D418&gt;=$E418),"Start&gt;=End",""),IF(OR($R418="",LEN($R418)&lt;60,ISNUMBER(MATCH(TRIM($R418),StatusList,0))),"Body overwritten/short",""))="","OK",_xludf.TEXTJOIN(" | ",TRUE,IF($B418="","Missing Title",""),IF($C418="","Missing Date",""),IF($D418="","Missing Start",""),IF($E418="","Missing End",""),IF($G418="","Missing Required Attendees",""),IF($T418="","Missing Status",""),IF(AND($D418&lt;&gt;"",$E418&lt;&gt;"",$D418&gt;=$E418),"Start&gt;=End",""),IF(OR($R418="",LEN($R418)&lt;60,ISNUMBER(MATCH(TRIM($R418),StatusList,0))),"Body overwritten/short",""))))</f>
        <v/>
      </c>
    </row>
    <row r="419" ht="12.75" customHeight="1">
      <c r="B419" s="25" t="n"/>
      <c r="C419" s="80" t="n"/>
      <c r="D419" s="77" t="n"/>
      <c r="E419" s="77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16">
        <f>IF($L419&lt;&gt;"","Purpose "&amp;CHAR(10)&amp;$L419&amp;CHAR(10)&amp;CHAR(10),"")&amp;
IF($M419&lt;&gt;"","Stops (in order) "&amp;CHAR(10)&amp;$M419&amp;CHAR(10)&amp;CHAR(10),"")&amp;
IF($N419&lt;&gt;"","To-Do (hard requirements) "&amp;CHAR(10)&amp;$N419&amp;CHAR(10)&amp;CHAR(10),"")&amp;
IF($O419&lt;&gt;"","Suggested Timeline "&amp;CHAR(10)&amp;$O419&amp;CHAR(10)&amp;CHAR(10),"")&amp;
IF($P419&lt;&gt;"","Guardrails "&amp;CHAR(10)&amp;$P419&amp;CHAR(10)&amp;CHAR(10),"")&amp;
IF($Q419&lt;&gt;"","Completion signals "&amp;CHAR(10)&amp;$Q419,"")</f>
        <v/>
      </c>
      <c r="S419" s="25" t="n"/>
      <c r="T419" s="25" t="n"/>
      <c r="U419" s="54" t="n"/>
      <c r="V419" s="54">
        <f>IF($B419="","",IF(_xludf.TEXTJOIN(" | ",TRUE,IF($B419="","Missing Title",""),IF($C419="","Missing Date",""),IF($D419="","Missing Start",""),IF($E419="","Missing End",""),IF($G419="","Missing Required Attendees",""),IF($T419="","Missing Status",""),IF(AND($D419&lt;&gt;"",$E419&lt;&gt;"",$D419&gt;=$E419),"Start&gt;=End",""),IF(OR($R419="",LEN($R419)&lt;60,ISNUMBER(MATCH(TRIM($R419),StatusList,0))),"Body overwritten/short",""))="","OK",_xludf.TEXTJOIN(" | ",TRUE,IF($B419="","Missing Title",""),IF($C419="","Missing Date",""),IF($D419="","Missing Start",""),IF($E419="","Missing End",""),IF($G419="","Missing Required Attendees",""),IF($T419="","Missing Status",""),IF(AND($D419&lt;&gt;"",$E419&lt;&gt;"",$D419&gt;=$E419),"Start&gt;=End",""),IF(OR($R419="",LEN($R419)&lt;60,ISNUMBER(MATCH(TRIM($R419),StatusList,0))),"Body overwritten/short",""))))</f>
        <v/>
      </c>
    </row>
    <row r="420" ht="12.75" customHeight="1">
      <c r="B420" s="25" t="n"/>
      <c r="C420" s="80" t="n"/>
      <c r="D420" s="77" t="n"/>
      <c r="E420" s="77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16">
        <f>IF($L420&lt;&gt;"","Purpose "&amp;CHAR(10)&amp;$L420&amp;CHAR(10)&amp;CHAR(10),"")&amp;
IF($M420&lt;&gt;"","Stops (in order) "&amp;CHAR(10)&amp;$M420&amp;CHAR(10)&amp;CHAR(10),"")&amp;
IF($N420&lt;&gt;"","To-Do (hard requirements) "&amp;CHAR(10)&amp;$N420&amp;CHAR(10)&amp;CHAR(10),"")&amp;
IF($O420&lt;&gt;"","Suggested Timeline "&amp;CHAR(10)&amp;$O420&amp;CHAR(10)&amp;CHAR(10),"")&amp;
IF($P420&lt;&gt;"","Guardrails "&amp;CHAR(10)&amp;$P420&amp;CHAR(10)&amp;CHAR(10),"")&amp;
IF($Q420&lt;&gt;"","Completion signals "&amp;CHAR(10)&amp;$Q420,"")</f>
        <v/>
      </c>
      <c r="S420" s="25" t="n"/>
      <c r="T420" s="25" t="n"/>
      <c r="U420" s="54" t="n"/>
      <c r="V420" s="54">
        <f>IF($B420="","",IF(_xludf.TEXTJOIN(" | ",TRUE,IF($B420="","Missing Title",""),IF($C420="","Missing Date",""),IF($D420="","Missing Start",""),IF($E420="","Missing End",""),IF($G420="","Missing Required Attendees",""),IF($T420="","Missing Status",""),IF(AND($D420&lt;&gt;"",$E420&lt;&gt;"",$D420&gt;=$E420),"Start&gt;=End",""),IF(OR($R420="",LEN($R420)&lt;60,ISNUMBER(MATCH(TRIM($R420),StatusList,0))),"Body overwritten/short",""))="","OK",_xludf.TEXTJOIN(" | ",TRUE,IF($B420="","Missing Title",""),IF($C420="","Missing Date",""),IF($D420="","Missing Start",""),IF($E420="","Missing End",""),IF($G420="","Missing Required Attendees",""),IF($T420="","Missing Status",""),IF(AND($D420&lt;&gt;"",$E420&lt;&gt;"",$D420&gt;=$E420),"Start&gt;=End",""),IF(OR($R420="",LEN($R420)&lt;60,ISNUMBER(MATCH(TRIM($R420),StatusList,0))),"Body overwritten/short",""))))</f>
        <v/>
      </c>
    </row>
    <row r="421" ht="12.75" customHeight="1">
      <c r="B421" s="25" t="n"/>
      <c r="C421" s="80" t="n"/>
      <c r="D421" s="77" t="n"/>
      <c r="E421" s="77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16">
        <f>IF($L421&lt;&gt;"","Purpose "&amp;CHAR(10)&amp;$L421&amp;CHAR(10)&amp;CHAR(10),"")&amp;
IF($M421&lt;&gt;"","Stops (in order) "&amp;CHAR(10)&amp;$M421&amp;CHAR(10)&amp;CHAR(10),"")&amp;
IF($N421&lt;&gt;"","To-Do (hard requirements) "&amp;CHAR(10)&amp;$N421&amp;CHAR(10)&amp;CHAR(10),"")&amp;
IF($O421&lt;&gt;"","Suggested Timeline "&amp;CHAR(10)&amp;$O421&amp;CHAR(10)&amp;CHAR(10),"")&amp;
IF($P421&lt;&gt;"","Guardrails "&amp;CHAR(10)&amp;$P421&amp;CHAR(10)&amp;CHAR(10),"")&amp;
IF($Q421&lt;&gt;"","Completion signals "&amp;CHAR(10)&amp;$Q421,"")</f>
        <v/>
      </c>
      <c r="S421" s="25" t="n"/>
      <c r="T421" s="25" t="n"/>
      <c r="U421" s="54" t="n"/>
      <c r="V421" s="54">
        <f>IF($B421="","",IF(_xludf.TEXTJOIN(" | ",TRUE,IF($B421="","Missing Title",""),IF($C421="","Missing Date",""),IF($D421="","Missing Start",""),IF($E421="","Missing End",""),IF($G421="","Missing Required Attendees",""),IF($T421="","Missing Status",""),IF(AND($D421&lt;&gt;"",$E421&lt;&gt;"",$D421&gt;=$E421),"Start&gt;=End",""),IF(OR($R421="",LEN($R421)&lt;60,ISNUMBER(MATCH(TRIM($R421),StatusList,0))),"Body overwritten/short",""))="","OK",_xludf.TEXTJOIN(" | ",TRUE,IF($B421="","Missing Title",""),IF($C421="","Missing Date",""),IF($D421="","Missing Start",""),IF($E421="","Missing End",""),IF($G421="","Missing Required Attendees",""),IF($T421="","Missing Status",""),IF(AND($D421&lt;&gt;"",$E421&lt;&gt;"",$D421&gt;=$E421),"Start&gt;=End",""),IF(OR($R421="",LEN($R421)&lt;60,ISNUMBER(MATCH(TRIM($R421),StatusList,0))),"Body overwritten/short",""))))</f>
        <v/>
      </c>
    </row>
    <row r="422" ht="12.75" customHeight="1">
      <c r="B422" s="25" t="n"/>
      <c r="C422" s="80" t="n"/>
      <c r="D422" s="77" t="n"/>
      <c r="E422" s="77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16">
        <f>IF($L422&lt;&gt;"","Purpose "&amp;CHAR(10)&amp;$L422&amp;CHAR(10)&amp;CHAR(10),"")&amp;
IF($M422&lt;&gt;"","Stops (in order) "&amp;CHAR(10)&amp;$M422&amp;CHAR(10)&amp;CHAR(10),"")&amp;
IF($N422&lt;&gt;"","To-Do (hard requirements) "&amp;CHAR(10)&amp;$N422&amp;CHAR(10)&amp;CHAR(10),"")&amp;
IF($O422&lt;&gt;"","Suggested Timeline "&amp;CHAR(10)&amp;$O422&amp;CHAR(10)&amp;CHAR(10),"")&amp;
IF($P422&lt;&gt;"","Guardrails "&amp;CHAR(10)&amp;$P422&amp;CHAR(10)&amp;CHAR(10),"")&amp;
IF($Q422&lt;&gt;"","Completion signals "&amp;CHAR(10)&amp;$Q422,"")</f>
        <v/>
      </c>
      <c r="S422" s="25" t="n"/>
      <c r="T422" s="25" t="n"/>
      <c r="U422" s="54" t="n"/>
      <c r="V422" s="54">
        <f>IF($B422="","",IF(_xludf.TEXTJOIN(" | ",TRUE,IF($B422="","Missing Title",""),IF($C422="","Missing Date",""),IF($D422="","Missing Start",""),IF($E422="","Missing End",""),IF($G422="","Missing Required Attendees",""),IF($T422="","Missing Status",""),IF(AND($D422&lt;&gt;"",$E422&lt;&gt;"",$D422&gt;=$E422),"Start&gt;=End",""),IF(OR($R422="",LEN($R422)&lt;60,ISNUMBER(MATCH(TRIM($R422),StatusList,0))),"Body overwritten/short",""))="","OK",_xludf.TEXTJOIN(" | ",TRUE,IF($B422="","Missing Title",""),IF($C422="","Missing Date",""),IF($D422="","Missing Start",""),IF($E422="","Missing End",""),IF($G422="","Missing Required Attendees",""),IF($T422="","Missing Status",""),IF(AND($D422&lt;&gt;"",$E422&lt;&gt;"",$D422&gt;=$E422),"Start&gt;=End",""),IF(OR($R422="",LEN($R422)&lt;60,ISNUMBER(MATCH(TRIM($R422),StatusList,0))),"Body overwritten/short",""))))</f>
        <v/>
      </c>
    </row>
    <row r="423" ht="12.75" customHeight="1">
      <c r="B423" s="25" t="n"/>
      <c r="C423" s="80" t="n"/>
      <c r="D423" s="77" t="n"/>
      <c r="E423" s="77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16">
        <f>IF($L423&lt;&gt;"","Purpose "&amp;CHAR(10)&amp;$L423&amp;CHAR(10)&amp;CHAR(10),"")&amp;
IF($M423&lt;&gt;"","Stops (in order) "&amp;CHAR(10)&amp;$M423&amp;CHAR(10)&amp;CHAR(10),"")&amp;
IF($N423&lt;&gt;"","To-Do (hard requirements) "&amp;CHAR(10)&amp;$N423&amp;CHAR(10)&amp;CHAR(10),"")&amp;
IF($O423&lt;&gt;"","Suggested Timeline "&amp;CHAR(10)&amp;$O423&amp;CHAR(10)&amp;CHAR(10),"")&amp;
IF($P423&lt;&gt;"","Guardrails "&amp;CHAR(10)&amp;$P423&amp;CHAR(10)&amp;CHAR(10),"")&amp;
IF($Q423&lt;&gt;"","Completion signals "&amp;CHAR(10)&amp;$Q423,"")</f>
        <v/>
      </c>
      <c r="S423" s="25" t="n"/>
      <c r="T423" s="25" t="n"/>
      <c r="U423" s="54" t="n"/>
      <c r="V423" s="54">
        <f>IF($B423="","",IF(_xludf.TEXTJOIN(" | ",TRUE,IF($B423="","Missing Title",""),IF($C423="","Missing Date",""),IF($D423="","Missing Start",""),IF($E423="","Missing End",""),IF($G423="","Missing Required Attendees",""),IF($T423="","Missing Status",""),IF(AND($D423&lt;&gt;"",$E423&lt;&gt;"",$D423&gt;=$E423),"Start&gt;=End",""),IF(OR($R423="",LEN($R423)&lt;60,ISNUMBER(MATCH(TRIM($R423),StatusList,0))),"Body overwritten/short",""))="","OK",_xludf.TEXTJOIN(" | ",TRUE,IF($B423="","Missing Title",""),IF($C423="","Missing Date",""),IF($D423="","Missing Start",""),IF($E423="","Missing End",""),IF($G423="","Missing Required Attendees",""),IF($T423="","Missing Status",""),IF(AND($D423&lt;&gt;"",$E423&lt;&gt;"",$D423&gt;=$E423),"Start&gt;=End",""),IF(OR($R423="",LEN($R423)&lt;60,ISNUMBER(MATCH(TRIM($R423),StatusList,0))),"Body overwritten/short",""))))</f>
        <v/>
      </c>
    </row>
    <row r="424" ht="12.75" customHeight="1">
      <c r="B424" s="25" t="n"/>
      <c r="C424" s="80" t="n"/>
      <c r="D424" s="77" t="n"/>
      <c r="E424" s="77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16">
        <f>IF($L424&lt;&gt;"","Purpose "&amp;CHAR(10)&amp;$L424&amp;CHAR(10)&amp;CHAR(10),"")&amp;
IF($M424&lt;&gt;"","Stops (in order) "&amp;CHAR(10)&amp;$M424&amp;CHAR(10)&amp;CHAR(10),"")&amp;
IF($N424&lt;&gt;"","To-Do (hard requirements) "&amp;CHAR(10)&amp;$N424&amp;CHAR(10)&amp;CHAR(10),"")&amp;
IF($O424&lt;&gt;"","Suggested Timeline "&amp;CHAR(10)&amp;$O424&amp;CHAR(10)&amp;CHAR(10),"")&amp;
IF($P424&lt;&gt;"","Guardrails "&amp;CHAR(10)&amp;$P424&amp;CHAR(10)&amp;CHAR(10),"")&amp;
IF($Q424&lt;&gt;"","Completion signals "&amp;CHAR(10)&amp;$Q424,"")</f>
        <v/>
      </c>
      <c r="S424" s="25" t="n"/>
      <c r="T424" s="25" t="n"/>
      <c r="U424" s="54" t="n"/>
      <c r="V424" s="54">
        <f>IF($B424="","",IF(_xludf.TEXTJOIN(" | ",TRUE,IF($B424="","Missing Title",""),IF($C424="","Missing Date",""),IF($D424="","Missing Start",""),IF($E424="","Missing End",""),IF($G424="","Missing Required Attendees",""),IF($T424="","Missing Status",""),IF(AND($D424&lt;&gt;"",$E424&lt;&gt;"",$D424&gt;=$E424),"Start&gt;=End",""),IF(OR($R424="",LEN($R424)&lt;60,ISNUMBER(MATCH(TRIM($R424),StatusList,0))),"Body overwritten/short",""))="","OK",_xludf.TEXTJOIN(" | ",TRUE,IF($B424="","Missing Title",""),IF($C424="","Missing Date",""),IF($D424="","Missing Start",""),IF($E424="","Missing End",""),IF($G424="","Missing Required Attendees",""),IF($T424="","Missing Status",""),IF(AND($D424&lt;&gt;"",$E424&lt;&gt;"",$D424&gt;=$E424),"Start&gt;=End",""),IF(OR($R424="",LEN($R424)&lt;60,ISNUMBER(MATCH(TRIM($R424),StatusList,0))),"Body overwritten/short",""))))</f>
        <v/>
      </c>
    </row>
    <row r="425" ht="12.75" customHeight="1">
      <c r="B425" s="25" t="n"/>
      <c r="C425" s="80" t="n"/>
      <c r="D425" s="77" t="n"/>
      <c r="E425" s="77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16">
        <f>IF($L425&lt;&gt;"","Purpose "&amp;CHAR(10)&amp;$L425&amp;CHAR(10)&amp;CHAR(10),"")&amp;
IF($M425&lt;&gt;"","Stops (in order) "&amp;CHAR(10)&amp;$M425&amp;CHAR(10)&amp;CHAR(10),"")&amp;
IF($N425&lt;&gt;"","To-Do (hard requirements) "&amp;CHAR(10)&amp;$N425&amp;CHAR(10)&amp;CHAR(10),"")&amp;
IF($O425&lt;&gt;"","Suggested Timeline "&amp;CHAR(10)&amp;$O425&amp;CHAR(10)&amp;CHAR(10),"")&amp;
IF($P425&lt;&gt;"","Guardrails "&amp;CHAR(10)&amp;$P425&amp;CHAR(10)&amp;CHAR(10),"")&amp;
IF($Q425&lt;&gt;"","Completion signals "&amp;CHAR(10)&amp;$Q425,"")</f>
        <v/>
      </c>
      <c r="S425" s="25" t="n"/>
      <c r="T425" s="25" t="n"/>
      <c r="U425" s="54" t="n"/>
      <c r="V425" s="54">
        <f>IF($B425="","",IF(_xludf.TEXTJOIN(" | ",TRUE,IF($B425="","Missing Title",""),IF($C425="","Missing Date",""),IF($D425="","Missing Start",""),IF($E425="","Missing End",""),IF($G425="","Missing Required Attendees",""),IF($T425="","Missing Status",""),IF(AND($D425&lt;&gt;"",$E425&lt;&gt;"",$D425&gt;=$E425),"Start&gt;=End",""),IF(OR($R425="",LEN($R425)&lt;60,ISNUMBER(MATCH(TRIM($R425),StatusList,0))),"Body overwritten/short",""))="","OK",_xludf.TEXTJOIN(" | ",TRUE,IF($B425="","Missing Title",""),IF($C425="","Missing Date",""),IF($D425="","Missing Start",""),IF($E425="","Missing End",""),IF($G425="","Missing Required Attendees",""),IF($T425="","Missing Status",""),IF(AND($D425&lt;&gt;"",$E425&lt;&gt;"",$D425&gt;=$E425),"Start&gt;=End",""),IF(OR($R425="",LEN($R425)&lt;60,ISNUMBER(MATCH(TRIM($R425),StatusList,0))),"Body overwritten/short",""))))</f>
        <v/>
      </c>
    </row>
    <row r="426" ht="12.75" customHeight="1">
      <c r="B426" s="25" t="n"/>
      <c r="C426" s="80" t="n"/>
      <c r="D426" s="77" t="n"/>
      <c r="E426" s="77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16">
        <f>IF($L426&lt;&gt;"","Purpose "&amp;CHAR(10)&amp;$L426&amp;CHAR(10)&amp;CHAR(10),"")&amp;
IF($M426&lt;&gt;"","Stops (in order) "&amp;CHAR(10)&amp;$M426&amp;CHAR(10)&amp;CHAR(10),"")&amp;
IF($N426&lt;&gt;"","To-Do (hard requirements) "&amp;CHAR(10)&amp;$N426&amp;CHAR(10)&amp;CHAR(10),"")&amp;
IF($O426&lt;&gt;"","Suggested Timeline "&amp;CHAR(10)&amp;$O426&amp;CHAR(10)&amp;CHAR(10),"")&amp;
IF($P426&lt;&gt;"","Guardrails "&amp;CHAR(10)&amp;$P426&amp;CHAR(10)&amp;CHAR(10),"")&amp;
IF($Q426&lt;&gt;"","Completion signals "&amp;CHAR(10)&amp;$Q426,"")</f>
        <v/>
      </c>
      <c r="S426" s="25" t="n"/>
      <c r="T426" s="25" t="n"/>
      <c r="U426" s="54" t="n"/>
      <c r="V426" s="54">
        <f>IF($B426="","",IF(_xludf.TEXTJOIN(" | ",TRUE,IF($B426="","Missing Title",""),IF($C426="","Missing Date",""),IF($D426="","Missing Start",""),IF($E426="","Missing End",""),IF($G426="","Missing Required Attendees",""),IF($T426="","Missing Status",""),IF(AND($D426&lt;&gt;"",$E426&lt;&gt;"",$D426&gt;=$E426),"Start&gt;=End",""),IF(OR($R426="",LEN($R426)&lt;60,ISNUMBER(MATCH(TRIM($R426),StatusList,0))),"Body overwritten/short",""))="","OK",_xludf.TEXTJOIN(" | ",TRUE,IF($B426="","Missing Title",""),IF($C426="","Missing Date",""),IF($D426="","Missing Start",""),IF($E426="","Missing End",""),IF($G426="","Missing Required Attendees",""),IF($T426="","Missing Status",""),IF(AND($D426&lt;&gt;"",$E426&lt;&gt;"",$D426&gt;=$E426),"Start&gt;=End",""),IF(OR($R426="",LEN($R426)&lt;60,ISNUMBER(MATCH(TRIM($R426),StatusList,0))),"Body overwritten/short",""))))</f>
        <v/>
      </c>
    </row>
    <row r="427" ht="12.75" customHeight="1">
      <c r="B427" s="25" t="n"/>
      <c r="C427" s="80" t="n"/>
      <c r="D427" s="77" t="n"/>
      <c r="E427" s="77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16">
        <f>IF($L427&lt;&gt;"","Purpose "&amp;CHAR(10)&amp;$L427&amp;CHAR(10)&amp;CHAR(10),"")&amp;
IF($M427&lt;&gt;"","Stops (in order) "&amp;CHAR(10)&amp;$M427&amp;CHAR(10)&amp;CHAR(10),"")&amp;
IF($N427&lt;&gt;"","To-Do (hard requirements) "&amp;CHAR(10)&amp;$N427&amp;CHAR(10)&amp;CHAR(10),"")&amp;
IF($O427&lt;&gt;"","Suggested Timeline "&amp;CHAR(10)&amp;$O427&amp;CHAR(10)&amp;CHAR(10),"")&amp;
IF($P427&lt;&gt;"","Guardrails "&amp;CHAR(10)&amp;$P427&amp;CHAR(10)&amp;CHAR(10),"")&amp;
IF($Q427&lt;&gt;"","Completion signals "&amp;CHAR(10)&amp;$Q427,"")</f>
        <v/>
      </c>
      <c r="S427" s="25" t="n"/>
      <c r="T427" s="25" t="n"/>
      <c r="U427" s="54" t="n"/>
      <c r="V427" s="54">
        <f>IF($B427="","",IF(_xludf.TEXTJOIN(" | ",TRUE,IF($B427="","Missing Title",""),IF($C427="","Missing Date",""),IF($D427="","Missing Start",""),IF($E427="","Missing End",""),IF($G427="","Missing Required Attendees",""),IF($T427="","Missing Status",""),IF(AND($D427&lt;&gt;"",$E427&lt;&gt;"",$D427&gt;=$E427),"Start&gt;=End",""),IF(OR($R427="",LEN($R427)&lt;60,ISNUMBER(MATCH(TRIM($R427),StatusList,0))),"Body overwritten/short",""))="","OK",_xludf.TEXTJOIN(" | ",TRUE,IF($B427="","Missing Title",""),IF($C427="","Missing Date",""),IF($D427="","Missing Start",""),IF($E427="","Missing End",""),IF($G427="","Missing Required Attendees",""),IF($T427="","Missing Status",""),IF(AND($D427&lt;&gt;"",$E427&lt;&gt;"",$D427&gt;=$E427),"Start&gt;=End",""),IF(OR($R427="",LEN($R427)&lt;60,ISNUMBER(MATCH(TRIM($R427),StatusList,0))),"Body overwritten/short",""))))</f>
        <v/>
      </c>
    </row>
    <row r="428" ht="12.75" customHeight="1">
      <c r="B428" s="25" t="n"/>
      <c r="C428" s="80" t="n"/>
      <c r="D428" s="77" t="n"/>
      <c r="E428" s="77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16">
        <f>IF($L428&lt;&gt;"","Purpose "&amp;CHAR(10)&amp;$L428&amp;CHAR(10)&amp;CHAR(10),"")&amp;
IF($M428&lt;&gt;"","Stops (in order) "&amp;CHAR(10)&amp;$M428&amp;CHAR(10)&amp;CHAR(10),"")&amp;
IF($N428&lt;&gt;"","To-Do (hard requirements) "&amp;CHAR(10)&amp;$N428&amp;CHAR(10)&amp;CHAR(10),"")&amp;
IF($O428&lt;&gt;"","Suggested Timeline "&amp;CHAR(10)&amp;$O428&amp;CHAR(10)&amp;CHAR(10),"")&amp;
IF($P428&lt;&gt;"","Guardrails "&amp;CHAR(10)&amp;$P428&amp;CHAR(10)&amp;CHAR(10),"")&amp;
IF($Q428&lt;&gt;"","Completion signals "&amp;CHAR(10)&amp;$Q428,"")</f>
        <v/>
      </c>
      <c r="S428" s="25" t="n"/>
      <c r="T428" s="25" t="n"/>
      <c r="U428" s="54" t="n"/>
      <c r="V428" s="54">
        <f>IF($B428="","",IF(_xludf.TEXTJOIN(" | ",TRUE,IF($B428="","Missing Title",""),IF($C428="","Missing Date",""),IF($D428="","Missing Start",""),IF($E428="","Missing End",""),IF($G428="","Missing Required Attendees",""),IF($T428="","Missing Status",""),IF(AND($D428&lt;&gt;"",$E428&lt;&gt;"",$D428&gt;=$E428),"Start&gt;=End",""),IF(OR($R428="",LEN($R428)&lt;60,ISNUMBER(MATCH(TRIM($R428),StatusList,0))),"Body overwritten/short",""))="","OK",_xludf.TEXTJOIN(" | ",TRUE,IF($B428="","Missing Title",""),IF($C428="","Missing Date",""),IF($D428="","Missing Start",""),IF($E428="","Missing End",""),IF($G428="","Missing Required Attendees",""),IF($T428="","Missing Status",""),IF(AND($D428&lt;&gt;"",$E428&lt;&gt;"",$D428&gt;=$E428),"Start&gt;=End",""),IF(OR($R428="",LEN($R428)&lt;60,ISNUMBER(MATCH(TRIM($R428),StatusList,0))),"Body overwritten/short",""))))</f>
        <v/>
      </c>
    </row>
    <row r="429" ht="12.75" customHeight="1">
      <c r="B429" s="25" t="n"/>
      <c r="C429" s="80" t="n"/>
      <c r="D429" s="77" t="n"/>
      <c r="E429" s="77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16">
        <f>IF($L429&lt;&gt;"","Purpose "&amp;CHAR(10)&amp;$L429&amp;CHAR(10)&amp;CHAR(10),"")&amp;
IF($M429&lt;&gt;"","Stops (in order) "&amp;CHAR(10)&amp;$M429&amp;CHAR(10)&amp;CHAR(10),"")&amp;
IF($N429&lt;&gt;"","To-Do (hard requirements) "&amp;CHAR(10)&amp;$N429&amp;CHAR(10)&amp;CHAR(10),"")&amp;
IF($O429&lt;&gt;"","Suggested Timeline "&amp;CHAR(10)&amp;$O429&amp;CHAR(10)&amp;CHAR(10),"")&amp;
IF($P429&lt;&gt;"","Guardrails "&amp;CHAR(10)&amp;$P429&amp;CHAR(10)&amp;CHAR(10),"")&amp;
IF($Q429&lt;&gt;"","Completion signals "&amp;CHAR(10)&amp;$Q429,"")</f>
        <v/>
      </c>
      <c r="S429" s="25" t="n"/>
      <c r="T429" s="25" t="n"/>
      <c r="U429" s="54" t="n"/>
      <c r="V429" s="54">
        <f>IF($B429="","",IF(_xludf.TEXTJOIN(" | ",TRUE,IF($B429="","Missing Title",""),IF($C429="","Missing Date",""),IF($D429="","Missing Start",""),IF($E429="","Missing End",""),IF($G429="","Missing Required Attendees",""),IF($T429="","Missing Status",""),IF(AND($D429&lt;&gt;"",$E429&lt;&gt;"",$D429&gt;=$E429),"Start&gt;=End",""),IF(OR($R429="",LEN($R429)&lt;60,ISNUMBER(MATCH(TRIM($R429),StatusList,0))),"Body overwritten/short",""))="","OK",_xludf.TEXTJOIN(" | ",TRUE,IF($B429="","Missing Title",""),IF($C429="","Missing Date",""),IF($D429="","Missing Start",""),IF($E429="","Missing End",""),IF($G429="","Missing Required Attendees",""),IF($T429="","Missing Status",""),IF(AND($D429&lt;&gt;"",$E429&lt;&gt;"",$D429&gt;=$E429),"Start&gt;=End",""),IF(OR($R429="",LEN($R429)&lt;60,ISNUMBER(MATCH(TRIM($R429),StatusList,0))),"Body overwritten/short",""))))</f>
        <v/>
      </c>
    </row>
    <row r="430" ht="12.75" customHeight="1">
      <c r="B430" s="25" t="n"/>
      <c r="C430" s="80" t="n"/>
      <c r="D430" s="77" t="n"/>
      <c r="E430" s="77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16">
        <f>IF($L430&lt;&gt;"","Purpose "&amp;CHAR(10)&amp;$L430&amp;CHAR(10)&amp;CHAR(10),"")&amp;
IF($M430&lt;&gt;"","Stops (in order) "&amp;CHAR(10)&amp;$M430&amp;CHAR(10)&amp;CHAR(10),"")&amp;
IF($N430&lt;&gt;"","To-Do (hard requirements) "&amp;CHAR(10)&amp;$N430&amp;CHAR(10)&amp;CHAR(10),"")&amp;
IF($O430&lt;&gt;"","Suggested Timeline "&amp;CHAR(10)&amp;$O430&amp;CHAR(10)&amp;CHAR(10),"")&amp;
IF($P430&lt;&gt;"","Guardrails "&amp;CHAR(10)&amp;$P430&amp;CHAR(10)&amp;CHAR(10),"")&amp;
IF($Q430&lt;&gt;"","Completion signals "&amp;CHAR(10)&amp;$Q430,"")</f>
        <v/>
      </c>
      <c r="S430" s="25" t="n"/>
      <c r="T430" s="25" t="n"/>
      <c r="U430" s="54" t="n"/>
      <c r="V430" s="54">
        <f>IF($B430="","",IF(_xludf.TEXTJOIN(" | ",TRUE,IF($B430="","Missing Title",""),IF($C430="","Missing Date",""),IF($D430="","Missing Start",""),IF($E430="","Missing End",""),IF($G430="","Missing Required Attendees",""),IF($T430="","Missing Status",""),IF(AND($D430&lt;&gt;"",$E430&lt;&gt;"",$D430&gt;=$E430),"Start&gt;=End",""),IF(OR($R430="",LEN($R430)&lt;60,ISNUMBER(MATCH(TRIM($R430),StatusList,0))),"Body overwritten/short",""))="","OK",_xludf.TEXTJOIN(" | ",TRUE,IF($B430="","Missing Title",""),IF($C430="","Missing Date",""),IF($D430="","Missing Start",""),IF($E430="","Missing End",""),IF($G430="","Missing Required Attendees",""),IF($T430="","Missing Status",""),IF(AND($D430&lt;&gt;"",$E430&lt;&gt;"",$D430&gt;=$E430),"Start&gt;=End",""),IF(OR($R430="",LEN($R430)&lt;60,ISNUMBER(MATCH(TRIM($R430),StatusList,0))),"Body overwritten/short",""))))</f>
        <v/>
      </c>
    </row>
    <row r="431" ht="12.75" customHeight="1">
      <c r="B431" s="25" t="n"/>
      <c r="C431" s="80" t="n"/>
      <c r="D431" s="77" t="n"/>
      <c r="E431" s="77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16">
        <f>IF($L431&lt;&gt;"","Purpose "&amp;CHAR(10)&amp;$L431&amp;CHAR(10)&amp;CHAR(10),"")&amp;
IF($M431&lt;&gt;"","Stops (in order) "&amp;CHAR(10)&amp;$M431&amp;CHAR(10)&amp;CHAR(10),"")&amp;
IF($N431&lt;&gt;"","To-Do (hard requirements) "&amp;CHAR(10)&amp;$N431&amp;CHAR(10)&amp;CHAR(10),"")&amp;
IF($O431&lt;&gt;"","Suggested Timeline "&amp;CHAR(10)&amp;$O431&amp;CHAR(10)&amp;CHAR(10),"")&amp;
IF($P431&lt;&gt;"","Guardrails "&amp;CHAR(10)&amp;$P431&amp;CHAR(10)&amp;CHAR(10),"")&amp;
IF($Q431&lt;&gt;"","Completion signals "&amp;CHAR(10)&amp;$Q431,"")</f>
        <v/>
      </c>
      <c r="S431" s="25" t="n"/>
      <c r="T431" s="25" t="n"/>
      <c r="U431" s="54" t="n"/>
      <c r="V431" s="54">
        <f>IF($B431="","",IF(_xludf.TEXTJOIN(" | ",TRUE,IF($B431="","Missing Title",""),IF($C431="","Missing Date",""),IF($D431="","Missing Start",""),IF($E431="","Missing End",""),IF($G431="","Missing Required Attendees",""),IF($T431="","Missing Status",""),IF(AND($D431&lt;&gt;"",$E431&lt;&gt;"",$D431&gt;=$E431),"Start&gt;=End",""),IF(OR($R431="",LEN($R431)&lt;60,ISNUMBER(MATCH(TRIM($R431),StatusList,0))),"Body overwritten/short",""))="","OK",_xludf.TEXTJOIN(" | ",TRUE,IF($B431="","Missing Title",""),IF($C431="","Missing Date",""),IF($D431="","Missing Start",""),IF($E431="","Missing End",""),IF($G431="","Missing Required Attendees",""),IF($T431="","Missing Status",""),IF(AND($D431&lt;&gt;"",$E431&lt;&gt;"",$D431&gt;=$E431),"Start&gt;=End",""),IF(OR($R431="",LEN($R431)&lt;60,ISNUMBER(MATCH(TRIM($R431),StatusList,0))),"Body overwritten/short",""))))</f>
        <v/>
      </c>
    </row>
    <row r="432" ht="12.75" customHeight="1">
      <c r="B432" s="25" t="n"/>
      <c r="C432" s="80" t="n"/>
      <c r="D432" s="77" t="n"/>
      <c r="E432" s="77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16">
        <f>IF($L432&lt;&gt;"","Purpose "&amp;CHAR(10)&amp;$L432&amp;CHAR(10)&amp;CHAR(10),"")&amp;
IF($M432&lt;&gt;"","Stops (in order) "&amp;CHAR(10)&amp;$M432&amp;CHAR(10)&amp;CHAR(10),"")&amp;
IF($N432&lt;&gt;"","To-Do (hard requirements) "&amp;CHAR(10)&amp;$N432&amp;CHAR(10)&amp;CHAR(10),"")&amp;
IF($O432&lt;&gt;"","Suggested Timeline "&amp;CHAR(10)&amp;$O432&amp;CHAR(10)&amp;CHAR(10),"")&amp;
IF($P432&lt;&gt;"","Guardrails "&amp;CHAR(10)&amp;$P432&amp;CHAR(10)&amp;CHAR(10),"")&amp;
IF($Q432&lt;&gt;"","Completion signals "&amp;CHAR(10)&amp;$Q432,"")</f>
        <v/>
      </c>
      <c r="S432" s="25" t="n"/>
      <c r="T432" s="25" t="n"/>
      <c r="U432" s="54" t="n"/>
      <c r="V432" s="54">
        <f>IF($B432="","",IF(_xludf.TEXTJOIN(" | ",TRUE,IF($B432="","Missing Title",""),IF($C432="","Missing Date",""),IF($D432="","Missing Start",""),IF($E432="","Missing End",""),IF($G432="","Missing Required Attendees",""),IF($T432="","Missing Status",""),IF(AND($D432&lt;&gt;"",$E432&lt;&gt;"",$D432&gt;=$E432),"Start&gt;=End",""),IF(OR($R432="",LEN($R432)&lt;60,ISNUMBER(MATCH(TRIM($R432),StatusList,0))),"Body overwritten/short",""))="","OK",_xludf.TEXTJOIN(" | ",TRUE,IF($B432="","Missing Title",""),IF($C432="","Missing Date",""),IF($D432="","Missing Start",""),IF($E432="","Missing End",""),IF($G432="","Missing Required Attendees",""),IF($T432="","Missing Status",""),IF(AND($D432&lt;&gt;"",$E432&lt;&gt;"",$D432&gt;=$E432),"Start&gt;=End",""),IF(OR($R432="",LEN($R432)&lt;60,ISNUMBER(MATCH(TRIM($R432),StatusList,0))),"Body overwritten/short",""))))</f>
        <v/>
      </c>
    </row>
    <row r="433" ht="12.75" customHeight="1">
      <c r="B433" s="25" t="n"/>
      <c r="C433" s="80" t="n"/>
      <c r="D433" s="77" t="n"/>
      <c r="E433" s="77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16">
        <f>IF($L433&lt;&gt;"","Purpose "&amp;CHAR(10)&amp;$L433&amp;CHAR(10)&amp;CHAR(10),"")&amp;
IF($M433&lt;&gt;"","Stops (in order) "&amp;CHAR(10)&amp;$M433&amp;CHAR(10)&amp;CHAR(10),"")&amp;
IF($N433&lt;&gt;"","To-Do (hard requirements) "&amp;CHAR(10)&amp;$N433&amp;CHAR(10)&amp;CHAR(10),"")&amp;
IF($O433&lt;&gt;"","Suggested Timeline "&amp;CHAR(10)&amp;$O433&amp;CHAR(10)&amp;CHAR(10),"")&amp;
IF($P433&lt;&gt;"","Guardrails "&amp;CHAR(10)&amp;$P433&amp;CHAR(10)&amp;CHAR(10),"")&amp;
IF($Q433&lt;&gt;"","Completion signals "&amp;CHAR(10)&amp;$Q433,"")</f>
        <v/>
      </c>
      <c r="S433" s="25" t="n"/>
      <c r="T433" s="25" t="n"/>
      <c r="U433" s="54" t="n"/>
      <c r="V433" s="54">
        <f>IF($B433="","",IF(_xludf.TEXTJOIN(" | ",TRUE,IF($B433="","Missing Title",""),IF($C433="","Missing Date",""),IF($D433="","Missing Start",""),IF($E433="","Missing End",""),IF($G433="","Missing Required Attendees",""),IF($T433="","Missing Status",""),IF(AND($D433&lt;&gt;"",$E433&lt;&gt;"",$D433&gt;=$E433),"Start&gt;=End",""),IF(OR($R433="",LEN($R433)&lt;60,ISNUMBER(MATCH(TRIM($R433),StatusList,0))),"Body overwritten/short",""))="","OK",_xludf.TEXTJOIN(" | ",TRUE,IF($B433="","Missing Title",""),IF($C433="","Missing Date",""),IF($D433="","Missing Start",""),IF($E433="","Missing End",""),IF($G433="","Missing Required Attendees",""),IF($T433="","Missing Status",""),IF(AND($D433&lt;&gt;"",$E433&lt;&gt;"",$D433&gt;=$E433),"Start&gt;=End",""),IF(OR($R433="",LEN($R433)&lt;60,ISNUMBER(MATCH(TRIM($R433),StatusList,0))),"Body overwritten/short",""))))</f>
        <v/>
      </c>
    </row>
    <row r="434" ht="12.75" customHeight="1">
      <c r="B434" s="25" t="n"/>
      <c r="C434" s="80" t="n"/>
      <c r="D434" s="77" t="n"/>
      <c r="E434" s="77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16">
        <f>IF($L434&lt;&gt;"","Purpose "&amp;CHAR(10)&amp;$L434&amp;CHAR(10)&amp;CHAR(10),"")&amp;
IF($M434&lt;&gt;"","Stops (in order) "&amp;CHAR(10)&amp;$M434&amp;CHAR(10)&amp;CHAR(10),"")&amp;
IF($N434&lt;&gt;"","To-Do (hard requirements) "&amp;CHAR(10)&amp;$N434&amp;CHAR(10)&amp;CHAR(10),"")&amp;
IF($O434&lt;&gt;"","Suggested Timeline "&amp;CHAR(10)&amp;$O434&amp;CHAR(10)&amp;CHAR(10),"")&amp;
IF($P434&lt;&gt;"","Guardrails "&amp;CHAR(10)&amp;$P434&amp;CHAR(10)&amp;CHAR(10),"")&amp;
IF($Q434&lt;&gt;"","Completion signals "&amp;CHAR(10)&amp;$Q434,"")</f>
        <v/>
      </c>
      <c r="S434" s="25" t="n"/>
      <c r="T434" s="25" t="n"/>
      <c r="U434" s="54" t="n"/>
      <c r="V434" s="54">
        <f>IF($B434="","",IF(_xludf.TEXTJOIN(" | ",TRUE,IF($B434="","Missing Title",""),IF($C434="","Missing Date",""),IF($D434="","Missing Start",""),IF($E434="","Missing End",""),IF($G434="","Missing Required Attendees",""),IF($T434="","Missing Status",""),IF(AND($D434&lt;&gt;"",$E434&lt;&gt;"",$D434&gt;=$E434),"Start&gt;=End",""),IF(OR($R434="",LEN($R434)&lt;60,ISNUMBER(MATCH(TRIM($R434),StatusList,0))),"Body overwritten/short",""))="","OK",_xludf.TEXTJOIN(" | ",TRUE,IF($B434="","Missing Title",""),IF($C434="","Missing Date",""),IF($D434="","Missing Start",""),IF($E434="","Missing End",""),IF($G434="","Missing Required Attendees",""),IF($T434="","Missing Status",""),IF(AND($D434&lt;&gt;"",$E434&lt;&gt;"",$D434&gt;=$E434),"Start&gt;=End",""),IF(OR($R434="",LEN($R434)&lt;60,ISNUMBER(MATCH(TRIM($R434),StatusList,0))),"Body overwritten/short",""))))</f>
        <v/>
      </c>
    </row>
    <row r="435" ht="12.75" customHeight="1">
      <c r="B435" s="25" t="n"/>
      <c r="C435" s="80" t="n"/>
      <c r="D435" s="77" t="n"/>
      <c r="E435" s="77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16">
        <f>IF($L435&lt;&gt;"","Purpose "&amp;CHAR(10)&amp;$L435&amp;CHAR(10)&amp;CHAR(10),"")&amp;
IF($M435&lt;&gt;"","Stops (in order) "&amp;CHAR(10)&amp;$M435&amp;CHAR(10)&amp;CHAR(10),"")&amp;
IF($N435&lt;&gt;"","To-Do (hard requirements) "&amp;CHAR(10)&amp;$N435&amp;CHAR(10)&amp;CHAR(10),"")&amp;
IF($O435&lt;&gt;"","Suggested Timeline "&amp;CHAR(10)&amp;$O435&amp;CHAR(10)&amp;CHAR(10),"")&amp;
IF($P435&lt;&gt;"","Guardrails "&amp;CHAR(10)&amp;$P435&amp;CHAR(10)&amp;CHAR(10),"")&amp;
IF($Q435&lt;&gt;"","Completion signals "&amp;CHAR(10)&amp;$Q435,"")</f>
        <v/>
      </c>
      <c r="S435" s="25" t="n"/>
      <c r="T435" s="25" t="n"/>
      <c r="U435" s="54" t="n"/>
      <c r="V435" s="54">
        <f>IF($B435="","",IF(_xludf.TEXTJOIN(" | ",TRUE,IF($B435="","Missing Title",""),IF($C435="","Missing Date",""),IF($D435="","Missing Start",""),IF($E435="","Missing End",""),IF($G435="","Missing Required Attendees",""),IF($T435="","Missing Status",""),IF(AND($D435&lt;&gt;"",$E435&lt;&gt;"",$D435&gt;=$E435),"Start&gt;=End",""),IF(OR($R435="",LEN($R435)&lt;60,ISNUMBER(MATCH(TRIM($R435),StatusList,0))),"Body overwritten/short",""))="","OK",_xludf.TEXTJOIN(" | ",TRUE,IF($B435="","Missing Title",""),IF($C435="","Missing Date",""),IF($D435="","Missing Start",""),IF($E435="","Missing End",""),IF($G435="","Missing Required Attendees",""),IF($T435="","Missing Status",""),IF(AND($D435&lt;&gt;"",$E435&lt;&gt;"",$D435&gt;=$E435),"Start&gt;=End",""),IF(OR($R435="",LEN($R435)&lt;60,ISNUMBER(MATCH(TRIM($R435),StatusList,0))),"Body overwritten/short",""))))</f>
        <v/>
      </c>
    </row>
    <row r="436" ht="12.75" customHeight="1">
      <c r="B436" s="25" t="n"/>
      <c r="C436" s="80" t="n"/>
      <c r="D436" s="77" t="n"/>
      <c r="E436" s="77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16">
        <f>IF($L436&lt;&gt;"","Purpose "&amp;CHAR(10)&amp;$L436&amp;CHAR(10)&amp;CHAR(10),"")&amp;
IF($M436&lt;&gt;"","Stops (in order) "&amp;CHAR(10)&amp;$M436&amp;CHAR(10)&amp;CHAR(10),"")&amp;
IF($N436&lt;&gt;"","To-Do (hard requirements) "&amp;CHAR(10)&amp;$N436&amp;CHAR(10)&amp;CHAR(10),"")&amp;
IF($O436&lt;&gt;"","Suggested Timeline "&amp;CHAR(10)&amp;$O436&amp;CHAR(10)&amp;CHAR(10),"")&amp;
IF($P436&lt;&gt;"","Guardrails "&amp;CHAR(10)&amp;$P436&amp;CHAR(10)&amp;CHAR(10),"")&amp;
IF($Q436&lt;&gt;"","Completion signals "&amp;CHAR(10)&amp;$Q436,"")</f>
        <v/>
      </c>
      <c r="S436" s="25" t="n"/>
      <c r="T436" s="25" t="n"/>
      <c r="U436" s="54" t="n"/>
      <c r="V436" s="54">
        <f>IF($B436="","",IF(_xludf.TEXTJOIN(" | ",TRUE,IF($B436="","Missing Title",""),IF($C436="","Missing Date",""),IF($D436="","Missing Start",""),IF($E436="","Missing End",""),IF($G436="","Missing Required Attendees",""),IF($T436="","Missing Status",""),IF(AND($D436&lt;&gt;"",$E436&lt;&gt;"",$D436&gt;=$E436),"Start&gt;=End",""),IF(OR($R436="",LEN($R436)&lt;60,ISNUMBER(MATCH(TRIM($R436),StatusList,0))),"Body overwritten/short",""))="","OK",_xludf.TEXTJOIN(" | ",TRUE,IF($B436="","Missing Title",""),IF($C436="","Missing Date",""),IF($D436="","Missing Start",""),IF($E436="","Missing End",""),IF($G436="","Missing Required Attendees",""),IF($T436="","Missing Status",""),IF(AND($D436&lt;&gt;"",$E436&lt;&gt;"",$D436&gt;=$E436),"Start&gt;=End",""),IF(OR($R436="",LEN($R436)&lt;60,ISNUMBER(MATCH(TRIM($R436),StatusList,0))),"Body overwritten/short",""))))</f>
        <v/>
      </c>
    </row>
    <row r="437" ht="12.75" customHeight="1">
      <c r="B437" s="25" t="n"/>
      <c r="C437" s="80" t="n"/>
      <c r="D437" s="77" t="n"/>
      <c r="E437" s="77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16">
        <f>IF($L437&lt;&gt;"","Purpose "&amp;CHAR(10)&amp;$L437&amp;CHAR(10)&amp;CHAR(10),"")&amp;
IF($M437&lt;&gt;"","Stops (in order) "&amp;CHAR(10)&amp;$M437&amp;CHAR(10)&amp;CHAR(10),"")&amp;
IF($N437&lt;&gt;"","To-Do (hard requirements) "&amp;CHAR(10)&amp;$N437&amp;CHAR(10)&amp;CHAR(10),"")&amp;
IF($O437&lt;&gt;"","Suggested Timeline "&amp;CHAR(10)&amp;$O437&amp;CHAR(10)&amp;CHAR(10),"")&amp;
IF($P437&lt;&gt;"","Guardrails "&amp;CHAR(10)&amp;$P437&amp;CHAR(10)&amp;CHAR(10),"")&amp;
IF($Q437&lt;&gt;"","Completion signals "&amp;CHAR(10)&amp;$Q437,"")</f>
        <v/>
      </c>
      <c r="S437" s="25" t="n"/>
      <c r="T437" s="25" t="n"/>
      <c r="U437" s="54" t="n"/>
      <c r="V437" s="54">
        <f>IF($B437="","",IF(_xludf.TEXTJOIN(" | ",TRUE,IF($B437="","Missing Title",""),IF($C437="","Missing Date",""),IF($D437="","Missing Start",""),IF($E437="","Missing End",""),IF($G437="","Missing Required Attendees",""),IF($T437="","Missing Status",""),IF(AND($D437&lt;&gt;"",$E437&lt;&gt;"",$D437&gt;=$E437),"Start&gt;=End",""),IF(OR($R437="",LEN($R437)&lt;60,ISNUMBER(MATCH(TRIM($R437),StatusList,0))),"Body overwritten/short",""))="","OK",_xludf.TEXTJOIN(" | ",TRUE,IF($B437="","Missing Title",""),IF($C437="","Missing Date",""),IF($D437="","Missing Start",""),IF($E437="","Missing End",""),IF($G437="","Missing Required Attendees",""),IF($T437="","Missing Status",""),IF(AND($D437&lt;&gt;"",$E437&lt;&gt;"",$D437&gt;=$E437),"Start&gt;=End",""),IF(OR($R437="",LEN($R437)&lt;60,ISNUMBER(MATCH(TRIM($R437),StatusList,0))),"Body overwritten/short",""))))</f>
        <v/>
      </c>
    </row>
    <row r="438" ht="12.75" customHeight="1">
      <c r="B438" s="25" t="n"/>
      <c r="C438" s="80" t="n"/>
      <c r="D438" s="77" t="n"/>
      <c r="E438" s="77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16">
        <f>IF($L438&lt;&gt;"","Purpose "&amp;CHAR(10)&amp;$L438&amp;CHAR(10)&amp;CHAR(10),"")&amp;
IF($M438&lt;&gt;"","Stops (in order) "&amp;CHAR(10)&amp;$M438&amp;CHAR(10)&amp;CHAR(10),"")&amp;
IF($N438&lt;&gt;"","To-Do (hard requirements) "&amp;CHAR(10)&amp;$N438&amp;CHAR(10)&amp;CHAR(10),"")&amp;
IF($O438&lt;&gt;"","Suggested Timeline "&amp;CHAR(10)&amp;$O438&amp;CHAR(10)&amp;CHAR(10),"")&amp;
IF($P438&lt;&gt;"","Guardrails "&amp;CHAR(10)&amp;$P438&amp;CHAR(10)&amp;CHAR(10),"")&amp;
IF($Q438&lt;&gt;"","Completion signals "&amp;CHAR(10)&amp;$Q438,"")</f>
        <v/>
      </c>
      <c r="S438" s="25" t="n"/>
      <c r="T438" s="25" t="n"/>
      <c r="U438" s="54" t="n"/>
      <c r="V438" s="54">
        <f>IF($B438="","",IF(_xludf.TEXTJOIN(" | ",TRUE,IF($B438="","Missing Title",""),IF($C438="","Missing Date",""),IF($D438="","Missing Start",""),IF($E438="","Missing End",""),IF($G438="","Missing Required Attendees",""),IF($T438="","Missing Status",""),IF(AND($D438&lt;&gt;"",$E438&lt;&gt;"",$D438&gt;=$E438),"Start&gt;=End",""),IF(OR($R438="",LEN($R438)&lt;60,ISNUMBER(MATCH(TRIM($R438),StatusList,0))),"Body overwritten/short",""))="","OK",_xludf.TEXTJOIN(" | ",TRUE,IF($B438="","Missing Title",""),IF($C438="","Missing Date",""),IF($D438="","Missing Start",""),IF($E438="","Missing End",""),IF($G438="","Missing Required Attendees",""),IF($T438="","Missing Status",""),IF(AND($D438&lt;&gt;"",$E438&lt;&gt;"",$D438&gt;=$E438),"Start&gt;=End",""),IF(OR($R438="",LEN($R438)&lt;60,ISNUMBER(MATCH(TRIM($R438),StatusList,0))),"Body overwritten/short",""))))</f>
        <v/>
      </c>
    </row>
    <row r="439" ht="12.75" customHeight="1">
      <c r="B439" s="25" t="n"/>
      <c r="C439" s="80" t="n"/>
      <c r="D439" s="77" t="n"/>
      <c r="E439" s="77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16">
        <f>IF($L439&lt;&gt;"","Purpose "&amp;CHAR(10)&amp;$L439&amp;CHAR(10)&amp;CHAR(10),"")&amp;
IF($M439&lt;&gt;"","Stops (in order) "&amp;CHAR(10)&amp;$M439&amp;CHAR(10)&amp;CHAR(10),"")&amp;
IF($N439&lt;&gt;"","To-Do (hard requirements) "&amp;CHAR(10)&amp;$N439&amp;CHAR(10)&amp;CHAR(10),"")&amp;
IF($O439&lt;&gt;"","Suggested Timeline "&amp;CHAR(10)&amp;$O439&amp;CHAR(10)&amp;CHAR(10),"")&amp;
IF($P439&lt;&gt;"","Guardrails "&amp;CHAR(10)&amp;$P439&amp;CHAR(10)&amp;CHAR(10),"")&amp;
IF($Q439&lt;&gt;"","Completion signals "&amp;CHAR(10)&amp;$Q439,"")</f>
        <v/>
      </c>
      <c r="S439" s="25" t="n"/>
      <c r="T439" s="25" t="n"/>
      <c r="U439" s="54" t="n"/>
      <c r="V439" s="54">
        <f>IF($B439="","",IF(_xludf.TEXTJOIN(" | ",TRUE,IF($B439="","Missing Title",""),IF($C439="","Missing Date",""),IF($D439="","Missing Start",""),IF($E439="","Missing End",""),IF($G439="","Missing Required Attendees",""),IF($T439="","Missing Status",""),IF(AND($D439&lt;&gt;"",$E439&lt;&gt;"",$D439&gt;=$E439),"Start&gt;=End",""),IF(OR($R439="",LEN($R439)&lt;60,ISNUMBER(MATCH(TRIM($R439),StatusList,0))),"Body overwritten/short",""))="","OK",_xludf.TEXTJOIN(" | ",TRUE,IF($B439="","Missing Title",""),IF($C439="","Missing Date",""),IF($D439="","Missing Start",""),IF($E439="","Missing End",""),IF($G439="","Missing Required Attendees",""),IF($T439="","Missing Status",""),IF(AND($D439&lt;&gt;"",$E439&lt;&gt;"",$D439&gt;=$E439),"Start&gt;=End",""),IF(OR($R439="",LEN($R439)&lt;60,ISNUMBER(MATCH(TRIM($R439),StatusList,0))),"Body overwritten/short",""))))</f>
        <v/>
      </c>
    </row>
    <row r="440" ht="12.75" customHeight="1">
      <c r="B440" s="25" t="n"/>
      <c r="C440" s="80" t="n"/>
      <c r="D440" s="77" t="n"/>
      <c r="E440" s="77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16">
        <f>IF($L440&lt;&gt;"","Purpose "&amp;CHAR(10)&amp;$L440&amp;CHAR(10)&amp;CHAR(10),"")&amp;
IF($M440&lt;&gt;"","Stops (in order) "&amp;CHAR(10)&amp;$M440&amp;CHAR(10)&amp;CHAR(10),"")&amp;
IF($N440&lt;&gt;"","To-Do (hard requirements) "&amp;CHAR(10)&amp;$N440&amp;CHAR(10)&amp;CHAR(10),"")&amp;
IF($O440&lt;&gt;"","Suggested Timeline "&amp;CHAR(10)&amp;$O440&amp;CHAR(10)&amp;CHAR(10),"")&amp;
IF($P440&lt;&gt;"","Guardrails "&amp;CHAR(10)&amp;$P440&amp;CHAR(10)&amp;CHAR(10),"")&amp;
IF($Q440&lt;&gt;"","Completion signals "&amp;CHAR(10)&amp;$Q440,"")</f>
        <v/>
      </c>
      <c r="S440" s="25" t="n"/>
      <c r="T440" s="25" t="n"/>
      <c r="U440" s="54" t="n"/>
      <c r="V440" s="54">
        <f>IF($B440="","",IF(_xludf.TEXTJOIN(" | ",TRUE,IF($B440="","Missing Title",""),IF($C440="","Missing Date",""),IF($D440="","Missing Start",""),IF($E440="","Missing End",""),IF($G440="","Missing Required Attendees",""),IF($T440="","Missing Status",""),IF(AND($D440&lt;&gt;"",$E440&lt;&gt;"",$D440&gt;=$E440),"Start&gt;=End",""),IF(OR($R440="",LEN($R440)&lt;60,ISNUMBER(MATCH(TRIM($R440),StatusList,0))),"Body overwritten/short",""))="","OK",_xludf.TEXTJOIN(" | ",TRUE,IF($B440="","Missing Title",""),IF($C440="","Missing Date",""),IF($D440="","Missing Start",""),IF($E440="","Missing End",""),IF($G440="","Missing Required Attendees",""),IF($T440="","Missing Status",""),IF(AND($D440&lt;&gt;"",$E440&lt;&gt;"",$D440&gt;=$E440),"Start&gt;=End",""),IF(OR($R440="",LEN($R440)&lt;60,ISNUMBER(MATCH(TRIM($R440),StatusList,0))),"Body overwritten/short",""))))</f>
        <v/>
      </c>
    </row>
    <row r="441" ht="12.75" customHeight="1">
      <c r="B441" s="25" t="n"/>
      <c r="C441" s="80" t="n"/>
      <c r="D441" s="77" t="n"/>
      <c r="E441" s="77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16">
        <f>IF($L441&lt;&gt;"","Purpose "&amp;CHAR(10)&amp;$L441&amp;CHAR(10)&amp;CHAR(10),"")&amp;
IF($M441&lt;&gt;"","Stops (in order) "&amp;CHAR(10)&amp;$M441&amp;CHAR(10)&amp;CHAR(10),"")&amp;
IF($N441&lt;&gt;"","To-Do (hard requirements) "&amp;CHAR(10)&amp;$N441&amp;CHAR(10)&amp;CHAR(10),"")&amp;
IF($O441&lt;&gt;"","Suggested Timeline "&amp;CHAR(10)&amp;$O441&amp;CHAR(10)&amp;CHAR(10),"")&amp;
IF($P441&lt;&gt;"","Guardrails "&amp;CHAR(10)&amp;$P441&amp;CHAR(10)&amp;CHAR(10),"")&amp;
IF($Q441&lt;&gt;"","Completion signals "&amp;CHAR(10)&amp;$Q441,"")</f>
        <v/>
      </c>
      <c r="S441" s="25" t="n"/>
      <c r="T441" s="25" t="n"/>
      <c r="U441" s="54" t="n"/>
      <c r="V441" s="54">
        <f>IF($B441="","",IF(_xludf.TEXTJOIN(" | ",TRUE,IF($B441="","Missing Title",""),IF($C441="","Missing Date",""),IF($D441="","Missing Start",""),IF($E441="","Missing End",""),IF($G441="","Missing Required Attendees",""),IF($T441="","Missing Status",""),IF(AND($D441&lt;&gt;"",$E441&lt;&gt;"",$D441&gt;=$E441),"Start&gt;=End",""),IF(OR($R441="",LEN($R441)&lt;60,ISNUMBER(MATCH(TRIM($R441),StatusList,0))),"Body overwritten/short",""))="","OK",_xludf.TEXTJOIN(" | ",TRUE,IF($B441="","Missing Title",""),IF($C441="","Missing Date",""),IF($D441="","Missing Start",""),IF($E441="","Missing End",""),IF($G441="","Missing Required Attendees",""),IF($T441="","Missing Status",""),IF(AND($D441&lt;&gt;"",$E441&lt;&gt;"",$D441&gt;=$E441),"Start&gt;=End",""),IF(OR($R441="",LEN($R441)&lt;60,ISNUMBER(MATCH(TRIM($R441),StatusList,0))),"Body overwritten/short",""))))</f>
        <v/>
      </c>
    </row>
    <row r="442" ht="12.75" customHeight="1">
      <c r="B442" s="25" t="n"/>
      <c r="C442" s="80" t="n"/>
      <c r="D442" s="77" t="n"/>
      <c r="E442" s="77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16">
        <f>IF($L442&lt;&gt;"","Purpose "&amp;CHAR(10)&amp;$L442&amp;CHAR(10)&amp;CHAR(10),"")&amp;
IF($M442&lt;&gt;"","Stops (in order) "&amp;CHAR(10)&amp;$M442&amp;CHAR(10)&amp;CHAR(10),"")&amp;
IF($N442&lt;&gt;"","To-Do (hard requirements) "&amp;CHAR(10)&amp;$N442&amp;CHAR(10)&amp;CHAR(10),"")&amp;
IF($O442&lt;&gt;"","Suggested Timeline "&amp;CHAR(10)&amp;$O442&amp;CHAR(10)&amp;CHAR(10),"")&amp;
IF($P442&lt;&gt;"","Guardrails "&amp;CHAR(10)&amp;$P442&amp;CHAR(10)&amp;CHAR(10),"")&amp;
IF($Q442&lt;&gt;"","Completion signals "&amp;CHAR(10)&amp;$Q442,"")</f>
        <v/>
      </c>
      <c r="S442" s="25" t="n"/>
      <c r="T442" s="25" t="n"/>
      <c r="U442" s="54" t="n"/>
      <c r="V442" s="54">
        <f>IF($B442="","",IF(_xludf.TEXTJOIN(" | ",TRUE,IF($B442="","Missing Title",""),IF($C442="","Missing Date",""),IF($D442="","Missing Start",""),IF($E442="","Missing End",""),IF($G442="","Missing Required Attendees",""),IF($T442="","Missing Status",""),IF(AND($D442&lt;&gt;"",$E442&lt;&gt;"",$D442&gt;=$E442),"Start&gt;=End",""),IF(OR($R442="",LEN($R442)&lt;60,ISNUMBER(MATCH(TRIM($R442),StatusList,0))),"Body overwritten/short",""))="","OK",_xludf.TEXTJOIN(" | ",TRUE,IF($B442="","Missing Title",""),IF($C442="","Missing Date",""),IF($D442="","Missing Start",""),IF($E442="","Missing End",""),IF($G442="","Missing Required Attendees",""),IF($T442="","Missing Status",""),IF(AND($D442&lt;&gt;"",$E442&lt;&gt;"",$D442&gt;=$E442),"Start&gt;=End",""),IF(OR($R442="",LEN($R442)&lt;60,ISNUMBER(MATCH(TRIM($R442),StatusList,0))),"Body overwritten/short",""))))</f>
        <v/>
      </c>
    </row>
    <row r="443" ht="12.75" customHeight="1">
      <c r="B443" s="25" t="n"/>
      <c r="C443" s="80" t="n"/>
      <c r="D443" s="77" t="n"/>
      <c r="E443" s="77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16">
        <f>IF($L443&lt;&gt;"","Purpose "&amp;CHAR(10)&amp;$L443&amp;CHAR(10)&amp;CHAR(10),"")&amp;
IF($M443&lt;&gt;"","Stops (in order) "&amp;CHAR(10)&amp;$M443&amp;CHAR(10)&amp;CHAR(10),"")&amp;
IF($N443&lt;&gt;"","To-Do (hard requirements) "&amp;CHAR(10)&amp;$N443&amp;CHAR(10)&amp;CHAR(10),"")&amp;
IF($O443&lt;&gt;"","Suggested Timeline "&amp;CHAR(10)&amp;$O443&amp;CHAR(10)&amp;CHAR(10),"")&amp;
IF($P443&lt;&gt;"","Guardrails "&amp;CHAR(10)&amp;$P443&amp;CHAR(10)&amp;CHAR(10),"")&amp;
IF($Q443&lt;&gt;"","Completion signals "&amp;CHAR(10)&amp;$Q443,"")</f>
        <v/>
      </c>
      <c r="S443" s="25" t="n"/>
      <c r="T443" s="25" t="n"/>
      <c r="U443" s="54" t="n"/>
      <c r="V443" s="54">
        <f>IF($B443="","",IF(_xludf.TEXTJOIN(" | ",TRUE,IF($B443="","Missing Title",""),IF($C443="","Missing Date",""),IF($D443="","Missing Start",""),IF($E443="","Missing End",""),IF($G443="","Missing Required Attendees",""),IF($T443="","Missing Status",""),IF(AND($D443&lt;&gt;"",$E443&lt;&gt;"",$D443&gt;=$E443),"Start&gt;=End",""),IF(OR($R443="",LEN($R443)&lt;60,ISNUMBER(MATCH(TRIM($R443),StatusList,0))),"Body overwritten/short",""))="","OK",_xludf.TEXTJOIN(" | ",TRUE,IF($B443="","Missing Title",""),IF($C443="","Missing Date",""),IF($D443="","Missing Start",""),IF($E443="","Missing End",""),IF($G443="","Missing Required Attendees",""),IF($T443="","Missing Status",""),IF(AND($D443&lt;&gt;"",$E443&lt;&gt;"",$D443&gt;=$E443),"Start&gt;=End",""),IF(OR($R443="",LEN($R443)&lt;60,ISNUMBER(MATCH(TRIM($R443),StatusList,0))),"Body overwritten/short",""))))</f>
        <v/>
      </c>
    </row>
    <row r="444" ht="12.75" customHeight="1">
      <c r="B444" s="25" t="n"/>
      <c r="C444" s="80" t="n"/>
      <c r="D444" s="77" t="n"/>
      <c r="E444" s="77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16">
        <f>IF($L444&lt;&gt;"","Purpose "&amp;CHAR(10)&amp;$L444&amp;CHAR(10)&amp;CHAR(10),"")&amp;
IF($M444&lt;&gt;"","Stops (in order) "&amp;CHAR(10)&amp;$M444&amp;CHAR(10)&amp;CHAR(10),"")&amp;
IF($N444&lt;&gt;"","To-Do (hard requirements) "&amp;CHAR(10)&amp;$N444&amp;CHAR(10)&amp;CHAR(10),"")&amp;
IF($O444&lt;&gt;"","Suggested Timeline "&amp;CHAR(10)&amp;$O444&amp;CHAR(10)&amp;CHAR(10),"")&amp;
IF($P444&lt;&gt;"","Guardrails "&amp;CHAR(10)&amp;$P444&amp;CHAR(10)&amp;CHAR(10),"")&amp;
IF($Q444&lt;&gt;"","Completion signals "&amp;CHAR(10)&amp;$Q444,"")</f>
        <v/>
      </c>
      <c r="S444" s="25" t="n"/>
      <c r="T444" s="25" t="n"/>
      <c r="U444" s="54" t="n"/>
      <c r="V444" s="54">
        <f>IF($B444="","",IF(_xludf.TEXTJOIN(" | ",TRUE,IF($B444="","Missing Title",""),IF($C444="","Missing Date",""),IF($D444="","Missing Start",""),IF($E444="","Missing End",""),IF($G444="","Missing Required Attendees",""),IF($T444="","Missing Status",""),IF(AND($D444&lt;&gt;"",$E444&lt;&gt;"",$D444&gt;=$E444),"Start&gt;=End",""),IF(OR($R444="",LEN($R444)&lt;60,ISNUMBER(MATCH(TRIM($R444),StatusList,0))),"Body overwritten/short",""))="","OK",_xludf.TEXTJOIN(" | ",TRUE,IF($B444="","Missing Title",""),IF($C444="","Missing Date",""),IF($D444="","Missing Start",""),IF($E444="","Missing End",""),IF($G444="","Missing Required Attendees",""),IF($T444="","Missing Status",""),IF(AND($D444&lt;&gt;"",$E444&lt;&gt;"",$D444&gt;=$E444),"Start&gt;=End",""),IF(OR($R444="",LEN($R444)&lt;60,ISNUMBER(MATCH(TRIM($R444),StatusList,0))),"Body overwritten/short",""))))</f>
        <v/>
      </c>
    </row>
    <row r="445" ht="12.75" customHeight="1">
      <c r="B445" s="25" t="n"/>
      <c r="C445" s="80" t="n"/>
      <c r="D445" s="77" t="n"/>
      <c r="E445" s="77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16">
        <f>IF($L445&lt;&gt;"","Purpose "&amp;CHAR(10)&amp;$L445&amp;CHAR(10)&amp;CHAR(10),"")&amp;
IF($M445&lt;&gt;"","Stops (in order) "&amp;CHAR(10)&amp;$M445&amp;CHAR(10)&amp;CHAR(10),"")&amp;
IF($N445&lt;&gt;"","To-Do (hard requirements) "&amp;CHAR(10)&amp;$N445&amp;CHAR(10)&amp;CHAR(10),"")&amp;
IF($O445&lt;&gt;"","Suggested Timeline "&amp;CHAR(10)&amp;$O445&amp;CHAR(10)&amp;CHAR(10),"")&amp;
IF($P445&lt;&gt;"","Guardrails "&amp;CHAR(10)&amp;$P445&amp;CHAR(10)&amp;CHAR(10),"")&amp;
IF($Q445&lt;&gt;"","Completion signals "&amp;CHAR(10)&amp;$Q445,"")</f>
        <v/>
      </c>
      <c r="S445" s="25" t="n"/>
      <c r="T445" s="25" t="n"/>
      <c r="U445" s="54" t="n"/>
      <c r="V445" s="54">
        <f>IF($B445="","",IF(_xludf.TEXTJOIN(" | ",TRUE,IF($B445="","Missing Title",""),IF($C445="","Missing Date",""),IF($D445="","Missing Start",""),IF($E445="","Missing End",""),IF($G445="","Missing Required Attendees",""),IF($T445="","Missing Status",""),IF(AND($D445&lt;&gt;"",$E445&lt;&gt;"",$D445&gt;=$E445),"Start&gt;=End",""),IF(OR($R445="",LEN($R445)&lt;60,ISNUMBER(MATCH(TRIM($R445),StatusList,0))),"Body overwritten/short",""))="","OK",_xludf.TEXTJOIN(" | ",TRUE,IF($B445="","Missing Title",""),IF($C445="","Missing Date",""),IF($D445="","Missing Start",""),IF($E445="","Missing End",""),IF($G445="","Missing Required Attendees",""),IF($T445="","Missing Status",""),IF(AND($D445&lt;&gt;"",$E445&lt;&gt;"",$D445&gt;=$E445),"Start&gt;=End",""),IF(OR($R445="",LEN($R445)&lt;60,ISNUMBER(MATCH(TRIM($R445),StatusList,0))),"Body overwritten/short",""))))</f>
        <v/>
      </c>
    </row>
    <row r="446" ht="12.75" customHeight="1">
      <c r="B446" s="25" t="n"/>
      <c r="C446" s="80" t="n"/>
      <c r="D446" s="77" t="n"/>
      <c r="E446" s="77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16">
        <f>IF($L446&lt;&gt;"","Purpose "&amp;CHAR(10)&amp;$L446&amp;CHAR(10)&amp;CHAR(10),"")&amp;
IF($M446&lt;&gt;"","Stops (in order) "&amp;CHAR(10)&amp;$M446&amp;CHAR(10)&amp;CHAR(10),"")&amp;
IF($N446&lt;&gt;"","To-Do (hard requirements) "&amp;CHAR(10)&amp;$N446&amp;CHAR(10)&amp;CHAR(10),"")&amp;
IF($O446&lt;&gt;"","Suggested Timeline "&amp;CHAR(10)&amp;$O446&amp;CHAR(10)&amp;CHAR(10),"")&amp;
IF($P446&lt;&gt;"","Guardrails "&amp;CHAR(10)&amp;$P446&amp;CHAR(10)&amp;CHAR(10),"")&amp;
IF($Q446&lt;&gt;"","Completion signals "&amp;CHAR(10)&amp;$Q446,"")</f>
        <v/>
      </c>
      <c r="S446" s="25" t="n"/>
      <c r="T446" s="25" t="n"/>
      <c r="U446" s="54" t="n"/>
      <c r="V446" s="54">
        <f>IF($B446="","",IF(_xludf.TEXTJOIN(" | ",TRUE,IF($B446="","Missing Title",""),IF($C446="","Missing Date",""),IF($D446="","Missing Start",""),IF($E446="","Missing End",""),IF($G446="","Missing Required Attendees",""),IF($T446="","Missing Status",""),IF(AND($D446&lt;&gt;"",$E446&lt;&gt;"",$D446&gt;=$E446),"Start&gt;=End",""),IF(OR($R446="",LEN($R446)&lt;60,ISNUMBER(MATCH(TRIM($R446),StatusList,0))),"Body overwritten/short",""))="","OK",_xludf.TEXTJOIN(" | ",TRUE,IF($B446="","Missing Title",""),IF($C446="","Missing Date",""),IF($D446="","Missing Start",""),IF($E446="","Missing End",""),IF($G446="","Missing Required Attendees",""),IF($T446="","Missing Status",""),IF(AND($D446&lt;&gt;"",$E446&lt;&gt;"",$D446&gt;=$E446),"Start&gt;=End",""),IF(OR($R446="",LEN($R446)&lt;60,ISNUMBER(MATCH(TRIM($R446),StatusList,0))),"Body overwritten/short",""))))</f>
        <v/>
      </c>
    </row>
    <row r="447" ht="12.75" customHeight="1">
      <c r="B447" s="25" t="n"/>
      <c r="C447" s="80" t="n"/>
      <c r="D447" s="77" t="n"/>
      <c r="E447" s="77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16">
        <f>IF($L447&lt;&gt;"","Purpose "&amp;CHAR(10)&amp;$L447&amp;CHAR(10)&amp;CHAR(10),"")&amp;
IF($M447&lt;&gt;"","Stops (in order) "&amp;CHAR(10)&amp;$M447&amp;CHAR(10)&amp;CHAR(10),"")&amp;
IF($N447&lt;&gt;"","To-Do (hard requirements) "&amp;CHAR(10)&amp;$N447&amp;CHAR(10)&amp;CHAR(10),"")&amp;
IF($O447&lt;&gt;"","Suggested Timeline "&amp;CHAR(10)&amp;$O447&amp;CHAR(10)&amp;CHAR(10),"")&amp;
IF($P447&lt;&gt;"","Guardrails "&amp;CHAR(10)&amp;$P447&amp;CHAR(10)&amp;CHAR(10),"")&amp;
IF($Q447&lt;&gt;"","Completion signals "&amp;CHAR(10)&amp;$Q447,"")</f>
        <v/>
      </c>
      <c r="S447" s="25" t="n"/>
      <c r="T447" s="25" t="n"/>
      <c r="U447" s="54" t="n"/>
      <c r="V447" s="54">
        <f>IF($B447="","",IF(_xludf.TEXTJOIN(" | ",TRUE,IF($B447="","Missing Title",""),IF($C447="","Missing Date",""),IF($D447="","Missing Start",""),IF($E447="","Missing End",""),IF($G447="","Missing Required Attendees",""),IF($T447="","Missing Status",""),IF(AND($D447&lt;&gt;"",$E447&lt;&gt;"",$D447&gt;=$E447),"Start&gt;=End",""),IF(OR($R447="",LEN($R447)&lt;60,ISNUMBER(MATCH(TRIM($R447),StatusList,0))),"Body overwritten/short",""))="","OK",_xludf.TEXTJOIN(" | ",TRUE,IF($B447="","Missing Title",""),IF($C447="","Missing Date",""),IF($D447="","Missing Start",""),IF($E447="","Missing End",""),IF($G447="","Missing Required Attendees",""),IF($T447="","Missing Status",""),IF(AND($D447&lt;&gt;"",$E447&lt;&gt;"",$D447&gt;=$E447),"Start&gt;=End",""),IF(OR($R447="",LEN($R447)&lt;60,ISNUMBER(MATCH(TRIM($R447),StatusList,0))),"Body overwritten/short",""))))</f>
        <v/>
      </c>
    </row>
    <row r="448" ht="12.75" customHeight="1">
      <c r="B448" s="25" t="n"/>
      <c r="C448" s="80" t="n"/>
      <c r="D448" s="77" t="n"/>
      <c r="E448" s="77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16">
        <f>IF($L448&lt;&gt;"","Purpose "&amp;CHAR(10)&amp;$L448&amp;CHAR(10)&amp;CHAR(10),"")&amp;
IF($M448&lt;&gt;"","Stops (in order) "&amp;CHAR(10)&amp;$M448&amp;CHAR(10)&amp;CHAR(10),"")&amp;
IF($N448&lt;&gt;"","To-Do (hard requirements) "&amp;CHAR(10)&amp;$N448&amp;CHAR(10)&amp;CHAR(10),"")&amp;
IF($O448&lt;&gt;"","Suggested Timeline "&amp;CHAR(10)&amp;$O448&amp;CHAR(10)&amp;CHAR(10),"")&amp;
IF($P448&lt;&gt;"","Guardrails "&amp;CHAR(10)&amp;$P448&amp;CHAR(10)&amp;CHAR(10),"")&amp;
IF($Q448&lt;&gt;"","Completion signals "&amp;CHAR(10)&amp;$Q448,"")</f>
        <v/>
      </c>
      <c r="S448" s="25" t="n"/>
      <c r="T448" s="25" t="n"/>
      <c r="U448" s="54" t="n"/>
      <c r="V448" s="54">
        <f>IF($B448="","",IF(_xludf.TEXTJOIN(" | ",TRUE,IF($B448="","Missing Title",""),IF($C448="","Missing Date",""),IF($D448="","Missing Start",""),IF($E448="","Missing End",""),IF($G448="","Missing Required Attendees",""),IF($T448="","Missing Status",""),IF(AND($D448&lt;&gt;"",$E448&lt;&gt;"",$D448&gt;=$E448),"Start&gt;=End",""),IF(OR($R448="",LEN($R448)&lt;60,ISNUMBER(MATCH(TRIM($R448),StatusList,0))),"Body overwritten/short",""))="","OK",_xludf.TEXTJOIN(" | ",TRUE,IF($B448="","Missing Title",""),IF($C448="","Missing Date",""),IF($D448="","Missing Start",""),IF($E448="","Missing End",""),IF($G448="","Missing Required Attendees",""),IF($T448="","Missing Status",""),IF(AND($D448&lt;&gt;"",$E448&lt;&gt;"",$D448&gt;=$E448),"Start&gt;=End",""),IF(OR($R448="",LEN($R448)&lt;60,ISNUMBER(MATCH(TRIM($R448),StatusList,0))),"Body overwritten/short",""))))</f>
        <v/>
      </c>
    </row>
    <row r="449" ht="12.75" customHeight="1">
      <c r="B449" s="25" t="n"/>
      <c r="C449" s="80" t="n"/>
      <c r="D449" s="77" t="n"/>
      <c r="E449" s="77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16">
        <f>IF($L449&lt;&gt;"","Purpose "&amp;CHAR(10)&amp;$L449&amp;CHAR(10)&amp;CHAR(10),"")&amp;
IF($M449&lt;&gt;"","Stops (in order) "&amp;CHAR(10)&amp;$M449&amp;CHAR(10)&amp;CHAR(10),"")&amp;
IF($N449&lt;&gt;"","To-Do (hard requirements) "&amp;CHAR(10)&amp;$N449&amp;CHAR(10)&amp;CHAR(10),"")&amp;
IF($O449&lt;&gt;"","Suggested Timeline "&amp;CHAR(10)&amp;$O449&amp;CHAR(10)&amp;CHAR(10),"")&amp;
IF($P449&lt;&gt;"","Guardrails "&amp;CHAR(10)&amp;$P449&amp;CHAR(10)&amp;CHAR(10),"")&amp;
IF($Q449&lt;&gt;"","Completion signals "&amp;CHAR(10)&amp;$Q449,"")</f>
        <v/>
      </c>
      <c r="S449" s="25" t="n"/>
      <c r="T449" s="25" t="n"/>
      <c r="U449" s="54" t="n"/>
      <c r="V449" s="54">
        <f>IF($B449="","",IF(_xludf.TEXTJOIN(" | ",TRUE,IF($B449="","Missing Title",""),IF($C449="","Missing Date",""),IF($D449="","Missing Start",""),IF($E449="","Missing End",""),IF($G449="","Missing Required Attendees",""),IF($T449="","Missing Status",""),IF(AND($D449&lt;&gt;"",$E449&lt;&gt;"",$D449&gt;=$E449),"Start&gt;=End",""),IF(OR($R449="",LEN($R449)&lt;60,ISNUMBER(MATCH(TRIM($R449),StatusList,0))),"Body overwritten/short",""))="","OK",_xludf.TEXTJOIN(" | ",TRUE,IF($B449="","Missing Title",""),IF($C449="","Missing Date",""),IF($D449="","Missing Start",""),IF($E449="","Missing End",""),IF($G449="","Missing Required Attendees",""),IF($T449="","Missing Status",""),IF(AND($D449&lt;&gt;"",$E449&lt;&gt;"",$D449&gt;=$E449),"Start&gt;=End",""),IF(OR($R449="",LEN($R449)&lt;60,ISNUMBER(MATCH(TRIM($R449),StatusList,0))),"Body overwritten/short",""))))</f>
        <v/>
      </c>
    </row>
    <row r="450" ht="12.75" customHeight="1">
      <c r="B450" s="25" t="n"/>
      <c r="C450" s="80" t="n"/>
      <c r="D450" s="77" t="n"/>
      <c r="E450" s="77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16">
        <f>IF($L450&lt;&gt;"","Purpose "&amp;CHAR(10)&amp;$L450&amp;CHAR(10)&amp;CHAR(10),"")&amp;
IF($M450&lt;&gt;"","Stops (in order) "&amp;CHAR(10)&amp;$M450&amp;CHAR(10)&amp;CHAR(10),"")&amp;
IF($N450&lt;&gt;"","To-Do (hard requirements) "&amp;CHAR(10)&amp;$N450&amp;CHAR(10)&amp;CHAR(10),"")&amp;
IF($O450&lt;&gt;"","Suggested Timeline "&amp;CHAR(10)&amp;$O450&amp;CHAR(10)&amp;CHAR(10),"")&amp;
IF($P450&lt;&gt;"","Guardrails "&amp;CHAR(10)&amp;$P450&amp;CHAR(10)&amp;CHAR(10),"")&amp;
IF($Q450&lt;&gt;"","Completion signals "&amp;CHAR(10)&amp;$Q450,"")</f>
        <v/>
      </c>
      <c r="S450" s="25" t="n"/>
      <c r="T450" s="25" t="n"/>
      <c r="U450" s="54" t="n"/>
      <c r="V450" s="54">
        <f>IF($B450="","",IF(_xludf.TEXTJOIN(" | ",TRUE,IF($B450="","Missing Title",""),IF($C450="","Missing Date",""),IF($D450="","Missing Start",""),IF($E450="","Missing End",""),IF($G450="","Missing Required Attendees",""),IF($T450="","Missing Status",""),IF(AND($D450&lt;&gt;"",$E450&lt;&gt;"",$D450&gt;=$E450),"Start&gt;=End",""),IF(OR($R450="",LEN($R450)&lt;60,ISNUMBER(MATCH(TRIM($R450),StatusList,0))),"Body overwritten/short",""))="","OK",_xludf.TEXTJOIN(" | ",TRUE,IF($B450="","Missing Title",""),IF($C450="","Missing Date",""),IF($D450="","Missing Start",""),IF($E450="","Missing End",""),IF($G450="","Missing Required Attendees",""),IF($T450="","Missing Status",""),IF(AND($D450&lt;&gt;"",$E450&lt;&gt;"",$D450&gt;=$E450),"Start&gt;=End",""),IF(OR($R450="",LEN($R450)&lt;60,ISNUMBER(MATCH(TRIM($R450),StatusList,0))),"Body overwritten/short",""))))</f>
        <v/>
      </c>
    </row>
    <row r="451" ht="12.75" customHeight="1">
      <c r="B451" s="25" t="n"/>
      <c r="C451" s="80" t="n"/>
      <c r="D451" s="77" t="n"/>
      <c r="E451" s="77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16">
        <f>IF($L451&lt;&gt;"","Purpose "&amp;CHAR(10)&amp;$L451&amp;CHAR(10)&amp;CHAR(10),"")&amp;
IF($M451&lt;&gt;"","Stops (in order) "&amp;CHAR(10)&amp;$M451&amp;CHAR(10)&amp;CHAR(10),"")&amp;
IF($N451&lt;&gt;"","To-Do (hard requirements) "&amp;CHAR(10)&amp;$N451&amp;CHAR(10)&amp;CHAR(10),"")&amp;
IF($O451&lt;&gt;"","Suggested Timeline "&amp;CHAR(10)&amp;$O451&amp;CHAR(10)&amp;CHAR(10),"")&amp;
IF($P451&lt;&gt;"","Guardrails "&amp;CHAR(10)&amp;$P451&amp;CHAR(10)&amp;CHAR(10),"")&amp;
IF($Q451&lt;&gt;"","Completion signals "&amp;CHAR(10)&amp;$Q451,"")</f>
        <v/>
      </c>
      <c r="S451" s="25" t="n"/>
      <c r="T451" s="25" t="n"/>
      <c r="U451" s="54" t="n"/>
      <c r="V451" s="54">
        <f>IF($B451="","",IF(_xludf.TEXTJOIN(" | ",TRUE,IF($B451="","Missing Title",""),IF($C451="","Missing Date",""),IF($D451="","Missing Start",""),IF($E451="","Missing End",""),IF($G451="","Missing Required Attendees",""),IF($T451="","Missing Status",""),IF(AND($D451&lt;&gt;"",$E451&lt;&gt;"",$D451&gt;=$E451),"Start&gt;=End",""),IF(OR($R451="",LEN($R451)&lt;60,ISNUMBER(MATCH(TRIM($R451),StatusList,0))),"Body overwritten/short",""))="","OK",_xludf.TEXTJOIN(" | ",TRUE,IF($B451="","Missing Title",""),IF($C451="","Missing Date",""),IF($D451="","Missing Start",""),IF($E451="","Missing End",""),IF($G451="","Missing Required Attendees",""),IF($T451="","Missing Status",""),IF(AND($D451&lt;&gt;"",$E451&lt;&gt;"",$D451&gt;=$E451),"Start&gt;=End",""),IF(OR($R451="",LEN($R451)&lt;60,ISNUMBER(MATCH(TRIM($R451),StatusList,0))),"Body overwritten/short",""))))</f>
        <v/>
      </c>
    </row>
    <row r="452" ht="12.75" customHeight="1">
      <c r="B452" s="25" t="n"/>
      <c r="C452" s="80" t="n"/>
      <c r="D452" s="77" t="n"/>
      <c r="E452" s="77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16">
        <f>IF($L452&lt;&gt;"","Purpose "&amp;CHAR(10)&amp;$L452&amp;CHAR(10)&amp;CHAR(10),"")&amp;
IF($M452&lt;&gt;"","Stops (in order) "&amp;CHAR(10)&amp;$M452&amp;CHAR(10)&amp;CHAR(10),"")&amp;
IF($N452&lt;&gt;"","To-Do (hard requirements) "&amp;CHAR(10)&amp;$N452&amp;CHAR(10)&amp;CHAR(10),"")&amp;
IF($O452&lt;&gt;"","Suggested Timeline "&amp;CHAR(10)&amp;$O452&amp;CHAR(10)&amp;CHAR(10),"")&amp;
IF($P452&lt;&gt;"","Guardrails "&amp;CHAR(10)&amp;$P452&amp;CHAR(10)&amp;CHAR(10),"")&amp;
IF($Q452&lt;&gt;"","Completion signals "&amp;CHAR(10)&amp;$Q452,"")</f>
        <v/>
      </c>
      <c r="S452" s="25" t="n"/>
      <c r="T452" s="25" t="n"/>
      <c r="U452" s="54" t="n"/>
      <c r="V452" s="54">
        <f>IF($B452="","",IF(_xludf.TEXTJOIN(" | ",TRUE,IF($B452="","Missing Title",""),IF($C452="","Missing Date",""),IF($D452="","Missing Start",""),IF($E452="","Missing End",""),IF($G452="","Missing Required Attendees",""),IF($T452="","Missing Status",""),IF(AND($D452&lt;&gt;"",$E452&lt;&gt;"",$D452&gt;=$E452),"Start&gt;=End",""),IF(OR($R452="",LEN($R452)&lt;60,ISNUMBER(MATCH(TRIM($R452),StatusList,0))),"Body overwritten/short",""))="","OK",_xludf.TEXTJOIN(" | ",TRUE,IF($B452="","Missing Title",""),IF($C452="","Missing Date",""),IF($D452="","Missing Start",""),IF($E452="","Missing End",""),IF($G452="","Missing Required Attendees",""),IF($T452="","Missing Status",""),IF(AND($D452&lt;&gt;"",$E452&lt;&gt;"",$D452&gt;=$E452),"Start&gt;=End",""),IF(OR($R452="",LEN($R452)&lt;60,ISNUMBER(MATCH(TRIM($R452),StatusList,0))),"Body overwritten/short",""))))</f>
        <v/>
      </c>
    </row>
    <row r="453" ht="12.75" customHeight="1">
      <c r="B453" s="25" t="n"/>
      <c r="C453" s="80" t="n"/>
      <c r="D453" s="77" t="n"/>
      <c r="E453" s="77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16">
        <f>IF($L453&lt;&gt;"","Purpose "&amp;CHAR(10)&amp;$L453&amp;CHAR(10)&amp;CHAR(10),"")&amp;
IF($M453&lt;&gt;"","Stops (in order) "&amp;CHAR(10)&amp;$M453&amp;CHAR(10)&amp;CHAR(10),"")&amp;
IF($N453&lt;&gt;"","To-Do (hard requirements) "&amp;CHAR(10)&amp;$N453&amp;CHAR(10)&amp;CHAR(10),"")&amp;
IF($O453&lt;&gt;"","Suggested Timeline "&amp;CHAR(10)&amp;$O453&amp;CHAR(10)&amp;CHAR(10),"")&amp;
IF($P453&lt;&gt;"","Guardrails "&amp;CHAR(10)&amp;$P453&amp;CHAR(10)&amp;CHAR(10),"")&amp;
IF($Q453&lt;&gt;"","Completion signals "&amp;CHAR(10)&amp;$Q453,"")</f>
        <v/>
      </c>
      <c r="S453" s="25" t="n"/>
      <c r="T453" s="25" t="n"/>
      <c r="U453" s="54" t="n"/>
      <c r="V453" s="54">
        <f>IF($B453="","",IF(_xludf.TEXTJOIN(" | ",TRUE,IF($B453="","Missing Title",""),IF($C453="","Missing Date",""),IF($D453="","Missing Start",""),IF($E453="","Missing End",""),IF($G453="","Missing Required Attendees",""),IF($T453="","Missing Status",""),IF(AND($D453&lt;&gt;"",$E453&lt;&gt;"",$D453&gt;=$E453),"Start&gt;=End",""),IF(OR($R453="",LEN($R453)&lt;60,ISNUMBER(MATCH(TRIM($R453),StatusList,0))),"Body overwritten/short",""))="","OK",_xludf.TEXTJOIN(" | ",TRUE,IF($B453="","Missing Title",""),IF($C453="","Missing Date",""),IF($D453="","Missing Start",""),IF($E453="","Missing End",""),IF($G453="","Missing Required Attendees",""),IF($T453="","Missing Status",""),IF(AND($D453&lt;&gt;"",$E453&lt;&gt;"",$D453&gt;=$E453),"Start&gt;=End",""),IF(OR($R453="",LEN($R453)&lt;60,ISNUMBER(MATCH(TRIM($R453),StatusList,0))),"Body overwritten/short",""))))</f>
        <v/>
      </c>
    </row>
    <row r="454" ht="12.75" customHeight="1">
      <c r="B454" s="25" t="n"/>
      <c r="C454" s="80" t="n"/>
      <c r="D454" s="77" t="n"/>
      <c r="E454" s="77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16">
        <f>IF($L454&lt;&gt;"","Purpose "&amp;CHAR(10)&amp;$L454&amp;CHAR(10)&amp;CHAR(10),"")&amp;
IF($M454&lt;&gt;"","Stops (in order) "&amp;CHAR(10)&amp;$M454&amp;CHAR(10)&amp;CHAR(10),"")&amp;
IF($N454&lt;&gt;"","To-Do (hard requirements) "&amp;CHAR(10)&amp;$N454&amp;CHAR(10)&amp;CHAR(10),"")&amp;
IF($O454&lt;&gt;"","Suggested Timeline "&amp;CHAR(10)&amp;$O454&amp;CHAR(10)&amp;CHAR(10),"")&amp;
IF($P454&lt;&gt;"","Guardrails "&amp;CHAR(10)&amp;$P454&amp;CHAR(10)&amp;CHAR(10),"")&amp;
IF($Q454&lt;&gt;"","Completion signals "&amp;CHAR(10)&amp;$Q454,"")</f>
        <v/>
      </c>
      <c r="S454" s="25" t="n"/>
      <c r="T454" s="25" t="n"/>
      <c r="U454" s="54" t="n"/>
      <c r="V454" s="54">
        <f>IF($B454="","",IF(_xludf.TEXTJOIN(" | ",TRUE,IF($B454="","Missing Title",""),IF($C454="","Missing Date",""),IF($D454="","Missing Start",""),IF($E454="","Missing End",""),IF($G454="","Missing Required Attendees",""),IF($T454="","Missing Status",""),IF(AND($D454&lt;&gt;"",$E454&lt;&gt;"",$D454&gt;=$E454),"Start&gt;=End",""),IF(OR($R454="",LEN($R454)&lt;60,ISNUMBER(MATCH(TRIM($R454),StatusList,0))),"Body overwritten/short",""))="","OK",_xludf.TEXTJOIN(" | ",TRUE,IF($B454="","Missing Title",""),IF($C454="","Missing Date",""),IF($D454="","Missing Start",""),IF($E454="","Missing End",""),IF($G454="","Missing Required Attendees",""),IF($T454="","Missing Status",""),IF(AND($D454&lt;&gt;"",$E454&lt;&gt;"",$D454&gt;=$E454),"Start&gt;=End",""),IF(OR($R454="",LEN($R454)&lt;60,ISNUMBER(MATCH(TRIM($R454),StatusList,0))),"Body overwritten/short",""))))</f>
        <v/>
      </c>
    </row>
    <row r="455" ht="12.75" customHeight="1">
      <c r="B455" s="25" t="n"/>
      <c r="C455" s="80" t="n"/>
      <c r="D455" s="77" t="n"/>
      <c r="E455" s="77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16">
        <f>IF($L455&lt;&gt;"","Purpose "&amp;CHAR(10)&amp;$L455&amp;CHAR(10)&amp;CHAR(10),"")&amp;
IF($M455&lt;&gt;"","Stops (in order) "&amp;CHAR(10)&amp;$M455&amp;CHAR(10)&amp;CHAR(10),"")&amp;
IF($N455&lt;&gt;"","To-Do (hard requirements) "&amp;CHAR(10)&amp;$N455&amp;CHAR(10)&amp;CHAR(10),"")&amp;
IF($O455&lt;&gt;"","Suggested Timeline "&amp;CHAR(10)&amp;$O455&amp;CHAR(10)&amp;CHAR(10),"")&amp;
IF($P455&lt;&gt;"","Guardrails "&amp;CHAR(10)&amp;$P455&amp;CHAR(10)&amp;CHAR(10),"")&amp;
IF($Q455&lt;&gt;"","Completion signals "&amp;CHAR(10)&amp;$Q455,"")</f>
        <v/>
      </c>
      <c r="S455" s="25" t="n"/>
      <c r="T455" s="25" t="n"/>
      <c r="U455" s="54" t="n"/>
      <c r="V455" s="54">
        <f>IF($B455="","",IF(_xludf.TEXTJOIN(" | ",TRUE,IF($B455="","Missing Title",""),IF($C455="","Missing Date",""),IF($D455="","Missing Start",""),IF($E455="","Missing End",""),IF($G455="","Missing Required Attendees",""),IF($T455="","Missing Status",""),IF(AND($D455&lt;&gt;"",$E455&lt;&gt;"",$D455&gt;=$E455),"Start&gt;=End",""),IF(OR($R455="",LEN($R455)&lt;60,ISNUMBER(MATCH(TRIM($R455),StatusList,0))),"Body overwritten/short",""))="","OK",_xludf.TEXTJOIN(" | ",TRUE,IF($B455="","Missing Title",""),IF($C455="","Missing Date",""),IF($D455="","Missing Start",""),IF($E455="","Missing End",""),IF($G455="","Missing Required Attendees",""),IF($T455="","Missing Status",""),IF(AND($D455&lt;&gt;"",$E455&lt;&gt;"",$D455&gt;=$E455),"Start&gt;=End",""),IF(OR($R455="",LEN($R455)&lt;60,ISNUMBER(MATCH(TRIM($R455),StatusList,0))),"Body overwritten/short",""))))</f>
        <v/>
      </c>
    </row>
    <row r="456" ht="12.75" customHeight="1">
      <c r="B456" s="25" t="n"/>
      <c r="C456" s="80" t="n"/>
      <c r="D456" s="77" t="n"/>
      <c r="E456" s="77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16">
        <f>IF($L456&lt;&gt;"","Purpose "&amp;CHAR(10)&amp;$L456&amp;CHAR(10)&amp;CHAR(10),"")&amp;
IF($M456&lt;&gt;"","Stops (in order) "&amp;CHAR(10)&amp;$M456&amp;CHAR(10)&amp;CHAR(10),"")&amp;
IF($N456&lt;&gt;"","To-Do (hard requirements) "&amp;CHAR(10)&amp;$N456&amp;CHAR(10)&amp;CHAR(10),"")&amp;
IF($O456&lt;&gt;"","Suggested Timeline "&amp;CHAR(10)&amp;$O456&amp;CHAR(10)&amp;CHAR(10),"")&amp;
IF($P456&lt;&gt;"","Guardrails "&amp;CHAR(10)&amp;$P456&amp;CHAR(10)&amp;CHAR(10),"")&amp;
IF($Q456&lt;&gt;"","Completion signals "&amp;CHAR(10)&amp;$Q456,"")</f>
        <v/>
      </c>
      <c r="S456" s="25" t="n"/>
      <c r="T456" s="25" t="n"/>
      <c r="U456" s="54" t="n"/>
      <c r="V456" s="54">
        <f>IF($B456="","",IF(_xludf.TEXTJOIN(" | ",TRUE,IF($B456="","Missing Title",""),IF($C456="","Missing Date",""),IF($D456="","Missing Start",""),IF($E456="","Missing End",""),IF($G456="","Missing Required Attendees",""),IF($T456="","Missing Status",""),IF(AND($D456&lt;&gt;"",$E456&lt;&gt;"",$D456&gt;=$E456),"Start&gt;=End",""),IF(OR($R456="",LEN($R456)&lt;60,ISNUMBER(MATCH(TRIM($R456),StatusList,0))),"Body overwritten/short",""))="","OK",_xludf.TEXTJOIN(" | ",TRUE,IF($B456="","Missing Title",""),IF($C456="","Missing Date",""),IF($D456="","Missing Start",""),IF($E456="","Missing End",""),IF($G456="","Missing Required Attendees",""),IF($T456="","Missing Status",""),IF(AND($D456&lt;&gt;"",$E456&lt;&gt;"",$D456&gt;=$E456),"Start&gt;=End",""),IF(OR($R456="",LEN($R456)&lt;60,ISNUMBER(MATCH(TRIM($R456),StatusList,0))),"Body overwritten/short",""))))</f>
        <v/>
      </c>
    </row>
    <row r="457" ht="12.75" customHeight="1">
      <c r="B457" s="25" t="n"/>
      <c r="C457" s="80" t="n"/>
      <c r="D457" s="77" t="n"/>
      <c r="E457" s="77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16">
        <f>IF($L457&lt;&gt;"","Purpose "&amp;CHAR(10)&amp;$L457&amp;CHAR(10)&amp;CHAR(10),"")&amp;
IF($M457&lt;&gt;"","Stops (in order) "&amp;CHAR(10)&amp;$M457&amp;CHAR(10)&amp;CHAR(10),"")&amp;
IF($N457&lt;&gt;"","To-Do (hard requirements) "&amp;CHAR(10)&amp;$N457&amp;CHAR(10)&amp;CHAR(10),"")&amp;
IF($O457&lt;&gt;"","Suggested Timeline "&amp;CHAR(10)&amp;$O457&amp;CHAR(10)&amp;CHAR(10),"")&amp;
IF($P457&lt;&gt;"","Guardrails "&amp;CHAR(10)&amp;$P457&amp;CHAR(10)&amp;CHAR(10),"")&amp;
IF($Q457&lt;&gt;"","Completion signals "&amp;CHAR(10)&amp;$Q457,"")</f>
        <v/>
      </c>
      <c r="S457" s="25" t="n"/>
      <c r="T457" s="25" t="n"/>
      <c r="U457" s="54" t="n"/>
      <c r="V457" s="54">
        <f>IF($B457="","",IF(_xludf.TEXTJOIN(" | ",TRUE,IF($B457="","Missing Title",""),IF($C457="","Missing Date",""),IF($D457="","Missing Start",""),IF($E457="","Missing End",""),IF($G457="","Missing Required Attendees",""),IF($T457="","Missing Status",""),IF(AND($D457&lt;&gt;"",$E457&lt;&gt;"",$D457&gt;=$E457),"Start&gt;=End",""),IF(OR($R457="",LEN($R457)&lt;60,ISNUMBER(MATCH(TRIM($R457),StatusList,0))),"Body overwritten/short",""))="","OK",_xludf.TEXTJOIN(" | ",TRUE,IF($B457="","Missing Title",""),IF($C457="","Missing Date",""),IF($D457="","Missing Start",""),IF($E457="","Missing End",""),IF($G457="","Missing Required Attendees",""),IF($T457="","Missing Status",""),IF(AND($D457&lt;&gt;"",$E457&lt;&gt;"",$D457&gt;=$E457),"Start&gt;=End",""),IF(OR($R457="",LEN($R457)&lt;60,ISNUMBER(MATCH(TRIM($R457),StatusList,0))),"Body overwritten/short",""))))</f>
        <v/>
      </c>
    </row>
    <row r="458" ht="12.75" customHeight="1">
      <c r="B458" s="25" t="n"/>
      <c r="C458" s="80" t="n"/>
      <c r="D458" s="77" t="n"/>
      <c r="E458" s="77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16">
        <f>IF($L458&lt;&gt;"","Purpose "&amp;CHAR(10)&amp;$L458&amp;CHAR(10)&amp;CHAR(10),"")&amp;
IF($M458&lt;&gt;"","Stops (in order) "&amp;CHAR(10)&amp;$M458&amp;CHAR(10)&amp;CHAR(10),"")&amp;
IF($N458&lt;&gt;"","To-Do (hard requirements) "&amp;CHAR(10)&amp;$N458&amp;CHAR(10)&amp;CHAR(10),"")&amp;
IF($O458&lt;&gt;"","Suggested Timeline "&amp;CHAR(10)&amp;$O458&amp;CHAR(10)&amp;CHAR(10),"")&amp;
IF($P458&lt;&gt;"","Guardrails "&amp;CHAR(10)&amp;$P458&amp;CHAR(10)&amp;CHAR(10),"")&amp;
IF($Q458&lt;&gt;"","Completion signals "&amp;CHAR(10)&amp;$Q458,"")</f>
        <v/>
      </c>
      <c r="S458" s="25" t="n"/>
      <c r="T458" s="25" t="n"/>
      <c r="U458" s="54" t="n"/>
      <c r="V458" s="54">
        <f>IF($B458="","",IF(_xludf.TEXTJOIN(" | ",TRUE,IF($B458="","Missing Title",""),IF($C458="","Missing Date",""),IF($D458="","Missing Start",""),IF($E458="","Missing End",""),IF($G458="","Missing Required Attendees",""),IF($T458="","Missing Status",""),IF(AND($D458&lt;&gt;"",$E458&lt;&gt;"",$D458&gt;=$E458),"Start&gt;=End",""),IF(OR($R458="",LEN($R458)&lt;60,ISNUMBER(MATCH(TRIM($R458),StatusList,0))),"Body overwritten/short",""))="","OK",_xludf.TEXTJOIN(" | ",TRUE,IF($B458="","Missing Title",""),IF($C458="","Missing Date",""),IF($D458="","Missing Start",""),IF($E458="","Missing End",""),IF($G458="","Missing Required Attendees",""),IF($T458="","Missing Status",""),IF(AND($D458&lt;&gt;"",$E458&lt;&gt;"",$D458&gt;=$E458),"Start&gt;=End",""),IF(OR($R458="",LEN($R458)&lt;60,ISNUMBER(MATCH(TRIM($R458),StatusList,0))),"Body overwritten/short",""))))</f>
        <v/>
      </c>
    </row>
    <row r="459" ht="12.75" customHeight="1">
      <c r="B459" s="25" t="n"/>
      <c r="C459" s="80" t="n"/>
      <c r="D459" s="77" t="n"/>
      <c r="E459" s="77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16">
        <f>IF($L459&lt;&gt;"","Purpose "&amp;CHAR(10)&amp;$L459&amp;CHAR(10)&amp;CHAR(10),"")&amp;
IF($M459&lt;&gt;"","Stops (in order) "&amp;CHAR(10)&amp;$M459&amp;CHAR(10)&amp;CHAR(10),"")&amp;
IF($N459&lt;&gt;"","To-Do (hard requirements) "&amp;CHAR(10)&amp;$N459&amp;CHAR(10)&amp;CHAR(10),"")&amp;
IF($O459&lt;&gt;"","Suggested Timeline "&amp;CHAR(10)&amp;$O459&amp;CHAR(10)&amp;CHAR(10),"")&amp;
IF($P459&lt;&gt;"","Guardrails "&amp;CHAR(10)&amp;$P459&amp;CHAR(10)&amp;CHAR(10),"")&amp;
IF($Q459&lt;&gt;"","Completion signals "&amp;CHAR(10)&amp;$Q459,"")</f>
        <v/>
      </c>
      <c r="S459" s="25" t="n"/>
      <c r="T459" s="25" t="n"/>
      <c r="U459" s="54" t="n"/>
      <c r="V459" s="54">
        <f>IF($B459="","",IF(_xludf.TEXTJOIN(" | ",TRUE,IF($B459="","Missing Title",""),IF($C459="","Missing Date",""),IF($D459="","Missing Start",""),IF($E459="","Missing End",""),IF($G459="","Missing Required Attendees",""),IF($T459="","Missing Status",""),IF(AND($D459&lt;&gt;"",$E459&lt;&gt;"",$D459&gt;=$E459),"Start&gt;=End",""),IF(OR($R459="",LEN($R459)&lt;60,ISNUMBER(MATCH(TRIM($R459),StatusList,0))),"Body overwritten/short",""))="","OK",_xludf.TEXTJOIN(" | ",TRUE,IF($B459="","Missing Title",""),IF($C459="","Missing Date",""),IF($D459="","Missing Start",""),IF($E459="","Missing End",""),IF($G459="","Missing Required Attendees",""),IF($T459="","Missing Status",""),IF(AND($D459&lt;&gt;"",$E459&lt;&gt;"",$D459&gt;=$E459),"Start&gt;=End",""),IF(OR($R459="",LEN($R459)&lt;60,ISNUMBER(MATCH(TRIM($R459),StatusList,0))),"Body overwritten/short",""))))</f>
        <v/>
      </c>
    </row>
    <row r="460" ht="12.75" customHeight="1">
      <c r="B460" s="25" t="n"/>
      <c r="C460" s="80" t="n"/>
      <c r="D460" s="77" t="n"/>
      <c r="E460" s="77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16">
        <f>IF($L460&lt;&gt;"","Purpose "&amp;CHAR(10)&amp;$L460&amp;CHAR(10)&amp;CHAR(10),"")&amp;
IF($M460&lt;&gt;"","Stops (in order) "&amp;CHAR(10)&amp;$M460&amp;CHAR(10)&amp;CHAR(10),"")&amp;
IF($N460&lt;&gt;"","To-Do (hard requirements) "&amp;CHAR(10)&amp;$N460&amp;CHAR(10)&amp;CHAR(10),"")&amp;
IF($O460&lt;&gt;"","Suggested Timeline "&amp;CHAR(10)&amp;$O460&amp;CHAR(10)&amp;CHAR(10),"")&amp;
IF($P460&lt;&gt;"","Guardrails "&amp;CHAR(10)&amp;$P460&amp;CHAR(10)&amp;CHAR(10),"")&amp;
IF($Q460&lt;&gt;"","Completion signals "&amp;CHAR(10)&amp;$Q460,"")</f>
        <v/>
      </c>
      <c r="S460" s="25" t="n"/>
      <c r="T460" s="25" t="n"/>
      <c r="U460" s="54" t="n"/>
      <c r="V460" s="54">
        <f>IF($B460="","",IF(_xludf.TEXTJOIN(" | ",TRUE,IF($B460="","Missing Title",""),IF($C460="","Missing Date",""),IF($D460="","Missing Start",""),IF($E460="","Missing End",""),IF($G460="","Missing Required Attendees",""),IF($T460="","Missing Status",""),IF(AND($D460&lt;&gt;"",$E460&lt;&gt;"",$D460&gt;=$E460),"Start&gt;=End",""),IF(OR($R460="",LEN($R460)&lt;60,ISNUMBER(MATCH(TRIM($R460),StatusList,0))),"Body overwritten/short",""))="","OK",_xludf.TEXTJOIN(" | ",TRUE,IF($B460="","Missing Title",""),IF($C460="","Missing Date",""),IF($D460="","Missing Start",""),IF($E460="","Missing End",""),IF($G460="","Missing Required Attendees",""),IF($T460="","Missing Status",""),IF(AND($D460&lt;&gt;"",$E460&lt;&gt;"",$D460&gt;=$E460),"Start&gt;=End",""),IF(OR($R460="",LEN($R460)&lt;60,ISNUMBER(MATCH(TRIM($R460),StatusList,0))),"Body overwritten/short",""))))</f>
        <v/>
      </c>
    </row>
    <row r="461" ht="12.75" customHeight="1">
      <c r="B461" s="25" t="n"/>
      <c r="C461" s="80" t="n"/>
      <c r="D461" s="77" t="n"/>
      <c r="E461" s="77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16">
        <f>IF($L461&lt;&gt;"","Purpose "&amp;CHAR(10)&amp;$L461&amp;CHAR(10)&amp;CHAR(10),"")&amp;
IF($M461&lt;&gt;"","Stops (in order) "&amp;CHAR(10)&amp;$M461&amp;CHAR(10)&amp;CHAR(10),"")&amp;
IF($N461&lt;&gt;"","To-Do (hard requirements) "&amp;CHAR(10)&amp;$N461&amp;CHAR(10)&amp;CHAR(10),"")&amp;
IF($O461&lt;&gt;"","Suggested Timeline "&amp;CHAR(10)&amp;$O461&amp;CHAR(10)&amp;CHAR(10),"")&amp;
IF($P461&lt;&gt;"","Guardrails "&amp;CHAR(10)&amp;$P461&amp;CHAR(10)&amp;CHAR(10),"")&amp;
IF($Q461&lt;&gt;"","Completion signals "&amp;CHAR(10)&amp;$Q461,"")</f>
        <v/>
      </c>
      <c r="S461" s="25" t="n"/>
      <c r="T461" s="25" t="n"/>
      <c r="U461" s="54" t="n"/>
      <c r="V461" s="54">
        <f>IF($B461="","",IF(_xludf.TEXTJOIN(" | ",TRUE,IF($B461="","Missing Title",""),IF($C461="","Missing Date",""),IF($D461="","Missing Start",""),IF($E461="","Missing End",""),IF($G461="","Missing Required Attendees",""),IF($T461="","Missing Status",""),IF(AND($D461&lt;&gt;"",$E461&lt;&gt;"",$D461&gt;=$E461),"Start&gt;=End",""),IF(OR($R461="",LEN($R461)&lt;60,ISNUMBER(MATCH(TRIM($R461),StatusList,0))),"Body overwritten/short",""))="","OK",_xludf.TEXTJOIN(" | ",TRUE,IF($B461="","Missing Title",""),IF($C461="","Missing Date",""),IF($D461="","Missing Start",""),IF($E461="","Missing End",""),IF($G461="","Missing Required Attendees",""),IF($T461="","Missing Status",""),IF(AND($D461&lt;&gt;"",$E461&lt;&gt;"",$D461&gt;=$E461),"Start&gt;=End",""),IF(OR($R461="",LEN($R461)&lt;60,ISNUMBER(MATCH(TRIM($R461),StatusList,0))),"Body overwritten/short",""))))</f>
        <v/>
      </c>
    </row>
    <row r="462" ht="12.75" customHeight="1">
      <c r="B462" s="25" t="n"/>
      <c r="C462" s="80" t="n"/>
      <c r="D462" s="77" t="n"/>
      <c r="E462" s="77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16">
        <f>IF($L462&lt;&gt;"","Purpose "&amp;CHAR(10)&amp;$L462&amp;CHAR(10)&amp;CHAR(10),"")&amp;
IF($M462&lt;&gt;"","Stops (in order) "&amp;CHAR(10)&amp;$M462&amp;CHAR(10)&amp;CHAR(10),"")&amp;
IF($N462&lt;&gt;"","To-Do (hard requirements) "&amp;CHAR(10)&amp;$N462&amp;CHAR(10)&amp;CHAR(10),"")&amp;
IF($O462&lt;&gt;"","Suggested Timeline "&amp;CHAR(10)&amp;$O462&amp;CHAR(10)&amp;CHAR(10),"")&amp;
IF($P462&lt;&gt;"","Guardrails "&amp;CHAR(10)&amp;$P462&amp;CHAR(10)&amp;CHAR(10),"")&amp;
IF($Q462&lt;&gt;"","Completion signals "&amp;CHAR(10)&amp;$Q462,"")</f>
        <v/>
      </c>
      <c r="S462" s="25" t="n"/>
      <c r="T462" s="25" t="n"/>
      <c r="U462" s="54" t="n"/>
      <c r="V462" s="54">
        <f>IF($B462="","",IF(_xludf.TEXTJOIN(" | ",TRUE,IF($B462="","Missing Title",""),IF($C462="","Missing Date",""),IF($D462="","Missing Start",""),IF($E462="","Missing End",""),IF($G462="","Missing Required Attendees",""),IF($T462="","Missing Status",""),IF(AND($D462&lt;&gt;"",$E462&lt;&gt;"",$D462&gt;=$E462),"Start&gt;=End",""),IF(OR($R462="",LEN($R462)&lt;60,ISNUMBER(MATCH(TRIM($R462),StatusList,0))),"Body overwritten/short",""))="","OK",_xludf.TEXTJOIN(" | ",TRUE,IF($B462="","Missing Title",""),IF($C462="","Missing Date",""),IF($D462="","Missing Start",""),IF($E462="","Missing End",""),IF($G462="","Missing Required Attendees",""),IF($T462="","Missing Status",""),IF(AND($D462&lt;&gt;"",$E462&lt;&gt;"",$D462&gt;=$E462),"Start&gt;=End",""),IF(OR($R462="",LEN($R462)&lt;60,ISNUMBER(MATCH(TRIM($R462),StatusList,0))),"Body overwritten/short",""))))</f>
        <v/>
      </c>
    </row>
    <row r="463" ht="12.75" customHeight="1">
      <c r="B463" s="25" t="n"/>
      <c r="C463" s="80" t="n"/>
      <c r="D463" s="77" t="n"/>
      <c r="E463" s="77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16">
        <f>IF($L463&lt;&gt;"","Purpose "&amp;CHAR(10)&amp;$L463&amp;CHAR(10)&amp;CHAR(10),"")&amp;
IF($M463&lt;&gt;"","Stops (in order) "&amp;CHAR(10)&amp;$M463&amp;CHAR(10)&amp;CHAR(10),"")&amp;
IF($N463&lt;&gt;"","To-Do (hard requirements) "&amp;CHAR(10)&amp;$N463&amp;CHAR(10)&amp;CHAR(10),"")&amp;
IF($O463&lt;&gt;"","Suggested Timeline "&amp;CHAR(10)&amp;$O463&amp;CHAR(10)&amp;CHAR(10),"")&amp;
IF($P463&lt;&gt;"","Guardrails "&amp;CHAR(10)&amp;$P463&amp;CHAR(10)&amp;CHAR(10),"")&amp;
IF($Q463&lt;&gt;"","Completion signals "&amp;CHAR(10)&amp;$Q463,"")</f>
        <v/>
      </c>
      <c r="S463" s="25" t="n"/>
      <c r="T463" s="25" t="n"/>
      <c r="U463" s="54" t="n"/>
      <c r="V463" s="54">
        <f>IF($B463="","",IF(_xludf.TEXTJOIN(" | ",TRUE,IF($B463="","Missing Title",""),IF($C463="","Missing Date",""),IF($D463="","Missing Start",""),IF($E463="","Missing End",""),IF($G463="","Missing Required Attendees",""),IF($T463="","Missing Status",""),IF(AND($D463&lt;&gt;"",$E463&lt;&gt;"",$D463&gt;=$E463),"Start&gt;=End",""),IF(OR($R463="",LEN($R463)&lt;60,ISNUMBER(MATCH(TRIM($R463),StatusList,0))),"Body overwritten/short",""))="","OK",_xludf.TEXTJOIN(" | ",TRUE,IF($B463="","Missing Title",""),IF($C463="","Missing Date",""),IF($D463="","Missing Start",""),IF($E463="","Missing End",""),IF($G463="","Missing Required Attendees",""),IF($T463="","Missing Status",""),IF(AND($D463&lt;&gt;"",$E463&lt;&gt;"",$D463&gt;=$E463),"Start&gt;=End",""),IF(OR($R463="",LEN($R463)&lt;60,ISNUMBER(MATCH(TRIM($R463),StatusList,0))),"Body overwritten/short",""))))</f>
        <v/>
      </c>
    </row>
    <row r="464" ht="12.75" customHeight="1">
      <c r="B464" s="25" t="n"/>
      <c r="C464" s="80" t="n"/>
      <c r="D464" s="77" t="n"/>
      <c r="E464" s="77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16">
        <f>IF($L464&lt;&gt;"","Purpose "&amp;CHAR(10)&amp;$L464&amp;CHAR(10)&amp;CHAR(10),"")&amp;
IF($M464&lt;&gt;"","Stops (in order) "&amp;CHAR(10)&amp;$M464&amp;CHAR(10)&amp;CHAR(10),"")&amp;
IF($N464&lt;&gt;"","To-Do (hard requirements) "&amp;CHAR(10)&amp;$N464&amp;CHAR(10)&amp;CHAR(10),"")&amp;
IF($O464&lt;&gt;"","Suggested Timeline "&amp;CHAR(10)&amp;$O464&amp;CHAR(10)&amp;CHAR(10),"")&amp;
IF($P464&lt;&gt;"","Guardrails "&amp;CHAR(10)&amp;$P464&amp;CHAR(10)&amp;CHAR(10),"")&amp;
IF($Q464&lt;&gt;"","Completion signals "&amp;CHAR(10)&amp;$Q464,"")</f>
        <v/>
      </c>
      <c r="S464" s="25" t="n"/>
      <c r="T464" s="25" t="n"/>
      <c r="U464" s="54" t="n"/>
      <c r="V464" s="54">
        <f>IF($B464="","",IF(_xludf.TEXTJOIN(" | ",TRUE,IF($B464="","Missing Title",""),IF($C464="","Missing Date",""),IF($D464="","Missing Start",""),IF($E464="","Missing End",""),IF($G464="","Missing Required Attendees",""),IF($T464="","Missing Status",""),IF(AND($D464&lt;&gt;"",$E464&lt;&gt;"",$D464&gt;=$E464),"Start&gt;=End",""),IF(OR($R464="",LEN($R464)&lt;60,ISNUMBER(MATCH(TRIM($R464),StatusList,0))),"Body overwritten/short",""))="","OK",_xludf.TEXTJOIN(" | ",TRUE,IF($B464="","Missing Title",""),IF($C464="","Missing Date",""),IF($D464="","Missing Start",""),IF($E464="","Missing End",""),IF($G464="","Missing Required Attendees",""),IF($T464="","Missing Status",""),IF(AND($D464&lt;&gt;"",$E464&lt;&gt;"",$D464&gt;=$E464),"Start&gt;=End",""),IF(OR($R464="",LEN($R464)&lt;60,ISNUMBER(MATCH(TRIM($R464),StatusList,0))),"Body overwritten/short",""))))</f>
        <v/>
      </c>
    </row>
    <row r="465" ht="12.75" customHeight="1">
      <c r="B465" s="25" t="n"/>
      <c r="C465" s="80" t="n"/>
      <c r="D465" s="77" t="n"/>
      <c r="E465" s="77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16">
        <f>IF($L465&lt;&gt;"","Purpose "&amp;CHAR(10)&amp;$L465&amp;CHAR(10)&amp;CHAR(10),"")&amp;
IF($M465&lt;&gt;"","Stops (in order) "&amp;CHAR(10)&amp;$M465&amp;CHAR(10)&amp;CHAR(10),"")&amp;
IF($N465&lt;&gt;"","To-Do (hard requirements) "&amp;CHAR(10)&amp;$N465&amp;CHAR(10)&amp;CHAR(10),"")&amp;
IF($O465&lt;&gt;"","Suggested Timeline "&amp;CHAR(10)&amp;$O465&amp;CHAR(10)&amp;CHAR(10),"")&amp;
IF($P465&lt;&gt;"","Guardrails "&amp;CHAR(10)&amp;$P465&amp;CHAR(10)&amp;CHAR(10),"")&amp;
IF($Q465&lt;&gt;"","Completion signals "&amp;CHAR(10)&amp;$Q465,"")</f>
        <v/>
      </c>
      <c r="S465" s="25" t="n"/>
      <c r="T465" s="25" t="n"/>
      <c r="U465" s="54" t="n"/>
      <c r="V465" s="54">
        <f>IF($B465="","",IF(_xludf.TEXTJOIN(" | ",TRUE,IF($B465="","Missing Title",""),IF($C465="","Missing Date",""),IF($D465="","Missing Start",""),IF($E465="","Missing End",""),IF($G465="","Missing Required Attendees",""),IF($T465="","Missing Status",""),IF(AND($D465&lt;&gt;"",$E465&lt;&gt;"",$D465&gt;=$E465),"Start&gt;=End",""),IF(OR($R465="",LEN($R465)&lt;60,ISNUMBER(MATCH(TRIM($R465),StatusList,0))),"Body overwritten/short",""))="","OK",_xludf.TEXTJOIN(" | ",TRUE,IF($B465="","Missing Title",""),IF($C465="","Missing Date",""),IF($D465="","Missing Start",""),IF($E465="","Missing End",""),IF($G465="","Missing Required Attendees",""),IF($T465="","Missing Status",""),IF(AND($D465&lt;&gt;"",$E465&lt;&gt;"",$D465&gt;=$E465),"Start&gt;=End",""),IF(OR($R465="",LEN($R465)&lt;60,ISNUMBER(MATCH(TRIM($R465),StatusList,0))),"Body overwritten/short",""))))</f>
        <v/>
      </c>
    </row>
    <row r="466" ht="12.75" customHeight="1">
      <c r="B466" s="25" t="n"/>
      <c r="C466" s="80" t="n"/>
      <c r="D466" s="77" t="n"/>
      <c r="E466" s="77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16">
        <f>IF($L466&lt;&gt;"","Purpose "&amp;CHAR(10)&amp;$L466&amp;CHAR(10)&amp;CHAR(10),"")&amp;
IF($M466&lt;&gt;"","Stops (in order) "&amp;CHAR(10)&amp;$M466&amp;CHAR(10)&amp;CHAR(10),"")&amp;
IF($N466&lt;&gt;"","To-Do (hard requirements) "&amp;CHAR(10)&amp;$N466&amp;CHAR(10)&amp;CHAR(10),"")&amp;
IF($O466&lt;&gt;"","Suggested Timeline "&amp;CHAR(10)&amp;$O466&amp;CHAR(10)&amp;CHAR(10),"")&amp;
IF($P466&lt;&gt;"","Guardrails "&amp;CHAR(10)&amp;$P466&amp;CHAR(10)&amp;CHAR(10),"")&amp;
IF($Q466&lt;&gt;"","Completion signals "&amp;CHAR(10)&amp;$Q466,"")</f>
        <v/>
      </c>
      <c r="S466" s="25" t="n"/>
      <c r="T466" s="25" t="n"/>
      <c r="U466" s="54" t="n"/>
      <c r="V466" s="54">
        <f>IF($B466="","",IF(_xludf.TEXTJOIN(" | ",TRUE,IF($B466="","Missing Title",""),IF($C466="","Missing Date",""),IF($D466="","Missing Start",""),IF($E466="","Missing End",""),IF($G466="","Missing Required Attendees",""),IF($T466="","Missing Status",""),IF(AND($D466&lt;&gt;"",$E466&lt;&gt;"",$D466&gt;=$E466),"Start&gt;=End",""),IF(OR($R466="",LEN($R466)&lt;60,ISNUMBER(MATCH(TRIM($R466),StatusList,0))),"Body overwritten/short",""))="","OK",_xludf.TEXTJOIN(" | ",TRUE,IF($B466="","Missing Title",""),IF($C466="","Missing Date",""),IF($D466="","Missing Start",""),IF($E466="","Missing End",""),IF($G466="","Missing Required Attendees",""),IF($T466="","Missing Status",""),IF(AND($D466&lt;&gt;"",$E466&lt;&gt;"",$D466&gt;=$E466),"Start&gt;=End",""),IF(OR($R466="",LEN($R466)&lt;60,ISNUMBER(MATCH(TRIM($R466),StatusList,0))),"Body overwritten/short",""))))</f>
        <v/>
      </c>
    </row>
    <row r="467" ht="12.75" customHeight="1">
      <c r="B467" s="25" t="n"/>
      <c r="C467" s="80" t="n"/>
      <c r="D467" s="77" t="n"/>
      <c r="E467" s="77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16">
        <f>IF($L467&lt;&gt;"","Purpose "&amp;CHAR(10)&amp;$L467&amp;CHAR(10)&amp;CHAR(10),"")&amp;
IF($M467&lt;&gt;"","Stops (in order) "&amp;CHAR(10)&amp;$M467&amp;CHAR(10)&amp;CHAR(10),"")&amp;
IF($N467&lt;&gt;"","To-Do (hard requirements) "&amp;CHAR(10)&amp;$N467&amp;CHAR(10)&amp;CHAR(10),"")&amp;
IF($O467&lt;&gt;"","Suggested Timeline "&amp;CHAR(10)&amp;$O467&amp;CHAR(10)&amp;CHAR(10),"")&amp;
IF($P467&lt;&gt;"","Guardrails "&amp;CHAR(10)&amp;$P467&amp;CHAR(10)&amp;CHAR(10),"")&amp;
IF($Q467&lt;&gt;"","Completion signals "&amp;CHAR(10)&amp;$Q467,"")</f>
        <v/>
      </c>
      <c r="S467" s="25" t="n"/>
      <c r="T467" s="25" t="n"/>
      <c r="U467" s="54" t="n"/>
      <c r="V467" s="54">
        <f>IF($B467="","",IF(_xludf.TEXTJOIN(" | ",TRUE,IF($B467="","Missing Title",""),IF($C467="","Missing Date",""),IF($D467="","Missing Start",""),IF($E467="","Missing End",""),IF($G467="","Missing Required Attendees",""),IF($T467="","Missing Status",""),IF(AND($D467&lt;&gt;"",$E467&lt;&gt;"",$D467&gt;=$E467),"Start&gt;=End",""),IF(OR($R467="",LEN($R467)&lt;60,ISNUMBER(MATCH(TRIM($R467),StatusList,0))),"Body overwritten/short",""))="","OK",_xludf.TEXTJOIN(" | ",TRUE,IF($B467="","Missing Title",""),IF($C467="","Missing Date",""),IF($D467="","Missing Start",""),IF($E467="","Missing End",""),IF($G467="","Missing Required Attendees",""),IF($T467="","Missing Status",""),IF(AND($D467&lt;&gt;"",$E467&lt;&gt;"",$D467&gt;=$E467),"Start&gt;=End",""),IF(OR($R467="",LEN($R467)&lt;60,ISNUMBER(MATCH(TRIM($R467),StatusList,0))),"Body overwritten/short",""))))</f>
        <v/>
      </c>
    </row>
    <row r="468" ht="12.75" customHeight="1">
      <c r="B468" s="25" t="n"/>
      <c r="C468" s="80" t="n"/>
      <c r="D468" s="77" t="n"/>
      <c r="E468" s="77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16">
        <f>IF($L468&lt;&gt;"","Purpose "&amp;CHAR(10)&amp;$L468&amp;CHAR(10)&amp;CHAR(10),"")&amp;
IF($M468&lt;&gt;"","Stops (in order) "&amp;CHAR(10)&amp;$M468&amp;CHAR(10)&amp;CHAR(10),"")&amp;
IF($N468&lt;&gt;"","To-Do (hard requirements) "&amp;CHAR(10)&amp;$N468&amp;CHAR(10)&amp;CHAR(10),"")&amp;
IF($O468&lt;&gt;"","Suggested Timeline "&amp;CHAR(10)&amp;$O468&amp;CHAR(10)&amp;CHAR(10),"")&amp;
IF($P468&lt;&gt;"","Guardrails "&amp;CHAR(10)&amp;$P468&amp;CHAR(10)&amp;CHAR(10),"")&amp;
IF($Q468&lt;&gt;"","Completion signals "&amp;CHAR(10)&amp;$Q468,"")</f>
        <v/>
      </c>
      <c r="S468" s="25" t="n"/>
      <c r="T468" s="25" t="n"/>
      <c r="U468" s="54" t="n"/>
      <c r="V468" s="54">
        <f>IF($B468="","",IF(_xludf.TEXTJOIN(" | ",TRUE,IF($B468="","Missing Title",""),IF($C468="","Missing Date",""),IF($D468="","Missing Start",""),IF($E468="","Missing End",""),IF($G468="","Missing Required Attendees",""),IF($T468="","Missing Status",""),IF(AND($D468&lt;&gt;"",$E468&lt;&gt;"",$D468&gt;=$E468),"Start&gt;=End",""),IF(OR($R468="",LEN($R468)&lt;60,ISNUMBER(MATCH(TRIM($R468),StatusList,0))),"Body overwritten/short",""))="","OK",_xludf.TEXTJOIN(" | ",TRUE,IF($B468="","Missing Title",""),IF($C468="","Missing Date",""),IF($D468="","Missing Start",""),IF($E468="","Missing End",""),IF($G468="","Missing Required Attendees",""),IF($T468="","Missing Status",""),IF(AND($D468&lt;&gt;"",$E468&lt;&gt;"",$D468&gt;=$E468),"Start&gt;=End",""),IF(OR($R468="",LEN($R468)&lt;60,ISNUMBER(MATCH(TRIM($R468),StatusList,0))),"Body overwritten/short",""))))</f>
        <v/>
      </c>
    </row>
    <row r="469" ht="12.75" customHeight="1">
      <c r="B469" s="25" t="n"/>
      <c r="C469" s="80" t="n"/>
      <c r="D469" s="77" t="n"/>
      <c r="E469" s="77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16">
        <f>IF($L469&lt;&gt;"","Purpose "&amp;CHAR(10)&amp;$L469&amp;CHAR(10)&amp;CHAR(10),"")&amp;
IF($M469&lt;&gt;"","Stops (in order) "&amp;CHAR(10)&amp;$M469&amp;CHAR(10)&amp;CHAR(10),"")&amp;
IF($N469&lt;&gt;"","To-Do (hard requirements) "&amp;CHAR(10)&amp;$N469&amp;CHAR(10)&amp;CHAR(10),"")&amp;
IF($O469&lt;&gt;"","Suggested Timeline "&amp;CHAR(10)&amp;$O469&amp;CHAR(10)&amp;CHAR(10),"")&amp;
IF($P469&lt;&gt;"","Guardrails "&amp;CHAR(10)&amp;$P469&amp;CHAR(10)&amp;CHAR(10),"")&amp;
IF($Q469&lt;&gt;"","Completion signals "&amp;CHAR(10)&amp;$Q469,"")</f>
        <v/>
      </c>
      <c r="S469" s="25" t="n"/>
      <c r="T469" s="25" t="n"/>
      <c r="U469" s="54" t="n"/>
      <c r="V469" s="54">
        <f>IF($B469="","",IF(_xludf.TEXTJOIN(" | ",TRUE,IF($B469="","Missing Title",""),IF($C469="","Missing Date",""),IF($D469="","Missing Start",""),IF($E469="","Missing End",""),IF($G469="","Missing Required Attendees",""),IF($T469="","Missing Status",""),IF(AND($D469&lt;&gt;"",$E469&lt;&gt;"",$D469&gt;=$E469),"Start&gt;=End",""),IF(OR($R469="",LEN($R469)&lt;60,ISNUMBER(MATCH(TRIM($R469),StatusList,0))),"Body overwritten/short",""))="","OK",_xludf.TEXTJOIN(" | ",TRUE,IF($B469="","Missing Title",""),IF($C469="","Missing Date",""),IF($D469="","Missing Start",""),IF($E469="","Missing End",""),IF($G469="","Missing Required Attendees",""),IF($T469="","Missing Status",""),IF(AND($D469&lt;&gt;"",$E469&lt;&gt;"",$D469&gt;=$E469),"Start&gt;=End",""),IF(OR($R469="",LEN($R469)&lt;60,ISNUMBER(MATCH(TRIM($R469),StatusList,0))),"Body overwritten/short",""))))</f>
        <v/>
      </c>
    </row>
    <row r="470" ht="12.75" customHeight="1">
      <c r="B470" s="25" t="n"/>
      <c r="C470" s="80" t="n"/>
      <c r="D470" s="77" t="n"/>
      <c r="E470" s="77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16">
        <f>IF($L470&lt;&gt;"","Purpose "&amp;CHAR(10)&amp;$L470&amp;CHAR(10)&amp;CHAR(10),"")&amp;
IF($M470&lt;&gt;"","Stops (in order) "&amp;CHAR(10)&amp;$M470&amp;CHAR(10)&amp;CHAR(10),"")&amp;
IF($N470&lt;&gt;"","To-Do (hard requirements) "&amp;CHAR(10)&amp;$N470&amp;CHAR(10)&amp;CHAR(10),"")&amp;
IF($O470&lt;&gt;"","Suggested Timeline "&amp;CHAR(10)&amp;$O470&amp;CHAR(10)&amp;CHAR(10),"")&amp;
IF($P470&lt;&gt;"","Guardrails "&amp;CHAR(10)&amp;$P470&amp;CHAR(10)&amp;CHAR(10),"")&amp;
IF($Q470&lt;&gt;"","Completion signals "&amp;CHAR(10)&amp;$Q470,"")</f>
        <v/>
      </c>
      <c r="S470" s="25" t="n"/>
      <c r="T470" s="25" t="n"/>
      <c r="U470" s="54" t="n"/>
      <c r="V470" s="54">
        <f>IF($B470="","",IF(_xludf.TEXTJOIN(" | ",TRUE,IF($B470="","Missing Title",""),IF($C470="","Missing Date",""),IF($D470="","Missing Start",""),IF($E470="","Missing End",""),IF($G470="","Missing Required Attendees",""),IF($T470="","Missing Status",""),IF(AND($D470&lt;&gt;"",$E470&lt;&gt;"",$D470&gt;=$E470),"Start&gt;=End",""),IF(OR($R470="",LEN($R470)&lt;60,ISNUMBER(MATCH(TRIM($R470),StatusList,0))),"Body overwritten/short",""))="","OK",_xludf.TEXTJOIN(" | ",TRUE,IF($B470="","Missing Title",""),IF($C470="","Missing Date",""),IF($D470="","Missing Start",""),IF($E470="","Missing End",""),IF($G470="","Missing Required Attendees",""),IF($T470="","Missing Status",""),IF(AND($D470&lt;&gt;"",$E470&lt;&gt;"",$D470&gt;=$E470),"Start&gt;=End",""),IF(OR($R470="",LEN($R470)&lt;60,ISNUMBER(MATCH(TRIM($R470),StatusList,0))),"Body overwritten/short",""))))</f>
        <v/>
      </c>
    </row>
    <row r="471" ht="12.75" customHeight="1">
      <c r="B471" s="25" t="n"/>
      <c r="C471" s="80" t="n"/>
      <c r="D471" s="77" t="n"/>
      <c r="E471" s="77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16">
        <f>IF($L471&lt;&gt;"","Purpose "&amp;CHAR(10)&amp;$L471&amp;CHAR(10)&amp;CHAR(10),"")&amp;
IF($M471&lt;&gt;"","Stops (in order) "&amp;CHAR(10)&amp;$M471&amp;CHAR(10)&amp;CHAR(10),"")&amp;
IF($N471&lt;&gt;"","To-Do (hard requirements) "&amp;CHAR(10)&amp;$N471&amp;CHAR(10)&amp;CHAR(10),"")&amp;
IF($O471&lt;&gt;"","Suggested Timeline "&amp;CHAR(10)&amp;$O471&amp;CHAR(10)&amp;CHAR(10),"")&amp;
IF($P471&lt;&gt;"","Guardrails "&amp;CHAR(10)&amp;$P471&amp;CHAR(10)&amp;CHAR(10),"")&amp;
IF($Q471&lt;&gt;"","Completion signals "&amp;CHAR(10)&amp;$Q471,"")</f>
        <v/>
      </c>
      <c r="S471" s="25" t="n"/>
      <c r="T471" s="25" t="n"/>
      <c r="U471" s="54" t="n"/>
      <c r="V471" s="54">
        <f>IF($B471="","",IF(_xludf.TEXTJOIN(" | ",TRUE,IF($B471="","Missing Title",""),IF($C471="","Missing Date",""),IF($D471="","Missing Start",""),IF($E471="","Missing End",""),IF($G471="","Missing Required Attendees",""),IF($T471="","Missing Status",""),IF(AND($D471&lt;&gt;"",$E471&lt;&gt;"",$D471&gt;=$E471),"Start&gt;=End",""),IF(OR($R471="",LEN($R471)&lt;60,ISNUMBER(MATCH(TRIM($R471),StatusList,0))),"Body overwritten/short",""))="","OK",_xludf.TEXTJOIN(" | ",TRUE,IF($B471="","Missing Title",""),IF($C471="","Missing Date",""),IF($D471="","Missing Start",""),IF($E471="","Missing End",""),IF($G471="","Missing Required Attendees",""),IF($T471="","Missing Status",""),IF(AND($D471&lt;&gt;"",$E471&lt;&gt;"",$D471&gt;=$E471),"Start&gt;=End",""),IF(OR($R471="",LEN($R471)&lt;60,ISNUMBER(MATCH(TRIM($R471),StatusList,0))),"Body overwritten/short",""))))</f>
        <v/>
      </c>
    </row>
    <row r="472" ht="12.75" customHeight="1">
      <c r="B472" s="25" t="n"/>
      <c r="C472" s="80" t="n"/>
      <c r="D472" s="77" t="n"/>
      <c r="E472" s="77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16">
        <f>IF($L472&lt;&gt;"","Purpose "&amp;CHAR(10)&amp;$L472&amp;CHAR(10)&amp;CHAR(10),"")&amp;
IF($M472&lt;&gt;"","Stops (in order) "&amp;CHAR(10)&amp;$M472&amp;CHAR(10)&amp;CHAR(10),"")&amp;
IF($N472&lt;&gt;"","To-Do (hard requirements) "&amp;CHAR(10)&amp;$N472&amp;CHAR(10)&amp;CHAR(10),"")&amp;
IF($O472&lt;&gt;"","Suggested Timeline "&amp;CHAR(10)&amp;$O472&amp;CHAR(10)&amp;CHAR(10),"")&amp;
IF($P472&lt;&gt;"","Guardrails "&amp;CHAR(10)&amp;$P472&amp;CHAR(10)&amp;CHAR(10),"")&amp;
IF($Q472&lt;&gt;"","Completion signals "&amp;CHAR(10)&amp;$Q472,"")</f>
        <v/>
      </c>
      <c r="S472" s="25" t="n"/>
      <c r="T472" s="25" t="n"/>
      <c r="U472" s="54" t="n"/>
      <c r="V472" s="54">
        <f>IF($B472="","",IF(_xludf.TEXTJOIN(" | ",TRUE,IF($B472="","Missing Title",""),IF($C472="","Missing Date",""),IF($D472="","Missing Start",""),IF($E472="","Missing End",""),IF($G472="","Missing Required Attendees",""),IF($T472="","Missing Status",""),IF(AND($D472&lt;&gt;"",$E472&lt;&gt;"",$D472&gt;=$E472),"Start&gt;=End",""),IF(OR($R472="",LEN($R472)&lt;60,ISNUMBER(MATCH(TRIM($R472),StatusList,0))),"Body overwritten/short",""))="","OK",_xludf.TEXTJOIN(" | ",TRUE,IF($B472="","Missing Title",""),IF($C472="","Missing Date",""),IF($D472="","Missing Start",""),IF($E472="","Missing End",""),IF($G472="","Missing Required Attendees",""),IF($T472="","Missing Status",""),IF(AND($D472&lt;&gt;"",$E472&lt;&gt;"",$D472&gt;=$E472),"Start&gt;=End",""),IF(OR($R472="",LEN($R472)&lt;60,ISNUMBER(MATCH(TRIM($R472),StatusList,0))),"Body overwritten/short",""))))</f>
        <v/>
      </c>
    </row>
    <row r="473" ht="12.75" customHeight="1">
      <c r="B473" s="25" t="n"/>
      <c r="C473" s="80" t="n"/>
      <c r="D473" s="77" t="n"/>
      <c r="E473" s="77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16">
        <f>IF($L473&lt;&gt;"","Purpose "&amp;CHAR(10)&amp;$L473&amp;CHAR(10)&amp;CHAR(10),"")&amp;
IF($M473&lt;&gt;"","Stops (in order) "&amp;CHAR(10)&amp;$M473&amp;CHAR(10)&amp;CHAR(10),"")&amp;
IF($N473&lt;&gt;"","To-Do (hard requirements) "&amp;CHAR(10)&amp;$N473&amp;CHAR(10)&amp;CHAR(10),"")&amp;
IF($O473&lt;&gt;"","Suggested Timeline "&amp;CHAR(10)&amp;$O473&amp;CHAR(10)&amp;CHAR(10),"")&amp;
IF($P473&lt;&gt;"","Guardrails "&amp;CHAR(10)&amp;$P473&amp;CHAR(10)&amp;CHAR(10),"")&amp;
IF($Q473&lt;&gt;"","Completion signals "&amp;CHAR(10)&amp;$Q473,"")</f>
        <v/>
      </c>
      <c r="S473" s="25" t="n"/>
      <c r="T473" s="25" t="n"/>
      <c r="U473" s="54" t="n"/>
      <c r="V473" s="54">
        <f>IF($B473="","",IF(_xludf.TEXTJOIN(" | ",TRUE,IF($B473="","Missing Title",""),IF($C473="","Missing Date",""),IF($D473="","Missing Start",""),IF($E473="","Missing End",""),IF($G473="","Missing Required Attendees",""),IF($T473="","Missing Status",""),IF(AND($D473&lt;&gt;"",$E473&lt;&gt;"",$D473&gt;=$E473),"Start&gt;=End",""),IF(OR($R473="",LEN($R473)&lt;60,ISNUMBER(MATCH(TRIM($R473),StatusList,0))),"Body overwritten/short",""))="","OK",_xludf.TEXTJOIN(" | ",TRUE,IF($B473="","Missing Title",""),IF($C473="","Missing Date",""),IF($D473="","Missing Start",""),IF($E473="","Missing End",""),IF($G473="","Missing Required Attendees",""),IF($T473="","Missing Status",""),IF(AND($D473&lt;&gt;"",$E473&lt;&gt;"",$D473&gt;=$E473),"Start&gt;=End",""),IF(OR($R473="",LEN($R473)&lt;60,ISNUMBER(MATCH(TRIM($R473),StatusList,0))),"Body overwritten/short",""))))</f>
        <v/>
      </c>
    </row>
    <row r="474" ht="12.75" customHeight="1">
      <c r="B474" s="25" t="n"/>
      <c r="C474" s="80" t="n"/>
      <c r="D474" s="77" t="n"/>
      <c r="E474" s="77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16">
        <f>IF($L474&lt;&gt;"","Purpose "&amp;CHAR(10)&amp;$L474&amp;CHAR(10)&amp;CHAR(10),"")&amp;
IF($M474&lt;&gt;"","Stops (in order) "&amp;CHAR(10)&amp;$M474&amp;CHAR(10)&amp;CHAR(10),"")&amp;
IF($N474&lt;&gt;"","To-Do (hard requirements) "&amp;CHAR(10)&amp;$N474&amp;CHAR(10)&amp;CHAR(10),"")&amp;
IF($O474&lt;&gt;"","Suggested Timeline "&amp;CHAR(10)&amp;$O474&amp;CHAR(10)&amp;CHAR(10),"")&amp;
IF($P474&lt;&gt;"","Guardrails "&amp;CHAR(10)&amp;$P474&amp;CHAR(10)&amp;CHAR(10),"")&amp;
IF($Q474&lt;&gt;"","Completion signals "&amp;CHAR(10)&amp;$Q474,"")</f>
        <v/>
      </c>
      <c r="S474" s="25" t="n"/>
      <c r="T474" s="25" t="n"/>
      <c r="U474" s="54" t="n"/>
      <c r="V474" s="54">
        <f>IF($B474="","",IF(_xludf.TEXTJOIN(" | ",TRUE,IF($B474="","Missing Title",""),IF($C474="","Missing Date",""),IF($D474="","Missing Start",""),IF($E474="","Missing End",""),IF($G474="","Missing Required Attendees",""),IF($T474="","Missing Status",""),IF(AND($D474&lt;&gt;"",$E474&lt;&gt;"",$D474&gt;=$E474),"Start&gt;=End",""),IF(OR($R474="",LEN($R474)&lt;60,ISNUMBER(MATCH(TRIM($R474),StatusList,0))),"Body overwritten/short",""))="","OK",_xludf.TEXTJOIN(" | ",TRUE,IF($B474="","Missing Title",""),IF($C474="","Missing Date",""),IF($D474="","Missing Start",""),IF($E474="","Missing End",""),IF($G474="","Missing Required Attendees",""),IF($T474="","Missing Status",""),IF(AND($D474&lt;&gt;"",$E474&lt;&gt;"",$D474&gt;=$E474),"Start&gt;=End",""),IF(OR($R474="",LEN($R474)&lt;60,ISNUMBER(MATCH(TRIM($R474),StatusList,0))),"Body overwritten/short",""))))</f>
        <v/>
      </c>
    </row>
    <row r="475" ht="12.75" customHeight="1">
      <c r="B475" s="25" t="n"/>
      <c r="C475" s="80" t="n"/>
      <c r="D475" s="77" t="n"/>
      <c r="E475" s="77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16">
        <f>IF($L475&lt;&gt;"","Purpose "&amp;CHAR(10)&amp;$L475&amp;CHAR(10)&amp;CHAR(10),"")&amp;
IF($M475&lt;&gt;"","Stops (in order) "&amp;CHAR(10)&amp;$M475&amp;CHAR(10)&amp;CHAR(10),"")&amp;
IF($N475&lt;&gt;"","To-Do (hard requirements) "&amp;CHAR(10)&amp;$N475&amp;CHAR(10)&amp;CHAR(10),"")&amp;
IF($O475&lt;&gt;"","Suggested Timeline "&amp;CHAR(10)&amp;$O475&amp;CHAR(10)&amp;CHAR(10),"")&amp;
IF($P475&lt;&gt;"","Guardrails "&amp;CHAR(10)&amp;$P475&amp;CHAR(10)&amp;CHAR(10),"")&amp;
IF($Q475&lt;&gt;"","Completion signals "&amp;CHAR(10)&amp;$Q475,"")</f>
        <v/>
      </c>
      <c r="S475" s="25" t="n"/>
      <c r="T475" s="25" t="n"/>
      <c r="U475" s="54" t="n"/>
      <c r="V475" s="54">
        <f>IF($B475="","",IF(_xludf.TEXTJOIN(" | ",TRUE,IF($B475="","Missing Title",""),IF($C475="","Missing Date",""),IF($D475="","Missing Start",""),IF($E475="","Missing End",""),IF($G475="","Missing Required Attendees",""),IF($T475="","Missing Status",""),IF(AND($D475&lt;&gt;"",$E475&lt;&gt;"",$D475&gt;=$E475),"Start&gt;=End",""),IF(OR($R475="",LEN($R475)&lt;60,ISNUMBER(MATCH(TRIM($R475),StatusList,0))),"Body overwritten/short",""))="","OK",_xludf.TEXTJOIN(" | ",TRUE,IF($B475="","Missing Title",""),IF($C475="","Missing Date",""),IF($D475="","Missing Start",""),IF($E475="","Missing End",""),IF($G475="","Missing Required Attendees",""),IF($T475="","Missing Status",""),IF(AND($D475&lt;&gt;"",$E475&lt;&gt;"",$D475&gt;=$E475),"Start&gt;=End",""),IF(OR($R475="",LEN($R475)&lt;60,ISNUMBER(MATCH(TRIM($R475),StatusList,0))),"Body overwritten/short",""))))</f>
        <v/>
      </c>
    </row>
    <row r="476" ht="12.75" customHeight="1">
      <c r="B476" s="25" t="n"/>
      <c r="C476" s="80" t="n"/>
      <c r="D476" s="77" t="n"/>
      <c r="E476" s="77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16">
        <f>IF($L476&lt;&gt;"","Purpose "&amp;CHAR(10)&amp;$L476&amp;CHAR(10)&amp;CHAR(10),"")&amp;
IF($M476&lt;&gt;"","Stops (in order) "&amp;CHAR(10)&amp;$M476&amp;CHAR(10)&amp;CHAR(10),"")&amp;
IF($N476&lt;&gt;"","To-Do (hard requirements) "&amp;CHAR(10)&amp;$N476&amp;CHAR(10)&amp;CHAR(10),"")&amp;
IF($O476&lt;&gt;"","Suggested Timeline "&amp;CHAR(10)&amp;$O476&amp;CHAR(10)&amp;CHAR(10),"")&amp;
IF($P476&lt;&gt;"","Guardrails "&amp;CHAR(10)&amp;$P476&amp;CHAR(10)&amp;CHAR(10),"")&amp;
IF($Q476&lt;&gt;"","Completion signals "&amp;CHAR(10)&amp;$Q476,"")</f>
        <v/>
      </c>
      <c r="S476" s="25" t="n"/>
      <c r="T476" s="25" t="n"/>
      <c r="U476" s="54" t="n"/>
      <c r="V476" s="54">
        <f>IF($B476="","",IF(_xludf.TEXTJOIN(" | ",TRUE,IF($B476="","Missing Title",""),IF($C476="","Missing Date",""),IF($D476="","Missing Start",""),IF($E476="","Missing End",""),IF($G476="","Missing Required Attendees",""),IF($T476="","Missing Status",""),IF(AND($D476&lt;&gt;"",$E476&lt;&gt;"",$D476&gt;=$E476),"Start&gt;=End",""),IF(OR($R476="",LEN($R476)&lt;60,ISNUMBER(MATCH(TRIM($R476),StatusList,0))),"Body overwritten/short",""))="","OK",_xludf.TEXTJOIN(" | ",TRUE,IF($B476="","Missing Title",""),IF($C476="","Missing Date",""),IF($D476="","Missing Start",""),IF($E476="","Missing End",""),IF($G476="","Missing Required Attendees",""),IF($T476="","Missing Status",""),IF(AND($D476&lt;&gt;"",$E476&lt;&gt;"",$D476&gt;=$E476),"Start&gt;=End",""),IF(OR($R476="",LEN($R476)&lt;60,ISNUMBER(MATCH(TRIM($R476),StatusList,0))),"Body overwritten/short",""))))</f>
        <v/>
      </c>
    </row>
    <row r="477" ht="12.75" customHeight="1">
      <c r="B477" s="25" t="n"/>
      <c r="C477" s="80" t="n"/>
      <c r="D477" s="77" t="n"/>
      <c r="E477" s="77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16">
        <f>IF($L477&lt;&gt;"","Purpose "&amp;CHAR(10)&amp;$L477&amp;CHAR(10)&amp;CHAR(10),"")&amp;
IF($M477&lt;&gt;"","Stops (in order) "&amp;CHAR(10)&amp;$M477&amp;CHAR(10)&amp;CHAR(10),"")&amp;
IF($N477&lt;&gt;"","To-Do (hard requirements) "&amp;CHAR(10)&amp;$N477&amp;CHAR(10)&amp;CHAR(10),"")&amp;
IF($O477&lt;&gt;"","Suggested Timeline "&amp;CHAR(10)&amp;$O477&amp;CHAR(10)&amp;CHAR(10),"")&amp;
IF($P477&lt;&gt;"","Guardrails "&amp;CHAR(10)&amp;$P477&amp;CHAR(10)&amp;CHAR(10),"")&amp;
IF($Q477&lt;&gt;"","Completion signals "&amp;CHAR(10)&amp;$Q477,"")</f>
        <v/>
      </c>
      <c r="S477" s="25" t="n"/>
      <c r="T477" s="25" t="n"/>
      <c r="U477" s="54" t="n"/>
      <c r="V477" s="54">
        <f>IF($B477="","",IF(_xludf.TEXTJOIN(" | ",TRUE,IF($B477="","Missing Title",""),IF($C477="","Missing Date",""),IF($D477="","Missing Start",""),IF($E477="","Missing End",""),IF($G477="","Missing Required Attendees",""),IF($T477="","Missing Status",""),IF(AND($D477&lt;&gt;"",$E477&lt;&gt;"",$D477&gt;=$E477),"Start&gt;=End",""),IF(OR($R477="",LEN($R477)&lt;60,ISNUMBER(MATCH(TRIM($R477),StatusList,0))),"Body overwritten/short",""))="","OK",_xludf.TEXTJOIN(" | ",TRUE,IF($B477="","Missing Title",""),IF($C477="","Missing Date",""),IF($D477="","Missing Start",""),IF($E477="","Missing End",""),IF($G477="","Missing Required Attendees",""),IF($T477="","Missing Status",""),IF(AND($D477&lt;&gt;"",$E477&lt;&gt;"",$D477&gt;=$E477),"Start&gt;=End",""),IF(OR($R477="",LEN($R477)&lt;60,ISNUMBER(MATCH(TRIM($R477),StatusList,0))),"Body overwritten/short",""))))</f>
        <v/>
      </c>
    </row>
    <row r="478" ht="12.75" customHeight="1">
      <c r="B478" s="25" t="n"/>
      <c r="C478" s="80" t="n"/>
      <c r="D478" s="77" t="n"/>
      <c r="E478" s="77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16">
        <f>IF($L478&lt;&gt;"","Purpose "&amp;CHAR(10)&amp;$L478&amp;CHAR(10)&amp;CHAR(10),"")&amp;
IF($M478&lt;&gt;"","Stops (in order) "&amp;CHAR(10)&amp;$M478&amp;CHAR(10)&amp;CHAR(10),"")&amp;
IF($N478&lt;&gt;"","To-Do (hard requirements) "&amp;CHAR(10)&amp;$N478&amp;CHAR(10)&amp;CHAR(10),"")&amp;
IF($O478&lt;&gt;"","Suggested Timeline "&amp;CHAR(10)&amp;$O478&amp;CHAR(10)&amp;CHAR(10),"")&amp;
IF($P478&lt;&gt;"","Guardrails "&amp;CHAR(10)&amp;$P478&amp;CHAR(10)&amp;CHAR(10),"")&amp;
IF($Q478&lt;&gt;"","Completion signals "&amp;CHAR(10)&amp;$Q478,"")</f>
        <v/>
      </c>
      <c r="S478" s="25" t="n"/>
      <c r="T478" s="25" t="n"/>
      <c r="U478" s="54" t="n"/>
      <c r="V478" s="54">
        <f>IF($B478="","",IF(_xludf.TEXTJOIN(" | ",TRUE,IF($B478="","Missing Title",""),IF($C478="","Missing Date",""),IF($D478="","Missing Start",""),IF($E478="","Missing End",""),IF($G478="","Missing Required Attendees",""),IF($T478="","Missing Status",""),IF(AND($D478&lt;&gt;"",$E478&lt;&gt;"",$D478&gt;=$E478),"Start&gt;=End",""),IF(OR($R478="",LEN($R478)&lt;60,ISNUMBER(MATCH(TRIM($R478),StatusList,0))),"Body overwritten/short",""))="","OK",_xludf.TEXTJOIN(" | ",TRUE,IF($B478="","Missing Title",""),IF($C478="","Missing Date",""),IF($D478="","Missing Start",""),IF($E478="","Missing End",""),IF($G478="","Missing Required Attendees",""),IF($T478="","Missing Status",""),IF(AND($D478&lt;&gt;"",$E478&lt;&gt;"",$D478&gt;=$E478),"Start&gt;=End",""),IF(OR($R478="",LEN($R478)&lt;60,ISNUMBER(MATCH(TRIM($R478),StatusList,0))),"Body overwritten/short",""))))</f>
        <v/>
      </c>
    </row>
    <row r="479" ht="12.75" customHeight="1">
      <c r="B479" s="25" t="n"/>
      <c r="C479" s="80" t="n"/>
      <c r="D479" s="77" t="n"/>
      <c r="E479" s="77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16">
        <f>IF($L479&lt;&gt;"","Purpose "&amp;CHAR(10)&amp;$L479&amp;CHAR(10)&amp;CHAR(10),"")&amp;
IF($M479&lt;&gt;"","Stops (in order) "&amp;CHAR(10)&amp;$M479&amp;CHAR(10)&amp;CHAR(10),"")&amp;
IF($N479&lt;&gt;"","To-Do (hard requirements) "&amp;CHAR(10)&amp;$N479&amp;CHAR(10)&amp;CHAR(10),"")&amp;
IF($O479&lt;&gt;"","Suggested Timeline "&amp;CHAR(10)&amp;$O479&amp;CHAR(10)&amp;CHAR(10),"")&amp;
IF($P479&lt;&gt;"","Guardrails "&amp;CHAR(10)&amp;$P479&amp;CHAR(10)&amp;CHAR(10),"")&amp;
IF($Q479&lt;&gt;"","Completion signals "&amp;CHAR(10)&amp;$Q479,"")</f>
        <v/>
      </c>
      <c r="S479" s="25" t="n"/>
      <c r="T479" s="25" t="n"/>
      <c r="U479" s="54" t="n"/>
      <c r="V479" s="54">
        <f>IF($B479="","",IF(_xludf.TEXTJOIN(" | ",TRUE,IF($B479="","Missing Title",""),IF($C479="","Missing Date",""),IF($D479="","Missing Start",""),IF($E479="","Missing End",""),IF($G479="","Missing Required Attendees",""),IF($T479="","Missing Status",""),IF(AND($D479&lt;&gt;"",$E479&lt;&gt;"",$D479&gt;=$E479),"Start&gt;=End",""),IF(OR($R479="",LEN($R479)&lt;60,ISNUMBER(MATCH(TRIM($R479),StatusList,0))),"Body overwritten/short",""))="","OK",_xludf.TEXTJOIN(" | ",TRUE,IF($B479="","Missing Title",""),IF($C479="","Missing Date",""),IF($D479="","Missing Start",""),IF($E479="","Missing End",""),IF($G479="","Missing Required Attendees",""),IF($T479="","Missing Status",""),IF(AND($D479&lt;&gt;"",$E479&lt;&gt;"",$D479&gt;=$E479),"Start&gt;=End",""),IF(OR($R479="",LEN($R479)&lt;60,ISNUMBER(MATCH(TRIM($R479),StatusList,0))),"Body overwritten/short",""))))</f>
        <v/>
      </c>
    </row>
    <row r="480" ht="12.75" customHeight="1">
      <c r="B480" s="25" t="n"/>
      <c r="C480" s="80" t="n"/>
      <c r="D480" s="77" t="n"/>
      <c r="E480" s="77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16">
        <f>IF($L480&lt;&gt;"","Purpose "&amp;CHAR(10)&amp;$L480&amp;CHAR(10)&amp;CHAR(10),"")&amp;
IF($M480&lt;&gt;"","Stops (in order) "&amp;CHAR(10)&amp;$M480&amp;CHAR(10)&amp;CHAR(10),"")&amp;
IF($N480&lt;&gt;"","To-Do (hard requirements) "&amp;CHAR(10)&amp;$N480&amp;CHAR(10)&amp;CHAR(10),"")&amp;
IF($O480&lt;&gt;"","Suggested Timeline "&amp;CHAR(10)&amp;$O480&amp;CHAR(10)&amp;CHAR(10),"")&amp;
IF($P480&lt;&gt;"","Guardrails "&amp;CHAR(10)&amp;$P480&amp;CHAR(10)&amp;CHAR(10),"")&amp;
IF($Q480&lt;&gt;"","Completion signals "&amp;CHAR(10)&amp;$Q480,"")</f>
        <v/>
      </c>
      <c r="S480" s="25" t="n"/>
      <c r="T480" s="25" t="n"/>
      <c r="U480" s="54" t="n"/>
      <c r="V480" s="54">
        <f>IF($B480="","",IF(_xludf.TEXTJOIN(" | ",TRUE,IF($B480="","Missing Title",""),IF($C480="","Missing Date",""),IF($D480="","Missing Start",""),IF($E480="","Missing End",""),IF($G480="","Missing Required Attendees",""),IF($T480="","Missing Status",""),IF(AND($D480&lt;&gt;"",$E480&lt;&gt;"",$D480&gt;=$E480),"Start&gt;=End",""),IF(OR($R480="",LEN($R480)&lt;60,ISNUMBER(MATCH(TRIM($R480),StatusList,0))),"Body overwritten/short",""))="","OK",_xludf.TEXTJOIN(" | ",TRUE,IF($B480="","Missing Title",""),IF($C480="","Missing Date",""),IF($D480="","Missing Start",""),IF($E480="","Missing End",""),IF($G480="","Missing Required Attendees",""),IF($T480="","Missing Status",""),IF(AND($D480&lt;&gt;"",$E480&lt;&gt;"",$D480&gt;=$E480),"Start&gt;=End",""),IF(OR($R480="",LEN($R480)&lt;60,ISNUMBER(MATCH(TRIM($R480),StatusList,0))),"Body overwritten/short",""))))</f>
        <v/>
      </c>
    </row>
    <row r="481" ht="12.75" customHeight="1">
      <c r="B481" s="25" t="n"/>
      <c r="C481" s="80" t="n"/>
      <c r="D481" s="77" t="n"/>
      <c r="E481" s="77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16">
        <f>IF($L481&lt;&gt;"","Purpose "&amp;CHAR(10)&amp;$L481&amp;CHAR(10)&amp;CHAR(10),"")&amp;
IF($M481&lt;&gt;"","Stops (in order) "&amp;CHAR(10)&amp;$M481&amp;CHAR(10)&amp;CHAR(10),"")&amp;
IF($N481&lt;&gt;"","To-Do (hard requirements) "&amp;CHAR(10)&amp;$N481&amp;CHAR(10)&amp;CHAR(10),"")&amp;
IF($O481&lt;&gt;"","Suggested Timeline "&amp;CHAR(10)&amp;$O481&amp;CHAR(10)&amp;CHAR(10),"")&amp;
IF($P481&lt;&gt;"","Guardrails "&amp;CHAR(10)&amp;$P481&amp;CHAR(10)&amp;CHAR(10),"")&amp;
IF($Q481&lt;&gt;"","Completion signals "&amp;CHAR(10)&amp;$Q481,"")</f>
        <v/>
      </c>
      <c r="S481" s="25" t="n"/>
      <c r="T481" s="25" t="n"/>
      <c r="U481" s="54" t="n"/>
      <c r="V481" s="54">
        <f>IF($B481="","",IF(_xludf.TEXTJOIN(" | ",TRUE,IF($B481="","Missing Title",""),IF($C481="","Missing Date",""),IF($D481="","Missing Start",""),IF($E481="","Missing End",""),IF($G481="","Missing Required Attendees",""),IF($T481="","Missing Status",""),IF(AND($D481&lt;&gt;"",$E481&lt;&gt;"",$D481&gt;=$E481),"Start&gt;=End",""),IF(OR($R481="",LEN($R481)&lt;60,ISNUMBER(MATCH(TRIM($R481),StatusList,0))),"Body overwritten/short",""))="","OK",_xludf.TEXTJOIN(" | ",TRUE,IF($B481="","Missing Title",""),IF($C481="","Missing Date",""),IF($D481="","Missing Start",""),IF($E481="","Missing End",""),IF($G481="","Missing Required Attendees",""),IF($T481="","Missing Status",""),IF(AND($D481&lt;&gt;"",$E481&lt;&gt;"",$D481&gt;=$E481),"Start&gt;=End",""),IF(OR($R481="",LEN($R481)&lt;60,ISNUMBER(MATCH(TRIM($R481),StatusList,0))),"Body overwritten/short",""))))</f>
        <v/>
      </c>
    </row>
    <row r="482" ht="12.75" customHeight="1">
      <c r="B482" s="25" t="n"/>
      <c r="C482" s="80" t="n"/>
      <c r="D482" s="77" t="n"/>
      <c r="E482" s="77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16">
        <f>IF($L482&lt;&gt;"","Purpose "&amp;CHAR(10)&amp;$L482&amp;CHAR(10)&amp;CHAR(10),"")&amp;
IF($M482&lt;&gt;"","Stops (in order) "&amp;CHAR(10)&amp;$M482&amp;CHAR(10)&amp;CHAR(10),"")&amp;
IF($N482&lt;&gt;"","To-Do (hard requirements) "&amp;CHAR(10)&amp;$N482&amp;CHAR(10)&amp;CHAR(10),"")&amp;
IF($O482&lt;&gt;"","Suggested Timeline "&amp;CHAR(10)&amp;$O482&amp;CHAR(10)&amp;CHAR(10),"")&amp;
IF($P482&lt;&gt;"","Guardrails "&amp;CHAR(10)&amp;$P482&amp;CHAR(10)&amp;CHAR(10),"")&amp;
IF($Q482&lt;&gt;"","Completion signals "&amp;CHAR(10)&amp;$Q482,"")</f>
        <v/>
      </c>
      <c r="S482" s="25" t="n"/>
      <c r="T482" s="25" t="n"/>
      <c r="U482" s="54" t="n"/>
      <c r="V482" s="54">
        <f>IF($B482="","",IF(_xludf.TEXTJOIN(" | ",TRUE,IF($B482="","Missing Title",""),IF($C482="","Missing Date",""),IF($D482="","Missing Start",""),IF($E482="","Missing End",""),IF($G482="","Missing Required Attendees",""),IF($T482="","Missing Status",""),IF(AND($D482&lt;&gt;"",$E482&lt;&gt;"",$D482&gt;=$E482),"Start&gt;=End",""),IF(OR($R482="",LEN($R482)&lt;60,ISNUMBER(MATCH(TRIM($R482),StatusList,0))),"Body overwritten/short",""))="","OK",_xludf.TEXTJOIN(" | ",TRUE,IF($B482="","Missing Title",""),IF($C482="","Missing Date",""),IF($D482="","Missing Start",""),IF($E482="","Missing End",""),IF($G482="","Missing Required Attendees",""),IF($T482="","Missing Status",""),IF(AND($D482&lt;&gt;"",$E482&lt;&gt;"",$D482&gt;=$E482),"Start&gt;=End",""),IF(OR($R482="",LEN($R482)&lt;60,ISNUMBER(MATCH(TRIM($R482),StatusList,0))),"Body overwritten/short",""))))</f>
        <v/>
      </c>
    </row>
    <row r="483" ht="12.75" customHeight="1">
      <c r="B483" s="25" t="n"/>
      <c r="C483" s="80" t="n"/>
      <c r="D483" s="77" t="n"/>
      <c r="E483" s="77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16">
        <f>IF($L483&lt;&gt;"","Purpose "&amp;CHAR(10)&amp;$L483&amp;CHAR(10)&amp;CHAR(10),"")&amp;
IF($M483&lt;&gt;"","Stops (in order) "&amp;CHAR(10)&amp;$M483&amp;CHAR(10)&amp;CHAR(10),"")&amp;
IF($N483&lt;&gt;"","To-Do (hard requirements) "&amp;CHAR(10)&amp;$N483&amp;CHAR(10)&amp;CHAR(10),"")&amp;
IF($O483&lt;&gt;"","Suggested Timeline "&amp;CHAR(10)&amp;$O483&amp;CHAR(10)&amp;CHAR(10),"")&amp;
IF($P483&lt;&gt;"","Guardrails "&amp;CHAR(10)&amp;$P483&amp;CHAR(10)&amp;CHAR(10),"")&amp;
IF($Q483&lt;&gt;"","Completion signals "&amp;CHAR(10)&amp;$Q483,"")</f>
        <v/>
      </c>
      <c r="S483" s="25" t="n"/>
      <c r="T483" s="25" t="n"/>
      <c r="U483" s="54" t="n"/>
      <c r="V483" s="54">
        <f>IF($B483="","",IF(_xludf.TEXTJOIN(" | ",TRUE,IF($B483="","Missing Title",""),IF($C483="","Missing Date",""),IF($D483="","Missing Start",""),IF($E483="","Missing End",""),IF($G483="","Missing Required Attendees",""),IF($T483="","Missing Status",""),IF(AND($D483&lt;&gt;"",$E483&lt;&gt;"",$D483&gt;=$E483),"Start&gt;=End",""),IF(OR($R483="",LEN($R483)&lt;60,ISNUMBER(MATCH(TRIM($R483),StatusList,0))),"Body overwritten/short",""))="","OK",_xludf.TEXTJOIN(" | ",TRUE,IF($B483="","Missing Title",""),IF($C483="","Missing Date",""),IF($D483="","Missing Start",""),IF($E483="","Missing End",""),IF($G483="","Missing Required Attendees",""),IF($T483="","Missing Status",""),IF(AND($D483&lt;&gt;"",$E483&lt;&gt;"",$D483&gt;=$E483),"Start&gt;=End",""),IF(OR($R483="",LEN($R483)&lt;60,ISNUMBER(MATCH(TRIM($R483),StatusList,0))),"Body overwritten/short",""))))</f>
        <v/>
      </c>
    </row>
    <row r="484" ht="12.75" customHeight="1">
      <c r="B484" s="25" t="n"/>
      <c r="C484" s="80" t="n"/>
      <c r="D484" s="77" t="n"/>
      <c r="E484" s="77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16">
        <f>IF($L484&lt;&gt;"","Purpose "&amp;CHAR(10)&amp;$L484&amp;CHAR(10)&amp;CHAR(10),"")&amp;
IF($M484&lt;&gt;"","Stops (in order) "&amp;CHAR(10)&amp;$M484&amp;CHAR(10)&amp;CHAR(10),"")&amp;
IF($N484&lt;&gt;"","To-Do (hard requirements) "&amp;CHAR(10)&amp;$N484&amp;CHAR(10)&amp;CHAR(10),"")&amp;
IF($O484&lt;&gt;"","Suggested Timeline "&amp;CHAR(10)&amp;$O484&amp;CHAR(10)&amp;CHAR(10),"")&amp;
IF($P484&lt;&gt;"","Guardrails "&amp;CHAR(10)&amp;$P484&amp;CHAR(10)&amp;CHAR(10),"")&amp;
IF($Q484&lt;&gt;"","Completion signals "&amp;CHAR(10)&amp;$Q484,"")</f>
        <v/>
      </c>
      <c r="S484" s="25" t="n"/>
      <c r="T484" s="25" t="n"/>
      <c r="U484" s="54" t="n"/>
      <c r="V484" s="54">
        <f>IF($B484="","",IF(_xludf.TEXTJOIN(" | ",TRUE,IF($B484="","Missing Title",""),IF($C484="","Missing Date",""),IF($D484="","Missing Start",""),IF($E484="","Missing End",""),IF($G484="","Missing Required Attendees",""),IF($T484="","Missing Status",""),IF(AND($D484&lt;&gt;"",$E484&lt;&gt;"",$D484&gt;=$E484),"Start&gt;=End",""),IF(OR($R484="",LEN($R484)&lt;60,ISNUMBER(MATCH(TRIM($R484),StatusList,0))),"Body overwritten/short",""))="","OK",_xludf.TEXTJOIN(" | ",TRUE,IF($B484="","Missing Title",""),IF($C484="","Missing Date",""),IF($D484="","Missing Start",""),IF($E484="","Missing End",""),IF($G484="","Missing Required Attendees",""),IF($T484="","Missing Status",""),IF(AND($D484&lt;&gt;"",$E484&lt;&gt;"",$D484&gt;=$E484),"Start&gt;=End",""),IF(OR($R484="",LEN($R484)&lt;60,ISNUMBER(MATCH(TRIM($R484),StatusList,0))),"Body overwritten/short",""))))</f>
        <v/>
      </c>
    </row>
    <row r="485" ht="12.75" customHeight="1">
      <c r="B485" s="25" t="n"/>
      <c r="C485" s="80" t="n"/>
      <c r="D485" s="77" t="n"/>
      <c r="E485" s="77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16">
        <f>IF($L485&lt;&gt;"","Purpose "&amp;CHAR(10)&amp;$L485&amp;CHAR(10)&amp;CHAR(10),"")&amp;
IF($M485&lt;&gt;"","Stops (in order) "&amp;CHAR(10)&amp;$M485&amp;CHAR(10)&amp;CHAR(10),"")&amp;
IF($N485&lt;&gt;"","To-Do (hard requirements) "&amp;CHAR(10)&amp;$N485&amp;CHAR(10)&amp;CHAR(10),"")&amp;
IF($O485&lt;&gt;"","Suggested Timeline "&amp;CHAR(10)&amp;$O485&amp;CHAR(10)&amp;CHAR(10),"")&amp;
IF($P485&lt;&gt;"","Guardrails "&amp;CHAR(10)&amp;$P485&amp;CHAR(10)&amp;CHAR(10),"")&amp;
IF($Q485&lt;&gt;"","Completion signals "&amp;CHAR(10)&amp;$Q485,"")</f>
        <v/>
      </c>
      <c r="S485" s="25" t="n"/>
      <c r="T485" s="25" t="n"/>
      <c r="U485" s="54" t="n"/>
      <c r="V485" s="54">
        <f>IF($B485="","",IF(_xludf.TEXTJOIN(" | ",TRUE,IF($B485="","Missing Title",""),IF($C485="","Missing Date",""),IF($D485="","Missing Start",""),IF($E485="","Missing End",""),IF($G485="","Missing Required Attendees",""),IF($T485="","Missing Status",""),IF(AND($D485&lt;&gt;"",$E485&lt;&gt;"",$D485&gt;=$E485),"Start&gt;=End",""),IF(OR($R485="",LEN($R485)&lt;60,ISNUMBER(MATCH(TRIM($R485),StatusList,0))),"Body overwritten/short",""))="","OK",_xludf.TEXTJOIN(" | ",TRUE,IF($B485="","Missing Title",""),IF($C485="","Missing Date",""),IF($D485="","Missing Start",""),IF($E485="","Missing End",""),IF($G485="","Missing Required Attendees",""),IF($T485="","Missing Status",""),IF(AND($D485&lt;&gt;"",$E485&lt;&gt;"",$D485&gt;=$E485),"Start&gt;=End",""),IF(OR($R485="",LEN($R485)&lt;60,ISNUMBER(MATCH(TRIM($R485),StatusList,0))),"Body overwritten/short",""))))</f>
        <v/>
      </c>
    </row>
    <row r="486" ht="12.75" customHeight="1">
      <c r="B486" s="25" t="n"/>
      <c r="C486" s="80" t="n"/>
      <c r="D486" s="77" t="n"/>
      <c r="E486" s="77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16">
        <f>IF($L486&lt;&gt;"","Purpose "&amp;CHAR(10)&amp;$L486&amp;CHAR(10)&amp;CHAR(10),"")&amp;
IF($M486&lt;&gt;"","Stops (in order) "&amp;CHAR(10)&amp;$M486&amp;CHAR(10)&amp;CHAR(10),"")&amp;
IF($N486&lt;&gt;"","To-Do (hard requirements) "&amp;CHAR(10)&amp;$N486&amp;CHAR(10)&amp;CHAR(10),"")&amp;
IF($O486&lt;&gt;"","Suggested Timeline "&amp;CHAR(10)&amp;$O486&amp;CHAR(10)&amp;CHAR(10),"")&amp;
IF($P486&lt;&gt;"","Guardrails "&amp;CHAR(10)&amp;$P486&amp;CHAR(10)&amp;CHAR(10),"")&amp;
IF($Q486&lt;&gt;"","Completion signals "&amp;CHAR(10)&amp;$Q486,"")</f>
        <v/>
      </c>
      <c r="S486" s="25" t="n"/>
      <c r="T486" s="25" t="n"/>
      <c r="U486" s="54" t="n"/>
      <c r="V486" s="54">
        <f>IF($B486="","",IF(_xludf.TEXTJOIN(" | ",TRUE,IF($B486="","Missing Title",""),IF($C486="","Missing Date",""),IF($D486="","Missing Start",""),IF($E486="","Missing End",""),IF($G486="","Missing Required Attendees",""),IF($T486="","Missing Status",""),IF(AND($D486&lt;&gt;"",$E486&lt;&gt;"",$D486&gt;=$E486),"Start&gt;=End",""),IF(OR($R486="",LEN($R486)&lt;60,ISNUMBER(MATCH(TRIM($R486),StatusList,0))),"Body overwritten/short",""))="","OK",_xludf.TEXTJOIN(" | ",TRUE,IF($B486="","Missing Title",""),IF($C486="","Missing Date",""),IF($D486="","Missing Start",""),IF($E486="","Missing End",""),IF($G486="","Missing Required Attendees",""),IF($T486="","Missing Status",""),IF(AND($D486&lt;&gt;"",$E486&lt;&gt;"",$D486&gt;=$E486),"Start&gt;=End",""),IF(OR($R486="",LEN($R486)&lt;60,ISNUMBER(MATCH(TRIM($R486),StatusList,0))),"Body overwritten/short",""))))</f>
        <v/>
      </c>
    </row>
    <row r="487" ht="12.75" customHeight="1">
      <c r="B487" s="25" t="n"/>
      <c r="C487" s="80" t="n"/>
      <c r="D487" s="77" t="n"/>
      <c r="E487" s="77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16">
        <f>IF($L487&lt;&gt;"","Purpose "&amp;CHAR(10)&amp;$L487&amp;CHAR(10)&amp;CHAR(10),"")&amp;
IF($M487&lt;&gt;"","Stops (in order) "&amp;CHAR(10)&amp;$M487&amp;CHAR(10)&amp;CHAR(10),"")&amp;
IF($N487&lt;&gt;"","To-Do (hard requirements) "&amp;CHAR(10)&amp;$N487&amp;CHAR(10)&amp;CHAR(10),"")&amp;
IF($O487&lt;&gt;"","Suggested Timeline "&amp;CHAR(10)&amp;$O487&amp;CHAR(10)&amp;CHAR(10),"")&amp;
IF($P487&lt;&gt;"","Guardrails "&amp;CHAR(10)&amp;$P487&amp;CHAR(10)&amp;CHAR(10),"")&amp;
IF($Q487&lt;&gt;"","Completion signals "&amp;CHAR(10)&amp;$Q487,"")</f>
        <v/>
      </c>
      <c r="S487" s="25" t="n"/>
      <c r="T487" s="25" t="n"/>
      <c r="U487" s="54" t="n"/>
      <c r="V487" s="54">
        <f>IF($B487="","",IF(_xludf.TEXTJOIN(" | ",TRUE,IF($B487="","Missing Title",""),IF($C487="","Missing Date",""),IF($D487="","Missing Start",""),IF($E487="","Missing End",""),IF($G487="","Missing Required Attendees",""),IF($T487="","Missing Status",""),IF(AND($D487&lt;&gt;"",$E487&lt;&gt;"",$D487&gt;=$E487),"Start&gt;=End",""),IF(OR($R487="",LEN($R487)&lt;60,ISNUMBER(MATCH(TRIM($R487),StatusList,0))),"Body overwritten/short",""))="","OK",_xludf.TEXTJOIN(" | ",TRUE,IF($B487="","Missing Title",""),IF($C487="","Missing Date",""),IF($D487="","Missing Start",""),IF($E487="","Missing End",""),IF($G487="","Missing Required Attendees",""),IF($T487="","Missing Status",""),IF(AND($D487&lt;&gt;"",$E487&lt;&gt;"",$D487&gt;=$E487),"Start&gt;=End",""),IF(OR($R487="",LEN($R487)&lt;60,ISNUMBER(MATCH(TRIM($R487),StatusList,0))),"Body overwritten/short",""))))</f>
        <v/>
      </c>
    </row>
    <row r="488" ht="12.75" customHeight="1">
      <c r="B488" s="25" t="n"/>
      <c r="C488" s="80" t="n"/>
      <c r="D488" s="77" t="n"/>
      <c r="E488" s="77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16">
        <f>IF($L488&lt;&gt;"","Purpose "&amp;CHAR(10)&amp;$L488&amp;CHAR(10)&amp;CHAR(10),"")&amp;
IF($M488&lt;&gt;"","Stops (in order) "&amp;CHAR(10)&amp;$M488&amp;CHAR(10)&amp;CHAR(10),"")&amp;
IF($N488&lt;&gt;"","To-Do (hard requirements) "&amp;CHAR(10)&amp;$N488&amp;CHAR(10)&amp;CHAR(10),"")&amp;
IF($O488&lt;&gt;"","Suggested Timeline "&amp;CHAR(10)&amp;$O488&amp;CHAR(10)&amp;CHAR(10),"")&amp;
IF($P488&lt;&gt;"","Guardrails "&amp;CHAR(10)&amp;$P488&amp;CHAR(10)&amp;CHAR(10),"")&amp;
IF($Q488&lt;&gt;"","Completion signals "&amp;CHAR(10)&amp;$Q488,"")</f>
        <v/>
      </c>
      <c r="S488" s="25" t="n"/>
      <c r="T488" s="25" t="n"/>
      <c r="U488" s="54" t="n"/>
      <c r="V488" s="54">
        <f>IF($B488="","",IF(_xludf.TEXTJOIN(" | ",TRUE,IF($B488="","Missing Title",""),IF($C488="","Missing Date",""),IF($D488="","Missing Start",""),IF($E488="","Missing End",""),IF($G488="","Missing Required Attendees",""),IF($T488="","Missing Status",""),IF(AND($D488&lt;&gt;"",$E488&lt;&gt;"",$D488&gt;=$E488),"Start&gt;=End",""),IF(OR($R488="",LEN($R488)&lt;60,ISNUMBER(MATCH(TRIM($R488),StatusList,0))),"Body overwritten/short",""))="","OK",_xludf.TEXTJOIN(" | ",TRUE,IF($B488="","Missing Title",""),IF($C488="","Missing Date",""),IF($D488="","Missing Start",""),IF($E488="","Missing End",""),IF($G488="","Missing Required Attendees",""),IF($T488="","Missing Status",""),IF(AND($D488&lt;&gt;"",$E488&lt;&gt;"",$D488&gt;=$E488),"Start&gt;=End",""),IF(OR($R488="",LEN($R488)&lt;60,ISNUMBER(MATCH(TRIM($R488),StatusList,0))),"Body overwritten/short",""))))</f>
        <v/>
      </c>
    </row>
    <row r="489" ht="12.75" customHeight="1">
      <c r="B489" s="25" t="n"/>
      <c r="C489" s="80" t="n"/>
      <c r="D489" s="77" t="n"/>
      <c r="E489" s="77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16">
        <f>IF($L489&lt;&gt;"","Purpose "&amp;CHAR(10)&amp;$L489&amp;CHAR(10)&amp;CHAR(10),"")&amp;
IF($M489&lt;&gt;"","Stops (in order) "&amp;CHAR(10)&amp;$M489&amp;CHAR(10)&amp;CHAR(10),"")&amp;
IF($N489&lt;&gt;"","To-Do (hard requirements) "&amp;CHAR(10)&amp;$N489&amp;CHAR(10)&amp;CHAR(10),"")&amp;
IF($O489&lt;&gt;"","Suggested Timeline "&amp;CHAR(10)&amp;$O489&amp;CHAR(10)&amp;CHAR(10),"")&amp;
IF($P489&lt;&gt;"","Guardrails "&amp;CHAR(10)&amp;$P489&amp;CHAR(10)&amp;CHAR(10),"")&amp;
IF($Q489&lt;&gt;"","Completion signals "&amp;CHAR(10)&amp;$Q489,"")</f>
        <v/>
      </c>
      <c r="S489" s="25" t="n"/>
      <c r="T489" s="25" t="n"/>
      <c r="U489" s="54" t="n"/>
      <c r="V489" s="54">
        <f>IF($B489="","",IF(_xludf.TEXTJOIN(" | ",TRUE,IF($B489="","Missing Title",""),IF($C489="","Missing Date",""),IF($D489="","Missing Start",""),IF($E489="","Missing End",""),IF($G489="","Missing Required Attendees",""),IF($T489="","Missing Status",""),IF(AND($D489&lt;&gt;"",$E489&lt;&gt;"",$D489&gt;=$E489),"Start&gt;=End",""),IF(OR($R489="",LEN($R489)&lt;60,ISNUMBER(MATCH(TRIM($R489),StatusList,0))),"Body overwritten/short",""))="","OK",_xludf.TEXTJOIN(" | ",TRUE,IF($B489="","Missing Title",""),IF($C489="","Missing Date",""),IF($D489="","Missing Start",""),IF($E489="","Missing End",""),IF($G489="","Missing Required Attendees",""),IF($T489="","Missing Status",""),IF(AND($D489&lt;&gt;"",$E489&lt;&gt;"",$D489&gt;=$E489),"Start&gt;=End",""),IF(OR($R489="",LEN($R489)&lt;60,ISNUMBER(MATCH(TRIM($R489),StatusList,0))),"Body overwritten/short",""))))</f>
        <v/>
      </c>
    </row>
    <row r="490" ht="12.75" customHeight="1">
      <c r="B490" s="25" t="n"/>
      <c r="C490" s="80" t="n"/>
      <c r="D490" s="77" t="n"/>
      <c r="E490" s="77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16">
        <f>IF($L490&lt;&gt;"","Purpose "&amp;CHAR(10)&amp;$L490&amp;CHAR(10)&amp;CHAR(10),"")&amp;
IF($M490&lt;&gt;"","Stops (in order) "&amp;CHAR(10)&amp;$M490&amp;CHAR(10)&amp;CHAR(10),"")&amp;
IF($N490&lt;&gt;"","To-Do (hard requirements) "&amp;CHAR(10)&amp;$N490&amp;CHAR(10)&amp;CHAR(10),"")&amp;
IF($O490&lt;&gt;"","Suggested Timeline "&amp;CHAR(10)&amp;$O490&amp;CHAR(10)&amp;CHAR(10),"")&amp;
IF($P490&lt;&gt;"","Guardrails "&amp;CHAR(10)&amp;$P490&amp;CHAR(10)&amp;CHAR(10),"")&amp;
IF($Q490&lt;&gt;"","Completion signals "&amp;CHAR(10)&amp;$Q490,"")</f>
        <v/>
      </c>
      <c r="S490" s="25" t="n"/>
      <c r="T490" s="25" t="n"/>
      <c r="U490" s="54" t="n"/>
      <c r="V490" s="54">
        <f>IF($B490="","",IF(_xludf.TEXTJOIN(" | ",TRUE,IF($B490="","Missing Title",""),IF($C490="","Missing Date",""),IF($D490="","Missing Start",""),IF($E490="","Missing End",""),IF($G490="","Missing Required Attendees",""),IF($T490="","Missing Status",""),IF(AND($D490&lt;&gt;"",$E490&lt;&gt;"",$D490&gt;=$E490),"Start&gt;=End",""),IF(OR($R490="",LEN($R490)&lt;60,ISNUMBER(MATCH(TRIM($R490),StatusList,0))),"Body overwritten/short",""))="","OK",_xludf.TEXTJOIN(" | ",TRUE,IF($B490="","Missing Title",""),IF($C490="","Missing Date",""),IF($D490="","Missing Start",""),IF($E490="","Missing End",""),IF($G490="","Missing Required Attendees",""),IF($T490="","Missing Status",""),IF(AND($D490&lt;&gt;"",$E490&lt;&gt;"",$D490&gt;=$E490),"Start&gt;=End",""),IF(OR($R490="",LEN($R490)&lt;60,ISNUMBER(MATCH(TRIM($R490),StatusList,0))),"Body overwritten/short",""))))</f>
        <v/>
      </c>
    </row>
    <row r="491" ht="12.75" customHeight="1">
      <c r="B491" s="25" t="n"/>
      <c r="C491" s="80" t="n"/>
      <c r="D491" s="77" t="n"/>
      <c r="E491" s="77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16">
        <f>IF($L491&lt;&gt;"","Purpose "&amp;CHAR(10)&amp;$L491&amp;CHAR(10)&amp;CHAR(10),"")&amp;
IF($M491&lt;&gt;"","Stops (in order) "&amp;CHAR(10)&amp;$M491&amp;CHAR(10)&amp;CHAR(10),"")&amp;
IF($N491&lt;&gt;"","To-Do (hard requirements) "&amp;CHAR(10)&amp;$N491&amp;CHAR(10)&amp;CHAR(10),"")&amp;
IF($O491&lt;&gt;"","Suggested Timeline "&amp;CHAR(10)&amp;$O491&amp;CHAR(10)&amp;CHAR(10),"")&amp;
IF($P491&lt;&gt;"","Guardrails "&amp;CHAR(10)&amp;$P491&amp;CHAR(10)&amp;CHAR(10),"")&amp;
IF($Q491&lt;&gt;"","Completion signals "&amp;CHAR(10)&amp;$Q491,"")</f>
        <v/>
      </c>
      <c r="S491" s="25" t="n"/>
      <c r="T491" s="25" t="n"/>
      <c r="U491" s="54" t="n"/>
      <c r="V491" s="54">
        <f>IF($B491="","",IF(_xludf.TEXTJOIN(" | ",TRUE,IF($B491="","Missing Title",""),IF($C491="","Missing Date",""),IF($D491="","Missing Start",""),IF($E491="","Missing End",""),IF($G491="","Missing Required Attendees",""),IF($T491="","Missing Status",""),IF(AND($D491&lt;&gt;"",$E491&lt;&gt;"",$D491&gt;=$E491),"Start&gt;=End",""),IF(OR($R491="",LEN($R491)&lt;60,ISNUMBER(MATCH(TRIM($R491),StatusList,0))),"Body overwritten/short",""))="","OK",_xludf.TEXTJOIN(" | ",TRUE,IF($B491="","Missing Title",""),IF($C491="","Missing Date",""),IF($D491="","Missing Start",""),IF($E491="","Missing End",""),IF($G491="","Missing Required Attendees",""),IF($T491="","Missing Status",""),IF(AND($D491&lt;&gt;"",$E491&lt;&gt;"",$D491&gt;=$E491),"Start&gt;=End",""),IF(OR($R491="",LEN($R491)&lt;60,ISNUMBER(MATCH(TRIM($R491),StatusList,0))),"Body overwritten/short",""))))</f>
        <v/>
      </c>
    </row>
    <row r="492" ht="12.75" customHeight="1">
      <c r="B492" s="25" t="n"/>
      <c r="C492" s="80" t="n"/>
      <c r="D492" s="77" t="n"/>
      <c r="E492" s="77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16">
        <f>IF($L492&lt;&gt;"","Purpose "&amp;CHAR(10)&amp;$L492&amp;CHAR(10)&amp;CHAR(10),"")&amp;
IF($M492&lt;&gt;"","Stops (in order) "&amp;CHAR(10)&amp;$M492&amp;CHAR(10)&amp;CHAR(10),"")&amp;
IF($N492&lt;&gt;"","To-Do (hard requirements) "&amp;CHAR(10)&amp;$N492&amp;CHAR(10)&amp;CHAR(10),"")&amp;
IF($O492&lt;&gt;"","Suggested Timeline "&amp;CHAR(10)&amp;$O492&amp;CHAR(10)&amp;CHAR(10),"")&amp;
IF($P492&lt;&gt;"","Guardrails "&amp;CHAR(10)&amp;$P492&amp;CHAR(10)&amp;CHAR(10),"")&amp;
IF($Q492&lt;&gt;"","Completion signals "&amp;CHAR(10)&amp;$Q492,"")</f>
        <v/>
      </c>
      <c r="S492" s="25" t="n"/>
      <c r="T492" s="25" t="n"/>
      <c r="U492" s="54" t="n"/>
      <c r="V492" s="54">
        <f>IF($B492="","",IF(_xludf.TEXTJOIN(" | ",TRUE,IF($B492="","Missing Title",""),IF($C492="","Missing Date",""),IF($D492="","Missing Start",""),IF($E492="","Missing End",""),IF($G492="","Missing Required Attendees",""),IF($T492="","Missing Status",""),IF(AND($D492&lt;&gt;"",$E492&lt;&gt;"",$D492&gt;=$E492),"Start&gt;=End",""),IF(OR($R492="",LEN($R492)&lt;60,ISNUMBER(MATCH(TRIM($R492),StatusList,0))),"Body overwritten/short",""))="","OK",_xludf.TEXTJOIN(" | ",TRUE,IF($B492="","Missing Title",""),IF($C492="","Missing Date",""),IF($D492="","Missing Start",""),IF($E492="","Missing End",""),IF($G492="","Missing Required Attendees",""),IF($T492="","Missing Status",""),IF(AND($D492&lt;&gt;"",$E492&lt;&gt;"",$D492&gt;=$E492),"Start&gt;=End",""),IF(OR($R492="",LEN($R492)&lt;60,ISNUMBER(MATCH(TRIM($R492),StatusList,0))),"Body overwritten/short",""))))</f>
        <v/>
      </c>
    </row>
    <row r="493" ht="12.75" customHeight="1">
      <c r="B493" s="25" t="n"/>
      <c r="C493" s="80" t="n"/>
      <c r="D493" s="77" t="n"/>
      <c r="E493" s="77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16">
        <f>IF($L493&lt;&gt;"","Purpose "&amp;CHAR(10)&amp;$L493&amp;CHAR(10)&amp;CHAR(10),"")&amp;
IF($M493&lt;&gt;"","Stops (in order) "&amp;CHAR(10)&amp;$M493&amp;CHAR(10)&amp;CHAR(10),"")&amp;
IF($N493&lt;&gt;"","To-Do (hard requirements) "&amp;CHAR(10)&amp;$N493&amp;CHAR(10)&amp;CHAR(10),"")&amp;
IF($O493&lt;&gt;"","Suggested Timeline "&amp;CHAR(10)&amp;$O493&amp;CHAR(10)&amp;CHAR(10),"")&amp;
IF($P493&lt;&gt;"","Guardrails "&amp;CHAR(10)&amp;$P493&amp;CHAR(10)&amp;CHAR(10),"")&amp;
IF($Q493&lt;&gt;"","Completion signals "&amp;CHAR(10)&amp;$Q493,"")</f>
        <v/>
      </c>
      <c r="S493" s="25" t="n"/>
      <c r="T493" s="25" t="n"/>
      <c r="U493" s="54" t="n"/>
      <c r="V493" s="54">
        <f>IF($B493="","",IF(_xludf.TEXTJOIN(" | ",TRUE,IF($B493="","Missing Title",""),IF($C493="","Missing Date",""),IF($D493="","Missing Start",""),IF($E493="","Missing End",""),IF($G493="","Missing Required Attendees",""),IF($T493="","Missing Status",""),IF(AND($D493&lt;&gt;"",$E493&lt;&gt;"",$D493&gt;=$E493),"Start&gt;=End",""),IF(OR($R493="",LEN($R493)&lt;60,ISNUMBER(MATCH(TRIM($R493),StatusList,0))),"Body overwritten/short",""))="","OK",_xludf.TEXTJOIN(" | ",TRUE,IF($B493="","Missing Title",""),IF($C493="","Missing Date",""),IF($D493="","Missing Start",""),IF($E493="","Missing End",""),IF($G493="","Missing Required Attendees",""),IF($T493="","Missing Status",""),IF(AND($D493&lt;&gt;"",$E493&lt;&gt;"",$D493&gt;=$E493),"Start&gt;=End",""),IF(OR($R493="",LEN($R493)&lt;60,ISNUMBER(MATCH(TRIM($R493),StatusList,0))),"Body overwritten/short",""))))</f>
        <v/>
      </c>
    </row>
    <row r="494" ht="12.75" customHeight="1">
      <c r="B494" s="25" t="n"/>
      <c r="C494" s="80" t="n"/>
      <c r="D494" s="77" t="n"/>
      <c r="E494" s="77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16">
        <f>IF($L494&lt;&gt;"","Purpose "&amp;CHAR(10)&amp;$L494&amp;CHAR(10)&amp;CHAR(10),"")&amp;
IF($M494&lt;&gt;"","Stops (in order) "&amp;CHAR(10)&amp;$M494&amp;CHAR(10)&amp;CHAR(10),"")&amp;
IF($N494&lt;&gt;"","To-Do (hard requirements) "&amp;CHAR(10)&amp;$N494&amp;CHAR(10)&amp;CHAR(10),"")&amp;
IF($O494&lt;&gt;"","Suggested Timeline "&amp;CHAR(10)&amp;$O494&amp;CHAR(10)&amp;CHAR(10),"")&amp;
IF($P494&lt;&gt;"","Guardrails "&amp;CHAR(10)&amp;$P494&amp;CHAR(10)&amp;CHAR(10),"")&amp;
IF($Q494&lt;&gt;"","Completion signals "&amp;CHAR(10)&amp;$Q494,"")</f>
        <v/>
      </c>
      <c r="S494" s="25" t="n"/>
      <c r="T494" s="25" t="n"/>
      <c r="U494" s="54" t="n"/>
      <c r="V494" s="54">
        <f>IF($B494="","",IF(_xludf.TEXTJOIN(" | ",TRUE,IF($B494="","Missing Title",""),IF($C494="","Missing Date",""),IF($D494="","Missing Start",""),IF($E494="","Missing End",""),IF($G494="","Missing Required Attendees",""),IF($T494="","Missing Status",""),IF(AND($D494&lt;&gt;"",$E494&lt;&gt;"",$D494&gt;=$E494),"Start&gt;=End",""),IF(OR($R494="",LEN($R494)&lt;60,ISNUMBER(MATCH(TRIM($R494),StatusList,0))),"Body overwritten/short",""))="","OK",_xludf.TEXTJOIN(" | ",TRUE,IF($B494="","Missing Title",""),IF($C494="","Missing Date",""),IF($D494="","Missing Start",""),IF($E494="","Missing End",""),IF($G494="","Missing Required Attendees",""),IF($T494="","Missing Status",""),IF(AND($D494&lt;&gt;"",$E494&lt;&gt;"",$D494&gt;=$E494),"Start&gt;=End",""),IF(OR($R494="",LEN($R494)&lt;60,ISNUMBER(MATCH(TRIM($R494),StatusList,0))),"Body overwritten/short",""))))</f>
        <v/>
      </c>
    </row>
    <row r="495" ht="12.75" customHeight="1">
      <c r="B495" s="25" t="n"/>
      <c r="C495" s="80" t="n"/>
      <c r="D495" s="77" t="n"/>
      <c r="E495" s="77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16">
        <f>IF($L495&lt;&gt;"","Purpose "&amp;CHAR(10)&amp;$L495&amp;CHAR(10)&amp;CHAR(10),"")&amp;
IF($M495&lt;&gt;"","Stops (in order) "&amp;CHAR(10)&amp;$M495&amp;CHAR(10)&amp;CHAR(10),"")&amp;
IF($N495&lt;&gt;"","To-Do (hard requirements) "&amp;CHAR(10)&amp;$N495&amp;CHAR(10)&amp;CHAR(10),"")&amp;
IF($O495&lt;&gt;"","Suggested Timeline "&amp;CHAR(10)&amp;$O495&amp;CHAR(10)&amp;CHAR(10),"")&amp;
IF($P495&lt;&gt;"","Guardrails "&amp;CHAR(10)&amp;$P495&amp;CHAR(10)&amp;CHAR(10),"")&amp;
IF($Q495&lt;&gt;"","Completion signals "&amp;CHAR(10)&amp;$Q495,"")</f>
        <v/>
      </c>
      <c r="S495" s="25" t="n"/>
      <c r="T495" s="25" t="n"/>
      <c r="U495" s="54" t="n"/>
      <c r="V495" s="54">
        <f>IF($B495="","",IF(_xludf.TEXTJOIN(" | ",TRUE,IF($B495="","Missing Title",""),IF($C495="","Missing Date",""),IF($D495="","Missing Start",""),IF($E495="","Missing End",""),IF($G495="","Missing Required Attendees",""),IF($T495="","Missing Status",""),IF(AND($D495&lt;&gt;"",$E495&lt;&gt;"",$D495&gt;=$E495),"Start&gt;=End",""),IF(OR($R495="",LEN($R495)&lt;60,ISNUMBER(MATCH(TRIM($R495),StatusList,0))),"Body overwritten/short",""))="","OK",_xludf.TEXTJOIN(" | ",TRUE,IF($B495="","Missing Title",""),IF($C495="","Missing Date",""),IF($D495="","Missing Start",""),IF($E495="","Missing End",""),IF($G495="","Missing Required Attendees",""),IF($T495="","Missing Status",""),IF(AND($D495&lt;&gt;"",$E495&lt;&gt;"",$D495&gt;=$E495),"Start&gt;=End",""),IF(OR($R495="",LEN($R495)&lt;60,ISNUMBER(MATCH(TRIM($R495),StatusList,0))),"Body overwritten/short",""))))</f>
        <v/>
      </c>
    </row>
    <row r="496" ht="12.75" customHeight="1">
      <c r="B496" s="25" t="n"/>
      <c r="C496" s="80" t="n"/>
      <c r="D496" s="77" t="n"/>
      <c r="E496" s="77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16">
        <f>IF($L496&lt;&gt;"","Purpose "&amp;CHAR(10)&amp;$L496&amp;CHAR(10)&amp;CHAR(10),"")&amp;
IF($M496&lt;&gt;"","Stops (in order) "&amp;CHAR(10)&amp;$M496&amp;CHAR(10)&amp;CHAR(10),"")&amp;
IF($N496&lt;&gt;"","To-Do (hard requirements) "&amp;CHAR(10)&amp;$N496&amp;CHAR(10)&amp;CHAR(10),"")&amp;
IF($O496&lt;&gt;"","Suggested Timeline "&amp;CHAR(10)&amp;$O496&amp;CHAR(10)&amp;CHAR(10),"")&amp;
IF($P496&lt;&gt;"","Guardrails "&amp;CHAR(10)&amp;$P496&amp;CHAR(10)&amp;CHAR(10),"")&amp;
IF($Q496&lt;&gt;"","Completion signals "&amp;CHAR(10)&amp;$Q496,"")</f>
        <v/>
      </c>
      <c r="S496" s="25" t="n"/>
      <c r="T496" s="25" t="n"/>
      <c r="U496" s="54" t="n"/>
      <c r="V496" s="54">
        <f>IF($B496="","",IF(_xludf.TEXTJOIN(" | ",TRUE,IF($B496="","Missing Title",""),IF($C496="","Missing Date",""),IF($D496="","Missing Start",""),IF($E496="","Missing End",""),IF($G496="","Missing Required Attendees",""),IF($T496="","Missing Status",""),IF(AND($D496&lt;&gt;"",$E496&lt;&gt;"",$D496&gt;=$E496),"Start&gt;=End",""),IF(OR($R496="",LEN($R496)&lt;60,ISNUMBER(MATCH(TRIM($R496),StatusList,0))),"Body overwritten/short",""))="","OK",_xludf.TEXTJOIN(" | ",TRUE,IF($B496="","Missing Title",""),IF($C496="","Missing Date",""),IF($D496="","Missing Start",""),IF($E496="","Missing End",""),IF($G496="","Missing Required Attendees",""),IF($T496="","Missing Status",""),IF(AND($D496&lt;&gt;"",$E496&lt;&gt;"",$D496&gt;=$E496),"Start&gt;=End",""),IF(OR($R496="",LEN($R496)&lt;60,ISNUMBER(MATCH(TRIM($R496),StatusList,0))),"Body overwritten/short",""))))</f>
        <v/>
      </c>
    </row>
    <row r="497" ht="12.75" customHeight="1">
      <c r="B497" s="25" t="n"/>
      <c r="C497" s="80" t="n"/>
      <c r="D497" s="77" t="n"/>
      <c r="E497" s="77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16">
        <f>IF($L497&lt;&gt;"","Purpose "&amp;CHAR(10)&amp;$L497&amp;CHAR(10)&amp;CHAR(10),"")&amp;
IF($M497&lt;&gt;"","Stops (in order) "&amp;CHAR(10)&amp;$M497&amp;CHAR(10)&amp;CHAR(10),"")&amp;
IF($N497&lt;&gt;"","To-Do (hard requirements) "&amp;CHAR(10)&amp;$N497&amp;CHAR(10)&amp;CHAR(10),"")&amp;
IF($O497&lt;&gt;"","Suggested Timeline "&amp;CHAR(10)&amp;$O497&amp;CHAR(10)&amp;CHAR(10),"")&amp;
IF($P497&lt;&gt;"","Guardrails "&amp;CHAR(10)&amp;$P497&amp;CHAR(10)&amp;CHAR(10),"")&amp;
IF($Q497&lt;&gt;"","Completion signals "&amp;CHAR(10)&amp;$Q497,"")</f>
        <v/>
      </c>
      <c r="S497" s="25" t="n"/>
      <c r="T497" s="25" t="n"/>
      <c r="U497" s="54" t="n"/>
      <c r="V497" s="54">
        <f>IF($B497="","",IF(_xludf.TEXTJOIN(" | ",TRUE,IF($B497="","Missing Title",""),IF($C497="","Missing Date",""),IF($D497="","Missing Start",""),IF($E497="","Missing End",""),IF($G497="","Missing Required Attendees",""),IF($T497="","Missing Status",""),IF(AND($D497&lt;&gt;"",$E497&lt;&gt;"",$D497&gt;=$E497),"Start&gt;=End",""),IF(OR($R497="",LEN($R497)&lt;60,ISNUMBER(MATCH(TRIM($R497),StatusList,0))),"Body overwritten/short",""))="","OK",_xludf.TEXTJOIN(" | ",TRUE,IF($B497="","Missing Title",""),IF($C497="","Missing Date",""),IF($D497="","Missing Start",""),IF($E497="","Missing End",""),IF($G497="","Missing Required Attendees",""),IF($T497="","Missing Status",""),IF(AND($D497&lt;&gt;"",$E497&lt;&gt;"",$D497&gt;=$E497),"Start&gt;=End",""),IF(OR($R497="",LEN($R497)&lt;60,ISNUMBER(MATCH(TRIM($R497),StatusList,0))),"Body overwritten/short",""))))</f>
        <v/>
      </c>
    </row>
    <row r="498" ht="12.75" customHeight="1">
      <c r="B498" s="25" t="n"/>
      <c r="C498" s="80" t="n"/>
      <c r="D498" s="77" t="n"/>
      <c r="E498" s="77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16">
        <f>IF($L498&lt;&gt;"","Purpose "&amp;CHAR(10)&amp;$L498&amp;CHAR(10)&amp;CHAR(10),"")&amp;
IF($M498&lt;&gt;"","Stops (in order) "&amp;CHAR(10)&amp;$M498&amp;CHAR(10)&amp;CHAR(10),"")&amp;
IF($N498&lt;&gt;"","To-Do (hard requirements) "&amp;CHAR(10)&amp;$N498&amp;CHAR(10)&amp;CHAR(10),"")&amp;
IF($O498&lt;&gt;"","Suggested Timeline "&amp;CHAR(10)&amp;$O498&amp;CHAR(10)&amp;CHAR(10),"")&amp;
IF($P498&lt;&gt;"","Guardrails "&amp;CHAR(10)&amp;$P498&amp;CHAR(10)&amp;CHAR(10),"")&amp;
IF($Q498&lt;&gt;"","Completion signals "&amp;CHAR(10)&amp;$Q498,"")</f>
        <v/>
      </c>
      <c r="S498" s="25" t="n"/>
      <c r="T498" s="25" t="n"/>
      <c r="U498" s="54" t="n"/>
      <c r="V498" s="54">
        <f>IF($B498="","",IF(_xludf.TEXTJOIN(" | ",TRUE,IF($B498="","Missing Title",""),IF($C498="","Missing Date",""),IF($D498="","Missing Start",""),IF($E498="","Missing End",""),IF($G498="","Missing Required Attendees",""),IF($T498="","Missing Status",""),IF(AND($D498&lt;&gt;"",$E498&lt;&gt;"",$D498&gt;=$E498),"Start&gt;=End",""),IF(OR($R498="",LEN($R498)&lt;60,ISNUMBER(MATCH(TRIM($R498),StatusList,0))),"Body overwritten/short",""))="","OK",_xludf.TEXTJOIN(" | ",TRUE,IF($B498="","Missing Title",""),IF($C498="","Missing Date",""),IF($D498="","Missing Start",""),IF($E498="","Missing End",""),IF($G498="","Missing Required Attendees",""),IF($T498="","Missing Status",""),IF(AND($D498&lt;&gt;"",$E498&lt;&gt;"",$D498&gt;=$E498),"Start&gt;=End",""),IF(OR($R498="",LEN($R498)&lt;60,ISNUMBER(MATCH(TRIM($R498),StatusList,0))),"Body overwritten/short",""))))</f>
        <v/>
      </c>
    </row>
    <row r="499" ht="12.75" customHeight="1">
      <c r="B499" s="25" t="n"/>
      <c r="C499" s="80" t="n"/>
      <c r="D499" s="77" t="n"/>
      <c r="E499" s="77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16">
        <f>IF($L499&lt;&gt;"","Purpose "&amp;CHAR(10)&amp;$L499&amp;CHAR(10)&amp;CHAR(10),"")&amp;
IF($M499&lt;&gt;"","Stops (in order) "&amp;CHAR(10)&amp;$M499&amp;CHAR(10)&amp;CHAR(10),"")&amp;
IF($N499&lt;&gt;"","To-Do (hard requirements) "&amp;CHAR(10)&amp;$N499&amp;CHAR(10)&amp;CHAR(10),"")&amp;
IF($O499&lt;&gt;"","Suggested Timeline "&amp;CHAR(10)&amp;$O499&amp;CHAR(10)&amp;CHAR(10),"")&amp;
IF($P499&lt;&gt;"","Guardrails "&amp;CHAR(10)&amp;$P499&amp;CHAR(10)&amp;CHAR(10),"")&amp;
IF($Q499&lt;&gt;"","Completion signals "&amp;CHAR(10)&amp;$Q499,"")</f>
        <v/>
      </c>
      <c r="S499" s="25" t="n"/>
      <c r="T499" s="25" t="n"/>
      <c r="U499" s="54" t="n"/>
      <c r="V499" s="54">
        <f>IF($B499="","",IF(_xludf.TEXTJOIN(" | ",TRUE,IF($B499="","Missing Title",""),IF($C499="","Missing Date",""),IF($D499="","Missing Start",""),IF($E499="","Missing End",""),IF($G499="","Missing Required Attendees",""),IF($T499="","Missing Status",""),IF(AND($D499&lt;&gt;"",$E499&lt;&gt;"",$D499&gt;=$E499),"Start&gt;=End",""),IF(OR($R499="",LEN($R499)&lt;60,ISNUMBER(MATCH(TRIM($R499),StatusList,0))),"Body overwritten/short",""))="","OK",_xludf.TEXTJOIN(" | ",TRUE,IF($B499="","Missing Title",""),IF($C499="","Missing Date",""),IF($D499="","Missing Start",""),IF($E499="","Missing End",""),IF($G499="","Missing Required Attendees",""),IF($T499="","Missing Status",""),IF(AND($D499&lt;&gt;"",$E499&lt;&gt;"",$D499&gt;=$E499),"Start&gt;=End",""),IF(OR($R499="",LEN($R499)&lt;60,ISNUMBER(MATCH(TRIM($R499),StatusList,0))),"Body overwritten/short",""))))</f>
        <v/>
      </c>
    </row>
    <row r="500" ht="12.75" customHeight="1">
      <c r="B500" s="25" t="n"/>
      <c r="C500" s="80" t="n"/>
      <c r="D500" s="77" t="n"/>
      <c r="E500" s="77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16">
        <f>IF($L500&lt;&gt;"","Purpose "&amp;CHAR(10)&amp;$L500&amp;CHAR(10)&amp;CHAR(10),"")&amp;
IF($M500&lt;&gt;"","Stops (in order) "&amp;CHAR(10)&amp;$M500&amp;CHAR(10)&amp;CHAR(10),"")&amp;
IF($N500&lt;&gt;"","To-Do (hard requirements) "&amp;CHAR(10)&amp;$N500&amp;CHAR(10)&amp;CHAR(10),"")&amp;
IF($O500&lt;&gt;"","Suggested Timeline "&amp;CHAR(10)&amp;$O500&amp;CHAR(10)&amp;CHAR(10),"")&amp;
IF($P500&lt;&gt;"","Guardrails "&amp;CHAR(10)&amp;$P500&amp;CHAR(10)&amp;CHAR(10),"")&amp;
IF($Q500&lt;&gt;"","Completion signals "&amp;CHAR(10)&amp;$Q500,"")</f>
        <v/>
      </c>
      <c r="S500" s="25" t="n"/>
      <c r="T500" s="25" t="n"/>
      <c r="U500" s="54" t="n"/>
      <c r="V500" s="54">
        <f>IF($B500="","",IF(_xludf.TEXTJOIN(" | ",TRUE,IF($B500="","Missing Title",""),IF($C500="","Missing Date",""),IF($D500="","Missing Start",""),IF($E500="","Missing End",""),IF($G500="","Missing Required Attendees",""),IF($T500="","Missing Status",""),IF(AND($D500&lt;&gt;"",$E500&lt;&gt;"",$D500&gt;=$E500),"Start&gt;=End",""),IF(OR($R500="",LEN($R500)&lt;60,ISNUMBER(MATCH(TRIM($R500),StatusList,0))),"Body overwritten/short",""))="","OK",_xludf.TEXTJOIN(" | ",TRUE,IF($B500="","Missing Title",""),IF($C500="","Missing Date",""),IF($D500="","Missing Start",""),IF($E500="","Missing End",""),IF($G500="","Missing Required Attendees",""),IF($T500="","Missing Status",""),IF(AND($D500&lt;&gt;"",$E500&lt;&gt;"",$D500&gt;=$E500),"Start&gt;=End",""),IF(OR($R500="",LEN($R500)&lt;60,ISNUMBER(MATCH(TRIM($R500),StatusList,0))),"Body overwritten/short",""))))</f>
        <v/>
      </c>
    </row>
    <row r="501" ht="15" customHeight="1">
      <c r="B501" s="54" t="n"/>
      <c r="C501" s="81" t="n"/>
      <c r="D501" s="82" t="n"/>
      <c r="E501" s="82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14" t="inlineStr">
        <is>
          <t>end</t>
        </is>
      </c>
      <c r="S501" s="54" t="n"/>
      <c r="T501" s="54" t="n"/>
      <c r="U501" s="54" t="n"/>
      <c r="V501" s="54" t="n"/>
    </row>
  </sheetData>
  <conditionalFormatting sqref="R2:R500">
    <cfRule type="expression" priority="1" dxfId="3">
      <formula>OR($R2="",$R2="Planned",$R2="In Progress",$R2="Blocked",$R2="Done")</formula>
    </cfRule>
    <cfRule type="expression" priority="4" dxfId="0">
      <formula>OR($R2="",LEN($R2)&lt;60,ISNUMBER(MATCH(TRIM($R2),StatusList,0)))</formula>
    </cfRule>
  </conditionalFormatting>
  <conditionalFormatting sqref="A2:V500">
    <cfRule type="expression" priority="2" dxfId="1">
      <formula>AND($B2&lt;&gt;"",$V2&lt;&gt;"OK")</formula>
    </cfRule>
  </conditionalFormatting>
  <conditionalFormatting sqref="V2:V500">
    <cfRule type="expression" priority="3" dxfId="0">
      <formula>AND($B2&lt;&gt;"",$V2&lt;&gt;"OK")</formula>
    </cfRule>
  </conditionalFormatting>
  <dataValidations count="6">
    <dataValidation sqref="C2:C9 C12:C1048576" showDropDown="0" showInputMessage="1" showErrorMessage="1" allowBlank="1" type="date">
      <formula1>1</formula1>
      <formula2>2958465</formula2>
    </dataValidation>
    <dataValidation sqref="J2:J500" showDropDown="0" showInputMessage="0" showErrorMessage="0" allowBlank="1" type="list">
      <formula1>ShowAsList</formula1>
    </dataValidation>
    <dataValidation sqref="K2:K500" showDropDown="0" showInputMessage="0" showErrorMessage="0" allowBlank="1" type="list">
      <formula1>ReminderMinutesList</formula1>
    </dataValidation>
    <dataValidation sqref="T2:T500" showDropDown="0" showInputMessage="0" showErrorMessage="0" allowBlank="1" type="list">
      <formula1>StatusList</formula1>
    </dataValidation>
    <dataValidation sqref="F2:F500" showDropDown="0" showInputMessage="0" showErrorMessage="0" allowBlank="1" type="list">
      <formula1>TimeZoneList</formula1>
    </dataValidation>
    <dataValidation sqref="A1:A1048576 R1:R1048576 V2:V1048576" showDropDown="0" showInputMessage="1" showErrorMessage="1" allowBlank="1" type="custom">
      <formula1>FALSE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A1:G5"/>
  <sheetViews>
    <sheetView workbookViewId="0">
      <selection activeCell="F9" sqref="F9"/>
    </sheetView>
  </sheetViews>
  <sheetFormatPr baseColWidth="8" defaultRowHeight="12.75"/>
  <cols>
    <col width="11.140625" customWidth="1" min="1" max="1"/>
    <col width="23.42578125" customWidth="1" min="2" max="7"/>
  </cols>
  <sheetData>
    <row r="1">
      <c r="A1" s="16" t="inlineStr">
        <is>
          <t>#</t>
        </is>
      </c>
      <c r="B1" s="16" t="inlineStr">
        <is>
          <t>Workstream / Thread</t>
        </is>
      </c>
      <c r="C1" s="16" t="inlineStr">
        <is>
          <t>Subject</t>
        </is>
      </c>
      <c r="D1" s="16" t="inlineStr">
        <is>
          <t>Purpose</t>
        </is>
      </c>
      <c r="E1" s="16" t="inlineStr">
        <is>
          <t>Status</t>
        </is>
      </c>
      <c r="F1" s="16" t="inlineStr">
        <is>
          <t>Waiting on</t>
        </is>
      </c>
      <c r="G1" s="16" t="inlineStr">
        <is>
          <t>Next move</t>
        </is>
      </c>
    </row>
    <row r="2">
      <c r="A2" s="54" t="n">
        <v>1</v>
      </c>
      <c r="B2" s="16" t="inlineStr">
        <is>
          <t>Glen Cove W2 MIB Cards / DS8178 Programming + Epic Validation</t>
        </is>
      </c>
      <c r="C2" s="16" t="inlineStr">
        <is>
          <t>RE: Glen Cove Hsp W2 MIB Cards PO 7025040707 - Monday, 1/26 and Tuesday, 1/27 Installation</t>
        </is>
      </c>
      <c r="D2" s="54" t="inlineStr">
        <is>
          <t>Thank Akbar, validate his one-pager, quietly add your expanded companion guide, set an update loop</t>
        </is>
      </c>
      <c r="E2" s="16" t="inlineStr">
        <is>
          <t>SENT (per your note)</t>
        </is>
      </c>
      <c r="F2" s="54" t="inlineStr">
        <is>
          <t>Any corrections/updates to Akbar’s 1-pager</t>
        </is>
      </c>
      <c r="G2" s="54" t="inlineStr">
        <is>
          <t>If no response but field issues appear, reply with the specific symptom + point to the relevant section of your companion guide</t>
        </is>
      </c>
    </row>
    <row r="3">
      <c r="A3" s="54" t="n">
        <v>2</v>
      </c>
      <c r="B3" s="16" t="inlineStr">
        <is>
          <t>REQ1282033 — SIUH Anesthesia Carts / Serial Cables (SPEC999015)</t>
        </is>
      </c>
      <c r="C3" s="16" t="inlineStr">
        <is>
          <t>REQ1282033 (SIUH) — Serial cable requirement + procurement next steps (SPEC999015)</t>
        </is>
      </c>
      <c r="D3" s="54" t="inlineStr">
        <is>
          <t>Lock: swap vs addition, final qty (2 vs 4), procurement owner, ship-to, needed-by</t>
        </is>
      </c>
      <c r="E3" s="16" t="inlineStr">
        <is>
          <t>DRAFTED</t>
        </is>
      </c>
      <c r="F3" s="54" t="inlineStr">
        <is>
          <t>Tim/Steve/Mohamed/Akbar confirmation</t>
        </is>
      </c>
      <c r="G3" s="54" t="inlineStr">
        <is>
          <t>Send. Then track: qty, quote owner, requisition owner, ETA, delivery confirmation</t>
        </is>
      </c>
    </row>
    <row r="4">
      <c r="A4" s="54" t="n">
        <v>3</v>
      </c>
      <c r="B4" s="16" t="inlineStr">
        <is>
          <t>Epic Beans Device Type Test — CDW Tech Onsite (SDF)</t>
        </is>
      </c>
      <c r="C4" s="16" t="inlineStr">
        <is>
          <t>Epic Beans Device Type Test (SDF) — Confirm readiness, roles, and pass/fail plan for Mon 1/26 12:00–2:30</t>
        </is>
      </c>
      <c r="D4" s="54" t="inlineStr">
        <is>
          <t>Convert invite into an executable test plan: pass/fail owner + rollback owner</t>
        </is>
      </c>
      <c r="E4" s="16" t="inlineStr">
        <is>
          <t>DRAFTED</t>
        </is>
      </c>
      <c r="F4" s="54" t="inlineStr">
        <is>
          <t>Epic point person + rollback owner confirmation</t>
        </is>
      </c>
      <c r="G4" s="54" t="inlineStr">
        <is>
          <t>Send. Then add a one-line “go/no-go” confirmation request morning-of</t>
        </is>
      </c>
    </row>
    <row r="5">
      <c r="A5" s="54" t="n">
        <v>4</v>
      </c>
      <c r="B5" s="16" t="inlineStr">
        <is>
          <t>LIJ Cybernet — 80 units (scope mapping)</t>
        </is>
      </c>
      <c r="C5" s="16" t="inlineStr">
        <is>
          <t>LIJ Cybernet (80) — Facility mapping + wave counts needed to stage correctly (due 02/06)</t>
        </is>
      </c>
      <c r="D5" s="54" t="inlineStr">
        <is>
          <t>Force “LIJ” into facility mapping + qty per wave + neuron scope clarity</t>
        </is>
      </c>
      <c r="E5" s="16" t="inlineStr">
        <is>
          <t>DRAFTED</t>
        </is>
      </c>
      <c r="F5" s="54" t="inlineStr">
        <is>
          <t>Tim confirmation on LIJ mapping + wave quantities</t>
        </is>
      </c>
      <c r="G5" s="54" t="inlineStr">
        <is>
          <t>Send. Then update your tracker with mapping IDs (LIJMC-NHP vs LIJ-VS vs LIJ-FH etc.)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8" sqref="A8"/>
    </sheetView>
  </sheetViews>
  <sheetFormatPr baseColWidth="8" defaultRowHeight="12.75"/>
  <sheetData>
    <row r="1" ht="15" customHeight="1">
      <c r="A1" s="2" t="inlineStr">
        <is>
          <t>Event ID</t>
        </is>
      </c>
      <c r="B1" s="45" t="inlineStr">
        <is>
          <t>MV-2026-01-11</t>
        </is>
      </c>
      <c r="C1" s="57" t="n"/>
      <c r="D1" s="57" t="n"/>
      <c r="E1" s="57" t="n"/>
      <c r="F1" s="57" t="n"/>
      <c r="G1" s="58" t="n"/>
    </row>
    <row r="2">
      <c r="A2" s="2" t="inlineStr">
        <is>
          <t>Title</t>
        </is>
      </c>
      <c r="B2" s="53">
        <f>IFERROR(VLOOKUP($L$4,'Invite Builder'!$A:$U,2,FALSE),"")</f>
        <v/>
      </c>
      <c r="C2" s="57" t="n"/>
      <c r="D2" s="57" t="n"/>
      <c r="E2" s="57" t="n"/>
      <c r="F2" s="57" t="n"/>
      <c r="G2" s="58" t="n"/>
    </row>
    <row r="3">
      <c r="A3" s="2" t="inlineStr">
        <is>
          <t>Date</t>
        </is>
      </c>
      <c r="B3" s="53">
        <f>IFERROR(VLOOKUP($L$4,'Invite Builder'!$A:$U,3,FALSE),"")</f>
        <v/>
      </c>
      <c r="C3" s="57" t="n"/>
      <c r="D3" s="57" t="n"/>
      <c r="E3" s="57" t="n"/>
      <c r="F3" s="57" t="n"/>
      <c r="G3" s="58" t="n"/>
    </row>
    <row r="4">
      <c r="A4" s="2" t="inlineStr">
        <is>
          <t>Time</t>
        </is>
      </c>
      <c r="B4" s="53">
        <f>IFERROR(VLOOKUP($L$4,'Invite Builder'!$A:$U,4,FALSE),"")&amp;" – "&amp;IFERROR(VLOOKUP($L$4,'Invite Builder'!$A:$U,5,FALSE),"")&amp;" "&amp;IFERROR(VLOOKUP($L$4,'Invite Builder'!$A:$U,6,FALSE),"")</f>
        <v/>
      </c>
      <c r="C4" s="57" t="n"/>
      <c r="D4" s="57" t="n"/>
      <c r="E4" s="57" t="n"/>
      <c r="F4" s="57" t="n"/>
      <c r="G4" s="58" t="n"/>
    </row>
    <row r="5">
      <c r="A5" s="2" t="inlineStr">
        <is>
          <t>Location</t>
        </is>
      </c>
      <c r="B5" s="53">
        <f>IFERROR(VLOOKUP($L$4,'Invite Builder'!$A:$U,9,FALSE),"")</f>
        <v/>
      </c>
      <c r="C5" s="57" t="n"/>
      <c r="D5" s="57" t="n"/>
      <c r="E5" s="57" t="n"/>
      <c r="F5" s="57" t="n"/>
      <c r="G5" s="58" t="n"/>
    </row>
    <row r="6">
      <c r="A6" s="54" t="n"/>
      <c r="B6" s="54" t="n"/>
      <c r="C6" s="54" t="n"/>
      <c r="D6" s="54" t="n"/>
      <c r="E6" s="54" t="n"/>
      <c r="F6" s="54" t="n"/>
      <c r="G6" s="54" t="n"/>
    </row>
    <row r="7" ht="48" customHeight="1">
      <c r="A7" s="2" t="inlineStr">
        <is>
          <t>Teams Body (copy/paste)</t>
        </is>
      </c>
      <c r="B7" s="52" t="inlineStr">
        <is>
          <t>(click cell below, Ctrl+A, Ctrl+C)</t>
        </is>
      </c>
      <c r="C7" s="57" t="n"/>
      <c r="D7" s="57" t="n"/>
      <c r="E7" s="57" t="n"/>
      <c r="F7" s="57" t="n"/>
      <c r="G7" s="58" t="n"/>
    </row>
    <row r="8">
      <c r="A8" s="50">
        <f>IFERROR(VLOOKUP($L$4,'Invite Builder'!$A:$U,18,FALSE),"")</f>
        <v/>
      </c>
      <c r="B8" s="59" t="n"/>
      <c r="C8" s="59" t="n"/>
      <c r="D8" s="59" t="n"/>
      <c r="E8" s="59" t="n"/>
      <c r="F8" s="59" t="n"/>
      <c r="G8" s="60" t="n"/>
    </row>
    <row r="9">
      <c r="A9" s="61" t="n"/>
      <c r="G9" s="62" t="n"/>
    </row>
    <row r="10">
      <c r="A10" s="61" t="n"/>
      <c r="G10" s="62" t="n"/>
    </row>
    <row r="11">
      <c r="A11" s="61" t="n"/>
      <c r="G11" s="62" t="n"/>
    </row>
    <row r="12">
      <c r="A12" s="61" t="n"/>
      <c r="G12" s="62" t="n"/>
    </row>
    <row r="13">
      <c r="A13" s="61" t="n"/>
      <c r="G13" s="62" t="n"/>
    </row>
    <row r="14">
      <c r="A14" s="61" t="n"/>
      <c r="G14" s="62" t="n"/>
    </row>
    <row r="15">
      <c r="A15" s="61" t="n"/>
      <c r="G15" s="62" t="n"/>
    </row>
    <row r="16">
      <c r="A16" s="61" t="n"/>
      <c r="G16" s="62" t="n"/>
    </row>
    <row r="17">
      <c r="A17" s="61" t="n"/>
      <c r="G17" s="62" t="n"/>
    </row>
    <row r="18">
      <c r="A18" s="61" t="n"/>
      <c r="G18" s="62" t="n"/>
    </row>
    <row r="19">
      <c r="A19" s="61" t="n"/>
      <c r="G19" s="62" t="n"/>
    </row>
    <row r="20">
      <c r="A20" s="61" t="n"/>
      <c r="G20" s="62" t="n"/>
    </row>
    <row r="21">
      <c r="A21" s="61" t="n"/>
      <c r="G21" s="62" t="n"/>
    </row>
    <row r="22">
      <c r="A22" s="61" t="n"/>
      <c r="G22" s="62" t="n"/>
    </row>
    <row r="23">
      <c r="A23" s="61" t="n"/>
      <c r="G23" s="62" t="n"/>
    </row>
    <row r="24">
      <c r="A24" s="61" t="n"/>
      <c r="G24" s="62" t="n"/>
    </row>
    <row r="25">
      <c r="A25" s="63" t="n"/>
      <c r="B25" s="64" t="n"/>
      <c r="C25" s="64" t="n"/>
      <c r="D25" s="64" t="n"/>
      <c r="E25" s="64" t="n"/>
      <c r="F25" s="64" t="n"/>
      <c r="G25" s="65" t="n"/>
    </row>
  </sheetData>
  <mergeCells count="7">
    <mergeCell ref="B3:G3"/>
    <mergeCell ref="B2:G2"/>
    <mergeCell ref="A8:G25"/>
    <mergeCell ref="B5:G5"/>
    <mergeCell ref="B1:G1"/>
    <mergeCell ref="B4:G4"/>
    <mergeCell ref="B7:G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Normal="100" zoomScaleSheetLayoutView="100" workbookViewId="0">
      <selection activeCell="A1" sqref="A1"/>
    </sheetView>
  </sheetViews>
  <sheetFormatPr baseColWidth="8" defaultColWidth="12.5703125" defaultRowHeight="12.75"/>
  <cols>
    <col width="30" customWidth="1" min="1" max="1"/>
    <col width="95" customWidth="1" min="2" max="2"/>
  </cols>
  <sheetData>
    <row r="1">
      <c r="A1" s="17" t="inlineStr">
        <is>
          <t>Field</t>
        </is>
      </c>
      <c r="B1" s="17" t="inlineStr">
        <is>
          <t>Drop-in</t>
        </is>
      </c>
    </row>
    <row r="2">
      <c r="A2" s="18" t="inlineStr">
        <is>
          <t>Title</t>
        </is>
      </c>
      <c r="B2" s="19" t="inlineStr">
        <is>
          <t>iPhone/Rover — Recurring Training Block (Starts Week of 1/12)</t>
        </is>
      </c>
    </row>
    <row r="3" ht="25.5" customHeight="1">
      <c r="A3" s="18" t="inlineStr">
        <is>
          <t>Required attendees</t>
        </is>
      </c>
      <c r="B3" s="19" t="inlineStr">
        <is>
          <t>Emmanuel Sanchez; Ezekiel; Erik Guzman; Julio Mojica; Asher Ali; Valentyn Nykoliuk; Tanjim Khan; Shazaib Idrees; Cyen Heyliger; Connor Hoffman</t>
        </is>
      </c>
    </row>
    <row r="4">
      <c r="A4" s="18" t="inlineStr">
        <is>
          <t>Optional attendees</t>
        </is>
      </c>
      <c r="B4" s="19" t="inlineStr">
        <is>
          <t>Nayelin Monegro; Rich Perez</t>
        </is>
      </c>
    </row>
    <row r="5">
      <c r="A5" s="18" t="inlineStr">
        <is>
          <t>Date</t>
        </is>
      </c>
      <c r="B5" s="83" t="n">
        <v>46034</v>
      </c>
    </row>
    <row r="6">
      <c r="A6" s="18" t="inlineStr">
        <is>
          <t>Start / End</t>
        </is>
      </c>
      <c r="B6" s="19" t="inlineStr">
        <is>
          <t>9:00 AM – 6:00 PM (Mon–Fri) — recurring starting 1/12</t>
        </is>
      </c>
    </row>
    <row r="7">
      <c r="A7" s="18" t="inlineStr">
        <is>
          <t>Show as</t>
        </is>
      </c>
      <c r="B7" s="19" t="inlineStr">
        <is>
          <t>Busy</t>
        </is>
      </c>
    </row>
    <row r="8">
      <c r="A8" s="18" t="inlineStr">
        <is>
          <t>Location</t>
        </is>
      </c>
      <c r="B8" s="19" t="inlineStr">
        <is>
          <t>Training window (no meeting link)</t>
        </is>
      </c>
    </row>
    <row r="9">
      <c r="A9" s="18" t="inlineStr">
        <is>
          <t>Reminder</t>
        </is>
      </c>
      <c r="B9" s="19" t="inlineStr">
        <is>
          <t>30 minutes</t>
        </is>
      </c>
    </row>
    <row r="10" ht="260.1" customHeight="1">
      <c r="A10" s="12" t="inlineStr">
        <is>
          <t>Description / Body</t>
        </is>
      </c>
      <c r="B10" s="10" t="inlineStr">
        <is>
          <t>iPhone/Rover Shadow Training — Recurring Block (Starts Week of 1/12)
This is a training window, not a meeting. Use this block to schedule and complete shadow sessions. No one needs to join.
What this is:
A recurring training window for iPhone/Rover shadowing + skill-building. Each trainee completes at least 1–2 shadow blocks to start, then continues as needed. Knowledge gaps get logged and tracked.
Mentors:
• Emmanuel Sanchez (Lenox Hill)
• Erik Guzman (PBMC)
• Ezekiel (Staten Island N&amp;S)
Trainees:
• Julio Mojica
• Asher Ali
• Valentyn Nykoliuk
• Tanjim Khan
• Shazaib Idrees
• Cyen Heyliger
• Connor Hoffman
TRAINEES — DO THIS
Send your mentor:
• Two time windows next week you can shadow (and more as needed)
• Your main site
• Any constraints (access issues, hard stop time, etc.)
After each shadow block:
• Update the Training Log the same day (what was covered + knowledge gaps + next topic)
MENTORS — DO THIS
• Tell me how many trainees you can actively support at a time
• Coordinate shadow blocks with those trainees
• Update the Training Log with: Trainee / Mentor / Date-Time / Site / What was covered / Knowledge gaps &amp; blockers / Next recommended topic
RULE
Training Log is the source of truth. No side chats as the “real plan.”</t>
        </is>
      </c>
    </row>
    <row r="11" ht="80.09999999999999" customHeight="1">
      <c r="A11" s="12" t="inlineStr">
        <is>
          <t>Checkpoints / Completion signals</t>
        </is>
      </c>
      <c r="B11" s="10" t="inlineStr">
        <is>
          <t>• Trainee/mentor connections made and first shadow block scheduled
• Training Log updated same day after each shadow block
• Knowledge gaps captured and follow-up topics assigned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Normal="100" zoomScaleSheetLayoutView="100" workbookViewId="0">
      <selection activeCell="A1" sqref="A1"/>
    </sheetView>
  </sheetViews>
  <sheetFormatPr baseColWidth="8" defaultColWidth="12.5703125" defaultRowHeight="12.75"/>
  <cols>
    <col width="30" customWidth="1" min="1" max="1"/>
    <col width="95" customWidth="1" min="2" max="2"/>
  </cols>
  <sheetData>
    <row r="1">
      <c r="A1" s="17" t="inlineStr">
        <is>
          <t>Field</t>
        </is>
      </c>
      <c r="B1" s="17" t="inlineStr">
        <is>
          <t>Drop-in</t>
        </is>
      </c>
    </row>
    <row r="2">
      <c r="A2" s="18" t="inlineStr">
        <is>
          <t>Title</t>
        </is>
      </c>
      <c r="B2" s="19" t="inlineStr">
        <is>
          <t>Khadejah — Inventory Counts + Locations (1 Marcus + HQ) + Pallets + Arm Attach Doc (1/8)</t>
        </is>
      </c>
    </row>
    <row r="3">
      <c r="A3" s="18" t="inlineStr">
        <is>
          <t>Required attendees</t>
        </is>
      </c>
      <c r="B3" s="19" t="inlineStr">
        <is>
          <t>Khadejah Harrison</t>
        </is>
      </c>
    </row>
    <row r="4">
      <c r="A4" s="18" t="inlineStr">
        <is>
          <t>Optional attendees</t>
        </is>
      </c>
      <c r="B4" s="19" t="inlineStr">
        <is>
          <t>Rich Perez ; Bonita Outlaw</t>
        </is>
      </c>
    </row>
    <row r="5">
      <c r="A5" s="18" t="inlineStr">
        <is>
          <t>Date</t>
        </is>
      </c>
      <c r="B5" s="83" t="n">
        <v>46030</v>
      </c>
    </row>
    <row r="6">
      <c r="A6" s="18" t="inlineStr">
        <is>
          <t>Start / End</t>
        </is>
      </c>
      <c r="B6" s="19" t="inlineStr">
        <is>
          <t>8:00 AM – 5:00 PM (adjust to your real hours)</t>
        </is>
      </c>
    </row>
    <row r="7">
      <c r="A7" s="18" t="inlineStr">
        <is>
          <t>Show as</t>
        </is>
      </c>
      <c r="B7" s="19" t="inlineStr">
        <is>
          <t>Busy</t>
        </is>
      </c>
    </row>
    <row r="8">
      <c r="A8" s="18" t="inlineStr">
        <is>
          <t>Location</t>
        </is>
      </c>
      <c r="B8" s="19" t="inlineStr">
        <is>
          <t>HQ + 1 Marcus (multi-stop; see agenda)</t>
        </is>
      </c>
    </row>
    <row r="9">
      <c r="A9" s="18" t="inlineStr">
        <is>
          <t>Reminder</t>
        </is>
      </c>
      <c r="B9" s="19" t="inlineStr">
        <is>
          <t>30 minutes</t>
        </is>
      </c>
    </row>
    <row r="10" ht="260.1" customHeight="1">
      <c r="A10" s="12" t="inlineStr">
        <is>
          <t>Description / Body</t>
        </is>
      </c>
      <c r="B10" s="10" t="inlineStr">
        <is>
          <t xml:space="preserve">Objective
- Establish a single reliable view of what we have and where it is (HQ + 1 Marcus), including pallet stock, so we can forecast deployment trajectory.
To-Do (checklist)
☐ Start in HQ: sweep all staging zones + pallets; log COUNT + EXACT LOCATION for each item (prioritize Neurons + arms first)
☐ Tag pallets as P-001 / P-002 / … and record contents (at least Neurons + arms per pallet)
☐ Repeat the same sweep at 1 Marcus; log counts + exact locations
☐ Update Inventory Master (single source of truth): consolidate counts; mark CONFLICTs; timestamp LastCounted + CountedBy
☐ Arm→Neuron attach: capture steps (clean angles) + note any tools/hardware required
☐ Send EOD summary to Rich: HQ vs 1 Marcus totals, pallet status, shortages/blockers, runway for upcoming sites
Location format (use exactly)
[SITE] - [AREA] - [SUBAREA]
Example: HQ - Config Desks - Under Desk Row A
Guardrails
- No guessing. If unsure, mark UNKNOWN/CONFLICT and note why.
- Don’t move stock without updating its location in the master.
</t>
        </is>
      </c>
    </row>
    <row r="11" ht="80.09999999999999" customHeight="1">
      <c r="A11" s="12" t="inlineStr">
        <is>
          <t>Checkpoints / Completion signals</t>
        </is>
      </c>
      <c r="B11" s="10" t="inlineStr">
        <is>
          <t>Counts + locations captured for HQ and 1 Marcus (Neurons + arms minimum)
Pallets tagged + recorded
Inventory Master updated + timestamped
Arm attach steps captured + shared
EOD summary sent to Rich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Normal="100" zoomScaleSheetLayoutView="100" workbookViewId="0">
      <selection activeCell="A1" sqref="A1"/>
    </sheetView>
  </sheetViews>
  <sheetFormatPr baseColWidth="8" defaultColWidth="12.5703125" defaultRowHeight="12.75"/>
  <cols>
    <col width="30" customWidth="1" min="1" max="1"/>
    <col width="95" customWidth="1" min="2" max="2"/>
  </cols>
  <sheetData>
    <row r="1">
      <c r="A1" s="17" t="inlineStr">
        <is>
          <t>Field</t>
        </is>
      </c>
      <c r="B1" s="17" t="inlineStr">
        <is>
          <t>Drop-in</t>
        </is>
      </c>
    </row>
    <row r="2">
      <c r="A2" s="18" t="inlineStr">
        <is>
          <t>Title</t>
        </is>
      </c>
      <c r="B2" s="19" t="inlineStr">
        <is>
          <t>Alejandro — 3HQ Key Drop + HQ Plainview Config + PBMC Prep (1/8)</t>
        </is>
      </c>
    </row>
    <row r="3">
      <c r="A3" s="18" t="inlineStr">
        <is>
          <t>Required attendees</t>
        </is>
      </c>
      <c r="B3" s="19" t="inlineStr">
        <is>
          <t>Alejandro Perales</t>
        </is>
      </c>
    </row>
    <row r="4">
      <c r="A4" s="18" t="inlineStr">
        <is>
          <t>Optional attendees</t>
        </is>
      </c>
      <c r="B4" s="19" t="inlineStr">
        <is>
          <t>Ralph (3HQ) ; Khadejah Harrison ; Akbar (if he’s the config owner)</t>
        </is>
      </c>
    </row>
    <row r="5">
      <c r="A5" s="18" t="inlineStr">
        <is>
          <t>Date</t>
        </is>
      </c>
      <c r="B5" s="83" t="n">
        <v>46030</v>
      </c>
    </row>
    <row r="6">
      <c r="A6" s="18" t="inlineStr">
        <is>
          <t>Start / End</t>
        </is>
      </c>
      <c r="B6" s="19" t="inlineStr">
        <is>
          <t>8:00 AM – 5:00 PM (adjust to your real hours)</t>
        </is>
      </c>
    </row>
    <row r="7">
      <c r="A7" s="18" t="inlineStr">
        <is>
          <t>Show as</t>
        </is>
      </c>
      <c r="B7" s="19" t="inlineStr">
        <is>
          <t>Busy</t>
        </is>
      </c>
    </row>
    <row r="8">
      <c r="A8" s="18" t="inlineStr">
        <is>
          <t>Location</t>
        </is>
      </c>
      <c r="B8" s="19" t="inlineStr">
        <is>
          <t>HQ — Plainview (multi-stop details in agenda)</t>
        </is>
      </c>
    </row>
    <row r="9">
      <c r="A9" s="18" t="inlineStr">
        <is>
          <t>Reminder</t>
        </is>
      </c>
      <c r="B9" s="19" t="inlineStr">
        <is>
          <t>30 minutes</t>
        </is>
      </c>
    </row>
    <row r="10" ht="260.1" customHeight="1">
      <c r="A10" s="12" t="inlineStr">
        <is>
          <t>Description / Body</t>
        </is>
      </c>
      <c r="B10" s="10" t="inlineStr">
        <is>
          <t xml:space="preserve">Purpose
- Execute the 1/8 run: return universal key, configure devices at HQ Plainview, stage for PBMC deployment readiness, and align counts with Khadejah.
Stops (in order)
1) 3HQ - Key drop with Ralph
2) HQ - Plainview - Device configuration + staging
3) PBMC - Deployment prep / readiness
To-Do (hard requirements)
- Contact Ralph first thing AM to coordinate key handoff (time + exact meetup spot).
- Drop off universal key to Ralph at 3HQ and confirm receipt.
- Head to HQ Plainview ASAP after key drop.
- Configure devices at HQ (confirm which units require config vs already prepped).
- Stage/pack for PBMC deployment (devices + required cables/adapters + spares).
- Before deployment: sync with Khadejah on counts and reconcile any gaps.
Suggested Timeline (adjust as needed)
- 8:00-8:15  Call/text Ralph; lock handoff details
- 8:15-9:00  3HQ key drop -&gt; confirm receipt
- 9:00-1:00  HQ Plainview: configure devices + verification checks
- 1:00-2:00  Staging/packout for PBMC (labeling + inventory sanity check)
- 2:00-2:15  Quick sync w/ Khadejah: counts + deployment plan
- 2:15+      Travel/prepare for PBMC deployment window
Guardrails (avoid scope creep)
- If Tim is involved on install timing: meet at the requested time, but confirm requirements in advance.
- Do not accept extra add-ons without approval - log requests and escalate.
Completion signals (message back in Teams chat)
- Key returned to Ralph + time
- HQ config complete + device count
- PBMC staging complete + any blockers
- Counts aligned with Khadejah + final count
</t>
        </is>
      </c>
    </row>
    <row r="11" ht="80.09999999999999" customHeight="1">
      <c r="A11" s="12" t="inlineStr">
        <is>
          <t>Checkpoints / Completion signals</t>
        </is>
      </c>
      <c r="B11" s="10" t="inlineStr">
        <is>
          <t>Key returned to Ralph @ ____ (time)
HQ config complete - ____ devices
PBMC staging complete - blockers: ____ / none
Counts aligned with Khadejah - final count ____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Normal="100" zoomScaleSheetLayoutView="100" workbookViewId="0">
      <selection activeCell="A1" sqref="A1"/>
    </sheetView>
  </sheetViews>
  <sheetFormatPr baseColWidth="8" defaultColWidth="12.5703125" defaultRowHeight="12.75"/>
  <cols>
    <col width="30" customWidth="1" min="1" max="1"/>
    <col width="95" customWidth="1" min="2" max="2"/>
  </cols>
  <sheetData>
    <row r="1" ht="15.75" customHeight="1">
      <c r="A1" s="17" t="inlineStr">
        <is>
          <t>Field</t>
        </is>
      </c>
      <c r="B1" s="17" t="inlineStr">
        <is>
          <t>Drop-in</t>
        </is>
      </c>
    </row>
    <row r="2">
      <c r="A2" s="18" t="inlineStr">
        <is>
          <t>Title</t>
        </is>
      </c>
      <c r="B2" s="19" t="inlineStr">
        <is>
          <t>Julio — Arms Transport + Spreadsheet Updates + Assist Counts (HQ / 1 Marcus) (1/8)</t>
        </is>
      </c>
    </row>
    <row r="3">
      <c r="A3" s="18" t="inlineStr">
        <is>
          <t>Required attendees</t>
        </is>
      </c>
      <c r="B3" s="19" t="inlineStr">
        <is>
          <t>Julio Mojica</t>
        </is>
      </c>
    </row>
    <row r="4">
      <c r="A4" s="18" t="inlineStr">
        <is>
          <t>Optional attendees</t>
        </is>
      </c>
      <c r="B4" s="19" t="inlineStr">
        <is>
          <t>Khadejah Harrison ; Rich Perez</t>
        </is>
      </c>
    </row>
    <row r="5">
      <c r="A5" s="18" t="inlineStr">
        <is>
          <t>Date</t>
        </is>
      </c>
      <c r="B5" s="83" t="n">
        <v>46030</v>
      </c>
    </row>
    <row r="6">
      <c r="A6" s="18" t="inlineStr">
        <is>
          <t>Start / End</t>
        </is>
      </c>
      <c r="B6" s="19" t="inlineStr">
        <is>
          <t>8:00 AM – 5:00 PM (adjust to real hours)</t>
        </is>
      </c>
    </row>
    <row r="7">
      <c r="A7" s="18" t="inlineStr">
        <is>
          <t>Show as</t>
        </is>
      </c>
      <c r="B7" s="19" t="inlineStr">
        <is>
          <t>Busy</t>
        </is>
      </c>
    </row>
    <row r="8">
      <c r="A8" s="18" t="inlineStr">
        <is>
          <t>Location</t>
        </is>
      </c>
      <c r="B8" s="19" t="inlineStr">
        <is>
          <t>HQ + 1 Marcus (multi-stop; see checklist)</t>
        </is>
      </c>
    </row>
    <row r="9">
      <c r="A9" s="18" t="inlineStr">
        <is>
          <t>Reminder</t>
        </is>
      </c>
      <c r="B9" s="19" t="inlineStr">
        <is>
          <t>30 minutes</t>
        </is>
      </c>
    </row>
    <row r="10" ht="260.1" customHeight="1">
      <c r="A10" s="12" t="inlineStr">
        <is>
          <t>Description / Body</t>
        </is>
      </c>
      <c r="B10" s="10" t="inlineStr">
        <is>
          <t>Objective: Transport arms, log them in the master spreadsheet, then assist Khadejah with counts. Checklist: (1) Transport arms (2) Add arms into spreadsheet (qty + exact location) (3) Assist Khadejah with counts. Coordination: Coordinate with Julio after transport to work out counts on-site without extra driving; stop by 1 Marcus first only if it reduces back-and-forth. Completion: Arms delivered + logged; counts advanced; blockers flagged; status sent.</t>
        </is>
      </c>
    </row>
    <row r="11" ht="80.09999999999999" customHeight="1">
      <c r="A11" s="12" t="inlineStr">
        <is>
          <t>Status</t>
        </is>
      </c>
      <c r="B11" s="10" t="inlineStr">
        <is>
          <t>Planned</t>
        </is>
      </c>
    </row>
    <row r="12" ht="15.75" customHeight="1">
      <c r="A12" s="54" t="n"/>
      <c r="B12" s="54" t="n"/>
    </row>
    <row r="13" ht="15.75" customHeight="1">
      <c r="A13" s="54" t="n"/>
      <c r="B13" s="54" t="n"/>
    </row>
    <row r="14" ht="15.75" customHeight="1">
      <c r="A14" s="54" t="n"/>
      <c r="B14" s="54" t="n"/>
    </row>
    <row r="15" ht="15.75" customHeight="1">
      <c r="A15" s="54" t="n"/>
      <c r="B15" s="54" t="n"/>
    </row>
    <row r="16" ht="15.75" customHeight="1">
      <c r="A16" s="54" t="n"/>
      <c r="B16" s="54" t="n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zoomScaleNormal="100" zoomScaleSheetLayoutView="100" workbookViewId="0">
      <selection activeCell="A1" sqref="A1"/>
    </sheetView>
  </sheetViews>
  <sheetFormatPr baseColWidth="8" defaultRowHeight="12.75"/>
  <cols>
    <col width="18" customWidth="1" min="1" max="3"/>
  </cols>
  <sheetData>
    <row r="1">
      <c r="A1" s="54" t="inlineStr">
        <is>
          <t>ShowAs</t>
        </is>
      </c>
      <c r="B1" s="54" t="inlineStr">
        <is>
          <t>Status</t>
        </is>
      </c>
      <c r="C1" s="54" t="inlineStr">
        <is>
          <t>ReminderMinutes</t>
        </is>
      </c>
      <c r="D1" s="54" t="inlineStr">
        <is>
          <t>TimeZone</t>
        </is>
      </c>
    </row>
    <row r="2">
      <c r="A2" s="54" t="inlineStr">
        <is>
          <t>Busy</t>
        </is>
      </c>
      <c r="B2" s="54" t="inlineStr">
        <is>
          <t>Planned</t>
        </is>
      </c>
      <c r="C2" s="54" t="n">
        <v>5</v>
      </c>
      <c r="D2" s="54" t="inlineStr">
        <is>
          <t>Local</t>
        </is>
      </c>
    </row>
    <row r="3">
      <c r="A3" s="54" t="inlineStr">
        <is>
          <t>Free</t>
        </is>
      </c>
      <c r="B3" s="54" t="inlineStr">
        <is>
          <t>In Progress</t>
        </is>
      </c>
      <c r="C3" s="54" t="n">
        <v>10</v>
      </c>
      <c r="D3" s="54" t="inlineStr">
        <is>
          <t>America/New_York</t>
        </is>
      </c>
    </row>
    <row r="4">
      <c r="A4" s="54" t="inlineStr">
        <is>
          <t>Tentative</t>
        </is>
      </c>
      <c r="B4" s="54" t="inlineStr">
        <is>
          <t>Blocked</t>
        </is>
      </c>
      <c r="C4" s="54" t="n">
        <v>15</v>
      </c>
      <c r="D4" s="54" t="n"/>
    </row>
    <row r="5">
      <c r="A5" s="54" t="inlineStr">
        <is>
          <t>Out of Office</t>
        </is>
      </c>
      <c r="B5" s="54" t="inlineStr">
        <is>
          <t>Done</t>
        </is>
      </c>
      <c r="C5" s="54" t="n">
        <v>30</v>
      </c>
      <c r="D5" s="54" t="n"/>
    </row>
    <row r="6">
      <c r="A6" s="54" t="n"/>
      <c r="B6" s="54" t="n"/>
      <c r="C6" s="54" t="n">
        <v>60</v>
      </c>
      <c r="D6" s="54" t="n"/>
    </row>
    <row r="7">
      <c r="A7" s="54" t="n"/>
      <c r="B7" s="54" t="n"/>
      <c r="C7" s="54" t="n">
        <v>120</v>
      </c>
      <c r="D7" s="5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Normal="100" zoomScaleSheetLayoutView="100" workbookViewId="0">
      <selection activeCell="D1" sqref="D1"/>
    </sheetView>
  </sheetViews>
  <sheetFormatPr baseColWidth="8" defaultRowHeight="12.75"/>
  <cols>
    <col width="18" customWidth="1" min="1" max="1"/>
    <col width="22" customWidth="1" min="2" max="2"/>
    <col width="95" customWidth="1" min="3" max="3"/>
    <col width="20.85546875" customWidth="1" style="5" min="4" max="4"/>
  </cols>
  <sheetData>
    <row r="1">
      <c r="A1" s="9" t="inlineStr">
        <is>
          <t>Audience</t>
        </is>
      </c>
      <c r="B1" s="9" t="inlineStr">
        <is>
          <t>Use</t>
        </is>
      </c>
      <c r="C1" s="9" t="inlineStr">
        <is>
          <t>Message (copy/paste)</t>
        </is>
      </c>
      <c r="D1" s="9" t="inlineStr">
        <is>
          <t>Completed</t>
        </is>
      </c>
    </row>
    <row r="2" ht="39.95" customHeight="1">
      <c r="A2" s="12" t="inlineStr">
        <is>
          <t>Ralph</t>
        </is>
      </c>
      <c r="B2" s="12" t="inlineStr">
        <is>
          <t>AM coordination</t>
        </is>
      </c>
      <c r="C2" s="10" t="inlineStr">
        <is>
          <t>Morning Ralph - Alejandro Perales is dropping off the universal key today. What time + meetup spot at 3HQ works best? He'll confirm once it's handed off.</t>
        </is>
      </c>
      <c r="D2" s="21" t="inlineStr">
        <is>
          <t>Yes</t>
        </is>
      </c>
    </row>
    <row r="3" ht="80.09999999999999" customHeight="1">
      <c r="A3" s="12" t="inlineStr">
        <is>
          <t>Alejandro</t>
        </is>
      </c>
      <c r="B3" s="12" t="inlineStr">
        <is>
          <t>Run order / checkpoints</t>
        </is>
      </c>
      <c r="C3" s="10" t="inlineStr">
        <is>
          <t>Today's run order:
1) Contact Ralph now, lock handoff details
2) Drop key at 3HQ + confirm receipt
3) Head to HQ Plainview ASAP
4) Configure + stage devices for PBMC
5) Sync with Khadejah on counts before deployment
Ping after each checkpoint (Key / HQ config / Staging / Counts).</t>
        </is>
      </c>
      <c r="D3" s="21" t="inlineStr">
        <is>
          <t>Yes</t>
        </is>
      </c>
    </row>
    <row r="4" ht="39.95" customHeight="1">
      <c r="A4" s="12" t="inlineStr">
        <is>
          <t>Khadejah</t>
        </is>
      </c>
      <c r="B4" s="12" t="inlineStr">
        <is>
          <t>Counts sync</t>
        </is>
      </c>
      <c r="C4" s="10" t="inlineStr">
        <is>
          <t>Quick sync today - when you have a window, send your latest counts + any gaps. Alejandro will align staging with your numbers before deployment.</t>
        </is>
      </c>
      <c r="D4" s="21" t="inlineStr">
        <is>
          <t>Yes</t>
        </is>
      </c>
    </row>
    <row r="5" ht="39.95" customHeight="1">
      <c r="A5" s="12" t="inlineStr">
        <is>
          <t>Bonita</t>
        </is>
      </c>
      <c r="B5" s="12" t="inlineStr">
        <is>
          <t>FYI update</t>
        </is>
      </c>
      <c r="C5" s="10" t="inlineStr">
        <is>
          <t>FYI: Alejandro is returning the universal key to Ralph at 3HQ this morning, then heading to HQ Plainview for config + PBMC staging. I'll flag any blockers.</t>
        </is>
      </c>
      <c r="D5" s="21" t="inlineStr">
        <is>
          <t>Yes</t>
        </is>
      </c>
    </row>
  </sheetData>
  <dataValidations count="1">
    <dataValidation sqref="D1:D1048576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2026-01-10T08:04:53Z</dcterms:created>
  <dcterms:modified xmlns:dcterms="http://purl.org/dc/terms/" xmlns:xsi="http://www.w3.org/2001/XMLSchema-instance" xsi:type="dcterms:W3CDTF">2026-02-24T16:56:21Z</dcterms:modified>
</cp:coreProperties>
</file>